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Premium\Saqib Saleem\30-Sep-2024\"/>
    </mc:Choice>
  </mc:AlternateContent>
  <xr:revisionPtr revIDLastSave="0" documentId="13_ncr:1_{CF2CB4C6-E48E-41E9-9EFB-CE2F97FE7BC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Working" sheetId="1" r:id="rId1"/>
    <sheet name="working1" sheetId="2" r:id="rId2"/>
    <sheet name="Sheet2" sheetId="3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C319" i="2"/>
  <c r="C315" i="2"/>
  <c r="D3" i="2"/>
  <c r="D4" i="2"/>
  <c r="D5" i="2"/>
  <c r="D315" i="2" s="1"/>
  <c r="D6" i="2"/>
  <c r="D7" i="2"/>
  <c r="D8" i="2"/>
  <c r="D9" i="2"/>
  <c r="D10" i="2"/>
  <c r="G10" i="2" s="1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F2" i="2"/>
  <c r="D2" i="2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1" i="3"/>
  <c r="G313" i="2" l="1"/>
  <c r="G309" i="2"/>
  <c r="G285" i="2"/>
  <c r="H285" i="2" s="1"/>
  <c r="G261" i="2"/>
  <c r="H261" i="2" s="1"/>
  <c r="G253" i="2"/>
  <c r="G245" i="2"/>
  <c r="G233" i="2"/>
  <c r="H233" i="2" s="1"/>
  <c r="G229" i="2"/>
  <c r="H229" i="2" s="1"/>
  <c r="G209" i="2"/>
  <c r="G185" i="2"/>
  <c r="G173" i="2"/>
  <c r="G149" i="2"/>
  <c r="H149" i="2" s="1"/>
  <c r="G137" i="2"/>
  <c r="G304" i="2"/>
  <c r="G314" i="2"/>
  <c r="G310" i="2"/>
  <c r="G306" i="2"/>
  <c r="H306" i="2" s="1"/>
  <c r="G302" i="2"/>
  <c r="G298" i="2"/>
  <c r="H298" i="2" s="1"/>
  <c r="G294" i="2"/>
  <c r="H294" i="2" s="1"/>
  <c r="G290" i="2"/>
  <c r="H290" i="2" s="1"/>
  <c r="G286" i="2"/>
  <c r="G282" i="2"/>
  <c r="H282" i="2" s="1"/>
  <c r="G278" i="2"/>
  <c r="H278" i="2" s="1"/>
  <c r="G274" i="2"/>
  <c r="H274" i="2" s="1"/>
  <c r="G270" i="2"/>
  <c r="G266" i="2"/>
  <c r="G262" i="2"/>
  <c r="H262" i="2" s="1"/>
  <c r="G258" i="2"/>
  <c r="H258" i="2" s="1"/>
  <c r="G254" i="2"/>
  <c r="G250" i="2"/>
  <c r="H250" i="2" s="1"/>
  <c r="G246" i="2"/>
  <c r="H246" i="2" s="1"/>
  <c r="G242" i="2"/>
  <c r="H242" i="2" s="1"/>
  <c r="G238" i="2"/>
  <c r="G234" i="2"/>
  <c r="H234" i="2" s="1"/>
  <c r="G230" i="2"/>
  <c r="H230" i="2" s="1"/>
  <c r="G226" i="2"/>
  <c r="H226" i="2" s="1"/>
  <c r="G222" i="2"/>
  <c r="G218" i="2"/>
  <c r="H218" i="2" s="1"/>
  <c r="G214" i="2"/>
  <c r="H214" i="2" s="1"/>
  <c r="G210" i="2"/>
  <c r="H210" i="2" s="1"/>
  <c r="G206" i="2"/>
  <c r="G202" i="2"/>
  <c r="G198" i="2"/>
  <c r="H198" i="2" s="1"/>
  <c r="G194" i="2"/>
  <c r="H194" i="2" s="1"/>
  <c r="G190" i="2"/>
  <c r="G186" i="2"/>
  <c r="H186" i="2" s="1"/>
  <c r="G182" i="2"/>
  <c r="H182" i="2" s="1"/>
  <c r="G178" i="2"/>
  <c r="H178" i="2" s="1"/>
  <c r="G174" i="2"/>
  <c r="G170" i="2"/>
  <c r="H170" i="2" s="1"/>
  <c r="G166" i="2"/>
  <c r="H166" i="2" s="1"/>
  <c r="G162" i="2"/>
  <c r="H162" i="2" s="1"/>
  <c r="G158" i="2"/>
  <c r="G154" i="2"/>
  <c r="H154" i="2" s="1"/>
  <c r="G26" i="2"/>
  <c r="H26" i="2" s="1"/>
  <c r="G297" i="2"/>
  <c r="G273" i="2"/>
  <c r="G269" i="2"/>
  <c r="G237" i="2"/>
  <c r="H237" i="2" s="1"/>
  <c r="G221" i="2"/>
  <c r="G213" i="2"/>
  <c r="G193" i="2"/>
  <c r="G169" i="2"/>
  <c r="H169" i="2" s="1"/>
  <c r="G161" i="2"/>
  <c r="G145" i="2"/>
  <c r="G129" i="2"/>
  <c r="H129" i="2" s="1"/>
  <c r="G125" i="2"/>
  <c r="H125" i="2" s="1"/>
  <c r="G121" i="2"/>
  <c r="G117" i="2"/>
  <c r="G113" i="2"/>
  <c r="H113" i="2" s="1"/>
  <c r="G109" i="2"/>
  <c r="H109" i="2" s="1"/>
  <c r="G105" i="2"/>
  <c r="G101" i="2"/>
  <c r="G97" i="2"/>
  <c r="H97" i="2" s="1"/>
  <c r="G93" i="2"/>
  <c r="H93" i="2" s="1"/>
  <c r="G89" i="2"/>
  <c r="G85" i="2"/>
  <c r="G81" i="2"/>
  <c r="H81" i="2" s="1"/>
  <c r="G77" i="2"/>
  <c r="H77" i="2" s="1"/>
  <c r="G73" i="2"/>
  <c r="G69" i="2"/>
  <c r="G65" i="2"/>
  <c r="H65" i="2" s="1"/>
  <c r="G61" i="2"/>
  <c r="H61" i="2" s="1"/>
  <c r="G57" i="2"/>
  <c r="G53" i="2"/>
  <c r="G49" i="2"/>
  <c r="H49" i="2" s="1"/>
  <c r="G45" i="2"/>
  <c r="H45" i="2" s="1"/>
  <c r="G41" i="2"/>
  <c r="G37" i="2"/>
  <c r="G33" i="2"/>
  <c r="H33" i="2" s="1"/>
  <c r="G29" i="2"/>
  <c r="H29" i="2" s="1"/>
  <c r="G25" i="2"/>
  <c r="G21" i="2"/>
  <c r="G17" i="2"/>
  <c r="H17" i="2" s="1"/>
  <c r="G305" i="2"/>
  <c r="H305" i="2" s="1"/>
  <c r="G281" i="2"/>
  <c r="G257" i="2"/>
  <c r="G249" i="2"/>
  <c r="H249" i="2" s="1"/>
  <c r="G225" i="2"/>
  <c r="H225" i="2" s="1"/>
  <c r="G205" i="2"/>
  <c r="G189" i="2"/>
  <c r="G177" i="2"/>
  <c r="G153" i="2"/>
  <c r="H153" i="2" s="1"/>
  <c r="G141" i="2"/>
  <c r="G308" i="2"/>
  <c r="G296" i="2"/>
  <c r="H296" i="2" s="1"/>
  <c r="G292" i="2"/>
  <c r="H292" i="2" s="1"/>
  <c r="G288" i="2"/>
  <c r="G284" i="2"/>
  <c r="G280" i="2"/>
  <c r="H280" i="2" s="1"/>
  <c r="G276" i="2"/>
  <c r="H276" i="2" s="1"/>
  <c r="G272" i="2"/>
  <c r="G268" i="2"/>
  <c r="G264" i="2"/>
  <c r="H264" i="2" s="1"/>
  <c r="G260" i="2"/>
  <c r="H260" i="2" s="1"/>
  <c r="G256" i="2"/>
  <c r="G252" i="2"/>
  <c r="G248" i="2"/>
  <c r="H248" i="2" s="1"/>
  <c r="G244" i="2"/>
  <c r="H244" i="2" s="1"/>
  <c r="G240" i="2"/>
  <c r="G236" i="2"/>
  <c r="G232" i="2"/>
  <c r="H232" i="2" s="1"/>
  <c r="G228" i="2"/>
  <c r="H228" i="2" s="1"/>
  <c r="G224" i="2"/>
  <c r="G220" i="2"/>
  <c r="G216" i="2"/>
  <c r="H216" i="2" s="1"/>
  <c r="G212" i="2"/>
  <c r="H212" i="2" s="1"/>
  <c r="G208" i="2"/>
  <c r="G204" i="2"/>
  <c r="G200" i="2"/>
  <c r="H200" i="2" s="1"/>
  <c r="G196" i="2"/>
  <c r="H196" i="2" s="1"/>
  <c r="G192" i="2"/>
  <c r="G188" i="2"/>
  <c r="G184" i="2"/>
  <c r="H184" i="2" s="1"/>
  <c r="G180" i="2"/>
  <c r="H180" i="2" s="1"/>
  <c r="G176" i="2"/>
  <c r="G172" i="2"/>
  <c r="G168" i="2"/>
  <c r="H168" i="2" s="1"/>
  <c r="G164" i="2"/>
  <c r="H164" i="2" s="1"/>
  <c r="G160" i="2"/>
  <c r="G156" i="2"/>
  <c r="G152" i="2"/>
  <c r="H152" i="2" s="1"/>
  <c r="G148" i="2"/>
  <c r="H148" i="2" s="1"/>
  <c r="G144" i="2"/>
  <c r="G140" i="2"/>
  <c r="G136" i="2"/>
  <c r="H136" i="2" s="1"/>
  <c r="G132" i="2"/>
  <c r="H132" i="2" s="1"/>
  <c r="G301" i="2"/>
  <c r="G293" i="2"/>
  <c r="G289" i="2"/>
  <c r="G277" i="2"/>
  <c r="H277" i="2" s="1"/>
  <c r="G265" i="2"/>
  <c r="G241" i="2"/>
  <c r="G217" i="2"/>
  <c r="H217" i="2" s="1"/>
  <c r="G201" i="2"/>
  <c r="H201" i="2" s="1"/>
  <c r="G197" i="2"/>
  <c r="H197" i="2" s="1"/>
  <c r="G181" i="2"/>
  <c r="G165" i="2"/>
  <c r="H165" i="2" s="1"/>
  <c r="G157" i="2"/>
  <c r="H157" i="2" s="1"/>
  <c r="G133" i="2"/>
  <c r="H133" i="2" s="1"/>
  <c r="G312" i="2"/>
  <c r="G300" i="2"/>
  <c r="H300" i="2" s="1"/>
  <c r="G2" i="2"/>
  <c r="H2" i="2" s="1"/>
  <c r="G311" i="2"/>
  <c r="G307" i="2"/>
  <c r="G303" i="2"/>
  <c r="H303" i="2" s="1"/>
  <c r="G299" i="2"/>
  <c r="H299" i="2" s="1"/>
  <c r="G295" i="2"/>
  <c r="G291" i="2"/>
  <c r="G287" i="2"/>
  <c r="H287" i="2" s="1"/>
  <c r="G283" i="2"/>
  <c r="H283" i="2" s="1"/>
  <c r="G279" i="2"/>
  <c r="G275" i="2"/>
  <c r="G271" i="2"/>
  <c r="H271" i="2" s="1"/>
  <c r="G267" i="2"/>
  <c r="H267" i="2" s="1"/>
  <c r="G263" i="2"/>
  <c r="G259" i="2"/>
  <c r="G255" i="2"/>
  <c r="H255" i="2" s="1"/>
  <c r="G251" i="2"/>
  <c r="H251" i="2" s="1"/>
  <c r="G247" i="2"/>
  <c r="G243" i="2"/>
  <c r="G239" i="2"/>
  <c r="H239" i="2" s="1"/>
  <c r="G235" i="2"/>
  <c r="H235" i="2" s="1"/>
  <c r="G231" i="2"/>
  <c r="G227" i="2"/>
  <c r="G223" i="2"/>
  <c r="H223" i="2" s="1"/>
  <c r="G219" i="2"/>
  <c r="H219" i="2" s="1"/>
  <c r="G215" i="2"/>
  <c r="G211" i="2"/>
  <c r="G207" i="2"/>
  <c r="H207" i="2" s="1"/>
  <c r="G203" i="2"/>
  <c r="H203" i="2" s="1"/>
  <c r="G199" i="2"/>
  <c r="G195" i="2"/>
  <c r="G191" i="2"/>
  <c r="H191" i="2" s="1"/>
  <c r="G187" i="2"/>
  <c r="H187" i="2" s="1"/>
  <c r="G183" i="2"/>
  <c r="G179" i="2"/>
  <c r="G175" i="2"/>
  <c r="H175" i="2" s="1"/>
  <c r="G13" i="2"/>
  <c r="H13" i="2" s="1"/>
  <c r="G9" i="2"/>
  <c r="G5" i="2"/>
  <c r="H314" i="2"/>
  <c r="H310" i="2"/>
  <c r="H302" i="2"/>
  <c r="H286" i="2"/>
  <c r="H270" i="2"/>
  <c r="H266" i="2"/>
  <c r="H254" i="2"/>
  <c r="H238" i="2"/>
  <c r="H222" i="2"/>
  <c r="H206" i="2"/>
  <c r="H202" i="2"/>
  <c r="H190" i="2"/>
  <c r="H174" i="2"/>
  <c r="H158" i="2"/>
  <c r="H10" i="2"/>
  <c r="G128" i="2"/>
  <c r="G124" i="2"/>
  <c r="H124" i="2" s="1"/>
  <c r="G120" i="2"/>
  <c r="G116" i="2"/>
  <c r="H116" i="2" s="1"/>
  <c r="G112" i="2"/>
  <c r="H112" i="2" s="1"/>
  <c r="G108" i="2"/>
  <c r="H108" i="2" s="1"/>
  <c r="G104" i="2"/>
  <c r="G100" i="2"/>
  <c r="G96" i="2"/>
  <c r="G92" i="2"/>
  <c r="H92" i="2" s="1"/>
  <c r="G88" i="2"/>
  <c r="H88" i="2" s="1"/>
  <c r="G84" i="2"/>
  <c r="H84" i="2" s="1"/>
  <c r="G80" i="2"/>
  <c r="H80" i="2" s="1"/>
  <c r="G76" i="2"/>
  <c r="H76" i="2" s="1"/>
  <c r="G72" i="2"/>
  <c r="H72" i="2" s="1"/>
  <c r="G68" i="2"/>
  <c r="H68" i="2" s="1"/>
  <c r="G64" i="2"/>
  <c r="H64" i="2" s="1"/>
  <c r="G60" i="2"/>
  <c r="H60" i="2" s="1"/>
  <c r="G56" i="2"/>
  <c r="G52" i="2"/>
  <c r="H52" i="2" s="1"/>
  <c r="G48" i="2"/>
  <c r="G44" i="2"/>
  <c r="H44" i="2" s="1"/>
  <c r="G40" i="2"/>
  <c r="G36" i="2"/>
  <c r="G32" i="2"/>
  <c r="G28" i="2"/>
  <c r="H28" i="2" s="1"/>
  <c r="G24" i="2"/>
  <c r="H24" i="2" s="1"/>
  <c r="G20" i="2"/>
  <c r="H20" i="2" s="1"/>
  <c r="G16" i="2"/>
  <c r="G12" i="2"/>
  <c r="H12" i="2" s="1"/>
  <c r="G8" i="2"/>
  <c r="H8" i="2" s="1"/>
  <c r="G4" i="2"/>
  <c r="H4" i="2" s="1"/>
  <c r="H313" i="2"/>
  <c r="H309" i="2"/>
  <c r="H301" i="2"/>
  <c r="H297" i="2"/>
  <c r="H293" i="2"/>
  <c r="H289" i="2"/>
  <c r="H281" i="2"/>
  <c r="H273" i="2"/>
  <c r="H269" i="2"/>
  <c r="H265" i="2"/>
  <c r="H257" i="2"/>
  <c r="H253" i="2"/>
  <c r="H245" i="2"/>
  <c r="H241" i="2"/>
  <c r="H221" i="2"/>
  <c r="H213" i="2"/>
  <c r="H209" i="2"/>
  <c r="H205" i="2"/>
  <c r="H193" i="2"/>
  <c r="H189" i="2"/>
  <c r="H185" i="2"/>
  <c r="H181" i="2"/>
  <c r="H177" i="2"/>
  <c r="H173" i="2"/>
  <c r="H161" i="2"/>
  <c r="H145" i="2"/>
  <c r="H141" i="2"/>
  <c r="H137" i="2"/>
  <c r="H121" i="2"/>
  <c r="H117" i="2"/>
  <c r="H105" i="2"/>
  <c r="H101" i="2"/>
  <c r="H89" i="2"/>
  <c r="H85" i="2"/>
  <c r="H73" i="2"/>
  <c r="H69" i="2"/>
  <c r="H57" i="2"/>
  <c r="H53" i="2"/>
  <c r="H41" i="2"/>
  <c r="H37" i="2"/>
  <c r="H25" i="2"/>
  <c r="H21" i="2"/>
  <c r="H9" i="2"/>
  <c r="H5" i="2"/>
  <c r="G171" i="2"/>
  <c r="G167" i="2"/>
  <c r="H167" i="2" s="1"/>
  <c r="G163" i="2"/>
  <c r="H163" i="2" s="1"/>
  <c r="G159" i="2"/>
  <c r="H159" i="2" s="1"/>
  <c r="G155" i="2"/>
  <c r="H155" i="2" s="1"/>
  <c r="G151" i="2"/>
  <c r="H151" i="2" s="1"/>
  <c r="G147" i="2"/>
  <c r="G143" i="2"/>
  <c r="H143" i="2" s="1"/>
  <c r="G139" i="2"/>
  <c r="H139" i="2" s="1"/>
  <c r="G135" i="2"/>
  <c r="H135" i="2" s="1"/>
  <c r="G131" i="2"/>
  <c r="H131" i="2" s="1"/>
  <c r="G127" i="2"/>
  <c r="H127" i="2" s="1"/>
  <c r="G123" i="2"/>
  <c r="G119" i="2"/>
  <c r="H119" i="2" s="1"/>
  <c r="G115" i="2"/>
  <c r="H115" i="2" s="1"/>
  <c r="G111" i="2"/>
  <c r="H111" i="2" s="1"/>
  <c r="G107" i="2"/>
  <c r="G103" i="2"/>
  <c r="G99" i="2"/>
  <c r="H99" i="2" s="1"/>
  <c r="G95" i="2"/>
  <c r="H95" i="2" s="1"/>
  <c r="G91" i="2"/>
  <c r="H91" i="2" s="1"/>
  <c r="G87" i="2"/>
  <c r="H87" i="2" s="1"/>
  <c r="G83" i="2"/>
  <c r="H83" i="2" s="1"/>
  <c r="G79" i="2"/>
  <c r="H79" i="2" s="1"/>
  <c r="G75" i="2"/>
  <c r="H75" i="2" s="1"/>
  <c r="G71" i="2"/>
  <c r="H71" i="2" s="1"/>
  <c r="G67" i="2"/>
  <c r="H67" i="2" s="1"/>
  <c r="G63" i="2"/>
  <c r="H63" i="2" s="1"/>
  <c r="G59" i="2"/>
  <c r="G55" i="2"/>
  <c r="H55" i="2" s="1"/>
  <c r="G51" i="2"/>
  <c r="H51" i="2" s="1"/>
  <c r="G47" i="2"/>
  <c r="H47" i="2" s="1"/>
  <c r="G43" i="2"/>
  <c r="G39" i="2"/>
  <c r="H39" i="2" s="1"/>
  <c r="G35" i="2"/>
  <c r="H35" i="2" s="1"/>
  <c r="G31" i="2"/>
  <c r="H31" i="2" s="1"/>
  <c r="G27" i="2"/>
  <c r="H27" i="2" s="1"/>
  <c r="G23" i="2"/>
  <c r="H23" i="2" s="1"/>
  <c r="G19" i="2"/>
  <c r="G15" i="2"/>
  <c r="H15" i="2" s="1"/>
  <c r="G11" i="2"/>
  <c r="H11" i="2" s="1"/>
  <c r="G7" i="2"/>
  <c r="H7" i="2" s="1"/>
  <c r="G3" i="2"/>
  <c r="H3" i="2" s="1"/>
  <c r="H312" i="2"/>
  <c r="H308" i="2"/>
  <c r="H304" i="2"/>
  <c r="H288" i="2"/>
  <c r="H284" i="2"/>
  <c r="G150" i="2"/>
  <c r="H150" i="2" s="1"/>
  <c r="G146" i="2"/>
  <c r="H146" i="2" s="1"/>
  <c r="G142" i="2"/>
  <c r="H142" i="2" s="1"/>
  <c r="G138" i="2"/>
  <c r="H138" i="2" s="1"/>
  <c r="G134" i="2"/>
  <c r="H134" i="2" s="1"/>
  <c r="G130" i="2"/>
  <c r="H130" i="2" s="1"/>
  <c r="G126" i="2"/>
  <c r="H126" i="2" s="1"/>
  <c r="G122" i="2"/>
  <c r="H122" i="2" s="1"/>
  <c r="G118" i="2"/>
  <c r="H118" i="2" s="1"/>
  <c r="G114" i="2"/>
  <c r="H114" i="2" s="1"/>
  <c r="G110" i="2"/>
  <c r="H110" i="2" s="1"/>
  <c r="G106" i="2"/>
  <c r="H106" i="2" s="1"/>
  <c r="G102" i="2"/>
  <c r="H102" i="2" s="1"/>
  <c r="G98" i="2"/>
  <c r="H98" i="2" s="1"/>
  <c r="G94" i="2"/>
  <c r="H94" i="2" s="1"/>
  <c r="G90" i="2"/>
  <c r="H90" i="2" s="1"/>
  <c r="G86" i="2"/>
  <c r="H86" i="2" s="1"/>
  <c r="G82" i="2"/>
  <c r="H82" i="2" s="1"/>
  <c r="G78" i="2"/>
  <c r="H78" i="2" s="1"/>
  <c r="G74" i="2"/>
  <c r="H74" i="2" s="1"/>
  <c r="G70" i="2"/>
  <c r="H70" i="2" s="1"/>
  <c r="G66" i="2"/>
  <c r="H66" i="2" s="1"/>
  <c r="G62" i="2"/>
  <c r="H62" i="2" s="1"/>
  <c r="G58" i="2"/>
  <c r="H58" i="2" s="1"/>
  <c r="G54" i="2"/>
  <c r="H54" i="2" s="1"/>
  <c r="G50" i="2"/>
  <c r="H50" i="2" s="1"/>
  <c r="G46" i="2"/>
  <c r="H46" i="2" s="1"/>
  <c r="G42" i="2"/>
  <c r="H42" i="2" s="1"/>
  <c r="G38" i="2"/>
  <c r="H38" i="2" s="1"/>
  <c r="G34" i="2"/>
  <c r="H34" i="2" s="1"/>
  <c r="G30" i="2"/>
  <c r="H30" i="2" s="1"/>
  <c r="G22" i="2"/>
  <c r="H22" i="2" s="1"/>
  <c r="G18" i="2"/>
  <c r="H18" i="2" s="1"/>
  <c r="G14" i="2"/>
  <c r="H14" i="2" s="1"/>
  <c r="G6" i="2"/>
  <c r="H6" i="2" s="1"/>
  <c r="H272" i="2"/>
  <c r="H268" i="2"/>
  <c r="H256" i="2"/>
  <c r="H252" i="2"/>
  <c r="H240" i="2"/>
  <c r="H236" i="2"/>
  <c r="H224" i="2"/>
  <c r="H220" i="2"/>
  <c r="H208" i="2"/>
  <c r="H204" i="2"/>
  <c r="H192" i="2"/>
  <c r="H188" i="2"/>
  <c r="H176" i="2"/>
  <c r="H172" i="2"/>
  <c r="H160" i="2"/>
  <c r="H156" i="2"/>
  <c r="H144" i="2"/>
  <c r="H140" i="2"/>
  <c r="H128" i="2"/>
  <c r="H120" i="2"/>
  <c r="H104" i="2"/>
  <c r="H100" i="2"/>
  <c r="H96" i="2"/>
  <c r="H56" i="2"/>
  <c r="H48" i="2"/>
  <c r="H40" i="2"/>
  <c r="H36" i="2"/>
  <c r="H32" i="2"/>
  <c r="H16" i="2"/>
  <c r="H311" i="2"/>
  <c r="H307" i="2"/>
  <c r="H295" i="2"/>
  <c r="H291" i="2"/>
  <c r="H279" i="2"/>
  <c r="H275" i="2"/>
  <c r="H263" i="2"/>
  <c r="H259" i="2"/>
  <c r="H247" i="2"/>
  <c r="H243" i="2"/>
  <c r="H231" i="2"/>
  <c r="H227" i="2"/>
  <c r="H215" i="2"/>
  <c r="H211" i="2"/>
  <c r="H199" i="2"/>
  <c r="H195" i="2"/>
  <c r="H183" i="2"/>
  <c r="H179" i="2"/>
  <c r="H171" i="2"/>
  <c r="H147" i="2"/>
  <c r="H123" i="2"/>
  <c r="H107" i="2"/>
  <c r="H103" i="2"/>
  <c r="H59" i="2"/>
  <c r="H43" i="2"/>
  <c r="H19" i="2"/>
  <c r="AN326" i="1" l="1"/>
  <c r="AN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 l="1"/>
  <c r="AL316" i="1" l="1"/>
  <c r="AG316" i="1"/>
  <c r="AJ320" i="1" s="1"/>
</calcChain>
</file>

<file path=xl/sharedStrings.xml><?xml version="1.0" encoding="utf-8"?>
<sst xmlns="http://schemas.openxmlformats.org/spreadsheetml/2006/main" count="10252" uniqueCount="4725">
  <si>
    <t>Sr.</t>
  </si>
  <si>
    <t>Status</t>
  </si>
  <si>
    <t>Contract No.</t>
  </si>
  <si>
    <t>Contract Status</t>
  </si>
  <si>
    <t>Insurance Agency</t>
  </si>
  <si>
    <t>Customer Name</t>
  </si>
  <si>
    <t>City</t>
  </si>
  <si>
    <t>CNIC No.</t>
  </si>
  <si>
    <t>Home Phone#</t>
  </si>
  <si>
    <t>Mobile Number</t>
  </si>
  <si>
    <t>Business Phone#</t>
  </si>
  <si>
    <t>Mail Address</t>
  </si>
  <si>
    <t>Finance Amount</t>
  </si>
  <si>
    <t>Car Price</t>
  </si>
  <si>
    <t>Ins. Policy</t>
  </si>
  <si>
    <t>Ins. Expiry Date</t>
  </si>
  <si>
    <t>Engine No.</t>
  </si>
  <si>
    <t>Chassis No.</t>
  </si>
  <si>
    <t>Car Category</t>
  </si>
  <si>
    <t>Reg. No.</t>
  </si>
  <si>
    <t>Car Name</t>
  </si>
  <si>
    <t>Model</t>
  </si>
  <si>
    <t>Contract Booking Date</t>
  </si>
  <si>
    <t>Contract Value Date</t>
  </si>
  <si>
    <t>Contract Maturity Date</t>
  </si>
  <si>
    <t>Purchase Order No.</t>
  </si>
  <si>
    <t>Tenor#2</t>
  </si>
  <si>
    <t>Tracker Company</t>
  </si>
  <si>
    <t>Tracker Reference Number</t>
  </si>
  <si>
    <t>Tracker Installation Date</t>
  </si>
  <si>
    <t xml:space="preserve">Rate </t>
  </si>
  <si>
    <t xml:space="preserve">Sum Insured </t>
  </si>
  <si>
    <t>Premium</t>
  </si>
  <si>
    <t>OLD Contract Ref</t>
  </si>
  <si>
    <t>Remarks-I</t>
  </si>
  <si>
    <t>Remarks-II</t>
  </si>
  <si>
    <t>Policy #</t>
  </si>
  <si>
    <t>Tms Prem</t>
  </si>
  <si>
    <t>NORM</t>
  </si>
  <si>
    <t>9976AD1220770051</t>
  </si>
  <si>
    <t>A</t>
  </si>
  <si>
    <t>T-PAK</t>
  </si>
  <si>
    <t>MUHAMMAD SHABI HAIDER JAFFERY</t>
  </si>
  <si>
    <t>Islamabad</t>
  </si>
  <si>
    <t>37405-6525582-9</t>
  </si>
  <si>
    <t/>
  </si>
  <si>
    <t>03335261205</t>
  </si>
  <si>
    <t xml:space="preserve">HOUSE NO G-575 STREET NO 8 MOHALLA ARJANPURA DAV COLLEGE ROAD RAWALPINDI </t>
  </si>
  <si>
    <t>62698/00004/08/2022</t>
  </si>
  <si>
    <t>1145823</t>
  </si>
  <si>
    <t>NEW</t>
  </si>
  <si>
    <t>SUZUKI ALTO VXL AGS EURO-II</t>
  </si>
  <si>
    <t>2022</t>
  </si>
  <si>
    <t>18-MAR-2022</t>
  </si>
  <si>
    <t>11-AUG-2022</t>
  </si>
  <si>
    <t>11-Aug-2026</t>
  </si>
  <si>
    <t>OLAISD300085819</t>
  </si>
  <si>
    <t>CTRK</t>
  </si>
  <si>
    <t>DIB0034679</t>
  </si>
  <si>
    <t>03-AUG-2022</t>
  </si>
  <si>
    <t>2%</t>
  </si>
  <si>
    <t>KHI/HO/D/MO/PC COMP/C/95603/4/08/2024</t>
  </si>
  <si>
    <t>9976AD1213650126</t>
  </si>
  <si>
    <t>SHAHZADA SOHAIL IJAZ</t>
  </si>
  <si>
    <t>61101-1600619-3</t>
  </si>
  <si>
    <t>0514900533</t>
  </si>
  <si>
    <t>03335196330</t>
  </si>
  <si>
    <t xml:space="preserve">H # 678 ST # 76 SECTOR I-8/3 NEAR K ACHNAR PARK ISLAMABAD PK </t>
  </si>
  <si>
    <t>62698/00003/08/2022</t>
  </si>
  <si>
    <t>7034875</t>
  </si>
  <si>
    <t>TOYOTA YARIS ATIV CVT 1.3</t>
  </si>
  <si>
    <t>31-DEC-2021</t>
  </si>
  <si>
    <t>21-AUG-2022</t>
  </si>
  <si>
    <t>21-Aug-2026</t>
  </si>
  <si>
    <t>OLAISD300082847</t>
  </si>
  <si>
    <t>DIB0034671</t>
  </si>
  <si>
    <t>02-AUG-2022</t>
  </si>
  <si>
    <t>KHI/HO/D/MO/PC COMP/C/95603/6/08/2024</t>
  </si>
  <si>
    <t>9976AP1232150005</t>
  </si>
  <si>
    <t>FARHAN KAFEEL</t>
  </si>
  <si>
    <t>Karachi</t>
  </si>
  <si>
    <t>42101-1164923-3</t>
  </si>
  <si>
    <t>03362241697</t>
  </si>
  <si>
    <t xml:space="preserve">A-23 BLOCK-L NORTH NAZIMABAD STREET 4 NEW BURGER SHACK KARACHI </t>
  </si>
  <si>
    <t>73551/00002/08/2023</t>
  </si>
  <si>
    <t>01-AUG-2024</t>
  </si>
  <si>
    <t>6R129033</t>
  </si>
  <si>
    <t>1029000</t>
  </si>
  <si>
    <t>USD</t>
  </si>
  <si>
    <t>BRY-795</t>
  </si>
  <si>
    <t>2020</t>
  </si>
  <si>
    <t>03-AUG-2023</t>
  </si>
  <si>
    <t>03-Aug-2028</t>
  </si>
  <si>
    <t>OLUKHI300095953</t>
  </si>
  <si>
    <t>ITFT</t>
  </si>
  <si>
    <t>10421/08/2023/ITFM</t>
  </si>
  <si>
    <t>02-AUG-2023</t>
  </si>
  <si>
    <t>1.75%</t>
  </si>
  <si>
    <t>KHI/HO/D/MO/PC COMP/C/95603/11/08/2024</t>
  </si>
  <si>
    <t>9976AP1232150004</t>
  </si>
  <si>
    <t>ABDUL WAQAR</t>
  </si>
  <si>
    <t>42201-7688208-1</t>
  </si>
  <si>
    <t>03332546285</t>
  </si>
  <si>
    <t xml:space="preserve">HOUSE NO J-130 SECTOR -35- B J AREA KORANGI NO -5 KARACHI </t>
  </si>
  <si>
    <t>73551/00003/08/2023</t>
  </si>
  <si>
    <t>10032365</t>
  </si>
  <si>
    <t>BJN-634</t>
  </si>
  <si>
    <t>2017</t>
  </si>
  <si>
    <t>03-Aug-2026</t>
  </si>
  <si>
    <t>OLUKHI300095985</t>
  </si>
  <si>
    <t>10426/08/2023/ITFM</t>
  </si>
  <si>
    <t>KHI/HO/D/MO/PC COMP/C/95603/12/08/2024</t>
  </si>
  <si>
    <t>9976AD1221860002</t>
  </si>
  <si>
    <t>YASIR RAFIQUE</t>
  </si>
  <si>
    <t>Faisalabad</t>
  </si>
  <si>
    <t>34402-2793987-9</t>
  </si>
  <si>
    <t>00971508003171</t>
  </si>
  <si>
    <t xml:space="preserve">FLAT 204 AL SAUD BUILDING NEW MUWAILAH SHARJAH UNITED ARAB EMIRATES </t>
  </si>
  <si>
    <t>73551/00001/08/2023</t>
  </si>
  <si>
    <t>R032976</t>
  </si>
  <si>
    <t>RDA</t>
  </si>
  <si>
    <t>27-AUG-2023</t>
  </si>
  <si>
    <t>27-Aug-2030</t>
  </si>
  <si>
    <t>OLAFSD300088531</t>
  </si>
  <si>
    <t>ITFM</t>
  </si>
  <si>
    <t>10420/08/2023/ITFM</t>
  </si>
  <si>
    <t>1.4%</t>
  </si>
  <si>
    <t>KHI/HO/D/MO/PC COMP/C/95603/15/08/2024</t>
  </si>
  <si>
    <t>9976AP2222170001</t>
  </si>
  <si>
    <t>ARSHAD MEHMOOD</t>
  </si>
  <si>
    <t>Sialkot</t>
  </si>
  <si>
    <t>35303-2082674-1</t>
  </si>
  <si>
    <t>03457547909</t>
  </si>
  <si>
    <t>0523256462</t>
  </si>
  <si>
    <t xml:space="preserve">H NO 34 CHOUDHARY STREET GHAZI PUR NEAR MORCHA SIALKOT CANTT SIALKOT PK </t>
  </si>
  <si>
    <t>62698/00013/08/2022</t>
  </si>
  <si>
    <t>6R154842</t>
  </si>
  <si>
    <t>H1054818</t>
  </si>
  <si>
    <t>ACA-906</t>
  </si>
  <si>
    <t>SUZUKI ALTO VXL AGS EURO II</t>
  </si>
  <si>
    <t>2021</t>
  </si>
  <si>
    <t>05-AUG-2022</t>
  </si>
  <si>
    <t>11-Aug-2027</t>
  </si>
  <si>
    <t>OLUSKT300089134</t>
  </si>
  <si>
    <t>8266/08/2022/ITFM</t>
  </si>
  <si>
    <t>04/AUG-2022</t>
  </si>
  <si>
    <t>KHI/HO/D/MO/PC COMP/C/95603/19/08/2024</t>
  </si>
  <si>
    <t>9976AP1222160050</t>
  </si>
  <si>
    <t>ISHTIAR AHMED</t>
  </si>
  <si>
    <t>42301-0108369-9</t>
  </si>
  <si>
    <t>03151202780</t>
  </si>
  <si>
    <t>0</t>
  </si>
  <si>
    <t xml:space="preserve">HOUSE NO 635 SEC-4E ORANGI TOWN NEA R REHMAN BABA STADIUM KARACHI PK </t>
  </si>
  <si>
    <t>62698/00011/08/2022</t>
  </si>
  <si>
    <t>1032294</t>
  </si>
  <si>
    <t>BSN-544</t>
  </si>
  <si>
    <t>04-AUG-2022</t>
  </si>
  <si>
    <t>OLUKHI300089099</t>
  </si>
  <si>
    <t>8260/08/2022/ITFM</t>
  </si>
  <si>
    <t>1.5%</t>
  </si>
  <si>
    <t>KHI/HO/D/MO/PC COMP/C/95603/21/08/2024</t>
  </si>
  <si>
    <t>9976AD1220800001</t>
  </si>
  <si>
    <t>CHAUDHARY ABDULLAH MAQSOOD</t>
  </si>
  <si>
    <t>37405-1247176-3</t>
  </si>
  <si>
    <t>03340110315</t>
  </si>
  <si>
    <t xml:space="preserve">BILAL PC WORLD SHOP NO 2, GROUND FLOOR UNI BUILDING, BANK ROAD, SADDAR RAWALPINDI </t>
  </si>
  <si>
    <t>62698/00006/08/2022</t>
  </si>
  <si>
    <t>1142607</t>
  </si>
  <si>
    <t>21-MAR-2022</t>
  </si>
  <si>
    <t>OLAISD300085818</t>
  </si>
  <si>
    <t>DIB0034681</t>
  </si>
  <si>
    <t>KHI/HO/D/MO/PC COMP/C/95603/22/08/2024</t>
  </si>
  <si>
    <t>9976AD1222100001</t>
  </si>
  <si>
    <t>MUHAMMAD SHAHZAD YOUSAF</t>
  </si>
  <si>
    <t>Lahore</t>
  </si>
  <si>
    <t>35202-3976252-7</t>
  </si>
  <si>
    <t>03219445222</t>
  </si>
  <si>
    <t xml:space="preserve">H NO 506-C -III AVENUE NFC SOCIETY LAHORE PK </t>
  </si>
  <si>
    <t>62698/00010/08/2022</t>
  </si>
  <si>
    <t>NR022037</t>
  </si>
  <si>
    <t>HONDA CITY I-VTEC 1.2L CVT</t>
  </si>
  <si>
    <t>29-JUL-2022</t>
  </si>
  <si>
    <t>11-Aug-2025</t>
  </si>
  <si>
    <t>OLALHR300089015</t>
  </si>
  <si>
    <t>8270/08/2022/ITFM</t>
  </si>
  <si>
    <t>KHI/HO/D/MO/PC COMP/C/95603/24/08/2024</t>
  </si>
  <si>
    <t>9976AD1220310065</t>
  </si>
  <si>
    <t>SYED ALI RAZA</t>
  </si>
  <si>
    <t>35202-2641189-5</t>
  </si>
  <si>
    <t>03234146182</t>
  </si>
  <si>
    <t xml:space="preserve">3RD FLOOR NEW LIBERTY TOWER M0DEL T OWN LINK ROAD LAHORE </t>
  </si>
  <si>
    <t>62698/00007/08/2022</t>
  </si>
  <si>
    <t>1143366</t>
  </si>
  <si>
    <t>SUZUKI ALTO VX EURO II</t>
  </si>
  <si>
    <t>31-JAN-2022</t>
  </si>
  <si>
    <t>OLALHR300083813</t>
  </si>
  <si>
    <t>ITECL</t>
  </si>
  <si>
    <t>8252/08/2022</t>
  </si>
  <si>
    <t>KHI/HO/D/MO/PC COMP/C/95603/27/08/2024</t>
  </si>
  <si>
    <t>9976AD1213270020</t>
  </si>
  <si>
    <t>BAKHTAWAR REHMAN</t>
  </si>
  <si>
    <t>42101-1210373-2</t>
  </si>
  <si>
    <t>03152015222</t>
  </si>
  <si>
    <t>03152015222, 03152015222</t>
  </si>
  <si>
    <t xml:space="preserve">HOUSE # 27/1 10TH COMMERCIAL STREET DHA PHASE 4 NEAR SUNSET OFFICERS C KARACHI PK </t>
  </si>
  <si>
    <t>62698/0009/08/2022</t>
  </si>
  <si>
    <t>Q097653</t>
  </si>
  <si>
    <t>6075101</t>
  </si>
  <si>
    <t>TOYOTA COROLLA ALTIS A/T</t>
  </si>
  <si>
    <t>23-NOV-2021</t>
  </si>
  <si>
    <t>OLAKHI300079543</t>
  </si>
  <si>
    <t>7974/07/2022/ITFM</t>
  </si>
  <si>
    <t>01-JUL-2022</t>
  </si>
  <si>
    <t>KHI/HO/D/MO/PC COMP/C/95603/28/08/2024</t>
  </si>
  <si>
    <t>9976AD1220750041</t>
  </si>
  <si>
    <t>MUHAMMAD FURQAN</t>
  </si>
  <si>
    <t>42301-1823389-3</t>
  </si>
  <si>
    <t>03452277603</t>
  </si>
  <si>
    <t xml:space="preserve">BRAND BUCKET MOON PLAZA GROUND FLOOR HAQQANI CHOWK NEAR BURHANI HOSPITAL KARACHI </t>
  </si>
  <si>
    <t>62698/00014/08/2022</t>
  </si>
  <si>
    <t>1145332</t>
  </si>
  <si>
    <t>SUZUKI ALTO VXR EURO-II</t>
  </si>
  <si>
    <t>16-MAR-2022</t>
  </si>
  <si>
    <t>OLAKHI300085393</t>
  </si>
  <si>
    <t>DIB0034674</t>
  </si>
  <si>
    <t>KHI/HO/D/MO/PC COMP/C/95603/29/08/2024</t>
  </si>
  <si>
    <t>9976AD2211480015</t>
  </si>
  <si>
    <t>MALIK GHULAM MUSTAFA</t>
  </si>
  <si>
    <t>JHELUM</t>
  </si>
  <si>
    <t>37301-2352632-1</t>
  </si>
  <si>
    <t>03335677007</t>
  </si>
  <si>
    <t xml:space="preserve">MALIK HOUSE AMAM BARA AZEEM ROAD KA LA GUJRAN PO KHAS NEAR PAK SARHAN A JHELUM PK </t>
  </si>
  <si>
    <t>55239/00002/08/2021</t>
  </si>
  <si>
    <t>6R176433</t>
  </si>
  <si>
    <t>H1076385</t>
  </si>
  <si>
    <t>28-MAY-2021</t>
  </si>
  <si>
    <t>11-AUG-2021</t>
  </si>
  <si>
    <t>OLAJHM300068879</t>
  </si>
  <si>
    <t>DIB0031195</t>
  </si>
  <si>
    <t>04-AUG-2021</t>
  </si>
  <si>
    <t>KHI/HO/D/MO/PC COMP/C/95603/39/08/2024</t>
  </si>
  <si>
    <t>9976AD1211100013</t>
  </si>
  <si>
    <t>RIFAQAT MASIH</t>
  </si>
  <si>
    <t>42201-6328842-3</t>
  </si>
  <si>
    <t>03412473161 03331246697 03442072291</t>
  </si>
  <si>
    <t>03331246697</t>
  </si>
  <si>
    <t xml:space="preserve">A.A ENGINEERING SUIT NO. 06,M-6/B, MEZZANINE FLOOR DADA GARDEN,PLOT 10 BMCHS, HADI ROAD,SHARFABAD KARACHI </t>
  </si>
  <si>
    <t>55239/00010/08/2021</t>
  </si>
  <si>
    <t>6R172067</t>
  </si>
  <si>
    <t>NF1AET306H1072057</t>
  </si>
  <si>
    <t>SUZUKI ALTO VXR EURO II</t>
  </si>
  <si>
    <t>20-APR-2021</t>
  </si>
  <si>
    <t>OLAKHI300068030</t>
  </si>
  <si>
    <t>DIB0031155</t>
  </si>
  <si>
    <t>09-AUG-2021</t>
  </si>
  <si>
    <t>KHI/HO/D/MO/PC COMP/C/95603/43/08/2024</t>
  </si>
  <si>
    <t>9976AD2211200012</t>
  </si>
  <si>
    <t>SALMAN ASHIQ</t>
  </si>
  <si>
    <t>42501-5717043-1</t>
  </si>
  <si>
    <t>02135054791</t>
  </si>
  <si>
    <t>03212771249</t>
  </si>
  <si>
    <t xml:space="preserve">HOUSE NO L- 96 SECTOR F BHITAI COLO NY KORANGI CROSSING KHI SHAMIM MASJ ID KARACHI </t>
  </si>
  <si>
    <t>55239/00009/08/2021</t>
  </si>
  <si>
    <t>6R174377</t>
  </si>
  <si>
    <t>NF0AET306H1074394</t>
  </si>
  <si>
    <t>ALTO VXL AGS EURO-II</t>
  </si>
  <si>
    <t>30-APR-2021</t>
  </si>
  <si>
    <t>OLAKHI300068505</t>
  </si>
  <si>
    <t>DIB0031194</t>
  </si>
  <si>
    <t>KHI/HO/D/MO/PC COMP/C/95603/44/08/2024</t>
  </si>
  <si>
    <t>9976AD1210900101</t>
  </si>
  <si>
    <t>UZMA REHAN</t>
  </si>
  <si>
    <t>Sarae Alamgir</t>
  </si>
  <si>
    <t>33104-2055349-0</t>
  </si>
  <si>
    <t>03224602445</t>
  </si>
  <si>
    <t>0483220869</t>
  </si>
  <si>
    <t xml:space="preserve">H NO 46 DEFENCE GARDEN SARGODHA PK </t>
  </si>
  <si>
    <t>2021/07/CLFTTPCDP00887</t>
  </si>
  <si>
    <t>10081027</t>
  </si>
  <si>
    <t>SUZUKI CULTUS VXL</t>
  </si>
  <si>
    <t>31-MAR-2021</t>
  </si>
  <si>
    <t>21-AUG-2021</t>
  </si>
  <si>
    <t>21-Aug-2028</t>
  </si>
  <si>
    <t>OLASGD300067215</t>
  </si>
  <si>
    <t>DIB0031204</t>
  </si>
  <si>
    <t>06-AUG-2021</t>
  </si>
  <si>
    <t>KHI/HO/D/MO/PC COMP/C/95603/46/08/2024</t>
  </si>
  <si>
    <t>9976AD2210840013</t>
  </si>
  <si>
    <t>CHAUDHRY ARIF HUSSAIN</t>
  </si>
  <si>
    <t>Rawalpindi</t>
  </si>
  <si>
    <t>37405-2914650-5</t>
  </si>
  <si>
    <t>03070429970</t>
  </si>
  <si>
    <t>0514252033</t>
  </si>
  <si>
    <t xml:space="preserve">H # 08 SALEHA STREET KHAWAJA CORPOR ATION CHOWK ADYALA ROAD DEFENCE ROA RAWALPINDI PK </t>
  </si>
  <si>
    <t>2021-08-205-V01501DP0001864</t>
  </si>
  <si>
    <t>G802031</t>
  </si>
  <si>
    <t>MR272459</t>
  </si>
  <si>
    <t>CITY ASPIRE A/T</t>
  </si>
  <si>
    <t>25-MAR-2021</t>
  </si>
  <si>
    <t>OLARWP300066969</t>
  </si>
  <si>
    <t>DIB0031202</t>
  </si>
  <si>
    <t>10-AUG-2021</t>
  </si>
  <si>
    <t>KHI/HO/D/MO/PC COMP/C/95603/48/08/2024</t>
  </si>
  <si>
    <t>9976AP1222170002</t>
  </si>
  <si>
    <t>MUHAMMAD JAVED</t>
  </si>
  <si>
    <t>42101-7263350-1</t>
  </si>
  <si>
    <t>03128408207</t>
  </si>
  <si>
    <t xml:space="preserve">HOUSE NO R- 108 BLOCK A SAIMA ARABI AN VILLAS NORTH KHI PSO PETROL PUMP KARACHI PK </t>
  </si>
  <si>
    <t>62698/00022/08/2022</t>
  </si>
  <si>
    <t>6R159073</t>
  </si>
  <si>
    <t>H1059111</t>
  </si>
  <si>
    <t>BTT-342</t>
  </si>
  <si>
    <t>OLUKHI300089163</t>
  </si>
  <si>
    <t>8281/08/2022/ITFM</t>
  </si>
  <si>
    <t>KHI/HO/D/MO/PC COMP/C/95603/55/08/2024</t>
  </si>
  <si>
    <t>9976AP1222170004</t>
  </si>
  <si>
    <t>IHSAN UL HAQ</t>
  </si>
  <si>
    <t>35404-4301734-9</t>
  </si>
  <si>
    <t>03477774487</t>
  </si>
  <si>
    <t>04235843092</t>
  </si>
  <si>
    <t xml:space="preserve">43-C1 MODEL TOWN LAHORE </t>
  </si>
  <si>
    <t>62698/00018/08/2022</t>
  </si>
  <si>
    <t>206532</t>
  </si>
  <si>
    <t>LEF-17-9869</t>
  </si>
  <si>
    <t>HONDA CITY I-VTEC</t>
  </si>
  <si>
    <t>OLULHR300089143</t>
  </si>
  <si>
    <t>872/08/2022/ITFM</t>
  </si>
  <si>
    <t>KHI/HO/D/MO/PC COMP/C/95603/56/08/2024</t>
  </si>
  <si>
    <t>9976AD1221010004</t>
  </si>
  <si>
    <t>RAJA QAISAR SHABIR</t>
  </si>
  <si>
    <t>37405-5391625-9</t>
  </si>
  <si>
    <t>N/A</t>
  </si>
  <si>
    <t>0333-5583828</t>
  </si>
  <si>
    <t>NA</t>
  </si>
  <si>
    <t xml:space="preserve">HOUSE NO. 973 F-2 DOKH CHAUDHRIA NEAR ZEESHAN MASJID RAWALPINDI </t>
  </si>
  <si>
    <t>62698/98615/08/2022</t>
  </si>
  <si>
    <t>10100736</t>
  </si>
  <si>
    <t>SUZUKI CULTUS VXL EURO-II</t>
  </si>
  <si>
    <t>11-APR-2022</t>
  </si>
  <si>
    <t>OLARWP300086457</t>
  </si>
  <si>
    <t>8262/08/2022/ITFM</t>
  </si>
  <si>
    <t>KHI/HO/D/MO/PC COMP/C/95603/58/08/2024</t>
  </si>
  <si>
    <t>9976AD1220870072</t>
  </si>
  <si>
    <t>HAMZA FAROOQ KAZMI</t>
  </si>
  <si>
    <t>42101-6270034-3</t>
  </si>
  <si>
    <t>03121276378</t>
  </si>
  <si>
    <t xml:space="preserve">HOUSE # C-5 BLOCK-R NORTH NAZIMABAD NEAR SHIPOWNER COLLEGE KHI 0312-1276378 </t>
  </si>
  <si>
    <t>62698/00023/08/2022</t>
  </si>
  <si>
    <t>1145802</t>
  </si>
  <si>
    <t>28-MAR-2022</t>
  </si>
  <si>
    <t>21-Aug-2027</t>
  </si>
  <si>
    <t>OLAKHI300086011</t>
  </si>
  <si>
    <t>DIB0034672</t>
  </si>
  <si>
    <t>KHI/HO/D/MO/PC COMP/C/95603/67/08/2024</t>
  </si>
  <si>
    <t>9976AP2232190001</t>
  </si>
  <si>
    <t>MOHAMMAD UMER</t>
  </si>
  <si>
    <t>33100-6984816-7</t>
  </si>
  <si>
    <t>0321-9655350</t>
  </si>
  <si>
    <t>03219655350</t>
  </si>
  <si>
    <t>041-2644770</t>
  </si>
  <si>
    <t xml:space="preserve">H# P-559, RUSHTAM STREET IMRAN ROAD, KHYBAN COLONY# 2 NEAR SUNY SUPER STORE FAISALABAD </t>
  </si>
  <si>
    <t>73551/00005/08/2023</t>
  </si>
  <si>
    <t>03-AUG-2024</t>
  </si>
  <si>
    <t>10052827</t>
  </si>
  <si>
    <t>FD-18-258</t>
  </si>
  <si>
    <t>2018</t>
  </si>
  <si>
    <t>11-AUG-2023</t>
  </si>
  <si>
    <t>11-Aug-2028</t>
  </si>
  <si>
    <t>OLUFSD300096033</t>
  </si>
  <si>
    <t>10430/08/2023/ITFM</t>
  </si>
  <si>
    <t>04-AUG-2023</t>
  </si>
  <si>
    <t>KHI/HO/D/MO/PC COMP/C/95603/72/08/2024</t>
  </si>
  <si>
    <t>9976AD1232020002</t>
  </si>
  <si>
    <t>SARWAR KHALIQ</t>
  </si>
  <si>
    <t>35202-2522309-0</t>
  </si>
  <si>
    <t>03004446608</t>
  </si>
  <si>
    <t xml:space="preserve">X PARK VIEW H NO 112 ST 2/2 SECTOR F MOHALLAH PHASE 8 DHA LAHORE </t>
  </si>
  <si>
    <t>73551/00004/08/2023</t>
  </si>
  <si>
    <t>1001040</t>
  </si>
  <si>
    <t>2023</t>
  </si>
  <si>
    <t>OLALHR300095515</t>
  </si>
  <si>
    <t>10428/08/2023/ITFM</t>
  </si>
  <si>
    <t>KHI/HO/D/MO/PC COMP/C/95603/73/08/2024</t>
  </si>
  <si>
    <t>9976AD1210710035</t>
  </si>
  <si>
    <t>MUHAMMAD ASIF</t>
  </si>
  <si>
    <t>33100-6406686-3</t>
  </si>
  <si>
    <t>0300-6696873</t>
  </si>
  <si>
    <t>0300-6696873 0300-0999213</t>
  </si>
  <si>
    <t xml:space="preserve">ASIF KHALIS ATA CHAKI MADINA TOWN Y BLOCK 104 ROAD MUHALLAH BISHAN SINGH WALA ABBAS CHOWK FAISALABAD </t>
  </si>
  <si>
    <t>55239/00005/08/2021</t>
  </si>
  <si>
    <t>10079430</t>
  </si>
  <si>
    <t>SUZUKI CULTUS VXR EURO II</t>
  </si>
  <si>
    <t>12-MAR-2021</t>
  </si>
  <si>
    <t>OLAFSD300066664</t>
  </si>
  <si>
    <t>5260/08/2021/ITFM</t>
  </si>
  <si>
    <t>04-08-2021</t>
  </si>
  <si>
    <t>KHI/HO/D/MO/PC COMP/C/95603/75/08/2024</t>
  </si>
  <si>
    <t>9976AD1210530005</t>
  </si>
  <si>
    <t>HAFIZ MUHAMMAD ABBAS KHNA</t>
  </si>
  <si>
    <t>35201-1217250-5</t>
  </si>
  <si>
    <t>03324648501</t>
  </si>
  <si>
    <t xml:space="preserve">H # 23 / S ST # 47 MAIN BAZAR MUJAH ID ABAD RAM GARH MUGHAL PURA LAHORE PK </t>
  </si>
  <si>
    <t>2524/02602/00005/08/2021</t>
  </si>
  <si>
    <t>10079603</t>
  </si>
  <si>
    <t>CULTUS VXL AGS EURO-II</t>
  </si>
  <si>
    <t>22-FEB-2021</t>
  </si>
  <si>
    <t>27-AUG-2021</t>
  </si>
  <si>
    <t>27-Aug-2027</t>
  </si>
  <si>
    <t>OLALHR300065799</t>
  </si>
  <si>
    <t>DIB0031209</t>
  </si>
  <si>
    <t>06/08/2021</t>
  </si>
  <si>
    <t>KHI/HO/D/MO/PC COMP/C/95603/79/08/2024</t>
  </si>
  <si>
    <t>997AAD1201820030</t>
  </si>
  <si>
    <t>MUHAMMAD ZAFAR</t>
  </si>
  <si>
    <t>Kasur</t>
  </si>
  <si>
    <t>35101-1917073-7</t>
  </si>
  <si>
    <t>03016823145</t>
  </si>
  <si>
    <t xml:space="preserve">MAIN JAMAT PURA ROAD NEAR THANA B-D IVISION KASUR </t>
  </si>
  <si>
    <t>52611/00028/08/2020</t>
  </si>
  <si>
    <t>R18216911250</t>
  </si>
  <si>
    <t>NFBFC6666LR062836</t>
  </si>
  <si>
    <t>CIVIC IVTEC ORIEL P/T WITH NAV &amp; LEATHER SEATS</t>
  </si>
  <si>
    <t>30-JUN-2020</t>
  </si>
  <si>
    <t>21-AUG-2020</t>
  </si>
  <si>
    <t>21-Aug-2025</t>
  </si>
  <si>
    <t>POAKSR300055006</t>
  </si>
  <si>
    <t>2745/07/2020/ITFM</t>
  </si>
  <si>
    <t>05-AUG-2020</t>
  </si>
  <si>
    <t>2.5%</t>
  </si>
  <si>
    <t>KHI/HO/D/MO/PC COMP/C/95603/82/08/2024</t>
  </si>
  <si>
    <t>9976AD1211170006</t>
  </si>
  <si>
    <t>SHABAN ALI</t>
  </si>
  <si>
    <t>35102-1157976-9</t>
  </si>
  <si>
    <t>03217525665</t>
  </si>
  <si>
    <t xml:space="preserve">MUHALLA KOT PAKA QILA KASUR </t>
  </si>
  <si>
    <t>2021-08-205-V01501OP001866</t>
  </si>
  <si>
    <t>077042</t>
  </si>
  <si>
    <t>HONDA CIVIC VIT OREIL P/T S/R</t>
  </si>
  <si>
    <t>27-APR-2021</t>
  </si>
  <si>
    <t>OLAKSR300068208</t>
  </si>
  <si>
    <t>FLCN</t>
  </si>
  <si>
    <t>108557/08/2021</t>
  </si>
  <si>
    <t>05-AUG-2021</t>
  </si>
  <si>
    <t>KHI/HO/D/MO/PC COMP/C/95603/83/08/2024</t>
  </si>
  <si>
    <t>9976AD2213630022</t>
  </si>
  <si>
    <t>NADEEM KAFI KHAN(G)</t>
  </si>
  <si>
    <t>42101-1905479-9</t>
  </si>
  <si>
    <t>03323479440</t>
  </si>
  <si>
    <t xml:space="preserve">FLAT NO. B-401 SAIMA PARK VIEW BLOCK K, NORTH NAZIMABAD KARACHI </t>
  </si>
  <si>
    <t>62698/00025/08/2022</t>
  </si>
  <si>
    <t>6R238087</t>
  </si>
  <si>
    <t>1138103</t>
  </si>
  <si>
    <t>SUZUKI ALTO VXR</t>
  </si>
  <si>
    <t>29-DEC-2021</t>
  </si>
  <si>
    <t>OLAKHI300082513</t>
  </si>
  <si>
    <t>8082/07/2022</t>
  </si>
  <si>
    <t>20-JUL-2022</t>
  </si>
  <si>
    <t>KHI/HO/D/MO/PC COMP/C/95603/91/08/2024</t>
  </si>
  <si>
    <t>9976AP1222240007</t>
  </si>
  <si>
    <t>MUHAMMAD MAQBOOL KHAN</t>
  </si>
  <si>
    <t>42401-7732179-7</t>
  </si>
  <si>
    <t>03142010799</t>
  </si>
  <si>
    <t xml:space="preserve">SHOP NO S - 63 DEFENCE MALL MAIN KORANGI ROAD KARACHI </t>
  </si>
  <si>
    <t>62698/00027/08/2022</t>
  </si>
  <si>
    <t>127184</t>
  </si>
  <si>
    <t>HONDA CIVIC VTI ORIEL P/T</t>
  </si>
  <si>
    <t>2015</t>
  </si>
  <si>
    <t>12-AUG-2022</t>
  </si>
  <si>
    <t>OLUKHI300089164</t>
  </si>
  <si>
    <t>8304/08/2022/ITFM</t>
  </si>
  <si>
    <t>KHI/HO/D/MO/PC COMP/C/95603/96/08/2024</t>
  </si>
  <si>
    <t>WACH</t>
  </si>
  <si>
    <t>9976AD2220590013</t>
  </si>
  <si>
    <t>SHAHZAD AHMAD</t>
  </si>
  <si>
    <t>OKARA</t>
  </si>
  <si>
    <t>35102-6124834-7</t>
  </si>
  <si>
    <t>03202523880</t>
  </si>
  <si>
    <t>03202523880, 03202523880</t>
  </si>
  <si>
    <t xml:space="preserve">HOUSE NO 21 STREET NO 03 MOHALLAH R EHMAN COLONY OKARA OKARA PK </t>
  </si>
  <si>
    <t>62698/00028/08/2022</t>
  </si>
  <si>
    <t>1146349</t>
  </si>
  <si>
    <t>28-FEB-2022</t>
  </si>
  <si>
    <t>OLAOKR300084708</t>
  </si>
  <si>
    <t>DIB0034702</t>
  </si>
  <si>
    <t>KHI/HO/D/MO/PC COMP/C/95603/103/08/2024</t>
  </si>
  <si>
    <t>997APD2202200002</t>
  </si>
  <si>
    <t>SHAKEEL DANIEL</t>
  </si>
  <si>
    <t>37405-1489388-1</t>
  </si>
  <si>
    <t>03422260077</t>
  </si>
  <si>
    <t>0518463496</t>
  </si>
  <si>
    <t xml:space="preserve">SHIFA INTERNATIONAL HOSPITALG-2 WIN GS-III 2ND FLOOR ISLAMABAD </t>
  </si>
  <si>
    <t>52611/00004/08/20250</t>
  </si>
  <si>
    <t>1257165</t>
  </si>
  <si>
    <t>RCN</t>
  </si>
  <si>
    <t>ARA-641</t>
  </si>
  <si>
    <t>HONDA N WAGON</t>
  </si>
  <si>
    <t>2016</t>
  </si>
  <si>
    <t>07-AUG-2020</t>
  </si>
  <si>
    <t>11-AUG-2020</t>
  </si>
  <si>
    <t>POURWP300056292</t>
  </si>
  <si>
    <t>DIB0028562</t>
  </si>
  <si>
    <t>KHI/HO/D/MO/PC COMP/C/95603/105/08/2024</t>
  </si>
  <si>
    <t>9976AD1211510012</t>
  </si>
  <si>
    <t>SYED MUHAMMAD ZAIGHAM ZIA</t>
  </si>
  <si>
    <t>37405-8054444-1</t>
  </si>
  <si>
    <t>03335105493</t>
  </si>
  <si>
    <t>0512613935</t>
  </si>
  <si>
    <t xml:space="preserve">H # B-IV-369 ST # 03 MUSLIM TOWN NE AR ABBASIA MASJID RAWALPINDI PK </t>
  </si>
  <si>
    <t>2021/07/CLFTTPCDP00897</t>
  </si>
  <si>
    <t>1074571</t>
  </si>
  <si>
    <t>ALTO VXL EURO II</t>
  </si>
  <si>
    <t>31-MAY-2021</t>
  </si>
  <si>
    <t>OLARWP300069066</t>
  </si>
  <si>
    <t>DIB0031239</t>
  </si>
  <si>
    <t>12-AUG-2021</t>
  </si>
  <si>
    <t>KHI/HO/D/MO/PC COMP/C/95603/110/08/2024</t>
  </si>
  <si>
    <t>9976AD1210690021</t>
  </si>
  <si>
    <t>MUHAMMAD ASAD</t>
  </si>
  <si>
    <t>35201-0579401-1</t>
  </si>
  <si>
    <t>03226680609</t>
  </si>
  <si>
    <t xml:space="preserve">OFFICE NO 16-C 1/A ZAHOOR ELAHI ROA D GULBERG II NEAR LEARNING ALLIANCE SCHOOL and AMANAT EYE HOSPITAL LAHORE </t>
  </si>
  <si>
    <t>DIB/T/BT/32961/LHR/0821</t>
  </si>
  <si>
    <t>10080073</t>
  </si>
  <si>
    <t>SUZUKI CULTUS VXL AGS EURO II</t>
  </si>
  <si>
    <t>10-MAR-2021</t>
  </si>
  <si>
    <t>OLALHR300066607</t>
  </si>
  <si>
    <t>TDIDIB0029516</t>
  </si>
  <si>
    <t>KHI/HO/D/MO/PC COMP/C/95603/113/08/2024</t>
  </si>
  <si>
    <t>997APD2202240003</t>
  </si>
  <si>
    <t>AMEEN AHMED KHAN</t>
  </si>
  <si>
    <t>42201-0757099-3</t>
  </si>
  <si>
    <t>03222538117</t>
  </si>
  <si>
    <t xml:space="preserve">D- 61 Dand T SOCIETY SECTER 31-D KORA NGI KHI BISMILLAH MASJID KARACHI PK </t>
  </si>
  <si>
    <t>52611/00005/08/2020</t>
  </si>
  <si>
    <t>Z535383</t>
  </si>
  <si>
    <t>NZE170R-4160723</t>
  </si>
  <si>
    <t>BNL-013</t>
  </si>
  <si>
    <t>COROLLA GLI A/T</t>
  </si>
  <si>
    <t>POUKHI300056302</t>
  </si>
  <si>
    <t>2824/08/2020/ITFM</t>
  </si>
  <si>
    <t>10-AUG-2020</t>
  </si>
  <si>
    <t>KHI/HO/D/MO/PC COMP/C/95603/115/08/2024</t>
  </si>
  <si>
    <t>9976AP1212220005</t>
  </si>
  <si>
    <t>SYED TAHIR JAWAZ</t>
  </si>
  <si>
    <t>Gujranwala</t>
  </si>
  <si>
    <t>42301-1448682-5</t>
  </si>
  <si>
    <t>03218271007</t>
  </si>
  <si>
    <t xml:space="preserve">HOUSE NO 243 STREET NO 35 DC COLONY BLOCK SATLUJ GUJRANWALA PK </t>
  </si>
  <si>
    <t>55239/00019/08/2021</t>
  </si>
  <si>
    <t>R18Z16924767</t>
  </si>
  <si>
    <t>NFBFC6666MR077225</t>
  </si>
  <si>
    <t>CIVIC VTI ORIEL P/T</t>
  </si>
  <si>
    <t>OLDGWL300071695</t>
  </si>
  <si>
    <t>5296/08/2021</t>
  </si>
  <si>
    <t>07-AUG-2021</t>
  </si>
  <si>
    <t>KHI/HO/D/MO/PC COMP/C/95603/116/08/2024</t>
  </si>
  <si>
    <t>9976AP2212220075</t>
  </si>
  <si>
    <t>NIAZ MUHAMMAD</t>
  </si>
  <si>
    <t>42401-1578859-5</t>
  </si>
  <si>
    <t>0300-8236120</t>
  </si>
  <si>
    <t>03008236120</t>
  </si>
  <si>
    <t>021-34645386</t>
  </si>
  <si>
    <t xml:space="preserve">H NO A-260 SECTOR X-6 GULSHAN E MAYMAR NEAR TAWABEEN MASJID KARACHI </t>
  </si>
  <si>
    <t>55239/00016/08/2021</t>
  </si>
  <si>
    <t>1NZ-FXE</t>
  </si>
  <si>
    <t>NKE165-7159580</t>
  </si>
  <si>
    <t>FIELDER</t>
  </si>
  <si>
    <t>OLUKHI300071710</t>
  </si>
  <si>
    <t>DIB0031236</t>
  </si>
  <si>
    <t>KHI/HO/D/MO/PC COMP/C/95603/120/08/2024</t>
  </si>
  <si>
    <t>9976AD1210420017</t>
  </si>
  <si>
    <t>NAVEED NOOR</t>
  </si>
  <si>
    <t>35202-2807894-1</t>
  </si>
  <si>
    <t>03334595002 03035808890</t>
  </si>
  <si>
    <t xml:space="preserve">AMBION ENTERPRISES PVT LTD 788 SHADMAN LAHORE </t>
  </si>
  <si>
    <t>DIB/T/BT/32972/LHR/0821</t>
  </si>
  <si>
    <t>15E4E5MGM5190278</t>
  </si>
  <si>
    <t>LSJA24U95MN094446</t>
  </si>
  <si>
    <t>MG HS TURBO</t>
  </si>
  <si>
    <t>11-FEB-2021</t>
  </si>
  <si>
    <t>OLALHR300065792</t>
  </si>
  <si>
    <t>TDIDIB0029523</t>
  </si>
  <si>
    <t>KHI/HO/D/MO/PC COMP/C/95603/125/08/2024</t>
  </si>
  <si>
    <t>9976AD1222110012</t>
  </si>
  <si>
    <t>SHAIKH M MUSTAFA MUMTAZ</t>
  </si>
  <si>
    <t>42201-8428299-7</t>
  </si>
  <si>
    <t>03224405444</t>
  </si>
  <si>
    <t xml:space="preserve">397 BLOCK 6 PECHS SOCIETY FEROZABAD POLICE STATION KARACHI PK </t>
  </si>
  <si>
    <t>62698/00035/08/2022</t>
  </si>
  <si>
    <t>300159</t>
  </si>
  <si>
    <t>PEUGEOT 2008 ACTIVE</t>
  </si>
  <si>
    <t>30-JUL-2022</t>
  </si>
  <si>
    <t>OLAKHI300089078</t>
  </si>
  <si>
    <t>8274/08/2022/ITFM</t>
  </si>
  <si>
    <t>KHI/HO/D/MO/PC COMP/C/95603/127/08/2024</t>
  </si>
  <si>
    <t>9976AP1222270003</t>
  </si>
  <si>
    <t>HAIDER ALI</t>
  </si>
  <si>
    <t>42401-3828472-3</t>
  </si>
  <si>
    <t>03452773787</t>
  </si>
  <si>
    <t>03452773787, 03452773787</t>
  </si>
  <si>
    <t xml:space="preserve">HOUSE # 334 FRONTIER COLONY 2 FAROO QUI MUHALLA ORANGI TOWN NEAR NEW ST KARACHI PK </t>
  </si>
  <si>
    <t>62698/00036/08/2022</t>
  </si>
  <si>
    <t>Z488892</t>
  </si>
  <si>
    <t>4115059</t>
  </si>
  <si>
    <t>BJE-266</t>
  </si>
  <si>
    <t>TOYOTA COROLLA GLI A/T</t>
  </si>
  <si>
    <t>15-AUG-2022</t>
  </si>
  <si>
    <t>OLUKHI300089183</t>
  </si>
  <si>
    <t>8308/08/2022/ITFM</t>
  </si>
  <si>
    <t>KHI/HO/D/MO/PC COMP/C/95603/128/08/2024</t>
  </si>
  <si>
    <t>9976AP1222240009</t>
  </si>
  <si>
    <t>SYED IRTAZA SADIQ HASNI</t>
  </si>
  <si>
    <t>42401-3316465-1</t>
  </si>
  <si>
    <t>03412524297</t>
  </si>
  <si>
    <t xml:space="preserve">FLAT # 612 6TH FLOOR AMAN TOWER KOR ANGI BUS STOP KARACHI PK </t>
  </si>
  <si>
    <t>62698/00033/08/2022</t>
  </si>
  <si>
    <t>1029398</t>
  </si>
  <si>
    <t>BRS-251</t>
  </si>
  <si>
    <t>OLUKHI300089189</t>
  </si>
  <si>
    <t>8290/08/2022/ITFM</t>
  </si>
  <si>
    <t>06-AUG-2022</t>
  </si>
  <si>
    <t>KHI/HO/D/MO/PC COMP/C/95603/129/08/2024</t>
  </si>
  <si>
    <t>9976AP1222240010</t>
  </si>
  <si>
    <t>JAGDESH KUMAR</t>
  </si>
  <si>
    <t>54400-6806817-9</t>
  </si>
  <si>
    <t>03352154767</t>
  </si>
  <si>
    <t xml:space="preserve">HOUSE # 605 6TH FLOOR JINNAH COMPLE X BLOCK A MA JINNAH ROAD SADDAR PLO KARACHI PK </t>
  </si>
  <si>
    <t>62698/00034/08/2022</t>
  </si>
  <si>
    <t>4106723</t>
  </si>
  <si>
    <t>BJL-713</t>
  </si>
  <si>
    <t>TOYOTA COROLLA GLI M/T</t>
  </si>
  <si>
    <t>OLUKHI300089187</t>
  </si>
  <si>
    <t>8311/08/2022/ITFM</t>
  </si>
  <si>
    <t>KHI/HO/D/MO/PC COMP/C/95603/130/08/2024</t>
  </si>
  <si>
    <t>9976AP2192210010</t>
  </si>
  <si>
    <t>JAMILA ALTAF</t>
  </si>
  <si>
    <t>56301-3824155-0</t>
  </si>
  <si>
    <t>03431512131</t>
  </si>
  <si>
    <t>0519281119</t>
  </si>
  <si>
    <t xml:space="preserve">RAWALPINDI INSTITUTE OF CARDIOLOGY RIC RAWAL ROAD RAWALPINDI </t>
  </si>
  <si>
    <t>51003/00015/08/2019</t>
  </si>
  <si>
    <t>10007912</t>
  </si>
  <si>
    <t>EB-136</t>
  </si>
  <si>
    <t>WAGONR VXL</t>
  </si>
  <si>
    <t>09-AUG-2019</t>
  </si>
  <si>
    <t>11-AUG-2019</t>
  </si>
  <si>
    <t>POURWP300048215</t>
  </si>
  <si>
    <t>DIB0027751</t>
  </si>
  <si>
    <t>08-AUG-2019</t>
  </si>
  <si>
    <t>KHI/HO/D/MO/PC COMP/C/95603/136/08/2024</t>
  </si>
  <si>
    <t>9976AP1192290001</t>
  </si>
  <si>
    <t>IRFAN AHMED</t>
  </si>
  <si>
    <t>35202-2886686-7</t>
  </si>
  <si>
    <t>35210251</t>
  </si>
  <si>
    <t>0315-5555665</t>
  </si>
  <si>
    <t>36376152-55</t>
  </si>
  <si>
    <t xml:space="preserve">335 J2 JOHAR TOWN LAHORE </t>
  </si>
  <si>
    <t>51003/00011/08/2019</t>
  </si>
  <si>
    <t>Z561739</t>
  </si>
  <si>
    <t>4190213</t>
  </si>
  <si>
    <t>LEH-19-4904</t>
  </si>
  <si>
    <t>COROLLA XLI A/T</t>
  </si>
  <si>
    <t>2019</t>
  </si>
  <si>
    <t>17-AUG-2019</t>
  </si>
  <si>
    <t>21-AUG-2019</t>
  </si>
  <si>
    <t>PODLHR300048232</t>
  </si>
  <si>
    <t>DIB0027742</t>
  </si>
  <si>
    <t>07-AUG-2019</t>
  </si>
  <si>
    <t>KHI/HO/D/MO/PC COMP/C/95603/138/08/2024</t>
  </si>
  <si>
    <t>997AAD1201750010</t>
  </si>
  <si>
    <t>ZAHRA SYED</t>
  </si>
  <si>
    <t>37203-1385492-2</t>
  </si>
  <si>
    <t>033351241512</t>
  </si>
  <si>
    <t>0519222360</t>
  </si>
  <si>
    <t xml:space="preserve">H # 791 ST # 16 SECTOR I-8/2 ISLAMABAD PK </t>
  </si>
  <si>
    <t>2524/02065/00006/08/2020</t>
  </si>
  <si>
    <t>LR063510</t>
  </si>
  <si>
    <t>APX-014</t>
  </si>
  <si>
    <t>23-JUN-2020</t>
  </si>
  <si>
    <t>POAISD300054452</t>
  </si>
  <si>
    <t>DIB0028565</t>
  </si>
  <si>
    <t>KHI/HO/D/MO/PC COMP/C/95603/141/08/2024</t>
  </si>
  <si>
    <t>997APD1202200006</t>
  </si>
  <si>
    <t>ARSHAD ALI</t>
  </si>
  <si>
    <t>61101-9223893-7</t>
  </si>
  <si>
    <t>0321-5500276</t>
  </si>
  <si>
    <t>051-4575276</t>
  </si>
  <si>
    <t xml:space="preserve">H # 27 ST # 21 KORANG TOWN ISLAMABAD </t>
  </si>
  <si>
    <t>52611/00006/08/2020</t>
  </si>
  <si>
    <t>LR018828</t>
  </si>
  <si>
    <t>ARA-276</t>
  </si>
  <si>
    <t>HONDA BR-V IVTEC S</t>
  </si>
  <si>
    <t>PODRWP300056291</t>
  </si>
  <si>
    <t>DIB0028564</t>
  </si>
  <si>
    <t>KHI/HO/D/MO/PC COMP/C/95603/142/08/2024</t>
  </si>
  <si>
    <t>9976AP1232210010</t>
  </si>
  <si>
    <t>MUHAMMAD HAMZA</t>
  </si>
  <si>
    <t>42101-8148880-3</t>
  </si>
  <si>
    <t>03030291644</t>
  </si>
  <si>
    <t xml:space="preserve">HOUSE NO 108 STREET NO 5 COMERCIAL AREA NAZIMABAD KARACHI </t>
  </si>
  <si>
    <t>73551/00006/08/2023</t>
  </si>
  <si>
    <t>R042546</t>
  </si>
  <si>
    <t>BNE-654</t>
  </si>
  <si>
    <t>OLUKHI300096103</t>
  </si>
  <si>
    <t>10434/08/2023/ITFM</t>
  </si>
  <si>
    <t>09-AUG-2023</t>
  </si>
  <si>
    <t>KHI/HO/D/MO/PC COMP/C/95603/144/08/2024</t>
  </si>
  <si>
    <t>9976AP2201340002</t>
  </si>
  <si>
    <t>MUHAMMAD MUNIR AHMED-ASAAN ACCOUNT</t>
  </si>
  <si>
    <t>32202-2485653-3</t>
  </si>
  <si>
    <t>03345822839</t>
  </si>
  <si>
    <t xml:space="preserve">H NO 57, ST NO 03 HUSSAIN PARK HARBANSPURA LAHORE </t>
  </si>
  <si>
    <t>51003/00062/08/2019</t>
  </si>
  <si>
    <t>PKF593673</t>
  </si>
  <si>
    <t>SF410PK00501</t>
  </si>
  <si>
    <t>LEE-14-7593</t>
  </si>
  <si>
    <t>CULTUS VXR EURO II</t>
  </si>
  <si>
    <t>2014</t>
  </si>
  <si>
    <t>13-MAY-2020</t>
  </si>
  <si>
    <t>27-AUG-2019</t>
  </si>
  <si>
    <t>01-Apr-2040</t>
  </si>
  <si>
    <t>POULHR300048571</t>
  </si>
  <si>
    <t>DIB0027793</t>
  </si>
  <si>
    <t>9976AP2192400005</t>
  </si>
  <si>
    <t>CO19 Relief Principal Deferment Cases</t>
  </si>
  <si>
    <t>KHI/HO/D/MO/PC COMP/C/95603/1/08/2024</t>
  </si>
  <si>
    <t>9976AP2201320004</t>
  </si>
  <si>
    <t>BILAL AHMED</t>
  </si>
  <si>
    <t>42101-3299749-1</t>
  </si>
  <si>
    <t>36362113</t>
  </si>
  <si>
    <t>0305-2222878</t>
  </si>
  <si>
    <t>0213636847</t>
  </si>
  <si>
    <t xml:space="preserve">BILAL ENETERPRISES AKHTAR IQBAL COMPOUND SHOP# 1 BLK-N PLOT# L/3, BLOCK -22 F B AREA KARACHI </t>
  </si>
  <si>
    <t>51003/00052/08/2019</t>
  </si>
  <si>
    <t>J50348</t>
  </si>
  <si>
    <t>0207292</t>
  </si>
  <si>
    <t>BHC-255</t>
  </si>
  <si>
    <t>NISSAN DAYZ HIGHWAY STAR</t>
  </si>
  <si>
    <t>11-MAY-2020</t>
  </si>
  <si>
    <t>01-May-2040</t>
  </si>
  <si>
    <t>POUKHI300048500</t>
  </si>
  <si>
    <t>1652/08/2019/ITFM</t>
  </si>
  <si>
    <t>23-AUG-2019</t>
  </si>
  <si>
    <t>9976AP2192380006</t>
  </si>
  <si>
    <t>KHI/HO/D/MO/PC COMP/C/95603/2/08/2024</t>
  </si>
  <si>
    <t>9976AD1210280011</t>
  </si>
  <si>
    <t>HAFIZ MUHAMMAD FIAZ MANZOOR</t>
  </si>
  <si>
    <t>35302-7868977-7</t>
  </si>
  <si>
    <t>03458206654</t>
  </si>
  <si>
    <t>03344876919, 03458206654</t>
  </si>
  <si>
    <t>0614570791</t>
  </si>
  <si>
    <t xml:space="preserve">H NO 01 ST NO 01 MOHALLAH JAVED TOW N OKARA PK </t>
  </si>
  <si>
    <t>2021/08/CLFTTPCDP00901</t>
  </si>
  <si>
    <t>U503708</t>
  </si>
  <si>
    <t>M1007921</t>
  </si>
  <si>
    <t>CHANGAN KARVAAN PLUS</t>
  </si>
  <si>
    <t>28-JAN-2021</t>
  </si>
  <si>
    <t>OLAOKR300065280</t>
  </si>
  <si>
    <t>DIB0031250</t>
  </si>
  <si>
    <t>KHI/HO/D/MO/PC COMP/C/95603/156/08/2024</t>
  </si>
  <si>
    <t>9976AP1201550007</t>
  </si>
  <si>
    <t>RAJA ARSLAN OMER</t>
  </si>
  <si>
    <t>35202-7139349-9</t>
  </si>
  <si>
    <t>03214588795</t>
  </si>
  <si>
    <t xml:space="preserve">H# 27 HAJVERY TOWN MULTAN ROAD LAHORE PK </t>
  </si>
  <si>
    <t>51003/00079/08/2019</t>
  </si>
  <si>
    <t>R18213740863</t>
  </si>
  <si>
    <t>NFBFB2663ER114907</t>
  </si>
  <si>
    <t>LEB-14-3028</t>
  </si>
  <si>
    <t>HONDA CIVIC VTI P/T S/R</t>
  </si>
  <si>
    <t>31-AUG-2019</t>
  </si>
  <si>
    <t>03-SEP-2019</t>
  </si>
  <si>
    <t>03-Sep-2025</t>
  </si>
  <si>
    <t>POULHR300048714</t>
  </si>
  <si>
    <t>DIB0027811</t>
  </si>
  <si>
    <t>9976AP1192430010</t>
  </si>
  <si>
    <t>KHI/HO/D/MO/PC COMP/C/95603/5/08/2024</t>
  </si>
  <si>
    <t>9976AP1201420031</t>
  </si>
  <si>
    <t>HUSNAIN NAEEM</t>
  </si>
  <si>
    <t>35201-5644345-9</t>
  </si>
  <si>
    <t>03244156887</t>
  </si>
  <si>
    <t xml:space="preserve">HOUSE # 153-B MOHALLAH UPPER MALL W AZEER ALI ROAD LAHORE </t>
  </si>
  <si>
    <t>51003/00053/08/2019</t>
  </si>
  <si>
    <t>PKB578322</t>
  </si>
  <si>
    <t>SB308PK01116865</t>
  </si>
  <si>
    <t>LEE-14-2996</t>
  </si>
  <si>
    <t>MEHRAN VX</t>
  </si>
  <si>
    <t>21-MAY-2020</t>
  </si>
  <si>
    <t>POULHR300048506</t>
  </si>
  <si>
    <t>DIB0027786</t>
  </si>
  <si>
    <t>24-AUG-2019</t>
  </si>
  <si>
    <t>9976AP1192380006</t>
  </si>
  <si>
    <t>KHI/HO/D/MO/PC COMP/C/95603/7/08/2024</t>
  </si>
  <si>
    <t>9976AD2211200014</t>
  </si>
  <si>
    <t>AAMIR MUMTAZ</t>
  </si>
  <si>
    <t>37405-8679017-5</t>
  </si>
  <si>
    <t>03435496774</t>
  </si>
  <si>
    <t>0512318131</t>
  </si>
  <si>
    <t xml:space="preserve">H # 1279/1 G FLOOR SARHAD STREET NE AR CANTT PUBLIC SCHOOL AFSHAN COLON RAWALPINDI PK </t>
  </si>
  <si>
    <t>01-2108-PO-MTR-PCCM-D-001063</t>
  </si>
  <si>
    <t>501798</t>
  </si>
  <si>
    <t>PICANTO 1.0L A/T</t>
  </si>
  <si>
    <t>OLARWP300068515</t>
  </si>
  <si>
    <t>DIB0031259</t>
  </si>
  <si>
    <t>17-AUG-2021</t>
  </si>
  <si>
    <t>KHI/HO/D/MO/PC COMP/C/95603/160/08/2024</t>
  </si>
  <si>
    <t>9976AD2211510002</t>
  </si>
  <si>
    <t>NUMAN TARIQ</t>
  </si>
  <si>
    <t>33102-6305841-7</t>
  </si>
  <si>
    <t>03129209679</t>
  </si>
  <si>
    <t xml:space="preserve">H # 1060 ST # 95 SECTOR # I-10/1 ISLAMABAD PK </t>
  </si>
  <si>
    <t>2021/08/CLFTTPCDP00902</t>
  </si>
  <si>
    <t>R18Z16925056</t>
  </si>
  <si>
    <t>NFBFC6665MR077524</t>
  </si>
  <si>
    <t>HONDA CIVIC VIT ORIEL</t>
  </si>
  <si>
    <t>27-Aug-2026</t>
  </si>
  <si>
    <t>OLAISD300069003</t>
  </si>
  <si>
    <t>DIB0031258</t>
  </si>
  <si>
    <t>KHI/HO/D/MO/PC COMP/C/95603/163/08/2024</t>
  </si>
  <si>
    <t>9976AD1221120005</t>
  </si>
  <si>
    <t>MOHAMMAD SHAHBAZ</t>
  </si>
  <si>
    <t>33100-6740559-7</t>
  </si>
  <si>
    <t>03226045044</t>
  </si>
  <si>
    <t>03226045044, 03226045044</t>
  </si>
  <si>
    <t xml:space="preserve">P-450-A A BLOCK ST NO 9 AHMAD ABAD ELAHIABAD FSD FAISALABAD PK </t>
  </si>
  <si>
    <t>62698/00138/08/2022</t>
  </si>
  <si>
    <t>6R248550</t>
  </si>
  <si>
    <t>1148561</t>
  </si>
  <si>
    <t>22-APR-2022</t>
  </si>
  <si>
    <t>03-SEP-2022</t>
  </si>
  <si>
    <t>03-Sep-2029</t>
  </si>
  <si>
    <t>OLAFSD300086694</t>
  </si>
  <si>
    <t>8516/08/2022</t>
  </si>
  <si>
    <t>01-SEP-2022</t>
  </si>
  <si>
    <t>KHI/HO/D/MO/PC COMP/C/95603/8/08/2024</t>
  </si>
  <si>
    <t>9976AD2211510035</t>
  </si>
  <si>
    <t>QAZI MUHAMMAD JAHANZEB</t>
  </si>
  <si>
    <t>Haripur</t>
  </si>
  <si>
    <t>35202-2739593-9</t>
  </si>
  <si>
    <t>03335077989</t>
  </si>
  <si>
    <t xml:space="preserve">S/O AURANGZEB VILLAGE DHEENDHA POST OFFICE HARIPUR TEHSIL AND DISTRICT HARIPUR MB 03335077989 </t>
  </si>
  <si>
    <t>DIB/T/BT/32983/ISB/0821</t>
  </si>
  <si>
    <t>PKT1013760</t>
  </si>
  <si>
    <t>SV308PK01130282</t>
  </si>
  <si>
    <t>BOLAN VX EURO II</t>
  </si>
  <si>
    <t>OLALHR300069192</t>
  </si>
  <si>
    <t>TDIDIB0029528</t>
  </si>
  <si>
    <t>KHI/HO/D/MO/PC COMP/C/95603/165/08/2024</t>
  </si>
  <si>
    <t>9976AD2210560010</t>
  </si>
  <si>
    <t>MUHAMMAD SHEHREYAR IQBAL</t>
  </si>
  <si>
    <t>35202-0827062-5</t>
  </si>
  <si>
    <t>03218832232 35915116</t>
  </si>
  <si>
    <t>03218832232</t>
  </si>
  <si>
    <t xml:space="preserve">46-C-1 GULBERG III OPPOSITE KFC MM ALAM ROAD LAHORE </t>
  </si>
  <si>
    <t>DIB/T/BT/33324/LHR/0921</t>
  </si>
  <si>
    <t>093092</t>
  </si>
  <si>
    <t>25-FEB-2021</t>
  </si>
  <si>
    <t>21-SEP-2021</t>
  </si>
  <si>
    <t>21-Sep-2026</t>
  </si>
  <si>
    <t>OLALHR300066113</t>
  </si>
  <si>
    <t>TDIDIB0029547</t>
  </si>
  <si>
    <t>28-AUG-2021</t>
  </si>
  <si>
    <t>KHI/HO/D/MO/PC COMP/C/95603/9/08/2024</t>
  </si>
  <si>
    <t>9976AD2211830033</t>
  </si>
  <si>
    <t>SHOEB RAZA MALLICK</t>
  </si>
  <si>
    <t>42201-8105538-3</t>
  </si>
  <si>
    <t>03342372533</t>
  </si>
  <si>
    <t xml:space="preserve">AAPT 126/4B ASKARI V MALIR CANTT KARACHI 0300-7043392 </t>
  </si>
  <si>
    <t>2524/02602/00086/08/2021</t>
  </si>
  <si>
    <t>2A34686</t>
  </si>
  <si>
    <t>9512944</t>
  </si>
  <si>
    <t>TOYOTA YARIS ATIV X CVT 1.5</t>
  </si>
  <si>
    <t>02-JUL-2021</t>
  </si>
  <si>
    <t>03-SEP-2021</t>
  </si>
  <si>
    <t>03-Sep-2026</t>
  </si>
  <si>
    <t>OLAKHI300070373</t>
  </si>
  <si>
    <t>5388/08/2021</t>
  </si>
  <si>
    <t>30-AUG-2021</t>
  </si>
  <si>
    <t>KHI/HO/D/MO/PC COMP/C/95603/10/08/2024</t>
  </si>
  <si>
    <t>9976AD1211830093</t>
  </si>
  <si>
    <t>MUHAMMAD IRFAN QASIM</t>
  </si>
  <si>
    <t>SAHIWAL</t>
  </si>
  <si>
    <t>36502-7587449-3</t>
  </si>
  <si>
    <t>003018698264</t>
  </si>
  <si>
    <t>0404400126</t>
  </si>
  <si>
    <t xml:space="preserve">H NO 494 J-BLOCK FARID TOWN SAHIWAL PK </t>
  </si>
  <si>
    <t>01-2108-PO-MTR-PCCM-D-001066</t>
  </si>
  <si>
    <t>ZA33636</t>
  </si>
  <si>
    <t>NSP151R-9512720</t>
  </si>
  <si>
    <t>OLASHW300070261</t>
  </si>
  <si>
    <t>5308/08/2021</t>
  </si>
  <si>
    <t>10/08/2021</t>
  </si>
  <si>
    <t>KHI/HO/D/MO/PC COMP/C/95603/169/08/2024</t>
  </si>
  <si>
    <t>9976AD1212110034</t>
  </si>
  <si>
    <t>RAFAY SULMAN</t>
  </si>
  <si>
    <t>35201-3880102-5</t>
  </si>
  <si>
    <t>03218470026</t>
  </si>
  <si>
    <t xml:space="preserve">16-D GHAZI PARK OPPOSITE TREET CORP ORATION PECO ROAD KOT LAKHPAT NISHT ER TOWN LAHORE </t>
  </si>
  <si>
    <t>DIB/T/BT/33325/LHR/0921</t>
  </si>
  <si>
    <t>2A34896</t>
  </si>
  <si>
    <t>9512975</t>
  </si>
  <si>
    <t>YARIS ATIV X CVT 1.5</t>
  </si>
  <si>
    <t>30-JUL-2021</t>
  </si>
  <si>
    <t>27-SEP-2021</t>
  </si>
  <si>
    <t>27-Sep-2028</t>
  </si>
  <si>
    <t>OLALHR300071260</t>
  </si>
  <si>
    <t>TDIDIB0029594</t>
  </si>
  <si>
    <t>02-SEP-2021</t>
  </si>
  <si>
    <t>KHI/HO/D/MO/PC COMP/C/95603/13/08/2024</t>
  </si>
  <si>
    <t>997APD2202240005</t>
  </si>
  <si>
    <t>MUHAMMAD IQBAL MALIK</t>
  </si>
  <si>
    <t>35201-1422324-9</t>
  </si>
  <si>
    <t>03150468058</t>
  </si>
  <si>
    <t xml:space="preserve">CCA-28 DHA PHASE 5 LAHORE </t>
  </si>
  <si>
    <t>52611/00011/08/2020</t>
  </si>
  <si>
    <t>R-06A143229</t>
  </si>
  <si>
    <t>MG33S660121</t>
  </si>
  <si>
    <t>LE-18-6625</t>
  </si>
  <si>
    <t>MOCO</t>
  </si>
  <si>
    <t>POULHR300056346</t>
  </si>
  <si>
    <t>2828/08/2020/ITFM</t>
  </si>
  <si>
    <t>KHI/HO/D/MO/PC COMP/C/95603/172/08/2024</t>
  </si>
  <si>
    <t>9976AP1232430019</t>
  </si>
  <si>
    <t>TANVEER AHMAD</t>
  </si>
  <si>
    <t>35201-7071515-3</t>
  </si>
  <si>
    <t>03084555020</t>
  </si>
  <si>
    <t xml:space="preserve">QUAID-E-MILLAT COLONY NO 2 ST NO 6 CHUNGI AMER SIDHU LAHORE </t>
  </si>
  <si>
    <t>73551/00035/08/2023</t>
  </si>
  <si>
    <t>30-AUG-2024</t>
  </si>
  <si>
    <t>1000127</t>
  </si>
  <si>
    <t>ANV-995</t>
  </si>
  <si>
    <t>03-SEP-2023</t>
  </si>
  <si>
    <t>OLULHR300096532</t>
  </si>
  <si>
    <t>DIB0035272</t>
  </si>
  <si>
    <t>31-AUG-2023</t>
  </si>
  <si>
    <t>KHI/HO/D/MO/PC COMP/C/95603/16/08/2024</t>
  </si>
  <si>
    <t>997APD1202240007</t>
  </si>
  <si>
    <t>ARSHAD HUSSAIN MALIK</t>
  </si>
  <si>
    <t>42501-8969158-1</t>
  </si>
  <si>
    <t>03034442253</t>
  </si>
  <si>
    <t xml:space="preserve">HOUSE NO 965 J-2 JOHAR TOWN LAHORE PK </t>
  </si>
  <si>
    <t>52611/00009/08/2020</t>
  </si>
  <si>
    <t>1030261</t>
  </si>
  <si>
    <t>AAH 343</t>
  </si>
  <si>
    <t>PODLHR300056305</t>
  </si>
  <si>
    <t>2826/08/2020/ITFM</t>
  </si>
  <si>
    <t>KHI/HO/D/MO/PC COMP/C/95603/174/08/2024</t>
  </si>
  <si>
    <t>9976AP1212440024</t>
  </si>
  <si>
    <t>MUHAMMAD NAVAID</t>
  </si>
  <si>
    <t>42401-1594494-9</t>
  </si>
  <si>
    <t>03002501799</t>
  </si>
  <si>
    <t xml:space="preserve">HOUSE # R-465 FIRST FLOOR FB AREA B LOCK 16 KARACHI PK </t>
  </si>
  <si>
    <t>55239/00098/08/2021</t>
  </si>
  <si>
    <t>KF-C861218</t>
  </si>
  <si>
    <t>LH005-1094351</t>
  </si>
  <si>
    <t>BMA-429</t>
  </si>
  <si>
    <t>MOVE</t>
  </si>
  <si>
    <t>01-SEP-2021</t>
  </si>
  <si>
    <t>OLUKHI300072990</t>
  </si>
  <si>
    <t>TDIDIB0029592</t>
  </si>
  <si>
    <t>31-AUG-2021</t>
  </si>
  <si>
    <t>KHI/HO/D/MO/PC COMP/C/95603/17/08/2024</t>
  </si>
  <si>
    <t>9976AD1211510049</t>
  </si>
  <si>
    <t>MOHAMMAD DIN</t>
  </si>
  <si>
    <t>Hyderabad</t>
  </si>
  <si>
    <t>41304-9091245-7</t>
  </si>
  <si>
    <t>0331-3535580</t>
  </si>
  <si>
    <t xml:space="preserve">H # 905 BABAN SHAH COLONY NR G O R COLONY LATIFABAD HYDERABAD </t>
  </si>
  <si>
    <t>0821-1101010102-V14-D-00343</t>
  </si>
  <si>
    <t>1077481</t>
  </si>
  <si>
    <t>ALTO VXR</t>
  </si>
  <si>
    <t>OLAHYD300069118</t>
  </si>
  <si>
    <t>5297/08/2021</t>
  </si>
  <si>
    <t>KHI/HO/D/MO/PC COMP/C/95603/175/08/2024</t>
  </si>
  <si>
    <t>9976AP1212430030</t>
  </si>
  <si>
    <t>SHARIB</t>
  </si>
  <si>
    <t>42301-8527450-3</t>
  </si>
  <si>
    <t>03338213666</t>
  </si>
  <si>
    <t>02132711064</t>
  </si>
  <si>
    <t xml:space="preserve">OFFICE # 1120 AL NAJEEBI AND ELECTR ONIC BAZAR 11TH FLOOR SADDAR KARACHI </t>
  </si>
  <si>
    <t>55239/00080/08/2021</t>
  </si>
  <si>
    <t>R18Z12940761</t>
  </si>
  <si>
    <t>NFBFC6669JR044182</t>
  </si>
  <si>
    <t>BNJ-581</t>
  </si>
  <si>
    <t>CIVIC VTI P/T</t>
  </si>
  <si>
    <t>OLUKHI300072753</t>
  </si>
  <si>
    <t>DIB0031468</t>
  </si>
  <si>
    <t>KHI/HO/D/MO/PC COMP/C/95603/18/08/2024</t>
  </si>
  <si>
    <t>997APD1202250004</t>
  </si>
  <si>
    <t>KOMAL IRFAN</t>
  </si>
  <si>
    <t>34501-5079054-2</t>
  </si>
  <si>
    <t>03244140093</t>
  </si>
  <si>
    <t xml:space="preserve">HOUSE NO 683 R BLOCK MODEL TOWN LAHORE PK </t>
  </si>
  <si>
    <t>52611/00015/08/2020</t>
  </si>
  <si>
    <t>L13Z17433791</t>
  </si>
  <si>
    <t>NFBGM1548FR172845</t>
  </si>
  <si>
    <t>LEH-15-2333</t>
  </si>
  <si>
    <t>CITY IVTEC M/T</t>
  </si>
  <si>
    <t>12-AUG-2020</t>
  </si>
  <si>
    <t>POULHR300056401</t>
  </si>
  <si>
    <t>2831/08/2020/ITFM</t>
  </si>
  <si>
    <t>KHI/HO/D/MO/PC COMP/C/95603/176/08/2024</t>
  </si>
  <si>
    <t>9976AD1211090010</t>
  </si>
  <si>
    <t>JAMIL AMJAD</t>
  </si>
  <si>
    <t>Pattoki</t>
  </si>
  <si>
    <t>35103-2269679-3</t>
  </si>
  <si>
    <t>03096021766</t>
  </si>
  <si>
    <t xml:space="preserve">MAKKAH MARBLE GRENITE ITTIFAQ ROAD NEAR HALLA ROAD PATTOKI </t>
  </si>
  <si>
    <t>2021-08-205-V01501OP001889</t>
  </si>
  <si>
    <t>10079686</t>
  </si>
  <si>
    <t>19-APR-2021</t>
  </si>
  <si>
    <t>OLAPTK300067872</t>
  </si>
  <si>
    <t>DIB0031262</t>
  </si>
  <si>
    <t>KHI/HO/D/MO/PC COMP/C/95603/177/08/2024</t>
  </si>
  <si>
    <t>9976AP2232430004</t>
  </si>
  <si>
    <t>SHAHBAZ AHMAD</t>
  </si>
  <si>
    <t>35202-7950075-9</t>
  </si>
  <si>
    <t>03205555914</t>
  </si>
  <si>
    <t>03190140517, 03205555914</t>
  </si>
  <si>
    <t xml:space="preserve">H NO 24-C GULSHAN E RAVI BEHIND MAL MO BAKERS LAHORE PK </t>
  </si>
  <si>
    <t>73551/00031/08/2023</t>
  </si>
  <si>
    <t>6R220780</t>
  </si>
  <si>
    <t>1120723</t>
  </si>
  <si>
    <t>AJK-979</t>
  </si>
  <si>
    <t>03-Sep-2028</t>
  </si>
  <si>
    <t>OLULHR300096523</t>
  </si>
  <si>
    <t>DIB0035266</t>
  </si>
  <si>
    <t>KHI/HO/D/MO/PC COMP/C/95603/20/08/2024</t>
  </si>
  <si>
    <t>9976AD2211440005</t>
  </si>
  <si>
    <t>SAMINA TARIQ</t>
  </si>
  <si>
    <t>35202-0311713-6</t>
  </si>
  <si>
    <t>03070743010</t>
  </si>
  <si>
    <t xml:space="preserve">PCSIR LABS NEAR FC COLLEGE FEROZPUR ROAD LAHORE </t>
  </si>
  <si>
    <t>2021-08-205-V01501OP001890</t>
  </si>
  <si>
    <t>2A33439</t>
  </si>
  <si>
    <t>7020708</t>
  </si>
  <si>
    <t>YARIS ATIV CVT 1.3</t>
  </si>
  <si>
    <t>24-MAY-2021</t>
  </si>
  <si>
    <t>27-Aug-2028</t>
  </si>
  <si>
    <t>OLALHR300068901</t>
  </si>
  <si>
    <t>DIB0031263</t>
  </si>
  <si>
    <t>KHI/HO/D/MO/PC COMP/C/95603/178/08/2024</t>
  </si>
  <si>
    <t>9976AD2211060002</t>
  </si>
  <si>
    <t>SYED SAQIB HUSSAIN</t>
  </si>
  <si>
    <t>37405-5124375-3</t>
  </si>
  <si>
    <t>03125005025</t>
  </si>
  <si>
    <t>0518774678</t>
  </si>
  <si>
    <t xml:space="preserve">H # 294 1ST FLOOR /UPPER PORTION ST # 05 BLOCK D CBR PHASE 1 NEAR USMA ISLAMABAD PK </t>
  </si>
  <si>
    <t>DIB/T/BT/32985/ISB/0821</t>
  </si>
  <si>
    <t>PL083360</t>
  </si>
  <si>
    <t>KP501794</t>
  </si>
  <si>
    <t>PICANTO 1.0L M/T</t>
  </si>
  <si>
    <t>16-APR-2021</t>
  </si>
  <si>
    <t>OLAISD300067964</t>
  </si>
  <si>
    <t>TDIDIB0029529</t>
  </si>
  <si>
    <t>KHI/HO/D/MO/PC COMP/C/95603/179/08/2024</t>
  </si>
  <si>
    <t>9976AP1232430009</t>
  </si>
  <si>
    <t>FAIZ UR REHMAN</t>
  </si>
  <si>
    <t>35201-5550954-7</t>
  </si>
  <si>
    <t>03258687288</t>
  </si>
  <si>
    <t xml:space="preserve">AL REHMAN PHOTOCOPY PRINTING MUHAMMAD PURA MAIN BAZAR LAL PUR NEAR HAKEEM BASHIR MUGHALPURA LHR </t>
  </si>
  <si>
    <t>73551/00030/08/2023</t>
  </si>
  <si>
    <t>R004546</t>
  </si>
  <si>
    <t>AFS-734</t>
  </si>
  <si>
    <t>OLULHR300096518</t>
  </si>
  <si>
    <t>DIB0035263</t>
  </si>
  <si>
    <t>KHI/HO/D/MO/PC COMP/C/95603/23/08/2024</t>
  </si>
  <si>
    <t>9976AD1211810048</t>
  </si>
  <si>
    <t>JAMAL ABDUL NASIR SHAIKH</t>
  </si>
  <si>
    <t>42301-5027052-1</t>
  </si>
  <si>
    <t>35211495</t>
  </si>
  <si>
    <t xml:space="preserve">M.D PETROLEUM SERVICES SURVEY NO 175/4 SHAHRAH-E- FAISAL JINNAH HOSPITAL INTER SECTION RD KRACHI </t>
  </si>
  <si>
    <t>2524/02602/00017/08/2021</t>
  </si>
  <si>
    <t>2A33157</t>
  </si>
  <si>
    <t>9512609</t>
  </si>
  <si>
    <t>30-JUN-2021</t>
  </si>
  <si>
    <t>OLAKHI300070201</t>
  </si>
  <si>
    <t>5258/08/2021</t>
  </si>
  <si>
    <t>03-AUG-2021</t>
  </si>
  <si>
    <t>KHI/HO/D/MO/PC COMP/C/95603/181/08/2024</t>
  </si>
  <si>
    <t>9976AP1232430010</t>
  </si>
  <si>
    <t>ATIF ABBASI</t>
  </si>
  <si>
    <t>35202-9114754-1</t>
  </si>
  <si>
    <t>03235550749</t>
  </si>
  <si>
    <t xml:space="preserve">ATIF ABBASI HOUSE NO 38 STREET NO 1 BLOCK NO 4 KARIM PARK RAVI ROAD LAHORE </t>
  </si>
  <si>
    <t>73551/00029/08/2023</t>
  </si>
  <si>
    <t>2A53726</t>
  </si>
  <si>
    <t>R9519693</t>
  </si>
  <si>
    <t>AKS-548</t>
  </si>
  <si>
    <t>OLULHR300096510</t>
  </si>
  <si>
    <t>DIB0035262</t>
  </si>
  <si>
    <t>KHI/HO/D/MO/PC COMP/C/95603/25/08/2024</t>
  </si>
  <si>
    <t>9976AP2212580014</t>
  </si>
  <si>
    <t>FAISAL AHMED</t>
  </si>
  <si>
    <t>35202-2559848-9</t>
  </si>
  <si>
    <t>03008492509</t>
  </si>
  <si>
    <t>37339220</t>
  </si>
  <si>
    <t xml:space="preserve">H# 346 BLOCK A /3 GULBERG 3 LAHORE </t>
  </si>
  <si>
    <t>55601/00026/09/2021</t>
  </si>
  <si>
    <t>512128</t>
  </si>
  <si>
    <t>KIA SPORTGE AWD</t>
  </si>
  <si>
    <t>15-SEP-2021</t>
  </si>
  <si>
    <t>OLDLHR300073377</t>
  </si>
  <si>
    <t>5421/09/2021</t>
  </si>
  <si>
    <t>09-SEP-2021</t>
  </si>
  <si>
    <t>KHI/HO/D/MO/PC COMP/C/95603/183/08/2024</t>
  </si>
  <si>
    <t>9976AP1232430014</t>
  </si>
  <si>
    <t>MUHAMMAD FARHAN</t>
  </si>
  <si>
    <t>42101-0621913-5</t>
  </si>
  <si>
    <t>03009221331</t>
  </si>
  <si>
    <t xml:space="preserve">B- 77 ISHAQABAD LIAQTABAD SIR SHAH SULEMAN ROAD PSO PUMP KARACHI PK </t>
  </si>
  <si>
    <t>73551/00034/08/2023</t>
  </si>
  <si>
    <t>272294</t>
  </si>
  <si>
    <t>BUP-081</t>
  </si>
  <si>
    <t>OLUKHI300096522</t>
  </si>
  <si>
    <t>DIB0035268</t>
  </si>
  <si>
    <t>KHI/HO/D/MO/PC COMP/C/95603/26/08/2024</t>
  </si>
  <si>
    <t>9976AP1232430017</t>
  </si>
  <si>
    <t>ABDUL SAMEE KHAN</t>
  </si>
  <si>
    <t>35202-7787974-3</t>
  </si>
  <si>
    <t>35210112</t>
  </si>
  <si>
    <t>03218434677</t>
  </si>
  <si>
    <t>35215460-1</t>
  </si>
  <si>
    <t xml:space="preserve">H NO 542 BLOCK F II WAPDA TOWN LAHORE </t>
  </si>
  <si>
    <t>73551/00033/08/2023</t>
  </si>
  <si>
    <t>712786</t>
  </si>
  <si>
    <t>OLDLHR300096507</t>
  </si>
  <si>
    <t>DIB0035270</t>
  </si>
  <si>
    <t>1.25%</t>
  </si>
  <si>
    <t>9976AP1212430042</t>
  </si>
  <si>
    <t>SYED MUHAMMAD ALI ABIDI</t>
  </si>
  <si>
    <t>42101-4587192-1</t>
  </si>
  <si>
    <t>03218282295</t>
  </si>
  <si>
    <t>02134988363</t>
  </si>
  <si>
    <t xml:space="preserve">MEHRAN CATERERS AND DECORATORS B-3, SHOP NO 2 BLOCK-4 GULSHAN-E-IQBAL KHI </t>
  </si>
  <si>
    <t>55239/00090/08/2021</t>
  </si>
  <si>
    <t>Z389916</t>
  </si>
  <si>
    <t>NZE170R-4061424</t>
  </si>
  <si>
    <t>BEX-976</t>
  </si>
  <si>
    <t>COROLLA GLI</t>
  </si>
  <si>
    <t>OLUKHI300072847</t>
  </si>
  <si>
    <t>DIB0031484</t>
  </si>
  <si>
    <t>KHI/HO/D/MO/PC COMP/C/95603/30/08/2024</t>
  </si>
  <si>
    <t>9976AP2212440025</t>
  </si>
  <si>
    <t>NISAR AHMED JATOI</t>
  </si>
  <si>
    <t>42301-9171711-7</t>
  </si>
  <si>
    <t>03218206101</t>
  </si>
  <si>
    <t xml:space="preserve">FLAT NO 806 8TH FLOOR SHANJEEL EXT MALIR CHECK POST NO 6 MALIR KARACHI PK </t>
  </si>
  <si>
    <t>55239/00097/08/2021</t>
  </si>
  <si>
    <t>6R116122</t>
  </si>
  <si>
    <t>NFIAET306H1016085</t>
  </si>
  <si>
    <t>BRN-595</t>
  </si>
  <si>
    <t>ALTO VXR EURO-II</t>
  </si>
  <si>
    <t>OLUKHI300073014</t>
  </si>
  <si>
    <t>DIB0031516</t>
  </si>
  <si>
    <t>KHI/HO/D/MO/PC COMP/C/95603/31/08/2024</t>
  </si>
  <si>
    <t>9976AP2232230006</t>
  </si>
  <si>
    <t>MUHAMMAD AKRAM</t>
  </si>
  <si>
    <t>35201-0920314-3</t>
  </si>
  <si>
    <t>03004348495</t>
  </si>
  <si>
    <t xml:space="preserve">VILLAGE THETHER P/O KHASS,TAHSIL LAHORE CANTT. LAHORE. PAKISTAN </t>
  </si>
  <si>
    <t>73551/00007/08/2023</t>
  </si>
  <si>
    <t>09-AUG-2024</t>
  </si>
  <si>
    <t>1179531</t>
  </si>
  <si>
    <t>OLDLHR300096133</t>
  </si>
  <si>
    <t>DIB0035216</t>
  </si>
  <si>
    <t>10-AUG-2023</t>
  </si>
  <si>
    <t>KHI/HO/D/MO/PC COMP/C/95603/191/08/2024</t>
  </si>
  <si>
    <t>9976AP1222430036</t>
  </si>
  <si>
    <t>NOYAN ALI</t>
  </si>
  <si>
    <t>42101-9812538-9</t>
  </si>
  <si>
    <t>03122009576</t>
  </si>
  <si>
    <t xml:space="preserve">HOUSE NO B-502 SECTOR 11-A NORTH KA RACHI NEAR METROPOLITAN SCHOOL KARA KARACHI PK </t>
  </si>
  <si>
    <t>62698/00143/08/2022</t>
  </si>
  <si>
    <t>Q054764</t>
  </si>
  <si>
    <t>6032269</t>
  </si>
  <si>
    <t>BPL-577</t>
  </si>
  <si>
    <t>31-AUG-2022</t>
  </si>
  <si>
    <t>OLUKHI300089655</t>
  </si>
  <si>
    <t>8531/08/2022/ITFM</t>
  </si>
  <si>
    <t>KHI/HO/D/MO/PC COMP/C/95603/32/08/2024</t>
  </si>
  <si>
    <t>9976AP1222430040</t>
  </si>
  <si>
    <t>PERVAZ ALAM</t>
  </si>
  <si>
    <t>42401-5685826-7</t>
  </si>
  <si>
    <t>03008242851</t>
  </si>
  <si>
    <t xml:space="preserve">HOUSE # 832 SEC 11-1/2 GALI NO 35 O RANGI TOWN KARACHI PK </t>
  </si>
  <si>
    <t>62698/00147/08/2022</t>
  </si>
  <si>
    <t>1024492</t>
  </si>
  <si>
    <t>BWM-362</t>
  </si>
  <si>
    <t>03-Sep-2027</t>
  </si>
  <si>
    <t>OLUKHI300089652</t>
  </si>
  <si>
    <t>8535/08/2022/ITFM</t>
  </si>
  <si>
    <t>KHI/HO/D/MO/PC COMP/C/95603/33/08/2024</t>
  </si>
  <si>
    <t>9976AP2222430032</t>
  </si>
  <si>
    <t>SHEIKH MUHAMMAD MOHSIN</t>
  </si>
  <si>
    <t>37405-6175339-7</t>
  </si>
  <si>
    <t>03341058887</t>
  </si>
  <si>
    <t xml:space="preserve">H # 1013 D BLOCK SATELLITE TOWN NEA R WAPDA OFFICE RAWALPINDI PK </t>
  </si>
  <si>
    <t>62698/00151/08/2022</t>
  </si>
  <si>
    <t>503570</t>
  </si>
  <si>
    <t>AZV-892</t>
  </si>
  <si>
    <t>KIA PICANTO 1.0L MT</t>
  </si>
  <si>
    <t>OLURWP300089676</t>
  </si>
  <si>
    <t>8565/08/2022/ITFM</t>
  </si>
  <si>
    <t>KHI/HO/D/MO/PC COMP/C/95603/34/08/2024</t>
  </si>
  <si>
    <t>9976AD1211520073</t>
  </si>
  <si>
    <t>ATIF HAFEEZ CHAUDHRY</t>
  </si>
  <si>
    <t>42501-9379940-5</t>
  </si>
  <si>
    <t>34404388</t>
  </si>
  <si>
    <t>03009232711</t>
  </si>
  <si>
    <t>35204578</t>
  </si>
  <si>
    <t xml:space="preserve">HOUSE NO A-66 BLOCK -B KAZIMABAD MODEL COLONY KARACHI </t>
  </si>
  <si>
    <t>2021-08-205-V01501DP0001907</t>
  </si>
  <si>
    <t>G3LAMP080820</t>
  </si>
  <si>
    <t>NNATA52AXKP501944</t>
  </si>
  <si>
    <t>KIA PICANTO</t>
  </si>
  <si>
    <t>01-JUN-2021</t>
  </si>
  <si>
    <t>OLAKHI300069260</t>
  </si>
  <si>
    <t>DIB0031216</t>
  </si>
  <si>
    <t>09/08/2021</t>
  </si>
  <si>
    <t>KHI/HO/D/MO/PC COMP/C/95603/196/08/2024</t>
  </si>
  <si>
    <t>9976AP2222430034</t>
  </si>
  <si>
    <t>M ABU BAKAR</t>
  </si>
  <si>
    <t>42401-6781282-1</t>
  </si>
  <si>
    <t>03125422166</t>
  </si>
  <si>
    <t>0512283412</t>
  </si>
  <si>
    <t xml:space="preserve">H # 38 ST # 3 BLOCK D SECTOR B-17 ISLAMABAD PK </t>
  </si>
  <si>
    <t>62698/00139/08/2022</t>
  </si>
  <si>
    <t>533711</t>
  </si>
  <si>
    <t>ABV-944</t>
  </si>
  <si>
    <t>SUZUKI CULTUS VXR EURO-II</t>
  </si>
  <si>
    <t>OLUISD300089645</t>
  </si>
  <si>
    <t>8517/08/2022/ITFM</t>
  </si>
  <si>
    <t>KHI/HO/D/MO/PC COMP/C/95603/36/08/2024</t>
  </si>
  <si>
    <t>9976AP2222430036</t>
  </si>
  <si>
    <t>JUNAID HASSAN</t>
  </si>
  <si>
    <t>42101-5240914-1</t>
  </si>
  <si>
    <t xml:space="preserve">SHOWROOM NO.1 PARSA CITY LUXURIA PLOT NO.167-C PECHS KHALID BIN WALEED ROAD </t>
  </si>
  <si>
    <t>62698/00148/08/2022</t>
  </si>
  <si>
    <t>503846</t>
  </si>
  <si>
    <t>BH-7558</t>
  </si>
  <si>
    <t>KIA SPORTAGE AWD</t>
  </si>
  <si>
    <t>OLUKHI300089628</t>
  </si>
  <si>
    <t>8538/08/2022/ITFM</t>
  </si>
  <si>
    <t>KHI/HO/D/MO/PC COMP/C/95603/37/08/2024</t>
  </si>
  <si>
    <t>9976AD1211510039</t>
  </si>
  <si>
    <t>ZAINAB ASHRAF</t>
  </si>
  <si>
    <t>35202-2286203-4</t>
  </si>
  <si>
    <t>03350494084</t>
  </si>
  <si>
    <t xml:space="preserve">LESANGES MONTESSORI ACADEMY WAPDA T OWN LAHORE </t>
  </si>
  <si>
    <t>2021/08/CLFTTPCDP00908</t>
  </si>
  <si>
    <t>6R177237</t>
  </si>
  <si>
    <t>NF1AET306H1077280</t>
  </si>
  <si>
    <t>ALTO VX EURO II</t>
  </si>
  <si>
    <t>OLALHR300069099</t>
  </si>
  <si>
    <t>DIB0031282</t>
  </si>
  <si>
    <t>KHI/HO/D/MO/PC COMP/C/95603/198/08/2024</t>
  </si>
  <si>
    <t>9976AD2211160001</t>
  </si>
  <si>
    <t>SYED NAYYER YOUSAFI</t>
  </si>
  <si>
    <t>35201-7897580-1</t>
  </si>
  <si>
    <t>0321-4622000</t>
  </si>
  <si>
    <t>7609494</t>
  </si>
  <si>
    <t xml:space="preserve">ANWAR MARKET 57-AZIZ ROAD OPP.JAVA CHARGHA HOUSE CHOWK NAKHUDA,MISRISHAH LAHORE </t>
  </si>
  <si>
    <t>2021-08-205-V01501OP0001904</t>
  </si>
  <si>
    <t>G3LAMP080840</t>
  </si>
  <si>
    <t>NNATA52AXP501734</t>
  </si>
  <si>
    <t>KIA PICANTO 1.0 A/T</t>
  </si>
  <si>
    <t>26-APR-2021</t>
  </si>
  <si>
    <t>OLALHR300068141</t>
  </si>
  <si>
    <t>DIB0031278</t>
  </si>
  <si>
    <t>KHI/HO/D/MO/PC COMP/C/95603/199/08/2024</t>
  </si>
  <si>
    <t>997APD1202300004</t>
  </si>
  <si>
    <t>MUHAMMAD SHOAIB</t>
  </si>
  <si>
    <t>35201-7308344-7</t>
  </si>
  <si>
    <t>03051444411</t>
  </si>
  <si>
    <t xml:space="preserve">H# 546 ST# 3 MOH SHABNAM COLONY 2 CHUNGI AMER SIDHU LAHORE PK </t>
  </si>
  <si>
    <t>52611/00023/08/2020</t>
  </si>
  <si>
    <t>PK10B195998</t>
  </si>
  <si>
    <t>AIJ10PK10095985</t>
  </si>
  <si>
    <t>SUZUKI WAGONR VXL</t>
  </si>
  <si>
    <t>17-AUG-2020</t>
  </si>
  <si>
    <t>PODLHR300056475</t>
  </si>
  <si>
    <t>2838/08/2020/ITFM</t>
  </si>
  <si>
    <t>KHI/HO/D/MO/PC COMP/C/95603/200/08/2024</t>
  </si>
  <si>
    <t>9976AP1222430047</t>
  </si>
  <si>
    <t>ADIL AHMED</t>
  </si>
  <si>
    <t>42201-5159868-3</t>
  </si>
  <si>
    <t>021-34559791</t>
  </si>
  <si>
    <t>0321-2564835</t>
  </si>
  <si>
    <t xml:space="preserve">N-122, P.E.C.H.S., BLOCK-2, MAIN TARIQ ROAD, KARACHI. </t>
  </si>
  <si>
    <t>62698/00146/08/2022</t>
  </si>
  <si>
    <t>10123090</t>
  </si>
  <si>
    <t>BXC-479</t>
  </si>
  <si>
    <t>OLUKHI300089382</t>
  </si>
  <si>
    <t>8536/08/2022/ITFM</t>
  </si>
  <si>
    <t>KHI/HO/D/MO/PC COMP/C/95603/38/08/2024</t>
  </si>
  <si>
    <t>9976AP1212240002</t>
  </si>
  <si>
    <t>SHAGUFTA IRAM</t>
  </si>
  <si>
    <t>42101-4957696-2</t>
  </si>
  <si>
    <t>02134662620</t>
  </si>
  <si>
    <t>03332254285</t>
  </si>
  <si>
    <t xml:space="preserve">A- 74 BLOCK 19 GULISTAN-E- JOUHAR C GECHSB KHI RUFI FOUNTART SOCIETY KARACHI </t>
  </si>
  <si>
    <t>55239/00023/08/2021</t>
  </si>
  <si>
    <t>4023712</t>
  </si>
  <si>
    <t>VITZ</t>
  </si>
  <si>
    <t>OLUKHI300071816</t>
  </si>
  <si>
    <t>DIB0031276</t>
  </si>
  <si>
    <t>KHI/HO/D/MO/PC COMP/C/95603/202/08/2024</t>
  </si>
  <si>
    <t>9976AD1211460015</t>
  </si>
  <si>
    <t>HAMEED ULLAH</t>
  </si>
  <si>
    <t>Peshawar</t>
  </si>
  <si>
    <t>11201-0374734-3</t>
  </si>
  <si>
    <t>03159507777</t>
  </si>
  <si>
    <t>0915253075</t>
  </si>
  <si>
    <t xml:space="preserve">H # 713 ST # 20 SECTOR F-9 PHASE 06 HAYATABAD NEAR NAWAB MARKET PESHAWAR PK </t>
  </si>
  <si>
    <t>55239/00022/08/2021</t>
  </si>
  <si>
    <t>501766</t>
  </si>
  <si>
    <t>26-MAY-2021</t>
  </si>
  <si>
    <t>OLAPEW300068870</t>
  </si>
  <si>
    <t>DIB0031272</t>
  </si>
  <si>
    <t>KHI/HO/D/MO/PC COMP/C/95603/203/08/2024</t>
  </si>
  <si>
    <t>9976AP1222430049</t>
  </si>
  <si>
    <t>IQTADAR</t>
  </si>
  <si>
    <t>17201-7615729-3</t>
  </si>
  <si>
    <t>03144242340</t>
  </si>
  <si>
    <t xml:space="preserve">H # 2 ST # 2 TAXI STAND LINK ROAD S OWAN CAMP NEAR SITARA MARKET RAWALPINDI PK </t>
  </si>
  <si>
    <t>62698/00152/08/2022</t>
  </si>
  <si>
    <t>031998</t>
  </si>
  <si>
    <t>AGH-234</t>
  </si>
  <si>
    <t>OLURWP300089684</t>
  </si>
  <si>
    <t>8572/08/2022/ITFM</t>
  </si>
  <si>
    <t>KHI/HO/D/MO/PC COMP/C/95603/40/08/2024</t>
  </si>
  <si>
    <t>9976AP1212240010</t>
  </si>
  <si>
    <t>ALI IFTIKHAR</t>
  </si>
  <si>
    <t>42101-4986337-3</t>
  </si>
  <si>
    <t>03463251030</t>
  </si>
  <si>
    <t>03212491742</t>
  </si>
  <si>
    <t xml:space="preserve">HOUSE NO L 237 SECTOR 5 L NORTH KARACHI KARACHI </t>
  </si>
  <si>
    <t>55239/00025/08/2021</t>
  </si>
  <si>
    <t>Q032971</t>
  </si>
  <si>
    <t>6010440</t>
  </si>
  <si>
    <t>BGR-673</t>
  </si>
  <si>
    <t>OLUKHI300071818</t>
  </si>
  <si>
    <t>5323/08/2021</t>
  </si>
  <si>
    <t>KHI/HO/D/MO/PC COMP/C/95603/204/08/2024</t>
  </si>
  <si>
    <t>9976AP2222430038</t>
  </si>
  <si>
    <t>MUHAMMAD NAEEM</t>
  </si>
  <si>
    <t>42401-5994310-1</t>
  </si>
  <si>
    <t>03002006959</t>
  </si>
  <si>
    <t xml:space="preserve">1358 STREET NO 3 SEC 11 1/2 MANSOOR NAGAR, ORANGI TOWN MADARSA KARACHI PK </t>
  </si>
  <si>
    <t>62698/00144/08/2022</t>
  </si>
  <si>
    <t>10043330</t>
  </si>
  <si>
    <t>BSX-325</t>
  </si>
  <si>
    <t>OLUKHI300089662</t>
  </si>
  <si>
    <t>8532/08/2022/ITFM</t>
  </si>
  <si>
    <t>KHI/HO/D/MO/PC COMP/C/95603/41/08/2024</t>
  </si>
  <si>
    <t>9976AP1212250015</t>
  </si>
  <si>
    <t>ZAHID ABBAS</t>
  </si>
  <si>
    <t>35201-1600476-7</t>
  </si>
  <si>
    <t>35965928, 0321-4778677</t>
  </si>
  <si>
    <t>111111725</t>
  </si>
  <si>
    <t xml:space="preserve">OFF# 32 N, GULBERG# 2 GURUMANGAT ROAD LAHORE </t>
  </si>
  <si>
    <t>55239/00027/08/2021</t>
  </si>
  <si>
    <t>127044</t>
  </si>
  <si>
    <t>MG MOTOR MG ZS 1.5 L PETROL</t>
  </si>
  <si>
    <t>13-AUG-2021</t>
  </si>
  <si>
    <t>OLDLHR300071838</t>
  </si>
  <si>
    <t>5320/08/2021</t>
  </si>
  <si>
    <t>KHI/HO/D/MO/PC COMP/C/95603/205/08/2024</t>
  </si>
  <si>
    <t>9976AP1222430055</t>
  </si>
  <si>
    <t>MUHAMMAD AZHAR</t>
  </si>
  <si>
    <t>42301-6578294-5</t>
  </si>
  <si>
    <t>03332242846</t>
  </si>
  <si>
    <t xml:space="preserve">HOUSE # 182/2 GALI # 18 BIHAAR COLONY E-ROAD LYARI KARACHI </t>
  </si>
  <si>
    <t>62698/00156/08/2022</t>
  </si>
  <si>
    <t>6R111711</t>
  </si>
  <si>
    <t>1011677</t>
  </si>
  <si>
    <t>BQW-486</t>
  </si>
  <si>
    <t>OLUKHI300089689</t>
  </si>
  <si>
    <t>8577/08/2022/ITFM</t>
  </si>
  <si>
    <t>KHI/HO/D/MO/PC COMP/C/95603/42/08/2024</t>
  </si>
  <si>
    <t>9976AP1222430057</t>
  </si>
  <si>
    <t>SYED MAQDOUM JAMAL</t>
  </si>
  <si>
    <t>42101-5695653-9</t>
  </si>
  <si>
    <t>03001981725</t>
  </si>
  <si>
    <t xml:space="preserve">B- 1302 SAIMA BRIDGE VIEW BLCK B NO RTH NAZIMABAD HANIF HOSPITAL KARACHI PK </t>
  </si>
  <si>
    <t>62698/00155/08/2022</t>
  </si>
  <si>
    <t>025886</t>
  </si>
  <si>
    <t>BK-6518</t>
  </si>
  <si>
    <t>HONDA BR-V IVTEC</t>
  </si>
  <si>
    <t>OLUKHI300089680</t>
  </si>
  <si>
    <t>8576/08/2022/ITFM</t>
  </si>
  <si>
    <t>KHI/HO/D/MO/PC COMP/C/95603/45/08/2024</t>
  </si>
  <si>
    <t>9976AP2222430042</t>
  </si>
  <si>
    <t>KAMRAN ANIS</t>
  </si>
  <si>
    <t>42101-8332458-5</t>
  </si>
  <si>
    <t>03452603646</t>
  </si>
  <si>
    <t xml:space="preserve">HOUSE NO R- 7 SECTER 15-A 4 BUFFER ZONE NORTH NAZIMABAD AL HABIB RESTU KARACHI PK </t>
  </si>
  <si>
    <t>62698/00154/08/2022</t>
  </si>
  <si>
    <t>Q336594</t>
  </si>
  <si>
    <t>R-7035713</t>
  </si>
  <si>
    <t>BNZ-224</t>
  </si>
  <si>
    <t>TOYOTA COROLLA ALTIS GRANDE</t>
  </si>
  <si>
    <t>OLUKHI300089683</t>
  </si>
  <si>
    <t>8575/08/2022/ITFM</t>
  </si>
  <si>
    <t>KHI/HO/D/MO/PC COMP/C/95603/47/08/2024</t>
  </si>
  <si>
    <t>9976AD2213300004</t>
  </si>
  <si>
    <t>ALI ASGHAR</t>
  </si>
  <si>
    <t>42401-2720478-5</t>
  </si>
  <si>
    <t>03458592485 03012592485</t>
  </si>
  <si>
    <t xml:space="preserve">GREEN LAND TRANSPORT COMPANY GATE NO. 03, KHAWAJA ISMAIL CENTRE NEW TRUCK STAND HAWKS BAY ROAD, KARACHI. </t>
  </si>
  <si>
    <t>62698/00149/08/2022</t>
  </si>
  <si>
    <t>7061920</t>
  </si>
  <si>
    <t>TOYOTA COROLLA ALTIS GRANDE CVT</t>
  </si>
  <si>
    <t>26-NOV-2021</t>
  </si>
  <si>
    <t>OLAKHI300080303</t>
  </si>
  <si>
    <t>108805/08/2022</t>
  </si>
  <si>
    <t>30-AUG-2022</t>
  </si>
  <si>
    <t>KHI/HO/D/MO/PC COMP/C/95603/49/08/2024</t>
  </si>
  <si>
    <t>9976AD1220590070</t>
  </si>
  <si>
    <t>MUBASHIR AHMED ABBASI</t>
  </si>
  <si>
    <t>42201-2231185-9</t>
  </si>
  <si>
    <t>03332897837</t>
  </si>
  <si>
    <t xml:space="preserve">H NO R-9 ROW 1-X BLOCK D NATIONAL C EMENT SOCIETY GULSHAN E IQBAL KARACHI PK </t>
  </si>
  <si>
    <t>62698/00043/08/2022</t>
  </si>
  <si>
    <t>1141955</t>
  </si>
  <si>
    <t>OLAKHI300084923</t>
  </si>
  <si>
    <t>8282/08/2022/ITFM</t>
  </si>
  <si>
    <t>KHI/HO/D/MO/PC COMP/C/95603/212/08/2024</t>
  </si>
  <si>
    <t>9976AP2222430035</t>
  </si>
  <si>
    <t>SOHAIL AKHTER SULEHRI</t>
  </si>
  <si>
    <t>42201-0921588-1</t>
  </si>
  <si>
    <t>03009210377</t>
  </si>
  <si>
    <t xml:space="preserve">HOUSE # F-2 GIZRI POLICE LINE 11TH COMMERCIAL STREET PHASE 4 DHA KARACHI PK </t>
  </si>
  <si>
    <t>62698/00153/08/2022</t>
  </si>
  <si>
    <t>Z262243</t>
  </si>
  <si>
    <t>4032578</t>
  </si>
  <si>
    <t>BDN-855</t>
  </si>
  <si>
    <t>OLUKHI300089685</t>
  </si>
  <si>
    <t>8574/08/2022/ITFM</t>
  </si>
  <si>
    <t>KHI/HO/D/MO/PC COMP/C/95603/50/08/2024</t>
  </si>
  <si>
    <t>9976AP1222430042</t>
  </si>
  <si>
    <t>SAQIB AMIN THAKKUR</t>
  </si>
  <si>
    <t>42201-4296338-1</t>
  </si>
  <si>
    <t>03212018152</t>
  </si>
  <si>
    <t>03212133636</t>
  </si>
  <si>
    <t xml:space="preserve">RELIANCE ARCADE PLOT # 12-C FLT # D-4 MUHAMMAD ALI HOUSING SOCIETY KAYBEES RESTAURANT KARACHI </t>
  </si>
  <si>
    <t>62698/00142/08/2022</t>
  </si>
  <si>
    <t>10086143</t>
  </si>
  <si>
    <t>BUX-070</t>
  </si>
  <si>
    <t>SUZUKI CULTUS VXL AGS EURO-II</t>
  </si>
  <si>
    <t>OLUKHI300089658</t>
  </si>
  <si>
    <t>8529/08/2022/ITFM</t>
  </si>
  <si>
    <t>KHI/HO/D/MO/PC COMP/C/95603/51/08/2024</t>
  </si>
  <si>
    <t>9976AD2220400003</t>
  </si>
  <si>
    <t>SHAFAQAT ALI</t>
  </si>
  <si>
    <t>35201-4562455-1</t>
  </si>
  <si>
    <t>03234190595</t>
  </si>
  <si>
    <t xml:space="preserve">GHOLI KI BHAMBI MEHMOOD BOOTI MUSTF A PARK SUKH NEHAR STOP BAGHBAN PUR LAHORE PK </t>
  </si>
  <si>
    <t>62698/00041/08/2022</t>
  </si>
  <si>
    <t>1016220</t>
  </si>
  <si>
    <t>09-FEB-2022</t>
  </si>
  <si>
    <t>OLALHR300084109</t>
  </si>
  <si>
    <t>8307/08/2022</t>
  </si>
  <si>
    <t>KHI/HO/D/MO/PC COMP/C/95603/215/08/2024</t>
  </si>
  <si>
    <t>9976AD2220900007</t>
  </si>
  <si>
    <t>MUHAMMAD BILLAL NASEEM DHOLLA</t>
  </si>
  <si>
    <t>37301-0355422-5</t>
  </si>
  <si>
    <t>03335947256</t>
  </si>
  <si>
    <t>05159054643</t>
  </si>
  <si>
    <t xml:space="preserve">H # 8 ST# 14 DEFANCE HOUSING AUTHO RITY PH-2 DHA SECTOR -A ISLAMABAD PK </t>
  </si>
  <si>
    <t>62698/00040/08/2022</t>
  </si>
  <si>
    <t>1147456</t>
  </si>
  <si>
    <t>31-MAR-2022</t>
  </si>
  <si>
    <t>OLAISD300086174</t>
  </si>
  <si>
    <t>DIB0034708</t>
  </si>
  <si>
    <t>KHI/HO/D/MO/PC COMP/C/95603/217/08/2024</t>
  </si>
  <si>
    <t>9976AP1222430033</t>
  </si>
  <si>
    <t>AQIL NASEER</t>
  </si>
  <si>
    <t>37405-1083908-5</t>
  </si>
  <si>
    <t>03365913275</t>
  </si>
  <si>
    <t>0518432341</t>
  </si>
  <si>
    <t xml:space="preserve">H # BB 663/2 MOH EID GAH ASGHAR MAL L ROAD NEAR EID GAH HAVELI RAWALPINDI PK </t>
  </si>
  <si>
    <t>62698/00137/08/2022</t>
  </si>
  <si>
    <t>R175199</t>
  </si>
  <si>
    <t>CT-21</t>
  </si>
  <si>
    <t>HONDA CITY I-VTEC M/T</t>
  </si>
  <si>
    <t>OLURWP300089647</t>
  </si>
  <si>
    <t>8514/08/2022/ITFM</t>
  </si>
  <si>
    <t>KHI/HO/D/MO/PC COMP/C/95603/52/08/2024</t>
  </si>
  <si>
    <t>9976AP1222240014</t>
  </si>
  <si>
    <t>MARIAM RAHIM KHAN</t>
  </si>
  <si>
    <t>35202-6617788-8</t>
  </si>
  <si>
    <t>03224356167</t>
  </si>
  <si>
    <t xml:space="preserve">H NO 218-K PHASE 1 DHA LAHORE CANTT LAHORE PK </t>
  </si>
  <si>
    <t>62698/00046/08/2022</t>
  </si>
  <si>
    <t>1021989</t>
  </si>
  <si>
    <t>AJM-504</t>
  </si>
  <si>
    <t>SUZUKI BOLAN VX EURO-II</t>
  </si>
  <si>
    <t>OLULHR300089215</t>
  </si>
  <si>
    <t>8314/08/2022/ITFM</t>
  </si>
  <si>
    <t>KHI/HO/D/MO/PC COMP/C/95603/219/08/2024</t>
  </si>
  <si>
    <t>9976AP1222240011</t>
  </si>
  <si>
    <t>SHAKEIB E SHAIDA</t>
  </si>
  <si>
    <t>42101-1810838-3</t>
  </si>
  <si>
    <t>03132018006</t>
  </si>
  <si>
    <t xml:space="preserve">FLAT NO : C-196 3RD FLOOR PLOT ST-3 YOUSUF PLAZA BLOCK-16 FB AREA NEAR KARACHI PK </t>
  </si>
  <si>
    <t>62698/00047/08/2022</t>
  </si>
  <si>
    <t>10041983</t>
  </si>
  <si>
    <t>SUZUKI SWIFT A/T NAVIGATION</t>
  </si>
  <si>
    <t>OLUKHI300089235</t>
  </si>
  <si>
    <t>8312/08/2022/ITFM</t>
  </si>
  <si>
    <t>KHI/HO/D/MO/PC COMP/C/95603/220/08/2024</t>
  </si>
  <si>
    <t>9976AP1222240008</t>
  </si>
  <si>
    <t>ARSALAN JAWAD KHALID</t>
  </si>
  <si>
    <t>38401-4172480-9</t>
  </si>
  <si>
    <t>03465300821</t>
  </si>
  <si>
    <t>0512754926</t>
  </si>
  <si>
    <t xml:space="preserve">H # PD-309 ST # 10 MOH NAZMABAD PIN DORA NEAR PAKISTAN CAMARGE SCHOOL RAWALPINDI PK </t>
  </si>
  <si>
    <t>62698/00039/08/2022</t>
  </si>
  <si>
    <t>01261188</t>
  </si>
  <si>
    <t>AHT-681</t>
  </si>
  <si>
    <t>SUZUKI MEHRAN VXR EURO II</t>
  </si>
  <si>
    <t>OLURWP300089223</t>
  </si>
  <si>
    <t>8300/08/2022/ITFM</t>
  </si>
  <si>
    <t>KHI/HO/D/MO/PC COMP/C/95603/221/08/2024</t>
  </si>
  <si>
    <t>9976AP1222240006</t>
  </si>
  <si>
    <t>ABDUL HAYEE</t>
  </si>
  <si>
    <t>61101-6460927-3</t>
  </si>
  <si>
    <t>03205301911</t>
  </si>
  <si>
    <t>0512746031</t>
  </si>
  <si>
    <t xml:space="preserve">H # 744 MAIN IBN E SINA ROAD SECTOR G-11/2 NEAR JAFAR CHOWK ISLAMABAD PK </t>
  </si>
  <si>
    <t>62698/00042/08/2022</t>
  </si>
  <si>
    <t>HR214610</t>
  </si>
  <si>
    <t>AHH-280</t>
  </si>
  <si>
    <t>HONDA CITY ASPIRE A/T</t>
  </si>
  <si>
    <t>OLUISD300089222</t>
  </si>
  <si>
    <t>8318/08/2022/ITFM</t>
  </si>
  <si>
    <t>KHI/HO/D/MO/PC COMP/C/95603/222/08/2024</t>
  </si>
  <si>
    <t>9976AP1222300009</t>
  </si>
  <si>
    <t>CHAUDHRY SHAMS UL HAQ</t>
  </si>
  <si>
    <t>35201-1358471-9</t>
  </si>
  <si>
    <t>03214281115</t>
  </si>
  <si>
    <t>37941637</t>
  </si>
  <si>
    <t xml:space="preserve">ENAM INDUSTRIES (PVT) LIMITED 12 B KOT SHAHAB UD DIN SHAHDARA LAHORE </t>
  </si>
  <si>
    <t>62698/00044/08/2022</t>
  </si>
  <si>
    <t>10139404</t>
  </si>
  <si>
    <t>SUZUKI WAGONRE VXL</t>
  </si>
  <si>
    <t>18-AUG-2022</t>
  </si>
  <si>
    <t>OLDLHR300089193</t>
  </si>
  <si>
    <t>8309/08/2022/ITFM</t>
  </si>
  <si>
    <t>KHI/HO/D/MO/PC COMP/C/95603/223/08/2024</t>
  </si>
  <si>
    <t>9976AD1211810013</t>
  </si>
  <si>
    <t>MUBASHAR SHAHZAD</t>
  </si>
  <si>
    <t>33100-2526095-1</t>
  </si>
  <si>
    <t>03219668798</t>
  </si>
  <si>
    <t>03219668798, 03219668798</t>
  </si>
  <si>
    <t xml:space="preserve">HOUSE NO P-04 ST 2 FAISAL TOWN CANA L ROAD PSO PUMP FAISALABAD PK </t>
  </si>
  <si>
    <t>DIB/T/33235/LHR/0821</t>
  </si>
  <si>
    <t>306950</t>
  </si>
  <si>
    <t>SPORTAGE FWD</t>
  </si>
  <si>
    <t>OLAFSD300070185</t>
  </si>
  <si>
    <t>KHI/HO/D/MO/PC COMP/C/95603/54/08/2024</t>
  </si>
  <si>
    <t>997AAD1201750008</t>
  </si>
  <si>
    <t>HIBA PARVEZ SHEIKH</t>
  </si>
  <si>
    <t>35201-5356157-0</t>
  </si>
  <si>
    <t>03214600000</t>
  </si>
  <si>
    <t>04237175521, 03214600000</t>
  </si>
  <si>
    <t>04237175521</t>
  </si>
  <si>
    <t xml:space="preserve">OFFICE NO 53-B NISAR ROAD CANTT LAHORE </t>
  </si>
  <si>
    <t>52740/00011/09/2020</t>
  </si>
  <si>
    <t>G4NALH319481</t>
  </si>
  <si>
    <t>NNAQL51AZKP504085</t>
  </si>
  <si>
    <t>11-SEP-2020</t>
  </si>
  <si>
    <t>11-Sep-2025</t>
  </si>
  <si>
    <t>POALHR300054453</t>
  </si>
  <si>
    <t>KHI/HO/D/MO/PC COMP/C/95603/57/08/2024</t>
  </si>
  <si>
    <t>9976AP2212440005</t>
  </si>
  <si>
    <t>35202-8426426-3</t>
  </si>
  <si>
    <t>03011111508</t>
  </si>
  <si>
    <t xml:space="preserve">CHANDRAY ROAD NEAR GULSHAN E AHBAB COLONY LAHORE </t>
  </si>
  <si>
    <t>55239/00083/08/2021</t>
  </si>
  <si>
    <t>HR12-059156K</t>
  </si>
  <si>
    <t>HE-12-277643</t>
  </si>
  <si>
    <t>NOTE HYBRID</t>
  </si>
  <si>
    <t>OLULHR300072796</t>
  </si>
  <si>
    <t>DIB0031464</t>
  </si>
  <si>
    <t>KHI/HO/D/MO/PC COMP/C/95603/59/08/2024</t>
  </si>
  <si>
    <t>997APD2202440033</t>
  </si>
  <si>
    <t>MUHAMMAD USMAN AKRAM</t>
  </si>
  <si>
    <t>35201-9114189-3</t>
  </si>
  <si>
    <t>03009488133</t>
  </si>
  <si>
    <t xml:space="preserve">SHAFIQABAD NO 2 BUND ROAD OPP. GANJ ON WALI GHATTI SUI GAS WALA ROAD LAHORE </t>
  </si>
  <si>
    <t>KHI/HO/D/MO/PC COMP/P/52611/08/2020</t>
  </si>
  <si>
    <t>R18Z12929088</t>
  </si>
  <si>
    <t>NFBFC6660JR032437</t>
  </si>
  <si>
    <t>LED-18-1298</t>
  </si>
  <si>
    <t>CIVIC VTI P/T S/R</t>
  </si>
  <si>
    <t>31-AUG-2020</t>
  </si>
  <si>
    <t>03-SEP-2020</t>
  </si>
  <si>
    <t>POULHR300056939</t>
  </si>
  <si>
    <t>DIB0028643</t>
  </si>
  <si>
    <t>KHI/HO/D/MO/PC COMP/C/95603/60/08/2024</t>
  </si>
  <si>
    <t>9976AD1211200080</t>
  </si>
  <si>
    <t>MUHAMMAD SABER</t>
  </si>
  <si>
    <t>34102-2112667-3</t>
  </si>
  <si>
    <t>03024474665</t>
  </si>
  <si>
    <t xml:space="preserve">LDA OFFICE 467-D/2 PHASE 1 JOHAR TO WN LAHORE </t>
  </si>
  <si>
    <t>2021-08-205-V01501OP0001915</t>
  </si>
  <si>
    <t>10080391</t>
  </si>
  <si>
    <t>OLALHR300068600</t>
  </si>
  <si>
    <t>DIB0031296</t>
  </si>
  <si>
    <t>12/08/2021</t>
  </si>
  <si>
    <t>KHI/HO/D/MO/PC COMP/C/95603/227/08/2024</t>
  </si>
  <si>
    <t>9976AD1210880009</t>
  </si>
  <si>
    <t>ABDUL HAMEED DERO</t>
  </si>
  <si>
    <t>Tando alla Yar</t>
  </si>
  <si>
    <t>42301-0332885-1</t>
  </si>
  <si>
    <t>03003085169</t>
  </si>
  <si>
    <t xml:space="preserve">BARKAT MUHALLA DERO HOUSE TANDO ADAM NAKA TANDO ALLAHYAR </t>
  </si>
  <si>
    <t>01-2108-PO-MTR-PCCM-D-001086</t>
  </si>
  <si>
    <t>Q078967</t>
  </si>
  <si>
    <t>ZRE17R-6056462</t>
  </si>
  <si>
    <t>COROLLA ALTIS A/T</t>
  </si>
  <si>
    <t>29-MAR-2021</t>
  </si>
  <si>
    <t>OLATNA300067026</t>
  </si>
  <si>
    <t>DIB0031266</t>
  </si>
  <si>
    <t>11/08/2021</t>
  </si>
  <si>
    <t>KHI/HO/D/MO/PC COMP/C/95603/228/08/2024</t>
  </si>
  <si>
    <t>9976AP1212450032</t>
  </si>
  <si>
    <t>SALMAN KHAN</t>
  </si>
  <si>
    <t>42201-1305539-5</t>
  </si>
  <si>
    <t>03333251441</t>
  </si>
  <si>
    <t>02135370581</t>
  </si>
  <si>
    <t xml:space="preserve">R-19/3 UNIVERSITY HILL VILLA 2ND FL OOR BLOCK 1 GULISTAN E JOHAR OPP NE KARACHI PK </t>
  </si>
  <si>
    <t>55239/00084/08/2021</t>
  </si>
  <si>
    <t>10050975</t>
  </si>
  <si>
    <t>OLDKHI300072844</t>
  </si>
  <si>
    <t>DIB00031482</t>
  </si>
  <si>
    <t>KHI/HO/D/MO/PC COMP/C/95603/61/08/2024</t>
  </si>
  <si>
    <t>9976AD2211810017</t>
  </si>
  <si>
    <t>ARIF YAR KHAN</t>
  </si>
  <si>
    <t>61101-9209734-5</t>
  </si>
  <si>
    <t>051-2252019</t>
  </si>
  <si>
    <t>0333-5150605</t>
  </si>
  <si>
    <t>051-2825686</t>
  </si>
  <si>
    <t xml:space="preserve">H # 12 ST # 5 F-8/3 Islamabad </t>
  </si>
  <si>
    <t>PL-0821-1101010102-V14-D-00347</t>
  </si>
  <si>
    <t>R18Z16924830</t>
  </si>
  <si>
    <t>NFBFC6665MR077295</t>
  </si>
  <si>
    <t>OLAISD300070147</t>
  </si>
  <si>
    <t>5330/08/2021</t>
  </si>
  <si>
    <t>KHI/HO/D/MO/PC COMP/C/95603/230/08/2024</t>
  </si>
  <si>
    <t>9976AD1211740028</t>
  </si>
  <si>
    <t>SYED WAJAHAT ALI</t>
  </si>
  <si>
    <t>42201-4839382-1</t>
  </si>
  <si>
    <t>0321-2208666</t>
  </si>
  <si>
    <t>0300-8288078/0321-2208666</t>
  </si>
  <si>
    <t>021-34820471</t>
  </si>
  <si>
    <t xml:space="preserve">H#E-39/1 BLOCK 7 GULSHAN-E-IQBAL NEAR K.F.C KARACHI </t>
  </si>
  <si>
    <t>252403696/08/2021</t>
  </si>
  <si>
    <t>G4NAMH302584</t>
  </si>
  <si>
    <t>NNAQL51AZKP512305</t>
  </si>
  <si>
    <t>23-JUN-2021</t>
  </si>
  <si>
    <t>OLAKHI300069618</t>
  </si>
  <si>
    <t>KHI/HO/D/MO/PC COMP/C/95603/231/08/2024</t>
  </si>
  <si>
    <t>9976AD1210830008</t>
  </si>
  <si>
    <t>AKBER ALI</t>
  </si>
  <si>
    <t>42201-0806860-3</t>
  </si>
  <si>
    <t>03002349977 03333788377</t>
  </si>
  <si>
    <t>02135800444</t>
  </si>
  <si>
    <t xml:space="preserve">AKBER ALI AND CO PLOT NO 1C SHOP NO 3 JAMI COMMERCIAL STREET NOZA PH VII DHA KARACHI </t>
  </si>
  <si>
    <t>DIB/TBT/33017/KHI/0821</t>
  </si>
  <si>
    <t>1GD5017514</t>
  </si>
  <si>
    <t>5547297</t>
  </si>
  <si>
    <t>HILUX REVO V DC A/T 4X4</t>
  </si>
  <si>
    <t>24-MAR-2021</t>
  </si>
  <si>
    <t>OLAKHI300066984</t>
  </si>
  <si>
    <t>5327/08/2021/ITEM</t>
  </si>
  <si>
    <t>KHI/HO/D/MO/PC COMP/C/95603/232/08/2024</t>
  </si>
  <si>
    <t>997APD1202440065</t>
  </si>
  <si>
    <t>MUHAMMAD</t>
  </si>
  <si>
    <t>42401-8440712-9</t>
  </si>
  <si>
    <t>03032205980</t>
  </si>
  <si>
    <t xml:space="preserve">SHOP NO 109 MUHAMMADI WATCH QUETTA MARKET YOUSUF PLAZA BOLTON MARKET NEAR HBL M.A JINNAH ROAD KARACHI </t>
  </si>
  <si>
    <t>Z538942</t>
  </si>
  <si>
    <t>4165448</t>
  </si>
  <si>
    <t>BQA-877</t>
  </si>
  <si>
    <t>TOYOTA COROLLA GLI</t>
  </si>
  <si>
    <t>POUKHI300057047</t>
  </si>
  <si>
    <t>KHI/HO/D/MO/PC COMP/C/95603/62/08/2024</t>
  </si>
  <si>
    <t>9976AP2212430015</t>
  </si>
  <si>
    <t>MUHAMMAD HASAN KHAN</t>
  </si>
  <si>
    <t>42101-1930391-5</t>
  </si>
  <si>
    <t>03232300051</t>
  </si>
  <si>
    <t>03232300051, 03232300051</t>
  </si>
  <si>
    <t xml:space="preserve">HOUSE # A-46 PLOT # BLOCK N NORTH N AZIMABAD 1ST FLOOR NEAR MAZEDAR HAL KARACHI PK </t>
  </si>
  <si>
    <t>55239/00081/08/2021</t>
  </si>
  <si>
    <t>1KR-2003792</t>
  </si>
  <si>
    <t>M700A-0099206</t>
  </si>
  <si>
    <t>TOYOTA PASSO</t>
  </si>
  <si>
    <t>OLUKHI300072686</t>
  </si>
  <si>
    <t>DIB0031469</t>
  </si>
  <si>
    <t>KHI/HO/D/MO/PC COMP/C/95603/63/08/2024</t>
  </si>
  <si>
    <t>9976AD2211470008</t>
  </si>
  <si>
    <t>ZAHID AHMAD SIDDIQUI</t>
  </si>
  <si>
    <t>35202-0167059-5</t>
  </si>
  <si>
    <t>03004522835</t>
  </si>
  <si>
    <t>04237566883</t>
  </si>
  <si>
    <t xml:space="preserve">UBL AMIN BRANCH CHOWK BABA AZAM ICH RA LAHORE </t>
  </si>
  <si>
    <t>2021-08-205-V01501OP0001909</t>
  </si>
  <si>
    <t>1077063</t>
  </si>
  <si>
    <t>SUZUKI ALTO</t>
  </si>
  <si>
    <t>27-MAY-2021</t>
  </si>
  <si>
    <t>OLALHR300068936</t>
  </si>
  <si>
    <t>DIB0031283</t>
  </si>
  <si>
    <t>KHI/HO/D/MO/PC COMP/C/95603/236/08/2024</t>
  </si>
  <si>
    <t>997APD2202440041</t>
  </si>
  <si>
    <t>MUHAMMAD KASHIF</t>
  </si>
  <si>
    <t>35202-2945933-3</t>
  </si>
  <si>
    <t>03004508557</t>
  </si>
  <si>
    <t xml:space="preserve">RANA ARCADE NEAR MAI LADU MASJID 1- MISSION ROAD LAHORE </t>
  </si>
  <si>
    <t>52611/00105/08/2020</t>
  </si>
  <si>
    <t>L15Z13505666</t>
  </si>
  <si>
    <t>NFBDG1832HR005560</t>
  </si>
  <si>
    <t>LEC-18-4544</t>
  </si>
  <si>
    <t>BRV IVTEC S</t>
  </si>
  <si>
    <t>POULHR300057024</t>
  </si>
  <si>
    <t>DIB0028662</t>
  </si>
  <si>
    <t>01-SEP-2020</t>
  </si>
  <si>
    <t>KHI/HO/D/MO/PC COMP/C/95603/64/08/2024</t>
  </si>
  <si>
    <t>9976AD2210580003</t>
  </si>
  <si>
    <t>MUHAMMAD ASHRAF QURESHI</t>
  </si>
  <si>
    <t>41303-8032065-7</t>
  </si>
  <si>
    <t>03103813435</t>
  </si>
  <si>
    <t xml:space="preserve">FLAT # G-27 NEW SARDAR KHAN COLONY PHULELI NEAR RAFIQ PARK HYDERABAD PK </t>
  </si>
  <si>
    <t>UWT/D/T002/0000001004/0821/109</t>
  </si>
  <si>
    <t>JL466Q9M69U502172</t>
  </si>
  <si>
    <t>NKMAAB3D1M1007658</t>
  </si>
  <si>
    <t>CHANGAN KARVAAN</t>
  </si>
  <si>
    <t>27-FEB-2021</t>
  </si>
  <si>
    <t>OLAHYD300066256</t>
  </si>
  <si>
    <t>5261/08/2021/ITFM</t>
  </si>
  <si>
    <t>KHI/HO/D/MO/PC COMP/C/95603/238/08/2024</t>
  </si>
  <si>
    <t>9976AD1211760050</t>
  </si>
  <si>
    <t>WAQAS</t>
  </si>
  <si>
    <t>35202-9830903-1</t>
  </si>
  <si>
    <t>03214568892</t>
  </si>
  <si>
    <t xml:space="preserve">AKRAM PARK PEERAN COLONY BUND ROAD SANDA NEAR AYESHA MASJID NEAR WATER FILTER LAHORE </t>
  </si>
  <si>
    <t>2021-08-205-V01501O0001916</t>
  </si>
  <si>
    <t>PK10B218317</t>
  </si>
  <si>
    <t>A1J310PK10118367</t>
  </si>
  <si>
    <t>25-JUN-2021</t>
  </si>
  <si>
    <t>OLALHR300069876</t>
  </si>
  <si>
    <t>DIB0031312</t>
  </si>
  <si>
    <t>KHI/HO/D/MO/PC COMP/C/95603/239/08/2024</t>
  </si>
  <si>
    <t>9976AD1211510019</t>
  </si>
  <si>
    <t>ANILA</t>
  </si>
  <si>
    <t>42201-2121111-4</t>
  </si>
  <si>
    <t>03218969819</t>
  </si>
  <si>
    <t xml:space="preserve">D-2/IV MAYMAR VIEW APPARTMENTS BLOC K-17 GULSHAN E IQBAL NEAR KARACHI S KARACHI PK </t>
  </si>
  <si>
    <t>2524/02602/00087/08/2021</t>
  </si>
  <si>
    <t>501997</t>
  </si>
  <si>
    <t>KIA PICANTO 1.0L M/T</t>
  </si>
  <si>
    <t>OLAKHI300068925</t>
  </si>
  <si>
    <t>5359/08/2021</t>
  </si>
  <si>
    <t>23-AUG-2021</t>
  </si>
  <si>
    <t>KHI/HO/D/MO/PC COMP/C/95603/65/08/2024</t>
  </si>
  <si>
    <t>9976AP1212440007</t>
  </si>
  <si>
    <t>SAMINA PERVAIZ</t>
  </si>
  <si>
    <t>35202-2017762-6</t>
  </si>
  <si>
    <t>03114392032</t>
  </si>
  <si>
    <t xml:space="preserve">18 FATEH SHER ROAD BARKAT MARKET CH OWK KALA PEHALWAN MOZANG LAHORE </t>
  </si>
  <si>
    <t>55239/00094/08/2021</t>
  </si>
  <si>
    <t>10118627</t>
  </si>
  <si>
    <t>SUZUKI WAGON R VXL</t>
  </si>
  <si>
    <t>OLALHR300073008</t>
  </si>
  <si>
    <t>DIB0031506</t>
  </si>
  <si>
    <t>KHI/HO/D/MO/PC COMP/C/95603/66/08/2024</t>
  </si>
  <si>
    <t>9976AD1211470030</t>
  </si>
  <si>
    <t>QAZI SAMI UDDIN</t>
  </si>
  <si>
    <t>35202-0305230-9</t>
  </si>
  <si>
    <t>03064732766</t>
  </si>
  <si>
    <t xml:space="preserve">QUATER NO 8 BLOCK 782 MUHALLAH RAIL WAY WIRELESS COLONY CHAH MIRAN LAHO RE LAHORE </t>
  </si>
  <si>
    <t>2021-08-205-V01501OP0001914</t>
  </si>
  <si>
    <t>2A33479</t>
  </si>
  <si>
    <t>NSP150R-7020717</t>
  </si>
  <si>
    <t>OLALHR300068938</t>
  </si>
  <si>
    <t>DIB0031315</t>
  </si>
  <si>
    <t>16-AUG-2021</t>
  </si>
  <si>
    <t>KHI/HO/D/MO/PC COMP/C/95603/243/08/2024</t>
  </si>
  <si>
    <t>997APD1202300010</t>
  </si>
  <si>
    <t>SHAHID FARID</t>
  </si>
  <si>
    <t>35202-0135073-9</t>
  </si>
  <si>
    <t>03214949039</t>
  </si>
  <si>
    <t xml:space="preserve">AL HARAM ESTATE AND BUILDERS 578 A BLOCK MAIN CHOWK JUBILEE TOWN LAHORE </t>
  </si>
  <si>
    <t>52611/00024/08/2020</t>
  </si>
  <si>
    <t>Q344523</t>
  </si>
  <si>
    <t>7043707</t>
  </si>
  <si>
    <t>ARF-502</t>
  </si>
  <si>
    <t>COROLLA ALTIS GRANDE CVT</t>
  </si>
  <si>
    <t>PODLHR300056332</t>
  </si>
  <si>
    <t>2837/08/2020/ITFM</t>
  </si>
  <si>
    <t>KHI/HO/D/MO/PC COMP/C/95603/244/08/2024</t>
  </si>
  <si>
    <t>997APD1202440043</t>
  </si>
  <si>
    <t>MUHAMMAD ASHFAQ SHOUKAT</t>
  </si>
  <si>
    <t>33100-3474338-9</t>
  </si>
  <si>
    <t>03006636871</t>
  </si>
  <si>
    <t>03006636871, 03006636871</t>
  </si>
  <si>
    <t>0412639722</t>
  </si>
  <si>
    <t xml:space="preserve">H NO P-1158 ST NO 01 BLOCK B NEIGHB AN PURA FAISALABAD PK </t>
  </si>
  <si>
    <t>52611/00091/08/2020</t>
  </si>
  <si>
    <t>702633</t>
  </si>
  <si>
    <t>PODFSD300056896</t>
  </si>
  <si>
    <t>TDIDIB0028614</t>
  </si>
  <si>
    <t>KHI/HO/D/MO/PC COMP/C/95603/68/08/2024</t>
  </si>
  <si>
    <t>9976AP2212440008</t>
  </si>
  <si>
    <t>MUHAMMAD NASIR</t>
  </si>
  <si>
    <t>35202-4410330-5</t>
  </si>
  <si>
    <t>03220438909</t>
  </si>
  <si>
    <t xml:space="preserve">94-COLLEGE BLOCK NEAR SCIENCE COLLE GE WAHDAT ROAD LAHORE </t>
  </si>
  <si>
    <t>55239/00093/08/2021</t>
  </si>
  <si>
    <t>Z540705</t>
  </si>
  <si>
    <t>NZE170R-4166519</t>
  </si>
  <si>
    <t>LE-19-7851</t>
  </si>
  <si>
    <t>OLULHR300072989</t>
  </si>
  <si>
    <t>DIB0031497</t>
  </si>
  <si>
    <t>KHI/HO/D/MO/PC COMP/C/95603/69/08/2024</t>
  </si>
  <si>
    <t>9976AP2212450030</t>
  </si>
  <si>
    <t>SAQIB ZAFAR</t>
  </si>
  <si>
    <t>42101-3952531-1</t>
  </si>
  <si>
    <t>03473540805</t>
  </si>
  <si>
    <t>02134395127</t>
  </si>
  <si>
    <t xml:space="preserve">3RD FLOOR NAJEEB CENTRE ROAD BLOCK 2 PECHS NEAR ALLAH WALA CHOWR ANGI NEAR MC DOINALD KARACHI </t>
  </si>
  <si>
    <t>55239/00091/08/2021</t>
  </si>
  <si>
    <t>KF-L126075</t>
  </si>
  <si>
    <t>LA150S-1021295</t>
  </si>
  <si>
    <t>BLB-977</t>
  </si>
  <si>
    <t>DAIHATSU MOVE</t>
  </si>
  <si>
    <t>OLUKHI300072906</t>
  </si>
  <si>
    <t>DIB0031496</t>
  </si>
  <si>
    <t>KHI/HO/D/MO/PC COMP/C/95603/70/08/2024</t>
  </si>
  <si>
    <t>997APD2202440024</t>
  </si>
  <si>
    <t>SYED TURAB ALI</t>
  </si>
  <si>
    <t>35202-4593660-7</t>
  </si>
  <si>
    <t>03172424032</t>
  </si>
  <si>
    <t xml:space="preserve">47-N GHURUMANGAT ROAD GULBERG II LAHORE. PAKISTAN </t>
  </si>
  <si>
    <t>52611/00090/08/2020</t>
  </si>
  <si>
    <t>150128EZ1033</t>
  </si>
  <si>
    <t>NHP102423128</t>
  </si>
  <si>
    <t>LE-19-9069</t>
  </si>
  <si>
    <t>TOYOTA AQUA HYBRID</t>
  </si>
  <si>
    <t>POULHR300056894</t>
  </si>
  <si>
    <t>DIB0028629</t>
  </si>
  <si>
    <t>KHI/HO/D/MO/PC COMP/C/95603/71/08/2024</t>
  </si>
  <si>
    <t>9976AP2222280005</t>
  </si>
  <si>
    <t>QAIS HAMID KHAN</t>
  </si>
  <si>
    <t>37405-0366993-5</t>
  </si>
  <si>
    <t>92-4311039</t>
  </si>
  <si>
    <t>0314-5000023</t>
  </si>
  <si>
    <t>92-2808466</t>
  </si>
  <si>
    <t xml:space="preserve">H # 2 ST # 35 SOCTOR-C DHA PHASE-1 ISLAMABAD </t>
  </si>
  <si>
    <t>62698/00048/08/2022</t>
  </si>
  <si>
    <t>106346</t>
  </si>
  <si>
    <t>SUZUKI SWIFT GL CVT</t>
  </si>
  <si>
    <t>16-AUG-2022</t>
  </si>
  <si>
    <t>OLDISD300089252</t>
  </si>
  <si>
    <t>8327/08/2022/ITFM</t>
  </si>
  <si>
    <t>KHI/HO/D/MO/PC COMP/C/95603/250/08/2024</t>
  </si>
  <si>
    <t>9976AD2220740014</t>
  </si>
  <si>
    <t>NASIR MUJAHID QURESHI</t>
  </si>
  <si>
    <t>42101-1571636-9</t>
  </si>
  <si>
    <t>03008292211</t>
  </si>
  <si>
    <t>32568872</t>
  </si>
  <si>
    <t xml:space="preserve">FALAKNAZ ENTERPRISES A-21, SITE KARACHI </t>
  </si>
  <si>
    <t>62698/00051/08/2022</t>
  </si>
  <si>
    <t>1142995</t>
  </si>
  <si>
    <t>15-MAR-2022</t>
  </si>
  <si>
    <t>OLAKHI300085588</t>
  </si>
  <si>
    <t>DIB0034689</t>
  </si>
  <si>
    <t>10-AUG-2022</t>
  </si>
  <si>
    <t>KHI/HO/D/MO/PC COMP/C/95603/251/08/2024</t>
  </si>
  <si>
    <t>9976AP2212440006</t>
  </si>
  <si>
    <t>MIAN SOHAIB IKRAM</t>
  </si>
  <si>
    <t>31202-5675362-9</t>
  </si>
  <si>
    <t>03216800955</t>
  </si>
  <si>
    <t xml:space="preserve">155 C-BLOCK MODEL TOWN LAHORE </t>
  </si>
  <si>
    <t>55239/00089/08/2021</t>
  </si>
  <si>
    <t>JL473QFM3CAD510922</t>
  </si>
  <si>
    <t>NKMAZASE5M1001733</t>
  </si>
  <si>
    <t>ALSVIN 1.56L LUMIERE</t>
  </si>
  <si>
    <t>OLDLHR300072909</t>
  </si>
  <si>
    <t>DIB0031480</t>
  </si>
  <si>
    <t>KHI/HO/D/MO/PC COMP/C/95603/74/08/2024</t>
  </si>
  <si>
    <t>9976AD2213030018</t>
  </si>
  <si>
    <t>UMER KHATAB</t>
  </si>
  <si>
    <t>42401-2058435-5</t>
  </si>
  <si>
    <t>03178000786</t>
  </si>
  <si>
    <t>03178000786, 03178000786</t>
  </si>
  <si>
    <t xml:space="preserve">HOUSE # D-156-7 BLOCK 5 METROVILLE NO. 1 SITE TOWN NEAR MASJID QUBA KARACHI PK </t>
  </si>
  <si>
    <t>62698/00052/08/2022</t>
  </si>
  <si>
    <t>6075739</t>
  </si>
  <si>
    <t>TOYOTA COROLLA ALTIS A/T S/R</t>
  </si>
  <si>
    <t>30-OCT-2021</t>
  </si>
  <si>
    <t>OLAKHI300077304</t>
  </si>
  <si>
    <t>DIB0034686</t>
  </si>
  <si>
    <t>KHI/HO/D/MO/PC COMP/C/95603/253/08/2024</t>
  </si>
  <si>
    <t>9976AD2221260034</t>
  </si>
  <si>
    <t>TALAT IFTIKHAR</t>
  </si>
  <si>
    <t>42501-9705662-2</t>
  </si>
  <si>
    <t>03333824250</t>
  </si>
  <si>
    <t xml:space="preserve">FLAT # 402 SURVEY NUMBER 609 JAFFER E TAYYAR SOCIETY PHASE 2 MARKAZI I KARACHI PK </t>
  </si>
  <si>
    <t>62698/00050/08/2022</t>
  </si>
  <si>
    <t>106190</t>
  </si>
  <si>
    <t>SUZUKI SWIFT GL M/T</t>
  </si>
  <si>
    <t>06-MAY-2022</t>
  </si>
  <si>
    <t>OLAKHI300087171</t>
  </si>
  <si>
    <t>8301/08/2022/ITFM</t>
  </si>
  <si>
    <t>KHI/HO/D/MO/PC COMP/C/95603/254/08/2024</t>
  </si>
  <si>
    <t>9976AP1212450031</t>
  </si>
  <si>
    <t>MUHAMMAD ASHRAF</t>
  </si>
  <si>
    <t>42501-8259079-7</t>
  </si>
  <si>
    <t>03152281569</t>
  </si>
  <si>
    <t xml:space="preserve">A/91 GALI4 BAKHTAWAR GOTH JALBANI C HOWK BHATAI ABABD GULISTAN-E- JOUHA R BLOCK 9 DUBAI HOUSE KARACHI </t>
  </si>
  <si>
    <t>55239/00087/08/2021</t>
  </si>
  <si>
    <t>10030242</t>
  </si>
  <si>
    <t>BFH-102</t>
  </si>
  <si>
    <t>SUZUKI SWIFT DLX 1.3 LM/T</t>
  </si>
  <si>
    <t>OLUKHI300072833</t>
  </si>
  <si>
    <t>DIB0031475</t>
  </si>
  <si>
    <t>KHI/HO/D/MO/PC COMP/C/95603/76/08/2024</t>
  </si>
  <si>
    <t>997APD1202440033</t>
  </si>
  <si>
    <t>SALEH BASHIR</t>
  </si>
  <si>
    <t>35202-7843867-7</t>
  </si>
  <si>
    <t>0300-8073673</t>
  </si>
  <si>
    <t xml:space="preserve">HNO # 51 JAVED PARK NEAR FIAZ ASSOCISTES SHAD BAGH LAHORE PAKISTAN </t>
  </si>
  <si>
    <t>52611/00098/08/2020</t>
  </si>
  <si>
    <t>Q022139</t>
  </si>
  <si>
    <t>ZRE1414521152</t>
  </si>
  <si>
    <t>LEC-14-2779</t>
  </si>
  <si>
    <t>TOYOTA COROLLA ALTIS 1.6 A/T</t>
  </si>
  <si>
    <t>POUFSD300056924</t>
  </si>
  <si>
    <t>DIB0028642</t>
  </si>
  <si>
    <t>KHI/HO/D/MO/PC COMP/C/95603/77/08/2024</t>
  </si>
  <si>
    <t>9976AP1212440015</t>
  </si>
  <si>
    <t>MUHAMMAD ASIM</t>
  </si>
  <si>
    <t>35200-1506613-1</t>
  </si>
  <si>
    <t>03218450567</t>
  </si>
  <si>
    <t xml:space="preserve">591 AIRLINE SOCIETY NEAR SHAUKAT KH ANAM HOSPITAL LAHORE </t>
  </si>
  <si>
    <t>55239/00095/08/2021</t>
  </si>
  <si>
    <t>L13Z175333292</t>
  </si>
  <si>
    <t>NFBGM1547KR252518</t>
  </si>
  <si>
    <t>LE-20-966</t>
  </si>
  <si>
    <t>HONDA CITY IVTEC</t>
  </si>
  <si>
    <t>OLULHR300073007</t>
  </si>
  <si>
    <t>DIB0031510</t>
  </si>
  <si>
    <t>KHI/HO/D/MO/PC COMP/C/95603/78/08/2024</t>
  </si>
  <si>
    <t>9976AP1222270001</t>
  </si>
  <si>
    <t>SHEIKH MUHAMMAD JEHANZEB</t>
  </si>
  <si>
    <t>37405-0605412-7</t>
  </si>
  <si>
    <t>03335662667</t>
  </si>
  <si>
    <t>0515911612</t>
  </si>
  <si>
    <t xml:space="preserve">H # 711 ST # 5 SECTOR-A BAHRIA TOWN PH 8 NEAR DUA CHOWK RAWALPINDI PK </t>
  </si>
  <si>
    <t>62698/49/08/2022</t>
  </si>
  <si>
    <t>303422</t>
  </si>
  <si>
    <t>ARU-534</t>
  </si>
  <si>
    <t>KIA SPORTAGE FWD</t>
  </si>
  <si>
    <t>OLURWP300089253</t>
  </si>
  <si>
    <t>8325/08/2022/ITFM</t>
  </si>
  <si>
    <t>KHI/HO/D/MO/PC COMP/C/95603/257/08/2024</t>
  </si>
  <si>
    <t>997APD1202440049</t>
  </si>
  <si>
    <t>IQRA SUHAIL</t>
  </si>
  <si>
    <t>33102-8936446-4</t>
  </si>
  <si>
    <t>03167711337</t>
  </si>
  <si>
    <t>03167711337, 03167711337</t>
  </si>
  <si>
    <t xml:space="preserve">H NO P-96/2 ST NO 4 ALFAIZ COLONY FAISALABAD PK </t>
  </si>
  <si>
    <t>52611/00101/08/2020</t>
  </si>
  <si>
    <t>PK10K108131</t>
  </si>
  <si>
    <t>NF1AVK31H10008126</t>
  </si>
  <si>
    <t>LE-17A-7949</t>
  </si>
  <si>
    <t>CULTUS VXL</t>
  </si>
  <si>
    <t>POUFSD300056959</t>
  </si>
  <si>
    <t>2930/08/2020</t>
  </si>
  <si>
    <t>KHI/HO/D/MO/PC COMP/C/95603/80/08/2024</t>
  </si>
  <si>
    <t>9976AP2192430047</t>
  </si>
  <si>
    <t>SYED SOHAIL AHMED</t>
  </si>
  <si>
    <t>42101-0110209-9</t>
  </si>
  <si>
    <t>03008298826</t>
  </si>
  <si>
    <t>034327781</t>
  </si>
  <si>
    <t xml:space="preserve">FLAT # 704 7th FLOOR AL MINAL TOWER BLOCK-3/A GULISTAN E JAUHAR NEAR M KARACHI PK </t>
  </si>
  <si>
    <t>L13Z1-6421537</t>
  </si>
  <si>
    <t>NFBGM1642ER148103</t>
  </si>
  <si>
    <t>BBL-852</t>
  </si>
  <si>
    <t>CITY I-VTEC P/T</t>
  </si>
  <si>
    <t>POUKHI300048838</t>
  </si>
  <si>
    <t>FTSM</t>
  </si>
  <si>
    <t>KHI/HO/D/MO/PC COMP/C/95603/81/08/2024</t>
  </si>
  <si>
    <t>9976AD2211810014</t>
  </si>
  <si>
    <t>AAMIR</t>
  </si>
  <si>
    <t>Nawab Shah</t>
  </si>
  <si>
    <t>45402-3879269-1</t>
  </si>
  <si>
    <t xml:space="preserve">AAMIR AUTOS KACHARI ROAD NAWABSHAH 0300-3278782 </t>
  </si>
  <si>
    <t>UWT/D/T002/0000001005/0821/109-0</t>
  </si>
  <si>
    <t>1076694</t>
  </si>
  <si>
    <t>OLANWB300069633</t>
  </si>
  <si>
    <t>DIB0031149</t>
  </si>
  <si>
    <t>KHI/HO/D/MO/PC COMP/C/95603/261/08/2024</t>
  </si>
  <si>
    <t>9976AP2212240005</t>
  </si>
  <si>
    <t>MUHAMMAD MUJTABA TURABI</t>
  </si>
  <si>
    <t>42201-6497882-3</t>
  </si>
  <si>
    <t>03409186497</t>
  </si>
  <si>
    <t xml:space="preserve">A- 59 BLOCK 4-A ABDUL HASSAN ASFAHA NI ROAD IMAM BARGAH KARACHI PK </t>
  </si>
  <si>
    <t>55239/00030/08/2021</t>
  </si>
  <si>
    <t>KF-L128998</t>
  </si>
  <si>
    <t>LA150S-1020962</t>
  </si>
  <si>
    <t>OLUKHI300071892</t>
  </si>
  <si>
    <t>5324/08/2021</t>
  </si>
  <si>
    <t>11-08-2021</t>
  </si>
  <si>
    <t>KHI/HO/D/MO/PC COMP/C/95603/262/08/2024</t>
  </si>
  <si>
    <t>9976AD1212090013</t>
  </si>
  <si>
    <t>MUHAMMAD AYUB</t>
  </si>
  <si>
    <t>Bahawalpur</t>
  </si>
  <si>
    <t>31202-0251112-3</t>
  </si>
  <si>
    <t>03008682682</t>
  </si>
  <si>
    <t>03008682682, 03333666771</t>
  </si>
  <si>
    <t xml:space="preserve">H NO 43 ZIA UD DIN COLONY KARBALA R OAD MODEL TOWN B BAHAWALPUR PK </t>
  </si>
  <si>
    <t>55239/00029/08/2021</t>
  </si>
  <si>
    <t>1078992</t>
  </si>
  <si>
    <t>28-JUL-2021</t>
  </si>
  <si>
    <t>OLABHP300071116</t>
  </si>
  <si>
    <t>5326/08/2021</t>
  </si>
  <si>
    <t>12-08-2021</t>
  </si>
  <si>
    <t>KHI/HO/D/MO/PC COMP/C/95603/263/08/2024</t>
  </si>
  <si>
    <t>9976AP2192430034</t>
  </si>
  <si>
    <t>IMRAN FAYYAZ</t>
  </si>
  <si>
    <t>35201-1684985-9</t>
  </si>
  <si>
    <t>0321-9482347</t>
  </si>
  <si>
    <t>37325630-31</t>
  </si>
  <si>
    <t xml:space="preserve">H NO 620 E ASKARI 10 LAHORE </t>
  </si>
  <si>
    <t>51003/00100/08/2019</t>
  </si>
  <si>
    <t>R06A-K300276</t>
  </si>
  <si>
    <t>MK42S-128342</t>
  </si>
  <si>
    <t>LE-19A-1641</t>
  </si>
  <si>
    <t>SUZUKI SPACIA</t>
  </si>
  <si>
    <t>POULHR300048824</t>
  </si>
  <si>
    <t>DIB0027821</t>
  </si>
  <si>
    <t>KHI/HO/D/MO/PC COMP/C/95603/84/08/2024</t>
  </si>
  <si>
    <t>9976AP2192430032</t>
  </si>
  <si>
    <t>MUMTAZ BEGUM</t>
  </si>
  <si>
    <t>33100-5047072-0</t>
  </si>
  <si>
    <t>03326546219</t>
  </si>
  <si>
    <t>03326546219, 03326546219</t>
  </si>
  <si>
    <t xml:space="preserve">P-03 ST NO 14 MEHMOOD ABAD FSD FAISALABAD PK </t>
  </si>
  <si>
    <t>51003/00084/08/2019</t>
  </si>
  <si>
    <t>1008298</t>
  </si>
  <si>
    <t>LE-19A-6944</t>
  </si>
  <si>
    <t>SUZUKI ALTO VXR EURO II AGS</t>
  </si>
  <si>
    <t>PODFSD300048741</t>
  </si>
  <si>
    <t>1676/08/2019/ITFM</t>
  </si>
  <si>
    <t>KHI/HO/D/MO/PC COMP/C/95603/85/08/2024</t>
  </si>
  <si>
    <t>9976AD1212220021</t>
  </si>
  <si>
    <t>SYEDA MEHAK MEHMOOD</t>
  </si>
  <si>
    <t>31202-5190396-8</t>
  </si>
  <si>
    <t>0622200300</t>
  </si>
  <si>
    <t>03106800020</t>
  </si>
  <si>
    <t>0622285280</t>
  </si>
  <si>
    <t xml:space="preserve">HOUSE NO 80 BLOCK B MUSTAFA TOWN BAHAWALPUR PK </t>
  </si>
  <si>
    <t>01-2108-PO-MTR-PCCD-D-001087</t>
  </si>
  <si>
    <t>1078332</t>
  </si>
  <si>
    <t>ALTO VXR EURO II</t>
  </si>
  <si>
    <t>OLABHP300071606</t>
  </si>
  <si>
    <t>5335/08/2021</t>
  </si>
  <si>
    <t>KHI/HO/D/MO/PC COMP/C/95603/265/08/2024</t>
  </si>
  <si>
    <t>997APD2202440048</t>
  </si>
  <si>
    <t>RASHID MEHMOOD</t>
  </si>
  <si>
    <t>33100-6252752-9</t>
  </si>
  <si>
    <t>0300-6691093</t>
  </si>
  <si>
    <t>041-8581212</t>
  </si>
  <si>
    <t xml:space="preserve">H NO P-356 80 MURBBA CANAL RD MAIN BAZAR MANNA WALA FAISLABAD </t>
  </si>
  <si>
    <t>K6A9311897</t>
  </si>
  <si>
    <t>DR64V-795536</t>
  </si>
  <si>
    <t>LEH-19-2150</t>
  </si>
  <si>
    <t>CLIPPER</t>
  </si>
  <si>
    <t>POUFSD300056964</t>
  </si>
  <si>
    <t>2932/08/2020</t>
  </si>
  <si>
    <t>KHI/HO/D/MO/PC COMP/C/95603/86/08/2024</t>
  </si>
  <si>
    <t>9976AD1211520079</t>
  </si>
  <si>
    <t>MUHAMMAD NAEEM SIDDIQUE</t>
  </si>
  <si>
    <t>35202-2999341-9</t>
  </si>
  <si>
    <t>03006955781</t>
  </si>
  <si>
    <t xml:space="preserve">LUSH GREEN AGRO SERVICES SHOP NO 621/622 OLD MALL MANDI ROAD NEAR SABZI MANDI OKARA 0300-6955781 </t>
  </si>
  <si>
    <t>DIB/T/33295/LHR/0821</t>
  </si>
  <si>
    <t>512032</t>
  </si>
  <si>
    <t>SPORTAGE AWD</t>
  </si>
  <si>
    <t>OLAOKR300069254</t>
  </si>
  <si>
    <t>KHI/HO/D/MO/PC COMP/C/95603/87/08/2024</t>
  </si>
  <si>
    <t>9976AD1212000020</t>
  </si>
  <si>
    <t>FURQAN ALI DAKHAN</t>
  </si>
  <si>
    <t>43301-3805984-9</t>
  </si>
  <si>
    <t>03212014622</t>
  </si>
  <si>
    <t>99207411-13</t>
  </si>
  <si>
    <t xml:space="preserve">FL NO D-13 CROWN GARDEN BLOCK 4 GULISTAN E JOHAR MAIN UNIVERSITY ROAD KARACHI </t>
  </si>
  <si>
    <t>DIB/T/BT/33018/HYD/0821</t>
  </si>
  <si>
    <t>2A33926</t>
  </si>
  <si>
    <t>7021070</t>
  </si>
  <si>
    <t>TOYOTA YARIS GLI MT 1.3</t>
  </si>
  <si>
    <t>19-JUL-2021</t>
  </si>
  <si>
    <t>OLAHYD300070849</t>
  </si>
  <si>
    <t>5286/08/2021</t>
  </si>
  <si>
    <t>KHI/HO/D/MO/PC COMP/C/95603/268/08/2024</t>
  </si>
  <si>
    <t>9976AP1232430005</t>
  </si>
  <si>
    <t>MUHAMMAD WAQAS</t>
  </si>
  <si>
    <t>36501-9951492-9</t>
  </si>
  <si>
    <t>03004894889</t>
  </si>
  <si>
    <t>04237249823</t>
  </si>
  <si>
    <t xml:space="preserve">SHOP NO 5 BHAWALPUR ROAD OUTSIDE SU RAYYA AZEEM HOSPITAL NEAR PSO WALI GALI LAHORE </t>
  </si>
  <si>
    <t>73551/00028/08/2023</t>
  </si>
  <si>
    <t>29-AUG-2024</t>
  </si>
  <si>
    <t>10030381</t>
  </si>
  <si>
    <t>AAA-53</t>
  </si>
  <si>
    <t>OLULHR300096511</t>
  </si>
  <si>
    <t>DIB0035258</t>
  </si>
  <si>
    <t>KHI/HO/D/MO/PC COMP/C/95603/88/08/2024</t>
  </si>
  <si>
    <t>9976AD1210300054</t>
  </si>
  <si>
    <t>MOHSIN SHAHID</t>
  </si>
  <si>
    <t>Multan</t>
  </si>
  <si>
    <t>35302-8484437-1</t>
  </si>
  <si>
    <t>03000738700</t>
  </si>
  <si>
    <t>0616529972, 03000738700</t>
  </si>
  <si>
    <t>0616529972</t>
  </si>
  <si>
    <t xml:space="preserve">HOUSE NO 78 STREET NO 07 GULZAIB CO LONY VEHARI ROAD MULTAN PK </t>
  </si>
  <si>
    <t>DIB/T/BT/33304/LHR/0821</t>
  </si>
  <si>
    <t>5MGM51700</t>
  </si>
  <si>
    <t>MN093533</t>
  </si>
  <si>
    <t>30-JAN-2021</t>
  </si>
  <si>
    <t>OLAMUX300065534</t>
  </si>
  <si>
    <t>5354/08/2021/ITFM</t>
  </si>
  <si>
    <t>KHI/HO/D/MO/PC COMP/C/95603/89/08/2024</t>
  </si>
  <si>
    <t>997AAD2202120013</t>
  </si>
  <si>
    <t>SAJJAD HUSSAIN</t>
  </si>
  <si>
    <t>36502-3215177-1</t>
  </si>
  <si>
    <t>03017325562</t>
  </si>
  <si>
    <t xml:space="preserve">CHAK NO 62/5-L SAHIWAL SAHIWAL PK </t>
  </si>
  <si>
    <t>DIB/T/BT/28210/LHR/0820</t>
  </si>
  <si>
    <t>LR018852</t>
  </si>
  <si>
    <t>ARD-462</t>
  </si>
  <si>
    <t>BRV M/T</t>
  </si>
  <si>
    <t>30-JUL-2020</t>
  </si>
  <si>
    <t>POASHW300056152</t>
  </si>
  <si>
    <t>2841/08/2020/ITFM</t>
  </si>
  <si>
    <t>KHI/HO/D/MO/PC COMP/C/95603/271/08/2024</t>
  </si>
  <si>
    <t>9976AD1210580074</t>
  </si>
  <si>
    <t>TAMOOR LATIF</t>
  </si>
  <si>
    <t>31202-1592641-3</t>
  </si>
  <si>
    <t>03008686558</t>
  </si>
  <si>
    <t xml:space="preserve">FLAT 315/85/20 NEW CENTRAL JAIL ROA D NEAR RADIO SATION BAHAWALPUR PK </t>
  </si>
  <si>
    <t>DIB/T/BT/33021/FSD/0821</t>
  </si>
  <si>
    <t>15E4E5MGM4130201</t>
  </si>
  <si>
    <t>LSJA24U97MN079432</t>
  </si>
  <si>
    <t>OLABHP300066443</t>
  </si>
  <si>
    <t>5343/08/2021/ITFM</t>
  </si>
  <si>
    <t>KHI/HO/D/MO/PC COMP/C/95603/274/08/2024</t>
  </si>
  <si>
    <t>9976AD2212110012</t>
  </si>
  <si>
    <t>SYED MUZAMIL SHAH</t>
  </si>
  <si>
    <t>31202-7288577-9</t>
  </si>
  <si>
    <t>03236900002</t>
  </si>
  <si>
    <t xml:space="preserve">BANGLOW NO 1 GOTH GHANI SAMA SATTA ROAD BAHAWALPUR PK </t>
  </si>
  <si>
    <t>01-2108-PO-MTR-PCCM-D-001088</t>
  </si>
  <si>
    <t>R18Z16924873</t>
  </si>
  <si>
    <t>NFBFC6666MR077306</t>
  </si>
  <si>
    <t>OLABHP300071293</t>
  </si>
  <si>
    <t>DIB0031299</t>
  </si>
  <si>
    <t>KHI/HO/D/MO/PC COMP/C/95603/275/08/2024</t>
  </si>
  <si>
    <t>9976AP2182390003</t>
  </si>
  <si>
    <t>MALIK NASEER KHAN</t>
  </si>
  <si>
    <t>Kotri Jamshoro</t>
  </si>
  <si>
    <t>42201-9379461-9</t>
  </si>
  <si>
    <t>0300-2150884 0300-8904701</t>
  </si>
  <si>
    <t xml:space="preserve">AL MUSTAFA GENERAL STORE BUS STOP THANA BULA KHAN DISTRICT JAMSHORO </t>
  </si>
  <si>
    <t>49775/00001/08/2018</t>
  </si>
  <si>
    <t>Q047288</t>
  </si>
  <si>
    <t>6024751</t>
  </si>
  <si>
    <t>BNP-817</t>
  </si>
  <si>
    <t>27-AUG-2018</t>
  </si>
  <si>
    <t>27-Aug-2025</t>
  </si>
  <si>
    <t>PODKHI300036963</t>
  </si>
  <si>
    <t>FSPT</t>
  </si>
  <si>
    <t>16068/08/2018/SPD</t>
  </si>
  <si>
    <t>13-AUG-2018</t>
  </si>
  <si>
    <t>3.1%</t>
  </si>
  <si>
    <t>KHI/HO/D/MO/PC COMP/C/95603/276/08/2024</t>
  </si>
  <si>
    <t>9976AD2211510004</t>
  </si>
  <si>
    <t>ALI AKBAR BHATTI</t>
  </si>
  <si>
    <t>41303-0396849-3</t>
  </si>
  <si>
    <t>03363060752</t>
  </si>
  <si>
    <t>03363060752, 03133806456</t>
  </si>
  <si>
    <t xml:space="preserve">MOHALLA BAIG HAJI BHATTI PAR LATIFA BAD SHARI NOOR MASJID HYDERABAD PK </t>
  </si>
  <si>
    <t>UWT/D/T002/0000001007/0821/109-0</t>
  </si>
  <si>
    <t>01130091</t>
  </si>
  <si>
    <t>SUZUKI BOLAN VX</t>
  </si>
  <si>
    <t>OLAHYD300068999</t>
  </si>
  <si>
    <t>5173/07/2021/ITFM</t>
  </si>
  <si>
    <t>29-JUL-2021</t>
  </si>
  <si>
    <t>KHI/HO/D/MO/PC COMP/C/95603/277/08/2024</t>
  </si>
  <si>
    <t>997APD1202300007</t>
  </si>
  <si>
    <t>GHAZALA HAKEEM</t>
  </si>
  <si>
    <t>32203-4037480-4</t>
  </si>
  <si>
    <t>03004734981</t>
  </si>
  <si>
    <t xml:space="preserve">THE INDUS HOSPITAL 3KM DG KHAN ROAD MUZAFARGARH </t>
  </si>
  <si>
    <t>52611/00029/08/2020</t>
  </si>
  <si>
    <t>HF300192</t>
  </si>
  <si>
    <t>LFP72APC7F5AK15219</t>
  </si>
  <si>
    <t>LEH-15-4298</t>
  </si>
  <si>
    <t>HONDA V 2</t>
  </si>
  <si>
    <t>POULHR3000056515</t>
  </si>
  <si>
    <t>2849/08/2020/ITFM</t>
  </si>
  <si>
    <t>13-AUG-2020</t>
  </si>
  <si>
    <t>KHI/HO/D/MO/PC COMP/C/95603/278/08/2024</t>
  </si>
  <si>
    <t>9976AP1212450040</t>
  </si>
  <si>
    <t>MUHAMMAD AZEEM</t>
  </si>
  <si>
    <t>35202-6153295-7</t>
  </si>
  <si>
    <t>03218839995</t>
  </si>
  <si>
    <t xml:space="preserve">47-D MAIN SANDA ROAD SCHOOL STOP LAHORE </t>
  </si>
  <si>
    <t>55239/00078/08/2021</t>
  </si>
  <si>
    <t>1079258</t>
  </si>
  <si>
    <t>OLDLHR300072666</t>
  </si>
  <si>
    <t>DIB00031455</t>
  </si>
  <si>
    <t>KHI/HO/D/MO/PC COMP/C/95603/90/08/2024</t>
  </si>
  <si>
    <t>9976AP1222430041</t>
  </si>
  <si>
    <t>SYED MUHAMMAD SAIF ALI</t>
  </si>
  <si>
    <t>42101-9320347-1</t>
  </si>
  <si>
    <t>03313136209</t>
  </si>
  <si>
    <t xml:space="preserve">FLAT 903 SAIMA PARI UNIQUE BLOCK L NORTH NAZIMABAD KARACHI NEAR NADRA KARACHI PK </t>
  </si>
  <si>
    <t>62698/00135/08/2022</t>
  </si>
  <si>
    <t>046351</t>
  </si>
  <si>
    <t>BNT-257</t>
  </si>
  <si>
    <t>HONDA CIVIC 1.8L ORIEL</t>
  </si>
  <si>
    <t>OLUKHI300089625</t>
  </si>
  <si>
    <t>8508/08/2022/ITFM</t>
  </si>
  <si>
    <t>KHI/HO/D/MO/PC COMP/C/95603/92/08/2024</t>
  </si>
  <si>
    <t>9976AP1222420020</t>
  </si>
  <si>
    <t>FARHAN HAMEED</t>
  </si>
  <si>
    <t>35202-6610802-5</t>
  </si>
  <si>
    <t>03008060850</t>
  </si>
  <si>
    <t xml:space="preserve">H NO 51 ST NO 03 HILAL PARK AMIR RO AD SHAD BAGH LAHORE PK </t>
  </si>
  <si>
    <t>62698/00128/08/2022</t>
  </si>
  <si>
    <t>081667</t>
  </si>
  <si>
    <t>AGC-763</t>
  </si>
  <si>
    <t>OLULHR300089612</t>
  </si>
  <si>
    <t>8495/08/2022/ITFM</t>
  </si>
  <si>
    <t>KHI/HO/D/MO/PC COMP/C/95603/93/08/2024</t>
  </si>
  <si>
    <t>9976AD1221200064</t>
  </si>
  <si>
    <t>ASHFAQ AHMAD</t>
  </si>
  <si>
    <t>33100-7822806-3</t>
  </si>
  <si>
    <t>03217800018</t>
  </si>
  <si>
    <t>03217800018, 03217800018</t>
  </si>
  <si>
    <t xml:space="preserve">H # 120 A-BLOCK HAKEEMA WALA CHOWK NEAR MUHAMMADI CHOWK PEOPLES COLONY FAISALABAD PK </t>
  </si>
  <si>
    <t>62698/00055/08/2022</t>
  </si>
  <si>
    <t>10101214</t>
  </si>
  <si>
    <t>30-APR-2022</t>
  </si>
  <si>
    <t>OLAFSD300087002</t>
  </si>
  <si>
    <t>8345/08/2022/ITFM</t>
  </si>
  <si>
    <t>KHI/HO/D/MO/PC COMP/C/95603/283/08/2024</t>
  </si>
  <si>
    <t>9976AD1220900017</t>
  </si>
  <si>
    <t>MUHAMMAD ABDUL BASIT</t>
  </si>
  <si>
    <t>37405-9128636-3</t>
  </si>
  <si>
    <t>03455530490</t>
  </si>
  <si>
    <t>0512120820</t>
  </si>
  <si>
    <t xml:space="preserve">H # 377 ST # 29 SECTOR G-8/2 ISLAMABAD PK </t>
  </si>
  <si>
    <t>62698/00053/08/2022</t>
  </si>
  <si>
    <t>1147471</t>
  </si>
  <si>
    <t>OLAISD300086175</t>
  </si>
  <si>
    <t>DIB0034718</t>
  </si>
  <si>
    <t>KHI/HO/D/MO/PC COMP/C/95603/284/08/2024</t>
  </si>
  <si>
    <t>9976AP2222430016</t>
  </si>
  <si>
    <t>MEHMOOD AHMAD</t>
  </si>
  <si>
    <t>37404-4865384-1</t>
  </si>
  <si>
    <t>03145309192</t>
  </si>
  <si>
    <t>03425370264</t>
  </si>
  <si>
    <t xml:space="preserve">HOUSE NO B1-310 ST NO 2 MUSLIM TOWN SADIQABAD RWP </t>
  </si>
  <si>
    <t>62698/00129/08/2022</t>
  </si>
  <si>
    <t>10100857</t>
  </si>
  <si>
    <t>SUZUKI CULSTUS VXR EURO-II</t>
  </si>
  <si>
    <t>OLDRWP300089622</t>
  </si>
  <si>
    <t>8500/08/2022/ITFM</t>
  </si>
  <si>
    <t>KHI/HO/D/MO/PC COMP/C/95603/94/08/2024</t>
  </si>
  <si>
    <t>9976AP1222430021</t>
  </si>
  <si>
    <t>AZIZ UR REHMAN</t>
  </si>
  <si>
    <t>34502-0221668-1</t>
  </si>
  <si>
    <t>03005542608</t>
  </si>
  <si>
    <t>0518465534</t>
  </si>
  <si>
    <t xml:space="preserve">H # 38 ST # 01 WAZIR TOWN NEAR HAJI BABA FOODS RAWALPINDI PK </t>
  </si>
  <si>
    <t>62698/00132/08/2022</t>
  </si>
  <si>
    <t>10100951</t>
  </si>
  <si>
    <t>OLDRWP300089623</t>
  </si>
  <si>
    <t>8505/08/2022/ITFM</t>
  </si>
  <si>
    <t>KHI/HO/D/MO/PC COMP/C/95603/95/08/2024</t>
  </si>
  <si>
    <t>9976AP1222430022</t>
  </si>
  <si>
    <t>ABDUL HAMEED</t>
  </si>
  <si>
    <t>82701-0342382-7</t>
  </si>
  <si>
    <t>03122444488</t>
  </si>
  <si>
    <t>0514473895</t>
  </si>
  <si>
    <t xml:space="preserve">2ND FLOOR ALFAZAL PLAZA FLAT NO 14 SECTOR G-9 ISLAMABAD </t>
  </si>
  <si>
    <t>62698/00130/08/2022</t>
  </si>
  <si>
    <t>063840</t>
  </si>
  <si>
    <t>ARF-646</t>
  </si>
  <si>
    <t>OLUISD300089624</t>
  </si>
  <si>
    <t>8502/08/2022/ITFM</t>
  </si>
  <si>
    <t>KHI/HO/D/MO/PC COMP/C/95603/97/08/2024</t>
  </si>
  <si>
    <t>9976AP1222430030</t>
  </si>
  <si>
    <t>NAEEM AHMED</t>
  </si>
  <si>
    <t>37405-5502011-3</t>
  </si>
  <si>
    <t>4454659</t>
  </si>
  <si>
    <t>0300-9540171</t>
  </si>
  <si>
    <t>5782206</t>
  </si>
  <si>
    <t xml:space="preserve">H # NA-309/198-A MOHALLAH NEW MALLPUR SATELLITE TOWN SEVENTH ROAD </t>
  </si>
  <si>
    <t>62698/00131/08/2022</t>
  </si>
  <si>
    <t>545056</t>
  </si>
  <si>
    <t>ADS-703</t>
  </si>
  <si>
    <t>OLURWP300089594</t>
  </si>
  <si>
    <t>8503/08/2022/ITFM</t>
  </si>
  <si>
    <t>KHI/HO/D/MO/PC COMP/C/95603/98/08/2024</t>
  </si>
  <si>
    <t>9976AD1211800004</t>
  </si>
  <si>
    <t>RABIA AMJAD</t>
  </si>
  <si>
    <t>42201-7771180-8</t>
  </si>
  <si>
    <t>03343130928</t>
  </si>
  <si>
    <t xml:space="preserve">HOUSE # B-203 BLOCK 12 SINAH BALOCH CO OPERATIVE HOUSING SOCIETYGULIST KARACHI PK </t>
  </si>
  <si>
    <t>2524/02602/00039/08/2021</t>
  </si>
  <si>
    <t>2A32467</t>
  </si>
  <si>
    <t>9512383</t>
  </si>
  <si>
    <t>29-JUN-2021</t>
  </si>
  <si>
    <t>OLAKHI300070023</t>
  </si>
  <si>
    <t>DIB0031305</t>
  </si>
  <si>
    <t>KHI/HO/D/MO/PC COMP/C/95603/292/08/2024</t>
  </si>
  <si>
    <t>9976AD1211510061</t>
  </si>
  <si>
    <t>JUNAID AHMED</t>
  </si>
  <si>
    <t>LARKANA</t>
  </si>
  <si>
    <t>43203-7561909-3</t>
  </si>
  <si>
    <t>03068353974</t>
  </si>
  <si>
    <t xml:space="preserve">ISLAMIA JEWELERS, SHAHI BAZAR, SHAHBAZ MARKEET LARKANA 0306-8353974 </t>
  </si>
  <si>
    <t>UWT/D/T002/0000001009/0821/109-0</t>
  </si>
  <si>
    <t>PK10K179832</t>
  </si>
  <si>
    <t>100799830</t>
  </si>
  <si>
    <t>OLALKR300069159</t>
  </si>
  <si>
    <t>5319/08/2021</t>
  </si>
  <si>
    <t>11/08/2022</t>
  </si>
  <si>
    <t>KHI/HO/D/MO/PC COMP/C/95603/293/08/2024</t>
  </si>
  <si>
    <t>9976AD1210680006</t>
  </si>
  <si>
    <t>ZOHAIB ZIA</t>
  </si>
  <si>
    <t>42301-3483000-5</t>
  </si>
  <si>
    <t>0215884173/03212634304</t>
  </si>
  <si>
    <t>03212634304</t>
  </si>
  <si>
    <t xml:space="preserve">HOUSE # 67-BKHY-E-BADBAN PHASE VII DHA KARACHI </t>
  </si>
  <si>
    <t>DIB/T/BT/33034/KHI/0821</t>
  </si>
  <si>
    <t>1002056</t>
  </si>
  <si>
    <t>CHANGAN ALSVIN 1.5L</t>
  </si>
  <si>
    <t>09-MAR-2021</t>
  </si>
  <si>
    <t>OLAKHI300066290</t>
  </si>
  <si>
    <t>5332/08/2021/ITFM</t>
  </si>
  <si>
    <t>KHI/HO/D/MO/PC COMP/C/95603/294/08/2024</t>
  </si>
  <si>
    <t>9976AP1222430032</t>
  </si>
  <si>
    <t>MUHAMMAD HASEEB</t>
  </si>
  <si>
    <t>42101-8813712-5</t>
  </si>
  <si>
    <t>03120001522</t>
  </si>
  <si>
    <t xml:space="preserve">HOUSE # 347 SECTOR 5B NEW KARACHI KARACHI PK </t>
  </si>
  <si>
    <t>62698/00136/08/2022</t>
  </si>
  <si>
    <t>01069185</t>
  </si>
  <si>
    <t>OLUKHI300089629</t>
  </si>
  <si>
    <t>8504/08/2022/ITFM</t>
  </si>
  <si>
    <t>KHI/HO/D/MO/PC COMP/C/95603/99/08/2024</t>
  </si>
  <si>
    <t>9976AD1211830082</t>
  </si>
  <si>
    <t>FAROOQ SHAHID</t>
  </si>
  <si>
    <t>35201-1581441-1</t>
  </si>
  <si>
    <t>03214904609</t>
  </si>
  <si>
    <t xml:space="preserve">5TH FLOOR SALAAR CENTER 13 BABAR BL OCK NEW GARDEN TOWN LAHORE </t>
  </si>
  <si>
    <t>2021-08-205-V01501OP0001926</t>
  </si>
  <si>
    <t>2A33250</t>
  </si>
  <si>
    <t>9512670</t>
  </si>
  <si>
    <t>OLALHR300070199</t>
  </si>
  <si>
    <t>DIB0031323</t>
  </si>
  <si>
    <t>17/08/2021</t>
  </si>
  <si>
    <t>KHI/HO/D/MO/PC COMP/C/95603/296/08/2024</t>
  </si>
  <si>
    <t>9976AD1211740031</t>
  </si>
  <si>
    <t>RASHID MAHMOOD</t>
  </si>
  <si>
    <t>35202-2868366-7</t>
  </si>
  <si>
    <t>03224030000</t>
  </si>
  <si>
    <t>04237656014</t>
  </si>
  <si>
    <t xml:space="preserve">7TH FLOOR SHOP NO 9, 10, 11, 12 NEW AZAM CLOTH MARKET INSIDE SHERAN WALA GATE LAHORE </t>
  </si>
  <si>
    <t>DIB/T/BT/33029/LHR/0821</t>
  </si>
  <si>
    <t>511919</t>
  </si>
  <si>
    <t>OLALHR300069703</t>
  </si>
  <si>
    <t>5353/08/2021</t>
  </si>
  <si>
    <t>KHI/HO/D/MO/PC COMP/C/95603/298/08/2024</t>
  </si>
  <si>
    <t>9976AD1210580019</t>
  </si>
  <si>
    <t>SHIEKH MUHAMMAD ALTAF</t>
  </si>
  <si>
    <t>33100-9519535-9</t>
  </si>
  <si>
    <t>03008665856</t>
  </si>
  <si>
    <t>03008665856, 03008665856</t>
  </si>
  <si>
    <t xml:space="preserve">152 A BLOCK A SHEIKH COLONY JHANG R OAD FAISALABAD PK </t>
  </si>
  <si>
    <t>DIB/T/BT/33022/FSD/0821</t>
  </si>
  <si>
    <t>15E4E5MGM4280267</t>
  </si>
  <si>
    <t>LSJA24U98MN092902</t>
  </si>
  <si>
    <t>OLAFSD300066190</t>
  </si>
  <si>
    <t>5342/08/2021/ITFM</t>
  </si>
  <si>
    <t>KHI/HO/D/MO/PC COMP/C/95603/299/08/2024</t>
  </si>
  <si>
    <t>9976AD1211580003</t>
  </si>
  <si>
    <t>ADNAN ANIS TUMBI</t>
  </si>
  <si>
    <t>42201-8346207-1</t>
  </si>
  <si>
    <t>03152001554</t>
  </si>
  <si>
    <t xml:space="preserve">HOUSE NO 67 6TH LANE KHAYABAN-E-BADAR DHA PASE 06 NEAR SHELL PETROAL PUMP MAIN KHAYABAN-E-BAHRIA KARACHI </t>
  </si>
  <si>
    <t>2021/08/CLFTTPCDP00917</t>
  </si>
  <si>
    <t>1GD5027568</t>
  </si>
  <si>
    <t>GUN156R-1095718</t>
  </si>
  <si>
    <t>FORTUNER 4*4 SPORTIVO TRD DIESEL</t>
  </si>
  <si>
    <t>07-JUN-2021</t>
  </si>
  <si>
    <t>OLAKHI300069322</t>
  </si>
  <si>
    <t>5313/08/2021</t>
  </si>
  <si>
    <t>KHI/HO/D/MO/PC COMP/C/95603/301/08/2024</t>
  </si>
  <si>
    <t>9976AP2222290006</t>
  </si>
  <si>
    <t>MUHAMMAD MUSTAFA</t>
  </si>
  <si>
    <t>15602-3189247-1</t>
  </si>
  <si>
    <t>03161511213</t>
  </si>
  <si>
    <t xml:space="preserve">H # G-17 ST # 3 GHOURI GARDEN LEHTR AR ROAD ISLAMABAD PK </t>
  </si>
  <si>
    <t>62698/00062/08/2022</t>
  </si>
  <si>
    <t>1005435</t>
  </si>
  <si>
    <t>AWG-427</t>
  </si>
  <si>
    <t>17-AUG-2022</t>
  </si>
  <si>
    <t>OLUISD300089304</t>
  </si>
  <si>
    <t>8357/08/2022/ITFM</t>
  </si>
  <si>
    <t>KHI/HO/D/MO/PC COMP/C/95603/303/08/2024</t>
  </si>
  <si>
    <t>9976AP2222280004</t>
  </si>
  <si>
    <t>ALI NAVAIZ</t>
  </si>
  <si>
    <t>36302-9963468-5</t>
  </si>
  <si>
    <t>03008738210</t>
  </si>
  <si>
    <t>03008640516</t>
  </si>
  <si>
    <t>055428303</t>
  </si>
  <si>
    <t xml:space="preserve">COCA COLA BEVERAGE PAKISTAN LTD., BYPASS ROAD, NEAR KHAILI BY PASS, GUJRANWALA. </t>
  </si>
  <si>
    <t>62698/00058/08/2022</t>
  </si>
  <si>
    <t>035612</t>
  </si>
  <si>
    <t>AJV-700</t>
  </si>
  <si>
    <t>OLURWP300089284</t>
  </si>
  <si>
    <t>8348/08/2022/ITFM</t>
  </si>
  <si>
    <t>KHI/HO/D/MO/PC COMP/C/95603/304/08/2024</t>
  </si>
  <si>
    <t>9976AP1222280003</t>
  </si>
  <si>
    <t>IFTIKHAR AHMED</t>
  </si>
  <si>
    <t>82501-0339315-1</t>
  </si>
  <si>
    <t>03135604414</t>
  </si>
  <si>
    <t>0512827876</t>
  </si>
  <si>
    <t xml:space="preserve">DHOKE JILANI UMER TOWN BARA KAHU NE AR ISHFAQ MASJID ISLAMABAD PK </t>
  </si>
  <si>
    <t>62698/00060/08/2022</t>
  </si>
  <si>
    <t>017691</t>
  </si>
  <si>
    <t>AEA-325</t>
  </si>
  <si>
    <t>OLUISD300089283</t>
  </si>
  <si>
    <t>8350/08/2022/ITFM</t>
  </si>
  <si>
    <t>KHI/HO/D/MO/PC COMP/C/95603/305/08/2024</t>
  </si>
  <si>
    <t>9976AD2212370003</t>
  </si>
  <si>
    <t>MUHAMMAD MUSLIM BUTT</t>
  </si>
  <si>
    <t>42301-0793992-1</t>
  </si>
  <si>
    <t>03212144474 03002144474</t>
  </si>
  <si>
    <t xml:space="preserve">HOUSE NO 387 STREET NO 18 PUNJAB COLONY NR QAMAR UL ISLAM MASJID CLIFTON KARACHI </t>
  </si>
  <si>
    <t>2021/08/CLFTTPCDPOO948</t>
  </si>
  <si>
    <t>60002464</t>
  </si>
  <si>
    <t>25-AUG-2021</t>
  </si>
  <si>
    <t>OLAKHI300072362</t>
  </si>
  <si>
    <t>DIB0031414</t>
  </si>
  <si>
    <t>KHI/HO/D/MO/PC COMP/C/95603/100/08/2024</t>
  </si>
  <si>
    <t>9976AP2212430018</t>
  </si>
  <si>
    <t>ISHRAT SIDDIQUI</t>
  </si>
  <si>
    <t>42201-9525001-8</t>
  </si>
  <si>
    <t>03332193119</t>
  </si>
  <si>
    <t xml:space="preserve">HOUSE # 15 SHEET # 7 MODEL COLONY N EAR QUAID-E-AZAM GROUND KARACHI PK </t>
  </si>
  <si>
    <t>55239/00076/08/2021</t>
  </si>
  <si>
    <t>R18Z12953476</t>
  </si>
  <si>
    <t>NFBFC6664KR056886</t>
  </si>
  <si>
    <t>BQW-441</t>
  </si>
  <si>
    <t>CIVIC 1.8L ORIEL</t>
  </si>
  <si>
    <t>OLUKHI300072752</t>
  </si>
  <si>
    <t>DIB0031451</t>
  </si>
  <si>
    <t>KHI/HO/D/MO/PC COMP/C/95603/102/08/2024</t>
  </si>
  <si>
    <t>9976AD1210830005</t>
  </si>
  <si>
    <t>NAEEM RAZA</t>
  </si>
  <si>
    <t>35202-3441785-5</t>
  </si>
  <si>
    <t>03161461769</t>
  </si>
  <si>
    <t xml:space="preserve">OFFICE NO 6 2ND FLOOR RIAZ CENTER Q AZAFI CHOWK KARIM PARK LAHORE </t>
  </si>
  <si>
    <t>DIB/T/33308/LHR/0821</t>
  </si>
  <si>
    <t>MR271067</t>
  </si>
  <si>
    <t>OLALHR300066961</t>
  </si>
  <si>
    <t>DIB0031458</t>
  </si>
  <si>
    <t>KHI/HO/D/MO/PC COMP/C/95603/104/08/2024</t>
  </si>
  <si>
    <t>9976AP2212430013</t>
  </si>
  <si>
    <t>NAJMUL SAMAD</t>
  </si>
  <si>
    <t>42101-6135042-5</t>
  </si>
  <si>
    <t>03009214375</t>
  </si>
  <si>
    <t>021-32579361</t>
  </si>
  <si>
    <t xml:space="preserve">R-123 SECTOR 10 NORTH KARACHI NEAR DISCO MOOD KARACHI </t>
  </si>
  <si>
    <t>55239/00074/08/2021</t>
  </si>
  <si>
    <t>1080103</t>
  </si>
  <si>
    <t>OLDKHI300072645</t>
  </si>
  <si>
    <t>DIB0031426</t>
  </si>
  <si>
    <t>KHI/HO/D/MO/PC COMP/C/95603/106/08/2024</t>
  </si>
  <si>
    <t>9976AD1191800008</t>
  </si>
  <si>
    <t>YASIR YOUNUS</t>
  </si>
  <si>
    <t>42101-8000036-7</t>
  </si>
  <si>
    <t>02132011283</t>
  </si>
  <si>
    <t>03212020528</t>
  </si>
  <si>
    <t>32011283</t>
  </si>
  <si>
    <t xml:space="preserve">SHAHEEN PRINTERS HOUSE NO C 90 BLOCK 6 FEDERAL B AREA KARACHI </t>
  </si>
  <si>
    <t>51003/00081/08/2019</t>
  </si>
  <si>
    <t>1011503</t>
  </si>
  <si>
    <t>BQS-731</t>
  </si>
  <si>
    <t>29-JUN-2019</t>
  </si>
  <si>
    <t>POAKHI300047216</t>
  </si>
  <si>
    <t>1672/08/2019/ITFM</t>
  </si>
  <si>
    <t>29-AUG-2019</t>
  </si>
  <si>
    <t>KHI/HO/D/MO/PC COMP/C/95603/107/08/2024</t>
  </si>
  <si>
    <t>9976AP2232420010</t>
  </si>
  <si>
    <t>FAHAD ARIF</t>
  </si>
  <si>
    <t>35202-6057971-1</t>
  </si>
  <si>
    <t>04236621727</t>
  </si>
  <si>
    <t>03213213021</t>
  </si>
  <si>
    <t>111109109</t>
  </si>
  <si>
    <t xml:space="preserve">URBAN DEVELOPERS COMPLEX BLOCK P PHASE VIII DHA LAHORE </t>
  </si>
  <si>
    <t>73551/00024/08/2023</t>
  </si>
  <si>
    <t>28-AUG-2024</t>
  </si>
  <si>
    <t>R005980</t>
  </si>
  <si>
    <t>LEC-17-1040</t>
  </si>
  <si>
    <t>OLULHR300096482</t>
  </si>
  <si>
    <t>DIB0035253</t>
  </si>
  <si>
    <t>30-AUG-2023</t>
  </si>
  <si>
    <t>KHI/HO/D/MO/PC COMP/C/95603/108/08/2024</t>
  </si>
  <si>
    <t>9976AD1220590066</t>
  </si>
  <si>
    <t>GHULAM MUSTAFA</t>
  </si>
  <si>
    <t>34502-1593093-3</t>
  </si>
  <si>
    <t>03014948830</t>
  </si>
  <si>
    <t xml:space="preserve">OFFICE NO 52 D2 JOHAR TOWN LAHORE </t>
  </si>
  <si>
    <t>62698/00059/08/2022</t>
  </si>
  <si>
    <t>6R245796</t>
  </si>
  <si>
    <t>1145827</t>
  </si>
  <si>
    <t>27-AUG-2022</t>
  </si>
  <si>
    <t>OLALHR300084908</t>
  </si>
  <si>
    <t>DIB0034724</t>
  </si>
  <si>
    <t>KHI/HO/D/MO/PC COMP/C/95603/314/08/2024</t>
  </si>
  <si>
    <t>9976AP2232420011</t>
  </si>
  <si>
    <t>ASIM IQBAL</t>
  </si>
  <si>
    <t>42201-3508771-7</t>
  </si>
  <si>
    <t>03102846717</t>
  </si>
  <si>
    <t xml:space="preserve">H # R-60 KHAY-E-SHAREEF SOCIETY SEC TOR 51-A SCHEME 33 KARACHI PK </t>
  </si>
  <si>
    <t>73551/00026/08/2023</t>
  </si>
  <si>
    <t>L09608964W</t>
  </si>
  <si>
    <t>B01964</t>
  </si>
  <si>
    <t>BTJ-162</t>
  </si>
  <si>
    <t>OLUKHI300096484</t>
  </si>
  <si>
    <t>DIB0035254</t>
  </si>
  <si>
    <t>KHI/HO/D/MO/PC COMP/C/95603/109/08/2024</t>
  </si>
  <si>
    <t>9976AD1211410022</t>
  </si>
  <si>
    <t>AYESHA MEHMOOD BUTT</t>
  </si>
  <si>
    <t>37405-4297844-8</t>
  </si>
  <si>
    <t>03339020600</t>
  </si>
  <si>
    <t>0519264034</t>
  </si>
  <si>
    <t xml:space="preserve">H # 79 ST # 93 SECTOR G - 9 / 4 ISLAMABAD PK </t>
  </si>
  <si>
    <t>01-2108-PO-MTR-PCCM-D-001095</t>
  </si>
  <si>
    <t>6R177596</t>
  </si>
  <si>
    <t>306H1077559</t>
  </si>
  <si>
    <t>21-MAY-2021</t>
  </si>
  <si>
    <t>OLAISD300068832</t>
  </si>
  <si>
    <t>DIB0031319</t>
  </si>
  <si>
    <t>KHI/HO/D/MO/PC COMP/C/95603/316/08/2024</t>
  </si>
  <si>
    <t>9976AP1232420008</t>
  </si>
  <si>
    <t>JAHANZAIB</t>
  </si>
  <si>
    <t>41302-2495992-9</t>
  </si>
  <si>
    <t>03103102400</t>
  </si>
  <si>
    <t xml:space="preserve">2 1ST FLOOR PLOT NO ST 2 SHAKIL COR PORATION FB AREA BLOCK 1 FAISAL MAR KARACHI PK </t>
  </si>
  <si>
    <t>73551/00025/08/2023</t>
  </si>
  <si>
    <t>Q039624</t>
  </si>
  <si>
    <t>R6017123</t>
  </si>
  <si>
    <t>BKH-166</t>
  </si>
  <si>
    <t>OLUKHI300096477</t>
  </si>
  <si>
    <t>10474/08/2023/ITFM</t>
  </si>
  <si>
    <t>29-AUG-2023</t>
  </si>
  <si>
    <t>KHI/HO/D/MO/PC COMP/C/95603/111/08/2024</t>
  </si>
  <si>
    <t>9976AP2232290003</t>
  </si>
  <si>
    <t>MUHAMMAD WAJID</t>
  </si>
  <si>
    <t>42201-0722603-1</t>
  </si>
  <si>
    <t>03332127726</t>
  </si>
  <si>
    <t xml:space="preserve">HOUSE NO A-167 BLOCK 10-A GULSHAN E IQBAL KARACHI. </t>
  </si>
  <si>
    <t>73551/0009/08/2023</t>
  </si>
  <si>
    <t>15-AUG-2024</t>
  </si>
  <si>
    <t>Z575589</t>
  </si>
  <si>
    <t>4201474</t>
  </si>
  <si>
    <t>BRL-601</t>
  </si>
  <si>
    <t>21-AUG-2023</t>
  </si>
  <si>
    <t>OLUKHI300096254</t>
  </si>
  <si>
    <t>10442/08/2023/ITFM</t>
  </si>
  <si>
    <t>17-AUG-2023</t>
  </si>
  <si>
    <t>KHI/HO/D/MO/PC COMP/C/95603/317/08/2024</t>
  </si>
  <si>
    <t>9976AP2232430001</t>
  </si>
  <si>
    <t>BILAL AKHTAR</t>
  </si>
  <si>
    <t>35201-4858827-1</t>
  </si>
  <si>
    <t>03214644058</t>
  </si>
  <si>
    <t xml:space="preserve">31-CCA, COMMERCIAL AREA PHASE -5 DHA LAHORE 03214644058 </t>
  </si>
  <si>
    <t>73551/00027/08/2023</t>
  </si>
  <si>
    <t>Q038886</t>
  </si>
  <si>
    <t>R6016383</t>
  </si>
  <si>
    <t>LEH-17-5742</t>
  </si>
  <si>
    <t>OLULHR300096495</t>
  </si>
  <si>
    <t>DIB0035256</t>
  </si>
  <si>
    <t>KHI/HO/D/MO/PC COMP/C/95603/112/08/2024</t>
  </si>
  <si>
    <t>9976AP1222410007</t>
  </si>
  <si>
    <t>AYAZ SAEED</t>
  </si>
  <si>
    <t>61101-3607444-1</t>
  </si>
  <si>
    <t>051-2351542</t>
  </si>
  <si>
    <t>03005104107</t>
  </si>
  <si>
    <t>051-2256966</t>
  </si>
  <si>
    <t xml:space="preserve">H NO 196 STREET NO 52 SECTOR G-10/3 ISLAMABAD </t>
  </si>
  <si>
    <t>62698/00121/08/2022</t>
  </si>
  <si>
    <t>00106257</t>
  </si>
  <si>
    <t>29-AUG-2022</t>
  </si>
  <si>
    <t>OLDISD300089592</t>
  </si>
  <si>
    <t>8481/08/2022/ITFM</t>
  </si>
  <si>
    <t>KHI/HO/D/MO/PC COMP/C/95603/114/08/2024</t>
  </si>
  <si>
    <t>9976AD1213620031</t>
  </si>
  <si>
    <t>MUHAMMAD TARIQ</t>
  </si>
  <si>
    <t>34103-0531731-9</t>
  </si>
  <si>
    <t>03216415468</t>
  </si>
  <si>
    <t xml:space="preserve">NEAR PROFESSOR COLONY H NO 123 BLOC K B MOHALLAH JOHAR TOWN GUJRANWALA PK </t>
  </si>
  <si>
    <t>62698/00123/08/2022</t>
  </si>
  <si>
    <t>Q099337</t>
  </si>
  <si>
    <t>6076819</t>
  </si>
  <si>
    <t>28-DEC-2021</t>
  </si>
  <si>
    <t>OLAGWL300082395</t>
  </si>
  <si>
    <t>8491/08/2022</t>
  </si>
  <si>
    <t>KHI/HO/D/MO/PC COMP/C/95603/117/08/2024</t>
  </si>
  <si>
    <t>9976AP1222290005</t>
  </si>
  <si>
    <t>FAIZAN BUTT</t>
  </si>
  <si>
    <t>33102-6556788-3</t>
  </si>
  <si>
    <t>03336571308</t>
  </si>
  <si>
    <t xml:space="preserve">H NO 200,BLOCK D, MOLLAH SARSAEED FAISALABAD </t>
  </si>
  <si>
    <t>62698/00063/08/2022</t>
  </si>
  <si>
    <t>W4626</t>
  </si>
  <si>
    <t>152616</t>
  </si>
  <si>
    <t>PROTON SAGA A/T ACE</t>
  </si>
  <si>
    <t>OLUFSD300089312</t>
  </si>
  <si>
    <t>8360/08/2022/ITFM</t>
  </si>
  <si>
    <t>KHI/HO/D/MO/PC COMP/C/95603/321/08/2024</t>
  </si>
  <si>
    <t>9976AD1220830037</t>
  </si>
  <si>
    <t>SYED DANISH ALI</t>
  </si>
  <si>
    <t>42101-1683274-5</t>
  </si>
  <si>
    <t>03147825610</t>
  </si>
  <si>
    <t xml:space="preserve">H # A- 59 PORTION S-4 SURJANI TOWN SEC 4-A BILAL MASJID KARACHI PK </t>
  </si>
  <si>
    <t>62698/00120/08/2022</t>
  </si>
  <si>
    <t>6R244405</t>
  </si>
  <si>
    <t>1144387</t>
  </si>
  <si>
    <t>24-MAR-2022</t>
  </si>
  <si>
    <t>OLAKHI300085850</t>
  </si>
  <si>
    <t>DIB0034746</t>
  </si>
  <si>
    <t>26-AUG-2022</t>
  </si>
  <si>
    <t>KHI/HO/D/MO/PC COMP/C/95603/118/08/2024</t>
  </si>
  <si>
    <t>997APD1202310017</t>
  </si>
  <si>
    <t>SHEHLA KAMAL</t>
  </si>
  <si>
    <t>35201-6717837-4</t>
  </si>
  <si>
    <t>03208430474</t>
  </si>
  <si>
    <t>04235722837</t>
  </si>
  <si>
    <t xml:space="preserve">487, SECTOR Y PHASE 3 DHA WALTON CA NTONMENT LAHORE </t>
  </si>
  <si>
    <t>52611/00035/08/2020</t>
  </si>
  <si>
    <t>10060984</t>
  </si>
  <si>
    <t>AAH 355</t>
  </si>
  <si>
    <t>18-AUG-2020</t>
  </si>
  <si>
    <t>PODLHR300056535</t>
  </si>
  <si>
    <t>2854/08/2020/ITFM</t>
  </si>
  <si>
    <t>KHI/HO/D/MO/PC COMP/C/95603/322/08/2024</t>
  </si>
  <si>
    <t>9976AP2222420010</t>
  </si>
  <si>
    <t>NAVEED AFZAL BUTT</t>
  </si>
  <si>
    <t>35202-2541639-9</t>
  </si>
  <si>
    <t>03334242306</t>
  </si>
  <si>
    <t>04237536157</t>
  </si>
  <si>
    <t xml:space="preserve">H NO 288 C-1 ARMY WELFARE TRUST SCH EME NEAR ADDA PLOT RAIWIND LAHORE PK </t>
  </si>
  <si>
    <t>62698/00125/08/2022</t>
  </si>
  <si>
    <t>025466</t>
  </si>
  <si>
    <t>OLDLHR300089587</t>
  </si>
  <si>
    <t>8484/08/2022/ITFM</t>
  </si>
  <si>
    <t>KHI/HO/D/MO/PC COMP/C/95603/119/08/2024</t>
  </si>
  <si>
    <t>9976AP2222420011</t>
  </si>
  <si>
    <t>RANA ZAHID HUSSAIN</t>
  </si>
  <si>
    <t>36401-3052429-1</t>
  </si>
  <si>
    <t>0308222211</t>
  </si>
  <si>
    <t xml:space="preserve">PLOT KR - 78 JAVAID BAHRIA HOUSING SOCIETY TAHIRA LITTLE SCHOOL KARACHI PK </t>
  </si>
  <si>
    <t>62698/00127/08/2022</t>
  </si>
  <si>
    <t>Q325169</t>
  </si>
  <si>
    <t>7024285</t>
  </si>
  <si>
    <t>BKS-219</t>
  </si>
  <si>
    <t>OLUKHI300089595</t>
  </si>
  <si>
    <t>8488/08/2022/ITFM</t>
  </si>
  <si>
    <t>KHI/HO/D/MO/PC COMP/C/95603/121/08/2024</t>
  </si>
  <si>
    <t>997AAD2202090004</t>
  </si>
  <si>
    <t>NOUMAN RIAZ KHAN</t>
  </si>
  <si>
    <t>37405-7486351-7</t>
  </si>
  <si>
    <t>03465316420</t>
  </si>
  <si>
    <t>0512231670</t>
  </si>
  <si>
    <t xml:space="preserve">HOOUSE NO 539 STREET NO 4 GHORI TOWN PHASE 5 A ISLAMABAD PAKISTAN </t>
  </si>
  <si>
    <t>52611/00032/08/2020</t>
  </si>
  <si>
    <t>LR018937</t>
  </si>
  <si>
    <t>ARC-968</t>
  </si>
  <si>
    <t>HONDA BR-V IVTEC -S</t>
  </si>
  <si>
    <t>27-JUL-2020</t>
  </si>
  <si>
    <t>27-AUG-2020</t>
  </si>
  <si>
    <t>POAISD300055914</t>
  </si>
  <si>
    <t>DIB0028580</t>
  </si>
  <si>
    <t>KHI/HO/D/MO/PC COMP/C/95603/324/08/2024</t>
  </si>
  <si>
    <t>9976AP1222420019</t>
  </si>
  <si>
    <t>MEHBOOB UL HASSAN</t>
  </si>
  <si>
    <t>34104-4974379-1</t>
  </si>
  <si>
    <t>03404054754</t>
  </si>
  <si>
    <t xml:space="preserve">SHOP NO. 4A PLOT NO 8 B-17 ISLAMABAD. </t>
  </si>
  <si>
    <t>62698/00126/08/2022</t>
  </si>
  <si>
    <t>162769</t>
  </si>
  <si>
    <t>DZ-365</t>
  </si>
  <si>
    <t>HONDA CITY IVTEC M/T</t>
  </si>
  <si>
    <t>OLUISD300089593</t>
  </si>
  <si>
    <t>8497/08/2022/ITFM</t>
  </si>
  <si>
    <t>KHI/HO/D/MO/PC COMP/C/95603/122/08/2024</t>
  </si>
  <si>
    <t>9976AD2212080007</t>
  </si>
  <si>
    <t>MUZAMMIL AKRAM</t>
  </si>
  <si>
    <t>42201-2190649-7</t>
  </si>
  <si>
    <t>03343300887</t>
  </si>
  <si>
    <t xml:space="preserve">HOUSE # 629 SEC 8-E GULZAR COLONY K I AREA NEAR MATEEN MASJID KARACHI PK </t>
  </si>
  <si>
    <t>55239/00041/08/2021</t>
  </si>
  <si>
    <t>L15Z14806668</t>
  </si>
  <si>
    <t>NFBDG1837MR023353</t>
  </si>
  <si>
    <t>BRV-IVTEC-S</t>
  </si>
  <si>
    <t>27-JUL-2021</t>
  </si>
  <si>
    <t>OLAKHI300071110</t>
  </si>
  <si>
    <t>5334/08/2021</t>
  </si>
  <si>
    <t>13/08/2021</t>
  </si>
  <si>
    <t>KHI/HO/D/MO/PC COMP/C/95603/323/08/2024</t>
  </si>
  <si>
    <t>9976AP1222430031</t>
  </si>
  <si>
    <t>SYED KALEEMULLAH</t>
  </si>
  <si>
    <t>45402-3979779-5</t>
  </si>
  <si>
    <t>03003220919</t>
  </si>
  <si>
    <t xml:space="preserve">SAKRAND ROAD HOUSE NO:2283/3 MUHALLA GAREEBABAD NAWAB SHAH DISTT:SBA </t>
  </si>
  <si>
    <t>62698/00124/08/2022</t>
  </si>
  <si>
    <t>10019939</t>
  </si>
  <si>
    <t>BTQ-781</t>
  </si>
  <si>
    <t>OLUKHI300089494</t>
  </si>
  <si>
    <t>8501/08/2022/ITFM</t>
  </si>
  <si>
    <t>KHI/HO/D/MO/PC COMP/C/95603/123/08/2024</t>
  </si>
  <si>
    <t>9976AD1211810060</t>
  </si>
  <si>
    <t>AURANGZEB MASOOD</t>
  </si>
  <si>
    <t>Mirpur Khas</t>
  </si>
  <si>
    <t>44103-0321601-9</t>
  </si>
  <si>
    <t>03332964007</t>
  </si>
  <si>
    <t xml:space="preserve">AURANGZEB MASOOD HOUSE NO 100-101 MOHALA ADAM TOWN MIRPURKHAS </t>
  </si>
  <si>
    <t>DIB/BT/32914/HYD/0721</t>
  </si>
  <si>
    <t>1001768</t>
  </si>
  <si>
    <t>CHANGAN ALSVIN 1.5L LUMERE</t>
  </si>
  <si>
    <t>OLAMPK300070230</t>
  </si>
  <si>
    <t>TDIDIB0029501</t>
  </si>
  <si>
    <t>KHI/HO/D/MO/PC COMP/C/95603/124/08/2024</t>
  </si>
  <si>
    <t>9976AP2192410008</t>
  </si>
  <si>
    <t>MUHAMMAD ADNAN AYUB</t>
  </si>
  <si>
    <t>38201-4910123-9</t>
  </si>
  <si>
    <t>03005038442</t>
  </si>
  <si>
    <t>04235880156</t>
  </si>
  <si>
    <t xml:space="preserve">ROOM NO 3-A P-128/AC CANAL GARDEN LAHORE </t>
  </si>
  <si>
    <t>51003/00072/08/2019</t>
  </si>
  <si>
    <t>KR251724</t>
  </si>
  <si>
    <t>LEH-19-8330</t>
  </si>
  <si>
    <t>CITY I-VTEC M/T</t>
  </si>
  <si>
    <t>PODLHR300048640</t>
  </si>
  <si>
    <t>DIB0027804</t>
  </si>
  <si>
    <t>KHI/HO/D/MO/PC COMP/C/95603/126/08/2024</t>
  </si>
  <si>
    <t>9976AP1222310013</t>
  </si>
  <si>
    <t>MUHAMMAD UMER RAZZAQ</t>
  </si>
  <si>
    <t>34101-6843031-7</t>
  </si>
  <si>
    <t>03061111541</t>
  </si>
  <si>
    <t xml:space="preserve">SHOP NO.1195-H TANG BAZAR NEAR BANK AL HABIB AKBARI MANDI LAHORE </t>
  </si>
  <si>
    <t>62698/00065/08/2022</t>
  </si>
  <si>
    <t>R004301</t>
  </si>
  <si>
    <t>LEB-17A-3117</t>
  </si>
  <si>
    <t>HONDA BRV IV TEC S</t>
  </si>
  <si>
    <t>19-AUG-2022</t>
  </si>
  <si>
    <t>OLULHR300089322</t>
  </si>
  <si>
    <t>8369/08/2022/ITFM</t>
  </si>
  <si>
    <t>KHI/HO/D/MO/PC COMP/C/95603/320/08/2024</t>
  </si>
  <si>
    <t>9976AP1232400006</t>
  </si>
  <si>
    <t>ABDUL SUBHAN</t>
  </si>
  <si>
    <t>42101-0612897-7</t>
  </si>
  <si>
    <t>03131078519</t>
  </si>
  <si>
    <t xml:space="preserve">H NO # 309 BLOCK-F NEAR MUSLIM POPULAR SCHOOL ZIAUDDIN HOPITAL CHOWRANGI NORTH NAZIMABAD KHI. 0313-1078519 </t>
  </si>
  <si>
    <t>73551/00018/08/2023</t>
  </si>
  <si>
    <t>27-AUG-2024</t>
  </si>
  <si>
    <t>Z557827</t>
  </si>
  <si>
    <t>4183806</t>
  </si>
  <si>
    <t>OLUKHI300096459</t>
  </si>
  <si>
    <t>DIB0035241</t>
  </si>
  <si>
    <t>26-AUG-2023</t>
  </si>
  <si>
    <t>KHI/HO/D/MO/PC COMP/C/95603/131/08/2024</t>
  </si>
  <si>
    <t>9976AP1232400007</t>
  </si>
  <si>
    <t>MUHAMMAD NADEEM MAKHDOOM</t>
  </si>
  <si>
    <t>42301-1752972-3</t>
  </si>
  <si>
    <t>03159308609/ 03332308609</t>
  </si>
  <si>
    <t>35867448</t>
  </si>
  <si>
    <t xml:space="preserve">THE CONSULTANTS OFFICE NO 301 AHMED ARCADE PLOT NO BC3 BLOCK 5 CLIFTON KARACHI </t>
  </si>
  <si>
    <t>73551/00019/08/2023</t>
  </si>
  <si>
    <t>1180310</t>
  </si>
  <si>
    <t>OLDKHI300096466</t>
  </si>
  <si>
    <t>DIB0035242</t>
  </si>
  <si>
    <t>KHI/HO/D/MO/PC COMP/C/95603/132/08/2024</t>
  </si>
  <si>
    <t>9976AP2232410003</t>
  </si>
  <si>
    <t>ANS ALI KHAN</t>
  </si>
  <si>
    <t>35202-7564400-7</t>
  </si>
  <si>
    <t>04237582406</t>
  </si>
  <si>
    <t>03044444632</t>
  </si>
  <si>
    <t xml:space="preserve">H NO 28 SHAH JAMAL ROAD ICHHRA LAHORE </t>
  </si>
  <si>
    <t>73551/00020/08/2023</t>
  </si>
  <si>
    <t>2143602</t>
  </si>
  <si>
    <t>OLDLHR300096427</t>
  </si>
  <si>
    <t>DIB0035243</t>
  </si>
  <si>
    <t>28-AUG-2023</t>
  </si>
  <si>
    <t>KHI/HO/D/MO/PC COMP/C/95603/133/08/2024</t>
  </si>
  <si>
    <t>9976AP2232410001</t>
  </si>
  <si>
    <t>SAJJAD ALI</t>
  </si>
  <si>
    <t>35201-4055463-1</t>
  </si>
  <si>
    <t>03214884143</t>
  </si>
  <si>
    <t xml:space="preserve">VILLAGE DARE PINDI OPPOSITE ALLAMA IQBAL INTERNATIONAL AIRPORT LAHORE CANTT 0321-4884143 </t>
  </si>
  <si>
    <t>73551/00023/08/2023</t>
  </si>
  <si>
    <t>10014433</t>
  </si>
  <si>
    <t>LEA-18-9834</t>
  </si>
  <si>
    <t>OLULHR300096474</t>
  </si>
  <si>
    <t>DIB0035251</t>
  </si>
  <si>
    <t>KHI/HO/D/MO/PC COMP/C/95603/134/08/2024</t>
  </si>
  <si>
    <t>9976AP2232410006</t>
  </si>
  <si>
    <t>TAIMUR AGHA</t>
  </si>
  <si>
    <t>35202-2402252-3</t>
  </si>
  <si>
    <t>04235220847</t>
  </si>
  <si>
    <t>03008402711</t>
  </si>
  <si>
    <t>04237667399</t>
  </si>
  <si>
    <t xml:space="preserve">HOUSE NO 41 F JOHAR TOWN LAHORE </t>
  </si>
  <si>
    <t>73551/00021/08/2023</t>
  </si>
  <si>
    <t>182756</t>
  </si>
  <si>
    <t>LEC-16-7639</t>
  </si>
  <si>
    <t>OLULHR300096470</t>
  </si>
  <si>
    <t>DIB0035245</t>
  </si>
  <si>
    <t>KHI/HO/D/MO/PC COMP/C/95603/135/08/2024</t>
  </si>
  <si>
    <t>9976AP2232410007</t>
  </si>
  <si>
    <t>SYED NIHAL ASGHAR</t>
  </si>
  <si>
    <t>35202-2677096-5</t>
  </si>
  <si>
    <t>03009768799</t>
  </si>
  <si>
    <t xml:space="preserve">SEAL CONSULTANCY SERVICES OFFICE NO 14 AND 32 , 3RD FLOOR MADINA HEIGHT 87E MOLNA SHAB LAHORE </t>
  </si>
  <si>
    <t>73551/00022/08/2023</t>
  </si>
  <si>
    <t>01145982</t>
  </si>
  <si>
    <t>OLDLHR300096478</t>
  </si>
  <si>
    <t>DIB0035249</t>
  </si>
  <si>
    <t>KHI/HO/D/MO/PC COMP/C/95603/137/08/2024</t>
  </si>
  <si>
    <t>9976AP2222410004</t>
  </si>
  <si>
    <t>RAJ KUMAR AHUJA</t>
  </si>
  <si>
    <t>43203-1158251-5</t>
  </si>
  <si>
    <t>03003416567</t>
  </si>
  <si>
    <t xml:space="preserve">FLAT A- 22 4 RTH FLOOR BLOCK A FARA Z VIEW BLOCK 13 COMMERS COLLEGE KARACHI PK </t>
  </si>
  <si>
    <t>62698/00117/08/2022</t>
  </si>
  <si>
    <t>6R121566</t>
  </si>
  <si>
    <t>1021550</t>
  </si>
  <si>
    <t>BRW-367</t>
  </si>
  <si>
    <t>OLUKHI300089582</t>
  </si>
  <si>
    <t>8475/08/2022/ITFM</t>
  </si>
  <si>
    <t>KHI/HO/D/MO/PC COMP/C/95603/139/08/2024</t>
  </si>
  <si>
    <t>997APD2202310007</t>
  </si>
  <si>
    <t>AYESHA AURANGZAIB</t>
  </si>
  <si>
    <t>82203-6006443-2</t>
  </si>
  <si>
    <t>03344166920</t>
  </si>
  <si>
    <t xml:space="preserve">H # 145 BLOCK-A ST # 15 SECTOR -4 A IRPORT HOUSING SOCIETY NEAR MARKET RAWALPINDI PK </t>
  </si>
  <si>
    <t>52611/00033/08/2020</t>
  </si>
  <si>
    <t>Z561409</t>
  </si>
  <si>
    <t>4187381</t>
  </si>
  <si>
    <t>ANK-286</t>
  </si>
  <si>
    <t>POURWP300056555</t>
  </si>
  <si>
    <t>DIB0028579</t>
  </si>
  <si>
    <t>KHI/HO/D/MO/PC COMP/C/95603/315/08/2024</t>
  </si>
  <si>
    <t>9976AP2212370006</t>
  </si>
  <si>
    <t>MUHAMMAD JAVED HAROON</t>
  </si>
  <si>
    <t>42401-1950672-9</t>
  </si>
  <si>
    <t>03353061115</t>
  </si>
  <si>
    <t xml:space="preserve">HOUSE NO.3/4, SECTOR 4-D, BIBI MANZIL NAZIMABAD NO.4 KARACHI </t>
  </si>
  <si>
    <t>55239/00044/08/2021</t>
  </si>
  <si>
    <t>077182</t>
  </si>
  <si>
    <t>HONDA CIVIC IVTEC</t>
  </si>
  <si>
    <t>OLDKHAI300072043</t>
  </si>
  <si>
    <t>DIB0031346</t>
  </si>
  <si>
    <t>20/08/2021</t>
  </si>
  <si>
    <t>KHI/HO/D/MO/PC COMP/C/95603/313/08/2024</t>
  </si>
  <si>
    <t>9976AP1222410009</t>
  </si>
  <si>
    <t>KASHIF NADEEM</t>
  </si>
  <si>
    <t>42101-0715303-5</t>
  </si>
  <si>
    <t>03012600002</t>
  </si>
  <si>
    <t xml:space="preserve">PLOT NO 2105 NEAR QADRIA COLONY GULBAHAR (GOLIMAR) KARACHI 0301-2600002 </t>
  </si>
  <si>
    <t>62698/00119/08/2022</t>
  </si>
  <si>
    <t>6R169849</t>
  </si>
  <si>
    <t>H1069865</t>
  </si>
  <si>
    <t>BWV-267</t>
  </si>
  <si>
    <t>OLUKHI300089574</t>
  </si>
  <si>
    <t>8474/08/2022/ITFM</t>
  </si>
  <si>
    <t>KHI/HO/D/MO/PC COMP/C/95603/140/08/2024</t>
  </si>
  <si>
    <t>997APD1202320019</t>
  </si>
  <si>
    <t>JUNAID AHMED RANA</t>
  </si>
  <si>
    <t>61101-4689721-1</t>
  </si>
  <si>
    <t>03334851173</t>
  </si>
  <si>
    <t xml:space="preserve">HOUSE NO 13 STREET 114 SECTOR G 13/1 ISLAMABAD </t>
  </si>
  <si>
    <t>52611/00042/08/2020</t>
  </si>
  <si>
    <t>5751278</t>
  </si>
  <si>
    <t>ALG-346</t>
  </si>
  <si>
    <t>PRIUS</t>
  </si>
  <si>
    <t>19-AUG-2020</t>
  </si>
  <si>
    <t>POUISD300056593</t>
  </si>
  <si>
    <t>DIB0028583</t>
  </si>
  <si>
    <t>KHI/HO/D/MO/PC COMP/C/95603/312/08/2024</t>
  </si>
  <si>
    <t>997APD1202320020</t>
  </si>
  <si>
    <t>DANIYAL ILYAS</t>
  </si>
  <si>
    <t>35201-7057819-3</t>
  </si>
  <si>
    <t>03043347797</t>
  </si>
  <si>
    <t xml:space="preserve">SHOP NO 308, 3RD FLOOR ,NEAR AL-HAF EEZ SHOPPING MALL, GULBERG LAHORE </t>
  </si>
  <si>
    <t>52611/00038/08/2020</t>
  </si>
  <si>
    <t>G4NZLH312941</t>
  </si>
  <si>
    <t>NNAQL51AZKP503611</t>
  </si>
  <si>
    <t>PODLHR300056585</t>
  </si>
  <si>
    <t>KHI/HO/D/MO/PC COMP/C/95603/311/08/2024</t>
  </si>
  <si>
    <t>9976AP2222310009</t>
  </si>
  <si>
    <t>MUHAMMAD AFZAL</t>
  </si>
  <si>
    <t>44103-0321343-5</t>
  </si>
  <si>
    <t>03212220295</t>
  </si>
  <si>
    <t xml:space="preserve">HOUSE # 3159 ST 4 TP 2 MEHMOODABAD NO 2 NEAR SUBHAN ALLAH DAIRY MILK KARACHI PK </t>
  </si>
  <si>
    <t>62698/00071/08/2022</t>
  </si>
  <si>
    <t>Z473600</t>
  </si>
  <si>
    <t>4099294</t>
  </si>
  <si>
    <t>OLUKHI300089384</t>
  </si>
  <si>
    <t>8378/08/2022/ITFM</t>
  </si>
  <si>
    <t>KHI/HO/D/MO/PC COMP/C/95603/310/08/2024</t>
  </si>
  <si>
    <t>9976AP2212420007</t>
  </si>
  <si>
    <t>MUHAMMAD IMRAN DAWOOD</t>
  </si>
  <si>
    <t>35201-4903314-3</t>
  </si>
  <si>
    <t>36600938</t>
  </si>
  <si>
    <t>03214780000</t>
  </si>
  <si>
    <t>35775393-96</t>
  </si>
  <si>
    <t xml:space="preserve">H NO 10/20 ASAD JAN ROAD LAHORE </t>
  </si>
  <si>
    <t>55239/00071/08/2021</t>
  </si>
  <si>
    <t>3UR-6239799</t>
  </si>
  <si>
    <t>5TFAW5F14HX645950</t>
  </si>
  <si>
    <t>TOYOTA TUNDRA</t>
  </si>
  <si>
    <t>OLULHR300072552</t>
  </si>
  <si>
    <t>DIB0031411</t>
  </si>
  <si>
    <t>KHI/HO/D/MO/PC COMP/C/95603/143/08/2024</t>
  </si>
  <si>
    <t>9976AD1210300113</t>
  </si>
  <si>
    <t>ATIF ALI</t>
  </si>
  <si>
    <t>35202-6432925-9</t>
  </si>
  <si>
    <t>03214388885</t>
  </si>
  <si>
    <t>04237146426</t>
  </si>
  <si>
    <t xml:space="preserve">HOUSE NO 1 STREET NO 4-C GHAYAS UD DIN STREET MAIN BAZAR MILLAT ROAD S ANDA KHURD AL MASHOOR UPS FACTORY LAHORE </t>
  </si>
  <si>
    <t>DIB/T/BT/33289/LHR/0821</t>
  </si>
  <si>
    <t>15E4E5MSM3090374</t>
  </si>
  <si>
    <t>LSJA24U97MN060542</t>
  </si>
  <si>
    <t>OLALHR300065645</t>
  </si>
  <si>
    <t>TDIDIB0029573</t>
  </si>
  <si>
    <t>06-SEP-2021</t>
  </si>
  <si>
    <t>KHI/HO/D/MO/PC COMP/C/95603/145/08/2024</t>
  </si>
  <si>
    <t>9976AD1213350019</t>
  </si>
  <si>
    <t>MUHAMMAD NAVEED KHATRI</t>
  </si>
  <si>
    <t>42101-5237002-7</t>
  </si>
  <si>
    <t>03453141707</t>
  </si>
  <si>
    <t xml:space="preserve">FLAT # A-14 OWN PLAZA BLOCK 1 K-1 N EAR PAKISTAN POST OFFICE NAZIMABAD KARACHI PK </t>
  </si>
  <si>
    <t>62698/00070/08/2022</t>
  </si>
  <si>
    <t>6R233003</t>
  </si>
  <si>
    <t>1133006</t>
  </si>
  <si>
    <t>SUZUKI ALTO VX</t>
  </si>
  <si>
    <t>01-DEC-2021</t>
  </si>
  <si>
    <t>27-Aug-2029</t>
  </si>
  <si>
    <t>OLAKHI300081094</t>
  </si>
  <si>
    <t>8367/08/2022</t>
  </si>
  <si>
    <t>KHI/HO/D/MO/PC COMP/C/95603/309/08/2024</t>
  </si>
  <si>
    <t>9976AP1222350006</t>
  </si>
  <si>
    <t>ABDUL REHMAN</t>
  </si>
  <si>
    <t>35201-2472956-3</t>
  </si>
  <si>
    <t>03059280023</t>
  </si>
  <si>
    <t xml:space="preserve">H NO E-408 ST NO 4 NEAR MUDI PUTT C HOWK CHARAR SOCIETY NEAR DHA LAHORE PK </t>
  </si>
  <si>
    <t>62698/00068/08/2022</t>
  </si>
  <si>
    <t>65893</t>
  </si>
  <si>
    <t>LEA-184-5032</t>
  </si>
  <si>
    <t>23-AUG-2022</t>
  </si>
  <si>
    <t>OLULHR300089352</t>
  </si>
  <si>
    <t>8377/08/2022/ITFM</t>
  </si>
  <si>
    <t>KHI/HO/D/MO/PC COMP/C/95603/308/08/2024</t>
  </si>
  <si>
    <t>9976AD2211980009</t>
  </si>
  <si>
    <t>ROOHI BUTT</t>
  </si>
  <si>
    <t>35202-0385047-2</t>
  </si>
  <si>
    <t>35961792</t>
  </si>
  <si>
    <t>03224479001</t>
  </si>
  <si>
    <t xml:space="preserve">H NO 237 H BLOCK IZMIR HOUSING SOCIETY NEAR EMZ SOCIETY LAHORE </t>
  </si>
  <si>
    <t>2524/02602/00066/08/2021</t>
  </si>
  <si>
    <t>G4NALU79603</t>
  </si>
  <si>
    <t>PMHJ2813SMN203196</t>
  </si>
  <si>
    <t>HYUNDAI TUCSON AWD</t>
  </si>
  <si>
    <t>17-JUL-2021</t>
  </si>
  <si>
    <t>OLALHR300070761</t>
  </si>
  <si>
    <t>DIB0031423</t>
  </si>
  <si>
    <t>KHI/HO/D/MO/PC COMP/C/95603/146/08/2024</t>
  </si>
  <si>
    <t>9976AD2221510058</t>
  </si>
  <si>
    <t>HINA KHURRAM</t>
  </si>
  <si>
    <t>42301-1437028-2</t>
  </si>
  <si>
    <t>03002557986</t>
  </si>
  <si>
    <t xml:space="preserve">HOUSE # 184/A 35 STREET PHASE 6 DHA KARACHI PK </t>
  </si>
  <si>
    <t>62698/00067/08/2022</t>
  </si>
  <si>
    <t>22E3774</t>
  </si>
  <si>
    <t>PRINCE PRINCE GLORY 580 PRO</t>
  </si>
  <si>
    <t>31-MAY-2022</t>
  </si>
  <si>
    <t>OLAKHI300087744</t>
  </si>
  <si>
    <t>8371/08/2022/ITFM</t>
  </si>
  <si>
    <t>13-AUG-2022</t>
  </si>
  <si>
    <t>KHI/HO/D/MO/PC COMP/C/95603/307/08/2024</t>
  </si>
  <si>
    <t>9976AP2212390001</t>
  </si>
  <si>
    <t>IMRAN LATIF</t>
  </si>
  <si>
    <t>42301-9817339-3</t>
  </si>
  <si>
    <t>021-35294417-8</t>
  </si>
  <si>
    <t>0300-8262282</t>
  </si>
  <si>
    <t>32421976-32412429</t>
  </si>
  <si>
    <t xml:space="preserve">HOUSE# 1-B, GIZRI BOULEVARD, PHASE# IV, DHA, NEAR DEFENCE LIBRARY, KARACHI </t>
  </si>
  <si>
    <t>55239/00072/08/2021</t>
  </si>
  <si>
    <t>MR077040</t>
  </si>
  <si>
    <t>OLDKHI300072574</t>
  </si>
  <si>
    <t>DIB0031417</t>
  </si>
  <si>
    <t>KHI/HO/D/MO/PC COMP/C/95603/147/08/2024</t>
  </si>
  <si>
    <t>9976AD1212290012</t>
  </si>
  <si>
    <t>HAIDER ABBAS</t>
  </si>
  <si>
    <t>42301-2785955-9</t>
  </si>
  <si>
    <t>03008411683</t>
  </si>
  <si>
    <t xml:space="preserve">HOUSE NO 351 SECTOR P STREET 133 DHA PHASE 1 LAHORE </t>
  </si>
  <si>
    <t>55239/00073/08/2021</t>
  </si>
  <si>
    <t>301185</t>
  </si>
  <si>
    <t>HYUNDAI ELANTRA</t>
  </si>
  <si>
    <t>03-FEB-2022</t>
  </si>
  <si>
    <t>03-Feb-2027</t>
  </si>
  <si>
    <t>OLALHR300072004</t>
  </si>
  <si>
    <t>DIB0031422</t>
  </si>
  <si>
    <t>KHI/HO/D/MO/PC COMP/C/95603/148/08/2024</t>
  </si>
  <si>
    <t>9976AD2212240004</t>
  </si>
  <si>
    <t>MUNIB IBRAHIM BAQA PURI</t>
  </si>
  <si>
    <t>35200-1556990-3</t>
  </si>
  <si>
    <t>03123330555</t>
  </si>
  <si>
    <t xml:space="preserve">EAST CANAL ROAD OFFICERS COLONY NEAR RAPHAN MILL FSD PK </t>
  </si>
  <si>
    <t>DIB/T/BT/33065/LHR/0821</t>
  </si>
  <si>
    <t>G3LAMP090735</t>
  </si>
  <si>
    <t>NNATA52AXKP502151</t>
  </si>
  <si>
    <t>KIA PICATO 1.0</t>
  </si>
  <si>
    <t>OLAFSD300071802</t>
  </si>
  <si>
    <t>DIB0031376</t>
  </si>
  <si>
    <t>KHI/HO/D/MO/PC COMP/C/95603/149/08/2024</t>
  </si>
  <si>
    <t>9976AP1232330001</t>
  </si>
  <si>
    <t>SHAHERYAR BAIG</t>
  </si>
  <si>
    <t>42201-0955685-7</t>
  </si>
  <si>
    <t>03181028663</t>
  </si>
  <si>
    <t xml:space="preserve">HOUSE # K 608 SECTOR 35-B KHADDI AREA KORANGI KARACHI CELL # 0318-1028663 </t>
  </si>
  <si>
    <t>73551/00011/08/2023</t>
  </si>
  <si>
    <t>17-AUG-2024</t>
  </si>
  <si>
    <t>1167847</t>
  </si>
  <si>
    <t>BYG-126</t>
  </si>
  <si>
    <t>OLUKHI300096333</t>
  </si>
  <si>
    <t>10448/08/2023/ITFM</t>
  </si>
  <si>
    <t>19-AUG-2023</t>
  </si>
  <si>
    <t>KHI/HO/D/MO/PC COMP/C/95603/306/08/2024</t>
  </si>
  <si>
    <t>997APD1202410001</t>
  </si>
  <si>
    <t>MUHAMMAD SOHAIB HASSAN</t>
  </si>
  <si>
    <t>38403-2851629-3</t>
  </si>
  <si>
    <t>03215588200</t>
  </si>
  <si>
    <t xml:space="preserve">UMER BLOCK SARGODHA ROAD HOUSE NO 13 MUHALLAH GULSHAN MADINA FAISALABAD 03215588200 </t>
  </si>
  <si>
    <t>52611/00083/08/2020</t>
  </si>
  <si>
    <t>1038086</t>
  </si>
  <si>
    <t>ARE-506</t>
  </si>
  <si>
    <t>28-AUG-2020</t>
  </si>
  <si>
    <t>PODFSD3000256847</t>
  </si>
  <si>
    <t>TDIDIB0028606</t>
  </si>
  <si>
    <t>KHI/HO/D/MO/PC COMP/C/95603/150/08/2024</t>
  </si>
  <si>
    <t>997APD2202410008</t>
  </si>
  <si>
    <t>MUHAMMAD JAVAID IQBAL</t>
  </si>
  <si>
    <t>35101-3097771-7</t>
  </si>
  <si>
    <t>03008069759</t>
  </si>
  <si>
    <t xml:space="preserve">RAJ GARH ROAD CHOWK CHUBURGI NEAR H AJVERY TOWER LAHORE </t>
  </si>
  <si>
    <t>52611/00084/08/2020</t>
  </si>
  <si>
    <t>100061254</t>
  </si>
  <si>
    <t>CULTUS VXR EURO-II</t>
  </si>
  <si>
    <t>PODLHR300056808</t>
  </si>
  <si>
    <t>2898/08/2020/ITFM</t>
  </si>
  <si>
    <t>KHI/HO/D/MO/PC COMP/C/95603/151/08/2024</t>
  </si>
  <si>
    <t>9976AP1222390005</t>
  </si>
  <si>
    <t>AFTAB NASEER SHAIKH</t>
  </si>
  <si>
    <t>42101-5035432-7</t>
  </si>
  <si>
    <t>03123675683</t>
  </si>
  <si>
    <t xml:space="preserve">HOUSE NO.R-545 SECTOR 10 NORTH KARACHI KARACHI </t>
  </si>
  <si>
    <t>62698/00115/08/2022</t>
  </si>
  <si>
    <t>6R164860</t>
  </si>
  <si>
    <t>1064868</t>
  </si>
  <si>
    <t>BUC-137</t>
  </si>
  <si>
    <t>OLUKHI300089566</t>
  </si>
  <si>
    <t>8459/08/2022/ITFM</t>
  </si>
  <si>
    <t>KHI/HO/D/MO/PC COMP/C/95603/152/08/2024</t>
  </si>
  <si>
    <t>997APD2202340012</t>
  </si>
  <si>
    <t>MUHAMMAD NABEEL ARSHAD</t>
  </si>
  <si>
    <t>35102-9867330-3</t>
  </si>
  <si>
    <t>03227626256</t>
  </si>
  <si>
    <t>03214438043</t>
  </si>
  <si>
    <t xml:space="preserve">HOUSE NO 24 STREET NO 3 , FIAZ STRE ET, ALLAH BAKHSH ROAD, BUTT CHOWK T OWNSHIP, NEAR BUTT CHOWK TOWNSHIP LAHORE </t>
  </si>
  <si>
    <t>52611/00044/08/2020</t>
  </si>
  <si>
    <t>GR118225</t>
  </si>
  <si>
    <t>NF1AET306H1018163</t>
  </si>
  <si>
    <t>AAH 352</t>
  </si>
  <si>
    <t>SUZUKI ALTO VXL EURO II</t>
  </si>
  <si>
    <t>PODLHR300056615</t>
  </si>
  <si>
    <t>2867/08/2020/ITFM</t>
  </si>
  <si>
    <t>KHI/HO/D/MO/PC COMP/C/95603/302/08/2024</t>
  </si>
  <si>
    <t>997AAD1202110003</t>
  </si>
  <si>
    <t>SAIMA NAZ</t>
  </si>
  <si>
    <t>42301-7927824-8</t>
  </si>
  <si>
    <t>03463001002</t>
  </si>
  <si>
    <t xml:space="preserve">HOUSE # A-355 BLOCK # H SHAHEEN STR EET NORTH NAZIMABAD NEAR HAYA BEAUT KARACHI PK </t>
  </si>
  <si>
    <t>DIB/T/BT/28248/KHI/0820</t>
  </si>
  <si>
    <t>G3LAKP148044</t>
  </si>
  <si>
    <t>NNA7A52AXKP500207</t>
  </si>
  <si>
    <t>BSA-642</t>
  </si>
  <si>
    <t>KIA PICANTO 1.0 L M/T</t>
  </si>
  <si>
    <t>29-JUL-2020</t>
  </si>
  <si>
    <t>POAKHI300056004</t>
  </si>
  <si>
    <t>TDIDIB0028549</t>
  </si>
  <si>
    <t>24-AUG-2020</t>
  </si>
  <si>
    <t>KHI/HO/D/MO/PC COMP/C/95603/300/08/2024</t>
  </si>
  <si>
    <t>9976AP1222360019</t>
  </si>
  <si>
    <t>SAIRA</t>
  </si>
  <si>
    <t>42101-5093670-8</t>
  </si>
  <si>
    <t>03322825353</t>
  </si>
  <si>
    <t xml:space="preserve">HOUSE NO 237 AREA AIMANABAD COLONY PIB COLONY KARACHI </t>
  </si>
  <si>
    <t>62698/00080/08/2022</t>
  </si>
  <si>
    <t>B144994</t>
  </si>
  <si>
    <t>K10045072</t>
  </si>
  <si>
    <t>BLF-808</t>
  </si>
  <si>
    <t>SUZUKI WAGNOR VXL</t>
  </si>
  <si>
    <t>24-AUG-2022</t>
  </si>
  <si>
    <t>OLUKHI300089404</t>
  </si>
  <si>
    <t>8413/08/2022/ITFM</t>
  </si>
  <si>
    <t>20-AUG-2022</t>
  </si>
  <si>
    <t>KHI/HO/D/MO/PC COMP/C/95603/297/08/2024</t>
  </si>
  <si>
    <t>9976AP1222360017</t>
  </si>
  <si>
    <t>MUHAMMAD SHAHZAD YOUSUF</t>
  </si>
  <si>
    <t>42301-6780115-3</t>
  </si>
  <si>
    <t>021-3581995</t>
  </si>
  <si>
    <t>0300-3998381</t>
  </si>
  <si>
    <t xml:space="preserve">H NO BB-115 DEFANCE VIEW PHASE 3 DHA PHASE-II 1ST FLOOR NEAR IQRA UNIVERSITY KARACHI </t>
  </si>
  <si>
    <t>62698/00073/08/2022</t>
  </si>
  <si>
    <t>10048945</t>
  </si>
  <si>
    <t>BSE-948</t>
  </si>
  <si>
    <t>SUZUKI SWIFT DLX ABS WITH EBD A/T</t>
  </si>
  <si>
    <t>OLUKHI300089387</t>
  </si>
  <si>
    <t>8383/08/2022/ITFM</t>
  </si>
  <si>
    <t>KHI/HO/D/MO/PC COMP/C/95574/1/08/2024</t>
  </si>
  <si>
    <t>9976AP2212380010</t>
  </si>
  <si>
    <t>BARKAT ULLAH(G)</t>
  </si>
  <si>
    <t>42501-6808034-9</t>
  </si>
  <si>
    <t>0300-2483504</t>
  </si>
  <si>
    <t>03314229261</t>
  </si>
  <si>
    <t>02199071111</t>
  </si>
  <si>
    <t xml:space="preserve">FLAT B-404 RAO AND ISRAR HEIGHT BLOCK 13 GULISTAN-E- JOHAR KARACHI </t>
  </si>
  <si>
    <t>55239/00065/08/2021</t>
  </si>
  <si>
    <t>7031755</t>
  </si>
  <si>
    <t>26-AUG-2021</t>
  </si>
  <si>
    <t>OLUKHI300072415</t>
  </si>
  <si>
    <t>DIB0031398</t>
  </si>
  <si>
    <t>KHI/HO/D/MO/PC COMP/C/95603/153/08/2024</t>
  </si>
  <si>
    <t>9976AD1222300009</t>
  </si>
  <si>
    <t>FARMAN AHMED</t>
  </si>
  <si>
    <t>42101-5935946-5</t>
  </si>
  <si>
    <t>36804785</t>
  </si>
  <si>
    <t>03218518786</t>
  </si>
  <si>
    <t xml:space="preserve">HOUSE NO D 49/1 BLOCK 06 FB AREA KARACHI </t>
  </si>
  <si>
    <t>62698/00104/08/2022</t>
  </si>
  <si>
    <t>503999</t>
  </si>
  <si>
    <t>OLAKHI300089323</t>
  </si>
  <si>
    <t>8385/08/2022/ITFM</t>
  </si>
  <si>
    <t>KHI/HO/D/MO/PC COMP/C/95603/154/08/2024</t>
  </si>
  <si>
    <t>9976AP1222350009</t>
  </si>
  <si>
    <t>AZFAR KHAN</t>
  </si>
  <si>
    <t>42101-6507933-7</t>
  </si>
  <si>
    <t>03008521306</t>
  </si>
  <si>
    <t xml:space="preserve">C-51 BLOCK 4 GULSHAN E IQBAL KARACHI PK </t>
  </si>
  <si>
    <t>62698/00076/08/2022</t>
  </si>
  <si>
    <t>2A25703</t>
  </si>
  <si>
    <t>9510235</t>
  </si>
  <si>
    <t>BXA-593</t>
  </si>
  <si>
    <t>OLUKHI300089303</t>
  </si>
  <si>
    <t>8390/08/2022/ITFM</t>
  </si>
  <si>
    <t>KHI/HO/D/MO/PC COMP/C/95603/295/08/2024</t>
  </si>
  <si>
    <t>9976AP1222350008</t>
  </si>
  <si>
    <t>HAMZA BUTT</t>
  </si>
  <si>
    <t>37405-0883784-9</t>
  </si>
  <si>
    <t>03328595000</t>
  </si>
  <si>
    <t>0514831517</t>
  </si>
  <si>
    <t xml:space="preserve">H # B-200 SECTOR 4-B KHAYABAN E SIR SYED NEAR GOVT BOYS HIGH SCHOOL SE RAWALPINDI PK </t>
  </si>
  <si>
    <t>62698/00075/08/2022</t>
  </si>
  <si>
    <t>0000424</t>
  </si>
  <si>
    <t>ADT-701</t>
  </si>
  <si>
    <t>OLURWP300089403</t>
  </si>
  <si>
    <t>8391/08/2022/ITFM</t>
  </si>
  <si>
    <t>KHI/HO/D/MO/PC COMP/C/95603/291/08/2024</t>
  </si>
  <si>
    <t>9976AP1222340004</t>
  </si>
  <si>
    <t>SYED KAFIL AKHTAR WASTI</t>
  </si>
  <si>
    <t>35202-7705544-1</t>
  </si>
  <si>
    <t>03324150212</t>
  </si>
  <si>
    <t xml:space="preserve">OFFICE NO 3 3RD FLOOR LUCKY PLAZA M OZANG CHUNGI NEAR QURTABA CHOWK LAHORE </t>
  </si>
  <si>
    <t>62698/00079/08/2022</t>
  </si>
  <si>
    <t>1008738</t>
  </si>
  <si>
    <t>LE-19A-1845</t>
  </si>
  <si>
    <t>22-AUG-2022</t>
  </si>
  <si>
    <t>OLULHR300089383</t>
  </si>
  <si>
    <t>8381/08/2022/ITFM</t>
  </si>
  <si>
    <t>KHI/HO/D/MO/PC COMP/C/95603/290/08/2024</t>
  </si>
  <si>
    <t>9976AP1222340003</t>
  </si>
  <si>
    <t>MUHAMMAD HASSAN BASIT</t>
  </si>
  <si>
    <t>35201-7295969-9</t>
  </si>
  <si>
    <t>03324170882</t>
  </si>
  <si>
    <t xml:space="preserve">H NO 3 ST NO 30 SHALIMAR LINK ROAD MUGHALPURA LAHORE PK </t>
  </si>
  <si>
    <t>62698/00074/08/2022</t>
  </si>
  <si>
    <t>Q020219</t>
  </si>
  <si>
    <t>1414519228</t>
  </si>
  <si>
    <t>LEA-14-649</t>
  </si>
  <si>
    <t>OLULHR300089385</t>
  </si>
  <si>
    <t>8387/08/2022/ITFM</t>
  </si>
  <si>
    <t>KHI/HO/D/MO/PC COMP/C/95603/289/08/2024</t>
  </si>
  <si>
    <t>9976AD2220600009</t>
  </si>
  <si>
    <t>ZAFAR IQBAL</t>
  </si>
  <si>
    <t>42101-2772003-3</t>
  </si>
  <si>
    <t>03142150437</t>
  </si>
  <si>
    <t>03142150437, 03142150437</t>
  </si>
  <si>
    <t xml:space="preserve">HOUSE 3 1284 KHUWAJA AJMAIR NAGRI S ECTOR 1-B-1 NORTH KARACHI NEAR MADI KARACHI PK </t>
  </si>
  <si>
    <t>62698/00111/08/2022</t>
  </si>
  <si>
    <t>6R243335</t>
  </si>
  <si>
    <t>1143342</t>
  </si>
  <si>
    <t>01-MAR-2022</t>
  </si>
  <si>
    <t>OLAKHI300084920</t>
  </si>
  <si>
    <t>8398/08/2022</t>
  </si>
  <si>
    <t>KHI/HO/D/MO/PC COMP/C/95603/155/08/2024</t>
  </si>
  <si>
    <t>9976AD1221320006</t>
  </si>
  <si>
    <t>ASMA KANWAL</t>
  </si>
  <si>
    <t>35202-4991070-0</t>
  </si>
  <si>
    <t>03028440396</t>
  </si>
  <si>
    <t>35782042118</t>
  </si>
  <si>
    <t xml:space="preserve">H # 756 RAZA BLOVK IQBAL TOWN LAHORE PK </t>
  </si>
  <si>
    <t>62698/00072/08/2022</t>
  </si>
  <si>
    <t>10099849</t>
  </si>
  <si>
    <t>SUZUKI CULTUS VXL EURO II</t>
  </si>
  <si>
    <t>12-MAY-2022</t>
  </si>
  <si>
    <t>OLALHR300087204</t>
  </si>
  <si>
    <t>8389/08/2022/ITFM</t>
  </si>
  <si>
    <t>KHI/HO/D/MO/PC COMP/C/95603/288/08/2024</t>
  </si>
  <si>
    <t>9976AP1222390004</t>
  </si>
  <si>
    <t>MUHAMMAD IMRAN SHAHRYAR</t>
  </si>
  <si>
    <t>42101-2814024-9</t>
  </si>
  <si>
    <t>03453322260</t>
  </si>
  <si>
    <t xml:space="preserve">HOUSE A- 415 BLOCK I NORTH NAZIMABA D NIMRA MASJID KARACHI PK </t>
  </si>
  <si>
    <t>62698/00112/08/2022</t>
  </si>
  <si>
    <t>10B139441</t>
  </si>
  <si>
    <t>10039492</t>
  </si>
  <si>
    <t>BKL-511</t>
  </si>
  <si>
    <t>OLUKHI300089544</t>
  </si>
  <si>
    <t>8457/08/2022/ITFM</t>
  </si>
  <si>
    <t>KHI/HO/D/MO/PC COMP/C/95603/157/08/2024</t>
  </si>
  <si>
    <t>9976AD1211520088</t>
  </si>
  <si>
    <t>ZIA UL ISLAM</t>
  </si>
  <si>
    <t>33100-2569223-1</t>
  </si>
  <si>
    <t>0321-9667293</t>
  </si>
  <si>
    <t>041-2601757</t>
  </si>
  <si>
    <t xml:space="preserve">HOUSE# P 130, ISMAIL VALLEY, DAEWO ROAD, FAISALABAD </t>
  </si>
  <si>
    <t>DIB/T/33040/LHR/0821</t>
  </si>
  <si>
    <t>512037</t>
  </si>
  <si>
    <t>OLAFSD300069216</t>
  </si>
  <si>
    <t>KHI/HO/D/MO/PC COMP/C/95603/158/08/2024</t>
  </si>
  <si>
    <t>9976AD2212230002</t>
  </si>
  <si>
    <t>KHAULA MOHSIN</t>
  </si>
  <si>
    <t>61101-9979940-0</t>
  </si>
  <si>
    <t>03000088330</t>
  </si>
  <si>
    <t xml:space="preserve">379 BLOCK E PHASE 6 DHA LAHORE </t>
  </si>
  <si>
    <t>2524/02602/00062/08/2021</t>
  </si>
  <si>
    <t>MR077922</t>
  </si>
  <si>
    <t>HONDA CIVIC VTI ORIEL</t>
  </si>
  <si>
    <t>OLALHR300071840</t>
  </si>
  <si>
    <t>5382/08/2021</t>
  </si>
  <si>
    <t>KHI/HO/D/MO/PC COMP/C/95603/159/08/2024</t>
  </si>
  <si>
    <t>997AAD2202040003</t>
  </si>
  <si>
    <t>IMTIAZ ALI GORAYA</t>
  </si>
  <si>
    <t>33100-2442125-7</t>
  </si>
  <si>
    <t>2619673</t>
  </si>
  <si>
    <t>0300-7629353</t>
  </si>
  <si>
    <t xml:space="preserve">P-43 UPPER PORTION PEOPLES CHOWK MAIN DIJKOT ROAD OPP RANA BABAR SWEET FAISALABAD </t>
  </si>
  <si>
    <t>52611/00041/08/2020</t>
  </si>
  <si>
    <t>L15A799215</t>
  </si>
  <si>
    <t>NFB6M266XLR262175</t>
  </si>
  <si>
    <t>ARC-917</t>
  </si>
  <si>
    <t>22-JUL-2020</t>
  </si>
  <si>
    <t>POAFSD300055672</t>
  </si>
  <si>
    <t>TDIDIB0028555</t>
  </si>
  <si>
    <t>KHI/HO/D/MO/PC COMP/C/95603/287/08/2024</t>
  </si>
  <si>
    <t>997AAD1202300005</t>
  </si>
  <si>
    <t>WASEEM ILYAS</t>
  </si>
  <si>
    <t>35202-2951217-7</t>
  </si>
  <si>
    <t>03004028882</t>
  </si>
  <si>
    <t xml:space="preserve">ESTA ADVERTISING 514, A-1 SECTOR GECHS PECO ROAD LAHORE </t>
  </si>
  <si>
    <t>DIB/T/BT/28254/LHR/0820</t>
  </si>
  <si>
    <t>R019002</t>
  </si>
  <si>
    <t>AAG 937</t>
  </si>
  <si>
    <t>HONDA BR-V IVTEC - S</t>
  </si>
  <si>
    <t>POALHR3000056542</t>
  </si>
  <si>
    <t>2869/08/2020/ITFM</t>
  </si>
  <si>
    <t>20-AUG-2020</t>
  </si>
  <si>
    <t>2.25%</t>
  </si>
  <si>
    <t>KHI/HO/D/MO/PC COMP/C/95603/286/08/2024</t>
  </si>
  <si>
    <t>9976AP1212360011</t>
  </si>
  <si>
    <t>TASHFEEN RAZA</t>
  </si>
  <si>
    <t>42301-0727168-7</t>
  </si>
  <si>
    <t>03329293814</t>
  </si>
  <si>
    <t xml:space="preserve">FLAT G- 2 ZIA JANNAT SOLDIER BAZAR 3 KHI XRAY KARACHI PK </t>
  </si>
  <si>
    <t>55239/00046/08/2021</t>
  </si>
  <si>
    <t>4185662</t>
  </si>
  <si>
    <t>BRD-030</t>
  </si>
  <si>
    <t>TOYOTA COROLLA XLI A/T</t>
  </si>
  <si>
    <t>24-AUG-2021</t>
  </si>
  <si>
    <t>OLUKHI300072135</t>
  </si>
  <si>
    <t>DIB0031352</t>
  </si>
  <si>
    <t>KHI/HO/D/MO/PC COMP/C/95603/285/08/2024</t>
  </si>
  <si>
    <t>9976AP2212420004</t>
  </si>
  <si>
    <t>WASIM HANIF</t>
  </si>
  <si>
    <t>35202-8674801-7</t>
  </si>
  <si>
    <t>03006599086</t>
  </si>
  <si>
    <t xml:space="preserve">HOUSE NO D-2-301 WAPDA TOWN LAHORE </t>
  </si>
  <si>
    <t>55239/00069/08/2021</t>
  </si>
  <si>
    <t>512783</t>
  </si>
  <si>
    <t>OLDLHR300072512</t>
  </si>
  <si>
    <t>5381/08/2021</t>
  </si>
  <si>
    <t>KHI/HO/D/MO/PC COMP/C/95603/161/08/2024</t>
  </si>
  <si>
    <t>9976AD2211810002</t>
  </si>
  <si>
    <t>MUHAMMAD ALI</t>
  </si>
  <si>
    <t>41101-3675983-7</t>
  </si>
  <si>
    <t>03332802347</t>
  </si>
  <si>
    <t xml:space="preserve">FLAT # 13 GOR COLONY BEHIND STATE B ANK THANDI SADAK NEAR OLD STATE BAN HYDERABAD PK </t>
  </si>
  <si>
    <t>DIB/T/BT/33188/HYD/2022</t>
  </si>
  <si>
    <t>2A34754</t>
  </si>
  <si>
    <t>9512974</t>
  </si>
  <si>
    <t>OLAHYD300070196</t>
  </si>
  <si>
    <t>ITMT</t>
  </si>
  <si>
    <t>5372/08/2021/ITMM</t>
  </si>
  <si>
    <t>KHI/HO/D/MO/PC COMP/C/95603/162/08/2024</t>
  </si>
  <si>
    <t>9976AD2210900018</t>
  </si>
  <si>
    <t>ZOYA PERVEZ</t>
  </si>
  <si>
    <t>42301-0878645-4</t>
  </si>
  <si>
    <t>03242637677</t>
  </si>
  <si>
    <t xml:space="preserve">DESIGNER DESSERTS D-32 BLOCK 9 CLIFTON OPP KAUSAR MEDICO KARACHI </t>
  </si>
  <si>
    <t>DIB/T/BT/33241/KHI/0821</t>
  </si>
  <si>
    <t>ZRE171R-6056661</t>
  </si>
  <si>
    <t>OLAKHI300067187</t>
  </si>
  <si>
    <t>108567/08/2021</t>
  </si>
  <si>
    <t>KHI/HO/D/MO/PC COMP/C/95603/164/08/2024</t>
  </si>
  <si>
    <t>9976AD1211380003</t>
  </si>
  <si>
    <t>SOBAN BASIT</t>
  </si>
  <si>
    <t>34604-0424547-7</t>
  </si>
  <si>
    <t>03344453433</t>
  </si>
  <si>
    <t>0553850078</t>
  </si>
  <si>
    <t xml:space="preserve">KIPS COLLEGE SHAHEENABAD G.T ROAD GUJRANWALA </t>
  </si>
  <si>
    <t>PL-0821-1101010102-V14-D-00368</t>
  </si>
  <si>
    <t>10079642</t>
  </si>
  <si>
    <t>18-MAY-2021</t>
  </si>
  <si>
    <t>OLAGWL300068696</t>
  </si>
  <si>
    <t>DIB0031347</t>
  </si>
  <si>
    <t>20-AUG-2021</t>
  </si>
  <si>
    <t>KHI/HO/D/MO/PC COMP/C/95603/282/08/2024</t>
  </si>
  <si>
    <t>9976AP1192350001</t>
  </si>
  <si>
    <t>MUHAMMAD SUFIAN</t>
  </si>
  <si>
    <t>35201-7673346-5</t>
  </si>
  <si>
    <t>03225692614</t>
  </si>
  <si>
    <t>04235237960</t>
  </si>
  <si>
    <t xml:space="preserve">H NO E-2 132 KV GRID STATION KAHNA NAU FEROZEPUR ROAD NEAR GOVT. GIRLS and BOYS SCHOOL LAHORE </t>
  </si>
  <si>
    <t>51003/00044/08/2019</t>
  </si>
  <si>
    <t>1001128</t>
  </si>
  <si>
    <t>LEH-19-6998</t>
  </si>
  <si>
    <t>PODLHR300048461</t>
  </si>
  <si>
    <t>DIB0027777</t>
  </si>
  <si>
    <t>22-AUG-2019</t>
  </si>
  <si>
    <t>KHI/HO/D/MO/PC COMP/C/95603/281/08/2024</t>
  </si>
  <si>
    <t>997AAD1202020005</t>
  </si>
  <si>
    <t>MUHAMMAD TAHIR ASIF</t>
  </si>
  <si>
    <t>33100-4227652-1</t>
  </si>
  <si>
    <t>03217911004</t>
  </si>
  <si>
    <t>03217911004, 03217911004</t>
  </si>
  <si>
    <t xml:space="preserve">P-647-B B BLOCK PEOPLES COLONY NO 0 1 FSD NEAR DERA SHAHID GOGI FAISALABAD PK </t>
  </si>
  <si>
    <t>52611/00055/08/2020</t>
  </si>
  <si>
    <t>R18Z16912222</t>
  </si>
  <si>
    <t>NFBFC6666LR063906</t>
  </si>
  <si>
    <t>ARD-318</t>
  </si>
  <si>
    <t>20-JUL-2020</t>
  </si>
  <si>
    <t>POAFSD300055401</t>
  </si>
  <si>
    <t>DIB0028598</t>
  </si>
  <si>
    <t>KHI/HO/D/MO/PC COMP/C/95603/280/08/2024</t>
  </si>
  <si>
    <t>9976AD2211810020</t>
  </si>
  <si>
    <t>SOHAIL ZAHOOR</t>
  </si>
  <si>
    <t>33102-6892200-3</t>
  </si>
  <si>
    <t>03226082005</t>
  </si>
  <si>
    <t>03226082005, 03226082005</t>
  </si>
  <si>
    <t xml:space="preserve">H NO P-402-A GULISTAN COLONY NO 2 FAISALABAD PK </t>
  </si>
  <si>
    <t>2021/08/CLFTTPCDP00928</t>
  </si>
  <si>
    <t>2A34414</t>
  </si>
  <si>
    <t>7021519</t>
  </si>
  <si>
    <t>YARIS GLI CVT 1.3</t>
  </si>
  <si>
    <t>OLAFSD300070344</t>
  </si>
  <si>
    <t>DIB0031381</t>
  </si>
  <si>
    <t>KHI/HO/D/MO/PC COMP/C/95603/166/08/2024</t>
  </si>
  <si>
    <t>9976AP1212390006</t>
  </si>
  <si>
    <t>AHAD MUSARRAT</t>
  </si>
  <si>
    <t>42301-5081237-9</t>
  </si>
  <si>
    <t>03002027050</t>
  </si>
  <si>
    <t xml:space="preserve">A-472 BLOCK 15 GULISTAN E JAUHAR KARACHI </t>
  </si>
  <si>
    <t>55239/00067/08/2021</t>
  </si>
  <si>
    <t>KF-J615169</t>
  </si>
  <si>
    <t>LA3508-0074306</t>
  </si>
  <si>
    <t>DAIHATSU MIRA</t>
  </si>
  <si>
    <t>OLUKHI300072408</t>
  </si>
  <si>
    <t>DIB0031397</t>
  </si>
  <si>
    <t>KHI/HO/D/MO/PC COMP/C/95603/167/08/2024</t>
  </si>
  <si>
    <t>9976AP1232340003</t>
  </si>
  <si>
    <t>KHALID AZIZ ABBASI</t>
  </si>
  <si>
    <t>42101-1623187-9</t>
  </si>
  <si>
    <t>36636930</t>
  </si>
  <si>
    <t>03008293964</t>
  </si>
  <si>
    <t>35380975</t>
  </si>
  <si>
    <t xml:space="preserve">HNO B-37, BLOCK A NORTH NAZIMABAD NEAR STATE BANK OF PAKISTAN KARACHI </t>
  </si>
  <si>
    <t>73511/00012/08/2023</t>
  </si>
  <si>
    <t>20-AUG-2024</t>
  </si>
  <si>
    <t>1179779</t>
  </si>
  <si>
    <t>OLDKHI300096423</t>
  </si>
  <si>
    <t>10450/08/2023/ITFM</t>
  </si>
  <si>
    <t>KHI/HO/D/MO/PC COMP/C/95603/279/08/2024</t>
  </si>
  <si>
    <t>997APD2202410001</t>
  </si>
  <si>
    <t>DANISH ABBAS</t>
  </si>
  <si>
    <t>35201-7547604-9</t>
  </si>
  <si>
    <t>03224466778</t>
  </si>
  <si>
    <t>04235290734</t>
  </si>
  <si>
    <t xml:space="preserve">325 G-3 M.A JOHAR TOWN LAHORE </t>
  </si>
  <si>
    <t>52611/00075/08/2020</t>
  </si>
  <si>
    <t>LEB-5257221</t>
  </si>
  <si>
    <t>GM4-1107204</t>
  </si>
  <si>
    <t>ALD-731</t>
  </si>
  <si>
    <t>GRACE HYBRID</t>
  </si>
  <si>
    <t>POULHR300056823</t>
  </si>
  <si>
    <t>DIB0028620</t>
  </si>
  <si>
    <t>26-AUG-2020</t>
  </si>
  <si>
    <t>KHI/HO/D/MO/PC COMP/C/95603/168/08/2024</t>
  </si>
  <si>
    <t>997AAD1202100013</t>
  </si>
  <si>
    <t>MUHAMMAD SADDOON AMEER</t>
  </si>
  <si>
    <t>35202-1451424-9</t>
  </si>
  <si>
    <t>03224437637</t>
  </si>
  <si>
    <t xml:space="preserve">HOUSE 335-R MAIN BOULEVARD JOHAR TOWN LAHORE </t>
  </si>
  <si>
    <t>52611/00078/08/2020</t>
  </si>
  <si>
    <t>G3LAP044553</t>
  </si>
  <si>
    <t>702617</t>
  </si>
  <si>
    <t>PICANTO 1.0 L A/T</t>
  </si>
  <si>
    <t>28-JUL-2020</t>
  </si>
  <si>
    <t>POALHR300055963</t>
  </si>
  <si>
    <t>2899/08/2020/ITFM</t>
  </si>
  <si>
    <t>KHI/HO/D/MO/PC COMP/C/95603/170/08/2024</t>
  </si>
  <si>
    <t>9976AP1212380024</t>
  </si>
  <si>
    <t>SYED USMAN HAMEED</t>
  </si>
  <si>
    <t>42101-6416219-1</t>
  </si>
  <si>
    <t>03122687300</t>
  </si>
  <si>
    <t xml:space="preserve">HOUSE # R-513 STREET # 55 BLACK B S AIMA ARABIAN VILLAS NEAR 4K CHOWRAN KARACHI PK </t>
  </si>
  <si>
    <t>55239/00064/08/2021</t>
  </si>
  <si>
    <t>10016734</t>
  </si>
  <si>
    <t>BGD-192</t>
  </si>
  <si>
    <t>OLUKHI300072416</t>
  </si>
  <si>
    <t>DIB0031395</t>
  </si>
  <si>
    <t>26/08/2021</t>
  </si>
  <si>
    <t>KHI/HO/D/MO/PC COMP/C/95603/171/08/2024</t>
  </si>
  <si>
    <t>997APD2202390010</t>
  </si>
  <si>
    <t>RAFAQAT HUSSAIN</t>
  </si>
  <si>
    <t>35201-3957534-5</t>
  </si>
  <si>
    <t>03243326256</t>
  </si>
  <si>
    <t xml:space="preserve">NEW SHAHID PARK BEHIND PAKISTAN MIN T HOUSE NO 23 STREET NO 20 LAHORE </t>
  </si>
  <si>
    <t>52611/00076/08/2020</t>
  </si>
  <si>
    <t>PK10121991</t>
  </si>
  <si>
    <t>NFIAVK31H10021974</t>
  </si>
  <si>
    <t>LEH-18-5110</t>
  </si>
  <si>
    <t>SUZUKI CULTUS VXR</t>
  </si>
  <si>
    <t>POUFSD300056818</t>
  </si>
  <si>
    <t>DIB0028622</t>
  </si>
  <si>
    <t>KHI/HO/D/MO/PC COMP/C/95603/173/08/2024</t>
  </si>
  <si>
    <t>9976AP1222390003</t>
  </si>
  <si>
    <t>MUHAMMAD SAQIB MALIK</t>
  </si>
  <si>
    <t>35201-3328164-5</t>
  </si>
  <si>
    <t>03224909008</t>
  </si>
  <si>
    <t xml:space="preserve">H NO 122-A 7TH FLOOR OFFICERS COLON Y WALTON ROAD LAHORE CANTT NEAR OPP LAHORE PK </t>
  </si>
  <si>
    <t>62698/00109/08/2022</t>
  </si>
  <si>
    <t>2A06024</t>
  </si>
  <si>
    <t>9502786</t>
  </si>
  <si>
    <t>AAG-805</t>
  </si>
  <si>
    <t>TOYOTA YARIS ATIV</t>
  </si>
  <si>
    <t>OLULHR300089556</t>
  </si>
  <si>
    <t>8462/08/2022/ITFM</t>
  </si>
  <si>
    <t>KHI/HO/D/MO/PC COMP/C/95603/180/08/2024</t>
  </si>
  <si>
    <t>9976AP2222370013</t>
  </si>
  <si>
    <t>SHARIQ AHMED</t>
  </si>
  <si>
    <t>42101-2504719-5</t>
  </si>
  <si>
    <t>032222454947</t>
  </si>
  <si>
    <t xml:space="preserve">HNO 220/12-A MUHALLA AURANABAD NAZI MABAD NO 05 KARACHI NEAR PAPOSH MAR KARACHI PK </t>
  </si>
  <si>
    <t>62698/00083/08/2022</t>
  </si>
  <si>
    <t>106337</t>
  </si>
  <si>
    <t>25-AUG-2022</t>
  </si>
  <si>
    <t>OLDKHI300089386</t>
  </si>
  <si>
    <t>8418/08/2022/ITFM</t>
  </si>
  <si>
    <t>KHI/HO/D/MO/PC COMP/C/95603/273/08/2024</t>
  </si>
  <si>
    <t>9976AP1222370027</t>
  </si>
  <si>
    <t>ASAD ULLAH</t>
  </si>
  <si>
    <t>42501-9062020-5</t>
  </si>
  <si>
    <t>03003588447</t>
  </si>
  <si>
    <t xml:space="preserve">PLOT NO.385 SC 33 LAWYERS COLONY GULZAR E HIJRI KARACHI </t>
  </si>
  <si>
    <t>62698/00082/08/2022</t>
  </si>
  <si>
    <t>1066947</t>
  </si>
  <si>
    <t>BVS-258</t>
  </si>
  <si>
    <t>OLUKHI300089405</t>
  </si>
  <si>
    <t>8403/08/2022/ITFM</t>
  </si>
  <si>
    <t>KHI/HO/D/MO/PC COMP/C/95603/270/08/2024</t>
  </si>
  <si>
    <t>9976AD1211170009</t>
  </si>
  <si>
    <t>FOZIA KHANUM HASHMI</t>
  </si>
  <si>
    <t>35202-1227209-6</t>
  </si>
  <si>
    <t>03367293443</t>
  </si>
  <si>
    <t xml:space="preserve">8-CANAL ROAD SIDDIQI AVENUE OPPOSIT E DOCTORS HOSPITAL NEAR TECH SOCIET Y LAHORE </t>
  </si>
  <si>
    <t>2524/02602/00058/08/2021</t>
  </si>
  <si>
    <t>M04603903W</t>
  </si>
  <si>
    <t>RAILPPM21G02686</t>
  </si>
  <si>
    <t>PRINE PEARL</t>
  </si>
  <si>
    <t>OLALHR300068191</t>
  </si>
  <si>
    <t>DIB0031394</t>
  </si>
  <si>
    <t>26-08-2021</t>
  </si>
  <si>
    <t>KHI/HO/D/MO/PC COMP/C/95603/182/08/2024</t>
  </si>
  <si>
    <t>9976AP1232380004</t>
  </si>
  <si>
    <t>CHOUDHRY AKBAR ALI</t>
  </si>
  <si>
    <t>35401-1822466-7</t>
  </si>
  <si>
    <t>03214272817</t>
  </si>
  <si>
    <t xml:space="preserve">HOUSE # 30/ 1A BLOCK P MOHALLAH MODEL TOWN, LAHORE. 0321-4272817 </t>
  </si>
  <si>
    <t>73551/00017/08/2023</t>
  </si>
  <si>
    <t>24-AUG-2024</t>
  </si>
  <si>
    <t>6R280504</t>
  </si>
  <si>
    <t>1180541</t>
  </si>
  <si>
    <t>OLDLHR300096461</t>
  </si>
  <si>
    <t>DIB0035239</t>
  </si>
  <si>
    <t>25-AUG-2023</t>
  </si>
  <si>
    <t>KHI/HO/D/MO/PC COMP/C/95603/184/08/2024</t>
  </si>
  <si>
    <t>9976AP1232380002</t>
  </si>
  <si>
    <t>USMAN SARWAR</t>
  </si>
  <si>
    <t>35202-7742912-5</t>
  </si>
  <si>
    <t>03224032595</t>
  </si>
  <si>
    <t xml:space="preserve">H NO 8 ST NO 47 AHATA BIBI SULTAN P URA CHAH MIRAN LAHORE PK </t>
  </si>
  <si>
    <t>73551/00016/08/2023</t>
  </si>
  <si>
    <t>1180154</t>
  </si>
  <si>
    <t>OLDLHR300096454</t>
  </si>
  <si>
    <t>DIB0035237</t>
  </si>
  <si>
    <t>KHI/HO/D/MO/PC COMP/C/95603/185/08/2024</t>
  </si>
  <si>
    <t>9976AP1222410011</t>
  </si>
  <si>
    <t>MUHAMMAD USMAN</t>
  </si>
  <si>
    <t>35301-2180006-5</t>
  </si>
  <si>
    <t>03224321792</t>
  </si>
  <si>
    <t xml:space="preserve">H NO 247 TARIQ BLOCK GARDEN TOWN LAHORE PK </t>
  </si>
  <si>
    <t>62698/00102/08/2022</t>
  </si>
  <si>
    <t>10100557</t>
  </si>
  <si>
    <t>OLDLHR300089530</t>
  </si>
  <si>
    <t>8443/08/2022/ITFM</t>
  </si>
  <si>
    <t>KHI/HO/D/MO/PC COMP/C/95603/186/08/2024</t>
  </si>
  <si>
    <t>9976AP1222350013</t>
  </si>
  <si>
    <t>MUHAMMAD NOMAN KHAN</t>
  </si>
  <si>
    <t>42101-7844080-7</t>
  </si>
  <si>
    <t>03453250567</t>
  </si>
  <si>
    <t xml:space="preserve">HOUSE NO A-488 BLOCK 12 GULBERG FB AREA KARACHI </t>
  </si>
  <si>
    <t>62698/00084/08/2022</t>
  </si>
  <si>
    <t>10118862</t>
  </si>
  <si>
    <t>BUG-131</t>
  </si>
  <si>
    <t>SUZUKI WAGONR VXL AGS</t>
  </si>
  <si>
    <t>OLUKHI300089432</t>
  </si>
  <si>
    <t>8404/08/2022/ITFM</t>
  </si>
  <si>
    <t>KHI/HO/D/MO/PC COMP/C/95603/269/08/2024</t>
  </si>
  <si>
    <t>9976AD2221810021</t>
  </si>
  <si>
    <t>NASIR KHAN</t>
  </si>
  <si>
    <t>42201-1306751-3</t>
  </si>
  <si>
    <t>03152515703 , 03070213530</t>
  </si>
  <si>
    <t xml:space="preserve">HOUSE NO 1411 PEER BUKHARI COLONY NEAR HMH SAQUARE HASAN SQUARE KARACHI 033-02940387 </t>
  </si>
  <si>
    <t>62698/00105/08/2022</t>
  </si>
  <si>
    <t>500733</t>
  </si>
  <si>
    <t>PEUGEOT 2008 ALLURE</t>
  </si>
  <si>
    <t>30-JUN-2022</t>
  </si>
  <si>
    <t>OLAKHI300088441</t>
  </si>
  <si>
    <t>8420/08/2022/ITFM</t>
  </si>
  <si>
    <t>KHI/HO/D/MO/PC COMP/C/95603/188/08/2024</t>
  </si>
  <si>
    <t>9976AD1220600087</t>
  </si>
  <si>
    <t>IMRAN KHAN</t>
  </si>
  <si>
    <t>42401-9285623-3</t>
  </si>
  <si>
    <t>03212014315</t>
  </si>
  <si>
    <t>02132219371</t>
  </si>
  <si>
    <t xml:space="preserve">SHOP NO.1 BARLAS CHAMBER ARAM BAGH OPP FAWARAH PARK KARACHI </t>
  </si>
  <si>
    <t>62698/00085/08/2022</t>
  </si>
  <si>
    <t>517933</t>
  </si>
  <si>
    <t>OLAKHI300084975</t>
  </si>
  <si>
    <t>KHI/HO/D/MO/PC COMP/C/95603/267/08/2024</t>
  </si>
  <si>
    <t>9976AP2222380019</t>
  </si>
  <si>
    <t>SYED ALI MAZHAR</t>
  </si>
  <si>
    <t>35202-2066064-5</t>
  </si>
  <si>
    <t>03004245282</t>
  </si>
  <si>
    <t xml:space="preserve">H NO 694 F-2 JOHAR TOWN LAHORE PK </t>
  </si>
  <si>
    <t>62698/00103/08/2022</t>
  </si>
  <si>
    <t>1090961</t>
  </si>
  <si>
    <t>AGL-468</t>
  </si>
  <si>
    <t>OLULHR300089533</t>
  </si>
  <si>
    <t>8449/08/2022/ITFM</t>
  </si>
  <si>
    <t>KHI/HO/D/MO/PC COMP/C/95603/189/08/2024</t>
  </si>
  <si>
    <t>9976AD2210580038</t>
  </si>
  <si>
    <t>PEHLAJ MAL</t>
  </si>
  <si>
    <t>41305-1201455-7</t>
  </si>
  <si>
    <t>03018370507</t>
  </si>
  <si>
    <t xml:space="preserve">HOUSE # 13-13/14 AL REHMAN HOUSING SOCIETY HAPPY HOMES HYDERABAD </t>
  </si>
  <si>
    <t>DIB/T/BT/33140/HYD/0821</t>
  </si>
  <si>
    <t>1095928</t>
  </si>
  <si>
    <t>TOYOTA FORTUNER DIESEL</t>
  </si>
  <si>
    <t>OLAHYD300066404</t>
  </si>
  <si>
    <t>5366/08/2021/ITFM</t>
  </si>
  <si>
    <t>24/08/2021</t>
  </si>
  <si>
    <t>KHI/HO/D/MO/PC COMP/C/95603/190/08/2024</t>
  </si>
  <si>
    <t>9976AD2203350026</t>
  </si>
  <si>
    <t>AMAN ULLAH</t>
  </si>
  <si>
    <t>35401-1710203-1</t>
  </si>
  <si>
    <t>03234007694</t>
  </si>
  <si>
    <t>04235224430</t>
  </si>
  <si>
    <t xml:space="preserve">7 BLOCK H-1 PHASE 1 WAPDA TOWN LAHORE </t>
  </si>
  <si>
    <t>55239/00060/08/2021</t>
  </si>
  <si>
    <t>2TRA869126</t>
  </si>
  <si>
    <t>0443834</t>
  </si>
  <si>
    <t>FORTUNER G 4*2 STD PETROL</t>
  </si>
  <si>
    <t>30-NOV-2020</t>
  </si>
  <si>
    <t>POALHR300063037</t>
  </si>
  <si>
    <t>DIB0031390</t>
  </si>
  <si>
    <t>KHI/HO/D/MO/PC COMP/C/95603/192/08/2024</t>
  </si>
  <si>
    <t>9976AD1210540014</t>
  </si>
  <si>
    <t>SHEIKH MUDDASIR HABIB</t>
  </si>
  <si>
    <t>61101-7460866-9</t>
  </si>
  <si>
    <t>03215008110</t>
  </si>
  <si>
    <t>0515551764</t>
  </si>
  <si>
    <t xml:space="preserve">LIVING STADARDS LIVING STANDARDS, H NO.408, ST NO.34 SECTOR I-8/4, ISLAMABAD </t>
  </si>
  <si>
    <t>DIB/T/BT/33158/FSD/0821</t>
  </si>
  <si>
    <t>15E4E5MGM4280313</t>
  </si>
  <si>
    <t>LSJA24U93MN092968</t>
  </si>
  <si>
    <t>23-FEB-2021</t>
  </si>
  <si>
    <t>OLARWP300066093</t>
  </si>
  <si>
    <t>5376/08/2021/ITFM</t>
  </si>
  <si>
    <t>KHI/HO/D/MO/PC COMP/C/95603/193/08/2024</t>
  </si>
  <si>
    <t>9976AD1212420031</t>
  </si>
  <si>
    <t>RAI SHABBIR UZ ZAMAN</t>
  </si>
  <si>
    <t>33102-5423345-5</t>
  </si>
  <si>
    <t>03451116666</t>
  </si>
  <si>
    <t>03451116666, 03451116666</t>
  </si>
  <si>
    <t>0412618412</t>
  </si>
  <si>
    <t xml:space="preserve">P-10-A PARADISE VALLY CANAL ROAD FS D FAISALABAD PK </t>
  </si>
  <si>
    <t>DIB/T/33012/LHR/0821</t>
  </si>
  <si>
    <t>306679</t>
  </si>
  <si>
    <t>OLAFSD300069448</t>
  </si>
  <si>
    <t>KHI/HO/D/MO/PC COMP/C/95603/194/08/2024</t>
  </si>
  <si>
    <t>9976AP2212370002</t>
  </si>
  <si>
    <t>HASHIM HUSSAIN</t>
  </si>
  <si>
    <t>35202-3896080-1</t>
  </si>
  <si>
    <t>03091474991</t>
  </si>
  <si>
    <t xml:space="preserve">HOUSE NO. 123 JASMINE BLOCK, BAHRIA TOWN LAHORE </t>
  </si>
  <si>
    <t>55239/00049/08/2021</t>
  </si>
  <si>
    <t>1079986</t>
  </si>
  <si>
    <t>SUZUKI ALTO VXR EUTO II</t>
  </si>
  <si>
    <t>OLDLHR300072157</t>
  </si>
  <si>
    <t>DIB0031368</t>
  </si>
  <si>
    <t>23/08/2021</t>
  </si>
  <si>
    <t>KHI/HO/D/MO/PC COMP/C/95603/266/08/2024</t>
  </si>
  <si>
    <t>9976AD1211510060</t>
  </si>
  <si>
    <t>MUHAMMAD REHAN</t>
  </si>
  <si>
    <t>16101-1149389-1</t>
  </si>
  <si>
    <t>03213098180</t>
  </si>
  <si>
    <t>0223870705</t>
  </si>
  <si>
    <t xml:space="preserve">PLOT G-6 SITE AREA KOTRI NEAR DEEW AN TEXTILE HILL KOTRI </t>
  </si>
  <si>
    <t>2524/02602/00055/08/2021</t>
  </si>
  <si>
    <t>2A30268</t>
  </si>
  <si>
    <t>NSP150R-7018618</t>
  </si>
  <si>
    <t>OLAKJM300069017</t>
  </si>
  <si>
    <t>4949/06/2021/ITFM</t>
  </si>
  <si>
    <t>18-JUN-2021</t>
  </si>
  <si>
    <t>KHI/HO/D/MO/PC COMP/C/95603/264/08/2024</t>
  </si>
  <si>
    <t>9976AD1210580050</t>
  </si>
  <si>
    <t>SHAHBAZ MANZOOR</t>
  </si>
  <si>
    <t>36302-1670512-3</t>
  </si>
  <si>
    <t>03122256457</t>
  </si>
  <si>
    <t xml:space="preserve">HOUSE # A-162 BLOCK-8 K A E C H S KARACHI </t>
  </si>
  <si>
    <t>DIB/T/BT/33052/KHI/0821</t>
  </si>
  <si>
    <t>1001937</t>
  </si>
  <si>
    <t>CHANGAN ALSVIN</t>
  </si>
  <si>
    <t>OLAKHI300066325</t>
  </si>
  <si>
    <t>5333/08/2021/ITFM</t>
  </si>
  <si>
    <t>KHI/HO/D/MO/PC COMP/C/95603/260/08/2024</t>
  </si>
  <si>
    <t>9976AD1212070024</t>
  </si>
  <si>
    <t>WAJAHAT ZAFAR</t>
  </si>
  <si>
    <t>61101-3233582-9</t>
  </si>
  <si>
    <t>03218804696</t>
  </si>
  <si>
    <t xml:space="preserve">GULSHAN RAVI STOP MAIN BAND ROAD NE AR UBL BANK LAHORE </t>
  </si>
  <si>
    <t>55239/00056/08/2021</t>
  </si>
  <si>
    <t>306535</t>
  </si>
  <si>
    <t>26-JUL-2021</t>
  </si>
  <si>
    <t>OLALHR300071148</t>
  </si>
  <si>
    <t>5369/08/2021</t>
  </si>
  <si>
    <t>KHI/HO/D/MO/PC COMP/C/95603/195/08/2024</t>
  </si>
  <si>
    <t>9976AD1212120095</t>
  </si>
  <si>
    <t>SYEDA MAMOONA RIZVI</t>
  </si>
  <si>
    <t>Wah Cantt</t>
  </si>
  <si>
    <t>37406-8027960-6</t>
  </si>
  <si>
    <t>03325685171</t>
  </si>
  <si>
    <t>8312236</t>
  </si>
  <si>
    <t xml:space="preserve">H # G-197 26 AREA WAH CANTT RAWALPINDI PK </t>
  </si>
  <si>
    <t>UWT/D/T002/0000001015/0821/109-0</t>
  </si>
  <si>
    <t>H806757</t>
  </si>
  <si>
    <t>MR023441</t>
  </si>
  <si>
    <t>HONDA BRV-VI TEC S</t>
  </si>
  <si>
    <t>31-JUL-2021</t>
  </si>
  <si>
    <t>OLAWAH300071407</t>
  </si>
  <si>
    <t>5364/08/2021</t>
  </si>
  <si>
    <t>KHI/HO/D/MO/PC COMP/C/95603/259/08/2024</t>
  </si>
  <si>
    <t>9976AD2211270040</t>
  </si>
  <si>
    <t>RAYYAN MALIK</t>
  </si>
  <si>
    <t>35202-3000017-9</t>
  </si>
  <si>
    <t>03213442222</t>
  </si>
  <si>
    <t xml:space="preserve">HOUSE NO 66-K VALENCIA TOWN LAHORE PK </t>
  </si>
  <si>
    <t>2021-08-205-V01501OP0001950</t>
  </si>
  <si>
    <t>MR077551</t>
  </si>
  <si>
    <t>07-MAY-2021</t>
  </si>
  <si>
    <t>OLALHR300068713</t>
  </si>
  <si>
    <t>DIB0031389</t>
  </si>
  <si>
    <t>KHI/HO/D/MO/PC COMP/C/95603/197/08/2024</t>
  </si>
  <si>
    <t>9976AD1211410024</t>
  </si>
  <si>
    <t>MIAN MUHAMMAD HAROON AKBAR</t>
  </si>
  <si>
    <t>35202-1047631-3</t>
  </si>
  <si>
    <t>03334258880</t>
  </si>
  <si>
    <t xml:space="preserve">OFFICE 50-52 E-III COMMERCIAL ZONE ALFATEH LIBERTY MARKET GULBERG II N EAR SALT N PAPER LAHORE </t>
  </si>
  <si>
    <t>2021-08-205-V01501OP0001940</t>
  </si>
  <si>
    <t>203713</t>
  </si>
  <si>
    <t>OLALHR300068839</t>
  </si>
  <si>
    <t>DIB0031362</t>
  </si>
  <si>
    <t>KHI/HO/D/MO/PC COMP/C/95603/258/08/2024</t>
  </si>
  <si>
    <t>9976AD2210460007</t>
  </si>
  <si>
    <t>MIR ABDUL WAHEED</t>
  </si>
  <si>
    <t>82203-7983403-5</t>
  </si>
  <si>
    <t>03158555542</t>
  </si>
  <si>
    <t>0512222939</t>
  </si>
  <si>
    <t xml:space="preserve">H # 32 ST # 04 SECTOR C DHA PHASE I NEAR FAUJI FOUNDATION HOSPITAL ISLAMABAD PK </t>
  </si>
  <si>
    <t>DIB/T/BT/33053/ISB/0821</t>
  </si>
  <si>
    <t>5200085</t>
  </si>
  <si>
    <t>MG MOTOR MG HS TURBO</t>
  </si>
  <si>
    <t>15-FEB-2021</t>
  </si>
  <si>
    <t>OLAISD300065841</t>
  </si>
  <si>
    <t>TDIDIB0029555</t>
  </si>
  <si>
    <t>KHI/HO/D/MO/PC COMP/C/95603/256/08/2024</t>
  </si>
  <si>
    <t>9976AD1210570033</t>
  </si>
  <si>
    <t>SHEERAZ AZAM CHEEMA</t>
  </si>
  <si>
    <t>34201-1783035-7</t>
  </si>
  <si>
    <t>03344676577</t>
  </si>
  <si>
    <t xml:space="preserve">H # 34 ST # 29 SECTOR B-1 BAHRIA ENCLAVE ISLAMABAD PK </t>
  </si>
  <si>
    <t>DIB/T/BT/33055/ISB/0821</t>
  </si>
  <si>
    <t>15E4E5MGM4280282</t>
  </si>
  <si>
    <t>LSJA24U94MN093014</t>
  </si>
  <si>
    <t>26-FEB-2021</t>
  </si>
  <si>
    <t>OLAISD300066211</t>
  </si>
  <si>
    <t>5367/08/2021/ITFM</t>
  </si>
  <si>
    <t>KHI/HO/D/MO/PC COMP/C/95603/255/08/2024</t>
  </si>
  <si>
    <t>997AAD1201210001</t>
  </si>
  <si>
    <t>MOHAMMAD TAHIR KHAN KHALIDI</t>
  </si>
  <si>
    <t>35202-2516379-9</t>
  </si>
  <si>
    <t>04235786287</t>
  </si>
  <si>
    <t>03214422579</t>
  </si>
  <si>
    <t>5755919</t>
  </si>
  <si>
    <t xml:space="preserve">OFFICE NO 1 2 AND 76 A FIRST FLOOR RAJA CENTER 1 A MAIN BOULEVARD GULBERG II LAHORE PAKISTAN </t>
  </si>
  <si>
    <t>52611/00069/08/2020</t>
  </si>
  <si>
    <t>2A05126</t>
  </si>
  <si>
    <t>NSP151R-9502348</t>
  </si>
  <si>
    <t>AAF 755</t>
  </si>
  <si>
    <t>30-APR-2020</t>
  </si>
  <si>
    <t>POALHR300053873</t>
  </si>
  <si>
    <t>2882/08/2020/ITFM</t>
  </si>
  <si>
    <t>25-AUG-2020</t>
  </si>
  <si>
    <t>KHI/HO/D/MO/PC COMP/C/95603/206/08/2024</t>
  </si>
  <si>
    <t>9976AD1212080040</t>
  </si>
  <si>
    <t>SAAD SIDDIQUI</t>
  </si>
  <si>
    <t>42201-0190482-7</t>
  </si>
  <si>
    <t>03312154941</t>
  </si>
  <si>
    <t xml:space="preserve">OFFICE NO 505 CONTINENTAL TRADE CENTRE BLK 8 CLIFTON KARACHI </t>
  </si>
  <si>
    <t>001/KHI/HO/D/MO/PC COMP/P/55442/08/2021</t>
  </si>
  <si>
    <t>EAS070350</t>
  </si>
  <si>
    <t>WAUZZZGE2MB033639</t>
  </si>
  <si>
    <t>AUDI E-TRON 40 230KW</t>
  </si>
  <si>
    <t>OLAKHI300071196</t>
  </si>
  <si>
    <t>KHI/HO/D/MO/PC COMP/C/95603/252/08/2024</t>
  </si>
  <si>
    <t>9976AP1222370021</t>
  </si>
  <si>
    <t>MUHAMMAD YASEEN</t>
  </si>
  <si>
    <t>35301-2151235-7</t>
  </si>
  <si>
    <t>03217523593</t>
  </si>
  <si>
    <t xml:space="preserve">OFFICE 83 1ST FLOOR RIMPA PLAZA ABB OT ROAD LAHORE LAHORE </t>
  </si>
  <si>
    <t>62698/00090/08/2022</t>
  </si>
  <si>
    <t>10016643</t>
  </si>
  <si>
    <t>LEC-18-1832</t>
  </si>
  <si>
    <t>OLULHR300089482</t>
  </si>
  <si>
    <t>8411/08/2022/ITFM</t>
  </si>
  <si>
    <t>KHI/HO/D/MO/PC COMP/C/95603/249/08/2024</t>
  </si>
  <si>
    <t>9976AD1210560020</t>
  </si>
  <si>
    <t>MUHAMMAD ADEEL HASAN</t>
  </si>
  <si>
    <t>42201-8685189-7</t>
  </si>
  <si>
    <t>02134825650 03212470103</t>
  </si>
  <si>
    <t>03212470103 03233395095</t>
  </si>
  <si>
    <t>35788963</t>
  </si>
  <si>
    <t xml:space="preserve">H# 342 ST# 26 BLOCK-Z PHASE-III DHA LAHORE </t>
  </si>
  <si>
    <t>DIB/T/BT/33144/KHI/0821</t>
  </si>
  <si>
    <t>G3LAMP080663</t>
  </si>
  <si>
    <t>NNATA5ZAKP707120</t>
  </si>
  <si>
    <t>OLAKHI300066031</t>
  </si>
  <si>
    <t>TDIDIB0029562</t>
  </si>
  <si>
    <t>25/08/2021</t>
  </si>
  <si>
    <t>KHI/HO/D/MO/PC COMP/C/95603/207/08/2024</t>
  </si>
  <si>
    <t>997AAD1201820034</t>
  </si>
  <si>
    <t>ZIA ULLAH</t>
  </si>
  <si>
    <t>34101-2458288-9</t>
  </si>
  <si>
    <t>03009645412</t>
  </si>
  <si>
    <t>03000344443</t>
  </si>
  <si>
    <t>9242111724725</t>
  </si>
  <si>
    <t xml:space="preserve">ST/MOH 21 ARFAT COLONY BAZAR NO 2 GUJRANWALA P/O WAHDAT COLONY </t>
  </si>
  <si>
    <t>DIB/T/BT/28423/LHR/0820</t>
  </si>
  <si>
    <t>262440</t>
  </si>
  <si>
    <t>AAG 954</t>
  </si>
  <si>
    <t>POALHR300055026</t>
  </si>
  <si>
    <t>2889/08/2020/ITFM</t>
  </si>
  <si>
    <t>KHI/HO/D/MO/PC COMP/C/95603/208/08/2024</t>
  </si>
  <si>
    <t>9976AP1222360015</t>
  </si>
  <si>
    <t>JHANZAIB KHAN</t>
  </si>
  <si>
    <t>35101-9062671-7</t>
  </si>
  <si>
    <t>03454712783</t>
  </si>
  <si>
    <t xml:space="preserve">H # 130/1 ST # 5 SECTOR B ZARAJ HOU SING SOCIETY ISLAMABAD PK </t>
  </si>
  <si>
    <t>62698/00087/08/2022</t>
  </si>
  <si>
    <t>701737</t>
  </si>
  <si>
    <t>A2K-276</t>
  </si>
  <si>
    <t>KIA STONIC EX+</t>
  </si>
  <si>
    <t>OLUISD300089473</t>
  </si>
  <si>
    <t>8405/08/2022/ITFM</t>
  </si>
  <si>
    <t>KHI/HO/D/MO/PC COMP/C/95603/248/08/2024</t>
  </si>
  <si>
    <t>9976AP2212380008</t>
  </si>
  <si>
    <t>MUHAMMAD UMER SALAHUDDIN</t>
  </si>
  <si>
    <t>42201-2342530-5</t>
  </si>
  <si>
    <t>03027266868</t>
  </si>
  <si>
    <t xml:space="preserve">HOUSE # C-1 NOOR CENTRE BLOCK-2 SHA H FAISAL COLONY NEAR GRACE SUPER MA KARACHI PK </t>
  </si>
  <si>
    <t>55239/00062/08/2021</t>
  </si>
  <si>
    <t>PK10B121923</t>
  </si>
  <si>
    <t>A1J310PK10021911</t>
  </si>
  <si>
    <t>BGW-609</t>
  </si>
  <si>
    <t>OLUKHI300072401</t>
  </si>
  <si>
    <t>DIB0031392</t>
  </si>
  <si>
    <t>26-08-2022</t>
  </si>
  <si>
    <t>KHI/HO/D/MO/PC COMP/C/95603/209/08/2024</t>
  </si>
  <si>
    <t>9976AD2220680002</t>
  </si>
  <si>
    <t>AFTAB YOUNIS</t>
  </si>
  <si>
    <t>35201-7851046-9</t>
  </si>
  <si>
    <t>03004047300</t>
  </si>
  <si>
    <t>04236313210</t>
  </si>
  <si>
    <t xml:space="preserve">NEW RAJPOOT MOTORS 40 ABBOT ROAD OPP TV STATION LAHORE </t>
  </si>
  <si>
    <t>62698/00086/08/2022</t>
  </si>
  <si>
    <t>2A55750</t>
  </si>
  <si>
    <t>7035180</t>
  </si>
  <si>
    <t>09-MAR-2022</t>
  </si>
  <si>
    <t>OLALHR300085292</t>
  </si>
  <si>
    <t>DIB0034738</t>
  </si>
  <si>
    <t>KHI/HO/D/MO/PC COMP/C/95603/247/08/2024</t>
  </si>
  <si>
    <t>9976AP1222420014</t>
  </si>
  <si>
    <t>35202-9299418-5</t>
  </si>
  <si>
    <t>03245665306</t>
  </si>
  <si>
    <t xml:space="preserve">H NO 379-B G-BLOCK JOHAR TOWN LAHORE PK </t>
  </si>
  <si>
    <t>62698/00088/08/2022</t>
  </si>
  <si>
    <t>1011550</t>
  </si>
  <si>
    <t>LE-19A-4937</t>
  </si>
  <si>
    <t>OLULHR300089462</t>
  </si>
  <si>
    <t>8407/08/2022/ITFM</t>
  </si>
  <si>
    <t>KHI/HO/D/MO/PC COMP/C/95603/246/08/2024</t>
  </si>
  <si>
    <t>9976AD2211970003</t>
  </si>
  <si>
    <t>ARBAB MUHAMMAD DIN MEMON</t>
  </si>
  <si>
    <t>41303-5338368-1</t>
  </si>
  <si>
    <t>03008243310</t>
  </si>
  <si>
    <t xml:space="preserve">BUNGALOW NO B-36 PHASE-1 QASIMABAD HYDERABAD </t>
  </si>
  <si>
    <t>DIB/T/BT/33069/HYD/0821</t>
  </si>
  <si>
    <t>1073932</t>
  </si>
  <si>
    <t>16-JUL-2021</t>
  </si>
  <si>
    <t>OLAHYD300070464</t>
  </si>
  <si>
    <t>TDIDIB0029488</t>
  </si>
  <si>
    <t>KHI/HO/D/MO/PC COMP/C/95603/210/08/2024</t>
  </si>
  <si>
    <t>9976AP1232370005</t>
  </si>
  <si>
    <t>AMIR ALI</t>
  </si>
  <si>
    <t>42301-6833660-5</t>
  </si>
  <si>
    <t>03312304447</t>
  </si>
  <si>
    <t xml:space="preserve">F-5/1 BLOCK 9 SCHEME 5 CLIFTON KARACHI PK </t>
  </si>
  <si>
    <t>73551/00015/08/2023</t>
  </si>
  <si>
    <t>23-AUG-2024</t>
  </si>
  <si>
    <t>702767</t>
  </si>
  <si>
    <t>OLDKHI300096263</t>
  </si>
  <si>
    <t>10468/08/2023/ITFM</t>
  </si>
  <si>
    <t>KHI/HO/D/MO/PC COMP/C/95603/211/08/2024</t>
  </si>
  <si>
    <t>9976AP1232370006</t>
  </si>
  <si>
    <t>SHAHNAWAZ</t>
  </si>
  <si>
    <t>42501-3518413-5</t>
  </si>
  <si>
    <t>03463518413</t>
  </si>
  <si>
    <t xml:space="preserve">H # 701 SHAH LATIF TOWN SECTER 22-B LANDHI QUETTA HANIF HOTEL KARACHI PK </t>
  </si>
  <si>
    <t>73551/00013/08/2023</t>
  </si>
  <si>
    <t>1180843</t>
  </si>
  <si>
    <t>OLDKHI300096445</t>
  </si>
  <si>
    <t>10463/08/2023/ITFM</t>
  </si>
  <si>
    <t>24-AUG-2023</t>
  </si>
  <si>
    <t>KHI/HO/D/MO/PC COMP/C/95603/213/08/2024</t>
  </si>
  <si>
    <t>997APD1202390005</t>
  </si>
  <si>
    <t>FAIZAN RAHEEM</t>
  </si>
  <si>
    <t>35202-8373847-9</t>
  </si>
  <si>
    <t>03214839053</t>
  </si>
  <si>
    <t>04235315043</t>
  </si>
  <si>
    <t xml:space="preserve">427/428, BLOCK G-IV, M.A JOHAR TOWN LAHORE </t>
  </si>
  <si>
    <t>52611/00060/08/2020</t>
  </si>
  <si>
    <t>6R138248</t>
  </si>
  <si>
    <t>NF1AET306H1038286</t>
  </si>
  <si>
    <t>AAF 684</t>
  </si>
  <si>
    <t>PODLHR300056756</t>
  </si>
  <si>
    <t>DIB0028605</t>
  </si>
  <si>
    <t>22-AUG-2020</t>
  </si>
  <si>
    <t>KHI/HO/D/MO/PC COMP/C/95603/242/08/2024</t>
  </si>
  <si>
    <t>9976AP1232370007</t>
  </si>
  <si>
    <t>FARHAN NAVID YOUSAF</t>
  </si>
  <si>
    <t>35202-5372008-9</t>
  </si>
  <si>
    <t>03060429253</t>
  </si>
  <si>
    <t xml:space="preserve">H NO 45-D MARGHZAR OFFICER COLONY M ULTAN ROAD NEAR D-BLOCK PARK LAHORE </t>
  </si>
  <si>
    <t>73551/00014/08/2023</t>
  </si>
  <si>
    <t>Q361573</t>
  </si>
  <si>
    <t>7060742</t>
  </si>
  <si>
    <t>ALS-434</t>
  </si>
  <si>
    <t>OLULHR300096452</t>
  </si>
  <si>
    <t>DIB0035233</t>
  </si>
  <si>
    <t>KHI/HO/D/MO/PC COMP/C/95603/214/08/2024</t>
  </si>
  <si>
    <t>9976AD1222170001</t>
  </si>
  <si>
    <t>35200-1491905-3</t>
  </si>
  <si>
    <t>03334323747</t>
  </si>
  <si>
    <t>03214255016, 03334323747</t>
  </si>
  <si>
    <t xml:space="preserve">H NO 71 BLOCK B RAJPUT TOWN LAHORE PK </t>
  </si>
  <si>
    <t>62698/00094/08/2022</t>
  </si>
  <si>
    <t>311080</t>
  </si>
  <si>
    <t>OLALHR300089155</t>
  </si>
  <si>
    <t>8439/08/2022/ITFM</t>
  </si>
  <si>
    <t>KHI/HO/D/MO/PC COMP/C/95603/216/08/2024</t>
  </si>
  <si>
    <t>997AAD1202050033</t>
  </si>
  <si>
    <t>MUHAMMAD NOMAN</t>
  </si>
  <si>
    <t>42201-0303756-1</t>
  </si>
  <si>
    <t>03008280852</t>
  </si>
  <si>
    <t>02134384946</t>
  </si>
  <si>
    <t xml:space="preserve">SUIT # 411 BUSINESS ARCADE 4TH FLOO R SHAHRA -E-FAISAL KARACHI </t>
  </si>
  <si>
    <t>DIB/T/BT/28413/KHI/0820</t>
  </si>
  <si>
    <t>L15Z14802248</t>
  </si>
  <si>
    <t>NFBDG1833LR018908</t>
  </si>
  <si>
    <t>BH-7213</t>
  </si>
  <si>
    <t>HONDA BRV IVTEC</t>
  </si>
  <si>
    <t>23-JUL-2020</t>
  </si>
  <si>
    <t>POAKHI300055641</t>
  </si>
  <si>
    <t>TDIDIB0028586</t>
  </si>
  <si>
    <t>KHI/HO/D/MO/PC COMP/C/95603/241/08/2024</t>
  </si>
  <si>
    <t>9976AD1210580002</t>
  </si>
  <si>
    <t>MUHAMMAD UMER ZAHID</t>
  </si>
  <si>
    <t>35202-4173386-9</t>
  </si>
  <si>
    <t>03027398302</t>
  </si>
  <si>
    <t xml:space="preserve">MALI PURA AYESHA SIDDIQA STREET NO T-2 BAND ROAD LAHORE </t>
  </si>
  <si>
    <t>DIB/T/BT/33061/LHR/0821</t>
  </si>
  <si>
    <t>PDF580PALR21H1501</t>
  </si>
  <si>
    <t>PRINCE GLORY 580 PRO</t>
  </si>
  <si>
    <t>OLALHR300066262</t>
  </si>
  <si>
    <t>TDIDIB0029560</t>
  </si>
  <si>
    <t>25-08-2021</t>
  </si>
  <si>
    <t>KHI/HO/D/MO/PC COMP/C/95603/240/08/2024</t>
  </si>
  <si>
    <t>9976AP1212360015</t>
  </si>
  <si>
    <t>MUHAMMAD BILAL AFZAAL</t>
  </si>
  <si>
    <t>35202-0347922-1</t>
  </si>
  <si>
    <t>03364821896</t>
  </si>
  <si>
    <t xml:space="preserve">27/E PLASTIC DANA BARA MARKET SHAHA LAM MARKET NEAR JAPAN CENTER LAHORE </t>
  </si>
  <si>
    <t>55239/00052/08/2021</t>
  </si>
  <si>
    <t>LEB-8870846</t>
  </si>
  <si>
    <t>RU3-1070790</t>
  </si>
  <si>
    <t>HONDA VEZEL HYBRID A/T</t>
  </si>
  <si>
    <t>OLULHR300072263</t>
  </si>
  <si>
    <t>DIB0031367</t>
  </si>
  <si>
    <t>24-08-2021</t>
  </si>
  <si>
    <t>KHI/HO/D/MO/PC COMP/C/95603/237/08/2024</t>
  </si>
  <si>
    <t>997APD1202410004</t>
  </si>
  <si>
    <t>HASSAN AHMAD KHAN</t>
  </si>
  <si>
    <t>35202-0326005-7</t>
  </si>
  <si>
    <t>03008445432</t>
  </si>
  <si>
    <t xml:space="preserve">SHIZA AND HASSAN CO 59-B, MODEL TOWN LAHORE </t>
  </si>
  <si>
    <t>52611/00058/08/2020</t>
  </si>
  <si>
    <t>G4NALH315190</t>
  </si>
  <si>
    <t>NNAQL51AZKP302675</t>
  </si>
  <si>
    <t>PODLHR300056761</t>
  </si>
  <si>
    <t>KHI/HO/D/MO/PC COMP/C/95603/235/08/2024</t>
  </si>
  <si>
    <t>9976AD1211620028</t>
  </si>
  <si>
    <t>MUHAMMAD RAFIQ</t>
  </si>
  <si>
    <t>33100-0729043-9</t>
  </si>
  <si>
    <t>03008665498</t>
  </si>
  <si>
    <t>03008665498, 03008665498</t>
  </si>
  <si>
    <t>0418758960</t>
  </si>
  <si>
    <t xml:space="preserve">H NO P-1144 ST NO 02 SKP ROAD NISHA TABAD FAISALABAD PK </t>
  </si>
  <si>
    <t>DIB/T/33014/LHR/0821</t>
  </si>
  <si>
    <t>306544</t>
  </si>
  <si>
    <t>11-JUN-2021</t>
  </si>
  <si>
    <t>OLAFSD300069391</t>
  </si>
  <si>
    <t>KHI/HO/D/MO/PC COMP/C/95603/234/08/2024</t>
  </si>
  <si>
    <t>9976AD1210300066</t>
  </si>
  <si>
    <t>MUHAMMAD BILAL</t>
  </si>
  <si>
    <t>35201-9125600-7</t>
  </si>
  <si>
    <t>03214849250</t>
  </si>
  <si>
    <t>04236547743</t>
  </si>
  <si>
    <t xml:space="preserve">PLOT NO 1 BILAL FORGING NEAR MS FOR GING AKBAR CHOWK MOMIN PURA ROAD DA ROGHAWALA LAHORE </t>
  </si>
  <si>
    <t>DIB/T/BT/33064/LHR/0821</t>
  </si>
  <si>
    <t>G4NAMH315401</t>
  </si>
  <si>
    <t>NNAQL51AZKP512873</t>
  </si>
  <si>
    <t>KIA SPORTAGE AWT</t>
  </si>
  <si>
    <t>OLALHR300065608</t>
  </si>
  <si>
    <t>KHI/HO/D/MO/PC COMP/C/95603/229/08/2024</t>
  </si>
  <si>
    <t>9976AP1222370031</t>
  </si>
  <si>
    <t>MUHAMMAD JAWAD BAIG</t>
  </si>
  <si>
    <t>42201-9354751-3</t>
  </si>
  <si>
    <t>03361390759</t>
  </si>
  <si>
    <t xml:space="preserve">HOUSE NO B-281 BLOCK-10 GULSHAN-E-IQBAL KARACHI NEAR AZIZ BHATTI PARK </t>
  </si>
  <si>
    <t>62698/00099/08/2022</t>
  </si>
  <si>
    <t>1027441</t>
  </si>
  <si>
    <t>BRK-061</t>
  </si>
  <si>
    <t>OLUKHI300089516</t>
  </si>
  <si>
    <t>8438/08/2022/ITFM</t>
  </si>
  <si>
    <t>KHI/HO/D/MO/PC COMP/C/95603/226/08/2024</t>
  </si>
  <si>
    <t>9976AP2222370015</t>
  </si>
  <si>
    <t>42201-0476132-1</t>
  </si>
  <si>
    <t>03002324548</t>
  </si>
  <si>
    <t xml:space="preserve">MC 1008/2 SHAH FAISAL AZEEM PURA GR AVE YARD GREEN TOWN KARACHI PK </t>
  </si>
  <si>
    <t>62698/00096/08/2022</t>
  </si>
  <si>
    <t>10003122</t>
  </si>
  <si>
    <t>BJW-597</t>
  </si>
  <si>
    <t>OLUKHI300089442</t>
  </si>
  <si>
    <t>8425/08/2022/ITFM</t>
  </si>
  <si>
    <t>KHI/HO/D/MO/PC COMP/C/95603/225/08/2024</t>
  </si>
  <si>
    <t>9976AP1222380037</t>
  </si>
  <si>
    <t>MUHAMMAD JAVAID</t>
  </si>
  <si>
    <t>42000-6115491-5</t>
  </si>
  <si>
    <t>03322418106</t>
  </si>
  <si>
    <t xml:space="preserve">H # C-11 BLOCK B NORTH NAZIMABAD KARACHI PK </t>
  </si>
  <si>
    <t>62698/00098/08/2022</t>
  </si>
  <si>
    <t>1107795</t>
  </si>
  <si>
    <t>BWR-719</t>
  </si>
  <si>
    <t>OLUKHI300089453</t>
  </si>
  <si>
    <t>8435/08/2022/ITFM</t>
  </si>
  <si>
    <t>KHI/HO/D/MO/PC COMP/C/95603/218/08/2024</t>
  </si>
  <si>
    <t>9976AP2222380017</t>
  </si>
  <si>
    <t>AHMAD RAZA</t>
  </si>
  <si>
    <t>31101-8986408-7</t>
  </si>
  <si>
    <t>03336300717</t>
  </si>
  <si>
    <t xml:space="preserve">H NO 300-L PHASE 5 DHA LAHORE PK </t>
  </si>
  <si>
    <t>62698/00093/08/2022</t>
  </si>
  <si>
    <t>1008015</t>
  </si>
  <si>
    <t>LE-174-2502</t>
  </si>
  <si>
    <t>OLULHR300089474</t>
  </si>
  <si>
    <t>8417/08/2022/ITFM</t>
  </si>
  <si>
    <t>KHI/HO/D/MO/PC COMP/C/95603/224/08/2024</t>
  </si>
  <si>
    <t>Endorsement No.</t>
  </si>
  <si>
    <t>KHI/HO/D/MO/PC COMP/E/46251/00309/09/2024</t>
  </si>
  <si>
    <t>KHI/HO/D/MO/PC COMP/E/46251/00082/09/2024</t>
  </si>
  <si>
    <t>KHI/HO/D/MO/PC COMP/E/46251/00091/09/2024</t>
  </si>
  <si>
    <t>KHI/HO/D/MO/PC COMP/E/46251/00110/09/2024</t>
  </si>
  <si>
    <t>KHI/HO/D/MO/PC COMP/E/46251/00141/09/2024</t>
  </si>
  <si>
    <t>KHI/HO/D/MO/PC COMP/E/46251/00005/09/2024</t>
  </si>
  <si>
    <t>KHI/HO/D/MO/PC COMP/E/46251/00008/09/2024</t>
  </si>
  <si>
    <t>KHI/HO/D/MO/PC COMP/E/46251/00013/09/2024</t>
  </si>
  <si>
    <t>KHI/HO/D/MO/PC COMP/E/46251/00178/09/2024</t>
  </si>
  <si>
    <t>KHI/HO/D/MO/PC COMP/E/46251/00198/09/2024</t>
  </si>
  <si>
    <t>KHI/HO/D/MO/PC COMP/E/46251/00057/09/2024</t>
  </si>
  <si>
    <t>KHI/HO/D/MO/PC COMP/E/46251/00065/09/2024</t>
  </si>
  <si>
    <t>KHI/HO/D/MO/PC COMP/E/46251/00293/09/2024</t>
  </si>
  <si>
    <t>KHI/HO/D/MO/PC COMP/E/46251/00300/09/2024</t>
  </si>
  <si>
    <t>KHI/HO/D/MO/PC COMP/E/46267/00001/09/2024</t>
  </si>
  <si>
    <t>KHI/HO/D/MO/PC COMP/E/46251/00287/09/2024</t>
  </si>
  <si>
    <t>KHI/HO/D/MO/PC COMP/E/46251/00282/09/2024</t>
  </si>
  <si>
    <t>KHI/HO/D/MO/PC COMP/E/46251/00280/09/2024</t>
  </si>
  <si>
    <t>KHI/HO/D/MO/PC COMP/E/46251/00170/09/2024</t>
  </si>
  <si>
    <t>KHI/HO/D/MO/PC COMP/E/46251/00259/09/2024</t>
  </si>
  <si>
    <t>KHI/HO/D/MO/PC COMP/E/46251/00208/09/2024</t>
  </si>
  <si>
    <t>Difference2</t>
  </si>
  <si>
    <t>-08-2024</t>
  </si>
  <si>
    <t>00004</t>
  </si>
  <si>
    <t>00006</t>
  </si>
  <si>
    <t>00011</t>
  </si>
  <si>
    <t>00012</t>
  </si>
  <si>
    <t>00015</t>
  </si>
  <si>
    <t>00019</t>
  </si>
  <si>
    <t>00021</t>
  </si>
  <si>
    <t>00022</t>
  </si>
  <si>
    <t>00024</t>
  </si>
  <si>
    <t>00027</t>
  </si>
  <si>
    <t>00028</t>
  </si>
  <si>
    <t>00029</t>
  </si>
  <si>
    <t>00039</t>
  </si>
  <si>
    <t>00043</t>
  </si>
  <si>
    <t>00044</t>
  </si>
  <si>
    <t>00046</t>
  </si>
  <si>
    <t>00048</t>
  </si>
  <si>
    <t>00055</t>
  </si>
  <si>
    <t>00056</t>
  </si>
  <si>
    <t>00058</t>
  </si>
  <si>
    <t>00067</t>
  </si>
  <si>
    <t>00072</t>
  </si>
  <si>
    <t>00073</t>
  </si>
  <si>
    <t>00075</t>
  </si>
  <si>
    <t>00079</t>
  </si>
  <si>
    <t>00082</t>
  </si>
  <si>
    <t>00083</t>
  </si>
  <si>
    <t>00091</t>
  </si>
  <si>
    <t>00096</t>
  </si>
  <si>
    <t>00103</t>
  </si>
  <si>
    <t>00105</t>
  </si>
  <si>
    <t>00110</t>
  </si>
  <si>
    <t>00113</t>
  </si>
  <si>
    <t>00115</t>
  </si>
  <si>
    <t>00116</t>
  </si>
  <si>
    <t>00120</t>
  </si>
  <si>
    <t>00125</t>
  </si>
  <si>
    <t>00127</t>
  </si>
  <si>
    <t>00128</t>
  </si>
  <si>
    <t>00129</t>
  </si>
  <si>
    <t>00130</t>
  </si>
  <si>
    <t>00136</t>
  </si>
  <si>
    <t>00138</t>
  </si>
  <si>
    <t>00141</t>
  </si>
  <si>
    <t>00142</t>
  </si>
  <si>
    <t>00144</t>
  </si>
  <si>
    <t>00001</t>
  </si>
  <si>
    <t>00002</t>
  </si>
  <si>
    <t>00156</t>
  </si>
  <si>
    <t>00005</t>
  </si>
  <si>
    <t>00007</t>
  </si>
  <si>
    <t>00160</t>
  </si>
  <si>
    <t>00163</t>
  </si>
  <si>
    <t>00008</t>
  </si>
  <si>
    <t>00165</t>
  </si>
  <si>
    <t>00009</t>
  </si>
  <si>
    <t>00010</t>
  </si>
  <si>
    <t>00169</t>
  </si>
  <si>
    <t>00013</t>
  </si>
  <si>
    <t>00172</t>
  </si>
  <si>
    <t>00016</t>
  </si>
  <si>
    <t>00174</t>
  </si>
  <si>
    <t>00017</t>
  </si>
  <si>
    <t>00175</t>
  </si>
  <si>
    <t>00018</t>
  </si>
  <si>
    <t>00176</t>
  </si>
  <si>
    <t>00177</t>
  </si>
  <si>
    <t>00020</t>
  </si>
  <si>
    <t>00178</t>
  </si>
  <si>
    <t>00179</t>
  </si>
  <si>
    <t>00023</t>
  </si>
  <si>
    <t>00181</t>
  </si>
  <si>
    <t>00025</t>
  </si>
  <si>
    <t>00183</t>
  </si>
  <si>
    <t>00026</t>
  </si>
  <si>
    <t>00030</t>
  </si>
  <si>
    <t>00031</t>
  </si>
  <si>
    <t>00191</t>
  </si>
  <si>
    <t>00032</t>
  </si>
  <si>
    <t>00033</t>
  </si>
  <si>
    <t>00034</t>
  </si>
  <si>
    <t>00196</t>
  </si>
  <si>
    <t>00036</t>
  </si>
  <si>
    <t>00037</t>
  </si>
  <si>
    <t>00198</t>
  </si>
  <si>
    <t>00199</t>
  </si>
  <si>
    <t>00200</t>
  </si>
  <si>
    <t>00038</t>
  </si>
  <si>
    <t>00202</t>
  </si>
  <si>
    <t>00203</t>
  </si>
  <si>
    <t>00040</t>
  </si>
  <si>
    <t>00204</t>
  </si>
  <si>
    <t>00041</t>
  </si>
  <si>
    <t>00205</t>
  </si>
  <si>
    <t>00042</t>
  </si>
  <si>
    <t>00045</t>
  </si>
  <si>
    <t>00047</t>
  </si>
  <si>
    <t>00049</t>
  </si>
  <si>
    <t>00212</t>
  </si>
  <si>
    <t>00050</t>
  </si>
  <si>
    <t>00051</t>
  </si>
  <si>
    <t>00215</t>
  </si>
  <si>
    <t>00217</t>
  </si>
  <si>
    <t>00052</t>
  </si>
  <si>
    <t>00219</t>
  </si>
  <si>
    <t>00220</t>
  </si>
  <si>
    <t>00221</t>
  </si>
  <si>
    <t>00222</t>
  </si>
  <si>
    <t>00223</t>
  </si>
  <si>
    <t>00054</t>
  </si>
  <si>
    <t>00057</t>
  </si>
  <si>
    <t>00059</t>
  </si>
  <si>
    <t>00060</t>
  </si>
  <si>
    <t>00227</t>
  </si>
  <si>
    <t>00228</t>
  </si>
  <si>
    <t>00061</t>
  </si>
  <si>
    <t>00230</t>
  </si>
  <si>
    <t>00231</t>
  </si>
  <si>
    <t>00232</t>
  </si>
  <si>
    <t>00062</t>
  </si>
  <si>
    <t>00063</t>
  </si>
  <si>
    <t>00236</t>
  </si>
  <si>
    <t>00064</t>
  </si>
  <si>
    <t>00238</t>
  </si>
  <si>
    <t>00239</t>
  </si>
  <si>
    <t>00065</t>
  </si>
  <si>
    <t>00066</t>
  </si>
  <si>
    <t>00243</t>
  </si>
  <si>
    <t>00244</t>
  </si>
  <si>
    <t>00068</t>
  </si>
  <si>
    <t>00069</t>
  </si>
  <si>
    <t>00070</t>
  </si>
  <si>
    <t>00071</t>
  </si>
  <si>
    <t>00250</t>
  </si>
  <si>
    <t>00251</t>
  </si>
  <si>
    <t>00074</t>
  </si>
  <si>
    <t>00253</t>
  </si>
  <si>
    <t>00254</t>
  </si>
  <si>
    <t>00076</t>
  </si>
  <si>
    <t>00077</t>
  </si>
  <si>
    <t>00078</t>
  </si>
  <si>
    <t>00257</t>
  </si>
  <si>
    <t>00080</t>
  </si>
  <si>
    <t>00081</t>
  </si>
  <si>
    <t>00261</t>
  </si>
  <si>
    <t>00262</t>
  </si>
  <si>
    <t>00263</t>
  </si>
  <si>
    <t>00084</t>
  </si>
  <si>
    <t>00085</t>
  </si>
  <si>
    <t>00265</t>
  </si>
  <si>
    <t>00086</t>
  </si>
  <si>
    <t>00087</t>
  </si>
  <si>
    <t>00268</t>
  </si>
  <si>
    <t>00088</t>
  </si>
  <si>
    <t>00089</t>
  </si>
  <si>
    <t>00271</t>
  </si>
  <si>
    <t>00274</t>
  </si>
  <si>
    <t>00275</t>
  </si>
  <si>
    <t>00276</t>
  </si>
  <si>
    <t>00277</t>
  </si>
  <si>
    <t>00278</t>
  </si>
  <si>
    <t>00090</t>
  </si>
  <si>
    <t>00092</t>
  </si>
  <si>
    <t>00093</t>
  </si>
  <si>
    <t>00283</t>
  </si>
  <si>
    <t>00284</t>
  </si>
  <si>
    <t>00094</t>
  </si>
  <si>
    <t>00095</t>
  </si>
  <si>
    <t>00097</t>
  </si>
  <si>
    <t>00098</t>
  </si>
  <si>
    <t>00292</t>
  </si>
  <si>
    <t>00293</t>
  </si>
  <si>
    <t>00294</t>
  </si>
  <si>
    <t>00099</t>
  </si>
  <si>
    <t>00296</t>
  </si>
  <si>
    <t>00298</t>
  </si>
  <si>
    <t>00299</t>
  </si>
  <si>
    <t>00301</t>
  </si>
  <si>
    <t>00303</t>
  </si>
  <si>
    <t>00304</t>
  </si>
  <si>
    <t>00305</t>
  </si>
  <si>
    <t>00100</t>
  </si>
  <si>
    <t>00102</t>
  </si>
  <si>
    <t>00104</t>
  </si>
  <si>
    <t>00106</t>
  </si>
  <si>
    <t>00107</t>
  </si>
  <si>
    <t>00108</t>
  </si>
  <si>
    <t>00314</t>
  </si>
  <si>
    <t>00109</t>
  </si>
  <si>
    <t>00316</t>
  </si>
  <si>
    <t>00111</t>
  </si>
  <si>
    <t>00317</t>
  </si>
  <si>
    <t>00112</t>
  </si>
  <si>
    <t>00114</t>
  </si>
  <si>
    <t>00117</t>
  </si>
  <si>
    <t>00321</t>
  </si>
  <si>
    <t>00118</t>
  </si>
  <si>
    <t>00322</t>
  </si>
  <si>
    <t>00119</t>
  </si>
  <si>
    <t>00121</t>
  </si>
  <si>
    <t>00324</t>
  </si>
  <si>
    <t>00122</t>
  </si>
  <si>
    <t>00323</t>
  </si>
  <si>
    <t>00123</t>
  </si>
  <si>
    <t>00124</t>
  </si>
  <si>
    <t>00126</t>
  </si>
  <si>
    <t>00320</t>
  </si>
  <si>
    <t>00131</t>
  </si>
  <si>
    <t>00132</t>
  </si>
  <si>
    <t>00133</t>
  </si>
  <si>
    <t>00134</t>
  </si>
  <si>
    <t>00135</t>
  </si>
  <si>
    <t>00137</t>
  </si>
  <si>
    <t>00139</t>
  </si>
  <si>
    <t>00315</t>
  </si>
  <si>
    <t>00313</t>
  </si>
  <si>
    <t>00140</t>
  </si>
  <si>
    <t>00312</t>
  </si>
  <si>
    <t>00311</t>
  </si>
  <si>
    <t>00310</t>
  </si>
  <si>
    <t>00143</t>
  </si>
  <si>
    <t>00145</t>
  </si>
  <si>
    <t>00309</t>
  </si>
  <si>
    <t>00308</t>
  </si>
  <si>
    <t>00146</t>
  </si>
  <si>
    <t>00307</t>
  </si>
  <si>
    <t>00147</t>
  </si>
  <si>
    <t>00148</t>
  </si>
  <si>
    <t>00149</t>
  </si>
  <si>
    <t>00306</t>
  </si>
  <si>
    <t>00150</t>
  </si>
  <si>
    <t>00151</t>
  </si>
  <si>
    <t>00152</t>
  </si>
  <si>
    <t>00302</t>
  </si>
  <si>
    <t>00300</t>
  </si>
  <si>
    <t>00297</t>
  </si>
  <si>
    <t>00153</t>
  </si>
  <si>
    <t>00154</t>
  </si>
  <si>
    <t>00295</t>
  </si>
  <si>
    <t>00291</t>
  </si>
  <si>
    <t>00290</t>
  </si>
  <si>
    <t>00289</t>
  </si>
  <si>
    <t>00155</t>
  </si>
  <si>
    <t>00288</t>
  </si>
  <si>
    <t>00157</t>
  </si>
  <si>
    <t>00158</t>
  </si>
  <si>
    <t>00159</t>
  </si>
  <si>
    <t>00287</t>
  </si>
  <si>
    <t>00286</t>
  </si>
  <si>
    <t>00285</t>
  </si>
  <si>
    <t>00161</t>
  </si>
  <si>
    <t>00162</t>
  </si>
  <si>
    <t>00164</t>
  </si>
  <si>
    <t>00282</t>
  </si>
  <si>
    <t>00281</t>
  </si>
  <si>
    <t>00280</t>
  </si>
  <si>
    <t>00166</t>
  </si>
  <si>
    <t>00167</t>
  </si>
  <si>
    <t>00279</t>
  </si>
  <si>
    <t>00168</t>
  </si>
  <si>
    <t>00170</t>
  </si>
  <si>
    <t>00171</t>
  </si>
  <si>
    <t>00173</t>
  </si>
  <si>
    <t>00180</t>
  </si>
  <si>
    <t>00273</t>
  </si>
  <si>
    <t>00270</t>
  </si>
  <si>
    <t>00182</t>
  </si>
  <si>
    <t>00184</t>
  </si>
  <si>
    <t>00185</t>
  </si>
  <si>
    <t>00186</t>
  </si>
  <si>
    <t>00269</t>
  </si>
  <si>
    <t>00188</t>
  </si>
  <si>
    <t>00267</t>
  </si>
  <si>
    <t>00189</t>
  </si>
  <si>
    <t>00190</t>
  </si>
  <si>
    <t>00192</t>
  </si>
  <si>
    <t>00193</t>
  </si>
  <si>
    <t>00194</t>
  </si>
  <si>
    <t>00266</t>
  </si>
  <si>
    <t>00264</t>
  </si>
  <si>
    <t>00260</t>
  </si>
  <si>
    <t>00195</t>
  </si>
  <si>
    <t>00259</t>
  </si>
  <si>
    <t>00197</t>
  </si>
  <si>
    <t>00258</t>
  </si>
  <si>
    <t>00256</t>
  </si>
  <si>
    <t>00255</t>
  </si>
  <si>
    <t>00206</t>
  </si>
  <si>
    <t>00252</t>
  </si>
  <si>
    <t>00249</t>
  </si>
  <si>
    <t>00207</t>
  </si>
  <si>
    <t>00208</t>
  </si>
  <si>
    <t>00248</t>
  </si>
  <si>
    <t>00209</t>
  </si>
  <si>
    <t>00247</t>
  </si>
  <si>
    <t>00246</t>
  </si>
  <si>
    <t>00210</t>
  </si>
  <si>
    <t>00211</t>
  </si>
  <si>
    <t>00213</t>
  </si>
  <si>
    <t>00242</t>
  </si>
  <si>
    <t>00214</t>
  </si>
  <si>
    <t>00216</t>
  </si>
  <si>
    <t>00241</t>
  </si>
  <si>
    <t>00240</t>
  </si>
  <si>
    <t>00237</t>
  </si>
  <si>
    <t>00235</t>
  </si>
  <si>
    <t>00234</t>
  </si>
  <si>
    <t>00229</t>
  </si>
  <si>
    <t>00226</t>
  </si>
  <si>
    <t>00225</t>
  </si>
  <si>
    <t>00218</t>
  </si>
  <si>
    <t>00224</t>
  </si>
  <si>
    <t>30Sep240040</t>
  </si>
  <si>
    <t>070000164218</t>
  </si>
  <si>
    <t>070000164220</t>
  </si>
  <si>
    <t>070000164225</t>
  </si>
  <si>
    <t>070000164226</t>
  </si>
  <si>
    <t>070000164229</t>
  </si>
  <si>
    <t>070000164233</t>
  </si>
  <si>
    <t>070000164235</t>
  </si>
  <si>
    <t>070000164236</t>
  </si>
  <si>
    <t>070000164238</t>
  </si>
  <si>
    <t>070000164241</t>
  </si>
  <si>
    <t>070000164242</t>
  </si>
  <si>
    <t>070000164243</t>
  </si>
  <si>
    <t>070000164253</t>
  </si>
  <si>
    <t>070000164257</t>
  </si>
  <si>
    <t>070000164258</t>
  </si>
  <si>
    <t>070000164260</t>
  </si>
  <si>
    <t>070000164262</t>
  </si>
  <si>
    <t>070000164269</t>
  </si>
  <si>
    <t>070000164270</t>
  </si>
  <si>
    <t>070000164272</t>
  </si>
  <si>
    <t>070000164281</t>
  </si>
  <si>
    <t>070000164286</t>
  </si>
  <si>
    <t>070000164287</t>
  </si>
  <si>
    <t>070000164289</t>
  </si>
  <si>
    <t>070000164293</t>
  </si>
  <si>
    <t>070000164296</t>
  </si>
  <si>
    <t>070000164297</t>
  </si>
  <si>
    <t>070000164305</t>
  </si>
  <si>
    <t>070000164310</t>
  </si>
  <si>
    <t>070000164317</t>
  </si>
  <si>
    <t>070000164319</t>
  </si>
  <si>
    <t>070000164324</t>
  </si>
  <si>
    <t>070000164327</t>
  </si>
  <si>
    <t>070000164329</t>
  </si>
  <si>
    <t>070000164330</t>
  </si>
  <si>
    <t>070000164334</t>
  </si>
  <si>
    <t>070000164339</t>
  </si>
  <si>
    <t>070000164341</t>
  </si>
  <si>
    <t>070000164342</t>
  </si>
  <si>
    <t>070000164343</t>
  </si>
  <si>
    <t>070000164344</t>
  </si>
  <si>
    <t>070000164383</t>
  </si>
  <si>
    <t>070000164385</t>
  </si>
  <si>
    <t>070000164388</t>
  </si>
  <si>
    <t>070000164389</t>
  </si>
  <si>
    <t>070000164391</t>
  </si>
  <si>
    <t>070000164215</t>
  </si>
  <si>
    <t>070000164216</t>
  </si>
  <si>
    <t>070000164403</t>
  </si>
  <si>
    <t>070000164219</t>
  </si>
  <si>
    <t>070000164221</t>
  </si>
  <si>
    <t>070000164407</t>
  </si>
  <si>
    <t>070000164410</t>
  </si>
  <si>
    <t>070000164222</t>
  </si>
  <si>
    <t>070000164412</t>
  </si>
  <si>
    <t>070000164223</t>
  </si>
  <si>
    <t>070000164224</t>
  </si>
  <si>
    <t>070000164416</t>
  </si>
  <si>
    <t>070000164227</t>
  </si>
  <si>
    <t>070000164419</t>
  </si>
  <si>
    <t>070000164230</t>
  </si>
  <si>
    <t>070000164421</t>
  </si>
  <si>
    <t>070000164231</t>
  </si>
  <si>
    <t>070000164422</t>
  </si>
  <si>
    <t>070000164232</t>
  </si>
  <si>
    <t>070000164423</t>
  </si>
  <si>
    <t>070000164424</t>
  </si>
  <si>
    <t>070000164234</t>
  </si>
  <si>
    <t>070000164425</t>
  </si>
  <si>
    <t>070000164426</t>
  </si>
  <si>
    <t>070000164237</t>
  </si>
  <si>
    <t>070000164428</t>
  </si>
  <si>
    <t>070000164239</t>
  </si>
  <si>
    <t>070000164430</t>
  </si>
  <si>
    <t>070000164240</t>
  </si>
  <si>
    <t>070000164244</t>
  </si>
  <si>
    <t>070000164245</t>
  </si>
  <si>
    <t>070000164438</t>
  </si>
  <si>
    <t>070000164246</t>
  </si>
  <si>
    <t>070000164247</t>
  </si>
  <si>
    <t>070000164248</t>
  </si>
  <si>
    <t>070000164443</t>
  </si>
  <si>
    <t>070000164250</t>
  </si>
  <si>
    <t>070000164251</t>
  </si>
  <si>
    <t>070000164445</t>
  </si>
  <si>
    <t>070000164446</t>
  </si>
  <si>
    <t>070000164447</t>
  </si>
  <si>
    <t>070000164252</t>
  </si>
  <si>
    <t>070000164449</t>
  </si>
  <si>
    <t>070000164450</t>
  </si>
  <si>
    <t>070000164254</t>
  </si>
  <si>
    <t>070000164451</t>
  </si>
  <si>
    <t>070000164255</t>
  </si>
  <si>
    <t>070000164452</t>
  </si>
  <si>
    <t>070000164256</t>
  </si>
  <si>
    <t>070000164259</t>
  </si>
  <si>
    <t>070000164261</t>
  </si>
  <si>
    <t>070000164263</t>
  </si>
  <si>
    <t>070000164459</t>
  </si>
  <si>
    <t>070000164264</t>
  </si>
  <si>
    <t>070000164265</t>
  </si>
  <si>
    <t>070000164462</t>
  </si>
  <si>
    <t>070000164464</t>
  </si>
  <si>
    <t>070000164266</t>
  </si>
  <si>
    <t>070000164466</t>
  </si>
  <si>
    <t>070000164467</t>
  </si>
  <si>
    <t>070000164468</t>
  </si>
  <si>
    <t>070000164469</t>
  </si>
  <si>
    <t>070000164470</t>
  </si>
  <si>
    <t>070000164268</t>
  </si>
  <si>
    <t>070000164271</t>
  </si>
  <si>
    <t>070000164273</t>
  </si>
  <si>
    <t>070000164274</t>
  </si>
  <si>
    <t>070000164474</t>
  </si>
  <si>
    <t>070000164475</t>
  </si>
  <si>
    <t>070000164275</t>
  </si>
  <si>
    <t>070000164477</t>
  </si>
  <si>
    <t>070000164478</t>
  </si>
  <si>
    <t>070000164479</t>
  </si>
  <si>
    <t>070000164276</t>
  </si>
  <si>
    <t>070000164277</t>
  </si>
  <si>
    <t>070000164483</t>
  </si>
  <si>
    <t>070000164278</t>
  </si>
  <si>
    <t>070000164485</t>
  </si>
  <si>
    <t>070000164486</t>
  </si>
  <si>
    <t>070000164279</t>
  </si>
  <si>
    <t>070000164280</t>
  </si>
  <si>
    <t>070000164490</t>
  </si>
  <si>
    <t>070000164491</t>
  </si>
  <si>
    <t>070000164282</t>
  </si>
  <si>
    <t>070000164283</t>
  </si>
  <si>
    <t>070000164284</t>
  </si>
  <si>
    <t>070000164285</t>
  </si>
  <si>
    <t>070000164497</t>
  </si>
  <si>
    <t>070000164498</t>
  </si>
  <si>
    <t>070000164288</t>
  </si>
  <si>
    <t>070000164500</t>
  </si>
  <si>
    <t>070000164501</t>
  </si>
  <si>
    <t>070000164290</t>
  </si>
  <si>
    <t>070000164291</t>
  </si>
  <si>
    <t>070000164292</t>
  </si>
  <si>
    <t>070000164504</t>
  </si>
  <si>
    <t>070000164294</t>
  </si>
  <si>
    <t>070000164295</t>
  </si>
  <si>
    <t>070000164508</t>
  </si>
  <si>
    <t>070000164509</t>
  </si>
  <si>
    <t>070000164510</t>
  </si>
  <si>
    <t>070000164298</t>
  </si>
  <si>
    <t>070000164299</t>
  </si>
  <si>
    <t>070000164512</t>
  </si>
  <si>
    <t>070000164300</t>
  </si>
  <si>
    <t>070000164301</t>
  </si>
  <si>
    <t>070000164515</t>
  </si>
  <si>
    <t>070000164302</t>
  </si>
  <si>
    <t>070000164303</t>
  </si>
  <si>
    <t>070000164518</t>
  </si>
  <si>
    <t>070000164521</t>
  </si>
  <si>
    <t>070000164522</t>
  </si>
  <si>
    <t>070000164523</t>
  </si>
  <si>
    <t>070000164524</t>
  </si>
  <si>
    <t>070000164525</t>
  </si>
  <si>
    <t>070000164304</t>
  </si>
  <si>
    <t>070000164306</t>
  </si>
  <si>
    <t>070000164307</t>
  </si>
  <si>
    <t>070000164530</t>
  </si>
  <si>
    <t>070000164531</t>
  </si>
  <si>
    <t>070000164308</t>
  </si>
  <si>
    <t>070000164309</t>
  </si>
  <si>
    <t>070000164311</t>
  </si>
  <si>
    <t>070000164312</t>
  </si>
  <si>
    <t>070000164539</t>
  </si>
  <si>
    <t>070000164540</t>
  </si>
  <si>
    <t>070000164541</t>
  </si>
  <si>
    <t>070000164313</t>
  </si>
  <si>
    <t>070000164543</t>
  </si>
  <si>
    <t>070000164545</t>
  </si>
  <si>
    <t>070000164546</t>
  </si>
  <si>
    <t>070000164548</t>
  </si>
  <si>
    <t>070000164550</t>
  </si>
  <si>
    <t>070000164551</t>
  </si>
  <si>
    <t>070000164552</t>
  </si>
  <si>
    <t>070000164314</t>
  </si>
  <si>
    <t>070000164316</t>
  </si>
  <si>
    <t>070000164318</t>
  </si>
  <si>
    <t>070000164320</t>
  </si>
  <si>
    <t>070000164321</t>
  </si>
  <si>
    <t>070000164322</t>
  </si>
  <si>
    <t>070000164561</t>
  </si>
  <si>
    <t>070000164323</t>
  </si>
  <si>
    <t>070000164563</t>
  </si>
  <si>
    <t>070000164325</t>
  </si>
  <si>
    <t>070000164564</t>
  </si>
  <si>
    <t>070000164326</t>
  </si>
  <si>
    <t>070000164328</t>
  </si>
  <si>
    <t>070000164331</t>
  </si>
  <si>
    <t>070000164568</t>
  </si>
  <si>
    <t>070000164332</t>
  </si>
  <si>
    <t>070000164569</t>
  </si>
  <si>
    <t>070000164333</t>
  </si>
  <si>
    <t>070000164335</t>
  </si>
  <si>
    <t>070000164571</t>
  </si>
  <si>
    <t>070000164336</t>
  </si>
  <si>
    <t>070000164570</t>
  </si>
  <si>
    <t>070000164337</t>
  </si>
  <si>
    <t>070000164338</t>
  </si>
  <si>
    <t>070000164340</t>
  </si>
  <si>
    <t>070000164567</t>
  </si>
  <si>
    <t>070000164345</t>
  </si>
  <si>
    <t>070000164346</t>
  </si>
  <si>
    <t>070000164380</t>
  </si>
  <si>
    <t>070000164381</t>
  </si>
  <si>
    <t>070000164382</t>
  </si>
  <si>
    <t>070000164384</t>
  </si>
  <si>
    <t>070000164386</t>
  </si>
  <si>
    <t>070000164562</t>
  </si>
  <si>
    <t>070000164560</t>
  </si>
  <si>
    <t>070000164387</t>
  </si>
  <si>
    <t>070000164559</t>
  </si>
  <si>
    <t>070000164558</t>
  </si>
  <si>
    <t>070000164557</t>
  </si>
  <si>
    <t>070000164390</t>
  </si>
  <si>
    <t>070000164392</t>
  </si>
  <si>
    <t>070000164556</t>
  </si>
  <si>
    <t>070000164555</t>
  </si>
  <si>
    <t>070000164393</t>
  </si>
  <si>
    <t>070000164554</t>
  </si>
  <si>
    <t>070000164394</t>
  </si>
  <si>
    <t>070000164395</t>
  </si>
  <si>
    <t>070000164396</t>
  </si>
  <si>
    <t>070000164553</t>
  </si>
  <si>
    <t>070000164397</t>
  </si>
  <si>
    <t>070000164398</t>
  </si>
  <si>
    <t>070000164399</t>
  </si>
  <si>
    <t>070000164549</t>
  </si>
  <si>
    <t>070000164547</t>
  </si>
  <si>
    <t>070000164544</t>
  </si>
  <si>
    <t>070000164142</t>
  </si>
  <si>
    <t>070000164400</t>
  </si>
  <si>
    <t>070000164401</t>
  </si>
  <si>
    <t>070000164542</t>
  </si>
  <si>
    <t>070000164538</t>
  </si>
  <si>
    <t>070000164537</t>
  </si>
  <si>
    <t>070000164536</t>
  </si>
  <si>
    <t>070000164402</t>
  </si>
  <si>
    <t>070000164535</t>
  </si>
  <si>
    <t>070000164404</t>
  </si>
  <si>
    <t>070000164405</t>
  </si>
  <si>
    <t>070000164406</t>
  </si>
  <si>
    <t>070000164534</t>
  </si>
  <si>
    <t>070000164533</t>
  </si>
  <si>
    <t>070000164532</t>
  </si>
  <si>
    <t>070000164408</t>
  </si>
  <si>
    <t>070000164409</t>
  </si>
  <si>
    <t>070000164411</t>
  </si>
  <si>
    <t>070000164529</t>
  </si>
  <si>
    <t>070000164528</t>
  </si>
  <si>
    <t>070000164527</t>
  </si>
  <si>
    <t>070000164413</t>
  </si>
  <si>
    <t>070000164414</t>
  </si>
  <si>
    <t>070000164526</t>
  </si>
  <si>
    <t>070000164415</t>
  </si>
  <si>
    <t>070000164417</t>
  </si>
  <si>
    <t>070000164418</t>
  </si>
  <si>
    <t>070000164420</t>
  </si>
  <si>
    <t>070000164427</t>
  </si>
  <si>
    <t>070000164520</t>
  </si>
  <si>
    <t>070000164517</t>
  </si>
  <si>
    <t>070000164429</t>
  </si>
  <si>
    <t>070000164431</t>
  </si>
  <si>
    <t>070000164432</t>
  </si>
  <si>
    <t>070000164433</t>
  </si>
  <si>
    <t>070000164516</t>
  </si>
  <si>
    <t>070000164435</t>
  </si>
  <si>
    <t>070000164514</t>
  </si>
  <si>
    <t>070000164436</t>
  </si>
  <si>
    <t>070000164437</t>
  </si>
  <si>
    <t>070000164439</t>
  </si>
  <si>
    <t>070000164440</t>
  </si>
  <si>
    <t>070000164441</t>
  </si>
  <si>
    <t>070000164513</t>
  </si>
  <si>
    <t>070000164511</t>
  </si>
  <si>
    <t>070000164507</t>
  </si>
  <si>
    <t>070000164442</t>
  </si>
  <si>
    <t>070000164506</t>
  </si>
  <si>
    <t>070000164444</t>
  </si>
  <si>
    <t>070000164505</t>
  </si>
  <si>
    <t>070000164503</t>
  </si>
  <si>
    <t>070000164502</t>
  </si>
  <si>
    <t>070000164453</t>
  </si>
  <si>
    <t>070000164499</t>
  </si>
  <si>
    <t>070000164496</t>
  </si>
  <si>
    <t>070000164454</t>
  </si>
  <si>
    <t>070000164455</t>
  </si>
  <si>
    <t>070000164495</t>
  </si>
  <si>
    <t>070000164456</t>
  </si>
  <si>
    <t>070000164494</t>
  </si>
  <si>
    <t>070000164493</t>
  </si>
  <si>
    <t>070000164457</t>
  </si>
  <si>
    <t>070000164458</t>
  </si>
  <si>
    <t>070000164460</t>
  </si>
  <si>
    <t>070000164489</t>
  </si>
  <si>
    <t>070000164461</t>
  </si>
  <si>
    <t>070000164463</t>
  </si>
  <si>
    <t>070000164488</t>
  </si>
  <si>
    <t>070000164487</t>
  </si>
  <si>
    <t>070000164484</t>
  </si>
  <si>
    <t>070000164482</t>
  </si>
  <si>
    <t>070000164481</t>
  </si>
  <si>
    <t>070000164476</t>
  </si>
  <si>
    <t>070000164473</t>
  </si>
  <si>
    <t>070000164472</t>
  </si>
  <si>
    <t>070000164465</t>
  </si>
  <si>
    <t>070000164471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</si>
</sst>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m/d/yyyy"/>
    <numFmt numFmtId="166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9"/>
      <color theme="1"/>
      <name val="Segoe UI"/>
      <family val="2"/>
      <charset val="1"/>
    </font>
    <font>
      <sz val="11"/>
      <color rgb="FF1F497D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5" fontId="0" fillId="0" borderId="0" xfId="0" applyNumberFormat="1"/>
    <xf numFmtId="164" fontId="2" fillId="2" borderId="0" xfId="0" applyNumberFormat="1" applyFont="1" applyFill="1"/>
    <xf numFmtId="164" fontId="2" fillId="2" borderId="1" xfId="0" applyNumberFormat="1" applyFont="1" applyFill="1" applyBorder="1"/>
    <xf numFmtId="0" fontId="0" fillId="2" borderId="0" xfId="0" applyFill="1"/>
    <xf numFmtId="0" fontId="0" fillId="3" borderId="2" xfId="0" applyFont="1" applyFill="1" applyBorder="1"/>
    <xf numFmtId="0" fontId="0" fillId="0" borderId="2" xfId="0" applyFont="1" applyBorder="1"/>
    <xf numFmtId="0" fontId="0" fillId="0" borderId="0" xfId="0" applyAlignment="1">
      <alignment vertical="top"/>
    </xf>
    <xf numFmtId="166" fontId="3" fillId="0" borderId="0" xfId="1" applyNumberFormat="1" applyFont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wrapText="1"/>
    </xf>
    <xf numFmtId="164" fontId="0" fillId="3" borderId="2" xfId="1" applyNumberFormat="1" applyFont="1" applyFill="1" applyBorder="1"/>
    <xf numFmtId="164" fontId="0" fillId="0" borderId="2" xfId="1" applyNumberFormat="1" applyFont="1" applyBorder="1"/>
    <xf numFmtId="0" fontId="4" fillId="0" borderId="0" xfId="0" applyFont="1"/>
  </cellXfs>
  <cellStyles count="2">
    <cellStyle name="Comma" xfId="1" builtinId="3"/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FFFF00"/>
        </patternFill>
      </fill>
    </dxf>
    <dxf>
      <numFmt numFmtId="164" formatCode="_-* #,##0_-;\-* #,##0_-;_-* &quot;-&quot;??_-;_-@_-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* #,##0_-;\-* #,##0_-;_-* &quot;-&quot;??_-;_-@_-"/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* #,##0_-;\-* #,##0_-;_-* &quot;-&quot;??_-;_-@_-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4" formatCode="_-* #,##0_-;\-* #,##0_-;_-* &quot;-&quot;??_-;_-@_-"/>
      <fill>
        <patternFill patternType="solid">
          <fgColor indexed="64"/>
          <bgColor rgb="FFFFFF00"/>
        </patternFill>
      </fill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5" formatCode="m/d/yyyy"/>
    </dxf>
    <dxf>
      <numFmt numFmtId="165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03" displayName="Table103" ref="A1:AN316" totalsRowCount="1">
  <sortState xmlns:xlrd2="http://schemas.microsoft.com/office/spreadsheetml/2017/richdata2" ref="A2:AJ315">
    <sortCondition ref="D2:D315"/>
  </sortState>
  <tableColumns count="40">
    <tableColumn id="1" xr3:uid="{00000000-0010-0000-0000-000001000000}" name="Sr."/>
    <tableColumn id="2" xr3:uid="{00000000-0010-0000-0000-000002000000}" name="Status"/>
    <tableColumn id="3" xr3:uid="{00000000-0010-0000-0000-000003000000}" name="Contract No."/>
    <tableColumn id="4" xr3:uid="{00000000-0010-0000-0000-000004000000}" name="Contract Status"/>
    <tableColumn id="5" xr3:uid="{00000000-0010-0000-0000-000005000000}" name="Insurance Agency"/>
    <tableColumn id="6" xr3:uid="{00000000-0010-0000-0000-000006000000}" name="Customer Name"/>
    <tableColumn id="7" xr3:uid="{00000000-0010-0000-0000-000007000000}" name="City"/>
    <tableColumn id="8" xr3:uid="{00000000-0010-0000-0000-000008000000}" name="CNIC No."/>
    <tableColumn id="9" xr3:uid="{00000000-0010-0000-0000-000009000000}" name="Home Phone#"/>
    <tableColumn id="10" xr3:uid="{00000000-0010-0000-0000-00000A000000}" name="Mobile Number"/>
    <tableColumn id="11" xr3:uid="{00000000-0010-0000-0000-00000B000000}" name="Business Phone#"/>
    <tableColumn id="12" xr3:uid="{00000000-0010-0000-0000-00000C000000}" name="Mail Address"/>
    <tableColumn id="13" xr3:uid="{00000000-0010-0000-0000-00000D000000}" name="Finance Amount"/>
    <tableColumn id="14" xr3:uid="{00000000-0010-0000-0000-00000E000000}" name="Car Price"/>
    <tableColumn id="15" xr3:uid="{00000000-0010-0000-0000-00000F000000}" name="Ins. Policy"/>
    <tableColumn id="16" xr3:uid="{00000000-0010-0000-0000-000010000000}" name="Ins. Expiry Date" dataDxfId="13" totalsRowDxfId="12"/>
    <tableColumn id="17" xr3:uid="{00000000-0010-0000-0000-000011000000}" name="Engine No." dataDxfId="11" totalsRowDxfId="10"/>
    <tableColumn id="18" xr3:uid="{00000000-0010-0000-0000-000012000000}" name="Chassis No."/>
    <tableColumn id="19" xr3:uid="{00000000-0010-0000-0000-000013000000}" name="Car Category"/>
    <tableColumn id="20" xr3:uid="{00000000-0010-0000-0000-000014000000}" name="Reg. No."/>
    <tableColumn id="21" xr3:uid="{00000000-0010-0000-0000-000015000000}" name="Car Name"/>
    <tableColumn id="22" xr3:uid="{00000000-0010-0000-0000-000016000000}" name="Model"/>
    <tableColumn id="23" xr3:uid="{00000000-0010-0000-0000-000017000000}" name="Contract Booking Date"/>
    <tableColumn id="24" xr3:uid="{00000000-0010-0000-0000-000018000000}" name="Contract Value Date"/>
    <tableColumn id="25" xr3:uid="{00000000-0010-0000-0000-000019000000}" name="Contract Maturity Date"/>
    <tableColumn id="26" xr3:uid="{00000000-0010-0000-0000-00001A000000}" name="Purchase Order No."/>
    <tableColumn id="27" xr3:uid="{00000000-0010-0000-0000-00001B000000}" name="Tenor#2"/>
    <tableColumn id="28" xr3:uid="{00000000-0010-0000-0000-00001C000000}" name="Tracker Company"/>
    <tableColumn id="29" xr3:uid="{00000000-0010-0000-0000-00001D000000}" name="Tracker Reference Number"/>
    <tableColumn id="30" xr3:uid="{00000000-0010-0000-0000-00001E000000}" name="Tracker Installation Date"/>
    <tableColumn id="31" xr3:uid="{00000000-0010-0000-0000-00001F000000}" name="Rate "/>
    <tableColumn id="32" xr3:uid="{00000000-0010-0000-0000-000020000000}" name="Sum Insured "/>
    <tableColumn id="33" xr3:uid="{00000000-0010-0000-0000-000021000000}" name="Premium" totalsRowFunction="custom" totalsRowDxfId="9">
      <totalsRowFormula>SUBTOTAL(9,Table103[Premium])</totalsRowFormula>
    </tableColumn>
    <tableColumn id="34" xr3:uid="{00000000-0010-0000-0000-000022000000}" name="OLD Contract Ref"/>
    <tableColumn id="35" xr3:uid="{00000000-0010-0000-0000-000023000000}" name="Remarks-I"/>
    <tableColumn id="36" xr3:uid="{00000000-0010-0000-0000-000024000000}" name="Remarks-II"/>
    <tableColumn id="39" xr3:uid="{00000000-0010-0000-0000-000027000000}" name="Policy #" dataDxfId="8"/>
    <tableColumn id="40" xr3:uid="{00000000-0010-0000-0000-000028000000}" name="Tms Prem" totalsRowFunction="custom" dataDxfId="7" totalsRowDxfId="6" dataCellStyle="Comma">
      <totalsRowFormula>SUBTOTAL(9,Table103[Tms Prem])</totalsRowFormula>
    </tableColumn>
    <tableColumn id="38" xr3:uid="{00000000-0010-0000-0000-000026000000}" name="Endorsement No." dataDxfId="5"/>
    <tableColumn id="42" xr3:uid="{00000000-0010-0000-0000-00002A000000}" name="Difference2" totalsRowFunction="custom" dataDxfId="4" totalsRowDxfId="3">
      <calculatedColumnFormula>Table103[[#This Row],[Premium]]-Table103[[#This Row],[Tms Prem]]</calculatedColumnFormula>
      <totalsRowFormula>SUM(Table103[Difference2])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26"/>
  <sheetViews>
    <sheetView topLeftCell="AF306" workbookViewId="0">
      <selection activeCell="AH77" sqref="AH77"/>
    </sheetView>
  </sheetViews>
  <sheetFormatPr defaultRowHeight="15" x14ac:dyDescent="0.25"/>
  <cols>
    <col min="3" max="3" width="14.140625" customWidth="1"/>
    <col min="4" max="4" width="16.42578125" customWidth="1"/>
    <col min="5" max="5" width="18.5703125" customWidth="1"/>
    <col min="6" max="6" width="17.42578125" customWidth="1"/>
    <col min="8" max="8" width="11" customWidth="1"/>
    <col min="9" max="9" width="15.5703125" customWidth="1"/>
    <col min="10" max="10" width="17.28515625" customWidth="1"/>
    <col min="11" max="11" width="18" customWidth="1"/>
    <col min="12" max="12" width="14.7109375" customWidth="1"/>
    <col min="13" max="13" width="17.5703125" customWidth="1"/>
    <col min="14" max="14" width="10.85546875" customWidth="1"/>
    <col min="15" max="15" width="12" customWidth="1"/>
    <col min="16" max="16" width="16.7109375" customWidth="1"/>
    <col min="17" max="17" width="12.7109375" customWidth="1"/>
    <col min="18" max="18" width="13.140625" customWidth="1"/>
    <col min="19" max="19" width="14.28515625" customWidth="1"/>
    <col min="20" max="20" width="10.5703125" customWidth="1"/>
    <col min="21" max="21" width="11.7109375" customWidth="1"/>
    <col min="23" max="23" width="22.7109375" customWidth="1"/>
    <col min="24" max="24" width="20.7109375" customWidth="1"/>
    <col min="25" max="25" width="23.28515625" customWidth="1"/>
    <col min="26" max="26" width="20.28515625" customWidth="1"/>
    <col min="27" max="27" width="10.28515625" customWidth="1"/>
    <col min="28" max="28" width="18.28515625" customWidth="1"/>
    <col min="29" max="29" width="26.85546875" customWidth="1"/>
    <col min="30" max="30" width="24.5703125" customWidth="1"/>
    <col min="32" max="32" width="14.5703125" customWidth="1"/>
    <col min="33" max="33" width="11.28515625" customWidth="1"/>
    <col min="34" max="34" width="18" customWidth="1"/>
    <col min="35" max="35" width="12" customWidth="1"/>
    <col min="36" max="36" width="12.5703125" customWidth="1"/>
    <col min="37" max="37" width="41.140625" bestFit="1" customWidth="1"/>
    <col min="38" max="38" width="20.28515625" customWidth="1"/>
    <col min="39" max="39" width="41.42578125" bestFit="1" customWidth="1"/>
    <col min="40" max="41" width="11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4075</v>
      </c>
      <c r="AN1" t="s">
        <v>4097</v>
      </c>
    </row>
    <row r="2" spans="1:40" x14ac:dyDescent="0.25">
      <c r="A2">
        <v>1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45</v>
      </c>
      <c r="L2" t="s">
        <v>47</v>
      </c>
      <c r="M2">
        <v>1048200</v>
      </c>
      <c r="N2">
        <v>1747000</v>
      </c>
      <c r="O2" t="s">
        <v>48</v>
      </c>
      <c r="P2" s="1">
        <v>45505</v>
      </c>
      <c r="Q2" s="2">
        <v>245957</v>
      </c>
      <c r="R2" t="s">
        <v>49</v>
      </c>
      <c r="S2" t="s">
        <v>50</v>
      </c>
      <c r="T2" t="s">
        <v>45</v>
      </c>
      <c r="U2" t="s">
        <v>51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>
        <v>4</v>
      </c>
      <c r="AB2" t="s">
        <v>57</v>
      </c>
      <c r="AC2" t="s">
        <v>58</v>
      </c>
      <c r="AD2" t="s">
        <v>59</v>
      </c>
      <c r="AE2" t="s">
        <v>60</v>
      </c>
      <c r="AF2">
        <v>1484950</v>
      </c>
      <c r="AG2" s="3">
        <v>29699</v>
      </c>
      <c r="AK2" t="s">
        <v>61</v>
      </c>
      <c r="AL2" s="3">
        <v>29699</v>
      </c>
      <c r="AM2">
        <v>0</v>
      </c>
      <c r="AN2" s="4">
        <f>Table103[[#This Row],[Premium]]-Table103[[#This Row],[Tms Prem]]</f>
        <v>0</v>
      </c>
    </row>
    <row r="3" spans="1:40" x14ac:dyDescent="0.25">
      <c r="A3">
        <v>2</v>
      </c>
      <c r="B3" t="s">
        <v>38</v>
      </c>
      <c r="C3" t="s">
        <v>62</v>
      </c>
      <c r="D3" t="s">
        <v>40</v>
      </c>
      <c r="E3" t="s">
        <v>41</v>
      </c>
      <c r="F3" t="s">
        <v>63</v>
      </c>
      <c r="G3" t="s">
        <v>43</v>
      </c>
      <c r="H3" t="s">
        <v>64</v>
      </c>
      <c r="I3" t="s">
        <v>65</v>
      </c>
      <c r="J3" t="s">
        <v>45</v>
      </c>
      <c r="K3" t="s">
        <v>66</v>
      </c>
      <c r="L3" t="s">
        <v>67</v>
      </c>
      <c r="M3">
        <v>1965200</v>
      </c>
      <c r="N3">
        <v>2890000</v>
      </c>
      <c r="O3" t="s">
        <v>68</v>
      </c>
      <c r="P3" s="1">
        <v>45505</v>
      </c>
      <c r="Q3" s="2">
        <v>55196</v>
      </c>
      <c r="R3" t="s">
        <v>69</v>
      </c>
      <c r="S3" t="s">
        <v>50</v>
      </c>
      <c r="T3" t="s">
        <v>45</v>
      </c>
      <c r="U3" t="s">
        <v>70</v>
      </c>
      <c r="V3" t="s">
        <v>52</v>
      </c>
      <c r="W3" t="s">
        <v>71</v>
      </c>
      <c r="X3" t="s">
        <v>72</v>
      </c>
      <c r="Y3" t="s">
        <v>73</v>
      </c>
      <c r="Z3" t="s">
        <v>74</v>
      </c>
      <c r="AA3">
        <v>4</v>
      </c>
      <c r="AB3" t="s">
        <v>57</v>
      </c>
      <c r="AC3" t="s">
        <v>75</v>
      </c>
      <c r="AD3" t="s">
        <v>76</v>
      </c>
      <c r="AE3" t="s">
        <v>60</v>
      </c>
      <c r="AF3">
        <v>2456500</v>
      </c>
      <c r="AG3" s="3">
        <v>49130</v>
      </c>
      <c r="AK3" t="s">
        <v>77</v>
      </c>
      <c r="AL3" s="3">
        <v>49130</v>
      </c>
      <c r="AM3">
        <v>0</v>
      </c>
      <c r="AN3" s="4">
        <f>Table103[[#This Row],[Premium]]-Table103[[#This Row],[Tms Prem]]</f>
        <v>0</v>
      </c>
    </row>
    <row r="4" spans="1:40" x14ac:dyDescent="0.25">
      <c r="A4">
        <v>3</v>
      </c>
      <c r="B4" t="s">
        <v>38</v>
      </c>
      <c r="C4" t="s">
        <v>78</v>
      </c>
      <c r="D4" t="s">
        <v>40</v>
      </c>
      <c r="E4" t="s">
        <v>41</v>
      </c>
      <c r="F4" t="s">
        <v>79</v>
      </c>
      <c r="G4" t="s">
        <v>80</v>
      </c>
      <c r="H4" t="s">
        <v>81</v>
      </c>
      <c r="I4" t="s">
        <v>45</v>
      </c>
      <c r="J4" t="s">
        <v>82</v>
      </c>
      <c r="K4" t="s">
        <v>45</v>
      </c>
      <c r="L4" t="s">
        <v>83</v>
      </c>
      <c r="M4">
        <v>1170000</v>
      </c>
      <c r="N4">
        <v>1950000</v>
      </c>
      <c r="O4" t="s">
        <v>84</v>
      </c>
      <c r="P4" t="s">
        <v>85</v>
      </c>
      <c r="Q4" s="2" t="s">
        <v>86</v>
      </c>
      <c r="R4" t="s">
        <v>87</v>
      </c>
      <c r="S4" t="s">
        <v>88</v>
      </c>
      <c r="T4" t="s">
        <v>88</v>
      </c>
      <c r="U4" t="s">
        <v>89</v>
      </c>
      <c r="V4" t="s">
        <v>90</v>
      </c>
      <c r="W4">
        <v>45141</v>
      </c>
      <c r="X4" t="s">
        <v>91</v>
      </c>
      <c r="Y4" t="s">
        <v>92</v>
      </c>
      <c r="Z4" t="s">
        <v>93</v>
      </c>
      <c r="AA4">
        <v>5</v>
      </c>
      <c r="AB4" t="s">
        <v>94</v>
      </c>
      <c r="AC4" t="s">
        <v>95</v>
      </c>
      <c r="AD4" t="s">
        <v>96</v>
      </c>
      <c r="AE4" t="s">
        <v>97</v>
      </c>
      <c r="AF4">
        <v>1755000</v>
      </c>
      <c r="AG4" s="3">
        <v>30713</v>
      </c>
      <c r="AK4" t="s">
        <v>98</v>
      </c>
      <c r="AL4" s="3">
        <v>30713</v>
      </c>
      <c r="AM4">
        <v>0</v>
      </c>
      <c r="AN4" s="4">
        <f>Table103[[#This Row],[Premium]]-Table103[[#This Row],[Tms Prem]]</f>
        <v>0</v>
      </c>
    </row>
    <row r="5" spans="1:40" x14ac:dyDescent="0.25">
      <c r="A5">
        <v>4</v>
      </c>
      <c r="B5" t="s">
        <v>38</v>
      </c>
      <c r="C5" t="s">
        <v>99</v>
      </c>
      <c r="D5" t="s">
        <v>40</v>
      </c>
      <c r="E5" t="s">
        <v>41</v>
      </c>
      <c r="F5" t="s">
        <v>100</v>
      </c>
      <c r="G5" t="s">
        <v>80</v>
      </c>
      <c r="H5" t="s">
        <v>101</v>
      </c>
      <c r="I5" t="s">
        <v>45</v>
      </c>
      <c r="J5" t="s">
        <v>102</v>
      </c>
      <c r="K5" t="s">
        <v>45</v>
      </c>
      <c r="L5" t="s">
        <v>103</v>
      </c>
      <c r="M5">
        <v>1105000</v>
      </c>
      <c r="N5">
        <v>1700000</v>
      </c>
      <c r="O5" t="s">
        <v>104</v>
      </c>
      <c r="P5" t="s">
        <v>85</v>
      </c>
      <c r="Q5" s="2">
        <v>131837</v>
      </c>
      <c r="R5" t="s">
        <v>105</v>
      </c>
      <c r="S5" t="s">
        <v>88</v>
      </c>
      <c r="T5" t="s">
        <v>88</v>
      </c>
      <c r="U5" t="s">
        <v>106</v>
      </c>
      <c r="V5" t="s">
        <v>107</v>
      </c>
      <c r="W5">
        <v>45141</v>
      </c>
      <c r="X5" t="s">
        <v>91</v>
      </c>
      <c r="Y5" t="s">
        <v>108</v>
      </c>
      <c r="Z5" t="s">
        <v>109</v>
      </c>
      <c r="AA5">
        <v>3</v>
      </c>
      <c r="AB5" t="s">
        <v>94</v>
      </c>
      <c r="AC5" t="s">
        <v>110</v>
      </c>
      <c r="AD5" t="s">
        <v>91</v>
      </c>
      <c r="AE5" t="s">
        <v>97</v>
      </c>
      <c r="AF5">
        <v>1530000</v>
      </c>
      <c r="AG5" s="3">
        <v>26775.000000000004</v>
      </c>
      <c r="AK5" t="s">
        <v>111</v>
      </c>
      <c r="AL5" s="3">
        <v>26775</v>
      </c>
      <c r="AM5">
        <v>0</v>
      </c>
      <c r="AN5" s="4">
        <f>Table103[[#This Row],[Premium]]-Table103[[#This Row],[Tms Prem]]</f>
        <v>0</v>
      </c>
    </row>
    <row r="6" spans="1:40" x14ac:dyDescent="0.25">
      <c r="A6">
        <v>5</v>
      </c>
      <c r="B6" t="s">
        <v>38</v>
      </c>
      <c r="C6" t="s">
        <v>112</v>
      </c>
      <c r="D6" t="s">
        <v>40</v>
      </c>
      <c r="E6" t="s">
        <v>41</v>
      </c>
      <c r="F6" t="s">
        <v>113</v>
      </c>
      <c r="G6" t="s">
        <v>114</v>
      </c>
      <c r="H6" t="s">
        <v>115</v>
      </c>
      <c r="I6" t="s">
        <v>45</v>
      </c>
      <c r="J6" t="s">
        <v>116</v>
      </c>
      <c r="K6" t="s">
        <v>45</v>
      </c>
      <c r="L6" t="s">
        <v>117</v>
      </c>
      <c r="M6">
        <v>2896375</v>
      </c>
      <c r="N6">
        <v>3407500</v>
      </c>
      <c r="O6" t="s">
        <v>118</v>
      </c>
      <c r="P6" t="s">
        <v>85</v>
      </c>
      <c r="Q6" s="2">
        <v>51018645</v>
      </c>
      <c r="R6" t="s">
        <v>119</v>
      </c>
      <c r="S6" t="s">
        <v>120</v>
      </c>
      <c r="T6" t="s">
        <v>120</v>
      </c>
      <c r="U6" t="s">
        <v>45</v>
      </c>
      <c r="V6" t="s">
        <v>52</v>
      </c>
      <c r="W6">
        <v>44747</v>
      </c>
      <c r="X6" t="s">
        <v>121</v>
      </c>
      <c r="Y6" t="s">
        <v>122</v>
      </c>
      <c r="Z6" t="s">
        <v>123</v>
      </c>
      <c r="AA6">
        <v>7</v>
      </c>
      <c r="AB6" t="s">
        <v>124</v>
      </c>
      <c r="AC6" t="s">
        <v>125</v>
      </c>
      <c r="AD6" t="s">
        <v>96</v>
      </c>
      <c r="AE6" t="s">
        <v>126</v>
      </c>
      <c r="AF6">
        <v>3066750</v>
      </c>
      <c r="AG6" s="3">
        <v>42935</v>
      </c>
      <c r="AK6" t="s">
        <v>127</v>
      </c>
      <c r="AL6" s="3">
        <v>42935</v>
      </c>
      <c r="AM6">
        <v>0</v>
      </c>
      <c r="AN6" s="4">
        <f>Table103[[#This Row],[Premium]]-Table103[[#This Row],[Tms Prem]]</f>
        <v>0</v>
      </c>
    </row>
    <row r="7" spans="1:40" x14ac:dyDescent="0.25">
      <c r="A7">
        <v>6</v>
      </c>
      <c r="B7" t="s">
        <v>38</v>
      </c>
      <c r="C7" t="s">
        <v>128</v>
      </c>
      <c r="D7" t="s">
        <v>40</v>
      </c>
      <c r="E7" t="s">
        <v>41</v>
      </c>
      <c r="F7" t="s">
        <v>129</v>
      </c>
      <c r="G7" t="s">
        <v>130</v>
      </c>
      <c r="H7" t="s">
        <v>131</v>
      </c>
      <c r="I7" t="s">
        <v>132</v>
      </c>
      <c r="J7" t="s">
        <v>132</v>
      </c>
      <c r="K7" t="s">
        <v>133</v>
      </c>
      <c r="L7" t="s">
        <v>134</v>
      </c>
      <c r="M7">
        <v>1170000</v>
      </c>
      <c r="N7">
        <v>1950000</v>
      </c>
      <c r="O7" t="s">
        <v>135</v>
      </c>
      <c r="P7" s="1">
        <v>45506</v>
      </c>
      <c r="Q7" s="2" t="s">
        <v>136</v>
      </c>
      <c r="R7" t="s">
        <v>137</v>
      </c>
      <c r="S7" t="s">
        <v>88</v>
      </c>
      <c r="T7" t="s">
        <v>138</v>
      </c>
      <c r="U7" t="s">
        <v>139</v>
      </c>
      <c r="V7" t="s">
        <v>140</v>
      </c>
      <c r="W7" t="s">
        <v>141</v>
      </c>
      <c r="X7" t="s">
        <v>54</v>
      </c>
      <c r="Y7" t="s">
        <v>142</v>
      </c>
      <c r="Z7" t="s">
        <v>143</v>
      </c>
      <c r="AA7">
        <v>5</v>
      </c>
      <c r="AB7" t="s">
        <v>124</v>
      </c>
      <c r="AC7" t="s">
        <v>144</v>
      </c>
      <c r="AD7" t="s">
        <v>145</v>
      </c>
      <c r="AE7" t="s">
        <v>97</v>
      </c>
      <c r="AF7">
        <v>1657500</v>
      </c>
      <c r="AG7" s="3">
        <v>29007</v>
      </c>
      <c r="AK7" t="s">
        <v>146</v>
      </c>
      <c r="AL7" s="3">
        <v>29006</v>
      </c>
      <c r="AM7">
        <v>0</v>
      </c>
      <c r="AN7" s="4">
        <f>Table103[[#This Row],[Premium]]-Table103[[#This Row],[Tms Prem]]</f>
        <v>1</v>
      </c>
    </row>
    <row r="8" spans="1:40" x14ac:dyDescent="0.25">
      <c r="A8">
        <v>7</v>
      </c>
      <c r="B8" t="s">
        <v>38</v>
      </c>
      <c r="C8" t="s">
        <v>147</v>
      </c>
      <c r="D8" t="s">
        <v>40</v>
      </c>
      <c r="E8" t="s">
        <v>41</v>
      </c>
      <c r="F8" t="s">
        <v>148</v>
      </c>
      <c r="G8" t="s">
        <v>80</v>
      </c>
      <c r="H8" t="s">
        <v>149</v>
      </c>
      <c r="I8" t="s">
        <v>150</v>
      </c>
      <c r="J8" t="s">
        <v>150</v>
      </c>
      <c r="K8" t="s">
        <v>151</v>
      </c>
      <c r="L8" t="s">
        <v>152</v>
      </c>
      <c r="M8">
        <v>1540000</v>
      </c>
      <c r="N8">
        <v>2200000</v>
      </c>
      <c r="O8" t="s">
        <v>153</v>
      </c>
      <c r="P8" s="1">
        <v>45506</v>
      </c>
      <c r="Q8" s="2">
        <v>132250</v>
      </c>
      <c r="R8" t="s">
        <v>154</v>
      </c>
      <c r="S8" t="s">
        <v>88</v>
      </c>
      <c r="T8" t="s">
        <v>155</v>
      </c>
      <c r="U8" t="s">
        <v>139</v>
      </c>
      <c r="V8" t="s">
        <v>90</v>
      </c>
      <c r="W8" t="s">
        <v>156</v>
      </c>
      <c r="X8" t="s">
        <v>54</v>
      </c>
      <c r="Y8" t="s">
        <v>142</v>
      </c>
      <c r="Z8" t="s">
        <v>157</v>
      </c>
      <c r="AA8">
        <v>5</v>
      </c>
      <c r="AB8" t="s">
        <v>124</v>
      </c>
      <c r="AC8" t="s">
        <v>158</v>
      </c>
      <c r="AD8" t="s">
        <v>59</v>
      </c>
      <c r="AE8" t="s">
        <v>159</v>
      </c>
      <c r="AF8">
        <v>1870000</v>
      </c>
      <c r="AG8" s="3">
        <v>28050</v>
      </c>
      <c r="AK8" t="s">
        <v>160</v>
      </c>
      <c r="AL8" s="3">
        <v>28050</v>
      </c>
      <c r="AM8">
        <v>0</v>
      </c>
      <c r="AN8" s="4">
        <f>Table103[[#This Row],[Premium]]-Table103[[#This Row],[Tms Prem]]</f>
        <v>0</v>
      </c>
    </row>
    <row r="9" spans="1:40" x14ac:dyDescent="0.25">
      <c r="A9">
        <v>8</v>
      </c>
      <c r="B9" t="s">
        <v>38</v>
      </c>
      <c r="C9" t="s">
        <v>161</v>
      </c>
      <c r="D9" t="s">
        <v>40</v>
      </c>
      <c r="E9" t="s">
        <v>41</v>
      </c>
      <c r="F9" t="s">
        <v>162</v>
      </c>
      <c r="G9" t="s">
        <v>43</v>
      </c>
      <c r="H9" t="s">
        <v>163</v>
      </c>
      <c r="I9" t="s">
        <v>45</v>
      </c>
      <c r="J9" t="s">
        <v>164</v>
      </c>
      <c r="K9" t="s">
        <v>164</v>
      </c>
      <c r="L9" t="s">
        <v>165</v>
      </c>
      <c r="M9">
        <v>1397600</v>
      </c>
      <c r="N9">
        <v>1747000</v>
      </c>
      <c r="O9" t="s">
        <v>166</v>
      </c>
      <c r="P9" s="1">
        <v>45506</v>
      </c>
      <c r="Q9" s="2">
        <v>242608</v>
      </c>
      <c r="R9" t="s">
        <v>167</v>
      </c>
      <c r="S9" t="s">
        <v>50</v>
      </c>
      <c r="T9" t="s">
        <v>45</v>
      </c>
      <c r="U9" t="s">
        <v>51</v>
      </c>
      <c r="V9" t="s">
        <v>52</v>
      </c>
      <c r="W9" t="s">
        <v>168</v>
      </c>
      <c r="X9" t="s">
        <v>54</v>
      </c>
      <c r="Y9" t="s">
        <v>142</v>
      </c>
      <c r="Z9" t="s">
        <v>169</v>
      </c>
      <c r="AA9">
        <v>5</v>
      </c>
      <c r="AB9" t="s">
        <v>57</v>
      </c>
      <c r="AC9" t="s">
        <v>170</v>
      </c>
      <c r="AD9" t="s">
        <v>156</v>
      </c>
      <c r="AE9" t="s">
        <v>60</v>
      </c>
      <c r="AF9">
        <v>1484950</v>
      </c>
      <c r="AG9" s="3">
        <v>29699</v>
      </c>
      <c r="AK9" t="s">
        <v>171</v>
      </c>
      <c r="AL9" s="3">
        <v>29699</v>
      </c>
      <c r="AM9">
        <v>0</v>
      </c>
      <c r="AN9" s="4">
        <f>Table103[[#This Row],[Premium]]-Table103[[#This Row],[Tms Prem]]</f>
        <v>0</v>
      </c>
    </row>
    <row r="10" spans="1:40" x14ac:dyDescent="0.25">
      <c r="A10">
        <v>9</v>
      </c>
      <c r="B10" t="s">
        <v>38</v>
      </c>
      <c r="C10" t="s">
        <v>172</v>
      </c>
      <c r="D10" t="s">
        <v>40</v>
      </c>
      <c r="E10" t="s">
        <v>41</v>
      </c>
      <c r="F10" t="s">
        <v>173</v>
      </c>
      <c r="G10" t="s">
        <v>174</v>
      </c>
      <c r="H10" t="s">
        <v>175</v>
      </c>
      <c r="I10" t="s">
        <v>176</v>
      </c>
      <c r="J10" t="s">
        <v>176</v>
      </c>
      <c r="K10" t="s">
        <v>176</v>
      </c>
      <c r="L10" t="s">
        <v>177</v>
      </c>
      <c r="M10">
        <v>1657000</v>
      </c>
      <c r="N10">
        <v>3314000</v>
      </c>
      <c r="O10" t="s">
        <v>178</v>
      </c>
      <c r="P10" s="1">
        <v>45506</v>
      </c>
      <c r="Q10" s="2">
        <v>51012326</v>
      </c>
      <c r="R10" t="s">
        <v>179</v>
      </c>
      <c r="S10" t="s">
        <v>50</v>
      </c>
      <c r="T10" t="s">
        <v>45</v>
      </c>
      <c r="U10" t="s">
        <v>180</v>
      </c>
      <c r="V10" t="s">
        <v>52</v>
      </c>
      <c r="W10" t="s">
        <v>181</v>
      </c>
      <c r="X10" t="s">
        <v>54</v>
      </c>
      <c r="Y10" t="s">
        <v>182</v>
      </c>
      <c r="Z10" t="s">
        <v>183</v>
      </c>
      <c r="AA10">
        <v>3</v>
      </c>
      <c r="AB10" t="s">
        <v>124</v>
      </c>
      <c r="AC10" t="s">
        <v>184</v>
      </c>
      <c r="AD10" t="s">
        <v>156</v>
      </c>
      <c r="AE10" t="s">
        <v>60</v>
      </c>
      <c r="AF10">
        <v>2816900</v>
      </c>
      <c r="AG10" s="3">
        <v>56338</v>
      </c>
      <c r="AK10" t="s">
        <v>185</v>
      </c>
      <c r="AL10" s="3">
        <v>56338</v>
      </c>
      <c r="AM10">
        <v>0</v>
      </c>
      <c r="AN10" s="4">
        <f>Table103[[#This Row],[Premium]]-Table103[[#This Row],[Tms Prem]]</f>
        <v>0</v>
      </c>
    </row>
    <row r="11" spans="1:40" x14ac:dyDescent="0.25">
      <c r="A11">
        <v>10</v>
      </c>
      <c r="B11" t="s">
        <v>38</v>
      </c>
      <c r="C11" t="s">
        <v>186</v>
      </c>
      <c r="D11" t="s">
        <v>40</v>
      </c>
      <c r="E11" t="s">
        <v>41</v>
      </c>
      <c r="F11" t="s">
        <v>187</v>
      </c>
      <c r="G11" t="s">
        <v>174</v>
      </c>
      <c r="H11" t="s">
        <v>188</v>
      </c>
      <c r="I11" t="s">
        <v>189</v>
      </c>
      <c r="J11" t="s">
        <v>189</v>
      </c>
      <c r="K11" t="s">
        <v>189</v>
      </c>
      <c r="L11" t="s">
        <v>190</v>
      </c>
      <c r="M11">
        <v>979500</v>
      </c>
      <c r="N11">
        <v>1306000</v>
      </c>
      <c r="O11" t="s">
        <v>191</v>
      </c>
      <c r="P11" s="1">
        <v>45506</v>
      </c>
      <c r="Q11" s="2">
        <v>243337</v>
      </c>
      <c r="R11" t="s">
        <v>192</v>
      </c>
      <c r="S11" t="s">
        <v>50</v>
      </c>
      <c r="T11" t="s">
        <v>45</v>
      </c>
      <c r="U11" t="s">
        <v>193</v>
      </c>
      <c r="V11" t="s">
        <v>52</v>
      </c>
      <c r="W11" t="s">
        <v>194</v>
      </c>
      <c r="X11" t="s">
        <v>54</v>
      </c>
      <c r="Y11" t="s">
        <v>142</v>
      </c>
      <c r="Z11" t="s">
        <v>195</v>
      </c>
      <c r="AA11">
        <v>5</v>
      </c>
      <c r="AB11" t="s">
        <v>196</v>
      </c>
      <c r="AC11" t="s">
        <v>197</v>
      </c>
      <c r="AD11" t="s">
        <v>59</v>
      </c>
      <c r="AE11" t="s">
        <v>60</v>
      </c>
      <c r="AF11">
        <v>1110100</v>
      </c>
      <c r="AG11" s="3">
        <v>22202</v>
      </c>
      <c r="AK11" t="s">
        <v>198</v>
      </c>
      <c r="AL11" s="3">
        <v>22202</v>
      </c>
      <c r="AM11">
        <v>0</v>
      </c>
      <c r="AN11" s="4">
        <f>Table103[[#This Row],[Premium]]-Table103[[#This Row],[Tms Prem]]</f>
        <v>0</v>
      </c>
    </row>
    <row r="12" spans="1:40" x14ac:dyDescent="0.25">
      <c r="A12">
        <v>11</v>
      </c>
      <c r="B12" t="s">
        <v>38</v>
      </c>
      <c r="C12" t="s">
        <v>199</v>
      </c>
      <c r="D12" t="s">
        <v>40</v>
      </c>
      <c r="E12" t="s">
        <v>41</v>
      </c>
      <c r="F12" t="s">
        <v>200</v>
      </c>
      <c r="G12" t="s">
        <v>80</v>
      </c>
      <c r="H12" t="s">
        <v>201</v>
      </c>
      <c r="I12" t="s">
        <v>202</v>
      </c>
      <c r="J12" t="s">
        <v>203</v>
      </c>
      <c r="K12" t="s">
        <v>202</v>
      </c>
      <c r="L12" t="s">
        <v>204</v>
      </c>
      <c r="M12">
        <v>1554750</v>
      </c>
      <c r="N12">
        <v>3455000</v>
      </c>
      <c r="O12" t="s">
        <v>205</v>
      </c>
      <c r="P12" s="1">
        <v>45506</v>
      </c>
      <c r="Q12" s="2" t="s">
        <v>206</v>
      </c>
      <c r="R12" t="s">
        <v>207</v>
      </c>
      <c r="S12" t="s">
        <v>50</v>
      </c>
      <c r="T12" t="s">
        <v>45</v>
      </c>
      <c r="U12" t="s">
        <v>208</v>
      </c>
      <c r="V12" t="s">
        <v>52</v>
      </c>
      <c r="W12" t="s">
        <v>209</v>
      </c>
      <c r="X12" t="s">
        <v>54</v>
      </c>
      <c r="Y12" t="s">
        <v>142</v>
      </c>
      <c r="Z12" t="s">
        <v>210</v>
      </c>
      <c r="AA12">
        <v>5</v>
      </c>
      <c r="AB12" t="s">
        <v>124</v>
      </c>
      <c r="AC12" t="s">
        <v>211</v>
      </c>
      <c r="AD12" t="s">
        <v>212</v>
      </c>
      <c r="AE12" t="s">
        <v>60</v>
      </c>
      <c r="AF12">
        <v>2936750</v>
      </c>
      <c r="AG12" s="3">
        <v>58735</v>
      </c>
      <c r="AK12" t="s">
        <v>213</v>
      </c>
      <c r="AL12" s="3">
        <v>58735</v>
      </c>
      <c r="AM12">
        <v>0</v>
      </c>
      <c r="AN12" s="4">
        <f>Table103[[#This Row],[Premium]]-Table103[[#This Row],[Tms Prem]]</f>
        <v>0</v>
      </c>
    </row>
    <row r="13" spans="1:40" x14ac:dyDescent="0.25">
      <c r="A13">
        <v>12</v>
      </c>
      <c r="B13" t="s">
        <v>38</v>
      </c>
      <c r="C13" t="s">
        <v>214</v>
      </c>
      <c r="D13" t="s">
        <v>40</v>
      </c>
      <c r="E13" t="s">
        <v>41</v>
      </c>
      <c r="F13" t="s">
        <v>215</v>
      </c>
      <c r="G13" t="s">
        <v>80</v>
      </c>
      <c r="H13" t="s">
        <v>216</v>
      </c>
      <c r="I13" t="s">
        <v>45</v>
      </c>
      <c r="J13" t="s">
        <v>217</v>
      </c>
      <c r="K13" t="s">
        <v>45</v>
      </c>
      <c r="L13" t="s">
        <v>218</v>
      </c>
      <c r="M13">
        <v>1066740</v>
      </c>
      <c r="N13">
        <v>1546000</v>
      </c>
      <c r="O13" t="s">
        <v>219</v>
      </c>
      <c r="P13" s="1">
        <v>45506</v>
      </c>
      <c r="Q13" s="2">
        <v>245406</v>
      </c>
      <c r="R13" t="s">
        <v>220</v>
      </c>
      <c r="S13" t="s">
        <v>50</v>
      </c>
      <c r="T13" t="s">
        <v>45</v>
      </c>
      <c r="U13" t="s">
        <v>221</v>
      </c>
      <c r="V13" t="s">
        <v>52</v>
      </c>
      <c r="W13" t="s">
        <v>222</v>
      </c>
      <c r="X13" t="s">
        <v>54</v>
      </c>
      <c r="Y13" t="s">
        <v>182</v>
      </c>
      <c r="Z13" t="s">
        <v>223</v>
      </c>
      <c r="AA13">
        <v>3</v>
      </c>
      <c r="AB13" t="s">
        <v>57</v>
      </c>
      <c r="AC13" t="s">
        <v>224</v>
      </c>
      <c r="AD13" t="s">
        <v>59</v>
      </c>
      <c r="AE13" t="s">
        <v>60</v>
      </c>
      <c r="AF13">
        <v>1314100</v>
      </c>
      <c r="AG13" s="3">
        <v>26282</v>
      </c>
      <c r="AK13" t="s">
        <v>225</v>
      </c>
      <c r="AL13" s="3">
        <v>26282</v>
      </c>
      <c r="AM13">
        <v>0</v>
      </c>
      <c r="AN13" s="4">
        <f>Table103[[#This Row],[Premium]]-Table103[[#This Row],[Tms Prem]]</f>
        <v>0</v>
      </c>
    </row>
    <row r="14" spans="1:40" x14ac:dyDescent="0.25">
      <c r="A14">
        <v>13</v>
      </c>
      <c r="B14" t="s">
        <v>38</v>
      </c>
      <c r="C14" t="s">
        <v>226</v>
      </c>
      <c r="D14" t="s">
        <v>40</v>
      </c>
      <c r="E14" t="s">
        <v>41</v>
      </c>
      <c r="F14" t="s">
        <v>227</v>
      </c>
      <c r="G14" t="s">
        <v>228</v>
      </c>
      <c r="H14" t="s">
        <v>229</v>
      </c>
      <c r="I14" t="s">
        <v>230</v>
      </c>
      <c r="J14" t="s">
        <v>45</v>
      </c>
      <c r="K14" t="s">
        <v>151</v>
      </c>
      <c r="L14" t="s">
        <v>231</v>
      </c>
      <c r="M14">
        <v>838600</v>
      </c>
      <c r="N14">
        <v>1198000</v>
      </c>
      <c r="O14" t="s">
        <v>232</v>
      </c>
      <c r="P14" s="1">
        <v>45506</v>
      </c>
      <c r="Q14" s="2" t="s">
        <v>233</v>
      </c>
      <c r="R14" t="s">
        <v>234</v>
      </c>
      <c r="S14" t="s">
        <v>50</v>
      </c>
      <c r="T14" t="s">
        <v>45</v>
      </c>
      <c r="U14" t="s">
        <v>193</v>
      </c>
      <c r="V14" t="s">
        <v>140</v>
      </c>
      <c r="W14" t="s">
        <v>235</v>
      </c>
      <c r="X14" t="s">
        <v>236</v>
      </c>
      <c r="Y14" t="s">
        <v>55</v>
      </c>
      <c r="Z14" t="s">
        <v>237</v>
      </c>
      <c r="AA14">
        <v>5</v>
      </c>
      <c r="AB14" t="s">
        <v>57</v>
      </c>
      <c r="AC14" t="s">
        <v>238</v>
      </c>
      <c r="AD14" t="s">
        <v>239</v>
      </c>
      <c r="AE14" t="s">
        <v>60</v>
      </c>
      <c r="AF14">
        <v>958400</v>
      </c>
      <c r="AG14" s="3">
        <v>19168</v>
      </c>
      <c r="AK14" t="s">
        <v>240</v>
      </c>
      <c r="AL14" s="3">
        <v>19168</v>
      </c>
      <c r="AM14">
        <v>0</v>
      </c>
      <c r="AN14" s="4">
        <f>Table103[[#This Row],[Premium]]-Table103[[#This Row],[Tms Prem]]</f>
        <v>0</v>
      </c>
    </row>
    <row r="15" spans="1:40" x14ac:dyDescent="0.25">
      <c r="A15">
        <v>14</v>
      </c>
      <c r="B15" t="s">
        <v>38</v>
      </c>
      <c r="C15" t="s">
        <v>241</v>
      </c>
      <c r="D15" t="s">
        <v>40</v>
      </c>
      <c r="E15" t="s">
        <v>41</v>
      </c>
      <c r="F15" t="s">
        <v>242</v>
      </c>
      <c r="G15" t="s">
        <v>80</v>
      </c>
      <c r="H15" t="s">
        <v>243</v>
      </c>
      <c r="I15" t="s">
        <v>45</v>
      </c>
      <c r="J15" t="s">
        <v>244</v>
      </c>
      <c r="K15" t="s">
        <v>245</v>
      </c>
      <c r="L15" t="s">
        <v>246</v>
      </c>
      <c r="M15">
        <v>1218050</v>
      </c>
      <c r="N15">
        <v>1433000</v>
      </c>
      <c r="O15" t="s">
        <v>247</v>
      </c>
      <c r="P15" s="1">
        <v>45507</v>
      </c>
      <c r="Q15" s="2" t="s">
        <v>248</v>
      </c>
      <c r="R15" t="s">
        <v>249</v>
      </c>
      <c r="S15" t="s">
        <v>50</v>
      </c>
      <c r="T15" t="s">
        <v>45</v>
      </c>
      <c r="U15" t="s">
        <v>250</v>
      </c>
      <c r="V15" t="s">
        <v>140</v>
      </c>
      <c r="W15" t="s">
        <v>251</v>
      </c>
      <c r="X15" t="s">
        <v>236</v>
      </c>
      <c r="Y15" t="s">
        <v>55</v>
      </c>
      <c r="Z15" t="s">
        <v>252</v>
      </c>
      <c r="AA15">
        <v>5</v>
      </c>
      <c r="AB15" t="s">
        <v>57</v>
      </c>
      <c r="AC15" t="s">
        <v>253</v>
      </c>
      <c r="AD15" t="s">
        <v>254</v>
      </c>
      <c r="AE15" t="s">
        <v>60</v>
      </c>
      <c r="AF15">
        <v>1146400</v>
      </c>
      <c r="AG15" s="3">
        <v>22928</v>
      </c>
      <c r="AK15" t="s">
        <v>255</v>
      </c>
      <c r="AL15" s="3">
        <v>22928</v>
      </c>
      <c r="AM15">
        <v>0</v>
      </c>
      <c r="AN15" s="4">
        <f>Table103[[#This Row],[Premium]]-Table103[[#This Row],[Tms Prem]]</f>
        <v>0</v>
      </c>
    </row>
    <row r="16" spans="1:40" x14ac:dyDescent="0.25">
      <c r="A16">
        <v>15</v>
      </c>
      <c r="B16" t="s">
        <v>38</v>
      </c>
      <c r="C16" t="s">
        <v>256</v>
      </c>
      <c r="D16" t="s">
        <v>40</v>
      </c>
      <c r="E16" t="s">
        <v>41</v>
      </c>
      <c r="F16" t="s">
        <v>257</v>
      </c>
      <c r="G16" t="s">
        <v>80</v>
      </c>
      <c r="H16" t="s">
        <v>258</v>
      </c>
      <c r="I16" t="s">
        <v>259</v>
      </c>
      <c r="J16" t="s">
        <v>260</v>
      </c>
      <c r="K16" t="s">
        <v>151</v>
      </c>
      <c r="L16" t="s">
        <v>261</v>
      </c>
      <c r="M16">
        <v>1224750</v>
      </c>
      <c r="N16">
        <v>1633000</v>
      </c>
      <c r="O16" t="s">
        <v>262</v>
      </c>
      <c r="P16" s="1">
        <v>45507</v>
      </c>
      <c r="Q16" s="2" t="s">
        <v>263</v>
      </c>
      <c r="R16" t="s">
        <v>264</v>
      </c>
      <c r="S16" t="s">
        <v>50</v>
      </c>
      <c r="T16" t="s">
        <v>45</v>
      </c>
      <c r="U16" t="s">
        <v>265</v>
      </c>
      <c r="V16" t="s">
        <v>140</v>
      </c>
      <c r="W16" t="s">
        <v>266</v>
      </c>
      <c r="X16" t="s">
        <v>236</v>
      </c>
      <c r="Y16" t="s">
        <v>55</v>
      </c>
      <c r="Z16" t="s">
        <v>267</v>
      </c>
      <c r="AA16">
        <v>5</v>
      </c>
      <c r="AB16" t="s">
        <v>57</v>
      </c>
      <c r="AC16" t="s">
        <v>268</v>
      </c>
      <c r="AD16" t="s">
        <v>239</v>
      </c>
      <c r="AE16" t="s">
        <v>60</v>
      </c>
      <c r="AF16">
        <v>1306400</v>
      </c>
      <c r="AG16" s="3">
        <v>26128</v>
      </c>
      <c r="AK16" t="s">
        <v>269</v>
      </c>
      <c r="AL16" s="3">
        <v>26128</v>
      </c>
      <c r="AM16">
        <v>0</v>
      </c>
      <c r="AN16" s="4">
        <f>Table103[[#This Row],[Premium]]-Table103[[#This Row],[Tms Prem]]</f>
        <v>0</v>
      </c>
    </row>
    <row r="17" spans="1:40" x14ac:dyDescent="0.25">
      <c r="A17">
        <v>16</v>
      </c>
      <c r="B17" t="s">
        <v>38</v>
      </c>
      <c r="C17" t="s">
        <v>270</v>
      </c>
      <c r="D17" t="s">
        <v>40</v>
      </c>
      <c r="E17" t="s">
        <v>41</v>
      </c>
      <c r="F17" t="s">
        <v>271</v>
      </c>
      <c r="G17" t="s">
        <v>272</v>
      </c>
      <c r="H17" t="s">
        <v>273</v>
      </c>
      <c r="I17" t="s">
        <v>274</v>
      </c>
      <c r="J17" t="s">
        <v>274</v>
      </c>
      <c r="K17" t="s">
        <v>275</v>
      </c>
      <c r="L17" t="s">
        <v>276</v>
      </c>
      <c r="M17">
        <v>1597500</v>
      </c>
      <c r="N17">
        <v>2130000</v>
      </c>
      <c r="O17" t="s">
        <v>277</v>
      </c>
      <c r="P17" s="1">
        <v>45507</v>
      </c>
      <c r="Q17" s="2">
        <v>181020</v>
      </c>
      <c r="R17" t="s">
        <v>278</v>
      </c>
      <c r="S17" t="s">
        <v>50</v>
      </c>
      <c r="T17" t="s">
        <v>45</v>
      </c>
      <c r="U17" t="s">
        <v>279</v>
      </c>
      <c r="V17" t="s">
        <v>140</v>
      </c>
      <c r="W17" t="s">
        <v>280</v>
      </c>
      <c r="X17" t="s">
        <v>281</v>
      </c>
      <c r="Y17" t="s">
        <v>282</v>
      </c>
      <c r="Z17" t="s">
        <v>283</v>
      </c>
      <c r="AA17">
        <v>7</v>
      </c>
      <c r="AB17" t="s">
        <v>57</v>
      </c>
      <c r="AC17" t="s">
        <v>284</v>
      </c>
      <c r="AD17" t="s">
        <v>285</v>
      </c>
      <c r="AE17" t="s">
        <v>60</v>
      </c>
      <c r="AF17">
        <v>1917000</v>
      </c>
      <c r="AG17" s="3">
        <v>34080</v>
      </c>
      <c r="AK17" t="s">
        <v>286</v>
      </c>
      <c r="AL17" s="3">
        <v>38340</v>
      </c>
      <c r="AM17" t="s">
        <v>4076</v>
      </c>
      <c r="AN17" s="4">
        <f>Table103[[#This Row],[Premium]]-Table103[[#This Row],[Tms Prem]]</f>
        <v>-4260</v>
      </c>
    </row>
    <row r="18" spans="1:40" x14ac:dyDescent="0.25">
      <c r="A18">
        <v>17</v>
      </c>
      <c r="B18" t="s">
        <v>38</v>
      </c>
      <c r="C18" t="s">
        <v>287</v>
      </c>
      <c r="D18" t="s">
        <v>40</v>
      </c>
      <c r="E18" t="s">
        <v>41</v>
      </c>
      <c r="F18" t="s">
        <v>288</v>
      </c>
      <c r="G18" t="s">
        <v>289</v>
      </c>
      <c r="H18" t="s">
        <v>290</v>
      </c>
      <c r="I18" t="s">
        <v>291</v>
      </c>
      <c r="J18" t="s">
        <v>45</v>
      </c>
      <c r="K18" t="s">
        <v>292</v>
      </c>
      <c r="L18" t="s">
        <v>293</v>
      </c>
      <c r="M18">
        <v>2012500</v>
      </c>
      <c r="N18">
        <v>2875000</v>
      </c>
      <c r="O18" t="s">
        <v>294</v>
      </c>
      <c r="P18" s="1">
        <v>45507</v>
      </c>
      <c r="Q18" s="2" t="s">
        <v>295</v>
      </c>
      <c r="R18" t="s">
        <v>296</v>
      </c>
      <c r="S18" t="s">
        <v>50</v>
      </c>
      <c r="T18" t="s">
        <v>45</v>
      </c>
      <c r="U18" t="s">
        <v>297</v>
      </c>
      <c r="V18" t="s">
        <v>140</v>
      </c>
      <c r="W18" t="s">
        <v>298</v>
      </c>
      <c r="X18" t="s">
        <v>281</v>
      </c>
      <c r="Y18" t="s">
        <v>73</v>
      </c>
      <c r="Z18" t="s">
        <v>299</v>
      </c>
      <c r="AA18">
        <v>5</v>
      </c>
      <c r="AB18" t="s">
        <v>57</v>
      </c>
      <c r="AC18" t="s">
        <v>300</v>
      </c>
      <c r="AD18" t="s">
        <v>301</v>
      </c>
      <c r="AE18" t="s">
        <v>60</v>
      </c>
      <c r="AF18">
        <v>2300000</v>
      </c>
      <c r="AG18" s="3">
        <v>46000</v>
      </c>
      <c r="AK18" t="s">
        <v>302</v>
      </c>
      <c r="AL18" s="3">
        <v>46000</v>
      </c>
      <c r="AM18">
        <v>0</v>
      </c>
      <c r="AN18" s="4">
        <f>Table103[[#This Row],[Premium]]-Table103[[#This Row],[Tms Prem]]</f>
        <v>0</v>
      </c>
    </row>
    <row r="19" spans="1:40" x14ac:dyDescent="0.25">
      <c r="A19">
        <v>18</v>
      </c>
      <c r="B19" t="s">
        <v>38</v>
      </c>
      <c r="C19" t="s">
        <v>303</v>
      </c>
      <c r="D19" t="s">
        <v>40</v>
      </c>
      <c r="E19" t="s">
        <v>41</v>
      </c>
      <c r="F19" t="s">
        <v>304</v>
      </c>
      <c r="G19" t="s">
        <v>80</v>
      </c>
      <c r="H19" t="s">
        <v>305</v>
      </c>
      <c r="I19" t="s">
        <v>306</v>
      </c>
      <c r="J19" t="s">
        <v>306</v>
      </c>
      <c r="K19" t="s">
        <v>151</v>
      </c>
      <c r="L19" t="s">
        <v>307</v>
      </c>
      <c r="M19">
        <v>1295000</v>
      </c>
      <c r="N19">
        <v>1850000</v>
      </c>
      <c r="O19" t="s">
        <v>308</v>
      </c>
      <c r="P19" s="1">
        <v>45507</v>
      </c>
      <c r="Q19" s="2" t="s">
        <v>309</v>
      </c>
      <c r="R19" t="s">
        <v>310</v>
      </c>
      <c r="S19" t="s">
        <v>88</v>
      </c>
      <c r="T19" t="s">
        <v>311</v>
      </c>
      <c r="U19" t="s">
        <v>250</v>
      </c>
      <c r="V19" t="s">
        <v>140</v>
      </c>
      <c r="W19" t="s">
        <v>141</v>
      </c>
      <c r="X19" t="s">
        <v>54</v>
      </c>
      <c r="Y19" t="s">
        <v>182</v>
      </c>
      <c r="Z19" t="s">
        <v>312</v>
      </c>
      <c r="AA19">
        <v>3</v>
      </c>
      <c r="AB19" t="s">
        <v>124</v>
      </c>
      <c r="AC19" t="s">
        <v>313</v>
      </c>
      <c r="AD19" t="s">
        <v>141</v>
      </c>
      <c r="AE19" t="s">
        <v>159</v>
      </c>
      <c r="AF19">
        <v>1572500</v>
      </c>
      <c r="AG19" s="3">
        <v>23588</v>
      </c>
      <c r="AK19" t="s">
        <v>314</v>
      </c>
      <c r="AL19" s="3">
        <v>23588</v>
      </c>
      <c r="AM19">
        <v>0</v>
      </c>
      <c r="AN19" s="4">
        <f>Table103[[#This Row],[Premium]]-Table103[[#This Row],[Tms Prem]]</f>
        <v>0</v>
      </c>
    </row>
    <row r="20" spans="1:40" x14ac:dyDescent="0.25">
      <c r="A20">
        <v>19</v>
      </c>
      <c r="B20" t="s">
        <v>38</v>
      </c>
      <c r="C20" t="s">
        <v>315</v>
      </c>
      <c r="D20" t="s">
        <v>40</v>
      </c>
      <c r="E20" t="s">
        <v>41</v>
      </c>
      <c r="F20" t="s">
        <v>316</v>
      </c>
      <c r="G20" t="s">
        <v>174</v>
      </c>
      <c r="H20" t="s">
        <v>317</v>
      </c>
      <c r="I20" t="s">
        <v>45</v>
      </c>
      <c r="J20" t="s">
        <v>318</v>
      </c>
      <c r="K20" t="s">
        <v>319</v>
      </c>
      <c r="L20" t="s">
        <v>320</v>
      </c>
      <c r="M20">
        <v>1820000</v>
      </c>
      <c r="N20">
        <v>2600000</v>
      </c>
      <c r="O20" t="s">
        <v>321</v>
      </c>
      <c r="P20" s="1">
        <v>45507</v>
      </c>
      <c r="Q20" s="2">
        <v>17463161</v>
      </c>
      <c r="R20" t="s">
        <v>322</v>
      </c>
      <c r="S20" t="s">
        <v>88</v>
      </c>
      <c r="T20" t="s">
        <v>323</v>
      </c>
      <c r="U20" t="s">
        <v>324</v>
      </c>
      <c r="V20" t="s">
        <v>107</v>
      </c>
      <c r="W20" t="s">
        <v>141</v>
      </c>
      <c r="X20" t="s">
        <v>54</v>
      </c>
      <c r="Y20" t="s">
        <v>182</v>
      </c>
      <c r="Z20" t="s">
        <v>325</v>
      </c>
      <c r="AA20">
        <v>3</v>
      </c>
      <c r="AB20" t="s">
        <v>94</v>
      </c>
      <c r="AC20" t="s">
        <v>326</v>
      </c>
      <c r="AD20" t="s">
        <v>156</v>
      </c>
      <c r="AE20" t="s">
        <v>159</v>
      </c>
      <c r="AF20">
        <v>2210000</v>
      </c>
      <c r="AG20" s="3">
        <v>33150</v>
      </c>
      <c r="AK20" t="s">
        <v>327</v>
      </c>
      <c r="AL20" s="3">
        <v>33150</v>
      </c>
      <c r="AM20">
        <v>0</v>
      </c>
      <c r="AN20" s="4">
        <f>Table103[[#This Row],[Premium]]-Table103[[#This Row],[Tms Prem]]</f>
        <v>0</v>
      </c>
    </row>
    <row r="21" spans="1:40" x14ac:dyDescent="0.25">
      <c r="A21">
        <v>20</v>
      </c>
      <c r="B21" t="s">
        <v>38</v>
      </c>
      <c r="C21" t="s">
        <v>328</v>
      </c>
      <c r="D21" t="s">
        <v>40</v>
      </c>
      <c r="E21" t="s">
        <v>41</v>
      </c>
      <c r="F21" t="s">
        <v>329</v>
      </c>
      <c r="G21" t="s">
        <v>289</v>
      </c>
      <c r="H21" t="s">
        <v>330</v>
      </c>
      <c r="I21" t="s">
        <v>331</v>
      </c>
      <c r="J21" t="s">
        <v>332</v>
      </c>
      <c r="K21" t="s">
        <v>333</v>
      </c>
      <c r="L21" t="s">
        <v>334</v>
      </c>
      <c r="M21">
        <v>2102900</v>
      </c>
      <c r="N21">
        <v>2474000</v>
      </c>
      <c r="O21" t="s">
        <v>335</v>
      </c>
      <c r="P21" s="1">
        <v>45507</v>
      </c>
      <c r="Q21" s="2">
        <v>200721</v>
      </c>
      <c r="R21" t="s">
        <v>336</v>
      </c>
      <c r="S21" t="s">
        <v>50</v>
      </c>
      <c r="T21" t="s">
        <v>45</v>
      </c>
      <c r="U21" t="s">
        <v>337</v>
      </c>
      <c r="V21" t="s">
        <v>52</v>
      </c>
      <c r="W21" t="s">
        <v>338</v>
      </c>
      <c r="X21" t="s">
        <v>54</v>
      </c>
      <c r="Y21" t="s">
        <v>142</v>
      </c>
      <c r="Z21" t="s">
        <v>339</v>
      </c>
      <c r="AA21">
        <v>5</v>
      </c>
      <c r="AB21" t="s">
        <v>124</v>
      </c>
      <c r="AC21" t="s">
        <v>340</v>
      </c>
      <c r="AD21" t="s">
        <v>156</v>
      </c>
      <c r="AE21" t="s">
        <v>60</v>
      </c>
      <c r="AF21">
        <v>2102900</v>
      </c>
      <c r="AG21" s="3">
        <v>42058</v>
      </c>
      <c r="AK21" t="s">
        <v>341</v>
      </c>
      <c r="AL21" s="3">
        <v>42058</v>
      </c>
      <c r="AM21">
        <v>0</v>
      </c>
      <c r="AN21" s="4">
        <f>Table103[[#This Row],[Premium]]-Table103[[#This Row],[Tms Prem]]</f>
        <v>0</v>
      </c>
    </row>
    <row r="22" spans="1:40" x14ac:dyDescent="0.25">
      <c r="A22">
        <v>21</v>
      </c>
      <c r="B22" t="s">
        <v>38</v>
      </c>
      <c r="C22" t="s">
        <v>342</v>
      </c>
      <c r="D22" t="s">
        <v>40</v>
      </c>
      <c r="E22" t="s">
        <v>41</v>
      </c>
      <c r="F22" t="s">
        <v>343</v>
      </c>
      <c r="G22" t="s">
        <v>80</v>
      </c>
      <c r="H22" t="s">
        <v>344</v>
      </c>
      <c r="I22" t="s">
        <v>45</v>
      </c>
      <c r="J22" t="s">
        <v>345</v>
      </c>
      <c r="K22" t="s">
        <v>45</v>
      </c>
      <c r="L22" t="s">
        <v>346</v>
      </c>
      <c r="M22">
        <v>1310250</v>
      </c>
      <c r="N22">
        <v>1747000</v>
      </c>
      <c r="O22" t="s">
        <v>347</v>
      </c>
      <c r="P22" s="1">
        <v>45507</v>
      </c>
      <c r="Q22" s="2">
        <v>245834</v>
      </c>
      <c r="R22" t="s">
        <v>348</v>
      </c>
      <c r="S22" t="s">
        <v>50</v>
      </c>
      <c r="T22" t="s">
        <v>45</v>
      </c>
      <c r="U22" t="s">
        <v>139</v>
      </c>
      <c r="V22" t="s">
        <v>52</v>
      </c>
      <c r="W22" t="s">
        <v>349</v>
      </c>
      <c r="X22" t="s">
        <v>72</v>
      </c>
      <c r="Y22" t="s">
        <v>350</v>
      </c>
      <c r="Z22" t="s">
        <v>351</v>
      </c>
      <c r="AA22">
        <v>5</v>
      </c>
      <c r="AB22" t="s">
        <v>57</v>
      </c>
      <c r="AC22" t="s">
        <v>352</v>
      </c>
      <c r="AD22" t="s">
        <v>59</v>
      </c>
      <c r="AE22" t="s">
        <v>60</v>
      </c>
      <c r="AF22">
        <v>1484950</v>
      </c>
      <c r="AG22" s="3">
        <v>29699</v>
      </c>
      <c r="AK22" t="s">
        <v>353</v>
      </c>
      <c r="AL22" s="3">
        <v>29699</v>
      </c>
      <c r="AM22">
        <v>0</v>
      </c>
      <c r="AN22" s="4">
        <f>Table103[[#This Row],[Premium]]-Table103[[#This Row],[Tms Prem]]</f>
        <v>0</v>
      </c>
    </row>
    <row r="23" spans="1:40" x14ac:dyDescent="0.25">
      <c r="A23">
        <v>22</v>
      </c>
      <c r="B23" t="s">
        <v>38</v>
      </c>
      <c r="C23" t="s">
        <v>354</v>
      </c>
      <c r="D23" t="s">
        <v>40</v>
      </c>
      <c r="E23" t="s">
        <v>41</v>
      </c>
      <c r="F23" t="s">
        <v>355</v>
      </c>
      <c r="G23" t="s">
        <v>114</v>
      </c>
      <c r="H23" t="s">
        <v>356</v>
      </c>
      <c r="I23" t="s">
        <v>357</v>
      </c>
      <c r="J23" t="s">
        <v>358</v>
      </c>
      <c r="K23" t="s">
        <v>359</v>
      </c>
      <c r="L23" t="s">
        <v>360</v>
      </c>
      <c r="M23">
        <v>1462500</v>
      </c>
      <c r="N23">
        <v>2250000</v>
      </c>
      <c r="O23" t="s">
        <v>361</v>
      </c>
      <c r="P23" t="s">
        <v>362</v>
      </c>
      <c r="Q23" s="2">
        <v>152896</v>
      </c>
      <c r="R23" t="s">
        <v>363</v>
      </c>
      <c r="S23" t="s">
        <v>88</v>
      </c>
      <c r="T23" t="s">
        <v>88</v>
      </c>
      <c r="U23" t="s">
        <v>364</v>
      </c>
      <c r="V23" t="s">
        <v>365</v>
      </c>
      <c r="W23">
        <v>45145</v>
      </c>
      <c r="X23" t="s">
        <v>366</v>
      </c>
      <c r="Y23" t="s">
        <v>367</v>
      </c>
      <c r="Z23" t="s">
        <v>368</v>
      </c>
      <c r="AA23">
        <v>5</v>
      </c>
      <c r="AB23" t="s">
        <v>94</v>
      </c>
      <c r="AC23" t="s">
        <v>369</v>
      </c>
      <c r="AD23" t="s">
        <v>370</v>
      </c>
      <c r="AE23" t="s">
        <v>97</v>
      </c>
      <c r="AF23">
        <v>2025000</v>
      </c>
      <c r="AG23" s="3">
        <v>35438</v>
      </c>
      <c r="AK23" t="s">
        <v>371</v>
      </c>
      <c r="AL23" s="3">
        <v>35438</v>
      </c>
      <c r="AM23">
        <v>0</v>
      </c>
      <c r="AN23" s="4">
        <f>Table103[[#This Row],[Premium]]-Table103[[#This Row],[Tms Prem]]</f>
        <v>0</v>
      </c>
    </row>
    <row r="24" spans="1:40" x14ac:dyDescent="0.25">
      <c r="A24">
        <v>23</v>
      </c>
      <c r="B24" t="s">
        <v>38</v>
      </c>
      <c r="C24" t="s">
        <v>372</v>
      </c>
      <c r="D24" t="s">
        <v>40</v>
      </c>
      <c r="E24" t="s">
        <v>41</v>
      </c>
      <c r="F24" t="s">
        <v>373</v>
      </c>
      <c r="G24" t="s">
        <v>174</v>
      </c>
      <c r="H24" t="s">
        <v>374</v>
      </c>
      <c r="I24" t="s">
        <v>45</v>
      </c>
      <c r="J24" t="s">
        <v>375</v>
      </c>
      <c r="K24" t="s">
        <v>45</v>
      </c>
      <c r="L24" t="s">
        <v>376</v>
      </c>
      <c r="M24">
        <v>1196860</v>
      </c>
      <c r="N24">
        <v>8549000</v>
      </c>
      <c r="O24" t="s">
        <v>377</v>
      </c>
      <c r="P24" t="s">
        <v>362</v>
      </c>
      <c r="Q24" s="2">
        <v>36083</v>
      </c>
      <c r="R24" t="s">
        <v>378</v>
      </c>
      <c r="S24" t="s">
        <v>50</v>
      </c>
      <c r="T24" t="s">
        <v>50</v>
      </c>
      <c r="U24" t="s">
        <v>45</v>
      </c>
      <c r="V24" t="s">
        <v>379</v>
      </c>
      <c r="W24">
        <v>45128</v>
      </c>
      <c r="X24" t="s">
        <v>366</v>
      </c>
      <c r="Y24" t="s">
        <v>55</v>
      </c>
      <c r="Z24" t="s">
        <v>380</v>
      </c>
      <c r="AA24">
        <v>3</v>
      </c>
      <c r="AB24" t="s">
        <v>94</v>
      </c>
      <c r="AC24" t="s">
        <v>381</v>
      </c>
      <c r="AD24" t="s">
        <v>91</v>
      </c>
      <c r="AE24" t="s">
        <v>159</v>
      </c>
      <c r="AF24">
        <v>7694100</v>
      </c>
      <c r="AG24" s="3">
        <v>115412</v>
      </c>
      <c r="AK24" t="s">
        <v>382</v>
      </c>
      <c r="AL24" s="3">
        <v>115412</v>
      </c>
      <c r="AM24">
        <v>0</v>
      </c>
      <c r="AN24" s="4">
        <f>Table103[[#This Row],[Premium]]-Table103[[#This Row],[Tms Prem]]</f>
        <v>0</v>
      </c>
    </row>
    <row r="25" spans="1:40" x14ac:dyDescent="0.25">
      <c r="A25">
        <v>24</v>
      </c>
      <c r="B25" t="s">
        <v>38</v>
      </c>
      <c r="C25" t="s">
        <v>383</v>
      </c>
      <c r="D25" t="s">
        <v>40</v>
      </c>
      <c r="E25" t="s">
        <v>41</v>
      </c>
      <c r="F25" t="s">
        <v>384</v>
      </c>
      <c r="G25" t="s">
        <v>114</v>
      </c>
      <c r="H25" t="s">
        <v>385</v>
      </c>
      <c r="I25" t="s">
        <v>386</v>
      </c>
      <c r="J25" t="s">
        <v>387</v>
      </c>
      <c r="K25" t="s">
        <v>386</v>
      </c>
      <c r="L25" t="s">
        <v>388</v>
      </c>
      <c r="M25">
        <v>890000</v>
      </c>
      <c r="N25">
        <v>1780000</v>
      </c>
      <c r="O25" t="s">
        <v>389</v>
      </c>
      <c r="P25" s="1">
        <v>45508</v>
      </c>
      <c r="Q25" s="2">
        <v>178321</v>
      </c>
      <c r="R25" t="s">
        <v>390</v>
      </c>
      <c r="S25" t="s">
        <v>50</v>
      </c>
      <c r="T25" t="s">
        <v>45</v>
      </c>
      <c r="U25" t="s">
        <v>391</v>
      </c>
      <c r="V25" t="s">
        <v>140</v>
      </c>
      <c r="W25" t="s">
        <v>392</v>
      </c>
      <c r="X25" t="s">
        <v>236</v>
      </c>
      <c r="Y25" t="s">
        <v>182</v>
      </c>
      <c r="Z25" t="s">
        <v>393</v>
      </c>
      <c r="AA25">
        <v>4</v>
      </c>
      <c r="AB25" t="s">
        <v>94</v>
      </c>
      <c r="AC25" t="s">
        <v>394</v>
      </c>
      <c r="AD25" t="s">
        <v>395</v>
      </c>
      <c r="AE25" t="s">
        <v>60</v>
      </c>
      <c r="AF25">
        <v>1424000</v>
      </c>
      <c r="AG25" s="3">
        <v>28480</v>
      </c>
      <c r="AK25" t="s">
        <v>396</v>
      </c>
      <c r="AL25" s="3">
        <v>28480</v>
      </c>
      <c r="AM25">
        <v>0</v>
      </c>
      <c r="AN25" s="4">
        <f>Table103[[#This Row],[Premium]]-Table103[[#This Row],[Tms Prem]]</f>
        <v>0</v>
      </c>
    </row>
    <row r="26" spans="1:40" x14ac:dyDescent="0.25">
      <c r="A26">
        <v>25</v>
      </c>
      <c r="B26" t="s">
        <v>38</v>
      </c>
      <c r="C26" t="s">
        <v>397</v>
      </c>
      <c r="D26" t="s">
        <v>40</v>
      </c>
      <c r="E26" t="s">
        <v>41</v>
      </c>
      <c r="F26" t="s">
        <v>398</v>
      </c>
      <c r="G26" t="s">
        <v>174</v>
      </c>
      <c r="H26" t="s">
        <v>399</v>
      </c>
      <c r="I26" t="s">
        <v>400</v>
      </c>
      <c r="J26" t="s">
        <v>400</v>
      </c>
      <c r="K26" t="s">
        <v>400</v>
      </c>
      <c r="L26" t="s">
        <v>401</v>
      </c>
      <c r="M26">
        <v>1491000</v>
      </c>
      <c r="N26">
        <v>2130000</v>
      </c>
      <c r="O26" t="s">
        <v>402</v>
      </c>
      <c r="P26" s="1">
        <v>45508</v>
      </c>
      <c r="Q26" s="2">
        <v>179625</v>
      </c>
      <c r="R26" t="s">
        <v>403</v>
      </c>
      <c r="S26" t="s">
        <v>50</v>
      </c>
      <c r="T26" t="s">
        <v>45</v>
      </c>
      <c r="U26" t="s">
        <v>404</v>
      </c>
      <c r="V26" t="s">
        <v>140</v>
      </c>
      <c r="W26" t="s">
        <v>405</v>
      </c>
      <c r="X26" t="s">
        <v>406</v>
      </c>
      <c r="Y26" t="s">
        <v>407</v>
      </c>
      <c r="Z26" t="s">
        <v>408</v>
      </c>
      <c r="AA26">
        <v>6</v>
      </c>
      <c r="AB26" t="s">
        <v>57</v>
      </c>
      <c r="AC26" t="s">
        <v>409</v>
      </c>
      <c r="AD26" t="s">
        <v>410</v>
      </c>
      <c r="AE26" t="s">
        <v>60</v>
      </c>
      <c r="AF26">
        <v>1704000</v>
      </c>
      <c r="AG26" s="3">
        <v>34080</v>
      </c>
      <c r="AK26" t="s">
        <v>411</v>
      </c>
      <c r="AL26" s="3">
        <v>34080</v>
      </c>
      <c r="AM26">
        <v>0</v>
      </c>
      <c r="AN26" s="4">
        <f>Table103[[#This Row],[Premium]]-Table103[[#This Row],[Tms Prem]]</f>
        <v>0</v>
      </c>
    </row>
    <row r="27" spans="1:40" x14ac:dyDescent="0.25">
      <c r="A27">
        <v>26</v>
      </c>
      <c r="B27" t="s">
        <v>38</v>
      </c>
      <c r="C27" t="s">
        <v>412</v>
      </c>
      <c r="D27" t="s">
        <v>40</v>
      </c>
      <c r="E27" t="s">
        <v>41</v>
      </c>
      <c r="F27" t="s">
        <v>413</v>
      </c>
      <c r="G27" t="s">
        <v>414</v>
      </c>
      <c r="H27" t="s">
        <v>415</v>
      </c>
      <c r="I27" t="s">
        <v>416</v>
      </c>
      <c r="J27" t="s">
        <v>416</v>
      </c>
      <c r="K27" t="s">
        <v>416</v>
      </c>
      <c r="L27" t="s">
        <v>417</v>
      </c>
      <c r="M27">
        <v>2832900</v>
      </c>
      <c r="N27">
        <v>4047000</v>
      </c>
      <c r="O27" t="s">
        <v>418</v>
      </c>
      <c r="P27" s="1">
        <v>45508</v>
      </c>
      <c r="Q27" s="2" t="s">
        <v>419</v>
      </c>
      <c r="R27" t="s">
        <v>420</v>
      </c>
      <c r="S27" t="s">
        <v>50</v>
      </c>
      <c r="T27" t="e">
        <v>#N/A</v>
      </c>
      <c r="U27" t="s">
        <v>421</v>
      </c>
      <c r="V27" t="s">
        <v>90</v>
      </c>
      <c r="W27" t="s">
        <v>422</v>
      </c>
      <c r="X27" t="s">
        <v>423</v>
      </c>
      <c r="Y27" t="s">
        <v>424</v>
      </c>
      <c r="Z27" t="s">
        <v>425</v>
      </c>
      <c r="AA27">
        <v>5</v>
      </c>
      <c r="AB27" t="s">
        <v>94</v>
      </c>
      <c r="AC27" t="s">
        <v>426</v>
      </c>
      <c r="AD27" t="s">
        <v>427</v>
      </c>
      <c r="AE27" t="s">
        <v>428</v>
      </c>
      <c r="AF27">
        <v>3237600</v>
      </c>
      <c r="AG27" s="3">
        <v>83470</v>
      </c>
      <c r="AK27" t="s">
        <v>429</v>
      </c>
      <c r="AL27" s="3">
        <v>80940</v>
      </c>
      <c r="AM27" t="s">
        <v>4077</v>
      </c>
      <c r="AN27" s="4">
        <f>Table103[[#This Row],[Premium]]-Table103[[#This Row],[Tms Prem]]</f>
        <v>2530</v>
      </c>
    </row>
    <row r="28" spans="1:40" x14ac:dyDescent="0.25">
      <c r="A28">
        <v>27</v>
      </c>
      <c r="B28" t="s">
        <v>38</v>
      </c>
      <c r="C28" t="s">
        <v>430</v>
      </c>
      <c r="D28" t="s">
        <v>40</v>
      </c>
      <c r="E28" t="s">
        <v>41</v>
      </c>
      <c r="F28" t="s">
        <v>431</v>
      </c>
      <c r="G28" t="s">
        <v>414</v>
      </c>
      <c r="H28" t="s">
        <v>432</v>
      </c>
      <c r="I28" t="s">
        <v>433</v>
      </c>
      <c r="J28" t="s">
        <v>433</v>
      </c>
      <c r="K28" t="s">
        <v>433</v>
      </c>
      <c r="L28" t="s">
        <v>434</v>
      </c>
      <c r="M28">
        <v>2476200</v>
      </c>
      <c r="N28">
        <v>4127000</v>
      </c>
      <c r="O28" t="s">
        <v>435</v>
      </c>
      <c r="P28" s="1">
        <v>45508</v>
      </c>
      <c r="Q28" s="2">
        <v>6924590</v>
      </c>
      <c r="R28" t="s">
        <v>436</v>
      </c>
      <c r="S28" t="s">
        <v>50</v>
      </c>
      <c r="T28" t="s">
        <v>45</v>
      </c>
      <c r="U28" t="s">
        <v>437</v>
      </c>
      <c r="V28" t="s">
        <v>140</v>
      </c>
      <c r="W28" t="s">
        <v>438</v>
      </c>
      <c r="X28" t="s">
        <v>406</v>
      </c>
      <c r="Y28" t="s">
        <v>407</v>
      </c>
      <c r="Z28" t="s">
        <v>439</v>
      </c>
      <c r="AA28">
        <v>6</v>
      </c>
      <c r="AB28" t="s">
        <v>440</v>
      </c>
      <c r="AC28" t="s">
        <v>441</v>
      </c>
      <c r="AD28" t="s">
        <v>442</v>
      </c>
      <c r="AE28" t="s">
        <v>60</v>
      </c>
      <c r="AF28">
        <v>3301600</v>
      </c>
      <c r="AG28" s="3">
        <v>66032</v>
      </c>
      <c r="AK28" t="s">
        <v>443</v>
      </c>
      <c r="AL28" s="3">
        <v>66032</v>
      </c>
      <c r="AM28">
        <v>0</v>
      </c>
      <c r="AN28" s="4">
        <f>Table103[[#This Row],[Premium]]-Table103[[#This Row],[Tms Prem]]</f>
        <v>0</v>
      </c>
    </row>
    <row r="29" spans="1:40" x14ac:dyDescent="0.25">
      <c r="A29">
        <v>28</v>
      </c>
      <c r="B29" t="s">
        <v>38</v>
      </c>
      <c r="C29" t="s">
        <v>444</v>
      </c>
      <c r="D29" t="s">
        <v>40</v>
      </c>
      <c r="E29" t="s">
        <v>41</v>
      </c>
      <c r="F29" t="s">
        <v>445</v>
      </c>
      <c r="G29" t="s">
        <v>80</v>
      </c>
      <c r="H29" t="s">
        <v>446</v>
      </c>
      <c r="I29" t="s">
        <v>45</v>
      </c>
      <c r="J29" t="s">
        <v>447</v>
      </c>
      <c r="K29" t="s">
        <v>45</v>
      </c>
      <c r="L29" t="s">
        <v>448</v>
      </c>
      <c r="M29">
        <v>874640</v>
      </c>
      <c r="N29">
        <v>1508000</v>
      </c>
      <c r="O29" t="s">
        <v>449</v>
      </c>
      <c r="P29" s="1">
        <v>45508</v>
      </c>
      <c r="Q29" s="2" t="s">
        <v>450</v>
      </c>
      <c r="R29" t="s">
        <v>451</v>
      </c>
      <c r="S29" t="s">
        <v>50</v>
      </c>
      <c r="T29" t="s">
        <v>45</v>
      </c>
      <c r="U29" t="s">
        <v>452</v>
      </c>
      <c r="V29" t="s">
        <v>52</v>
      </c>
      <c r="W29" t="s">
        <v>453</v>
      </c>
      <c r="X29" t="s">
        <v>54</v>
      </c>
      <c r="Y29" t="s">
        <v>367</v>
      </c>
      <c r="Z29" t="s">
        <v>454</v>
      </c>
      <c r="AA29">
        <v>6</v>
      </c>
      <c r="AB29" t="s">
        <v>196</v>
      </c>
      <c r="AC29" t="s">
        <v>455</v>
      </c>
      <c r="AD29" t="s">
        <v>456</v>
      </c>
      <c r="AE29" t="s">
        <v>60</v>
      </c>
      <c r="AF29">
        <v>1357200</v>
      </c>
      <c r="AG29" s="3">
        <v>25636</v>
      </c>
      <c r="AK29" t="s">
        <v>457</v>
      </c>
      <c r="AL29" s="3">
        <v>27144</v>
      </c>
      <c r="AM29" t="s">
        <v>4078</v>
      </c>
      <c r="AN29" s="4">
        <f>Table103[[#This Row],[Premium]]-Table103[[#This Row],[Tms Prem]]</f>
        <v>-1508</v>
      </c>
    </row>
    <row r="30" spans="1:40" x14ac:dyDescent="0.25">
      <c r="A30">
        <v>29</v>
      </c>
      <c r="B30" t="s">
        <v>38</v>
      </c>
      <c r="C30" t="s">
        <v>458</v>
      </c>
      <c r="D30" t="s">
        <v>40</v>
      </c>
      <c r="E30" t="s">
        <v>41</v>
      </c>
      <c r="F30" t="s">
        <v>459</v>
      </c>
      <c r="G30" t="s">
        <v>80</v>
      </c>
      <c r="H30" t="s">
        <v>460</v>
      </c>
      <c r="I30" t="s">
        <v>45</v>
      </c>
      <c r="J30" t="s">
        <v>461</v>
      </c>
      <c r="K30" t="s">
        <v>45</v>
      </c>
      <c r="L30" t="s">
        <v>462</v>
      </c>
      <c r="M30">
        <v>1925000</v>
      </c>
      <c r="N30">
        <v>2750000</v>
      </c>
      <c r="O30" t="s">
        <v>463</v>
      </c>
      <c r="P30" s="1">
        <v>45508</v>
      </c>
      <c r="Q30" s="2">
        <v>14043420</v>
      </c>
      <c r="R30" t="s">
        <v>464</v>
      </c>
      <c r="S30" t="s">
        <v>88</v>
      </c>
      <c r="T30" t="s">
        <v>45</v>
      </c>
      <c r="U30" t="s">
        <v>465</v>
      </c>
      <c r="V30" t="s">
        <v>466</v>
      </c>
      <c r="W30" t="s">
        <v>467</v>
      </c>
      <c r="X30" t="s">
        <v>72</v>
      </c>
      <c r="Y30" t="s">
        <v>424</v>
      </c>
      <c r="Z30" t="s">
        <v>468</v>
      </c>
      <c r="AA30">
        <v>3</v>
      </c>
      <c r="AB30" t="s">
        <v>124</v>
      </c>
      <c r="AC30" t="s">
        <v>469</v>
      </c>
      <c r="AD30" t="s">
        <v>54</v>
      </c>
      <c r="AE30" t="s">
        <v>159</v>
      </c>
      <c r="AF30">
        <v>2337500</v>
      </c>
      <c r="AG30" s="3">
        <v>35063</v>
      </c>
      <c r="AK30" t="s">
        <v>470</v>
      </c>
      <c r="AL30" s="3">
        <v>35063</v>
      </c>
      <c r="AM30">
        <v>0</v>
      </c>
      <c r="AN30" s="4">
        <f>Table103[[#This Row],[Premium]]-Table103[[#This Row],[Tms Prem]]</f>
        <v>0</v>
      </c>
    </row>
    <row r="31" spans="1:40" x14ac:dyDescent="0.25">
      <c r="A31">
        <v>30</v>
      </c>
      <c r="B31" t="s">
        <v>471</v>
      </c>
      <c r="C31" t="s">
        <v>472</v>
      </c>
      <c r="D31" t="s">
        <v>40</v>
      </c>
      <c r="E31" t="s">
        <v>41</v>
      </c>
      <c r="F31" t="s">
        <v>473</v>
      </c>
      <c r="G31" t="s">
        <v>474</v>
      </c>
      <c r="H31" t="s">
        <v>475</v>
      </c>
      <c r="I31" t="s">
        <v>476</v>
      </c>
      <c r="J31" t="s">
        <v>477</v>
      </c>
      <c r="K31" t="s">
        <v>476</v>
      </c>
      <c r="L31" t="s">
        <v>478</v>
      </c>
      <c r="M31">
        <v>927600</v>
      </c>
      <c r="N31">
        <v>1546000</v>
      </c>
      <c r="O31" t="s">
        <v>479</v>
      </c>
      <c r="P31" s="1">
        <v>45508</v>
      </c>
      <c r="Q31" s="2">
        <v>246314</v>
      </c>
      <c r="R31" t="s">
        <v>480</v>
      </c>
      <c r="S31" t="s">
        <v>50</v>
      </c>
      <c r="T31" t="s">
        <v>45</v>
      </c>
      <c r="U31" t="s">
        <v>221</v>
      </c>
      <c r="V31" t="s">
        <v>52</v>
      </c>
      <c r="W31" t="s">
        <v>481</v>
      </c>
      <c r="X31" t="s">
        <v>72</v>
      </c>
      <c r="Y31" t="s">
        <v>350</v>
      </c>
      <c r="Z31" t="s">
        <v>482</v>
      </c>
      <c r="AA31">
        <v>5</v>
      </c>
      <c r="AB31" t="s">
        <v>57</v>
      </c>
      <c r="AC31" t="s">
        <v>483</v>
      </c>
      <c r="AD31" t="s">
        <v>141</v>
      </c>
      <c r="AE31" t="s">
        <v>60</v>
      </c>
      <c r="AF31">
        <v>1314100</v>
      </c>
      <c r="AG31" s="3">
        <v>26282</v>
      </c>
      <c r="AK31" t="s">
        <v>484</v>
      </c>
      <c r="AL31" s="3">
        <v>26282</v>
      </c>
      <c r="AM31">
        <v>0</v>
      </c>
      <c r="AN31" s="4">
        <f>Table103[[#This Row],[Premium]]-Table103[[#This Row],[Tms Prem]]</f>
        <v>0</v>
      </c>
    </row>
    <row r="32" spans="1:40" x14ac:dyDescent="0.25">
      <c r="A32">
        <v>31</v>
      </c>
      <c r="B32" t="s">
        <v>38</v>
      </c>
      <c r="C32" t="s">
        <v>485</v>
      </c>
      <c r="D32" t="s">
        <v>40</v>
      </c>
      <c r="E32" t="s">
        <v>41</v>
      </c>
      <c r="F32" t="s">
        <v>486</v>
      </c>
      <c r="G32" t="s">
        <v>289</v>
      </c>
      <c r="H32" t="s">
        <v>487</v>
      </c>
      <c r="I32" t="s">
        <v>488</v>
      </c>
      <c r="J32" t="s">
        <v>45</v>
      </c>
      <c r="K32" t="s">
        <v>489</v>
      </c>
      <c r="L32" t="s">
        <v>490</v>
      </c>
      <c r="M32">
        <v>975000</v>
      </c>
      <c r="N32">
        <v>1500000</v>
      </c>
      <c r="O32" t="s">
        <v>491</v>
      </c>
      <c r="P32" s="1">
        <v>45509</v>
      </c>
      <c r="Q32" s="2">
        <v>7482076</v>
      </c>
      <c r="R32" t="s">
        <v>492</v>
      </c>
      <c r="S32" t="s">
        <v>493</v>
      </c>
      <c r="T32" t="s">
        <v>494</v>
      </c>
      <c r="U32" t="s">
        <v>495</v>
      </c>
      <c r="V32" t="s">
        <v>496</v>
      </c>
      <c r="W32" t="s">
        <v>497</v>
      </c>
      <c r="X32" t="s">
        <v>498</v>
      </c>
      <c r="Y32" t="s">
        <v>142</v>
      </c>
      <c r="Z32" t="s">
        <v>499</v>
      </c>
      <c r="AA32">
        <v>7</v>
      </c>
      <c r="AB32" t="s">
        <v>57</v>
      </c>
      <c r="AC32" t="s">
        <v>500</v>
      </c>
      <c r="AD32" t="s">
        <v>497</v>
      </c>
      <c r="AE32" t="s">
        <v>60</v>
      </c>
      <c r="AF32">
        <v>1125000</v>
      </c>
      <c r="AG32" s="3">
        <v>22500</v>
      </c>
      <c r="AK32" t="s">
        <v>501</v>
      </c>
      <c r="AL32" s="3">
        <v>22500</v>
      </c>
      <c r="AM32">
        <v>0</v>
      </c>
      <c r="AN32" s="4">
        <f>Table103[[#This Row],[Premium]]-Table103[[#This Row],[Tms Prem]]</f>
        <v>0</v>
      </c>
    </row>
    <row r="33" spans="1:40" x14ac:dyDescent="0.25">
      <c r="A33">
        <v>32</v>
      </c>
      <c r="B33" t="s">
        <v>38</v>
      </c>
      <c r="C33" t="s">
        <v>502</v>
      </c>
      <c r="D33" t="s">
        <v>40</v>
      </c>
      <c r="E33" t="s">
        <v>41</v>
      </c>
      <c r="F33" t="s">
        <v>503</v>
      </c>
      <c r="G33" t="s">
        <v>289</v>
      </c>
      <c r="H33" t="s">
        <v>504</v>
      </c>
      <c r="I33" t="s">
        <v>505</v>
      </c>
      <c r="J33" t="s">
        <v>45</v>
      </c>
      <c r="K33" t="s">
        <v>506</v>
      </c>
      <c r="L33" t="s">
        <v>507</v>
      </c>
      <c r="M33">
        <v>1306400</v>
      </c>
      <c r="N33">
        <v>1633000</v>
      </c>
      <c r="O33" t="s">
        <v>508</v>
      </c>
      <c r="P33" s="1">
        <v>45509</v>
      </c>
      <c r="Q33" s="2">
        <v>174574</v>
      </c>
      <c r="R33" t="s">
        <v>509</v>
      </c>
      <c r="S33" t="s">
        <v>50</v>
      </c>
      <c r="T33" t="s">
        <v>45</v>
      </c>
      <c r="U33" t="s">
        <v>510</v>
      </c>
      <c r="V33" t="s">
        <v>140</v>
      </c>
      <c r="W33" t="s">
        <v>511</v>
      </c>
      <c r="X33" t="s">
        <v>281</v>
      </c>
      <c r="Y33" t="s">
        <v>282</v>
      </c>
      <c r="Z33" t="s">
        <v>512</v>
      </c>
      <c r="AA33">
        <v>7</v>
      </c>
      <c r="AB33" t="s">
        <v>57</v>
      </c>
      <c r="AC33" t="s">
        <v>513</v>
      </c>
      <c r="AD33" t="s">
        <v>514</v>
      </c>
      <c r="AE33" t="s">
        <v>60</v>
      </c>
      <c r="AF33">
        <v>1469700</v>
      </c>
      <c r="AG33" s="3">
        <v>26128</v>
      </c>
      <c r="AK33" t="s">
        <v>515</v>
      </c>
      <c r="AL33" s="3">
        <v>29394</v>
      </c>
      <c r="AM33" t="s">
        <v>4079</v>
      </c>
      <c r="AN33" s="4">
        <f>Table103[[#This Row],[Premium]]-Table103[[#This Row],[Tms Prem]]</f>
        <v>-3266</v>
      </c>
    </row>
    <row r="34" spans="1:40" x14ac:dyDescent="0.25">
      <c r="A34">
        <v>33</v>
      </c>
      <c r="B34" t="s">
        <v>38</v>
      </c>
      <c r="C34" t="s">
        <v>516</v>
      </c>
      <c r="D34" t="s">
        <v>40</v>
      </c>
      <c r="E34" t="s">
        <v>41</v>
      </c>
      <c r="F34" t="s">
        <v>517</v>
      </c>
      <c r="G34" t="s">
        <v>174</v>
      </c>
      <c r="H34" t="s">
        <v>518</v>
      </c>
      <c r="I34" t="s">
        <v>519</v>
      </c>
      <c r="J34" t="s">
        <v>519</v>
      </c>
      <c r="K34" t="s">
        <v>519</v>
      </c>
      <c r="L34" t="s">
        <v>520</v>
      </c>
      <c r="M34">
        <v>1491000</v>
      </c>
      <c r="N34">
        <v>2130000</v>
      </c>
      <c r="O34" t="s">
        <v>521</v>
      </c>
      <c r="P34" s="1">
        <v>45509</v>
      </c>
      <c r="Q34" s="2">
        <v>180068</v>
      </c>
      <c r="R34" t="s">
        <v>522</v>
      </c>
      <c r="S34" t="s">
        <v>50</v>
      </c>
      <c r="T34" t="s">
        <v>45</v>
      </c>
      <c r="U34" t="s">
        <v>523</v>
      </c>
      <c r="V34" t="s">
        <v>140</v>
      </c>
      <c r="W34" t="s">
        <v>524</v>
      </c>
      <c r="X34" t="s">
        <v>281</v>
      </c>
      <c r="Y34" t="s">
        <v>73</v>
      </c>
      <c r="Z34" t="s">
        <v>525</v>
      </c>
      <c r="AA34">
        <v>5</v>
      </c>
      <c r="AB34" t="s">
        <v>57</v>
      </c>
      <c r="AC34" t="s">
        <v>526</v>
      </c>
      <c r="AD34" t="s">
        <v>285</v>
      </c>
      <c r="AE34" t="s">
        <v>60</v>
      </c>
      <c r="AF34">
        <v>1704000</v>
      </c>
      <c r="AG34" s="3">
        <v>34080</v>
      </c>
      <c r="AK34" t="s">
        <v>527</v>
      </c>
      <c r="AL34" s="3">
        <v>34080</v>
      </c>
      <c r="AM34">
        <v>0</v>
      </c>
      <c r="AN34" s="4">
        <f>Table103[[#This Row],[Premium]]-Table103[[#This Row],[Tms Prem]]</f>
        <v>0</v>
      </c>
    </row>
    <row r="35" spans="1:40" x14ac:dyDescent="0.25">
      <c r="A35">
        <v>34</v>
      </c>
      <c r="B35" t="s">
        <v>38</v>
      </c>
      <c r="C35" t="s">
        <v>528</v>
      </c>
      <c r="D35" t="s">
        <v>40</v>
      </c>
      <c r="E35" t="s">
        <v>41</v>
      </c>
      <c r="F35" t="s">
        <v>529</v>
      </c>
      <c r="G35" t="s">
        <v>80</v>
      </c>
      <c r="H35" t="s">
        <v>530</v>
      </c>
      <c r="I35" t="s">
        <v>531</v>
      </c>
      <c r="J35" t="s">
        <v>531</v>
      </c>
      <c r="K35" t="s">
        <v>151</v>
      </c>
      <c r="L35" t="s">
        <v>532</v>
      </c>
      <c r="M35">
        <v>2137500</v>
      </c>
      <c r="N35">
        <v>2850000</v>
      </c>
      <c r="O35" t="s">
        <v>533</v>
      </c>
      <c r="P35" s="1">
        <v>45509</v>
      </c>
      <c r="Q35" s="2" t="s">
        <v>534</v>
      </c>
      <c r="R35" t="s">
        <v>535</v>
      </c>
      <c r="S35" t="s">
        <v>88</v>
      </c>
      <c r="T35" t="s">
        <v>536</v>
      </c>
      <c r="U35" t="s">
        <v>537</v>
      </c>
      <c r="V35" t="s">
        <v>365</v>
      </c>
      <c r="W35" t="s">
        <v>498</v>
      </c>
      <c r="X35" t="s">
        <v>498</v>
      </c>
      <c r="Y35" t="s">
        <v>142</v>
      </c>
      <c r="Z35" t="s">
        <v>538</v>
      </c>
      <c r="AA35">
        <v>7</v>
      </c>
      <c r="AB35" t="s">
        <v>94</v>
      </c>
      <c r="AC35" t="s">
        <v>539</v>
      </c>
      <c r="AD35" t="s">
        <v>540</v>
      </c>
      <c r="AE35" t="s">
        <v>428</v>
      </c>
      <c r="AF35">
        <v>2137500</v>
      </c>
      <c r="AG35" s="3">
        <v>53438</v>
      </c>
      <c r="AK35" t="s">
        <v>541</v>
      </c>
      <c r="AL35" s="3">
        <v>53438</v>
      </c>
      <c r="AM35">
        <v>0</v>
      </c>
      <c r="AN35" s="4">
        <f>Table103[[#This Row],[Premium]]-Table103[[#This Row],[Tms Prem]]</f>
        <v>0</v>
      </c>
    </row>
    <row r="36" spans="1:40" x14ac:dyDescent="0.25">
      <c r="A36">
        <v>35</v>
      </c>
      <c r="B36" t="s">
        <v>38</v>
      </c>
      <c r="C36" t="s">
        <v>542</v>
      </c>
      <c r="D36" t="s">
        <v>40</v>
      </c>
      <c r="E36" t="s">
        <v>41</v>
      </c>
      <c r="F36" t="s">
        <v>543</v>
      </c>
      <c r="G36" t="s">
        <v>544</v>
      </c>
      <c r="H36" t="s">
        <v>545</v>
      </c>
      <c r="I36" t="s">
        <v>546</v>
      </c>
      <c r="J36" t="s">
        <v>546</v>
      </c>
      <c r="K36" t="s">
        <v>546</v>
      </c>
      <c r="L36" t="s">
        <v>547</v>
      </c>
      <c r="M36">
        <v>2006000</v>
      </c>
      <c r="N36">
        <v>4012000</v>
      </c>
      <c r="O36" t="s">
        <v>548</v>
      </c>
      <c r="P36" s="1">
        <v>45509</v>
      </c>
      <c r="Q36" s="2" t="s">
        <v>549</v>
      </c>
      <c r="R36" t="s">
        <v>550</v>
      </c>
      <c r="S36" t="s">
        <v>50</v>
      </c>
      <c r="T36" t="s">
        <v>45</v>
      </c>
      <c r="U36" t="s">
        <v>551</v>
      </c>
      <c r="V36" t="s">
        <v>140</v>
      </c>
      <c r="W36" t="s">
        <v>301</v>
      </c>
      <c r="X36" t="s">
        <v>236</v>
      </c>
      <c r="Y36" t="s">
        <v>55</v>
      </c>
      <c r="Z36" t="s">
        <v>552</v>
      </c>
      <c r="AA36">
        <v>5</v>
      </c>
      <c r="AB36" t="s">
        <v>196</v>
      </c>
      <c r="AC36" t="s">
        <v>553</v>
      </c>
      <c r="AD36" t="s">
        <v>554</v>
      </c>
      <c r="AE36" t="s">
        <v>60</v>
      </c>
      <c r="AF36">
        <v>3209600</v>
      </c>
      <c r="AG36" s="3">
        <v>64192</v>
      </c>
      <c r="AK36" t="s">
        <v>555</v>
      </c>
      <c r="AL36" s="3">
        <v>64192</v>
      </c>
      <c r="AM36">
        <v>0</v>
      </c>
      <c r="AN36" s="4">
        <f>Table103[[#This Row],[Premium]]-Table103[[#This Row],[Tms Prem]]</f>
        <v>0</v>
      </c>
    </row>
    <row r="37" spans="1:40" x14ac:dyDescent="0.25">
      <c r="A37">
        <v>36</v>
      </c>
      <c r="B37" t="s">
        <v>38</v>
      </c>
      <c r="C37" t="s">
        <v>556</v>
      </c>
      <c r="D37" t="s">
        <v>40</v>
      </c>
      <c r="E37" t="s">
        <v>41</v>
      </c>
      <c r="F37" t="s">
        <v>557</v>
      </c>
      <c r="G37" t="s">
        <v>80</v>
      </c>
      <c r="H37" t="s">
        <v>558</v>
      </c>
      <c r="I37" t="s">
        <v>559</v>
      </c>
      <c r="J37" t="s">
        <v>560</v>
      </c>
      <c r="K37" t="s">
        <v>561</v>
      </c>
      <c r="L37" t="s">
        <v>562</v>
      </c>
      <c r="M37">
        <v>2497500</v>
      </c>
      <c r="N37">
        <v>3375000</v>
      </c>
      <c r="O37" t="s">
        <v>563</v>
      </c>
      <c r="P37" s="1">
        <v>45509</v>
      </c>
      <c r="Q37" s="2" t="s">
        <v>564</v>
      </c>
      <c r="R37" t="s">
        <v>565</v>
      </c>
      <c r="S37" t="s">
        <v>493</v>
      </c>
      <c r="T37" t="s">
        <v>45</v>
      </c>
      <c r="U37" t="s">
        <v>566</v>
      </c>
      <c r="V37" t="s">
        <v>107</v>
      </c>
      <c r="W37" t="s">
        <v>301</v>
      </c>
      <c r="X37" t="s">
        <v>236</v>
      </c>
      <c r="Y37" t="s">
        <v>55</v>
      </c>
      <c r="Z37" t="s">
        <v>567</v>
      </c>
      <c r="AA37">
        <v>5</v>
      </c>
      <c r="AB37" t="s">
        <v>57</v>
      </c>
      <c r="AC37" t="s">
        <v>568</v>
      </c>
      <c r="AD37" t="s">
        <v>254</v>
      </c>
      <c r="AE37" t="s">
        <v>60</v>
      </c>
      <c r="AF37">
        <v>2700000</v>
      </c>
      <c r="AG37" s="3">
        <v>54000</v>
      </c>
      <c r="AK37" t="s">
        <v>569</v>
      </c>
      <c r="AL37" s="3">
        <v>54000</v>
      </c>
      <c r="AM37">
        <v>0</v>
      </c>
      <c r="AN37" s="4">
        <f>Table103[[#This Row],[Premium]]-Table103[[#This Row],[Tms Prem]]</f>
        <v>0</v>
      </c>
    </row>
    <row r="38" spans="1:40" x14ac:dyDescent="0.25">
      <c r="A38">
        <v>37</v>
      </c>
      <c r="B38" t="s">
        <v>38</v>
      </c>
      <c r="C38" t="s">
        <v>570</v>
      </c>
      <c r="D38" t="s">
        <v>40</v>
      </c>
      <c r="E38" t="s">
        <v>41</v>
      </c>
      <c r="F38" t="s">
        <v>571</v>
      </c>
      <c r="G38" t="s">
        <v>174</v>
      </c>
      <c r="H38" t="s">
        <v>572</v>
      </c>
      <c r="I38" t="s">
        <v>45</v>
      </c>
      <c r="J38" t="s">
        <v>573</v>
      </c>
      <c r="K38" t="s">
        <v>45</v>
      </c>
      <c r="L38" t="s">
        <v>574</v>
      </c>
      <c r="M38">
        <v>3814300</v>
      </c>
      <c r="N38">
        <v>5449000</v>
      </c>
      <c r="O38" t="s">
        <v>575</v>
      </c>
      <c r="P38" s="1">
        <v>45509</v>
      </c>
      <c r="Q38" s="2" t="s">
        <v>576</v>
      </c>
      <c r="R38" t="s">
        <v>577</v>
      </c>
      <c r="S38" t="s">
        <v>50</v>
      </c>
      <c r="T38" t="s">
        <v>45</v>
      </c>
      <c r="U38" t="s">
        <v>578</v>
      </c>
      <c r="V38" t="s">
        <v>140</v>
      </c>
      <c r="W38" t="s">
        <v>579</v>
      </c>
      <c r="X38" t="s">
        <v>281</v>
      </c>
      <c r="Y38" t="s">
        <v>73</v>
      </c>
      <c r="Z38" t="s">
        <v>580</v>
      </c>
      <c r="AA38">
        <v>5</v>
      </c>
      <c r="AB38" t="s">
        <v>57</v>
      </c>
      <c r="AC38" t="s">
        <v>581</v>
      </c>
      <c r="AD38" t="s">
        <v>254</v>
      </c>
      <c r="AE38" t="s">
        <v>97</v>
      </c>
      <c r="AF38">
        <v>4359200</v>
      </c>
      <c r="AG38" s="3">
        <v>76286</v>
      </c>
      <c r="AK38" t="s">
        <v>582</v>
      </c>
      <c r="AL38" s="3">
        <v>76286</v>
      </c>
      <c r="AM38">
        <v>0</v>
      </c>
      <c r="AN38" s="4">
        <f>Table103[[#This Row],[Premium]]-Table103[[#This Row],[Tms Prem]]</f>
        <v>0</v>
      </c>
    </row>
    <row r="39" spans="1:40" x14ac:dyDescent="0.25">
      <c r="A39">
        <v>38</v>
      </c>
      <c r="B39" t="s">
        <v>38</v>
      </c>
      <c r="C39" t="s">
        <v>583</v>
      </c>
      <c r="D39" t="s">
        <v>40</v>
      </c>
      <c r="E39" t="s">
        <v>41</v>
      </c>
      <c r="F39" t="s">
        <v>584</v>
      </c>
      <c r="G39" t="s">
        <v>80</v>
      </c>
      <c r="H39" t="s">
        <v>585</v>
      </c>
      <c r="I39" t="s">
        <v>586</v>
      </c>
      <c r="J39" t="s">
        <v>586</v>
      </c>
      <c r="K39" t="s">
        <v>151</v>
      </c>
      <c r="L39" t="s">
        <v>587</v>
      </c>
      <c r="M39">
        <v>2599480</v>
      </c>
      <c r="N39">
        <v>4999000</v>
      </c>
      <c r="O39" t="s">
        <v>588</v>
      </c>
      <c r="P39" s="1">
        <v>45509</v>
      </c>
      <c r="Q39" s="2">
        <v>1868477</v>
      </c>
      <c r="R39" t="s">
        <v>589</v>
      </c>
      <c r="S39" t="s">
        <v>50</v>
      </c>
      <c r="T39" t="s">
        <v>45</v>
      </c>
      <c r="U39" t="s">
        <v>590</v>
      </c>
      <c r="V39" t="s">
        <v>52</v>
      </c>
      <c r="W39" t="s">
        <v>591</v>
      </c>
      <c r="X39" t="s">
        <v>72</v>
      </c>
      <c r="Y39" t="s">
        <v>424</v>
      </c>
      <c r="Z39" t="s">
        <v>592</v>
      </c>
      <c r="AA39">
        <v>3</v>
      </c>
      <c r="AB39" t="s">
        <v>94</v>
      </c>
      <c r="AC39" t="s">
        <v>593</v>
      </c>
      <c r="AD39" t="s">
        <v>156</v>
      </c>
      <c r="AE39" t="s">
        <v>60</v>
      </c>
      <c r="AF39">
        <v>4249150</v>
      </c>
      <c r="AG39" s="3">
        <v>84983</v>
      </c>
      <c r="AK39" t="s">
        <v>594</v>
      </c>
      <c r="AL39" s="3">
        <v>84983</v>
      </c>
      <c r="AM39">
        <v>0</v>
      </c>
      <c r="AN39" s="4">
        <f>Table103[[#This Row],[Premium]]-Table103[[#This Row],[Tms Prem]]</f>
        <v>0</v>
      </c>
    </row>
    <row r="40" spans="1:40" x14ac:dyDescent="0.25">
      <c r="A40">
        <v>39</v>
      </c>
      <c r="B40" t="s">
        <v>38</v>
      </c>
      <c r="C40" t="s">
        <v>595</v>
      </c>
      <c r="D40" t="s">
        <v>40</v>
      </c>
      <c r="E40" t="s">
        <v>41</v>
      </c>
      <c r="F40" t="s">
        <v>596</v>
      </c>
      <c r="G40" t="s">
        <v>80</v>
      </c>
      <c r="H40" t="s">
        <v>597</v>
      </c>
      <c r="I40" t="s">
        <v>598</v>
      </c>
      <c r="J40" t="s">
        <v>599</v>
      </c>
      <c r="K40" t="s">
        <v>598</v>
      </c>
      <c r="L40" t="s">
        <v>600</v>
      </c>
      <c r="M40">
        <v>1890000</v>
      </c>
      <c r="N40">
        <v>2700000</v>
      </c>
      <c r="O40" t="s">
        <v>601</v>
      </c>
      <c r="P40" s="1">
        <v>45509</v>
      </c>
      <c r="Q40" s="2" t="s">
        <v>602</v>
      </c>
      <c r="R40" t="s">
        <v>603</v>
      </c>
      <c r="S40" t="s">
        <v>88</v>
      </c>
      <c r="T40" t="s">
        <v>604</v>
      </c>
      <c r="U40" t="s">
        <v>605</v>
      </c>
      <c r="V40" t="s">
        <v>107</v>
      </c>
      <c r="W40" t="s">
        <v>606</v>
      </c>
      <c r="X40" t="s">
        <v>72</v>
      </c>
      <c r="Y40" t="s">
        <v>424</v>
      </c>
      <c r="Z40" t="s">
        <v>607</v>
      </c>
      <c r="AA40">
        <v>3</v>
      </c>
      <c r="AB40" t="s">
        <v>94</v>
      </c>
      <c r="AC40" t="s">
        <v>608</v>
      </c>
      <c r="AD40" t="s">
        <v>54</v>
      </c>
      <c r="AE40" t="s">
        <v>159</v>
      </c>
      <c r="AF40">
        <v>2295000</v>
      </c>
      <c r="AG40" s="3">
        <v>34425</v>
      </c>
      <c r="AK40" t="s">
        <v>609</v>
      </c>
      <c r="AL40" s="3">
        <v>34425</v>
      </c>
      <c r="AM40">
        <v>0</v>
      </c>
      <c r="AN40" s="4">
        <f>Table103[[#This Row],[Premium]]-Table103[[#This Row],[Tms Prem]]</f>
        <v>0</v>
      </c>
    </row>
    <row r="41" spans="1:40" x14ac:dyDescent="0.25">
      <c r="A41">
        <v>40</v>
      </c>
      <c r="B41" t="s">
        <v>38</v>
      </c>
      <c r="C41" t="s">
        <v>610</v>
      </c>
      <c r="D41" t="s">
        <v>40</v>
      </c>
      <c r="E41" t="s">
        <v>41</v>
      </c>
      <c r="F41" t="s">
        <v>611</v>
      </c>
      <c r="G41" t="s">
        <v>80</v>
      </c>
      <c r="H41" t="s">
        <v>612</v>
      </c>
      <c r="I41" t="s">
        <v>613</v>
      </c>
      <c r="J41" t="s">
        <v>613</v>
      </c>
      <c r="K41" t="s">
        <v>613</v>
      </c>
      <c r="L41" t="s">
        <v>614</v>
      </c>
      <c r="M41">
        <v>1360000</v>
      </c>
      <c r="N41">
        <v>2000000</v>
      </c>
      <c r="O41" t="s">
        <v>615</v>
      </c>
      <c r="P41" s="1">
        <v>45509</v>
      </c>
      <c r="Q41" s="2">
        <v>129431</v>
      </c>
      <c r="R41" t="s">
        <v>616</v>
      </c>
      <c r="S41" t="s">
        <v>88</v>
      </c>
      <c r="T41" t="s">
        <v>617</v>
      </c>
      <c r="U41" t="s">
        <v>221</v>
      </c>
      <c r="V41" t="s">
        <v>90</v>
      </c>
      <c r="W41" t="s">
        <v>467</v>
      </c>
      <c r="X41" t="s">
        <v>72</v>
      </c>
      <c r="Y41" t="s">
        <v>350</v>
      </c>
      <c r="Z41" t="s">
        <v>618</v>
      </c>
      <c r="AA41">
        <v>5</v>
      </c>
      <c r="AB41" t="s">
        <v>124</v>
      </c>
      <c r="AC41" t="s">
        <v>619</v>
      </c>
      <c r="AD41" t="s">
        <v>620</v>
      </c>
      <c r="AE41" t="s">
        <v>159</v>
      </c>
      <c r="AF41">
        <v>1700000</v>
      </c>
      <c r="AG41" s="3">
        <v>25500</v>
      </c>
      <c r="AK41" t="s">
        <v>621</v>
      </c>
      <c r="AL41" s="3">
        <v>25500</v>
      </c>
      <c r="AM41">
        <v>0</v>
      </c>
      <c r="AN41" s="4">
        <f>Table103[[#This Row],[Premium]]-Table103[[#This Row],[Tms Prem]]</f>
        <v>0</v>
      </c>
    </row>
    <row r="42" spans="1:40" x14ac:dyDescent="0.25">
      <c r="A42">
        <v>41</v>
      </c>
      <c r="B42" t="s">
        <v>38</v>
      </c>
      <c r="C42" t="s">
        <v>622</v>
      </c>
      <c r="D42" t="s">
        <v>40</v>
      </c>
      <c r="E42" t="s">
        <v>41</v>
      </c>
      <c r="F42" t="s">
        <v>623</v>
      </c>
      <c r="G42" t="s">
        <v>80</v>
      </c>
      <c r="H42" t="s">
        <v>624</v>
      </c>
      <c r="I42" t="s">
        <v>625</v>
      </c>
      <c r="J42" t="s">
        <v>625</v>
      </c>
      <c r="K42" t="s">
        <v>625</v>
      </c>
      <c r="L42" t="s">
        <v>626</v>
      </c>
      <c r="M42">
        <v>1890000</v>
      </c>
      <c r="N42">
        <v>2700000</v>
      </c>
      <c r="O42" t="s">
        <v>627</v>
      </c>
      <c r="P42" s="1">
        <v>45509</v>
      </c>
      <c r="Q42" s="2">
        <v>2479447</v>
      </c>
      <c r="R42" t="s">
        <v>628</v>
      </c>
      <c r="S42" t="s">
        <v>88</v>
      </c>
      <c r="T42" t="s">
        <v>629</v>
      </c>
      <c r="U42" t="s">
        <v>630</v>
      </c>
      <c r="V42" t="s">
        <v>107</v>
      </c>
      <c r="W42" t="s">
        <v>467</v>
      </c>
      <c r="X42" t="s">
        <v>72</v>
      </c>
      <c r="Y42" t="s">
        <v>424</v>
      </c>
      <c r="Z42" t="s">
        <v>631</v>
      </c>
      <c r="AA42">
        <v>3</v>
      </c>
      <c r="AB42" t="s">
        <v>124</v>
      </c>
      <c r="AC42" t="s">
        <v>632</v>
      </c>
      <c r="AD42" t="s">
        <v>54</v>
      </c>
      <c r="AE42" t="s">
        <v>159</v>
      </c>
      <c r="AF42">
        <v>2295000</v>
      </c>
      <c r="AG42" s="3">
        <v>34425</v>
      </c>
      <c r="AK42" t="s">
        <v>633</v>
      </c>
      <c r="AL42" s="3">
        <v>34425</v>
      </c>
      <c r="AM42">
        <v>0</v>
      </c>
      <c r="AN42" s="4">
        <f>Table103[[#This Row],[Premium]]-Table103[[#This Row],[Tms Prem]]</f>
        <v>0</v>
      </c>
    </row>
    <row r="43" spans="1:40" x14ac:dyDescent="0.25">
      <c r="A43">
        <v>42</v>
      </c>
      <c r="B43" t="s">
        <v>38</v>
      </c>
      <c r="C43" t="s">
        <v>634</v>
      </c>
      <c r="D43" t="s">
        <v>40</v>
      </c>
      <c r="E43" t="s">
        <v>41</v>
      </c>
      <c r="F43" t="s">
        <v>635</v>
      </c>
      <c r="G43" t="s">
        <v>289</v>
      </c>
      <c r="H43" t="s">
        <v>636</v>
      </c>
      <c r="I43" t="s">
        <v>637</v>
      </c>
      <c r="J43" t="s">
        <v>45</v>
      </c>
      <c r="K43" t="s">
        <v>638</v>
      </c>
      <c r="L43" t="s">
        <v>639</v>
      </c>
      <c r="M43">
        <v>828000</v>
      </c>
      <c r="N43">
        <v>1200000</v>
      </c>
      <c r="O43" t="s">
        <v>640</v>
      </c>
      <c r="P43" s="1">
        <v>45510</v>
      </c>
      <c r="Q43" s="2">
        <v>107925</v>
      </c>
      <c r="R43" t="s">
        <v>641</v>
      </c>
      <c r="S43" t="s">
        <v>88</v>
      </c>
      <c r="T43" t="s">
        <v>642</v>
      </c>
      <c r="U43" t="s">
        <v>643</v>
      </c>
      <c r="V43" t="s">
        <v>466</v>
      </c>
      <c r="W43" t="s">
        <v>644</v>
      </c>
      <c r="X43" t="s">
        <v>645</v>
      </c>
      <c r="Y43" t="s">
        <v>55</v>
      </c>
      <c r="Z43" t="s">
        <v>646</v>
      </c>
      <c r="AA43">
        <v>7</v>
      </c>
      <c r="AB43" t="s">
        <v>57</v>
      </c>
      <c r="AC43" t="s">
        <v>647</v>
      </c>
      <c r="AD43" t="s">
        <v>648</v>
      </c>
      <c r="AE43" t="s">
        <v>428</v>
      </c>
      <c r="AF43">
        <v>840000</v>
      </c>
      <c r="AG43" s="3">
        <v>21000</v>
      </c>
      <c r="AK43" t="s">
        <v>649</v>
      </c>
      <c r="AL43" s="3">
        <v>21000</v>
      </c>
      <c r="AM43">
        <v>0</v>
      </c>
      <c r="AN43" s="4">
        <f>Table103[[#This Row],[Premium]]-Table103[[#This Row],[Tms Prem]]</f>
        <v>0</v>
      </c>
    </row>
    <row r="44" spans="1:40" x14ac:dyDescent="0.25">
      <c r="A44">
        <v>43</v>
      </c>
      <c r="B44" t="s">
        <v>38</v>
      </c>
      <c r="C44" t="s">
        <v>650</v>
      </c>
      <c r="D44" t="s">
        <v>40</v>
      </c>
      <c r="E44" t="s">
        <v>41</v>
      </c>
      <c r="F44" t="s">
        <v>651</v>
      </c>
      <c r="G44" t="s">
        <v>174</v>
      </c>
      <c r="H44" t="s">
        <v>652</v>
      </c>
      <c r="I44" t="s">
        <v>653</v>
      </c>
      <c r="J44" t="s">
        <v>654</v>
      </c>
      <c r="K44" t="s">
        <v>655</v>
      </c>
      <c r="L44" t="s">
        <v>656</v>
      </c>
      <c r="M44">
        <v>1329600</v>
      </c>
      <c r="N44">
        <v>2216000</v>
      </c>
      <c r="O44" t="s">
        <v>657</v>
      </c>
      <c r="P44" s="1">
        <v>45510</v>
      </c>
      <c r="Q44" s="2" t="s">
        <v>658</v>
      </c>
      <c r="R44" t="s">
        <v>659</v>
      </c>
      <c r="S44" t="s">
        <v>50</v>
      </c>
      <c r="T44" t="s">
        <v>660</v>
      </c>
      <c r="U44" t="s">
        <v>661</v>
      </c>
      <c r="V44" t="s">
        <v>662</v>
      </c>
      <c r="W44" t="s">
        <v>663</v>
      </c>
      <c r="X44" t="s">
        <v>664</v>
      </c>
      <c r="Y44" t="s">
        <v>73</v>
      </c>
      <c r="Z44" t="s">
        <v>665</v>
      </c>
      <c r="AA44">
        <v>7</v>
      </c>
      <c r="AB44" t="s">
        <v>57</v>
      </c>
      <c r="AC44" t="s">
        <v>666</v>
      </c>
      <c r="AD44" t="s">
        <v>667</v>
      </c>
      <c r="AE44" t="s">
        <v>428</v>
      </c>
      <c r="AF44">
        <v>1551200</v>
      </c>
      <c r="AG44" s="3">
        <v>38780</v>
      </c>
      <c r="AK44" t="s">
        <v>668</v>
      </c>
      <c r="AL44" s="3">
        <v>38780</v>
      </c>
      <c r="AM44">
        <v>0</v>
      </c>
      <c r="AN44" s="4">
        <f>Table103[[#This Row],[Premium]]-Table103[[#This Row],[Tms Prem]]</f>
        <v>0</v>
      </c>
    </row>
    <row r="45" spans="1:40" x14ac:dyDescent="0.25">
      <c r="A45">
        <v>44</v>
      </c>
      <c r="B45" t="s">
        <v>38</v>
      </c>
      <c r="C45" t="s">
        <v>669</v>
      </c>
      <c r="D45" t="s">
        <v>40</v>
      </c>
      <c r="E45" t="s">
        <v>41</v>
      </c>
      <c r="F45" t="s">
        <v>670</v>
      </c>
      <c r="G45" t="s">
        <v>43</v>
      </c>
      <c r="H45" t="s">
        <v>671</v>
      </c>
      <c r="I45" t="s">
        <v>672</v>
      </c>
      <c r="J45" t="s">
        <v>45</v>
      </c>
      <c r="K45" t="s">
        <v>673</v>
      </c>
      <c r="L45" t="s">
        <v>674</v>
      </c>
      <c r="M45">
        <v>2028500</v>
      </c>
      <c r="N45">
        <v>4057000</v>
      </c>
      <c r="O45" t="s">
        <v>675</v>
      </c>
      <c r="P45" s="1">
        <v>45510</v>
      </c>
      <c r="Q45" s="2">
        <v>6911925</v>
      </c>
      <c r="R45" t="s">
        <v>676</v>
      </c>
      <c r="S45" t="s">
        <v>50</v>
      </c>
      <c r="T45" t="s">
        <v>677</v>
      </c>
      <c r="U45" t="s">
        <v>551</v>
      </c>
      <c r="V45" t="s">
        <v>90</v>
      </c>
      <c r="W45" t="s">
        <v>678</v>
      </c>
      <c r="X45" t="s">
        <v>423</v>
      </c>
      <c r="Y45" t="s">
        <v>424</v>
      </c>
      <c r="Z45" t="s">
        <v>679</v>
      </c>
      <c r="AA45">
        <v>5</v>
      </c>
      <c r="AB45" t="s">
        <v>57</v>
      </c>
      <c r="AC45" t="s">
        <v>680</v>
      </c>
      <c r="AD45" t="s">
        <v>497</v>
      </c>
      <c r="AE45" t="s">
        <v>428</v>
      </c>
      <c r="AF45">
        <v>3245600</v>
      </c>
      <c r="AG45" s="3">
        <v>83676</v>
      </c>
      <c r="AK45" t="s">
        <v>681</v>
      </c>
      <c r="AL45" s="3">
        <v>81140</v>
      </c>
      <c r="AM45" t="s">
        <v>4080</v>
      </c>
      <c r="AN45" s="4">
        <f>Table103[[#This Row],[Premium]]-Table103[[#This Row],[Tms Prem]]</f>
        <v>2536</v>
      </c>
    </row>
    <row r="46" spans="1:40" x14ac:dyDescent="0.25">
      <c r="A46">
        <v>45</v>
      </c>
      <c r="B46" t="s">
        <v>38</v>
      </c>
      <c r="C46" t="s">
        <v>682</v>
      </c>
      <c r="D46" t="s">
        <v>40</v>
      </c>
      <c r="E46" t="s">
        <v>41</v>
      </c>
      <c r="F46" t="s">
        <v>683</v>
      </c>
      <c r="G46" t="s">
        <v>289</v>
      </c>
      <c r="H46" t="s">
        <v>684</v>
      </c>
      <c r="I46" t="s">
        <v>333</v>
      </c>
      <c r="J46" t="s">
        <v>685</v>
      </c>
      <c r="K46" t="s">
        <v>686</v>
      </c>
      <c r="L46" t="s">
        <v>687</v>
      </c>
      <c r="M46">
        <v>2732000</v>
      </c>
      <c r="N46">
        <v>3415000</v>
      </c>
      <c r="O46" t="s">
        <v>688</v>
      </c>
      <c r="P46" s="1">
        <v>45510</v>
      </c>
      <c r="Q46" s="2">
        <v>4802120</v>
      </c>
      <c r="R46" t="s">
        <v>689</v>
      </c>
      <c r="S46" t="s">
        <v>50</v>
      </c>
      <c r="T46" t="s">
        <v>690</v>
      </c>
      <c r="U46" t="s">
        <v>691</v>
      </c>
      <c r="V46" t="s">
        <v>90</v>
      </c>
      <c r="W46" t="s">
        <v>497</v>
      </c>
      <c r="X46" t="s">
        <v>498</v>
      </c>
      <c r="Y46" t="s">
        <v>182</v>
      </c>
      <c r="Z46" t="s">
        <v>692</v>
      </c>
      <c r="AA46">
        <v>5</v>
      </c>
      <c r="AB46" t="s">
        <v>57</v>
      </c>
      <c r="AC46" t="s">
        <v>693</v>
      </c>
      <c r="AD46" t="s">
        <v>497</v>
      </c>
      <c r="AE46" t="s">
        <v>60</v>
      </c>
      <c r="AF46">
        <v>2561250</v>
      </c>
      <c r="AG46" s="3">
        <v>51225</v>
      </c>
      <c r="AK46" t="s">
        <v>694</v>
      </c>
      <c r="AL46" s="3">
        <v>51225</v>
      </c>
      <c r="AM46">
        <v>0</v>
      </c>
      <c r="AN46" s="4">
        <f>Table103[[#This Row],[Premium]]-Table103[[#This Row],[Tms Prem]]</f>
        <v>0</v>
      </c>
    </row>
    <row r="47" spans="1:40" x14ac:dyDescent="0.25">
      <c r="A47">
        <v>46</v>
      </c>
      <c r="B47" t="s">
        <v>38</v>
      </c>
      <c r="C47" t="s">
        <v>695</v>
      </c>
      <c r="D47" t="s">
        <v>40</v>
      </c>
      <c r="E47" t="s">
        <v>41</v>
      </c>
      <c r="F47" t="s">
        <v>696</v>
      </c>
      <c r="G47" t="s">
        <v>80</v>
      </c>
      <c r="H47" t="s">
        <v>697</v>
      </c>
      <c r="I47" t="s">
        <v>45</v>
      </c>
      <c r="J47" t="s">
        <v>698</v>
      </c>
      <c r="K47" t="s">
        <v>45</v>
      </c>
      <c r="L47" t="s">
        <v>699</v>
      </c>
      <c r="M47">
        <v>2962400</v>
      </c>
      <c r="N47">
        <v>5290000</v>
      </c>
      <c r="O47" t="s">
        <v>700</v>
      </c>
      <c r="P47" s="1">
        <v>45511</v>
      </c>
      <c r="Q47" s="2">
        <v>2939114</v>
      </c>
      <c r="R47" t="s">
        <v>701</v>
      </c>
      <c r="S47" t="s">
        <v>88</v>
      </c>
      <c r="T47" t="s">
        <v>88</v>
      </c>
      <c r="U47" t="s">
        <v>702</v>
      </c>
      <c r="V47" t="s">
        <v>365</v>
      </c>
      <c r="W47">
        <v>45147</v>
      </c>
      <c r="X47" t="s">
        <v>366</v>
      </c>
      <c r="Y47" t="s">
        <v>182</v>
      </c>
      <c r="Z47" t="s">
        <v>703</v>
      </c>
      <c r="AA47">
        <v>2</v>
      </c>
      <c r="AB47" t="s">
        <v>94</v>
      </c>
      <c r="AC47" t="s">
        <v>704</v>
      </c>
      <c r="AD47" t="s">
        <v>705</v>
      </c>
      <c r="AE47" t="s">
        <v>97</v>
      </c>
      <c r="AF47">
        <v>4761000</v>
      </c>
      <c r="AG47" s="3">
        <v>83318</v>
      </c>
      <c r="AK47" t="s">
        <v>706</v>
      </c>
      <c r="AL47" s="3">
        <v>83318</v>
      </c>
      <c r="AM47">
        <v>0</v>
      </c>
      <c r="AN47" s="4">
        <f>Table103[[#This Row],[Premium]]-Table103[[#This Row],[Tms Prem]]</f>
        <v>0</v>
      </c>
    </row>
    <row r="48" spans="1:40" x14ac:dyDescent="0.25">
      <c r="A48">
        <v>47</v>
      </c>
      <c r="B48" t="s">
        <v>38</v>
      </c>
      <c r="C48" t="s">
        <v>707</v>
      </c>
      <c r="D48" t="s">
        <v>40</v>
      </c>
      <c r="E48" t="s">
        <v>41</v>
      </c>
      <c r="F48" t="s">
        <v>708</v>
      </c>
      <c r="G48" t="s">
        <v>174</v>
      </c>
      <c r="H48" t="s">
        <v>709</v>
      </c>
      <c r="I48" t="s">
        <v>45</v>
      </c>
      <c r="J48" t="s">
        <v>710</v>
      </c>
      <c r="K48" t="s">
        <v>45</v>
      </c>
      <c r="L48" t="s">
        <v>711</v>
      </c>
      <c r="M48">
        <v>592597</v>
      </c>
      <c r="N48">
        <v>860000</v>
      </c>
      <c r="O48" t="s">
        <v>712</v>
      </c>
      <c r="P48" s="1">
        <v>45530</v>
      </c>
      <c r="Q48" s="2" t="s">
        <v>713</v>
      </c>
      <c r="R48" t="s">
        <v>714</v>
      </c>
      <c r="S48" t="s">
        <v>88</v>
      </c>
      <c r="T48" t="s">
        <v>715</v>
      </c>
      <c r="U48" t="s">
        <v>716</v>
      </c>
      <c r="V48" t="s">
        <v>717</v>
      </c>
      <c r="W48" t="s">
        <v>718</v>
      </c>
      <c r="X48" t="s">
        <v>719</v>
      </c>
      <c r="Y48" t="s">
        <v>720</v>
      </c>
      <c r="Z48" t="s">
        <v>721</v>
      </c>
      <c r="AA48">
        <v>4</v>
      </c>
      <c r="AB48" t="s">
        <v>57</v>
      </c>
      <c r="AC48" t="s">
        <v>722</v>
      </c>
      <c r="AD48" t="s">
        <v>719</v>
      </c>
      <c r="AE48" t="s">
        <v>428</v>
      </c>
      <c r="AF48">
        <v>645000</v>
      </c>
      <c r="AG48" s="3">
        <v>16125</v>
      </c>
      <c r="AH48" t="s">
        <v>723</v>
      </c>
      <c r="AI48" t="s">
        <v>724</v>
      </c>
      <c r="AK48" t="s">
        <v>725</v>
      </c>
      <c r="AL48" s="3">
        <v>16125</v>
      </c>
      <c r="AM48">
        <v>0</v>
      </c>
      <c r="AN48" s="4">
        <f>Table103[[#This Row],[Premium]]-Table103[[#This Row],[Tms Prem]]</f>
        <v>0</v>
      </c>
    </row>
    <row r="49" spans="1:40" x14ac:dyDescent="0.25">
      <c r="A49">
        <v>48</v>
      </c>
      <c r="B49" t="s">
        <v>38</v>
      </c>
      <c r="C49" t="s">
        <v>726</v>
      </c>
      <c r="D49" t="s">
        <v>40</v>
      </c>
      <c r="E49" t="s">
        <v>41</v>
      </c>
      <c r="F49" t="s">
        <v>727</v>
      </c>
      <c r="G49" t="s">
        <v>80</v>
      </c>
      <c r="H49" t="s">
        <v>728</v>
      </c>
      <c r="I49" t="s">
        <v>729</v>
      </c>
      <c r="J49" t="s">
        <v>730</v>
      </c>
      <c r="K49" t="s">
        <v>731</v>
      </c>
      <c r="L49" t="s">
        <v>732</v>
      </c>
      <c r="M49">
        <v>881778</v>
      </c>
      <c r="N49">
        <v>1265000</v>
      </c>
      <c r="O49" t="s">
        <v>733</v>
      </c>
      <c r="P49" s="1">
        <v>45526</v>
      </c>
      <c r="Q49" s="2" t="s">
        <v>734</v>
      </c>
      <c r="R49" t="s">
        <v>735</v>
      </c>
      <c r="S49" t="s">
        <v>493</v>
      </c>
      <c r="T49" t="s">
        <v>736</v>
      </c>
      <c r="U49" t="s">
        <v>737</v>
      </c>
      <c r="V49" t="s">
        <v>717</v>
      </c>
      <c r="W49" t="s">
        <v>738</v>
      </c>
      <c r="X49" t="s">
        <v>719</v>
      </c>
      <c r="Y49" t="s">
        <v>739</v>
      </c>
      <c r="Z49" t="s">
        <v>740</v>
      </c>
      <c r="AA49">
        <v>4</v>
      </c>
      <c r="AB49" t="s">
        <v>124</v>
      </c>
      <c r="AC49" t="s">
        <v>741</v>
      </c>
      <c r="AD49" t="s">
        <v>742</v>
      </c>
      <c r="AE49" t="s">
        <v>428</v>
      </c>
      <c r="AF49">
        <v>948750</v>
      </c>
      <c r="AG49" s="3">
        <v>23719</v>
      </c>
      <c r="AH49" t="s">
        <v>743</v>
      </c>
      <c r="AI49" t="s">
        <v>724</v>
      </c>
      <c r="AK49" t="s">
        <v>744</v>
      </c>
      <c r="AL49" s="3">
        <v>23719</v>
      </c>
      <c r="AM49">
        <v>0</v>
      </c>
      <c r="AN49" s="4">
        <f>Table103[[#This Row],[Premium]]-Table103[[#This Row],[Tms Prem]]</f>
        <v>0</v>
      </c>
    </row>
    <row r="50" spans="1:40" x14ac:dyDescent="0.25">
      <c r="A50">
        <v>49</v>
      </c>
      <c r="B50" t="s">
        <v>38</v>
      </c>
      <c r="C50" t="s">
        <v>745</v>
      </c>
      <c r="D50" t="s">
        <v>40</v>
      </c>
      <c r="E50" t="s">
        <v>41</v>
      </c>
      <c r="F50" t="s">
        <v>746</v>
      </c>
      <c r="G50" t="s">
        <v>474</v>
      </c>
      <c r="H50" t="s">
        <v>747</v>
      </c>
      <c r="I50" t="s">
        <v>748</v>
      </c>
      <c r="J50" t="s">
        <v>749</v>
      </c>
      <c r="K50" t="s">
        <v>750</v>
      </c>
      <c r="L50" t="s">
        <v>751</v>
      </c>
      <c r="M50">
        <v>1148000</v>
      </c>
      <c r="N50">
        <v>1640000</v>
      </c>
      <c r="O50" t="s">
        <v>752</v>
      </c>
      <c r="P50" s="1">
        <v>45512</v>
      </c>
      <c r="Q50" s="2" t="s">
        <v>753</v>
      </c>
      <c r="R50" t="s">
        <v>754</v>
      </c>
      <c r="S50" t="s">
        <v>50</v>
      </c>
      <c r="T50" t="s">
        <v>45</v>
      </c>
      <c r="U50" t="s">
        <v>755</v>
      </c>
      <c r="V50" t="s">
        <v>140</v>
      </c>
      <c r="W50" t="s">
        <v>756</v>
      </c>
      <c r="X50" t="s">
        <v>281</v>
      </c>
      <c r="Y50" t="s">
        <v>424</v>
      </c>
      <c r="Z50" t="s">
        <v>757</v>
      </c>
      <c r="AA50">
        <v>4</v>
      </c>
      <c r="AB50" t="s">
        <v>57</v>
      </c>
      <c r="AC50" t="s">
        <v>758</v>
      </c>
      <c r="AD50" t="s">
        <v>254</v>
      </c>
      <c r="AE50" t="s">
        <v>60</v>
      </c>
      <c r="AF50">
        <v>1312000</v>
      </c>
      <c r="AG50" s="3">
        <v>26240</v>
      </c>
      <c r="AK50" t="s">
        <v>759</v>
      </c>
      <c r="AL50" s="3">
        <v>26240</v>
      </c>
      <c r="AM50">
        <v>0</v>
      </c>
      <c r="AN50" s="4">
        <f>Table103[[#This Row],[Premium]]-Table103[[#This Row],[Tms Prem]]</f>
        <v>0</v>
      </c>
    </row>
    <row r="51" spans="1:40" x14ac:dyDescent="0.25">
      <c r="A51">
        <v>50</v>
      </c>
      <c r="B51" t="s">
        <v>38</v>
      </c>
      <c r="C51" t="s">
        <v>760</v>
      </c>
      <c r="D51" t="s">
        <v>40</v>
      </c>
      <c r="E51" t="s">
        <v>41</v>
      </c>
      <c r="F51" t="s">
        <v>761</v>
      </c>
      <c r="G51" t="s">
        <v>174</v>
      </c>
      <c r="H51" t="s">
        <v>762</v>
      </c>
      <c r="I51" t="s">
        <v>763</v>
      </c>
      <c r="J51" t="s">
        <v>763</v>
      </c>
      <c r="K51" t="s">
        <v>763</v>
      </c>
      <c r="L51" t="s">
        <v>764</v>
      </c>
      <c r="M51">
        <v>1432001</v>
      </c>
      <c r="N51">
        <v>2100000</v>
      </c>
      <c r="O51" t="s">
        <v>765</v>
      </c>
      <c r="P51" s="1">
        <v>45533</v>
      </c>
      <c r="Q51" s="2" t="s">
        <v>766</v>
      </c>
      <c r="R51" t="s">
        <v>767</v>
      </c>
      <c r="S51" t="s">
        <v>88</v>
      </c>
      <c r="T51" t="s">
        <v>768</v>
      </c>
      <c r="U51" t="s">
        <v>769</v>
      </c>
      <c r="V51" t="s">
        <v>717</v>
      </c>
      <c r="W51" t="s">
        <v>770</v>
      </c>
      <c r="X51" t="s">
        <v>771</v>
      </c>
      <c r="Y51" t="s">
        <v>772</v>
      </c>
      <c r="Z51" t="s">
        <v>773</v>
      </c>
      <c r="AA51">
        <v>6</v>
      </c>
      <c r="AB51" t="s">
        <v>57</v>
      </c>
      <c r="AC51" t="s">
        <v>774</v>
      </c>
      <c r="AD51" t="s">
        <v>770</v>
      </c>
      <c r="AE51" t="s">
        <v>428</v>
      </c>
      <c r="AF51">
        <v>1470000</v>
      </c>
      <c r="AG51" s="3">
        <v>39375</v>
      </c>
      <c r="AH51" t="s">
        <v>775</v>
      </c>
      <c r="AI51" t="s">
        <v>724</v>
      </c>
      <c r="AK51" t="s">
        <v>776</v>
      </c>
      <c r="AL51" s="3">
        <v>36750</v>
      </c>
      <c r="AM51" t="s">
        <v>4081</v>
      </c>
      <c r="AN51" s="4">
        <f>Table103[[#This Row],[Premium]]-Table103[[#This Row],[Tms Prem]]</f>
        <v>2625</v>
      </c>
    </row>
    <row r="52" spans="1:40" x14ac:dyDescent="0.25">
      <c r="A52">
        <v>51</v>
      </c>
      <c r="B52" t="s">
        <v>38</v>
      </c>
      <c r="C52" t="s">
        <v>777</v>
      </c>
      <c r="D52" t="s">
        <v>40</v>
      </c>
      <c r="E52" t="s">
        <v>41</v>
      </c>
      <c r="F52" t="s">
        <v>778</v>
      </c>
      <c r="G52" t="s">
        <v>174</v>
      </c>
      <c r="H52" t="s">
        <v>779</v>
      </c>
      <c r="I52" t="s">
        <v>780</v>
      </c>
      <c r="J52" t="s">
        <v>780</v>
      </c>
      <c r="K52" t="s">
        <v>780</v>
      </c>
      <c r="L52" t="s">
        <v>781</v>
      </c>
      <c r="M52">
        <v>402628</v>
      </c>
      <c r="N52">
        <v>550000</v>
      </c>
      <c r="O52" t="s">
        <v>782</v>
      </c>
      <c r="P52" s="1">
        <v>45526</v>
      </c>
      <c r="Q52" s="2" t="s">
        <v>783</v>
      </c>
      <c r="R52" t="s">
        <v>784</v>
      </c>
      <c r="S52" t="s">
        <v>88</v>
      </c>
      <c r="T52" t="s">
        <v>785</v>
      </c>
      <c r="U52" t="s">
        <v>786</v>
      </c>
      <c r="V52" t="s">
        <v>717</v>
      </c>
      <c r="W52" t="s">
        <v>787</v>
      </c>
      <c r="X52" t="s">
        <v>719</v>
      </c>
      <c r="Y52" t="s">
        <v>720</v>
      </c>
      <c r="Z52" t="s">
        <v>788</v>
      </c>
      <c r="AA52">
        <v>4</v>
      </c>
      <c r="AB52" t="s">
        <v>57</v>
      </c>
      <c r="AC52" t="s">
        <v>789</v>
      </c>
      <c r="AD52" t="s">
        <v>790</v>
      </c>
      <c r="AE52" t="s">
        <v>428</v>
      </c>
      <c r="AF52">
        <v>412500</v>
      </c>
      <c r="AG52" s="3">
        <v>10313</v>
      </c>
      <c r="AH52" t="s">
        <v>791</v>
      </c>
      <c r="AI52" t="s">
        <v>724</v>
      </c>
      <c r="AK52" t="s">
        <v>792</v>
      </c>
      <c r="AL52" s="3">
        <v>10313</v>
      </c>
      <c r="AM52">
        <v>0</v>
      </c>
      <c r="AN52" s="4">
        <f>Table103[[#This Row],[Premium]]-Table103[[#This Row],[Tms Prem]]</f>
        <v>0</v>
      </c>
    </row>
    <row r="53" spans="1:40" x14ac:dyDescent="0.25">
      <c r="A53">
        <v>52</v>
      </c>
      <c r="B53" t="s">
        <v>38</v>
      </c>
      <c r="C53" t="s">
        <v>793</v>
      </c>
      <c r="D53" t="s">
        <v>40</v>
      </c>
      <c r="E53" t="s">
        <v>41</v>
      </c>
      <c r="F53" t="s">
        <v>794</v>
      </c>
      <c r="G53" t="s">
        <v>289</v>
      </c>
      <c r="H53" t="s">
        <v>795</v>
      </c>
      <c r="I53" t="s">
        <v>796</v>
      </c>
      <c r="J53" t="s">
        <v>45</v>
      </c>
      <c r="K53" t="s">
        <v>797</v>
      </c>
      <c r="L53" t="s">
        <v>798</v>
      </c>
      <c r="M53">
        <v>1350300</v>
      </c>
      <c r="N53">
        <v>1929000</v>
      </c>
      <c r="O53" t="s">
        <v>799</v>
      </c>
      <c r="P53" s="1">
        <v>45512</v>
      </c>
      <c r="Q53" s="2">
        <v>89536</v>
      </c>
      <c r="R53" t="s">
        <v>800</v>
      </c>
      <c r="S53" t="s">
        <v>50</v>
      </c>
      <c r="T53" t="s">
        <v>45</v>
      </c>
      <c r="U53" t="s">
        <v>801</v>
      </c>
      <c r="V53" t="s">
        <v>140</v>
      </c>
      <c r="W53" t="s">
        <v>266</v>
      </c>
      <c r="X53" t="s">
        <v>281</v>
      </c>
      <c r="Y53" t="s">
        <v>73</v>
      </c>
      <c r="Z53" t="s">
        <v>802</v>
      </c>
      <c r="AA53">
        <v>5</v>
      </c>
      <c r="AB53" t="s">
        <v>57</v>
      </c>
      <c r="AC53" t="s">
        <v>803</v>
      </c>
      <c r="AD53" t="s">
        <v>804</v>
      </c>
      <c r="AE53" t="s">
        <v>60</v>
      </c>
      <c r="AF53">
        <v>1543200</v>
      </c>
      <c r="AG53" s="3">
        <v>30864</v>
      </c>
      <c r="AK53" t="s">
        <v>805</v>
      </c>
      <c r="AL53" s="3">
        <v>30864</v>
      </c>
      <c r="AM53">
        <v>0</v>
      </c>
      <c r="AN53" s="4">
        <f>Table103[[#This Row],[Premium]]-Table103[[#This Row],[Tms Prem]]</f>
        <v>0</v>
      </c>
    </row>
    <row r="54" spans="1:40" x14ac:dyDescent="0.25">
      <c r="A54">
        <v>53</v>
      </c>
      <c r="B54" t="s">
        <v>38</v>
      </c>
      <c r="C54" t="s">
        <v>806</v>
      </c>
      <c r="D54" t="s">
        <v>40</v>
      </c>
      <c r="E54" t="s">
        <v>41</v>
      </c>
      <c r="F54" t="s">
        <v>807</v>
      </c>
      <c r="G54" t="s">
        <v>43</v>
      </c>
      <c r="H54" t="s">
        <v>808</v>
      </c>
      <c r="I54" t="s">
        <v>809</v>
      </c>
      <c r="J54" t="s">
        <v>45</v>
      </c>
      <c r="K54" t="s">
        <v>151</v>
      </c>
      <c r="L54" t="s">
        <v>810</v>
      </c>
      <c r="M54">
        <v>2996250</v>
      </c>
      <c r="N54">
        <v>3995000</v>
      </c>
      <c r="O54" t="s">
        <v>811</v>
      </c>
      <c r="P54" s="1">
        <v>45512</v>
      </c>
      <c r="Q54" s="2" t="s">
        <v>812</v>
      </c>
      <c r="R54" t="s">
        <v>813</v>
      </c>
      <c r="S54" t="s">
        <v>50</v>
      </c>
      <c r="T54" t="s">
        <v>45</v>
      </c>
      <c r="U54" t="s">
        <v>814</v>
      </c>
      <c r="V54" t="s">
        <v>140</v>
      </c>
      <c r="W54" t="s">
        <v>511</v>
      </c>
      <c r="X54" t="s">
        <v>406</v>
      </c>
      <c r="Y54" t="s">
        <v>815</v>
      </c>
      <c r="Z54" t="s">
        <v>816</v>
      </c>
      <c r="AA54">
        <v>5</v>
      </c>
      <c r="AB54" t="s">
        <v>57</v>
      </c>
      <c r="AC54" t="s">
        <v>817</v>
      </c>
      <c r="AD54" t="s">
        <v>301</v>
      </c>
      <c r="AE54" t="s">
        <v>60</v>
      </c>
      <c r="AF54">
        <v>3196000</v>
      </c>
      <c r="AG54" s="3">
        <v>63920</v>
      </c>
      <c r="AK54" t="s">
        <v>818</v>
      </c>
      <c r="AL54" s="3">
        <v>63920</v>
      </c>
      <c r="AM54">
        <v>0</v>
      </c>
      <c r="AN54" s="4">
        <f>Table103[[#This Row],[Premium]]-Table103[[#This Row],[Tms Prem]]</f>
        <v>0</v>
      </c>
    </row>
    <row r="55" spans="1:40" x14ac:dyDescent="0.25">
      <c r="A55">
        <v>54</v>
      </c>
      <c r="B55" t="s">
        <v>38</v>
      </c>
      <c r="C55" t="s">
        <v>819</v>
      </c>
      <c r="D55" t="s">
        <v>40</v>
      </c>
      <c r="E55" t="s">
        <v>41</v>
      </c>
      <c r="F55" t="s">
        <v>820</v>
      </c>
      <c r="G55" t="s">
        <v>114</v>
      </c>
      <c r="H55" t="s">
        <v>821</v>
      </c>
      <c r="I55" t="s">
        <v>822</v>
      </c>
      <c r="J55" t="s">
        <v>823</v>
      </c>
      <c r="K55" t="s">
        <v>822</v>
      </c>
      <c r="L55" t="s">
        <v>824</v>
      </c>
      <c r="M55">
        <v>1414500</v>
      </c>
      <c r="N55">
        <v>1886000</v>
      </c>
      <c r="O55" t="s">
        <v>825</v>
      </c>
      <c r="P55" s="1">
        <v>45535</v>
      </c>
      <c r="Q55" s="2" t="s">
        <v>826</v>
      </c>
      <c r="R55" t="s">
        <v>827</v>
      </c>
      <c r="S55" t="s">
        <v>50</v>
      </c>
      <c r="T55" t="s">
        <v>45</v>
      </c>
      <c r="U55" t="s">
        <v>51</v>
      </c>
      <c r="V55" t="s">
        <v>52</v>
      </c>
      <c r="W55" t="s">
        <v>828</v>
      </c>
      <c r="X55" t="s">
        <v>829</v>
      </c>
      <c r="Y55" t="s">
        <v>830</v>
      </c>
      <c r="Z55" t="s">
        <v>831</v>
      </c>
      <c r="AA55">
        <v>7</v>
      </c>
      <c r="AB55" t="s">
        <v>196</v>
      </c>
      <c r="AC55" t="s">
        <v>832</v>
      </c>
      <c r="AD55" t="s">
        <v>833</v>
      </c>
      <c r="AE55" t="s">
        <v>60</v>
      </c>
      <c r="AF55">
        <v>1697400</v>
      </c>
      <c r="AG55" s="3">
        <v>32062</v>
      </c>
      <c r="AK55" t="s">
        <v>834</v>
      </c>
      <c r="AL55" s="3">
        <v>33948</v>
      </c>
      <c r="AM55" t="s">
        <v>4082</v>
      </c>
      <c r="AN55" s="4">
        <f>Table103[[#This Row],[Premium]]-Table103[[#This Row],[Tms Prem]]</f>
        <v>-1886</v>
      </c>
    </row>
    <row r="56" spans="1:40" x14ac:dyDescent="0.25">
      <c r="A56">
        <v>55</v>
      </c>
      <c r="B56" t="s">
        <v>471</v>
      </c>
      <c r="C56" t="s">
        <v>835</v>
      </c>
      <c r="D56" t="s">
        <v>40</v>
      </c>
      <c r="E56" t="s">
        <v>41</v>
      </c>
      <c r="F56" t="s">
        <v>836</v>
      </c>
      <c r="G56" t="s">
        <v>837</v>
      </c>
      <c r="H56" t="s">
        <v>838</v>
      </c>
      <c r="I56" t="s">
        <v>45</v>
      </c>
      <c r="J56" t="s">
        <v>839</v>
      </c>
      <c r="K56" t="s">
        <v>45</v>
      </c>
      <c r="L56" t="s">
        <v>840</v>
      </c>
      <c r="M56">
        <v>793800</v>
      </c>
      <c r="N56">
        <v>1134000</v>
      </c>
      <c r="O56" t="s">
        <v>841</v>
      </c>
      <c r="P56" s="1">
        <v>45512</v>
      </c>
      <c r="Q56" s="2" t="s">
        <v>842</v>
      </c>
      <c r="R56" t="s">
        <v>843</v>
      </c>
      <c r="S56" t="s">
        <v>50</v>
      </c>
      <c r="T56" t="s">
        <v>45</v>
      </c>
      <c r="U56" t="s">
        <v>844</v>
      </c>
      <c r="V56" t="s">
        <v>140</v>
      </c>
      <c r="W56" t="s">
        <v>511</v>
      </c>
      <c r="X56" t="s">
        <v>406</v>
      </c>
      <c r="Y56" t="s">
        <v>815</v>
      </c>
      <c r="Z56" t="s">
        <v>845</v>
      </c>
      <c r="AA56">
        <v>5</v>
      </c>
      <c r="AB56" t="s">
        <v>57</v>
      </c>
      <c r="AC56" t="s">
        <v>846</v>
      </c>
      <c r="AD56" t="s">
        <v>804</v>
      </c>
      <c r="AE56" t="s">
        <v>60</v>
      </c>
      <c r="AF56">
        <v>907200</v>
      </c>
      <c r="AG56" s="3">
        <v>18144</v>
      </c>
      <c r="AK56" t="s">
        <v>847</v>
      </c>
      <c r="AL56" s="3">
        <v>18144</v>
      </c>
      <c r="AM56">
        <v>0</v>
      </c>
      <c r="AN56" s="4">
        <f>Table103[[#This Row],[Premium]]-Table103[[#This Row],[Tms Prem]]</f>
        <v>0</v>
      </c>
    </row>
    <row r="57" spans="1:40" x14ac:dyDescent="0.25">
      <c r="A57">
        <v>56</v>
      </c>
      <c r="B57" t="s">
        <v>38</v>
      </c>
      <c r="C57" t="s">
        <v>848</v>
      </c>
      <c r="D57" t="s">
        <v>40</v>
      </c>
      <c r="E57" t="s">
        <v>41</v>
      </c>
      <c r="F57" t="s">
        <v>849</v>
      </c>
      <c r="G57" t="s">
        <v>174</v>
      </c>
      <c r="H57" t="s">
        <v>850</v>
      </c>
      <c r="I57" t="s">
        <v>851</v>
      </c>
      <c r="J57" t="s">
        <v>851</v>
      </c>
      <c r="K57" t="s">
        <v>852</v>
      </c>
      <c r="L57" t="s">
        <v>853</v>
      </c>
      <c r="M57">
        <v>3541850</v>
      </c>
      <c r="N57">
        <v>5449000</v>
      </c>
      <c r="O57" t="s">
        <v>854</v>
      </c>
      <c r="P57" s="1">
        <v>45535</v>
      </c>
      <c r="Q57" s="2">
        <v>5180096</v>
      </c>
      <c r="R57" t="s">
        <v>855</v>
      </c>
      <c r="S57" t="s">
        <v>50</v>
      </c>
      <c r="T57" t="s">
        <v>45</v>
      </c>
      <c r="U57" t="s">
        <v>578</v>
      </c>
      <c r="V57" t="s">
        <v>140</v>
      </c>
      <c r="W57" t="s">
        <v>856</v>
      </c>
      <c r="X57" t="s">
        <v>857</v>
      </c>
      <c r="Y57" t="s">
        <v>858</v>
      </c>
      <c r="Z57" t="s">
        <v>859</v>
      </c>
      <c r="AA57">
        <v>5</v>
      </c>
      <c r="AB57" t="s">
        <v>124</v>
      </c>
      <c r="AC57" t="s">
        <v>860</v>
      </c>
      <c r="AD57" t="s">
        <v>861</v>
      </c>
      <c r="AE57" t="s">
        <v>97</v>
      </c>
      <c r="AF57">
        <v>4359200</v>
      </c>
      <c r="AG57" s="3">
        <v>76286</v>
      </c>
      <c r="AK57" t="s">
        <v>862</v>
      </c>
      <c r="AL57" s="3">
        <v>76286</v>
      </c>
      <c r="AM57">
        <v>0</v>
      </c>
      <c r="AN57" s="4">
        <f>Table103[[#This Row],[Premium]]-Table103[[#This Row],[Tms Prem]]</f>
        <v>0</v>
      </c>
    </row>
    <row r="58" spans="1:40" x14ac:dyDescent="0.25">
      <c r="A58">
        <v>57</v>
      </c>
      <c r="B58" t="s">
        <v>38</v>
      </c>
      <c r="C58" t="s">
        <v>863</v>
      </c>
      <c r="D58" t="s">
        <v>40</v>
      </c>
      <c r="E58" t="s">
        <v>41</v>
      </c>
      <c r="F58" t="s">
        <v>864</v>
      </c>
      <c r="G58" t="s">
        <v>80</v>
      </c>
      <c r="H58" t="s">
        <v>865</v>
      </c>
      <c r="I58" t="s">
        <v>45</v>
      </c>
      <c r="J58" t="s">
        <v>866</v>
      </c>
      <c r="K58" t="s">
        <v>45</v>
      </c>
      <c r="L58" t="s">
        <v>867</v>
      </c>
      <c r="M58">
        <v>2253750</v>
      </c>
      <c r="N58">
        <v>3005000</v>
      </c>
      <c r="O58" t="s">
        <v>868</v>
      </c>
      <c r="P58" s="1">
        <v>45535</v>
      </c>
      <c r="Q58" s="2" t="s">
        <v>869</v>
      </c>
      <c r="R58" t="s">
        <v>870</v>
      </c>
      <c r="S58" t="s">
        <v>50</v>
      </c>
      <c r="T58" t="s">
        <v>45</v>
      </c>
      <c r="U58" t="s">
        <v>871</v>
      </c>
      <c r="V58" t="s">
        <v>140</v>
      </c>
      <c r="W58" t="s">
        <v>872</v>
      </c>
      <c r="X58" t="s">
        <v>873</v>
      </c>
      <c r="Y58" t="s">
        <v>874</v>
      </c>
      <c r="Z58" t="s">
        <v>875</v>
      </c>
      <c r="AA58">
        <v>5</v>
      </c>
      <c r="AB58" t="s">
        <v>124</v>
      </c>
      <c r="AC58" t="s">
        <v>876</v>
      </c>
      <c r="AD58" t="s">
        <v>877</v>
      </c>
      <c r="AE58" t="s">
        <v>60</v>
      </c>
      <c r="AF58">
        <v>2404000</v>
      </c>
      <c r="AG58" s="3">
        <v>48080</v>
      </c>
      <c r="AK58" t="s">
        <v>878</v>
      </c>
      <c r="AL58" s="3">
        <v>48080</v>
      </c>
      <c r="AM58">
        <v>0</v>
      </c>
      <c r="AN58" s="4">
        <f>Table103[[#This Row],[Premium]]-Table103[[#This Row],[Tms Prem]]</f>
        <v>0</v>
      </c>
    </row>
    <row r="59" spans="1:40" x14ac:dyDescent="0.25">
      <c r="A59">
        <v>58</v>
      </c>
      <c r="B59" t="s">
        <v>38</v>
      </c>
      <c r="C59" t="s">
        <v>879</v>
      </c>
      <c r="D59" t="s">
        <v>40</v>
      </c>
      <c r="E59" t="s">
        <v>41</v>
      </c>
      <c r="F59" t="s">
        <v>880</v>
      </c>
      <c r="G59" t="s">
        <v>881</v>
      </c>
      <c r="H59" t="s">
        <v>882</v>
      </c>
      <c r="I59" t="s">
        <v>883</v>
      </c>
      <c r="J59" t="s">
        <v>883</v>
      </c>
      <c r="K59" t="s">
        <v>884</v>
      </c>
      <c r="L59" t="s">
        <v>885</v>
      </c>
      <c r="M59">
        <v>2274750</v>
      </c>
      <c r="N59">
        <v>3033000</v>
      </c>
      <c r="O59" t="s">
        <v>886</v>
      </c>
      <c r="P59" s="1">
        <v>45513</v>
      </c>
      <c r="Q59" s="2" t="s">
        <v>887</v>
      </c>
      <c r="R59" t="s">
        <v>888</v>
      </c>
      <c r="S59" t="s">
        <v>50</v>
      </c>
      <c r="T59" t="s">
        <v>45</v>
      </c>
      <c r="U59" t="s">
        <v>871</v>
      </c>
      <c r="V59" t="s">
        <v>140</v>
      </c>
      <c r="W59" t="s">
        <v>872</v>
      </c>
      <c r="X59" t="s">
        <v>281</v>
      </c>
      <c r="Y59" t="s">
        <v>424</v>
      </c>
      <c r="Z59" t="s">
        <v>889</v>
      </c>
      <c r="AA59">
        <v>4</v>
      </c>
      <c r="AB59" t="s">
        <v>196</v>
      </c>
      <c r="AC59" t="s">
        <v>890</v>
      </c>
      <c r="AD59" t="s">
        <v>891</v>
      </c>
      <c r="AE59" t="s">
        <v>60</v>
      </c>
      <c r="AF59">
        <v>2426400</v>
      </c>
      <c r="AG59" s="3">
        <v>48528</v>
      </c>
      <c r="AK59" t="s">
        <v>892</v>
      </c>
      <c r="AL59" s="3">
        <v>48528</v>
      </c>
      <c r="AM59">
        <v>0</v>
      </c>
      <c r="AN59" s="4">
        <f>Table103[[#This Row],[Premium]]-Table103[[#This Row],[Tms Prem]]</f>
        <v>0</v>
      </c>
    </row>
    <row r="60" spans="1:40" x14ac:dyDescent="0.25">
      <c r="A60">
        <v>59</v>
      </c>
      <c r="B60" t="s">
        <v>38</v>
      </c>
      <c r="C60" t="s">
        <v>893</v>
      </c>
      <c r="D60" t="s">
        <v>40</v>
      </c>
      <c r="E60" t="s">
        <v>41</v>
      </c>
      <c r="F60" t="s">
        <v>894</v>
      </c>
      <c r="G60" t="s">
        <v>174</v>
      </c>
      <c r="H60" t="s">
        <v>895</v>
      </c>
      <c r="I60" t="s">
        <v>896</v>
      </c>
      <c r="J60" t="s">
        <v>896</v>
      </c>
      <c r="K60" t="s">
        <v>896</v>
      </c>
      <c r="L60" t="s">
        <v>897</v>
      </c>
      <c r="M60">
        <v>1554490</v>
      </c>
      <c r="N60">
        <v>2933000</v>
      </c>
      <c r="O60" t="s">
        <v>898</v>
      </c>
      <c r="P60" s="1">
        <v>45535</v>
      </c>
      <c r="Q60" s="2" t="s">
        <v>899</v>
      </c>
      <c r="R60" t="s">
        <v>900</v>
      </c>
      <c r="S60" t="s">
        <v>50</v>
      </c>
      <c r="T60" t="s">
        <v>45</v>
      </c>
      <c r="U60" t="s">
        <v>901</v>
      </c>
      <c r="V60" t="s">
        <v>140</v>
      </c>
      <c r="W60" t="s">
        <v>902</v>
      </c>
      <c r="X60" t="s">
        <v>903</v>
      </c>
      <c r="Y60" t="s">
        <v>904</v>
      </c>
      <c r="Z60" t="s">
        <v>905</v>
      </c>
      <c r="AA60">
        <v>7</v>
      </c>
      <c r="AB60" t="s">
        <v>57</v>
      </c>
      <c r="AC60" t="s">
        <v>906</v>
      </c>
      <c r="AD60" t="s">
        <v>907</v>
      </c>
      <c r="AE60" t="s">
        <v>97</v>
      </c>
      <c r="AF60">
        <v>2639700</v>
      </c>
      <c r="AG60" s="3">
        <v>41062</v>
      </c>
      <c r="AK60" t="s">
        <v>908</v>
      </c>
      <c r="AL60" s="3">
        <v>46195</v>
      </c>
      <c r="AM60" t="s">
        <v>4083</v>
      </c>
      <c r="AN60" s="4">
        <f>Table103[[#This Row],[Premium]]-Table103[[#This Row],[Tms Prem]]</f>
        <v>-5133</v>
      </c>
    </row>
    <row r="61" spans="1:40" x14ac:dyDescent="0.25">
      <c r="A61">
        <v>60</v>
      </c>
      <c r="B61" t="s">
        <v>38</v>
      </c>
      <c r="C61" t="s">
        <v>909</v>
      </c>
      <c r="D61" t="s">
        <v>40</v>
      </c>
      <c r="E61" t="s">
        <v>41</v>
      </c>
      <c r="F61" t="s">
        <v>910</v>
      </c>
      <c r="G61" t="s">
        <v>174</v>
      </c>
      <c r="H61" t="s">
        <v>911</v>
      </c>
      <c r="I61" t="s">
        <v>912</v>
      </c>
      <c r="J61" t="s">
        <v>912</v>
      </c>
      <c r="K61" t="s">
        <v>912</v>
      </c>
      <c r="L61" t="s">
        <v>913</v>
      </c>
      <c r="M61">
        <v>840000</v>
      </c>
      <c r="N61">
        <v>1200000</v>
      </c>
      <c r="O61" t="s">
        <v>914</v>
      </c>
      <c r="P61" s="1">
        <v>45513</v>
      </c>
      <c r="Q61" s="2" t="s">
        <v>915</v>
      </c>
      <c r="R61" t="s">
        <v>916</v>
      </c>
      <c r="S61" t="s">
        <v>493</v>
      </c>
      <c r="T61" t="s">
        <v>917</v>
      </c>
      <c r="U61" t="s">
        <v>918</v>
      </c>
      <c r="V61" t="s">
        <v>717</v>
      </c>
      <c r="W61" t="s">
        <v>498</v>
      </c>
      <c r="X61" t="s">
        <v>498</v>
      </c>
      <c r="Y61" t="s">
        <v>182</v>
      </c>
      <c r="Z61" t="s">
        <v>919</v>
      </c>
      <c r="AA61">
        <v>5</v>
      </c>
      <c r="AB61" t="s">
        <v>124</v>
      </c>
      <c r="AC61" t="s">
        <v>920</v>
      </c>
      <c r="AD61" t="s">
        <v>540</v>
      </c>
      <c r="AE61" t="s">
        <v>60</v>
      </c>
      <c r="AF61">
        <v>900000</v>
      </c>
      <c r="AG61" s="3">
        <v>18000</v>
      </c>
      <c r="AK61" t="s">
        <v>921</v>
      </c>
      <c r="AL61" s="3">
        <v>18000</v>
      </c>
      <c r="AM61">
        <v>0</v>
      </c>
      <c r="AN61" s="4">
        <f>Table103[[#This Row],[Premium]]-Table103[[#This Row],[Tms Prem]]</f>
        <v>0</v>
      </c>
    </row>
    <row r="62" spans="1:40" x14ac:dyDescent="0.25">
      <c r="A62">
        <v>61</v>
      </c>
      <c r="B62" t="s">
        <v>38</v>
      </c>
      <c r="C62" t="s">
        <v>922</v>
      </c>
      <c r="D62" t="s">
        <v>40</v>
      </c>
      <c r="E62" t="s">
        <v>41</v>
      </c>
      <c r="F62" t="s">
        <v>923</v>
      </c>
      <c r="G62" t="s">
        <v>174</v>
      </c>
      <c r="H62" t="s">
        <v>924</v>
      </c>
      <c r="I62" t="s">
        <v>925</v>
      </c>
      <c r="J62" t="s">
        <v>925</v>
      </c>
      <c r="K62" t="s">
        <v>925</v>
      </c>
      <c r="L62" t="s">
        <v>926</v>
      </c>
      <c r="M62">
        <v>2368000</v>
      </c>
      <c r="N62">
        <v>3700000</v>
      </c>
      <c r="O62" t="s">
        <v>927</v>
      </c>
      <c r="P62" t="s">
        <v>928</v>
      </c>
      <c r="Q62" s="2">
        <v>504147</v>
      </c>
      <c r="R62" t="s">
        <v>929</v>
      </c>
      <c r="S62" t="s">
        <v>88</v>
      </c>
      <c r="T62" t="s">
        <v>88</v>
      </c>
      <c r="U62" t="s">
        <v>930</v>
      </c>
      <c r="V62" t="s">
        <v>140</v>
      </c>
      <c r="W62">
        <v>45169</v>
      </c>
      <c r="X62" t="s">
        <v>931</v>
      </c>
      <c r="Y62" t="s">
        <v>874</v>
      </c>
      <c r="Z62" t="s">
        <v>932</v>
      </c>
      <c r="AA62">
        <v>3</v>
      </c>
      <c r="AB62" t="s">
        <v>57</v>
      </c>
      <c r="AC62" t="s">
        <v>933</v>
      </c>
      <c r="AD62" t="s">
        <v>934</v>
      </c>
      <c r="AE62" t="s">
        <v>97</v>
      </c>
      <c r="AF62">
        <v>3330000</v>
      </c>
      <c r="AG62" s="3">
        <v>58275.000000000007</v>
      </c>
      <c r="AK62" t="s">
        <v>935</v>
      </c>
      <c r="AL62" s="3">
        <v>58275</v>
      </c>
      <c r="AM62">
        <v>0</v>
      </c>
      <c r="AN62" s="4">
        <f>Table103[[#This Row],[Premium]]-Table103[[#This Row],[Tms Prem]]</f>
        <v>0</v>
      </c>
    </row>
    <row r="63" spans="1:40" x14ac:dyDescent="0.25">
      <c r="A63">
        <v>62</v>
      </c>
      <c r="B63" t="s">
        <v>38</v>
      </c>
      <c r="C63" t="s">
        <v>936</v>
      </c>
      <c r="D63" t="s">
        <v>40</v>
      </c>
      <c r="E63" t="s">
        <v>41</v>
      </c>
      <c r="F63" t="s">
        <v>937</v>
      </c>
      <c r="G63" t="s">
        <v>174</v>
      </c>
      <c r="H63" t="s">
        <v>938</v>
      </c>
      <c r="I63" t="s">
        <v>939</v>
      </c>
      <c r="J63" t="s">
        <v>939</v>
      </c>
      <c r="K63" t="s">
        <v>939</v>
      </c>
      <c r="L63" t="s">
        <v>940</v>
      </c>
      <c r="M63">
        <v>1278400</v>
      </c>
      <c r="N63">
        <v>1598000</v>
      </c>
      <c r="O63" t="s">
        <v>941</v>
      </c>
      <c r="P63" s="1">
        <v>45513</v>
      </c>
      <c r="Q63" s="2">
        <v>130179</v>
      </c>
      <c r="R63" t="s">
        <v>942</v>
      </c>
      <c r="S63" t="s">
        <v>50</v>
      </c>
      <c r="T63" t="s">
        <v>943</v>
      </c>
      <c r="U63" t="s">
        <v>265</v>
      </c>
      <c r="V63" t="s">
        <v>90</v>
      </c>
      <c r="W63" t="s">
        <v>498</v>
      </c>
      <c r="X63" t="s">
        <v>498</v>
      </c>
      <c r="Y63" t="s">
        <v>182</v>
      </c>
      <c r="Z63" t="s">
        <v>944</v>
      </c>
      <c r="AA63">
        <v>5</v>
      </c>
      <c r="AB63" t="s">
        <v>124</v>
      </c>
      <c r="AC63" t="s">
        <v>945</v>
      </c>
      <c r="AD63" t="s">
        <v>540</v>
      </c>
      <c r="AE63" t="s">
        <v>60</v>
      </c>
      <c r="AF63">
        <v>1198500</v>
      </c>
      <c r="AG63" s="3">
        <v>23970</v>
      </c>
      <c r="AK63" t="s">
        <v>946</v>
      </c>
      <c r="AL63" s="3">
        <v>23970</v>
      </c>
      <c r="AM63">
        <v>0</v>
      </c>
      <c r="AN63" s="4">
        <f>Table103[[#This Row],[Premium]]-Table103[[#This Row],[Tms Prem]]</f>
        <v>0</v>
      </c>
    </row>
    <row r="64" spans="1:40" x14ac:dyDescent="0.25">
      <c r="A64">
        <v>63</v>
      </c>
      <c r="B64" t="s">
        <v>38</v>
      </c>
      <c r="C64" t="s">
        <v>947</v>
      </c>
      <c r="D64" t="s">
        <v>40</v>
      </c>
      <c r="E64" t="s">
        <v>41</v>
      </c>
      <c r="F64" t="s">
        <v>948</v>
      </c>
      <c r="G64" t="s">
        <v>80</v>
      </c>
      <c r="H64" t="s">
        <v>949</v>
      </c>
      <c r="I64" t="s">
        <v>950</v>
      </c>
      <c r="J64" t="s">
        <v>950</v>
      </c>
      <c r="K64" t="s">
        <v>950</v>
      </c>
      <c r="L64" t="s">
        <v>951</v>
      </c>
      <c r="M64">
        <v>1042500</v>
      </c>
      <c r="N64">
        <v>1390000</v>
      </c>
      <c r="O64" t="s">
        <v>952</v>
      </c>
      <c r="P64" s="1">
        <v>45534</v>
      </c>
      <c r="Q64" s="2" t="s">
        <v>953</v>
      </c>
      <c r="R64" t="s">
        <v>954</v>
      </c>
      <c r="S64" t="s">
        <v>493</v>
      </c>
      <c r="T64" t="s">
        <v>955</v>
      </c>
      <c r="U64" t="s">
        <v>956</v>
      </c>
      <c r="V64" t="s">
        <v>717</v>
      </c>
      <c r="W64" t="s">
        <v>957</v>
      </c>
      <c r="X64" t="s">
        <v>873</v>
      </c>
      <c r="Y64" t="s">
        <v>772</v>
      </c>
      <c r="Z64" t="s">
        <v>958</v>
      </c>
      <c r="AA64">
        <v>4</v>
      </c>
      <c r="AB64" t="s">
        <v>57</v>
      </c>
      <c r="AC64" t="s">
        <v>959</v>
      </c>
      <c r="AD64" t="s">
        <v>960</v>
      </c>
      <c r="AE64" t="s">
        <v>60</v>
      </c>
      <c r="AF64">
        <v>1112000</v>
      </c>
      <c r="AG64" s="3">
        <v>22240</v>
      </c>
      <c r="AK64" t="s">
        <v>961</v>
      </c>
      <c r="AL64" s="3">
        <v>22240</v>
      </c>
      <c r="AM64">
        <v>0</v>
      </c>
      <c r="AN64" s="4">
        <f>Table103[[#This Row],[Premium]]-Table103[[#This Row],[Tms Prem]]</f>
        <v>0</v>
      </c>
    </row>
    <row r="65" spans="1:40" x14ac:dyDescent="0.25">
      <c r="A65">
        <v>64</v>
      </c>
      <c r="B65" t="s">
        <v>38</v>
      </c>
      <c r="C65" t="s">
        <v>962</v>
      </c>
      <c r="D65" t="s">
        <v>40</v>
      </c>
      <c r="E65" t="s">
        <v>41</v>
      </c>
      <c r="F65" t="s">
        <v>963</v>
      </c>
      <c r="G65" t="s">
        <v>964</v>
      </c>
      <c r="H65" t="s">
        <v>965</v>
      </c>
      <c r="I65" t="s">
        <v>331</v>
      </c>
      <c r="J65" t="s">
        <v>966</v>
      </c>
      <c r="K65" t="s">
        <v>331</v>
      </c>
      <c r="L65" t="s">
        <v>967</v>
      </c>
      <c r="M65">
        <v>1074750</v>
      </c>
      <c r="N65">
        <v>1433000</v>
      </c>
      <c r="O65" t="s">
        <v>968</v>
      </c>
      <c r="P65" s="1">
        <v>45513</v>
      </c>
      <c r="Q65" s="2">
        <v>177490</v>
      </c>
      <c r="R65" t="s">
        <v>969</v>
      </c>
      <c r="S65" t="s">
        <v>50</v>
      </c>
      <c r="T65" t="s">
        <v>45</v>
      </c>
      <c r="U65" t="s">
        <v>970</v>
      </c>
      <c r="V65" t="s">
        <v>140</v>
      </c>
      <c r="W65" t="s">
        <v>511</v>
      </c>
      <c r="X65" t="s">
        <v>281</v>
      </c>
      <c r="Y65" t="s">
        <v>73</v>
      </c>
      <c r="Z65" t="s">
        <v>971</v>
      </c>
      <c r="AA65">
        <v>5</v>
      </c>
      <c r="AB65" t="s">
        <v>196</v>
      </c>
      <c r="AC65" t="s">
        <v>972</v>
      </c>
      <c r="AD65" t="s">
        <v>554</v>
      </c>
      <c r="AE65" t="s">
        <v>60</v>
      </c>
      <c r="AF65">
        <v>1146400</v>
      </c>
      <c r="AG65" s="3">
        <v>22928</v>
      </c>
      <c r="AK65" t="s">
        <v>973</v>
      </c>
      <c r="AL65" s="3">
        <v>22928</v>
      </c>
      <c r="AM65">
        <v>0</v>
      </c>
      <c r="AN65" s="4">
        <f>Table103[[#This Row],[Premium]]-Table103[[#This Row],[Tms Prem]]</f>
        <v>0</v>
      </c>
    </row>
    <row r="66" spans="1:40" x14ac:dyDescent="0.25">
      <c r="A66">
        <v>65</v>
      </c>
      <c r="B66" t="s">
        <v>38</v>
      </c>
      <c r="C66" t="s">
        <v>974</v>
      </c>
      <c r="D66" t="s">
        <v>40</v>
      </c>
      <c r="E66" t="s">
        <v>41</v>
      </c>
      <c r="F66" t="s">
        <v>975</v>
      </c>
      <c r="G66" t="s">
        <v>80</v>
      </c>
      <c r="H66" t="s">
        <v>976</v>
      </c>
      <c r="I66" t="s">
        <v>977</v>
      </c>
      <c r="J66" t="s">
        <v>977</v>
      </c>
      <c r="K66" t="s">
        <v>978</v>
      </c>
      <c r="L66" t="s">
        <v>979</v>
      </c>
      <c r="M66">
        <v>2555000</v>
      </c>
      <c r="N66">
        <v>3650000</v>
      </c>
      <c r="O66" t="s">
        <v>980</v>
      </c>
      <c r="P66" s="1">
        <v>45534</v>
      </c>
      <c r="Q66" s="2" t="s">
        <v>981</v>
      </c>
      <c r="R66" t="s">
        <v>982</v>
      </c>
      <c r="S66" t="s">
        <v>88</v>
      </c>
      <c r="T66" t="s">
        <v>983</v>
      </c>
      <c r="U66" t="s">
        <v>984</v>
      </c>
      <c r="V66" t="s">
        <v>365</v>
      </c>
      <c r="W66" t="s">
        <v>960</v>
      </c>
      <c r="X66" t="s">
        <v>873</v>
      </c>
      <c r="Y66" t="s">
        <v>772</v>
      </c>
      <c r="Z66" t="s">
        <v>985</v>
      </c>
      <c r="AA66">
        <v>4</v>
      </c>
      <c r="AB66" t="s">
        <v>57</v>
      </c>
      <c r="AC66" t="s">
        <v>986</v>
      </c>
      <c r="AD66" t="s">
        <v>960</v>
      </c>
      <c r="AE66" t="s">
        <v>60</v>
      </c>
      <c r="AF66">
        <v>2920000</v>
      </c>
      <c r="AG66" s="3">
        <v>58400</v>
      </c>
      <c r="AK66" t="s">
        <v>987</v>
      </c>
      <c r="AL66" s="3">
        <v>58400</v>
      </c>
      <c r="AM66">
        <v>0</v>
      </c>
      <c r="AN66" s="4">
        <f>Table103[[#This Row],[Premium]]-Table103[[#This Row],[Tms Prem]]</f>
        <v>0</v>
      </c>
    </row>
    <row r="67" spans="1:40" x14ac:dyDescent="0.25">
      <c r="A67">
        <v>66</v>
      </c>
      <c r="B67" t="s">
        <v>38</v>
      </c>
      <c r="C67" t="s">
        <v>988</v>
      </c>
      <c r="D67" t="s">
        <v>40</v>
      </c>
      <c r="E67" t="s">
        <v>41</v>
      </c>
      <c r="F67" t="s">
        <v>989</v>
      </c>
      <c r="G67" t="s">
        <v>174</v>
      </c>
      <c r="H67" t="s">
        <v>990</v>
      </c>
      <c r="I67" t="s">
        <v>991</v>
      </c>
      <c r="J67" t="s">
        <v>991</v>
      </c>
      <c r="K67" t="s">
        <v>991</v>
      </c>
      <c r="L67" t="s">
        <v>992</v>
      </c>
      <c r="M67">
        <v>1280000</v>
      </c>
      <c r="N67">
        <v>1600000</v>
      </c>
      <c r="O67" t="s">
        <v>993</v>
      </c>
      <c r="P67" s="1">
        <v>45513</v>
      </c>
      <c r="Q67" s="2" t="s">
        <v>994</v>
      </c>
      <c r="R67" t="s">
        <v>995</v>
      </c>
      <c r="S67" t="s">
        <v>88</v>
      </c>
      <c r="T67" t="s">
        <v>996</v>
      </c>
      <c r="U67" t="s">
        <v>997</v>
      </c>
      <c r="V67" t="s">
        <v>466</v>
      </c>
      <c r="W67" t="s">
        <v>998</v>
      </c>
      <c r="X67" t="s">
        <v>498</v>
      </c>
      <c r="Y67" t="s">
        <v>55</v>
      </c>
      <c r="Z67" t="s">
        <v>999</v>
      </c>
      <c r="AA67">
        <v>6</v>
      </c>
      <c r="AB67" t="s">
        <v>124</v>
      </c>
      <c r="AC67" t="s">
        <v>1000</v>
      </c>
      <c r="AD67" t="s">
        <v>540</v>
      </c>
      <c r="AE67" t="s">
        <v>60</v>
      </c>
      <c r="AF67">
        <v>1200000</v>
      </c>
      <c r="AG67" s="3">
        <v>24000</v>
      </c>
      <c r="AK67" t="s">
        <v>1001</v>
      </c>
      <c r="AL67" s="3">
        <v>24000</v>
      </c>
      <c r="AM67">
        <v>0</v>
      </c>
      <c r="AN67" s="4">
        <f>Table103[[#This Row],[Premium]]-Table103[[#This Row],[Tms Prem]]</f>
        <v>0</v>
      </c>
    </row>
    <row r="68" spans="1:40" x14ac:dyDescent="0.25">
      <c r="A68">
        <v>67</v>
      </c>
      <c r="B68" t="s">
        <v>38</v>
      </c>
      <c r="C68" t="s">
        <v>1002</v>
      </c>
      <c r="D68" t="s">
        <v>40</v>
      </c>
      <c r="E68" t="s">
        <v>41</v>
      </c>
      <c r="F68" t="s">
        <v>1003</v>
      </c>
      <c r="G68" t="s">
        <v>1004</v>
      </c>
      <c r="H68" t="s">
        <v>1005</v>
      </c>
      <c r="I68" t="s">
        <v>45</v>
      </c>
      <c r="J68" t="s">
        <v>1006</v>
      </c>
      <c r="K68" t="s">
        <v>45</v>
      </c>
      <c r="L68" t="s">
        <v>1007</v>
      </c>
      <c r="M68">
        <v>1246000</v>
      </c>
      <c r="N68">
        <v>1780000</v>
      </c>
      <c r="O68" t="s">
        <v>1008</v>
      </c>
      <c r="P68" s="1">
        <v>45513</v>
      </c>
      <c r="Q68" s="2">
        <v>179697</v>
      </c>
      <c r="R68" t="s">
        <v>1009</v>
      </c>
      <c r="S68" t="s">
        <v>50</v>
      </c>
      <c r="T68" t="s">
        <v>45</v>
      </c>
      <c r="U68" t="s">
        <v>716</v>
      </c>
      <c r="V68" t="s">
        <v>140</v>
      </c>
      <c r="W68" t="s">
        <v>1010</v>
      </c>
      <c r="X68" t="s">
        <v>406</v>
      </c>
      <c r="Y68" t="s">
        <v>815</v>
      </c>
      <c r="Z68" t="s">
        <v>1011</v>
      </c>
      <c r="AA68">
        <v>5</v>
      </c>
      <c r="AB68" t="s">
        <v>57</v>
      </c>
      <c r="AC68" t="s">
        <v>1012</v>
      </c>
      <c r="AD68" t="s">
        <v>301</v>
      </c>
      <c r="AE68" t="s">
        <v>60</v>
      </c>
      <c r="AF68">
        <v>1424000</v>
      </c>
      <c r="AG68" s="3">
        <v>28480</v>
      </c>
      <c r="AK68" t="s">
        <v>1013</v>
      </c>
      <c r="AL68" s="3">
        <v>28480</v>
      </c>
      <c r="AM68">
        <v>0</v>
      </c>
      <c r="AN68" s="4">
        <f>Table103[[#This Row],[Premium]]-Table103[[#This Row],[Tms Prem]]</f>
        <v>0</v>
      </c>
    </row>
    <row r="69" spans="1:40" x14ac:dyDescent="0.25">
      <c r="A69">
        <v>68</v>
      </c>
      <c r="B69" t="s">
        <v>38</v>
      </c>
      <c r="C69" t="s">
        <v>1014</v>
      </c>
      <c r="D69" t="s">
        <v>40</v>
      </c>
      <c r="E69" t="s">
        <v>41</v>
      </c>
      <c r="F69" t="s">
        <v>1015</v>
      </c>
      <c r="G69" t="s">
        <v>174</v>
      </c>
      <c r="H69" t="s">
        <v>1016</v>
      </c>
      <c r="I69" t="s">
        <v>1017</v>
      </c>
      <c r="J69" t="s">
        <v>1018</v>
      </c>
      <c r="K69" t="s">
        <v>1017</v>
      </c>
      <c r="L69" t="s">
        <v>1019</v>
      </c>
      <c r="M69">
        <v>1635200</v>
      </c>
      <c r="N69">
        <v>2920000</v>
      </c>
      <c r="O69" t="s">
        <v>1020</v>
      </c>
      <c r="P69" t="s">
        <v>928</v>
      </c>
      <c r="Q69" s="2" t="s">
        <v>1021</v>
      </c>
      <c r="R69" t="s">
        <v>1022</v>
      </c>
      <c r="S69" t="s">
        <v>88</v>
      </c>
      <c r="T69" t="s">
        <v>88</v>
      </c>
      <c r="U69" t="s">
        <v>1023</v>
      </c>
      <c r="V69" t="s">
        <v>52</v>
      </c>
      <c r="W69">
        <v>45169</v>
      </c>
      <c r="X69" t="s">
        <v>931</v>
      </c>
      <c r="Y69" t="s">
        <v>1024</v>
      </c>
      <c r="Z69" t="s">
        <v>1025</v>
      </c>
      <c r="AA69">
        <v>5</v>
      </c>
      <c r="AB69" t="s">
        <v>57</v>
      </c>
      <c r="AC69" t="s">
        <v>1026</v>
      </c>
      <c r="AD69" t="s">
        <v>934</v>
      </c>
      <c r="AE69" t="s">
        <v>97</v>
      </c>
      <c r="AF69">
        <v>2628000</v>
      </c>
      <c r="AG69" s="3">
        <v>45990.000000000007</v>
      </c>
      <c r="AK69" t="s">
        <v>1027</v>
      </c>
      <c r="AL69" s="3">
        <v>45990</v>
      </c>
      <c r="AM69">
        <v>0</v>
      </c>
      <c r="AN69" s="4">
        <f>Table103[[#This Row],[Premium]]-Table103[[#This Row],[Tms Prem]]</f>
        <v>0</v>
      </c>
    </row>
    <row r="70" spans="1:40" x14ac:dyDescent="0.25">
      <c r="A70">
        <v>69</v>
      </c>
      <c r="B70" t="s">
        <v>38</v>
      </c>
      <c r="C70" t="s">
        <v>1028</v>
      </c>
      <c r="D70" t="s">
        <v>40</v>
      </c>
      <c r="E70" t="s">
        <v>41</v>
      </c>
      <c r="F70" t="s">
        <v>1029</v>
      </c>
      <c r="G70" t="s">
        <v>174</v>
      </c>
      <c r="H70" t="s">
        <v>1030</v>
      </c>
      <c r="I70" t="s">
        <v>1031</v>
      </c>
      <c r="J70" t="s">
        <v>1031</v>
      </c>
      <c r="K70" t="s">
        <v>1031</v>
      </c>
      <c r="L70" t="s">
        <v>1032</v>
      </c>
      <c r="M70">
        <v>1429530</v>
      </c>
      <c r="N70">
        <v>2803000</v>
      </c>
      <c r="O70" t="s">
        <v>1033</v>
      </c>
      <c r="P70" s="1">
        <v>45513</v>
      </c>
      <c r="Q70" s="2" t="s">
        <v>1034</v>
      </c>
      <c r="R70" t="s">
        <v>1035</v>
      </c>
      <c r="S70" t="s">
        <v>50</v>
      </c>
      <c r="T70" t="s">
        <v>45</v>
      </c>
      <c r="U70" t="s">
        <v>1036</v>
      </c>
      <c r="V70" t="s">
        <v>140</v>
      </c>
      <c r="W70" t="s">
        <v>1037</v>
      </c>
      <c r="X70" t="s">
        <v>406</v>
      </c>
      <c r="Y70" t="s">
        <v>1038</v>
      </c>
      <c r="Z70" t="s">
        <v>1039</v>
      </c>
      <c r="AA70">
        <v>7</v>
      </c>
      <c r="AB70" t="s">
        <v>57</v>
      </c>
      <c r="AC70" t="s">
        <v>1040</v>
      </c>
      <c r="AD70" t="s">
        <v>301</v>
      </c>
      <c r="AE70" t="s">
        <v>60</v>
      </c>
      <c r="AF70">
        <v>2522700</v>
      </c>
      <c r="AG70" s="3">
        <v>44848</v>
      </c>
      <c r="AK70" t="s">
        <v>1041</v>
      </c>
      <c r="AL70" s="3">
        <v>50454</v>
      </c>
      <c r="AM70" t="s">
        <v>4084</v>
      </c>
      <c r="AN70" s="4">
        <f>Table103[[#This Row],[Premium]]-Table103[[#This Row],[Tms Prem]]</f>
        <v>-5606</v>
      </c>
    </row>
    <row r="71" spans="1:40" x14ac:dyDescent="0.25">
      <c r="A71">
        <v>70</v>
      </c>
      <c r="B71" t="s">
        <v>38</v>
      </c>
      <c r="C71" t="s">
        <v>1042</v>
      </c>
      <c r="D71" t="s">
        <v>40</v>
      </c>
      <c r="E71" t="s">
        <v>41</v>
      </c>
      <c r="F71" t="s">
        <v>1043</v>
      </c>
      <c r="G71" t="s">
        <v>43</v>
      </c>
      <c r="H71" t="s">
        <v>1044</v>
      </c>
      <c r="I71" t="s">
        <v>1045</v>
      </c>
      <c r="J71" t="s">
        <v>45</v>
      </c>
      <c r="K71" t="s">
        <v>1046</v>
      </c>
      <c r="L71" t="s">
        <v>1047</v>
      </c>
      <c r="M71">
        <v>1543200</v>
      </c>
      <c r="N71">
        <v>1929000</v>
      </c>
      <c r="O71" t="s">
        <v>1048</v>
      </c>
      <c r="P71" s="1">
        <v>45513</v>
      </c>
      <c r="Q71" s="2" t="s">
        <v>1049</v>
      </c>
      <c r="R71" t="s">
        <v>1050</v>
      </c>
      <c r="S71" t="s">
        <v>50</v>
      </c>
      <c r="T71" t="s">
        <v>45</v>
      </c>
      <c r="U71" t="s">
        <v>1051</v>
      </c>
      <c r="V71" t="s">
        <v>140</v>
      </c>
      <c r="W71" t="s">
        <v>1052</v>
      </c>
      <c r="X71" t="s">
        <v>281</v>
      </c>
      <c r="Y71" t="s">
        <v>73</v>
      </c>
      <c r="Z71" t="s">
        <v>1053</v>
      </c>
      <c r="AA71">
        <v>5</v>
      </c>
      <c r="AB71" t="s">
        <v>57</v>
      </c>
      <c r="AC71" t="s">
        <v>1054</v>
      </c>
      <c r="AD71" t="s">
        <v>514</v>
      </c>
      <c r="AE71" t="s">
        <v>60</v>
      </c>
      <c r="AF71">
        <v>1543200</v>
      </c>
      <c r="AG71" s="3">
        <v>30864</v>
      </c>
      <c r="AK71" t="s">
        <v>1055</v>
      </c>
      <c r="AL71" s="3">
        <v>30864</v>
      </c>
      <c r="AM71">
        <v>0</v>
      </c>
      <c r="AN71" s="4">
        <f>Table103[[#This Row],[Premium]]-Table103[[#This Row],[Tms Prem]]</f>
        <v>0</v>
      </c>
    </row>
    <row r="72" spans="1:40" x14ac:dyDescent="0.25">
      <c r="A72">
        <v>71</v>
      </c>
      <c r="B72" t="s">
        <v>38</v>
      </c>
      <c r="C72" t="s">
        <v>1056</v>
      </c>
      <c r="D72" t="s">
        <v>40</v>
      </c>
      <c r="E72" t="s">
        <v>41</v>
      </c>
      <c r="F72" t="s">
        <v>1057</v>
      </c>
      <c r="G72" t="s">
        <v>174</v>
      </c>
      <c r="H72" t="s">
        <v>1058</v>
      </c>
      <c r="I72" t="s">
        <v>45</v>
      </c>
      <c r="J72" t="s">
        <v>1059</v>
      </c>
      <c r="K72" t="s">
        <v>45</v>
      </c>
      <c r="L72" t="s">
        <v>1060</v>
      </c>
      <c r="M72">
        <v>2782000</v>
      </c>
      <c r="N72">
        <v>4280000</v>
      </c>
      <c r="O72" t="s">
        <v>1061</v>
      </c>
      <c r="P72" t="s">
        <v>928</v>
      </c>
      <c r="Q72" s="2">
        <v>121351003524</v>
      </c>
      <c r="R72" t="s">
        <v>1062</v>
      </c>
      <c r="S72" t="s">
        <v>88</v>
      </c>
      <c r="T72" t="s">
        <v>88</v>
      </c>
      <c r="U72" t="s">
        <v>1063</v>
      </c>
      <c r="V72" t="s">
        <v>140</v>
      </c>
      <c r="W72">
        <v>45169</v>
      </c>
      <c r="X72" t="s">
        <v>931</v>
      </c>
      <c r="Y72" t="s">
        <v>874</v>
      </c>
      <c r="Z72" t="s">
        <v>1064</v>
      </c>
      <c r="AA72">
        <v>3</v>
      </c>
      <c r="AB72" t="s">
        <v>57</v>
      </c>
      <c r="AC72" t="s">
        <v>1065</v>
      </c>
      <c r="AD72" t="s">
        <v>934</v>
      </c>
      <c r="AE72" t="s">
        <v>97</v>
      </c>
      <c r="AF72">
        <v>3852000</v>
      </c>
      <c r="AG72" s="3">
        <v>67410</v>
      </c>
      <c r="AK72" t="s">
        <v>1066</v>
      </c>
      <c r="AL72" s="3">
        <v>67410</v>
      </c>
      <c r="AM72">
        <v>0</v>
      </c>
      <c r="AN72" s="4">
        <f>Table103[[#This Row],[Premium]]-Table103[[#This Row],[Tms Prem]]</f>
        <v>0</v>
      </c>
    </row>
    <row r="73" spans="1:40" x14ac:dyDescent="0.25">
      <c r="A73">
        <v>72</v>
      </c>
      <c r="B73" t="s">
        <v>38</v>
      </c>
      <c r="C73" t="s">
        <v>1067</v>
      </c>
      <c r="D73" t="s">
        <v>40</v>
      </c>
      <c r="E73" t="s">
        <v>41</v>
      </c>
      <c r="F73" t="s">
        <v>1068</v>
      </c>
      <c r="G73" t="s">
        <v>80</v>
      </c>
      <c r="H73" t="s">
        <v>1069</v>
      </c>
      <c r="I73" t="s">
        <v>45</v>
      </c>
      <c r="J73" t="s">
        <v>45</v>
      </c>
      <c r="K73" t="s">
        <v>1070</v>
      </c>
      <c r="L73" t="s">
        <v>1071</v>
      </c>
      <c r="M73">
        <v>2103500</v>
      </c>
      <c r="N73">
        <v>3005000</v>
      </c>
      <c r="O73" t="s">
        <v>1072</v>
      </c>
      <c r="P73" s="1">
        <v>45513</v>
      </c>
      <c r="Q73" s="2" t="s">
        <v>1073</v>
      </c>
      <c r="R73" t="s">
        <v>1074</v>
      </c>
      <c r="S73" t="s">
        <v>50</v>
      </c>
      <c r="T73" t="s">
        <v>45</v>
      </c>
      <c r="U73" t="s">
        <v>901</v>
      </c>
      <c r="V73" t="s">
        <v>140</v>
      </c>
      <c r="W73" t="s">
        <v>1075</v>
      </c>
      <c r="X73" t="s">
        <v>406</v>
      </c>
      <c r="Y73" t="s">
        <v>815</v>
      </c>
      <c r="Z73" t="s">
        <v>1076</v>
      </c>
      <c r="AA73">
        <v>5</v>
      </c>
      <c r="AB73" t="s">
        <v>196</v>
      </c>
      <c r="AC73" t="s">
        <v>1077</v>
      </c>
      <c r="AD73" t="s">
        <v>1078</v>
      </c>
      <c r="AE73" t="s">
        <v>60</v>
      </c>
      <c r="AF73">
        <v>2404000</v>
      </c>
      <c r="AG73" s="3">
        <v>48080</v>
      </c>
      <c r="AK73" t="s">
        <v>1079</v>
      </c>
      <c r="AL73" s="3">
        <v>48080</v>
      </c>
      <c r="AM73">
        <v>0</v>
      </c>
      <c r="AN73" s="4">
        <f>Table103[[#This Row],[Premium]]-Table103[[#This Row],[Tms Prem]]</f>
        <v>0</v>
      </c>
    </row>
    <row r="74" spans="1:40" x14ac:dyDescent="0.25">
      <c r="A74">
        <v>73</v>
      </c>
      <c r="B74" t="s">
        <v>38</v>
      </c>
      <c r="C74" t="s">
        <v>1080</v>
      </c>
      <c r="D74" t="s">
        <v>40</v>
      </c>
      <c r="E74" t="s">
        <v>41</v>
      </c>
      <c r="F74" t="s">
        <v>1081</v>
      </c>
      <c r="G74" t="s">
        <v>174</v>
      </c>
      <c r="H74" t="s">
        <v>1082</v>
      </c>
      <c r="I74" t="s">
        <v>45</v>
      </c>
      <c r="J74" t="s">
        <v>1083</v>
      </c>
      <c r="K74" t="s">
        <v>45</v>
      </c>
      <c r="L74" t="s">
        <v>1084</v>
      </c>
      <c r="M74">
        <v>2990000</v>
      </c>
      <c r="N74">
        <v>4600000</v>
      </c>
      <c r="O74" t="s">
        <v>1085</v>
      </c>
      <c r="P74" t="s">
        <v>928</v>
      </c>
      <c r="Q74" s="2" t="s">
        <v>1086</v>
      </c>
      <c r="R74" t="s">
        <v>1087</v>
      </c>
      <c r="S74" t="s">
        <v>88</v>
      </c>
      <c r="T74" t="s">
        <v>88</v>
      </c>
      <c r="U74" t="s">
        <v>1088</v>
      </c>
      <c r="V74" t="s">
        <v>52</v>
      </c>
      <c r="W74">
        <v>45169</v>
      </c>
      <c r="X74" t="s">
        <v>931</v>
      </c>
      <c r="Y74" t="s">
        <v>874</v>
      </c>
      <c r="Z74" t="s">
        <v>1089</v>
      </c>
      <c r="AA74">
        <v>3</v>
      </c>
      <c r="AB74" t="s">
        <v>57</v>
      </c>
      <c r="AC74" t="s">
        <v>1090</v>
      </c>
      <c r="AD74" t="s">
        <v>934</v>
      </c>
      <c r="AE74" t="s">
        <v>97</v>
      </c>
      <c r="AF74">
        <v>4140000</v>
      </c>
      <c r="AG74" s="3">
        <v>72450</v>
      </c>
      <c r="AK74" t="s">
        <v>1091</v>
      </c>
      <c r="AL74" s="3">
        <v>72450</v>
      </c>
      <c r="AM74">
        <v>0</v>
      </c>
      <c r="AN74" s="4">
        <f>Table103[[#This Row],[Premium]]-Table103[[#This Row],[Tms Prem]]</f>
        <v>0</v>
      </c>
    </row>
    <row r="75" spans="1:40" x14ac:dyDescent="0.25">
      <c r="A75">
        <v>74</v>
      </c>
      <c r="B75" t="s">
        <v>38</v>
      </c>
      <c r="C75" t="s">
        <v>1092</v>
      </c>
      <c r="D75" t="s">
        <v>40</v>
      </c>
      <c r="E75" t="s">
        <v>41</v>
      </c>
      <c r="F75" t="s">
        <v>1093</v>
      </c>
      <c r="G75" t="s">
        <v>174</v>
      </c>
      <c r="H75" t="s">
        <v>1094</v>
      </c>
      <c r="I75" t="s">
        <v>1095</v>
      </c>
      <c r="J75" t="s">
        <v>1095</v>
      </c>
      <c r="K75" t="s">
        <v>1096</v>
      </c>
      <c r="L75" t="s">
        <v>1097</v>
      </c>
      <c r="M75">
        <v>3712100</v>
      </c>
      <c r="N75">
        <v>5303000</v>
      </c>
      <c r="O75" t="s">
        <v>1098</v>
      </c>
      <c r="P75" s="1">
        <v>45513</v>
      </c>
      <c r="Q75" s="2">
        <v>306550</v>
      </c>
      <c r="R75" t="s">
        <v>1099</v>
      </c>
      <c r="S75" t="s">
        <v>50</v>
      </c>
      <c r="T75" t="s">
        <v>45</v>
      </c>
      <c r="U75" t="s">
        <v>1100</v>
      </c>
      <c r="V75" t="s">
        <v>140</v>
      </c>
      <c r="W75" t="s">
        <v>1101</v>
      </c>
      <c r="X75" t="s">
        <v>857</v>
      </c>
      <c r="Y75" t="s">
        <v>858</v>
      </c>
      <c r="Z75" t="s">
        <v>1102</v>
      </c>
      <c r="AA75">
        <v>5</v>
      </c>
      <c r="AB75" t="s">
        <v>196</v>
      </c>
      <c r="AC75" t="s">
        <v>1103</v>
      </c>
      <c r="AD75" t="s">
        <v>1104</v>
      </c>
      <c r="AE75" t="s">
        <v>60</v>
      </c>
      <c r="AF75">
        <v>4242400</v>
      </c>
      <c r="AG75" s="3">
        <v>84848</v>
      </c>
      <c r="AK75" t="s">
        <v>1105</v>
      </c>
      <c r="AL75" s="3">
        <v>84848</v>
      </c>
      <c r="AM75">
        <v>0</v>
      </c>
      <c r="AN75" s="4">
        <f>Table103[[#This Row],[Premium]]-Table103[[#This Row],[Tms Prem]]</f>
        <v>0</v>
      </c>
    </row>
    <row r="76" spans="1:40" x14ac:dyDescent="0.25">
      <c r="A76">
        <v>75</v>
      </c>
      <c r="B76" t="s">
        <v>38</v>
      </c>
      <c r="C76" t="s">
        <v>1106</v>
      </c>
      <c r="D76" t="s">
        <v>40</v>
      </c>
      <c r="E76" t="s">
        <v>41</v>
      </c>
      <c r="F76" t="s">
        <v>1107</v>
      </c>
      <c r="G76" t="s">
        <v>80</v>
      </c>
      <c r="H76" t="s">
        <v>1108</v>
      </c>
      <c r="I76" t="s">
        <v>1109</v>
      </c>
      <c r="J76" t="s">
        <v>1109</v>
      </c>
      <c r="K76" t="s">
        <v>151</v>
      </c>
      <c r="L76" t="s">
        <v>1110</v>
      </c>
      <c r="M76">
        <v>2665000</v>
      </c>
      <c r="N76">
        <v>4100000</v>
      </c>
      <c r="O76" t="s">
        <v>1111</v>
      </c>
      <c r="P76" t="s">
        <v>928</v>
      </c>
      <c r="Q76" s="2">
        <v>17547125</v>
      </c>
      <c r="R76" t="s">
        <v>1112</v>
      </c>
      <c r="S76" t="s">
        <v>88</v>
      </c>
      <c r="T76" t="s">
        <v>88</v>
      </c>
      <c r="U76" t="s">
        <v>1113</v>
      </c>
      <c r="V76" t="s">
        <v>140</v>
      </c>
      <c r="W76">
        <v>45169</v>
      </c>
      <c r="X76" t="s">
        <v>931</v>
      </c>
      <c r="Y76" t="s">
        <v>874</v>
      </c>
      <c r="Z76" t="s">
        <v>1114</v>
      </c>
      <c r="AA76">
        <v>3</v>
      </c>
      <c r="AB76" t="s">
        <v>57</v>
      </c>
      <c r="AC76" t="s">
        <v>1115</v>
      </c>
      <c r="AD76" t="s">
        <v>934</v>
      </c>
      <c r="AE76" t="s">
        <v>97</v>
      </c>
      <c r="AF76">
        <v>3690000</v>
      </c>
      <c r="AG76" s="3">
        <v>64575.000000000007</v>
      </c>
      <c r="AK76" t="s">
        <v>1116</v>
      </c>
      <c r="AL76" s="3">
        <v>64575</v>
      </c>
      <c r="AM76">
        <v>0</v>
      </c>
      <c r="AN76" s="4">
        <f>Table103[[#This Row],[Premium]]-Table103[[#This Row],[Tms Prem]]</f>
        <v>0</v>
      </c>
    </row>
    <row r="77" spans="1:40" x14ac:dyDescent="0.25">
      <c r="A77">
        <v>76</v>
      </c>
      <c r="B77" t="s">
        <v>38</v>
      </c>
      <c r="C77" t="s">
        <v>1117</v>
      </c>
      <c r="D77" t="s">
        <v>40</v>
      </c>
      <c r="E77" t="s">
        <v>41</v>
      </c>
      <c r="F77" t="s">
        <v>1118</v>
      </c>
      <c r="G77" t="s">
        <v>174</v>
      </c>
      <c r="H77" t="s">
        <v>1119</v>
      </c>
      <c r="I77" t="s">
        <v>1120</v>
      </c>
      <c r="J77" t="s">
        <v>1121</v>
      </c>
      <c r="K77" t="s">
        <v>1122</v>
      </c>
      <c r="L77" t="s">
        <v>1123</v>
      </c>
      <c r="M77">
        <v>2713200</v>
      </c>
      <c r="N77">
        <v>3876000</v>
      </c>
      <c r="O77" t="s">
        <v>1124</v>
      </c>
      <c r="P77" t="s">
        <v>928</v>
      </c>
      <c r="Q77" s="2">
        <v>121684</v>
      </c>
      <c r="R77" t="s">
        <v>1125</v>
      </c>
      <c r="S77" t="s">
        <v>50</v>
      </c>
      <c r="T77" t="s">
        <v>50</v>
      </c>
      <c r="U77" t="s">
        <v>45</v>
      </c>
      <c r="V77" t="s">
        <v>379</v>
      </c>
      <c r="W77">
        <v>45169</v>
      </c>
      <c r="X77" t="s">
        <v>931</v>
      </c>
      <c r="Y77" t="s">
        <v>1024</v>
      </c>
      <c r="Z77" t="s">
        <v>1126</v>
      </c>
      <c r="AA77">
        <v>5</v>
      </c>
      <c r="AB77" t="s">
        <v>57</v>
      </c>
      <c r="AC77" t="s">
        <v>1127</v>
      </c>
      <c r="AD77" t="s">
        <v>934</v>
      </c>
      <c r="AE77" t="s">
        <v>1128</v>
      </c>
      <c r="AF77">
        <v>3488400</v>
      </c>
      <c r="AG77">
        <v>43605</v>
      </c>
      <c r="AK77" t="e">
        <v>#N/A</v>
      </c>
      <c r="AL77" s="3"/>
      <c r="AM77">
        <v>0</v>
      </c>
      <c r="AN77" s="4">
        <f>Table103[[#This Row],[Premium]]-Table103[[#This Row],[Tms Prem]]</f>
        <v>43605</v>
      </c>
    </row>
    <row r="78" spans="1:40" x14ac:dyDescent="0.25">
      <c r="A78">
        <v>77</v>
      </c>
      <c r="B78" t="s">
        <v>38</v>
      </c>
      <c r="C78" t="s">
        <v>1129</v>
      </c>
      <c r="D78" t="s">
        <v>40</v>
      </c>
      <c r="E78" t="s">
        <v>41</v>
      </c>
      <c r="F78" t="s">
        <v>1130</v>
      </c>
      <c r="G78" t="s">
        <v>80</v>
      </c>
      <c r="H78" t="s">
        <v>1131</v>
      </c>
      <c r="I78" t="s">
        <v>45</v>
      </c>
      <c r="J78" t="s">
        <v>1132</v>
      </c>
      <c r="K78" t="s">
        <v>1133</v>
      </c>
      <c r="L78" t="s">
        <v>1134</v>
      </c>
      <c r="M78">
        <v>1725000</v>
      </c>
      <c r="N78">
        <v>2300000</v>
      </c>
      <c r="O78" t="s">
        <v>1135</v>
      </c>
      <c r="P78" s="1">
        <v>45534</v>
      </c>
      <c r="Q78" s="2" t="s">
        <v>1136</v>
      </c>
      <c r="R78" t="s">
        <v>1137</v>
      </c>
      <c r="S78" t="s">
        <v>88</v>
      </c>
      <c r="T78" t="s">
        <v>1138</v>
      </c>
      <c r="U78" t="s">
        <v>1139</v>
      </c>
      <c r="V78" t="s">
        <v>496</v>
      </c>
      <c r="W78" t="s">
        <v>960</v>
      </c>
      <c r="X78" t="s">
        <v>873</v>
      </c>
      <c r="Y78" t="s">
        <v>874</v>
      </c>
      <c r="Z78" t="s">
        <v>1140</v>
      </c>
      <c r="AA78">
        <v>5</v>
      </c>
      <c r="AB78" t="s">
        <v>57</v>
      </c>
      <c r="AC78" t="s">
        <v>1141</v>
      </c>
      <c r="AD78" t="s">
        <v>960</v>
      </c>
      <c r="AE78" t="s">
        <v>60</v>
      </c>
      <c r="AF78">
        <v>1840000</v>
      </c>
      <c r="AG78" s="3">
        <v>36800</v>
      </c>
      <c r="AK78" t="s">
        <v>1142</v>
      </c>
      <c r="AL78" s="3">
        <v>36800</v>
      </c>
      <c r="AM78">
        <v>0</v>
      </c>
      <c r="AN78" s="4">
        <f>Table103[[#This Row],[Premium]]-Table103[[#This Row],[Tms Prem]]</f>
        <v>0</v>
      </c>
    </row>
    <row r="79" spans="1:40" x14ac:dyDescent="0.25">
      <c r="A79">
        <v>78</v>
      </c>
      <c r="B79" t="s">
        <v>38</v>
      </c>
      <c r="C79" t="s">
        <v>1143</v>
      </c>
      <c r="D79" t="s">
        <v>40</v>
      </c>
      <c r="E79" t="s">
        <v>41</v>
      </c>
      <c r="F79" t="s">
        <v>1144</v>
      </c>
      <c r="G79" t="s">
        <v>80</v>
      </c>
      <c r="H79" t="s">
        <v>1145</v>
      </c>
      <c r="I79" t="s">
        <v>1146</v>
      </c>
      <c r="J79" t="s">
        <v>1146</v>
      </c>
      <c r="K79" t="s">
        <v>1146</v>
      </c>
      <c r="L79" t="s">
        <v>1147</v>
      </c>
      <c r="M79">
        <v>1016250</v>
      </c>
      <c r="N79">
        <v>1355000</v>
      </c>
      <c r="O79" t="s">
        <v>1148</v>
      </c>
      <c r="P79" s="1">
        <v>45534</v>
      </c>
      <c r="Q79" s="2" t="s">
        <v>1149</v>
      </c>
      <c r="R79" t="s">
        <v>1150</v>
      </c>
      <c r="S79" t="s">
        <v>88</v>
      </c>
      <c r="T79" t="s">
        <v>1151</v>
      </c>
      <c r="U79" t="s">
        <v>1152</v>
      </c>
      <c r="V79" t="s">
        <v>662</v>
      </c>
      <c r="W79" t="s">
        <v>957</v>
      </c>
      <c r="X79" t="s">
        <v>873</v>
      </c>
      <c r="Y79" t="s">
        <v>874</v>
      </c>
      <c r="Z79" t="s">
        <v>1153</v>
      </c>
      <c r="AA79">
        <v>5</v>
      </c>
      <c r="AB79" t="s">
        <v>57</v>
      </c>
      <c r="AC79" t="s">
        <v>1154</v>
      </c>
      <c r="AD79" t="s">
        <v>960</v>
      </c>
      <c r="AE79" t="s">
        <v>60</v>
      </c>
      <c r="AF79">
        <v>1084000</v>
      </c>
      <c r="AG79" s="3">
        <v>21680</v>
      </c>
      <c r="AK79" t="s">
        <v>1155</v>
      </c>
      <c r="AL79" s="3">
        <v>21680</v>
      </c>
      <c r="AM79">
        <v>0</v>
      </c>
      <c r="AN79" s="4">
        <f>Table103[[#This Row],[Premium]]-Table103[[#This Row],[Tms Prem]]</f>
        <v>0</v>
      </c>
    </row>
    <row r="80" spans="1:40" x14ac:dyDescent="0.25">
      <c r="A80">
        <v>79</v>
      </c>
      <c r="B80" t="s">
        <v>38</v>
      </c>
      <c r="C80" t="s">
        <v>1156</v>
      </c>
      <c r="D80" t="s">
        <v>40</v>
      </c>
      <c r="E80" t="s">
        <v>41</v>
      </c>
      <c r="F80" t="s">
        <v>1157</v>
      </c>
      <c r="G80" t="s">
        <v>174</v>
      </c>
      <c r="H80" t="s">
        <v>1158</v>
      </c>
      <c r="I80" t="s">
        <v>45</v>
      </c>
      <c r="J80" t="s">
        <v>1159</v>
      </c>
      <c r="K80" t="s">
        <v>45</v>
      </c>
      <c r="L80" t="s">
        <v>1160</v>
      </c>
      <c r="M80">
        <v>1761000</v>
      </c>
      <c r="N80">
        <v>2935000</v>
      </c>
      <c r="O80" t="s">
        <v>1161</v>
      </c>
      <c r="P80" t="s">
        <v>1162</v>
      </c>
      <c r="Q80" s="2">
        <v>279488</v>
      </c>
      <c r="R80" t="s">
        <v>1163</v>
      </c>
      <c r="S80" t="s">
        <v>50</v>
      </c>
      <c r="T80" t="s">
        <v>50</v>
      </c>
      <c r="U80" t="s">
        <v>45</v>
      </c>
      <c r="V80" t="s">
        <v>379</v>
      </c>
      <c r="W80">
        <v>45149</v>
      </c>
      <c r="X80" t="s">
        <v>366</v>
      </c>
      <c r="Y80" t="s">
        <v>55</v>
      </c>
      <c r="Z80" t="s">
        <v>1164</v>
      </c>
      <c r="AA80">
        <v>3</v>
      </c>
      <c r="AB80" t="s">
        <v>57</v>
      </c>
      <c r="AC80" t="s">
        <v>1165</v>
      </c>
      <c r="AD80" t="s">
        <v>1166</v>
      </c>
      <c r="AE80" t="s">
        <v>97</v>
      </c>
      <c r="AF80">
        <v>2641500</v>
      </c>
      <c r="AG80" s="3">
        <v>46227</v>
      </c>
      <c r="AK80" t="s">
        <v>1167</v>
      </c>
      <c r="AL80" s="3">
        <v>46226</v>
      </c>
      <c r="AM80">
        <v>0</v>
      </c>
      <c r="AN80" s="4">
        <f>Table103[[#This Row],[Premium]]-Table103[[#This Row],[Tms Prem]]</f>
        <v>1</v>
      </c>
    </row>
    <row r="81" spans="1:40" x14ac:dyDescent="0.25">
      <c r="A81">
        <v>80</v>
      </c>
      <c r="B81" t="s">
        <v>38</v>
      </c>
      <c r="C81" t="s">
        <v>1168</v>
      </c>
      <c r="D81" t="s">
        <v>40</v>
      </c>
      <c r="E81" t="s">
        <v>41</v>
      </c>
      <c r="F81" t="s">
        <v>1169</v>
      </c>
      <c r="G81" t="s">
        <v>80</v>
      </c>
      <c r="H81" t="s">
        <v>1170</v>
      </c>
      <c r="I81" t="s">
        <v>1171</v>
      </c>
      <c r="J81" t="s">
        <v>1171</v>
      </c>
      <c r="K81" t="s">
        <v>151</v>
      </c>
      <c r="L81" t="s">
        <v>1172</v>
      </c>
      <c r="M81">
        <v>2793000</v>
      </c>
      <c r="N81">
        <v>3990000</v>
      </c>
      <c r="O81" t="s">
        <v>1173</v>
      </c>
      <c r="P81" s="1">
        <v>45534</v>
      </c>
      <c r="Q81" s="2" t="s">
        <v>1174</v>
      </c>
      <c r="R81" t="s">
        <v>1175</v>
      </c>
      <c r="S81" t="s">
        <v>88</v>
      </c>
      <c r="T81" t="s">
        <v>1176</v>
      </c>
      <c r="U81" t="s">
        <v>208</v>
      </c>
      <c r="V81" t="s">
        <v>662</v>
      </c>
      <c r="W81" t="s">
        <v>1177</v>
      </c>
      <c r="X81" t="s">
        <v>829</v>
      </c>
      <c r="Y81" t="s">
        <v>772</v>
      </c>
      <c r="Z81" t="s">
        <v>1178</v>
      </c>
      <c r="AA81">
        <v>3</v>
      </c>
      <c r="AB81" t="s">
        <v>94</v>
      </c>
      <c r="AC81" t="s">
        <v>1179</v>
      </c>
      <c r="AD81" t="s">
        <v>1177</v>
      </c>
      <c r="AE81" t="s">
        <v>97</v>
      </c>
      <c r="AF81">
        <v>3391500</v>
      </c>
      <c r="AG81" s="3">
        <v>59352</v>
      </c>
      <c r="AK81" t="s">
        <v>1180</v>
      </c>
      <c r="AL81" s="3">
        <v>59351</v>
      </c>
      <c r="AM81">
        <v>0</v>
      </c>
      <c r="AN81" s="4">
        <f>Table103[[#This Row],[Premium]]-Table103[[#This Row],[Tms Prem]]</f>
        <v>1</v>
      </c>
    </row>
    <row r="82" spans="1:40" x14ac:dyDescent="0.25">
      <c r="A82">
        <v>81</v>
      </c>
      <c r="B82" t="s">
        <v>38</v>
      </c>
      <c r="C82" t="s">
        <v>1181</v>
      </c>
      <c r="D82" t="s">
        <v>40</v>
      </c>
      <c r="E82" t="s">
        <v>41</v>
      </c>
      <c r="F82" t="s">
        <v>1182</v>
      </c>
      <c r="G82" t="s">
        <v>80</v>
      </c>
      <c r="H82" t="s">
        <v>1183</v>
      </c>
      <c r="I82" t="s">
        <v>1184</v>
      </c>
      <c r="J82" t="s">
        <v>1184</v>
      </c>
      <c r="K82" t="s">
        <v>1184</v>
      </c>
      <c r="L82" t="s">
        <v>1185</v>
      </c>
      <c r="M82">
        <v>1330000</v>
      </c>
      <c r="N82">
        <v>1900000</v>
      </c>
      <c r="O82" t="s">
        <v>1186</v>
      </c>
      <c r="P82" s="1">
        <v>45534</v>
      </c>
      <c r="Q82" s="2">
        <v>124457</v>
      </c>
      <c r="R82" t="s">
        <v>1187</v>
      </c>
      <c r="S82" t="s">
        <v>88</v>
      </c>
      <c r="T82" t="s">
        <v>1188</v>
      </c>
      <c r="U82" t="s">
        <v>221</v>
      </c>
      <c r="V82" t="s">
        <v>90</v>
      </c>
      <c r="W82" t="s">
        <v>1177</v>
      </c>
      <c r="X82" t="s">
        <v>829</v>
      </c>
      <c r="Y82" t="s">
        <v>1189</v>
      </c>
      <c r="Z82" t="s">
        <v>1190</v>
      </c>
      <c r="AA82">
        <v>5</v>
      </c>
      <c r="AB82" t="s">
        <v>124</v>
      </c>
      <c r="AC82" t="s">
        <v>1191</v>
      </c>
      <c r="AD82" t="s">
        <v>1177</v>
      </c>
      <c r="AE82" t="s">
        <v>97</v>
      </c>
      <c r="AF82">
        <v>1615000</v>
      </c>
      <c r="AG82" s="3">
        <v>28263</v>
      </c>
      <c r="AK82" t="s">
        <v>1192</v>
      </c>
      <c r="AL82" s="3">
        <v>28263</v>
      </c>
      <c r="AM82">
        <v>0</v>
      </c>
      <c r="AN82" s="4">
        <f>Table103[[#This Row],[Premium]]-Table103[[#This Row],[Tms Prem]]</f>
        <v>0</v>
      </c>
    </row>
    <row r="83" spans="1:40" x14ac:dyDescent="0.25">
      <c r="A83">
        <v>82</v>
      </c>
      <c r="B83" t="s">
        <v>38</v>
      </c>
      <c r="C83" t="s">
        <v>1193</v>
      </c>
      <c r="D83" t="s">
        <v>40</v>
      </c>
      <c r="E83" t="s">
        <v>41</v>
      </c>
      <c r="F83" t="s">
        <v>1194</v>
      </c>
      <c r="G83" t="s">
        <v>289</v>
      </c>
      <c r="H83" t="s">
        <v>1195</v>
      </c>
      <c r="I83" t="s">
        <v>1196</v>
      </c>
      <c r="J83" t="s">
        <v>45</v>
      </c>
      <c r="K83" t="s">
        <v>151</v>
      </c>
      <c r="L83" t="s">
        <v>1197</v>
      </c>
      <c r="M83">
        <v>2100000</v>
      </c>
      <c r="N83">
        <v>3000000</v>
      </c>
      <c r="O83" t="s">
        <v>1198</v>
      </c>
      <c r="P83" s="1">
        <v>45534</v>
      </c>
      <c r="Q83" s="2">
        <v>6323</v>
      </c>
      <c r="R83" t="s">
        <v>1199</v>
      </c>
      <c r="S83" t="s">
        <v>88</v>
      </c>
      <c r="T83" t="s">
        <v>1200</v>
      </c>
      <c r="U83" t="s">
        <v>1201</v>
      </c>
      <c r="V83" t="s">
        <v>52</v>
      </c>
      <c r="W83" t="s">
        <v>1177</v>
      </c>
      <c r="X83" t="s">
        <v>829</v>
      </c>
      <c r="Y83" t="s">
        <v>1189</v>
      </c>
      <c r="Z83" t="s">
        <v>1202</v>
      </c>
      <c r="AA83">
        <v>5</v>
      </c>
      <c r="AB83" t="s">
        <v>124</v>
      </c>
      <c r="AC83" t="s">
        <v>1203</v>
      </c>
      <c r="AD83" t="s">
        <v>1177</v>
      </c>
      <c r="AE83" t="s">
        <v>97</v>
      </c>
      <c r="AF83">
        <v>2550000</v>
      </c>
      <c r="AG83" s="3">
        <v>44625.000000000007</v>
      </c>
      <c r="AK83" t="s">
        <v>1204</v>
      </c>
      <c r="AL83" s="3">
        <v>44625</v>
      </c>
      <c r="AM83">
        <v>0</v>
      </c>
      <c r="AN83" s="4">
        <f>Table103[[#This Row],[Premium]]-Table103[[#This Row],[Tms Prem]]</f>
        <v>0</v>
      </c>
    </row>
    <row r="84" spans="1:40" x14ac:dyDescent="0.25">
      <c r="A84">
        <v>83</v>
      </c>
      <c r="B84" t="s">
        <v>38</v>
      </c>
      <c r="C84" t="s">
        <v>1205</v>
      </c>
      <c r="D84" t="s">
        <v>40</v>
      </c>
      <c r="E84" t="s">
        <v>41</v>
      </c>
      <c r="F84" t="s">
        <v>1206</v>
      </c>
      <c r="G84" t="s">
        <v>80</v>
      </c>
      <c r="H84" t="s">
        <v>1207</v>
      </c>
      <c r="I84" t="s">
        <v>1208</v>
      </c>
      <c r="J84" t="s">
        <v>1209</v>
      </c>
      <c r="K84" t="s">
        <v>1210</v>
      </c>
      <c r="L84" t="s">
        <v>1211</v>
      </c>
      <c r="M84">
        <v>949500</v>
      </c>
      <c r="N84">
        <v>1899000</v>
      </c>
      <c r="O84" t="s">
        <v>1212</v>
      </c>
      <c r="P84" s="1">
        <v>45514</v>
      </c>
      <c r="Q84" s="2" t="s">
        <v>1213</v>
      </c>
      <c r="R84" t="s">
        <v>1214</v>
      </c>
      <c r="S84" t="s">
        <v>50</v>
      </c>
      <c r="T84" t="s">
        <v>45</v>
      </c>
      <c r="U84" t="s">
        <v>1215</v>
      </c>
      <c r="V84" t="s">
        <v>140</v>
      </c>
      <c r="W84" t="s">
        <v>1216</v>
      </c>
      <c r="X84" t="s">
        <v>281</v>
      </c>
      <c r="Y84" t="s">
        <v>424</v>
      </c>
      <c r="Z84" t="s">
        <v>1217</v>
      </c>
      <c r="AA84">
        <v>4</v>
      </c>
      <c r="AB84" t="s">
        <v>57</v>
      </c>
      <c r="AC84" t="s">
        <v>1218</v>
      </c>
      <c r="AD84" t="s">
        <v>1219</v>
      </c>
      <c r="AE84" t="s">
        <v>60</v>
      </c>
      <c r="AF84">
        <v>1519200</v>
      </c>
      <c r="AG84" s="3">
        <v>30384</v>
      </c>
      <c r="AK84" t="s">
        <v>1220</v>
      </c>
      <c r="AL84" s="3">
        <v>30384</v>
      </c>
      <c r="AM84">
        <v>0</v>
      </c>
      <c r="AN84" s="4">
        <f>Table103[[#This Row],[Premium]]-Table103[[#This Row],[Tms Prem]]</f>
        <v>0</v>
      </c>
    </row>
    <row r="85" spans="1:40" x14ac:dyDescent="0.25">
      <c r="A85">
        <v>84</v>
      </c>
      <c r="B85" t="s">
        <v>38</v>
      </c>
      <c r="C85" t="s">
        <v>1221</v>
      </c>
      <c r="D85" t="s">
        <v>40</v>
      </c>
      <c r="E85" t="s">
        <v>41</v>
      </c>
      <c r="F85" t="s">
        <v>1222</v>
      </c>
      <c r="G85" t="s">
        <v>43</v>
      </c>
      <c r="H85" t="s">
        <v>1223</v>
      </c>
      <c r="I85" t="s">
        <v>1224</v>
      </c>
      <c r="J85" t="s">
        <v>45</v>
      </c>
      <c r="K85" t="s">
        <v>1225</v>
      </c>
      <c r="L85" t="s">
        <v>1226</v>
      </c>
      <c r="M85">
        <v>666500</v>
      </c>
      <c r="N85">
        <v>1550000</v>
      </c>
      <c r="O85" t="s">
        <v>1227</v>
      </c>
      <c r="P85" s="1">
        <v>45534</v>
      </c>
      <c r="Q85" s="2">
        <v>626845</v>
      </c>
      <c r="R85" t="s">
        <v>1228</v>
      </c>
      <c r="S85" t="s">
        <v>88</v>
      </c>
      <c r="T85" t="s">
        <v>1229</v>
      </c>
      <c r="U85" t="s">
        <v>1230</v>
      </c>
      <c r="V85" t="s">
        <v>496</v>
      </c>
      <c r="W85" t="s">
        <v>1177</v>
      </c>
      <c r="X85" t="s">
        <v>829</v>
      </c>
      <c r="Y85" t="s">
        <v>1189</v>
      </c>
      <c r="Z85" t="s">
        <v>1231</v>
      </c>
      <c r="AA85">
        <v>5</v>
      </c>
      <c r="AB85" t="s">
        <v>94</v>
      </c>
      <c r="AC85" t="s">
        <v>1232</v>
      </c>
      <c r="AD85" t="s">
        <v>1177</v>
      </c>
      <c r="AE85" t="s">
        <v>97</v>
      </c>
      <c r="AF85">
        <v>1317500</v>
      </c>
      <c r="AG85" s="3">
        <v>23057</v>
      </c>
      <c r="AK85" t="s">
        <v>1233</v>
      </c>
      <c r="AL85" s="3">
        <v>23056</v>
      </c>
      <c r="AM85">
        <v>0</v>
      </c>
      <c r="AN85" s="4">
        <f>Table103[[#This Row],[Premium]]-Table103[[#This Row],[Tms Prem]]</f>
        <v>1</v>
      </c>
    </row>
    <row r="86" spans="1:40" x14ac:dyDescent="0.25">
      <c r="A86">
        <v>85</v>
      </c>
      <c r="B86" t="s">
        <v>38</v>
      </c>
      <c r="C86" t="s">
        <v>1234</v>
      </c>
      <c r="D86" t="s">
        <v>40</v>
      </c>
      <c r="E86" t="s">
        <v>41</v>
      </c>
      <c r="F86" t="s">
        <v>1235</v>
      </c>
      <c r="G86" t="s">
        <v>80</v>
      </c>
      <c r="H86" t="s">
        <v>1236</v>
      </c>
      <c r="I86" t="s">
        <v>45</v>
      </c>
      <c r="J86" t="s">
        <v>45</v>
      </c>
      <c r="K86" t="s">
        <v>45</v>
      </c>
      <c r="L86" t="s">
        <v>1237</v>
      </c>
      <c r="M86">
        <v>2890500</v>
      </c>
      <c r="N86">
        <v>6150000</v>
      </c>
      <c r="O86" t="s">
        <v>1238</v>
      </c>
      <c r="P86" s="1">
        <v>45534</v>
      </c>
      <c r="Q86" s="2">
        <v>30594</v>
      </c>
      <c r="R86" t="s">
        <v>1239</v>
      </c>
      <c r="S86" t="s">
        <v>88</v>
      </c>
      <c r="T86" t="s">
        <v>1240</v>
      </c>
      <c r="U86" t="s">
        <v>1241</v>
      </c>
      <c r="V86" t="s">
        <v>90</v>
      </c>
      <c r="W86" t="s">
        <v>1177</v>
      </c>
      <c r="X86" t="s">
        <v>829</v>
      </c>
      <c r="Y86" t="s">
        <v>772</v>
      </c>
      <c r="Z86" t="s">
        <v>1242</v>
      </c>
      <c r="AA86">
        <v>3</v>
      </c>
      <c r="AB86" t="s">
        <v>124</v>
      </c>
      <c r="AC86" t="s">
        <v>1243</v>
      </c>
      <c r="AD86" t="s">
        <v>1177</v>
      </c>
      <c r="AE86" t="s">
        <v>97</v>
      </c>
      <c r="AF86">
        <v>5227500</v>
      </c>
      <c r="AG86" s="3">
        <v>91482</v>
      </c>
      <c r="AK86" t="s">
        <v>1244</v>
      </c>
      <c r="AL86" s="3">
        <v>91481</v>
      </c>
      <c r="AM86">
        <v>0</v>
      </c>
      <c r="AN86" s="4">
        <f>Table103[[#This Row],[Premium]]-Table103[[#This Row],[Tms Prem]]</f>
        <v>1</v>
      </c>
    </row>
    <row r="87" spans="1:40" x14ac:dyDescent="0.25">
      <c r="A87">
        <v>86</v>
      </c>
      <c r="B87" t="s">
        <v>38</v>
      </c>
      <c r="C87" t="s">
        <v>1245</v>
      </c>
      <c r="D87" t="s">
        <v>40</v>
      </c>
      <c r="E87" t="s">
        <v>41</v>
      </c>
      <c r="F87" t="s">
        <v>1246</v>
      </c>
      <c r="G87" t="s">
        <v>174</v>
      </c>
      <c r="H87" t="s">
        <v>1247</v>
      </c>
      <c r="I87" t="s">
        <v>1248</v>
      </c>
      <c r="J87" t="s">
        <v>1248</v>
      </c>
      <c r="K87" t="s">
        <v>1248</v>
      </c>
      <c r="L87" t="s">
        <v>1249</v>
      </c>
      <c r="M87">
        <v>778700</v>
      </c>
      <c r="N87">
        <v>1198000</v>
      </c>
      <c r="O87" t="s">
        <v>1250</v>
      </c>
      <c r="P87" s="1">
        <v>45514</v>
      </c>
      <c r="Q87" s="2" t="s">
        <v>1251</v>
      </c>
      <c r="R87" t="s">
        <v>1252</v>
      </c>
      <c r="S87" t="s">
        <v>50</v>
      </c>
      <c r="T87" t="s">
        <v>45</v>
      </c>
      <c r="U87" t="s">
        <v>1253</v>
      </c>
      <c r="V87" t="s">
        <v>140</v>
      </c>
      <c r="W87" t="s">
        <v>511</v>
      </c>
      <c r="X87" t="s">
        <v>406</v>
      </c>
      <c r="Y87" t="s">
        <v>1038</v>
      </c>
      <c r="Z87" t="s">
        <v>1254</v>
      </c>
      <c r="AA87">
        <v>7</v>
      </c>
      <c r="AB87" t="s">
        <v>57</v>
      </c>
      <c r="AC87" t="s">
        <v>1255</v>
      </c>
      <c r="AD87" t="s">
        <v>514</v>
      </c>
      <c r="AE87" t="s">
        <v>159</v>
      </c>
      <c r="AF87">
        <v>1078200</v>
      </c>
      <c r="AG87" s="3">
        <v>14376</v>
      </c>
      <c r="AK87" t="s">
        <v>1256</v>
      </c>
      <c r="AL87" s="3">
        <v>16173</v>
      </c>
      <c r="AM87" t="s">
        <v>4085</v>
      </c>
      <c r="AN87" s="4">
        <f>Table103[[#This Row],[Premium]]-Table103[[#This Row],[Tms Prem]]</f>
        <v>-1797</v>
      </c>
    </row>
    <row r="88" spans="1:40" x14ac:dyDescent="0.25">
      <c r="A88">
        <v>87</v>
      </c>
      <c r="B88" t="s">
        <v>38</v>
      </c>
      <c r="C88" t="s">
        <v>1257</v>
      </c>
      <c r="D88" t="s">
        <v>40</v>
      </c>
      <c r="E88" t="s">
        <v>41</v>
      </c>
      <c r="F88" t="s">
        <v>1258</v>
      </c>
      <c r="G88" t="s">
        <v>174</v>
      </c>
      <c r="H88" t="s">
        <v>1259</v>
      </c>
      <c r="I88" t="s">
        <v>1260</v>
      </c>
      <c r="J88" t="s">
        <v>45</v>
      </c>
      <c r="K88" t="s">
        <v>1261</v>
      </c>
      <c r="L88" t="s">
        <v>1262</v>
      </c>
      <c r="M88">
        <v>865800</v>
      </c>
      <c r="N88">
        <v>1924000</v>
      </c>
      <c r="O88" t="s">
        <v>1263</v>
      </c>
      <c r="P88" s="1">
        <v>45514</v>
      </c>
      <c r="Q88" s="2" t="s">
        <v>1264</v>
      </c>
      <c r="R88" t="s">
        <v>1265</v>
      </c>
      <c r="S88" t="s">
        <v>50</v>
      </c>
      <c r="T88" t="s">
        <v>45</v>
      </c>
      <c r="U88" t="s">
        <v>1266</v>
      </c>
      <c r="V88" t="s">
        <v>140</v>
      </c>
      <c r="W88" t="s">
        <v>1267</v>
      </c>
      <c r="X88" t="s">
        <v>406</v>
      </c>
      <c r="Y88" t="s">
        <v>815</v>
      </c>
      <c r="Z88" t="s">
        <v>1268</v>
      </c>
      <c r="AA88">
        <v>5</v>
      </c>
      <c r="AB88" t="s">
        <v>57</v>
      </c>
      <c r="AC88" t="s">
        <v>1269</v>
      </c>
      <c r="AD88" t="s">
        <v>236</v>
      </c>
      <c r="AE88" t="s">
        <v>60</v>
      </c>
      <c r="AF88">
        <v>1539200</v>
      </c>
      <c r="AG88" s="3">
        <v>30784</v>
      </c>
      <c r="AK88" t="s">
        <v>1270</v>
      </c>
      <c r="AL88" s="3">
        <v>30784</v>
      </c>
      <c r="AM88">
        <v>0</v>
      </c>
      <c r="AN88" s="4">
        <f>Table103[[#This Row],[Premium]]-Table103[[#This Row],[Tms Prem]]</f>
        <v>0</v>
      </c>
    </row>
    <row r="89" spans="1:40" x14ac:dyDescent="0.25">
      <c r="A89">
        <v>88</v>
      </c>
      <c r="B89" t="s">
        <v>38</v>
      </c>
      <c r="C89" t="s">
        <v>1271</v>
      </c>
      <c r="D89" t="s">
        <v>40</v>
      </c>
      <c r="E89" t="s">
        <v>41</v>
      </c>
      <c r="F89" t="s">
        <v>1272</v>
      </c>
      <c r="G89" t="s">
        <v>174</v>
      </c>
      <c r="H89" t="s">
        <v>1273</v>
      </c>
      <c r="I89" t="s">
        <v>1274</v>
      </c>
      <c r="J89" t="s">
        <v>1274</v>
      </c>
      <c r="K89" t="s">
        <v>1274</v>
      </c>
      <c r="L89" t="s">
        <v>1275</v>
      </c>
      <c r="M89">
        <v>1356000</v>
      </c>
      <c r="N89">
        <v>1695000</v>
      </c>
      <c r="O89" t="s">
        <v>1276</v>
      </c>
      <c r="P89" s="1">
        <v>45514</v>
      </c>
      <c r="Q89" s="2" t="s">
        <v>1277</v>
      </c>
      <c r="R89" t="s">
        <v>1278</v>
      </c>
      <c r="S89" t="s">
        <v>50</v>
      </c>
      <c r="T89" t="s">
        <v>45</v>
      </c>
      <c r="U89" t="s">
        <v>1279</v>
      </c>
      <c r="V89" t="s">
        <v>90</v>
      </c>
      <c r="W89" t="s">
        <v>1280</v>
      </c>
      <c r="X89" t="s">
        <v>423</v>
      </c>
      <c r="Y89" t="s">
        <v>424</v>
      </c>
      <c r="Z89" t="s">
        <v>1281</v>
      </c>
      <c r="AA89">
        <v>5</v>
      </c>
      <c r="AB89" t="s">
        <v>124</v>
      </c>
      <c r="AC89" t="s">
        <v>1282</v>
      </c>
      <c r="AD89" t="s">
        <v>998</v>
      </c>
      <c r="AE89" t="s">
        <v>60</v>
      </c>
      <c r="AF89">
        <v>1271250</v>
      </c>
      <c r="AG89" s="3">
        <v>25425</v>
      </c>
      <c r="AK89" t="s">
        <v>1283</v>
      </c>
      <c r="AL89" s="3">
        <v>25425</v>
      </c>
      <c r="AM89">
        <v>0</v>
      </c>
      <c r="AN89" s="4">
        <f>Table103[[#This Row],[Premium]]-Table103[[#This Row],[Tms Prem]]</f>
        <v>0</v>
      </c>
    </row>
    <row r="90" spans="1:40" x14ac:dyDescent="0.25">
      <c r="A90">
        <v>89</v>
      </c>
      <c r="B90" t="s">
        <v>38</v>
      </c>
      <c r="C90" t="s">
        <v>1284</v>
      </c>
      <c r="D90" t="s">
        <v>40</v>
      </c>
      <c r="E90" t="s">
        <v>41</v>
      </c>
      <c r="F90" t="s">
        <v>1285</v>
      </c>
      <c r="G90" t="s">
        <v>80</v>
      </c>
      <c r="H90" t="s">
        <v>1286</v>
      </c>
      <c r="I90" t="s">
        <v>1287</v>
      </c>
      <c r="J90" t="s">
        <v>1288</v>
      </c>
      <c r="K90" t="s">
        <v>331</v>
      </c>
      <c r="L90" t="s">
        <v>1289</v>
      </c>
      <c r="M90">
        <v>1575000</v>
      </c>
      <c r="N90">
        <v>2250000</v>
      </c>
      <c r="O90" t="s">
        <v>1290</v>
      </c>
      <c r="P90" s="1">
        <v>45534</v>
      </c>
      <c r="Q90" s="2">
        <v>223153</v>
      </c>
      <c r="R90" t="s">
        <v>1291</v>
      </c>
      <c r="S90" t="s">
        <v>88</v>
      </c>
      <c r="T90" t="s">
        <v>1292</v>
      </c>
      <c r="U90" t="s">
        <v>1279</v>
      </c>
      <c r="V90" t="s">
        <v>140</v>
      </c>
      <c r="W90" t="s">
        <v>1177</v>
      </c>
      <c r="X90" t="s">
        <v>829</v>
      </c>
      <c r="Y90" t="s">
        <v>1189</v>
      </c>
      <c r="Z90" t="s">
        <v>1293</v>
      </c>
      <c r="AA90">
        <v>5</v>
      </c>
      <c r="AB90" t="s">
        <v>124</v>
      </c>
      <c r="AC90" t="s">
        <v>1294</v>
      </c>
      <c r="AD90" t="s">
        <v>1177</v>
      </c>
      <c r="AE90" t="s">
        <v>159</v>
      </c>
      <c r="AF90">
        <v>1912500</v>
      </c>
      <c r="AG90" s="3">
        <v>28688</v>
      </c>
      <c r="AK90" t="s">
        <v>1295</v>
      </c>
      <c r="AL90" s="3">
        <v>28688</v>
      </c>
      <c r="AM90">
        <v>0</v>
      </c>
      <c r="AN90" s="4">
        <f>Table103[[#This Row],[Premium]]-Table103[[#This Row],[Tms Prem]]</f>
        <v>0</v>
      </c>
    </row>
    <row r="91" spans="1:40" x14ac:dyDescent="0.25">
      <c r="A91">
        <v>90</v>
      </c>
      <c r="B91" t="s">
        <v>38</v>
      </c>
      <c r="C91" t="s">
        <v>1296</v>
      </c>
      <c r="D91" t="s">
        <v>40</v>
      </c>
      <c r="E91" t="s">
        <v>41</v>
      </c>
      <c r="F91" t="s">
        <v>1297</v>
      </c>
      <c r="G91" t="s">
        <v>80</v>
      </c>
      <c r="H91" t="s">
        <v>1298</v>
      </c>
      <c r="I91" t="s">
        <v>1299</v>
      </c>
      <c r="J91" t="s">
        <v>1300</v>
      </c>
      <c r="K91" t="s">
        <v>151</v>
      </c>
      <c r="L91" t="s">
        <v>1301</v>
      </c>
      <c r="M91">
        <v>1620000</v>
      </c>
      <c r="N91">
        <v>2700000</v>
      </c>
      <c r="O91" t="s">
        <v>1302</v>
      </c>
      <c r="P91" s="1">
        <v>45514</v>
      </c>
      <c r="Q91" s="2">
        <v>2424394</v>
      </c>
      <c r="R91" t="s">
        <v>1303</v>
      </c>
      <c r="S91" t="s">
        <v>493</v>
      </c>
      <c r="T91" t="s">
        <v>45</v>
      </c>
      <c r="U91" t="s">
        <v>1304</v>
      </c>
      <c r="V91" t="s">
        <v>662</v>
      </c>
      <c r="W91" t="s">
        <v>514</v>
      </c>
      <c r="X91" t="s">
        <v>281</v>
      </c>
      <c r="Y91" t="s">
        <v>424</v>
      </c>
      <c r="Z91" t="s">
        <v>1305</v>
      </c>
      <c r="AA91">
        <v>4</v>
      </c>
      <c r="AB91" t="s">
        <v>57</v>
      </c>
      <c r="AC91" t="s">
        <v>1306</v>
      </c>
      <c r="AD91" t="s">
        <v>514</v>
      </c>
      <c r="AE91" t="s">
        <v>60</v>
      </c>
      <c r="AF91">
        <v>2160000</v>
      </c>
      <c r="AG91" s="3">
        <v>43200</v>
      </c>
      <c r="AK91" t="s">
        <v>1307</v>
      </c>
      <c r="AL91" s="3">
        <v>43200</v>
      </c>
      <c r="AM91">
        <v>0</v>
      </c>
      <c r="AN91" s="4">
        <f>Table103[[#This Row],[Premium]]-Table103[[#This Row],[Tms Prem]]</f>
        <v>0</v>
      </c>
    </row>
    <row r="92" spans="1:40" x14ac:dyDescent="0.25">
      <c r="A92">
        <v>91</v>
      </c>
      <c r="B92" t="s">
        <v>38</v>
      </c>
      <c r="C92" t="s">
        <v>1308</v>
      </c>
      <c r="D92" t="s">
        <v>40</v>
      </c>
      <c r="E92" t="s">
        <v>41</v>
      </c>
      <c r="F92" t="s">
        <v>1309</v>
      </c>
      <c r="G92" t="s">
        <v>1310</v>
      </c>
      <c r="H92" t="s">
        <v>1311</v>
      </c>
      <c r="I92" t="s">
        <v>1312</v>
      </c>
      <c r="J92" t="s">
        <v>45</v>
      </c>
      <c r="K92" t="s">
        <v>1313</v>
      </c>
      <c r="L92" t="s">
        <v>1314</v>
      </c>
      <c r="M92">
        <v>1543200</v>
      </c>
      <c r="N92">
        <v>1929000</v>
      </c>
      <c r="O92" t="s">
        <v>1315</v>
      </c>
      <c r="P92" s="1">
        <v>45514</v>
      </c>
      <c r="Q92" s="2">
        <v>89556</v>
      </c>
      <c r="R92" t="s">
        <v>1316</v>
      </c>
      <c r="S92" t="s">
        <v>50</v>
      </c>
      <c r="T92" t="s">
        <v>45</v>
      </c>
      <c r="U92" t="s">
        <v>1051</v>
      </c>
      <c r="V92" t="s">
        <v>140</v>
      </c>
      <c r="W92" t="s">
        <v>1317</v>
      </c>
      <c r="X92" t="s">
        <v>281</v>
      </c>
      <c r="Y92" t="s">
        <v>73</v>
      </c>
      <c r="Z92" t="s">
        <v>1318</v>
      </c>
      <c r="AA92">
        <v>5</v>
      </c>
      <c r="AB92" t="s">
        <v>57</v>
      </c>
      <c r="AC92" t="s">
        <v>1319</v>
      </c>
      <c r="AD92" t="s">
        <v>236</v>
      </c>
      <c r="AE92" t="s">
        <v>60</v>
      </c>
      <c r="AF92">
        <v>1543200</v>
      </c>
      <c r="AG92" s="3">
        <v>30864</v>
      </c>
      <c r="AK92" t="s">
        <v>1320</v>
      </c>
      <c r="AL92" s="3">
        <v>30864</v>
      </c>
      <c r="AM92">
        <v>0</v>
      </c>
      <c r="AN92" s="4">
        <f>Table103[[#This Row],[Premium]]-Table103[[#This Row],[Tms Prem]]</f>
        <v>0</v>
      </c>
    </row>
    <row r="93" spans="1:40" x14ac:dyDescent="0.25">
      <c r="A93">
        <v>92</v>
      </c>
      <c r="B93" t="s">
        <v>38</v>
      </c>
      <c r="C93" t="s">
        <v>1321</v>
      </c>
      <c r="D93" t="s">
        <v>40</v>
      </c>
      <c r="E93" t="s">
        <v>41</v>
      </c>
      <c r="F93" t="s">
        <v>1322</v>
      </c>
      <c r="G93" t="s">
        <v>289</v>
      </c>
      <c r="H93" t="s">
        <v>1323</v>
      </c>
      <c r="I93" t="s">
        <v>1324</v>
      </c>
      <c r="J93" t="s">
        <v>45</v>
      </c>
      <c r="K93" t="s">
        <v>151</v>
      </c>
      <c r="L93" t="s">
        <v>1325</v>
      </c>
      <c r="M93">
        <v>2460000</v>
      </c>
      <c r="N93">
        <v>4100000</v>
      </c>
      <c r="O93" t="s">
        <v>1326</v>
      </c>
      <c r="P93" s="1">
        <v>45534</v>
      </c>
      <c r="Q93" s="2">
        <v>12928628</v>
      </c>
      <c r="R93" t="s">
        <v>1327</v>
      </c>
      <c r="S93" t="s">
        <v>88</v>
      </c>
      <c r="T93" t="s">
        <v>1328</v>
      </c>
      <c r="U93" t="s">
        <v>465</v>
      </c>
      <c r="V93" t="s">
        <v>365</v>
      </c>
      <c r="W93" t="s">
        <v>1177</v>
      </c>
      <c r="X93" t="s">
        <v>829</v>
      </c>
      <c r="Y93" t="s">
        <v>772</v>
      </c>
      <c r="Z93" t="s">
        <v>1329</v>
      </c>
      <c r="AA93">
        <v>3</v>
      </c>
      <c r="AB93" t="s">
        <v>124</v>
      </c>
      <c r="AC93" t="s">
        <v>1330</v>
      </c>
      <c r="AD93" t="s">
        <v>1177</v>
      </c>
      <c r="AE93" t="s">
        <v>97</v>
      </c>
      <c r="AF93">
        <v>3485000</v>
      </c>
      <c r="AG93" s="3">
        <v>60988</v>
      </c>
      <c r="AK93" t="s">
        <v>1331</v>
      </c>
      <c r="AL93" s="3">
        <v>60988</v>
      </c>
      <c r="AM93">
        <v>0</v>
      </c>
      <c r="AN93" s="4">
        <f>Table103[[#This Row],[Premium]]-Table103[[#This Row],[Tms Prem]]</f>
        <v>0</v>
      </c>
    </row>
    <row r="94" spans="1:40" x14ac:dyDescent="0.25">
      <c r="A94">
        <v>93</v>
      </c>
      <c r="B94" t="s">
        <v>38</v>
      </c>
      <c r="C94" t="s">
        <v>1332</v>
      </c>
      <c r="D94" t="s">
        <v>40</v>
      </c>
      <c r="E94" t="s">
        <v>41</v>
      </c>
      <c r="F94" t="s">
        <v>1333</v>
      </c>
      <c r="G94" t="s">
        <v>80</v>
      </c>
      <c r="H94" t="s">
        <v>1334</v>
      </c>
      <c r="I94" t="s">
        <v>45</v>
      </c>
      <c r="J94" t="s">
        <v>1335</v>
      </c>
      <c r="K94" t="s">
        <v>1336</v>
      </c>
      <c r="L94" t="s">
        <v>1337</v>
      </c>
      <c r="M94">
        <v>1987500</v>
      </c>
      <c r="N94">
        <v>2650000</v>
      </c>
      <c r="O94" t="s">
        <v>1338</v>
      </c>
      <c r="P94" s="1">
        <v>45514</v>
      </c>
      <c r="Q94" s="2" t="s">
        <v>1339</v>
      </c>
      <c r="R94" t="s">
        <v>1340</v>
      </c>
      <c r="S94" t="s">
        <v>88</v>
      </c>
      <c r="T94" t="s">
        <v>1341</v>
      </c>
      <c r="U94" t="s">
        <v>208</v>
      </c>
      <c r="V94" t="s">
        <v>496</v>
      </c>
      <c r="W94" t="s">
        <v>514</v>
      </c>
      <c r="X94" t="s">
        <v>236</v>
      </c>
      <c r="Y94" t="s">
        <v>55</v>
      </c>
      <c r="Z94" t="s">
        <v>1342</v>
      </c>
      <c r="AA94">
        <v>5</v>
      </c>
      <c r="AB94" t="s">
        <v>196</v>
      </c>
      <c r="AC94" t="s">
        <v>1343</v>
      </c>
      <c r="AD94" t="s">
        <v>236</v>
      </c>
      <c r="AE94" t="s">
        <v>60</v>
      </c>
      <c r="AF94">
        <v>2120000</v>
      </c>
      <c r="AG94" s="3">
        <v>42400</v>
      </c>
      <c r="AK94" t="s">
        <v>1344</v>
      </c>
      <c r="AL94" s="3">
        <v>42400</v>
      </c>
      <c r="AM94">
        <v>0</v>
      </c>
      <c r="AN94" s="4">
        <f>Table103[[#This Row],[Premium]]-Table103[[#This Row],[Tms Prem]]</f>
        <v>0</v>
      </c>
    </row>
    <row r="95" spans="1:40" x14ac:dyDescent="0.25">
      <c r="A95">
        <v>94</v>
      </c>
      <c r="B95" t="s">
        <v>38</v>
      </c>
      <c r="C95" t="s">
        <v>1345</v>
      </c>
      <c r="D95" t="s">
        <v>40</v>
      </c>
      <c r="E95" t="s">
        <v>41</v>
      </c>
      <c r="F95" t="s">
        <v>1346</v>
      </c>
      <c r="G95" t="s">
        <v>80</v>
      </c>
      <c r="H95" t="s">
        <v>1347</v>
      </c>
      <c r="I95" t="s">
        <v>1348</v>
      </c>
      <c r="J95" t="s">
        <v>1348</v>
      </c>
      <c r="K95" t="s">
        <v>151</v>
      </c>
      <c r="L95" t="s">
        <v>1349</v>
      </c>
      <c r="M95">
        <v>1428000</v>
      </c>
      <c r="N95">
        <v>2040000</v>
      </c>
      <c r="O95" t="s">
        <v>1350</v>
      </c>
      <c r="P95" s="1">
        <v>45534</v>
      </c>
      <c r="Q95" s="2">
        <v>143331</v>
      </c>
      <c r="R95" t="s">
        <v>1351</v>
      </c>
      <c r="S95" t="s">
        <v>88</v>
      </c>
      <c r="T95" t="s">
        <v>1352</v>
      </c>
      <c r="U95" t="s">
        <v>279</v>
      </c>
      <c r="V95" t="s">
        <v>662</v>
      </c>
      <c r="W95" t="s">
        <v>1177</v>
      </c>
      <c r="X95" t="s">
        <v>829</v>
      </c>
      <c r="Y95" t="s">
        <v>1189</v>
      </c>
      <c r="Z95" t="s">
        <v>1353</v>
      </c>
      <c r="AA95">
        <v>5</v>
      </c>
      <c r="AB95" t="s">
        <v>124</v>
      </c>
      <c r="AC95" t="s">
        <v>1354</v>
      </c>
      <c r="AD95" t="s">
        <v>1177</v>
      </c>
      <c r="AE95" t="s">
        <v>97</v>
      </c>
      <c r="AF95">
        <v>1734000</v>
      </c>
      <c r="AG95" s="3">
        <v>30345.000000000004</v>
      </c>
      <c r="AK95" t="s">
        <v>1355</v>
      </c>
      <c r="AL95" s="3">
        <v>30345</v>
      </c>
      <c r="AM95">
        <v>0</v>
      </c>
      <c r="AN95" s="4">
        <f>Table103[[#This Row],[Premium]]-Table103[[#This Row],[Tms Prem]]</f>
        <v>0</v>
      </c>
    </row>
    <row r="96" spans="1:40" x14ac:dyDescent="0.25">
      <c r="A96">
        <v>95</v>
      </c>
      <c r="B96" t="s">
        <v>38</v>
      </c>
      <c r="C96" t="s">
        <v>1356</v>
      </c>
      <c r="D96" t="s">
        <v>40</v>
      </c>
      <c r="E96" t="s">
        <v>41</v>
      </c>
      <c r="F96" t="s">
        <v>1357</v>
      </c>
      <c r="G96" t="s">
        <v>174</v>
      </c>
      <c r="H96" t="s">
        <v>1358</v>
      </c>
      <c r="I96" t="s">
        <v>1359</v>
      </c>
      <c r="J96" t="s">
        <v>1359</v>
      </c>
      <c r="K96" t="s">
        <v>1360</v>
      </c>
      <c r="L96" t="s">
        <v>1361</v>
      </c>
      <c r="M96">
        <v>2687750</v>
      </c>
      <c r="N96">
        <v>4135000</v>
      </c>
      <c r="O96" t="s">
        <v>1362</v>
      </c>
      <c r="P96" s="1">
        <v>45514</v>
      </c>
      <c r="Q96" s="2">
        <v>3300157</v>
      </c>
      <c r="R96" t="s">
        <v>1363</v>
      </c>
      <c r="S96" t="s">
        <v>50</v>
      </c>
      <c r="T96" t="s">
        <v>45</v>
      </c>
      <c r="U96" t="s">
        <v>1364</v>
      </c>
      <c r="V96" t="s">
        <v>140</v>
      </c>
      <c r="W96" t="s">
        <v>1365</v>
      </c>
      <c r="X96" t="s">
        <v>236</v>
      </c>
      <c r="Y96" t="s">
        <v>182</v>
      </c>
      <c r="Z96" t="s">
        <v>1366</v>
      </c>
      <c r="AA96">
        <v>4</v>
      </c>
      <c r="AB96" t="s">
        <v>196</v>
      </c>
      <c r="AC96" t="s">
        <v>1367</v>
      </c>
      <c r="AD96" t="s">
        <v>236</v>
      </c>
      <c r="AE96" t="s">
        <v>159</v>
      </c>
      <c r="AF96">
        <v>3308000</v>
      </c>
      <c r="AG96" s="3">
        <v>49620</v>
      </c>
      <c r="AK96" t="s">
        <v>1368</v>
      </c>
      <c r="AL96" s="3">
        <v>49620</v>
      </c>
      <c r="AM96">
        <v>0</v>
      </c>
      <c r="AN96" s="4">
        <f>Table103[[#This Row],[Premium]]-Table103[[#This Row],[Tms Prem]]</f>
        <v>0</v>
      </c>
    </row>
    <row r="97" spans="1:40" x14ac:dyDescent="0.25">
      <c r="A97">
        <v>96</v>
      </c>
      <c r="B97" t="s">
        <v>38</v>
      </c>
      <c r="C97" t="s">
        <v>1369</v>
      </c>
      <c r="D97" t="s">
        <v>40</v>
      </c>
      <c r="E97" t="s">
        <v>41</v>
      </c>
      <c r="F97" t="s">
        <v>1370</v>
      </c>
      <c r="G97" t="s">
        <v>80</v>
      </c>
      <c r="H97" t="s">
        <v>1371</v>
      </c>
      <c r="I97" t="s">
        <v>45</v>
      </c>
      <c r="J97" t="s">
        <v>1372</v>
      </c>
      <c r="K97" t="s">
        <v>45</v>
      </c>
      <c r="L97" t="s">
        <v>1373</v>
      </c>
      <c r="M97">
        <v>1260000</v>
      </c>
      <c r="N97">
        <v>1800000</v>
      </c>
      <c r="O97" t="s">
        <v>1374</v>
      </c>
      <c r="P97" s="1">
        <v>45534</v>
      </c>
      <c r="Q97" s="2" t="s">
        <v>1375</v>
      </c>
      <c r="R97" t="s">
        <v>1376</v>
      </c>
      <c r="S97" t="s">
        <v>88</v>
      </c>
      <c r="T97" t="s">
        <v>1377</v>
      </c>
      <c r="U97" t="s">
        <v>221</v>
      </c>
      <c r="V97" t="s">
        <v>662</v>
      </c>
      <c r="W97" t="s">
        <v>1177</v>
      </c>
      <c r="X97" t="s">
        <v>829</v>
      </c>
      <c r="Y97" t="s">
        <v>772</v>
      </c>
      <c r="Z97" t="s">
        <v>1378</v>
      </c>
      <c r="AA97">
        <v>3</v>
      </c>
      <c r="AB97" t="s">
        <v>124</v>
      </c>
      <c r="AC97" t="s">
        <v>1379</v>
      </c>
      <c r="AD97" t="s">
        <v>1177</v>
      </c>
      <c r="AE97" t="s">
        <v>97</v>
      </c>
      <c r="AF97">
        <v>1530000</v>
      </c>
      <c r="AG97" s="3">
        <v>26775.000000000004</v>
      </c>
      <c r="AK97" t="s">
        <v>1380</v>
      </c>
      <c r="AL97" s="3">
        <v>26775</v>
      </c>
      <c r="AM97">
        <v>0</v>
      </c>
      <c r="AN97" s="4">
        <f>Table103[[#This Row],[Premium]]-Table103[[#This Row],[Tms Prem]]</f>
        <v>0</v>
      </c>
    </row>
    <row r="98" spans="1:40" x14ac:dyDescent="0.25">
      <c r="A98">
        <v>97</v>
      </c>
      <c r="B98" t="s">
        <v>38</v>
      </c>
      <c r="C98" t="s">
        <v>1381</v>
      </c>
      <c r="D98" t="s">
        <v>40</v>
      </c>
      <c r="E98" t="s">
        <v>41</v>
      </c>
      <c r="F98" t="s">
        <v>1382</v>
      </c>
      <c r="G98" t="s">
        <v>80</v>
      </c>
      <c r="H98" t="s">
        <v>1383</v>
      </c>
      <c r="I98" t="s">
        <v>1384</v>
      </c>
      <c r="J98" t="s">
        <v>1384</v>
      </c>
      <c r="K98" t="s">
        <v>151</v>
      </c>
      <c r="L98" t="s">
        <v>1385</v>
      </c>
      <c r="M98">
        <v>2880000</v>
      </c>
      <c r="N98">
        <v>4800000</v>
      </c>
      <c r="O98" t="s">
        <v>1386</v>
      </c>
      <c r="P98" s="1">
        <v>45534</v>
      </c>
      <c r="Q98" s="2">
        <v>14809076</v>
      </c>
      <c r="R98" t="s">
        <v>1387</v>
      </c>
      <c r="S98" t="s">
        <v>88</v>
      </c>
      <c r="T98" t="s">
        <v>1388</v>
      </c>
      <c r="U98" t="s">
        <v>1389</v>
      </c>
      <c r="V98" t="s">
        <v>52</v>
      </c>
      <c r="W98" t="s">
        <v>1177</v>
      </c>
      <c r="X98" t="s">
        <v>829</v>
      </c>
      <c r="Y98" t="s">
        <v>772</v>
      </c>
      <c r="Z98" t="s">
        <v>1390</v>
      </c>
      <c r="AA98">
        <v>3</v>
      </c>
      <c r="AB98" t="s">
        <v>124</v>
      </c>
      <c r="AC98" t="s">
        <v>1391</v>
      </c>
      <c r="AD98" t="s">
        <v>1177</v>
      </c>
      <c r="AE98" t="s">
        <v>97</v>
      </c>
      <c r="AF98">
        <v>4080000</v>
      </c>
      <c r="AG98" s="3">
        <v>71400</v>
      </c>
      <c r="AK98" t="s">
        <v>1392</v>
      </c>
      <c r="AL98" s="3">
        <v>71400</v>
      </c>
      <c r="AM98">
        <v>0</v>
      </c>
      <c r="AN98" s="4">
        <f>Table103[[#This Row],[Premium]]-Table103[[#This Row],[Tms Prem]]</f>
        <v>0</v>
      </c>
    </row>
    <row r="99" spans="1:40" x14ac:dyDescent="0.25">
      <c r="A99">
        <v>98</v>
      </c>
      <c r="B99" t="s">
        <v>38</v>
      </c>
      <c r="C99" t="s">
        <v>1393</v>
      </c>
      <c r="D99" t="s">
        <v>40</v>
      </c>
      <c r="E99" t="s">
        <v>41</v>
      </c>
      <c r="F99" t="s">
        <v>1394</v>
      </c>
      <c r="G99" t="s">
        <v>80</v>
      </c>
      <c r="H99" t="s">
        <v>1395</v>
      </c>
      <c r="I99" t="s">
        <v>1396</v>
      </c>
      <c r="J99" t="s">
        <v>1396</v>
      </c>
      <c r="K99" t="s">
        <v>151</v>
      </c>
      <c r="L99" t="s">
        <v>1397</v>
      </c>
      <c r="M99">
        <v>2232000</v>
      </c>
      <c r="N99">
        <v>3600000</v>
      </c>
      <c r="O99" t="s">
        <v>1398</v>
      </c>
      <c r="P99" s="1">
        <v>45534</v>
      </c>
      <c r="Q99" s="2" t="s">
        <v>1399</v>
      </c>
      <c r="R99" t="s">
        <v>1400</v>
      </c>
      <c r="S99" t="s">
        <v>88</v>
      </c>
      <c r="T99" t="s">
        <v>1401</v>
      </c>
      <c r="U99" t="s">
        <v>1402</v>
      </c>
      <c r="V99" t="s">
        <v>365</v>
      </c>
      <c r="W99" t="s">
        <v>1177</v>
      </c>
      <c r="X99" t="s">
        <v>829</v>
      </c>
      <c r="Y99" t="s">
        <v>772</v>
      </c>
      <c r="Z99" t="s">
        <v>1403</v>
      </c>
      <c r="AA99">
        <v>3</v>
      </c>
      <c r="AB99" t="s">
        <v>124</v>
      </c>
      <c r="AC99" t="s">
        <v>1404</v>
      </c>
      <c r="AD99" t="s">
        <v>1177</v>
      </c>
      <c r="AE99" t="s">
        <v>97</v>
      </c>
      <c r="AF99">
        <v>3060000</v>
      </c>
      <c r="AG99" s="3">
        <v>53550.000000000007</v>
      </c>
      <c r="AK99" t="s">
        <v>1405</v>
      </c>
      <c r="AL99" s="3">
        <v>53550</v>
      </c>
      <c r="AM99">
        <v>0</v>
      </c>
      <c r="AN99" s="4">
        <f>Table103[[#This Row],[Premium]]-Table103[[#This Row],[Tms Prem]]</f>
        <v>0</v>
      </c>
    </row>
    <row r="100" spans="1:40" x14ac:dyDescent="0.25">
      <c r="A100">
        <v>99</v>
      </c>
      <c r="B100" t="s">
        <v>38</v>
      </c>
      <c r="C100" t="s">
        <v>1406</v>
      </c>
      <c r="D100" t="s">
        <v>40</v>
      </c>
      <c r="E100" t="s">
        <v>41</v>
      </c>
      <c r="F100" t="s">
        <v>1407</v>
      </c>
      <c r="G100" t="s">
        <v>80</v>
      </c>
      <c r="H100" t="s">
        <v>1408</v>
      </c>
      <c r="I100" t="s">
        <v>45</v>
      </c>
      <c r="J100" t="s">
        <v>1409</v>
      </c>
      <c r="K100" t="s">
        <v>45</v>
      </c>
      <c r="L100" t="s">
        <v>1410</v>
      </c>
      <c r="M100">
        <v>2873500</v>
      </c>
      <c r="N100">
        <v>4105000</v>
      </c>
      <c r="O100" t="s">
        <v>1411</v>
      </c>
      <c r="P100" s="1">
        <v>45534</v>
      </c>
      <c r="Q100" s="2">
        <v>362725</v>
      </c>
      <c r="R100" t="s">
        <v>1412</v>
      </c>
      <c r="S100" t="s">
        <v>50</v>
      </c>
      <c r="T100" t="s">
        <v>45</v>
      </c>
      <c r="U100" t="s">
        <v>1413</v>
      </c>
      <c r="V100" t="s">
        <v>52</v>
      </c>
      <c r="W100" t="s">
        <v>1414</v>
      </c>
      <c r="X100" t="s">
        <v>829</v>
      </c>
      <c r="Y100" t="s">
        <v>874</v>
      </c>
      <c r="Z100" t="s">
        <v>1415</v>
      </c>
      <c r="AA100">
        <v>4</v>
      </c>
      <c r="AB100" t="s">
        <v>440</v>
      </c>
      <c r="AC100" t="s">
        <v>1416</v>
      </c>
      <c r="AD100" t="s">
        <v>1417</v>
      </c>
      <c r="AE100" t="s">
        <v>60</v>
      </c>
      <c r="AF100">
        <v>3489250</v>
      </c>
      <c r="AG100" s="3">
        <v>69785</v>
      </c>
      <c r="AK100" t="s">
        <v>1418</v>
      </c>
      <c r="AL100" s="3">
        <v>69785</v>
      </c>
      <c r="AM100">
        <v>0</v>
      </c>
      <c r="AN100" s="4">
        <f>Table103[[#This Row],[Premium]]-Table103[[#This Row],[Tms Prem]]</f>
        <v>0</v>
      </c>
    </row>
    <row r="101" spans="1:40" x14ac:dyDescent="0.25">
      <c r="A101">
        <v>100</v>
      </c>
      <c r="B101" t="s">
        <v>38</v>
      </c>
      <c r="C101" t="s">
        <v>1419</v>
      </c>
      <c r="D101" t="s">
        <v>40</v>
      </c>
      <c r="E101" t="s">
        <v>41</v>
      </c>
      <c r="F101" t="s">
        <v>1420</v>
      </c>
      <c r="G101" t="s">
        <v>80</v>
      </c>
      <c r="H101" t="s">
        <v>1421</v>
      </c>
      <c r="I101" t="s">
        <v>1422</v>
      </c>
      <c r="J101" t="s">
        <v>1422</v>
      </c>
      <c r="K101" t="s">
        <v>1422</v>
      </c>
      <c r="L101" t="s">
        <v>1423</v>
      </c>
      <c r="M101">
        <v>943060</v>
      </c>
      <c r="N101">
        <v>1546000</v>
      </c>
      <c r="O101" t="s">
        <v>1424</v>
      </c>
      <c r="P101" s="1">
        <v>45514</v>
      </c>
      <c r="Q101" s="2">
        <v>241977</v>
      </c>
      <c r="R101" t="s">
        <v>1425</v>
      </c>
      <c r="S101" t="s">
        <v>50</v>
      </c>
      <c r="T101" t="s">
        <v>45</v>
      </c>
      <c r="U101" t="s">
        <v>221</v>
      </c>
      <c r="V101" t="s">
        <v>52</v>
      </c>
      <c r="W101" t="s">
        <v>481</v>
      </c>
      <c r="X101" t="s">
        <v>72</v>
      </c>
      <c r="Y101" t="s">
        <v>424</v>
      </c>
      <c r="Z101" t="s">
        <v>1426</v>
      </c>
      <c r="AA101">
        <v>3</v>
      </c>
      <c r="AB101" t="s">
        <v>124</v>
      </c>
      <c r="AC101" t="s">
        <v>1427</v>
      </c>
      <c r="AD101" t="s">
        <v>141</v>
      </c>
      <c r="AE101" t="s">
        <v>60</v>
      </c>
      <c r="AF101">
        <v>1314100</v>
      </c>
      <c r="AG101" s="3">
        <v>26282</v>
      </c>
      <c r="AK101" t="s">
        <v>1428</v>
      </c>
      <c r="AL101" s="3">
        <v>26282</v>
      </c>
      <c r="AM101">
        <v>0</v>
      </c>
      <c r="AN101" s="4">
        <f>Table103[[#This Row],[Premium]]-Table103[[#This Row],[Tms Prem]]</f>
        <v>0</v>
      </c>
    </row>
    <row r="102" spans="1:40" x14ac:dyDescent="0.25">
      <c r="A102">
        <v>101</v>
      </c>
      <c r="B102" t="s">
        <v>38</v>
      </c>
      <c r="C102" t="s">
        <v>1429</v>
      </c>
      <c r="D102" t="s">
        <v>40</v>
      </c>
      <c r="E102" t="s">
        <v>41</v>
      </c>
      <c r="F102" t="s">
        <v>1430</v>
      </c>
      <c r="G102" t="s">
        <v>80</v>
      </c>
      <c r="H102" t="s">
        <v>1431</v>
      </c>
      <c r="I102" t="s">
        <v>1432</v>
      </c>
      <c r="J102" t="s">
        <v>1432</v>
      </c>
      <c r="K102" t="s">
        <v>1432</v>
      </c>
      <c r="L102" t="s">
        <v>1433</v>
      </c>
      <c r="M102">
        <v>1250000</v>
      </c>
      <c r="N102">
        <v>2500000</v>
      </c>
      <c r="O102" t="s">
        <v>1434</v>
      </c>
      <c r="P102" s="1">
        <v>45534</v>
      </c>
      <c r="Q102" s="2" t="s">
        <v>1435</v>
      </c>
      <c r="R102" t="s">
        <v>1436</v>
      </c>
      <c r="S102" t="s">
        <v>88</v>
      </c>
      <c r="T102" t="s">
        <v>1437</v>
      </c>
      <c r="U102" t="s">
        <v>605</v>
      </c>
      <c r="V102" t="s">
        <v>466</v>
      </c>
      <c r="W102" t="s">
        <v>1177</v>
      </c>
      <c r="X102" t="s">
        <v>829</v>
      </c>
      <c r="Y102" t="s">
        <v>772</v>
      </c>
      <c r="Z102" t="s">
        <v>1438</v>
      </c>
      <c r="AA102">
        <v>3</v>
      </c>
      <c r="AB102" t="s">
        <v>124</v>
      </c>
      <c r="AC102" t="s">
        <v>1439</v>
      </c>
      <c r="AD102" t="s">
        <v>1177</v>
      </c>
      <c r="AE102" t="s">
        <v>97</v>
      </c>
      <c r="AF102">
        <v>2125000</v>
      </c>
      <c r="AG102" s="3">
        <v>37188</v>
      </c>
      <c r="AK102" t="s">
        <v>1440</v>
      </c>
      <c r="AL102" s="3">
        <v>37188</v>
      </c>
      <c r="AM102">
        <v>0</v>
      </c>
      <c r="AN102" s="4">
        <f>Table103[[#This Row],[Premium]]-Table103[[#This Row],[Tms Prem]]</f>
        <v>0</v>
      </c>
    </row>
    <row r="103" spans="1:40" x14ac:dyDescent="0.25">
      <c r="A103">
        <v>102</v>
      </c>
      <c r="B103" t="s">
        <v>38</v>
      </c>
      <c r="C103" t="s">
        <v>1441</v>
      </c>
      <c r="D103" t="s">
        <v>40</v>
      </c>
      <c r="E103" t="s">
        <v>41</v>
      </c>
      <c r="F103" t="s">
        <v>1442</v>
      </c>
      <c r="G103" t="s">
        <v>80</v>
      </c>
      <c r="H103" t="s">
        <v>1443</v>
      </c>
      <c r="I103" t="s">
        <v>1444</v>
      </c>
      <c r="J103" t="s">
        <v>1445</v>
      </c>
      <c r="K103" t="s">
        <v>45</v>
      </c>
      <c r="L103" t="s">
        <v>1446</v>
      </c>
      <c r="M103">
        <v>2198000</v>
      </c>
      <c r="N103">
        <v>3140000</v>
      </c>
      <c r="O103" t="s">
        <v>1447</v>
      </c>
      <c r="P103" s="1">
        <v>45534</v>
      </c>
      <c r="Q103" s="2">
        <v>186143</v>
      </c>
      <c r="R103" t="s">
        <v>1448</v>
      </c>
      <c r="S103" t="s">
        <v>88</v>
      </c>
      <c r="T103" t="s">
        <v>1449</v>
      </c>
      <c r="U103" t="s">
        <v>1450</v>
      </c>
      <c r="V103" t="s">
        <v>140</v>
      </c>
      <c r="W103" t="s">
        <v>1177</v>
      </c>
      <c r="X103" t="s">
        <v>829</v>
      </c>
      <c r="Y103" t="s">
        <v>1189</v>
      </c>
      <c r="Z103" t="s">
        <v>1451</v>
      </c>
      <c r="AA103">
        <v>5</v>
      </c>
      <c r="AB103" t="s">
        <v>124</v>
      </c>
      <c r="AC103" t="s">
        <v>1452</v>
      </c>
      <c r="AD103" t="s">
        <v>1177</v>
      </c>
      <c r="AE103" t="s">
        <v>97</v>
      </c>
      <c r="AF103">
        <v>2669000</v>
      </c>
      <c r="AG103" s="3">
        <v>46708</v>
      </c>
      <c r="AK103" t="s">
        <v>1453</v>
      </c>
      <c r="AL103" s="3">
        <v>46708</v>
      </c>
      <c r="AM103">
        <v>0</v>
      </c>
      <c r="AN103" s="4">
        <f>Table103[[#This Row],[Premium]]-Table103[[#This Row],[Tms Prem]]</f>
        <v>0</v>
      </c>
    </row>
    <row r="104" spans="1:40" x14ac:dyDescent="0.25">
      <c r="A104">
        <v>103</v>
      </c>
      <c r="B104" t="s">
        <v>38</v>
      </c>
      <c r="C104" t="s">
        <v>1454</v>
      </c>
      <c r="D104" t="s">
        <v>40</v>
      </c>
      <c r="E104" t="s">
        <v>41</v>
      </c>
      <c r="F104" t="s">
        <v>1455</v>
      </c>
      <c r="G104" t="s">
        <v>174</v>
      </c>
      <c r="H104" t="s">
        <v>1456</v>
      </c>
      <c r="I104" t="s">
        <v>1457</v>
      </c>
      <c r="J104" t="s">
        <v>1457</v>
      </c>
      <c r="K104" t="s">
        <v>1457</v>
      </c>
      <c r="L104" t="s">
        <v>1458</v>
      </c>
      <c r="M104">
        <v>1069200</v>
      </c>
      <c r="N104">
        <v>1944000</v>
      </c>
      <c r="O104" t="s">
        <v>1459</v>
      </c>
      <c r="P104" s="1">
        <v>45514</v>
      </c>
      <c r="Q104" s="2">
        <v>503503</v>
      </c>
      <c r="R104" t="s">
        <v>1460</v>
      </c>
      <c r="S104" t="s">
        <v>50</v>
      </c>
      <c r="T104" t="s">
        <v>45</v>
      </c>
      <c r="U104" t="s">
        <v>755</v>
      </c>
      <c r="V104" t="s">
        <v>52</v>
      </c>
      <c r="W104" t="s">
        <v>1461</v>
      </c>
      <c r="X104" t="s">
        <v>72</v>
      </c>
      <c r="Y104" t="s">
        <v>350</v>
      </c>
      <c r="Z104" t="s">
        <v>1462</v>
      </c>
      <c r="AA104">
        <v>5</v>
      </c>
      <c r="AB104" t="s">
        <v>196</v>
      </c>
      <c r="AC104" t="s">
        <v>1463</v>
      </c>
      <c r="AD104" t="s">
        <v>54</v>
      </c>
      <c r="AE104" t="s">
        <v>60</v>
      </c>
      <c r="AF104">
        <v>1652400</v>
      </c>
      <c r="AG104" s="3">
        <v>33048</v>
      </c>
      <c r="AK104" t="s">
        <v>1464</v>
      </c>
      <c r="AL104" s="3">
        <v>33048</v>
      </c>
      <c r="AM104">
        <v>0</v>
      </c>
      <c r="AN104" s="4">
        <f>Table103[[#This Row],[Premium]]-Table103[[#This Row],[Tms Prem]]</f>
        <v>0</v>
      </c>
    </row>
    <row r="105" spans="1:40" x14ac:dyDescent="0.25">
      <c r="A105">
        <v>104</v>
      </c>
      <c r="B105" t="s">
        <v>38</v>
      </c>
      <c r="C105" t="s">
        <v>1465</v>
      </c>
      <c r="D105" t="s">
        <v>40</v>
      </c>
      <c r="E105" t="s">
        <v>41</v>
      </c>
      <c r="F105" t="s">
        <v>1466</v>
      </c>
      <c r="G105" t="s">
        <v>43</v>
      </c>
      <c r="H105" t="s">
        <v>1467</v>
      </c>
      <c r="I105" t="s">
        <v>1468</v>
      </c>
      <c r="J105" t="s">
        <v>45</v>
      </c>
      <c r="K105" t="s">
        <v>1469</v>
      </c>
      <c r="L105" t="s">
        <v>1470</v>
      </c>
      <c r="M105">
        <v>1314100</v>
      </c>
      <c r="N105">
        <v>1546000</v>
      </c>
      <c r="O105" t="s">
        <v>1471</v>
      </c>
      <c r="P105" s="1">
        <v>45514</v>
      </c>
      <c r="Q105" s="2">
        <v>247464</v>
      </c>
      <c r="R105" t="s">
        <v>1472</v>
      </c>
      <c r="S105" t="s">
        <v>50</v>
      </c>
      <c r="T105" t="s">
        <v>45</v>
      </c>
      <c r="U105" t="s">
        <v>250</v>
      </c>
      <c r="V105" t="s">
        <v>52</v>
      </c>
      <c r="W105" t="s">
        <v>1473</v>
      </c>
      <c r="X105" t="s">
        <v>72</v>
      </c>
      <c r="Y105" t="s">
        <v>350</v>
      </c>
      <c r="Z105" t="s">
        <v>1474</v>
      </c>
      <c r="AA105">
        <v>5</v>
      </c>
      <c r="AB105" t="s">
        <v>57</v>
      </c>
      <c r="AC105" t="s">
        <v>1475</v>
      </c>
      <c r="AD105" t="s">
        <v>54</v>
      </c>
      <c r="AE105" t="s">
        <v>60</v>
      </c>
      <c r="AF105">
        <v>1314100</v>
      </c>
      <c r="AG105" s="3">
        <v>26282</v>
      </c>
      <c r="AK105" t="s">
        <v>1476</v>
      </c>
      <c r="AL105" s="3">
        <v>26282</v>
      </c>
      <c r="AM105">
        <v>0</v>
      </c>
      <c r="AN105" s="4">
        <f>Table103[[#This Row],[Premium]]-Table103[[#This Row],[Tms Prem]]</f>
        <v>0</v>
      </c>
    </row>
    <row r="106" spans="1:40" x14ac:dyDescent="0.25">
      <c r="A106">
        <v>105</v>
      </c>
      <c r="B106" t="s">
        <v>38</v>
      </c>
      <c r="C106" t="s">
        <v>1477</v>
      </c>
      <c r="D106" t="s">
        <v>40</v>
      </c>
      <c r="E106" t="s">
        <v>41</v>
      </c>
      <c r="F106" t="s">
        <v>1478</v>
      </c>
      <c r="G106" t="s">
        <v>289</v>
      </c>
      <c r="H106" t="s">
        <v>1479</v>
      </c>
      <c r="I106" t="s">
        <v>1480</v>
      </c>
      <c r="J106" t="s">
        <v>45</v>
      </c>
      <c r="K106" t="s">
        <v>1481</v>
      </c>
      <c r="L106" t="s">
        <v>1482</v>
      </c>
      <c r="M106">
        <v>1820000</v>
      </c>
      <c r="N106">
        <v>2600000</v>
      </c>
      <c r="O106" t="s">
        <v>1483</v>
      </c>
      <c r="P106" s="1">
        <v>45534</v>
      </c>
      <c r="Q106" s="2">
        <v>17435859</v>
      </c>
      <c r="R106" t="s">
        <v>1484</v>
      </c>
      <c r="S106" t="s">
        <v>88</v>
      </c>
      <c r="T106" t="s">
        <v>1485</v>
      </c>
      <c r="U106" t="s">
        <v>1486</v>
      </c>
      <c r="V106" t="s">
        <v>466</v>
      </c>
      <c r="W106" t="s">
        <v>1177</v>
      </c>
      <c r="X106" t="s">
        <v>829</v>
      </c>
      <c r="Y106" t="s">
        <v>772</v>
      </c>
      <c r="Z106" t="s">
        <v>1487</v>
      </c>
      <c r="AA106">
        <v>3</v>
      </c>
      <c r="AB106" t="s">
        <v>94</v>
      </c>
      <c r="AC106" t="s">
        <v>1488</v>
      </c>
      <c r="AD106" t="s">
        <v>1177</v>
      </c>
      <c r="AE106" t="s">
        <v>97</v>
      </c>
      <c r="AF106">
        <v>2210000</v>
      </c>
      <c r="AG106" s="3">
        <v>38675.000000000007</v>
      </c>
      <c r="AK106" t="s">
        <v>1489</v>
      </c>
      <c r="AL106" s="3">
        <v>38675</v>
      </c>
      <c r="AM106">
        <v>0</v>
      </c>
      <c r="AN106" s="4">
        <f>Table103[[#This Row],[Premium]]-Table103[[#This Row],[Tms Prem]]</f>
        <v>0</v>
      </c>
    </row>
    <row r="107" spans="1:40" x14ac:dyDescent="0.25">
      <c r="A107">
        <v>106</v>
      </c>
      <c r="B107" t="s">
        <v>38</v>
      </c>
      <c r="C107" t="s">
        <v>1490</v>
      </c>
      <c r="D107" t="s">
        <v>40</v>
      </c>
      <c r="E107" t="s">
        <v>41</v>
      </c>
      <c r="F107" t="s">
        <v>1491</v>
      </c>
      <c r="G107" t="s">
        <v>174</v>
      </c>
      <c r="H107" t="s">
        <v>1492</v>
      </c>
      <c r="I107" t="s">
        <v>1493</v>
      </c>
      <c r="J107" t="s">
        <v>1493</v>
      </c>
      <c r="K107" t="s">
        <v>1493</v>
      </c>
      <c r="L107" t="s">
        <v>1494</v>
      </c>
      <c r="M107">
        <v>1036000</v>
      </c>
      <c r="N107">
        <v>1480000</v>
      </c>
      <c r="O107" t="s">
        <v>1495</v>
      </c>
      <c r="P107" s="1">
        <v>45514</v>
      </c>
      <c r="Q107" s="2">
        <v>1138499</v>
      </c>
      <c r="R107" t="s">
        <v>1496</v>
      </c>
      <c r="S107" t="s">
        <v>88</v>
      </c>
      <c r="T107" t="s">
        <v>1497</v>
      </c>
      <c r="U107" t="s">
        <v>1498</v>
      </c>
      <c r="V107" t="s">
        <v>52</v>
      </c>
      <c r="W107" t="s">
        <v>467</v>
      </c>
      <c r="X107" t="s">
        <v>72</v>
      </c>
      <c r="Y107" t="s">
        <v>350</v>
      </c>
      <c r="Z107" t="s">
        <v>1499</v>
      </c>
      <c r="AA107">
        <v>5</v>
      </c>
      <c r="AB107" t="s">
        <v>124</v>
      </c>
      <c r="AC107" t="s">
        <v>1500</v>
      </c>
      <c r="AD107" t="s">
        <v>54</v>
      </c>
      <c r="AE107" t="s">
        <v>97</v>
      </c>
      <c r="AF107">
        <v>1258000</v>
      </c>
      <c r="AG107" s="3">
        <v>22015.000000000004</v>
      </c>
      <c r="AK107" t="s">
        <v>1501</v>
      </c>
      <c r="AL107" s="3">
        <v>22015</v>
      </c>
      <c r="AM107">
        <v>0</v>
      </c>
      <c r="AN107" s="4">
        <f>Table103[[#This Row],[Premium]]-Table103[[#This Row],[Tms Prem]]</f>
        <v>0</v>
      </c>
    </row>
    <row r="108" spans="1:40" x14ac:dyDescent="0.25">
      <c r="A108">
        <v>107</v>
      </c>
      <c r="B108" t="s">
        <v>38</v>
      </c>
      <c r="C108" t="s">
        <v>1502</v>
      </c>
      <c r="D108" t="s">
        <v>40</v>
      </c>
      <c r="E108" t="s">
        <v>41</v>
      </c>
      <c r="F108" t="s">
        <v>1503</v>
      </c>
      <c r="G108" t="s">
        <v>80</v>
      </c>
      <c r="H108" t="s">
        <v>1504</v>
      </c>
      <c r="I108" t="s">
        <v>1505</v>
      </c>
      <c r="J108" t="s">
        <v>1505</v>
      </c>
      <c r="K108" t="s">
        <v>151</v>
      </c>
      <c r="L108" t="s">
        <v>1506</v>
      </c>
      <c r="M108">
        <v>1400000</v>
      </c>
      <c r="N108">
        <v>2000000</v>
      </c>
      <c r="O108" t="s">
        <v>1507</v>
      </c>
      <c r="P108" s="1">
        <v>45514</v>
      </c>
      <c r="Q108" s="2">
        <v>13041980</v>
      </c>
      <c r="R108" t="s">
        <v>1508</v>
      </c>
      <c r="S108" t="s">
        <v>88</v>
      </c>
      <c r="T108" t="s">
        <v>45</v>
      </c>
      <c r="U108" t="s">
        <v>1509</v>
      </c>
      <c r="V108" t="s">
        <v>365</v>
      </c>
      <c r="W108" t="s">
        <v>467</v>
      </c>
      <c r="X108" t="s">
        <v>72</v>
      </c>
      <c r="Y108" t="s">
        <v>424</v>
      </c>
      <c r="Z108" t="s">
        <v>1510</v>
      </c>
      <c r="AA108">
        <v>3</v>
      </c>
      <c r="AB108" t="s">
        <v>124</v>
      </c>
      <c r="AC108" t="s">
        <v>1511</v>
      </c>
      <c r="AD108" t="s">
        <v>54</v>
      </c>
      <c r="AE108" t="s">
        <v>159</v>
      </c>
      <c r="AF108">
        <v>1700000</v>
      </c>
      <c r="AG108" s="3">
        <v>25500</v>
      </c>
      <c r="AK108" t="s">
        <v>1512</v>
      </c>
      <c r="AL108" s="3">
        <v>25500</v>
      </c>
      <c r="AM108">
        <v>0</v>
      </c>
      <c r="AN108" s="4">
        <f>Table103[[#This Row],[Premium]]-Table103[[#This Row],[Tms Prem]]</f>
        <v>0</v>
      </c>
    </row>
    <row r="109" spans="1:40" x14ac:dyDescent="0.25">
      <c r="A109">
        <v>108</v>
      </c>
      <c r="B109" t="s">
        <v>38</v>
      </c>
      <c r="C109" t="s">
        <v>1513</v>
      </c>
      <c r="D109" t="s">
        <v>40</v>
      </c>
      <c r="E109" t="s">
        <v>41</v>
      </c>
      <c r="F109" t="s">
        <v>1514</v>
      </c>
      <c r="G109" t="s">
        <v>289</v>
      </c>
      <c r="H109" t="s">
        <v>1515</v>
      </c>
      <c r="I109" t="s">
        <v>1516</v>
      </c>
      <c r="J109" t="s">
        <v>45</v>
      </c>
      <c r="K109" t="s">
        <v>1517</v>
      </c>
      <c r="L109" t="s">
        <v>1518</v>
      </c>
      <c r="M109">
        <v>787500</v>
      </c>
      <c r="N109">
        <v>1125000</v>
      </c>
      <c r="O109" t="s">
        <v>1519</v>
      </c>
      <c r="P109" s="1">
        <v>45514</v>
      </c>
      <c r="Q109" s="2">
        <v>722658</v>
      </c>
      <c r="R109" t="s">
        <v>1520</v>
      </c>
      <c r="S109" t="s">
        <v>88</v>
      </c>
      <c r="T109" t="s">
        <v>1521</v>
      </c>
      <c r="U109" t="s">
        <v>1522</v>
      </c>
      <c r="V109" t="s">
        <v>365</v>
      </c>
      <c r="W109" t="s">
        <v>467</v>
      </c>
      <c r="X109" t="s">
        <v>72</v>
      </c>
      <c r="Y109" t="s">
        <v>350</v>
      </c>
      <c r="Z109" t="s">
        <v>1523</v>
      </c>
      <c r="AA109">
        <v>5</v>
      </c>
      <c r="AB109" t="s">
        <v>124</v>
      </c>
      <c r="AC109" t="s">
        <v>1524</v>
      </c>
      <c r="AD109" t="s">
        <v>54</v>
      </c>
      <c r="AE109" t="s">
        <v>97</v>
      </c>
      <c r="AF109">
        <v>956250</v>
      </c>
      <c r="AG109" s="3">
        <v>16735</v>
      </c>
      <c r="AK109" t="s">
        <v>1525</v>
      </c>
      <c r="AL109" s="3">
        <v>16734</v>
      </c>
      <c r="AM109">
        <v>0</v>
      </c>
      <c r="AN109" s="4">
        <f>Table103[[#This Row],[Premium]]-Table103[[#This Row],[Tms Prem]]</f>
        <v>1</v>
      </c>
    </row>
    <row r="110" spans="1:40" x14ac:dyDescent="0.25">
      <c r="A110">
        <v>109</v>
      </c>
      <c r="B110" t="s">
        <v>38</v>
      </c>
      <c r="C110" t="s">
        <v>1526</v>
      </c>
      <c r="D110" t="s">
        <v>40</v>
      </c>
      <c r="E110" t="s">
        <v>41</v>
      </c>
      <c r="F110" t="s">
        <v>1527</v>
      </c>
      <c r="G110" t="s">
        <v>43</v>
      </c>
      <c r="H110" t="s">
        <v>1528</v>
      </c>
      <c r="I110" t="s">
        <v>1529</v>
      </c>
      <c r="J110" t="s">
        <v>45</v>
      </c>
      <c r="K110" t="s">
        <v>1530</v>
      </c>
      <c r="L110" t="s">
        <v>1531</v>
      </c>
      <c r="M110">
        <v>2205000</v>
      </c>
      <c r="N110">
        <v>3150000</v>
      </c>
      <c r="O110" t="s">
        <v>1532</v>
      </c>
      <c r="P110" s="1">
        <v>45514</v>
      </c>
      <c r="Q110" s="2">
        <v>79787729</v>
      </c>
      <c r="R110" t="s">
        <v>1533</v>
      </c>
      <c r="S110" t="s">
        <v>88</v>
      </c>
      <c r="T110" t="s">
        <v>1534</v>
      </c>
      <c r="U110" t="s">
        <v>1535</v>
      </c>
      <c r="V110" t="s">
        <v>365</v>
      </c>
      <c r="W110" t="s">
        <v>467</v>
      </c>
      <c r="X110" t="s">
        <v>72</v>
      </c>
      <c r="Y110" t="s">
        <v>424</v>
      </c>
      <c r="Z110" t="s">
        <v>1536</v>
      </c>
      <c r="AA110">
        <v>3</v>
      </c>
      <c r="AB110" t="s">
        <v>124</v>
      </c>
      <c r="AC110" t="s">
        <v>1537</v>
      </c>
      <c r="AD110" t="s">
        <v>467</v>
      </c>
      <c r="AE110" t="s">
        <v>97</v>
      </c>
      <c r="AF110">
        <v>2677500</v>
      </c>
      <c r="AG110" s="3">
        <v>46857</v>
      </c>
      <c r="AK110" t="s">
        <v>1538</v>
      </c>
      <c r="AL110" s="3">
        <v>46856</v>
      </c>
      <c r="AM110">
        <v>0</v>
      </c>
      <c r="AN110" s="4">
        <f>Table103[[#This Row],[Premium]]-Table103[[#This Row],[Tms Prem]]</f>
        <v>1</v>
      </c>
    </row>
    <row r="111" spans="1:40" x14ac:dyDescent="0.25">
      <c r="A111">
        <v>110</v>
      </c>
      <c r="B111" t="s">
        <v>38</v>
      </c>
      <c r="C111" t="s">
        <v>1539</v>
      </c>
      <c r="D111" t="s">
        <v>40</v>
      </c>
      <c r="E111" t="s">
        <v>41</v>
      </c>
      <c r="F111" t="s">
        <v>1540</v>
      </c>
      <c r="G111" t="s">
        <v>174</v>
      </c>
      <c r="H111" t="s">
        <v>1541</v>
      </c>
      <c r="I111" t="s">
        <v>45</v>
      </c>
      <c r="J111" t="s">
        <v>1542</v>
      </c>
      <c r="K111" t="s">
        <v>1543</v>
      </c>
      <c r="L111" t="s">
        <v>1544</v>
      </c>
      <c r="M111">
        <v>1889300</v>
      </c>
      <c r="N111">
        <v>2699000</v>
      </c>
      <c r="O111" t="s">
        <v>1545</v>
      </c>
      <c r="P111" s="1">
        <v>45514</v>
      </c>
      <c r="Q111" s="2">
        <v>239395</v>
      </c>
      <c r="R111" t="s">
        <v>1546</v>
      </c>
      <c r="S111" t="s">
        <v>50</v>
      </c>
      <c r="T111" t="s">
        <v>45</v>
      </c>
      <c r="U111" t="s">
        <v>1547</v>
      </c>
      <c r="V111" t="s">
        <v>52</v>
      </c>
      <c r="W111" t="s">
        <v>1548</v>
      </c>
      <c r="X111" t="s">
        <v>72</v>
      </c>
      <c r="Y111" t="s">
        <v>424</v>
      </c>
      <c r="Z111" t="s">
        <v>1549</v>
      </c>
      <c r="AA111">
        <v>3</v>
      </c>
      <c r="AB111" t="s">
        <v>124</v>
      </c>
      <c r="AC111" t="s">
        <v>1550</v>
      </c>
      <c r="AD111" t="s">
        <v>54</v>
      </c>
      <c r="AE111" t="s">
        <v>97</v>
      </c>
      <c r="AF111">
        <v>2294150</v>
      </c>
      <c r="AG111" s="3">
        <v>40148</v>
      </c>
      <c r="AK111" t="s">
        <v>1551</v>
      </c>
      <c r="AL111" s="3">
        <v>40148</v>
      </c>
      <c r="AM111">
        <v>0</v>
      </c>
      <c r="AN111" s="4">
        <f>Table103[[#This Row],[Premium]]-Table103[[#This Row],[Tms Prem]]</f>
        <v>0</v>
      </c>
    </row>
    <row r="112" spans="1:40" x14ac:dyDescent="0.25">
      <c r="A112">
        <v>111</v>
      </c>
      <c r="B112" t="s">
        <v>38</v>
      </c>
      <c r="C112" t="s">
        <v>1552</v>
      </c>
      <c r="D112" t="s">
        <v>40</v>
      </c>
      <c r="E112" t="s">
        <v>41</v>
      </c>
      <c r="F112" t="s">
        <v>1553</v>
      </c>
      <c r="G112" t="s">
        <v>114</v>
      </c>
      <c r="H112" t="s">
        <v>1554</v>
      </c>
      <c r="I112" t="s">
        <v>1555</v>
      </c>
      <c r="J112" t="s">
        <v>1556</v>
      </c>
      <c r="K112" t="s">
        <v>1555</v>
      </c>
      <c r="L112" t="s">
        <v>1557</v>
      </c>
      <c r="M112">
        <v>3347400</v>
      </c>
      <c r="N112">
        <v>4782000</v>
      </c>
      <c r="O112" t="s">
        <v>1558</v>
      </c>
      <c r="P112" s="1">
        <v>45534</v>
      </c>
      <c r="Q112" s="2">
        <v>314178</v>
      </c>
      <c r="R112" t="s">
        <v>1559</v>
      </c>
      <c r="S112" t="s">
        <v>50</v>
      </c>
      <c r="T112" t="s">
        <v>45</v>
      </c>
      <c r="U112" t="s">
        <v>1560</v>
      </c>
      <c r="V112" t="s">
        <v>140</v>
      </c>
      <c r="W112" t="s">
        <v>1075</v>
      </c>
      <c r="X112" t="s">
        <v>873</v>
      </c>
      <c r="Y112" t="s">
        <v>772</v>
      </c>
      <c r="Z112" t="s">
        <v>1561</v>
      </c>
      <c r="AA112">
        <v>4</v>
      </c>
      <c r="AB112" t="s">
        <v>45</v>
      </c>
      <c r="AC112" t="s">
        <v>45</v>
      </c>
      <c r="AD112" t="s">
        <v>45</v>
      </c>
      <c r="AE112" t="s">
        <v>97</v>
      </c>
      <c r="AF112">
        <v>3825600</v>
      </c>
      <c r="AG112" s="3">
        <v>66948</v>
      </c>
      <c r="AK112" t="s">
        <v>1562</v>
      </c>
      <c r="AL112" s="3">
        <v>66948</v>
      </c>
      <c r="AM112">
        <v>0</v>
      </c>
      <c r="AN112" s="4">
        <f>Table103[[#This Row],[Premium]]-Table103[[#This Row],[Tms Prem]]</f>
        <v>0</v>
      </c>
    </row>
    <row r="113" spans="1:40" x14ac:dyDescent="0.25">
      <c r="A113">
        <v>112</v>
      </c>
      <c r="B113" t="s">
        <v>38</v>
      </c>
      <c r="C113" t="s">
        <v>1563</v>
      </c>
      <c r="D113" t="s">
        <v>40</v>
      </c>
      <c r="E113" t="s">
        <v>41</v>
      </c>
      <c r="F113" t="s">
        <v>1564</v>
      </c>
      <c r="G113" t="s">
        <v>174</v>
      </c>
      <c r="H113" t="s">
        <v>1565</v>
      </c>
      <c r="I113" t="s">
        <v>1566</v>
      </c>
      <c r="J113" t="s">
        <v>1567</v>
      </c>
      <c r="K113" t="s">
        <v>1568</v>
      </c>
      <c r="L113" t="s">
        <v>1569</v>
      </c>
      <c r="M113">
        <v>3779300</v>
      </c>
      <c r="N113">
        <v>5399000</v>
      </c>
      <c r="O113" t="s">
        <v>1570</v>
      </c>
      <c r="P113" s="1">
        <v>45534</v>
      </c>
      <c r="Q113" s="2" t="s">
        <v>1571</v>
      </c>
      <c r="R113" t="s">
        <v>1572</v>
      </c>
      <c r="S113" t="s">
        <v>50</v>
      </c>
      <c r="T113" t="s">
        <v>45</v>
      </c>
      <c r="U113" t="s">
        <v>1241</v>
      </c>
      <c r="V113" t="s">
        <v>90</v>
      </c>
      <c r="W113" t="s">
        <v>678</v>
      </c>
      <c r="X113" t="s">
        <v>1573</v>
      </c>
      <c r="Y113" t="s">
        <v>1574</v>
      </c>
      <c r="Z113" t="s">
        <v>1575</v>
      </c>
      <c r="AA113">
        <v>5</v>
      </c>
      <c r="AB113" t="s">
        <v>45</v>
      </c>
      <c r="AC113" t="s">
        <v>45</v>
      </c>
      <c r="AD113" t="s">
        <v>45</v>
      </c>
      <c r="AE113" t="s">
        <v>159</v>
      </c>
      <c r="AF113">
        <v>4319200</v>
      </c>
      <c r="AG113" s="3">
        <v>70862</v>
      </c>
      <c r="AK113" t="s">
        <v>1576</v>
      </c>
      <c r="AL113" s="3">
        <v>64788</v>
      </c>
      <c r="AM113" t="s">
        <v>4086</v>
      </c>
      <c r="AN113" s="4">
        <f>Table103[[#This Row],[Premium]]-Table103[[#This Row],[Tms Prem]]</f>
        <v>6074</v>
      </c>
    </row>
    <row r="114" spans="1:40" x14ac:dyDescent="0.25">
      <c r="A114">
        <v>113</v>
      </c>
      <c r="B114" t="s">
        <v>38</v>
      </c>
      <c r="C114" t="s">
        <v>1577</v>
      </c>
      <c r="D114" t="s">
        <v>40</v>
      </c>
      <c r="E114" t="s">
        <v>41</v>
      </c>
      <c r="F114" t="s">
        <v>384</v>
      </c>
      <c r="G114" t="s">
        <v>174</v>
      </c>
      <c r="H114" t="s">
        <v>1578</v>
      </c>
      <c r="I114" t="s">
        <v>1579</v>
      </c>
      <c r="J114" t="s">
        <v>1579</v>
      </c>
      <c r="K114" t="s">
        <v>1579</v>
      </c>
      <c r="L114" t="s">
        <v>1580</v>
      </c>
      <c r="M114">
        <v>2065000</v>
      </c>
      <c r="N114">
        <v>2950000</v>
      </c>
      <c r="O114" t="s">
        <v>1581</v>
      </c>
      <c r="P114" s="1">
        <v>45534</v>
      </c>
      <c r="Q114" s="2" t="s">
        <v>1582</v>
      </c>
      <c r="R114" t="s">
        <v>1583</v>
      </c>
      <c r="S114" t="s">
        <v>88</v>
      </c>
      <c r="T114" t="s">
        <v>45</v>
      </c>
      <c r="U114" t="s">
        <v>1584</v>
      </c>
      <c r="V114" t="s">
        <v>662</v>
      </c>
      <c r="W114" t="s">
        <v>957</v>
      </c>
      <c r="X114" t="s">
        <v>873</v>
      </c>
      <c r="Y114" t="s">
        <v>874</v>
      </c>
      <c r="Z114" t="s">
        <v>1585</v>
      </c>
      <c r="AA114">
        <v>5</v>
      </c>
      <c r="AB114" t="s">
        <v>57</v>
      </c>
      <c r="AC114" t="s">
        <v>1586</v>
      </c>
      <c r="AD114" t="s">
        <v>960</v>
      </c>
      <c r="AE114" t="s">
        <v>60</v>
      </c>
      <c r="AF114">
        <v>2360000</v>
      </c>
      <c r="AG114" s="3">
        <v>47200</v>
      </c>
      <c r="AK114" t="s">
        <v>1587</v>
      </c>
      <c r="AL114" s="3">
        <v>47200</v>
      </c>
      <c r="AM114">
        <v>0</v>
      </c>
      <c r="AN114" s="4">
        <f>Table103[[#This Row],[Premium]]-Table103[[#This Row],[Tms Prem]]</f>
        <v>0</v>
      </c>
    </row>
    <row r="115" spans="1:40" x14ac:dyDescent="0.25">
      <c r="A115">
        <v>114</v>
      </c>
      <c r="B115" t="s">
        <v>38</v>
      </c>
      <c r="C115" t="s">
        <v>1588</v>
      </c>
      <c r="D115" t="s">
        <v>40</v>
      </c>
      <c r="E115" t="s">
        <v>41</v>
      </c>
      <c r="F115" t="s">
        <v>1589</v>
      </c>
      <c r="G115" t="s">
        <v>174</v>
      </c>
      <c r="H115" t="s">
        <v>1590</v>
      </c>
      <c r="I115" t="s">
        <v>1591</v>
      </c>
      <c r="J115" t="s">
        <v>1591</v>
      </c>
      <c r="K115" t="s">
        <v>1591</v>
      </c>
      <c r="L115" t="s">
        <v>1592</v>
      </c>
      <c r="M115">
        <v>2485000</v>
      </c>
      <c r="N115">
        <v>3550000</v>
      </c>
      <c r="O115" t="s">
        <v>1593</v>
      </c>
      <c r="P115" s="1">
        <v>45534</v>
      </c>
      <c r="Q115" s="2" t="s">
        <v>1594</v>
      </c>
      <c r="R115" t="s">
        <v>1595</v>
      </c>
      <c r="S115" t="s">
        <v>88</v>
      </c>
      <c r="T115" t="s">
        <v>1596</v>
      </c>
      <c r="U115" t="s">
        <v>1597</v>
      </c>
      <c r="V115" t="s">
        <v>365</v>
      </c>
      <c r="W115" t="s">
        <v>1598</v>
      </c>
      <c r="X115" t="s">
        <v>1599</v>
      </c>
      <c r="Y115" t="s">
        <v>772</v>
      </c>
      <c r="Z115" t="s">
        <v>1600</v>
      </c>
      <c r="AA115">
        <v>5</v>
      </c>
      <c r="AB115" t="s">
        <v>57</v>
      </c>
      <c r="AC115" t="s">
        <v>1601</v>
      </c>
      <c r="AD115" t="s">
        <v>1598</v>
      </c>
      <c r="AE115" t="s">
        <v>60</v>
      </c>
      <c r="AF115">
        <v>2662500</v>
      </c>
      <c r="AG115" s="3">
        <v>53250</v>
      </c>
      <c r="AK115" t="s">
        <v>1602</v>
      </c>
      <c r="AL115" s="3">
        <v>53250</v>
      </c>
      <c r="AM115">
        <v>0</v>
      </c>
      <c r="AN115" s="4">
        <f>Table103[[#This Row],[Premium]]-Table103[[#This Row],[Tms Prem]]</f>
        <v>0</v>
      </c>
    </row>
    <row r="116" spans="1:40" x14ac:dyDescent="0.25">
      <c r="A116">
        <v>115</v>
      </c>
      <c r="B116" t="s">
        <v>38</v>
      </c>
      <c r="C116" t="s">
        <v>1603</v>
      </c>
      <c r="D116" t="s">
        <v>40</v>
      </c>
      <c r="E116" t="s">
        <v>41</v>
      </c>
      <c r="F116" t="s">
        <v>1604</v>
      </c>
      <c r="G116" t="s">
        <v>174</v>
      </c>
      <c r="H116" t="s">
        <v>1605</v>
      </c>
      <c r="I116" t="s">
        <v>1606</v>
      </c>
      <c r="J116" t="s">
        <v>1606</v>
      </c>
      <c r="K116" t="s">
        <v>1606</v>
      </c>
      <c r="L116" t="s">
        <v>1607</v>
      </c>
      <c r="M116">
        <v>1278000</v>
      </c>
      <c r="N116">
        <v>2130000</v>
      </c>
      <c r="O116" t="s">
        <v>1608</v>
      </c>
      <c r="P116" s="1">
        <v>45515</v>
      </c>
      <c r="Q116" s="2">
        <v>180402</v>
      </c>
      <c r="R116" t="s">
        <v>1609</v>
      </c>
      <c r="S116" t="s">
        <v>50</v>
      </c>
      <c r="T116" t="s">
        <v>45</v>
      </c>
      <c r="U116" t="s">
        <v>404</v>
      </c>
      <c r="V116" t="s">
        <v>140</v>
      </c>
      <c r="W116" t="s">
        <v>266</v>
      </c>
      <c r="X116" t="s">
        <v>406</v>
      </c>
      <c r="Y116" t="s">
        <v>815</v>
      </c>
      <c r="Z116" t="s">
        <v>1610</v>
      </c>
      <c r="AA116">
        <v>5</v>
      </c>
      <c r="AB116" t="s">
        <v>57</v>
      </c>
      <c r="AC116" t="s">
        <v>1611</v>
      </c>
      <c r="AD116" t="s">
        <v>1612</v>
      </c>
      <c r="AE116" t="s">
        <v>60</v>
      </c>
      <c r="AF116">
        <v>1704000</v>
      </c>
      <c r="AG116" s="3">
        <v>34080</v>
      </c>
      <c r="AK116" t="s">
        <v>1613</v>
      </c>
      <c r="AL116" s="3">
        <v>34080</v>
      </c>
      <c r="AM116">
        <v>0</v>
      </c>
      <c r="AN116" s="4">
        <f>Table103[[#This Row],[Premium]]-Table103[[#This Row],[Tms Prem]]</f>
        <v>0</v>
      </c>
    </row>
    <row r="117" spans="1:40" x14ac:dyDescent="0.25">
      <c r="A117">
        <v>116</v>
      </c>
      <c r="B117" t="s">
        <v>38</v>
      </c>
      <c r="C117" t="s">
        <v>1614</v>
      </c>
      <c r="D117" t="s">
        <v>40</v>
      </c>
      <c r="E117" t="s">
        <v>41</v>
      </c>
      <c r="F117" t="s">
        <v>1615</v>
      </c>
      <c r="G117" t="s">
        <v>1616</v>
      </c>
      <c r="H117" t="s">
        <v>1617</v>
      </c>
      <c r="I117" t="s">
        <v>45</v>
      </c>
      <c r="J117" t="s">
        <v>1618</v>
      </c>
      <c r="K117" t="s">
        <v>45</v>
      </c>
      <c r="L117" t="s">
        <v>1619</v>
      </c>
      <c r="M117">
        <v>2366000</v>
      </c>
      <c r="N117">
        <v>3380000</v>
      </c>
      <c r="O117" t="s">
        <v>1620</v>
      </c>
      <c r="P117" s="1">
        <v>45515</v>
      </c>
      <c r="Q117" s="2" t="s">
        <v>1621</v>
      </c>
      <c r="R117" t="s">
        <v>1622</v>
      </c>
      <c r="S117" t="s">
        <v>50</v>
      </c>
      <c r="T117" t="s">
        <v>45</v>
      </c>
      <c r="U117" t="s">
        <v>1623</v>
      </c>
      <c r="V117" t="s">
        <v>140</v>
      </c>
      <c r="W117" t="s">
        <v>1624</v>
      </c>
      <c r="X117" t="s">
        <v>406</v>
      </c>
      <c r="Y117" t="s">
        <v>815</v>
      </c>
      <c r="Z117" t="s">
        <v>1625</v>
      </c>
      <c r="AA117">
        <v>5</v>
      </c>
      <c r="AB117" t="s">
        <v>57</v>
      </c>
      <c r="AC117" t="s">
        <v>1626</v>
      </c>
      <c r="AD117" t="s">
        <v>1627</v>
      </c>
      <c r="AE117" t="s">
        <v>60</v>
      </c>
      <c r="AF117">
        <v>2704000</v>
      </c>
      <c r="AG117" s="3">
        <v>54080</v>
      </c>
      <c r="AK117" t="s">
        <v>1628</v>
      </c>
      <c r="AL117" s="3">
        <v>54080</v>
      </c>
      <c r="AM117">
        <v>0</v>
      </c>
      <c r="AN117" s="4">
        <f>Table103[[#This Row],[Premium]]-Table103[[#This Row],[Tms Prem]]</f>
        <v>0</v>
      </c>
    </row>
    <row r="118" spans="1:40" x14ac:dyDescent="0.25">
      <c r="A118">
        <v>117</v>
      </c>
      <c r="B118" t="s">
        <v>38</v>
      </c>
      <c r="C118" t="s">
        <v>1629</v>
      </c>
      <c r="D118" t="s">
        <v>40</v>
      </c>
      <c r="E118" t="s">
        <v>41</v>
      </c>
      <c r="F118" t="s">
        <v>1630</v>
      </c>
      <c r="G118" t="s">
        <v>80</v>
      </c>
      <c r="H118" t="s">
        <v>1631</v>
      </c>
      <c r="I118" t="s">
        <v>1632</v>
      </c>
      <c r="J118" t="s">
        <v>1632</v>
      </c>
      <c r="K118" t="s">
        <v>1633</v>
      </c>
      <c r="L118" t="s">
        <v>1634</v>
      </c>
      <c r="M118">
        <v>1718400</v>
      </c>
      <c r="N118">
        <v>2148000</v>
      </c>
      <c r="O118" t="s">
        <v>1635</v>
      </c>
      <c r="P118" s="1">
        <v>45534</v>
      </c>
      <c r="Q118" s="2">
        <v>13050970</v>
      </c>
      <c r="R118" t="s">
        <v>1636</v>
      </c>
      <c r="S118" t="s">
        <v>50</v>
      </c>
      <c r="T118" t="s">
        <v>45</v>
      </c>
      <c r="U118" t="s">
        <v>1509</v>
      </c>
      <c r="V118" t="s">
        <v>140</v>
      </c>
      <c r="W118" t="s">
        <v>907</v>
      </c>
      <c r="X118" t="s">
        <v>873</v>
      </c>
      <c r="Y118" t="s">
        <v>874</v>
      </c>
      <c r="Z118" t="s">
        <v>1637</v>
      </c>
      <c r="AA118">
        <v>5</v>
      </c>
      <c r="AB118" t="s">
        <v>57</v>
      </c>
      <c r="AC118" t="s">
        <v>1638</v>
      </c>
      <c r="AD118" t="s">
        <v>960</v>
      </c>
      <c r="AE118" t="s">
        <v>60</v>
      </c>
      <c r="AF118">
        <v>1718400</v>
      </c>
      <c r="AG118" s="3">
        <v>34368</v>
      </c>
      <c r="AK118" t="s">
        <v>1639</v>
      </c>
      <c r="AL118" s="3">
        <v>34368</v>
      </c>
      <c r="AM118">
        <v>0</v>
      </c>
      <c r="AN118" s="4">
        <f>Table103[[#This Row],[Premium]]-Table103[[#This Row],[Tms Prem]]</f>
        <v>0</v>
      </c>
    </row>
    <row r="119" spans="1:40" x14ac:dyDescent="0.25">
      <c r="A119">
        <v>118</v>
      </c>
      <c r="B119" t="s">
        <v>38</v>
      </c>
      <c r="C119" t="s">
        <v>1640</v>
      </c>
      <c r="D119" t="s">
        <v>40</v>
      </c>
      <c r="E119" t="s">
        <v>41</v>
      </c>
      <c r="F119" t="s">
        <v>1641</v>
      </c>
      <c r="G119" t="s">
        <v>43</v>
      </c>
      <c r="H119" t="s">
        <v>1642</v>
      </c>
      <c r="I119" t="s">
        <v>1643</v>
      </c>
      <c r="J119" t="s">
        <v>1644</v>
      </c>
      <c r="K119" t="s">
        <v>1645</v>
      </c>
      <c r="L119" t="s">
        <v>1646</v>
      </c>
      <c r="M119">
        <v>3309600</v>
      </c>
      <c r="N119">
        <v>4137000</v>
      </c>
      <c r="O119" t="s">
        <v>1647</v>
      </c>
      <c r="P119" s="1">
        <v>45515</v>
      </c>
      <c r="Q119" s="2" t="s">
        <v>1648</v>
      </c>
      <c r="R119" t="s">
        <v>1649</v>
      </c>
      <c r="S119" t="s">
        <v>50</v>
      </c>
      <c r="T119" t="s">
        <v>45</v>
      </c>
      <c r="U119" t="s">
        <v>551</v>
      </c>
      <c r="V119" t="s">
        <v>140</v>
      </c>
      <c r="W119" t="s">
        <v>1075</v>
      </c>
      <c r="X119" t="s">
        <v>281</v>
      </c>
      <c r="Y119" t="s">
        <v>424</v>
      </c>
      <c r="Z119" t="s">
        <v>1650</v>
      </c>
      <c r="AA119">
        <v>4</v>
      </c>
      <c r="AB119" t="s">
        <v>196</v>
      </c>
      <c r="AC119" t="s">
        <v>1651</v>
      </c>
      <c r="AD119" t="s">
        <v>1612</v>
      </c>
      <c r="AE119" t="s">
        <v>60</v>
      </c>
      <c r="AF119">
        <v>3309600</v>
      </c>
      <c r="AG119" s="3">
        <v>66192</v>
      </c>
      <c r="AK119" t="s">
        <v>1652</v>
      </c>
      <c r="AL119" s="3">
        <v>66192</v>
      </c>
      <c r="AM119">
        <v>0</v>
      </c>
      <c r="AN119" s="4">
        <f>Table103[[#This Row],[Premium]]-Table103[[#This Row],[Tms Prem]]</f>
        <v>0</v>
      </c>
    </row>
    <row r="120" spans="1:40" x14ac:dyDescent="0.25">
      <c r="A120">
        <v>119</v>
      </c>
      <c r="B120" t="s">
        <v>38</v>
      </c>
      <c r="C120" t="s">
        <v>1653</v>
      </c>
      <c r="D120" t="s">
        <v>40</v>
      </c>
      <c r="E120" t="s">
        <v>41</v>
      </c>
      <c r="F120" t="s">
        <v>1654</v>
      </c>
      <c r="G120" t="s">
        <v>80</v>
      </c>
      <c r="H120" t="s">
        <v>1655</v>
      </c>
      <c r="I120" t="s">
        <v>1656</v>
      </c>
      <c r="J120" t="s">
        <v>1657</v>
      </c>
      <c r="K120" t="s">
        <v>1658</v>
      </c>
      <c r="L120" t="s">
        <v>1659</v>
      </c>
      <c r="M120">
        <v>3509350</v>
      </c>
      <c r="N120">
        <v>5399000</v>
      </c>
      <c r="O120" t="s">
        <v>1660</v>
      </c>
      <c r="P120" s="1">
        <v>45515</v>
      </c>
      <c r="Q120" s="2" t="s">
        <v>1661</v>
      </c>
      <c r="R120" t="s">
        <v>1662</v>
      </c>
      <c r="S120" t="s">
        <v>50</v>
      </c>
      <c r="T120" t="s">
        <v>45</v>
      </c>
      <c r="U120" t="s">
        <v>1241</v>
      </c>
      <c r="V120" t="s">
        <v>140</v>
      </c>
      <c r="W120" t="s">
        <v>1663</v>
      </c>
      <c r="X120" t="s">
        <v>406</v>
      </c>
      <c r="Y120" t="s">
        <v>815</v>
      </c>
      <c r="Z120" t="s">
        <v>1664</v>
      </c>
      <c r="AA120">
        <v>5</v>
      </c>
      <c r="AB120" t="s">
        <v>45</v>
      </c>
      <c r="AC120" t="s">
        <v>45</v>
      </c>
      <c r="AD120" t="s">
        <v>45</v>
      </c>
      <c r="AE120" t="s">
        <v>97</v>
      </c>
      <c r="AF120">
        <v>4319200</v>
      </c>
      <c r="AG120" s="3">
        <v>75587</v>
      </c>
      <c r="AK120" t="s">
        <v>1665</v>
      </c>
      <c r="AL120" s="3">
        <v>75586</v>
      </c>
      <c r="AM120">
        <v>0</v>
      </c>
      <c r="AN120" s="4">
        <f>Table103[[#This Row],[Premium]]-Table103[[#This Row],[Tms Prem]]</f>
        <v>1</v>
      </c>
    </row>
    <row r="121" spans="1:40" x14ac:dyDescent="0.25">
      <c r="A121">
        <v>120</v>
      </c>
      <c r="B121" t="s">
        <v>38</v>
      </c>
      <c r="C121" t="s">
        <v>1666</v>
      </c>
      <c r="D121" t="s">
        <v>40</v>
      </c>
      <c r="E121" t="s">
        <v>41</v>
      </c>
      <c r="F121" t="s">
        <v>1667</v>
      </c>
      <c r="G121" t="s">
        <v>80</v>
      </c>
      <c r="H121" t="s">
        <v>1668</v>
      </c>
      <c r="I121" t="s">
        <v>45</v>
      </c>
      <c r="J121" t="s">
        <v>1669</v>
      </c>
      <c r="K121" t="s">
        <v>1670</v>
      </c>
      <c r="L121" t="s">
        <v>1671</v>
      </c>
      <c r="M121">
        <v>5286375</v>
      </c>
      <c r="N121">
        <v>7048500</v>
      </c>
      <c r="O121" t="s">
        <v>1672</v>
      </c>
      <c r="P121" s="1">
        <v>45515</v>
      </c>
      <c r="Q121" s="2" t="s">
        <v>1673</v>
      </c>
      <c r="R121" t="s">
        <v>1674</v>
      </c>
      <c r="S121" t="s">
        <v>50</v>
      </c>
      <c r="T121" t="s">
        <v>45</v>
      </c>
      <c r="U121" t="s">
        <v>1675</v>
      </c>
      <c r="V121" t="s">
        <v>140</v>
      </c>
      <c r="W121" t="s">
        <v>1676</v>
      </c>
      <c r="X121" t="s">
        <v>281</v>
      </c>
      <c r="Y121" t="s">
        <v>73</v>
      </c>
      <c r="Z121" t="s">
        <v>1677</v>
      </c>
      <c r="AA121">
        <v>5</v>
      </c>
      <c r="AB121" t="s">
        <v>124</v>
      </c>
      <c r="AC121" t="s">
        <v>1678</v>
      </c>
      <c r="AD121" t="s">
        <v>1612</v>
      </c>
      <c r="AE121" t="s">
        <v>97</v>
      </c>
      <c r="AF121">
        <v>5638800</v>
      </c>
      <c r="AG121" s="3">
        <v>98679.000000000015</v>
      </c>
      <c r="AK121" t="s">
        <v>1679</v>
      </c>
      <c r="AL121" s="3">
        <v>98679</v>
      </c>
      <c r="AM121">
        <v>0</v>
      </c>
      <c r="AN121" s="4">
        <f>Table103[[#This Row],[Premium]]-Table103[[#This Row],[Tms Prem]]</f>
        <v>0</v>
      </c>
    </row>
    <row r="122" spans="1:40" x14ac:dyDescent="0.25">
      <c r="A122">
        <v>121</v>
      </c>
      <c r="B122" t="s">
        <v>38</v>
      </c>
      <c r="C122" t="s">
        <v>1680</v>
      </c>
      <c r="D122" t="s">
        <v>40</v>
      </c>
      <c r="E122" t="s">
        <v>41</v>
      </c>
      <c r="F122" t="s">
        <v>1681</v>
      </c>
      <c r="G122" t="s">
        <v>80</v>
      </c>
      <c r="H122" t="s">
        <v>1682</v>
      </c>
      <c r="I122" t="s">
        <v>45</v>
      </c>
      <c r="J122" t="s">
        <v>1683</v>
      </c>
      <c r="K122" t="s">
        <v>45</v>
      </c>
      <c r="L122" t="s">
        <v>1684</v>
      </c>
      <c r="M122">
        <v>2108000</v>
      </c>
      <c r="N122">
        <v>2635000</v>
      </c>
      <c r="O122" t="s">
        <v>45</v>
      </c>
      <c r="P122" s="1">
        <v>45534</v>
      </c>
      <c r="Q122" s="2" t="s">
        <v>1685</v>
      </c>
      <c r="R122" t="s">
        <v>1686</v>
      </c>
      <c r="S122" t="s">
        <v>88</v>
      </c>
      <c r="T122" t="s">
        <v>1687</v>
      </c>
      <c r="U122" t="s">
        <v>1688</v>
      </c>
      <c r="V122" t="s">
        <v>365</v>
      </c>
      <c r="W122" t="s">
        <v>1598</v>
      </c>
      <c r="X122" t="s">
        <v>1599</v>
      </c>
      <c r="Y122" t="s">
        <v>772</v>
      </c>
      <c r="Z122" t="s">
        <v>1689</v>
      </c>
      <c r="AA122">
        <v>5</v>
      </c>
      <c r="AB122" t="s">
        <v>57</v>
      </c>
      <c r="AC122" t="s">
        <v>45</v>
      </c>
      <c r="AD122" t="s">
        <v>45</v>
      </c>
      <c r="AE122" t="s">
        <v>60</v>
      </c>
      <c r="AF122">
        <v>1976250</v>
      </c>
      <c r="AG122" s="3">
        <v>39525</v>
      </c>
      <c r="AK122" t="s">
        <v>1690</v>
      </c>
      <c r="AL122" s="3">
        <v>39525</v>
      </c>
      <c r="AM122">
        <v>0</v>
      </c>
      <c r="AN122" s="4">
        <f>Table103[[#This Row],[Premium]]-Table103[[#This Row],[Tms Prem]]</f>
        <v>0</v>
      </c>
    </row>
    <row r="123" spans="1:40" x14ac:dyDescent="0.25">
      <c r="A123">
        <v>122</v>
      </c>
      <c r="B123" t="s">
        <v>38</v>
      </c>
      <c r="C123" t="s">
        <v>1691</v>
      </c>
      <c r="D123" t="s">
        <v>40</v>
      </c>
      <c r="E123" t="s">
        <v>41</v>
      </c>
      <c r="F123" t="s">
        <v>1692</v>
      </c>
      <c r="G123" t="s">
        <v>80</v>
      </c>
      <c r="H123" t="s">
        <v>1693</v>
      </c>
      <c r="I123" t="s">
        <v>1694</v>
      </c>
      <c r="J123" t="s">
        <v>1695</v>
      </c>
      <c r="K123" t="s">
        <v>151</v>
      </c>
      <c r="L123" t="s">
        <v>1696</v>
      </c>
      <c r="M123">
        <v>1603000</v>
      </c>
      <c r="N123">
        <v>2290000</v>
      </c>
      <c r="O123" t="s">
        <v>1697</v>
      </c>
      <c r="P123" s="1">
        <v>45534</v>
      </c>
      <c r="Q123" s="2" t="s">
        <v>1698</v>
      </c>
      <c r="R123" t="s">
        <v>1699</v>
      </c>
      <c r="S123" t="s">
        <v>493</v>
      </c>
      <c r="T123" t="s">
        <v>45</v>
      </c>
      <c r="U123" t="s">
        <v>1700</v>
      </c>
      <c r="V123" t="s">
        <v>365</v>
      </c>
      <c r="W123" t="s">
        <v>960</v>
      </c>
      <c r="X123" t="s">
        <v>873</v>
      </c>
      <c r="Y123" t="s">
        <v>874</v>
      </c>
      <c r="Z123" t="s">
        <v>1701</v>
      </c>
      <c r="AA123">
        <v>5</v>
      </c>
      <c r="AB123" t="s">
        <v>57</v>
      </c>
      <c r="AC123" t="s">
        <v>1702</v>
      </c>
      <c r="AD123" t="s">
        <v>960</v>
      </c>
      <c r="AE123" t="s">
        <v>60</v>
      </c>
      <c r="AF123">
        <v>1832000</v>
      </c>
      <c r="AG123" s="3">
        <v>36640</v>
      </c>
      <c r="AK123" t="s">
        <v>1703</v>
      </c>
      <c r="AL123" s="3">
        <v>36640</v>
      </c>
      <c r="AM123">
        <v>0</v>
      </c>
      <c r="AN123" s="4">
        <f>Table103[[#This Row],[Premium]]-Table103[[#This Row],[Tms Prem]]</f>
        <v>0</v>
      </c>
    </row>
    <row r="124" spans="1:40" x14ac:dyDescent="0.25">
      <c r="A124">
        <v>123</v>
      </c>
      <c r="B124" t="s">
        <v>38</v>
      </c>
      <c r="C124" t="s">
        <v>1704</v>
      </c>
      <c r="D124" t="s">
        <v>40</v>
      </c>
      <c r="E124" t="s">
        <v>41</v>
      </c>
      <c r="F124" t="s">
        <v>1705</v>
      </c>
      <c r="G124" t="s">
        <v>174</v>
      </c>
      <c r="H124" t="s">
        <v>1706</v>
      </c>
      <c r="I124" t="s">
        <v>1707</v>
      </c>
      <c r="J124" t="s">
        <v>1707</v>
      </c>
      <c r="K124" t="s">
        <v>1708</v>
      </c>
      <c r="L124" t="s">
        <v>1709</v>
      </c>
      <c r="M124">
        <v>958400</v>
      </c>
      <c r="N124">
        <v>1198000</v>
      </c>
      <c r="O124" t="s">
        <v>1710</v>
      </c>
      <c r="P124" s="1">
        <v>45515</v>
      </c>
      <c r="Q124" s="2">
        <v>177090</v>
      </c>
      <c r="R124" t="s">
        <v>1711</v>
      </c>
      <c r="S124" t="s">
        <v>50</v>
      </c>
      <c r="T124" t="s">
        <v>45</v>
      </c>
      <c r="U124" t="s">
        <v>1712</v>
      </c>
      <c r="V124" t="s">
        <v>140</v>
      </c>
      <c r="W124" t="s">
        <v>1713</v>
      </c>
      <c r="X124" t="s">
        <v>406</v>
      </c>
      <c r="Y124" t="s">
        <v>407</v>
      </c>
      <c r="Z124" t="s">
        <v>1714</v>
      </c>
      <c r="AA124">
        <v>6</v>
      </c>
      <c r="AB124" t="s">
        <v>57</v>
      </c>
      <c r="AC124" t="s">
        <v>1715</v>
      </c>
      <c r="AD124" t="s">
        <v>514</v>
      </c>
      <c r="AE124" t="s">
        <v>60</v>
      </c>
      <c r="AF124">
        <v>958400</v>
      </c>
      <c r="AG124" s="3">
        <v>19168</v>
      </c>
      <c r="AK124" t="s">
        <v>1716</v>
      </c>
      <c r="AL124" s="3">
        <v>19168</v>
      </c>
      <c r="AM124">
        <v>0</v>
      </c>
      <c r="AN124" s="4">
        <f>Table103[[#This Row],[Premium]]-Table103[[#This Row],[Tms Prem]]</f>
        <v>0</v>
      </c>
    </row>
    <row r="125" spans="1:40" x14ac:dyDescent="0.25">
      <c r="A125">
        <v>124</v>
      </c>
      <c r="B125" t="s">
        <v>38</v>
      </c>
      <c r="C125" t="s">
        <v>1717</v>
      </c>
      <c r="D125" t="s">
        <v>40</v>
      </c>
      <c r="E125" t="s">
        <v>41</v>
      </c>
      <c r="F125" t="s">
        <v>1718</v>
      </c>
      <c r="G125" t="s">
        <v>174</v>
      </c>
      <c r="H125" t="s">
        <v>1719</v>
      </c>
      <c r="I125" t="s">
        <v>1720</v>
      </c>
      <c r="J125" t="s">
        <v>1720</v>
      </c>
      <c r="K125" t="s">
        <v>1720</v>
      </c>
      <c r="L125" t="s">
        <v>1721</v>
      </c>
      <c r="M125">
        <v>1960000</v>
      </c>
      <c r="N125">
        <v>2800000</v>
      </c>
      <c r="O125" t="s">
        <v>1722</v>
      </c>
      <c r="P125" s="1">
        <v>45534</v>
      </c>
      <c r="Q125" s="2" t="s">
        <v>1723</v>
      </c>
      <c r="R125" t="s">
        <v>1724</v>
      </c>
      <c r="S125" t="s">
        <v>88</v>
      </c>
      <c r="T125" t="s">
        <v>1725</v>
      </c>
      <c r="U125" t="s">
        <v>1726</v>
      </c>
      <c r="V125" t="s">
        <v>107</v>
      </c>
      <c r="W125" t="s">
        <v>1598</v>
      </c>
      <c r="X125" t="s">
        <v>1599</v>
      </c>
      <c r="Y125" t="s">
        <v>772</v>
      </c>
      <c r="Z125" t="s">
        <v>1727</v>
      </c>
      <c r="AA125">
        <v>5</v>
      </c>
      <c r="AB125" t="s">
        <v>57</v>
      </c>
      <c r="AC125" t="s">
        <v>1728</v>
      </c>
      <c r="AD125" t="s">
        <v>1729</v>
      </c>
      <c r="AE125" t="s">
        <v>60</v>
      </c>
      <c r="AF125">
        <v>2100000</v>
      </c>
      <c r="AG125" s="3">
        <v>42000</v>
      </c>
      <c r="AK125" t="s">
        <v>1730</v>
      </c>
      <c r="AL125" s="3">
        <v>42000</v>
      </c>
      <c r="AM125">
        <v>0</v>
      </c>
      <c r="AN125" s="4">
        <f>Table103[[#This Row],[Premium]]-Table103[[#This Row],[Tms Prem]]</f>
        <v>0</v>
      </c>
    </row>
    <row r="126" spans="1:40" x14ac:dyDescent="0.25">
      <c r="A126">
        <v>125</v>
      </c>
      <c r="B126" t="s">
        <v>38</v>
      </c>
      <c r="C126" t="s">
        <v>1731</v>
      </c>
      <c r="D126" t="s">
        <v>40</v>
      </c>
      <c r="E126" t="s">
        <v>41</v>
      </c>
      <c r="F126" t="s">
        <v>1732</v>
      </c>
      <c r="G126" t="s">
        <v>964</v>
      </c>
      <c r="H126" t="s">
        <v>1733</v>
      </c>
      <c r="I126" t="s">
        <v>1734</v>
      </c>
      <c r="J126" t="s">
        <v>1734</v>
      </c>
      <c r="K126" t="s">
        <v>1734</v>
      </c>
      <c r="L126" t="s">
        <v>1735</v>
      </c>
      <c r="M126">
        <v>1148000</v>
      </c>
      <c r="N126">
        <v>1640000</v>
      </c>
      <c r="O126" t="s">
        <v>1736</v>
      </c>
      <c r="P126" s="1">
        <v>45515</v>
      </c>
      <c r="Q126" s="2" t="s">
        <v>1737</v>
      </c>
      <c r="R126" t="s">
        <v>1738</v>
      </c>
      <c r="S126" t="s">
        <v>50</v>
      </c>
      <c r="T126" t="s">
        <v>45</v>
      </c>
      <c r="U126" t="s">
        <v>1739</v>
      </c>
      <c r="V126" t="s">
        <v>140</v>
      </c>
      <c r="W126" t="s">
        <v>1740</v>
      </c>
      <c r="X126" t="s">
        <v>281</v>
      </c>
      <c r="Y126" t="s">
        <v>424</v>
      </c>
      <c r="Z126" t="s">
        <v>1741</v>
      </c>
      <c r="AA126">
        <v>4</v>
      </c>
      <c r="AB126" t="s">
        <v>94</v>
      </c>
      <c r="AC126" t="s">
        <v>1742</v>
      </c>
      <c r="AD126" t="s">
        <v>1078</v>
      </c>
      <c r="AE126" t="s">
        <v>60</v>
      </c>
      <c r="AF126">
        <v>1312000</v>
      </c>
      <c r="AG126" s="3">
        <v>26240</v>
      </c>
      <c r="AK126" t="s">
        <v>1743</v>
      </c>
      <c r="AL126" s="3">
        <v>26240</v>
      </c>
      <c r="AM126">
        <v>0</v>
      </c>
      <c r="AN126" s="4">
        <f>Table103[[#This Row],[Premium]]-Table103[[#This Row],[Tms Prem]]</f>
        <v>0</v>
      </c>
    </row>
    <row r="127" spans="1:40" x14ac:dyDescent="0.25">
      <c r="A127">
        <v>126</v>
      </c>
      <c r="B127" t="s">
        <v>38</v>
      </c>
      <c r="C127" t="s">
        <v>1744</v>
      </c>
      <c r="D127" t="s">
        <v>40</v>
      </c>
      <c r="E127" t="s">
        <v>41</v>
      </c>
      <c r="F127" t="s">
        <v>1745</v>
      </c>
      <c r="G127" t="s">
        <v>174</v>
      </c>
      <c r="H127" t="s">
        <v>1746</v>
      </c>
      <c r="I127" t="s">
        <v>1747</v>
      </c>
      <c r="J127" t="s">
        <v>1747</v>
      </c>
      <c r="K127" t="s">
        <v>1747</v>
      </c>
      <c r="L127" t="s">
        <v>1748</v>
      </c>
      <c r="M127">
        <v>1211000</v>
      </c>
      <c r="N127">
        <v>1730000</v>
      </c>
      <c r="O127" t="s">
        <v>1749</v>
      </c>
      <c r="P127" s="1">
        <v>45515</v>
      </c>
      <c r="Q127" s="2" t="s">
        <v>1750</v>
      </c>
      <c r="R127" t="s">
        <v>1751</v>
      </c>
      <c r="S127" t="s">
        <v>50</v>
      </c>
      <c r="T127" t="s">
        <v>45</v>
      </c>
      <c r="U127" t="s">
        <v>1279</v>
      </c>
      <c r="V127" t="s">
        <v>140</v>
      </c>
      <c r="W127" t="s">
        <v>1752</v>
      </c>
      <c r="X127" t="s">
        <v>406</v>
      </c>
      <c r="Y127" t="s">
        <v>815</v>
      </c>
      <c r="Z127" t="s">
        <v>1753</v>
      </c>
      <c r="AA127">
        <v>5</v>
      </c>
      <c r="AB127" t="s">
        <v>57</v>
      </c>
      <c r="AC127" t="s">
        <v>1754</v>
      </c>
      <c r="AD127" t="s">
        <v>1365</v>
      </c>
      <c r="AE127" t="s">
        <v>60</v>
      </c>
      <c r="AF127">
        <v>1384000</v>
      </c>
      <c r="AG127" s="3">
        <v>27680</v>
      </c>
      <c r="AK127" t="s">
        <v>1755</v>
      </c>
      <c r="AL127" s="3">
        <v>27680</v>
      </c>
      <c r="AM127">
        <v>0</v>
      </c>
      <c r="AN127" s="4">
        <f>Table103[[#This Row],[Premium]]-Table103[[#This Row],[Tms Prem]]</f>
        <v>0</v>
      </c>
    </row>
    <row r="128" spans="1:40" x14ac:dyDescent="0.25">
      <c r="A128">
        <v>127</v>
      </c>
      <c r="B128" t="s">
        <v>38</v>
      </c>
      <c r="C128" t="s">
        <v>1756</v>
      </c>
      <c r="D128" t="s">
        <v>40</v>
      </c>
      <c r="E128" t="s">
        <v>41</v>
      </c>
      <c r="F128" t="s">
        <v>1757</v>
      </c>
      <c r="G128" t="s">
        <v>80</v>
      </c>
      <c r="H128" t="s">
        <v>1758</v>
      </c>
      <c r="I128" t="s">
        <v>1759</v>
      </c>
      <c r="J128" t="s">
        <v>1759</v>
      </c>
      <c r="K128" t="s">
        <v>151</v>
      </c>
      <c r="L128" t="s">
        <v>1760</v>
      </c>
      <c r="M128">
        <v>1329300</v>
      </c>
      <c r="N128">
        <v>1899000</v>
      </c>
      <c r="O128" t="s">
        <v>1761</v>
      </c>
      <c r="P128" s="1">
        <v>45534</v>
      </c>
      <c r="Q128" s="2">
        <v>89353</v>
      </c>
      <c r="R128" t="s">
        <v>1762</v>
      </c>
      <c r="S128" t="s">
        <v>50</v>
      </c>
      <c r="T128" t="s">
        <v>45</v>
      </c>
      <c r="U128" t="s">
        <v>1763</v>
      </c>
      <c r="V128" t="s">
        <v>140</v>
      </c>
      <c r="W128" t="s">
        <v>511</v>
      </c>
      <c r="X128" t="s">
        <v>873</v>
      </c>
      <c r="Y128" t="s">
        <v>1024</v>
      </c>
      <c r="Z128" t="s">
        <v>1764</v>
      </c>
      <c r="AA128">
        <v>7</v>
      </c>
      <c r="AB128" t="s">
        <v>196</v>
      </c>
      <c r="AC128" t="s">
        <v>1765</v>
      </c>
      <c r="AD128" t="s">
        <v>1766</v>
      </c>
      <c r="AE128" t="s">
        <v>60</v>
      </c>
      <c r="AF128">
        <v>1709100</v>
      </c>
      <c r="AG128" s="3">
        <v>30384</v>
      </c>
      <c r="AK128" t="s">
        <v>1767</v>
      </c>
      <c r="AL128" s="3">
        <v>34182</v>
      </c>
      <c r="AM128" t="s">
        <v>4087</v>
      </c>
      <c r="AN128" s="4">
        <f>Table103[[#This Row],[Premium]]-Table103[[#This Row],[Tms Prem]]</f>
        <v>-3798</v>
      </c>
    </row>
    <row r="129" spans="1:40" x14ac:dyDescent="0.25">
      <c r="A129">
        <v>128</v>
      </c>
      <c r="B129" t="s">
        <v>38</v>
      </c>
      <c r="C129" t="s">
        <v>1768</v>
      </c>
      <c r="D129" t="s">
        <v>40</v>
      </c>
      <c r="E129" t="s">
        <v>41</v>
      </c>
      <c r="F129" t="s">
        <v>1769</v>
      </c>
      <c r="G129" t="s">
        <v>174</v>
      </c>
      <c r="H129" t="s">
        <v>1770</v>
      </c>
      <c r="I129" t="s">
        <v>1771</v>
      </c>
      <c r="J129" t="s">
        <v>1771</v>
      </c>
      <c r="K129" t="s">
        <v>1771</v>
      </c>
      <c r="L129" t="s">
        <v>1772</v>
      </c>
      <c r="M129">
        <v>1368500</v>
      </c>
      <c r="N129">
        <v>1610000</v>
      </c>
      <c r="O129" t="s">
        <v>1773</v>
      </c>
      <c r="P129" s="1">
        <v>45534</v>
      </c>
      <c r="Q129" s="2">
        <v>218595</v>
      </c>
      <c r="R129" t="s">
        <v>1774</v>
      </c>
      <c r="S129" t="s">
        <v>50</v>
      </c>
      <c r="T129" t="s">
        <v>45</v>
      </c>
      <c r="U129" t="s">
        <v>1775</v>
      </c>
      <c r="V129" t="s">
        <v>140</v>
      </c>
      <c r="W129" t="s">
        <v>957</v>
      </c>
      <c r="X129" t="s">
        <v>873</v>
      </c>
      <c r="Y129" t="s">
        <v>874</v>
      </c>
      <c r="Z129" t="s">
        <v>1776</v>
      </c>
      <c r="AA129">
        <v>5</v>
      </c>
      <c r="AB129" t="s">
        <v>57</v>
      </c>
      <c r="AC129" t="s">
        <v>1777</v>
      </c>
      <c r="AD129" t="s">
        <v>960</v>
      </c>
      <c r="AE129" t="s">
        <v>60</v>
      </c>
      <c r="AF129">
        <v>1288000</v>
      </c>
      <c r="AG129" s="3">
        <v>25760</v>
      </c>
      <c r="AK129" t="s">
        <v>1778</v>
      </c>
      <c r="AL129" s="3">
        <v>25760</v>
      </c>
      <c r="AM129">
        <v>0</v>
      </c>
      <c r="AN129" s="4">
        <f>Table103[[#This Row],[Premium]]-Table103[[#This Row],[Tms Prem]]</f>
        <v>0</v>
      </c>
    </row>
    <row r="130" spans="1:40" x14ac:dyDescent="0.25">
      <c r="A130">
        <v>129</v>
      </c>
      <c r="B130" t="s">
        <v>38</v>
      </c>
      <c r="C130" t="s">
        <v>1779</v>
      </c>
      <c r="D130" t="s">
        <v>40</v>
      </c>
      <c r="E130" t="s">
        <v>41</v>
      </c>
      <c r="F130" t="s">
        <v>1780</v>
      </c>
      <c r="G130" t="s">
        <v>174</v>
      </c>
      <c r="H130" t="s">
        <v>1781</v>
      </c>
      <c r="I130" t="s">
        <v>1782</v>
      </c>
      <c r="J130" t="s">
        <v>1782</v>
      </c>
      <c r="K130" t="s">
        <v>1782</v>
      </c>
      <c r="L130" t="s">
        <v>1783</v>
      </c>
      <c r="M130">
        <v>2102250</v>
      </c>
      <c r="N130">
        <v>2803000</v>
      </c>
      <c r="O130" t="s">
        <v>1784</v>
      </c>
      <c r="P130" s="1">
        <v>45515</v>
      </c>
      <c r="Q130" s="2" t="s">
        <v>1785</v>
      </c>
      <c r="R130" t="s">
        <v>1786</v>
      </c>
      <c r="S130" t="s">
        <v>50</v>
      </c>
      <c r="T130" t="s">
        <v>45</v>
      </c>
      <c r="U130" t="s">
        <v>70</v>
      </c>
      <c r="V130" t="s">
        <v>140</v>
      </c>
      <c r="W130" t="s">
        <v>1713</v>
      </c>
      <c r="X130" t="s">
        <v>406</v>
      </c>
      <c r="Y130" t="s">
        <v>815</v>
      </c>
      <c r="Z130" t="s">
        <v>1787</v>
      </c>
      <c r="AA130">
        <v>5</v>
      </c>
      <c r="AB130" t="s">
        <v>57</v>
      </c>
      <c r="AC130" t="s">
        <v>1788</v>
      </c>
      <c r="AD130" t="s">
        <v>1789</v>
      </c>
      <c r="AE130" t="s">
        <v>60</v>
      </c>
      <c r="AF130">
        <v>2242400</v>
      </c>
      <c r="AG130" s="3">
        <v>44848</v>
      </c>
      <c r="AK130" t="s">
        <v>1790</v>
      </c>
      <c r="AL130" s="3">
        <v>44848</v>
      </c>
      <c r="AM130">
        <v>0</v>
      </c>
      <c r="AN130" s="4">
        <f>Table103[[#This Row],[Premium]]-Table103[[#This Row],[Tms Prem]]</f>
        <v>0</v>
      </c>
    </row>
    <row r="131" spans="1:40" x14ac:dyDescent="0.25">
      <c r="A131">
        <v>130</v>
      </c>
      <c r="B131" t="s">
        <v>38</v>
      </c>
      <c r="C131" t="s">
        <v>1791</v>
      </c>
      <c r="D131" t="s">
        <v>40</v>
      </c>
      <c r="E131" t="s">
        <v>41</v>
      </c>
      <c r="F131" t="s">
        <v>1792</v>
      </c>
      <c r="G131" t="s">
        <v>174</v>
      </c>
      <c r="H131" t="s">
        <v>1793</v>
      </c>
      <c r="I131" t="s">
        <v>45</v>
      </c>
      <c r="J131" t="s">
        <v>1794</v>
      </c>
      <c r="K131" t="s">
        <v>45</v>
      </c>
      <c r="L131" t="s">
        <v>1795</v>
      </c>
      <c r="M131">
        <v>2753100</v>
      </c>
      <c r="N131">
        <v>3933000</v>
      </c>
      <c r="O131" t="s">
        <v>1796</v>
      </c>
      <c r="P131" s="1">
        <v>45515</v>
      </c>
      <c r="Q131" s="2" t="s">
        <v>1797</v>
      </c>
      <c r="R131" t="s">
        <v>1798</v>
      </c>
      <c r="S131" t="s">
        <v>50</v>
      </c>
      <c r="T131" t="s">
        <v>1799</v>
      </c>
      <c r="U131" t="s">
        <v>1800</v>
      </c>
      <c r="V131" t="s">
        <v>90</v>
      </c>
      <c r="W131" t="s">
        <v>1280</v>
      </c>
      <c r="X131" t="s">
        <v>423</v>
      </c>
      <c r="Y131" t="s">
        <v>424</v>
      </c>
      <c r="Z131" t="s">
        <v>1801</v>
      </c>
      <c r="AA131">
        <v>5</v>
      </c>
      <c r="AB131" t="s">
        <v>124</v>
      </c>
      <c r="AC131" t="s">
        <v>1802</v>
      </c>
      <c r="AD131" t="s">
        <v>998</v>
      </c>
      <c r="AE131" t="s">
        <v>60</v>
      </c>
      <c r="AF131">
        <v>2949750</v>
      </c>
      <c r="AG131" s="3">
        <v>58995</v>
      </c>
      <c r="AK131" t="s">
        <v>1803</v>
      </c>
      <c r="AL131" s="3">
        <v>58995</v>
      </c>
      <c r="AM131">
        <v>0</v>
      </c>
      <c r="AN131" s="4">
        <f>Table103[[#This Row],[Premium]]-Table103[[#This Row],[Tms Prem]]</f>
        <v>0</v>
      </c>
    </row>
    <row r="132" spans="1:40" x14ac:dyDescent="0.25">
      <c r="A132">
        <v>131</v>
      </c>
      <c r="B132" t="s">
        <v>38</v>
      </c>
      <c r="C132" t="s">
        <v>1804</v>
      </c>
      <c r="D132" t="s">
        <v>40</v>
      </c>
      <c r="E132" t="s">
        <v>41</v>
      </c>
      <c r="F132" t="s">
        <v>1805</v>
      </c>
      <c r="G132" t="s">
        <v>114</v>
      </c>
      <c r="H132" t="s">
        <v>1806</v>
      </c>
      <c r="I132" t="s">
        <v>1807</v>
      </c>
      <c r="J132" t="s">
        <v>1808</v>
      </c>
      <c r="K132" t="s">
        <v>1809</v>
      </c>
      <c r="L132" t="s">
        <v>1810</v>
      </c>
      <c r="M132">
        <v>1621600</v>
      </c>
      <c r="N132">
        <v>2027000</v>
      </c>
      <c r="O132" t="s">
        <v>1811</v>
      </c>
      <c r="P132" s="1">
        <v>45534</v>
      </c>
      <c r="Q132" s="2">
        <v>44698</v>
      </c>
      <c r="R132" t="s">
        <v>1812</v>
      </c>
      <c r="S132" t="s">
        <v>50</v>
      </c>
      <c r="T132" t="s">
        <v>45</v>
      </c>
      <c r="U132" t="s">
        <v>801</v>
      </c>
      <c r="V132" t="s">
        <v>90</v>
      </c>
      <c r="W132" t="s">
        <v>1598</v>
      </c>
      <c r="X132" t="s">
        <v>1599</v>
      </c>
      <c r="Y132" t="s">
        <v>772</v>
      </c>
      <c r="Z132" t="s">
        <v>1813</v>
      </c>
      <c r="AA132">
        <v>5</v>
      </c>
      <c r="AB132" t="s">
        <v>57</v>
      </c>
      <c r="AC132" t="s">
        <v>1814</v>
      </c>
      <c r="AD132" t="s">
        <v>1598</v>
      </c>
      <c r="AE132" t="s">
        <v>60</v>
      </c>
      <c r="AF132">
        <v>1520250</v>
      </c>
      <c r="AG132" s="3">
        <v>30405</v>
      </c>
      <c r="AK132" t="s">
        <v>1815</v>
      </c>
      <c r="AL132" s="3">
        <v>30405</v>
      </c>
      <c r="AM132">
        <v>0</v>
      </c>
      <c r="AN132" s="4">
        <f>Table103[[#This Row],[Premium]]-Table103[[#This Row],[Tms Prem]]</f>
        <v>0</v>
      </c>
    </row>
    <row r="133" spans="1:40" x14ac:dyDescent="0.25">
      <c r="A133">
        <v>132</v>
      </c>
      <c r="B133" t="s">
        <v>38</v>
      </c>
      <c r="C133" t="s">
        <v>1816</v>
      </c>
      <c r="D133" t="s">
        <v>40</v>
      </c>
      <c r="E133" t="s">
        <v>41</v>
      </c>
      <c r="F133" t="s">
        <v>1817</v>
      </c>
      <c r="G133" t="s">
        <v>174</v>
      </c>
      <c r="H133" t="s">
        <v>1818</v>
      </c>
      <c r="I133" t="s">
        <v>1819</v>
      </c>
      <c r="J133" t="s">
        <v>1819</v>
      </c>
      <c r="K133" t="s">
        <v>1819</v>
      </c>
      <c r="L133" t="s">
        <v>1820</v>
      </c>
      <c r="M133">
        <v>1250000</v>
      </c>
      <c r="N133">
        <v>2500000</v>
      </c>
      <c r="O133" t="s">
        <v>1821</v>
      </c>
      <c r="P133" s="1">
        <v>45534</v>
      </c>
      <c r="Q133" s="2" t="s">
        <v>1822</v>
      </c>
      <c r="R133" t="s">
        <v>1823</v>
      </c>
      <c r="S133" t="s">
        <v>88</v>
      </c>
      <c r="T133" t="s">
        <v>1824</v>
      </c>
      <c r="U133" t="s">
        <v>661</v>
      </c>
      <c r="V133" t="s">
        <v>365</v>
      </c>
      <c r="W133" t="s">
        <v>957</v>
      </c>
      <c r="X133" t="s">
        <v>873</v>
      </c>
      <c r="Y133" t="s">
        <v>1189</v>
      </c>
      <c r="Z133" t="s">
        <v>1825</v>
      </c>
      <c r="AA133">
        <v>6</v>
      </c>
      <c r="AB133" t="s">
        <v>57</v>
      </c>
      <c r="AC133" t="s">
        <v>1826</v>
      </c>
      <c r="AD133" t="s">
        <v>960</v>
      </c>
      <c r="AE133" t="s">
        <v>60</v>
      </c>
      <c r="AF133">
        <v>2000000</v>
      </c>
      <c r="AG133" s="3">
        <v>40000</v>
      </c>
      <c r="AK133" t="s">
        <v>1827</v>
      </c>
      <c r="AL133" s="3">
        <v>40000</v>
      </c>
      <c r="AM133">
        <v>0</v>
      </c>
      <c r="AN133" s="4">
        <f>Table103[[#This Row],[Premium]]-Table103[[#This Row],[Tms Prem]]</f>
        <v>0</v>
      </c>
    </row>
    <row r="134" spans="1:40" x14ac:dyDescent="0.25">
      <c r="A134">
        <v>133</v>
      </c>
      <c r="B134" t="s">
        <v>38</v>
      </c>
      <c r="C134" t="s">
        <v>1828</v>
      </c>
      <c r="D134" t="s">
        <v>40</v>
      </c>
      <c r="E134" t="s">
        <v>41</v>
      </c>
      <c r="F134" t="s">
        <v>1829</v>
      </c>
      <c r="G134" t="s">
        <v>80</v>
      </c>
      <c r="H134" t="s">
        <v>1830</v>
      </c>
      <c r="I134" t="s">
        <v>1831</v>
      </c>
      <c r="J134" t="s">
        <v>1831</v>
      </c>
      <c r="K134" t="s">
        <v>1832</v>
      </c>
      <c r="L134" t="s">
        <v>1833</v>
      </c>
      <c r="M134">
        <v>1275000</v>
      </c>
      <c r="N134">
        <v>1700000</v>
      </c>
      <c r="O134" t="s">
        <v>1834</v>
      </c>
      <c r="P134" s="1">
        <v>45534</v>
      </c>
      <c r="Q134" s="2" t="s">
        <v>1835</v>
      </c>
      <c r="R134" t="s">
        <v>1836</v>
      </c>
      <c r="S134" t="s">
        <v>493</v>
      </c>
      <c r="T134" t="s">
        <v>1837</v>
      </c>
      <c r="U134" t="s">
        <v>1838</v>
      </c>
      <c r="V134" t="s">
        <v>466</v>
      </c>
      <c r="W134" t="s">
        <v>907</v>
      </c>
      <c r="X134" t="s">
        <v>873</v>
      </c>
      <c r="Y134" t="s">
        <v>874</v>
      </c>
      <c r="Z134" t="s">
        <v>1839</v>
      </c>
      <c r="AA134">
        <v>5</v>
      </c>
      <c r="AB134" t="s">
        <v>57</v>
      </c>
      <c r="AC134" t="s">
        <v>1840</v>
      </c>
      <c r="AD134" t="s">
        <v>960</v>
      </c>
      <c r="AE134" t="s">
        <v>60</v>
      </c>
      <c r="AF134">
        <v>1360000</v>
      </c>
      <c r="AG134" s="3">
        <v>27200</v>
      </c>
      <c r="AK134" t="s">
        <v>1841</v>
      </c>
      <c r="AL134" s="3">
        <v>27200</v>
      </c>
      <c r="AM134">
        <v>0</v>
      </c>
      <c r="AN134" s="4">
        <f>Table103[[#This Row],[Premium]]-Table103[[#This Row],[Tms Prem]]</f>
        <v>0</v>
      </c>
    </row>
    <row r="135" spans="1:40" x14ac:dyDescent="0.25">
      <c r="A135">
        <v>134</v>
      </c>
      <c r="B135" t="s">
        <v>38</v>
      </c>
      <c r="C135" t="s">
        <v>1842</v>
      </c>
      <c r="D135" t="s">
        <v>40</v>
      </c>
      <c r="E135" t="s">
        <v>41</v>
      </c>
      <c r="F135" t="s">
        <v>1843</v>
      </c>
      <c r="G135" t="s">
        <v>174</v>
      </c>
      <c r="H135" t="s">
        <v>1844</v>
      </c>
      <c r="I135" t="s">
        <v>45</v>
      </c>
      <c r="J135" t="s">
        <v>1845</v>
      </c>
      <c r="K135" t="s">
        <v>45</v>
      </c>
      <c r="L135" t="s">
        <v>1846</v>
      </c>
      <c r="M135">
        <v>1575000</v>
      </c>
      <c r="N135">
        <v>2100000</v>
      </c>
      <c r="O135" t="s">
        <v>1847</v>
      </c>
      <c r="P135" s="1">
        <v>45534</v>
      </c>
      <c r="Q135" s="2" t="s">
        <v>1848</v>
      </c>
      <c r="R135" t="s">
        <v>1849</v>
      </c>
      <c r="S135" t="s">
        <v>493</v>
      </c>
      <c r="T135" t="s">
        <v>1850</v>
      </c>
      <c r="U135" t="s">
        <v>1851</v>
      </c>
      <c r="V135" t="s">
        <v>466</v>
      </c>
      <c r="W135" t="s">
        <v>1598</v>
      </c>
      <c r="X135" t="s">
        <v>1599</v>
      </c>
      <c r="Y135" t="s">
        <v>772</v>
      </c>
      <c r="Z135" t="s">
        <v>1852</v>
      </c>
      <c r="AA135">
        <v>5</v>
      </c>
      <c r="AB135" t="s">
        <v>57</v>
      </c>
      <c r="AC135" t="s">
        <v>1853</v>
      </c>
      <c r="AD135" t="s">
        <v>1598</v>
      </c>
      <c r="AE135" t="s">
        <v>60</v>
      </c>
      <c r="AF135">
        <v>1575000</v>
      </c>
      <c r="AG135" s="3">
        <v>31500</v>
      </c>
      <c r="AK135" t="s">
        <v>1854</v>
      </c>
      <c r="AL135" s="3">
        <v>31500</v>
      </c>
      <c r="AM135">
        <v>0</v>
      </c>
      <c r="AN135" s="4">
        <f>Table103[[#This Row],[Premium]]-Table103[[#This Row],[Tms Prem]]</f>
        <v>0</v>
      </c>
    </row>
    <row r="136" spans="1:40" x14ac:dyDescent="0.25">
      <c r="A136">
        <v>135</v>
      </c>
      <c r="B136" t="s">
        <v>38</v>
      </c>
      <c r="C136" t="s">
        <v>1855</v>
      </c>
      <c r="D136" t="s">
        <v>40</v>
      </c>
      <c r="E136" t="s">
        <v>41</v>
      </c>
      <c r="F136" t="s">
        <v>1856</v>
      </c>
      <c r="G136" t="s">
        <v>43</v>
      </c>
      <c r="H136" t="s">
        <v>1857</v>
      </c>
      <c r="I136" t="s">
        <v>1858</v>
      </c>
      <c r="J136" t="s">
        <v>1859</v>
      </c>
      <c r="K136" t="s">
        <v>1860</v>
      </c>
      <c r="L136" t="s">
        <v>1861</v>
      </c>
      <c r="M136">
        <v>1799500</v>
      </c>
      <c r="N136">
        <v>3599000</v>
      </c>
      <c r="O136" t="s">
        <v>1862</v>
      </c>
      <c r="P136" s="1">
        <v>45515</v>
      </c>
      <c r="Q136" s="2">
        <v>1006089</v>
      </c>
      <c r="R136" t="s">
        <v>1863</v>
      </c>
      <c r="S136" t="s">
        <v>50</v>
      </c>
      <c r="T136" t="s">
        <v>45</v>
      </c>
      <c r="U136" t="s">
        <v>1864</v>
      </c>
      <c r="V136" t="s">
        <v>52</v>
      </c>
      <c r="W136" t="s">
        <v>1865</v>
      </c>
      <c r="X136" t="s">
        <v>72</v>
      </c>
      <c r="Y136" t="s">
        <v>424</v>
      </c>
      <c r="Z136" t="s">
        <v>1866</v>
      </c>
      <c r="AA136">
        <v>3</v>
      </c>
      <c r="AB136" t="s">
        <v>124</v>
      </c>
      <c r="AC136" t="s">
        <v>1867</v>
      </c>
      <c r="AD136" t="s">
        <v>467</v>
      </c>
      <c r="AE136" t="s">
        <v>97</v>
      </c>
      <c r="AF136">
        <v>3059150</v>
      </c>
      <c r="AG136" s="3">
        <v>53536</v>
      </c>
      <c r="AK136" t="s">
        <v>1868</v>
      </c>
      <c r="AL136" s="3">
        <v>53535</v>
      </c>
      <c r="AM136">
        <v>0</v>
      </c>
      <c r="AN136" s="4">
        <f>Table103[[#This Row],[Premium]]-Table103[[#This Row],[Tms Prem]]</f>
        <v>1</v>
      </c>
    </row>
    <row r="137" spans="1:40" x14ac:dyDescent="0.25">
      <c r="A137">
        <v>136</v>
      </c>
      <c r="B137" t="s">
        <v>38</v>
      </c>
      <c r="C137" t="s">
        <v>1869</v>
      </c>
      <c r="D137" t="s">
        <v>40</v>
      </c>
      <c r="E137" t="s">
        <v>41</v>
      </c>
      <c r="F137" t="s">
        <v>1870</v>
      </c>
      <c r="G137" t="s">
        <v>80</v>
      </c>
      <c r="H137" t="s">
        <v>1871</v>
      </c>
      <c r="I137" t="s">
        <v>45</v>
      </c>
      <c r="J137" t="s">
        <v>1872</v>
      </c>
      <c r="K137" t="s">
        <v>1873</v>
      </c>
      <c r="L137" t="s">
        <v>1874</v>
      </c>
      <c r="M137">
        <v>1135550</v>
      </c>
      <c r="N137">
        <v>1747000</v>
      </c>
      <c r="O137" t="s">
        <v>1875</v>
      </c>
      <c r="P137" s="1">
        <v>45515</v>
      </c>
      <c r="Q137" s="2">
        <v>242975</v>
      </c>
      <c r="R137" t="s">
        <v>1876</v>
      </c>
      <c r="S137" t="s">
        <v>50</v>
      </c>
      <c r="T137" t="s">
        <v>45</v>
      </c>
      <c r="U137" t="s">
        <v>139</v>
      </c>
      <c r="V137" t="s">
        <v>52</v>
      </c>
      <c r="W137" t="s">
        <v>1877</v>
      </c>
      <c r="X137" t="s">
        <v>72</v>
      </c>
      <c r="Y137" t="s">
        <v>73</v>
      </c>
      <c r="Z137" t="s">
        <v>1878</v>
      </c>
      <c r="AA137">
        <v>4</v>
      </c>
      <c r="AB137" t="s">
        <v>57</v>
      </c>
      <c r="AC137" t="s">
        <v>1879</v>
      </c>
      <c r="AD137" t="s">
        <v>1880</v>
      </c>
      <c r="AE137" t="s">
        <v>60</v>
      </c>
      <c r="AF137">
        <v>1484950</v>
      </c>
      <c r="AG137" s="3">
        <v>29699</v>
      </c>
      <c r="AK137" t="s">
        <v>1881</v>
      </c>
      <c r="AL137" s="3">
        <v>29699</v>
      </c>
      <c r="AM137">
        <v>0</v>
      </c>
      <c r="AN137" s="4">
        <f>Table103[[#This Row],[Premium]]-Table103[[#This Row],[Tms Prem]]</f>
        <v>0</v>
      </c>
    </row>
    <row r="138" spans="1:40" x14ac:dyDescent="0.25">
      <c r="A138">
        <v>137</v>
      </c>
      <c r="B138" t="s">
        <v>38</v>
      </c>
      <c r="C138" t="s">
        <v>1882</v>
      </c>
      <c r="D138" t="s">
        <v>40</v>
      </c>
      <c r="E138" t="s">
        <v>41</v>
      </c>
      <c r="F138" t="s">
        <v>1883</v>
      </c>
      <c r="G138" t="s">
        <v>174</v>
      </c>
      <c r="H138" t="s">
        <v>1884</v>
      </c>
      <c r="I138" t="s">
        <v>1885</v>
      </c>
      <c r="J138" t="s">
        <v>1885</v>
      </c>
      <c r="K138" t="s">
        <v>1885</v>
      </c>
      <c r="L138" t="s">
        <v>1886</v>
      </c>
      <c r="M138">
        <v>1244500</v>
      </c>
      <c r="N138">
        <v>2489000</v>
      </c>
      <c r="O138" t="s">
        <v>1887</v>
      </c>
      <c r="P138" s="1">
        <v>45534</v>
      </c>
      <c r="Q138" s="2" t="s">
        <v>1888</v>
      </c>
      <c r="R138" t="s">
        <v>1889</v>
      </c>
      <c r="S138" t="s">
        <v>50</v>
      </c>
      <c r="T138" t="s">
        <v>45</v>
      </c>
      <c r="U138" t="s">
        <v>1890</v>
      </c>
      <c r="V138" t="s">
        <v>140</v>
      </c>
      <c r="W138" t="s">
        <v>957</v>
      </c>
      <c r="X138" t="s">
        <v>873</v>
      </c>
      <c r="Y138" t="s">
        <v>874</v>
      </c>
      <c r="Z138" t="s">
        <v>1891</v>
      </c>
      <c r="AA138">
        <v>5</v>
      </c>
      <c r="AB138" t="s">
        <v>57</v>
      </c>
      <c r="AC138" t="s">
        <v>1892</v>
      </c>
      <c r="AD138" t="s">
        <v>960</v>
      </c>
      <c r="AE138" t="s">
        <v>60</v>
      </c>
      <c r="AF138">
        <v>1991200</v>
      </c>
      <c r="AG138" s="3">
        <v>39824</v>
      </c>
      <c r="AK138" t="s">
        <v>1893</v>
      </c>
      <c r="AL138" s="3">
        <v>39824</v>
      </c>
      <c r="AM138">
        <v>0</v>
      </c>
      <c r="AN138" s="4">
        <f>Table103[[#This Row],[Premium]]-Table103[[#This Row],[Tms Prem]]</f>
        <v>0</v>
      </c>
    </row>
    <row r="139" spans="1:40" x14ac:dyDescent="0.25">
      <c r="A139">
        <v>138</v>
      </c>
      <c r="B139" t="s">
        <v>38</v>
      </c>
      <c r="C139" t="s">
        <v>1894</v>
      </c>
      <c r="D139" t="s">
        <v>40</v>
      </c>
      <c r="E139" t="s">
        <v>41</v>
      </c>
      <c r="F139" t="s">
        <v>1895</v>
      </c>
      <c r="G139" t="s">
        <v>80</v>
      </c>
      <c r="H139" t="s">
        <v>1896</v>
      </c>
      <c r="I139" t="s">
        <v>1897</v>
      </c>
      <c r="J139" t="s">
        <v>1898</v>
      </c>
      <c r="K139" t="s">
        <v>1897</v>
      </c>
      <c r="L139" t="s">
        <v>1899</v>
      </c>
      <c r="M139">
        <v>2523500</v>
      </c>
      <c r="N139">
        <v>3605000</v>
      </c>
      <c r="O139" t="s">
        <v>1900</v>
      </c>
      <c r="P139" s="1">
        <v>45515</v>
      </c>
      <c r="Q139" s="2">
        <v>98239</v>
      </c>
      <c r="R139" t="s">
        <v>1901</v>
      </c>
      <c r="S139" t="s">
        <v>50</v>
      </c>
      <c r="T139" t="s">
        <v>45</v>
      </c>
      <c r="U139" t="s">
        <v>1902</v>
      </c>
      <c r="V139" t="s">
        <v>52</v>
      </c>
      <c r="W139" t="s">
        <v>1903</v>
      </c>
      <c r="X139" t="s">
        <v>72</v>
      </c>
      <c r="Y139" t="s">
        <v>424</v>
      </c>
      <c r="Z139" t="s">
        <v>1904</v>
      </c>
      <c r="AA139">
        <v>3</v>
      </c>
      <c r="AB139" t="s">
        <v>57</v>
      </c>
      <c r="AC139" t="s">
        <v>1905</v>
      </c>
      <c r="AD139" t="s">
        <v>54</v>
      </c>
      <c r="AE139" t="s">
        <v>60</v>
      </c>
      <c r="AF139">
        <v>3064250</v>
      </c>
      <c r="AG139" s="3">
        <v>61285</v>
      </c>
      <c r="AK139" t="s">
        <v>1906</v>
      </c>
      <c r="AL139" s="3">
        <v>61285</v>
      </c>
      <c r="AM139">
        <v>0</v>
      </c>
      <c r="AN139" s="4">
        <f>Table103[[#This Row],[Premium]]-Table103[[#This Row],[Tms Prem]]</f>
        <v>0</v>
      </c>
    </row>
    <row r="140" spans="1:40" x14ac:dyDescent="0.25">
      <c r="A140">
        <v>139</v>
      </c>
      <c r="B140" t="s">
        <v>38</v>
      </c>
      <c r="C140" t="s">
        <v>1907</v>
      </c>
      <c r="D140" t="s">
        <v>40</v>
      </c>
      <c r="E140" t="s">
        <v>41</v>
      </c>
      <c r="F140" t="s">
        <v>1908</v>
      </c>
      <c r="G140" t="s">
        <v>80</v>
      </c>
      <c r="H140" t="s">
        <v>1909</v>
      </c>
      <c r="I140" t="s">
        <v>1910</v>
      </c>
      <c r="J140" t="s">
        <v>1910</v>
      </c>
      <c r="K140" t="s">
        <v>151</v>
      </c>
      <c r="L140" t="s">
        <v>1911</v>
      </c>
      <c r="M140">
        <v>1535580</v>
      </c>
      <c r="N140">
        <v>2694000</v>
      </c>
      <c r="O140" t="s">
        <v>1912</v>
      </c>
      <c r="P140" s="1">
        <v>45515</v>
      </c>
      <c r="Q140" s="2">
        <v>1006195</v>
      </c>
      <c r="R140" t="s">
        <v>1913</v>
      </c>
      <c r="S140" t="s">
        <v>50</v>
      </c>
      <c r="T140" t="s">
        <v>45</v>
      </c>
      <c r="U140" t="s">
        <v>1914</v>
      </c>
      <c r="V140" t="s">
        <v>52</v>
      </c>
      <c r="W140" t="s">
        <v>1915</v>
      </c>
      <c r="X140" t="s">
        <v>72</v>
      </c>
      <c r="Y140" t="s">
        <v>350</v>
      </c>
      <c r="Z140" t="s">
        <v>1916</v>
      </c>
      <c r="AA140">
        <v>5</v>
      </c>
      <c r="AB140" t="s">
        <v>124</v>
      </c>
      <c r="AC140" t="s">
        <v>1917</v>
      </c>
      <c r="AD140" t="s">
        <v>54</v>
      </c>
      <c r="AE140" t="s">
        <v>159</v>
      </c>
      <c r="AF140">
        <v>2289900</v>
      </c>
      <c r="AG140" s="3">
        <v>34349</v>
      </c>
      <c r="AK140" t="s">
        <v>1918</v>
      </c>
      <c r="AL140" s="3">
        <v>34349</v>
      </c>
      <c r="AM140">
        <v>0</v>
      </c>
      <c r="AN140" s="4">
        <f>Table103[[#This Row],[Premium]]-Table103[[#This Row],[Tms Prem]]</f>
        <v>0</v>
      </c>
    </row>
    <row r="141" spans="1:40" x14ac:dyDescent="0.25">
      <c r="A141">
        <v>140</v>
      </c>
      <c r="B141" t="s">
        <v>38</v>
      </c>
      <c r="C141" t="s">
        <v>1919</v>
      </c>
      <c r="D141" t="s">
        <v>40</v>
      </c>
      <c r="E141" t="s">
        <v>41</v>
      </c>
      <c r="F141" t="s">
        <v>1920</v>
      </c>
      <c r="G141" t="s">
        <v>80</v>
      </c>
      <c r="H141" t="s">
        <v>1921</v>
      </c>
      <c r="I141" t="s">
        <v>1922</v>
      </c>
      <c r="J141" t="s">
        <v>1922</v>
      </c>
      <c r="K141" t="s">
        <v>151</v>
      </c>
      <c r="L141" t="s">
        <v>1923</v>
      </c>
      <c r="M141">
        <v>1125000</v>
      </c>
      <c r="N141">
        <v>1500000</v>
      </c>
      <c r="O141" t="s">
        <v>1924</v>
      </c>
      <c r="P141" s="1">
        <v>45534</v>
      </c>
      <c r="Q141" s="2">
        <v>13030243</v>
      </c>
      <c r="R141" t="s">
        <v>1925</v>
      </c>
      <c r="S141" t="s">
        <v>88</v>
      </c>
      <c r="T141" t="s">
        <v>1926</v>
      </c>
      <c r="U141" t="s">
        <v>1927</v>
      </c>
      <c r="V141" t="s">
        <v>496</v>
      </c>
      <c r="W141" t="s">
        <v>907</v>
      </c>
      <c r="X141" t="s">
        <v>873</v>
      </c>
      <c r="Y141" t="s">
        <v>874</v>
      </c>
      <c r="Z141" t="s">
        <v>1928</v>
      </c>
      <c r="AA141">
        <v>5</v>
      </c>
      <c r="AB141" t="s">
        <v>57</v>
      </c>
      <c r="AC141" t="s">
        <v>1929</v>
      </c>
      <c r="AD141" t="s">
        <v>960</v>
      </c>
      <c r="AE141" t="s">
        <v>60</v>
      </c>
      <c r="AF141">
        <v>1200000</v>
      </c>
      <c r="AG141" s="3">
        <v>24000</v>
      </c>
      <c r="AK141" t="s">
        <v>1930</v>
      </c>
      <c r="AL141" s="3">
        <v>24000</v>
      </c>
      <c r="AM141">
        <v>0</v>
      </c>
      <c r="AN141" s="4">
        <f>Table103[[#This Row],[Premium]]-Table103[[#This Row],[Tms Prem]]</f>
        <v>0</v>
      </c>
    </row>
    <row r="142" spans="1:40" x14ac:dyDescent="0.25">
      <c r="A142">
        <v>141</v>
      </c>
      <c r="B142" t="s">
        <v>38</v>
      </c>
      <c r="C142" t="s">
        <v>1931</v>
      </c>
      <c r="D142" t="s">
        <v>40</v>
      </c>
      <c r="E142" t="s">
        <v>41</v>
      </c>
      <c r="F142" t="s">
        <v>1932</v>
      </c>
      <c r="G142" t="s">
        <v>174</v>
      </c>
      <c r="H142" t="s">
        <v>1933</v>
      </c>
      <c r="I142" t="s">
        <v>1934</v>
      </c>
      <c r="J142" t="s">
        <v>1934</v>
      </c>
      <c r="K142" t="s">
        <v>45</v>
      </c>
      <c r="L142" t="s">
        <v>1935</v>
      </c>
      <c r="M142">
        <v>1400000</v>
      </c>
      <c r="N142">
        <v>2000000</v>
      </c>
      <c r="O142" t="s">
        <v>1936</v>
      </c>
      <c r="P142" s="1">
        <v>45534</v>
      </c>
      <c r="Q142" s="2" t="s">
        <v>1937</v>
      </c>
      <c r="R142" t="s">
        <v>1938</v>
      </c>
      <c r="S142" t="s">
        <v>88</v>
      </c>
      <c r="T142" t="s">
        <v>1939</v>
      </c>
      <c r="U142" t="s">
        <v>1940</v>
      </c>
      <c r="V142" t="s">
        <v>717</v>
      </c>
      <c r="W142" t="s">
        <v>1598</v>
      </c>
      <c r="X142" t="s">
        <v>1599</v>
      </c>
      <c r="Y142" t="s">
        <v>772</v>
      </c>
      <c r="Z142" t="s">
        <v>1941</v>
      </c>
      <c r="AA142">
        <v>5</v>
      </c>
      <c r="AB142" t="s">
        <v>57</v>
      </c>
      <c r="AC142" t="s">
        <v>1942</v>
      </c>
      <c r="AD142" t="s">
        <v>1598</v>
      </c>
      <c r="AE142" t="s">
        <v>60</v>
      </c>
      <c r="AF142">
        <v>1500000</v>
      </c>
      <c r="AG142" s="3">
        <v>30000</v>
      </c>
      <c r="AK142" t="s">
        <v>1943</v>
      </c>
      <c r="AL142" s="3">
        <v>30000</v>
      </c>
      <c r="AM142">
        <v>0</v>
      </c>
      <c r="AN142" s="4">
        <f>Table103[[#This Row],[Premium]]-Table103[[#This Row],[Tms Prem]]</f>
        <v>0</v>
      </c>
    </row>
    <row r="143" spans="1:40" x14ac:dyDescent="0.25">
      <c r="A143">
        <v>142</v>
      </c>
      <c r="B143" t="s">
        <v>38</v>
      </c>
      <c r="C143" t="s">
        <v>1944</v>
      </c>
      <c r="D143" t="s">
        <v>40</v>
      </c>
      <c r="E143" t="s">
        <v>41</v>
      </c>
      <c r="F143" t="s">
        <v>1945</v>
      </c>
      <c r="G143" t="s">
        <v>174</v>
      </c>
      <c r="H143" t="s">
        <v>1946</v>
      </c>
      <c r="I143" t="s">
        <v>1947</v>
      </c>
      <c r="J143" t="s">
        <v>1947</v>
      </c>
      <c r="K143" t="s">
        <v>1947</v>
      </c>
      <c r="L143" t="s">
        <v>1948</v>
      </c>
      <c r="M143">
        <v>980000</v>
      </c>
      <c r="N143">
        <v>2450000</v>
      </c>
      <c r="O143" t="s">
        <v>1949</v>
      </c>
      <c r="P143" s="1">
        <v>45534</v>
      </c>
      <c r="Q143" s="2" t="s">
        <v>1950</v>
      </c>
      <c r="R143" t="s">
        <v>1951</v>
      </c>
      <c r="S143" t="s">
        <v>88</v>
      </c>
      <c r="T143" t="s">
        <v>1952</v>
      </c>
      <c r="U143" t="s">
        <v>1953</v>
      </c>
      <c r="V143" t="s">
        <v>662</v>
      </c>
      <c r="W143" t="s">
        <v>957</v>
      </c>
      <c r="X143" t="s">
        <v>873</v>
      </c>
      <c r="Y143" t="s">
        <v>1189</v>
      </c>
      <c r="Z143" t="s">
        <v>1954</v>
      </c>
      <c r="AA143">
        <v>6</v>
      </c>
      <c r="AB143" t="s">
        <v>57</v>
      </c>
      <c r="AC143" t="s">
        <v>1955</v>
      </c>
      <c r="AD143" t="s">
        <v>960</v>
      </c>
      <c r="AE143" t="s">
        <v>60</v>
      </c>
      <c r="AF143">
        <v>1960000</v>
      </c>
      <c r="AG143" s="3">
        <v>39200</v>
      </c>
      <c r="AK143" t="s">
        <v>1956</v>
      </c>
      <c r="AL143" s="3">
        <v>39200</v>
      </c>
      <c r="AM143">
        <v>0</v>
      </c>
      <c r="AN143" s="4">
        <f>Table103[[#This Row],[Premium]]-Table103[[#This Row],[Tms Prem]]</f>
        <v>0</v>
      </c>
    </row>
    <row r="144" spans="1:40" x14ac:dyDescent="0.25">
      <c r="A144">
        <v>143</v>
      </c>
      <c r="B144" t="s">
        <v>38</v>
      </c>
      <c r="C144" t="s">
        <v>1957</v>
      </c>
      <c r="D144" t="s">
        <v>40</v>
      </c>
      <c r="E144" t="s">
        <v>41</v>
      </c>
      <c r="F144" t="s">
        <v>1958</v>
      </c>
      <c r="G144" t="s">
        <v>289</v>
      </c>
      <c r="H144" t="s">
        <v>1959</v>
      </c>
      <c r="I144" t="s">
        <v>1960</v>
      </c>
      <c r="J144" t="s">
        <v>45</v>
      </c>
      <c r="K144" t="s">
        <v>1961</v>
      </c>
      <c r="L144" t="s">
        <v>1962</v>
      </c>
      <c r="M144">
        <v>2856000</v>
      </c>
      <c r="N144">
        <v>5950000</v>
      </c>
      <c r="O144" t="s">
        <v>1963</v>
      </c>
      <c r="P144" s="1">
        <v>45515</v>
      </c>
      <c r="Q144" s="2">
        <v>320020</v>
      </c>
      <c r="R144" t="s">
        <v>1964</v>
      </c>
      <c r="S144" t="s">
        <v>88</v>
      </c>
      <c r="T144" t="s">
        <v>1965</v>
      </c>
      <c r="U144" t="s">
        <v>1966</v>
      </c>
      <c r="V144" t="s">
        <v>90</v>
      </c>
      <c r="W144" t="s">
        <v>606</v>
      </c>
      <c r="X144" t="s">
        <v>72</v>
      </c>
      <c r="Y144" t="s">
        <v>424</v>
      </c>
      <c r="Z144" t="s">
        <v>1967</v>
      </c>
      <c r="AA144">
        <v>3</v>
      </c>
      <c r="AB144" t="s">
        <v>124</v>
      </c>
      <c r="AC144" t="s">
        <v>1968</v>
      </c>
      <c r="AD144" t="s">
        <v>467</v>
      </c>
      <c r="AE144" t="s">
        <v>97</v>
      </c>
      <c r="AF144">
        <v>5057500</v>
      </c>
      <c r="AG144" s="3">
        <v>88507</v>
      </c>
      <c r="AK144" t="s">
        <v>1969</v>
      </c>
      <c r="AL144" s="3">
        <v>88506</v>
      </c>
      <c r="AM144">
        <v>0</v>
      </c>
      <c r="AN144" s="4">
        <f>Table103[[#This Row],[Premium]]-Table103[[#This Row],[Tms Prem]]</f>
        <v>1</v>
      </c>
    </row>
    <row r="145" spans="1:40" x14ac:dyDescent="0.25">
      <c r="A145">
        <v>144</v>
      </c>
      <c r="B145" t="s">
        <v>38</v>
      </c>
      <c r="C145" t="s">
        <v>1970</v>
      </c>
      <c r="D145" t="s">
        <v>40</v>
      </c>
      <c r="E145" t="s">
        <v>41</v>
      </c>
      <c r="F145" t="s">
        <v>1971</v>
      </c>
      <c r="G145" t="s">
        <v>114</v>
      </c>
      <c r="H145" t="s">
        <v>1972</v>
      </c>
      <c r="I145" t="s">
        <v>1973</v>
      </c>
      <c r="J145" t="s">
        <v>1974</v>
      </c>
      <c r="K145" t="s">
        <v>1973</v>
      </c>
      <c r="L145" t="s">
        <v>1975</v>
      </c>
      <c r="M145">
        <v>1085000</v>
      </c>
      <c r="N145">
        <v>1550000</v>
      </c>
      <c r="O145" t="s">
        <v>1976</v>
      </c>
      <c r="P145" s="1">
        <v>45534</v>
      </c>
      <c r="Q145" s="2" t="s">
        <v>1977</v>
      </c>
      <c r="R145" t="s">
        <v>1978</v>
      </c>
      <c r="S145" t="s">
        <v>88</v>
      </c>
      <c r="T145" t="s">
        <v>1979</v>
      </c>
      <c r="U145" t="s">
        <v>1980</v>
      </c>
      <c r="V145" t="s">
        <v>107</v>
      </c>
      <c r="W145" t="s">
        <v>1598</v>
      </c>
      <c r="X145" t="s">
        <v>1599</v>
      </c>
      <c r="Y145" t="s">
        <v>1189</v>
      </c>
      <c r="Z145" t="s">
        <v>1981</v>
      </c>
      <c r="AA145">
        <v>7</v>
      </c>
      <c r="AB145" t="s">
        <v>196</v>
      </c>
      <c r="AC145" t="s">
        <v>1982</v>
      </c>
      <c r="AD145" t="s">
        <v>1598</v>
      </c>
      <c r="AE145" t="s">
        <v>60</v>
      </c>
      <c r="AF145">
        <v>1162500</v>
      </c>
      <c r="AG145" s="3">
        <v>23250</v>
      </c>
      <c r="AK145" t="s">
        <v>1983</v>
      </c>
      <c r="AL145" s="3">
        <v>23250</v>
      </c>
      <c r="AM145">
        <v>0</v>
      </c>
      <c r="AN145" s="4">
        <f>Table103[[#This Row],[Premium]]-Table103[[#This Row],[Tms Prem]]</f>
        <v>0</v>
      </c>
    </row>
    <row r="146" spans="1:40" x14ac:dyDescent="0.25">
      <c r="A146">
        <v>145</v>
      </c>
      <c r="B146" t="s">
        <v>38</v>
      </c>
      <c r="C146" t="s">
        <v>1984</v>
      </c>
      <c r="D146" t="s">
        <v>40</v>
      </c>
      <c r="E146" t="s">
        <v>41</v>
      </c>
      <c r="F146" t="s">
        <v>1985</v>
      </c>
      <c r="G146" t="s">
        <v>80</v>
      </c>
      <c r="H146" t="s">
        <v>1986</v>
      </c>
      <c r="I146" t="s">
        <v>1987</v>
      </c>
      <c r="J146" t="s">
        <v>1987</v>
      </c>
      <c r="K146" t="s">
        <v>1988</v>
      </c>
      <c r="L146" t="s">
        <v>1989</v>
      </c>
      <c r="M146">
        <v>1275000</v>
      </c>
      <c r="N146">
        <v>1700000</v>
      </c>
      <c r="O146" t="s">
        <v>45</v>
      </c>
      <c r="P146" s="1">
        <v>45534</v>
      </c>
      <c r="Q146" s="2" t="s">
        <v>1990</v>
      </c>
      <c r="R146" t="s">
        <v>1991</v>
      </c>
      <c r="S146" t="s">
        <v>88</v>
      </c>
      <c r="T146" t="s">
        <v>1992</v>
      </c>
      <c r="U146" t="s">
        <v>1993</v>
      </c>
      <c r="V146" t="s">
        <v>717</v>
      </c>
      <c r="W146" t="s">
        <v>770</v>
      </c>
      <c r="X146" t="s">
        <v>771</v>
      </c>
      <c r="Y146" t="s">
        <v>772</v>
      </c>
      <c r="Z146" t="s">
        <v>1994</v>
      </c>
      <c r="AA146">
        <v>6</v>
      </c>
      <c r="AB146" t="s">
        <v>1995</v>
      </c>
      <c r="AC146" t="s">
        <v>45</v>
      </c>
      <c r="AD146" t="s">
        <v>45</v>
      </c>
      <c r="AE146" t="s">
        <v>428</v>
      </c>
      <c r="AF146">
        <v>1190000</v>
      </c>
      <c r="AG146" s="3">
        <v>29750</v>
      </c>
      <c r="AK146" t="s">
        <v>1996</v>
      </c>
      <c r="AL146" s="3">
        <v>29750</v>
      </c>
      <c r="AM146">
        <v>0</v>
      </c>
      <c r="AN146" s="4">
        <f>Table103[[#This Row],[Premium]]-Table103[[#This Row],[Tms Prem]]</f>
        <v>0</v>
      </c>
    </row>
    <row r="147" spans="1:40" x14ac:dyDescent="0.25">
      <c r="A147">
        <v>146</v>
      </c>
      <c r="B147" t="s">
        <v>38</v>
      </c>
      <c r="C147" t="s">
        <v>1997</v>
      </c>
      <c r="D147" t="s">
        <v>40</v>
      </c>
      <c r="E147" t="s">
        <v>41</v>
      </c>
      <c r="F147" t="s">
        <v>1998</v>
      </c>
      <c r="G147" t="s">
        <v>1999</v>
      </c>
      <c r="H147" t="s">
        <v>2000</v>
      </c>
      <c r="I147" t="s">
        <v>45</v>
      </c>
      <c r="J147" t="s">
        <v>45</v>
      </c>
      <c r="K147" t="s">
        <v>45</v>
      </c>
      <c r="L147" t="s">
        <v>2001</v>
      </c>
      <c r="M147">
        <v>1074750</v>
      </c>
      <c r="N147">
        <v>1433000</v>
      </c>
      <c r="O147" t="s">
        <v>2002</v>
      </c>
      <c r="P147" s="1">
        <v>45515</v>
      </c>
      <c r="Q147" s="2">
        <v>176721</v>
      </c>
      <c r="R147" t="s">
        <v>2003</v>
      </c>
      <c r="S147" t="s">
        <v>50</v>
      </c>
      <c r="T147" t="s">
        <v>45</v>
      </c>
      <c r="U147" t="s">
        <v>970</v>
      </c>
      <c r="V147" t="s">
        <v>140</v>
      </c>
      <c r="W147" t="s">
        <v>1075</v>
      </c>
      <c r="X147" t="s">
        <v>281</v>
      </c>
      <c r="Y147" t="s">
        <v>424</v>
      </c>
      <c r="Z147" t="s">
        <v>2004</v>
      </c>
      <c r="AA147">
        <v>4</v>
      </c>
      <c r="AB147" t="s">
        <v>57</v>
      </c>
      <c r="AC147" t="s">
        <v>2005</v>
      </c>
      <c r="AD147" t="s">
        <v>442</v>
      </c>
      <c r="AE147" t="s">
        <v>60</v>
      </c>
      <c r="AF147">
        <v>1146400</v>
      </c>
      <c r="AG147" s="3">
        <v>22928</v>
      </c>
      <c r="AK147" t="s">
        <v>2006</v>
      </c>
      <c r="AL147" s="3">
        <v>22928</v>
      </c>
      <c r="AM147">
        <v>0</v>
      </c>
      <c r="AN147" s="4">
        <f>Table103[[#This Row],[Premium]]-Table103[[#This Row],[Tms Prem]]</f>
        <v>0</v>
      </c>
    </row>
    <row r="148" spans="1:40" x14ac:dyDescent="0.25">
      <c r="A148">
        <v>147</v>
      </c>
      <c r="B148" t="s">
        <v>471</v>
      </c>
      <c r="C148" t="s">
        <v>2007</v>
      </c>
      <c r="D148" t="s">
        <v>40</v>
      </c>
      <c r="E148" t="s">
        <v>41</v>
      </c>
      <c r="F148" t="s">
        <v>2008</v>
      </c>
      <c r="G148" t="s">
        <v>80</v>
      </c>
      <c r="H148" t="s">
        <v>2009</v>
      </c>
      <c r="I148" t="s">
        <v>2010</v>
      </c>
      <c r="J148" t="s">
        <v>2010</v>
      </c>
      <c r="K148" t="s">
        <v>2010</v>
      </c>
      <c r="L148" t="s">
        <v>2011</v>
      </c>
      <c r="M148">
        <v>1218750</v>
      </c>
      <c r="N148">
        <v>1625000</v>
      </c>
      <c r="O148" t="s">
        <v>2012</v>
      </c>
      <c r="P148" s="1">
        <v>45515</v>
      </c>
      <c r="Q148" s="2" t="s">
        <v>2013</v>
      </c>
      <c r="R148" t="s">
        <v>2014</v>
      </c>
      <c r="S148" t="s">
        <v>493</v>
      </c>
      <c r="T148" t="s">
        <v>45</v>
      </c>
      <c r="U148" t="s">
        <v>1838</v>
      </c>
      <c r="V148" t="s">
        <v>466</v>
      </c>
      <c r="W148" t="s">
        <v>514</v>
      </c>
      <c r="X148" t="s">
        <v>281</v>
      </c>
      <c r="Y148" t="s">
        <v>73</v>
      </c>
      <c r="Z148" t="s">
        <v>2015</v>
      </c>
      <c r="AA148">
        <v>5</v>
      </c>
      <c r="AB148" t="s">
        <v>196</v>
      </c>
      <c r="AC148" t="s">
        <v>2016</v>
      </c>
      <c r="AD148" t="s">
        <v>2017</v>
      </c>
      <c r="AE148" t="s">
        <v>60</v>
      </c>
      <c r="AF148">
        <v>1300000</v>
      </c>
      <c r="AG148" s="3">
        <v>26000</v>
      </c>
      <c r="AK148" t="s">
        <v>2018</v>
      </c>
      <c r="AL148" s="3">
        <v>26000</v>
      </c>
      <c r="AM148">
        <v>0</v>
      </c>
      <c r="AN148" s="4">
        <f>Table103[[#This Row],[Premium]]-Table103[[#This Row],[Tms Prem]]</f>
        <v>0</v>
      </c>
    </row>
    <row r="149" spans="1:40" x14ac:dyDescent="0.25">
      <c r="A149">
        <v>148</v>
      </c>
      <c r="B149" t="s">
        <v>471</v>
      </c>
      <c r="C149" t="s">
        <v>2019</v>
      </c>
      <c r="D149" t="s">
        <v>40</v>
      </c>
      <c r="E149" t="s">
        <v>41</v>
      </c>
      <c r="F149" t="s">
        <v>2020</v>
      </c>
      <c r="G149" t="s">
        <v>2021</v>
      </c>
      <c r="H149" t="s">
        <v>2022</v>
      </c>
      <c r="I149" t="s">
        <v>2023</v>
      </c>
      <c r="J149" t="s">
        <v>2024</v>
      </c>
      <c r="K149" t="s">
        <v>2023</v>
      </c>
      <c r="L149" t="s">
        <v>2025</v>
      </c>
      <c r="M149">
        <v>1001250</v>
      </c>
      <c r="N149">
        <v>1335000</v>
      </c>
      <c r="O149" t="s">
        <v>2026</v>
      </c>
      <c r="P149" s="1">
        <v>45515</v>
      </c>
      <c r="Q149" s="2">
        <v>179014</v>
      </c>
      <c r="R149" t="s">
        <v>2027</v>
      </c>
      <c r="S149" t="s">
        <v>50</v>
      </c>
      <c r="T149" t="s">
        <v>45</v>
      </c>
      <c r="U149" t="s">
        <v>250</v>
      </c>
      <c r="V149" t="s">
        <v>140</v>
      </c>
      <c r="W149" t="s">
        <v>2028</v>
      </c>
      <c r="X149" t="s">
        <v>406</v>
      </c>
      <c r="Y149" t="s">
        <v>815</v>
      </c>
      <c r="Z149" t="s">
        <v>2029</v>
      </c>
      <c r="AA149">
        <v>5</v>
      </c>
      <c r="AB149" t="s">
        <v>196</v>
      </c>
      <c r="AC149" t="s">
        <v>2030</v>
      </c>
      <c r="AD149" t="s">
        <v>2031</v>
      </c>
      <c r="AE149" t="s">
        <v>60</v>
      </c>
      <c r="AF149">
        <v>1068000</v>
      </c>
      <c r="AG149" s="3">
        <v>21360</v>
      </c>
      <c r="AK149" t="s">
        <v>2032</v>
      </c>
      <c r="AL149" s="3">
        <v>21360</v>
      </c>
      <c r="AM149">
        <v>0</v>
      </c>
      <c r="AN149" s="4">
        <f>Table103[[#This Row],[Premium]]-Table103[[#This Row],[Tms Prem]]</f>
        <v>0</v>
      </c>
    </row>
    <row r="150" spans="1:40" x14ac:dyDescent="0.25">
      <c r="A150">
        <v>149</v>
      </c>
      <c r="B150" t="s">
        <v>38</v>
      </c>
      <c r="C150" t="s">
        <v>2033</v>
      </c>
      <c r="D150" t="s">
        <v>40</v>
      </c>
      <c r="E150" t="s">
        <v>41</v>
      </c>
      <c r="F150" t="s">
        <v>2034</v>
      </c>
      <c r="G150" t="s">
        <v>174</v>
      </c>
      <c r="H150" t="s">
        <v>2035</v>
      </c>
      <c r="I150" t="s">
        <v>331</v>
      </c>
      <c r="J150" t="s">
        <v>2036</v>
      </c>
      <c r="K150" t="s">
        <v>2037</v>
      </c>
      <c r="L150" t="s">
        <v>2038</v>
      </c>
      <c r="M150">
        <v>910000</v>
      </c>
      <c r="N150">
        <v>1300000</v>
      </c>
      <c r="O150" t="s">
        <v>2039</v>
      </c>
      <c r="P150" s="1">
        <v>45534</v>
      </c>
      <c r="Q150" s="2" t="s">
        <v>2040</v>
      </c>
      <c r="R150" t="s">
        <v>2041</v>
      </c>
      <c r="S150" t="s">
        <v>493</v>
      </c>
      <c r="T150" t="s">
        <v>2042</v>
      </c>
      <c r="U150" t="s">
        <v>2043</v>
      </c>
      <c r="V150" t="s">
        <v>466</v>
      </c>
      <c r="W150" t="s">
        <v>770</v>
      </c>
      <c r="X150" t="s">
        <v>771</v>
      </c>
      <c r="Y150" t="s">
        <v>874</v>
      </c>
      <c r="Z150" t="s">
        <v>2044</v>
      </c>
      <c r="AA150">
        <v>7</v>
      </c>
      <c r="AB150" t="s">
        <v>57</v>
      </c>
      <c r="AC150" t="s">
        <v>2045</v>
      </c>
      <c r="AD150" t="s">
        <v>770</v>
      </c>
      <c r="AE150" t="s">
        <v>428</v>
      </c>
      <c r="AF150">
        <v>910000</v>
      </c>
      <c r="AG150" s="3">
        <v>22750</v>
      </c>
      <c r="AK150" t="s">
        <v>2046</v>
      </c>
      <c r="AL150" s="3">
        <v>22750</v>
      </c>
      <c r="AM150">
        <v>0</v>
      </c>
      <c r="AN150" s="4">
        <f>Table103[[#This Row],[Premium]]-Table103[[#This Row],[Tms Prem]]</f>
        <v>0</v>
      </c>
    </row>
    <row r="151" spans="1:40" x14ac:dyDescent="0.25">
      <c r="A151">
        <v>150</v>
      </c>
      <c r="B151" t="s">
        <v>38</v>
      </c>
      <c r="C151" t="s">
        <v>2047</v>
      </c>
      <c r="D151" t="s">
        <v>40</v>
      </c>
      <c r="E151" t="s">
        <v>41</v>
      </c>
      <c r="F151" t="s">
        <v>2048</v>
      </c>
      <c r="G151" t="s">
        <v>114</v>
      </c>
      <c r="H151" t="s">
        <v>2049</v>
      </c>
      <c r="I151" t="s">
        <v>2050</v>
      </c>
      <c r="J151" t="s">
        <v>2051</v>
      </c>
      <c r="K151" t="s">
        <v>2050</v>
      </c>
      <c r="L151" t="s">
        <v>2052</v>
      </c>
      <c r="M151">
        <v>770700</v>
      </c>
      <c r="N151">
        <v>1101000</v>
      </c>
      <c r="O151" t="s">
        <v>2053</v>
      </c>
      <c r="P151" s="1">
        <v>45534</v>
      </c>
      <c r="Q151" s="2">
        <v>108369</v>
      </c>
      <c r="R151" t="s">
        <v>2054</v>
      </c>
      <c r="S151" t="s">
        <v>50</v>
      </c>
      <c r="T151" t="s">
        <v>2055</v>
      </c>
      <c r="U151" t="s">
        <v>2056</v>
      </c>
      <c r="V151" t="s">
        <v>662</v>
      </c>
      <c r="W151" t="s">
        <v>770</v>
      </c>
      <c r="X151" t="s">
        <v>771</v>
      </c>
      <c r="Y151" t="s">
        <v>772</v>
      </c>
      <c r="Z151" t="s">
        <v>2057</v>
      </c>
      <c r="AA151">
        <v>6</v>
      </c>
      <c r="AB151" t="s">
        <v>124</v>
      </c>
      <c r="AC151" t="s">
        <v>2058</v>
      </c>
      <c r="AD151" t="s">
        <v>770</v>
      </c>
      <c r="AE151" t="s">
        <v>428</v>
      </c>
      <c r="AF151">
        <v>770700</v>
      </c>
      <c r="AG151" s="3">
        <v>19268</v>
      </c>
      <c r="AK151" t="s">
        <v>2059</v>
      </c>
      <c r="AL151" s="3">
        <v>19268</v>
      </c>
      <c r="AM151">
        <v>0</v>
      </c>
      <c r="AN151" s="4">
        <f>Table103[[#This Row],[Premium]]-Table103[[#This Row],[Tms Prem]]</f>
        <v>0</v>
      </c>
    </row>
    <row r="152" spans="1:40" x14ac:dyDescent="0.25">
      <c r="A152">
        <v>151</v>
      </c>
      <c r="B152" t="s">
        <v>38</v>
      </c>
      <c r="C152" t="s">
        <v>2060</v>
      </c>
      <c r="D152" t="s">
        <v>40</v>
      </c>
      <c r="E152" t="s">
        <v>41</v>
      </c>
      <c r="F152" t="s">
        <v>2061</v>
      </c>
      <c r="G152" t="s">
        <v>2021</v>
      </c>
      <c r="H152" t="s">
        <v>2062</v>
      </c>
      <c r="I152" t="s">
        <v>2063</v>
      </c>
      <c r="J152" t="s">
        <v>2064</v>
      </c>
      <c r="K152" t="s">
        <v>2065</v>
      </c>
      <c r="L152" t="s">
        <v>2066</v>
      </c>
      <c r="M152">
        <v>1140750</v>
      </c>
      <c r="N152">
        <v>1521000</v>
      </c>
      <c r="O152" t="s">
        <v>2067</v>
      </c>
      <c r="P152" s="1">
        <v>45516</v>
      </c>
      <c r="Q152" s="2">
        <v>178326</v>
      </c>
      <c r="R152" t="s">
        <v>2068</v>
      </c>
      <c r="S152" t="s">
        <v>50</v>
      </c>
      <c r="T152" t="s">
        <v>45</v>
      </c>
      <c r="U152" t="s">
        <v>2069</v>
      </c>
      <c r="V152" t="s">
        <v>140</v>
      </c>
      <c r="W152" t="s">
        <v>301</v>
      </c>
      <c r="X152" t="s">
        <v>873</v>
      </c>
      <c r="Y152" t="s">
        <v>874</v>
      </c>
      <c r="Z152" t="s">
        <v>2070</v>
      </c>
      <c r="AA152">
        <v>5</v>
      </c>
      <c r="AB152" t="s">
        <v>196</v>
      </c>
      <c r="AC152" t="s">
        <v>2071</v>
      </c>
      <c r="AD152" t="s">
        <v>1365</v>
      </c>
      <c r="AE152" t="s">
        <v>60</v>
      </c>
      <c r="AF152">
        <v>1216800</v>
      </c>
      <c r="AG152" s="3">
        <v>24336</v>
      </c>
      <c r="AK152" t="s">
        <v>2072</v>
      </c>
      <c r="AL152" s="3">
        <v>24336</v>
      </c>
      <c r="AM152">
        <v>0</v>
      </c>
      <c r="AN152" s="4">
        <f>Table103[[#This Row],[Premium]]-Table103[[#This Row],[Tms Prem]]</f>
        <v>0</v>
      </c>
    </row>
    <row r="153" spans="1:40" x14ac:dyDescent="0.25">
      <c r="A153">
        <v>152</v>
      </c>
      <c r="B153" t="s">
        <v>38</v>
      </c>
      <c r="C153" t="s">
        <v>2073</v>
      </c>
      <c r="D153" t="s">
        <v>40</v>
      </c>
      <c r="E153" t="s">
        <v>41</v>
      </c>
      <c r="F153" t="s">
        <v>2074</v>
      </c>
      <c r="G153" t="s">
        <v>114</v>
      </c>
      <c r="H153" t="s">
        <v>2075</v>
      </c>
      <c r="I153" t="s">
        <v>2076</v>
      </c>
      <c r="J153" t="s">
        <v>2076</v>
      </c>
      <c r="K153" t="s">
        <v>2077</v>
      </c>
      <c r="L153" t="s">
        <v>2078</v>
      </c>
      <c r="M153">
        <v>690000</v>
      </c>
      <c r="N153">
        <v>1150000</v>
      </c>
      <c r="O153" t="s">
        <v>1593</v>
      </c>
      <c r="P153" s="1">
        <v>45534</v>
      </c>
      <c r="Q153" s="2" t="s">
        <v>2079</v>
      </c>
      <c r="R153" t="s">
        <v>2080</v>
      </c>
      <c r="S153" t="s">
        <v>493</v>
      </c>
      <c r="T153" t="s">
        <v>2081</v>
      </c>
      <c r="U153" t="s">
        <v>2082</v>
      </c>
      <c r="V153" t="s">
        <v>717</v>
      </c>
      <c r="W153" t="s">
        <v>1598</v>
      </c>
      <c r="X153" t="s">
        <v>1599</v>
      </c>
      <c r="Y153" t="s">
        <v>772</v>
      </c>
      <c r="Z153" t="s">
        <v>2083</v>
      </c>
      <c r="AA153">
        <v>5</v>
      </c>
      <c r="AB153" t="s">
        <v>196</v>
      </c>
      <c r="AC153" t="s">
        <v>2084</v>
      </c>
      <c r="AD153" t="s">
        <v>1598</v>
      </c>
      <c r="AE153" t="s">
        <v>60</v>
      </c>
      <c r="AF153">
        <v>862500</v>
      </c>
      <c r="AG153" s="3">
        <v>17250</v>
      </c>
      <c r="AK153" t="s">
        <v>2085</v>
      </c>
      <c r="AL153" s="3">
        <v>17250</v>
      </c>
      <c r="AM153">
        <v>0</v>
      </c>
      <c r="AN153" s="4">
        <f>Table103[[#This Row],[Premium]]-Table103[[#This Row],[Tms Prem]]</f>
        <v>0</v>
      </c>
    </row>
    <row r="154" spans="1:40" x14ac:dyDescent="0.25">
      <c r="A154">
        <v>153</v>
      </c>
      <c r="B154" t="s">
        <v>38</v>
      </c>
      <c r="C154" t="s">
        <v>2086</v>
      </c>
      <c r="D154" t="s">
        <v>40</v>
      </c>
      <c r="E154" t="s">
        <v>41</v>
      </c>
      <c r="F154" t="s">
        <v>2087</v>
      </c>
      <c r="G154" t="s">
        <v>474</v>
      </c>
      <c r="H154" t="s">
        <v>2088</v>
      </c>
      <c r="I154" t="s">
        <v>45</v>
      </c>
      <c r="J154" t="s">
        <v>2089</v>
      </c>
      <c r="K154" t="s">
        <v>45</v>
      </c>
      <c r="L154" t="s">
        <v>2090</v>
      </c>
      <c r="M154">
        <v>3425500</v>
      </c>
      <c r="N154">
        <v>5270000</v>
      </c>
      <c r="O154" t="s">
        <v>2091</v>
      </c>
      <c r="P154" s="1">
        <v>45533</v>
      </c>
      <c r="Q154" s="2">
        <v>307897</v>
      </c>
      <c r="R154" t="s">
        <v>2092</v>
      </c>
      <c r="S154" t="s">
        <v>50</v>
      </c>
      <c r="T154" t="s">
        <v>45</v>
      </c>
      <c r="U154" t="s">
        <v>2093</v>
      </c>
      <c r="V154" t="s">
        <v>140</v>
      </c>
      <c r="W154" t="s">
        <v>1216</v>
      </c>
      <c r="X154" t="s">
        <v>873</v>
      </c>
      <c r="Y154" t="s">
        <v>874</v>
      </c>
      <c r="Z154" t="s">
        <v>2094</v>
      </c>
      <c r="AA154">
        <v>5</v>
      </c>
      <c r="AB154" t="s">
        <v>45</v>
      </c>
      <c r="AC154" t="s">
        <v>45</v>
      </c>
      <c r="AD154" t="s">
        <v>45</v>
      </c>
      <c r="AE154" t="s">
        <v>97</v>
      </c>
      <c r="AF154">
        <v>4216000</v>
      </c>
      <c r="AG154" s="3">
        <v>73780</v>
      </c>
      <c r="AK154" t="s">
        <v>2095</v>
      </c>
      <c r="AL154" s="3">
        <v>73780</v>
      </c>
      <c r="AM154">
        <v>0</v>
      </c>
      <c r="AN154" s="4">
        <f>Table103[[#This Row],[Premium]]-Table103[[#This Row],[Tms Prem]]</f>
        <v>0</v>
      </c>
    </row>
    <row r="155" spans="1:40" x14ac:dyDescent="0.25">
      <c r="A155">
        <v>154</v>
      </c>
      <c r="B155" t="s">
        <v>38</v>
      </c>
      <c r="C155" t="s">
        <v>2096</v>
      </c>
      <c r="D155" t="s">
        <v>40</v>
      </c>
      <c r="E155" t="s">
        <v>41</v>
      </c>
      <c r="F155" t="s">
        <v>2097</v>
      </c>
      <c r="G155" t="s">
        <v>964</v>
      </c>
      <c r="H155" t="s">
        <v>2098</v>
      </c>
      <c r="I155" t="s">
        <v>333</v>
      </c>
      <c r="J155" t="s">
        <v>2099</v>
      </c>
      <c r="K155" t="s">
        <v>2100</v>
      </c>
      <c r="L155" t="s">
        <v>2101</v>
      </c>
      <c r="M155">
        <v>1452000</v>
      </c>
      <c r="N155">
        <v>2420000</v>
      </c>
      <c r="O155" t="s">
        <v>2102</v>
      </c>
      <c r="P155" s="1">
        <v>45516</v>
      </c>
      <c r="Q155" s="2" t="s">
        <v>2103</v>
      </c>
      <c r="R155" t="s">
        <v>2104</v>
      </c>
      <c r="S155" t="s">
        <v>50</v>
      </c>
      <c r="T155" t="s">
        <v>45</v>
      </c>
      <c r="U155" t="s">
        <v>2105</v>
      </c>
      <c r="V155" t="s">
        <v>140</v>
      </c>
      <c r="W155" t="s">
        <v>2106</v>
      </c>
      <c r="X155" t="s">
        <v>406</v>
      </c>
      <c r="Y155" t="s">
        <v>815</v>
      </c>
      <c r="Z155" t="s">
        <v>2107</v>
      </c>
      <c r="AA155">
        <v>5</v>
      </c>
      <c r="AB155" t="s">
        <v>196</v>
      </c>
      <c r="AC155" t="s">
        <v>2108</v>
      </c>
      <c r="AD155" t="s">
        <v>285</v>
      </c>
      <c r="AE155" t="s">
        <v>60</v>
      </c>
      <c r="AF155">
        <v>1936000</v>
      </c>
      <c r="AG155" s="3">
        <v>38720</v>
      </c>
      <c r="AK155" t="s">
        <v>2109</v>
      </c>
      <c r="AL155" s="3">
        <v>38720</v>
      </c>
      <c r="AM155">
        <v>0</v>
      </c>
      <c r="AN155" s="4">
        <f>Table103[[#This Row],[Premium]]-Table103[[#This Row],[Tms Prem]]</f>
        <v>0</v>
      </c>
    </row>
    <row r="156" spans="1:40" x14ac:dyDescent="0.25">
      <c r="A156">
        <v>155</v>
      </c>
      <c r="B156" t="s">
        <v>38</v>
      </c>
      <c r="C156" t="s">
        <v>2110</v>
      </c>
      <c r="D156" t="s">
        <v>40</v>
      </c>
      <c r="E156" t="s">
        <v>41</v>
      </c>
      <c r="F156" t="s">
        <v>2111</v>
      </c>
      <c r="G156" t="s">
        <v>174</v>
      </c>
      <c r="H156" t="s">
        <v>2112</v>
      </c>
      <c r="I156" t="s">
        <v>2113</v>
      </c>
      <c r="J156" t="s">
        <v>2113</v>
      </c>
      <c r="K156" t="s">
        <v>2114</v>
      </c>
      <c r="L156" t="s">
        <v>2115</v>
      </c>
      <c r="M156">
        <v>1360000</v>
      </c>
      <c r="N156">
        <v>2000000</v>
      </c>
      <c r="O156" t="s">
        <v>2116</v>
      </c>
      <c r="P156" t="s">
        <v>2117</v>
      </c>
      <c r="Q156" s="2">
        <v>13030394</v>
      </c>
      <c r="R156" t="s">
        <v>2118</v>
      </c>
      <c r="S156" t="s">
        <v>88</v>
      </c>
      <c r="T156" t="s">
        <v>88</v>
      </c>
      <c r="U156" t="s">
        <v>2119</v>
      </c>
      <c r="V156" t="s">
        <v>496</v>
      </c>
      <c r="W156">
        <v>45169</v>
      </c>
      <c r="X156" t="s">
        <v>931</v>
      </c>
      <c r="Y156" t="s">
        <v>874</v>
      </c>
      <c r="Z156" t="s">
        <v>2120</v>
      </c>
      <c r="AA156">
        <v>3</v>
      </c>
      <c r="AB156" t="s">
        <v>57</v>
      </c>
      <c r="AC156" t="s">
        <v>2121</v>
      </c>
      <c r="AD156" t="s">
        <v>934</v>
      </c>
      <c r="AE156" t="s">
        <v>97</v>
      </c>
      <c r="AF156">
        <v>1800000</v>
      </c>
      <c r="AG156" s="3">
        <v>31500.000000000004</v>
      </c>
      <c r="AK156" t="s">
        <v>2122</v>
      </c>
      <c r="AL156" s="3">
        <v>31500</v>
      </c>
      <c r="AM156">
        <v>0</v>
      </c>
      <c r="AN156" s="4">
        <f>Table103[[#This Row],[Premium]]-Table103[[#This Row],[Tms Prem]]</f>
        <v>0</v>
      </c>
    </row>
    <row r="157" spans="1:40" x14ac:dyDescent="0.25">
      <c r="A157">
        <v>156</v>
      </c>
      <c r="B157" t="s">
        <v>38</v>
      </c>
      <c r="C157" t="s">
        <v>2123</v>
      </c>
      <c r="D157" t="s">
        <v>40</v>
      </c>
      <c r="E157" t="s">
        <v>41</v>
      </c>
      <c r="F157" t="s">
        <v>2124</v>
      </c>
      <c r="G157" t="s">
        <v>2125</v>
      </c>
      <c r="H157" t="s">
        <v>2126</v>
      </c>
      <c r="I157" t="s">
        <v>2127</v>
      </c>
      <c r="J157" t="s">
        <v>2128</v>
      </c>
      <c r="K157" t="s">
        <v>2129</v>
      </c>
      <c r="L157" t="s">
        <v>2130</v>
      </c>
      <c r="M157">
        <v>2996950</v>
      </c>
      <c r="N157">
        <v>5449000</v>
      </c>
      <c r="O157" t="s">
        <v>2131</v>
      </c>
      <c r="P157" s="1">
        <v>45533</v>
      </c>
      <c r="Q157" s="2" t="s">
        <v>2132</v>
      </c>
      <c r="R157" t="s">
        <v>2133</v>
      </c>
      <c r="S157" t="s">
        <v>50</v>
      </c>
      <c r="T157" t="s">
        <v>45</v>
      </c>
      <c r="U157" t="s">
        <v>578</v>
      </c>
      <c r="V157" t="s">
        <v>140</v>
      </c>
      <c r="W157" t="s">
        <v>2134</v>
      </c>
      <c r="X157" t="s">
        <v>873</v>
      </c>
      <c r="Y157" t="s">
        <v>772</v>
      </c>
      <c r="Z157" t="s">
        <v>2135</v>
      </c>
      <c r="AA157">
        <v>4</v>
      </c>
      <c r="AB157" t="s">
        <v>124</v>
      </c>
      <c r="AC157" t="s">
        <v>2136</v>
      </c>
      <c r="AD157" t="s">
        <v>877</v>
      </c>
      <c r="AE157" t="s">
        <v>97</v>
      </c>
      <c r="AF157">
        <v>4359200</v>
      </c>
      <c r="AG157" s="3">
        <v>76286</v>
      </c>
      <c r="AK157" t="s">
        <v>2137</v>
      </c>
      <c r="AL157" s="3">
        <v>76286</v>
      </c>
      <c r="AM157">
        <v>0</v>
      </c>
      <c r="AN157" s="4">
        <f>Table103[[#This Row],[Premium]]-Table103[[#This Row],[Tms Prem]]</f>
        <v>0</v>
      </c>
    </row>
    <row r="158" spans="1:40" x14ac:dyDescent="0.25">
      <c r="A158">
        <v>157</v>
      </c>
      <c r="B158" t="s">
        <v>38</v>
      </c>
      <c r="C158" t="s">
        <v>2138</v>
      </c>
      <c r="D158" t="s">
        <v>40</v>
      </c>
      <c r="E158" t="s">
        <v>41</v>
      </c>
      <c r="F158" t="s">
        <v>2139</v>
      </c>
      <c r="G158" t="s">
        <v>881</v>
      </c>
      <c r="H158" t="s">
        <v>2140</v>
      </c>
      <c r="I158" t="s">
        <v>2141</v>
      </c>
      <c r="J158" t="s">
        <v>2141</v>
      </c>
      <c r="K158" t="s">
        <v>2141</v>
      </c>
      <c r="L158" t="s">
        <v>2142</v>
      </c>
      <c r="M158">
        <v>2164050</v>
      </c>
      <c r="N158">
        <v>3091500</v>
      </c>
      <c r="O158" t="s">
        <v>2143</v>
      </c>
      <c r="P158" s="1">
        <v>45516</v>
      </c>
      <c r="Q158" s="2">
        <v>14802164</v>
      </c>
      <c r="R158" t="s">
        <v>2144</v>
      </c>
      <c r="S158" t="s">
        <v>50</v>
      </c>
      <c r="T158" t="s">
        <v>2145</v>
      </c>
      <c r="U158" t="s">
        <v>2146</v>
      </c>
      <c r="V158" t="s">
        <v>90</v>
      </c>
      <c r="W158" t="s">
        <v>2147</v>
      </c>
      <c r="X158" t="s">
        <v>423</v>
      </c>
      <c r="Y158" t="s">
        <v>424</v>
      </c>
      <c r="Z158" t="s">
        <v>2148</v>
      </c>
      <c r="AA158">
        <v>5</v>
      </c>
      <c r="AB158" t="s">
        <v>124</v>
      </c>
      <c r="AC158" t="s">
        <v>2149</v>
      </c>
      <c r="AD158" t="s">
        <v>998</v>
      </c>
      <c r="AE158" t="s">
        <v>60</v>
      </c>
      <c r="AF158">
        <v>2473200</v>
      </c>
      <c r="AG158" s="3">
        <v>49464</v>
      </c>
      <c r="AK158" t="s">
        <v>2150</v>
      </c>
      <c r="AL158" s="3">
        <v>49464</v>
      </c>
      <c r="AM158">
        <v>0</v>
      </c>
      <c r="AN158" s="4">
        <f>Table103[[#This Row],[Premium]]-Table103[[#This Row],[Tms Prem]]</f>
        <v>0</v>
      </c>
    </row>
    <row r="159" spans="1:40" x14ac:dyDescent="0.25">
      <c r="A159">
        <v>158</v>
      </c>
      <c r="B159" t="s">
        <v>38</v>
      </c>
      <c r="C159" t="s">
        <v>2151</v>
      </c>
      <c r="D159" t="s">
        <v>40</v>
      </c>
      <c r="E159" t="s">
        <v>41</v>
      </c>
      <c r="F159" t="s">
        <v>2152</v>
      </c>
      <c r="G159" t="s">
        <v>2021</v>
      </c>
      <c r="H159" t="s">
        <v>2153</v>
      </c>
      <c r="I159" t="s">
        <v>2154</v>
      </c>
      <c r="J159" t="s">
        <v>2154</v>
      </c>
      <c r="K159" t="s">
        <v>2154</v>
      </c>
      <c r="L159" t="s">
        <v>2155</v>
      </c>
      <c r="M159">
        <v>3541850</v>
      </c>
      <c r="N159">
        <v>5449000</v>
      </c>
      <c r="O159" t="s">
        <v>2156</v>
      </c>
      <c r="P159" s="1">
        <v>45516</v>
      </c>
      <c r="Q159" s="2" t="s">
        <v>2157</v>
      </c>
      <c r="R159" t="s">
        <v>2158</v>
      </c>
      <c r="S159" t="s">
        <v>50</v>
      </c>
      <c r="T159" t="s">
        <v>45</v>
      </c>
      <c r="U159" t="s">
        <v>578</v>
      </c>
      <c r="V159" t="s">
        <v>140</v>
      </c>
      <c r="W159" t="s">
        <v>1740</v>
      </c>
      <c r="X159" t="s">
        <v>873</v>
      </c>
      <c r="Y159" t="s">
        <v>874</v>
      </c>
      <c r="Z159" t="s">
        <v>2159</v>
      </c>
      <c r="AA159">
        <v>5</v>
      </c>
      <c r="AB159" t="s">
        <v>124</v>
      </c>
      <c r="AC159" t="s">
        <v>2160</v>
      </c>
      <c r="AD159" t="s">
        <v>1365</v>
      </c>
      <c r="AE159" t="s">
        <v>97</v>
      </c>
      <c r="AF159">
        <v>4359200</v>
      </c>
      <c r="AG159" s="3">
        <v>76286</v>
      </c>
      <c r="AK159" t="s">
        <v>2161</v>
      </c>
      <c r="AL159" s="3">
        <v>76286</v>
      </c>
      <c r="AM159">
        <v>0</v>
      </c>
      <c r="AN159" s="4">
        <f>Table103[[#This Row],[Premium]]-Table103[[#This Row],[Tms Prem]]</f>
        <v>0</v>
      </c>
    </row>
    <row r="160" spans="1:40" x14ac:dyDescent="0.25">
      <c r="A160">
        <v>159</v>
      </c>
      <c r="B160" t="s">
        <v>38</v>
      </c>
      <c r="C160" t="s">
        <v>2162</v>
      </c>
      <c r="D160" t="s">
        <v>40</v>
      </c>
      <c r="E160" t="s">
        <v>41</v>
      </c>
      <c r="F160" t="s">
        <v>2163</v>
      </c>
      <c r="G160" t="s">
        <v>2021</v>
      </c>
      <c r="H160" t="s">
        <v>2164</v>
      </c>
      <c r="I160" t="s">
        <v>2165</v>
      </c>
      <c r="J160" t="s">
        <v>2165</v>
      </c>
      <c r="K160" t="s">
        <v>2165</v>
      </c>
      <c r="L160" t="s">
        <v>2166</v>
      </c>
      <c r="M160">
        <v>1406825</v>
      </c>
      <c r="N160">
        <v>4019500</v>
      </c>
      <c r="O160" t="s">
        <v>2167</v>
      </c>
      <c r="P160" s="1">
        <v>45516</v>
      </c>
      <c r="Q160" s="2" t="s">
        <v>2168</v>
      </c>
      <c r="R160" t="s">
        <v>2169</v>
      </c>
      <c r="S160" t="s">
        <v>50</v>
      </c>
      <c r="T160" t="s">
        <v>45</v>
      </c>
      <c r="U160" t="s">
        <v>551</v>
      </c>
      <c r="V160" t="s">
        <v>45</v>
      </c>
      <c r="W160" t="s">
        <v>902</v>
      </c>
      <c r="X160" t="s">
        <v>406</v>
      </c>
      <c r="Y160" t="s">
        <v>815</v>
      </c>
      <c r="Z160" t="s">
        <v>2170</v>
      </c>
      <c r="AA160">
        <v>5</v>
      </c>
      <c r="AB160" t="s">
        <v>57</v>
      </c>
      <c r="AC160" t="s">
        <v>2171</v>
      </c>
      <c r="AD160" t="s">
        <v>1365</v>
      </c>
      <c r="AE160" t="s">
        <v>60</v>
      </c>
      <c r="AF160">
        <v>3215600</v>
      </c>
      <c r="AG160" s="3">
        <v>64312</v>
      </c>
      <c r="AK160" t="s">
        <v>2172</v>
      </c>
      <c r="AL160" s="3">
        <v>64312</v>
      </c>
      <c r="AM160">
        <v>0</v>
      </c>
      <c r="AN160" s="4">
        <f>Table103[[#This Row],[Premium]]-Table103[[#This Row],[Tms Prem]]</f>
        <v>0</v>
      </c>
    </row>
    <row r="161" spans="1:40" x14ac:dyDescent="0.25">
      <c r="A161">
        <v>160</v>
      </c>
      <c r="B161" t="s">
        <v>38</v>
      </c>
      <c r="C161" t="s">
        <v>2173</v>
      </c>
      <c r="D161" t="s">
        <v>40</v>
      </c>
      <c r="E161" t="s">
        <v>41</v>
      </c>
      <c r="F161" t="s">
        <v>2174</v>
      </c>
      <c r="G161" t="s">
        <v>2175</v>
      </c>
      <c r="H161" t="s">
        <v>2176</v>
      </c>
      <c r="I161" t="s">
        <v>331</v>
      </c>
      <c r="J161" t="s">
        <v>2177</v>
      </c>
      <c r="K161" t="s">
        <v>45</v>
      </c>
      <c r="L161" t="s">
        <v>2178</v>
      </c>
      <c r="M161">
        <v>1367400</v>
      </c>
      <c r="N161">
        <v>2279000</v>
      </c>
      <c r="O161" t="s">
        <v>2179</v>
      </c>
      <c r="P161" s="1">
        <v>45516</v>
      </c>
      <c r="Q161" s="2" t="s">
        <v>2180</v>
      </c>
      <c r="R161" t="s">
        <v>2181</v>
      </c>
      <c r="S161" t="s">
        <v>50</v>
      </c>
      <c r="T161" t="s">
        <v>2182</v>
      </c>
      <c r="U161" t="s">
        <v>208</v>
      </c>
      <c r="V161" t="s">
        <v>365</v>
      </c>
      <c r="W161" t="s">
        <v>2183</v>
      </c>
      <c r="X161" t="s">
        <v>2183</v>
      </c>
      <c r="Y161" t="s">
        <v>2184</v>
      </c>
      <c r="Z161" t="s">
        <v>2185</v>
      </c>
      <c r="AA161">
        <v>7</v>
      </c>
      <c r="AB161" t="s">
        <v>2186</v>
      </c>
      <c r="AC161" t="s">
        <v>2187</v>
      </c>
      <c r="AD161" t="s">
        <v>2188</v>
      </c>
      <c r="AE161" t="s">
        <v>2189</v>
      </c>
      <c r="AF161">
        <v>1481350</v>
      </c>
      <c r="AG161" s="3">
        <v>45922</v>
      </c>
      <c r="AK161" t="s">
        <v>2190</v>
      </c>
      <c r="AL161" s="3">
        <v>45922</v>
      </c>
      <c r="AM161">
        <v>0</v>
      </c>
      <c r="AN161" s="4">
        <f>Table103[[#This Row],[Premium]]-Table103[[#This Row],[Tms Prem]]</f>
        <v>0</v>
      </c>
    </row>
    <row r="162" spans="1:40" x14ac:dyDescent="0.25">
      <c r="A162">
        <v>161</v>
      </c>
      <c r="B162" t="s">
        <v>471</v>
      </c>
      <c r="C162" t="s">
        <v>2191</v>
      </c>
      <c r="D162" t="s">
        <v>40</v>
      </c>
      <c r="E162" t="s">
        <v>41</v>
      </c>
      <c r="F162" t="s">
        <v>2192</v>
      </c>
      <c r="G162" t="s">
        <v>964</v>
      </c>
      <c r="H162" t="s">
        <v>2193</v>
      </c>
      <c r="I162" t="s">
        <v>2194</v>
      </c>
      <c r="J162" t="s">
        <v>2195</v>
      </c>
      <c r="K162" t="s">
        <v>151</v>
      </c>
      <c r="L162" t="s">
        <v>2196</v>
      </c>
      <c r="M162">
        <v>793800</v>
      </c>
      <c r="N162">
        <v>1134000</v>
      </c>
      <c r="O162" t="s">
        <v>2197</v>
      </c>
      <c r="P162" s="1">
        <v>45516</v>
      </c>
      <c r="Q162" s="2">
        <v>101382</v>
      </c>
      <c r="R162" t="s">
        <v>2198</v>
      </c>
      <c r="S162" t="s">
        <v>50</v>
      </c>
      <c r="T162" t="s">
        <v>45</v>
      </c>
      <c r="U162" t="s">
        <v>2199</v>
      </c>
      <c r="V162" t="s">
        <v>140</v>
      </c>
      <c r="W162" t="s">
        <v>511</v>
      </c>
      <c r="X162" t="s">
        <v>281</v>
      </c>
      <c r="Y162" t="s">
        <v>424</v>
      </c>
      <c r="Z162" t="s">
        <v>2200</v>
      </c>
      <c r="AA162">
        <v>4</v>
      </c>
      <c r="AB162" t="s">
        <v>124</v>
      </c>
      <c r="AC162" t="s">
        <v>2201</v>
      </c>
      <c r="AD162" t="s">
        <v>2202</v>
      </c>
      <c r="AE162" t="s">
        <v>60</v>
      </c>
      <c r="AF162">
        <v>907200</v>
      </c>
      <c r="AG162" s="3">
        <v>18144</v>
      </c>
      <c r="AK162" t="s">
        <v>2203</v>
      </c>
      <c r="AL162" s="3">
        <v>18144</v>
      </c>
      <c r="AM162">
        <v>0</v>
      </c>
      <c r="AN162" s="4">
        <f>Table103[[#This Row],[Premium]]-Table103[[#This Row],[Tms Prem]]</f>
        <v>0</v>
      </c>
    </row>
    <row r="163" spans="1:40" x14ac:dyDescent="0.25">
      <c r="A163">
        <v>162</v>
      </c>
      <c r="B163" t="s">
        <v>471</v>
      </c>
      <c r="C163" t="s">
        <v>2204</v>
      </c>
      <c r="D163" t="s">
        <v>40</v>
      </c>
      <c r="E163" t="s">
        <v>41</v>
      </c>
      <c r="F163" t="s">
        <v>2205</v>
      </c>
      <c r="G163" t="s">
        <v>174</v>
      </c>
      <c r="H163" t="s">
        <v>2206</v>
      </c>
      <c r="I163" t="s">
        <v>45</v>
      </c>
      <c r="J163" t="s">
        <v>2207</v>
      </c>
      <c r="K163" t="s">
        <v>45</v>
      </c>
      <c r="L163" t="s">
        <v>2208</v>
      </c>
      <c r="M163">
        <v>700000</v>
      </c>
      <c r="N163">
        <v>1000000</v>
      </c>
      <c r="O163" t="s">
        <v>2209</v>
      </c>
      <c r="P163" s="1">
        <v>45516</v>
      </c>
      <c r="Q163" s="2" t="s">
        <v>2210</v>
      </c>
      <c r="R163" t="s">
        <v>2211</v>
      </c>
      <c r="S163" t="s">
        <v>88</v>
      </c>
      <c r="T163" t="s">
        <v>2212</v>
      </c>
      <c r="U163" t="s">
        <v>2213</v>
      </c>
      <c r="V163" t="s">
        <v>466</v>
      </c>
      <c r="W163" t="s">
        <v>1280</v>
      </c>
      <c r="X163" t="s">
        <v>423</v>
      </c>
      <c r="Y163" t="s">
        <v>424</v>
      </c>
      <c r="Z163" t="s">
        <v>2214</v>
      </c>
      <c r="AA163">
        <v>5</v>
      </c>
      <c r="AB163" t="s">
        <v>124</v>
      </c>
      <c r="AC163" t="s">
        <v>2215</v>
      </c>
      <c r="AD163" t="s">
        <v>2216</v>
      </c>
      <c r="AE163" t="s">
        <v>60</v>
      </c>
      <c r="AF163">
        <v>750000</v>
      </c>
      <c r="AG163" s="3">
        <v>15000</v>
      </c>
      <c r="AK163" t="s">
        <v>2217</v>
      </c>
      <c r="AL163" s="3">
        <v>15000</v>
      </c>
      <c r="AM163">
        <v>0</v>
      </c>
      <c r="AN163" s="4">
        <f>Table103[[#This Row],[Premium]]-Table103[[#This Row],[Tms Prem]]</f>
        <v>0</v>
      </c>
    </row>
    <row r="164" spans="1:40" x14ac:dyDescent="0.25">
      <c r="A164">
        <v>163</v>
      </c>
      <c r="B164" t="s">
        <v>38</v>
      </c>
      <c r="C164" t="s">
        <v>2218</v>
      </c>
      <c r="D164" t="s">
        <v>40</v>
      </c>
      <c r="E164" t="s">
        <v>41</v>
      </c>
      <c r="F164" t="s">
        <v>2219</v>
      </c>
      <c r="G164" t="s">
        <v>174</v>
      </c>
      <c r="H164" t="s">
        <v>2220</v>
      </c>
      <c r="I164" t="s">
        <v>2221</v>
      </c>
      <c r="J164" t="s">
        <v>2221</v>
      </c>
      <c r="K164" t="s">
        <v>2221</v>
      </c>
      <c r="L164" t="s">
        <v>2222</v>
      </c>
      <c r="M164">
        <v>1001250</v>
      </c>
      <c r="N164">
        <v>1335000</v>
      </c>
      <c r="O164" t="s">
        <v>2223</v>
      </c>
      <c r="P164" s="1">
        <v>45533</v>
      </c>
      <c r="Q164" s="2">
        <v>179266</v>
      </c>
      <c r="R164" t="s">
        <v>2224</v>
      </c>
      <c r="S164" t="s">
        <v>50</v>
      </c>
      <c r="T164" t="s">
        <v>45</v>
      </c>
      <c r="U164" t="s">
        <v>250</v>
      </c>
      <c r="V164" t="s">
        <v>140</v>
      </c>
      <c r="W164" t="s">
        <v>907</v>
      </c>
      <c r="X164" t="s">
        <v>873</v>
      </c>
      <c r="Y164" t="s">
        <v>874</v>
      </c>
      <c r="Z164" t="s">
        <v>2225</v>
      </c>
      <c r="AA164">
        <v>5</v>
      </c>
      <c r="AB164" t="s">
        <v>57</v>
      </c>
      <c r="AC164" t="s">
        <v>2226</v>
      </c>
      <c r="AD164" t="s">
        <v>877</v>
      </c>
      <c r="AE164" t="s">
        <v>60</v>
      </c>
      <c r="AF164">
        <v>1068000</v>
      </c>
      <c r="AG164" s="3">
        <v>21360</v>
      </c>
      <c r="AK164" t="s">
        <v>2227</v>
      </c>
      <c r="AL164" s="3">
        <v>21360</v>
      </c>
      <c r="AM164">
        <v>0</v>
      </c>
      <c r="AN164" s="4">
        <f>Table103[[#This Row],[Premium]]-Table103[[#This Row],[Tms Prem]]</f>
        <v>0</v>
      </c>
    </row>
    <row r="165" spans="1:40" x14ac:dyDescent="0.25">
      <c r="A165">
        <v>164</v>
      </c>
      <c r="B165" t="s">
        <v>38</v>
      </c>
      <c r="C165" t="s">
        <v>2228</v>
      </c>
      <c r="D165" t="s">
        <v>40</v>
      </c>
      <c r="E165" t="s">
        <v>41</v>
      </c>
      <c r="F165" t="s">
        <v>2229</v>
      </c>
      <c r="G165" t="s">
        <v>80</v>
      </c>
      <c r="H165" t="s">
        <v>2230</v>
      </c>
      <c r="I165" t="s">
        <v>2231</v>
      </c>
      <c r="J165" t="s">
        <v>2231</v>
      </c>
      <c r="K165" t="s">
        <v>151</v>
      </c>
      <c r="L165" t="s">
        <v>2232</v>
      </c>
      <c r="M165">
        <v>2208750</v>
      </c>
      <c r="N165">
        <v>3875000</v>
      </c>
      <c r="O165" t="s">
        <v>2233</v>
      </c>
      <c r="P165" s="1">
        <v>45533</v>
      </c>
      <c r="Q165" s="2">
        <v>12942925</v>
      </c>
      <c r="R165" t="s">
        <v>2234</v>
      </c>
      <c r="S165" t="s">
        <v>88</v>
      </c>
      <c r="T165" t="s">
        <v>2235</v>
      </c>
      <c r="U165" t="s">
        <v>2236</v>
      </c>
      <c r="V165" t="s">
        <v>365</v>
      </c>
      <c r="W165" t="s">
        <v>1177</v>
      </c>
      <c r="X165" t="s">
        <v>829</v>
      </c>
      <c r="Y165" t="s">
        <v>772</v>
      </c>
      <c r="Z165" t="s">
        <v>2237</v>
      </c>
      <c r="AA165">
        <v>3</v>
      </c>
      <c r="AB165" t="s">
        <v>124</v>
      </c>
      <c r="AC165" t="s">
        <v>2238</v>
      </c>
      <c r="AD165" t="s">
        <v>1417</v>
      </c>
      <c r="AE165" t="s">
        <v>159</v>
      </c>
      <c r="AF165">
        <v>3293750</v>
      </c>
      <c r="AG165" s="3">
        <v>49407</v>
      </c>
      <c r="AK165" t="s">
        <v>2239</v>
      </c>
      <c r="AL165" s="3">
        <v>49406</v>
      </c>
      <c r="AM165">
        <v>0</v>
      </c>
      <c r="AN165" s="4">
        <f>Table103[[#This Row],[Premium]]-Table103[[#This Row],[Tms Prem]]</f>
        <v>1</v>
      </c>
    </row>
    <row r="166" spans="1:40" x14ac:dyDescent="0.25">
      <c r="A166">
        <v>165</v>
      </c>
      <c r="B166" t="s">
        <v>38</v>
      </c>
      <c r="C166" t="s">
        <v>2240</v>
      </c>
      <c r="D166" t="s">
        <v>40</v>
      </c>
      <c r="E166" t="s">
        <v>41</v>
      </c>
      <c r="F166" t="s">
        <v>2241</v>
      </c>
      <c r="G166" t="s">
        <v>174</v>
      </c>
      <c r="H166" t="s">
        <v>2242</v>
      </c>
      <c r="I166" t="s">
        <v>2243</v>
      </c>
      <c r="J166" t="s">
        <v>2243</v>
      </c>
      <c r="K166" t="s">
        <v>2243</v>
      </c>
      <c r="L166" t="s">
        <v>2244</v>
      </c>
      <c r="M166">
        <v>2595000</v>
      </c>
      <c r="N166">
        <v>5190000</v>
      </c>
      <c r="O166" t="s">
        <v>2245</v>
      </c>
      <c r="P166" s="1">
        <v>45533</v>
      </c>
      <c r="Q166" s="2">
        <v>16929093</v>
      </c>
      <c r="R166" t="s">
        <v>2246</v>
      </c>
      <c r="S166" t="s">
        <v>88</v>
      </c>
      <c r="T166" t="s">
        <v>2247</v>
      </c>
      <c r="U166" t="s">
        <v>465</v>
      </c>
      <c r="V166" t="s">
        <v>140</v>
      </c>
      <c r="W166" t="s">
        <v>1417</v>
      </c>
      <c r="X166" t="s">
        <v>829</v>
      </c>
      <c r="Y166" t="s">
        <v>772</v>
      </c>
      <c r="Z166" t="s">
        <v>2248</v>
      </c>
      <c r="AA166">
        <v>3</v>
      </c>
      <c r="AB166" t="s">
        <v>124</v>
      </c>
      <c r="AC166" t="s">
        <v>2249</v>
      </c>
      <c r="AD166" t="s">
        <v>1417</v>
      </c>
      <c r="AE166" t="s">
        <v>97</v>
      </c>
      <c r="AF166">
        <v>4411500</v>
      </c>
      <c r="AG166" s="3">
        <v>77202</v>
      </c>
      <c r="AK166" t="s">
        <v>2250</v>
      </c>
      <c r="AL166" s="3">
        <v>77201</v>
      </c>
      <c r="AM166">
        <v>0</v>
      </c>
      <c r="AN166" s="4">
        <f>Table103[[#This Row],[Premium]]-Table103[[#This Row],[Tms Prem]]</f>
        <v>1</v>
      </c>
    </row>
    <row r="167" spans="1:40" x14ac:dyDescent="0.25">
      <c r="A167">
        <v>166</v>
      </c>
      <c r="B167" t="s">
        <v>38</v>
      </c>
      <c r="C167" t="s">
        <v>2251</v>
      </c>
      <c r="D167" t="s">
        <v>40</v>
      </c>
      <c r="E167" t="s">
        <v>41</v>
      </c>
      <c r="F167" t="s">
        <v>2252</v>
      </c>
      <c r="G167" t="s">
        <v>114</v>
      </c>
      <c r="H167" t="s">
        <v>2253</v>
      </c>
      <c r="I167" t="s">
        <v>2254</v>
      </c>
      <c r="J167" t="s">
        <v>2255</v>
      </c>
      <c r="K167" t="s">
        <v>2254</v>
      </c>
      <c r="L167" t="s">
        <v>2256</v>
      </c>
      <c r="M167">
        <v>2129600</v>
      </c>
      <c r="N167">
        <v>2662000</v>
      </c>
      <c r="O167" t="s">
        <v>2257</v>
      </c>
      <c r="P167" s="1">
        <v>45518</v>
      </c>
      <c r="Q167" s="2">
        <v>201233</v>
      </c>
      <c r="R167" t="s">
        <v>2258</v>
      </c>
      <c r="S167" t="s">
        <v>50</v>
      </c>
      <c r="T167" t="s">
        <v>45</v>
      </c>
      <c r="U167" t="s">
        <v>523</v>
      </c>
      <c r="V167" t="s">
        <v>52</v>
      </c>
      <c r="W167" t="s">
        <v>2259</v>
      </c>
      <c r="X167" t="s">
        <v>72</v>
      </c>
      <c r="Y167" t="s">
        <v>350</v>
      </c>
      <c r="Z167" t="s">
        <v>2260</v>
      </c>
      <c r="AA167">
        <v>5</v>
      </c>
      <c r="AB167" t="s">
        <v>94</v>
      </c>
      <c r="AC167" t="s">
        <v>2261</v>
      </c>
      <c r="AD167" t="s">
        <v>606</v>
      </c>
      <c r="AE167" t="s">
        <v>60</v>
      </c>
      <c r="AF167">
        <v>2262700</v>
      </c>
      <c r="AG167" s="3">
        <v>45254</v>
      </c>
      <c r="AK167" t="s">
        <v>2262</v>
      </c>
      <c r="AL167" s="3">
        <v>45254</v>
      </c>
      <c r="AM167">
        <v>0</v>
      </c>
      <c r="AN167" s="4">
        <f>Table103[[#This Row],[Premium]]-Table103[[#This Row],[Tms Prem]]</f>
        <v>0</v>
      </c>
    </row>
    <row r="168" spans="1:40" x14ac:dyDescent="0.25">
      <c r="A168">
        <v>167</v>
      </c>
      <c r="B168" t="s">
        <v>38</v>
      </c>
      <c r="C168" t="s">
        <v>2263</v>
      </c>
      <c r="D168" t="s">
        <v>40</v>
      </c>
      <c r="E168" t="s">
        <v>41</v>
      </c>
      <c r="F168" t="s">
        <v>2264</v>
      </c>
      <c r="G168" t="s">
        <v>43</v>
      </c>
      <c r="H168" t="s">
        <v>2265</v>
      </c>
      <c r="I168" t="s">
        <v>2266</v>
      </c>
      <c r="J168" t="s">
        <v>45</v>
      </c>
      <c r="K168" t="s">
        <v>2267</v>
      </c>
      <c r="L168" t="s">
        <v>2268</v>
      </c>
      <c r="M168">
        <v>927600</v>
      </c>
      <c r="N168">
        <v>1546000</v>
      </c>
      <c r="O168" t="s">
        <v>2269</v>
      </c>
      <c r="P168" s="1">
        <v>45518</v>
      </c>
      <c r="Q168" s="2">
        <v>247498</v>
      </c>
      <c r="R168" t="s">
        <v>2270</v>
      </c>
      <c r="S168" t="s">
        <v>50</v>
      </c>
      <c r="T168" t="s">
        <v>45</v>
      </c>
      <c r="U168" t="s">
        <v>221</v>
      </c>
      <c r="V168" t="s">
        <v>52</v>
      </c>
      <c r="W168" t="s">
        <v>1473</v>
      </c>
      <c r="X168" t="s">
        <v>72</v>
      </c>
      <c r="Y168" t="s">
        <v>350</v>
      </c>
      <c r="Z168" t="s">
        <v>2271</v>
      </c>
      <c r="AA168">
        <v>5</v>
      </c>
      <c r="AB168" t="s">
        <v>57</v>
      </c>
      <c r="AC168" t="s">
        <v>2272</v>
      </c>
      <c r="AD168" t="s">
        <v>606</v>
      </c>
      <c r="AE168" t="s">
        <v>60</v>
      </c>
      <c r="AF168">
        <v>1314100</v>
      </c>
      <c r="AG168" s="3">
        <v>26282</v>
      </c>
      <c r="AK168" t="s">
        <v>2273</v>
      </c>
      <c r="AL168" s="3">
        <v>26282</v>
      </c>
      <c r="AM168">
        <v>0</v>
      </c>
      <c r="AN168" s="4">
        <f>Table103[[#This Row],[Premium]]-Table103[[#This Row],[Tms Prem]]</f>
        <v>0</v>
      </c>
    </row>
    <row r="169" spans="1:40" x14ac:dyDescent="0.25">
      <c r="A169">
        <v>168</v>
      </c>
      <c r="B169" t="s">
        <v>38</v>
      </c>
      <c r="C169" t="s">
        <v>2274</v>
      </c>
      <c r="D169" t="s">
        <v>40</v>
      </c>
      <c r="E169" t="s">
        <v>41</v>
      </c>
      <c r="F169" t="s">
        <v>2275</v>
      </c>
      <c r="G169" t="s">
        <v>289</v>
      </c>
      <c r="H169" t="s">
        <v>2276</v>
      </c>
      <c r="I169" t="s">
        <v>45</v>
      </c>
      <c r="J169" t="s">
        <v>2277</v>
      </c>
      <c r="K169" t="s">
        <v>2278</v>
      </c>
      <c r="L169" t="s">
        <v>2279</v>
      </c>
      <c r="M169">
        <v>1652400</v>
      </c>
      <c r="N169">
        <v>2754000</v>
      </c>
      <c r="O169" t="s">
        <v>2280</v>
      </c>
      <c r="P169" s="1">
        <v>45533</v>
      </c>
      <c r="Q169" s="2">
        <v>200640</v>
      </c>
      <c r="R169" t="s">
        <v>2281</v>
      </c>
      <c r="S169" t="s">
        <v>50</v>
      </c>
      <c r="T169" t="s">
        <v>45</v>
      </c>
      <c r="U169" t="s">
        <v>2282</v>
      </c>
      <c r="V169" t="s">
        <v>52</v>
      </c>
      <c r="W169" t="s">
        <v>1177</v>
      </c>
      <c r="X169" t="s">
        <v>829</v>
      </c>
      <c r="Y169" t="s">
        <v>1189</v>
      </c>
      <c r="Z169" t="s">
        <v>2283</v>
      </c>
      <c r="AA169">
        <v>5</v>
      </c>
      <c r="AB169" t="s">
        <v>94</v>
      </c>
      <c r="AC169" t="s">
        <v>2284</v>
      </c>
      <c r="AD169" t="s">
        <v>1417</v>
      </c>
      <c r="AE169" t="s">
        <v>97</v>
      </c>
      <c r="AF169">
        <v>2340900</v>
      </c>
      <c r="AG169" s="3">
        <v>40966</v>
      </c>
      <c r="AK169" t="s">
        <v>2285</v>
      </c>
      <c r="AL169" s="3">
        <v>40966</v>
      </c>
      <c r="AM169">
        <v>0</v>
      </c>
      <c r="AN169" s="4">
        <f>Table103[[#This Row],[Premium]]-Table103[[#This Row],[Tms Prem]]</f>
        <v>0</v>
      </c>
    </row>
    <row r="170" spans="1:40" x14ac:dyDescent="0.25">
      <c r="A170">
        <v>169</v>
      </c>
      <c r="B170" t="s">
        <v>38</v>
      </c>
      <c r="C170" t="s">
        <v>2286</v>
      </c>
      <c r="D170" t="s">
        <v>40</v>
      </c>
      <c r="E170" t="s">
        <v>41</v>
      </c>
      <c r="F170" t="s">
        <v>2287</v>
      </c>
      <c r="G170" t="s">
        <v>289</v>
      </c>
      <c r="H170" t="s">
        <v>2288</v>
      </c>
      <c r="I170" t="s">
        <v>2289</v>
      </c>
      <c r="J170" t="s">
        <v>45</v>
      </c>
      <c r="K170" t="s">
        <v>2290</v>
      </c>
      <c r="L170" t="s">
        <v>2291</v>
      </c>
      <c r="M170">
        <v>1927800</v>
      </c>
      <c r="N170">
        <v>2754000</v>
      </c>
      <c r="O170" t="s">
        <v>2292</v>
      </c>
      <c r="P170" s="1">
        <v>45533</v>
      </c>
      <c r="Q170" s="2">
        <v>200963</v>
      </c>
      <c r="R170" t="s">
        <v>2293</v>
      </c>
      <c r="S170" t="s">
        <v>50</v>
      </c>
      <c r="T170" t="s">
        <v>45</v>
      </c>
      <c r="U170" t="s">
        <v>1230</v>
      </c>
      <c r="V170" t="s">
        <v>52</v>
      </c>
      <c r="W170" t="s">
        <v>1177</v>
      </c>
      <c r="X170" t="s">
        <v>829</v>
      </c>
      <c r="Y170" t="s">
        <v>1189</v>
      </c>
      <c r="Z170" t="s">
        <v>2294</v>
      </c>
      <c r="AA170">
        <v>5</v>
      </c>
      <c r="AB170" t="s">
        <v>124</v>
      </c>
      <c r="AC170" t="s">
        <v>2295</v>
      </c>
      <c r="AD170" t="s">
        <v>1417</v>
      </c>
      <c r="AE170" t="s">
        <v>97</v>
      </c>
      <c r="AF170">
        <v>2340900</v>
      </c>
      <c r="AG170" s="3">
        <v>40966</v>
      </c>
      <c r="AK170" t="s">
        <v>2296</v>
      </c>
      <c r="AL170" s="3">
        <v>40966</v>
      </c>
      <c r="AM170">
        <v>0</v>
      </c>
      <c r="AN170" s="4">
        <f>Table103[[#This Row],[Premium]]-Table103[[#This Row],[Tms Prem]]</f>
        <v>0</v>
      </c>
    </row>
    <row r="171" spans="1:40" x14ac:dyDescent="0.25">
      <c r="A171">
        <v>170</v>
      </c>
      <c r="B171" t="s">
        <v>38</v>
      </c>
      <c r="C171" t="s">
        <v>2297</v>
      </c>
      <c r="D171" t="s">
        <v>40</v>
      </c>
      <c r="E171" t="s">
        <v>41</v>
      </c>
      <c r="F171" t="s">
        <v>2298</v>
      </c>
      <c r="G171" t="s">
        <v>43</v>
      </c>
      <c r="H171" t="s">
        <v>2299</v>
      </c>
      <c r="I171" t="s">
        <v>45</v>
      </c>
      <c r="J171" t="s">
        <v>2300</v>
      </c>
      <c r="K171" t="s">
        <v>2301</v>
      </c>
      <c r="L171" t="s">
        <v>2302</v>
      </c>
      <c r="M171">
        <v>2976000</v>
      </c>
      <c r="N171">
        <v>4800000</v>
      </c>
      <c r="O171" t="s">
        <v>2303</v>
      </c>
      <c r="P171" s="1">
        <v>45533</v>
      </c>
      <c r="Q171" s="2">
        <v>16912149</v>
      </c>
      <c r="R171" t="s">
        <v>2304</v>
      </c>
      <c r="S171" t="s">
        <v>88</v>
      </c>
      <c r="T171" t="s">
        <v>2305</v>
      </c>
      <c r="U171" t="s">
        <v>769</v>
      </c>
      <c r="V171" t="s">
        <v>90</v>
      </c>
      <c r="W171" t="s">
        <v>1177</v>
      </c>
      <c r="X171" t="s">
        <v>829</v>
      </c>
      <c r="Y171" t="s">
        <v>772</v>
      </c>
      <c r="Z171" t="s">
        <v>2306</v>
      </c>
      <c r="AA171">
        <v>3</v>
      </c>
      <c r="AB171" t="s">
        <v>94</v>
      </c>
      <c r="AC171" t="s">
        <v>2307</v>
      </c>
      <c r="AD171" t="s">
        <v>1417</v>
      </c>
      <c r="AE171" t="s">
        <v>97</v>
      </c>
      <c r="AF171">
        <v>4080000</v>
      </c>
      <c r="AG171" s="3">
        <v>71400</v>
      </c>
      <c r="AK171" t="s">
        <v>2308</v>
      </c>
      <c r="AL171" s="3">
        <v>71400</v>
      </c>
      <c r="AM171">
        <v>0</v>
      </c>
      <c r="AN171" s="4">
        <f>Table103[[#This Row],[Premium]]-Table103[[#This Row],[Tms Prem]]</f>
        <v>0</v>
      </c>
    </row>
    <row r="172" spans="1:40" x14ac:dyDescent="0.25">
      <c r="A172">
        <v>171</v>
      </c>
      <c r="B172" t="s">
        <v>38</v>
      </c>
      <c r="C172" t="s">
        <v>2309</v>
      </c>
      <c r="D172" t="s">
        <v>40</v>
      </c>
      <c r="E172" t="s">
        <v>41</v>
      </c>
      <c r="F172" t="s">
        <v>2310</v>
      </c>
      <c r="G172" t="s">
        <v>289</v>
      </c>
      <c r="H172" t="s">
        <v>2311</v>
      </c>
      <c r="I172" t="s">
        <v>2312</v>
      </c>
      <c r="J172" t="s">
        <v>2313</v>
      </c>
      <c r="K172" t="s">
        <v>2314</v>
      </c>
      <c r="L172" t="s">
        <v>2315</v>
      </c>
      <c r="M172">
        <v>1050000</v>
      </c>
      <c r="N172">
        <v>1500000</v>
      </c>
      <c r="O172" t="s">
        <v>2316</v>
      </c>
      <c r="P172" s="1">
        <v>45533</v>
      </c>
      <c r="Q172" s="2">
        <v>638193</v>
      </c>
      <c r="R172" t="s">
        <v>2317</v>
      </c>
      <c r="S172" t="s">
        <v>88</v>
      </c>
      <c r="T172" t="s">
        <v>2318</v>
      </c>
      <c r="U172" t="s">
        <v>1230</v>
      </c>
      <c r="V172" t="s">
        <v>107</v>
      </c>
      <c r="W172" t="s">
        <v>1177</v>
      </c>
      <c r="X172" t="s">
        <v>829</v>
      </c>
      <c r="Y172" t="s">
        <v>1189</v>
      </c>
      <c r="Z172" t="s">
        <v>2319</v>
      </c>
      <c r="AA172">
        <v>5</v>
      </c>
      <c r="AB172" t="s">
        <v>124</v>
      </c>
      <c r="AC172" t="s">
        <v>2320</v>
      </c>
      <c r="AD172" t="s">
        <v>1417</v>
      </c>
      <c r="AE172" t="s">
        <v>97</v>
      </c>
      <c r="AF172">
        <v>1275000</v>
      </c>
      <c r="AG172" s="3">
        <v>22313</v>
      </c>
      <c r="AK172" t="s">
        <v>2321</v>
      </c>
      <c r="AL172" s="3">
        <v>22313</v>
      </c>
      <c r="AM172">
        <v>0</v>
      </c>
      <c r="AN172" s="4">
        <f>Table103[[#This Row],[Premium]]-Table103[[#This Row],[Tms Prem]]</f>
        <v>0</v>
      </c>
    </row>
    <row r="173" spans="1:40" x14ac:dyDescent="0.25">
      <c r="A173">
        <v>172</v>
      </c>
      <c r="B173" t="s">
        <v>38</v>
      </c>
      <c r="C173" t="s">
        <v>2322</v>
      </c>
      <c r="D173" t="s">
        <v>40</v>
      </c>
      <c r="E173" t="s">
        <v>41</v>
      </c>
      <c r="F173" t="s">
        <v>2323</v>
      </c>
      <c r="G173" t="s">
        <v>80</v>
      </c>
      <c r="H173" t="s">
        <v>2324</v>
      </c>
      <c r="I173" t="s">
        <v>2325</v>
      </c>
      <c r="J173" t="s">
        <v>2325</v>
      </c>
      <c r="K173" t="s">
        <v>2325</v>
      </c>
      <c r="L173" t="s">
        <v>2326</v>
      </c>
      <c r="M173">
        <v>1502500</v>
      </c>
      <c r="N173">
        <v>3005000</v>
      </c>
      <c r="O173" t="s">
        <v>2327</v>
      </c>
      <c r="P173" s="1">
        <v>45519</v>
      </c>
      <c r="Q173" s="2" t="s">
        <v>2328</v>
      </c>
      <c r="R173" t="s">
        <v>2329</v>
      </c>
      <c r="S173" t="s">
        <v>50</v>
      </c>
      <c r="T173" t="s">
        <v>45</v>
      </c>
      <c r="U173" t="s">
        <v>901</v>
      </c>
      <c r="V173" t="s">
        <v>140</v>
      </c>
      <c r="W173" t="s">
        <v>2330</v>
      </c>
      <c r="X173" t="s">
        <v>281</v>
      </c>
      <c r="Y173" t="s">
        <v>73</v>
      </c>
      <c r="Z173" t="s">
        <v>2331</v>
      </c>
      <c r="AA173">
        <v>5</v>
      </c>
      <c r="AB173" t="s">
        <v>57</v>
      </c>
      <c r="AC173" t="s">
        <v>2332</v>
      </c>
      <c r="AD173" t="s">
        <v>1789</v>
      </c>
      <c r="AE173" t="s">
        <v>60</v>
      </c>
      <c r="AF173">
        <v>2404000</v>
      </c>
      <c r="AG173" s="3">
        <v>48080</v>
      </c>
      <c r="AK173" t="s">
        <v>2333</v>
      </c>
      <c r="AL173" s="3">
        <v>48080</v>
      </c>
      <c r="AM173">
        <v>0</v>
      </c>
      <c r="AN173" s="4">
        <f>Table103[[#This Row],[Premium]]-Table103[[#This Row],[Tms Prem]]</f>
        <v>0</v>
      </c>
    </row>
    <row r="174" spans="1:40" x14ac:dyDescent="0.25">
      <c r="A174">
        <v>173</v>
      </c>
      <c r="B174" t="s">
        <v>38</v>
      </c>
      <c r="C174" t="s">
        <v>2334</v>
      </c>
      <c r="D174" t="s">
        <v>40</v>
      </c>
      <c r="E174" t="s">
        <v>41</v>
      </c>
      <c r="F174" t="s">
        <v>2335</v>
      </c>
      <c r="G174" t="s">
        <v>2336</v>
      </c>
      <c r="H174" t="s">
        <v>2337</v>
      </c>
      <c r="I174" t="s">
        <v>45</v>
      </c>
      <c r="J174" t="s">
        <v>2338</v>
      </c>
      <c r="K174" t="s">
        <v>45</v>
      </c>
      <c r="L174" t="s">
        <v>2339</v>
      </c>
      <c r="M174">
        <v>1576000</v>
      </c>
      <c r="N174">
        <v>1970000</v>
      </c>
      <c r="O174" t="s">
        <v>2340</v>
      </c>
      <c r="P174" s="1">
        <v>45519</v>
      </c>
      <c r="Q174" s="2" t="s">
        <v>2341</v>
      </c>
      <c r="R174" t="s">
        <v>2342</v>
      </c>
      <c r="S174" t="s">
        <v>50</v>
      </c>
      <c r="T174" t="s">
        <v>45</v>
      </c>
      <c r="U174" t="s">
        <v>1980</v>
      </c>
      <c r="V174" t="s">
        <v>140</v>
      </c>
      <c r="W174" t="s">
        <v>511</v>
      </c>
      <c r="X174" t="s">
        <v>406</v>
      </c>
      <c r="Y174" t="s">
        <v>1038</v>
      </c>
      <c r="Z174" t="s">
        <v>2343</v>
      </c>
      <c r="AA174">
        <v>7</v>
      </c>
      <c r="AB174" t="s">
        <v>196</v>
      </c>
      <c r="AC174" t="s">
        <v>2344</v>
      </c>
      <c r="AD174" t="s">
        <v>2345</v>
      </c>
      <c r="AE174" t="s">
        <v>60</v>
      </c>
      <c r="AF174">
        <v>1773000</v>
      </c>
      <c r="AG174" s="3">
        <v>31520</v>
      </c>
      <c r="AK174" t="s">
        <v>2346</v>
      </c>
      <c r="AL174" s="3">
        <v>35460</v>
      </c>
      <c r="AM174" t="s">
        <v>4088</v>
      </c>
      <c r="AN174" s="4">
        <f>Table103[[#This Row],[Premium]]-Table103[[#This Row],[Tms Prem]]</f>
        <v>-3940</v>
      </c>
    </row>
    <row r="175" spans="1:40" x14ac:dyDescent="0.25">
      <c r="A175">
        <v>174</v>
      </c>
      <c r="B175" t="s">
        <v>38</v>
      </c>
      <c r="C175" t="s">
        <v>2347</v>
      </c>
      <c r="D175" t="s">
        <v>40</v>
      </c>
      <c r="E175" t="s">
        <v>41</v>
      </c>
      <c r="F175" t="s">
        <v>2348</v>
      </c>
      <c r="G175" t="s">
        <v>80</v>
      </c>
      <c r="H175" t="s">
        <v>2349</v>
      </c>
      <c r="I175" t="s">
        <v>2350</v>
      </c>
      <c r="J175" t="s">
        <v>2351</v>
      </c>
      <c r="K175" t="s">
        <v>45</v>
      </c>
      <c r="L175" t="s">
        <v>2352</v>
      </c>
      <c r="M175">
        <v>1679300</v>
      </c>
      <c r="N175">
        <v>2399000</v>
      </c>
      <c r="O175" t="s">
        <v>2353</v>
      </c>
      <c r="P175" s="1">
        <v>45519</v>
      </c>
      <c r="Q175" s="2">
        <v>504765</v>
      </c>
      <c r="R175" t="s">
        <v>2354</v>
      </c>
      <c r="S175" t="s">
        <v>50</v>
      </c>
      <c r="T175" t="s">
        <v>45</v>
      </c>
      <c r="U175" t="s">
        <v>2355</v>
      </c>
      <c r="V175" t="s">
        <v>140</v>
      </c>
      <c r="W175" t="s">
        <v>2356</v>
      </c>
      <c r="X175" t="s">
        <v>406</v>
      </c>
      <c r="Y175" t="s">
        <v>815</v>
      </c>
      <c r="Z175" t="s">
        <v>2357</v>
      </c>
      <c r="AA175">
        <v>5</v>
      </c>
      <c r="AB175" t="s">
        <v>124</v>
      </c>
      <c r="AC175" t="s">
        <v>2358</v>
      </c>
      <c r="AD175" t="s">
        <v>1365</v>
      </c>
      <c r="AE175" t="s">
        <v>60</v>
      </c>
      <c r="AF175">
        <v>1919200</v>
      </c>
      <c r="AG175" s="3">
        <v>38384</v>
      </c>
      <c r="AK175" t="s">
        <v>2359</v>
      </c>
      <c r="AL175" s="3">
        <v>38384</v>
      </c>
      <c r="AM175">
        <v>0</v>
      </c>
      <c r="AN175" s="4">
        <f>Table103[[#This Row],[Premium]]-Table103[[#This Row],[Tms Prem]]</f>
        <v>0</v>
      </c>
    </row>
    <row r="176" spans="1:40" x14ac:dyDescent="0.25">
      <c r="A176">
        <v>175</v>
      </c>
      <c r="B176" t="s">
        <v>38</v>
      </c>
      <c r="C176" t="s">
        <v>2360</v>
      </c>
      <c r="D176" t="s">
        <v>40</v>
      </c>
      <c r="E176" t="s">
        <v>41</v>
      </c>
      <c r="F176" t="s">
        <v>2361</v>
      </c>
      <c r="G176" t="s">
        <v>80</v>
      </c>
      <c r="H176" t="s">
        <v>2362</v>
      </c>
      <c r="I176" t="s">
        <v>2363</v>
      </c>
      <c r="J176" t="s">
        <v>2363</v>
      </c>
      <c r="K176" t="s">
        <v>2363</v>
      </c>
      <c r="L176" t="s">
        <v>2364</v>
      </c>
      <c r="M176">
        <v>595000</v>
      </c>
      <c r="N176">
        <v>850000</v>
      </c>
      <c r="O176" t="s">
        <v>2365</v>
      </c>
      <c r="P176" s="1">
        <v>45533</v>
      </c>
      <c r="Q176" s="2">
        <v>952663</v>
      </c>
      <c r="R176" t="s">
        <v>2366</v>
      </c>
      <c r="S176" t="s">
        <v>88</v>
      </c>
      <c r="T176" t="s">
        <v>45</v>
      </c>
      <c r="U176" t="s">
        <v>1498</v>
      </c>
      <c r="V176" t="s">
        <v>107</v>
      </c>
      <c r="W176" t="s">
        <v>1177</v>
      </c>
      <c r="X176" t="s">
        <v>829</v>
      </c>
      <c r="Y176" t="s">
        <v>1189</v>
      </c>
      <c r="Z176" t="s">
        <v>2367</v>
      </c>
      <c r="AA176">
        <v>5</v>
      </c>
      <c r="AB176" t="s">
        <v>124</v>
      </c>
      <c r="AC176" t="s">
        <v>2368</v>
      </c>
      <c r="AD176" t="s">
        <v>1417</v>
      </c>
      <c r="AE176" t="s">
        <v>97</v>
      </c>
      <c r="AF176">
        <v>722500</v>
      </c>
      <c r="AG176" s="3">
        <v>12644</v>
      </c>
      <c r="AK176" t="s">
        <v>2369</v>
      </c>
      <c r="AL176" s="3">
        <v>12644</v>
      </c>
      <c r="AM176">
        <v>0</v>
      </c>
      <c r="AN176" s="4">
        <f>Table103[[#This Row],[Premium]]-Table103[[#This Row],[Tms Prem]]</f>
        <v>0</v>
      </c>
    </row>
    <row r="177" spans="1:40" x14ac:dyDescent="0.25">
      <c r="A177">
        <v>176</v>
      </c>
      <c r="B177" t="s">
        <v>38</v>
      </c>
      <c r="C177" t="s">
        <v>2370</v>
      </c>
      <c r="D177" t="s">
        <v>40</v>
      </c>
      <c r="E177" t="s">
        <v>41</v>
      </c>
      <c r="F177" t="s">
        <v>2371</v>
      </c>
      <c r="G177" t="s">
        <v>174</v>
      </c>
      <c r="H177" t="s">
        <v>2372</v>
      </c>
      <c r="I177" t="s">
        <v>2373</v>
      </c>
      <c r="J177" t="s">
        <v>2373</v>
      </c>
      <c r="K177" t="s">
        <v>2373</v>
      </c>
      <c r="L177" t="s">
        <v>2374</v>
      </c>
      <c r="M177">
        <v>2578050</v>
      </c>
      <c r="N177">
        <v>3033000</v>
      </c>
      <c r="O177" t="s">
        <v>2375</v>
      </c>
      <c r="P177" s="1">
        <v>45519</v>
      </c>
      <c r="Q177" s="2" t="s">
        <v>2376</v>
      </c>
      <c r="R177" t="s">
        <v>2377</v>
      </c>
      <c r="S177" t="s">
        <v>50</v>
      </c>
      <c r="T177" t="s">
        <v>45</v>
      </c>
      <c r="U177" t="s">
        <v>901</v>
      </c>
      <c r="V177" t="s">
        <v>140</v>
      </c>
      <c r="W177" t="s">
        <v>872</v>
      </c>
      <c r="X177" t="s">
        <v>406</v>
      </c>
      <c r="Y177" t="s">
        <v>815</v>
      </c>
      <c r="Z177" t="s">
        <v>2378</v>
      </c>
      <c r="AA177">
        <v>5</v>
      </c>
      <c r="AB177" t="s">
        <v>57</v>
      </c>
      <c r="AC177" t="s">
        <v>2379</v>
      </c>
      <c r="AD177" t="s">
        <v>2380</v>
      </c>
      <c r="AE177" t="s">
        <v>60</v>
      </c>
      <c r="AF177">
        <v>2426400</v>
      </c>
      <c r="AG177" s="3">
        <v>48528</v>
      </c>
      <c r="AK177" t="s">
        <v>2381</v>
      </c>
      <c r="AL177" s="3">
        <v>48528</v>
      </c>
      <c r="AM177">
        <v>0</v>
      </c>
      <c r="AN177" s="4">
        <f>Table103[[#This Row],[Premium]]-Table103[[#This Row],[Tms Prem]]</f>
        <v>0</v>
      </c>
    </row>
    <row r="178" spans="1:40" x14ac:dyDescent="0.25">
      <c r="A178">
        <v>177</v>
      </c>
      <c r="B178" t="s">
        <v>38</v>
      </c>
      <c r="C178" t="s">
        <v>2382</v>
      </c>
      <c r="D178" t="s">
        <v>40</v>
      </c>
      <c r="E178" t="s">
        <v>41</v>
      </c>
      <c r="F178" t="s">
        <v>2383</v>
      </c>
      <c r="G178" t="s">
        <v>174</v>
      </c>
      <c r="H178" t="s">
        <v>2384</v>
      </c>
      <c r="I178" t="s">
        <v>45</v>
      </c>
      <c r="J178" t="s">
        <v>2385</v>
      </c>
      <c r="K178" t="s">
        <v>2386</v>
      </c>
      <c r="L178" t="s">
        <v>2387</v>
      </c>
      <c r="M178">
        <v>3509350</v>
      </c>
      <c r="N178">
        <v>5399000</v>
      </c>
      <c r="O178" t="s">
        <v>2388</v>
      </c>
      <c r="P178" s="1">
        <v>45519</v>
      </c>
      <c r="Q178" s="2">
        <v>306608</v>
      </c>
      <c r="R178" t="s">
        <v>2389</v>
      </c>
      <c r="S178" t="s">
        <v>50</v>
      </c>
      <c r="T178" t="s">
        <v>45</v>
      </c>
      <c r="U178" t="s">
        <v>2093</v>
      </c>
      <c r="V178" t="s">
        <v>140</v>
      </c>
      <c r="W178" t="s">
        <v>1663</v>
      </c>
      <c r="X178" t="s">
        <v>406</v>
      </c>
      <c r="Y178" t="s">
        <v>815</v>
      </c>
      <c r="Z178" t="s">
        <v>2390</v>
      </c>
      <c r="AA178">
        <v>5</v>
      </c>
      <c r="AB178" t="s">
        <v>196</v>
      </c>
      <c r="AC178" t="s">
        <v>2391</v>
      </c>
      <c r="AD178" t="s">
        <v>804</v>
      </c>
      <c r="AE178" t="s">
        <v>97</v>
      </c>
      <c r="AF178">
        <v>4319200</v>
      </c>
      <c r="AG178" s="3">
        <v>75586</v>
      </c>
      <c r="AK178" t="s">
        <v>2392</v>
      </c>
      <c r="AL178" s="3">
        <v>75586</v>
      </c>
      <c r="AM178">
        <v>0</v>
      </c>
      <c r="AN178" s="4">
        <f>Table103[[#This Row],[Premium]]-Table103[[#This Row],[Tms Prem]]</f>
        <v>0</v>
      </c>
    </row>
    <row r="179" spans="1:40" x14ac:dyDescent="0.25">
      <c r="A179">
        <v>178</v>
      </c>
      <c r="B179" t="s">
        <v>38</v>
      </c>
      <c r="C179" t="s">
        <v>2393</v>
      </c>
      <c r="D179" t="s">
        <v>40</v>
      </c>
      <c r="E179" t="s">
        <v>41</v>
      </c>
      <c r="F179" t="s">
        <v>2394</v>
      </c>
      <c r="G179" t="s">
        <v>114</v>
      </c>
      <c r="H179" t="s">
        <v>2395</v>
      </c>
      <c r="I179" t="s">
        <v>2396</v>
      </c>
      <c r="J179" t="s">
        <v>2397</v>
      </c>
      <c r="K179" t="s">
        <v>2396</v>
      </c>
      <c r="L179" t="s">
        <v>2398</v>
      </c>
      <c r="M179">
        <v>4086750</v>
      </c>
      <c r="N179">
        <v>5449000</v>
      </c>
      <c r="O179" t="s">
        <v>2399</v>
      </c>
      <c r="P179" s="1">
        <v>45519</v>
      </c>
      <c r="Q179" s="2" t="s">
        <v>2400</v>
      </c>
      <c r="R179" t="s">
        <v>2401</v>
      </c>
      <c r="S179" t="s">
        <v>50</v>
      </c>
      <c r="T179" t="s">
        <v>45</v>
      </c>
      <c r="U179" t="s">
        <v>578</v>
      </c>
      <c r="V179" t="s">
        <v>140</v>
      </c>
      <c r="W179" t="s">
        <v>1740</v>
      </c>
      <c r="X179" t="s">
        <v>406</v>
      </c>
      <c r="Y179" t="s">
        <v>815</v>
      </c>
      <c r="Z179" t="s">
        <v>2402</v>
      </c>
      <c r="AA179">
        <v>5</v>
      </c>
      <c r="AB179" t="s">
        <v>124</v>
      </c>
      <c r="AC179" t="s">
        <v>2403</v>
      </c>
      <c r="AD179" t="s">
        <v>1789</v>
      </c>
      <c r="AE179" t="s">
        <v>97</v>
      </c>
      <c r="AF179">
        <v>4359200</v>
      </c>
      <c r="AG179" s="3">
        <v>76286</v>
      </c>
      <c r="AK179" t="s">
        <v>2404</v>
      </c>
      <c r="AL179" s="3">
        <v>76286</v>
      </c>
      <c r="AM179">
        <v>0</v>
      </c>
      <c r="AN179" s="4">
        <f>Table103[[#This Row],[Premium]]-Table103[[#This Row],[Tms Prem]]</f>
        <v>0</v>
      </c>
    </row>
    <row r="180" spans="1:40" x14ac:dyDescent="0.25">
      <c r="A180">
        <v>179</v>
      </c>
      <c r="B180" t="s">
        <v>38</v>
      </c>
      <c r="C180" t="s">
        <v>2405</v>
      </c>
      <c r="D180" t="s">
        <v>40</v>
      </c>
      <c r="E180" t="s">
        <v>41</v>
      </c>
      <c r="F180" t="s">
        <v>2406</v>
      </c>
      <c r="G180" t="s">
        <v>80</v>
      </c>
      <c r="H180" t="s">
        <v>2407</v>
      </c>
      <c r="I180" t="s">
        <v>45</v>
      </c>
      <c r="J180" t="s">
        <v>2408</v>
      </c>
      <c r="K180" t="s">
        <v>45</v>
      </c>
      <c r="L180" t="s">
        <v>2409</v>
      </c>
      <c r="M180">
        <v>6277700</v>
      </c>
      <c r="N180">
        <v>9658000</v>
      </c>
      <c r="O180" t="s">
        <v>2410</v>
      </c>
      <c r="P180" s="1">
        <v>45519</v>
      </c>
      <c r="Q180" s="2" t="s">
        <v>2411</v>
      </c>
      <c r="R180" t="s">
        <v>2412</v>
      </c>
      <c r="S180" t="s">
        <v>50</v>
      </c>
      <c r="T180" t="s">
        <v>45</v>
      </c>
      <c r="U180" t="s">
        <v>2413</v>
      </c>
      <c r="V180" t="s">
        <v>140</v>
      </c>
      <c r="W180" t="s">
        <v>2414</v>
      </c>
      <c r="X180" t="s">
        <v>281</v>
      </c>
      <c r="Y180" t="s">
        <v>73</v>
      </c>
      <c r="Z180" t="s">
        <v>2415</v>
      </c>
      <c r="AA180">
        <v>5</v>
      </c>
      <c r="AB180" t="s">
        <v>196</v>
      </c>
      <c r="AC180" t="s">
        <v>2416</v>
      </c>
      <c r="AD180" t="s">
        <v>236</v>
      </c>
      <c r="AE180" t="s">
        <v>97</v>
      </c>
      <c r="AF180">
        <v>7726400</v>
      </c>
      <c r="AG180" s="3">
        <v>135212</v>
      </c>
      <c r="AK180" t="s">
        <v>2417</v>
      </c>
      <c r="AL180" s="3">
        <v>135212</v>
      </c>
      <c r="AM180">
        <v>0</v>
      </c>
      <c r="AN180" s="4">
        <f>Table103[[#This Row],[Premium]]-Table103[[#This Row],[Tms Prem]]</f>
        <v>0</v>
      </c>
    </row>
    <row r="181" spans="1:40" x14ac:dyDescent="0.25">
      <c r="A181">
        <v>180</v>
      </c>
      <c r="B181" t="s">
        <v>38</v>
      </c>
      <c r="C181" t="s">
        <v>2418</v>
      </c>
      <c r="D181" t="s">
        <v>40</v>
      </c>
      <c r="E181" t="s">
        <v>41</v>
      </c>
      <c r="F181" t="s">
        <v>2419</v>
      </c>
      <c r="G181" t="s">
        <v>43</v>
      </c>
      <c r="H181" t="s">
        <v>2420</v>
      </c>
      <c r="I181" t="s">
        <v>2421</v>
      </c>
      <c r="J181" t="s">
        <v>45</v>
      </c>
      <c r="K181" t="s">
        <v>151</v>
      </c>
      <c r="L181" t="s">
        <v>2422</v>
      </c>
      <c r="M181">
        <v>1610000</v>
      </c>
      <c r="N181">
        <v>2300000</v>
      </c>
      <c r="O181" t="s">
        <v>2423</v>
      </c>
      <c r="P181" s="1">
        <v>45519</v>
      </c>
      <c r="Q181" s="2">
        <v>105410</v>
      </c>
      <c r="R181" t="s">
        <v>2424</v>
      </c>
      <c r="S181" t="s">
        <v>88</v>
      </c>
      <c r="T181" t="s">
        <v>2425</v>
      </c>
      <c r="U181" t="s">
        <v>139</v>
      </c>
      <c r="V181" t="s">
        <v>662</v>
      </c>
      <c r="W181" t="s">
        <v>2426</v>
      </c>
      <c r="X181" t="s">
        <v>72</v>
      </c>
      <c r="Y181" t="s">
        <v>350</v>
      </c>
      <c r="Z181" t="s">
        <v>2427</v>
      </c>
      <c r="AA181">
        <v>5</v>
      </c>
      <c r="AB181" t="s">
        <v>124</v>
      </c>
      <c r="AC181" t="s">
        <v>2428</v>
      </c>
      <c r="AD181" t="s">
        <v>1865</v>
      </c>
      <c r="AE181" t="s">
        <v>97</v>
      </c>
      <c r="AF181">
        <v>1955000</v>
      </c>
      <c r="AG181" s="3">
        <v>34213</v>
      </c>
      <c r="AK181" t="s">
        <v>2429</v>
      </c>
      <c r="AL181" s="3">
        <v>34213</v>
      </c>
      <c r="AM181">
        <v>0</v>
      </c>
      <c r="AN181" s="4">
        <f>Table103[[#This Row],[Premium]]-Table103[[#This Row],[Tms Prem]]</f>
        <v>0</v>
      </c>
    </row>
    <row r="182" spans="1:40" x14ac:dyDescent="0.25">
      <c r="A182">
        <v>181</v>
      </c>
      <c r="B182" t="s">
        <v>38</v>
      </c>
      <c r="C182" t="s">
        <v>2430</v>
      </c>
      <c r="D182" t="s">
        <v>40</v>
      </c>
      <c r="E182" t="s">
        <v>41</v>
      </c>
      <c r="F182" t="s">
        <v>2431</v>
      </c>
      <c r="G182" t="s">
        <v>289</v>
      </c>
      <c r="H182" t="s">
        <v>2432</v>
      </c>
      <c r="I182" t="s">
        <v>2433</v>
      </c>
      <c r="J182" t="s">
        <v>2434</v>
      </c>
      <c r="K182" t="s">
        <v>2435</v>
      </c>
      <c r="L182" t="s">
        <v>2436</v>
      </c>
      <c r="M182">
        <v>2106000</v>
      </c>
      <c r="N182">
        <v>3900000</v>
      </c>
      <c r="O182" t="s">
        <v>2437</v>
      </c>
      <c r="P182" s="1">
        <v>45519</v>
      </c>
      <c r="Q182" s="2">
        <v>12932203</v>
      </c>
      <c r="R182" t="s">
        <v>2438</v>
      </c>
      <c r="S182" t="s">
        <v>88</v>
      </c>
      <c r="T182" t="s">
        <v>2439</v>
      </c>
      <c r="U182" t="s">
        <v>2236</v>
      </c>
      <c r="V182" t="s">
        <v>365</v>
      </c>
      <c r="W182" t="s">
        <v>1865</v>
      </c>
      <c r="X182" t="s">
        <v>72</v>
      </c>
      <c r="Y182" t="s">
        <v>424</v>
      </c>
      <c r="Z182" t="s">
        <v>2440</v>
      </c>
      <c r="AA182">
        <v>3</v>
      </c>
      <c r="AB182" t="s">
        <v>124</v>
      </c>
      <c r="AC182" t="s">
        <v>2441</v>
      </c>
      <c r="AD182" t="s">
        <v>1865</v>
      </c>
      <c r="AE182" t="s">
        <v>97</v>
      </c>
      <c r="AF182">
        <v>3315000</v>
      </c>
      <c r="AG182" s="3">
        <v>58013</v>
      </c>
      <c r="AK182" t="s">
        <v>2442</v>
      </c>
      <c r="AL182" s="3">
        <v>58013</v>
      </c>
      <c r="AM182">
        <v>0</v>
      </c>
      <c r="AN182" s="4">
        <f>Table103[[#This Row],[Premium]]-Table103[[#This Row],[Tms Prem]]</f>
        <v>0</v>
      </c>
    </row>
    <row r="183" spans="1:40" x14ac:dyDescent="0.25">
      <c r="A183">
        <v>182</v>
      </c>
      <c r="B183" t="s">
        <v>38</v>
      </c>
      <c r="C183" t="s">
        <v>2443</v>
      </c>
      <c r="D183" t="s">
        <v>40</v>
      </c>
      <c r="E183" t="s">
        <v>41</v>
      </c>
      <c r="F183" t="s">
        <v>2444</v>
      </c>
      <c r="G183" t="s">
        <v>43</v>
      </c>
      <c r="H183" t="s">
        <v>2445</v>
      </c>
      <c r="I183" t="s">
        <v>2446</v>
      </c>
      <c r="J183" t="s">
        <v>45</v>
      </c>
      <c r="K183" t="s">
        <v>2447</v>
      </c>
      <c r="L183" t="s">
        <v>2448</v>
      </c>
      <c r="M183">
        <v>1496000</v>
      </c>
      <c r="N183">
        <v>3400000</v>
      </c>
      <c r="O183" t="s">
        <v>2449</v>
      </c>
      <c r="P183" s="1">
        <v>45519</v>
      </c>
      <c r="Q183" s="2">
        <v>12914388</v>
      </c>
      <c r="R183" t="s">
        <v>2450</v>
      </c>
      <c r="S183" t="s">
        <v>88</v>
      </c>
      <c r="T183" t="s">
        <v>2451</v>
      </c>
      <c r="U183" t="s">
        <v>465</v>
      </c>
      <c r="V183" t="s">
        <v>107</v>
      </c>
      <c r="W183" t="s">
        <v>1865</v>
      </c>
      <c r="X183" t="s">
        <v>72</v>
      </c>
      <c r="Y183" t="s">
        <v>424</v>
      </c>
      <c r="Z183" t="s">
        <v>2452</v>
      </c>
      <c r="AA183">
        <v>3</v>
      </c>
      <c r="AB183" t="s">
        <v>124</v>
      </c>
      <c r="AC183" t="s">
        <v>2453</v>
      </c>
      <c r="AD183" t="s">
        <v>1865</v>
      </c>
      <c r="AE183" t="s">
        <v>97</v>
      </c>
      <c r="AF183">
        <v>2890000</v>
      </c>
      <c r="AG183" s="3">
        <v>50575.000000000007</v>
      </c>
      <c r="AK183" t="s">
        <v>2454</v>
      </c>
      <c r="AL183" s="3">
        <v>50575</v>
      </c>
      <c r="AM183">
        <v>0</v>
      </c>
      <c r="AN183" s="4">
        <f>Table103[[#This Row],[Premium]]-Table103[[#This Row],[Tms Prem]]</f>
        <v>0</v>
      </c>
    </row>
    <row r="184" spans="1:40" x14ac:dyDescent="0.25">
      <c r="A184">
        <v>183</v>
      </c>
      <c r="B184" t="s">
        <v>38</v>
      </c>
      <c r="C184" t="s">
        <v>2455</v>
      </c>
      <c r="D184" t="s">
        <v>40</v>
      </c>
      <c r="E184" t="s">
        <v>41</v>
      </c>
      <c r="F184" t="s">
        <v>2456</v>
      </c>
      <c r="G184" t="s">
        <v>80</v>
      </c>
      <c r="H184" t="s">
        <v>2457</v>
      </c>
      <c r="I184" t="s">
        <v>2458</v>
      </c>
      <c r="J184" t="s">
        <v>2458</v>
      </c>
      <c r="K184" t="s">
        <v>331</v>
      </c>
      <c r="L184" t="s">
        <v>2459</v>
      </c>
      <c r="M184">
        <v>4624400</v>
      </c>
      <c r="N184">
        <v>8408000</v>
      </c>
      <c r="O184" t="s">
        <v>2460</v>
      </c>
      <c r="P184" s="1">
        <v>45533</v>
      </c>
      <c r="Q184" s="2">
        <v>7743368</v>
      </c>
      <c r="R184" t="s">
        <v>2461</v>
      </c>
      <c r="S184" t="s">
        <v>50</v>
      </c>
      <c r="T184" t="s">
        <v>45</v>
      </c>
      <c r="U184" t="s">
        <v>45</v>
      </c>
      <c r="V184" t="s">
        <v>140</v>
      </c>
      <c r="W184" t="s">
        <v>2462</v>
      </c>
      <c r="X184" t="s">
        <v>873</v>
      </c>
      <c r="Y184" t="s">
        <v>772</v>
      </c>
      <c r="Z184" t="s">
        <v>2463</v>
      </c>
      <c r="AA184">
        <v>4</v>
      </c>
      <c r="AB184" t="s">
        <v>57</v>
      </c>
      <c r="AC184" t="s">
        <v>2464</v>
      </c>
      <c r="AD184" t="s">
        <v>877</v>
      </c>
      <c r="AE184" t="s">
        <v>97</v>
      </c>
      <c r="AF184">
        <v>6726400</v>
      </c>
      <c r="AG184" s="3">
        <v>117712.00000000001</v>
      </c>
      <c r="AK184" t="s">
        <v>2465</v>
      </c>
      <c r="AL184" s="3">
        <v>117712</v>
      </c>
      <c r="AM184">
        <v>0</v>
      </c>
      <c r="AN184" s="4">
        <f>Table103[[#This Row],[Premium]]-Table103[[#This Row],[Tms Prem]]</f>
        <v>0</v>
      </c>
    </row>
    <row r="185" spans="1:40" x14ac:dyDescent="0.25">
      <c r="A185">
        <v>184</v>
      </c>
      <c r="B185" t="s">
        <v>38</v>
      </c>
      <c r="C185" t="s">
        <v>2466</v>
      </c>
      <c r="D185" t="s">
        <v>40</v>
      </c>
      <c r="E185" t="s">
        <v>41</v>
      </c>
      <c r="F185" t="s">
        <v>2467</v>
      </c>
      <c r="G185" t="s">
        <v>80</v>
      </c>
      <c r="H185" t="s">
        <v>2468</v>
      </c>
      <c r="I185" t="s">
        <v>2469</v>
      </c>
      <c r="J185" t="s">
        <v>2469</v>
      </c>
      <c r="K185" t="s">
        <v>151</v>
      </c>
      <c r="L185" t="s">
        <v>2470</v>
      </c>
      <c r="M185">
        <v>2786000</v>
      </c>
      <c r="N185">
        <v>3980000</v>
      </c>
      <c r="O185" t="s">
        <v>2471</v>
      </c>
      <c r="P185" s="1">
        <v>45533</v>
      </c>
      <c r="Q185" s="2" t="s">
        <v>2472</v>
      </c>
      <c r="R185" t="s">
        <v>2473</v>
      </c>
      <c r="S185" t="s">
        <v>88</v>
      </c>
      <c r="T185" t="s">
        <v>2474</v>
      </c>
      <c r="U185" t="s">
        <v>2475</v>
      </c>
      <c r="V185" t="s">
        <v>662</v>
      </c>
      <c r="W185" t="s">
        <v>960</v>
      </c>
      <c r="X185" t="s">
        <v>873</v>
      </c>
      <c r="Y185" t="s">
        <v>874</v>
      </c>
      <c r="Z185" t="s">
        <v>2476</v>
      </c>
      <c r="AA185">
        <v>5</v>
      </c>
      <c r="AB185" t="s">
        <v>57</v>
      </c>
      <c r="AC185" t="s">
        <v>2477</v>
      </c>
      <c r="AD185" t="s">
        <v>960</v>
      </c>
      <c r="AE185" t="s">
        <v>60</v>
      </c>
      <c r="AF185">
        <v>3184000</v>
      </c>
      <c r="AG185" s="3">
        <v>63680</v>
      </c>
      <c r="AK185" t="s">
        <v>2478</v>
      </c>
      <c r="AL185" s="3">
        <v>63680</v>
      </c>
      <c r="AM185">
        <v>0</v>
      </c>
      <c r="AN185" s="4">
        <f>Table103[[#This Row],[Premium]]-Table103[[#This Row],[Tms Prem]]</f>
        <v>0</v>
      </c>
    </row>
    <row r="186" spans="1:40" x14ac:dyDescent="0.25">
      <c r="A186">
        <v>185</v>
      </c>
      <c r="B186" t="s">
        <v>38</v>
      </c>
      <c r="C186" t="s">
        <v>2479</v>
      </c>
      <c r="D186" t="s">
        <v>40</v>
      </c>
      <c r="E186" t="s">
        <v>41</v>
      </c>
      <c r="F186" t="s">
        <v>2480</v>
      </c>
      <c r="G186" t="s">
        <v>174</v>
      </c>
      <c r="H186" t="s">
        <v>2481</v>
      </c>
      <c r="I186" t="s">
        <v>2482</v>
      </c>
      <c r="J186" t="s">
        <v>2482</v>
      </c>
      <c r="K186" t="s">
        <v>2482</v>
      </c>
      <c r="L186" t="s">
        <v>2483</v>
      </c>
      <c r="M186">
        <v>2116000</v>
      </c>
      <c r="N186">
        <v>2645000</v>
      </c>
      <c r="O186" t="s">
        <v>2484</v>
      </c>
      <c r="P186" s="1">
        <v>45533</v>
      </c>
      <c r="Q186" s="2">
        <v>17546259</v>
      </c>
      <c r="R186" t="s">
        <v>2485</v>
      </c>
      <c r="S186" t="s">
        <v>50</v>
      </c>
      <c r="T186" t="s">
        <v>45</v>
      </c>
      <c r="U186" t="s">
        <v>1993</v>
      </c>
      <c r="V186" t="s">
        <v>140</v>
      </c>
      <c r="W186" t="s">
        <v>1676</v>
      </c>
      <c r="X186" t="s">
        <v>873</v>
      </c>
      <c r="Y186" t="s">
        <v>874</v>
      </c>
      <c r="Z186" t="s">
        <v>2486</v>
      </c>
      <c r="AA186">
        <v>5</v>
      </c>
      <c r="AB186" t="s">
        <v>57</v>
      </c>
      <c r="AC186" t="s">
        <v>2487</v>
      </c>
      <c r="AD186" t="s">
        <v>960</v>
      </c>
      <c r="AE186" t="s">
        <v>60</v>
      </c>
      <c r="AF186">
        <v>2116000</v>
      </c>
      <c r="AG186" s="3">
        <v>42320</v>
      </c>
      <c r="AK186" t="s">
        <v>2488</v>
      </c>
      <c r="AL186" s="3">
        <v>42320</v>
      </c>
      <c r="AM186">
        <v>0</v>
      </c>
      <c r="AN186" s="4">
        <f>Table103[[#This Row],[Premium]]-Table103[[#This Row],[Tms Prem]]</f>
        <v>0</v>
      </c>
    </row>
    <row r="187" spans="1:40" x14ac:dyDescent="0.25">
      <c r="A187">
        <v>186</v>
      </c>
      <c r="B187" t="s">
        <v>38</v>
      </c>
      <c r="C187" t="s">
        <v>2489</v>
      </c>
      <c r="D187" t="s">
        <v>40</v>
      </c>
      <c r="E187" t="s">
        <v>41</v>
      </c>
      <c r="F187" t="s">
        <v>2490</v>
      </c>
      <c r="G187" t="s">
        <v>80</v>
      </c>
      <c r="H187" t="s">
        <v>2491</v>
      </c>
      <c r="I187" t="s">
        <v>45</v>
      </c>
      <c r="J187" t="s">
        <v>2492</v>
      </c>
      <c r="K187" t="s">
        <v>2493</v>
      </c>
      <c r="L187" t="s">
        <v>2494</v>
      </c>
      <c r="M187">
        <v>1216800</v>
      </c>
      <c r="N187">
        <v>1521000</v>
      </c>
      <c r="O187" t="s">
        <v>2495</v>
      </c>
      <c r="P187" s="1">
        <v>45533</v>
      </c>
      <c r="Q187" s="2">
        <v>180102</v>
      </c>
      <c r="R187" t="s">
        <v>2496</v>
      </c>
      <c r="S187" t="s">
        <v>50</v>
      </c>
      <c r="T187" t="s">
        <v>45</v>
      </c>
      <c r="U187" t="s">
        <v>139</v>
      </c>
      <c r="V187" t="s">
        <v>140</v>
      </c>
      <c r="W187" t="s">
        <v>960</v>
      </c>
      <c r="X187" t="s">
        <v>873</v>
      </c>
      <c r="Y187" t="s">
        <v>874</v>
      </c>
      <c r="Z187" t="s">
        <v>2497</v>
      </c>
      <c r="AA187">
        <v>5</v>
      </c>
      <c r="AB187" t="s">
        <v>57</v>
      </c>
      <c r="AC187" t="s">
        <v>2498</v>
      </c>
      <c r="AD187" t="s">
        <v>877</v>
      </c>
      <c r="AE187" t="s">
        <v>60</v>
      </c>
      <c r="AF187">
        <v>1216800</v>
      </c>
      <c r="AG187" s="3">
        <v>24336</v>
      </c>
      <c r="AK187" t="s">
        <v>2499</v>
      </c>
      <c r="AL187" s="3">
        <v>24336</v>
      </c>
      <c r="AM187">
        <v>0</v>
      </c>
      <c r="AN187" s="4">
        <f>Table103[[#This Row],[Premium]]-Table103[[#This Row],[Tms Prem]]</f>
        <v>0</v>
      </c>
    </row>
    <row r="188" spans="1:40" x14ac:dyDescent="0.25">
      <c r="A188">
        <v>187</v>
      </c>
      <c r="B188" t="s">
        <v>38</v>
      </c>
      <c r="C188" t="s">
        <v>2500</v>
      </c>
      <c r="D188" t="s">
        <v>40</v>
      </c>
      <c r="E188" t="s">
        <v>41</v>
      </c>
      <c r="F188" t="s">
        <v>2501</v>
      </c>
      <c r="G188" t="s">
        <v>80</v>
      </c>
      <c r="H188" t="s">
        <v>2502</v>
      </c>
      <c r="I188" t="s">
        <v>2503</v>
      </c>
      <c r="J188" t="s">
        <v>2504</v>
      </c>
      <c r="K188" t="s">
        <v>2505</v>
      </c>
      <c r="L188" t="s">
        <v>2506</v>
      </c>
      <c r="M188">
        <v>777000</v>
      </c>
      <c r="N188">
        <v>1295000</v>
      </c>
      <c r="O188" t="s">
        <v>2507</v>
      </c>
      <c r="P188" s="1">
        <v>45533</v>
      </c>
      <c r="Q188" s="2">
        <v>111575</v>
      </c>
      <c r="R188" t="s">
        <v>2508</v>
      </c>
      <c r="S188" t="s">
        <v>50</v>
      </c>
      <c r="T188" t="s">
        <v>2509</v>
      </c>
      <c r="U188" t="s">
        <v>265</v>
      </c>
      <c r="V188" t="s">
        <v>662</v>
      </c>
      <c r="W188" t="s">
        <v>2510</v>
      </c>
      <c r="X188" t="s">
        <v>771</v>
      </c>
      <c r="Y188" t="s">
        <v>874</v>
      </c>
      <c r="Z188" t="s">
        <v>2511</v>
      </c>
      <c r="AA188">
        <v>7</v>
      </c>
      <c r="AB188" t="s">
        <v>124</v>
      </c>
      <c r="AC188" t="s">
        <v>2512</v>
      </c>
      <c r="AD188" t="s">
        <v>2513</v>
      </c>
      <c r="AE188" t="s">
        <v>428</v>
      </c>
      <c r="AF188">
        <v>906500</v>
      </c>
      <c r="AG188" s="3">
        <v>22663</v>
      </c>
      <c r="AK188" t="s">
        <v>2514</v>
      </c>
      <c r="AL188" s="3">
        <v>22663</v>
      </c>
      <c r="AM188">
        <v>0</v>
      </c>
      <c r="AN188" s="4">
        <f>Table103[[#This Row],[Premium]]-Table103[[#This Row],[Tms Prem]]</f>
        <v>0</v>
      </c>
    </row>
    <row r="189" spans="1:40" x14ac:dyDescent="0.25">
      <c r="A189">
        <v>188</v>
      </c>
      <c r="B189" t="s">
        <v>38</v>
      </c>
      <c r="C189" t="s">
        <v>2515</v>
      </c>
      <c r="D189" t="s">
        <v>40</v>
      </c>
      <c r="E189" t="s">
        <v>41</v>
      </c>
      <c r="F189" t="s">
        <v>2516</v>
      </c>
      <c r="G189" t="s">
        <v>174</v>
      </c>
      <c r="H189" t="s">
        <v>2517</v>
      </c>
      <c r="I189" t="s">
        <v>2518</v>
      </c>
      <c r="J189" t="s">
        <v>2519</v>
      </c>
      <c r="K189" t="s">
        <v>2520</v>
      </c>
      <c r="L189" t="s">
        <v>2521</v>
      </c>
      <c r="M189">
        <v>1400000</v>
      </c>
      <c r="N189">
        <v>4000000</v>
      </c>
      <c r="O189" t="s">
        <v>2522</v>
      </c>
      <c r="P189" t="s">
        <v>2523</v>
      </c>
      <c r="Q189" s="2">
        <v>13505968</v>
      </c>
      <c r="R189" t="s">
        <v>2524</v>
      </c>
      <c r="S189" t="s">
        <v>88</v>
      </c>
      <c r="T189" t="s">
        <v>88</v>
      </c>
      <c r="U189" t="s">
        <v>2525</v>
      </c>
      <c r="V189" t="s">
        <v>107</v>
      </c>
      <c r="W189">
        <v>45168</v>
      </c>
      <c r="X189" t="s">
        <v>931</v>
      </c>
      <c r="Y189" t="s">
        <v>874</v>
      </c>
      <c r="Z189" t="s">
        <v>2526</v>
      </c>
      <c r="AA189">
        <v>3</v>
      </c>
      <c r="AB189" t="s">
        <v>57</v>
      </c>
      <c r="AC189" t="s">
        <v>2527</v>
      </c>
      <c r="AD189" t="s">
        <v>2528</v>
      </c>
      <c r="AE189" t="s">
        <v>97</v>
      </c>
      <c r="AF189">
        <v>3600000</v>
      </c>
      <c r="AG189" s="3">
        <v>63000.000000000007</v>
      </c>
      <c r="AK189" t="s">
        <v>2529</v>
      </c>
      <c r="AL189" s="3">
        <v>63000</v>
      </c>
      <c r="AM189">
        <v>0</v>
      </c>
      <c r="AN189" s="4">
        <f>Table103[[#This Row],[Premium]]-Table103[[#This Row],[Tms Prem]]</f>
        <v>0</v>
      </c>
    </row>
    <row r="190" spans="1:40" x14ac:dyDescent="0.25">
      <c r="A190">
        <v>189</v>
      </c>
      <c r="B190" t="s">
        <v>38</v>
      </c>
      <c r="C190" t="s">
        <v>2530</v>
      </c>
      <c r="D190" t="s">
        <v>40</v>
      </c>
      <c r="E190" t="s">
        <v>41</v>
      </c>
      <c r="F190" t="s">
        <v>2531</v>
      </c>
      <c r="G190" t="s">
        <v>174</v>
      </c>
      <c r="H190" t="s">
        <v>2532</v>
      </c>
      <c r="I190" t="s">
        <v>2533</v>
      </c>
      <c r="J190" t="s">
        <v>2533</v>
      </c>
      <c r="K190" t="s">
        <v>2533</v>
      </c>
      <c r="L190" t="s">
        <v>2534</v>
      </c>
      <c r="M190">
        <v>1044800</v>
      </c>
      <c r="N190">
        <v>1306000</v>
      </c>
      <c r="O190" t="s">
        <v>2535</v>
      </c>
      <c r="P190" s="1">
        <v>45519</v>
      </c>
      <c r="Q190" s="2" t="s">
        <v>2536</v>
      </c>
      <c r="R190" t="s">
        <v>2537</v>
      </c>
      <c r="S190" t="s">
        <v>50</v>
      </c>
      <c r="T190" t="s">
        <v>45</v>
      </c>
      <c r="U190" t="s">
        <v>193</v>
      </c>
      <c r="V190" t="s">
        <v>52</v>
      </c>
      <c r="W190" t="s">
        <v>481</v>
      </c>
      <c r="X190" t="s">
        <v>2538</v>
      </c>
      <c r="Y190" t="s">
        <v>407</v>
      </c>
      <c r="Z190" t="s">
        <v>2539</v>
      </c>
      <c r="AA190">
        <v>5</v>
      </c>
      <c r="AB190" t="s">
        <v>57</v>
      </c>
      <c r="AC190" t="s">
        <v>2540</v>
      </c>
      <c r="AD190" t="s">
        <v>1865</v>
      </c>
      <c r="AE190" t="s">
        <v>60</v>
      </c>
      <c r="AF190">
        <v>1110100</v>
      </c>
      <c r="AG190" s="3">
        <v>22202</v>
      </c>
      <c r="AK190" t="s">
        <v>2541</v>
      </c>
      <c r="AL190" s="3">
        <v>22202</v>
      </c>
      <c r="AM190">
        <v>0</v>
      </c>
      <c r="AN190" s="4">
        <f>Table103[[#This Row],[Premium]]-Table103[[#This Row],[Tms Prem]]</f>
        <v>0</v>
      </c>
    </row>
    <row r="191" spans="1:40" x14ac:dyDescent="0.25">
      <c r="A191">
        <v>190</v>
      </c>
      <c r="B191" t="s">
        <v>38</v>
      </c>
      <c r="C191" t="s">
        <v>2542</v>
      </c>
      <c r="D191" t="s">
        <v>40</v>
      </c>
      <c r="E191" t="s">
        <v>41</v>
      </c>
      <c r="F191" t="s">
        <v>2543</v>
      </c>
      <c r="G191" t="s">
        <v>80</v>
      </c>
      <c r="H191" t="s">
        <v>2544</v>
      </c>
      <c r="I191" t="s">
        <v>2545</v>
      </c>
      <c r="J191" t="s">
        <v>2545</v>
      </c>
      <c r="K191" t="s">
        <v>2545</v>
      </c>
      <c r="L191" t="s">
        <v>2546</v>
      </c>
      <c r="M191">
        <v>805000</v>
      </c>
      <c r="N191">
        <v>1150000</v>
      </c>
      <c r="O191" t="s">
        <v>2547</v>
      </c>
      <c r="P191" t="s">
        <v>2523</v>
      </c>
      <c r="Q191" s="2" t="s">
        <v>2548</v>
      </c>
      <c r="R191" t="s">
        <v>2549</v>
      </c>
      <c r="S191" t="s">
        <v>88</v>
      </c>
      <c r="T191" t="s">
        <v>88</v>
      </c>
      <c r="U191" t="s">
        <v>2550</v>
      </c>
      <c r="V191" t="s">
        <v>140</v>
      </c>
      <c r="W191">
        <v>45168</v>
      </c>
      <c r="X191" t="s">
        <v>931</v>
      </c>
      <c r="Y191" t="s">
        <v>1024</v>
      </c>
      <c r="Z191" t="s">
        <v>2551</v>
      </c>
      <c r="AA191">
        <v>5</v>
      </c>
      <c r="AB191" t="s">
        <v>57</v>
      </c>
      <c r="AC191" t="s">
        <v>2552</v>
      </c>
      <c r="AD191" t="s">
        <v>2528</v>
      </c>
      <c r="AE191" t="s">
        <v>97</v>
      </c>
      <c r="AF191">
        <v>1035000</v>
      </c>
      <c r="AG191" s="3">
        <v>18113</v>
      </c>
      <c r="AK191" t="s">
        <v>2553</v>
      </c>
      <c r="AL191" s="3">
        <v>18113</v>
      </c>
      <c r="AM191">
        <v>0</v>
      </c>
      <c r="AN191" s="4">
        <f>Table103[[#This Row],[Premium]]-Table103[[#This Row],[Tms Prem]]</f>
        <v>0</v>
      </c>
    </row>
    <row r="192" spans="1:40" x14ac:dyDescent="0.25">
      <c r="A192">
        <v>191</v>
      </c>
      <c r="B192" t="s">
        <v>38</v>
      </c>
      <c r="C192" t="s">
        <v>2554</v>
      </c>
      <c r="D192" t="s">
        <v>40</v>
      </c>
      <c r="E192" t="s">
        <v>41</v>
      </c>
      <c r="F192" t="s">
        <v>2555</v>
      </c>
      <c r="G192" t="s">
        <v>80</v>
      </c>
      <c r="H192" t="s">
        <v>2556</v>
      </c>
      <c r="I192" t="s">
        <v>2557</v>
      </c>
      <c r="J192" t="s">
        <v>45</v>
      </c>
      <c r="K192" t="s">
        <v>2558</v>
      </c>
      <c r="L192" t="s">
        <v>2559</v>
      </c>
      <c r="M192">
        <v>1018300</v>
      </c>
      <c r="N192">
        <v>1198000</v>
      </c>
      <c r="O192" t="s">
        <v>2560</v>
      </c>
      <c r="P192" s="1">
        <v>45519</v>
      </c>
      <c r="Q192" s="2" t="s">
        <v>2561</v>
      </c>
      <c r="R192" t="s">
        <v>2562</v>
      </c>
      <c r="S192" t="s">
        <v>50</v>
      </c>
      <c r="T192" t="s">
        <v>45</v>
      </c>
      <c r="U192" t="s">
        <v>250</v>
      </c>
      <c r="V192" t="s">
        <v>140</v>
      </c>
      <c r="W192" t="s">
        <v>2563</v>
      </c>
      <c r="X192" t="s">
        <v>406</v>
      </c>
      <c r="Y192" t="s">
        <v>815</v>
      </c>
      <c r="Z192" t="s">
        <v>2564</v>
      </c>
      <c r="AA192">
        <v>5</v>
      </c>
      <c r="AB192" t="s">
        <v>57</v>
      </c>
      <c r="AC192" t="s">
        <v>2565</v>
      </c>
      <c r="AD192" t="s">
        <v>1766</v>
      </c>
      <c r="AE192" t="s">
        <v>60</v>
      </c>
      <c r="AF192">
        <v>958400</v>
      </c>
      <c r="AG192" s="3">
        <v>19168</v>
      </c>
      <c r="AK192" t="s">
        <v>2566</v>
      </c>
      <c r="AL192" s="3">
        <v>19168</v>
      </c>
      <c r="AM192">
        <v>0</v>
      </c>
      <c r="AN192" s="4">
        <f>Table103[[#This Row],[Premium]]-Table103[[#This Row],[Tms Prem]]</f>
        <v>0</v>
      </c>
    </row>
    <row r="193" spans="1:40" x14ac:dyDescent="0.25">
      <c r="A193">
        <v>192</v>
      </c>
      <c r="B193" t="s">
        <v>38</v>
      </c>
      <c r="C193" t="s">
        <v>2567</v>
      </c>
      <c r="D193" t="s">
        <v>40</v>
      </c>
      <c r="E193" t="s">
        <v>41</v>
      </c>
      <c r="F193" t="s">
        <v>2568</v>
      </c>
      <c r="G193" t="s">
        <v>80</v>
      </c>
      <c r="H193" t="s">
        <v>2569</v>
      </c>
      <c r="I193" t="s">
        <v>2570</v>
      </c>
      <c r="J193" t="s">
        <v>2570</v>
      </c>
      <c r="K193" t="s">
        <v>151</v>
      </c>
      <c r="L193" t="s">
        <v>2571</v>
      </c>
      <c r="M193">
        <v>2992000</v>
      </c>
      <c r="N193">
        <v>4400000</v>
      </c>
      <c r="O193" t="s">
        <v>2572</v>
      </c>
      <c r="P193" t="s">
        <v>2523</v>
      </c>
      <c r="Q193" s="2" t="s">
        <v>2573</v>
      </c>
      <c r="R193" t="s">
        <v>2574</v>
      </c>
      <c r="S193" t="s">
        <v>88</v>
      </c>
      <c r="T193" t="s">
        <v>88</v>
      </c>
      <c r="U193" t="s">
        <v>2575</v>
      </c>
      <c r="V193" t="s">
        <v>107</v>
      </c>
      <c r="W193">
        <v>45168</v>
      </c>
      <c r="X193" t="s">
        <v>931</v>
      </c>
      <c r="Y193" t="s">
        <v>874</v>
      </c>
      <c r="Z193" t="s">
        <v>2576</v>
      </c>
      <c r="AA193">
        <v>3</v>
      </c>
      <c r="AB193" t="s">
        <v>94</v>
      </c>
      <c r="AC193" t="s">
        <v>2577</v>
      </c>
      <c r="AD193" t="s">
        <v>2578</v>
      </c>
      <c r="AE193" t="s">
        <v>97</v>
      </c>
      <c r="AF193">
        <v>3960000</v>
      </c>
      <c r="AG193" s="3">
        <v>69300</v>
      </c>
      <c r="AK193" t="s">
        <v>2579</v>
      </c>
      <c r="AL193" s="3">
        <v>69300</v>
      </c>
      <c r="AM193">
        <v>0</v>
      </c>
      <c r="AN193" s="4">
        <f>Table103[[#This Row],[Premium]]-Table103[[#This Row],[Tms Prem]]</f>
        <v>0</v>
      </c>
    </row>
    <row r="194" spans="1:40" x14ac:dyDescent="0.25">
      <c r="A194">
        <v>193</v>
      </c>
      <c r="B194" t="s">
        <v>38</v>
      </c>
      <c r="C194" t="s">
        <v>2580</v>
      </c>
      <c r="D194" t="s">
        <v>40</v>
      </c>
      <c r="E194" t="s">
        <v>41</v>
      </c>
      <c r="F194" t="s">
        <v>2581</v>
      </c>
      <c r="G194" t="s">
        <v>80</v>
      </c>
      <c r="H194" t="s">
        <v>2582</v>
      </c>
      <c r="I194" t="s">
        <v>45</v>
      </c>
      <c r="J194" t="s">
        <v>2583</v>
      </c>
      <c r="K194" t="s">
        <v>45</v>
      </c>
      <c r="L194" t="s">
        <v>2584</v>
      </c>
      <c r="M194">
        <v>2040000</v>
      </c>
      <c r="N194">
        <v>4000000</v>
      </c>
      <c r="O194" t="s">
        <v>2585</v>
      </c>
      <c r="P194" t="s">
        <v>2586</v>
      </c>
      <c r="Q194" s="2" t="s">
        <v>2587</v>
      </c>
      <c r="R194" t="s">
        <v>2588</v>
      </c>
      <c r="S194" t="s">
        <v>88</v>
      </c>
      <c r="T194" t="s">
        <v>88</v>
      </c>
      <c r="U194" t="s">
        <v>2589</v>
      </c>
      <c r="V194" t="s">
        <v>90</v>
      </c>
      <c r="W194">
        <v>45155</v>
      </c>
      <c r="X194" t="s">
        <v>2590</v>
      </c>
      <c r="Y194" t="s">
        <v>73</v>
      </c>
      <c r="Z194" t="s">
        <v>2591</v>
      </c>
      <c r="AA194">
        <v>3</v>
      </c>
      <c r="AB194" t="s">
        <v>94</v>
      </c>
      <c r="AC194" t="s">
        <v>2592</v>
      </c>
      <c r="AD194" t="s">
        <v>2593</v>
      </c>
      <c r="AE194" t="s">
        <v>97</v>
      </c>
      <c r="AF194">
        <v>3600000</v>
      </c>
      <c r="AG194" s="3">
        <v>63000.000000000007</v>
      </c>
      <c r="AK194" t="s">
        <v>2594</v>
      </c>
      <c r="AL194" s="3">
        <v>63000</v>
      </c>
      <c r="AM194">
        <v>0</v>
      </c>
      <c r="AN194" s="4">
        <f>Table103[[#This Row],[Premium]]-Table103[[#This Row],[Tms Prem]]</f>
        <v>0</v>
      </c>
    </row>
    <row r="195" spans="1:40" x14ac:dyDescent="0.25">
      <c r="A195">
        <v>194</v>
      </c>
      <c r="B195" t="s">
        <v>38</v>
      </c>
      <c r="C195" t="s">
        <v>2595</v>
      </c>
      <c r="D195" t="s">
        <v>40</v>
      </c>
      <c r="E195" t="s">
        <v>41</v>
      </c>
      <c r="F195" t="s">
        <v>2596</v>
      </c>
      <c r="G195" t="s">
        <v>174</v>
      </c>
      <c r="H195" t="s">
        <v>2597</v>
      </c>
      <c r="I195" t="s">
        <v>45</v>
      </c>
      <c r="J195" t="s">
        <v>2598</v>
      </c>
      <c r="K195" t="s">
        <v>45</v>
      </c>
      <c r="L195" t="s">
        <v>2599</v>
      </c>
      <c r="M195">
        <v>1900000</v>
      </c>
      <c r="N195">
        <v>3800000</v>
      </c>
      <c r="O195" t="s">
        <v>2600</v>
      </c>
      <c r="P195" t="s">
        <v>2523</v>
      </c>
      <c r="Q195" s="2" t="s">
        <v>2601</v>
      </c>
      <c r="R195" t="s">
        <v>2602</v>
      </c>
      <c r="S195" t="s">
        <v>88</v>
      </c>
      <c r="T195" t="s">
        <v>88</v>
      </c>
      <c r="U195" t="s">
        <v>2603</v>
      </c>
      <c r="V195" t="s">
        <v>107</v>
      </c>
      <c r="W195">
        <v>45169</v>
      </c>
      <c r="X195" t="s">
        <v>931</v>
      </c>
      <c r="Y195" t="s">
        <v>874</v>
      </c>
      <c r="Z195" t="s">
        <v>2604</v>
      </c>
      <c r="AA195">
        <v>3</v>
      </c>
      <c r="AB195" t="s">
        <v>57</v>
      </c>
      <c r="AC195" t="s">
        <v>2605</v>
      </c>
      <c r="AD195" t="s">
        <v>934</v>
      </c>
      <c r="AE195" t="s">
        <v>97</v>
      </c>
      <c r="AF195">
        <v>3420000</v>
      </c>
      <c r="AG195" s="3">
        <v>59850.000000000007</v>
      </c>
      <c r="AK195" t="s">
        <v>2606</v>
      </c>
      <c r="AL195" s="3">
        <v>59850</v>
      </c>
      <c r="AM195">
        <v>0</v>
      </c>
      <c r="AN195" s="4">
        <f>Table103[[#This Row],[Premium]]-Table103[[#This Row],[Tms Prem]]</f>
        <v>0</v>
      </c>
    </row>
    <row r="196" spans="1:40" x14ac:dyDescent="0.25">
      <c r="A196">
        <v>195</v>
      </c>
      <c r="B196" t="s">
        <v>38</v>
      </c>
      <c r="C196" t="s">
        <v>2607</v>
      </c>
      <c r="D196" t="s">
        <v>40</v>
      </c>
      <c r="E196" t="s">
        <v>41</v>
      </c>
      <c r="F196" t="s">
        <v>2608</v>
      </c>
      <c r="G196" t="s">
        <v>43</v>
      </c>
      <c r="H196" t="s">
        <v>2609</v>
      </c>
      <c r="I196" t="s">
        <v>2610</v>
      </c>
      <c r="J196" t="s">
        <v>2611</v>
      </c>
      <c r="K196" t="s">
        <v>2612</v>
      </c>
      <c r="L196" t="s">
        <v>2613</v>
      </c>
      <c r="M196">
        <v>2223000</v>
      </c>
      <c r="N196">
        <v>3420000</v>
      </c>
      <c r="O196" t="s">
        <v>2614</v>
      </c>
      <c r="P196" s="1">
        <v>45532</v>
      </c>
      <c r="Q196" s="2">
        <v>1006248</v>
      </c>
      <c r="R196" t="s">
        <v>2615</v>
      </c>
      <c r="S196" t="s">
        <v>50</v>
      </c>
      <c r="T196" t="s">
        <v>45</v>
      </c>
      <c r="U196" t="s">
        <v>1864</v>
      </c>
      <c r="V196" t="s">
        <v>52</v>
      </c>
      <c r="W196" t="s">
        <v>2616</v>
      </c>
      <c r="X196" t="s">
        <v>829</v>
      </c>
      <c r="Y196" t="s">
        <v>772</v>
      </c>
      <c r="Z196" t="s">
        <v>2617</v>
      </c>
      <c r="AA196">
        <v>3</v>
      </c>
      <c r="AB196" t="s">
        <v>124</v>
      </c>
      <c r="AC196" t="s">
        <v>2618</v>
      </c>
      <c r="AD196" t="s">
        <v>2616</v>
      </c>
      <c r="AE196" t="s">
        <v>97</v>
      </c>
      <c r="AF196">
        <v>2907000</v>
      </c>
      <c r="AG196" s="3">
        <v>50873</v>
      </c>
      <c r="AK196" t="s">
        <v>2619</v>
      </c>
      <c r="AL196" s="3">
        <v>50873</v>
      </c>
      <c r="AM196">
        <v>0</v>
      </c>
      <c r="AN196" s="4">
        <f>Table103[[#This Row],[Premium]]-Table103[[#This Row],[Tms Prem]]</f>
        <v>0</v>
      </c>
    </row>
    <row r="197" spans="1:40" x14ac:dyDescent="0.25">
      <c r="A197">
        <v>196</v>
      </c>
      <c r="B197" t="s">
        <v>38</v>
      </c>
      <c r="C197" t="s">
        <v>2620</v>
      </c>
      <c r="D197" t="s">
        <v>40</v>
      </c>
      <c r="E197" t="s">
        <v>41</v>
      </c>
      <c r="F197" t="s">
        <v>2621</v>
      </c>
      <c r="G197" t="s">
        <v>544</v>
      </c>
      <c r="H197" t="s">
        <v>2622</v>
      </c>
      <c r="I197" t="s">
        <v>2623</v>
      </c>
      <c r="J197" t="s">
        <v>2623</v>
      </c>
      <c r="K197" t="s">
        <v>2623</v>
      </c>
      <c r="L197" t="s">
        <v>2624</v>
      </c>
      <c r="M197">
        <v>2089800</v>
      </c>
      <c r="N197">
        <v>3483000</v>
      </c>
      <c r="O197" t="s">
        <v>2625</v>
      </c>
      <c r="P197" s="1">
        <v>45532</v>
      </c>
      <c r="Q197" s="2" t="s">
        <v>2626</v>
      </c>
      <c r="R197" t="s">
        <v>2627</v>
      </c>
      <c r="S197" t="s">
        <v>50</v>
      </c>
      <c r="T197" t="s">
        <v>45</v>
      </c>
      <c r="U197" t="s">
        <v>208</v>
      </c>
      <c r="V197" t="s">
        <v>52</v>
      </c>
      <c r="W197" t="s">
        <v>2628</v>
      </c>
      <c r="X197" t="s">
        <v>829</v>
      </c>
      <c r="Y197" t="s">
        <v>874</v>
      </c>
      <c r="Z197" t="s">
        <v>2629</v>
      </c>
      <c r="AA197">
        <v>4</v>
      </c>
      <c r="AB197" t="s">
        <v>196</v>
      </c>
      <c r="AC197" t="s">
        <v>2630</v>
      </c>
      <c r="AD197" t="s">
        <v>2616</v>
      </c>
      <c r="AE197" t="s">
        <v>60</v>
      </c>
      <c r="AF197">
        <v>2960550</v>
      </c>
      <c r="AG197" s="3">
        <v>59211</v>
      </c>
      <c r="AK197" t="s">
        <v>2631</v>
      </c>
      <c r="AL197" s="3">
        <v>59211</v>
      </c>
      <c r="AM197">
        <v>0</v>
      </c>
      <c r="AN197" s="4">
        <f>Table103[[#This Row],[Premium]]-Table103[[#This Row],[Tms Prem]]</f>
        <v>0</v>
      </c>
    </row>
    <row r="198" spans="1:40" x14ac:dyDescent="0.25">
      <c r="A198">
        <v>197</v>
      </c>
      <c r="B198" t="s">
        <v>471</v>
      </c>
      <c r="C198" t="s">
        <v>2632</v>
      </c>
      <c r="D198" t="s">
        <v>40</v>
      </c>
      <c r="E198" t="s">
        <v>41</v>
      </c>
      <c r="F198" t="s">
        <v>2633</v>
      </c>
      <c r="G198" t="s">
        <v>114</v>
      </c>
      <c r="H198" t="s">
        <v>2634</v>
      </c>
      <c r="I198" t="s">
        <v>45</v>
      </c>
      <c r="J198" t="s">
        <v>2635</v>
      </c>
      <c r="K198" t="s">
        <v>45</v>
      </c>
      <c r="L198" t="s">
        <v>2636</v>
      </c>
      <c r="M198">
        <v>1495000</v>
      </c>
      <c r="N198">
        <v>2300000</v>
      </c>
      <c r="O198" t="s">
        <v>2637</v>
      </c>
      <c r="P198" s="1">
        <v>45519</v>
      </c>
      <c r="Q198" s="2" t="s">
        <v>2638</v>
      </c>
      <c r="R198" t="s">
        <v>2639</v>
      </c>
      <c r="S198" t="s">
        <v>88</v>
      </c>
      <c r="T198" t="s">
        <v>45</v>
      </c>
      <c r="U198" t="s">
        <v>2640</v>
      </c>
      <c r="V198" t="s">
        <v>140</v>
      </c>
      <c r="W198" t="s">
        <v>2426</v>
      </c>
      <c r="X198" t="s">
        <v>72</v>
      </c>
      <c r="Y198" t="s">
        <v>424</v>
      </c>
      <c r="Z198" t="s">
        <v>2641</v>
      </c>
      <c r="AA198">
        <v>3</v>
      </c>
      <c r="AB198" t="s">
        <v>124</v>
      </c>
      <c r="AC198" t="s">
        <v>2642</v>
      </c>
      <c r="AD198" t="s">
        <v>1865</v>
      </c>
      <c r="AE198" t="s">
        <v>159</v>
      </c>
      <c r="AF198">
        <v>1955000</v>
      </c>
      <c r="AG198" s="3">
        <v>29325</v>
      </c>
      <c r="AK198" t="s">
        <v>2643</v>
      </c>
      <c r="AL198" s="3">
        <v>29325</v>
      </c>
      <c r="AM198">
        <v>0</v>
      </c>
      <c r="AN198" s="4">
        <f>Table103[[#This Row],[Premium]]-Table103[[#This Row],[Tms Prem]]</f>
        <v>0</v>
      </c>
    </row>
    <row r="199" spans="1:40" x14ac:dyDescent="0.25">
      <c r="A199">
        <v>198</v>
      </c>
      <c r="B199" t="s">
        <v>38</v>
      </c>
      <c r="C199" t="s">
        <v>2644</v>
      </c>
      <c r="D199" t="s">
        <v>40</v>
      </c>
      <c r="E199" t="s">
        <v>41</v>
      </c>
      <c r="F199" t="s">
        <v>2645</v>
      </c>
      <c r="G199" t="s">
        <v>80</v>
      </c>
      <c r="H199" t="s">
        <v>2646</v>
      </c>
      <c r="I199" t="s">
        <v>2647</v>
      </c>
      <c r="J199" t="s">
        <v>2647</v>
      </c>
      <c r="K199" t="s">
        <v>151</v>
      </c>
      <c r="L199" t="s">
        <v>2648</v>
      </c>
      <c r="M199">
        <v>1484950</v>
      </c>
      <c r="N199">
        <v>1747000</v>
      </c>
      <c r="O199" t="s">
        <v>2649</v>
      </c>
      <c r="P199" s="1">
        <v>45532</v>
      </c>
      <c r="Q199" s="2" t="s">
        <v>2650</v>
      </c>
      <c r="R199" t="s">
        <v>2651</v>
      </c>
      <c r="S199" t="s">
        <v>50</v>
      </c>
      <c r="T199" t="s">
        <v>45</v>
      </c>
      <c r="U199" t="s">
        <v>139</v>
      </c>
      <c r="V199" t="s">
        <v>52</v>
      </c>
      <c r="W199" t="s">
        <v>2652</v>
      </c>
      <c r="X199" t="s">
        <v>829</v>
      </c>
      <c r="Y199" t="s">
        <v>1189</v>
      </c>
      <c r="Z199" t="s">
        <v>2653</v>
      </c>
      <c r="AA199">
        <v>5</v>
      </c>
      <c r="AB199" t="s">
        <v>57</v>
      </c>
      <c r="AC199" t="s">
        <v>2654</v>
      </c>
      <c r="AD199" t="s">
        <v>2655</v>
      </c>
      <c r="AE199" t="s">
        <v>60</v>
      </c>
      <c r="AF199">
        <v>1484950</v>
      </c>
      <c r="AG199" s="3">
        <v>29699</v>
      </c>
      <c r="AK199" t="s">
        <v>2656</v>
      </c>
      <c r="AL199" s="3">
        <v>29699</v>
      </c>
      <c r="AM199">
        <v>0</v>
      </c>
      <c r="AN199" s="4">
        <f>Table103[[#This Row],[Premium]]-Table103[[#This Row],[Tms Prem]]</f>
        <v>0</v>
      </c>
    </row>
    <row r="200" spans="1:40" x14ac:dyDescent="0.25">
      <c r="A200">
        <v>199</v>
      </c>
      <c r="B200" t="s">
        <v>38</v>
      </c>
      <c r="C200" t="s">
        <v>2657</v>
      </c>
      <c r="D200" t="s">
        <v>40</v>
      </c>
      <c r="E200" t="s">
        <v>41</v>
      </c>
      <c r="F200" t="s">
        <v>2658</v>
      </c>
      <c r="G200" t="s">
        <v>174</v>
      </c>
      <c r="H200" t="s">
        <v>2659</v>
      </c>
      <c r="I200" t="s">
        <v>2660</v>
      </c>
      <c r="J200" t="s">
        <v>2660</v>
      </c>
      <c r="K200" t="s">
        <v>2661</v>
      </c>
      <c r="L200" t="s">
        <v>2662</v>
      </c>
      <c r="M200">
        <v>1268200</v>
      </c>
      <c r="N200">
        <v>1865000</v>
      </c>
      <c r="O200" t="s">
        <v>2663</v>
      </c>
      <c r="P200" s="1">
        <v>45520</v>
      </c>
      <c r="Q200" s="2">
        <v>160987</v>
      </c>
      <c r="R200" t="s">
        <v>2664</v>
      </c>
      <c r="S200" t="s">
        <v>50</v>
      </c>
      <c r="T200" t="s">
        <v>2665</v>
      </c>
      <c r="U200" t="s">
        <v>404</v>
      </c>
      <c r="V200" t="s">
        <v>90</v>
      </c>
      <c r="W200" t="s">
        <v>2666</v>
      </c>
      <c r="X200" t="s">
        <v>423</v>
      </c>
      <c r="Y200" t="s">
        <v>350</v>
      </c>
      <c r="Z200" t="s">
        <v>2667</v>
      </c>
      <c r="AA200">
        <v>7</v>
      </c>
      <c r="AB200" t="s">
        <v>94</v>
      </c>
      <c r="AC200" t="s">
        <v>2668</v>
      </c>
      <c r="AD200" t="s">
        <v>1280</v>
      </c>
      <c r="AE200" t="s">
        <v>60</v>
      </c>
      <c r="AF200">
        <v>1398750</v>
      </c>
      <c r="AG200" s="3">
        <v>27975</v>
      </c>
      <c r="AK200" t="s">
        <v>2669</v>
      </c>
      <c r="AL200" s="3">
        <v>27975</v>
      </c>
      <c r="AM200">
        <v>0</v>
      </c>
      <c r="AN200" s="4">
        <f>Table103[[#This Row],[Premium]]-Table103[[#This Row],[Tms Prem]]</f>
        <v>0</v>
      </c>
    </row>
    <row r="201" spans="1:40" x14ac:dyDescent="0.25">
      <c r="A201">
        <v>200</v>
      </c>
      <c r="B201" t="s">
        <v>38</v>
      </c>
      <c r="C201" t="s">
        <v>2670</v>
      </c>
      <c r="D201" t="s">
        <v>40</v>
      </c>
      <c r="E201" t="s">
        <v>41</v>
      </c>
      <c r="F201" t="s">
        <v>2671</v>
      </c>
      <c r="G201" t="s">
        <v>174</v>
      </c>
      <c r="H201" t="s">
        <v>2672</v>
      </c>
      <c r="I201" t="s">
        <v>2673</v>
      </c>
      <c r="J201" t="s">
        <v>2673</v>
      </c>
      <c r="K201" t="s">
        <v>2674</v>
      </c>
      <c r="L201" t="s">
        <v>2675</v>
      </c>
      <c r="M201">
        <v>2962740</v>
      </c>
      <c r="N201">
        <v>4489000</v>
      </c>
      <c r="O201" t="s">
        <v>2676</v>
      </c>
      <c r="P201" s="1">
        <v>45532</v>
      </c>
      <c r="Q201" s="2">
        <v>1011224</v>
      </c>
      <c r="R201" t="s">
        <v>2677</v>
      </c>
      <c r="S201" t="s">
        <v>50</v>
      </c>
      <c r="T201" t="s">
        <v>45</v>
      </c>
      <c r="U201" t="s">
        <v>1535</v>
      </c>
      <c r="V201" t="s">
        <v>52</v>
      </c>
      <c r="W201" t="s">
        <v>1417</v>
      </c>
      <c r="X201" t="s">
        <v>829</v>
      </c>
      <c r="Y201" t="s">
        <v>772</v>
      </c>
      <c r="Z201" t="s">
        <v>2678</v>
      </c>
      <c r="AA201">
        <v>3</v>
      </c>
      <c r="AB201" t="s">
        <v>124</v>
      </c>
      <c r="AC201" t="s">
        <v>2679</v>
      </c>
      <c r="AD201" t="s">
        <v>2616</v>
      </c>
      <c r="AE201" t="s">
        <v>97</v>
      </c>
      <c r="AF201">
        <v>3815650</v>
      </c>
      <c r="AG201" s="3">
        <v>66774</v>
      </c>
      <c r="AK201" t="s">
        <v>2680</v>
      </c>
      <c r="AL201" s="3">
        <v>66774</v>
      </c>
      <c r="AM201">
        <v>0</v>
      </c>
      <c r="AN201" s="4">
        <f>Table103[[#This Row],[Premium]]-Table103[[#This Row],[Tms Prem]]</f>
        <v>0</v>
      </c>
    </row>
    <row r="202" spans="1:40" x14ac:dyDescent="0.25">
      <c r="A202">
        <v>201</v>
      </c>
      <c r="B202" t="s">
        <v>38</v>
      </c>
      <c r="C202" t="s">
        <v>2681</v>
      </c>
      <c r="D202" t="s">
        <v>40</v>
      </c>
      <c r="E202" t="s">
        <v>41</v>
      </c>
      <c r="F202" t="s">
        <v>2682</v>
      </c>
      <c r="G202" t="s">
        <v>80</v>
      </c>
      <c r="H202" t="s">
        <v>2683</v>
      </c>
      <c r="I202" t="s">
        <v>2684</v>
      </c>
      <c r="J202" t="s">
        <v>2684</v>
      </c>
      <c r="K202" t="s">
        <v>151</v>
      </c>
      <c r="L202" t="s">
        <v>2685</v>
      </c>
      <c r="M202">
        <v>1870000</v>
      </c>
      <c r="N202">
        <v>3400000</v>
      </c>
      <c r="O202" t="s">
        <v>2686</v>
      </c>
      <c r="P202" s="1">
        <v>45532</v>
      </c>
      <c r="Q202" s="2" t="s">
        <v>2687</v>
      </c>
      <c r="R202" t="s">
        <v>2688</v>
      </c>
      <c r="S202" t="s">
        <v>88</v>
      </c>
      <c r="T202" t="s">
        <v>2689</v>
      </c>
      <c r="U202" t="s">
        <v>1413</v>
      </c>
      <c r="V202" t="s">
        <v>107</v>
      </c>
      <c r="W202" t="s">
        <v>1417</v>
      </c>
      <c r="X202" t="s">
        <v>829</v>
      </c>
      <c r="Y202" t="s">
        <v>772</v>
      </c>
      <c r="Z202" t="s">
        <v>2690</v>
      </c>
      <c r="AA202">
        <v>3</v>
      </c>
      <c r="AB202" t="s">
        <v>124</v>
      </c>
      <c r="AC202" t="s">
        <v>2691</v>
      </c>
      <c r="AD202" t="s">
        <v>2616</v>
      </c>
      <c r="AE202" t="s">
        <v>159</v>
      </c>
      <c r="AF202">
        <v>2890000</v>
      </c>
      <c r="AG202" s="3">
        <v>43350</v>
      </c>
      <c r="AK202" t="s">
        <v>2692</v>
      </c>
      <c r="AL202" s="3">
        <v>43350</v>
      </c>
      <c r="AM202">
        <v>0</v>
      </c>
      <c r="AN202" s="4">
        <f>Table103[[#This Row],[Premium]]-Table103[[#This Row],[Tms Prem]]</f>
        <v>0</v>
      </c>
    </row>
    <row r="203" spans="1:40" x14ac:dyDescent="0.25">
      <c r="A203">
        <v>202</v>
      </c>
      <c r="B203" t="s">
        <v>38</v>
      </c>
      <c r="C203" t="s">
        <v>2693</v>
      </c>
      <c r="D203" t="s">
        <v>40</v>
      </c>
      <c r="E203" t="s">
        <v>41</v>
      </c>
      <c r="F203" t="s">
        <v>2694</v>
      </c>
      <c r="G203" t="s">
        <v>43</v>
      </c>
      <c r="H203" t="s">
        <v>2695</v>
      </c>
      <c r="I203" t="s">
        <v>45</v>
      </c>
      <c r="J203" t="s">
        <v>2696</v>
      </c>
      <c r="K203" t="s">
        <v>2697</v>
      </c>
      <c r="L203" t="s">
        <v>2698</v>
      </c>
      <c r="M203">
        <v>2561250</v>
      </c>
      <c r="N203">
        <v>3415000</v>
      </c>
      <c r="O203" t="s">
        <v>2699</v>
      </c>
      <c r="P203" s="1">
        <v>45520</v>
      </c>
      <c r="Q203" s="2">
        <v>14802259</v>
      </c>
      <c r="R203" t="s">
        <v>2700</v>
      </c>
      <c r="S203" t="s">
        <v>50</v>
      </c>
      <c r="T203" t="s">
        <v>2701</v>
      </c>
      <c r="U203" t="s">
        <v>2702</v>
      </c>
      <c r="V203" t="s">
        <v>90</v>
      </c>
      <c r="W203" t="s">
        <v>2703</v>
      </c>
      <c r="X203" t="s">
        <v>2704</v>
      </c>
      <c r="Y203" t="s">
        <v>2184</v>
      </c>
      <c r="Z203" t="s">
        <v>2705</v>
      </c>
      <c r="AA203">
        <v>5</v>
      </c>
      <c r="AB203" t="s">
        <v>57</v>
      </c>
      <c r="AC203" t="s">
        <v>2706</v>
      </c>
      <c r="AD203" t="s">
        <v>2666</v>
      </c>
      <c r="AE203" t="s">
        <v>60</v>
      </c>
      <c r="AF203">
        <v>2732000</v>
      </c>
      <c r="AG203" s="3">
        <v>54640</v>
      </c>
      <c r="AK203" t="s">
        <v>2707</v>
      </c>
      <c r="AL203" s="3">
        <v>54640</v>
      </c>
      <c r="AM203">
        <v>0</v>
      </c>
      <c r="AN203" s="4">
        <f>Table103[[#This Row],[Premium]]-Table103[[#This Row],[Tms Prem]]</f>
        <v>0</v>
      </c>
    </row>
    <row r="204" spans="1:40" x14ac:dyDescent="0.25">
      <c r="A204">
        <v>203</v>
      </c>
      <c r="B204" t="s">
        <v>38</v>
      </c>
      <c r="C204" t="s">
        <v>2708</v>
      </c>
      <c r="D204" t="s">
        <v>40</v>
      </c>
      <c r="E204" t="s">
        <v>41</v>
      </c>
      <c r="F204" t="s">
        <v>2709</v>
      </c>
      <c r="G204" t="s">
        <v>43</v>
      </c>
      <c r="H204" t="s">
        <v>2710</v>
      </c>
      <c r="I204" t="s">
        <v>45</v>
      </c>
      <c r="J204" t="s">
        <v>2711</v>
      </c>
      <c r="K204" t="s">
        <v>45</v>
      </c>
      <c r="L204" t="s">
        <v>2712</v>
      </c>
      <c r="M204">
        <v>1560000</v>
      </c>
      <c r="N204">
        <v>2400000</v>
      </c>
      <c r="O204" t="s">
        <v>2713</v>
      </c>
      <c r="P204" s="1">
        <v>45532</v>
      </c>
      <c r="Q204" s="2">
        <v>7425295</v>
      </c>
      <c r="R204" t="s">
        <v>2714</v>
      </c>
      <c r="S204" t="s">
        <v>88</v>
      </c>
      <c r="T204" t="s">
        <v>2715</v>
      </c>
      <c r="U204" t="s">
        <v>2716</v>
      </c>
      <c r="V204" t="s">
        <v>466</v>
      </c>
      <c r="W204" t="s">
        <v>1417</v>
      </c>
      <c r="X204" t="s">
        <v>829</v>
      </c>
      <c r="Y204" t="s">
        <v>772</v>
      </c>
      <c r="Z204" t="s">
        <v>2717</v>
      </c>
      <c r="AA204">
        <v>3</v>
      </c>
      <c r="AB204" t="s">
        <v>124</v>
      </c>
      <c r="AC204" t="s">
        <v>2718</v>
      </c>
      <c r="AD204" t="s">
        <v>1417</v>
      </c>
      <c r="AE204" t="s">
        <v>97</v>
      </c>
      <c r="AF204">
        <v>2040000</v>
      </c>
      <c r="AG204" s="3">
        <v>35700</v>
      </c>
      <c r="AK204" t="s">
        <v>2719</v>
      </c>
      <c r="AL204" s="3">
        <v>35700</v>
      </c>
      <c r="AM204">
        <v>0</v>
      </c>
      <c r="AN204" s="4">
        <f>Table103[[#This Row],[Premium]]-Table103[[#This Row],[Tms Prem]]</f>
        <v>0</v>
      </c>
    </row>
    <row r="205" spans="1:40" x14ac:dyDescent="0.25">
      <c r="A205">
        <v>204</v>
      </c>
      <c r="B205" t="s">
        <v>38</v>
      </c>
      <c r="C205" t="s">
        <v>2720</v>
      </c>
      <c r="D205" t="s">
        <v>40</v>
      </c>
      <c r="E205" t="s">
        <v>41</v>
      </c>
      <c r="F205" t="s">
        <v>2721</v>
      </c>
      <c r="G205" t="s">
        <v>80</v>
      </c>
      <c r="H205" t="s">
        <v>2722</v>
      </c>
      <c r="I205" t="s">
        <v>2723</v>
      </c>
      <c r="J205" t="s">
        <v>2723</v>
      </c>
      <c r="K205" t="s">
        <v>151</v>
      </c>
      <c r="L205" t="s">
        <v>2724</v>
      </c>
      <c r="M205">
        <v>2544000</v>
      </c>
      <c r="N205">
        <v>3392000</v>
      </c>
      <c r="O205" t="s">
        <v>2725</v>
      </c>
      <c r="P205" s="1">
        <v>45520</v>
      </c>
      <c r="Q205" s="2" t="s">
        <v>2726</v>
      </c>
      <c r="R205" t="s">
        <v>2727</v>
      </c>
      <c r="S205" t="s">
        <v>50</v>
      </c>
      <c r="T205" t="s">
        <v>45</v>
      </c>
      <c r="U205" t="s">
        <v>2728</v>
      </c>
      <c r="V205" t="s">
        <v>140</v>
      </c>
      <c r="W205" t="s">
        <v>2729</v>
      </c>
      <c r="X205" t="s">
        <v>406</v>
      </c>
      <c r="Y205" t="s">
        <v>2184</v>
      </c>
      <c r="Z205" t="s">
        <v>2730</v>
      </c>
      <c r="AA205">
        <v>4</v>
      </c>
      <c r="AB205" t="s">
        <v>196</v>
      </c>
      <c r="AC205" t="s">
        <v>2731</v>
      </c>
      <c r="AD205" t="s">
        <v>2732</v>
      </c>
      <c r="AE205" t="s">
        <v>60</v>
      </c>
      <c r="AF205">
        <v>2713600</v>
      </c>
      <c r="AG205" s="3">
        <v>54272</v>
      </c>
      <c r="AK205" t="s">
        <v>2733</v>
      </c>
      <c r="AL205" s="3">
        <v>54272</v>
      </c>
      <c r="AM205">
        <v>0</v>
      </c>
      <c r="AN205" s="4">
        <f>Table103[[#This Row],[Premium]]-Table103[[#This Row],[Tms Prem]]</f>
        <v>0</v>
      </c>
    </row>
    <row r="206" spans="1:40" x14ac:dyDescent="0.25">
      <c r="A206">
        <v>205</v>
      </c>
      <c r="B206" t="s">
        <v>38</v>
      </c>
      <c r="C206" t="s">
        <v>2734</v>
      </c>
      <c r="D206" t="s">
        <v>40</v>
      </c>
      <c r="E206" t="s">
        <v>41</v>
      </c>
      <c r="F206" t="s">
        <v>2735</v>
      </c>
      <c r="G206" t="s">
        <v>80</v>
      </c>
      <c r="H206" t="s">
        <v>2736</v>
      </c>
      <c r="I206" t="s">
        <v>45</v>
      </c>
      <c r="J206" t="s">
        <v>2737</v>
      </c>
      <c r="K206" t="s">
        <v>45</v>
      </c>
      <c r="L206" t="s">
        <v>2738</v>
      </c>
      <c r="M206">
        <v>1400000</v>
      </c>
      <c r="N206">
        <v>2000000</v>
      </c>
      <c r="O206" t="s">
        <v>2739</v>
      </c>
      <c r="P206" s="1">
        <v>45532</v>
      </c>
      <c r="Q206" s="2">
        <v>119980</v>
      </c>
      <c r="R206" t="s">
        <v>2740</v>
      </c>
      <c r="S206" t="s">
        <v>88</v>
      </c>
      <c r="T206" t="s">
        <v>2741</v>
      </c>
      <c r="U206" t="s">
        <v>279</v>
      </c>
      <c r="V206" t="s">
        <v>365</v>
      </c>
      <c r="W206" t="s">
        <v>1177</v>
      </c>
      <c r="X206" t="s">
        <v>829</v>
      </c>
      <c r="Y206" t="s">
        <v>772</v>
      </c>
      <c r="Z206" t="s">
        <v>2742</v>
      </c>
      <c r="AA206">
        <v>3</v>
      </c>
      <c r="AB206" t="s">
        <v>124</v>
      </c>
      <c r="AC206" t="s">
        <v>2743</v>
      </c>
      <c r="AD206" t="s">
        <v>1417</v>
      </c>
      <c r="AE206" t="s">
        <v>159</v>
      </c>
      <c r="AF206">
        <v>1700000</v>
      </c>
      <c r="AG206" s="3">
        <v>25500</v>
      </c>
      <c r="AK206" t="s">
        <v>2744</v>
      </c>
      <c r="AL206" s="3">
        <v>25500</v>
      </c>
      <c r="AM206">
        <v>0</v>
      </c>
      <c r="AN206" s="4">
        <f>Table103[[#This Row],[Premium]]-Table103[[#This Row],[Tms Prem]]</f>
        <v>0</v>
      </c>
    </row>
    <row r="207" spans="1:40" x14ac:dyDescent="0.25">
      <c r="A207">
        <v>206</v>
      </c>
      <c r="B207" t="s">
        <v>38</v>
      </c>
      <c r="C207" t="s">
        <v>2745</v>
      </c>
      <c r="D207" t="s">
        <v>40</v>
      </c>
      <c r="E207" t="s">
        <v>41</v>
      </c>
      <c r="F207" t="s">
        <v>2746</v>
      </c>
      <c r="G207" t="s">
        <v>2747</v>
      </c>
      <c r="H207" t="s">
        <v>2748</v>
      </c>
      <c r="I207" t="s">
        <v>45</v>
      </c>
      <c r="J207" t="s">
        <v>2749</v>
      </c>
      <c r="K207" t="s">
        <v>45</v>
      </c>
      <c r="L207" t="s">
        <v>2750</v>
      </c>
      <c r="M207">
        <v>1656850</v>
      </c>
      <c r="N207">
        <v>2549000</v>
      </c>
      <c r="O207" t="s">
        <v>2751</v>
      </c>
      <c r="P207" s="1">
        <v>45532</v>
      </c>
      <c r="Q207" s="2">
        <v>509723</v>
      </c>
      <c r="R207" t="s">
        <v>2752</v>
      </c>
      <c r="S207" t="s">
        <v>50</v>
      </c>
      <c r="T207" t="s">
        <v>45</v>
      </c>
      <c r="U207" t="s">
        <v>2753</v>
      </c>
      <c r="V207" t="s">
        <v>140</v>
      </c>
      <c r="W207" t="s">
        <v>1075</v>
      </c>
      <c r="X207" t="s">
        <v>281</v>
      </c>
      <c r="Y207" t="s">
        <v>73</v>
      </c>
      <c r="Z207" t="s">
        <v>2754</v>
      </c>
      <c r="AA207">
        <v>5</v>
      </c>
      <c r="AB207" t="s">
        <v>57</v>
      </c>
      <c r="AC207" t="s">
        <v>2755</v>
      </c>
      <c r="AD207" t="s">
        <v>2202</v>
      </c>
      <c r="AE207" t="s">
        <v>60</v>
      </c>
      <c r="AF207">
        <v>2039200</v>
      </c>
      <c r="AG207" s="3">
        <v>40784</v>
      </c>
      <c r="AK207" t="s">
        <v>2756</v>
      </c>
      <c r="AL207" s="3">
        <v>40784</v>
      </c>
      <c r="AM207">
        <v>0</v>
      </c>
      <c r="AN207" s="4">
        <f>Table103[[#This Row],[Premium]]-Table103[[#This Row],[Tms Prem]]</f>
        <v>0</v>
      </c>
    </row>
    <row r="208" spans="1:40" x14ac:dyDescent="0.25">
      <c r="A208">
        <v>207</v>
      </c>
      <c r="B208" t="s">
        <v>38</v>
      </c>
      <c r="C208" t="s">
        <v>2757</v>
      </c>
      <c r="D208" t="s">
        <v>40</v>
      </c>
      <c r="E208" t="s">
        <v>41</v>
      </c>
      <c r="F208" t="s">
        <v>2758</v>
      </c>
      <c r="G208" t="s">
        <v>174</v>
      </c>
      <c r="H208" t="s">
        <v>2759</v>
      </c>
      <c r="I208" t="s">
        <v>2760</v>
      </c>
      <c r="J208" t="s">
        <v>2760</v>
      </c>
      <c r="K208" t="s">
        <v>2761</v>
      </c>
      <c r="L208" t="s">
        <v>2762</v>
      </c>
      <c r="M208">
        <v>1250600</v>
      </c>
      <c r="N208">
        <v>1924000</v>
      </c>
      <c r="O208" t="s">
        <v>2763</v>
      </c>
      <c r="P208" s="1">
        <v>45532</v>
      </c>
      <c r="Q208" s="2">
        <v>7532508</v>
      </c>
      <c r="R208" t="s">
        <v>2764</v>
      </c>
      <c r="S208" t="s">
        <v>50</v>
      </c>
      <c r="T208" t="s">
        <v>2765</v>
      </c>
      <c r="U208" t="s">
        <v>2766</v>
      </c>
      <c r="V208" t="s">
        <v>662</v>
      </c>
      <c r="W208" t="s">
        <v>2513</v>
      </c>
      <c r="X208" t="s">
        <v>771</v>
      </c>
      <c r="Y208" t="s">
        <v>874</v>
      </c>
      <c r="Z208" t="s">
        <v>2767</v>
      </c>
      <c r="AA208">
        <v>7</v>
      </c>
      <c r="AB208" t="s">
        <v>57</v>
      </c>
      <c r="AC208" t="s">
        <v>2768</v>
      </c>
      <c r="AD208" t="s">
        <v>2513</v>
      </c>
      <c r="AE208" t="s">
        <v>428</v>
      </c>
      <c r="AF208">
        <v>1346800</v>
      </c>
      <c r="AG208" s="3">
        <v>33670</v>
      </c>
      <c r="AK208" t="s">
        <v>2769</v>
      </c>
      <c r="AL208" s="3">
        <v>33670</v>
      </c>
      <c r="AM208">
        <v>0</v>
      </c>
      <c r="AN208" s="4">
        <f>Table103[[#This Row],[Premium]]-Table103[[#This Row],[Tms Prem]]</f>
        <v>0</v>
      </c>
    </row>
    <row r="209" spans="1:40" x14ac:dyDescent="0.25">
      <c r="A209">
        <v>208</v>
      </c>
      <c r="B209" t="s">
        <v>38</v>
      </c>
      <c r="C209" t="s">
        <v>2770</v>
      </c>
      <c r="D209" t="s">
        <v>40</v>
      </c>
      <c r="E209" t="s">
        <v>41</v>
      </c>
      <c r="F209" t="s">
        <v>2771</v>
      </c>
      <c r="G209" t="s">
        <v>174</v>
      </c>
      <c r="H209" t="s">
        <v>2772</v>
      </c>
      <c r="I209" t="s">
        <v>45</v>
      </c>
      <c r="J209" t="s">
        <v>2773</v>
      </c>
      <c r="K209" t="s">
        <v>45</v>
      </c>
      <c r="L209" t="s">
        <v>2774</v>
      </c>
      <c r="M209">
        <v>1950000</v>
      </c>
      <c r="N209">
        <v>3250000</v>
      </c>
      <c r="O209" t="s">
        <v>2775</v>
      </c>
      <c r="P209" s="1">
        <v>45520</v>
      </c>
      <c r="Q209" s="2">
        <v>13504294</v>
      </c>
      <c r="R209" t="s">
        <v>2776</v>
      </c>
      <c r="S209" t="s">
        <v>88</v>
      </c>
      <c r="T209" t="s">
        <v>2777</v>
      </c>
      <c r="U209" t="s">
        <v>2778</v>
      </c>
      <c r="V209" t="s">
        <v>107</v>
      </c>
      <c r="W209" t="s">
        <v>2779</v>
      </c>
      <c r="X209" t="s">
        <v>72</v>
      </c>
      <c r="Y209" t="s">
        <v>424</v>
      </c>
      <c r="Z209" t="s">
        <v>2780</v>
      </c>
      <c r="AA209">
        <v>3</v>
      </c>
      <c r="AB209" t="s">
        <v>94</v>
      </c>
      <c r="AC209" t="s">
        <v>2781</v>
      </c>
      <c r="AD209" t="s">
        <v>2426</v>
      </c>
      <c r="AE209" t="s">
        <v>97</v>
      </c>
      <c r="AF209">
        <v>2762500</v>
      </c>
      <c r="AG209" s="3">
        <v>48344</v>
      </c>
      <c r="AK209" t="s">
        <v>2782</v>
      </c>
      <c r="AL209" s="3">
        <v>48344</v>
      </c>
      <c r="AM209">
        <v>0</v>
      </c>
      <c r="AN209" s="4">
        <f>Table103[[#This Row],[Premium]]-Table103[[#This Row],[Tms Prem]]</f>
        <v>0</v>
      </c>
    </row>
    <row r="210" spans="1:40" x14ac:dyDescent="0.25">
      <c r="A210">
        <v>209</v>
      </c>
      <c r="B210" t="s">
        <v>38</v>
      </c>
      <c r="C210" t="s">
        <v>2783</v>
      </c>
      <c r="D210" t="s">
        <v>40</v>
      </c>
      <c r="E210" t="s">
        <v>41</v>
      </c>
      <c r="F210" t="s">
        <v>2784</v>
      </c>
      <c r="G210" t="s">
        <v>80</v>
      </c>
      <c r="H210" t="s">
        <v>2785</v>
      </c>
      <c r="I210" t="s">
        <v>45</v>
      </c>
      <c r="J210" t="s">
        <v>2786</v>
      </c>
      <c r="K210" t="s">
        <v>45</v>
      </c>
      <c r="L210" t="s">
        <v>2787</v>
      </c>
      <c r="M210">
        <v>2567500</v>
      </c>
      <c r="N210">
        <v>3950000</v>
      </c>
      <c r="O210" t="s">
        <v>2788</v>
      </c>
      <c r="P210" t="s">
        <v>2789</v>
      </c>
      <c r="Q210" s="2" t="s">
        <v>2790</v>
      </c>
      <c r="R210" t="s">
        <v>2791</v>
      </c>
      <c r="S210" t="s">
        <v>88</v>
      </c>
      <c r="T210" t="s">
        <v>88</v>
      </c>
      <c r="U210" t="s">
        <v>45</v>
      </c>
      <c r="V210" t="s">
        <v>662</v>
      </c>
      <c r="W210">
        <v>45166</v>
      </c>
      <c r="X210" t="s">
        <v>931</v>
      </c>
      <c r="Y210" t="s">
        <v>874</v>
      </c>
      <c r="Z210" t="s">
        <v>2792</v>
      </c>
      <c r="AA210">
        <v>3</v>
      </c>
      <c r="AB210" t="s">
        <v>57</v>
      </c>
      <c r="AC210" t="s">
        <v>2793</v>
      </c>
      <c r="AD210" t="s">
        <v>2794</v>
      </c>
      <c r="AE210" t="s">
        <v>97</v>
      </c>
      <c r="AF210">
        <v>3555000</v>
      </c>
      <c r="AG210" s="3">
        <v>62213</v>
      </c>
      <c r="AK210" t="s">
        <v>2795</v>
      </c>
      <c r="AL210" s="3">
        <v>62213</v>
      </c>
      <c r="AM210">
        <v>0</v>
      </c>
      <c r="AN210" s="4">
        <f>Table103[[#This Row],[Premium]]-Table103[[#This Row],[Tms Prem]]</f>
        <v>0</v>
      </c>
    </row>
    <row r="211" spans="1:40" x14ac:dyDescent="0.25">
      <c r="A211">
        <v>210</v>
      </c>
      <c r="B211" t="s">
        <v>38</v>
      </c>
      <c r="C211" t="s">
        <v>2796</v>
      </c>
      <c r="D211" t="s">
        <v>40</v>
      </c>
      <c r="E211" t="s">
        <v>41</v>
      </c>
      <c r="F211" t="s">
        <v>2797</v>
      </c>
      <c r="G211" t="s">
        <v>80</v>
      </c>
      <c r="H211" t="s">
        <v>2798</v>
      </c>
      <c r="I211" t="s">
        <v>45</v>
      </c>
      <c r="J211" t="s">
        <v>2799</v>
      </c>
      <c r="K211" t="s">
        <v>2800</v>
      </c>
      <c r="L211" t="s">
        <v>2801</v>
      </c>
      <c r="M211">
        <v>1306000</v>
      </c>
      <c r="N211">
        <v>2612000</v>
      </c>
      <c r="O211" t="s">
        <v>2802</v>
      </c>
      <c r="P211" t="s">
        <v>2789</v>
      </c>
      <c r="Q211" s="2">
        <v>280314</v>
      </c>
      <c r="R211" t="s">
        <v>2803</v>
      </c>
      <c r="S211" t="s">
        <v>50</v>
      </c>
      <c r="T211" t="s">
        <v>50</v>
      </c>
      <c r="U211" t="s">
        <v>45</v>
      </c>
      <c r="V211" t="s">
        <v>379</v>
      </c>
      <c r="W211">
        <v>45166</v>
      </c>
      <c r="X211" t="s">
        <v>931</v>
      </c>
      <c r="Y211" t="s">
        <v>1024</v>
      </c>
      <c r="Z211" t="s">
        <v>2804</v>
      </c>
      <c r="AA211">
        <v>5</v>
      </c>
      <c r="AB211" t="s">
        <v>57</v>
      </c>
      <c r="AC211" t="s">
        <v>2805</v>
      </c>
      <c r="AD211" t="s">
        <v>2794</v>
      </c>
      <c r="AE211" t="s">
        <v>97</v>
      </c>
      <c r="AF211">
        <v>2350800</v>
      </c>
      <c r="AG211" s="3">
        <v>41139.000000000007</v>
      </c>
      <c r="AK211" t="s">
        <v>2806</v>
      </c>
      <c r="AL211" s="3">
        <v>41139</v>
      </c>
      <c r="AM211">
        <v>0</v>
      </c>
      <c r="AN211" s="4">
        <f>Table103[[#This Row],[Premium]]-Table103[[#This Row],[Tms Prem]]</f>
        <v>0</v>
      </c>
    </row>
    <row r="212" spans="1:40" x14ac:dyDescent="0.25">
      <c r="A212">
        <v>211</v>
      </c>
      <c r="B212" t="s">
        <v>38</v>
      </c>
      <c r="C212" t="s">
        <v>2807</v>
      </c>
      <c r="D212" t="s">
        <v>40</v>
      </c>
      <c r="E212" t="s">
        <v>41</v>
      </c>
      <c r="F212" t="s">
        <v>2808</v>
      </c>
      <c r="G212" t="s">
        <v>174</v>
      </c>
      <c r="H212" t="s">
        <v>2809</v>
      </c>
      <c r="I212" t="s">
        <v>2810</v>
      </c>
      <c r="J212" t="s">
        <v>2811</v>
      </c>
      <c r="K212" t="s">
        <v>45</v>
      </c>
      <c r="L212" t="s">
        <v>2812</v>
      </c>
      <c r="M212">
        <v>1646000</v>
      </c>
      <c r="N212">
        <v>8230000</v>
      </c>
      <c r="O212" t="s">
        <v>2813</v>
      </c>
      <c r="P212" t="s">
        <v>2789</v>
      </c>
      <c r="Q212" s="2">
        <v>344752</v>
      </c>
      <c r="R212" t="s">
        <v>2814</v>
      </c>
      <c r="S212" t="s">
        <v>50</v>
      </c>
      <c r="T212" t="s">
        <v>50</v>
      </c>
      <c r="U212" t="s">
        <v>45</v>
      </c>
      <c r="V212" t="s">
        <v>379</v>
      </c>
      <c r="W212">
        <v>45167</v>
      </c>
      <c r="X212" t="s">
        <v>931</v>
      </c>
      <c r="Y212" t="s">
        <v>874</v>
      </c>
      <c r="Z212" t="s">
        <v>2815</v>
      </c>
      <c r="AA212">
        <v>3</v>
      </c>
      <c r="AB212" t="s">
        <v>57</v>
      </c>
      <c r="AC212" t="s">
        <v>2816</v>
      </c>
      <c r="AD212" t="s">
        <v>2817</v>
      </c>
      <c r="AE212" t="s">
        <v>97</v>
      </c>
      <c r="AF212">
        <v>7407000</v>
      </c>
      <c r="AG212" s="3">
        <v>129623</v>
      </c>
      <c r="AK212" t="s">
        <v>2818</v>
      </c>
      <c r="AL212" s="3">
        <v>129623</v>
      </c>
      <c r="AM212">
        <v>0</v>
      </c>
      <c r="AN212" s="4">
        <f>Table103[[#This Row],[Premium]]-Table103[[#This Row],[Tms Prem]]</f>
        <v>0</v>
      </c>
    </row>
    <row r="213" spans="1:40" x14ac:dyDescent="0.25">
      <c r="A213">
        <v>212</v>
      </c>
      <c r="B213" t="s">
        <v>38</v>
      </c>
      <c r="C213" t="s">
        <v>2819</v>
      </c>
      <c r="D213" t="s">
        <v>40</v>
      </c>
      <c r="E213" t="s">
        <v>41</v>
      </c>
      <c r="F213" t="s">
        <v>2820</v>
      </c>
      <c r="G213" t="s">
        <v>174</v>
      </c>
      <c r="H213" t="s">
        <v>2821</v>
      </c>
      <c r="I213" t="s">
        <v>45</v>
      </c>
      <c r="J213" t="s">
        <v>2822</v>
      </c>
      <c r="K213" t="s">
        <v>45</v>
      </c>
      <c r="L213" t="s">
        <v>2823</v>
      </c>
      <c r="M213">
        <v>1750000</v>
      </c>
      <c r="N213">
        <v>2500000</v>
      </c>
      <c r="O213" t="s">
        <v>2824</v>
      </c>
      <c r="P213" t="s">
        <v>2789</v>
      </c>
      <c r="Q213" s="2">
        <v>114454</v>
      </c>
      <c r="R213" t="s">
        <v>2825</v>
      </c>
      <c r="S213" t="s">
        <v>88</v>
      </c>
      <c r="T213" t="s">
        <v>88</v>
      </c>
      <c r="U213" t="s">
        <v>2826</v>
      </c>
      <c r="V213" t="s">
        <v>365</v>
      </c>
      <c r="W213">
        <v>45167</v>
      </c>
      <c r="X213" t="s">
        <v>931</v>
      </c>
      <c r="Y213" t="s">
        <v>1024</v>
      </c>
      <c r="Z213" t="s">
        <v>2827</v>
      </c>
      <c r="AA213">
        <v>5</v>
      </c>
      <c r="AB213" t="s">
        <v>57</v>
      </c>
      <c r="AC213" t="s">
        <v>2828</v>
      </c>
      <c r="AD213" t="s">
        <v>2578</v>
      </c>
      <c r="AE213" t="s">
        <v>97</v>
      </c>
      <c r="AF213">
        <v>2250000</v>
      </c>
      <c r="AG213" s="3">
        <v>39375.000000000007</v>
      </c>
      <c r="AK213" t="s">
        <v>2829</v>
      </c>
      <c r="AL213" s="3">
        <v>39375</v>
      </c>
      <c r="AM213">
        <v>0</v>
      </c>
      <c r="AN213" s="4">
        <f>Table103[[#This Row],[Premium]]-Table103[[#This Row],[Tms Prem]]</f>
        <v>0</v>
      </c>
    </row>
    <row r="214" spans="1:40" x14ac:dyDescent="0.25">
      <c r="A214">
        <v>213</v>
      </c>
      <c r="B214" t="s">
        <v>38</v>
      </c>
      <c r="C214" t="s">
        <v>2830</v>
      </c>
      <c r="D214" t="s">
        <v>40</v>
      </c>
      <c r="E214" t="s">
        <v>41</v>
      </c>
      <c r="F214" t="s">
        <v>2831</v>
      </c>
      <c r="G214" t="s">
        <v>174</v>
      </c>
      <c r="H214" t="s">
        <v>2832</v>
      </c>
      <c r="I214" t="s">
        <v>2833</v>
      </c>
      <c r="J214" t="s">
        <v>2834</v>
      </c>
      <c r="K214" t="s">
        <v>2835</v>
      </c>
      <c r="L214" t="s">
        <v>2836</v>
      </c>
      <c r="M214">
        <v>2219000</v>
      </c>
      <c r="N214">
        <v>3170000</v>
      </c>
      <c r="O214" t="s">
        <v>2837</v>
      </c>
      <c r="P214" t="s">
        <v>2789</v>
      </c>
      <c r="Q214" s="2">
        <v>17442456</v>
      </c>
      <c r="R214" t="s">
        <v>2838</v>
      </c>
      <c r="S214" t="s">
        <v>88</v>
      </c>
      <c r="T214" t="s">
        <v>88</v>
      </c>
      <c r="U214" t="s">
        <v>2839</v>
      </c>
      <c r="V214" t="s">
        <v>496</v>
      </c>
      <c r="W214">
        <v>45167</v>
      </c>
      <c r="X214" t="s">
        <v>931</v>
      </c>
      <c r="Y214" t="s">
        <v>772</v>
      </c>
      <c r="Z214" t="s">
        <v>2840</v>
      </c>
      <c r="AA214">
        <v>2</v>
      </c>
      <c r="AB214" t="s">
        <v>57</v>
      </c>
      <c r="AC214" t="s">
        <v>2841</v>
      </c>
      <c r="AD214" t="s">
        <v>2817</v>
      </c>
      <c r="AE214" t="s">
        <v>97</v>
      </c>
      <c r="AF214">
        <v>2853000</v>
      </c>
      <c r="AG214" s="3">
        <v>49928</v>
      </c>
      <c r="AK214" t="s">
        <v>2842</v>
      </c>
      <c r="AL214" s="3">
        <v>49928</v>
      </c>
      <c r="AM214">
        <v>0</v>
      </c>
      <c r="AN214" s="4">
        <f>Table103[[#This Row],[Premium]]-Table103[[#This Row],[Tms Prem]]</f>
        <v>0</v>
      </c>
    </row>
    <row r="215" spans="1:40" x14ac:dyDescent="0.25">
      <c r="A215">
        <v>214</v>
      </c>
      <c r="B215" t="s">
        <v>38</v>
      </c>
      <c r="C215" t="s">
        <v>2843</v>
      </c>
      <c r="D215" t="s">
        <v>40</v>
      </c>
      <c r="E215" t="s">
        <v>41</v>
      </c>
      <c r="F215" t="s">
        <v>2844</v>
      </c>
      <c r="G215" t="s">
        <v>174</v>
      </c>
      <c r="H215" t="s">
        <v>2845</v>
      </c>
      <c r="I215" t="s">
        <v>45</v>
      </c>
      <c r="J215" t="s">
        <v>2846</v>
      </c>
      <c r="K215" t="s">
        <v>45</v>
      </c>
      <c r="L215" t="s">
        <v>2847</v>
      </c>
      <c r="M215">
        <v>1358000</v>
      </c>
      <c r="N215">
        <v>1940000</v>
      </c>
      <c r="O215" t="s">
        <v>2848</v>
      </c>
      <c r="P215" t="s">
        <v>2789</v>
      </c>
      <c r="Q215" s="2">
        <v>1029497</v>
      </c>
      <c r="R215" t="s">
        <v>2849</v>
      </c>
      <c r="S215" t="s">
        <v>50</v>
      </c>
      <c r="T215" t="s">
        <v>50</v>
      </c>
      <c r="U215" t="s">
        <v>45</v>
      </c>
      <c r="V215" t="s">
        <v>379</v>
      </c>
      <c r="W215">
        <v>45167</v>
      </c>
      <c r="X215" t="s">
        <v>931</v>
      </c>
      <c r="Y215" t="s">
        <v>874</v>
      </c>
      <c r="Z215" t="s">
        <v>2850</v>
      </c>
      <c r="AA215">
        <v>3</v>
      </c>
      <c r="AB215" t="s">
        <v>57</v>
      </c>
      <c r="AC215" t="s">
        <v>2851</v>
      </c>
      <c r="AD215" t="s">
        <v>2578</v>
      </c>
      <c r="AE215" t="s">
        <v>97</v>
      </c>
      <c r="AF215">
        <v>1746000</v>
      </c>
      <c r="AG215" s="3">
        <v>30555.000000000004</v>
      </c>
      <c r="AK215" t="s">
        <v>2852</v>
      </c>
      <c r="AL215" s="3">
        <v>30555</v>
      </c>
      <c r="AM215">
        <v>0</v>
      </c>
      <c r="AN215" s="4">
        <f>Table103[[#This Row],[Premium]]-Table103[[#This Row],[Tms Prem]]</f>
        <v>0</v>
      </c>
    </row>
    <row r="216" spans="1:40" x14ac:dyDescent="0.25">
      <c r="A216">
        <v>215</v>
      </c>
      <c r="B216" t="s">
        <v>38</v>
      </c>
      <c r="C216" t="s">
        <v>2853</v>
      </c>
      <c r="D216" t="s">
        <v>40</v>
      </c>
      <c r="E216" t="s">
        <v>41</v>
      </c>
      <c r="F216" t="s">
        <v>2854</v>
      </c>
      <c r="G216" t="s">
        <v>80</v>
      </c>
      <c r="H216" t="s">
        <v>2855</v>
      </c>
      <c r="I216" t="s">
        <v>2856</v>
      </c>
      <c r="J216" t="s">
        <v>2856</v>
      </c>
      <c r="K216" t="s">
        <v>151</v>
      </c>
      <c r="L216" t="s">
        <v>2857</v>
      </c>
      <c r="M216">
        <v>1330000</v>
      </c>
      <c r="N216">
        <v>1900000</v>
      </c>
      <c r="O216" t="s">
        <v>2858</v>
      </c>
      <c r="P216" s="1">
        <v>45530</v>
      </c>
      <c r="Q216" s="2" t="s">
        <v>2859</v>
      </c>
      <c r="R216" t="s">
        <v>2860</v>
      </c>
      <c r="S216" t="s">
        <v>88</v>
      </c>
      <c r="T216" t="s">
        <v>2861</v>
      </c>
      <c r="U216" t="s">
        <v>250</v>
      </c>
      <c r="V216" t="s">
        <v>662</v>
      </c>
      <c r="W216" t="s">
        <v>2616</v>
      </c>
      <c r="X216" t="s">
        <v>829</v>
      </c>
      <c r="Y216" t="s">
        <v>772</v>
      </c>
      <c r="Z216" t="s">
        <v>2862</v>
      </c>
      <c r="AA216">
        <v>3</v>
      </c>
      <c r="AB216" t="s">
        <v>94</v>
      </c>
      <c r="AC216" t="s">
        <v>2863</v>
      </c>
      <c r="AD216" t="s">
        <v>2538</v>
      </c>
      <c r="AE216" t="s">
        <v>159</v>
      </c>
      <c r="AF216">
        <v>1615000</v>
      </c>
      <c r="AG216" s="3">
        <v>24225</v>
      </c>
      <c r="AK216" t="s">
        <v>2864</v>
      </c>
      <c r="AL216" s="3">
        <v>24225</v>
      </c>
      <c r="AM216">
        <v>0</v>
      </c>
      <c r="AN216" s="4">
        <f>Table103[[#This Row],[Premium]]-Table103[[#This Row],[Tms Prem]]</f>
        <v>0</v>
      </c>
    </row>
    <row r="217" spans="1:40" x14ac:dyDescent="0.25">
      <c r="A217">
        <v>216</v>
      </c>
      <c r="B217" t="s">
        <v>471</v>
      </c>
      <c r="C217" t="s">
        <v>2865</v>
      </c>
      <c r="D217" t="s">
        <v>40</v>
      </c>
      <c r="E217" t="s">
        <v>41</v>
      </c>
      <c r="F217" t="s">
        <v>2866</v>
      </c>
      <c r="G217" t="s">
        <v>289</v>
      </c>
      <c r="H217" t="s">
        <v>2867</v>
      </c>
      <c r="I217" t="s">
        <v>2868</v>
      </c>
      <c r="J217" t="s">
        <v>45</v>
      </c>
      <c r="K217" t="s">
        <v>151</v>
      </c>
      <c r="L217" t="s">
        <v>2869</v>
      </c>
      <c r="M217">
        <v>2379000</v>
      </c>
      <c r="N217">
        <v>3050000</v>
      </c>
      <c r="O217" t="s">
        <v>2870</v>
      </c>
      <c r="P217" s="1">
        <v>45520</v>
      </c>
      <c r="Q217" s="2" t="s">
        <v>2871</v>
      </c>
      <c r="R217" t="s">
        <v>2872</v>
      </c>
      <c r="S217" t="s">
        <v>88</v>
      </c>
      <c r="T217" t="s">
        <v>2873</v>
      </c>
      <c r="U217" t="s">
        <v>537</v>
      </c>
      <c r="V217" t="s">
        <v>662</v>
      </c>
      <c r="W217" t="s">
        <v>2666</v>
      </c>
      <c r="X217" t="s">
        <v>423</v>
      </c>
      <c r="Y217" t="s">
        <v>73</v>
      </c>
      <c r="Z217" t="s">
        <v>2874</v>
      </c>
      <c r="AA217">
        <v>6</v>
      </c>
      <c r="AB217" t="s">
        <v>57</v>
      </c>
      <c r="AC217" t="s">
        <v>2875</v>
      </c>
      <c r="AD217" t="s">
        <v>1280</v>
      </c>
      <c r="AE217" t="s">
        <v>60</v>
      </c>
      <c r="AF217">
        <v>2287500</v>
      </c>
      <c r="AG217" s="3">
        <v>45750</v>
      </c>
      <c r="AK217" t="s">
        <v>2876</v>
      </c>
      <c r="AL217" s="3">
        <v>45750</v>
      </c>
      <c r="AM217">
        <v>0</v>
      </c>
      <c r="AN217" s="4">
        <f>Table103[[#This Row],[Premium]]-Table103[[#This Row],[Tms Prem]]</f>
        <v>0</v>
      </c>
    </row>
    <row r="218" spans="1:40" x14ac:dyDescent="0.25">
      <c r="A218">
        <v>217</v>
      </c>
      <c r="B218" t="s">
        <v>471</v>
      </c>
      <c r="C218" t="s">
        <v>2877</v>
      </c>
      <c r="D218" t="s">
        <v>40</v>
      </c>
      <c r="E218" t="s">
        <v>41</v>
      </c>
      <c r="F218" t="s">
        <v>2878</v>
      </c>
      <c r="G218" t="s">
        <v>80</v>
      </c>
      <c r="H218" t="s">
        <v>2879</v>
      </c>
      <c r="I218" t="s">
        <v>45</v>
      </c>
      <c r="J218" t="s">
        <v>2880</v>
      </c>
      <c r="K218" t="s">
        <v>45</v>
      </c>
      <c r="L218" t="s">
        <v>2881</v>
      </c>
      <c r="M218">
        <v>2816800</v>
      </c>
      <c r="N218">
        <v>4024000</v>
      </c>
      <c r="O218" t="s">
        <v>2882</v>
      </c>
      <c r="P218" s="1">
        <v>45520</v>
      </c>
      <c r="Q218" s="2">
        <v>16924721</v>
      </c>
      <c r="R218" t="s">
        <v>2883</v>
      </c>
      <c r="S218" t="s">
        <v>50</v>
      </c>
      <c r="T218" t="s">
        <v>45</v>
      </c>
      <c r="U218" t="s">
        <v>2884</v>
      </c>
      <c r="V218" t="s">
        <v>140</v>
      </c>
      <c r="W218" t="s">
        <v>2462</v>
      </c>
      <c r="X218" t="s">
        <v>406</v>
      </c>
      <c r="Y218" t="s">
        <v>815</v>
      </c>
      <c r="Z218" t="s">
        <v>2885</v>
      </c>
      <c r="AA218">
        <v>5</v>
      </c>
      <c r="AB218" t="s">
        <v>57</v>
      </c>
      <c r="AC218" t="s">
        <v>2886</v>
      </c>
      <c r="AD218" t="s">
        <v>2887</v>
      </c>
      <c r="AE218" t="s">
        <v>60</v>
      </c>
      <c r="AF218">
        <v>3219200</v>
      </c>
      <c r="AG218" s="3">
        <v>64384</v>
      </c>
      <c r="AK218" t="s">
        <v>2888</v>
      </c>
      <c r="AL218" s="3">
        <v>64384</v>
      </c>
      <c r="AM218">
        <v>0</v>
      </c>
      <c r="AN218" s="4">
        <f>Table103[[#This Row],[Premium]]-Table103[[#This Row],[Tms Prem]]</f>
        <v>0</v>
      </c>
    </row>
    <row r="219" spans="1:40" x14ac:dyDescent="0.25">
      <c r="A219">
        <v>218</v>
      </c>
      <c r="B219" t="s">
        <v>38</v>
      </c>
      <c r="C219" t="s">
        <v>2889</v>
      </c>
      <c r="D219" t="s">
        <v>40</v>
      </c>
      <c r="E219" t="s">
        <v>41</v>
      </c>
      <c r="F219" t="s">
        <v>2890</v>
      </c>
      <c r="G219" t="s">
        <v>80</v>
      </c>
      <c r="H219" t="s">
        <v>2891</v>
      </c>
      <c r="I219" t="s">
        <v>45</v>
      </c>
      <c r="J219" t="s">
        <v>2892</v>
      </c>
      <c r="K219" t="s">
        <v>45</v>
      </c>
      <c r="L219" t="s">
        <v>2893</v>
      </c>
      <c r="M219">
        <v>1431500</v>
      </c>
      <c r="N219">
        <v>2045000</v>
      </c>
      <c r="O219" t="s">
        <v>2894</v>
      </c>
      <c r="P219" s="1">
        <v>45530</v>
      </c>
      <c r="Q219" s="2" t="s">
        <v>2895</v>
      </c>
      <c r="R219" t="s">
        <v>2896</v>
      </c>
      <c r="S219" t="s">
        <v>88</v>
      </c>
      <c r="T219" t="s">
        <v>2897</v>
      </c>
      <c r="U219" t="s">
        <v>250</v>
      </c>
      <c r="V219" t="s">
        <v>140</v>
      </c>
      <c r="W219" t="s">
        <v>2616</v>
      </c>
      <c r="X219" t="s">
        <v>829</v>
      </c>
      <c r="Y219" t="s">
        <v>1189</v>
      </c>
      <c r="Z219" t="s">
        <v>2898</v>
      </c>
      <c r="AA219">
        <v>5</v>
      </c>
      <c r="AB219" t="s">
        <v>124</v>
      </c>
      <c r="AC219" t="s">
        <v>2899</v>
      </c>
      <c r="AD219" t="s">
        <v>2538</v>
      </c>
      <c r="AE219" t="s">
        <v>97</v>
      </c>
      <c r="AF219">
        <v>1738250</v>
      </c>
      <c r="AG219" s="3">
        <v>30420</v>
      </c>
      <c r="AK219" t="s">
        <v>2900</v>
      </c>
      <c r="AL219" s="3">
        <v>30419</v>
      </c>
      <c r="AM219">
        <v>0</v>
      </c>
      <c r="AN219" s="4">
        <f>Table103[[#This Row],[Premium]]-Table103[[#This Row],[Tms Prem]]</f>
        <v>1</v>
      </c>
    </row>
    <row r="220" spans="1:40" x14ac:dyDescent="0.25">
      <c r="A220">
        <v>219</v>
      </c>
      <c r="B220" t="s">
        <v>38</v>
      </c>
      <c r="C220" t="s">
        <v>2901</v>
      </c>
      <c r="D220" t="s">
        <v>40</v>
      </c>
      <c r="E220" t="s">
        <v>41</v>
      </c>
      <c r="F220" t="s">
        <v>2902</v>
      </c>
      <c r="G220" t="s">
        <v>43</v>
      </c>
      <c r="H220" t="s">
        <v>2903</v>
      </c>
      <c r="I220" t="s">
        <v>45</v>
      </c>
      <c r="J220" t="s">
        <v>2904</v>
      </c>
      <c r="K220" t="s">
        <v>45</v>
      </c>
      <c r="L220" t="s">
        <v>2905</v>
      </c>
      <c r="M220">
        <v>2640000</v>
      </c>
      <c r="N220">
        <v>3300000</v>
      </c>
      <c r="O220" t="s">
        <v>2906</v>
      </c>
      <c r="P220" s="1">
        <v>45521</v>
      </c>
      <c r="Q220" s="2">
        <v>1431033</v>
      </c>
      <c r="R220" t="s">
        <v>2907</v>
      </c>
      <c r="S220" t="s">
        <v>88</v>
      </c>
      <c r="T220" t="s">
        <v>2908</v>
      </c>
      <c r="U220" t="s">
        <v>2909</v>
      </c>
      <c r="V220" t="s">
        <v>717</v>
      </c>
      <c r="W220" t="s">
        <v>2910</v>
      </c>
      <c r="X220" t="s">
        <v>423</v>
      </c>
      <c r="Y220" t="s">
        <v>424</v>
      </c>
      <c r="Z220" t="s">
        <v>2911</v>
      </c>
      <c r="AA220">
        <v>5</v>
      </c>
      <c r="AB220" t="s">
        <v>57</v>
      </c>
      <c r="AC220" t="s">
        <v>2912</v>
      </c>
      <c r="AD220" t="s">
        <v>2666</v>
      </c>
      <c r="AE220" t="s">
        <v>60</v>
      </c>
      <c r="AF220">
        <v>2475000</v>
      </c>
      <c r="AG220" s="3">
        <v>49500</v>
      </c>
      <c r="AK220" t="s">
        <v>2913</v>
      </c>
      <c r="AL220" s="3">
        <v>49500</v>
      </c>
      <c r="AM220">
        <v>0</v>
      </c>
      <c r="AN220" s="4">
        <f>Table103[[#This Row],[Premium]]-Table103[[#This Row],[Tms Prem]]</f>
        <v>0</v>
      </c>
    </row>
    <row r="221" spans="1:40" x14ac:dyDescent="0.25">
      <c r="A221">
        <v>220</v>
      </c>
      <c r="B221" t="s">
        <v>38</v>
      </c>
      <c r="C221" t="s">
        <v>2914</v>
      </c>
      <c r="D221" t="s">
        <v>40</v>
      </c>
      <c r="E221" t="s">
        <v>41</v>
      </c>
      <c r="F221" t="s">
        <v>2915</v>
      </c>
      <c r="G221" t="s">
        <v>174</v>
      </c>
      <c r="H221" t="s">
        <v>2916</v>
      </c>
      <c r="I221" t="s">
        <v>2917</v>
      </c>
      <c r="J221" t="s">
        <v>2917</v>
      </c>
      <c r="K221" t="s">
        <v>2917</v>
      </c>
      <c r="L221" t="s">
        <v>2918</v>
      </c>
      <c r="M221">
        <v>3527550</v>
      </c>
      <c r="N221">
        <v>5427000</v>
      </c>
      <c r="O221" t="s">
        <v>2919</v>
      </c>
      <c r="P221" s="1">
        <v>45521</v>
      </c>
      <c r="Q221" s="2" t="s">
        <v>2920</v>
      </c>
      <c r="R221" t="s">
        <v>2921</v>
      </c>
      <c r="S221" t="s">
        <v>50</v>
      </c>
      <c r="T221" t="s">
        <v>45</v>
      </c>
      <c r="U221" t="s">
        <v>2093</v>
      </c>
      <c r="V221" t="s">
        <v>90</v>
      </c>
      <c r="W221" t="s">
        <v>2910</v>
      </c>
      <c r="X221" t="s">
        <v>423</v>
      </c>
      <c r="Y221" t="s">
        <v>424</v>
      </c>
      <c r="Z221" t="s">
        <v>2922</v>
      </c>
      <c r="AA221">
        <v>5</v>
      </c>
      <c r="AB221" t="s">
        <v>45</v>
      </c>
      <c r="AC221" t="s">
        <v>45</v>
      </c>
      <c r="AD221" t="s">
        <v>45</v>
      </c>
      <c r="AE221" t="s">
        <v>159</v>
      </c>
      <c r="AF221">
        <v>4070250</v>
      </c>
      <c r="AG221" s="3">
        <v>61054</v>
      </c>
      <c r="AK221" t="s">
        <v>2923</v>
      </c>
      <c r="AL221" s="3">
        <v>61054</v>
      </c>
      <c r="AM221">
        <v>0</v>
      </c>
      <c r="AN221" s="4">
        <f>Table103[[#This Row],[Premium]]-Table103[[#This Row],[Tms Prem]]</f>
        <v>0</v>
      </c>
    </row>
    <row r="222" spans="1:40" x14ac:dyDescent="0.25">
      <c r="A222">
        <v>221</v>
      </c>
      <c r="B222" t="s">
        <v>38</v>
      </c>
      <c r="C222" t="s">
        <v>2924</v>
      </c>
      <c r="D222" t="s">
        <v>40</v>
      </c>
      <c r="E222" t="s">
        <v>41</v>
      </c>
      <c r="F222" t="s">
        <v>2925</v>
      </c>
      <c r="G222" t="s">
        <v>80</v>
      </c>
      <c r="H222" t="s">
        <v>2926</v>
      </c>
      <c r="I222" t="s">
        <v>2927</v>
      </c>
      <c r="J222" t="s">
        <v>2927</v>
      </c>
      <c r="K222" t="s">
        <v>2927</v>
      </c>
      <c r="L222" t="s">
        <v>2928</v>
      </c>
      <c r="M222">
        <v>1788000</v>
      </c>
      <c r="N222">
        <v>2980000</v>
      </c>
      <c r="O222" t="s">
        <v>2929</v>
      </c>
      <c r="P222" s="1">
        <v>45521</v>
      </c>
      <c r="Q222" s="2" t="s">
        <v>2930</v>
      </c>
      <c r="R222" t="s">
        <v>2931</v>
      </c>
      <c r="S222" t="s">
        <v>88</v>
      </c>
      <c r="T222" t="s">
        <v>45</v>
      </c>
      <c r="U222" t="s">
        <v>605</v>
      </c>
      <c r="V222" t="s">
        <v>496</v>
      </c>
      <c r="W222" t="s">
        <v>2779</v>
      </c>
      <c r="X222" t="s">
        <v>72</v>
      </c>
      <c r="Y222" t="s">
        <v>424</v>
      </c>
      <c r="Z222" t="s">
        <v>2932</v>
      </c>
      <c r="AA222">
        <v>3</v>
      </c>
      <c r="AB222" t="s">
        <v>94</v>
      </c>
      <c r="AC222" t="s">
        <v>2933</v>
      </c>
      <c r="AD222" t="s">
        <v>2779</v>
      </c>
      <c r="AE222" t="s">
        <v>159</v>
      </c>
      <c r="AF222">
        <v>2533000</v>
      </c>
      <c r="AG222" s="3">
        <v>37995</v>
      </c>
      <c r="AK222" t="s">
        <v>2934</v>
      </c>
      <c r="AL222" s="3">
        <v>37995</v>
      </c>
      <c r="AM222">
        <v>0</v>
      </c>
      <c r="AN222" s="4">
        <f>Table103[[#This Row],[Premium]]-Table103[[#This Row],[Tms Prem]]</f>
        <v>0</v>
      </c>
    </row>
    <row r="223" spans="1:40" x14ac:dyDescent="0.25">
      <c r="A223">
        <v>222</v>
      </c>
      <c r="B223" t="s">
        <v>38</v>
      </c>
      <c r="C223" t="s">
        <v>2935</v>
      </c>
      <c r="D223" t="s">
        <v>40</v>
      </c>
      <c r="E223" t="s">
        <v>41</v>
      </c>
      <c r="F223" t="s">
        <v>2936</v>
      </c>
      <c r="G223" t="s">
        <v>174</v>
      </c>
      <c r="H223" t="s">
        <v>2937</v>
      </c>
      <c r="I223" t="s">
        <v>2938</v>
      </c>
      <c r="J223" t="s">
        <v>2939</v>
      </c>
      <c r="K223" t="s">
        <v>2940</v>
      </c>
      <c r="L223" t="s">
        <v>2941</v>
      </c>
      <c r="M223">
        <v>7800000</v>
      </c>
      <c r="N223">
        <v>12000000</v>
      </c>
      <c r="O223" t="s">
        <v>2942</v>
      </c>
      <c r="P223" s="1">
        <v>45530</v>
      </c>
      <c r="Q223" s="2" t="s">
        <v>2943</v>
      </c>
      <c r="R223" t="s">
        <v>2944</v>
      </c>
      <c r="S223" t="s">
        <v>493</v>
      </c>
      <c r="T223" t="s">
        <v>45</v>
      </c>
      <c r="U223" t="s">
        <v>2945</v>
      </c>
      <c r="V223" t="s">
        <v>107</v>
      </c>
      <c r="W223" t="s">
        <v>877</v>
      </c>
      <c r="X223" t="s">
        <v>873</v>
      </c>
      <c r="Y223" t="s">
        <v>874</v>
      </c>
      <c r="Z223" t="s">
        <v>2946</v>
      </c>
      <c r="AA223">
        <v>5</v>
      </c>
      <c r="AB223" t="s">
        <v>57</v>
      </c>
      <c r="AC223" t="s">
        <v>2947</v>
      </c>
      <c r="AD223" t="s">
        <v>406</v>
      </c>
      <c r="AE223" t="s">
        <v>97</v>
      </c>
      <c r="AF223">
        <v>9600000</v>
      </c>
      <c r="AG223" s="3">
        <v>168000.00000000003</v>
      </c>
      <c r="AK223" t="s">
        <v>2948</v>
      </c>
      <c r="AL223" s="3">
        <v>168000</v>
      </c>
      <c r="AM223">
        <v>0</v>
      </c>
      <c r="AN223" s="4">
        <f>Table103[[#This Row],[Premium]]-Table103[[#This Row],[Tms Prem]]</f>
        <v>0</v>
      </c>
    </row>
    <row r="224" spans="1:40" x14ac:dyDescent="0.25">
      <c r="A224">
        <v>223</v>
      </c>
      <c r="B224" t="s">
        <v>38</v>
      </c>
      <c r="C224" t="s">
        <v>2949</v>
      </c>
      <c r="D224" t="s">
        <v>40</v>
      </c>
      <c r="E224" t="s">
        <v>41</v>
      </c>
      <c r="F224" t="s">
        <v>2950</v>
      </c>
      <c r="G224" t="s">
        <v>174</v>
      </c>
      <c r="H224" t="s">
        <v>2951</v>
      </c>
      <c r="I224" t="s">
        <v>2952</v>
      </c>
      <c r="J224" t="s">
        <v>2952</v>
      </c>
      <c r="K224" t="s">
        <v>2953</v>
      </c>
      <c r="L224" t="s">
        <v>2954</v>
      </c>
      <c r="M224">
        <v>3814300</v>
      </c>
      <c r="N224">
        <v>5449000</v>
      </c>
      <c r="O224" t="s">
        <v>2955</v>
      </c>
      <c r="P224" s="1">
        <v>45530</v>
      </c>
      <c r="Q224" s="2" t="s">
        <v>2956</v>
      </c>
      <c r="R224" t="s">
        <v>2957</v>
      </c>
      <c r="S224" t="s">
        <v>50</v>
      </c>
      <c r="T224" t="s">
        <v>45</v>
      </c>
      <c r="U224" t="s">
        <v>578</v>
      </c>
      <c r="V224" t="s">
        <v>140</v>
      </c>
      <c r="W224" t="s">
        <v>2134</v>
      </c>
      <c r="X224" t="s">
        <v>857</v>
      </c>
      <c r="Y224" t="s">
        <v>858</v>
      </c>
      <c r="Z224" t="s">
        <v>2958</v>
      </c>
      <c r="AA224">
        <v>5</v>
      </c>
      <c r="AB224" t="s">
        <v>57</v>
      </c>
      <c r="AC224" t="s">
        <v>2959</v>
      </c>
      <c r="AD224" t="s">
        <v>2960</v>
      </c>
      <c r="AE224" t="s">
        <v>97</v>
      </c>
      <c r="AF224">
        <v>4359200</v>
      </c>
      <c r="AG224" s="3">
        <v>76286</v>
      </c>
      <c r="AK224" t="s">
        <v>2961</v>
      </c>
      <c r="AL224" s="3">
        <v>76286</v>
      </c>
      <c r="AM224">
        <v>0</v>
      </c>
      <c r="AN224" s="4">
        <f>Table103[[#This Row],[Premium]]-Table103[[#This Row],[Tms Prem]]</f>
        <v>0</v>
      </c>
    </row>
    <row r="225" spans="1:40" x14ac:dyDescent="0.25">
      <c r="A225">
        <v>224</v>
      </c>
      <c r="B225" t="s">
        <v>38</v>
      </c>
      <c r="C225" t="s">
        <v>2962</v>
      </c>
      <c r="D225" t="s">
        <v>40</v>
      </c>
      <c r="E225" t="s">
        <v>41</v>
      </c>
      <c r="F225" t="s">
        <v>2963</v>
      </c>
      <c r="G225" t="s">
        <v>80</v>
      </c>
      <c r="H225" t="s">
        <v>2964</v>
      </c>
      <c r="I225" t="s">
        <v>2965</v>
      </c>
      <c r="J225" t="s">
        <v>2965</v>
      </c>
      <c r="K225" t="s">
        <v>2965</v>
      </c>
      <c r="L225" t="s">
        <v>2966</v>
      </c>
      <c r="M225">
        <v>1082900</v>
      </c>
      <c r="N225">
        <v>1274000</v>
      </c>
      <c r="O225" t="s">
        <v>2967</v>
      </c>
      <c r="P225" s="1">
        <v>45521</v>
      </c>
      <c r="Q225" s="2" t="s">
        <v>2968</v>
      </c>
      <c r="R225" t="s">
        <v>2969</v>
      </c>
      <c r="S225" t="s">
        <v>50</v>
      </c>
      <c r="T225" t="s">
        <v>45</v>
      </c>
      <c r="U225" t="s">
        <v>2970</v>
      </c>
      <c r="V225" t="s">
        <v>52</v>
      </c>
      <c r="W225" t="s">
        <v>2971</v>
      </c>
      <c r="X225" t="s">
        <v>2538</v>
      </c>
      <c r="Y225" t="s">
        <v>2972</v>
      </c>
      <c r="Z225" t="s">
        <v>2973</v>
      </c>
      <c r="AA225">
        <v>7</v>
      </c>
      <c r="AB225" t="s">
        <v>196</v>
      </c>
      <c r="AC225" t="s">
        <v>2974</v>
      </c>
      <c r="AD225" t="s">
        <v>2426</v>
      </c>
      <c r="AE225" t="s">
        <v>60</v>
      </c>
      <c r="AF225">
        <v>1146600</v>
      </c>
      <c r="AG225" s="3">
        <v>21658</v>
      </c>
      <c r="AK225" t="s">
        <v>2975</v>
      </c>
      <c r="AL225" s="3">
        <v>22932</v>
      </c>
      <c r="AM225" t="s">
        <v>4076</v>
      </c>
      <c r="AN225" s="4">
        <f>Table103[[#This Row],[Premium]]-Table103[[#This Row],[Tms Prem]]</f>
        <v>-1274</v>
      </c>
    </row>
    <row r="226" spans="1:40" x14ac:dyDescent="0.25">
      <c r="A226">
        <v>225</v>
      </c>
      <c r="B226" t="s">
        <v>38</v>
      </c>
      <c r="C226" t="s">
        <v>2976</v>
      </c>
      <c r="D226" t="s">
        <v>40</v>
      </c>
      <c r="E226" t="s">
        <v>41</v>
      </c>
      <c r="F226" t="s">
        <v>2977</v>
      </c>
      <c r="G226" t="s">
        <v>174</v>
      </c>
      <c r="H226" t="s">
        <v>2978</v>
      </c>
      <c r="I226" t="s">
        <v>2979</v>
      </c>
      <c r="J226" t="s">
        <v>2979</v>
      </c>
      <c r="K226" t="s">
        <v>2979</v>
      </c>
      <c r="L226" t="s">
        <v>2980</v>
      </c>
      <c r="M226">
        <v>1300000</v>
      </c>
      <c r="N226">
        <v>2000000</v>
      </c>
      <c r="O226" t="s">
        <v>2981</v>
      </c>
      <c r="P226" s="1">
        <v>45521</v>
      </c>
      <c r="Q226" s="2">
        <v>165920</v>
      </c>
      <c r="R226" t="s">
        <v>2982</v>
      </c>
      <c r="S226" t="s">
        <v>88</v>
      </c>
      <c r="T226" t="s">
        <v>2983</v>
      </c>
      <c r="U226" t="s">
        <v>1279</v>
      </c>
      <c r="V226" t="s">
        <v>365</v>
      </c>
      <c r="W226" t="s">
        <v>2984</v>
      </c>
      <c r="X226" t="s">
        <v>2538</v>
      </c>
      <c r="Y226" t="s">
        <v>407</v>
      </c>
      <c r="Z226" t="s">
        <v>2985</v>
      </c>
      <c r="AA226">
        <v>5</v>
      </c>
      <c r="AB226" t="s">
        <v>94</v>
      </c>
      <c r="AC226" t="s">
        <v>2986</v>
      </c>
      <c r="AD226" t="s">
        <v>2779</v>
      </c>
      <c r="AE226" t="s">
        <v>97</v>
      </c>
      <c r="AF226">
        <v>1700000</v>
      </c>
      <c r="AG226" s="3">
        <v>29750.000000000004</v>
      </c>
      <c r="AK226" t="s">
        <v>2987</v>
      </c>
      <c r="AL226" s="3">
        <v>29750</v>
      </c>
      <c r="AM226">
        <v>0</v>
      </c>
      <c r="AN226" s="4">
        <f>Table103[[#This Row],[Premium]]-Table103[[#This Row],[Tms Prem]]</f>
        <v>0</v>
      </c>
    </row>
    <row r="227" spans="1:40" x14ac:dyDescent="0.25">
      <c r="A227">
        <v>226</v>
      </c>
      <c r="B227" t="s">
        <v>38</v>
      </c>
      <c r="C227" t="s">
        <v>2988</v>
      </c>
      <c r="D227" t="s">
        <v>40</v>
      </c>
      <c r="E227" t="s">
        <v>41</v>
      </c>
      <c r="F227" t="s">
        <v>2989</v>
      </c>
      <c r="G227" t="s">
        <v>174</v>
      </c>
      <c r="H227" t="s">
        <v>2990</v>
      </c>
      <c r="I227" t="s">
        <v>2991</v>
      </c>
      <c r="J227" t="s">
        <v>2992</v>
      </c>
      <c r="K227" t="s">
        <v>45</v>
      </c>
      <c r="L227" t="s">
        <v>2993</v>
      </c>
      <c r="M227">
        <v>3562325</v>
      </c>
      <c r="N227">
        <v>5480500</v>
      </c>
      <c r="O227" t="s">
        <v>2994</v>
      </c>
      <c r="P227" s="1">
        <v>45530</v>
      </c>
      <c r="Q227" s="2" t="s">
        <v>2995</v>
      </c>
      <c r="R227" t="s">
        <v>2996</v>
      </c>
      <c r="S227" t="s">
        <v>50</v>
      </c>
      <c r="T227" t="s">
        <v>45</v>
      </c>
      <c r="U227" t="s">
        <v>2997</v>
      </c>
      <c r="V227" t="s">
        <v>140</v>
      </c>
      <c r="W227" t="s">
        <v>2998</v>
      </c>
      <c r="X227" t="s">
        <v>857</v>
      </c>
      <c r="Y227" t="s">
        <v>858</v>
      </c>
      <c r="Z227" t="s">
        <v>2999</v>
      </c>
      <c r="AA227">
        <v>5</v>
      </c>
      <c r="AB227" t="s">
        <v>57</v>
      </c>
      <c r="AC227" t="s">
        <v>3000</v>
      </c>
      <c r="AD227" t="s">
        <v>877</v>
      </c>
      <c r="AE227" t="s">
        <v>60</v>
      </c>
      <c r="AF227">
        <v>4384400</v>
      </c>
      <c r="AG227" s="3">
        <v>87688</v>
      </c>
      <c r="AK227" t="s">
        <v>3001</v>
      </c>
      <c r="AL227" s="3">
        <v>87688</v>
      </c>
      <c r="AM227">
        <v>0</v>
      </c>
      <c r="AN227" s="4">
        <f>Table103[[#This Row],[Premium]]-Table103[[#This Row],[Tms Prem]]</f>
        <v>0</v>
      </c>
    </row>
    <row r="228" spans="1:40" x14ac:dyDescent="0.25">
      <c r="A228">
        <v>227</v>
      </c>
      <c r="B228" t="s">
        <v>38</v>
      </c>
      <c r="C228" t="s">
        <v>3002</v>
      </c>
      <c r="D228" t="s">
        <v>40</v>
      </c>
      <c r="E228" t="s">
        <v>41</v>
      </c>
      <c r="F228" t="s">
        <v>3003</v>
      </c>
      <c r="G228" t="s">
        <v>80</v>
      </c>
      <c r="H228" t="s">
        <v>3004</v>
      </c>
      <c r="I228" t="s">
        <v>3005</v>
      </c>
      <c r="J228" t="s">
        <v>3005</v>
      </c>
      <c r="K228" t="s">
        <v>3005</v>
      </c>
      <c r="L228" t="s">
        <v>3006</v>
      </c>
      <c r="M228">
        <v>2981000</v>
      </c>
      <c r="N228">
        <v>5420000</v>
      </c>
      <c r="O228" t="s">
        <v>3007</v>
      </c>
      <c r="P228" s="1">
        <v>45521</v>
      </c>
      <c r="Q228" s="2">
        <v>21023308</v>
      </c>
      <c r="R228" t="s">
        <v>3008</v>
      </c>
      <c r="S228" t="s">
        <v>50</v>
      </c>
      <c r="T228" t="s">
        <v>45</v>
      </c>
      <c r="U228" t="s">
        <v>3009</v>
      </c>
      <c r="V228" t="s">
        <v>52</v>
      </c>
      <c r="W228" t="s">
        <v>3010</v>
      </c>
      <c r="X228" t="s">
        <v>2538</v>
      </c>
      <c r="Y228" t="s">
        <v>2184</v>
      </c>
      <c r="Z228" t="s">
        <v>3011</v>
      </c>
      <c r="AA228">
        <v>3</v>
      </c>
      <c r="AB228" t="s">
        <v>124</v>
      </c>
      <c r="AC228" t="s">
        <v>3012</v>
      </c>
      <c r="AD228" t="s">
        <v>3013</v>
      </c>
      <c r="AE228" t="s">
        <v>159</v>
      </c>
      <c r="AF228">
        <v>4607000</v>
      </c>
      <c r="AG228" s="3">
        <v>69105</v>
      </c>
      <c r="AK228" t="s">
        <v>3014</v>
      </c>
      <c r="AL228" s="3">
        <v>69105</v>
      </c>
      <c r="AM228">
        <v>0</v>
      </c>
      <c r="AN228" s="4">
        <f>Table103[[#This Row],[Premium]]-Table103[[#This Row],[Tms Prem]]</f>
        <v>0</v>
      </c>
    </row>
    <row r="229" spans="1:40" x14ac:dyDescent="0.25">
      <c r="A229">
        <v>228</v>
      </c>
      <c r="B229" t="s">
        <v>38</v>
      </c>
      <c r="C229" t="s">
        <v>3015</v>
      </c>
      <c r="D229" t="s">
        <v>40</v>
      </c>
      <c r="E229" t="s">
        <v>41</v>
      </c>
      <c r="F229" t="s">
        <v>3016</v>
      </c>
      <c r="G229" t="s">
        <v>80</v>
      </c>
      <c r="H229" t="s">
        <v>3017</v>
      </c>
      <c r="I229" t="s">
        <v>3018</v>
      </c>
      <c r="J229" t="s">
        <v>3019</v>
      </c>
      <c r="K229" t="s">
        <v>3020</v>
      </c>
      <c r="L229" t="s">
        <v>3021</v>
      </c>
      <c r="M229">
        <v>2816800</v>
      </c>
      <c r="N229">
        <v>4024000</v>
      </c>
      <c r="O229" t="s">
        <v>3022</v>
      </c>
      <c r="P229" s="1">
        <v>45530</v>
      </c>
      <c r="Q229" s="2">
        <v>16924572</v>
      </c>
      <c r="R229" t="s">
        <v>3023</v>
      </c>
      <c r="S229" t="s">
        <v>50</v>
      </c>
      <c r="T229" t="s">
        <v>45</v>
      </c>
      <c r="U229" t="s">
        <v>2236</v>
      </c>
      <c r="V229" t="s">
        <v>140</v>
      </c>
      <c r="W229" t="s">
        <v>406</v>
      </c>
      <c r="X229" t="s">
        <v>406</v>
      </c>
      <c r="Y229" t="s">
        <v>815</v>
      </c>
      <c r="Z229" t="s">
        <v>3024</v>
      </c>
      <c r="AA229">
        <v>5</v>
      </c>
      <c r="AB229" t="s">
        <v>57</v>
      </c>
      <c r="AC229" t="s">
        <v>3025</v>
      </c>
      <c r="AD229" t="s">
        <v>406</v>
      </c>
      <c r="AE229" t="s">
        <v>97</v>
      </c>
      <c r="AF229">
        <v>3219200</v>
      </c>
      <c r="AG229" s="3">
        <v>56336.000000000007</v>
      </c>
      <c r="AK229" t="s">
        <v>3026</v>
      </c>
      <c r="AL229" s="3">
        <v>56336</v>
      </c>
      <c r="AM229">
        <v>0</v>
      </c>
      <c r="AN229" s="4">
        <f>Table103[[#This Row],[Premium]]-Table103[[#This Row],[Tms Prem]]</f>
        <v>0</v>
      </c>
    </row>
    <row r="230" spans="1:40" x14ac:dyDescent="0.25">
      <c r="A230">
        <v>229</v>
      </c>
      <c r="B230" t="s">
        <v>38</v>
      </c>
      <c r="C230" t="s">
        <v>3027</v>
      </c>
      <c r="D230" t="s">
        <v>40</v>
      </c>
      <c r="E230" t="s">
        <v>41</v>
      </c>
      <c r="F230" t="s">
        <v>3028</v>
      </c>
      <c r="G230" t="s">
        <v>174</v>
      </c>
      <c r="H230" t="s">
        <v>3029</v>
      </c>
      <c r="I230" t="s">
        <v>45</v>
      </c>
      <c r="J230" t="s">
        <v>3030</v>
      </c>
      <c r="K230" t="s">
        <v>45</v>
      </c>
      <c r="L230" t="s">
        <v>3031</v>
      </c>
      <c r="M230">
        <v>2149840</v>
      </c>
      <c r="N230">
        <v>3908800</v>
      </c>
      <c r="O230" t="s">
        <v>3032</v>
      </c>
      <c r="P230" s="1">
        <v>45530</v>
      </c>
      <c r="Q230" s="2">
        <v>854765</v>
      </c>
      <c r="R230" t="s">
        <v>3033</v>
      </c>
      <c r="S230" t="s">
        <v>50</v>
      </c>
      <c r="T230" t="s">
        <v>45</v>
      </c>
      <c r="U230" t="s">
        <v>3034</v>
      </c>
      <c r="V230" t="s">
        <v>140</v>
      </c>
      <c r="W230" t="s">
        <v>804</v>
      </c>
      <c r="X230" t="s">
        <v>3035</v>
      </c>
      <c r="Y230" t="s">
        <v>3036</v>
      </c>
      <c r="Z230" t="s">
        <v>3037</v>
      </c>
      <c r="AA230">
        <v>5</v>
      </c>
      <c r="AB230" t="s">
        <v>57</v>
      </c>
      <c r="AC230" t="s">
        <v>3038</v>
      </c>
      <c r="AD230" t="s">
        <v>406</v>
      </c>
      <c r="AE230" t="s">
        <v>60</v>
      </c>
      <c r="AF230">
        <v>3322480</v>
      </c>
      <c r="AG230" s="3">
        <v>66450</v>
      </c>
      <c r="AK230" t="s">
        <v>3039</v>
      </c>
      <c r="AL230" s="3">
        <v>66450</v>
      </c>
      <c r="AM230">
        <v>0</v>
      </c>
      <c r="AN230" s="4">
        <f>Table103[[#This Row],[Premium]]-Table103[[#This Row],[Tms Prem]]</f>
        <v>0</v>
      </c>
    </row>
    <row r="231" spans="1:40" x14ac:dyDescent="0.25">
      <c r="A231">
        <v>230</v>
      </c>
      <c r="B231" t="s">
        <v>38</v>
      </c>
      <c r="C231" t="s">
        <v>3040</v>
      </c>
      <c r="D231" t="s">
        <v>40</v>
      </c>
      <c r="E231" t="s">
        <v>41</v>
      </c>
      <c r="F231" t="s">
        <v>3041</v>
      </c>
      <c r="G231" t="s">
        <v>114</v>
      </c>
      <c r="H231" t="s">
        <v>3042</v>
      </c>
      <c r="I231" t="s">
        <v>45</v>
      </c>
      <c r="J231" t="s">
        <v>3043</v>
      </c>
      <c r="K231" t="s">
        <v>45</v>
      </c>
      <c r="L231" t="s">
        <v>3044</v>
      </c>
      <c r="M231">
        <v>1175200</v>
      </c>
      <c r="N231">
        <v>1808000</v>
      </c>
      <c r="O231" t="s">
        <v>3045</v>
      </c>
      <c r="P231" s="1">
        <v>45530</v>
      </c>
      <c r="Q231" s="2" t="s">
        <v>3046</v>
      </c>
      <c r="R231" t="s">
        <v>3047</v>
      </c>
      <c r="S231" t="s">
        <v>50</v>
      </c>
      <c r="T231" t="s">
        <v>45</v>
      </c>
      <c r="U231" t="s">
        <v>3048</v>
      </c>
      <c r="V231" t="s">
        <v>140</v>
      </c>
      <c r="W231" t="s">
        <v>514</v>
      </c>
      <c r="X231" t="s">
        <v>873</v>
      </c>
      <c r="Y231" t="s">
        <v>874</v>
      </c>
      <c r="Z231" t="s">
        <v>3049</v>
      </c>
      <c r="AA231">
        <v>5</v>
      </c>
      <c r="AB231" t="s">
        <v>57</v>
      </c>
      <c r="AC231" t="s">
        <v>3050</v>
      </c>
      <c r="AD231" t="s">
        <v>406</v>
      </c>
      <c r="AE231" t="s">
        <v>60</v>
      </c>
      <c r="AF231">
        <v>1446400</v>
      </c>
      <c r="AG231" s="3">
        <v>28928</v>
      </c>
      <c r="AK231" t="s">
        <v>3051</v>
      </c>
      <c r="AL231" s="3">
        <v>28928</v>
      </c>
      <c r="AM231">
        <v>0</v>
      </c>
      <c r="AN231" s="4">
        <f>Table103[[#This Row],[Premium]]-Table103[[#This Row],[Tms Prem]]</f>
        <v>0</v>
      </c>
    </row>
    <row r="232" spans="1:40" x14ac:dyDescent="0.25">
      <c r="A232">
        <v>231</v>
      </c>
      <c r="B232" t="s">
        <v>38</v>
      </c>
      <c r="C232" t="s">
        <v>3052</v>
      </c>
      <c r="D232" t="s">
        <v>40</v>
      </c>
      <c r="E232" t="s">
        <v>41</v>
      </c>
      <c r="F232" t="s">
        <v>3053</v>
      </c>
      <c r="G232" t="s">
        <v>80</v>
      </c>
      <c r="H232" t="s">
        <v>3054</v>
      </c>
      <c r="I232" t="s">
        <v>45</v>
      </c>
      <c r="J232" t="s">
        <v>3055</v>
      </c>
      <c r="K232" t="s">
        <v>45</v>
      </c>
      <c r="L232" t="s">
        <v>3056</v>
      </c>
      <c r="M232">
        <v>1960000</v>
      </c>
      <c r="N232">
        <v>2800000</v>
      </c>
      <c r="O232" t="s">
        <v>3057</v>
      </c>
      <c r="P232" t="s">
        <v>3058</v>
      </c>
      <c r="Q232" s="2">
        <v>267868</v>
      </c>
      <c r="R232" t="s">
        <v>3059</v>
      </c>
      <c r="S232" t="s">
        <v>88</v>
      </c>
      <c r="T232" t="s">
        <v>88</v>
      </c>
      <c r="U232" t="s">
        <v>3060</v>
      </c>
      <c r="V232" t="s">
        <v>52</v>
      </c>
      <c r="W232">
        <v>45159</v>
      </c>
      <c r="X232" t="s">
        <v>2590</v>
      </c>
      <c r="Y232" t="s">
        <v>73</v>
      </c>
      <c r="Z232" t="s">
        <v>3061</v>
      </c>
      <c r="AA232">
        <v>3</v>
      </c>
      <c r="AB232" t="s">
        <v>94</v>
      </c>
      <c r="AC232" t="s">
        <v>3062</v>
      </c>
      <c r="AD232" t="s">
        <v>3063</v>
      </c>
      <c r="AE232" t="s">
        <v>97</v>
      </c>
      <c r="AF232">
        <v>2520000</v>
      </c>
      <c r="AG232" s="3">
        <v>44100.000000000007</v>
      </c>
      <c r="AK232" t="s">
        <v>3064</v>
      </c>
      <c r="AL232" s="3">
        <v>44100</v>
      </c>
      <c r="AM232">
        <v>0</v>
      </c>
      <c r="AN232" s="4">
        <f>Table103[[#This Row],[Premium]]-Table103[[#This Row],[Tms Prem]]</f>
        <v>0</v>
      </c>
    </row>
    <row r="233" spans="1:40" x14ac:dyDescent="0.25">
      <c r="A233">
        <v>232</v>
      </c>
      <c r="B233" t="s">
        <v>38</v>
      </c>
      <c r="C233" t="s">
        <v>3065</v>
      </c>
      <c r="D233" t="s">
        <v>40</v>
      </c>
      <c r="E233" t="s">
        <v>41</v>
      </c>
      <c r="F233" t="s">
        <v>3066</v>
      </c>
      <c r="G233" t="s">
        <v>114</v>
      </c>
      <c r="H233" t="s">
        <v>3067</v>
      </c>
      <c r="I233" t="s">
        <v>45</v>
      </c>
      <c r="J233" t="s">
        <v>3068</v>
      </c>
      <c r="K233" t="s">
        <v>45</v>
      </c>
      <c r="L233" t="s">
        <v>3069</v>
      </c>
      <c r="M233">
        <v>1188300</v>
      </c>
      <c r="N233">
        <v>1398000</v>
      </c>
      <c r="O233" t="s">
        <v>3070</v>
      </c>
      <c r="P233" s="1">
        <v>45530</v>
      </c>
      <c r="Q233" s="2">
        <v>138093</v>
      </c>
      <c r="R233" t="s">
        <v>3071</v>
      </c>
      <c r="S233" t="s">
        <v>50</v>
      </c>
      <c r="T233" t="s">
        <v>3072</v>
      </c>
      <c r="U233" t="s">
        <v>250</v>
      </c>
      <c r="V233" t="s">
        <v>90</v>
      </c>
      <c r="W233" t="s">
        <v>3073</v>
      </c>
      <c r="X233" t="s">
        <v>2704</v>
      </c>
      <c r="Y233" t="s">
        <v>407</v>
      </c>
      <c r="Z233" t="s">
        <v>3074</v>
      </c>
      <c r="AA233">
        <v>7</v>
      </c>
      <c r="AB233" t="s">
        <v>57</v>
      </c>
      <c r="AC233" t="s">
        <v>3075</v>
      </c>
      <c r="AD233" t="s">
        <v>2704</v>
      </c>
      <c r="AE233" t="s">
        <v>60</v>
      </c>
      <c r="AF233">
        <v>1048500</v>
      </c>
      <c r="AG233" s="3">
        <v>20970</v>
      </c>
      <c r="AK233" t="s">
        <v>3076</v>
      </c>
      <c r="AL233" s="3">
        <v>20970</v>
      </c>
      <c r="AM233">
        <v>0</v>
      </c>
      <c r="AN233" s="4">
        <f>Table103[[#This Row],[Premium]]-Table103[[#This Row],[Tms Prem]]</f>
        <v>0</v>
      </c>
    </row>
    <row r="234" spans="1:40" x14ac:dyDescent="0.25">
      <c r="A234">
        <v>233</v>
      </c>
      <c r="B234" t="s">
        <v>38</v>
      </c>
      <c r="C234" t="s">
        <v>3077</v>
      </c>
      <c r="D234" t="s">
        <v>40</v>
      </c>
      <c r="E234" t="s">
        <v>41</v>
      </c>
      <c r="F234" t="s">
        <v>3078</v>
      </c>
      <c r="G234" t="s">
        <v>174</v>
      </c>
      <c r="H234" t="s">
        <v>3079</v>
      </c>
      <c r="I234" t="s">
        <v>3080</v>
      </c>
      <c r="J234" t="s">
        <v>3080</v>
      </c>
      <c r="K234" t="s">
        <v>3080</v>
      </c>
      <c r="L234" t="s">
        <v>3081</v>
      </c>
      <c r="M234">
        <v>1221500</v>
      </c>
      <c r="N234">
        <v>1745000</v>
      </c>
      <c r="O234" t="s">
        <v>3082</v>
      </c>
      <c r="P234" s="1">
        <v>45530</v>
      </c>
      <c r="Q234" s="2">
        <v>161255</v>
      </c>
      <c r="R234" t="s">
        <v>3083</v>
      </c>
      <c r="S234" t="s">
        <v>50</v>
      </c>
      <c r="T234" t="s">
        <v>45</v>
      </c>
      <c r="U234" t="s">
        <v>3084</v>
      </c>
      <c r="V234" t="s">
        <v>90</v>
      </c>
      <c r="W234" t="s">
        <v>3073</v>
      </c>
      <c r="X234" t="s">
        <v>2704</v>
      </c>
      <c r="Y234" t="s">
        <v>2184</v>
      </c>
      <c r="Z234" t="s">
        <v>3085</v>
      </c>
      <c r="AA234">
        <v>5</v>
      </c>
      <c r="AB234" t="s">
        <v>124</v>
      </c>
      <c r="AC234" t="s">
        <v>3086</v>
      </c>
      <c r="AD234" t="s">
        <v>2704</v>
      </c>
      <c r="AE234" t="s">
        <v>60</v>
      </c>
      <c r="AF234">
        <v>1308750</v>
      </c>
      <c r="AG234" s="3">
        <v>26175</v>
      </c>
      <c r="AK234" t="s">
        <v>3087</v>
      </c>
      <c r="AL234" s="3">
        <v>26175</v>
      </c>
      <c r="AM234">
        <v>0</v>
      </c>
      <c r="AN234" s="4">
        <f>Table103[[#This Row],[Premium]]-Table103[[#This Row],[Tms Prem]]</f>
        <v>0</v>
      </c>
    </row>
    <row r="235" spans="1:40" x14ac:dyDescent="0.25">
      <c r="A235">
        <v>234</v>
      </c>
      <c r="B235" t="s">
        <v>471</v>
      </c>
      <c r="C235" t="s">
        <v>3088</v>
      </c>
      <c r="D235" t="s">
        <v>40</v>
      </c>
      <c r="E235" t="s">
        <v>41</v>
      </c>
      <c r="F235" t="s">
        <v>3089</v>
      </c>
      <c r="G235" t="s">
        <v>80</v>
      </c>
      <c r="H235" t="s">
        <v>3090</v>
      </c>
      <c r="I235" t="s">
        <v>45</v>
      </c>
      <c r="J235" t="s">
        <v>3091</v>
      </c>
      <c r="K235" t="s">
        <v>45</v>
      </c>
      <c r="L235" t="s">
        <v>3092</v>
      </c>
      <c r="M235">
        <v>1697500</v>
      </c>
      <c r="N235">
        <v>2425000</v>
      </c>
      <c r="O235" t="s">
        <v>3093</v>
      </c>
      <c r="P235" s="1">
        <v>45529</v>
      </c>
      <c r="Q235" s="2" t="s">
        <v>3094</v>
      </c>
      <c r="R235" t="s">
        <v>3095</v>
      </c>
      <c r="S235" t="s">
        <v>88</v>
      </c>
      <c r="T235" t="s">
        <v>3096</v>
      </c>
      <c r="U235" t="s">
        <v>51</v>
      </c>
      <c r="V235" t="s">
        <v>140</v>
      </c>
      <c r="W235" t="s">
        <v>2538</v>
      </c>
      <c r="X235" t="s">
        <v>2538</v>
      </c>
      <c r="Y235" t="s">
        <v>407</v>
      </c>
      <c r="Z235" t="s">
        <v>3097</v>
      </c>
      <c r="AA235">
        <v>5</v>
      </c>
      <c r="AB235" t="s">
        <v>124</v>
      </c>
      <c r="AC235" t="s">
        <v>3098</v>
      </c>
      <c r="AD235" t="s">
        <v>2655</v>
      </c>
      <c r="AE235" t="s">
        <v>159</v>
      </c>
      <c r="AF235">
        <v>2061250</v>
      </c>
      <c r="AG235" s="3">
        <v>30919</v>
      </c>
      <c r="AK235" t="s">
        <v>3099</v>
      </c>
      <c r="AL235" s="3">
        <v>30919</v>
      </c>
      <c r="AM235">
        <v>0</v>
      </c>
      <c r="AN235" s="4">
        <f>Table103[[#This Row],[Premium]]-Table103[[#This Row],[Tms Prem]]</f>
        <v>0</v>
      </c>
    </row>
    <row r="236" spans="1:40" x14ac:dyDescent="0.25">
      <c r="A236">
        <v>235</v>
      </c>
      <c r="B236" t="s">
        <v>38</v>
      </c>
      <c r="C236" t="s">
        <v>3100</v>
      </c>
      <c r="D236" t="s">
        <v>40</v>
      </c>
      <c r="E236" t="s">
        <v>41</v>
      </c>
      <c r="F236" t="s">
        <v>3101</v>
      </c>
      <c r="G236" t="s">
        <v>174</v>
      </c>
      <c r="H236" t="s">
        <v>3102</v>
      </c>
      <c r="I236" t="s">
        <v>3103</v>
      </c>
      <c r="J236" t="s">
        <v>3103</v>
      </c>
      <c r="K236" t="s">
        <v>3104</v>
      </c>
      <c r="L236" t="s">
        <v>3105</v>
      </c>
      <c r="M236">
        <v>1198500</v>
      </c>
      <c r="N236">
        <v>1598000</v>
      </c>
      <c r="O236" t="s">
        <v>3106</v>
      </c>
      <c r="P236" s="1">
        <v>45522</v>
      </c>
      <c r="Q236" s="2" t="s">
        <v>3107</v>
      </c>
      <c r="R236" t="s">
        <v>3108</v>
      </c>
      <c r="S236" t="s">
        <v>50</v>
      </c>
      <c r="T236" t="s">
        <v>3109</v>
      </c>
      <c r="U236" t="s">
        <v>3110</v>
      </c>
      <c r="V236" t="s">
        <v>90</v>
      </c>
      <c r="W236" t="s">
        <v>423</v>
      </c>
      <c r="X236" t="s">
        <v>423</v>
      </c>
      <c r="Y236" t="s">
        <v>424</v>
      </c>
      <c r="Z236" t="s">
        <v>3111</v>
      </c>
      <c r="AA236">
        <v>5</v>
      </c>
      <c r="AB236" t="s">
        <v>124</v>
      </c>
      <c r="AC236" t="s">
        <v>3112</v>
      </c>
      <c r="AD236" t="s">
        <v>2910</v>
      </c>
      <c r="AE236" t="s">
        <v>60</v>
      </c>
      <c r="AF236">
        <v>1198500</v>
      </c>
      <c r="AG236" s="3">
        <v>23970</v>
      </c>
      <c r="AK236" t="s">
        <v>3113</v>
      </c>
      <c r="AL236" s="3">
        <v>23970</v>
      </c>
      <c r="AM236">
        <v>0</v>
      </c>
      <c r="AN236" s="4">
        <f>Table103[[#This Row],[Premium]]-Table103[[#This Row],[Tms Prem]]</f>
        <v>0</v>
      </c>
    </row>
    <row r="237" spans="1:40" x14ac:dyDescent="0.25">
      <c r="A237">
        <v>236</v>
      </c>
      <c r="B237" t="s">
        <v>38</v>
      </c>
      <c r="C237" t="s">
        <v>3114</v>
      </c>
      <c r="D237" t="s">
        <v>40</v>
      </c>
      <c r="E237" t="s">
        <v>41</v>
      </c>
      <c r="F237" t="s">
        <v>3115</v>
      </c>
      <c r="G237" t="s">
        <v>80</v>
      </c>
      <c r="H237" t="s">
        <v>3116</v>
      </c>
      <c r="I237" t="s">
        <v>3117</v>
      </c>
      <c r="J237" t="s">
        <v>3117</v>
      </c>
      <c r="K237" t="s">
        <v>151</v>
      </c>
      <c r="L237" t="s">
        <v>3118</v>
      </c>
      <c r="M237">
        <v>1329300</v>
      </c>
      <c r="N237">
        <v>1899000</v>
      </c>
      <c r="O237" t="s">
        <v>3119</v>
      </c>
      <c r="P237" s="1">
        <v>45522</v>
      </c>
      <c r="Q237" s="2" t="s">
        <v>3120</v>
      </c>
      <c r="R237" t="s">
        <v>3121</v>
      </c>
      <c r="S237" t="s">
        <v>50</v>
      </c>
      <c r="T237" t="s">
        <v>3122</v>
      </c>
      <c r="U237" t="s">
        <v>3123</v>
      </c>
      <c r="V237" t="s">
        <v>90</v>
      </c>
      <c r="W237" t="s">
        <v>3124</v>
      </c>
      <c r="X237" t="s">
        <v>1599</v>
      </c>
      <c r="Y237" t="s">
        <v>1189</v>
      </c>
      <c r="Z237" t="s">
        <v>3125</v>
      </c>
      <c r="AA237">
        <v>7</v>
      </c>
      <c r="AB237" t="s">
        <v>57</v>
      </c>
      <c r="AC237" t="s">
        <v>3126</v>
      </c>
      <c r="AD237" t="s">
        <v>3127</v>
      </c>
      <c r="AE237" t="s">
        <v>60</v>
      </c>
      <c r="AF237">
        <v>1595160</v>
      </c>
      <c r="AG237" s="3">
        <v>32046</v>
      </c>
      <c r="AK237" t="s">
        <v>3128</v>
      </c>
      <c r="AL237" s="3">
        <v>31903</v>
      </c>
      <c r="AM237" t="s">
        <v>4089</v>
      </c>
      <c r="AN237" s="4">
        <f>Table103[[#This Row],[Premium]]-Table103[[#This Row],[Tms Prem]]</f>
        <v>143</v>
      </c>
    </row>
    <row r="238" spans="1:40" x14ac:dyDescent="0.25">
      <c r="A238">
        <v>237</v>
      </c>
      <c r="B238" t="s">
        <v>38</v>
      </c>
      <c r="C238" t="s">
        <v>3129</v>
      </c>
      <c r="D238" t="s">
        <v>40</v>
      </c>
      <c r="E238" t="s">
        <v>41</v>
      </c>
      <c r="F238" t="s">
        <v>3130</v>
      </c>
      <c r="G238" t="s">
        <v>80</v>
      </c>
      <c r="H238" t="s">
        <v>3131</v>
      </c>
      <c r="I238" t="s">
        <v>45</v>
      </c>
      <c r="J238" t="s">
        <v>3132</v>
      </c>
      <c r="K238" t="s">
        <v>45</v>
      </c>
      <c r="L238" t="s">
        <v>3133</v>
      </c>
      <c r="M238">
        <v>1200500</v>
      </c>
      <c r="N238">
        <v>1715000</v>
      </c>
      <c r="O238" t="s">
        <v>3134</v>
      </c>
      <c r="P238" s="1">
        <v>45522</v>
      </c>
      <c r="Q238" s="2" t="s">
        <v>3135</v>
      </c>
      <c r="R238" t="s">
        <v>3136</v>
      </c>
      <c r="S238" t="s">
        <v>88</v>
      </c>
      <c r="T238" t="s">
        <v>3137</v>
      </c>
      <c r="U238" t="s">
        <v>3138</v>
      </c>
      <c r="V238" t="s">
        <v>107</v>
      </c>
      <c r="W238" t="s">
        <v>3139</v>
      </c>
      <c r="X238" t="s">
        <v>2538</v>
      </c>
      <c r="Y238" t="s">
        <v>407</v>
      </c>
      <c r="Z238" t="s">
        <v>3140</v>
      </c>
      <c r="AA238">
        <v>5</v>
      </c>
      <c r="AB238" t="s">
        <v>124</v>
      </c>
      <c r="AC238" t="s">
        <v>3141</v>
      </c>
      <c r="AD238" t="s">
        <v>3142</v>
      </c>
      <c r="AE238" t="s">
        <v>159</v>
      </c>
      <c r="AF238">
        <v>1457750</v>
      </c>
      <c r="AG238" s="3">
        <v>21867</v>
      </c>
      <c r="AK238" t="s">
        <v>3143</v>
      </c>
      <c r="AL238" s="3">
        <v>21866</v>
      </c>
      <c r="AM238">
        <v>0</v>
      </c>
      <c r="AN238" s="4">
        <f>Table103[[#This Row],[Premium]]-Table103[[#This Row],[Tms Prem]]</f>
        <v>1</v>
      </c>
    </row>
    <row r="239" spans="1:40" x14ac:dyDescent="0.25">
      <c r="A239">
        <v>238</v>
      </c>
      <c r="B239" t="s">
        <v>38</v>
      </c>
      <c r="C239" t="s">
        <v>3144</v>
      </c>
      <c r="D239" t="s">
        <v>40</v>
      </c>
      <c r="E239" t="s">
        <v>41</v>
      </c>
      <c r="F239" t="s">
        <v>3145</v>
      </c>
      <c r="G239" t="s">
        <v>80</v>
      </c>
      <c r="H239" t="s">
        <v>3146</v>
      </c>
      <c r="I239" t="s">
        <v>3147</v>
      </c>
      <c r="J239" t="s">
        <v>3148</v>
      </c>
      <c r="K239" t="s">
        <v>45</v>
      </c>
      <c r="L239" t="s">
        <v>3149</v>
      </c>
      <c r="M239">
        <v>1276000</v>
      </c>
      <c r="N239">
        <v>2200000</v>
      </c>
      <c r="O239" t="s">
        <v>3150</v>
      </c>
      <c r="P239" s="1">
        <v>45522</v>
      </c>
      <c r="Q239" s="2">
        <v>13048854</v>
      </c>
      <c r="R239" t="s">
        <v>3151</v>
      </c>
      <c r="S239" t="s">
        <v>88</v>
      </c>
      <c r="T239" t="s">
        <v>3152</v>
      </c>
      <c r="U239" t="s">
        <v>3153</v>
      </c>
      <c r="V239" t="s">
        <v>90</v>
      </c>
      <c r="W239" t="s">
        <v>3139</v>
      </c>
      <c r="X239" t="s">
        <v>2538</v>
      </c>
      <c r="Y239" t="s">
        <v>2184</v>
      </c>
      <c r="Z239" t="s">
        <v>3154</v>
      </c>
      <c r="AA239">
        <v>3</v>
      </c>
      <c r="AB239" t="s">
        <v>124</v>
      </c>
      <c r="AC239" t="s">
        <v>3155</v>
      </c>
      <c r="AD239" t="s">
        <v>2779</v>
      </c>
      <c r="AE239" t="s">
        <v>159</v>
      </c>
      <c r="AF239">
        <v>1870000</v>
      </c>
      <c r="AG239" s="3">
        <v>28050</v>
      </c>
      <c r="AK239" t="s">
        <v>3156</v>
      </c>
      <c r="AL239" s="3">
        <v>32725</v>
      </c>
      <c r="AM239" t="s">
        <v>4090</v>
      </c>
      <c r="AN239" s="4">
        <f>Table103[[#This Row],[Premium]]-Table103[[#This Row],[Tms Prem]]</f>
        <v>-4675</v>
      </c>
    </row>
    <row r="240" spans="1:40" x14ac:dyDescent="0.25">
      <c r="A240">
        <v>239</v>
      </c>
      <c r="B240" t="s">
        <v>471</v>
      </c>
      <c r="C240" t="s">
        <v>3157</v>
      </c>
      <c r="D240" t="s">
        <v>40</v>
      </c>
      <c r="E240" t="s">
        <v>41</v>
      </c>
      <c r="F240" t="s">
        <v>3158</v>
      </c>
      <c r="G240" t="s">
        <v>80</v>
      </c>
      <c r="H240" t="s">
        <v>3159</v>
      </c>
      <c r="I240" t="s">
        <v>3160</v>
      </c>
      <c r="J240" t="s">
        <v>3161</v>
      </c>
      <c r="K240" t="s">
        <v>3162</v>
      </c>
      <c r="L240" t="s">
        <v>3163</v>
      </c>
      <c r="M240">
        <v>2450000</v>
      </c>
      <c r="N240">
        <v>3500000</v>
      </c>
      <c r="O240" t="s">
        <v>3164</v>
      </c>
      <c r="P240" s="1">
        <v>45529</v>
      </c>
      <c r="Q240" s="2">
        <v>332592</v>
      </c>
      <c r="R240" t="s">
        <v>3165</v>
      </c>
      <c r="S240" t="s">
        <v>88</v>
      </c>
      <c r="T240" t="s">
        <v>45</v>
      </c>
      <c r="U240" t="s">
        <v>1413</v>
      </c>
      <c r="V240" t="s">
        <v>365</v>
      </c>
      <c r="W240" t="s">
        <v>3166</v>
      </c>
      <c r="X240" t="s">
        <v>406</v>
      </c>
      <c r="Y240" t="s">
        <v>815</v>
      </c>
      <c r="Z240" t="s">
        <v>3167</v>
      </c>
      <c r="AA240">
        <v>5</v>
      </c>
      <c r="AB240" t="s">
        <v>57</v>
      </c>
      <c r="AC240" t="s">
        <v>3168</v>
      </c>
      <c r="AD240" t="s">
        <v>3166</v>
      </c>
      <c r="AE240" t="s">
        <v>60</v>
      </c>
      <c r="AF240">
        <v>2800000</v>
      </c>
      <c r="AG240" s="3">
        <v>56000</v>
      </c>
      <c r="AK240" t="s">
        <v>3169</v>
      </c>
      <c r="AL240" s="3">
        <v>56000</v>
      </c>
      <c r="AM240">
        <v>0</v>
      </c>
      <c r="AN240" s="4">
        <f>Table103[[#This Row],[Premium]]-Table103[[#This Row],[Tms Prem]]</f>
        <v>0</v>
      </c>
    </row>
    <row r="241" spans="1:40" x14ac:dyDescent="0.25">
      <c r="A241">
        <v>240</v>
      </c>
      <c r="B241" t="s">
        <v>38</v>
      </c>
      <c r="C241" t="s">
        <v>3170</v>
      </c>
      <c r="D241" t="s">
        <v>40</v>
      </c>
      <c r="E241" t="s">
        <v>41</v>
      </c>
      <c r="F241" t="s">
        <v>3171</v>
      </c>
      <c r="G241" t="s">
        <v>80</v>
      </c>
      <c r="H241" t="s">
        <v>3172</v>
      </c>
      <c r="I241" t="s">
        <v>3173</v>
      </c>
      <c r="J241" t="s">
        <v>3174</v>
      </c>
      <c r="K241" t="s">
        <v>45</v>
      </c>
      <c r="L241" t="s">
        <v>3175</v>
      </c>
      <c r="M241">
        <v>1820000</v>
      </c>
      <c r="N241">
        <v>2600000</v>
      </c>
      <c r="O241" t="s">
        <v>3176</v>
      </c>
      <c r="P241" s="1">
        <v>45529</v>
      </c>
      <c r="Q241" s="2">
        <v>47624</v>
      </c>
      <c r="R241" t="s">
        <v>3177</v>
      </c>
      <c r="S241" t="s">
        <v>50</v>
      </c>
      <c r="T241" t="s">
        <v>45</v>
      </c>
      <c r="U241" t="s">
        <v>1763</v>
      </c>
      <c r="V241" t="s">
        <v>52</v>
      </c>
      <c r="W241" t="s">
        <v>1548</v>
      </c>
      <c r="X241" t="s">
        <v>829</v>
      </c>
      <c r="Y241" t="s">
        <v>772</v>
      </c>
      <c r="Z241" t="s">
        <v>3178</v>
      </c>
      <c r="AA241">
        <v>3</v>
      </c>
      <c r="AB241" t="s">
        <v>124</v>
      </c>
      <c r="AC241" t="s">
        <v>3179</v>
      </c>
      <c r="AD241" t="s">
        <v>2779</v>
      </c>
      <c r="AE241" t="s">
        <v>60</v>
      </c>
      <c r="AF241">
        <v>2210000</v>
      </c>
      <c r="AG241" s="3">
        <v>44200</v>
      </c>
      <c r="AK241" t="s">
        <v>3180</v>
      </c>
      <c r="AL241" s="3">
        <v>44200</v>
      </c>
      <c r="AM241">
        <v>0</v>
      </c>
      <c r="AN241" s="4">
        <f>Table103[[#This Row],[Premium]]-Table103[[#This Row],[Tms Prem]]</f>
        <v>0</v>
      </c>
    </row>
    <row r="242" spans="1:40" x14ac:dyDescent="0.25">
      <c r="A242">
        <v>241</v>
      </c>
      <c r="B242" t="s">
        <v>38</v>
      </c>
      <c r="C242" t="s">
        <v>3181</v>
      </c>
      <c r="D242" t="s">
        <v>40</v>
      </c>
      <c r="E242" t="s">
        <v>41</v>
      </c>
      <c r="F242" t="s">
        <v>3182</v>
      </c>
      <c r="G242" t="s">
        <v>80</v>
      </c>
      <c r="H242" t="s">
        <v>3183</v>
      </c>
      <c r="I242" t="s">
        <v>3184</v>
      </c>
      <c r="J242" t="s">
        <v>3184</v>
      </c>
      <c r="K242" t="s">
        <v>3184</v>
      </c>
      <c r="L242" t="s">
        <v>3185</v>
      </c>
      <c r="M242">
        <v>2625000</v>
      </c>
      <c r="N242">
        <v>3750000</v>
      </c>
      <c r="O242" t="s">
        <v>3186</v>
      </c>
      <c r="P242" s="1">
        <v>45522</v>
      </c>
      <c r="Q242" s="2" t="s">
        <v>3187</v>
      </c>
      <c r="R242" t="s">
        <v>3188</v>
      </c>
      <c r="S242" t="s">
        <v>88</v>
      </c>
      <c r="T242" t="s">
        <v>3189</v>
      </c>
      <c r="U242" t="s">
        <v>871</v>
      </c>
      <c r="V242" t="s">
        <v>140</v>
      </c>
      <c r="W242" t="s">
        <v>2984</v>
      </c>
      <c r="X242" t="s">
        <v>2538</v>
      </c>
      <c r="Y242" t="s">
        <v>2184</v>
      </c>
      <c r="Z242" t="s">
        <v>3190</v>
      </c>
      <c r="AA242">
        <v>3</v>
      </c>
      <c r="AB242" t="s">
        <v>94</v>
      </c>
      <c r="AC242" t="s">
        <v>3191</v>
      </c>
      <c r="AD242" t="s">
        <v>2779</v>
      </c>
      <c r="AE242" t="s">
        <v>159</v>
      </c>
      <c r="AF242">
        <v>3187500</v>
      </c>
      <c r="AG242" s="3">
        <v>47813</v>
      </c>
      <c r="AK242" t="s">
        <v>3192</v>
      </c>
      <c r="AL242" s="3">
        <v>47813</v>
      </c>
      <c r="AM242">
        <v>0</v>
      </c>
      <c r="AN242" s="4">
        <f>Table103[[#This Row],[Premium]]-Table103[[#This Row],[Tms Prem]]</f>
        <v>0</v>
      </c>
    </row>
    <row r="243" spans="1:40" x14ac:dyDescent="0.25">
      <c r="A243">
        <v>242</v>
      </c>
      <c r="B243" t="s">
        <v>38</v>
      </c>
      <c r="C243" t="s">
        <v>3193</v>
      </c>
      <c r="D243" t="s">
        <v>40</v>
      </c>
      <c r="E243" t="s">
        <v>41</v>
      </c>
      <c r="F243" t="s">
        <v>3194</v>
      </c>
      <c r="G243" t="s">
        <v>289</v>
      </c>
      <c r="H243" t="s">
        <v>3195</v>
      </c>
      <c r="I243" t="s">
        <v>3196</v>
      </c>
      <c r="J243" t="s">
        <v>45</v>
      </c>
      <c r="K243" t="s">
        <v>3197</v>
      </c>
      <c r="L243" t="s">
        <v>3198</v>
      </c>
      <c r="M243">
        <v>1435000</v>
      </c>
      <c r="N243">
        <v>2050000</v>
      </c>
      <c r="O243" t="s">
        <v>3199</v>
      </c>
      <c r="P243" s="1">
        <v>45522</v>
      </c>
      <c r="Q243" s="2">
        <v>100411</v>
      </c>
      <c r="R243" t="s">
        <v>3200</v>
      </c>
      <c r="S243" t="s">
        <v>88</v>
      </c>
      <c r="T243" t="s">
        <v>3201</v>
      </c>
      <c r="U243" t="s">
        <v>1230</v>
      </c>
      <c r="V243" t="s">
        <v>107</v>
      </c>
      <c r="W243" t="s">
        <v>2984</v>
      </c>
      <c r="X243" t="s">
        <v>2538</v>
      </c>
      <c r="Y243" t="s">
        <v>407</v>
      </c>
      <c r="Z243" t="s">
        <v>3202</v>
      </c>
      <c r="AA243">
        <v>5</v>
      </c>
      <c r="AB243" t="s">
        <v>124</v>
      </c>
      <c r="AC243" t="s">
        <v>3203</v>
      </c>
      <c r="AD243" t="s">
        <v>3142</v>
      </c>
      <c r="AE243" t="s">
        <v>97</v>
      </c>
      <c r="AF243">
        <v>1742500</v>
      </c>
      <c r="AG243" s="3">
        <v>30494</v>
      </c>
      <c r="AK243" t="s">
        <v>3204</v>
      </c>
      <c r="AL243" s="3">
        <v>30494</v>
      </c>
      <c r="AM243">
        <v>0</v>
      </c>
      <c r="AN243" s="4">
        <f>Table103[[#This Row],[Premium]]-Table103[[#This Row],[Tms Prem]]</f>
        <v>0</v>
      </c>
    </row>
    <row r="244" spans="1:40" x14ac:dyDescent="0.25">
      <c r="A244">
        <v>243</v>
      </c>
      <c r="B244" t="s">
        <v>38</v>
      </c>
      <c r="C244" t="s">
        <v>3205</v>
      </c>
      <c r="D244" t="s">
        <v>40</v>
      </c>
      <c r="E244" t="s">
        <v>41</v>
      </c>
      <c r="F244" t="s">
        <v>3206</v>
      </c>
      <c r="G244" t="s">
        <v>174</v>
      </c>
      <c r="H244" t="s">
        <v>3207</v>
      </c>
      <c r="I244" t="s">
        <v>3208</v>
      </c>
      <c r="J244" t="s">
        <v>3208</v>
      </c>
      <c r="K244" t="s">
        <v>3208</v>
      </c>
      <c r="L244" t="s">
        <v>3209</v>
      </c>
      <c r="M244">
        <v>1244750</v>
      </c>
      <c r="N244">
        <v>1915000</v>
      </c>
      <c r="O244" t="s">
        <v>3210</v>
      </c>
      <c r="P244" s="1">
        <v>45522</v>
      </c>
      <c r="Q244" s="2">
        <v>108803</v>
      </c>
      <c r="R244" t="s">
        <v>3211</v>
      </c>
      <c r="S244" t="s">
        <v>88</v>
      </c>
      <c r="T244" t="s">
        <v>3212</v>
      </c>
      <c r="U244" t="s">
        <v>221</v>
      </c>
      <c r="V244" t="s">
        <v>662</v>
      </c>
      <c r="W244" t="s">
        <v>3213</v>
      </c>
      <c r="X244" t="s">
        <v>2538</v>
      </c>
      <c r="Y244" t="s">
        <v>407</v>
      </c>
      <c r="Z244" t="s">
        <v>3214</v>
      </c>
      <c r="AA244">
        <v>5</v>
      </c>
      <c r="AB244" t="s">
        <v>94</v>
      </c>
      <c r="AC244" t="s">
        <v>3215</v>
      </c>
      <c r="AD244" t="s">
        <v>2779</v>
      </c>
      <c r="AE244" t="s">
        <v>97</v>
      </c>
      <c r="AF244">
        <v>1627750</v>
      </c>
      <c r="AG244" s="3">
        <v>28486</v>
      </c>
      <c r="AK244" t="s">
        <v>3216</v>
      </c>
      <c r="AL244" s="3">
        <v>28486</v>
      </c>
      <c r="AM244">
        <v>0</v>
      </c>
      <c r="AN244" s="4">
        <f>Table103[[#This Row],[Premium]]-Table103[[#This Row],[Tms Prem]]</f>
        <v>0</v>
      </c>
    </row>
    <row r="245" spans="1:40" x14ac:dyDescent="0.25">
      <c r="A245">
        <v>244</v>
      </c>
      <c r="B245" t="s">
        <v>38</v>
      </c>
      <c r="C245" t="s">
        <v>3217</v>
      </c>
      <c r="D245" t="s">
        <v>40</v>
      </c>
      <c r="E245" t="s">
        <v>41</v>
      </c>
      <c r="F245" t="s">
        <v>3218</v>
      </c>
      <c r="G245" t="s">
        <v>174</v>
      </c>
      <c r="H245" t="s">
        <v>3219</v>
      </c>
      <c r="I245" t="s">
        <v>3220</v>
      </c>
      <c r="J245" t="s">
        <v>3220</v>
      </c>
      <c r="K245" t="s">
        <v>3220</v>
      </c>
      <c r="L245" t="s">
        <v>3221</v>
      </c>
      <c r="M245">
        <v>1280000</v>
      </c>
      <c r="N245">
        <v>2000000</v>
      </c>
      <c r="O245" t="s">
        <v>3222</v>
      </c>
      <c r="P245" s="1">
        <v>45522</v>
      </c>
      <c r="Q245" s="2" t="s">
        <v>3223</v>
      </c>
      <c r="R245" t="s">
        <v>3224</v>
      </c>
      <c r="S245" t="s">
        <v>88</v>
      </c>
      <c r="T245" t="s">
        <v>3225</v>
      </c>
      <c r="U245" t="s">
        <v>208</v>
      </c>
      <c r="V245" t="s">
        <v>717</v>
      </c>
      <c r="W245" t="s">
        <v>3213</v>
      </c>
      <c r="X245" t="s">
        <v>2538</v>
      </c>
      <c r="Y245" t="s">
        <v>2184</v>
      </c>
      <c r="Z245" t="s">
        <v>3226</v>
      </c>
      <c r="AA245">
        <v>3</v>
      </c>
      <c r="AB245" t="s">
        <v>124</v>
      </c>
      <c r="AC245" t="s">
        <v>3227</v>
      </c>
      <c r="AD245" t="s">
        <v>2426</v>
      </c>
      <c r="AE245" t="s">
        <v>97</v>
      </c>
      <c r="AF245">
        <v>1700000</v>
      </c>
      <c r="AG245" s="3">
        <v>29750.000000000004</v>
      </c>
      <c r="AK245" t="s">
        <v>3228</v>
      </c>
      <c r="AL245" s="3">
        <v>29750</v>
      </c>
      <c r="AM245">
        <v>0</v>
      </c>
      <c r="AN245" s="4">
        <f>Table103[[#This Row],[Premium]]-Table103[[#This Row],[Tms Prem]]</f>
        <v>0</v>
      </c>
    </row>
    <row r="246" spans="1:40" x14ac:dyDescent="0.25">
      <c r="A246">
        <v>245</v>
      </c>
      <c r="B246" t="s">
        <v>38</v>
      </c>
      <c r="C246" t="s">
        <v>3229</v>
      </c>
      <c r="D246" t="s">
        <v>40</v>
      </c>
      <c r="E246" t="s">
        <v>41</v>
      </c>
      <c r="F246" t="s">
        <v>3230</v>
      </c>
      <c r="G246" t="s">
        <v>80</v>
      </c>
      <c r="H246" t="s">
        <v>3231</v>
      </c>
      <c r="I246" t="s">
        <v>3232</v>
      </c>
      <c r="J246" t="s">
        <v>3233</v>
      </c>
      <c r="K246" t="s">
        <v>3232</v>
      </c>
      <c r="L246" t="s">
        <v>3234</v>
      </c>
      <c r="M246">
        <v>1082200</v>
      </c>
      <c r="N246">
        <v>1546000</v>
      </c>
      <c r="O246" t="s">
        <v>3235</v>
      </c>
      <c r="P246" s="1">
        <v>45529</v>
      </c>
      <c r="Q246" s="2" t="s">
        <v>3236</v>
      </c>
      <c r="R246" t="s">
        <v>3237</v>
      </c>
      <c r="S246" t="s">
        <v>50</v>
      </c>
      <c r="T246" t="s">
        <v>45</v>
      </c>
      <c r="U246" t="s">
        <v>452</v>
      </c>
      <c r="V246" t="s">
        <v>52</v>
      </c>
      <c r="W246" t="s">
        <v>3238</v>
      </c>
      <c r="X246" t="s">
        <v>829</v>
      </c>
      <c r="Y246" t="s">
        <v>772</v>
      </c>
      <c r="Z246" t="s">
        <v>3239</v>
      </c>
      <c r="AA246">
        <v>3</v>
      </c>
      <c r="AB246" t="s">
        <v>196</v>
      </c>
      <c r="AC246" t="s">
        <v>3240</v>
      </c>
      <c r="AD246" t="s">
        <v>3213</v>
      </c>
      <c r="AE246" t="s">
        <v>60</v>
      </c>
      <c r="AF246">
        <v>1314100</v>
      </c>
      <c r="AG246" s="3">
        <v>26282</v>
      </c>
      <c r="AK246" t="s">
        <v>3241</v>
      </c>
      <c r="AL246" s="3">
        <v>26282</v>
      </c>
      <c r="AM246">
        <v>0</v>
      </c>
      <c r="AN246" s="4">
        <f>Table103[[#This Row],[Premium]]-Table103[[#This Row],[Tms Prem]]</f>
        <v>0</v>
      </c>
    </row>
    <row r="247" spans="1:40" x14ac:dyDescent="0.25">
      <c r="A247">
        <v>246</v>
      </c>
      <c r="B247" t="s">
        <v>38</v>
      </c>
      <c r="C247" t="s">
        <v>3242</v>
      </c>
      <c r="D247" t="s">
        <v>40</v>
      </c>
      <c r="E247" t="s">
        <v>41</v>
      </c>
      <c r="F247" t="s">
        <v>3243</v>
      </c>
      <c r="G247" t="s">
        <v>174</v>
      </c>
      <c r="H247" t="s">
        <v>3244</v>
      </c>
      <c r="I247" t="s">
        <v>3245</v>
      </c>
      <c r="J247" t="s">
        <v>3245</v>
      </c>
      <c r="K247" t="s">
        <v>3246</v>
      </c>
      <c r="L247" t="s">
        <v>3247</v>
      </c>
      <c r="M247">
        <v>1794800</v>
      </c>
      <c r="N247">
        <v>2564000</v>
      </c>
      <c r="O247" t="s">
        <v>3248</v>
      </c>
      <c r="P247" s="1">
        <v>45522</v>
      </c>
      <c r="Q247" s="2">
        <v>199869</v>
      </c>
      <c r="R247" t="s">
        <v>3249</v>
      </c>
      <c r="S247" t="s">
        <v>50</v>
      </c>
      <c r="T247" t="s">
        <v>45</v>
      </c>
      <c r="U247" t="s">
        <v>3250</v>
      </c>
      <c r="V247" t="s">
        <v>52</v>
      </c>
      <c r="W247" t="s">
        <v>3251</v>
      </c>
      <c r="X247" t="s">
        <v>829</v>
      </c>
      <c r="Y247" t="s">
        <v>772</v>
      </c>
      <c r="Z247" t="s">
        <v>3252</v>
      </c>
      <c r="AA247">
        <v>3</v>
      </c>
      <c r="AB247" t="s">
        <v>94</v>
      </c>
      <c r="AC247" t="s">
        <v>3253</v>
      </c>
      <c r="AD247" t="s">
        <v>2779</v>
      </c>
      <c r="AE247" t="s">
        <v>159</v>
      </c>
      <c r="AF247">
        <v>2179400</v>
      </c>
      <c r="AG247" s="3">
        <v>32691</v>
      </c>
      <c r="AK247" t="s">
        <v>3254</v>
      </c>
      <c r="AL247" s="3">
        <v>32691</v>
      </c>
      <c r="AM247">
        <v>0</v>
      </c>
      <c r="AN247" s="4">
        <f>Table103[[#This Row],[Premium]]-Table103[[#This Row],[Tms Prem]]</f>
        <v>0</v>
      </c>
    </row>
    <row r="248" spans="1:40" x14ac:dyDescent="0.25">
      <c r="A248">
        <v>247</v>
      </c>
      <c r="B248" t="s">
        <v>38</v>
      </c>
      <c r="C248" t="s">
        <v>3255</v>
      </c>
      <c r="D248" t="s">
        <v>40</v>
      </c>
      <c r="E248" t="s">
        <v>41</v>
      </c>
      <c r="F248" t="s">
        <v>3256</v>
      </c>
      <c r="G248" t="s">
        <v>80</v>
      </c>
      <c r="H248" t="s">
        <v>3257</v>
      </c>
      <c r="I248" t="s">
        <v>3258</v>
      </c>
      <c r="J248" t="s">
        <v>3258</v>
      </c>
      <c r="K248" t="s">
        <v>151</v>
      </c>
      <c r="L248" t="s">
        <v>3259</v>
      </c>
      <c r="M248">
        <v>1158500</v>
      </c>
      <c r="N248">
        <v>1655000</v>
      </c>
      <c r="O248" t="s">
        <v>3260</v>
      </c>
      <c r="P248" s="1">
        <v>45529</v>
      </c>
      <c r="Q248" s="2" t="s">
        <v>3261</v>
      </c>
      <c r="R248" t="s">
        <v>3262</v>
      </c>
      <c r="S248" t="s">
        <v>88</v>
      </c>
      <c r="T248" t="s">
        <v>3263</v>
      </c>
      <c r="U248" t="s">
        <v>3138</v>
      </c>
      <c r="V248" t="s">
        <v>107</v>
      </c>
      <c r="W248" t="s">
        <v>2538</v>
      </c>
      <c r="X248" t="s">
        <v>2538</v>
      </c>
      <c r="Y248" t="s">
        <v>407</v>
      </c>
      <c r="Z248" t="s">
        <v>3264</v>
      </c>
      <c r="AA248">
        <v>5</v>
      </c>
      <c r="AB248" t="s">
        <v>124</v>
      </c>
      <c r="AC248" t="s">
        <v>3265</v>
      </c>
      <c r="AD248" t="s">
        <v>2655</v>
      </c>
      <c r="AE248" t="s">
        <v>159</v>
      </c>
      <c r="AF248">
        <v>1406750</v>
      </c>
      <c r="AG248" s="3">
        <v>21102</v>
      </c>
      <c r="AK248" t="s">
        <v>3266</v>
      </c>
      <c r="AL248" s="3">
        <v>21101</v>
      </c>
      <c r="AM248">
        <v>0</v>
      </c>
      <c r="AN248" s="4">
        <f>Table103[[#This Row],[Premium]]-Table103[[#This Row],[Tms Prem]]</f>
        <v>1</v>
      </c>
    </row>
    <row r="249" spans="1:40" x14ac:dyDescent="0.25">
      <c r="A249">
        <v>248</v>
      </c>
      <c r="B249" t="s">
        <v>38</v>
      </c>
      <c r="C249" t="s">
        <v>3267</v>
      </c>
      <c r="D249" t="s">
        <v>40</v>
      </c>
      <c r="E249" t="s">
        <v>41</v>
      </c>
      <c r="F249" t="s">
        <v>3268</v>
      </c>
      <c r="G249" t="s">
        <v>114</v>
      </c>
      <c r="H249" t="s">
        <v>3269</v>
      </c>
      <c r="I249" t="s">
        <v>3270</v>
      </c>
      <c r="J249" t="s">
        <v>45</v>
      </c>
      <c r="K249" t="s">
        <v>3271</v>
      </c>
      <c r="L249" t="s">
        <v>3272</v>
      </c>
      <c r="M249">
        <v>3162000</v>
      </c>
      <c r="N249">
        <v>5270000</v>
      </c>
      <c r="O249" t="s">
        <v>3273</v>
      </c>
      <c r="P249" s="1">
        <v>45529</v>
      </c>
      <c r="Q249" s="2">
        <v>307042</v>
      </c>
      <c r="R249" t="s">
        <v>3274</v>
      </c>
      <c r="S249" t="s">
        <v>50</v>
      </c>
      <c r="T249" t="s">
        <v>45</v>
      </c>
      <c r="U249" t="s">
        <v>1241</v>
      </c>
      <c r="V249" t="s">
        <v>140</v>
      </c>
      <c r="W249" t="s">
        <v>1216</v>
      </c>
      <c r="X249" t="s">
        <v>873</v>
      </c>
      <c r="Y249" t="s">
        <v>874</v>
      </c>
      <c r="Z249" t="s">
        <v>3275</v>
      </c>
      <c r="AA249">
        <v>5</v>
      </c>
      <c r="AB249" t="s">
        <v>45</v>
      </c>
      <c r="AC249" t="s">
        <v>45</v>
      </c>
      <c r="AD249" t="s">
        <v>45</v>
      </c>
      <c r="AE249" t="s">
        <v>97</v>
      </c>
      <c r="AF249">
        <v>4216000</v>
      </c>
      <c r="AG249" s="3">
        <v>73780</v>
      </c>
      <c r="AK249" t="s">
        <v>3276</v>
      </c>
      <c r="AL249" s="3">
        <v>73780</v>
      </c>
      <c r="AM249">
        <v>0</v>
      </c>
      <c r="AN249" s="4">
        <f>Table103[[#This Row],[Premium]]-Table103[[#This Row],[Tms Prem]]</f>
        <v>0</v>
      </c>
    </row>
    <row r="250" spans="1:40" x14ac:dyDescent="0.25">
      <c r="A250">
        <v>249</v>
      </c>
      <c r="B250" t="s">
        <v>38</v>
      </c>
      <c r="C250" t="s">
        <v>3277</v>
      </c>
      <c r="D250" t="s">
        <v>40</v>
      </c>
      <c r="E250" t="s">
        <v>41</v>
      </c>
      <c r="F250" t="s">
        <v>3278</v>
      </c>
      <c r="G250" t="s">
        <v>174</v>
      </c>
      <c r="H250" t="s">
        <v>3279</v>
      </c>
      <c r="I250" t="s">
        <v>3280</v>
      </c>
      <c r="J250" t="s">
        <v>3280</v>
      </c>
      <c r="K250" t="s">
        <v>3280</v>
      </c>
      <c r="L250" t="s">
        <v>3281</v>
      </c>
      <c r="M250">
        <v>2808400</v>
      </c>
      <c r="N250">
        <v>4012000</v>
      </c>
      <c r="O250" t="s">
        <v>3282</v>
      </c>
      <c r="P250" s="1">
        <v>45529</v>
      </c>
      <c r="Q250" s="2">
        <v>6925454</v>
      </c>
      <c r="R250" t="s">
        <v>3283</v>
      </c>
      <c r="S250" t="s">
        <v>50</v>
      </c>
      <c r="T250" t="s">
        <v>45</v>
      </c>
      <c r="U250" t="s">
        <v>3284</v>
      </c>
      <c r="V250" t="s">
        <v>140</v>
      </c>
      <c r="W250" t="s">
        <v>236</v>
      </c>
      <c r="X250" t="s">
        <v>873</v>
      </c>
      <c r="Y250" t="s">
        <v>874</v>
      </c>
      <c r="Z250" t="s">
        <v>3285</v>
      </c>
      <c r="AA250">
        <v>5</v>
      </c>
      <c r="AB250" t="s">
        <v>196</v>
      </c>
      <c r="AC250" t="s">
        <v>3286</v>
      </c>
      <c r="AD250" t="s">
        <v>3166</v>
      </c>
      <c r="AE250" t="s">
        <v>60</v>
      </c>
      <c r="AF250">
        <v>3209600</v>
      </c>
      <c r="AG250" s="3">
        <v>64192</v>
      </c>
      <c r="AK250" t="s">
        <v>3287</v>
      </c>
      <c r="AL250" s="3">
        <v>64192</v>
      </c>
      <c r="AM250">
        <v>0</v>
      </c>
      <c r="AN250" s="4">
        <f>Table103[[#This Row],[Premium]]-Table103[[#This Row],[Tms Prem]]</f>
        <v>0</v>
      </c>
    </row>
    <row r="251" spans="1:40" x14ac:dyDescent="0.25">
      <c r="A251">
        <v>250</v>
      </c>
      <c r="B251" t="s">
        <v>38</v>
      </c>
      <c r="C251" t="s">
        <v>3288</v>
      </c>
      <c r="D251" t="s">
        <v>40</v>
      </c>
      <c r="E251" t="s">
        <v>41</v>
      </c>
      <c r="F251" t="s">
        <v>3289</v>
      </c>
      <c r="G251" t="s">
        <v>114</v>
      </c>
      <c r="H251" t="s">
        <v>3290</v>
      </c>
      <c r="I251" t="s">
        <v>3291</v>
      </c>
      <c r="J251" t="s">
        <v>3292</v>
      </c>
      <c r="K251" t="s">
        <v>3292</v>
      </c>
      <c r="L251" t="s">
        <v>3293</v>
      </c>
      <c r="M251">
        <v>1680900</v>
      </c>
      <c r="N251">
        <v>2801500</v>
      </c>
      <c r="O251" t="s">
        <v>3294</v>
      </c>
      <c r="P251" s="1">
        <v>45523</v>
      </c>
      <c r="Q251" s="2" t="s">
        <v>3295</v>
      </c>
      <c r="R251" t="s">
        <v>3296</v>
      </c>
      <c r="S251" t="s">
        <v>50</v>
      </c>
      <c r="T251" t="s">
        <v>3297</v>
      </c>
      <c r="U251" t="s">
        <v>297</v>
      </c>
      <c r="V251" t="s">
        <v>90</v>
      </c>
      <c r="W251" t="s">
        <v>3298</v>
      </c>
      <c r="X251" t="s">
        <v>2704</v>
      </c>
      <c r="Y251" t="s">
        <v>2184</v>
      </c>
      <c r="Z251" t="s">
        <v>3299</v>
      </c>
      <c r="AA251">
        <v>5</v>
      </c>
      <c r="AB251" t="s">
        <v>57</v>
      </c>
      <c r="AC251" t="s">
        <v>3300</v>
      </c>
      <c r="AD251" t="s">
        <v>2910</v>
      </c>
      <c r="AE251" t="s">
        <v>428</v>
      </c>
      <c r="AF251">
        <v>2241200</v>
      </c>
      <c r="AG251" s="3">
        <v>57781</v>
      </c>
      <c r="AK251" t="s">
        <v>3301</v>
      </c>
      <c r="AL251" s="3">
        <v>56030</v>
      </c>
      <c r="AM251" t="s">
        <v>4091</v>
      </c>
      <c r="AN251" s="4">
        <f>Table103[[#This Row],[Premium]]-Table103[[#This Row],[Tms Prem]]</f>
        <v>1751</v>
      </c>
    </row>
    <row r="252" spans="1:40" x14ac:dyDescent="0.25">
      <c r="A252">
        <v>251</v>
      </c>
      <c r="B252" t="s">
        <v>38</v>
      </c>
      <c r="C252" t="s">
        <v>3302</v>
      </c>
      <c r="D252" t="s">
        <v>40</v>
      </c>
      <c r="E252" t="s">
        <v>41</v>
      </c>
      <c r="F252" t="s">
        <v>3303</v>
      </c>
      <c r="G252" t="s">
        <v>174</v>
      </c>
      <c r="H252" t="s">
        <v>3304</v>
      </c>
      <c r="I252" t="s">
        <v>45</v>
      </c>
      <c r="J252" t="s">
        <v>3305</v>
      </c>
      <c r="K252" t="s">
        <v>45</v>
      </c>
      <c r="L252" t="s">
        <v>3306</v>
      </c>
      <c r="M252">
        <v>2383500</v>
      </c>
      <c r="N252">
        <v>3405000</v>
      </c>
      <c r="O252" t="s">
        <v>3307</v>
      </c>
      <c r="P252" s="1">
        <v>45523</v>
      </c>
      <c r="Q252" s="2">
        <v>4802324</v>
      </c>
      <c r="R252" t="s">
        <v>3308</v>
      </c>
      <c r="S252" t="s">
        <v>50</v>
      </c>
      <c r="T252" t="s">
        <v>3309</v>
      </c>
      <c r="U252" t="s">
        <v>3310</v>
      </c>
      <c r="V252" t="s">
        <v>90</v>
      </c>
      <c r="W252" t="s">
        <v>1280</v>
      </c>
      <c r="X252" t="s">
        <v>2704</v>
      </c>
      <c r="Y252" t="s">
        <v>815</v>
      </c>
      <c r="Z252" t="s">
        <v>3311</v>
      </c>
      <c r="AA252">
        <v>6</v>
      </c>
      <c r="AB252" t="s">
        <v>124</v>
      </c>
      <c r="AC252" t="s">
        <v>3312</v>
      </c>
      <c r="AD252" t="s">
        <v>3313</v>
      </c>
      <c r="AE252" t="s">
        <v>3314</v>
      </c>
      <c r="AF252">
        <v>2553750</v>
      </c>
      <c r="AG252" s="3">
        <v>57460</v>
      </c>
      <c r="AK252" t="s">
        <v>3315</v>
      </c>
      <c r="AL252" s="3">
        <v>57459</v>
      </c>
      <c r="AM252">
        <v>0</v>
      </c>
      <c r="AN252" s="4">
        <f>Table103[[#This Row],[Premium]]-Table103[[#This Row],[Tms Prem]]</f>
        <v>1</v>
      </c>
    </row>
    <row r="253" spans="1:40" x14ac:dyDescent="0.25">
      <c r="A253">
        <v>252</v>
      </c>
      <c r="B253" t="s">
        <v>38</v>
      </c>
      <c r="C253" t="s">
        <v>3316</v>
      </c>
      <c r="D253" t="s">
        <v>40</v>
      </c>
      <c r="E253" t="s">
        <v>41</v>
      </c>
      <c r="F253" t="s">
        <v>3317</v>
      </c>
      <c r="G253" t="s">
        <v>80</v>
      </c>
      <c r="H253" t="s">
        <v>3318</v>
      </c>
      <c r="I253" t="s">
        <v>3319</v>
      </c>
      <c r="J253" t="s">
        <v>3319</v>
      </c>
      <c r="K253" t="s">
        <v>151</v>
      </c>
      <c r="L253" t="s">
        <v>3320</v>
      </c>
      <c r="M253">
        <v>2212500</v>
      </c>
      <c r="N253">
        <v>2950000</v>
      </c>
      <c r="O253" t="s">
        <v>3321</v>
      </c>
      <c r="P253" s="1">
        <v>45523</v>
      </c>
      <c r="Q253" s="2">
        <v>2560172</v>
      </c>
      <c r="R253" t="s">
        <v>3322</v>
      </c>
      <c r="S253" t="s">
        <v>88</v>
      </c>
      <c r="T253" t="s">
        <v>3323</v>
      </c>
      <c r="U253" t="s">
        <v>3324</v>
      </c>
      <c r="V253" t="s">
        <v>662</v>
      </c>
      <c r="W253" t="s">
        <v>3325</v>
      </c>
      <c r="X253" t="s">
        <v>406</v>
      </c>
      <c r="Y253" t="s">
        <v>815</v>
      </c>
      <c r="Z253" t="s">
        <v>3326</v>
      </c>
      <c r="AA253">
        <v>5</v>
      </c>
      <c r="AB253" t="s">
        <v>57</v>
      </c>
      <c r="AC253" t="s">
        <v>3327</v>
      </c>
      <c r="AD253" t="s">
        <v>3325</v>
      </c>
      <c r="AE253" t="s">
        <v>60</v>
      </c>
      <c r="AF253">
        <v>2360000</v>
      </c>
      <c r="AG253" s="3">
        <v>47200</v>
      </c>
      <c r="AK253" t="s">
        <v>3328</v>
      </c>
      <c r="AL253" s="3">
        <v>47200</v>
      </c>
      <c r="AM253">
        <v>0</v>
      </c>
      <c r="AN253" s="4">
        <f>Table103[[#This Row],[Premium]]-Table103[[#This Row],[Tms Prem]]</f>
        <v>0</v>
      </c>
    </row>
    <row r="254" spans="1:40" x14ac:dyDescent="0.25">
      <c r="A254">
        <v>253</v>
      </c>
      <c r="B254" t="s">
        <v>38</v>
      </c>
      <c r="C254" t="s">
        <v>3329</v>
      </c>
      <c r="D254" t="s">
        <v>40</v>
      </c>
      <c r="E254" t="s">
        <v>41</v>
      </c>
      <c r="F254" t="s">
        <v>3330</v>
      </c>
      <c r="G254" t="s">
        <v>174</v>
      </c>
      <c r="H254" t="s">
        <v>3331</v>
      </c>
      <c r="I254" t="s">
        <v>3332</v>
      </c>
      <c r="J254" t="s">
        <v>3332</v>
      </c>
      <c r="K254" t="s">
        <v>3332</v>
      </c>
      <c r="L254" t="s">
        <v>3333</v>
      </c>
      <c r="M254">
        <v>2651500</v>
      </c>
      <c r="N254">
        <v>5303000</v>
      </c>
      <c r="O254" t="s">
        <v>3334</v>
      </c>
      <c r="P254" s="1">
        <v>45529</v>
      </c>
      <c r="Q254" s="2">
        <v>307963</v>
      </c>
      <c r="R254" t="s">
        <v>3335</v>
      </c>
      <c r="S254" t="s">
        <v>50</v>
      </c>
      <c r="T254" t="s">
        <v>45</v>
      </c>
      <c r="U254" t="s">
        <v>2093</v>
      </c>
      <c r="V254" t="s">
        <v>140</v>
      </c>
      <c r="W254" t="s">
        <v>877</v>
      </c>
      <c r="X254" t="s">
        <v>873</v>
      </c>
      <c r="Y254" t="s">
        <v>874</v>
      </c>
      <c r="Z254" t="s">
        <v>3336</v>
      </c>
      <c r="AA254">
        <v>5</v>
      </c>
      <c r="AB254" t="s">
        <v>196</v>
      </c>
      <c r="AC254" t="s">
        <v>3337</v>
      </c>
      <c r="AD254" t="s">
        <v>3166</v>
      </c>
      <c r="AE254" t="s">
        <v>97</v>
      </c>
      <c r="AF254">
        <v>4242400</v>
      </c>
      <c r="AG254" s="3">
        <v>74242</v>
      </c>
      <c r="AK254" t="s">
        <v>3338</v>
      </c>
      <c r="AL254" s="3">
        <v>74242</v>
      </c>
      <c r="AM254">
        <v>0</v>
      </c>
      <c r="AN254" s="4">
        <f>Table103[[#This Row],[Premium]]-Table103[[#This Row],[Tms Prem]]</f>
        <v>0</v>
      </c>
    </row>
    <row r="255" spans="1:40" x14ac:dyDescent="0.25">
      <c r="A255">
        <v>254</v>
      </c>
      <c r="B255" t="s">
        <v>38</v>
      </c>
      <c r="C255" t="s">
        <v>3339</v>
      </c>
      <c r="D255" t="s">
        <v>40</v>
      </c>
      <c r="E255" t="s">
        <v>41</v>
      </c>
      <c r="F255" t="s">
        <v>3340</v>
      </c>
      <c r="G255" t="s">
        <v>964</v>
      </c>
      <c r="H255" t="s">
        <v>3341</v>
      </c>
      <c r="I255" t="s">
        <v>3342</v>
      </c>
      <c r="J255" t="s">
        <v>3342</v>
      </c>
      <c r="K255" t="s">
        <v>3342</v>
      </c>
      <c r="L255" t="s">
        <v>3343</v>
      </c>
      <c r="M255">
        <v>2107000</v>
      </c>
      <c r="N255">
        <v>3010000</v>
      </c>
      <c r="O255" t="s">
        <v>3344</v>
      </c>
      <c r="P255" s="1">
        <v>45529</v>
      </c>
      <c r="Q255" s="2" t="s">
        <v>3345</v>
      </c>
      <c r="R255" t="s">
        <v>3346</v>
      </c>
      <c r="S255" t="s">
        <v>50</v>
      </c>
      <c r="T255" t="s">
        <v>45</v>
      </c>
      <c r="U255" t="s">
        <v>901</v>
      </c>
      <c r="V255" t="s">
        <v>140</v>
      </c>
      <c r="W255" t="s">
        <v>1075</v>
      </c>
      <c r="X255" t="s">
        <v>406</v>
      </c>
      <c r="Y255" t="s">
        <v>815</v>
      </c>
      <c r="Z255" t="s">
        <v>3347</v>
      </c>
      <c r="AA255">
        <v>5</v>
      </c>
      <c r="AB255" t="s">
        <v>3348</v>
      </c>
      <c r="AC255" t="s">
        <v>3349</v>
      </c>
      <c r="AD255" t="s">
        <v>2462</v>
      </c>
      <c r="AE255" t="s">
        <v>60</v>
      </c>
      <c r="AF255">
        <v>2408000</v>
      </c>
      <c r="AG255" s="3">
        <v>48160</v>
      </c>
      <c r="AK255" t="s">
        <v>3350</v>
      </c>
      <c r="AL255" s="3">
        <v>48160</v>
      </c>
      <c r="AM255">
        <v>0</v>
      </c>
      <c r="AN255" s="4">
        <f>Table103[[#This Row],[Premium]]-Table103[[#This Row],[Tms Prem]]</f>
        <v>0</v>
      </c>
    </row>
    <row r="256" spans="1:40" x14ac:dyDescent="0.25">
      <c r="A256">
        <v>255</v>
      </c>
      <c r="B256" t="s">
        <v>38</v>
      </c>
      <c r="C256" t="s">
        <v>3351</v>
      </c>
      <c r="D256" t="s">
        <v>40</v>
      </c>
      <c r="E256" t="s">
        <v>41</v>
      </c>
      <c r="F256" t="s">
        <v>3352</v>
      </c>
      <c r="G256" t="s">
        <v>80</v>
      </c>
      <c r="H256" t="s">
        <v>3353</v>
      </c>
      <c r="I256" t="s">
        <v>45</v>
      </c>
      <c r="J256" t="s">
        <v>3354</v>
      </c>
      <c r="K256" t="s">
        <v>3354</v>
      </c>
      <c r="L256" t="s">
        <v>3355</v>
      </c>
      <c r="M256">
        <v>2025000</v>
      </c>
      <c r="N256">
        <v>3375000</v>
      </c>
      <c r="O256" t="s">
        <v>3356</v>
      </c>
      <c r="P256" s="1">
        <v>45529</v>
      </c>
      <c r="Q256" s="2">
        <v>79233</v>
      </c>
      <c r="R256" t="s">
        <v>3357</v>
      </c>
      <c r="S256" t="s">
        <v>50</v>
      </c>
      <c r="T256" t="s">
        <v>45</v>
      </c>
      <c r="U256" t="s">
        <v>208</v>
      </c>
      <c r="V256" t="s">
        <v>140</v>
      </c>
      <c r="W256" t="s">
        <v>280</v>
      </c>
      <c r="X256" t="s">
        <v>873</v>
      </c>
      <c r="Y256" t="s">
        <v>874</v>
      </c>
      <c r="Z256" t="s">
        <v>3358</v>
      </c>
      <c r="AA256">
        <v>5</v>
      </c>
      <c r="AB256" t="s">
        <v>440</v>
      </c>
      <c r="AC256" t="s">
        <v>3359</v>
      </c>
      <c r="AD256" t="s">
        <v>3166</v>
      </c>
      <c r="AE256" t="s">
        <v>60</v>
      </c>
      <c r="AF256">
        <v>2700000</v>
      </c>
      <c r="AG256" s="3">
        <v>54000</v>
      </c>
      <c r="AK256" t="s">
        <v>3360</v>
      </c>
      <c r="AL256" s="3">
        <v>54000</v>
      </c>
      <c r="AM256">
        <v>0</v>
      </c>
      <c r="AN256" s="4">
        <f>Table103[[#This Row],[Premium]]-Table103[[#This Row],[Tms Prem]]</f>
        <v>0</v>
      </c>
    </row>
    <row r="257" spans="1:40" x14ac:dyDescent="0.25">
      <c r="A257">
        <v>256</v>
      </c>
      <c r="B257" t="s">
        <v>38</v>
      </c>
      <c r="C257" t="s">
        <v>3361</v>
      </c>
      <c r="D257" t="s">
        <v>40</v>
      </c>
      <c r="E257" t="s">
        <v>41</v>
      </c>
      <c r="F257" t="s">
        <v>3362</v>
      </c>
      <c r="G257" t="s">
        <v>544</v>
      </c>
      <c r="H257" t="s">
        <v>3363</v>
      </c>
      <c r="I257" t="s">
        <v>3364</v>
      </c>
      <c r="J257" t="s">
        <v>3364</v>
      </c>
      <c r="K257" t="s">
        <v>3365</v>
      </c>
      <c r="L257" t="s">
        <v>3366</v>
      </c>
      <c r="M257">
        <v>1424000</v>
      </c>
      <c r="N257">
        <v>1780000</v>
      </c>
      <c r="O257" t="s">
        <v>3367</v>
      </c>
      <c r="P257" s="1">
        <v>45523</v>
      </c>
      <c r="Q257" s="2">
        <v>179628</v>
      </c>
      <c r="R257" t="s">
        <v>3368</v>
      </c>
      <c r="S257" t="s">
        <v>50</v>
      </c>
      <c r="T257" t="s">
        <v>45</v>
      </c>
      <c r="U257" t="s">
        <v>716</v>
      </c>
      <c r="V257" t="s">
        <v>140</v>
      </c>
      <c r="W257" t="s">
        <v>3369</v>
      </c>
      <c r="X257" t="s">
        <v>873</v>
      </c>
      <c r="Y257" t="s">
        <v>1024</v>
      </c>
      <c r="Z257" t="s">
        <v>3370</v>
      </c>
      <c r="AA257">
        <v>7</v>
      </c>
      <c r="AB257" t="s">
        <v>57</v>
      </c>
      <c r="AC257" t="s">
        <v>3371</v>
      </c>
      <c r="AD257" t="s">
        <v>3372</v>
      </c>
      <c r="AE257" t="s">
        <v>60</v>
      </c>
      <c r="AF257">
        <v>1602000</v>
      </c>
      <c r="AG257" s="3">
        <v>28480</v>
      </c>
      <c r="AK257" t="s">
        <v>3373</v>
      </c>
      <c r="AL257" s="3">
        <v>32040</v>
      </c>
      <c r="AM257" t="s">
        <v>4092</v>
      </c>
      <c r="AN257" s="4">
        <f>Table103[[#This Row],[Premium]]-Table103[[#This Row],[Tms Prem]]</f>
        <v>-3560</v>
      </c>
    </row>
    <row r="258" spans="1:40" x14ac:dyDescent="0.25">
      <c r="A258">
        <v>257</v>
      </c>
      <c r="B258" t="s">
        <v>38</v>
      </c>
      <c r="C258" t="s">
        <v>3374</v>
      </c>
      <c r="D258" t="s">
        <v>40</v>
      </c>
      <c r="E258" t="s">
        <v>41</v>
      </c>
      <c r="F258" t="s">
        <v>3375</v>
      </c>
      <c r="G258" t="s">
        <v>174</v>
      </c>
      <c r="H258" t="s">
        <v>3376</v>
      </c>
      <c r="I258" t="s">
        <v>3377</v>
      </c>
      <c r="J258" t="s">
        <v>3377</v>
      </c>
      <c r="K258" t="s">
        <v>3378</v>
      </c>
      <c r="L258" t="s">
        <v>3379</v>
      </c>
      <c r="M258">
        <v>990400</v>
      </c>
      <c r="N258">
        <v>1238000</v>
      </c>
      <c r="O258" t="s">
        <v>3380</v>
      </c>
      <c r="P258" s="1">
        <v>45524</v>
      </c>
      <c r="Q258" s="2">
        <v>101159</v>
      </c>
      <c r="R258" t="s">
        <v>3381</v>
      </c>
      <c r="S258" t="s">
        <v>50</v>
      </c>
      <c r="T258" t="s">
        <v>3382</v>
      </c>
      <c r="U258" t="s">
        <v>970</v>
      </c>
      <c r="V258" t="s">
        <v>662</v>
      </c>
      <c r="W258" t="s">
        <v>742</v>
      </c>
      <c r="X258" t="s">
        <v>719</v>
      </c>
      <c r="Y258" t="s">
        <v>815</v>
      </c>
      <c r="Z258" t="s">
        <v>3383</v>
      </c>
      <c r="AA258">
        <v>7</v>
      </c>
      <c r="AB258" t="s">
        <v>57</v>
      </c>
      <c r="AC258" t="s">
        <v>3384</v>
      </c>
      <c r="AD258" t="s">
        <v>3385</v>
      </c>
      <c r="AE258" t="s">
        <v>428</v>
      </c>
      <c r="AF258">
        <v>866600</v>
      </c>
      <c r="AG258" s="3">
        <v>21665</v>
      </c>
      <c r="AK258" t="s">
        <v>3386</v>
      </c>
      <c r="AL258" s="3">
        <v>21665</v>
      </c>
      <c r="AM258">
        <v>0</v>
      </c>
      <c r="AN258" s="4">
        <f>Table103[[#This Row],[Premium]]-Table103[[#This Row],[Tms Prem]]</f>
        <v>0</v>
      </c>
    </row>
    <row r="259" spans="1:40" x14ac:dyDescent="0.25">
      <c r="A259">
        <v>258</v>
      </c>
      <c r="B259" t="s">
        <v>38</v>
      </c>
      <c r="C259" t="s">
        <v>3387</v>
      </c>
      <c r="D259" t="s">
        <v>40</v>
      </c>
      <c r="E259" t="s">
        <v>41</v>
      </c>
      <c r="F259" t="s">
        <v>3388</v>
      </c>
      <c r="G259" t="s">
        <v>114</v>
      </c>
      <c r="H259" t="s">
        <v>3389</v>
      </c>
      <c r="I259" t="s">
        <v>3390</v>
      </c>
      <c r="J259" t="s">
        <v>3391</v>
      </c>
      <c r="K259" t="s">
        <v>3390</v>
      </c>
      <c r="L259" t="s">
        <v>3392</v>
      </c>
      <c r="M259">
        <v>3242800</v>
      </c>
      <c r="N259">
        <v>4053500</v>
      </c>
      <c r="O259" t="s">
        <v>3393</v>
      </c>
      <c r="P259" s="1">
        <v>45524</v>
      </c>
      <c r="Q259" s="2" t="s">
        <v>3394</v>
      </c>
      <c r="R259" t="s">
        <v>3395</v>
      </c>
      <c r="S259" t="s">
        <v>50</v>
      </c>
      <c r="T259" t="s">
        <v>3396</v>
      </c>
      <c r="U259" t="s">
        <v>551</v>
      </c>
      <c r="V259" t="s">
        <v>90</v>
      </c>
      <c r="W259" t="s">
        <v>3397</v>
      </c>
      <c r="X259" t="s">
        <v>2704</v>
      </c>
      <c r="Y259" t="s">
        <v>2184</v>
      </c>
      <c r="Z259" t="s">
        <v>3398</v>
      </c>
      <c r="AA259">
        <v>5</v>
      </c>
      <c r="AB259" t="s">
        <v>57</v>
      </c>
      <c r="AC259" t="s">
        <v>3399</v>
      </c>
      <c r="AD259" t="s">
        <v>423</v>
      </c>
      <c r="AE259" t="s">
        <v>159</v>
      </c>
      <c r="AF259">
        <v>3445475</v>
      </c>
      <c r="AG259" s="3">
        <v>53203</v>
      </c>
      <c r="AK259" t="s">
        <v>3400</v>
      </c>
      <c r="AL259" s="3">
        <v>51682</v>
      </c>
      <c r="AM259" t="s">
        <v>4093</v>
      </c>
      <c r="AN259" s="4">
        <f>Table103[[#This Row],[Premium]]-Table103[[#This Row],[Tms Prem]]</f>
        <v>1521</v>
      </c>
    </row>
    <row r="260" spans="1:40" x14ac:dyDescent="0.25">
      <c r="A260">
        <v>259</v>
      </c>
      <c r="B260" t="s">
        <v>38</v>
      </c>
      <c r="C260" t="s">
        <v>3401</v>
      </c>
      <c r="D260" t="s">
        <v>40</v>
      </c>
      <c r="E260" t="s">
        <v>41</v>
      </c>
      <c r="F260" t="s">
        <v>3402</v>
      </c>
      <c r="G260" t="s">
        <v>114</v>
      </c>
      <c r="H260" t="s">
        <v>3403</v>
      </c>
      <c r="I260" t="s">
        <v>3404</v>
      </c>
      <c r="J260" t="s">
        <v>3405</v>
      </c>
      <c r="K260" t="s">
        <v>3404</v>
      </c>
      <c r="L260" t="s">
        <v>3406</v>
      </c>
      <c r="M260">
        <v>1836100</v>
      </c>
      <c r="N260">
        <v>2623000</v>
      </c>
      <c r="O260" t="s">
        <v>3407</v>
      </c>
      <c r="P260" s="1">
        <v>45529</v>
      </c>
      <c r="Q260" s="2" t="s">
        <v>3408</v>
      </c>
      <c r="R260" t="s">
        <v>3409</v>
      </c>
      <c r="S260" t="s">
        <v>50</v>
      </c>
      <c r="T260" t="s">
        <v>45</v>
      </c>
      <c r="U260" t="s">
        <v>3410</v>
      </c>
      <c r="V260" t="s">
        <v>140</v>
      </c>
      <c r="W260" t="s">
        <v>1075</v>
      </c>
      <c r="X260" t="s">
        <v>873</v>
      </c>
      <c r="Y260" t="s">
        <v>874</v>
      </c>
      <c r="Z260" t="s">
        <v>3411</v>
      </c>
      <c r="AA260">
        <v>5</v>
      </c>
      <c r="AB260" t="s">
        <v>57</v>
      </c>
      <c r="AC260" t="s">
        <v>3412</v>
      </c>
      <c r="AD260" t="s">
        <v>3166</v>
      </c>
      <c r="AE260" t="s">
        <v>60</v>
      </c>
      <c r="AF260">
        <v>2098400</v>
      </c>
      <c r="AG260" s="3">
        <v>41968</v>
      </c>
      <c r="AK260" t="s">
        <v>3413</v>
      </c>
      <c r="AL260" s="3">
        <v>41968</v>
      </c>
      <c r="AM260">
        <v>0</v>
      </c>
      <c r="AN260" s="4">
        <f>Table103[[#This Row],[Premium]]-Table103[[#This Row],[Tms Prem]]</f>
        <v>0</v>
      </c>
    </row>
    <row r="261" spans="1:40" x14ac:dyDescent="0.25">
      <c r="A261">
        <v>260</v>
      </c>
      <c r="B261" t="s">
        <v>38</v>
      </c>
      <c r="C261" t="s">
        <v>3414</v>
      </c>
      <c r="D261" t="s">
        <v>40</v>
      </c>
      <c r="E261" t="s">
        <v>41</v>
      </c>
      <c r="F261" t="s">
        <v>3415</v>
      </c>
      <c r="G261" t="s">
        <v>80</v>
      </c>
      <c r="H261" t="s">
        <v>3416</v>
      </c>
      <c r="I261" t="s">
        <v>45</v>
      </c>
      <c r="J261" t="s">
        <v>3417</v>
      </c>
      <c r="K261" t="s">
        <v>45</v>
      </c>
      <c r="L261" t="s">
        <v>3418</v>
      </c>
      <c r="M261">
        <v>1640000</v>
      </c>
      <c r="N261">
        <v>2050000</v>
      </c>
      <c r="O261" t="s">
        <v>3419</v>
      </c>
      <c r="P261" s="1">
        <v>45529</v>
      </c>
      <c r="Q261" s="2" t="s">
        <v>3420</v>
      </c>
      <c r="R261" t="s">
        <v>3421</v>
      </c>
      <c r="S261" t="s">
        <v>493</v>
      </c>
      <c r="T261" t="s">
        <v>45</v>
      </c>
      <c r="U261" t="s">
        <v>3422</v>
      </c>
      <c r="V261" t="s">
        <v>365</v>
      </c>
      <c r="W261" t="s">
        <v>406</v>
      </c>
      <c r="X261" t="s">
        <v>406</v>
      </c>
      <c r="Y261" t="s">
        <v>815</v>
      </c>
      <c r="Z261" t="s">
        <v>3423</v>
      </c>
      <c r="AA261">
        <v>5</v>
      </c>
      <c r="AB261" t="s">
        <v>57</v>
      </c>
      <c r="AC261" t="s">
        <v>3424</v>
      </c>
      <c r="AD261" t="s">
        <v>406</v>
      </c>
      <c r="AE261" t="s">
        <v>60</v>
      </c>
      <c r="AF261">
        <v>1640000</v>
      </c>
      <c r="AG261" s="3">
        <v>32800</v>
      </c>
      <c r="AK261" t="s">
        <v>3425</v>
      </c>
      <c r="AL261" s="3">
        <v>32800</v>
      </c>
      <c r="AM261">
        <v>0</v>
      </c>
      <c r="AN261" s="4">
        <f>Table103[[#This Row],[Premium]]-Table103[[#This Row],[Tms Prem]]</f>
        <v>0</v>
      </c>
    </row>
    <row r="262" spans="1:40" x14ac:dyDescent="0.25">
      <c r="A262">
        <v>261</v>
      </c>
      <c r="B262" t="s">
        <v>38</v>
      </c>
      <c r="C262" t="s">
        <v>3426</v>
      </c>
      <c r="D262" t="s">
        <v>40</v>
      </c>
      <c r="E262" t="s">
        <v>41</v>
      </c>
      <c r="F262" t="s">
        <v>3427</v>
      </c>
      <c r="G262" t="s">
        <v>80</v>
      </c>
      <c r="H262" t="s">
        <v>3428</v>
      </c>
      <c r="I262" t="s">
        <v>3429</v>
      </c>
      <c r="J262" t="s">
        <v>3430</v>
      </c>
      <c r="K262" t="s">
        <v>3431</v>
      </c>
      <c r="L262" t="s">
        <v>3432</v>
      </c>
      <c r="M262">
        <v>2054500</v>
      </c>
      <c r="N262">
        <v>2935000</v>
      </c>
      <c r="O262" t="s">
        <v>3433</v>
      </c>
      <c r="P262" t="s">
        <v>3434</v>
      </c>
      <c r="Q262" s="2">
        <v>279786</v>
      </c>
      <c r="R262" t="s">
        <v>3435</v>
      </c>
      <c r="S262" t="s">
        <v>50</v>
      </c>
      <c r="T262" t="s">
        <v>50</v>
      </c>
      <c r="U262" t="s">
        <v>45</v>
      </c>
      <c r="V262" t="s">
        <v>379</v>
      </c>
      <c r="W262">
        <v>45160</v>
      </c>
      <c r="X262" t="s">
        <v>121</v>
      </c>
      <c r="Y262" t="s">
        <v>2184</v>
      </c>
      <c r="Z262" t="s">
        <v>3436</v>
      </c>
      <c r="AA262">
        <v>2</v>
      </c>
      <c r="AB262" t="s">
        <v>94</v>
      </c>
      <c r="AC262" t="s">
        <v>3437</v>
      </c>
      <c r="AD262" t="s">
        <v>2590</v>
      </c>
      <c r="AE262" t="s">
        <v>97</v>
      </c>
      <c r="AF262">
        <v>2641500</v>
      </c>
      <c r="AG262" s="3">
        <v>46227</v>
      </c>
      <c r="AK262" t="s">
        <v>3438</v>
      </c>
      <c r="AL262" s="3">
        <v>46226</v>
      </c>
      <c r="AM262">
        <v>0</v>
      </c>
      <c r="AN262" s="4">
        <f>Table103[[#This Row],[Premium]]-Table103[[#This Row],[Tms Prem]]</f>
        <v>1</v>
      </c>
    </row>
    <row r="263" spans="1:40" x14ac:dyDescent="0.25">
      <c r="A263">
        <v>262</v>
      </c>
      <c r="B263" t="s">
        <v>38</v>
      </c>
      <c r="C263" t="s">
        <v>3439</v>
      </c>
      <c r="D263" t="s">
        <v>40</v>
      </c>
      <c r="E263" t="s">
        <v>41</v>
      </c>
      <c r="F263" t="s">
        <v>3440</v>
      </c>
      <c r="G263" t="s">
        <v>174</v>
      </c>
      <c r="H263" t="s">
        <v>3441</v>
      </c>
      <c r="I263" t="s">
        <v>3442</v>
      </c>
      <c r="J263" t="s">
        <v>3442</v>
      </c>
      <c r="K263" t="s">
        <v>3443</v>
      </c>
      <c r="L263" t="s">
        <v>3444</v>
      </c>
      <c r="M263">
        <v>2000000</v>
      </c>
      <c r="N263">
        <v>2500000</v>
      </c>
      <c r="O263" t="s">
        <v>3445</v>
      </c>
      <c r="P263" s="1">
        <v>45529</v>
      </c>
      <c r="Q263" s="2" t="s">
        <v>3446</v>
      </c>
      <c r="R263" t="s">
        <v>3447</v>
      </c>
      <c r="S263" t="s">
        <v>493</v>
      </c>
      <c r="T263" t="s">
        <v>3448</v>
      </c>
      <c r="U263" t="s">
        <v>3449</v>
      </c>
      <c r="V263" t="s">
        <v>496</v>
      </c>
      <c r="W263" t="s">
        <v>3073</v>
      </c>
      <c r="X263" t="s">
        <v>2704</v>
      </c>
      <c r="Y263" t="s">
        <v>2184</v>
      </c>
      <c r="Z263" t="s">
        <v>3450</v>
      </c>
      <c r="AA263">
        <v>5</v>
      </c>
      <c r="AB263" t="s">
        <v>57</v>
      </c>
      <c r="AC263" t="s">
        <v>3451</v>
      </c>
      <c r="AD263" t="s">
        <v>3452</v>
      </c>
      <c r="AE263" t="s">
        <v>60</v>
      </c>
      <c r="AF263">
        <v>1875000</v>
      </c>
      <c r="AG263" s="3">
        <v>37500</v>
      </c>
      <c r="AK263" t="s">
        <v>3453</v>
      </c>
      <c r="AL263" s="3">
        <v>37500</v>
      </c>
      <c r="AM263">
        <v>0</v>
      </c>
      <c r="AN263" s="4">
        <f>Table103[[#This Row],[Premium]]-Table103[[#This Row],[Tms Prem]]</f>
        <v>0</v>
      </c>
    </row>
    <row r="264" spans="1:40" x14ac:dyDescent="0.25">
      <c r="A264">
        <v>263</v>
      </c>
      <c r="B264" t="s">
        <v>38</v>
      </c>
      <c r="C264" t="s">
        <v>3454</v>
      </c>
      <c r="D264" t="s">
        <v>40</v>
      </c>
      <c r="E264" t="s">
        <v>41</v>
      </c>
      <c r="F264" t="s">
        <v>3455</v>
      </c>
      <c r="G264" t="s">
        <v>174</v>
      </c>
      <c r="H264" t="s">
        <v>3456</v>
      </c>
      <c r="I264" t="s">
        <v>45</v>
      </c>
      <c r="J264" t="s">
        <v>3457</v>
      </c>
      <c r="K264" t="s">
        <v>45</v>
      </c>
      <c r="L264" t="s">
        <v>3458</v>
      </c>
      <c r="M264">
        <v>1617600</v>
      </c>
      <c r="N264">
        <v>2022000</v>
      </c>
      <c r="O264" t="s">
        <v>3459</v>
      </c>
      <c r="P264" s="1">
        <v>45529</v>
      </c>
      <c r="Q264" s="2" t="s">
        <v>3460</v>
      </c>
      <c r="R264" t="s">
        <v>3461</v>
      </c>
      <c r="S264" t="s">
        <v>50</v>
      </c>
      <c r="T264" t="s">
        <v>45</v>
      </c>
      <c r="U264" t="s">
        <v>3462</v>
      </c>
      <c r="V264" t="s">
        <v>90</v>
      </c>
      <c r="W264" t="s">
        <v>3463</v>
      </c>
      <c r="X264" t="s">
        <v>1599</v>
      </c>
      <c r="Y264" t="s">
        <v>874</v>
      </c>
      <c r="Z264" t="s">
        <v>3464</v>
      </c>
      <c r="AA264">
        <v>6</v>
      </c>
      <c r="AB264" t="s">
        <v>124</v>
      </c>
      <c r="AC264" t="s">
        <v>3465</v>
      </c>
      <c r="AD264" t="s">
        <v>3452</v>
      </c>
      <c r="AE264" t="s">
        <v>60</v>
      </c>
      <c r="AF264">
        <v>1698480</v>
      </c>
      <c r="AG264" s="3">
        <v>34122</v>
      </c>
      <c r="AK264" t="s">
        <v>3466</v>
      </c>
      <c r="AL264" s="3">
        <v>33970</v>
      </c>
      <c r="AM264" t="s">
        <v>4094</v>
      </c>
      <c r="AN264" s="4">
        <f>Table103[[#This Row],[Premium]]-Table103[[#This Row],[Tms Prem]]</f>
        <v>152</v>
      </c>
    </row>
    <row r="265" spans="1:40" x14ac:dyDescent="0.25">
      <c r="A265">
        <v>264</v>
      </c>
      <c r="B265" t="s">
        <v>38</v>
      </c>
      <c r="C265" t="s">
        <v>3467</v>
      </c>
      <c r="D265" t="s">
        <v>40</v>
      </c>
      <c r="E265" t="s">
        <v>41</v>
      </c>
      <c r="F265" t="s">
        <v>3468</v>
      </c>
      <c r="G265" t="s">
        <v>80</v>
      </c>
      <c r="H265" t="s">
        <v>3469</v>
      </c>
      <c r="I265" t="s">
        <v>3470</v>
      </c>
      <c r="J265" t="s">
        <v>3470</v>
      </c>
      <c r="K265" t="s">
        <v>151</v>
      </c>
      <c r="L265" t="s">
        <v>3471</v>
      </c>
      <c r="M265">
        <v>997500</v>
      </c>
      <c r="N265">
        <v>1330000</v>
      </c>
      <c r="O265" t="s">
        <v>3472</v>
      </c>
      <c r="P265" s="1">
        <v>45529</v>
      </c>
      <c r="Q265" s="2">
        <v>116724</v>
      </c>
      <c r="R265" t="s">
        <v>3473</v>
      </c>
      <c r="S265" t="s">
        <v>88</v>
      </c>
      <c r="T265" t="s">
        <v>3474</v>
      </c>
      <c r="U265" t="s">
        <v>1775</v>
      </c>
      <c r="V265" t="s">
        <v>496</v>
      </c>
      <c r="W265" t="s">
        <v>3166</v>
      </c>
      <c r="X265" t="s">
        <v>406</v>
      </c>
      <c r="Y265" t="s">
        <v>407</v>
      </c>
      <c r="Z265" t="s">
        <v>3475</v>
      </c>
      <c r="AA265">
        <v>6</v>
      </c>
      <c r="AB265" t="s">
        <v>57</v>
      </c>
      <c r="AC265" t="s">
        <v>3476</v>
      </c>
      <c r="AD265" t="s">
        <v>3477</v>
      </c>
      <c r="AE265" t="s">
        <v>60</v>
      </c>
      <c r="AF265">
        <v>1064000</v>
      </c>
      <c r="AG265" s="3">
        <v>21280</v>
      </c>
      <c r="AK265" t="s">
        <v>3478</v>
      </c>
      <c r="AL265" s="3">
        <v>21280</v>
      </c>
      <c r="AM265">
        <v>0</v>
      </c>
      <c r="AN265" s="4">
        <f>Table103[[#This Row],[Premium]]-Table103[[#This Row],[Tms Prem]]</f>
        <v>0</v>
      </c>
    </row>
    <row r="266" spans="1:40" x14ac:dyDescent="0.25">
      <c r="A266">
        <v>265</v>
      </c>
      <c r="B266" t="s">
        <v>38</v>
      </c>
      <c r="C266" t="s">
        <v>3479</v>
      </c>
      <c r="D266" t="s">
        <v>40</v>
      </c>
      <c r="E266" t="s">
        <v>41</v>
      </c>
      <c r="F266" t="s">
        <v>3480</v>
      </c>
      <c r="G266" t="s">
        <v>174</v>
      </c>
      <c r="H266" t="s">
        <v>3481</v>
      </c>
      <c r="I266" t="s">
        <v>3482</v>
      </c>
      <c r="J266" t="s">
        <v>3482</v>
      </c>
      <c r="K266" t="s">
        <v>3482</v>
      </c>
      <c r="L266" t="s">
        <v>3483</v>
      </c>
      <c r="M266">
        <v>1200000</v>
      </c>
      <c r="N266">
        <v>1600000</v>
      </c>
      <c r="O266" t="s">
        <v>3484</v>
      </c>
      <c r="P266" s="1">
        <v>45529</v>
      </c>
      <c r="Q266" s="2" t="s">
        <v>3485</v>
      </c>
      <c r="R266" t="s">
        <v>3486</v>
      </c>
      <c r="S266" t="s">
        <v>88</v>
      </c>
      <c r="T266" t="s">
        <v>3487</v>
      </c>
      <c r="U266" t="s">
        <v>3488</v>
      </c>
      <c r="V266" t="s">
        <v>365</v>
      </c>
      <c r="W266" t="s">
        <v>3452</v>
      </c>
      <c r="X266" t="s">
        <v>2704</v>
      </c>
      <c r="Y266" t="s">
        <v>2184</v>
      </c>
      <c r="Z266" t="s">
        <v>3489</v>
      </c>
      <c r="AA266">
        <v>5</v>
      </c>
      <c r="AB266" t="s">
        <v>57</v>
      </c>
      <c r="AC266" t="s">
        <v>3490</v>
      </c>
      <c r="AD266" t="s">
        <v>3452</v>
      </c>
      <c r="AE266" t="s">
        <v>60</v>
      </c>
      <c r="AF266">
        <v>1200000</v>
      </c>
      <c r="AG266" s="3">
        <v>24000</v>
      </c>
      <c r="AK266" t="s">
        <v>3491</v>
      </c>
      <c r="AL266" s="3">
        <v>24000</v>
      </c>
      <c r="AM266">
        <v>0</v>
      </c>
      <c r="AN266" s="4">
        <f>Table103[[#This Row],[Premium]]-Table103[[#This Row],[Tms Prem]]</f>
        <v>0</v>
      </c>
    </row>
    <row r="267" spans="1:40" x14ac:dyDescent="0.25">
      <c r="A267">
        <v>266</v>
      </c>
      <c r="B267" t="s">
        <v>38</v>
      </c>
      <c r="C267" t="s">
        <v>3492</v>
      </c>
      <c r="D267" t="s">
        <v>40</v>
      </c>
      <c r="E267" t="s">
        <v>41</v>
      </c>
      <c r="F267" t="s">
        <v>3493</v>
      </c>
      <c r="G267" t="s">
        <v>174</v>
      </c>
      <c r="H267" t="s">
        <v>3494</v>
      </c>
      <c r="I267" t="s">
        <v>3495</v>
      </c>
      <c r="J267" t="s">
        <v>3495</v>
      </c>
      <c r="K267" t="s">
        <v>3495</v>
      </c>
      <c r="L267" t="s">
        <v>3496</v>
      </c>
      <c r="M267">
        <v>2145000</v>
      </c>
      <c r="N267">
        <v>3575000</v>
      </c>
      <c r="O267" t="s">
        <v>3497</v>
      </c>
      <c r="P267" s="1">
        <v>45529</v>
      </c>
      <c r="Q267" s="2" t="s">
        <v>3498</v>
      </c>
      <c r="R267" t="s">
        <v>3499</v>
      </c>
      <c r="S267" t="s">
        <v>88</v>
      </c>
      <c r="T267" t="s">
        <v>3500</v>
      </c>
      <c r="U267" t="s">
        <v>3501</v>
      </c>
      <c r="V267" t="s">
        <v>90</v>
      </c>
      <c r="W267" t="s">
        <v>2538</v>
      </c>
      <c r="X267" t="s">
        <v>2538</v>
      </c>
      <c r="Y267" t="s">
        <v>2184</v>
      </c>
      <c r="Z267" t="s">
        <v>3502</v>
      </c>
      <c r="AA267">
        <v>3</v>
      </c>
      <c r="AB267" t="s">
        <v>124</v>
      </c>
      <c r="AC267" t="s">
        <v>3503</v>
      </c>
      <c r="AD267" t="s">
        <v>2655</v>
      </c>
      <c r="AE267" t="s">
        <v>159</v>
      </c>
      <c r="AF267">
        <v>3038750</v>
      </c>
      <c r="AG267" s="3">
        <v>45582</v>
      </c>
      <c r="AK267" t="s">
        <v>3504</v>
      </c>
      <c r="AL267" s="3">
        <v>45581</v>
      </c>
      <c r="AM267">
        <v>0</v>
      </c>
      <c r="AN267" s="4">
        <f>Table103[[#This Row],[Premium]]-Table103[[#This Row],[Tms Prem]]</f>
        <v>1</v>
      </c>
    </row>
    <row r="268" spans="1:40" x14ac:dyDescent="0.25">
      <c r="A268">
        <v>267</v>
      </c>
      <c r="B268" t="s">
        <v>38</v>
      </c>
      <c r="C268" t="s">
        <v>3505</v>
      </c>
      <c r="D268" t="s">
        <v>40</v>
      </c>
      <c r="E268" t="s">
        <v>41</v>
      </c>
      <c r="F268" t="s">
        <v>3506</v>
      </c>
      <c r="G268" t="s">
        <v>80</v>
      </c>
      <c r="H268" t="s">
        <v>3507</v>
      </c>
      <c r="I268" t="s">
        <v>3508</v>
      </c>
      <c r="J268" t="s">
        <v>3508</v>
      </c>
      <c r="K268" t="s">
        <v>151</v>
      </c>
      <c r="L268" t="s">
        <v>3509</v>
      </c>
      <c r="M268">
        <v>2394000</v>
      </c>
      <c r="N268">
        <v>3420000</v>
      </c>
      <c r="O268" t="s">
        <v>3510</v>
      </c>
      <c r="P268" s="1">
        <v>45525</v>
      </c>
      <c r="Q268" s="2">
        <v>1006303</v>
      </c>
      <c r="R268" t="s">
        <v>3511</v>
      </c>
      <c r="S268" t="s">
        <v>50</v>
      </c>
      <c r="T268" t="s">
        <v>45</v>
      </c>
      <c r="U268" t="s">
        <v>3153</v>
      </c>
      <c r="V268" t="s">
        <v>52</v>
      </c>
      <c r="W268" t="s">
        <v>3512</v>
      </c>
      <c r="X268" t="s">
        <v>2538</v>
      </c>
      <c r="Y268" t="s">
        <v>2184</v>
      </c>
      <c r="Z268" t="s">
        <v>3513</v>
      </c>
      <c r="AA268">
        <v>3</v>
      </c>
      <c r="AB268" t="s">
        <v>124</v>
      </c>
      <c r="AC268" t="s">
        <v>3514</v>
      </c>
      <c r="AD268" t="s">
        <v>3139</v>
      </c>
      <c r="AE268" t="s">
        <v>97</v>
      </c>
      <c r="AF268">
        <v>2907000</v>
      </c>
      <c r="AG268" s="3">
        <v>50873</v>
      </c>
      <c r="AK268" t="s">
        <v>3515</v>
      </c>
      <c r="AL268" s="3">
        <v>50873</v>
      </c>
      <c r="AM268">
        <v>0</v>
      </c>
      <c r="AN268" s="4">
        <f>Table103[[#This Row],[Premium]]-Table103[[#This Row],[Tms Prem]]</f>
        <v>0</v>
      </c>
    </row>
    <row r="269" spans="1:40" x14ac:dyDescent="0.25">
      <c r="A269">
        <v>268</v>
      </c>
      <c r="B269" t="s">
        <v>38</v>
      </c>
      <c r="C269" t="s">
        <v>3516</v>
      </c>
      <c r="D269" t="s">
        <v>40</v>
      </c>
      <c r="E269" t="s">
        <v>41</v>
      </c>
      <c r="F269" t="s">
        <v>3517</v>
      </c>
      <c r="G269" t="s">
        <v>80</v>
      </c>
      <c r="H269" t="s">
        <v>3518</v>
      </c>
      <c r="I269" t="s">
        <v>45</v>
      </c>
      <c r="J269" t="s">
        <v>3519</v>
      </c>
      <c r="K269" t="s">
        <v>45</v>
      </c>
      <c r="L269" t="s">
        <v>3520</v>
      </c>
      <c r="M269">
        <v>1610000</v>
      </c>
      <c r="N269">
        <v>2300000</v>
      </c>
      <c r="O269" t="s">
        <v>3521</v>
      </c>
      <c r="P269" s="1">
        <v>45525</v>
      </c>
      <c r="Q269" s="2">
        <v>166639</v>
      </c>
      <c r="R269" t="s">
        <v>3522</v>
      </c>
      <c r="S269" t="s">
        <v>88</v>
      </c>
      <c r="T269" t="s">
        <v>3523</v>
      </c>
      <c r="U269" t="s">
        <v>51</v>
      </c>
      <c r="V269" t="s">
        <v>140</v>
      </c>
      <c r="W269" t="s">
        <v>3512</v>
      </c>
      <c r="X269" t="s">
        <v>2538</v>
      </c>
      <c r="Y269" t="s">
        <v>407</v>
      </c>
      <c r="Z269" t="s">
        <v>3524</v>
      </c>
      <c r="AA269">
        <v>5</v>
      </c>
      <c r="AB269" t="s">
        <v>94</v>
      </c>
      <c r="AC269" t="s">
        <v>3525</v>
      </c>
      <c r="AD269" t="s">
        <v>3213</v>
      </c>
      <c r="AE269" t="s">
        <v>159</v>
      </c>
      <c r="AF269">
        <v>1955000</v>
      </c>
      <c r="AG269" s="3">
        <v>29325</v>
      </c>
      <c r="AK269" t="s">
        <v>3526</v>
      </c>
      <c r="AL269" s="3">
        <v>29325</v>
      </c>
      <c r="AM269">
        <v>0</v>
      </c>
      <c r="AN269" s="4">
        <f>Table103[[#This Row],[Premium]]-Table103[[#This Row],[Tms Prem]]</f>
        <v>0</v>
      </c>
    </row>
    <row r="270" spans="1:40" x14ac:dyDescent="0.25">
      <c r="A270">
        <v>269</v>
      </c>
      <c r="B270" t="s">
        <v>471</v>
      </c>
      <c r="C270" t="s">
        <v>3527</v>
      </c>
      <c r="D270" t="s">
        <v>40</v>
      </c>
      <c r="E270" t="s">
        <v>41</v>
      </c>
      <c r="F270" t="s">
        <v>3528</v>
      </c>
      <c r="G270" t="s">
        <v>174</v>
      </c>
      <c r="H270" t="s">
        <v>3529</v>
      </c>
      <c r="I270" t="s">
        <v>3530</v>
      </c>
      <c r="J270" t="s">
        <v>3530</v>
      </c>
      <c r="K270" t="s">
        <v>3530</v>
      </c>
      <c r="L270" t="s">
        <v>3531</v>
      </c>
      <c r="M270">
        <v>804300</v>
      </c>
      <c r="N270">
        <v>1149000</v>
      </c>
      <c r="O270" t="s">
        <v>3532</v>
      </c>
      <c r="P270" s="1">
        <v>45528</v>
      </c>
      <c r="Q270" s="2" t="s">
        <v>3533</v>
      </c>
      <c r="R270" t="s">
        <v>3534</v>
      </c>
      <c r="S270" t="s">
        <v>50</v>
      </c>
      <c r="T270" t="s">
        <v>45</v>
      </c>
      <c r="U270" t="s">
        <v>3535</v>
      </c>
      <c r="V270" t="s">
        <v>140</v>
      </c>
      <c r="W270" t="s">
        <v>438</v>
      </c>
      <c r="X270" t="s">
        <v>406</v>
      </c>
      <c r="Y270" t="s">
        <v>815</v>
      </c>
      <c r="Z270" t="s">
        <v>3536</v>
      </c>
      <c r="AA270">
        <v>5</v>
      </c>
      <c r="AB270" t="s">
        <v>57</v>
      </c>
      <c r="AC270" t="s">
        <v>3537</v>
      </c>
      <c r="AD270" t="s">
        <v>3538</v>
      </c>
      <c r="AE270" t="s">
        <v>60</v>
      </c>
      <c r="AF270">
        <v>919200</v>
      </c>
      <c r="AG270" s="3">
        <v>18384</v>
      </c>
      <c r="AK270" t="s">
        <v>3539</v>
      </c>
      <c r="AL270" s="3">
        <v>18384</v>
      </c>
      <c r="AM270">
        <v>0</v>
      </c>
      <c r="AN270" s="4">
        <f>Table103[[#This Row],[Premium]]-Table103[[#This Row],[Tms Prem]]</f>
        <v>0</v>
      </c>
    </row>
    <row r="271" spans="1:40" x14ac:dyDescent="0.25">
      <c r="A271">
        <v>270</v>
      </c>
      <c r="B271" t="s">
        <v>38</v>
      </c>
      <c r="C271" t="s">
        <v>3540</v>
      </c>
      <c r="D271" t="s">
        <v>40</v>
      </c>
      <c r="E271" t="s">
        <v>41</v>
      </c>
      <c r="F271" t="s">
        <v>3541</v>
      </c>
      <c r="G271" t="s">
        <v>174</v>
      </c>
      <c r="H271" t="s">
        <v>3542</v>
      </c>
      <c r="I271" t="s">
        <v>45</v>
      </c>
      <c r="J271" t="s">
        <v>3543</v>
      </c>
      <c r="K271" t="s">
        <v>45</v>
      </c>
      <c r="L271" t="s">
        <v>3544</v>
      </c>
      <c r="M271">
        <v>1907750</v>
      </c>
      <c r="N271">
        <v>2935000</v>
      </c>
      <c r="O271" t="s">
        <v>3545</v>
      </c>
      <c r="P271" t="s">
        <v>3546</v>
      </c>
      <c r="Q271" s="2" t="s">
        <v>3547</v>
      </c>
      <c r="R271" t="s">
        <v>3548</v>
      </c>
      <c r="S271" t="s">
        <v>50</v>
      </c>
      <c r="T271" t="s">
        <v>50</v>
      </c>
      <c r="U271" t="s">
        <v>45</v>
      </c>
      <c r="V271" t="s">
        <v>379</v>
      </c>
      <c r="W271">
        <v>45164</v>
      </c>
      <c r="X271" t="s">
        <v>121</v>
      </c>
      <c r="Y271" t="s">
        <v>1038</v>
      </c>
      <c r="Z271" t="s">
        <v>3549</v>
      </c>
      <c r="AA271">
        <v>5</v>
      </c>
      <c r="AB271" t="s">
        <v>57</v>
      </c>
      <c r="AC271" t="s">
        <v>3550</v>
      </c>
      <c r="AD271" t="s">
        <v>3551</v>
      </c>
      <c r="AE271" t="s">
        <v>97</v>
      </c>
      <c r="AF271">
        <v>2641500</v>
      </c>
      <c r="AG271" s="3">
        <v>46227</v>
      </c>
      <c r="AK271" t="s">
        <v>3552</v>
      </c>
      <c r="AL271" s="3">
        <v>46226</v>
      </c>
      <c r="AM271">
        <v>0</v>
      </c>
      <c r="AN271" s="4">
        <f>Table103[[#This Row],[Premium]]-Table103[[#This Row],[Tms Prem]]</f>
        <v>1</v>
      </c>
    </row>
    <row r="272" spans="1:40" x14ac:dyDescent="0.25">
      <c r="A272">
        <v>271</v>
      </c>
      <c r="B272" t="s">
        <v>38</v>
      </c>
      <c r="C272" t="s">
        <v>3553</v>
      </c>
      <c r="D272" t="s">
        <v>40</v>
      </c>
      <c r="E272" t="s">
        <v>41</v>
      </c>
      <c r="F272" t="s">
        <v>3554</v>
      </c>
      <c r="G272" t="s">
        <v>174</v>
      </c>
      <c r="H272" t="s">
        <v>3555</v>
      </c>
      <c r="I272" t="s">
        <v>3556</v>
      </c>
      <c r="J272" t="s">
        <v>3556</v>
      </c>
      <c r="K272" t="s">
        <v>3556</v>
      </c>
      <c r="L272" t="s">
        <v>3557</v>
      </c>
      <c r="M272">
        <v>1697800</v>
      </c>
      <c r="N272">
        <v>2612000</v>
      </c>
      <c r="O272" t="s">
        <v>3558</v>
      </c>
      <c r="P272" t="s">
        <v>3546</v>
      </c>
      <c r="Q272" s="2">
        <v>280153</v>
      </c>
      <c r="R272" t="s">
        <v>3559</v>
      </c>
      <c r="S272" t="s">
        <v>50</v>
      </c>
      <c r="T272" t="s">
        <v>50</v>
      </c>
      <c r="U272" t="s">
        <v>45</v>
      </c>
      <c r="V272" t="s">
        <v>379</v>
      </c>
      <c r="W272">
        <v>45164</v>
      </c>
      <c r="X272" t="s">
        <v>121</v>
      </c>
      <c r="Y272" t="s">
        <v>1038</v>
      </c>
      <c r="Z272" t="s">
        <v>3560</v>
      </c>
      <c r="AA272">
        <v>5</v>
      </c>
      <c r="AB272" t="s">
        <v>57</v>
      </c>
      <c r="AC272" t="s">
        <v>3561</v>
      </c>
      <c r="AD272" t="s">
        <v>3551</v>
      </c>
      <c r="AE272" t="s">
        <v>97</v>
      </c>
      <c r="AF272">
        <v>2350800</v>
      </c>
      <c r="AG272" s="3">
        <v>41139.000000000007</v>
      </c>
      <c r="AK272" t="s">
        <v>3562</v>
      </c>
      <c r="AL272" s="3">
        <v>41139</v>
      </c>
      <c r="AM272">
        <v>0</v>
      </c>
      <c r="AN272" s="4">
        <f>Table103[[#This Row],[Premium]]-Table103[[#This Row],[Tms Prem]]</f>
        <v>0</v>
      </c>
    </row>
    <row r="273" spans="1:40" x14ac:dyDescent="0.25">
      <c r="A273">
        <v>272</v>
      </c>
      <c r="B273" t="s">
        <v>38</v>
      </c>
      <c r="C273" t="s">
        <v>3563</v>
      </c>
      <c r="D273" t="s">
        <v>40</v>
      </c>
      <c r="E273" t="s">
        <v>41</v>
      </c>
      <c r="F273" t="s">
        <v>3564</v>
      </c>
      <c r="G273" t="s">
        <v>174</v>
      </c>
      <c r="H273" t="s">
        <v>3565</v>
      </c>
      <c r="I273" t="s">
        <v>3566</v>
      </c>
      <c r="J273" t="s">
        <v>3566</v>
      </c>
      <c r="K273" t="s">
        <v>3566</v>
      </c>
      <c r="L273" t="s">
        <v>3567</v>
      </c>
      <c r="M273">
        <v>1927800</v>
      </c>
      <c r="N273">
        <v>2754000</v>
      </c>
      <c r="O273" t="s">
        <v>3568</v>
      </c>
      <c r="P273" s="1">
        <v>45528</v>
      </c>
      <c r="Q273" s="2">
        <v>200552</v>
      </c>
      <c r="R273" t="s">
        <v>3569</v>
      </c>
      <c r="S273" t="s">
        <v>50</v>
      </c>
      <c r="T273" t="s">
        <v>45</v>
      </c>
      <c r="U273" t="s">
        <v>1230</v>
      </c>
      <c r="V273" t="s">
        <v>52</v>
      </c>
      <c r="W273" t="s">
        <v>2616</v>
      </c>
      <c r="X273" t="s">
        <v>829</v>
      </c>
      <c r="Y273" t="s">
        <v>1189</v>
      </c>
      <c r="Z273" t="s">
        <v>3570</v>
      </c>
      <c r="AA273">
        <v>5</v>
      </c>
      <c r="AB273" t="s">
        <v>94</v>
      </c>
      <c r="AC273" t="s">
        <v>3571</v>
      </c>
      <c r="AD273" t="s">
        <v>3512</v>
      </c>
      <c r="AE273" t="s">
        <v>97</v>
      </c>
      <c r="AF273">
        <v>2340900</v>
      </c>
      <c r="AG273" s="3">
        <v>40966</v>
      </c>
      <c r="AK273" t="s">
        <v>3572</v>
      </c>
      <c r="AL273" s="3">
        <v>40966</v>
      </c>
      <c r="AM273">
        <v>0</v>
      </c>
      <c r="AN273" s="4">
        <f>Table103[[#This Row],[Premium]]-Table103[[#This Row],[Tms Prem]]</f>
        <v>0</v>
      </c>
    </row>
    <row r="274" spans="1:40" x14ac:dyDescent="0.25">
      <c r="A274">
        <v>273</v>
      </c>
      <c r="B274" t="s">
        <v>38</v>
      </c>
      <c r="C274" t="s">
        <v>3573</v>
      </c>
      <c r="D274" t="s">
        <v>40</v>
      </c>
      <c r="E274" t="s">
        <v>41</v>
      </c>
      <c r="F274" t="s">
        <v>3574</v>
      </c>
      <c r="G274" t="s">
        <v>80</v>
      </c>
      <c r="H274" t="s">
        <v>3575</v>
      </c>
      <c r="I274" t="s">
        <v>45</v>
      </c>
      <c r="J274" t="s">
        <v>3576</v>
      </c>
      <c r="K274" t="s">
        <v>45</v>
      </c>
      <c r="L274" t="s">
        <v>3577</v>
      </c>
      <c r="M274">
        <v>1632000</v>
      </c>
      <c r="N274">
        <v>2550000</v>
      </c>
      <c r="O274" t="s">
        <v>3578</v>
      </c>
      <c r="P274" s="1">
        <v>45525</v>
      </c>
      <c r="Q274" s="2">
        <v>218858</v>
      </c>
      <c r="R274" t="s">
        <v>3579</v>
      </c>
      <c r="S274" t="s">
        <v>88</v>
      </c>
      <c r="T274" t="s">
        <v>3580</v>
      </c>
      <c r="U274" t="s">
        <v>3581</v>
      </c>
      <c r="V274" t="s">
        <v>140</v>
      </c>
      <c r="W274" t="s">
        <v>2984</v>
      </c>
      <c r="X274" t="s">
        <v>2538</v>
      </c>
      <c r="Y274" t="s">
        <v>407</v>
      </c>
      <c r="Z274" t="s">
        <v>3582</v>
      </c>
      <c r="AA274">
        <v>5</v>
      </c>
      <c r="AB274" t="s">
        <v>124</v>
      </c>
      <c r="AC274" t="s">
        <v>3583</v>
      </c>
      <c r="AD274" t="s">
        <v>2984</v>
      </c>
      <c r="AE274" t="s">
        <v>159</v>
      </c>
      <c r="AF274">
        <v>2167500</v>
      </c>
      <c r="AG274" s="3">
        <v>32513</v>
      </c>
      <c r="AK274" t="s">
        <v>3584</v>
      </c>
      <c r="AL274" s="3">
        <v>32513</v>
      </c>
      <c r="AM274">
        <v>0</v>
      </c>
      <c r="AN274" s="4">
        <f>Table103[[#This Row],[Premium]]-Table103[[#This Row],[Tms Prem]]</f>
        <v>0</v>
      </c>
    </row>
    <row r="275" spans="1:40" x14ac:dyDescent="0.25">
      <c r="A275">
        <v>274</v>
      </c>
      <c r="B275" t="s">
        <v>38</v>
      </c>
      <c r="C275" t="s">
        <v>3585</v>
      </c>
      <c r="D275" t="s">
        <v>40</v>
      </c>
      <c r="E275" t="s">
        <v>41</v>
      </c>
      <c r="F275" t="s">
        <v>3586</v>
      </c>
      <c r="G275" t="s">
        <v>80</v>
      </c>
      <c r="H275" t="s">
        <v>3587</v>
      </c>
      <c r="I275" t="s">
        <v>45</v>
      </c>
      <c r="J275" t="s">
        <v>3588</v>
      </c>
      <c r="K275" t="s">
        <v>45</v>
      </c>
      <c r="L275" t="s">
        <v>3589</v>
      </c>
      <c r="M275">
        <v>2929000</v>
      </c>
      <c r="N275">
        <v>5858000</v>
      </c>
      <c r="O275" t="s">
        <v>3590</v>
      </c>
      <c r="P275" s="1">
        <v>45528</v>
      </c>
      <c r="Q275" s="2">
        <v>1868393</v>
      </c>
      <c r="R275" t="s">
        <v>3591</v>
      </c>
      <c r="S275" t="s">
        <v>50</v>
      </c>
      <c r="T275" t="s">
        <v>45</v>
      </c>
      <c r="U275" t="s">
        <v>3592</v>
      </c>
      <c r="V275" t="s">
        <v>52</v>
      </c>
      <c r="W275" t="s">
        <v>3593</v>
      </c>
      <c r="X275" t="s">
        <v>2538</v>
      </c>
      <c r="Y275" t="s">
        <v>2184</v>
      </c>
      <c r="Z275" t="s">
        <v>3594</v>
      </c>
      <c r="AA275">
        <v>3</v>
      </c>
      <c r="AB275" t="s">
        <v>124</v>
      </c>
      <c r="AC275" t="s">
        <v>3595</v>
      </c>
      <c r="AD275" t="s">
        <v>3139</v>
      </c>
      <c r="AE275" t="s">
        <v>60</v>
      </c>
      <c r="AF275">
        <v>4979300</v>
      </c>
      <c r="AG275" s="3">
        <v>99586</v>
      </c>
      <c r="AK275" t="s">
        <v>3596</v>
      </c>
      <c r="AL275" s="3">
        <v>99586</v>
      </c>
      <c r="AM275">
        <v>0</v>
      </c>
      <c r="AN275" s="4">
        <f>Table103[[#This Row],[Premium]]-Table103[[#This Row],[Tms Prem]]</f>
        <v>0</v>
      </c>
    </row>
    <row r="276" spans="1:40" x14ac:dyDescent="0.25">
      <c r="A276">
        <v>275</v>
      </c>
      <c r="B276" t="s">
        <v>38</v>
      </c>
      <c r="C276" t="s">
        <v>3597</v>
      </c>
      <c r="D276" t="s">
        <v>40</v>
      </c>
      <c r="E276" t="s">
        <v>41</v>
      </c>
      <c r="F276" t="s">
        <v>3598</v>
      </c>
      <c r="G276" t="s">
        <v>80</v>
      </c>
      <c r="H276" t="s">
        <v>3599</v>
      </c>
      <c r="I276" t="s">
        <v>45</v>
      </c>
      <c r="J276" t="s">
        <v>3600</v>
      </c>
      <c r="K276" t="s">
        <v>3601</v>
      </c>
      <c r="L276" t="s">
        <v>3602</v>
      </c>
      <c r="M276">
        <v>2778240</v>
      </c>
      <c r="N276">
        <v>5788000</v>
      </c>
      <c r="O276" t="s">
        <v>3603</v>
      </c>
      <c r="P276" s="1">
        <v>45525</v>
      </c>
      <c r="Q276" s="2">
        <v>302478</v>
      </c>
      <c r="R276" t="s">
        <v>3604</v>
      </c>
      <c r="S276" t="s">
        <v>50</v>
      </c>
      <c r="T276" t="s">
        <v>45</v>
      </c>
      <c r="U276" t="s">
        <v>1241</v>
      </c>
      <c r="V276" t="s">
        <v>52</v>
      </c>
      <c r="W276" t="s">
        <v>3238</v>
      </c>
      <c r="X276" t="s">
        <v>2538</v>
      </c>
      <c r="Y276" t="s">
        <v>2184</v>
      </c>
      <c r="Z276" t="s">
        <v>3605</v>
      </c>
      <c r="AA276">
        <v>3</v>
      </c>
      <c r="AB276" t="s">
        <v>45</v>
      </c>
      <c r="AC276" t="s">
        <v>45</v>
      </c>
      <c r="AD276" t="s">
        <v>45</v>
      </c>
      <c r="AE276" t="s">
        <v>60</v>
      </c>
      <c r="AF276">
        <v>4919800</v>
      </c>
      <c r="AG276" s="3">
        <v>98396</v>
      </c>
      <c r="AK276" t="s">
        <v>3606</v>
      </c>
      <c r="AL276" s="3">
        <v>98396</v>
      </c>
      <c r="AM276">
        <v>0</v>
      </c>
      <c r="AN276" s="4">
        <f>Table103[[#This Row],[Premium]]-Table103[[#This Row],[Tms Prem]]</f>
        <v>0</v>
      </c>
    </row>
    <row r="277" spans="1:40" x14ac:dyDescent="0.25">
      <c r="A277">
        <v>276</v>
      </c>
      <c r="B277" t="s">
        <v>38</v>
      </c>
      <c r="C277" t="s">
        <v>3607</v>
      </c>
      <c r="D277" t="s">
        <v>40</v>
      </c>
      <c r="E277" t="s">
        <v>41</v>
      </c>
      <c r="F277" t="s">
        <v>3608</v>
      </c>
      <c r="G277" t="s">
        <v>174</v>
      </c>
      <c r="H277" t="s">
        <v>3609</v>
      </c>
      <c r="I277" t="s">
        <v>3610</v>
      </c>
      <c r="J277" t="s">
        <v>3610</v>
      </c>
      <c r="K277" t="s">
        <v>3610</v>
      </c>
      <c r="L277" t="s">
        <v>3611</v>
      </c>
      <c r="M277">
        <v>1694000</v>
      </c>
      <c r="N277">
        <v>2420000</v>
      </c>
      <c r="O277" t="s">
        <v>3612</v>
      </c>
      <c r="P277" s="1">
        <v>45528</v>
      </c>
      <c r="Q277" s="2">
        <v>190966</v>
      </c>
      <c r="R277" t="s">
        <v>3613</v>
      </c>
      <c r="S277" t="s">
        <v>88</v>
      </c>
      <c r="T277" t="s">
        <v>3614</v>
      </c>
      <c r="U277" t="s">
        <v>51</v>
      </c>
      <c r="V277" t="s">
        <v>140</v>
      </c>
      <c r="W277" t="s">
        <v>2655</v>
      </c>
      <c r="X277" t="s">
        <v>2538</v>
      </c>
      <c r="Y277" t="s">
        <v>407</v>
      </c>
      <c r="Z277" t="s">
        <v>3615</v>
      </c>
      <c r="AA277">
        <v>5</v>
      </c>
      <c r="AB277" t="s">
        <v>124</v>
      </c>
      <c r="AC277" t="s">
        <v>3616</v>
      </c>
      <c r="AD277" t="s">
        <v>3512</v>
      </c>
      <c r="AE277" t="s">
        <v>97</v>
      </c>
      <c r="AF277">
        <v>2057000</v>
      </c>
      <c r="AG277" s="3">
        <v>35998</v>
      </c>
      <c r="AK277" t="s">
        <v>3617</v>
      </c>
      <c r="AL277" s="3">
        <v>35998</v>
      </c>
      <c r="AM277">
        <v>0</v>
      </c>
      <c r="AN277" s="4">
        <f>Table103[[#This Row],[Premium]]-Table103[[#This Row],[Tms Prem]]</f>
        <v>0</v>
      </c>
    </row>
    <row r="278" spans="1:40" x14ac:dyDescent="0.25">
      <c r="A278">
        <v>277</v>
      </c>
      <c r="B278" t="s">
        <v>38</v>
      </c>
      <c r="C278" t="s">
        <v>3618</v>
      </c>
      <c r="D278" t="s">
        <v>40</v>
      </c>
      <c r="E278" t="s">
        <v>41</v>
      </c>
      <c r="F278" t="s">
        <v>3619</v>
      </c>
      <c r="G278" t="s">
        <v>964</v>
      </c>
      <c r="H278" t="s">
        <v>3620</v>
      </c>
      <c r="I278" t="s">
        <v>3621</v>
      </c>
      <c r="J278" t="s">
        <v>3621</v>
      </c>
      <c r="K278" t="s">
        <v>151</v>
      </c>
      <c r="L278" t="s">
        <v>3622</v>
      </c>
      <c r="M278">
        <v>6416900</v>
      </c>
      <c r="N278">
        <v>9167000</v>
      </c>
      <c r="O278" t="s">
        <v>3623</v>
      </c>
      <c r="P278" s="1">
        <v>45528</v>
      </c>
      <c r="Q278" s="2">
        <v>5029178</v>
      </c>
      <c r="R278" t="s">
        <v>3624</v>
      </c>
      <c r="S278" t="s">
        <v>50</v>
      </c>
      <c r="T278" t="s">
        <v>45</v>
      </c>
      <c r="U278" t="s">
        <v>3625</v>
      </c>
      <c r="V278" t="s">
        <v>140</v>
      </c>
      <c r="W278" t="s">
        <v>1740</v>
      </c>
      <c r="X278" t="s">
        <v>406</v>
      </c>
      <c r="Y278" t="s">
        <v>815</v>
      </c>
      <c r="Z278" t="s">
        <v>3626</v>
      </c>
      <c r="AA278">
        <v>5</v>
      </c>
      <c r="AB278" t="s">
        <v>94</v>
      </c>
      <c r="AC278" t="s">
        <v>3627</v>
      </c>
      <c r="AD278" t="s">
        <v>3628</v>
      </c>
      <c r="AE278" t="s">
        <v>97</v>
      </c>
      <c r="AF278">
        <v>7333600</v>
      </c>
      <c r="AG278" s="3">
        <v>128338.00000000001</v>
      </c>
      <c r="AK278" t="s">
        <v>3629</v>
      </c>
      <c r="AL278" s="3">
        <v>128338</v>
      </c>
      <c r="AM278">
        <v>0</v>
      </c>
      <c r="AN278" s="4">
        <f>Table103[[#This Row],[Premium]]-Table103[[#This Row],[Tms Prem]]</f>
        <v>0</v>
      </c>
    </row>
    <row r="279" spans="1:40" x14ac:dyDescent="0.25">
      <c r="A279">
        <v>278</v>
      </c>
      <c r="B279" t="s">
        <v>38</v>
      </c>
      <c r="C279" t="s">
        <v>3630</v>
      </c>
      <c r="D279" t="s">
        <v>40</v>
      </c>
      <c r="E279" t="s">
        <v>41</v>
      </c>
      <c r="F279" t="s">
        <v>3631</v>
      </c>
      <c r="G279" t="s">
        <v>174</v>
      </c>
      <c r="H279" t="s">
        <v>3632</v>
      </c>
      <c r="I279" t="s">
        <v>3633</v>
      </c>
      <c r="J279" t="s">
        <v>3633</v>
      </c>
      <c r="K279" t="s">
        <v>3634</v>
      </c>
      <c r="L279" t="s">
        <v>3635</v>
      </c>
      <c r="M279">
        <v>5485350</v>
      </c>
      <c r="N279">
        <v>8439000</v>
      </c>
      <c r="O279" t="s">
        <v>3636</v>
      </c>
      <c r="P279" s="1">
        <v>45528</v>
      </c>
      <c r="Q279" s="2" t="s">
        <v>3637</v>
      </c>
      <c r="R279" t="s">
        <v>3638</v>
      </c>
      <c r="S279" t="s">
        <v>50</v>
      </c>
      <c r="T279" t="s">
        <v>45</v>
      </c>
      <c r="U279" t="s">
        <v>3639</v>
      </c>
      <c r="V279" t="s">
        <v>140</v>
      </c>
      <c r="W279" t="s">
        <v>3640</v>
      </c>
      <c r="X279" t="s">
        <v>406</v>
      </c>
      <c r="Y279" t="s">
        <v>815</v>
      </c>
      <c r="Z279" t="s">
        <v>3641</v>
      </c>
      <c r="AA279">
        <v>5</v>
      </c>
      <c r="AB279" t="s">
        <v>57</v>
      </c>
      <c r="AC279" t="s">
        <v>3642</v>
      </c>
      <c r="AD279" t="s">
        <v>2462</v>
      </c>
      <c r="AE279" t="s">
        <v>159</v>
      </c>
      <c r="AF279">
        <v>6751200</v>
      </c>
      <c r="AG279" s="3">
        <v>101268</v>
      </c>
      <c r="AK279" t="s">
        <v>3643</v>
      </c>
      <c r="AL279" s="3">
        <v>101268</v>
      </c>
      <c r="AM279">
        <v>0</v>
      </c>
      <c r="AN279" s="4">
        <f>Table103[[#This Row],[Premium]]-Table103[[#This Row],[Tms Prem]]</f>
        <v>0</v>
      </c>
    </row>
    <row r="280" spans="1:40" x14ac:dyDescent="0.25">
      <c r="A280">
        <v>279</v>
      </c>
      <c r="B280" t="s">
        <v>38</v>
      </c>
      <c r="C280" t="s">
        <v>3644</v>
      </c>
      <c r="D280" t="s">
        <v>40</v>
      </c>
      <c r="E280" t="s">
        <v>41</v>
      </c>
      <c r="F280" t="s">
        <v>3645</v>
      </c>
      <c r="G280" t="s">
        <v>289</v>
      </c>
      <c r="H280" t="s">
        <v>3646</v>
      </c>
      <c r="I280" t="s">
        <v>45</v>
      </c>
      <c r="J280" t="s">
        <v>3647</v>
      </c>
      <c r="K280" t="s">
        <v>3648</v>
      </c>
      <c r="L280" t="s">
        <v>3649</v>
      </c>
      <c r="M280">
        <v>3269400</v>
      </c>
      <c r="N280">
        <v>5449000</v>
      </c>
      <c r="O280" t="s">
        <v>3650</v>
      </c>
      <c r="P280" s="1">
        <v>45528</v>
      </c>
      <c r="Q280" s="2" t="s">
        <v>3651</v>
      </c>
      <c r="R280" t="s">
        <v>3652</v>
      </c>
      <c r="S280" t="s">
        <v>50</v>
      </c>
      <c r="T280" t="s">
        <v>45</v>
      </c>
      <c r="U280" t="s">
        <v>578</v>
      </c>
      <c r="V280" t="s">
        <v>140</v>
      </c>
      <c r="W280" t="s">
        <v>3653</v>
      </c>
      <c r="X280" t="s">
        <v>873</v>
      </c>
      <c r="Y280" t="s">
        <v>874</v>
      </c>
      <c r="Z280" t="s">
        <v>3654</v>
      </c>
      <c r="AA280">
        <v>5</v>
      </c>
      <c r="AB280" t="s">
        <v>124</v>
      </c>
      <c r="AC280" t="s">
        <v>3655</v>
      </c>
      <c r="AD280" t="s">
        <v>3166</v>
      </c>
      <c r="AE280" t="s">
        <v>97</v>
      </c>
      <c r="AF280">
        <v>4359200</v>
      </c>
      <c r="AG280" s="3">
        <v>76286</v>
      </c>
      <c r="AK280" t="s">
        <v>3656</v>
      </c>
      <c r="AL280" s="3">
        <v>76286</v>
      </c>
      <c r="AM280">
        <v>0</v>
      </c>
      <c r="AN280" s="4">
        <f>Table103[[#This Row],[Premium]]-Table103[[#This Row],[Tms Prem]]</f>
        <v>0</v>
      </c>
    </row>
    <row r="281" spans="1:40" x14ac:dyDescent="0.25">
      <c r="A281">
        <v>280</v>
      </c>
      <c r="B281" t="s">
        <v>38</v>
      </c>
      <c r="C281" t="s">
        <v>3657</v>
      </c>
      <c r="D281" t="s">
        <v>40</v>
      </c>
      <c r="E281" t="s">
        <v>41</v>
      </c>
      <c r="F281" t="s">
        <v>3658</v>
      </c>
      <c r="G281" t="s">
        <v>114</v>
      </c>
      <c r="H281" t="s">
        <v>3659</v>
      </c>
      <c r="I281" t="s">
        <v>3660</v>
      </c>
      <c r="J281" t="s">
        <v>3661</v>
      </c>
      <c r="K281" t="s">
        <v>3662</v>
      </c>
      <c r="L281" t="s">
        <v>3663</v>
      </c>
      <c r="M281">
        <v>2869200</v>
      </c>
      <c r="N281">
        <v>4782000</v>
      </c>
      <c r="O281" t="s">
        <v>3664</v>
      </c>
      <c r="P281" s="1">
        <v>45528</v>
      </c>
      <c r="Q281" s="2">
        <v>308139</v>
      </c>
      <c r="R281" t="s">
        <v>3665</v>
      </c>
      <c r="S281" t="s">
        <v>50</v>
      </c>
      <c r="T281" t="s">
        <v>45</v>
      </c>
      <c r="U281" t="s">
        <v>1560</v>
      </c>
      <c r="V281" t="s">
        <v>140</v>
      </c>
      <c r="W281" t="s">
        <v>877</v>
      </c>
      <c r="X281" t="s">
        <v>873</v>
      </c>
      <c r="Y281" t="s">
        <v>874</v>
      </c>
      <c r="Z281" t="s">
        <v>3666</v>
      </c>
      <c r="AA281">
        <v>5</v>
      </c>
      <c r="AB281" t="s">
        <v>45</v>
      </c>
      <c r="AC281" t="s">
        <v>45</v>
      </c>
      <c r="AD281" t="s">
        <v>45</v>
      </c>
      <c r="AE281" t="s">
        <v>97</v>
      </c>
      <c r="AF281">
        <v>3825600</v>
      </c>
      <c r="AG281" s="3">
        <v>66948</v>
      </c>
      <c r="AK281" t="s">
        <v>3667</v>
      </c>
      <c r="AL281" s="3">
        <v>66948</v>
      </c>
      <c r="AM281">
        <v>0</v>
      </c>
      <c r="AN281" s="4">
        <f>Table103[[#This Row],[Premium]]-Table103[[#This Row],[Tms Prem]]</f>
        <v>0</v>
      </c>
    </row>
    <row r="282" spans="1:40" x14ac:dyDescent="0.25">
      <c r="A282">
        <v>281</v>
      </c>
      <c r="B282" t="s">
        <v>38</v>
      </c>
      <c r="C282" t="s">
        <v>3668</v>
      </c>
      <c r="D282" t="s">
        <v>40</v>
      </c>
      <c r="E282" t="s">
        <v>41</v>
      </c>
      <c r="F282" t="s">
        <v>3669</v>
      </c>
      <c r="G282" t="s">
        <v>174</v>
      </c>
      <c r="H282" t="s">
        <v>3670</v>
      </c>
      <c r="I282" t="s">
        <v>45</v>
      </c>
      <c r="J282" t="s">
        <v>3671</v>
      </c>
      <c r="K282" t="s">
        <v>45</v>
      </c>
      <c r="L282" t="s">
        <v>3672</v>
      </c>
      <c r="M282">
        <v>934500</v>
      </c>
      <c r="N282">
        <v>1335000</v>
      </c>
      <c r="O282" t="s">
        <v>3673</v>
      </c>
      <c r="P282" s="1">
        <v>45526</v>
      </c>
      <c r="Q282" s="2">
        <v>179995</v>
      </c>
      <c r="R282" t="s">
        <v>3674</v>
      </c>
      <c r="S282" t="s">
        <v>50</v>
      </c>
      <c r="T282" t="s">
        <v>45</v>
      </c>
      <c r="U282" t="s">
        <v>3675</v>
      </c>
      <c r="V282" t="s">
        <v>140</v>
      </c>
      <c r="W282" t="s">
        <v>2462</v>
      </c>
      <c r="X282" t="s">
        <v>406</v>
      </c>
      <c r="Y282" t="s">
        <v>815</v>
      </c>
      <c r="Z282" t="s">
        <v>3676</v>
      </c>
      <c r="AA282">
        <v>5</v>
      </c>
      <c r="AB282" t="s">
        <v>57</v>
      </c>
      <c r="AC282" t="s">
        <v>3677</v>
      </c>
      <c r="AD282" t="s">
        <v>3678</v>
      </c>
      <c r="AE282" t="s">
        <v>60</v>
      </c>
      <c r="AF282">
        <v>1068000</v>
      </c>
      <c r="AG282" s="3">
        <v>21360</v>
      </c>
      <c r="AK282" t="s">
        <v>3679</v>
      </c>
      <c r="AL282" s="3">
        <v>21360</v>
      </c>
      <c r="AM282">
        <v>0</v>
      </c>
      <c r="AN282" s="4">
        <f>Table103[[#This Row],[Premium]]-Table103[[#This Row],[Tms Prem]]</f>
        <v>0</v>
      </c>
    </row>
    <row r="283" spans="1:40" x14ac:dyDescent="0.25">
      <c r="A283">
        <v>282</v>
      </c>
      <c r="B283" t="s">
        <v>38</v>
      </c>
      <c r="C283" t="s">
        <v>3680</v>
      </c>
      <c r="D283" t="s">
        <v>40</v>
      </c>
      <c r="E283" t="s">
        <v>41</v>
      </c>
      <c r="F283" t="s">
        <v>3681</v>
      </c>
      <c r="G283" t="s">
        <v>2175</v>
      </c>
      <c r="H283" t="s">
        <v>3682</v>
      </c>
      <c r="I283" t="s">
        <v>3683</v>
      </c>
      <c r="J283" t="s">
        <v>3683</v>
      </c>
      <c r="K283" t="s">
        <v>3684</v>
      </c>
      <c r="L283" t="s">
        <v>3685</v>
      </c>
      <c r="M283">
        <v>1485000</v>
      </c>
      <c r="N283">
        <v>2700000</v>
      </c>
      <c r="O283" t="s">
        <v>3686</v>
      </c>
      <c r="P283" s="1">
        <v>45526</v>
      </c>
      <c r="Q283" s="2" t="s">
        <v>3687</v>
      </c>
      <c r="R283" t="s">
        <v>3688</v>
      </c>
      <c r="S283" t="s">
        <v>50</v>
      </c>
      <c r="T283" t="s">
        <v>45</v>
      </c>
      <c r="U283" t="s">
        <v>3410</v>
      </c>
      <c r="V283" t="s">
        <v>140</v>
      </c>
      <c r="W283" t="s">
        <v>511</v>
      </c>
      <c r="X283" t="s">
        <v>406</v>
      </c>
      <c r="Y283" t="s">
        <v>815</v>
      </c>
      <c r="Z283" t="s">
        <v>3689</v>
      </c>
      <c r="AA283">
        <v>5</v>
      </c>
      <c r="AB283" t="s">
        <v>94</v>
      </c>
      <c r="AC283" t="s">
        <v>3690</v>
      </c>
      <c r="AD283" t="s">
        <v>3691</v>
      </c>
      <c r="AE283" t="s">
        <v>60</v>
      </c>
      <c r="AF283">
        <v>2160000</v>
      </c>
      <c r="AG283" s="3">
        <v>43200</v>
      </c>
      <c r="AK283" t="s">
        <v>3692</v>
      </c>
      <c r="AL283" s="3">
        <v>43200</v>
      </c>
      <c r="AM283">
        <v>0</v>
      </c>
      <c r="AN283" s="4">
        <f>Table103[[#This Row],[Premium]]-Table103[[#This Row],[Tms Prem]]</f>
        <v>0</v>
      </c>
    </row>
    <row r="284" spans="1:40" x14ac:dyDescent="0.25">
      <c r="A284">
        <v>283</v>
      </c>
      <c r="B284" t="s">
        <v>38</v>
      </c>
      <c r="C284" t="s">
        <v>3693</v>
      </c>
      <c r="D284" t="s">
        <v>40</v>
      </c>
      <c r="E284" t="s">
        <v>41</v>
      </c>
      <c r="F284" t="s">
        <v>3694</v>
      </c>
      <c r="G284" t="s">
        <v>80</v>
      </c>
      <c r="H284" t="s">
        <v>3695</v>
      </c>
      <c r="I284" t="s">
        <v>45</v>
      </c>
      <c r="J284" t="s">
        <v>3696</v>
      </c>
      <c r="K284" t="s">
        <v>45</v>
      </c>
      <c r="L284" t="s">
        <v>3697</v>
      </c>
      <c r="M284">
        <v>1911750</v>
      </c>
      <c r="N284">
        <v>2549000</v>
      </c>
      <c r="O284" t="s">
        <v>3698</v>
      </c>
      <c r="P284" s="1">
        <v>45526</v>
      </c>
      <c r="Q284" s="2">
        <v>510864</v>
      </c>
      <c r="R284" t="s">
        <v>3699</v>
      </c>
      <c r="S284" t="s">
        <v>50</v>
      </c>
      <c r="T284" t="s">
        <v>45</v>
      </c>
      <c r="U284" t="s">
        <v>3700</v>
      </c>
      <c r="V284" t="s">
        <v>140</v>
      </c>
      <c r="W284" t="s">
        <v>1740</v>
      </c>
      <c r="X284" t="s">
        <v>406</v>
      </c>
      <c r="Y284" t="s">
        <v>815</v>
      </c>
      <c r="Z284" t="s">
        <v>3701</v>
      </c>
      <c r="AA284">
        <v>5</v>
      </c>
      <c r="AB284" t="s">
        <v>196</v>
      </c>
      <c r="AC284" t="s">
        <v>3702</v>
      </c>
      <c r="AD284" t="s">
        <v>2732</v>
      </c>
      <c r="AE284" t="s">
        <v>60</v>
      </c>
      <c r="AF284">
        <v>2039200</v>
      </c>
      <c r="AG284" s="3">
        <v>40784</v>
      </c>
      <c r="AK284" t="s">
        <v>3703</v>
      </c>
      <c r="AL284" s="3">
        <v>40784</v>
      </c>
      <c r="AM284">
        <v>0</v>
      </c>
      <c r="AN284" s="4">
        <f>Table103[[#This Row],[Premium]]-Table103[[#This Row],[Tms Prem]]</f>
        <v>0</v>
      </c>
    </row>
    <row r="285" spans="1:40" x14ac:dyDescent="0.25">
      <c r="A285">
        <v>284</v>
      </c>
      <c r="B285" t="s">
        <v>38</v>
      </c>
      <c r="C285" t="s">
        <v>3704</v>
      </c>
      <c r="D285" t="s">
        <v>40</v>
      </c>
      <c r="E285" t="s">
        <v>41</v>
      </c>
      <c r="F285" t="s">
        <v>3705</v>
      </c>
      <c r="G285" t="s">
        <v>174</v>
      </c>
      <c r="H285" t="s">
        <v>3706</v>
      </c>
      <c r="I285" t="s">
        <v>3707</v>
      </c>
      <c r="J285" t="s">
        <v>3707</v>
      </c>
      <c r="K285" t="s">
        <v>3707</v>
      </c>
      <c r="L285" t="s">
        <v>3708</v>
      </c>
      <c r="M285">
        <v>2869200</v>
      </c>
      <c r="N285">
        <v>4782000</v>
      </c>
      <c r="O285" t="s">
        <v>3709</v>
      </c>
      <c r="P285" s="1">
        <v>45528</v>
      </c>
      <c r="Q285" s="2">
        <v>308185</v>
      </c>
      <c r="R285" t="s">
        <v>3710</v>
      </c>
      <c r="S285" t="s">
        <v>50</v>
      </c>
      <c r="T285" t="s">
        <v>45</v>
      </c>
      <c r="U285" t="s">
        <v>1560</v>
      </c>
      <c r="V285" t="s">
        <v>140</v>
      </c>
      <c r="W285" t="s">
        <v>3711</v>
      </c>
      <c r="X285" t="s">
        <v>406</v>
      </c>
      <c r="Y285" t="s">
        <v>815</v>
      </c>
      <c r="Z285" t="s">
        <v>3712</v>
      </c>
      <c r="AA285">
        <v>5</v>
      </c>
      <c r="AB285" t="s">
        <v>196</v>
      </c>
      <c r="AC285" t="s">
        <v>3713</v>
      </c>
      <c r="AD285" t="s">
        <v>3628</v>
      </c>
      <c r="AE285" t="s">
        <v>97</v>
      </c>
      <c r="AF285">
        <v>3825600</v>
      </c>
      <c r="AG285" s="3">
        <v>66948</v>
      </c>
      <c r="AK285" t="s">
        <v>3714</v>
      </c>
      <c r="AL285" s="3">
        <v>66948</v>
      </c>
      <c r="AM285">
        <v>0</v>
      </c>
      <c r="AN285" s="4">
        <f>Table103[[#This Row],[Premium]]-Table103[[#This Row],[Tms Prem]]</f>
        <v>0</v>
      </c>
    </row>
    <row r="286" spans="1:40" x14ac:dyDescent="0.25">
      <c r="A286">
        <v>285</v>
      </c>
      <c r="B286" t="s">
        <v>38</v>
      </c>
      <c r="C286" t="s">
        <v>3715</v>
      </c>
      <c r="D286" t="s">
        <v>40</v>
      </c>
      <c r="E286" t="s">
        <v>41</v>
      </c>
      <c r="F286" t="s">
        <v>3716</v>
      </c>
      <c r="G286" t="s">
        <v>3717</v>
      </c>
      <c r="H286" t="s">
        <v>3718</v>
      </c>
      <c r="I286" t="s">
        <v>3719</v>
      </c>
      <c r="J286" t="s">
        <v>45</v>
      </c>
      <c r="K286" t="s">
        <v>3720</v>
      </c>
      <c r="L286" t="s">
        <v>3721</v>
      </c>
      <c r="M286">
        <v>2373000</v>
      </c>
      <c r="N286">
        <v>3390000</v>
      </c>
      <c r="O286" t="s">
        <v>3722</v>
      </c>
      <c r="P286" s="1">
        <v>45526</v>
      </c>
      <c r="Q286" s="2" t="s">
        <v>3723</v>
      </c>
      <c r="R286" t="s">
        <v>3724</v>
      </c>
      <c r="S286" t="s">
        <v>50</v>
      </c>
      <c r="T286" t="s">
        <v>45</v>
      </c>
      <c r="U286" t="s">
        <v>3725</v>
      </c>
      <c r="V286" t="s">
        <v>140</v>
      </c>
      <c r="W286" t="s">
        <v>3726</v>
      </c>
      <c r="X286" t="s">
        <v>406</v>
      </c>
      <c r="Y286" t="s">
        <v>1038</v>
      </c>
      <c r="Z286" t="s">
        <v>3727</v>
      </c>
      <c r="AA286">
        <v>7</v>
      </c>
      <c r="AB286" t="s">
        <v>196</v>
      </c>
      <c r="AC286" t="s">
        <v>3728</v>
      </c>
      <c r="AD286" t="s">
        <v>1766</v>
      </c>
      <c r="AE286" t="s">
        <v>60</v>
      </c>
      <c r="AF286">
        <v>3051000</v>
      </c>
      <c r="AG286" s="3">
        <v>54240</v>
      </c>
      <c r="AK286" t="s">
        <v>3729</v>
      </c>
      <c r="AL286" s="3">
        <v>61020</v>
      </c>
      <c r="AM286" t="s">
        <v>4095</v>
      </c>
      <c r="AN286" s="4">
        <f>Table103[[#This Row],[Premium]]-Table103[[#This Row],[Tms Prem]]</f>
        <v>-6780</v>
      </c>
    </row>
    <row r="287" spans="1:40" x14ac:dyDescent="0.25">
      <c r="A287">
        <v>286</v>
      </c>
      <c r="B287" t="s">
        <v>38</v>
      </c>
      <c r="C287" t="s">
        <v>3730</v>
      </c>
      <c r="D287" t="s">
        <v>40</v>
      </c>
      <c r="E287" t="s">
        <v>41</v>
      </c>
      <c r="F287" t="s">
        <v>3731</v>
      </c>
      <c r="G287" t="s">
        <v>174</v>
      </c>
      <c r="H287" t="s">
        <v>3732</v>
      </c>
      <c r="I287" t="s">
        <v>3733</v>
      </c>
      <c r="J287" t="s">
        <v>3733</v>
      </c>
      <c r="K287" t="s">
        <v>3733</v>
      </c>
      <c r="L287" t="s">
        <v>3734</v>
      </c>
      <c r="M287">
        <v>2476200</v>
      </c>
      <c r="N287">
        <v>4127000</v>
      </c>
      <c r="O287" t="s">
        <v>3735</v>
      </c>
      <c r="P287" s="1">
        <v>45528</v>
      </c>
      <c r="Q287" s="2">
        <v>6925101</v>
      </c>
      <c r="R287" t="s">
        <v>3736</v>
      </c>
      <c r="S287" t="s">
        <v>50</v>
      </c>
      <c r="T287" t="s">
        <v>45</v>
      </c>
      <c r="U287" t="s">
        <v>551</v>
      </c>
      <c r="V287" t="s">
        <v>140</v>
      </c>
      <c r="W287" t="s">
        <v>3737</v>
      </c>
      <c r="X287" t="s">
        <v>873</v>
      </c>
      <c r="Y287" t="s">
        <v>874</v>
      </c>
      <c r="Z287" t="s">
        <v>3738</v>
      </c>
      <c r="AA287">
        <v>5</v>
      </c>
      <c r="AB287" t="s">
        <v>57</v>
      </c>
      <c r="AC287" t="s">
        <v>3739</v>
      </c>
      <c r="AD287" t="s">
        <v>2462</v>
      </c>
      <c r="AE287" t="s">
        <v>60</v>
      </c>
      <c r="AF287">
        <v>3301600</v>
      </c>
      <c r="AG287" s="3">
        <v>66032</v>
      </c>
      <c r="AK287" t="s">
        <v>3740</v>
      </c>
      <c r="AL287" s="3">
        <v>66032</v>
      </c>
      <c r="AM287">
        <v>0</v>
      </c>
      <c r="AN287" s="4">
        <f>Table103[[#This Row],[Premium]]-Table103[[#This Row],[Tms Prem]]</f>
        <v>0</v>
      </c>
    </row>
    <row r="288" spans="1:40" x14ac:dyDescent="0.25">
      <c r="A288">
        <v>287</v>
      </c>
      <c r="B288" t="s">
        <v>38</v>
      </c>
      <c r="C288" t="s">
        <v>3741</v>
      </c>
      <c r="D288" t="s">
        <v>40</v>
      </c>
      <c r="E288" t="s">
        <v>41</v>
      </c>
      <c r="F288" t="s">
        <v>3742</v>
      </c>
      <c r="G288" t="s">
        <v>174</v>
      </c>
      <c r="H288" t="s">
        <v>3743</v>
      </c>
      <c r="I288" t="s">
        <v>3744</v>
      </c>
      <c r="J288" t="s">
        <v>3744</v>
      </c>
      <c r="K288" t="s">
        <v>3744</v>
      </c>
      <c r="L288" t="s">
        <v>3745</v>
      </c>
      <c r="M288">
        <v>2967470</v>
      </c>
      <c r="N288">
        <v>5599000</v>
      </c>
      <c r="O288" t="s">
        <v>3746</v>
      </c>
      <c r="P288" s="1">
        <v>45526</v>
      </c>
      <c r="Q288" s="2">
        <v>95357</v>
      </c>
      <c r="R288" t="s">
        <v>3747</v>
      </c>
      <c r="S288" t="s">
        <v>50</v>
      </c>
      <c r="T288" t="s">
        <v>45</v>
      </c>
      <c r="U288" t="s">
        <v>2997</v>
      </c>
      <c r="V288" t="s">
        <v>140</v>
      </c>
      <c r="W288" t="s">
        <v>2563</v>
      </c>
      <c r="X288" t="s">
        <v>873</v>
      </c>
      <c r="Y288" t="s">
        <v>874</v>
      </c>
      <c r="Z288" t="s">
        <v>3748</v>
      </c>
      <c r="AA288">
        <v>5</v>
      </c>
      <c r="AB288" t="s">
        <v>57</v>
      </c>
      <c r="AC288" t="s">
        <v>3749</v>
      </c>
      <c r="AD288" t="s">
        <v>3166</v>
      </c>
      <c r="AE288" t="s">
        <v>60</v>
      </c>
      <c r="AF288">
        <v>4479200</v>
      </c>
      <c r="AG288" s="3">
        <v>89584</v>
      </c>
      <c r="AK288" t="s">
        <v>3750</v>
      </c>
      <c r="AL288" s="3">
        <v>89584</v>
      </c>
      <c r="AM288">
        <v>0</v>
      </c>
      <c r="AN288" s="4">
        <f>Table103[[#This Row],[Premium]]-Table103[[#This Row],[Tms Prem]]</f>
        <v>0</v>
      </c>
    </row>
    <row r="289" spans="1:40" x14ac:dyDescent="0.25">
      <c r="A289">
        <v>288</v>
      </c>
      <c r="B289" t="s">
        <v>38</v>
      </c>
      <c r="C289" t="s">
        <v>3751</v>
      </c>
      <c r="D289" t="s">
        <v>40</v>
      </c>
      <c r="E289" t="s">
        <v>41</v>
      </c>
      <c r="F289" t="s">
        <v>3752</v>
      </c>
      <c r="G289" t="s">
        <v>43</v>
      </c>
      <c r="H289" t="s">
        <v>3753</v>
      </c>
      <c r="I289" t="s">
        <v>3754</v>
      </c>
      <c r="J289" t="s">
        <v>45</v>
      </c>
      <c r="K289" t="s">
        <v>3755</v>
      </c>
      <c r="L289" t="s">
        <v>3756</v>
      </c>
      <c r="M289">
        <v>3814300</v>
      </c>
      <c r="N289">
        <v>5449000</v>
      </c>
      <c r="O289" t="s">
        <v>3757</v>
      </c>
      <c r="P289" s="1">
        <v>45526</v>
      </c>
      <c r="Q289" s="2">
        <v>93593</v>
      </c>
      <c r="R289" t="s">
        <v>3758</v>
      </c>
      <c r="S289" t="s">
        <v>50</v>
      </c>
      <c r="T289" t="s">
        <v>45</v>
      </c>
      <c r="U289" t="s">
        <v>3759</v>
      </c>
      <c r="V289" t="s">
        <v>140</v>
      </c>
      <c r="W289" t="s">
        <v>3760</v>
      </c>
      <c r="X289" t="s">
        <v>873</v>
      </c>
      <c r="Y289" t="s">
        <v>772</v>
      </c>
      <c r="Z289" t="s">
        <v>3761</v>
      </c>
      <c r="AA289">
        <v>4</v>
      </c>
      <c r="AB289" t="s">
        <v>57</v>
      </c>
      <c r="AC289" t="s">
        <v>3762</v>
      </c>
      <c r="AD289" t="s">
        <v>2462</v>
      </c>
      <c r="AE289" t="s">
        <v>97</v>
      </c>
      <c r="AF289">
        <v>4359200</v>
      </c>
      <c r="AG289" s="3">
        <v>76286</v>
      </c>
      <c r="AK289" t="s">
        <v>3763</v>
      </c>
      <c r="AL289" s="3">
        <v>76286</v>
      </c>
      <c r="AM289">
        <v>0</v>
      </c>
      <c r="AN289" s="4">
        <f>Table103[[#This Row],[Premium]]-Table103[[#This Row],[Tms Prem]]</f>
        <v>0</v>
      </c>
    </row>
    <row r="290" spans="1:40" x14ac:dyDescent="0.25">
      <c r="A290">
        <v>289</v>
      </c>
      <c r="B290" t="s">
        <v>38</v>
      </c>
      <c r="C290" t="s">
        <v>3764</v>
      </c>
      <c r="D290" t="s">
        <v>40</v>
      </c>
      <c r="E290" t="s">
        <v>41</v>
      </c>
      <c r="F290" t="s">
        <v>3765</v>
      </c>
      <c r="G290" t="s">
        <v>43</v>
      </c>
      <c r="H290" t="s">
        <v>3766</v>
      </c>
      <c r="I290" t="s">
        <v>3767</v>
      </c>
      <c r="J290" t="s">
        <v>45</v>
      </c>
      <c r="K290" t="s">
        <v>151</v>
      </c>
      <c r="L290" t="s">
        <v>3768</v>
      </c>
      <c r="M290">
        <v>3814300</v>
      </c>
      <c r="N290">
        <v>5449000</v>
      </c>
      <c r="O290" t="s">
        <v>3769</v>
      </c>
      <c r="P290" s="1">
        <v>45526</v>
      </c>
      <c r="Q290" s="2" t="s">
        <v>3770</v>
      </c>
      <c r="R290" t="s">
        <v>3771</v>
      </c>
      <c r="S290" t="s">
        <v>50</v>
      </c>
      <c r="T290" t="s">
        <v>45</v>
      </c>
      <c r="U290" t="s">
        <v>578</v>
      </c>
      <c r="V290" t="s">
        <v>140</v>
      </c>
      <c r="W290" t="s">
        <v>3772</v>
      </c>
      <c r="X290" t="s">
        <v>873</v>
      </c>
      <c r="Y290" t="s">
        <v>874</v>
      </c>
      <c r="Z290" t="s">
        <v>3773</v>
      </c>
      <c r="AA290">
        <v>5</v>
      </c>
      <c r="AB290" t="s">
        <v>124</v>
      </c>
      <c r="AC290" t="s">
        <v>3774</v>
      </c>
      <c r="AD290" t="s">
        <v>3325</v>
      </c>
      <c r="AE290" t="s">
        <v>97</v>
      </c>
      <c r="AF290">
        <v>4359200</v>
      </c>
      <c r="AG290" s="3">
        <v>76286</v>
      </c>
      <c r="AK290" t="s">
        <v>3775</v>
      </c>
      <c r="AL290" s="3">
        <v>76286</v>
      </c>
      <c r="AM290">
        <v>0</v>
      </c>
      <c r="AN290" s="4">
        <f>Table103[[#This Row],[Premium]]-Table103[[#This Row],[Tms Prem]]</f>
        <v>0</v>
      </c>
    </row>
    <row r="291" spans="1:40" x14ac:dyDescent="0.25">
      <c r="A291">
        <v>290</v>
      </c>
      <c r="B291" t="s">
        <v>38</v>
      </c>
      <c r="C291" t="s">
        <v>3776</v>
      </c>
      <c r="D291" t="s">
        <v>40</v>
      </c>
      <c r="E291" t="s">
        <v>41</v>
      </c>
      <c r="F291" t="s">
        <v>3777</v>
      </c>
      <c r="G291" t="s">
        <v>174</v>
      </c>
      <c r="H291" t="s">
        <v>3778</v>
      </c>
      <c r="I291" t="s">
        <v>3779</v>
      </c>
      <c r="J291" t="s">
        <v>3780</v>
      </c>
      <c r="K291" t="s">
        <v>3781</v>
      </c>
      <c r="L291" t="s">
        <v>3782</v>
      </c>
      <c r="M291">
        <v>1915520</v>
      </c>
      <c r="N291">
        <v>2993000</v>
      </c>
      <c r="O291" t="s">
        <v>3783</v>
      </c>
      <c r="P291" s="1">
        <v>45528</v>
      </c>
      <c r="Q291" s="2" t="s">
        <v>3784</v>
      </c>
      <c r="R291" t="s">
        <v>3785</v>
      </c>
      <c r="S291" t="s">
        <v>50</v>
      </c>
      <c r="T291" t="s">
        <v>3786</v>
      </c>
      <c r="U291" t="s">
        <v>871</v>
      </c>
      <c r="V291" t="s">
        <v>90</v>
      </c>
      <c r="W291" t="s">
        <v>3787</v>
      </c>
      <c r="X291" t="s">
        <v>1599</v>
      </c>
      <c r="Y291" t="s">
        <v>772</v>
      </c>
      <c r="Z291" t="s">
        <v>3788</v>
      </c>
      <c r="AA291">
        <v>5</v>
      </c>
      <c r="AB291" t="s">
        <v>124</v>
      </c>
      <c r="AC291" t="s">
        <v>3789</v>
      </c>
      <c r="AD291" t="s">
        <v>3790</v>
      </c>
      <c r="AE291" t="s">
        <v>428</v>
      </c>
      <c r="AF291">
        <v>2244750</v>
      </c>
      <c r="AG291" s="3">
        <v>56119</v>
      </c>
      <c r="AK291" t="s">
        <v>3791</v>
      </c>
      <c r="AL291" s="3">
        <v>56119</v>
      </c>
      <c r="AM291">
        <v>0</v>
      </c>
      <c r="AN291" s="4">
        <f>Table103[[#This Row],[Premium]]-Table103[[#This Row],[Tms Prem]]</f>
        <v>0</v>
      </c>
    </row>
    <row r="292" spans="1:40" x14ac:dyDescent="0.25">
      <c r="A292">
        <v>291</v>
      </c>
      <c r="B292" t="s">
        <v>38</v>
      </c>
      <c r="C292" t="s">
        <v>3792</v>
      </c>
      <c r="D292" t="s">
        <v>40</v>
      </c>
      <c r="E292" t="s">
        <v>41</v>
      </c>
      <c r="F292" t="s">
        <v>3793</v>
      </c>
      <c r="G292" t="s">
        <v>80</v>
      </c>
      <c r="H292" t="s">
        <v>3794</v>
      </c>
      <c r="I292" t="s">
        <v>45</v>
      </c>
      <c r="J292" t="s">
        <v>3795</v>
      </c>
      <c r="K292" t="s">
        <v>45</v>
      </c>
      <c r="L292" t="s">
        <v>3796</v>
      </c>
      <c r="M292">
        <v>9824640</v>
      </c>
      <c r="N292">
        <v>14448000</v>
      </c>
      <c r="O292" t="s">
        <v>3797</v>
      </c>
      <c r="P292" s="1">
        <v>45526</v>
      </c>
      <c r="Q292" s="2" t="s">
        <v>3798</v>
      </c>
      <c r="R292" t="s">
        <v>3799</v>
      </c>
      <c r="S292" t="s">
        <v>50</v>
      </c>
      <c r="T292" t="s">
        <v>45</v>
      </c>
      <c r="U292" t="s">
        <v>3800</v>
      </c>
      <c r="V292" t="s">
        <v>140</v>
      </c>
      <c r="W292" t="s">
        <v>2729</v>
      </c>
      <c r="X292" t="s">
        <v>406</v>
      </c>
      <c r="Y292" t="s">
        <v>815</v>
      </c>
      <c r="Z292" t="s">
        <v>3801</v>
      </c>
      <c r="AA292">
        <v>5</v>
      </c>
      <c r="AB292" t="s">
        <v>45</v>
      </c>
      <c r="AC292" t="s">
        <v>45</v>
      </c>
      <c r="AD292" t="s">
        <v>45</v>
      </c>
      <c r="AE292" t="s">
        <v>159</v>
      </c>
      <c r="AF292">
        <v>11558400</v>
      </c>
      <c r="AG292" s="3">
        <v>173376</v>
      </c>
      <c r="AK292" t="s">
        <v>3802</v>
      </c>
      <c r="AL292" s="3">
        <v>173376</v>
      </c>
      <c r="AM292">
        <v>0</v>
      </c>
      <c r="AN292" s="4">
        <f>Table103[[#This Row],[Premium]]-Table103[[#This Row],[Tms Prem]]</f>
        <v>0</v>
      </c>
    </row>
    <row r="293" spans="1:40" x14ac:dyDescent="0.25">
      <c r="A293">
        <v>292</v>
      </c>
      <c r="B293" t="s">
        <v>38</v>
      </c>
      <c r="C293" t="s">
        <v>3803</v>
      </c>
      <c r="D293" t="s">
        <v>40</v>
      </c>
      <c r="E293" t="s">
        <v>41</v>
      </c>
      <c r="F293" t="s">
        <v>3804</v>
      </c>
      <c r="G293" t="s">
        <v>174</v>
      </c>
      <c r="H293" t="s">
        <v>3805</v>
      </c>
      <c r="I293" t="s">
        <v>3806</v>
      </c>
      <c r="J293" t="s">
        <v>3806</v>
      </c>
      <c r="K293" t="s">
        <v>3806</v>
      </c>
      <c r="L293" t="s">
        <v>3807</v>
      </c>
      <c r="M293">
        <v>1345500</v>
      </c>
      <c r="N293">
        <v>2070000</v>
      </c>
      <c r="O293" t="s">
        <v>3808</v>
      </c>
      <c r="P293" s="1">
        <v>45526</v>
      </c>
      <c r="Q293" s="2">
        <v>116669</v>
      </c>
      <c r="R293" t="s">
        <v>3809</v>
      </c>
      <c r="S293" t="s">
        <v>88</v>
      </c>
      <c r="T293" t="s">
        <v>3810</v>
      </c>
      <c r="U293" t="s">
        <v>1230</v>
      </c>
      <c r="V293" t="s">
        <v>365</v>
      </c>
      <c r="W293" t="s">
        <v>3512</v>
      </c>
      <c r="X293" t="s">
        <v>2538</v>
      </c>
      <c r="Y293" t="s">
        <v>407</v>
      </c>
      <c r="Z293" t="s">
        <v>3811</v>
      </c>
      <c r="AA293">
        <v>5</v>
      </c>
      <c r="AB293" t="s">
        <v>124</v>
      </c>
      <c r="AC293" t="s">
        <v>3812</v>
      </c>
      <c r="AD293" t="s">
        <v>3139</v>
      </c>
      <c r="AE293" t="s">
        <v>97</v>
      </c>
      <c r="AF293">
        <v>1759500</v>
      </c>
      <c r="AG293" s="3">
        <v>30792</v>
      </c>
      <c r="AK293" t="s">
        <v>3813</v>
      </c>
      <c r="AL293" s="3">
        <v>30791</v>
      </c>
      <c r="AM293">
        <v>0</v>
      </c>
      <c r="AN293" s="4">
        <f>Table103[[#This Row],[Premium]]-Table103[[#This Row],[Tms Prem]]</f>
        <v>1</v>
      </c>
    </row>
    <row r="294" spans="1:40" x14ac:dyDescent="0.25">
      <c r="A294">
        <v>293</v>
      </c>
      <c r="B294" t="s">
        <v>38</v>
      </c>
      <c r="C294" t="s">
        <v>3814</v>
      </c>
      <c r="D294" t="s">
        <v>40</v>
      </c>
      <c r="E294" t="s">
        <v>41</v>
      </c>
      <c r="F294" t="s">
        <v>3815</v>
      </c>
      <c r="G294" t="s">
        <v>80</v>
      </c>
      <c r="H294" t="s">
        <v>3816</v>
      </c>
      <c r="I294" t="s">
        <v>3817</v>
      </c>
      <c r="J294" t="s">
        <v>3818</v>
      </c>
      <c r="K294" t="s">
        <v>3819</v>
      </c>
      <c r="L294" t="s">
        <v>3820</v>
      </c>
      <c r="M294">
        <v>1536750</v>
      </c>
      <c r="N294">
        <v>2049000</v>
      </c>
      <c r="O294" t="s">
        <v>3821</v>
      </c>
      <c r="P294" s="1">
        <v>45528</v>
      </c>
      <c r="Q294" s="2" t="s">
        <v>3822</v>
      </c>
      <c r="R294" t="s">
        <v>3823</v>
      </c>
      <c r="S294" t="s">
        <v>50</v>
      </c>
      <c r="T294" t="s">
        <v>45</v>
      </c>
      <c r="U294" t="s">
        <v>801</v>
      </c>
      <c r="V294" t="s">
        <v>140</v>
      </c>
      <c r="W294" t="s">
        <v>856</v>
      </c>
      <c r="X294" t="s">
        <v>406</v>
      </c>
      <c r="Y294" t="s">
        <v>815</v>
      </c>
      <c r="Z294" t="s">
        <v>3824</v>
      </c>
      <c r="AA294">
        <v>5</v>
      </c>
      <c r="AB294" t="s">
        <v>57</v>
      </c>
      <c r="AC294" t="s">
        <v>3825</v>
      </c>
      <c r="AD294" t="s">
        <v>3826</v>
      </c>
      <c r="AE294" t="s">
        <v>60</v>
      </c>
      <c r="AF294">
        <v>1639200</v>
      </c>
      <c r="AG294" s="3">
        <v>32784</v>
      </c>
      <c r="AK294" t="s">
        <v>3827</v>
      </c>
      <c r="AL294" s="3">
        <v>32784</v>
      </c>
      <c r="AM294">
        <v>0</v>
      </c>
      <c r="AN294" s="4">
        <f>Table103[[#This Row],[Premium]]-Table103[[#This Row],[Tms Prem]]</f>
        <v>0</v>
      </c>
    </row>
    <row r="295" spans="1:40" x14ac:dyDescent="0.25">
      <c r="A295">
        <v>294</v>
      </c>
      <c r="B295" t="s">
        <v>38</v>
      </c>
      <c r="C295" t="s">
        <v>3828</v>
      </c>
      <c r="D295" t="s">
        <v>40</v>
      </c>
      <c r="E295" t="s">
        <v>41</v>
      </c>
      <c r="F295" t="s">
        <v>3829</v>
      </c>
      <c r="G295" t="s">
        <v>174</v>
      </c>
      <c r="H295" t="s">
        <v>3830</v>
      </c>
      <c r="I295" t="s">
        <v>3831</v>
      </c>
      <c r="J295" t="s">
        <v>3832</v>
      </c>
      <c r="K295" t="s">
        <v>3833</v>
      </c>
      <c r="L295" t="s">
        <v>3834</v>
      </c>
      <c r="M295">
        <v>1796250</v>
      </c>
      <c r="N295">
        <v>2395000</v>
      </c>
      <c r="O295" t="s">
        <v>3835</v>
      </c>
      <c r="P295" s="1">
        <v>45528</v>
      </c>
      <c r="Q295" s="2">
        <v>7539977</v>
      </c>
      <c r="R295" t="s">
        <v>3836</v>
      </c>
      <c r="S295" t="s">
        <v>50</v>
      </c>
      <c r="T295" t="s">
        <v>3837</v>
      </c>
      <c r="U295" t="s">
        <v>2766</v>
      </c>
      <c r="V295" t="s">
        <v>90</v>
      </c>
      <c r="W295" t="s">
        <v>422</v>
      </c>
      <c r="X295" t="s">
        <v>1599</v>
      </c>
      <c r="Y295" t="s">
        <v>772</v>
      </c>
      <c r="Z295" t="s">
        <v>3838</v>
      </c>
      <c r="AA295">
        <v>5</v>
      </c>
      <c r="AB295" t="s">
        <v>124</v>
      </c>
      <c r="AC295" t="s">
        <v>3839</v>
      </c>
      <c r="AD295" t="s">
        <v>3452</v>
      </c>
      <c r="AE295" t="s">
        <v>60</v>
      </c>
      <c r="AF295">
        <v>1916000</v>
      </c>
      <c r="AG295" s="3">
        <v>40416</v>
      </c>
      <c r="AK295" t="s">
        <v>3840</v>
      </c>
      <c r="AL295" s="3">
        <v>38320</v>
      </c>
      <c r="AM295" t="s">
        <v>4096</v>
      </c>
      <c r="AN295" s="4">
        <f>Table103[[#This Row],[Premium]]-Table103[[#This Row],[Tms Prem]]</f>
        <v>2096</v>
      </c>
    </row>
    <row r="296" spans="1:40" x14ac:dyDescent="0.25">
      <c r="A296">
        <v>295</v>
      </c>
      <c r="B296" t="s">
        <v>38</v>
      </c>
      <c r="C296" t="s">
        <v>3841</v>
      </c>
      <c r="D296" t="s">
        <v>40</v>
      </c>
      <c r="E296" t="s">
        <v>41</v>
      </c>
      <c r="F296" t="s">
        <v>3842</v>
      </c>
      <c r="G296" t="s">
        <v>43</v>
      </c>
      <c r="H296" t="s">
        <v>3843</v>
      </c>
      <c r="I296" t="s">
        <v>3844</v>
      </c>
      <c r="J296" t="s">
        <v>45</v>
      </c>
      <c r="K296" t="s">
        <v>3844</v>
      </c>
      <c r="L296" t="s">
        <v>3845</v>
      </c>
      <c r="M296">
        <v>2400000</v>
      </c>
      <c r="N296">
        <v>4800000</v>
      </c>
      <c r="O296" t="s">
        <v>3846</v>
      </c>
      <c r="P296" s="1">
        <v>45526</v>
      </c>
      <c r="Q296" s="2">
        <v>874935</v>
      </c>
      <c r="R296" t="s">
        <v>3847</v>
      </c>
      <c r="S296" t="s">
        <v>88</v>
      </c>
      <c r="T296" t="s">
        <v>3848</v>
      </c>
      <c r="U296" t="s">
        <v>3849</v>
      </c>
      <c r="V296" t="s">
        <v>52</v>
      </c>
      <c r="W296" t="s">
        <v>3139</v>
      </c>
      <c r="X296" t="s">
        <v>2538</v>
      </c>
      <c r="Y296" t="s">
        <v>2184</v>
      </c>
      <c r="Z296" t="s">
        <v>3850</v>
      </c>
      <c r="AA296">
        <v>3</v>
      </c>
      <c r="AB296" t="s">
        <v>124</v>
      </c>
      <c r="AC296" t="s">
        <v>3851</v>
      </c>
      <c r="AD296" t="s">
        <v>2984</v>
      </c>
      <c r="AE296" t="s">
        <v>97</v>
      </c>
      <c r="AF296">
        <v>4080000</v>
      </c>
      <c r="AG296" s="3">
        <v>71400</v>
      </c>
      <c r="AK296" t="s">
        <v>3852</v>
      </c>
      <c r="AL296" s="3">
        <v>71400</v>
      </c>
      <c r="AM296">
        <v>0</v>
      </c>
      <c r="AN296" s="4">
        <f>Table103[[#This Row],[Premium]]-Table103[[#This Row],[Tms Prem]]</f>
        <v>0</v>
      </c>
    </row>
    <row r="297" spans="1:40" x14ac:dyDescent="0.25">
      <c r="A297">
        <v>296</v>
      </c>
      <c r="B297" t="s">
        <v>38</v>
      </c>
      <c r="C297" t="s">
        <v>3853</v>
      </c>
      <c r="D297" t="s">
        <v>40</v>
      </c>
      <c r="E297" t="s">
        <v>41</v>
      </c>
      <c r="F297" t="s">
        <v>3854</v>
      </c>
      <c r="G297" t="s">
        <v>80</v>
      </c>
      <c r="H297" t="s">
        <v>3855</v>
      </c>
      <c r="I297" t="s">
        <v>3856</v>
      </c>
      <c r="J297" t="s">
        <v>3856</v>
      </c>
      <c r="K297" t="s">
        <v>3856</v>
      </c>
      <c r="L297" t="s">
        <v>3857</v>
      </c>
      <c r="M297">
        <v>959000</v>
      </c>
      <c r="N297">
        <v>1370000</v>
      </c>
      <c r="O297" t="s">
        <v>3858</v>
      </c>
      <c r="P297" s="1">
        <v>45528</v>
      </c>
      <c r="Q297" s="2" t="s">
        <v>3859</v>
      </c>
      <c r="R297" t="s">
        <v>3860</v>
      </c>
      <c r="S297" t="s">
        <v>88</v>
      </c>
      <c r="T297" t="s">
        <v>3861</v>
      </c>
      <c r="U297" t="s">
        <v>1775</v>
      </c>
      <c r="V297" t="s">
        <v>496</v>
      </c>
      <c r="W297" t="s">
        <v>3166</v>
      </c>
      <c r="X297" t="s">
        <v>406</v>
      </c>
      <c r="Y297" t="s">
        <v>815</v>
      </c>
      <c r="Z297" t="s">
        <v>3862</v>
      </c>
      <c r="AA297">
        <v>5</v>
      </c>
      <c r="AB297" t="s">
        <v>57</v>
      </c>
      <c r="AC297" t="s">
        <v>3863</v>
      </c>
      <c r="AD297" t="s">
        <v>3864</v>
      </c>
      <c r="AE297" t="s">
        <v>60</v>
      </c>
      <c r="AF297">
        <v>1096000</v>
      </c>
      <c r="AG297" s="3">
        <v>21920</v>
      </c>
      <c r="AK297" t="s">
        <v>3865</v>
      </c>
      <c r="AL297" s="3">
        <v>21920</v>
      </c>
      <c r="AM297">
        <v>0</v>
      </c>
      <c r="AN297" s="4">
        <f>Table103[[#This Row],[Premium]]-Table103[[#This Row],[Tms Prem]]</f>
        <v>0</v>
      </c>
    </row>
    <row r="298" spans="1:40" x14ac:dyDescent="0.25">
      <c r="A298">
        <v>297</v>
      </c>
      <c r="B298" t="s">
        <v>38</v>
      </c>
      <c r="C298" t="s">
        <v>3866</v>
      </c>
      <c r="D298" t="s">
        <v>40</v>
      </c>
      <c r="E298" t="s">
        <v>41</v>
      </c>
      <c r="F298" t="s">
        <v>3867</v>
      </c>
      <c r="G298" t="s">
        <v>174</v>
      </c>
      <c r="H298" t="s">
        <v>3868</v>
      </c>
      <c r="I298" t="s">
        <v>45</v>
      </c>
      <c r="J298" t="s">
        <v>3869</v>
      </c>
      <c r="K298" t="s">
        <v>3870</v>
      </c>
      <c r="L298" t="s">
        <v>3871</v>
      </c>
      <c r="M298">
        <v>1855700</v>
      </c>
      <c r="N298">
        <v>2651000</v>
      </c>
      <c r="O298" t="s">
        <v>3872</v>
      </c>
      <c r="P298" s="1">
        <v>45526</v>
      </c>
      <c r="Q298" s="2" t="s">
        <v>3873</v>
      </c>
      <c r="R298" t="s">
        <v>3874</v>
      </c>
      <c r="S298" t="s">
        <v>50</v>
      </c>
      <c r="T298" t="s">
        <v>45</v>
      </c>
      <c r="U298" t="s">
        <v>1688</v>
      </c>
      <c r="V298" t="s">
        <v>52</v>
      </c>
      <c r="W298" t="s">
        <v>3875</v>
      </c>
      <c r="X298" t="s">
        <v>2538</v>
      </c>
      <c r="Y298" t="s">
        <v>407</v>
      </c>
      <c r="Z298" t="s">
        <v>3876</v>
      </c>
      <c r="AA298">
        <v>5</v>
      </c>
      <c r="AB298" t="s">
        <v>57</v>
      </c>
      <c r="AC298" t="s">
        <v>3877</v>
      </c>
      <c r="AD298" t="s">
        <v>2984</v>
      </c>
      <c r="AE298" t="s">
        <v>60</v>
      </c>
      <c r="AF298">
        <v>2253350</v>
      </c>
      <c r="AG298" s="3">
        <v>45067</v>
      </c>
      <c r="AK298" t="s">
        <v>3878</v>
      </c>
      <c r="AL298" s="3">
        <v>45067</v>
      </c>
      <c r="AM298">
        <v>0</v>
      </c>
      <c r="AN298" s="4">
        <f>Table103[[#This Row],[Premium]]-Table103[[#This Row],[Tms Prem]]</f>
        <v>0</v>
      </c>
    </row>
    <row r="299" spans="1:40" x14ac:dyDescent="0.25">
      <c r="A299">
        <v>298</v>
      </c>
      <c r="B299" t="s">
        <v>38</v>
      </c>
      <c r="C299" t="s">
        <v>3879</v>
      </c>
      <c r="D299" t="s">
        <v>40</v>
      </c>
      <c r="E299" t="s">
        <v>41</v>
      </c>
      <c r="F299" t="s">
        <v>1718</v>
      </c>
      <c r="G299" t="s">
        <v>174</v>
      </c>
      <c r="H299" t="s">
        <v>3880</v>
      </c>
      <c r="I299" t="s">
        <v>3881</v>
      </c>
      <c r="J299" t="s">
        <v>3881</v>
      </c>
      <c r="K299" t="s">
        <v>3881</v>
      </c>
      <c r="L299" t="s">
        <v>3882</v>
      </c>
      <c r="M299">
        <v>1540000</v>
      </c>
      <c r="N299">
        <v>2200000</v>
      </c>
      <c r="O299" t="s">
        <v>3883</v>
      </c>
      <c r="P299" s="1">
        <v>45526</v>
      </c>
      <c r="Q299" s="2">
        <v>111548</v>
      </c>
      <c r="R299" t="s">
        <v>3884</v>
      </c>
      <c r="S299" t="s">
        <v>88</v>
      </c>
      <c r="T299" t="s">
        <v>3885</v>
      </c>
      <c r="U299" t="s">
        <v>51</v>
      </c>
      <c r="V299" t="s">
        <v>662</v>
      </c>
      <c r="W299" t="s">
        <v>1417</v>
      </c>
      <c r="X299" t="s">
        <v>829</v>
      </c>
      <c r="Y299" t="s">
        <v>1189</v>
      </c>
      <c r="Z299" t="s">
        <v>3886</v>
      </c>
      <c r="AA299">
        <v>5</v>
      </c>
      <c r="AB299" t="s">
        <v>124</v>
      </c>
      <c r="AC299" t="s">
        <v>3887</v>
      </c>
      <c r="AD299" t="s">
        <v>2984</v>
      </c>
      <c r="AE299" t="s">
        <v>97</v>
      </c>
      <c r="AF299">
        <v>1870000</v>
      </c>
      <c r="AG299" s="3">
        <v>32725.000000000004</v>
      </c>
      <c r="AK299" t="s">
        <v>3888</v>
      </c>
      <c r="AL299" s="3">
        <v>32725</v>
      </c>
      <c r="AM299">
        <v>0</v>
      </c>
      <c r="AN299" s="4">
        <f>Table103[[#This Row],[Premium]]-Table103[[#This Row],[Tms Prem]]</f>
        <v>0</v>
      </c>
    </row>
    <row r="300" spans="1:40" x14ac:dyDescent="0.25">
      <c r="A300">
        <v>299</v>
      </c>
      <c r="B300" t="s">
        <v>38</v>
      </c>
      <c r="C300" t="s">
        <v>3889</v>
      </c>
      <c r="D300" t="s">
        <v>40</v>
      </c>
      <c r="E300" t="s">
        <v>41</v>
      </c>
      <c r="F300" t="s">
        <v>3890</v>
      </c>
      <c r="G300" t="s">
        <v>964</v>
      </c>
      <c r="H300" t="s">
        <v>3891</v>
      </c>
      <c r="I300" t="s">
        <v>45</v>
      </c>
      <c r="J300" t="s">
        <v>3892</v>
      </c>
      <c r="K300" t="s">
        <v>45</v>
      </c>
      <c r="L300" t="s">
        <v>3893</v>
      </c>
      <c r="M300">
        <v>853120</v>
      </c>
      <c r="N300">
        <v>1333000</v>
      </c>
      <c r="O300" t="s">
        <v>3894</v>
      </c>
      <c r="P300" s="1">
        <v>45528</v>
      </c>
      <c r="Q300" s="2">
        <v>173956</v>
      </c>
      <c r="R300" t="s">
        <v>3895</v>
      </c>
      <c r="S300" t="s">
        <v>50</v>
      </c>
      <c r="T300" t="s">
        <v>45</v>
      </c>
      <c r="U300" t="s">
        <v>250</v>
      </c>
      <c r="V300" t="s">
        <v>140</v>
      </c>
      <c r="W300" t="s">
        <v>3896</v>
      </c>
      <c r="X300" t="s">
        <v>406</v>
      </c>
      <c r="Y300" t="s">
        <v>815</v>
      </c>
      <c r="Z300" t="s">
        <v>3897</v>
      </c>
      <c r="AA300">
        <v>5</v>
      </c>
      <c r="AB300" t="s">
        <v>57</v>
      </c>
      <c r="AC300" t="s">
        <v>3898</v>
      </c>
      <c r="AD300" t="s">
        <v>2106</v>
      </c>
      <c r="AE300" t="s">
        <v>60</v>
      </c>
      <c r="AF300">
        <v>1066400</v>
      </c>
      <c r="AG300" s="3">
        <v>21328</v>
      </c>
      <c r="AK300" t="s">
        <v>3899</v>
      </c>
      <c r="AL300" s="3">
        <v>21328</v>
      </c>
      <c r="AM300">
        <v>0</v>
      </c>
      <c r="AN300" s="4">
        <f>Table103[[#This Row],[Premium]]-Table103[[#This Row],[Tms Prem]]</f>
        <v>0</v>
      </c>
    </row>
    <row r="301" spans="1:40" x14ac:dyDescent="0.25">
      <c r="A301">
        <v>300</v>
      </c>
      <c r="B301" t="s">
        <v>38</v>
      </c>
      <c r="C301" t="s">
        <v>3900</v>
      </c>
      <c r="D301" t="s">
        <v>40</v>
      </c>
      <c r="E301" t="s">
        <v>41</v>
      </c>
      <c r="F301" t="s">
        <v>3901</v>
      </c>
      <c r="G301" t="s">
        <v>80</v>
      </c>
      <c r="H301" t="s">
        <v>3902</v>
      </c>
      <c r="I301" t="s">
        <v>3903</v>
      </c>
      <c r="J301" t="s">
        <v>3903</v>
      </c>
      <c r="K301" t="s">
        <v>3903</v>
      </c>
      <c r="L301" t="s">
        <v>3904</v>
      </c>
      <c r="M301">
        <v>2964500</v>
      </c>
      <c r="N301">
        <v>6050000</v>
      </c>
      <c r="O301" t="s">
        <v>3905</v>
      </c>
      <c r="P301" t="s">
        <v>3906</v>
      </c>
      <c r="Q301" s="2">
        <v>185169</v>
      </c>
      <c r="R301" t="s">
        <v>3907</v>
      </c>
      <c r="S301" t="s">
        <v>50</v>
      </c>
      <c r="T301" t="s">
        <v>50</v>
      </c>
      <c r="U301" t="s">
        <v>45</v>
      </c>
      <c r="V301" t="s">
        <v>379</v>
      </c>
      <c r="W301">
        <v>45163</v>
      </c>
      <c r="X301" t="s">
        <v>121</v>
      </c>
      <c r="Y301" t="s">
        <v>2184</v>
      </c>
      <c r="Z301" t="s">
        <v>3908</v>
      </c>
      <c r="AA301">
        <v>2</v>
      </c>
      <c r="AB301" t="s">
        <v>94</v>
      </c>
      <c r="AC301" t="s">
        <v>3909</v>
      </c>
      <c r="AD301" t="s">
        <v>3551</v>
      </c>
      <c r="AE301" t="s">
        <v>97</v>
      </c>
      <c r="AF301">
        <v>5445000</v>
      </c>
      <c r="AG301" s="3">
        <v>95288</v>
      </c>
      <c r="AK301" t="s">
        <v>3910</v>
      </c>
      <c r="AL301" s="3">
        <v>95288</v>
      </c>
      <c r="AM301">
        <v>0</v>
      </c>
      <c r="AN301" s="4">
        <f>Table103[[#This Row],[Premium]]-Table103[[#This Row],[Tms Prem]]</f>
        <v>0</v>
      </c>
    </row>
    <row r="302" spans="1:40" x14ac:dyDescent="0.25">
      <c r="A302">
        <v>301</v>
      </c>
      <c r="B302" t="s">
        <v>38</v>
      </c>
      <c r="C302" t="s">
        <v>3911</v>
      </c>
      <c r="D302" t="s">
        <v>40</v>
      </c>
      <c r="E302" t="s">
        <v>41</v>
      </c>
      <c r="F302" t="s">
        <v>3912</v>
      </c>
      <c r="G302" t="s">
        <v>80</v>
      </c>
      <c r="H302" t="s">
        <v>3913</v>
      </c>
      <c r="I302" t="s">
        <v>3914</v>
      </c>
      <c r="J302" t="s">
        <v>3914</v>
      </c>
      <c r="K302" t="s">
        <v>151</v>
      </c>
      <c r="L302" t="s">
        <v>3915</v>
      </c>
      <c r="M302">
        <v>2054500</v>
      </c>
      <c r="N302">
        <v>2935000</v>
      </c>
      <c r="O302" t="s">
        <v>3916</v>
      </c>
      <c r="P302" t="s">
        <v>3906</v>
      </c>
      <c r="Q302" s="2">
        <v>280901</v>
      </c>
      <c r="R302" t="s">
        <v>3917</v>
      </c>
      <c r="S302" t="s">
        <v>50</v>
      </c>
      <c r="T302" t="s">
        <v>50</v>
      </c>
      <c r="U302" t="s">
        <v>45</v>
      </c>
      <c r="V302" t="s">
        <v>379</v>
      </c>
      <c r="W302">
        <v>45163</v>
      </c>
      <c r="X302" t="s">
        <v>121</v>
      </c>
      <c r="Y302" t="s">
        <v>1038</v>
      </c>
      <c r="Z302" t="s">
        <v>3918</v>
      </c>
      <c r="AA302">
        <v>5</v>
      </c>
      <c r="AB302" t="s">
        <v>94</v>
      </c>
      <c r="AC302" t="s">
        <v>3919</v>
      </c>
      <c r="AD302" t="s">
        <v>3920</v>
      </c>
      <c r="AE302" t="s">
        <v>97</v>
      </c>
      <c r="AF302">
        <v>2641500</v>
      </c>
      <c r="AG302" s="3">
        <v>46227</v>
      </c>
      <c r="AK302" t="s">
        <v>3921</v>
      </c>
      <c r="AL302" s="3">
        <v>46226</v>
      </c>
      <c r="AM302">
        <v>0</v>
      </c>
      <c r="AN302" s="4">
        <f>Table103[[#This Row],[Premium]]-Table103[[#This Row],[Tms Prem]]</f>
        <v>1</v>
      </c>
    </row>
    <row r="303" spans="1:40" x14ac:dyDescent="0.25">
      <c r="A303">
        <v>302</v>
      </c>
      <c r="B303" t="s">
        <v>38</v>
      </c>
      <c r="C303" t="s">
        <v>3922</v>
      </c>
      <c r="D303" t="s">
        <v>40</v>
      </c>
      <c r="E303" t="s">
        <v>41</v>
      </c>
      <c r="F303" t="s">
        <v>3923</v>
      </c>
      <c r="G303" t="s">
        <v>174</v>
      </c>
      <c r="H303" t="s">
        <v>3924</v>
      </c>
      <c r="I303" t="s">
        <v>3925</v>
      </c>
      <c r="J303" t="s">
        <v>3925</v>
      </c>
      <c r="K303" t="s">
        <v>3926</v>
      </c>
      <c r="L303" t="s">
        <v>3927</v>
      </c>
      <c r="M303">
        <v>699000</v>
      </c>
      <c r="N303">
        <v>1398000</v>
      </c>
      <c r="O303" t="s">
        <v>3928</v>
      </c>
      <c r="P303" s="1">
        <v>45527</v>
      </c>
      <c r="Q303" s="2" t="s">
        <v>3929</v>
      </c>
      <c r="R303" t="s">
        <v>3930</v>
      </c>
      <c r="S303" t="s">
        <v>50</v>
      </c>
      <c r="T303" t="s">
        <v>3931</v>
      </c>
      <c r="U303" t="s">
        <v>250</v>
      </c>
      <c r="V303" t="s">
        <v>90</v>
      </c>
      <c r="W303" t="s">
        <v>3452</v>
      </c>
      <c r="X303" t="s">
        <v>2704</v>
      </c>
      <c r="Y303" t="s">
        <v>2184</v>
      </c>
      <c r="Z303" t="s">
        <v>3932</v>
      </c>
      <c r="AA303">
        <v>5</v>
      </c>
      <c r="AB303" t="s">
        <v>57</v>
      </c>
      <c r="AC303" t="s">
        <v>3933</v>
      </c>
      <c r="AD303" t="s">
        <v>3934</v>
      </c>
      <c r="AE303" t="s">
        <v>60</v>
      </c>
      <c r="AF303">
        <v>1048500</v>
      </c>
      <c r="AG303" s="3">
        <v>20970</v>
      </c>
      <c r="AK303" t="s">
        <v>3935</v>
      </c>
      <c r="AL303" s="3">
        <v>20970</v>
      </c>
      <c r="AM303">
        <v>0</v>
      </c>
      <c r="AN303" s="4">
        <f>Table103[[#This Row],[Premium]]-Table103[[#This Row],[Tms Prem]]</f>
        <v>0</v>
      </c>
    </row>
    <row r="304" spans="1:40" x14ac:dyDescent="0.25">
      <c r="A304">
        <v>303</v>
      </c>
      <c r="B304" t="s">
        <v>38</v>
      </c>
      <c r="C304" t="s">
        <v>3936</v>
      </c>
      <c r="D304" t="s">
        <v>40</v>
      </c>
      <c r="E304" t="s">
        <v>41</v>
      </c>
      <c r="F304" t="s">
        <v>3937</v>
      </c>
      <c r="G304" t="s">
        <v>174</v>
      </c>
      <c r="H304" t="s">
        <v>3938</v>
      </c>
      <c r="I304" t="s">
        <v>3939</v>
      </c>
      <c r="J304" t="s">
        <v>3939</v>
      </c>
      <c r="K304" t="s">
        <v>45</v>
      </c>
      <c r="L304" t="s">
        <v>3940</v>
      </c>
      <c r="M304">
        <v>2072000</v>
      </c>
      <c r="N304">
        <v>7400000</v>
      </c>
      <c r="O304" t="s">
        <v>3941</v>
      </c>
      <c r="P304" t="s">
        <v>3906</v>
      </c>
      <c r="Q304" s="2" t="s">
        <v>3942</v>
      </c>
      <c r="R304" t="s">
        <v>3943</v>
      </c>
      <c r="S304" t="s">
        <v>88</v>
      </c>
      <c r="T304" t="s">
        <v>88</v>
      </c>
      <c r="U304" t="s">
        <v>3944</v>
      </c>
      <c r="V304" t="s">
        <v>52</v>
      </c>
      <c r="W304">
        <v>45163</v>
      </c>
      <c r="X304" t="s">
        <v>121</v>
      </c>
      <c r="Y304" t="s">
        <v>815</v>
      </c>
      <c r="Z304" t="s">
        <v>3945</v>
      </c>
      <c r="AA304">
        <v>3</v>
      </c>
      <c r="AB304" t="s">
        <v>57</v>
      </c>
      <c r="AC304" t="s">
        <v>3946</v>
      </c>
      <c r="AD304" t="s">
        <v>3551</v>
      </c>
      <c r="AE304" t="s">
        <v>97</v>
      </c>
      <c r="AF304">
        <v>6660000</v>
      </c>
      <c r="AG304" s="3">
        <v>116550.00000000001</v>
      </c>
      <c r="AK304" t="s">
        <v>3947</v>
      </c>
      <c r="AL304" s="3">
        <v>116550</v>
      </c>
      <c r="AM304">
        <v>0</v>
      </c>
      <c r="AN304" s="4">
        <f>Table103[[#This Row],[Premium]]-Table103[[#This Row],[Tms Prem]]</f>
        <v>0</v>
      </c>
    </row>
    <row r="305" spans="1:40" x14ac:dyDescent="0.25">
      <c r="A305">
        <v>304</v>
      </c>
      <c r="B305" t="s">
        <v>38</v>
      </c>
      <c r="C305" t="s">
        <v>3948</v>
      </c>
      <c r="D305" t="s">
        <v>40</v>
      </c>
      <c r="E305" t="s">
        <v>41</v>
      </c>
      <c r="F305" t="s">
        <v>3554</v>
      </c>
      <c r="G305" t="s">
        <v>174</v>
      </c>
      <c r="H305" t="s">
        <v>3949</v>
      </c>
      <c r="I305" t="s">
        <v>3950</v>
      </c>
      <c r="J305" t="s">
        <v>3951</v>
      </c>
      <c r="K305" t="s">
        <v>3950</v>
      </c>
      <c r="L305" t="s">
        <v>3952</v>
      </c>
      <c r="M305">
        <v>2719600</v>
      </c>
      <c r="N305">
        <v>6799000</v>
      </c>
      <c r="O305" t="s">
        <v>3953</v>
      </c>
      <c r="P305" s="1">
        <v>45527</v>
      </c>
      <c r="Q305" s="2">
        <v>305065</v>
      </c>
      <c r="R305" t="s">
        <v>3954</v>
      </c>
      <c r="S305" t="s">
        <v>50</v>
      </c>
      <c r="T305" t="s">
        <v>45</v>
      </c>
      <c r="U305" t="s">
        <v>1966</v>
      </c>
      <c r="V305" t="s">
        <v>45</v>
      </c>
      <c r="W305" t="s">
        <v>141</v>
      </c>
      <c r="X305" t="s">
        <v>2538</v>
      </c>
      <c r="Y305" t="s">
        <v>2184</v>
      </c>
      <c r="Z305" t="s">
        <v>3955</v>
      </c>
      <c r="AA305">
        <v>3</v>
      </c>
      <c r="AB305" t="s">
        <v>124</v>
      </c>
      <c r="AC305" t="s">
        <v>3956</v>
      </c>
      <c r="AD305" t="s">
        <v>3512</v>
      </c>
      <c r="AE305" t="s">
        <v>60</v>
      </c>
      <c r="AF305">
        <v>5779150</v>
      </c>
      <c r="AG305" s="3">
        <v>115583</v>
      </c>
      <c r="AK305" t="s">
        <v>3957</v>
      </c>
      <c r="AL305" s="3">
        <v>115583</v>
      </c>
      <c r="AM305">
        <v>0</v>
      </c>
      <c r="AN305" s="4">
        <f>Table103[[#This Row],[Premium]]-Table103[[#This Row],[Tms Prem]]</f>
        <v>0</v>
      </c>
    </row>
    <row r="306" spans="1:40" x14ac:dyDescent="0.25">
      <c r="A306">
        <v>305</v>
      </c>
      <c r="B306" t="s">
        <v>38</v>
      </c>
      <c r="C306" t="s">
        <v>3958</v>
      </c>
      <c r="D306" t="s">
        <v>40</v>
      </c>
      <c r="E306" t="s">
        <v>41</v>
      </c>
      <c r="F306" t="s">
        <v>3959</v>
      </c>
      <c r="G306" t="s">
        <v>80</v>
      </c>
      <c r="H306" t="s">
        <v>3960</v>
      </c>
      <c r="I306" t="s">
        <v>3961</v>
      </c>
      <c r="J306" t="s">
        <v>3961</v>
      </c>
      <c r="K306" t="s">
        <v>3962</v>
      </c>
      <c r="L306" t="s">
        <v>3963</v>
      </c>
      <c r="M306">
        <v>2733600</v>
      </c>
      <c r="N306">
        <v>3417000</v>
      </c>
      <c r="O306" t="s">
        <v>3964</v>
      </c>
      <c r="P306" s="1">
        <v>45527</v>
      </c>
      <c r="Q306" s="2" t="s">
        <v>3965</v>
      </c>
      <c r="R306" t="s">
        <v>3966</v>
      </c>
      <c r="S306" t="s">
        <v>50</v>
      </c>
      <c r="T306" t="s">
        <v>3967</v>
      </c>
      <c r="U306" t="s">
        <v>3968</v>
      </c>
      <c r="V306" t="s">
        <v>90</v>
      </c>
      <c r="W306" t="s">
        <v>3969</v>
      </c>
      <c r="X306" t="s">
        <v>1599</v>
      </c>
      <c r="Y306" t="s">
        <v>1189</v>
      </c>
      <c r="Z306" t="s">
        <v>3970</v>
      </c>
      <c r="AA306">
        <v>7</v>
      </c>
      <c r="AB306" t="s">
        <v>57</v>
      </c>
      <c r="AC306" t="s">
        <v>3971</v>
      </c>
      <c r="AD306" t="s">
        <v>1598</v>
      </c>
      <c r="AE306" t="s">
        <v>60</v>
      </c>
      <c r="AF306">
        <v>2870280</v>
      </c>
      <c r="AG306" s="3">
        <v>57662</v>
      </c>
      <c r="AK306" t="s">
        <v>3972</v>
      </c>
      <c r="AL306" s="3">
        <v>57406</v>
      </c>
      <c r="AM306" t="s">
        <v>4076</v>
      </c>
      <c r="AN306" s="4">
        <f>Table103[[#This Row],[Premium]]-Table103[[#This Row],[Tms Prem]]</f>
        <v>256</v>
      </c>
    </row>
    <row r="307" spans="1:40" x14ac:dyDescent="0.25">
      <c r="A307">
        <v>306</v>
      </c>
      <c r="B307" t="s">
        <v>38</v>
      </c>
      <c r="C307" t="s">
        <v>3973</v>
      </c>
      <c r="D307" t="s">
        <v>40</v>
      </c>
      <c r="E307" t="s">
        <v>41</v>
      </c>
      <c r="F307" t="s">
        <v>3974</v>
      </c>
      <c r="G307" t="s">
        <v>174</v>
      </c>
      <c r="H307" t="s">
        <v>3975</v>
      </c>
      <c r="I307" t="s">
        <v>3976</v>
      </c>
      <c r="J307" t="s">
        <v>3976</v>
      </c>
      <c r="K307" t="s">
        <v>3976</v>
      </c>
      <c r="L307" t="s">
        <v>3977</v>
      </c>
      <c r="M307">
        <v>2729400</v>
      </c>
      <c r="N307">
        <v>4549000</v>
      </c>
      <c r="O307" t="s">
        <v>3978</v>
      </c>
      <c r="P307" s="1">
        <v>45527</v>
      </c>
      <c r="Q307" s="2">
        <v>21028635</v>
      </c>
      <c r="R307" t="s">
        <v>3979</v>
      </c>
      <c r="S307" t="s">
        <v>50</v>
      </c>
      <c r="T307" t="s">
        <v>45</v>
      </c>
      <c r="U307" t="s">
        <v>3980</v>
      </c>
      <c r="V307" t="s">
        <v>140</v>
      </c>
      <c r="W307" t="s">
        <v>1740</v>
      </c>
      <c r="X307" t="s">
        <v>406</v>
      </c>
      <c r="Y307" t="s">
        <v>815</v>
      </c>
      <c r="Z307" t="s">
        <v>3981</v>
      </c>
      <c r="AA307">
        <v>5</v>
      </c>
      <c r="AB307" t="s">
        <v>57</v>
      </c>
      <c r="AC307" t="s">
        <v>3982</v>
      </c>
      <c r="AD307" t="s">
        <v>3983</v>
      </c>
      <c r="AE307" t="s">
        <v>60</v>
      </c>
      <c r="AF307">
        <v>3639200</v>
      </c>
      <c r="AG307" s="3">
        <v>72784</v>
      </c>
      <c r="AK307" t="s">
        <v>3984</v>
      </c>
      <c r="AL307" s="3">
        <v>72784</v>
      </c>
      <c r="AM307">
        <v>0</v>
      </c>
      <c r="AN307" s="4">
        <f>Table103[[#This Row],[Premium]]-Table103[[#This Row],[Tms Prem]]</f>
        <v>0</v>
      </c>
    </row>
    <row r="308" spans="1:40" x14ac:dyDescent="0.25">
      <c r="A308">
        <v>307</v>
      </c>
      <c r="B308" t="s">
        <v>38</v>
      </c>
      <c r="C308" t="s">
        <v>3985</v>
      </c>
      <c r="D308" t="s">
        <v>40</v>
      </c>
      <c r="E308" t="s">
        <v>41</v>
      </c>
      <c r="F308" t="s">
        <v>3986</v>
      </c>
      <c r="G308" t="s">
        <v>174</v>
      </c>
      <c r="H308" t="s">
        <v>3987</v>
      </c>
      <c r="I308" t="s">
        <v>3988</v>
      </c>
      <c r="J308" t="s">
        <v>3988</v>
      </c>
      <c r="K308" t="s">
        <v>3988</v>
      </c>
      <c r="L308" t="s">
        <v>3989</v>
      </c>
      <c r="M308">
        <v>2932500</v>
      </c>
      <c r="N308">
        <v>3910000</v>
      </c>
      <c r="O308" t="s">
        <v>3990</v>
      </c>
      <c r="P308" s="1">
        <v>45527</v>
      </c>
      <c r="Q308" s="2" t="s">
        <v>3991</v>
      </c>
      <c r="R308" t="s">
        <v>3992</v>
      </c>
      <c r="S308" t="s">
        <v>493</v>
      </c>
      <c r="T308" t="s">
        <v>45</v>
      </c>
      <c r="U308" t="s">
        <v>3993</v>
      </c>
      <c r="V308" t="s">
        <v>717</v>
      </c>
      <c r="W308" t="s">
        <v>3325</v>
      </c>
      <c r="X308" t="s">
        <v>406</v>
      </c>
      <c r="Y308" t="s">
        <v>815</v>
      </c>
      <c r="Z308" t="s">
        <v>3994</v>
      </c>
      <c r="AA308">
        <v>5</v>
      </c>
      <c r="AB308" t="s">
        <v>57</v>
      </c>
      <c r="AC308" t="s">
        <v>3995</v>
      </c>
      <c r="AD308" t="s">
        <v>3996</v>
      </c>
      <c r="AE308" t="s">
        <v>60</v>
      </c>
      <c r="AF308">
        <v>3128000</v>
      </c>
      <c r="AG308" s="3">
        <v>62560</v>
      </c>
      <c r="AK308" t="s">
        <v>3997</v>
      </c>
      <c r="AL308" s="3">
        <v>62560</v>
      </c>
      <c r="AM308">
        <v>0</v>
      </c>
      <c r="AN308" s="4">
        <f>Table103[[#This Row],[Premium]]-Table103[[#This Row],[Tms Prem]]</f>
        <v>0</v>
      </c>
    </row>
    <row r="309" spans="1:40" x14ac:dyDescent="0.25">
      <c r="A309">
        <v>308</v>
      </c>
      <c r="B309" t="s">
        <v>38</v>
      </c>
      <c r="C309" t="s">
        <v>3998</v>
      </c>
      <c r="D309" t="s">
        <v>40</v>
      </c>
      <c r="E309" t="s">
        <v>41</v>
      </c>
      <c r="F309" t="s">
        <v>3999</v>
      </c>
      <c r="G309" t="s">
        <v>174</v>
      </c>
      <c r="H309" t="s">
        <v>4000</v>
      </c>
      <c r="I309" t="s">
        <v>45</v>
      </c>
      <c r="J309" t="s">
        <v>4001</v>
      </c>
      <c r="K309" t="s">
        <v>45</v>
      </c>
      <c r="L309" t="s">
        <v>4002</v>
      </c>
      <c r="M309">
        <v>3451000</v>
      </c>
      <c r="N309">
        <v>4930000</v>
      </c>
      <c r="O309" t="s">
        <v>4003</v>
      </c>
      <c r="P309" s="1">
        <v>45527</v>
      </c>
      <c r="Q309" s="2" t="s">
        <v>4004</v>
      </c>
      <c r="R309" t="s">
        <v>4005</v>
      </c>
      <c r="S309" t="s">
        <v>50</v>
      </c>
      <c r="T309" t="s">
        <v>45</v>
      </c>
      <c r="U309" t="s">
        <v>1560</v>
      </c>
      <c r="V309" t="s">
        <v>90</v>
      </c>
      <c r="W309" t="s">
        <v>3073</v>
      </c>
      <c r="X309" t="s">
        <v>2704</v>
      </c>
      <c r="Y309" t="s">
        <v>407</v>
      </c>
      <c r="Z309" t="s">
        <v>4006</v>
      </c>
      <c r="AA309">
        <v>7</v>
      </c>
      <c r="AB309" t="s">
        <v>45</v>
      </c>
      <c r="AC309" t="s">
        <v>45</v>
      </c>
      <c r="AD309" t="s">
        <v>45</v>
      </c>
      <c r="AE309" t="s">
        <v>159</v>
      </c>
      <c r="AF309">
        <v>3697500</v>
      </c>
      <c r="AG309" s="3">
        <v>55463</v>
      </c>
      <c r="AK309" t="s">
        <v>4007</v>
      </c>
      <c r="AL309" s="3">
        <v>55463</v>
      </c>
      <c r="AM309">
        <v>0</v>
      </c>
      <c r="AN309" s="4">
        <f>Table103[[#This Row],[Premium]]-Table103[[#This Row],[Tms Prem]]</f>
        <v>0</v>
      </c>
    </row>
    <row r="310" spans="1:40" x14ac:dyDescent="0.25">
      <c r="A310">
        <v>309</v>
      </c>
      <c r="B310" t="s">
        <v>38</v>
      </c>
      <c r="C310" t="s">
        <v>4008</v>
      </c>
      <c r="D310" t="s">
        <v>40</v>
      </c>
      <c r="E310" t="s">
        <v>41</v>
      </c>
      <c r="F310" t="s">
        <v>4009</v>
      </c>
      <c r="G310" t="s">
        <v>114</v>
      </c>
      <c r="H310" t="s">
        <v>4010</v>
      </c>
      <c r="I310" t="s">
        <v>4011</v>
      </c>
      <c r="J310" t="s">
        <v>4012</v>
      </c>
      <c r="K310" t="s">
        <v>4013</v>
      </c>
      <c r="L310" t="s">
        <v>4014</v>
      </c>
      <c r="M310">
        <v>3586500</v>
      </c>
      <c r="N310">
        <v>4782000</v>
      </c>
      <c r="O310" t="s">
        <v>4015</v>
      </c>
      <c r="P310" s="1">
        <v>45527</v>
      </c>
      <c r="Q310" s="2">
        <v>309057</v>
      </c>
      <c r="R310" t="s">
        <v>4016</v>
      </c>
      <c r="S310" t="s">
        <v>50</v>
      </c>
      <c r="T310" t="s">
        <v>45</v>
      </c>
      <c r="U310" t="s">
        <v>1560</v>
      </c>
      <c r="V310" t="s">
        <v>140</v>
      </c>
      <c r="W310" t="s">
        <v>4017</v>
      </c>
      <c r="X310" t="s">
        <v>873</v>
      </c>
      <c r="Y310" t="s">
        <v>772</v>
      </c>
      <c r="Z310" t="s">
        <v>4018</v>
      </c>
      <c r="AA310">
        <v>4</v>
      </c>
      <c r="AB310" t="s">
        <v>45</v>
      </c>
      <c r="AC310" t="s">
        <v>45</v>
      </c>
      <c r="AD310" t="s">
        <v>45</v>
      </c>
      <c r="AE310" t="s">
        <v>97</v>
      </c>
      <c r="AF310">
        <v>3825600</v>
      </c>
      <c r="AG310" s="3">
        <v>66948</v>
      </c>
      <c r="AK310" t="s">
        <v>4019</v>
      </c>
      <c r="AL310" s="3">
        <v>66948</v>
      </c>
      <c r="AM310">
        <v>0</v>
      </c>
      <c r="AN310" s="4">
        <f>Table103[[#This Row],[Premium]]-Table103[[#This Row],[Tms Prem]]</f>
        <v>0</v>
      </c>
    </row>
    <row r="311" spans="1:40" x14ac:dyDescent="0.25">
      <c r="A311">
        <v>310</v>
      </c>
      <c r="B311" t="s">
        <v>38</v>
      </c>
      <c r="C311" t="s">
        <v>4020</v>
      </c>
      <c r="D311" t="s">
        <v>40</v>
      </c>
      <c r="E311" t="s">
        <v>41</v>
      </c>
      <c r="F311" t="s">
        <v>4021</v>
      </c>
      <c r="G311" t="s">
        <v>174</v>
      </c>
      <c r="H311" t="s">
        <v>4022</v>
      </c>
      <c r="I311" t="s">
        <v>4023</v>
      </c>
      <c r="J311" t="s">
        <v>4023</v>
      </c>
      <c r="K311" t="s">
        <v>4024</v>
      </c>
      <c r="L311" t="s">
        <v>4025</v>
      </c>
      <c r="M311">
        <v>3529500</v>
      </c>
      <c r="N311">
        <v>5430000</v>
      </c>
      <c r="O311" t="s">
        <v>4026</v>
      </c>
      <c r="P311" s="1">
        <v>45527</v>
      </c>
      <c r="Q311" s="2" t="s">
        <v>4027</v>
      </c>
      <c r="R311" t="s">
        <v>4028</v>
      </c>
      <c r="S311" t="s">
        <v>50</v>
      </c>
      <c r="T311" t="s">
        <v>45</v>
      </c>
      <c r="U311" t="s">
        <v>4029</v>
      </c>
      <c r="V311" t="s">
        <v>140</v>
      </c>
      <c r="W311" t="s">
        <v>2134</v>
      </c>
      <c r="X311" t="s">
        <v>406</v>
      </c>
      <c r="Y311" t="s">
        <v>815</v>
      </c>
      <c r="Z311" t="s">
        <v>4030</v>
      </c>
      <c r="AA311">
        <v>5</v>
      </c>
      <c r="AB311" t="s">
        <v>57</v>
      </c>
      <c r="AC311" t="s">
        <v>45</v>
      </c>
      <c r="AD311" t="s">
        <v>45</v>
      </c>
      <c r="AE311" t="s">
        <v>97</v>
      </c>
      <c r="AF311">
        <v>4344000</v>
      </c>
      <c r="AG311" s="3">
        <v>76020</v>
      </c>
      <c r="AK311" t="s">
        <v>4031</v>
      </c>
      <c r="AL311" s="3">
        <v>76020</v>
      </c>
      <c r="AM311">
        <v>0</v>
      </c>
      <c r="AN311" s="4">
        <f>Table103[[#This Row],[Premium]]-Table103[[#This Row],[Tms Prem]]</f>
        <v>0</v>
      </c>
    </row>
    <row r="312" spans="1:40" x14ac:dyDescent="0.25">
      <c r="A312">
        <v>311</v>
      </c>
      <c r="B312" t="s">
        <v>38</v>
      </c>
      <c r="C312" t="s">
        <v>4032</v>
      </c>
      <c r="D312" t="s">
        <v>40</v>
      </c>
      <c r="E312" t="s">
        <v>41</v>
      </c>
      <c r="F312" t="s">
        <v>4033</v>
      </c>
      <c r="G312" t="s">
        <v>80</v>
      </c>
      <c r="H312" t="s">
        <v>4034</v>
      </c>
      <c r="I312" t="s">
        <v>45</v>
      </c>
      <c r="J312" t="s">
        <v>4035</v>
      </c>
      <c r="K312" t="s">
        <v>45</v>
      </c>
      <c r="L312" t="s">
        <v>4036</v>
      </c>
      <c r="M312">
        <v>1190000</v>
      </c>
      <c r="N312">
        <v>1700000</v>
      </c>
      <c r="O312" t="s">
        <v>4037</v>
      </c>
      <c r="P312" s="1">
        <v>45527</v>
      </c>
      <c r="Q312" s="2">
        <v>127465</v>
      </c>
      <c r="R312" t="s">
        <v>4038</v>
      </c>
      <c r="S312" t="s">
        <v>88</v>
      </c>
      <c r="T312" t="s">
        <v>4039</v>
      </c>
      <c r="U312" t="s">
        <v>221</v>
      </c>
      <c r="V312" t="s">
        <v>662</v>
      </c>
      <c r="W312" t="s">
        <v>3512</v>
      </c>
      <c r="X312" t="s">
        <v>2538</v>
      </c>
      <c r="Y312" t="s">
        <v>2184</v>
      </c>
      <c r="Z312" t="s">
        <v>4040</v>
      </c>
      <c r="AA312">
        <v>3</v>
      </c>
      <c r="AB312" t="s">
        <v>124</v>
      </c>
      <c r="AC312" t="s">
        <v>4041</v>
      </c>
      <c r="AD312" t="s">
        <v>3512</v>
      </c>
      <c r="AE312" t="s">
        <v>97</v>
      </c>
      <c r="AF312">
        <v>1445000</v>
      </c>
      <c r="AG312" s="3">
        <v>25288</v>
      </c>
      <c r="AK312" t="s">
        <v>4042</v>
      </c>
      <c r="AL312" s="3">
        <v>25288</v>
      </c>
      <c r="AM312">
        <v>0</v>
      </c>
      <c r="AN312" s="4">
        <f>Table103[[#This Row],[Premium]]-Table103[[#This Row],[Tms Prem]]</f>
        <v>0</v>
      </c>
    </row>
    <row r="313" spans="1:40" x14ac:dyDescent="0.25">
      <c r="A313">
        <v>312</v>
      </c>
      <c r="B313" t="s">
        <v>38</v>
      </c>
      <c r="C313" t="s">
        <v>4043</v>
      </c>
      <c r="D313" t="s">
        <v>40</v>
      </c>
      <c r="E313" t="s">
        <v>41</v>
      </c>
      <c r="F313" t="s">
        <v>1407</v>
      </c>
      <c r="G313" t="s">
        <v>80</v>
      </c>
      <c r="H313" t="s">
        <v>4044</v>
      </c>
      <c r="I313" t="s">
        <v>4045</v>
      </c>
      <c r="J313" t="s">
        <v>4045</v>
      </c>
      <c r="K313" t="s">
        <v>151</v>
      </c>
      <c r="L313" t="s">
        <v>4046</v>
      </c>
      <c r="M313">
        <v>1393000</v>
      </c>
      <c r="N313">
        <v>1990000</v>
      </c>
      <c r="O313" t="s">
        <v>4047</v>
      </c>
      <c r="P313" s="1">
        <v>45527</v>
      </c>
      <c r="Q313" s="2">
        <v>102475</v>
      </c>
      <c r="R313" t="s">
        <v>4048</v>
      </c>
      <c r="S313" t="s">
        <v>88</v>
      </c>
      <c r="T313" t="s">
        <v>4049</v>
      </c>
      <c r="U313" t="s">
        <v>337</v>
      </c>
      <c r="V313" t="s">
        <v>107</v>
      </c>
      <c r="W313" t="s">
        <v>3512</v>
      </c>
      <c r="X313" t="s">
        <v>2538</v>
      </c>
      <c r="Y313" t="s">
        <v>407</v>
      </c>
      <c r="Z313" t="s">
        <v>4050</v>
      </c>
      <c r="AA313">
        <v>5</v>
      </c>
      <c r="AB313" t="s">
        <v>124</v>
      </c>
      <c r="AC313" t="s">
        <v>4051</v>
      </c>
      <c r="AD313" t="s">
        <v>3139</v>
      </c>
      <c r="AE313" t="s">
        <v>159</v>
      </c>
      <c r="AF313">
        <v>1691500</v>
      </c>
      <c r="AG313" s="3">
        <v>25373</v>
      </c>
      <c r="AK313" t="s">
        <v>4052</v>
      </c>
      <c r="AL313" s="3">
        <v>25373</v>
      </c>
      <c r="AM313">
        <v>0</v>
      </c>
      <c r="AN313" s="4">
        <f>Table103[[#This Row],[Premium]]-Table103[[#This Row],[Tms Prem]]</f>
        <v>0</v>
      </c>
    </row>
    <row r="314" spans="1:40" x14ac:dyDescent="0.25">
      <c r="A314">
        <v>313</v>
      </c>
      <c r="B314" t="s">
        <v>38</v>
      </c>
      <c r="C314" t="s">
        <v>4053</v>
      </c>
      <c r="D314" t="s">
        <v>40</v>
      </c>
      <c r="E314" t="s">
        <v>41</v>
      </c>
      <c r="F314" t="s">
        <v>4054</v>
      </c>
      <c r="G314" t="s">
        <v>80</v>
      </c>
      <c r="H314" t="s">
        <v>4055</v>
      </c>
      <c r="I314" t="s">
        <v>4056</v>
      </c>
      <c r="J314" t="s">
        <v>4056</v>
      </c>
      <c r="K314" t="s">
        <v>4056</v>
      </c>
      <c r="L314" t="s">
        <v>4057</v>
      </c>
      <c r="M314">
        <v>1426000</v>
      </c>
      <c r="N314">
        <v>2300000</v>
      </c>
      <c r="O314" t="s">
        <v>4058</v>
      </c>
      <c r="P314" s="1">
        <v>45527</v>
      </c>
      <c r="Q314" s="2">
        <v>207793</v>
      </c>
      <c r="R314" t="s">
        <v>4059</v>
      </c>
      <c r="S314" t="s">
        <v>88</v>
      </c>
      <c r="T314" t="s">
        <v>4060</v>
      </c>
      <c r="U314" t="s">
        <v>452</v>
      </c>
      <c r="V314" t="s">
        <v>52</v>
      </c>
      <c r="W314" t="s">
        <v>2655</v>
      </c>
      <c r="X314" t="s">
        <v>2538</v>
      </c>
      <c r="Y314" t="s">
        <v>407</v>
      </c>
      <c r="Z314" t="s">
        <v>4061</v>
      </c>
      <c r="AA314">
        <v>5</v>
      </c>
      <c r="AB314" t="s">
        <v>124</v>
      </c>
      <c r="AC314" t="s">
        <v>4062</v>
      </c>
      <c r="AD314" t="s">
        <v>3139</v>
      </c>
      <c r="AE314" t="s">
        <v>159</v>
      </c>
      <c r="AF314">
        <v>1955000</v>
      </c>
      <c r="AG314" s="3">
        <v>29325</v>
      </c>
      <c r="AK314" t="s">
        <v>4063</v>
      </c>
      <c r="AL314" s="3">
        <v>29325</v>
      </c>
      <c r="AM314">
        <v>0</v>
      </c>
      <c r="AN314" s="4">
        <f>Table103[[#This Row],[Premium]]-Table103[[#This Row],[Tms Prem]]</f>
        <v>0</v>
      </c>
    </row>
    <row r="315" spans="1:40" x14ac:dyDescent="0.25">
      <c r="A315">
        <v>314</v>
      </c>
      <c r="B315" t="s">
        <v>38</v>
      </c>
      <c r="C315" t="s">
        <v>4064</v>
      </c>
      <c r="D315" t="s">
        <v>40</v>
      </c>
      <c r="E315" t="s">
        <v>41</v>
      </c>
      <c r="F315" t="s">
        <v>4065</v>
      </c>
      <c r="G315" t="s">
        <v>174</v>
      </c>
      <c r="H315" t="s">
        <v>4066</v>
      </c>
      <c r="I315" t="s">
        <v>4067</v>
      </c>
      <c r="J315" t="s">
        <v>4067</v>
      </c>
      <c r="K315" t="s">
        <v>4067</v>
      </c>
      <c r="L315" t="s">
        <v>4068</v>
      </c>
      <c r="M315">
        <v>1669500</v>
      </c>
      <c r="N315">
        <v>2385000</v>
      </c>
      <c r="O315" t="s">
        <v>4069</v>
      </c>
      <c r="P315" s="1">
        <v>45527</v>
      </c>
      <c r="Q315" s="2">
        <v>107898</v>
      </c>
      <c r="R315" t="s">
        <v>4070</v>
      </c>
      <c r="S315" t="s">
        <v>88</v>
      </c>
      <c r="T315" t="s">
        <v>4071</v>
      </c>
      <c r="U315" t="s">
        <v>337</v>
      </c>
      <c r="V315" t="s">
        <v>107</v>
      </c>
      <c r="W315" t="s">
        <v>2655</v>
      </c>
      <c r="X315" t="s">
        <v>2538</v>
      </c>
      <c r="Y315" t="s">
        <v>407</v>
      </c>
      <c r="Z315" t="s">
        <v>4072</v>
      </c>
      <c r="AA315">
        <v>5</v>
      </c>
      <c r="AB315" t="s">
        <v>124</v>
      </c>
      <c r="AC315" t="s">
        <v>4073</v>
      </c>
      <c r="AD315" t="s">
        <v>3139</v>
      </c>
      <c r="AE315" t="s">
        <v>97</v>
      </c>
      <c r="AF315">
        <v>2027250</v>
      </c>
      <c r="AG315" s="3">
        <v>35477</v>
      </c>
      <c r="AK315" t="s">
        <v>4074</v>
      </c>
      <c r="AL315" s="3">
        <v>35477</v>
      </c>
      <c r="AM315">
        <v>0</v>
      </c>
      <c r="AN315" s="4">
        <f>Table103[[#This Row],[Premium]]-Table103[[#This Row],[Tms Prem]]</f>
        <v>0</v>
      </c>
    </row>
    <row r="316" spans="1:40" x14ac:dyDescent="0.25">
      <c r="P316" s="5"/>
      <c r="Q316" s="2"/>
      <c r="AG316" s="6">
        <f>SUBTOTAL(9,Table103[Premium])</f>
        <v>14372682</v>
      </c>
      <c r="AL316" s="7">
        <f>SUBTOTAL(9,Table103[Tms Prem])</f>
        <v>14356855</v>
      </c>
      <c r="AN316" s="8">
        <f>SUM(Table103[Difference2])</f>
        <v>15827</v>
      </c>
    </row>
    <row r="320" spans="1:40" x14ac:dyDescent="0.25">
      <c r="AJ320" s="4">
        <f>(Table103[[#Totals],[Premium]]-Table103[[#Totals],[Tms Prem]])</f>
        <v>15827</v>
      </c>
    </row>
    <row r="324" spans="40:40" x14ac:dyDescent="0.25">
      <c r="AN324">
        <v>14372682</v>
      </c>
    </row>
    <row r="325" spans="40:40" x14ac:dyDescent="0.25">
      <c r="AN325">
        <v>15827</v>
      </c>
    </row>
    <row r="326" spans="40:40" x14ac:dyDescent="0.25">
      <c r="AN326">
        <f>AN324-AN325</f>
        <v>14356855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015D1-81C5-48B7-9859-C728F03AFB9A}">
  <dimension ref="A1:H319"/>
  <sheetViews>
    <sheetView tabSelected="1" topLeftCell="A312" workbookViewId="0">
      <selection activeCell="D314" sqref="D314"/>
    </sheetView>
  </sheetViews>
  <sheetFormatPr defaultRowHeight="15" x14ac:dyDescent="0.25"/>
  <cols>
    <col min="1" max="1" width="41.5703125" bestFit="1" customWidth="1"/>
    <col min="2" max="2" width="13.140625" bestFit="1" customWidth="1"/>
    <col min="3" max="3" width="13.28515625" bestFit="1" customWidth="1"/>
    <col min="4" max="4" width="11.5703125" bestFit="1" customWidth="1"/>
    <col min="5" max="5" width="13.7109375" bestFit="1" customWidth="1"/>
    <col min="6" max="6" width="94.28515625" customWidth="1"/>
    <col min="7" max="7" width="84.5703125" customWidth="1"/>
    <col min="8" max="8" width="78.85546875" customWidth="1"/>
  </cols>
  <sheetData>
    <row r="1" spans="1:8" x14ac:dyDescent="0.25">
      <c r="E1" s="18" t="s">
        <v>4411</v>
      </c>
    </row>
    <row r="2" spans="1:8" ht="150.75" customHeight="1" x14ac:dyDescent="0.25">
      <c r="A2" s="9" t="s">
        <v>61</v>
      </c>
      <c r="B2" s="11" t="s">
        <v>4412</v>
      </c>
      <c r="C2" s="16">
        <v>29699</v>
      </c>
      <c r="D2" s="12">
        <f>ROUND(C2,0)</f>
        <v>29699</v>
      </c>
      <c r="E2" s="18" t="s">
        <v>4411</v>
      </c>
      <c r="F2" s="13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14" t="str">
        <f>"('"&amp;E2&amp;"','"&amp;B2&amp;"','"&amp;D2&amp;"',(select max(to_number(i.premium_rcv_detail_code))+1
from ins_premium_det i),'"&amp;D2&amp;"','"&amp;D2&amp;"','02', '11000003','00','Request by Mr. Saqib Saleem 30-Sep-2024 allocation 30Sep240040');"</f>
        <v>('30Sep240040','070000164218','29699',(select max(to_number(i.premium_rcv_detail_code))+1
from ins_premium_det i),'29699','29699','02', '11000003','00','Request by Mr. Saqib Saleem 30-Sep-2024 allocation 30Sep240040');</v>
      </c>
      <c r="H2" s="15" t="str">
        <f>F2&amp;G2</f>
        <v>insert into ins_premium_det (premium_rcv_code,assorted_code, rec_amount,premium_rcv_detail_code,remaining_amt, payrec, mode_code,coinsurance_code,class_cd,it_remarks) values('30Sep240040','070000164218','29699',(select max(to_number(i.premium_rcv_detail_code))+1
from ins_premium_det i),'29699','29699','02', '11000003','00','Request by Mr. Saqib Saleem 30-Sep-2024 allocation 30Sep240040');</v>
      </c>
    </row>
    <row r="3" spans="1:8" ht="90" x14ac:dyDescent="0.25">
      <c r="A3" s="10" t="s">
        <v>77</v>
      </c>
      <c r="B3" s="11" t="s">
        <v>4413</v>
      </c>
      <c r="C3" s="17">
        <v>49130</v>
      </c>
      <c r="D3" s="12">
        <f t="shared" ref="D3:D66" si="1">ROUND(C3,0)</f>
        <v>49130</v>
      </c>
      <c r="E3" s="18" t="s">
        <v>4411</v>
      </c>
      <c r="F3" s="13" t="str">
        <f t="shared" si="0"/>
        <v>insert into ins_premium_det (premium_rcv_code,assorted_code, rec_amount,premium_rcv_detail_code,remaining_amt, payrec, mode_code,coinsurance_code,class_cd,it_remarks) values</v>
      </c>
      <c r="G3" s="14" t="str">
        <f t="shared" ref="G3:G66" si="2">"('"&amp;E3&amp;"','"&amp;B3&amp;"','"&amp;D3&amp;"',(select max(to_number(i.premium_rcv_detail_code))+1
from ins_premium_det i),'"&amp;D3&amp;"','"&amp;D3&amp;"','02', '11000003','00','Request by Mr. Saqib Saleem 30-Sep-2024 allocation 30Sep240040');"</f>
        <v>('30Sep240040','070000164220','49130',(select max(to_number(i.premium_rcv_detail_code))+1
from ins_premium_det i),'49130','49130','02', '11000003','00','Request by Mr. Saqib Saleem 30-Sep-2024 allocation 30Sep240040');</v>
      </c>
      <c r="H3" s="15" t="str">
        <f t="shared" ref="H3:H66" si="3">F3&amp;G3</f>
        <v>insert into ins_premium_det (premium_rcv_code,assorted_code, rec_amount,premium_rcv_detail_code,remaining_amt, payrec, mode_code,coinsurance_code,class_cd,it_remarks) values('30Sep240040','070000164220','49130',(select max(to_number(i.premium_rcv_detail_code))+1
from ins_premium_det i),'49130','49130','02', '11000003','00','Request by Mr. Saqib Saleem 30-Sep-2024 allocation 30Sep240040');</v>
      </c>
    </row>
    <row r="4" spans="1:8" ht="90" x14ac:dyDescent="0.25">
      <c r="A4" s="9" t="s">
        <v>98</v>
      </c>
      <c r="B4" s="11" t="s">
        <v>4414</v>
      </c>
      <c r="C4" s="16">
        <v>30713</v>
      </c>
      <c r="D4" s="12">
        <f t="shared" si="1"/>
        <v>30713</v>
      </c>
      <c r="E4" s="18" t="s">
        <v>4411</v>
      </c>
      <c r="F4" s="13" t="str">
        <f t="shared" si="0"/>
        <v>insert into ins_premium_det (premium_rcv_code,assorted_code, rec_amount,premium_rcv_detail_code,remaining_amt, payrec, mode_code,coinsurance_code,class_cd,it_remarks) values</v>
      </c>
      <c r="G4" s="14" t="str">
        <f t="shared" si="2"/>
        <v>('30Sep240040','070000164225','30713',(select max(to_number(i.premium_rcv_detail_code))+1
from ins_premium_det i),'30713','30713','02', '11000003','00','Request by Mr. Saqib Saleem 30-Sep-2024 allocation 30Sep240040');</v>
      </c>
      <c r="H4" s="15" t="str">
        <f t="shared" si="3"/>
        <v>insert into ins_premium_det (premium_rcv_code,assorted_code, rec_amount,premium_rcv_detail_code,remaining_amt, payrec, mode_code,coinsurance_code,class_cd,it_remarks) values('30Sep240040','070000164225','30713',(select max(to_number(i.premium_rcv_detail_code))+1
from ins_premium_det i),'30713','30713','02', '11000003','00','Request by Mr. Saqib Saleem 30-Sep-2024 allocation 30Sep240040');</v>
      </c>
    </row>
    <row r="5" spans="1:8" ht="90" x14ac:dyDescent="0.25">
      <c r="A5" s="10" t="s">
        <v>111</v>
      </c>
      <c r="B5" s="11" t="s">
        <v>4415</v>
      </c>
      <c r="C5" s="17">
        <v>26775</v>
      </c>
      <c r="D5" s="12">
        <f t="shared" si="1"/>
        <v>26775</v>
      </c>
      <c r="E5" s="18" t="s">
        <v>4411</v>
      </c>
      <c r="F5" s="13" t="str">
        <f t="shared" si="0"/>
        <v>insert into ins_premium_det (premium_rcv_code,assorted_code, rec_amount,premium_rcv_detail_code,remaining_amt, payrec, mode_code,coinsurance_code,class_cd,it_remarks) values</v>
      </c>
      <c r="G5" s="14" t="str">
        <f t="shared" si="2"/>
        <v>('30Sep240040','070000164226','26775',(select max(to_number(i.premium_rcv_detail_code))+1
from ins_premium_det i),'26775','26775','02', '11000003','00','Request by Mr. Saqib Saleem 30-Sep-2024 allocation 30Sep240040');</v>
      </c>
      <c r="H5" s="15" t="str">
        <f t="shared" si="3"/>
        <v>insert into ins_premium_det (premium_rcv_code,assorted_code, rec_amount,premium_rcv_detail_code,remaining_amt, payrec, mode_code,coinsurance_code,class_cd,it_remarks) values('30Sep240040','070000164226','26775',(select max(to_number(i.premium_rcv_detail_code))+1
from ins_premium_det i),'26775','26775','02', '11000003','00','Request by Mr. Saqib Saleem 30-Sep-2024 allocation 30Sep240040');</v>
      </c>
    </row>
    <row r="6" spans="1:8" ht="90" x14ac:dyDescent="0.25">
      <c r="A6" s="9" t="s">
        <v>127</v>
      </c>
      <c r="B6" s="11" t="s">
        <v>4416</v>
      </c>
      <c r="C6" s="16">
        <v>42935</v>
      </c>
      <c r="D6" s="12">
        <f t="shared" si="1"/>
        <v>42935</v>
      </c>
      <c r="E6" s="18" t="s">
        <v>4411</v>
      </c>
      <c r="F6" s="13" t="str">
        <f t="shared" si="0"/>
        <v>insert into ins_premium_det (premium_rcv_code,assorted_code, rec_amount,premium_rcv_detail_code,remaining_amt, payrec, mode_code,coinsurance_code,class_cd,it_remarks) values</v>
      </c>
      <c r="G6" s="14" t="str">
        <f t="shared" si="2"/>
        <v>('30Sep240040','070000164229','42935',(select max(to_number(i.premium_rcv_detail_code))+1
from ins_premium_det i),'42935','42935','02', '11000003','00','Request by Mr. Saqib Saleem 30-Sep-2024 allocation 30Sep240040');</v>
      </c>
      <c r="H6" s="15" t="str">
        <f t="shared" si="3"/>
        <v>insert into ins_premium_det (premium_rcv_code,assorted_code, rec_amount,premium_rcv_detail_code,remaining_amt, payrec, mode_code,coinsurance_code,class_cd,it_remarks) values('30Sep240040','070000164229','42935',(select max(to_number(i.premium_rcv_detail_code))+1
from ins_premium_det i),'42935','42935','02', '11000003','00','Request by Mr. Saqib Saleem 30-Sep-2024 allocation 30Sep240040');</v>
      </c>
    </row>
    <row r="7" spans="1:8" ht="90" x14ac:dyDescent="0.25">
      <c r="A7" s="10" t="s">
        <v>146</v>
      </c>
      <c r="B7" s="11" t="s">
        <v>4417</v>
      </c>
      <c r="C7" s="17">
        <v>29006</v>
      </c>
      <c r="D7" s="12">
        <f t="shared" si="1"/>
        <v>29006</v>
      </c>
      <c r="E7" s="18" t="s">
        <v>4411</v>
      </c>
      <c r="F7" s="13" t="str">
        <f t="shared" si="0"/>
        <v>insert into ins_premium_det (premium_rcv_code,assorted_code, rec_amount,premium_rcv_detail_code,remaining_amt, payrec, mode_code,coinsurance_code,class_cd,it_remarks) values</v>
      </c>
      <c r="G7" s="14" t="str">
        <f t="shared" si="2"/>
        <v>('30Sep240040','070000164233','29006',(select max(to_number(i.premium_rcv_detail_code))+1
from ins_premium_det i),'29006','29006','02', '11000003','00','Request by Mr. Saqib Saleem 30-Sep-2024 allocation 30Sep240040');</v>
      </c>
      <c r="H7" s="15" t="str">
        <f t="shared" si="3"/>
        <v>insert into ins_premium_det (premium_rcv_code,assorted_code, rec_amount,premium_rcv_detail_code,remaining_amt, payrec, mode_code,coinsurance_code,class_cd,it_remarks) values('30Sep240040','070000164233','29006',(select max(to_number(i.premium_rcv_detail_code))+1
from ins_premium_det i),'29006','29006','02', '11000003','00','Request by Mr. Saqib Saleem 30-Sep-2024 allocation 30Sep240040');</v>
      </c>
    </row>
    <row r="8" spans="1:8" ht="90" x14ac:dyDescent="0.25">
      <c r="A8" s="9" t="s">
        <v>160</v>
      </c>
      <c r="B8" s="11" t="s">
        <v>4418</v>
      </c>
      <c r="C8" s="16">
        <v>28050</v>
      </c>
      <c r="D8" s="12">
        <f t="shared" si="1"/>
        <v>28050</v>
      </c>
      <c r="E8" s="18" t="s">
        <v>4411</v>
      </c>
      <c r="F8" s="13" t="str">
        <f t="shared" si="0"/>
        <v>insert into ins_premium_det (premium_rcv_code,assorted_code, rec_amount,premium_rcv_detail_code,remaining_amt, payrec, mode_code,coinsurance_code,class_cd,it_remarks) values</v>
      </c>
      <c r="G8" s="14" t="str">
        <f t="shared" si="2"/>
        <v>('30Sep240040','070000164235','28050',(select max(to_number(i.premium_rcv_detail_code))+1
from ins_premium_det i),'28050','28050','02', '11000003','00','Request by Mr. Saqib Saleem 30-Sep-2024 allocation 30Sep240040');</v>
      </c>
      <c r="H8" s="15" t="str">
        <f t="shared" si="3"/>
        <v>insert into ins_premium_det (premium_rcv_code,assorted_code, rec_amount,premium_rcv_detail_code,remaining_amt, payrec, mode_code,coinsurance_code,class_cd,it_remarks) values('30Sep240040','070000164235','28050',(select max(to_number(i.premium_rcv_detail_code))+1
from ins_premium_det i),'28050','28050','02', '11000003','00','Request by Mr. Saqib Saleem 30-Sep-2024 allocation 30Sep240040');</v>
      </c>
    </row>
    <row r="9" spans="1:8" ht="90" x14ac:dyDescent="0.25">
      <c r="A9" s="10" t="s">
        <v>171</v>
      </c>
      <c r="B9" s="11" t="s">
        <v>4419</v>
      </c>
      <c r="C9" s="17">
        <v>29699</v>
      </c>
      <c r="D9" s="12">
        <f t="shared" si="1"/>
        <v>29699</v>
      </c>
      <c r="E9" s="18" t="s">
        <v>4411</v>
      </c>
      <c r="F9" s="13" t="str">
        <f t="shared" si="0"/>
        <v>insert into ins_premium_det (premium_rcv_code,assorted_code, rec_amount,premium_rcv_detail_code,remaining_amt, payrec, mode_code,coinsurance_code,class_cd,it_remarks) values</v>
      </c>
      <c r="G9" s="14" t="str">
        <f t="shared" si="2"/>
        <v>('30Sep240040','070000164236','29699',(select max(to_number(i.premium_rcv_detail_code))+1
from ins_premium_det i),'29699','29699','02', '11000003','00','Request by Mr. Saqib Saleem 30-Sep-2024 allocation 30Sep240040');</v>
      </c>
      <c r="H9" s="15" t="str">
        <f t="shared" si="3"/>
        <v>insert into ins_premium_det (premium_rcv_code,assorted_code, rec_amount,premium_rcv_detail_code,remaining_amt, payrec, mode_code,coinsurance_code,class_cd,it_remarks) values('30Sep240040','070000164236','29699',(select max(to_number(i.premium_rcv_detail_code))+1
from ins_premium_det i),'29699','29699','02', '11000003','00','Request by Mr. Saqib Saleem 30-Sep-2024 allocation 30Sep240040');</v>
      </c>
    </row>
    <row r="10" spans="1:8" ht="90" x14ac:dyDescent="0.25">
      <c r="A10" s="9" t="s">
        <v>185</v>
      </c>
      <c r="B10" s="11" t="s">
        <v>4420</v>
      </c>
      <c r="C10" s="16">
        <v>56338</v>
      </c>
      <c r="D10" s="12">
        <f t="shared" si="1"/>
        <v>56338</v>
      </c>
      <c r="E10" s="18" t="s">
        <v>4411</v>
      </c>
      <c r="F10" s="13" t="str">
        <f t="shared" si="0"/>
        <v>insert into ins_premium_det (premium_rcv_code,assorted_code, rec_amount,premium_rcv_detail_code,remaining_amt, payrec, mode_code,coinsurance_code,class_cd,it_remarks) values</v>
      </c>
      <c r="G10" s="14" t="str">
        <f t="shared" si="2"/>
        <v>('30Sep240040','070000164238','56338',(select max(to_number(i.premium_rcv_detail_code))+1
from ins_premium_det i),'56338','56338','02', '11000003','00','Request by Mr. Saqib Saleem 30-Sep-2024 allocation 30Sep240040');</v>
      </c>
      <c r="H10" s="15" t="str">
        <f t="shared" si="3"/>
        <v>insert into ins_premium_det (premium_rcv_code,assorted_code, rec_amount,premium_rcv_detail_code,remaining_amt, payrec, mode_code,coinsurance_code,class_cd,it_remarks) values('30Sep240040','070000164238','56338',(select max(to_number(i.premium_rcv_detail_code))+1
from ins_premium_det i),'56338','56338','02', '11000003','00','Request by Mr. Saqib Saleem 30-Sep-2024 allocation 30Sep240040');</v>
      </c>
    </row>
    <row r="11" spans="1:8" ht="90" x14ac:dyDescent="0.25">
      <c r="A11" s="10" t="s">
        <v>198</v>
      </c>
      <c r="B11" s="11" t="s">
        <v>4421</v>
      </c>
      <c r="C11" s="17">
        <v>22202</v>
      </c>
      <c r="D11" s="12">
        <f t="shared" si="1"/>
        <v>22202</v>
      </c>
      <c r="E11" s="18" t="s">
        <v>4411</v>
      </c>
      <c r="F11" s="13" t="str">
        <f t="shared" si="0"/>
        <v>insert into ins_premium_det (premium_rcv_code,assorted_code, rec_amount,premium_rcv_detail_code,remaining_amt, payrec, mode_code,coinsurance_code,class_cd,it_remarks) values</v>
      </c>
      <c r="G11" s="14" t="str">
        <f t="shared" si="2"/>
        <v>('30Sep240040','070000164241','22202',(select max(to_number(i.premium_rcv_detail_code))+1
from ins_premium_det i),'22202','22202','02', '11000003','00','Request by Mr. Saqib Saleem 30-Sep-2024 allocation 30Sep240040');</v>
      </c>
      <c r="H11" s="15" t="str">
        <f t="shared" si="3"/>
        <v>insert into ins_premium_det (premium_rcv_code,assorted_code, rec_amount,premium_rcv_detail_code,remaining_amt, payrec, mode_code,coinsurance_code,class_cd,it_remarks) values('30Sep240040','070000164241','22202',(select max(to_number(i.premium_rcv_detail_code))+1
from ins_premium_det i),'22202','22202','02', '11000003','00','Request by Mr. Saqib Saleem 30-Sep-2024 allocation 30Sep240040');</v>
      </c>
    </row>
    <row r="12" spans="1:8" ht="90" x14ac:dyDescent="0.25">
      <c r="A12" s="9" t="s">
        <v>213</v>
      </c>
      <c r="B12" s="11" t="s">
        <v>4422</v>
      </c>
      <c r="C12" s="16">
        <v>58735</v>
      </c>
      <c r="D12" s="12">
        <f t="shared" si="1"/>
        <v>58735</v>
      </c>
      <c r="E12" s="18" t="s">
        <v>4411</v>
      </c>
      <c r="F12" s="13" t="str">
        <f t="shared" si="0"/>
        <v>insert into ins_premium_det (premium_rcv_code,assorted_code, rec_amount,premium_rcv_detail_code,remaining_amt, payrec, mode_code,coinsurance_code,class_cd,it_remarks) values</v>
      </c>
      <c r="G12" s="14" t="str">
        <f t="shared" si="2"/>
        <v>('30Sep240040','070000164242','58735',(select max(to_number(i.premium_rcv_detail_code))+1
from ins_premium_det i),'58735','58735','02', '11000003','00','Request by Mr. Saqib Saleem 30-Sep-2024 allocation 30Sep240040');</v>
      </c>
      <c r="H12" s="15" t="str">
        <f t="shared" si="3"/>
        <v>insert into ins_premium_det (premium_rcv_code,assorted_code, rec_amount,premium_rcv_detail_code,remaining_amt, payrec, mode_code,coinsurance_code,class_cd,it_remarks) values('30Sep240040','070000164242','58735',(select max(to_number(i.premium_rcv_detail_code))+1
from ins_premium_det i),'58735','58735','02', '11000003','00','Request by Mr. Saqib Saleem 30-Sep-2024 allocation 30Sep240040');</v>
      </c>
    </row>
    <row r="13" spans="1:8" ht="90" x14ac:dyDescent="0.25">
      <c r="A13" s="10" t="s">
        <v>225</v>
      </c>
      <c r="B13" s="11" t="s">
        <v>4423</v>
      </c>
      <c r="C13" s="17">
        <v>26282</v>
      </c>
      <c r="D13" s="12">
        <f t="shared" si="1"/>
        <v>26282</v>
      </c>
      <c r="E13" s="18" t="s">
        <v>4411</v>
      </c>
      <c r="F13" s="13" t="str">
        <f t="shared" si="0"/>
        <v>insert into ins_premium_det (premium_rcv_code,assorted_code, rec_amount,premium_rcv_detail_code,remaining_amt, payrec, mode_code,coinsurance_code,class_cd,it_remarks) values</v>
      </c>
      <c r="G13" s="14" t="str">
        <f t="shared" si="2"/>
        <v>('30Sep240040','070000164243','26282',(select max(to_number(i.premium_rcv_detail_code))+1
from ins_premium_det i),'26282','26282','02', '11000003','00','Request by Mr. Saqib Saleem 30-Sep-2024 allocation 30Sep240040');</v>
      </c>
      <c r="H13" s="15" t="str">
        <f t="shared" si="3"/>
        <v>insert into ins_premium_det (premium_rcv_code,assorted_code, rec_amount,premium_rcv_detail_code,remaining_amt, payrec, mode_code,coinsurance_code,class_cd,it_remarks) values('30Sep240040','070000164243','26282',(select max(to_number(i.premium_rcv_detail_code))+1
from ins_premium_det i),'26282','26282','02', '11000003','00','Request by Mr. Saqib Saleem 30-Sep-2024 allocation 30Sep240040');</v>
      </c>
    </row>
    <row r="14" spans="1:8" ht="90" x14ac:dyDescent="0.25">
      <c r="A14" s="9" t="s">
        <v>240</v>
      </c>
      <c r="B14" s="11" t="s">
        <v>4424</v>
      </c>
      <c r="C14" s="16">
        <v>19168</v>
      </c>
      <c r="D14" s="12">
        <f t="shared" si="1"/>
        <v>19168</v>
      </c>
      <c r="E14" s="18" t="s">
        <v>4411</v>
      </c>
      <c r="F14" s="13" t="str">
        <f t="shared" si="0"/>
        <v>insert into ins_premium_det (premium_rcv_code,assorted_code, rec_amount,premium_rcv_detail_code,remaining_amt, payrec, mode_code,coinsurance_code,class_cd,it_remarks) values</v>
      </c>
      <c r="G14" s="14" t="str">
        <f t="shared" si="2"/>
        <v>('30Sep240040','070000164253','19168',(select max(to_number(i.premium_rcv_detail_code))+1
from ins_premium_det i),'19168','19168','02', '11000003','00','Request by Mr. Saqib Saleem 30-Sep-2024 allocation 30Sep240040');</v>
      </c>
      <c r="H14" s="15" t="str">
        <f t="shared" si="3"/>
        <v>insert into ins_premium_det (premium_rcv_code,assorted_code, rec_amount,premium_rcv_detail_code,remaining_amt, payrec, mode_code,coinsurance_code,class_cd,it_remarks) values('30Sep240040','070000164253','19168',(select max(to_number(i.premium_rcv_detail_code))+1
from ins_premium_det i),'19168','19168','02', '11000003','00','Request by Mr. Saqib Saleem 30-Sep-2024 allocation 30Sep240040');</v>
      </c>
    </row>
    <row r="15" spans="1:8" ht="90" x14ac:dyDescent="0.25">
      <c r="A15" s="10" t="s">
        <v>255</v>
      </c>
      <c r="B15" s="11" t="s">
        <v>4425</v>
      </c>
      <c r="C15" s="17">
        <v>22928</v>
      </c>
      <c r="D15" s="12">
        <f t="shared" si="1"/>
        <v>22928</v>
      </c>
      <c r="E15" s="18" t="s">
        <v>4411</v>
      </c>
      <c r="F15" s="13" t="str">
        <f t="shared" si="0"/>
        <v>insert into ins_premium_det (premium_rcv_code,assorted_code, rec_amount,premium_rcv_detail_code,remaining_amt, payrec, mode_code,coinsurance_code,class_cd,it_remarks) values</v>
      </c>
      <c r="G15" s="14" t="str">
        <f t="shared" si="2"/>
        <v>('30Sep240040','070000164257','22928',(select max(to_number(i.premium_rcv_detail_code))+1
from ins_premium_det i),'22928','22928','02', '11000003','00','Request by Mr. Saqib Saleem 30-Sep-2024 allocation 30Sep240040');</v>
      </c>
      <c r="H15" s="15" t="str">
        <f t="shared" si="3"/>
        <v>insert into ins_premium_det (premium_rcv_code,assorted_code, rec_amount,premium_rcv_detail_code,remaining_amt, payrec, mode_code,coinsurance_code,class_cd,it_remarks) values('30Sep240040','070000164257','22928',(select max(to_number(i.premium_rcv_detail_code))+1
from ins_premium_det i),'22928','22928','02', '11000003','00','Request by Mr. Saqib Saleem 30-Sep-2024 allocation 30Sep240040');</v>
      </c>
    </row>
    <row r="16" spans="1:8" ht="90" x14ac:dyDescent="0.25">
      <c r="A16" s="9" t="s">
        <v>269</v>
      </c>
      <c r="B16" s="11" t="s">
        <v>4426</v>
      </c>
      <c r="C16" s="16">
        <v>26128</v>
      </c>
      <c r="D16" s="12">
        <f t="shared" si="1"/>
        <v>26128</v>
      </c>
      <c r="E16" s="18" t="s">
        <v>4411</v>
      </c>
      <c r="F16" s="13" t="str">
        <f t="shared" si="0"/>
        <v>insert into ins_premium_det (premium_rcv_code,assorted_code, rec_amount,premium_rcv_detail_code,remaining_amt, payrec, mode_code,coinsurance_code,class_cd,it_remarks) values</v>
      </c>
      <c r="G16" s="14" t="str">
        <f t="shared" si="2"/>
        <v>('30Sep240040','070000164258','26128',(select max(to_number(i.premium_rcv_detail_code))+1
from ins_premium_det i),'26128','26128','02', '11000003','00','Request by Mr. Saqib Saleem 30-Sep-2024 allocation 30Sep240040');</v>
      </c>
      <c r="H16" s="15" t="str">
        <f t="shared" si="3"/>
        <v>insert into ins_premium_det (premium_rcv_code,assorted_code, rec_amount,premium_rcv_detail_code,remaining_amt, payrec, mode_code,coinsurance_code,class_cd,it_remarks) values('30Sep240040','070000164258','26128',(select max(to_number(i.premium_rcv_detail_code))+1
from ins_premium_det i),'26128','26128','02', '11000003','00','Request by Mr. Saqib Saleem 30-Sep-2024 allocation 30Sep240040');</v>
      </c>
    </row>
    <row r="17" spans="1:8" ht="90" x14ac:dyDescent="0.25">
      <c r="A17" s="10" t="s">
        <v>286</v>
      </c>
      <c r="B17" s="11" t="s">
        <v>4427</v>
      </c>
      <c r="C17" s="17">
        <v>38340</v>
      </c>
      <c r="D17" s="12">
        <f t="shared" si="1"/>
        <v>38340</v>
      </c>
      <c r="E17" s="18" t="s">
        <v>4411</v>
      </c>
      <c r="F17" s="13" t="str">
        <f t="shared" si="0"/>
        <v>insert into ins_premium_det (premium_rcv_code,assorted_code, rec_amount,premium_rcv_detail_code,remaining_amt, payrec, mode_code,coinsurance_code,class_cd,it_remarks) values</v>
      </c>
      <c r="G17" s="14" t="str">
        <f t="shared" si="2"/>
        <v>('30Sep240040','070000164260','38340',(select max(to_number(i.premium_rcv_detail_code))+1
from ins_premium_det i),'38340','38340','02', '11000003','00','Request by Mr. Saqib Saleem 30-Sep-2024 allocation 30Sep240040');</v>
      </c>
      <c r="H17" s="15" t="str">
        <f t="shared" si="3"/>
        <v>insert into ins_premium_det (premium_rcv_code,assorted_code, rec_amount,premium_rcv_detail_code,remaining_amt, payrec, mode_code,coinsurance_code,class_cd,it_remarks) values('30Sep240040','070000164260','38340',(select max(to_number(i.premium_rcv_detail_code))+1
from ins_premium_det i),'38340','38340','02', '11000003','00','Request by Mr. Saqib Saleem 30-Sep-2024 allocation 30Sep240040');</v>
      </c>
    </row>
    <row r="18" spans="1:8" ht="90" x14ac:dyDescent="0.25">
      <c r="A18" s="9" t="s">
        <v>302</v>
      </c>
      <c r="B18" s="11" t="s">
        <v>4428</v>
      </c>
      <c r="C18" s="16">
        <v>46000</v>
      </c>
      <c r="D18" s="12">
        <f t="shared" si="1"/>
        <v>46000</v>
      </c>
      <c r="E18" s="18" t="s">
        <v>4411</v>
      </c>
      <c r="F18" s="13" t="str">
        <f t="shared" si="0"/>
        <v>insert into ins_premium_det (premium_rcv_code,assorted_code, rec_amount,premium_rcv_detail_code,remaining_amt, payrec, mode_code,coinsurance_code,class_cd,it_remarks) values</v>
      </c>
      <c r="G18" s="14" t="str">
        <f t="shared" si="2"/>
        <v>('30Sep240040','070000164262','46000',(select max(to_number(i.premium_rcv_detail_code))+1
from ins_premium_det i),'46000','46000','02', '11000003','00','Request by Mr. Saqib Saleem 30-Sep-2024 allocation 30Sep240040');</v>
      </c>
      <c r="H18" s="15" t="str">
        <f t="shared" si="3"/>
        <v>insert into ins_premium_det (premium_rcv_code,assorted_code, rec_amount,premium_rcv_detail_code,remaining_amt, payrec, mode_code,coinsurance_code,class_cd,it_remarks) values('30Sep240040','070000164262','46000',(select max(to_number(i.premium_rcv_detail_code))+1
from ins_premium_det i),'46000','46000','02', '11000003','00','Request by Mr. Saqib Saleem 30-Sep-2024 allocation 30Sep240040');</v>
      </c>
    </row>
    <row r="19" spans="1:8" ht="90" x14ac:dyDescent="0.25">
      <c r="A19" s="10" t="s">
        <v>314</v>
      </c>
      <c r="B19" s="11" t="s">
        <v>4429</v>
      </c>
      <c r="C19" s="17">
        <v>23588</v>
      </c>
      <c r="D19" s="12">
        <f t="shared" si="1"/>
        <v>23588</v>
      </c>
      <c r="E19" s="18" t="s">
        <v>4411</v>
      </c>
      <c r="F19" s="13" t="str">
        <f t="shared" si="0"/>
        <v>insert into ins_premium_det (premium_rcv_code,assorted_code, rec_amount,premium_rcv_detail_code,remaining_amt, payrec, mode_code,coinsurance_code,class_cd,it_remarks) values</v>
      </c>
      <c r="G19" s="14" t="str">
        <f t="shared" si="2"/>
        <v>('30Sep240040','070000164269','23588',(select max(to_number(i.premium_rcv_detail_code))+1
from ins_premium_det i),'23588','23588','02', '11000003','00','Request by Mr. Saqib Saleem 30-Sep-2024 allocation 30Sep240040');</v>
      </c>
      <c r="H19" s="15" t="str">
        <f t="shared" si="3"/>
        <v>insert into ins_premium_det (premium_rcv_code,assorted_code, rec_amount,premium_rcv_detail_code,remaining_amt, payrec, mode_code,coinsurance_code,class_cd,it_remarks) values('30Sep240040','070000164269','23588',(select max(to_number(i.premium_rcv_detail_code))+1
from ins_premium_det i),'23588','23588','02', '11000003','00','Request by Mr. Saqib Saleem 30-Sep-2024 allocation 30Sep240040');</v>
      </c>
    </row>
    <row r="20" spans="1:8" ht="90" x14ac:dyDescent="0.25">
      <c r="A20" s="9" t="s">
        <v>327</v>
      </c>
      <c r="B20" s="11" t="s">
        <v>4430</v>
      </c>
      <c r="C20" s="16">
        <v>33150</v>
      </c>
      <c r="D20" s="12">
        <f t="shared" si="1"/>
        <v>33150</v>
      </c>
      <c r="E20" s="18" t="s">
        <v>4411</v>
      </c>
      <c r="F20" s="13" t="str">
        <f t="shared" si="0"/>
        <v>insert into ins_premium_det (premium_rcv_code,assorted_code, rec_amount,premium_rcv_detail_code,remaining_amt, payrec, mode_code,coinsurance_code,class_cd,it_remarks) values</v>
      </c>
      <c r="G20" s="14" t="str">
        <f t="shared" si="2"/>
        <v>('30Sep240040','070000164270','33150',(select max(to_number(i.premium_rcv_detail_code))+1
from ins_premium_det i),'33150','33150','02', '11000003','00','Request by Mr. Saqib Saleem 30-Sep-2024 allocation 30Sep240040');</v>
      </c>
      <c r="H20" s="15" t="str">
        <f t="shared" si="3"/>
        <v>insert into ins_premium_det (premium_rcv_code,assorted_code, rec_amount,premium_rcv_detail_code,remaining_amt, payrec, mode_code,coinsurance_code,class_cd,it_remarks) values('30Sep240040','070000164270','33150',(select max(to_number(i.premium_rcv_detail_code))+1
from ins_premium_det i),'33150','33150','02', '11000003','00','Request by Mr. Saqib Saleem 30-Sep-2024 allocation 30Sep240040');</v>
      </c>
    </row>
    <row r="21" spans="1:8" ht="90" x14ac:dyDescent="0.25">
      <c r="A21" s="10" t="s">
        <v>341</v>
      </c>
      <c r="B21" s="11" t="s">
        <v>4431</v>
      </c>
      <c r="C21" s="17">
        <v>42058</v>
      </c>
      <c r="D21" s="12">
        <f t="shared" si="1"/>
        <v>42058</v>
      </c>
      <c r="E21" s="18" t="s">
        <v>4411</v>
      </c>
      <c r="F21" s="13" t="str">
        <f t="shared" si="0"/>
        <v>insert into ins_premium_det (premium_rcv_code,assorted_code, rec_amount,premium_rcv_detail_code,remaining_amt, payrec, mode_code,coinsurance_code,class_cd,it_remarks) values</v>
      </c>
      <c r="G21" s="14" t="str">
        <f t="shared" si="2"/>
        <v>('30Sep240040','070000164272','42058',(select max(to_number(i.premium_rcv_detail_code))+1
from ins_premium_det i),'42058','42058','02', '11000003','00','Request by Mr. Saqib Saleem 30-Sep-2024 allocation 30Sep240040');</v>
      </c>
      <c r="H21" s="15" t="str">
        <f t="shared" si="3"/>
        <v>insert into ins_premium_det (premium_rcv_code,assorted_code, rec_amount,premium_rcv_detail_code,remaining_amt, payrec, mode_code,coinsurance_code,class_cd,it_remarks) values('30Sep240040','070000164272','42058',(select max(to_number(i.premium_rcv_detail_code))+1
from ins_premium_det i),'42058','42058','02', '11000003','00','Request by Mr. Saqib Saleem 30-Sep-2024 allocation 30Sep240040');</v>
      </c>
    </row>
    <row r="22" spans="1:8" ht="90" x14ac:dyDescent="0.25">
      <c r="A22" s="9" t="s">
        <v>353</v>
      </c>
      <c r="B22" s="11" t="s">
        <v>4432</v>
      </c>
      <c r="C22" s="16">
        <v>29699</v>
      </c>
      <c r="D22" s="12">
        <f t="shared" si="1"/>
        <v>29699</v>
      </c>
      <c r="E22" s="18" t="s">
        <v>4411</v>
      </c>
      <c r="F22" s="13" t="str">
        <f t="shared" si="0"/>
        <v>insert into ins_premium_det (premium_rcv_code,assorted_code, rec_amount,premium_rcv_detail_code,remaining_amt, payrec, mode_code,coinsurance_code,class_cd,it_remarks) values</v>
      </c>
      <c r="G22" s="14" t="str">
        <f t="shared" si="2"/>
        <v>('30Sep240040','070000164281','29699',(select max(to_number(i.premium_rcv_detail_code))+1
from ins_premium_det i),'29699','29699','02', '11000003','00','Request by Mr. Saqib Saleem 30-Sep-2024 allocation 30Sep240040');</v>
      </c>
      <c r="H22" s="15" t="str">
        <f t="shared" si="3"/>
        <v>insert into ins_premium_det (premium_rcv_code,assorted_code, rec_amount,premium_rcv_detail_code,remaining_amt, payrec, mode_code,coinsurance_code,class_cd,it_remarks) values('30Sep240040','070000164281','29699',(select max(to_number(i.premium_rcv_detail_code))+1
from ins_premium_det i),'29699','29699','02', '11000003','00','Request by Mr. Saqib Saleem 30-Sep-2024 allocation 30Sep240040');</v>
      </c>
    </row>
    <row r="23" spans="1:8" ht="90" x14ac:dyDescent="0.25">
      <c r="A23" s="10" t="s">
        <v>371</v>
      </c>
      <c r="B23" s="11" t="s">
        <v>4433</v>
      </c>
      <c r="C23" s="17">
        <v>35438</v>
      </c>
      <c r="D23" s="12">
        <f t="shared" si="1"/>
        <v>35438</v>
      </c>
      <c r="E23" s="18" t="s">
        <v>4411</v>
      </c>
      <c r="F23" s="13" t="str">
        <f t="shared" si="0"/>
        <v>insert into ins_premium_det (premium_rcv_code,assorted_code, rec_amount,premium_rcv_detail_code,remaining_amt, payrec, mode_code,coinsurance_code,class_cd,it_remarks) values</v>
      </c>
      <c r="G23" s="14" t="str">
        <f t="shared" si="2"/>
        <v>('30Sep240040','070000164286','35438',(select max(to_number(i.premium_rcv_detail_code))+1
from ins_premium_det i),'35438','35438','02', '11000003','00','Request by Mr. Saqib Saleem 30-Sep-2024 allocation 30Sep240040');</v>
      </c>
      <c r="H23" s="15" t="str">
        <f t="shared" si="3"/>
        <v>insert into ins_premium_det (premium_rcv_code,assorted_code, rec_amount,premium_rcv_detail_code,remaining_amt, payrec, mode_code,coinsurance_code,class_cd,it_remarks) values('30Sep240040','070000164286','35438',(select max(to_number(i.premium_rcv_detail_code))+1
from ins_premium_det i),'35438','35438','02', '11000003','00','Request by Mr. Saqib Saleem 30-Sep-2024 allocation 30Sep240040');</v>
      </c>
    </row>
    <row r="24" spans="1:8" ht="105" x14ac:dyDescent="0.25">
      <c r="A24" s="9" t="s">
        <v>382</v>
      </c>
      <c r="B24" s="11" t="s">
        <v>4434</v>
      </c>
      <c r="C24" s="16">
        <v>115412</v>
      </c>
      <c r="D24" s="12">
        <f t="shared" si="1"/>
        <v>115412</v>
      </c>
      <c r="E24" s="18" t="s">
        <v>4411</v>
      </c>
      <c r="F24" s="13" t="str">
        <f t="shared" si="0"/>
        <v>insert into ins_premium_det (premium_rcv_code,assorted_code, rec_amount,premium_rcv_detail_code,remaining_amt, payrec, mode_code,coinsurance_code,class_cd,it_remarks) values</v>
      </c>
      <c r="G24" s="14" t="str">
        <f t="shared" si="2"/>
        <v>('30Sep240040','070000164287','115412',(select max(to_number(i.premium_rcv_detail_code))+1
from ins_premium_det i),'115412','115412','02', '11000003','00','Request by Mr. Saqib Saleem 30-Sep-2024 allocation 30Sep240040');</v>
      </c>
      <c r="H24" s="15" t="str">
        <f t="shared" si="3"/>
        <v>insert into ins_premium_det (premium_rcv_code,assorted_code, rec_amount,premium_rcv_detail_code,remaining_amt, payrec, mode_code,coinsurance_code,class_cd,it_remarks) values('30Sep240040','070000164287','115412',(select max(to_number(i.premium_rcv_detail_code))+1
from ins_premium_det i),'115412','115412','02', '11000003','00','Request by Mr. Saqib Saleem 30-Sep-2024 allocation 30Sep240040');</v>
      </c>
    </row>
    <row r="25" spans="1:8" ht="90" x14ac:dyDescent="0.25">
      <c r="A25" s="10" t="s">
        <v>396</v>
      </c>
      <c r="B25" s="11" t="s">
        <v>4435</v>
      </c>
      <c r="C25" s="17">
        <v>28480</v>
      </c>
      <c r="D25" s="12">
        <f t="shared" si="1"/>
        <v>28480</v>
      </c>
      <c r="E25" s="18" t="s">
        <v>4411</v>
      </c>
      <c r="F25" s="13" t="str">
        <f t="shared" si="0"/>
        <v>insert into ins_premium_det (premium_rcv_code,assorted_code, rec_amount,premium_rcv_detail_code,remaining_amt, payrec, mode_code,coinsurance_code,class_cd,it_remarks) values</v>
      </c>
      <c r="G25" s="14" t="str">
        <f t="shared" si="2"/>
        <v>('30Sep240040','070000164289','28480',(select max(to_number(i.premium_rcv_detail_code))+1
from ins_premium_det i),'28480','28480','02', '11000003','00','Request by Mr. Saqib Saleem 30-Sep-2024 allocation 30Sep240040');</v>
      </c>
      <c r="H25" s="15" t="str">
        <f t="shared" si="3"/>
        <v>insert into ins_premium_det (premium_rcv_code,assorted_code, rec_amount,premium_rcv_detail_code,remaining_amt, payrec, mode_code,coinsurance_code,class_cd,it_remarks) values('30Sep240040','070000164289','28480',(select max(to_number(i.premium_rcv_detail_code))+1
from ins_premium_det i),'28480','28480','02', '11000003','00','Request by Mr. Saqib Saleem 30-Sep-2024 allocation 30Sep240040');</v>
      </c>
    </row>
    <row r="26" spans="1:8" ht="90" x14ac:dyDescent="0.25">
      <c r="A26" s="9" t="s">
        <v>411</v>
      </c>
      <c r="B26" s="11" t="s">
        <v>4436</v>
      </c>
      <c r="C26" s="16">
        <v>34080</v>
      </c>
      <c r="D26" s="12">
        <f t="shared" si="1"/>
        <v>34080</v>
      </c>
      <c r="E26" s="18" t="s">
        <v>4411</v>
      </c>
      <c r="F26" s="13" t="str">
        <f t="shared" si="0"/>
        <v>insert into ins_premium_det (premium_rcv_code,assorted_code, rec_amount,premium_rcv_detail_code,remaining_amt, payrec, mode_code,coinsurance_code,class_cd,it_remarks) values</v>
      </c>
      <c r="G26" s="14" t="str">
        <f t="shared" si="2"/>
        <v>('30Sep240040','070000164293','34080',(select max(to_number(i.premium_rcv_detail_code))+1
from ins_premium_det i),'34080','34080','02', '11000003','00','Request by Mr. Saqib Saleem 30-Sep-2024 allocation 30Sep240040');</v>
      </c>
      <c r="H26" s="15" t="str">
        <f t="shared" si="3"/>
        <v>insert into ins_premium_det (premium_rcv_code,assorted_code, rec_amount,premium_rcv_detail_code,remaining_amt, payrec, mode_code,coinsurance_code,class_cd,it_remarks) values('30Sep240040','070000164293','34080',(select max(to_number(i.premium_rcv_detail_code))+1
from ins_premium_det i),'34080','34080','02', '11000003','00','Request by Mr. Saqib Saleem 30-Sep-2024 allocation 30Sep240040');</v>
      </c>
    </row>
    <row r="27" spans="1:8" ht="90" x14ac:dyDescent="0.25">
      <c r="A27" s="10" t="s">
        <v>429</v>
      </c>
      <c r="B27" s="11" t="s">
        <v>4437</v>
      </c>
      <c r="C27" s="17">
        <v>80940</v>
      </c>
      <c r="D27" s="12">
        <f t="shared" si="1"/>
        <v>80940</v>
      </c>
      <c r="E27" s="18" t="s">
        <v>4411</v>
      </c>
      <c r="F27" s="13" t="str">
        <f t="shared" si="0"/>
        <v>insert into ins_premium_det (premium_rcv_code,assorted_code, rec_amount,premium_rcv_detail_code,remaining_amt, payrec, mode_code,coinsurance_code,class_cd,it_remarks) values</v>
      </c>
      <c r="G27" s="14" t="str">
        <f t="shared" si="2"/>
        <v>('30Sep240040','070000164296','80940',(select max(to_number(i.premium_rcv_detail_code))+1
from ins_premium_det i),'80940','80940','02', '11000003','00','Request by Mr. Saqib Saleem 30-Sep-2024 allocation 30Sep240040');</v>
      </c>
      <c r="H27" s="15" t="str">
        <f t="shared" si="3"/>
        <v>insert into ins_premium_det (premium_rcv_code,assorted_code, rec_amount,premium_rcv_detail_code,remaining_amt, payrec, mode_code,coinsurance_code,class_cd,it_remarks) values('30Sep240040','070000164296','80940',(select max(to_number(i.premium_rcv_detail_code))+1
from ins_premium_det i),'80940','80940','02', '11000003','00','Request by Mr. Saqib Saleem 30-Sep-2024 allocation 30Sep240040');</v>
      </c>
    </row>
    <row r="28" spans="1:8" ht="90" x14ac:dyDescent="0.25">
      <c r="A28" s="9" t="s">
        <v>443</v>
      </c>
      <c r="B28" s="11" t="s">
        <v>4438</v>
      </c>
      <c r="C28" s="16">
        <v>66032</v>
      </c>
      <c r="D28" s="12">
        <f t="shared" si="1"/>
        <v>66032</v>
      </c>
      <c r="E28" s="18" t="s">
        <v>4411</v>
      </c>
      <c r="F28" s="13" t="str">
        <f t="shared" si="0"/>
        <v>insert into ins_premium_det (premium_rcv_code,assorted_code, rec_amount,premium_rcv_detail_code,remaining_amt, payrec, mode_code,coinsurance_code,class_cd,it_remarks) values</v>
      </c>
      <c r="G28" s="14" t="str">
        <f t="shared" si="2"/>
        <v>('30Sep240040','070000164297','66032',(select max(to_number(i.premium_rcv_detail_code))+1
from ins_premium_det i),'66032','66032','02', '11000003','00','Request by Mr. Saqib Saleem 30-Sep-2024 allocation 30Sep240040');</v>
      </c>
      <c r="H28" s="15" t="str">
        <f t="shared" si="3"/>
        <v>insert into ins_premium_det (premium_rcv_code,assorted_code, rec_amount,premium_rcv_detail_code,remaining_amt, payrec, mode_code,coinsurance_code,class_cd,it_remarks) values('30Sep240040','070000164297','66032',(select max(to_number(i.premium_rcv_detail_code))+1
from ins_premium_det i),'66032','66032','02', '11000003','00','Request by Mr. Saqib Saleem 30-Sep-2024 allocation 30Sep240040');</v>
      </c>
    </row>
    <row r="29" spans="1:8" ht="90" x14ac:dyDescent="0.25">
      <c r="A29" s="10" t="s">
        <v>457</v>
      </c>
      <c r="B29" s="11" t="s">
        <v>4439</v>
      </c>
      <c r="C29" s="17">
        <v>27144</v>
      </c>
      <c r="D29" s="12">
        <f t="shared" si="1"/>
        <v>27144</v>
      </c>
      <c r="E29" s="18" t="s">
        <v>4411</v>
      </c>
      <c r="F29" s="13" t="str">
        <f t="shared" si="0"/>
        <v>insert into ins_premium_det (premium_rcv_code,assorted_code, rec_amount,premium_rcv_detail_code,remaining_amt, payrec, mode_code,coinsurance_code,class_cd,it_remarks) values</v>
      </c>
      <c r="G29" s="14" t="str">
        <f t="shared" si="2"/>
        <v>('30Sep240040','070000164305','27144',(select max(to_number(i.premium_rcv_detail_code))+1
from ins_premium_det i),'27144','27144','02', '11000003','00','Request by Mr. Saqib Saleem 30-Sep-2024 allocation 30Sep240040');</v>
      </c>
      <c r="H29" s="15" t="str">
        <f t="shared" si="3"/>
        <v>insert into ins_premium_det (premium_rcv_code,assorted_code, rec_amount,premium_rcv_detail_code,remaining_amt, payrec, mode_code,coinsurance_code,class_cd,it_remarks) values('30Sep240040','070000164305','27144',(select max(to_number(i.premium_rcv_detail_code))+1
from ins_premium_det i),'27144','27144','02', '11000003','00','Request by Mr. Saqib Saleem 30-Sep-2024 allocation 30Sep240040');</v>
      </c>
    </row>
    <row r="30" spans="1:8" ht="90" x14ac:dyDescent="0.25">
      <c r="A30" s="9" t="s">
        <v>470</v>
      </c>
      <c r="B30" s="11" t="s">
        <v>4440</v>
      </c>
      <c r="C30" s="16">
        <v>35063</v>
      </c>
      <c r="D30" s="12">
        <f t="shared" si="1"/>
        <v>35063</v>
      </c>
      <c r="E30" s="18" t="s">
        <v>4411</v>
      </c>
      <c r="F30" s="13" t="str">
        <f t="shared" si="0"/>
        <v>insert into ins_premium_det (premium_rcv_code,assorted_code, rec_amount,premium_rcv_detail_code,remaining_amt, payrec, mode_code,coinsurance_code,class_cd,it_remarks) values</v>
      </c>
      <c r="G30" s="14" t="str">
        <f t="shared" si="2"/>
        <v>('30Sep240040','070000164310','35063',(select max(to_number(i.premium_rcv_detail_code))+1
from ins_premium_det i),'35063','35063','02', '11000003','00','Request by Mr. Saqib Saleem 30-Sep-2024 allocation 30Sep240040');</v>
      </c>
      <c r="H30" s="15" t="str">
        <f t="shared" si="3"/>
        <v>insert into ins_premium_det (premium_rcv_code,assorted_code, rec_amount,premium_rcv_detail_code,remaining_amt, payrec, mode_code,coinsurance_code,class_cd,it_remarks) values('30Sep240040','070000164310','35063',(select max(to_number(i.premium_rcv_detail_code))+1
from ins_premium_det i),'35063','35063','02', '11000003','00','Request by Mr. Saqib Saleem 30-Sep-2024 allocation 30Sep240040');</v>
      </c>
    </row>
    <row r="31" spans="1:8" ht="90" x14ac:dyDescent="0.25">
      <c r="A31" s="10" t="s">
        <v>484</v>
      </c>
      <c r="B31" s="11" t="s">
        <v>4441</v>
      </c>
      <c r="C31" s="17">
        <v>26282</v>
      </c>
      <c r="D31" s="12">
        <f t="shared" si="1"/>
        <v>26282</v>
      </c>
      <c r="E31" s="18" t="s">
        <v>4411</v>
      </c>
      <c r="F31" s="13" t="str">
        <f t="shared" si="0"/>
        <v>insert into ins_premium_det (premium_rcv_code,assorted_code, rec_amount,premium_rcv_detail_code,remaining_amt, payrec, mode_code,coinsurance_code,class_cd,it_remarks) values</v>
      </c>
      <c r="G31" s="14" t="str">
        <f t="shared" si="2"/>
        <v>('30Sep240040','070000164317','26282',(select max(to_number(i.premium_rcv_detail_code))+1
from ins_premium_det i),'26282','26282','02', '11000003','00','Request by Mr. Saqib Saleem 30-Sep-2024 allocation 30Sep240040');</v>
      </c>
      <c r="H31" s="15" t="str">
        <f t="shared" si="3"/>
        <v>insert into ins_premium_det (premium_rcv_code,assorted_code, rec_amount,premium_rcv_detail_code,remaining_amt, payrec, mode_code,coinsurance_code,class_cd,it_remarks) values('30Sep240040','070000164317','26282',(select max(to_number(i.premium_rcv_detail_code))+1
from ins_premium_det i),'26282','26282','02', '11000003','00','Request by Mr. Saqib Saleem 30-Sep-2024 allocation 30Sep240040');</v>
      </c>
    </row>
    <row r="32" spans="1:8" ht="90" x14ac:dyDescent="0.25">
      <c r="A32" s="9" t="s">
        <v>501</v>
      </c>
      <c r="B32" s="11" t="s">
        <v>4442</v>
      </c>
      <c r="C32" s="16">
        <v>22500</v>
      </c>
      <c r="D32" s="12">
        <f t="shared" si="1"/>
        <v>22500</v>
      </c>
      <c r="E32" s="18" t="s">
        <v>4411</v>
      </c>
      <c r="F32" s="13" t="str">
        <f t="shared" si="0"/>
        <v>insert into ins_premium_det (premium_rcv_code,assorted_code, rec_amount,premium_rcv_detail_code,remaining_amt, payrec, mode_code,coinsurance_code,class_cd,it_remarks) values</v>
      </c>
      <c r="G32" s="14" t="str">
        <f t="shared" si="2"/>
        <v>('30Sep240040','070000164319','22500',(select max(to_number(i.premium_rcv_detail_code))+1
from ins_premium_det i),'22500','22500','02', '11000003','00','Request by Mr. Saqib Saleem 30-Sep-2024 allocation 30Sep240040');</v>
      </c>
      <c r="H32" s="15" t="str">
        <f t="shared" si="3"/>
        <v>insert into ins_premium_det (premium_rcv_code,assorted_code, rec_amount,premium_rcv_detail_code,remaining_amt, payrec, mode_code,coinsurance_code,class_cd,it_remarks) values('30Sep240040','070000164319','22500',(select max(to_number(i.premium_rcv_detail_code))+1
from ins_premium_det i),'22500','22500','02', '11000003','00','Request by Mr. Saqib Saleem 30-Sep-2024 allocation 30Sep240040');</v>
      </c>
    </row>
    <row r="33" spans="1:8" ht="90" x14ac:dyDescent="0.25">
      <c r="A33" s="10" t="s">
        <v>515</v>
      </c>
      <c r="B33" s="11" t="s">
        <v>4443</v>
      </c>
      <c r="C33" s="17">
        <v>29394</v>
      </c>
      <c r="D33" s="12">
        <f t="shared" si="1"/>
        <v>29394</v>
      </c>
      <c r="E33" s="18" t="s">
        <v>4411</v>
      </c>
      <c r="F33" s="13" t="str">
        <f t="shared" si="0"/>
        <v>insert into ins_premium_det (premium_rcv_code,assorted_code, rec_amount,premium_rcv_detail_code,remaining_amt, payrec, mode_code,coinsurance_code,class_cd,it_remarks) values</v>
      </c>
      <c r="G33" s="14" t="str">
        <f t="shared" si="2"/>
        <v>('30Sep240040','070000164324','29394',(select max(to_number(i.premium_rcv_detail_code))+1
from ins_premium_det i),'29394','29394','02', '11000003','00','Request by Mr. Saqib Saleem 30-Sep-2024 allocation 30Sep240040');</v>
      </c>
      <c r="H33" s="15" t="str">
        <f t="shared" si="3"/>
        <v>insert into ins_premium_det (premium_rcv_code,assorted_code, rec_amount,premium_rcv_detail_code,remaining_amt, payrec, mode_code,coinsurance_code,class_cd,it_remarks) values('30Sep240040','070000164324','29394',(select max(to_number(i.premium_rcv_detail_code))+1
from ins_premium_det i),'29394','29394','02', '11000003','00','Request by Mr. Saqib Saleem 30-Sep-2024 allocation 30Sep240040');</v>
      </c>
    </row>
    <row r="34" spans="1:8" ht="90" x14ac:dyDescent="0.25">
      <c r="A34" s="9" t="s">
        <v>527</v>
      </c>
      <c r="B34" s="11" t="s">
        <v>4444</v>
      </c>
      <c r="C34" s="16">
        <v>34080</v>
      </c>
      <c r="D34" s="12">
        <f t="shared" si="1"/>
        <v>34080</v>
      </c>
      <c r="E34" s="18" t="s">
        <v>4411</v>
      </c>
      <c r="F34" s="13" t="str">
        <f t="shared" si="0"/>
        <v>insert into ins_premium_det (premium_rcv_code,assorted_code, rec_amount,premium_rcv_detail_code,remaining_amt, payrec, mode_code,coinsurance_code,class_cd,it_remarks) values</v>
      </c>
      <c r="G34" s="14" t="str">
        <f t="shared" si="2"/>
        <v>('30Sep240040','070000164327','34080',(select max(to_number(i.premium_rcv_detail_code))+1
from ins_premium_det i),'34080','34080','02', '11000003','00','Request by Mr. Saqib Saleem 30-Sep-2024 allocation 30Sep240040');</v>
      </c>
      <c r="H34" s="15" t="str">
        <f t="shared" si="3"/>
        <v>insert into ins_premium_det (premium_rcv_code,assorted_code, rec_amount,premium_rcv_detail_code,remaining_amt, payrec, mode_code,coinsurance_code,class_cd,it_remarks) values('30Sep240040','070000164327','34080',(select max(to_number(i.premium_rcv_detail_code))+1
from ins_premium_det i),'34080','34080','02', '11000003','00','Request by Mr. Saqib Saleem 30-Sep-2024 allocation 30Sep240040');</v>
      </c>
    </row>
    <row r="35" spans="1:8" ht="90" x14ac:dyDescent="0.25">
      <c r="A35" s="10" t="s">
        <v>541</v>
      </c>
      <c r="B35" s="11" t="s">
        <v>4445</v>
      </c>
      <c r="C35" s="17">
        <v>53438</v>
      </c>
      <c r="D35" s="12">
        <f t="shared" si="1"/>
        <v>53438</v>
      </c>
      <c r="E35" s="18" t="s">
        <v>4411</v>
      </c>
      <c r="F35" s="13" t="str">
        <f t="shared" si="0"/>
        <v>insert into ins_premium_det (premium_rcv_code,assorted_code, rec_amount,premium_rcv_detail_code,remaining_amt, payrec, mode_code,coinsurance_code,class_cd,it_remarks) values</v>
      </c>
      <c r="G35" s="14" t="str">
        <f t="shared" si="2"/>
        <v>('30Sep240040','070000164329','53438',(select max(to_number(i.premium_rcv_detail_code))+1
from ins_premium_det i),'53438','53438','02', '11000003','00','Request by Mr. Saqib Saleem 30-Sep-2024 allocation 30Sep240040');</v>
      </c>
      <c r="H35" s="15" t="str">
        <f t="shared" si="3"/>
        <v>insert into ins_premium_det (premium_rcv_code,assorted_code, rec_amount,premium_rcv_detail_code,remaining_amt, payrec, mode_code,coinsurance_code,class_cd,it_remarks) values('30Sep240040','070000164329','53438',(select max(to_number(i.premium_rcv_detail_code))+1
from ins_premium_det i),'53438','53438','02', '11000003','00','Request by Mr. Saqib Saleem 30-Sep-2024 allocation 30Sep240040');</v>
      </c>
    </row>
    <row r="36" spans="1:8" ht="90" x14ac:dyDescent="0.25">
      <c r="A36" s="9" t="s">
        <v>555</v>
      </c>
      <c r="B36" s="11" t="s">
        <v>4446</v>
      </c>
      <c r="C36" s="16">
        <v>64192</v>
      </c>
      <c r="D36" s="12">
        <f t="shared" si="1"/>
        <v>64192</v>
      </c>
      <c r="E36" s="18" t="s">
        <v>4411</v>
      </c>
      <c r="F36" s="13" t="str">
        <f t="shared" si="0"/>
        <v>insert into ins_premium_det (premium_rcv_code,assorted_code, rec_amount,premium_rcv_detail_code,remaining_amt, payrec, mode_code,coinsurance_code,class_cd,it_remarks) values</v>
      </c>
      <c r="G36" s="14" t="str">
        <f t="shared" si="2"/>
        <v>('30Sep240040','070000164330','64192',(select max(to_number(i.premium_rcv_detail_code))+1
from ins_premium_det i),'64192','64192','02', '11000003','00','Request by Mr. Saqib Saleem 30-Sep-2024 allocation 30Sep240040');</v>
      </c>
      <c r="H36" s="15" t="str">
        <f t="shared" si="3"/>
        <v>insert into ins_premium_det (premium_rcv_code,assorted_code, rec_amount,premium_rcv_detail_code,remaining_amt, payrec, mode_code,coinsurance_code,class_cd,it_remarks) values('30Sep240040','070000164330','64192',(select max(to_number(i.premium_rcv_detail_code))+1
from ins_premium_det i),'64192','64192','02', '11000003','00','Request by Mr. Saqib Saleem 30-Sep-2024 allocation 30Sep240040');</v>
      </c>
    </row>
    <row r="37" spans="1:8" ht="90" x14ac:dyDescent="0.25">
      <c r="A37" s="10" t="s">
        <v>569</v>
      </c>
      <c r="B37" s="11" t="s">
        <v>4447</v>
      </c>
      <c r="C37" s="17">
        <v>54000</v>
      </c>
      <c r="D37" s="12">
        <f t="shared" si="1"/>
        <v>54000</v>
      </c>
      <c r="E37" s="18" t="s">
        <v>4411</v>
      </c>
      <c r="F37" s="13" t="str">
        <f t="shared" si="0"/>
        <v>insert into ins_premium_det (premium_rcv_code,assorted_code, rec_amount,premium_rcv_detail_code,remaining_amt, payrec, mode_code,coinsurance_code,class_cd,it_remarks) values</v>
      </c>
      <c r="G37" s="14" t="str">
        <f t="shared" si="2"/>
        <v>('30Sep240040','070000164334','54000',(select max(to_number(i.premium_rcv_detail_code))+1
from ins_premium_det i),'54000','54000','02', '11000003','00','Request by Mr. Saqib Saleem 30-Sep-2024 allocation 30Sep240040');</v>
      </c>
      <c r="H37" s="15" t="str">
        <f t="shared" si="3"/>
        <v>insert into ins_premium_det (premium_rcv_code,assorted_code, rec_amount,premium_rcv_detail_code,remaining_amt, payrec, mode_code,coinsurance_code,class_cd,it_remarks) values('30Sep240040','070000164334','54000',(select max(to_number(i.premium_rcv_detail_code))+1
from ins_premium_det i),'54000','54000','02', '11000003','00','Request by Mr. Saqib Saleem 30-Sep-2024 allocation 30Sep240040');</v>
      </c>
    </row>
    <row r="38" spans="1:8" ht="90" x14ac:dyDescent="0.25">
      <c r="A38" s="9" t="s">
        <v>582</v>
      </c>
      <c r="B38" s="11" t="s">
        <v>4448</v>
      </c>
      <c r="C38" s="16">
        <v>76286</v>
      </c>
      <c r="D38" s="12">
        <f t="shared" si="1"/>
        <v>76286</v>
      </c>
      <c r="E38" s="18" t="s">
        <v>4411</v>
      </c>
      <c r="F38" s="13" t="str">
        <f t="shared" si="0"/>
        <v>insert into ins_premium_det (premium_rcv_code,assorted_code, rec_amount,premium_rcv_detail_code,remaining_amt, payrec, mode_code,coinsurance_code,class_cd,it_remarks) values</v>
      </c>
      <c r="G38" s="14" t="str">
        <f t="shared" si="2"/>
        <v>('30Sep240040','070000164339','76286',(select max(to_number(i.premium_rcv_detail_code))+1
from ins_premium_det i),'76286','76286','02', '11000003','00','Request by Mr. Saqib Saleem 30-Sep-2024 allocation 30Sep240040');</v>
      </c>
      <c r="H38" s="15" t="str">
        <f t="shared" si="3"/>
        <v>insert into ins_premium_det (premium_rcv_code,assorted_code, rec_amount,premium_rcv_detail_code,remaining_amt, payrec, mode_code,coinsurance_code,class_cd,it_remarks) values('30Sep240040','070000164339','76286',(select max(to_number(i.premium_rcv_detail_code))+1
from ins_premium_det i),'76286','76286','02', '11000003','00','Request by Mr. Saqib Saleem 30-Sep-2024 allocation 30Sep240040');</v>
      </c>
    </row>
    <row r="39" spans="1:8" ht="90" x14ac:dyDescent="0.25">
      <c r="A39" s="10" t="s">
        <v>594</v>
      </c>
      <c r="B39" s="11" t="s">
        <v>4449</v>
      </c>
      <c r="C39" s="17">
        <v>84983</v>
      </c>
      <c r="D39" s="12">
        <f t="shared" si="1"/>
        <v>84983</v>
      </c>
      <c r="E39" s="18" t="s">
        <v>4411</v>
      </c>
      <c r="F39" s="13" t="str">
        <f t="shared" si="0"/>
        <v>insert into ins_premium_det (premium_rcv_code,assorted_code, rec_amount,premium_rcv_detail_code,remaining_amt, payrec, mode_code,coinsurance_code,class_cd,it_remarks) values</v>
      </c>
      <c r="G39" s="14" t="str">
        <f t="shared" si="2"/>
        <v>('30Sep240040','070000164341','84983',(select max(to_number(i.premium_rcv_detail_code))+1
from ins_premium_det i),'84983','84983','02', '11000003','00','Request by Mr. Saqib Saleem 30-Sep-2024 allocation 30Sep240040');</v>
      </c>
      <c r="H39" s="15" t="str">
        <f t="shared" si="3"/>
        <v>insert into ins_premium_det (premium_rcv_code,assorted_code, rec_amount,premium_rcv_detail_code,remaining_amt, payrec, mode_code,coinsurance_code,class_cd,it_remarks) values('30Sep240040','070000164341','84983',(select max(to_number(i.premium_rcv_detail_code))+1
from ins_premium_det i),'84983','84983','02', '11000003','00','Request by Mr. Saqib Saleem 30-Sep-2024 allocation 30Sep240040');</v>
      </c>
    </row>
    <row r="40" spans="1:8" ht="90" x14ac:dyDescent="0.25">
      <c r="A40" s="9" t="s">
        <v>609</v>
      </c>
      <c r="B40" s="11" t="s">
        <v>4450</v>
      </c>
      <c r="C40" s="16">
        <v>34425</v>
      </c>
      <c r="D40" s="12">
        <f t="shared" si="1"/>
        <v>34425</v>
      </c>
      <c r="E40" s="18" t="s">
        <v>4411</v>
      </c>
      <c r="F40" s="13" t="str">
        <f t="shared" si="0"/>
        <v>insert into ins_premium_det (premium_rcv_code,assorted_code, rec_amount,premium_rcv_detail_code,remaining_amt, payrec, mode_code,coinsurance_code,class_cd,it_remarks) values</v>
      </c>
      <c r="G40" s="14" t="str">
        <f t="shared" si="2"/>
        <v>('30Sep240040','070000164342','34425',(select max(to_number(i.premium_rcv_detail_code))+1
from ins_premium_det i),'34425','34425','02', '11000003','00','Request by Mr. Saqib Saleem 30-Sep-2024 allocation 30Sep240040');</v>
      </c>
      <c r="H40" s="15" t="str">
        <f t="shared" si="3"/>
        <v>insert into ins_premium_det (premium_rcv_code,assorted_code, rec_amount,premium_rcv_detail_code,remaining_amt, payrec, mode_code,coinsurance_code,class_cd,it_remarks) values('30Sep240040','070000164342','34425',(select max(to_number(i.premium_rcv_detail_code))+1
from ins_premium_det i),'34425','34425','02', '11000003','00','Request by Mr. Saqib Saleem 30-Sep-2024 allocation 30Sep240040');</v>
      </c>
    </row>
    <row r="41" spans="1:8" ht="90" x14ac:dyDescent="0.25">
      <c r="A41" s="10" t="s">
        <v>621</v>
      </c>
      <c r="B41" s="11" t="s">
        <v>4451</v>
      </c>
      <c r="C41" s="17">
        <v>25500</v>
      </c>
      <c r="D41" s="12">
        <f t="shared" si="1"/>
        <v>25500</v>
      </c>
      <c r="E41" s="18" t="s">
        <v>4411</v>
      </c>
      <c r="F41" s="13" t="str">
        <f t="shared" si="0"/>
        <v>insert into ins_premium_det (premium_rcv_code,assorted_code, rec_amount,premium_rcv_detail_code,remaining_amt, payrec, mode_code,coinsurance_code,class_cd,it_remarks) values</v>
      </c>
      <c r="G41" s="14" t="str">
        <f t="shared" si="2"/>
        <v>('30Sep240040','070000164343','25500',(select max(to_number(i.premium_rcv_detail_code))+1
from ins_premium_det i),'25500','25500','02', '11000003','00','Request by Mr. Saqib Saleem 30-Sep-2024 allocation 30Sep240040');</v>
      </c>
      <c r="H41" s="15" t="str">
        <f t="shared" si="3"/>
        <v>insert into ins_premium_det (premium_rcv_code,assorted_code, rec_amount,premium_rcv_detail_code,remaining_amt, payrec, mode_code,coinsurance_code,class_cd,it_remarks) values('30Sep240040','070000164343','25500',(select max(to_number(i.premium_rcv_detail_code))+1
from ins_premium_det i),'25500','25500','02', '11000003','00','Request by Mr. Saqib Saleem 30-Sep-2024 allocation 30Sep240040');</v>
      </c>
    </row>
    <row r="42" spans="1:8" ht="90" x14ac:dyDescent="0.25">
      <c r="A42" s="9" t="s">
        <v>633</v>
      </c>
      <c r="B42" s="11" t="s">
        <v>4452</v>
      </c>
      <c r="C42" s="16">
        <v>34425</v>
      </c>
      <c r="D42" s="12">
        <f t="shared" si="1"/>
        <v>34425</v>
      </c>
      <c r="E42" s="18" t="s">
        <v>4411</v>
      </c>
      <c r="F42" s="13" t="str">
        <f t="shared" si="0"/>
        <v>insert into ins_premium_det (premium_rcv_code,assorted_code, rec_amount,premium_rcv_detail_code,remaining_amt, payrec, mode_code,coinsurance_code,class_cd,it_remarks) values</v>
      </c>
      <c r="G42" s="14" t="str">
        <f t="shared" si="2"/>
        <v>('30Sep240040','070000164344','34425',(select max(to_number(i.premium_rcv_detail_code))+1
from ins_premium_det i),'34425','34425','02', '11000003','00','Request by Mr. Saqib Saleem 30-Sep-2024 allocation 30Sep240040');</v>
      </c>
      <c r="H42" s="15" t="str">
        <f t="shared" si="3"/>
        <v>insert into ins_premium_det (premium_rcv_code,assorted_code, rec_amount,premium_rcv_detail_code,remaining_amt, payrec, mode_code,coinsurance_code,class_cd,it_remarks) values('30Sep240040','070000164344','34425',(select max(to_number(i.premium_rcv_detail_code))+1
from ins_premium_det i),'34425','34425','02', '11000003','00','Request by Mr. Saqib Saleem 30-Sep-2024 allocation 30Sep240040');</v>
      </c>
    </row>
    <row r="43" spans="1:8" ht="90" x14ac:dyDescent="0.25">
      <c r="A43" s="10" t="s">
        <v>649</v>
      </c>
      <c r="B43" s="11" t="s">
        <v>4453</v>
      </c>
      <c r="C43" s="17">
        <v>21000</v>
      </c>
      <c r="D43" s="12">
        <f t="shared" si="1"/>
        <v>21000</v>
      </c>
      <c r="E43" s="18" t="s">
        <v>4411</v>
      </c>
      <c r="F43" s="13" t="str">
        <f t="shared" si="0"/>
        <v>insert into ins_premium_det (premium_rcv_code,assorted_code, rec_amount,premium_rcv_detail_code,remaining_amt, payrec, mode_code,coinsurance_code,class_cd,it_remarks) values</v>
      </c>
      <c r="G43" s="14" t="str">
        <f t="shared" si="2"/>
        <v>('30Sep240040','070000164383','21000',(select max(to_number(i.premium_rcv_detail_code))+1
from ins_premium_det i),'21000','21000','02', '11000003','00','Request by Mr. Saqib Saleem 30-Sep-2024 allocation 30Sep240040');</v>
      </c>
      <c r="H43" s="15" t="str">
        <f t="shared" si="3"/>
        <v>insert into ins_premium_det (premium_rcv_code,assorted_code, rec_amount,premium_rcv_detail_code,remaining_amt, payrec, mode_code,coinsurance_code,class_cd,it_remarks) values('30Sep240040','070000164383','21000',(select max(to_number(i.premium_rcv_detail_code))+1
from ins_premium_det i),'21000','21000','02', '11000003','00','Request by Mr. Saqib Saleem 30-Sep-2024 allocation 30Sep240040');</v>
      </c>
    </row>
    <row r="44" spans="1:8" ht="90" x14ac:dyDescent="0.25">
      <c r="A44" s="9" t="s">
        <v>668</v>
      </c>
      <c r="B44" s="11" t="s">
        <v>4454</v>
      </c>
      <c r="C44" s="16">
        <v>38780</v>
      </c>
      <c r="D44" s="12">
        <f t="shared" si="1"/>
        <v>38780</v>
      </c>
      <c r="E44" s="18" t="s">
        <v>4411</v>
      </c>
      <c r="F44" s="13" t="str">
        <f t="shared" si="0"/>
        <v>insert into ins_premium_det (premium_rcv_code,assorted_code, rec_amount,premium_rcv_detail_code,remaining_amt, payrec, mode_code,coinsurance_code,class_cd,it_remarks) values</v>
      </c>
      <c r="G44" s="14" t="str">
        <f t="shared" si="2"/>
        <v>('30Sep240040','070000164385','38780',(select max(to_number(i.premium_rcv_detail_code))+1
from ins_premium_det i),'38780','38780','02', '11000003','00','Request by Mr. Saqib Saleem 30-Sep-2024 allocation 30Sep240040');</v>
      </c>
      <c r="H44" s="15" t="str">
        <f t="shared" si="3"/>
        <v>insert into ins_premium_det (premium_rcv_code,assorted_code, rec_amount,premium_rcv_detail_code,remaining_amt, payrec, mode_code,coinsurance_code,class_cd,it_remarks) values('30Sep240040','070000164385','38780',(select max(to_number(i.premium_rcv_detail_code))+1
from ins_premium_det i),'38780','38780','02', '11000003','00','Request by Mr. Saqib Saleem 30-Sep-2024 allocation 30Sep240040');</v>
      </c>
    </row>
    <row r="45" spans="1:8" ht="90" x14ac:dyDescent="0.25">
      <c r="A45" s="10" t="s">
        <v>681</v>
      </c>
      <c r="B45" s="11" t="s">
        <v>4455</v>
      </c>
      <c r="C45" s="17">
        <v>81140</v>
      </c>
      <c r="D45" s="12">
        <f t="shared" si="1"/>
        <v>81140</v>
      </c>
      <c r="E45" s="18" t="s">
        <v>4411</v>
      </c>
      <c r="F45" s="13" t="str">
        <f t="shared" si="0"/>
        <v>insert into ins_premium_det (premium_rcv_code,assorted_code, rec_amount,premium_rcv_detail_code,remaining_amt, payrec, mode_code,coinsurance_code,class_cd,it_remarks) values</v>
      </c>
      <c r="G45" s="14" t="str">
        <f t="shared" si="2"/>
        <v>('30Sep240040','070000164388','81140',(select max(to_number(i.premium_rcv_detail_code))+1
from ins_premium_det i),'81140','81140','02', '11000003','00','Request by Mr. Saqib Saleem 30-Sep-2024 allocation 30Sep240040');</v>
      </c>
      <c r="H45" s="15" t="str">
        <f t="shared" si="3"/>
        <v>insert into ins_premium_det (premium_rcv_code,assorted_code, rec_amount,premium_rcv_detail_code,remaining_amt, payrec, mode_code,coinsurance_code,class_cd,it_remarks) values('30Sep240040','070000164388','81140',(select max(to_number(i.premium_rcv_detail_code))+1
from ins_premium_det i),'81140','81140','02', '11000003','00','Request by Mr. Saqib Saleem 30-Sep-2024 allocation 30Sep240040');</v>
      </c>
    </row>
    <row r="46" spans="1:8" ht="90" x14ac:dyDescent="0.25">
      <c r="A46" s="9" t="s">
        <v>694</v>
      </c>
      <c r="B46" s="11" t="s">
        <v>4456</v>
      </c>
      <c r="C46" s="16">
        <v>51225</v>
      </c>
      <c r="D46" s="12">
        <f t="shared" si="1"/>
        <v>51225</v>
      </c>
      <c r="E46" s="18" t="s">
        <v>4411</v>
      </c>
      <c r="F46" s="13" t="str">
        <f t="shared" si="0"/>
        <v>insert into ins_premium_det (premium_rcv_code,assorted_code, rec_amount,premium_rcv_detail_code,remaining_amt, payrec, mode_code,coinsurance_code,class_cd,it_remarks) values</v>
      </c>
      <c r="G46" s="14" t="str">
        <f t="shared" si="2"/>
        <v>('30Sep240040','070000164389','51225',(select max(to_number(i.premium_rcv_detail_code))+1
from ins_premium_det i),'51225','51225','02', '11000003','00','Request by Mr. Saqib Saleem 30-Sep-2024 allocation 30Sep240040');</v>
      </c>
      <c r="H46" s="15" t="str">
        <f t="shared" si="3"/>
        <v>insert into ins_premium_det (premium_rcv_code,assorted_code, rec_amount,premium_rcv_detail_code,remaining_amt, payrec, mode_code,coinsurance_code,class_cd,it_remarks) values('30Sep240040','070000164389','51225',(select max(to_number(i.premium_rcv_detail_code))+1
from ins_premium_det i),'51225','51225','02', '11000003','00','Request by Mr. Saqib Saleem 30-Sep-2024 allocation 30Sep240040');</v>
      </c>
    </row>
    <row r="47" spans="1:8" ht="90" x14ac:dyDescent="0.25">
      <c r="A47" s="10" t="s">
        <v>706</v>
      </c>
      <c r="B47" s="11" t="s">
        <v>4457</v>
      </c>
      <c r="C47" s="17">
        <v>83318</v>
      </c>
      <c r="D47" s="12">
        <f t="shared" si="1"/>
        <v>83318</v>
      </c>
      <c r="E47" s="18" t="s">
        <v>4411</v>
      </c>
      <c r="F47" s="13" t="str">
        <f t="shared" si="0"/>
        <v>insert into ins_premium_det (premium_rcv_code,assorted_code, rec_amount,premium_rcv_detail_code,remaining_amt, payrec, mode_code,coinsurance_code,class_cd,it_remarks) values</v>
      </c>
      <c r="G47" s="14" t="str">
        <f t="shared" si="2"/>
        <v>('30Sep240040','070000164391','83318',(select max(to_number(i.premium_rcv_detail_code))+1
from ins_premium_det i),'83318','83318','02', '11000003','00','Request by Mr. Saqib Saleem 30-Sep-2024 allocation 30Sep240040');</v>
      </c>
      <c r="H47" s="15" t="str">
        <f t="shared" si="3"/>
        <v>insert into ins_premium_det (premium_rcv_code,assorted_code, rec_amount,premium_rcv_detail_code,remaining_amt, payrec, mode_code,coinsurance_code,class_cd,it_remarks) values('30Sep240040','070000164391','83318',(select max(to_number(i.premium_rcv_detail_code))+1
from ins_premium_det i),'83318','83318','02', '11000003','00','Request by Mr. Saqib Saleem 30-Sep-2024 allocation 30Sep240040');</v>
      </c>
    </row>
    <row r="48" spans="1:8" ht="90" x14ac:dyDescent="0.25">
      <c r="A48" s="9" t="s">
        <v>725</v>
      </c>
      <c r="B48" s="11" t="s">
        <v>4458</v>
      </c>
      <c r="C48" s="16">
        <v>16125</v>
      </c>
      <c r="D48" s="12">
        <f t="shared" si="1"/>
        <v>16125</v>
      </c>
      <c r="E48" s="18" t="s">
        <v>4411</v>
      </c>
      <c r="F48" s="13" t="str">
        <f t="shared" si="0"/>
        <v>insert into ins_premium_det (premium_rcv_code,assorted_code, rec_amount,premium_rcv_detail_code,remaining_amt, payrec, mode_code,coinsurance_code,class_cd,it_remarks) values</v>
      </c>
      <c r="G48" s="14" t="str">
        <f t="shared" si="2"/>
        <v>('30Sep240040','070000164215','16125',(select max(to_number(i.premium_rcv_detail_code))+1
from ins_premium_det i),'16125','16125','02', '11000003','00','Request by Mr. Saqib Saleem 30-Sep-2024 allocation 30Sep240040');</v>
      </c>
      <c r="H48" s="15" t="str">
        <f t="shared" si="3"/>
        <v>insert into ins_premium_det (premium_rcv_code,assorted_code, rec_amount,premium_rcv_detail_code,remaining_amt, payrec, mode_code,coinsurance_code,class_cd,it_remarks) values('30Sep240040','070000164215','16125',(select max(to_number(i.premium_rcv_detail_code))+1
from ins_premium_det i),'16125','16125','02', '11000003','00','Request by Mr. Saqib Saleem 30-Sep-2024 allocation 30Sep240040');</v>
      </c>
    </row>
    <row r="49" spans="1:8" ht="90" x14ac:dyDescent="0.25">
      <c r="A49" s="10" t="s">
        <v>744</v>
      </c>
      <c r="B49" s="11" t="s">
        <v>4459</v>
      </c>
      <c r="C49" s="17">
        <v>23719</v>
      </c>
      <c r="D49" s="12">
        <f t="shared" si="1"/>
        <v>23719</v>
      </c>
      <c r="E49" s="18" t="s">
        <v>4411</v>
      </c>
      <c r="F49" s="13" t="str">
        <f t="shared" si="0"/>
        <v>insert into ins_premium_det (premium_rcv_code,assorted_code, rec_amount,premium_rcv_detail_code,remaining_amt, payrec, mode_code,coinsurance_code,class_cd,it_remarks) values</v>
      </c>
      <c r="G49" s="14" t="str">
        <f t="shared" si="2"/>
        <v>('30Sep240040','070000164216','23719',(select max(to_number(i.premium_rcv_detail_code))+1
from ins_premium_det i),'23719','23719','02', '11000003','00','Request by Mr. Saqib Saleem 30-Sep-2024 allocation 30Sep240040');</v>
      </c>
      <c r="H49" s="15" t="str">
        <f t="shared" si="3"/>
        <v>insert into ins_premium_det (premium_rcv_code,assorted_code, rec_amount,premium_rcv_detail_code,remaining_amt, payrec, mode_code,coinsurance_code,class_cd,it_remarks) values('30Sep240040','070000164216','23719',(select max(to_number(i.premium_rcv_detail_code))+1
from ins_premium_det i),'23719','23719','02', '11000003','00','Request by Mr. Saqib Saleem 30-Sep-2024 allocation 30Sep240040');</v>
      </c>
    </row>
    <row r="50" spans="1:8" ht="90" x14ac:dyDescent="0.25">
      <c r="A50" s="9" t="s">
        <v>759</v>
      </c>
      <c r="B50" s="11" t="s">
        <v>4460</v>
      </c>
      <c r="C50" s="16">
        <v>26240</v>
      </c>
      <c r="D50" s="12">
        <f t="shared" si="1"/>
        <v>26240</v>
      </c>
      <c r="E50" s="18" t="s">
        <v>4411</v>
      </c>
      <c r="F50" s="13" t="str">
        <f t="shared" si="0"/>
        <v>insert into ins_premium_det (premium_rcv_code,assorted_code, rec_amount,premium_rcv_detail_code,remaining_amt, payrec, mode_code,coinsurance_code,class_cd,it_remarks) values</v>
      </c>
      <c r="G50" s="14" t="str">
        <f t="shared" si="2"/>
        <v>('30Sep240040','070000164403','26240',(select max(to_number(i.premium_rcv_detail_code))+1
from ins_premium_det i),'26240','26240','02', '11000003','00','Request by Mr. Saqib Saleem 30-Sep-2024 allocation 30Sep240040');</v>
      </c>
      <c r="H50" s="15" t="str">
        <f t="shared" si="3"/>
        <v>insert into ins_premium_det (premium_rcv_code,assorted_code, rec_amount,premium_rcv_detail_code,remaining_amt, payrec, mode_code,coinsurance_code,class_cd,it_remarks) values('30Sep240040','070000164403','26240',(select max(to_number(i.premium_rcv_detail_code))+1
from ins_premium_det i),'26240','26240','02', '11000003','00','Request by Mr. Saqib Saleem 30-Sep-2024 allocation 30Sep240040');</v>
      </c>
    </row>
    <row r="51" spans="1:8" ht="90" x14ac:dyDescent="0.25">
      <c r="A51" s="10" t="s">
        <v>776</v>
      </c>
      <c r="B51" s="11" t="s">
        <v>4461</v>
      </c>
      <c r="C51" s="17">
        <v>36750</v>
      </c>
      <c r="D51" s="12">
        <f t="shared" si="1"/>
        <v>36750</v>
      </c>
      <c r="E51" s="18" t="s">
        <v>4411</v>
      </c>
      <c r="F51" s="13" t="str">
        <f t="shared" si="0"/>
        <v>insert into ins_premium_det (premium_rcv_code,assorted_code, rec_amount,premium_rcv_detail_code,remaining_amt, payrec, mode_code,coinsurance_code,class_cd,it_remarks) values</v>
      </c>
      <c r="G51" s="14" t="str">
        <f t="shared" si="2"/>
        <v>('30Sep240040','070000164219','36750',(select max(to_number(i.premium_rcv_detail_code))+1
from ins_premium_det i),'36750','36750','02', '11000003','00','Request by Mr. Saqib Saleem 30-Sep-2024 allocation 30Sep240040');</v>
      </c>
      <c r="H51" s="15" t="str">
        <f t="shared" si="3"/>
        <v>insert into ins_premium_det (premium_rcv_code,assorted_code, rec_amount,premium_rcv_detail_code,remaining_amt, payrec, mode_code,coinsurance_code,class_cd,it_remarks) values('30Sep240040','070000164219','36750',(select max(to_number(i.premium_rcv_detail_code))+1
from ins_premium_det i),'36750','36750','02', '11000003','00','Request by Mr. Saqib Saleem 30-Sep-2024 allocation 30Sep240040');</v>
      </c>
    </row>
    <row r="52" spans="1:8" ht="90" x14ac:dyDescent="0.25">
      <c r="A52" s="9" t="s">
        <v>792</v>
      </c>
      <c r="B52" s="11" t="s">
        <v>4462</v>
      </c>
      <c r="C52" s="16">
        <v>10313</v>
      </c>
      <c r="D52" s="12">
        <f t="shared" si="1"/>
        <v>10313</v>
      </c>
      <c r="E52" s="18" t="s">
        <v>4411</v>
      </c>
      <c r="F52" s="13" t="str">
        <f t="shared" si="0"/>
        <v>insert into ins_premium_det (premium_rcv_code,assorted_code, rec_amount,premium_rcv_detail_code,remaining_amt, payrec, mode_code,coinsurance_code,class_cd,it_remarks) values</v>
      </c>
      <c r="G52" s="14" t="str">
        <f t="shared" si="2"/>
        <v>('30Sep240040','070000164221','10313',(select max(to_number(i.premium_rcv_detail_code))+1
from ins_premium_det i),'10313','10313','02', '11000003','00','Request by Mr. Saqib Saleem 30-Sep-2024 allocation 30Sep240040');</v>
      </c>
      <c r="H52" s="15" t="str">
        <f t="shared" si="3"/>
        <v>insert into ins_premium_det (premium_rcv_code,assorted_code, rec_amount,premium_rcv_detail_code,remaining_amt, payrec, mode_code,coinsurance_code,class_cd,it_remarks) values('30Sep240040','070000164221','10313',(select max(to_number(i.premium_rcv_detail_code))+1
from ins_premium_det i),'10313','10313','02', '11000003','00','Request by Mr. Saqib Saleem 30-Sep-2024 allocation 30Sep240040');</v>
      </c>
    </row>
    <row r="53" spans="1:8" ht="90" x14ac:dyDescent="0.25">
      <c r="A53" s="10" t="s">
        <v>805</v>
      </c>
      <c r="B53" s="11" t="s">
        <v>4463</v>
      </c>
      <c r="C53" s="17">
        <v>30864</v>
      </c>
      <c r="D53" s="12">
        <f t="shared" si="1"/>
        <v>30864</v>
      </c>
      <c r="E53" s="18" t="s">
        <v>4411</v>
      </c>
      <c r="F53" s="13" t="str">
        <f t="shared" si="0"/>
        <v>insert into ins_premium_det (premium_rcv_code,assorted_code, rec_amount,premium_rcv_detail_code,remaining_amt, payrec, mode_code,coinsurance_code,class_cd,it_remarks) values</v>
      </c>
      <c r="G53" s="14" t="str">
        <f t="shared" si="2"/>
        <v>('30Sep240040','070000164407','30864',(select max(to_number(i.premium_rcv_detail_code))+1
from ins_premium_det i),'30864','30864','02', '11000003','00','Request by Mr. Saqib Saleem 30-Sep-2024 allocation 30Sep240040');</v>
      </c>
      <c r="H53" s="15" t="str">
        <f t="shared" si="3"/>
        <v>insert into ins_premium_det (premium_rcv_code,assorted_code, rec_amount,premium_rcv_detail_code,remaining_amt, payrec, mode_code,coinsurance_code,class_cd,it_remarks) values('30Sep240040','070000164407','30864',(select max(to_number(i.premium_rcv_detail_code))+1
from ins_premium_det i),'30864','30864','02', '11000003','00','Request by Mr. Saqib Saleem 30-Sep-2024 allocation 30Sep240040');</v>
      </c>
    </row>
    <row r="54" spans="1:8" ht="90" x14ac:dyDescent="0.25">
      <c r="A54" s="9" t="s">
        <v>818</v>
      </c>
      <c r="B54" s="11" t="s">
        <v>4464</v>
      </c>
      <c r="C54" s="16">
        <v>63920</v>
      </c>
      <c r="D54" s="12">
        <f t="shared" si="1"/>
        <v>63920</v>
      </c>
      <c r="E54" s="18" t="s">
        <v>4411</v>
      </c>
      <c r="F54" s="13" t="str">
        <f t="shared" si="0"/>
        <v>insert into ins_premium_det (premium_rcv_code,assorted_code, rec_amount,premium_rcv_detail_code,remaining_amt, payrec, mode_code,coinsurance_code,class_cd,it_remarks) values</v>
      </c>
      <c r="G54" s="14" t="str">
        <f t="shared" si="2"/>
        <v>('30Sep240040','070000164410','63920',(select max(to_number(i.premium_rcv_detail_code))+1
from ins_premium_det i),'63920','63920','02', '11000003','00','Request by Mr. Saqib Saleem 30-Sep-2024 allocation 30Sep240040');</v>
      </c>
      <c r="H54" s="15" t="str">
        <f t="shared" si="3"/>
        <v>insert into ins_premium_det (premium_rcv_code,assorted_code, rec_amount,premium_rcv_detail_code,remaining_amt, payrec, mode_code,coinsurance_code,class_cd,it_remarks) values('30Sep240040','070000164410','63920',(select max(to_number(i.premium_rcv_detail_code))+1
from ins_premium_det i),'63920','63920','02', '11000003','00','Request by Mr. Saqib Saleem 30-Sep-2024 allocation 30Sep240040');</v>
      </c>
    </row>
    <row r="55" spans="1:8" ht="90" x14ac:dyDescent="0.25">
      <c r="A55" s="10" t="s">
        <v>834</v>
      </c>
      <c r="B55" s="11" t="s">
        <v>4465</v>
      </c>
      <c r="C55" s="17">
        <v>33948</v>
      </c>
      <c r="D55" s="12">
        <f t="shared" si="1"/>
        <v>33948</v>
      </c>
      <c r="E55" s="18" t="s">
        <v>4411</v>
      </c>
      <c r="F55" s="13" t="str">
        <f t="shared" si="0"/>
        <v>insert into ins_premium_det (premium_rcv_code,assorted_code, rec_amount,premium_rcv_detail_code,remaining_amt, payrec, mode_code,coinsurance_code,class_cd,it_remarks) values</v>
      </c>
      <c r="G55" s="14" t="str">
        <f t="shared" si="2"/>
        <v>('30Sep240040','070000164222','33948',(select max(to_number(i.premium_rcv_detail_code))+1
from ins_premium_det i),'33948','33948','02', '11000003','00','Request by Mr. Saqib Saleem 30-Sep-2024 allocation 30Sep240040');</v>
      </c>
      <c r="H55" s="15" t="str">
        <f t="shared" si="3"/>
        <v>insert into ins_premium_det (premium_rcv_code,assorted_code, rec_amount,premium_rcv_detail_code,remaining_amt, payrec, mode_code,coinsurance_code,class_cd,it_remarks) values('30Sep240040','070000164222','33948',(select max(to_number(i.premium_rcv_detail_code))+1
from ins_premium_det i),'33948','33948','02', '11000003','00','Request by Mr. Saqib Saleem 30-Sep-2024 allocation 30Sep240040');</v>
      </c>
    </row>
    <row r="56" spans="1:8" ht="90" x14ac:dyDescent="0.25">
      <c r="A56" s="9" t="s">
        <v>847</v>
      </c>
      <c r="B56" s="11" t="s">
        <v>4466</v>
      </c>
      <c r="C56" s="16">
        <v>18144</v>
      </c>
      <c r="D56" s="12">
        <f t="shared" si="1"/>
        <v>18144</v>
      </c>
      <c r="E56" s="18" t="s">
        <v>4411</v>
      </c>
      <c r="F56" s="13" t="str">
        <f t="shared" si="0"/>
        <v>insert into ins_premium_det (premium_rcv_code,assorted_code, rec_amount,premium_rcv_detail_code,remaining_amt, payrec, mode_code,coinsurance_code,class_cd,it_remarks) values</v>
      </c>
      <c r="G56" s="14" t="str">
        <f t="shared" si="2"/>
        <v>('30Sep240040','070000164412','18144',(select max(to_number(i.premium_rcv_detail_code))+1
from ins_premium_det i),'18144','18144','02', '11000003','00','Request by Mr. Saqib Saleem 30-Sep-2024 allocation 30Sep240040');</v>
      </c>
      <c r="H56" s="15" t="str">
        <f t="shared" si="3"/>
        <v>insert into ins_premium_det (premium_rcv_code,assorted_code, rec_amount,premium_rcv_detail_code,remaining_amt, payrec, mode_code,coinsurance_code,class_cd,it_remarks) values('30Sep240040','070000164412','18144',(select max(to_number(i.premium_rcv_detail_code))+1
from ins_premium_det i),'18144','18144','02', '11000003','00','Request by Mr. Saqib Saleem 30-Sep-2024 allocation 30Sep240040');</v>
      </c>
    </row>
    <row r="57" spans="1:8" ht="90" x14ac:dyDescent="0.25">
      <c r="A57" s="10" t="s">
        <v>862</v>
      </c>
      <c r="B57" s="11" t="s">
        <v>4467</v>
      </c>
      <c r="C57" s="17">
        <v>76286</v>
      </c>
      <c r="D57" s="12">
        <f t="shared" si="1"/>
        <v>76286</v>
      </c>
      <c r="E57" s="18" t="s">
        <v>4411</v>
      </c>
      <c r="F57" s="13" t="str">
        <f t="shared" si="0"/>
        <v>insert into ins_premium_det (premium_rcv_code,assorted_code, rec_amount,premium_rcv_detail_code,remaining_amt, payrec, mode_code,coinsurance_code,class_cd,it_remarks) values</v>
      </c>
      <c r="G57" s="14" t="str">
        <f t="shared" si="2"/>
        <v>('30Sep240040','070000164223','76286',(select max(to_number(i.premium_rcv_detail_code))+1
from ins_premium_det i),'76286','76286','02', '11000003','00','Request by Mr. Saqib Saleem 30-Sep-2024 allocation 30Sep240040');</v>
      </c>
      <c r="H57" s="15" t="str">
        <f t="shared" si="3"/>
        <v>insert into ins_premium_det (premium_rcv_code,assorted_code, rec_amount,premium_rcv_detail_code,remaining_amt, payrec, mode_code,coinsurance_code,class_cd,it_remarks) values('30Sep240040','070000164223','76286',(select max(to_number(i.premium_rcv_detail_code))+1
from ins_premium_det i),'76286','76286','02', '11000003','00','Request by Mr. Saqib Saleem 30-Sep-2024 allocation 30Sep240040');</v>
      </c>
    </row>
    <row r="58" spans="1:8" ht="90" x14ac:dyDescent="0.25">
      <c r="A58" s="9" t="s">
        <v>878</v>
      </c>
      <c r="B58" s="11" t="s">
        <v>4468</v>
      </c>
      <c r="C58" s="16">
        <v>48080</v>
      </c>
      <c r="D58" s="12">
        <f t="shared" si="1"/>
        <v>48080</v>
      </c>
      <c r="E58" s="18" t="s">
        <v>4411</v>
      </c>
      <c r="F58" s="13" t="str">
        <f t="shared" si="0"/>
        <v>insert into ins_premium_det (premium_rcv_code,assorted_code, rec_amount,premium_rcv_detail_code,remaining_amt, payrec, mode_code,coinsurance_code,class_cd,it_remarks) values</v>
      </c>
      <c r="G58" s="14" t="str">
        <f t="shared" si="2"/>
        <v>('30Sep240040','070000164224','48080',(select max(to_number(i.premium_rcv_detail_code))+1
from ins_premium_det i),'48080','48080','02', '11000003','00','Request by Mr. Saqib Saleem 30-Sep-2024 allocation 30Sep240040');</v>
      </c>
      <c r="H58" s="15" t="str">
        <f t="shared" si="3"/>
        <v>insert into ins_premium_det (premium_rcv_code,assorted_code, rec_amount,premium_rcv_detail_code,remaining_amt, payrec, mode_code,coinsurance_code,class_cd,it_remarks) values('30Sep240040','070000164224','48080',(select max(to_number(i.premium_rcv_detail_code))+1
from ins_premium_det i),'48080','48080','02', '11000003','00','Request by Mr. Saqib Saleem 30-Sep-2024 allocation 30Sep240040');</v>
      </c>
    </row>
    <row r="59" spans="1:8" ht="90" x14ac:dyDescent="0.25">
      <c r="A59" s="10" t="s">
        <v>892</v>
      </c>
      <c r="B59" s="11" t="s">
        <v>4469</v>
      </c>
      <c r="C59" s="17">
        <v>48528</v>
      </c>
      <c r="D59" s="12">
        <f t="shared" si="1"/>
        <v>48528</v>
      </c>
      <c r="E59" s="18" t="s">
        <v>4411</v>
      </c>
      <c r="F59" s="13" t="str">
        <f t="shared" si="0"/>
        <v>insert into ins_premium_det (premium_rcv_code,assorted_code, rec_amount,premium_rcv_detail_code,remaining_amt, payrec, mode_code,coinsurance_code,class_cd,it_remarks) values</v>
      </c>
      <c r="G59" s="14" t="str">
        <f t="shared" si="2"/>
        <v>('30Sep240040','070000164416','48528',(select max(to_number(i.premium_rcv_detail_code))+1
from ins_premium_det i),'48528','48528','02', '11000003','00','Request by Mr. Saqib Saleem 30-Sep-2024 allocation 30Sep240040');</v>
      </c>
      <c r="H59" s="15" t="str">
        <f t="shared" si="3"/>
        <v>insert into ins_premium_det (premium_rcv_code,assorted_code, rec_amount,premium_rcv_detail_code,remaining_amt, payrec, mode_code,coinsurance_code,class_cd,it_remarks) values('30Sep240040','070000164416','48528',(select max(to_number(i.premium_rcv_detail_code))+1
from ins_premium_det i),'48528','48528','02', '11000003','00','Request by Mr. Saqib Saleem 30-Sep-2024 allocation 30Sep240040');</v>
      </c>
    </row>
    <row r="60" spans="1:8" ht="90" x14ac:dyDescent="0.25">
      <c r="A60" s="9" t="s">
        <v>908</v>
      </c>
      <c r="B60" s="11" t="s">
        <v>4470</v>
      </c>
      <c r="C60" s="16">
        <v>46195</v>
      </c>
      <c r="D60" s="12">
        <f t="shared" si="1"/>
        <v>46195</v>
      </c>
      <c r="E60" s="18" t="s">
        <v>4411</v>
      </c>
      <c r="F60" s="13" t="str">
        <f t="shared" si="0"/>
        <v>insert into ins_premium_det (premium_rcv_code,assorted_code, rec_amount,premium_rcv_detail_code,remaining_amt, payrec, mode_code,coinsurance_code,class_cd,it_remarks) values</v>
      </c>
      <c r="G60" s="14" t="str">
        <f t="shared" si="2"/>
        <v>('30Sep240040','070000164227','46195',(select max(to_number(i.premium_rcv_detail_code))+1
from ins_premium_det i),'46195','46195','02', '11000003','00','Request by Mr. Saqib Saleem 30-Sep-2024 allocation 30Sep240040');</v>
      </c>
      <c r="H60" s="15" t="str">
        <f t="shared" si="3"/>
        <v>insert into ins_premium_det (premium_rcv_code,assorted_code, rec_amount,premium_rcv_detail_code,remaining_amt, payrec, mode_code,coinsurance_code,class_cd,it_remarks) values('30Sep240040','070000164227','46195',(select max(to_number(i.premium_rcv_detail_code))+1
from ins_premium_det i),'46195','46195','02', '11000003','00','Request by Mr. Saqib Saleem 30-Sep-2024 allocation 30Sep240040');</v>
      </c>
    </row>
    <row r="61" spans="1:8" ht="90" x14ac:dyDescent="0.25">
      <c r="A61" s="10" t="s">
        <v>921</v>
      </c>
      <c r="B61" s="11" t="s">
        <v>4471</v>
      </c>
      <c r="C61" s="17">
        <v>18000</v>
      </c>
      <c r="D61" s="12">
        <f t="shared" si="1"/>
        <v>18000</v>
      </c>
      <c r="E61" s="18" t="s">
        <v>4411</v>
      </c>
      <c r="F61" s="13" t="str">
        <f t="shared" si="0"/>
        <v>insert into ins_premium_det (premium_rcv_code,assorted_code, rec_amount,premium_rcv_detail_code,remaining_amt, payrec, mode_code,coinsurance_code,class_cd,it_remarks) values</v>
      </c>
      <c r="G61" s="14" t="str">
        <f t="shared" si="2"/>
        <v>('30Sep240040','070000164419','18000',(select max(to_number(i.premium_rcv_detail_code))+1
from ins_premium_det i),'18000','18000','02', '11000003','00','Request by Mr. Saqib Saleem 30-Sep-2024 allocation 30Sep240040');</v>
      </c>
      <c r="H61" s="15" t="str">
        <f t="shared" si="3"/>
        <v>insert into ins_premium_det (premium_rcv_code,assorted_code, rec_amount,premium_rcv_detail_code,remaining_amt, payrec, mode_code,coinsurance_code,class_cd,it_remarks) values('30Sep240040','070000164419','18000',(select max(to_number(i.premium_rcv_detail_code))+1
from ins_premium_det i),'18000','18000','02', '11000003','00','Request by Mr. Saqib Saleem 30-Sep-2024 allocation 30Sep240040');</v>
      </c>
    </row>
    <row r="62" spans="1:8" ht="90" x14ac:dyDescent="0.25">
      <c r="A62" s="9" t="s">
        <v>935</v>
      </c>
      <c r="B62" s="11" t="s">
        <v>4472</v>
      </c>
      <c r="C62" s="16">
        <v>58275</v>
      </c>
      <c r="D62" s="12">
        <f t="shared" si="1"/>
        <v>58275</v>
      </c>
      <c r="E62" s="18" t="s">
        <v>4411</v>
      </c>
      <c r="F62" s="13" t="str">
        <f t="shared" si="0"/>
        <v>insert into ins_premium_det (premium_rcv_code,assorted_code, rec_amount,premium_rcv_detail_code,remaining_amt, payrec, mode_code,coinsurance_code,class_cd,it_remarks) values</v>
      </c>
      <c r="G62" s="14" t="str">
        <f t="shared" si="2"/>
        <v>('30Sep240040','070000164230','58275',(select max(to_number(i.premium_rcv_detail_code))+1
from ins_premium_det i),'58275','58275','02', '11000003','00','Request by Mr. Saqib Saleem 30-Sep-2024 allocation 30Sep240040');</v>
      </c>
      <c r="H62" s="15" t="str">
        <f t="shared" si="3"/>
        <v>insert into ins_premium_det (premium_rcv_code,assorted_code, rec_amount,premium_rcv_detail_code,remaining_amt, payrec, mode_code,coinsurance_code,class_cd,it_remarks) values('30Sep240040','070000164230','58275',(select max(to_number(i.premium_rcv_detail_code))+1
from ins_premium_det i),'58275','58275','02', '11000003','00','Request by Mr. Saqib Saleem 30-Sep-2024 allocation 30Sep240040');</v>
      </c>
    </row>
    <row r="63" spans="1:8" ht="90" x14ac:dyDescent="0.25">
      <c r="A63" s="10" t="s">
        <v>946</v>
      </c>
      <c r="B63" s="11" t="s">
        <v>4473</v>
      </c>
      <c r="C63" s="17">
        <v>23970</v>
      </c>
      <c r="D63" s="12">
        <f t="shared" si="1"/>
        <v>23970</v>
      </c>
      <c r="E63" s="18" t="s">
        <v>4411</v>
      </c>
      <c r="F63" s="13" t="str">
        <f t="shared" si="0"/>
        <v>insert into ins_premium_det (premium_rcv_code,assorted_code, rec_amount,premium_rcv_detail_code,remaining_amt, payrec, mode_code,coinsurance_code,class_cd,it_remarks) values</v>
      </c>
      <c r="G63" s="14" t="str">
        <f t="shared" si="2"/>
        <v>('30Sep240040','070000164421','23970',(select max(to_number(i.premium_rcv_detail_code))+1
from ins_premium_det i),'23970','23970','02', '11000003','00','Request by Mr. Saqib Saleem 30-Sep-2024 allocation 30Sep240040');</v>
      </c>
      <c r="H63" s="15" t="str">
        <f t="shared" si="3"/>
        <v>insert into ins_premium_det (premium_rcv_code,assorted_code, rec_amount,premium_rcv_detail_code,remaining_amt, payrec, mode_code,coinsurance_code,class_cd,it_remarks) values('30Sep240040','070000164421','23970',(select max(to_number(i.premium_rcv_detail_code))+1
from ins_premium_det i),'23970','23970','02', '11000003','00','Request by Mr. Saqib Saleem 30-Sep-2024 allocation 30Sep240040');</v>
      </c>
    </row>
    <row r="64" spans="1:8" ht="90" x14ac:dyDescent="0.25">
      <c r="A64" s="9" t="s">
        <v>961</v>
      </c>
      <c r="B64" s="11" t="s">
        <v>4474</v>
      </c>
      <c r="C64" s="16">
        <v>22240</v>
      </c>
      <c r="D64" s="12">
        <f t="shared" si="1"/>
        <v>22240</v>
      </c>
      <c r="E64" s="18" t="s">
        <v>4411</v>
      </c>
      <c r="F64" s="13" t="str">
        <f t="shared" si="0"/>
        <v>insert into ins_premium_det (premium_rcv_code,assorted_code, rec_amount,premium_rcv_detail_code,remaining_amt, payrec, mode_code,coinsurance_code,class_cd,it_remarks) values</v>
      </c>
      <c r="G64" s="14" t="str">
        <f t="shared" si="2"/>
        <v>('30Sep240040','070000164231','22240',(select max(to_number(i.premium_rcv_detail_code))+1
from ins_premium_det i),'22240','22240','02', '11000003','00','Request by Mr. Saqib Saleem 30-Sep-2024 allocation 30Sep240040');</v>
      </c>
      <c r="H64" s="15" t="str">
        <f t="shared" si="3"/>
        <v>insert into ins_premium_det (premium_rcv_code,assorted_code, rec_amount,premium_rcv_detail_code,remaining_amt, payrec, mode_code,coinsurance_code,class_cd,it_remarks) values('30Sep240040','070000164231','22240',(select max(to_number(i.premium_rcv_detail_code))+1
from ins_premium_det i),'22240','22240','02', '11000003','00','Request by Mr. Saqib Saleem 30-Sep-2024 allocation 30Sep240040');</v>
      </c>
    </row>
    <row r="65" spans="1:8" ht="90" x14ac:dyDescent="0.25">
      <c r="A65" s="10" t="s">
        <v>973</v>
      </c>
      <c r="B65" s="11" t="s">
        <v>4475</v>
      </c>
      <c r="C65" s="17">
        <v>22928</v>
      </c>
      <c r="D65" s="12">
        <f t="shared" si="1"/>
        <v>22928</v>
      </c>
      <c r="E65" s="18" t="s">
        <v>4411</v>
      </c>
      <c r="F65" s="13" t="str">
        <f t="shared" si="0"/>
        <v>insert into ins_premium_det (premium_rcv_code,assorted_code, rec_amount,premium_rcv_detail_code,remaining_amt, payrec, mode_code,coinsurance_code,class_cd,it_remarks) values</v>
      </c>
      <c r="G65" s="14" t="str">
        <f t="shared" si="2"/>
        <v>('30Sep240040','070000164422','22928',(select max(to_number(i.premium_rcv_detail_code))+1
from ins_premium_det i),'22928','22928','02', '11000003','00','Request by Mr. Saqib Saleem 30-Sep-2024 allocation 30Sep240040');</v>
      </c>
      <c r="H65" s="15" t="str">
        <f t="shared" si="3"/>
        <v>insert into ins_premium_det (premium_rcv_code,assorted_code, rec_amount,premium_rcv_detail_code,remaining_amt, payrec, mode_code,coinsurance_code,class_cd,it_remarks) values('30Sep240040','070000164422','22928',(select max(to_number(i.premium_rcv_detail_code))+1
from ins_premium_det i),'22928','22928','02', '11000003','00','Request by Mr. Saqib Saleem 30-Sep-2024 allocation 30Sep240040');</v>
      </c>
    </row>
    <row r="66" spans="1:8" ht="90" x14ac:dyDescent="0.25">
      <c r="A66" s="9" t="s">
        <v>987</v>
      </c>
      <c r="B66" s="11" t="s">
        <v>4476</v>
      </c>
      <c r="C66" s="16">
        <v>58400</v>
      </c>
      <c r="D66" s="12">
        <f t="shared" si="1"/>
        <v>58400</v>
      </c>
      <c r="E66" s="18" t="s">
        <v>4411</v>
      </c>
      <c r="F66" s="13" t="str">
        <f t="shared" ref="F66:F129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14" t="str">
        <f t="shared" si="2"/>
        <v>('30Sep240040','070000164232','58400',(select max(to_number(i.premium_rcv_detail_code))+1
from ins_premium_det i),'58400','58400','02', '11000003','00','Request by Mr. Saqib Saleem 30-Sep-2024 allocation 30Sep240040');</v>
      </c>
      <c r="H66" s="15" t="str">
        <f t="shared" si="3"/>
        <v>insert into ins_premium_det (premium_rcv_code,assorted_code, rec_amount,premium_rcv_detail_code,remaining_amt, payrec, mode_code,coinsurance_code,class_cd,it_remarks) values('30Sep240040','070000164232','58400',(select max(to_number(i.premium_rcv_detail_code))+1
from ins_premium_det i),'58400','58400','02', '11000003','00','Request by Mr. Saqib Saleem 30-Sep-2024 allocation 30Sep240040');</v>
      </c>
    </row>
    <row r="67" spans="1:8" ht="90" x14ac:dyDescent="0.25">
      <c r="A67" s="10" t="s">
        <v>1001</v>
      </c>
      <c r="B67" s="11" t="s">
        <v>4477</v>
      </c>
      <c r="C67" s="17">
        <v>24000</v>
      </c>
      <c r="D67" s="12">
        <f t="shared" ref="D67:D130" si="5">ROUND(C67,0)</f>
        <v>24000</v>
      </c>
      <c r="E67" s="18" t="s">
        <v>4411</v>
      </c>
      <c r="F67" s="13" t="str">
        <f t="shared" si="4"/>
        <v>insert into ins_premium_det (premium_rcv_code,assorted_code, rec_amount,premium_rcv_detail_code,remaining_amt, payrec, mode_code,coinsurance_code,class_cd,it_remarks) values</v>
      </c>
      <c r="G67" s="14" t="str">
        <f t="shared" ref="G67:G130" si="6">"('"&amp;E67&amp;"','"&amp;B67&amp;"','"&amp;D67&amp;"',(select max(to_number(i.premium_rcv_detail_code))+1
from ins_premium_det i),'"&amp;D67&amp;"','"&amp;D67&amp;"','02', '11000003','00','Request by Mr. Saqib Saleem 30-Sep-2024 allocation 30Sep240040');"</f>
        <v>('30Sep240040','070000164423','24000',(select max(to_number(i.premium_rcv_detail_code))+1
from ins_premium_det i),'24000','24000','02', '11000003','00','Request by Mr. Saqib Saleem 30-Sep-2024 allocation 30Sep240040');</v>
      </c>
      <c r="H67" s="15" t="str">
        <f t="shared" ref="H67:H130" si="7">F67&amp;G67</f>
        <v>insert into ins_premium_det (premium_rcv_code,assorted_code, rec_amount,premium_rcv_detail_code,remaining_amt, payrec, mode_code,coinsurance_code,class_cd,it_remarks) values('30Sep240040','070000164423','24000',(select max(to_number(i.premium_rcv_detail_code))+1
from ins_premium_det i),'24000','24000','02', '11000003','00','Request by Mr. Saqib Saleem 30-Sep-2024 allocation 30Sep240040');</v>
      </c>
    </row>
    <row r="68" spans="1:8" ht="90" x14ac:dyDescent="0.25">
      <c r="A68" s="9" t="s">
        <v>1013</v>
      </c>
      <c r="B68" s="11" t="s">
        <v>4478</v>
      </c>
      <c r="C68" s="16">
        <v>28480</v>
      </c>
      <c r="D68" s="12">
        <f t="shared" si="5"/>
        <v>28480</v>
      </c>
      <c r="E68" s="18" t="s">
        <v>4411</v>
      </c>
      <c r="F68" s="13" t="str">
        <f t="shared" si="4"/>
        <v>insert into ins_premium_det (premium_rcv_code,assorted_code, rec_amount,premium_rcv_detail_code,remaining_amt, payrec, mode_code,coinsurance_code,class_cd,it_remarks) values</v>
      </c>
      <c r="G68" s="14" t="str">
        <f t="shared" si="6"/>
        <v>('30Sep240040','070000164424','28480',(select max(to_number(i.premium_rcv_detail_code))+1
from ins_premium_det i),'28480','28480','02', '11000003','00','Request by Mr. Saqib Saleem 30-Sep-2024 allocation 30Sep240040');</v>
      </c>
      <c r="H68" s="15" t="str">
        <f t="shared" si="7"/>
        <v>insert into ins_premium_det (premium_rcv_code,assorted_code, rec_amount,premium_rcv_detail_code,remaining_amt, payrec, mode_code,coinsurance_code,class_cd,it_remarks) values('30Sep240040','070000164424','28480',(select max(to_number(i.premium_rcv_detail_code))+1
from ins_premium_det i),'28480','28480','02', '11000003','00','Request by Mr. Saqib Saleem 30-Sep-2024 allocation 30Sep240040');</v>
      </c>
    </row>
    <row r="69" spans="1:8" ht="90" x14ac:dyDescent="0.25">
      <c r="A69" s="10" t="s">
        <v>1027</v>
      </c>
      <c r="B69" s="11" t="s">
        <v>4479</v>
      </c>
      <c r="C69" s="17">
        <v>45990</v>
      </c>
      <c r="D69" s="12">
        <f t="shared" si="5"/>
        <v>45990</v>
      </c>
      <c r="E69" s="18" t="s">
        <v>4411</v>
      </c>
      <c r="F69" s="13" t="str">
        <f t="shared" si="4"/>
        <v>insert into ins_premium_det (premium_rcv_code,assorted_code, rec_amount,premium_rcv_detail_code,remaining_amt, payrec, mode_code,coinsurance_code,class_cd,it_remarks) values</v>
      </c>
      <c r="G69" s="14" t="str">
        <f t="shared" si="6"/>
        <v>('30Sep240040','070000164234','45990',(select max(to_number(i.premium_rcv_detail_code))+1
from ins_premium_det i),'45990','45990','02', '11000003','00','Request by Mr. Saqib Saleem 30-Sep-2024 allocation 30Sep240040');</v>
      </c>
      <c r="H69" s="15" t="str">
        <f t="shared" si="7"/>
        <v>insert into ins_premium_det (premium_rcv_code,assorted_code, rec_amount,premium_rcv_detail_code,remaining_amt, payrec, mode_code,coinsurance_code,class_cd,it_remarks) values('30Sep240040','070000164234','45990',(select max(to_number(i.premium_rcv_detail_code))+1
from ins_premium_det i),'45990','45990','02', '11000003','00','Request by Mr. Saqib Saleem 30-Sep-2024 allocation 30Sep240040');</v>
      </c>
    </row>
    <row r="70" spans="1:8" ht="90" x14ac:dyDescent="0.25">
      <c r="A70" s="9" t="s">
        <v>1041</v>
      </c>
      <c r="B70" s="11" t="s">
        <v>4480</v>
      </c>
      <c r="C70" s="16">
        <v>50454</v>
      </c>
      <c r="D70" s="12">
        <f t="shared" si="5"/>
        <v>50454</v>
      </c>
      <c r="E70" s="18" t="s">
        <v>4411</v>
      </c>
      <c r="F70" s="13" t="str">
        <f t="shared" si="4"/>
        <v>insert into ins_premium_det (premium_rcv_code,assorted_code, rec_amount,premium_rcv_detail_code,remaining_amt, payrec, mode_code,coinsurance_code,class_cd,it_remarks) values</v>
      </c>
      <c r="G70" s="14" t="str">
        <f t="shared" si="6"/>
        <v>('30Sep240040','070000164425','50454',(select max(to_number(i.premium_rcv_detail_code))+1
from ins_premium_det i),'50454','50454','02', '11000003','00','Request by Mr. Saqib Saleem 30-Sep-2024 allocation 30Sep240040');</v>
      </c>
      <c r="H70" s="15" t="str">
        <f t="shared" si="7"/>
        <v>insert into ins_premium_det (premium_rcv_code,assorted_code, rec_amount,premium_rcv_detail_code,remaining_amt, payrec, mode_code,coinsurance_code,class_cd,it_remarks) values('30Sep240040','070000164425','50454',(select max(to_number(i.premium_rcv_detail_code))+1
from ins_premium_det i),'50454','50454','02', '11000003','00','Request by Mr. Saqib Saleem 30-Sep-2024 allocation 30Sep240040');</v>
      </c>
    </row>
    <row r="71" spans="1:8" ht="90" x14ac:dyDescent="0.25">
      <c r="A71" s="10" t="s">
        <v>1055</v>
      </c>
      <c r="B71" s="11" t="s">
        <v>4481</v>
      </c>
      <c r="C71" s="17">
        <v>30864</v>
      </c>
      <c r="D71" s="12">
        <f t="shared" si="5"/>
        <v>30864</v>
      </c>
      <c r="E71" s="18" t="s">
        <v>4411</v>
      </c>
      <c r="F71" s="13" t="str">
        <f t="shared" si="4"/>
        <v>insert into ins_premium_det (premium_rcv_code,assorted_code, rec_amount,premium_rcv_detail_code,remaining_amt, payrec, mode_code,coinsurance_code,class_cd,it_remarks) values</v>
      </c>
      <c r="G71" s="14" t="str">
        <f t="shared" si="6"/>
        <v>('30Sep240040','070000164426','30864',(select max(to_number(i.premium_rcv_detail_code))+1
from ins_premium_det i),'30864','30864','02', '11000003','00','Request by Mr. Saqib Saleem 30-Sep-2024 allocation 30Sep240040');</v>
      </c>
      <c r="H71" s="15" t="str">
        <f t="shared" si="7"/>
        <v>insert into ins_premium_det (premium_rcv_code,assorted_code, rec_amount,premium_rcv_detail_code,remaining_amt, payrec, mode_code,coinsurance_code,class_cd,it_remarks) values('30Sep240040','070000164426','30864',(select max(to_number(i.premium_rcv_detail_code))+1
from ins_premium_det i),'30864','30864','02', '11000003','00','Request by Mr. Saqib Saleem 30-Sep-2024 allocation 30Sep240040');</v>
      </c>
    </row>
    <row r="72" spans="1:8" ht="90" x14ac:dyDescent="0.25">
      <c r="A72" s="9" t="s">
        <v>1066</v>
      </c>
      <c r="B72" s="11" t="s">
        <v>4482</v>
      </c>
      <c r="C72" s="16">
        <v>67410</v>
      </c>
      <c r="D72" s="12">
        <f t="shared" si="5"/>
        <v>67410</v>
      </c>
      <c r="E72" s="18" t="s">
        <v>4411</v>
      </c>
      <c r="F72" s="13" t="str">
        <f t="shared" si="4"/>
        <v>insert into ins_premium_det (premium_rcv_code,assorted_code, rec_amount,premium_rcv_detail_code,remaining_amt, payrec, mode_code,coinsurance_code,class_cd,it_remarks) values</v>
      </c>
      <c r="G72" s="14" t="str">
        <f t="shared" si="6"/>
        <v>('30Sep240040','070000164237','67410',(select max(to_number(i.premium_rcv_detail_code))+1
from ins_premium_det i),'67410','67410','02', '11000003','00','Request by Mr. Saqib Saleem 30-Sep-2024 allocation 30Sep240040');</v>
      </c>
      <c r="H72" s="15" t="str">
        <f t="shared" si="7"/>
        <v>insert into ins_premium_det (premium_rcv_code,assorted_code, rec_amount,premium_rcv_detail_code,remaining_amt, payrec, mode_code,coinsurance_code,class_cd,it_remarks) values('30Sep240040','070000164237','67410',(select max(to_number(i.premium_rcv_detail_code))+1
from ins_premium_det i),'67410','67410','02', '11000003','00','Request by Mr. Saqib Saleem 30-Sep-2024 allocation 30Sep240040');</v>
      </c>
    </row>
    <row r="73" spans="1:8" ht="90" x14ac:dyDescent="0.25">
      <c r="A73" s="10" t="s">
        <v>1079</v>
      </c>
      <c r="B73" s="11" t="s">
        <v>4483</v>
      </c>
      <c r="C73" s="17">
        <v>48080</v>
      </c>
      <c r="D73" s="12">
        <f t="shared" si="5"/>
        <v>48080</v>
      </c>
      <c r="E73" s="18" t="s">
        <v>4411</v>
      </c>
      <c r="F73" s="13" t="str">
        <f t="shared" si="4"/>
        <v>insert into ins_premium_det (premium_rcv_code,assorted_code, rec_amount,premium_rcv_detail_code,remaining_amt, payrec, mode_code,coinsurance_code,class_cd,it_remarks) values</v>
      </c>
      <c r="G73" s="14" t="str">
        <f t="shared" si="6"/>
        <v>('30Sep240040','070000164428','48080',(select max(to_number(i.premium_rcv_detail_code))+1
from ins_premium_det i),'48080','48080','02', '11000003','00','Request by Mr. Saqib Saleem 30-Sep-2024 allocation 30Sep240040');</v>
      </c>
      <c r="H73" s="15" t="str">
        <f t="shared" si="7"/>
        <v>insert into ins_premium_det (premium_rcv_code,assorted_code, rec_amount,premium_rcv_detail_code,remaining_amt, payrec, mode_code,coinsurance_code,class_cd,it_remarks) values('30Sep240040','070000164428','48080',(select max(to_number(i.premium_rcv_detail_code))+1
from ins_premium_det i),'48080','48080','02', '11000003','00','Request by Mr. Saqib Saleem 30-Sep-2024 allocation 30Sep240040');</v>
      </c>
    </row>
    <row r="74" spans="1:8" ht="90" x14ac:dyDescent="0.25">
      <c r="A74" s="9" t="s">
        <v>1091</v>
      </c>
      <c r="B74" s="11" t="s">
        <v>4484</v>
      </c>
      <c r="C74" s="16">
        <v>72450</v>
      </c>
      <c r="D74" s="12">
        <f t="shared" si="5"/>
        <v>72450</v>
      </c>
      <c r="E74" s="18" t="s">
        <v>4411</v>
      </c>
      <c r="F74" s="13" t="str">
        <f t="shared" si="4"/>
        <v>insert into ins_premium_det (premium_rcv_code,assorted_code, rec_amount,premium_rcv_detail_code,remaining_amt, payrec, mode_code,coinsurance_code,class_cd,it_remarks) values</v>
      </c>
      <c r="G74" s="14" t="str">
        <f t="shared" si="6"/>
        <v>('30Sep240040','070000164239','72450',(select max(to_number(i.premium_rcv_detail_code))+1
from ins_premium_det i),'72450','72450','02', '11000003','00','Request by Mr. Saqib Saleem 30-Sep-2024 allocation 30Sep240040');</v>
      </c>
      <c r="H74" s="15" t="str">
        <f t="shared" si="7"/>
        <v>insert into ins_premium_det (premium_rcv_code,assorted_code, rec_amount,premium_rcv_detail_code,remaining_amt, payrec, mode_code,coinsurance_code,class_cd,it_remarks) values('30Sep240040','070000164239','72450',(select max(to_number(i.premium_rcv_detail_code))+1
from ins_premium_det i),'72450','72450','02', '11000003','00','Request by Mr. Saqib Saleem 30-Sep-2024 allocation 30Sep240040');</v>
      </c>
    </row>
    <row r="75" spans="1:8" ht="90" x14ac:dyDescent="0.25">
      <c r="A75" s="10" t="s">
        <v>1105</v>
      </c>
      <c r="B75" s="11" t="s">
        <v>4485</v>
      </c>
      <c r="C75" s="17">
        <v>84848</v>
      </c>
      <c r="D75" s="12">
        <f t="shared" si="5"/>
        <v>84848</v>
      </c>
      <c r="E75" s="18" t="s">
        <v>4411</v>
      </c>
      <c r="F75" s="13" t="str">
        <f t="shared" si="4"/>
        <v>insert into ins_premium_det (premium_rcv_code,assorted_code, rec_amount,premium_rcv_detail_code,remaining_amt, payrec, mode_code,coinsurance_code,class_cd,it_remarks) values</v>
      </c>
      <c r="G75" s="14" t="str">
        <f t="shared" si="6"/>
        <v>('30Sep240040','070000164430','84848',(select max(to_number(i.premium_rcv_detail_code))+1
from ins_premium_det i),'84848','84848','02', '11000003','00','Request by Mr. Saqib Saleem 30-Sep-2024 allocation 30Sep240040');</v>
      </c>
      <c r="H75" s="15" t="str">
        <f t="shared" si="7"/>
        <v>insert into ins_premium_det (premium_rcv_code,assorted_code, rec_amount,premium_rcv_detail_code,remaining_amt, payrec, mode_code,coinsurance_code,class_cd,it_remarks) values('30Sep240040','070000164430','84848',(select max(to_number(i.premium_rcv_detail_code))+1
from ins_premium_det i),'84848','84848','02', '11000003','00','Request by Mr. Saqib Saleem 30-Sep-2024 allocation 30Sep240040');</v>
      </c>
    </row>
    <row r="76" spans="1:8" ht="90" x14ac:dyDescent="0.25">
      <c r="A76" s="9" t="s">
        <v>1116</v>
      </c>
      <c r="B76" s="11" t="s">
        <v>4486</v>
      </c>
      <c r="C76" s="16">
        <v>64575</v>
      </c>
      <c r="D76" s="12">
        <f t="shared" si="5"/>
        <v>64575</v>
      </c>
      <c r="E76" s="18" t="s">
        <v>4411</v>
      </c>
      <c r="F76" s="13" t="str">
        <f t="shared" si="4"/>
        <v>insert into ins_premium_det (premium_rcv_code,assorted_code, rec_amount,premium_rcv_detail_code,remaining_amt, payrec, mode_code,coinsurance_code,class_cd,it_remarks) values</v>
      </c>
      <c r="G76" s="14" t="str">
        <f t="shared" si="6"/>
        <v>('30Sep240040','070000164240','64575',(select max(to_number(i.premium_rcv_detail_code))+1
from ins_premium_det i),'64575','64575','02', '11000003','00','Request by Mr. Saqib Saleem 30-Sep-2024 allocation 30Sep240040');</v>
      </c>
      <c r="H76" s="15" t="str">
        <f t="shared" si="7"/>
        <v>insert into ins_premium_det (premium_rcv_code,assorted_code, rec_amount,premium_rcv_detail_code,remaining_amt, payrec, mode_code,coinsurance_code,class_cd,it_remarks) values('30Sep240040','070000164240','64575',(select max(to_number(i.premium_rcv_detail_code))+1
from ins_premium_det i),'64575','64575','02', '11000003','00','Request by Mr. Saqib Saleem 30-Sep-2024 allocation 30Sep240040');</v>
      </c>
    </row>
    <row r="77" spans="1:8" ht="90" x14ac:dyDescent="0.25">
      <c r="A77" s="9" t="s">
        <v>1142</v>
      </c>
      <c r="B77" s="11" t="s">
        <v>4487</v>
      </c>
      <c r="C77" s="16">
        <v>36800</v>
      </c>
      <c r="D77" s="12">
        <f t="shared" si="5"/>
        <v>36800</v>
      </c>
      <c r="E77" s="18" t="s">
        <v>4411</v>
      </c>
      <c r="F77" s="13" t="str">
        <f t="shared" si="4"/>
        <v>insert into ins_premium_det (premium_rcv_code,assorted_code, rec_amount,premium_rcv_detail_code,remaining_amt, payrec, mode_code,coinsurance_code,class_cd,it_remarks) values</v>
      </c>
      <c r="G77" s="14" t="str">
        <f t="shared" si="6"/>
        <v>('30Sep240040','070000164244','36800',(select max(to_number(i.premium_rcv_detail_code))+1
from ins_premium_det i),'36800','36800','02', '11000003','00','Request by Mr. Saqib Saleem 30-Sep-2024 allocation 30Sep240040');</v>
      </c>
      <c r="H77" s="15" t="str">
        <f t="shared" si="7"/>
        <v>insert into ins_premium_det (premium_rcv_code,assorted_code, rec_amount,premium_rcv_detail_code,remaining_amt, payrec, mode_code,coinsurance_code,class_cd,it_remarks) values('30Sep240040','070000164244','36800',(select max(to_number(i.premium_rcv_detail_code))+1
from ins_premium_det i),'36800','36800','02', '11000003','00','Request by Mr. Saqib Saleem 30-Sep-2024 allocation 30Sep240040');</v>
      </c>
    </row>
    <row r="78" spans="1:8" ht="90" x14ac:dyDescent="0.25">
      <c r="A78" s="10" t="s">
        <v>1155</v>
      </c>
      <c r="B78" s="11" t="s">
        <v>4488</v>
      </c>
      <c r="C78" s="17">
        <v>21680</v>
      </c>
      <c r="D78" s="12">
        <f t="shared" si="5"/>
        <v>21680</v>
      </c>
      <c r="E78" s="18" t="s">
        <v>4411</v>
      </c>
      <c r="F78" s="13" t="str">
        <f t="shared" si="4"/>
        <v>insert into ins_premium_det (premium_rcv_code,assorted_code, rec_amount,premium_rcv_detail_code,remaining_amt, payrec, mode_code,coinsurance_code,class_cd,it_remarks) values</v>
      </c>
      <c r="G78" s="14" t="str">
        <f t="shared" si="6"/>
        <v>('30Sep240040','070000164245','21680',(select max(to_number(i.premium_rcv_detail_code))+1
from ins_premium_det i),'21680','21680','02', '11000003','00','Request by Mr. Saqib Saleem 30-Sep-2024 allocation 30Sep240040');</v>
      </c>
      <c r="H78" s="15" t="str">
        <f t="shared" si="7"/>
        <v>insert into ins_premium_det (premium_rcv_code,assorted_code, rec_amount,premium_rcv_detail_code,remaining_amt, payrec, mode_code,coinsurance_code,class_cd,it_remarks) values('30Sep240040','070000164245','21680',(select max(to_number(i.premium_rcv_detail_code))+1
from ins_premium_det i),'21680','21680','02', '11000003','00','Request by Mr. Saqib Saleem 30-Sep-2024 allocation 30Sep240040');</v>
      </c>
    </row>
    <row r="79" spans="1:8" ht="90" x14ac:dyDescent="0.25">
      <c r="A79" s="9" t="s">
        <v>1167</v>
      </c>
      <c r="B79" s="11" t="s">
        <v>4489</v>
      </c>
      <c r="C79" s="16">
        <v>46226</v>
      </c>
      <c r="D79" s="12">
        <f t="shared" si="5"/>
        <v>46226</v>
      </c>
      <c r="E79" s="18" t="s">
        <v>4411</v>
      </c>
      <c r="F79" s="13" t="str">
        <f t="shared" si="4"/>
        <v>insert into ins_premium_det (premium_rcv_code,assorted_code, rec_amount,premium_rcv_detail_code,remaining_amt, payrec, mode_code,coinsurance_code,class_cd,it_remarks) values</v>
      </c>
      <c r="G79" s="14" t="str">
        <f t="shared" si="6"/>
        <v>('30Sep240040','070000164438','46226',(select max(to_number(i.premium_rcv_detail_code))+1
from ins_premium_det i),'46226','46226','02', '11000003','00','Request by Mr. Saqib Saleem 30-Sep-2024 allocation 30Sep240040');</v>
      </c>
      <c r="H79" s="15" t="str">
        <f t="shared" si="7"/>
        <v>insert into ins_premium_det (premium_rcv_code,assorted_code, rec_amount,premium_rcv_detail_code,remaining_amt, payrec, mode_code,coinsurance_code,class_cd,it_remarks) values('30Sep240040','070000164438','46226',(select max(to_number(i.premium_rcv_detail_code))+1
from ins_premium_det i),'46226','46226','02', '11000003','00','Request by Mr. Saqib Saleem 30-Sep-2024 allocation 30Sep240040');</v>
      </c>
    </row>
    <row r="80" spans="1:8" ht="90" x14ac:dyDescent="0.25">
      <c r="A80" s="10" t="s">
        <v>1180</v>
      </c>
      <c r="B80" s="11" t="s">
        <v>4490</v>
      </c>
      <c r="C80" s="17">
        <v>59351</v>
      </c>
      <c r="D80" s="12">
        <f t="shared" si="5"/>
        <v>59351</v>
      </c>
      <c r="E80" s="18" t="s">
        <v>4411</v>
      </c>
      <c r="F80" s="13" t="str">
        <f t="shared" si="4"/>
        <v>insert into ins_premium_det (premium_rcv_code,assorted_code, rec_amount,premium_rcv_detail_code,remaining_amt, payrec, mode_code,coinsurance_code,class_cd,it_remarks) values</v>
      </c>
      <c r="G80" s="14" t="str">
        <f t="shared" si="6"/>
        <v>('30Sep240040','070000164246','59351',(select max(to_number(i.premium_rcv_detail_code))+1
from ins_premium_det i),'59351','59351','02', '11000003','00','Request by Mr. Saqib Saleem 30-Sep-2024 allocation 30Sep240040');</v>
      </c>
      <c r="H80" s="15" t="str">
        <f t="shared" si="7"/>
        <v>insert into ins_premium_det (premium_rcv_code,assorted_code, rec_amount,premium_rcv_detail_code,remaining_amt, payrec, mode_code,coinsurance_code,class_cd,it_remarks) values('30Sep240040','070000164246','59351',(select max(to_number(i.premium_rcv_detail_code))+1
from ins_premium_det i),'59351','59351','02', '11000003','00','Request by Mr. Saqib Saleem 30-Sep-2024 allocation 30Sep240040');</v>
      </c>
    </row>
    <row r="81" spans="1:8" ht="90" x14ac:dyDescent="0.25">
      <c r="A81" s="9" t="s">
        <v>1192</v>
      </c>
      <c r="B81" s="11" t="s">
        <v>4491</v>
      </c>
      <c r="C81" s="16">
        <v>28263</v>
      </c>
      <c r="D81" s="12">
        <f t="shared" si="5"/>
        <v>28263</v>
      </c>
      <c r="E81" s="18" t="s">
        <v>4411</v>
      </c>
      <c r="F81" s="13" t="str">
        <f t="shared" si="4"/>
        <v>insert into ins_premium_det (premium_rcv_code,assorted_code, rec_amount,premium_rcv_detail_code,remaining_amt, payrec, mode_code,coinsurance_code,class_cd,it_remarks) values</v>
      </c>
      <c r="G81" s="14" t="str">
        <f t="shared" si="6"/>
        <v>('30Sep240040','070000164247','28263',(select max(to_number(i.premium_rcv_detail_code))+1
from ins_premium_det i),'28263','28263','02', '11000003','00','Request by Mr. Saqib Saleem 30-Sep-2024 allocation 30Sep240040');</v>
      </c>
      <c r="H81" s="15" t="str">
        <f t="shared" si="7"/>
        <v>insert into ins_premium_det (premium_rcv_code,assorted_code, rec_amount,premium_rcv_detail_code,remaining_amt, payrec, mode_code,coinsurance_code,class_cd,it_remarks) values('30Sep240040','070000164247','28263',(select max(to_number(i.premium_rcv_detail_code))+1
from ins_premium_det i),'28263','28263','02', '11000003','00','Request by Mr. Saqib Saleem 30-Sep-2024 allocation 30Sep240040');</v>
      </c>
    </row>
    <row r="82" spans="1:8" ht="90" x14ac:dyDescent="0.25">
      <c r="A82" s="10" t="s">
        <v>1204</v>
      </c>
      <c r="B82" s="11" t="s">
        <v>4492</v>
      </c>
      <c r="C82" s="17">
        <v>44625</v>
      </c>
      <c r="D82" s="12">
        <f t="shared" si="5"/>
        <v>44625</v>
      </c>
      <c r="E82" s="18" t="s">
        <v>4411</v>
      </c>
      <c r="F82" s="13" t="str">
        <f t="shared" si="4"/>
        <v>insert into ins_premium_det (premium_rcv_code,assorted_code, rec_amount,premium_rcv_detail_code,remaining_amt, payrec, mode_code,coinsurance_code,class_cd,it_remarks) values</v>
      </c>
      <c r="G82" s="14" t="str">
        <f t="shared" si="6"/>
        <v>('30Sep240040','070000164248','44625',(select max(to_number(i.premium_rcv_detail_code))+1
from ins_premium_det i),'44625','44625','02', '11000003','00','Request by Mr. Saqib Saleem 30-Sep-2024 allocation 30Sep240040');</v>
      </c>
      <c r="H82" s="15" t="str">
        <f t="shared" si="7"/>
        <v>insert into ins_premium_det (premium_rcv_code,assorted_code, rec_amount,premium_rcv_detail_code,remaining_amt, payrec, mode_code,coinsurance_code,class_cd,it_remarks) values('30Sep240040','070000164248','44625',(select max(to_number(i.premium_rcv_detail_code))+1
from ins_premium_det i),'44625','44625','02', '11000003','00','Request by Mr. Saqib Saleem 30-Sep-2024 allocation 30Sep240040');</v>
      </c>
    </row>
    <row r="83" spans="1:8" ht="90" x14ac:dyDescent="0.25">
      <c r="A83" s="9" t="s">
        <v>1220</v>
      </c>
      <c r="B83" s="11" t="s">
        <v>4493</v>
      </c>
      <c r="C83" s="16">
        <v>30384</v>
      </c>
      <c r="D83" s="12">
        <f t="shared" si="5"/>
        <v>30384</v>
      </c>
      <c r="E83" s="18" t="s">
        <v>4411</v>
      </c>
      <c r="F83" s="13" t="str">
        <f t="shared" si="4"/>
        <v>insert into ins_premium_det (premium_rcv_code,assorted_code, rec_amount,premium_rcv_detail_code,remaining_amt, payrec, mode_code,coinsurance_code,class_cd,it_remarks) values</v>
      </c>
      <c r="G83" s="14" t="str">
        <f t="shared" si="6"/>
        <v>('30Sep240040','070000164443','30384',(select max(to_number(i.premium_rcv_detail_code))+1
from ins_premium_det i),'30384','30384','02', '11000003','00','Request by Mr. Saqib Saleem 30-Sep-2024 allocation 30Sep240040');</v>
      </c>
      <c r="H83" s="15" t="str">
        <f t="shared" si="7"/>
        <v>insert into ins_premium_det (premium_rcv_code,assorted_code, rec_amount,premium_rcv_detail_code,remaining_amt, payrec, mode_code,coinsurance_code,class_cd,it_remarks) values('30Sep240040','070000164443','30384',(select max(to_number(i.premium_rcv_detail_code))+1
from ins_premium_det i),'30384','30384','02', '11000003','00','Request by Mr. Saqib Saleem 30-Sep-2024 allocation 30Sep240040');</v>
      </c>
    </row>
    <row r="84" spans="1:8" ht="90" x14ac:dyDescent="0.25">
      <c r="A84" s="10" t="s">
        <v>1233</v>
      </c>
      <c r="B84" s="11" t="s">
        <v>4494</v>
      </c>
      <c r="C84" s="17">
        <v>23056</v>
      </c>
      <c r="D84" s="12">
        <f t="shared" si="5"/>
        <v>23056</v>
      </c>
      <c r="E84" s="18" t="s">
        <v>4411</v>
      </c>
      <c r="F84" s="13" t="str">
        <f t="shared" si="4"/>
        <v>insert into ins_premium_det (premium_rcv_code,assorted_code, rec_amount,premium_rcv_detail_code,remaining_amt, payrec, mode_code,coinsurance_code,class_cd,it_remarks) values</v>
      </c>
      <c r="G84" s="14" t="str">
        <f t="shared" si="6"/>
        <v>('30Sep240040','070000164250','23056',(select max(to_number(i.premium_rcv_detail_code))+1
from ins_premium_det i),'23056','23056','02', '11000003','00','Request by Mr. Saqib Saleem 30-Sep-2024 allocation 30Sep240040');</v>
      </c>
      <c r="H84" s="15" t="str">
        <f t="shared" si="7"/>
        <v>insert into ins_premium_det (premium_rcv_code,assorted_code, rec_amount,premium_rcv_detail_code,remaining_amt, payrec, mode_code,coinsurance_code,class_cd,it_remarks) values('30Sep240040','070000164250','23056',(select max(to_number(i.premium_rcv_detail_code))+1
from ins_premium_det i),'23056','23056','02', '11000003','00','Request by Mr. Saqib Saleem 30-Sep-2024 allocation 30Sep240040');</v>
      </c>
    </row>
    <row r="85" spans="1:8" ht="90" x14ac:dyDescent="0.25">
      <c r="A85" s="9" t="s">
        <v>1244</v>
      </c>
      <c r="B85" s="11" t="s">
        <v>4495</v>
      </c>
      <c r="C85" s="16">
        <v>91481</v>
      </c>
      <c r="D85" s="12">
        <f t="shared" si="5"/>
        <v>91481</v>
      </c>
      <c r="E85" s="18" t="s">
        <v>4411</v>
      </c>
      <c r="F85" s="13" t="str">
        <f t="shared" si="4"/>
        <v>insert into ins_premium_det (premium_rcv_code,assorted_code, rec_amount,premium_rcv_detail_code,remaining_amt, payrec, mode_code,coinsurance_code,class_cd,it_remarks) values</v>
      </c>
      <c r="G85" s="14" t="str">
        <f t="shared" si="6"/>
        <v>('30Sep240040','070000164251','91481',(select max(to_number(i.premium_rcv_detail_code))+1
from ins_premium_det i),'91481','91481','02', '11000003','00','Request by Mr. Saqib Saleem 30-Sep-2024 allocation 30Sep240040');</v>
      </c>
      <c r="H85" s="15" t="str">
        <f t="shared" si="7"/>
        <v>insert into ins_premium_det (premium_rcv_code,assorted_code, rec_amount,premium_rcv_detail_code,remaining_amt, payrec, mode_code,coinsurance_code,class_cd,it_remarks) values('30Sep240040','070000164251','91481',(select max(to_number(i.premium_rcv_detail_code))+1
from ins_premium_det i),'91481','91481','02', '11000003','00','Request by Mr. Saqib Saleem 30-Sep-2024 allocation 30Sep240040');</v>
      </c>
    </row>
    <row r="86" spans="1:8" ht="90" x14ac:dyDescent="0.25">
      <c r="A86" s="10" t="s">
        <v>1256</v>
      </c>
      <c r="B86" s="11" t="s">
        <v>4496</v>
      </c>
      <c r="C86" s="17">
        <v>16173</v>
      </c>
      <c r="D86" s="12">
        <f t="shared" si="5"/>
        <v>16173</v>
      </c>
      <c r="E86" s="18" t="s">
        <v>4411</v>
      </c>
      <c r="F86" s="13" t="str">
        <f t="shared" si="4"/>
        <v>insert into ins_premium_det (premium_rcv_code,assorted_code, rec_amount,premium_rcv_detail_code,remaining_amt, payrec, mode_code,coinsurance_code,class_cd,it_remarks) values</v>
      </c>
      <c r="G86" s="14" t="str">
        <f t="shared" si="6"/>
        <v>('30Sep240040','070000164445','16173',(select max(to_number(i.premium_rcv_detail_code))+1
from ins_premium_det i),'16173','16173','02', '11000003','00','Request by Mr. Saqib Saleem 30-Sep-2024 allocation 30Sep240040');</v>
      </c>
      <c r="H86" s="15" t="str">
        <f t="shared" si="7"/>
        <v>insert into ins_premium_det (premium_rcv_code,assorted_code, rec_amount,premium_rcv_detail_code,remaining_amt, payrec, mode_code,coinsurance_code,class_cd,it_remarks) values('30Sep240040','070000164445','16173',(select max(to_number(i.premium_rcv_detail_code))+1
from ins_premium_det i),'16173','16173','02', '11000003','00','Request by Mr. Saqib Saleem 30-Sep-2024 allocation 30Sep240040');</v>
      </c>
    </row>
    <row r="87" spans="1:8" ht="90" x14ac:dyDescent="0.25">
      <c r="A87" s="9" t="s">
        <v>1270</v>
      </c>
      <c r="B87" s="11" t="s">
        <v>4497</v>
      </c>
      <c r="C87" s="16">
        <v>30784</v>
      </c>
      <c r="D87" s="12">
        <f t="shared" si="5"/>
        <v>30784</v>
      </c>
      <c r="E87" s="18" t="s">
        <v>4411</v>
      </c>
      <c r="F87" s="13" t="str">
        <f t="shared" si="4"/>
        <v>insert into ins_premium_det (premium_rcv_code,assorted_code, rec_amount,premium_rcv_detail_code,remaining_amt, payrec, mode_code,coinsurance_code,class_cd,it_remarks) values</v>
      </c>
      <c r="G87" s="14" t="str">
        <f t="shared" si="6"/>
        <v>('30Sep240040','070000164446','30784',(select max(to_number(i.premium_rcv_detail_code))+1
from ins_premium_det i),'30784','30784','02', '11000003','00','Request by Mr. Saqib Saleem 30-Sep-2024 allocation 30Sep240040');</v>
      </c>
      <c r="H87" s="15" t="str">
        <f t="shared" si="7"/>
        <v>insert into ins_premium_det (premium_rcv_code,assorted_code, rec_amount,premium_rcv_detail_code,remaining_amt, payrec, mode_code,coinsurance_code,class_cd,it_remarks) values('30Sep240040','070000164446','30784',(select max(to_number(i.premium_rcv_detail_code))+1
from ins_premium_det i),'30784','30784','02', '11000003','00','Request by Mr. Saqib Saleem 30-Sep-2024 allocation 30Sep240040');</v>
      </c>
    </row>
    <row r="88" spans="1:8" ht="90" x14ac:dyDescent="0.25">
      <c r="A88" s="10" t="s">
        <v>1283</v>
      </c>
      <c r="B88" s="11" t="s">
        <v>4498</v>
      </c>
      <c r="C88" s="17">
        <v>25425</v>
      </c>
      <c r="D88" s="12">
        <f t="shared" si="5"/>
        <v>25425</v>
      </c>
      <c r="E88" s="18" t="s">
        <v>4411</v>
      </c>
      <c r="F88" s="13" t="str">
        <f t="shared" si="4"/>
        <v>insert into ins_premium_det (premium_rcv_code,assorted_code, rec_amount,premium_rcv_detail_code,remaining_amt, payrec, mode_code,coinsurance_code,class_cd,it_remarks) values</v>
      </c>
      <c r="G88" s="14" t="str">
        <f t="shared" si="6"/>
        <v>('30Sep240040','070000164447','25425',(select max(to_number(i.premium_rcv_detail_code))+1
from ins_premium_det i),'25425','25425','02', '11000003','00','Request by Mr. Saqib Saleem 30-Sep-2024 allocation 30Sep240040');</v>
      </c>
      <c r="H88" s="15" t="str">
        <f t="shared" si="7"/>
        <v>insert into ins_premium_det (premium_rcv_code,assorted_code, rec_amount,premium_rcv_detail_code,remaining_amt, payrec, mode_code,coinsurance_code,class_cd,it_remarks) values('30Sep240040','070000164447','25425',(select max(to_number(i.premium_rcv_detail_code))+1
from ins_premium_det i),'25425','25425','02', '11000003','00','Request by Mr. Saqib Saleem 30-Sep-2024 allocation 30Sep240040');</v>
      </c>
    </row>
    <row r="89" spans="1:8" ht="90" x14ac:dyDescent="0.25">
      <c r="A89" s="9" t="s">
        <v>1295</v>
      </c>
      <c r="B89" s="11" t="s">
        <v>4499</v>
      </c>
      <c r="C89" s="16">
        <v>28688</v>
      </c>
      <c r="D89" s="12">
        <f t="shared" si="5"/>
        <v>28688</v>
      </c>
      <c r="E89" s="18" t="s">
        <v>4411</v>
      </c>
      <c r="F89" s="13" t="str">
        <f t="shared" si="4"/>
        <v>insert into ins_premium_det (premium_rcv_code,assorted_code, rec_amount,premium_rcv_detail_code,remaining_amt, payrec, mode_code,coinsurance_code,class_cd,it_remarks) values</v>
      </c>
      <c r="G89" s="14" t="str">
        <f t="shared" si="6"/>
        <v>('30Sep240040','070000164252','28688',(select max(to_number(i.premium_rcv_detail_code))+1
from ins_premium_det i),'28688','28688','02', '11000003','00','Request by Mr. Saqib Saleem 30-Sep-2024 allocation 30Sep240040');</v>
      </c>
      <c r="H89" s="15" t="str">
        <f t="shared" si="7"/>
        <v>insert into ins_premium_det (premium_rcv_code,assorted_code, rec_amount,premium_rcv_detail_code,remaining_amt, payrec, mode_code,coinsurance_code,class_cd,it_remarks) values('30Sep240040','070000164252','28688',(select max(to_number(i.premium_rcv_detail_code))+1
from ins_premium_det i),'28688','28688','02', '11000003','00','Request by Mr. Saqib Saleem 30-Sep-2024 allocation 30Sep240040');</v>
      </c>
    </row>
    <row r="90" spans="1:8" ht="90" x14ac:dyDescent="0.25">
      <c r="A90" s="10" t="s">
        <v>1307</v>
      </c>
      <c r="B90" s="11" t="s">
        <v>4500</v>
      </c>
      <c r="C90" s="17">
        <v>43200</v>
      </c>
      <c r="D90" s="12">
        <f t="shared" si="5"/>
        <v>43200</v>
      </c>
      <c r="E90" s="18" t="s">
        <v>4411</v>
      </c>
      <c r="F90" s="13" t="str">
        <f t="shared" si="4"/>
        <v>insert into ins_premium_det (premium_rcv_code,assorted_code, rec_amount,premium_rcv_detail_code,remaining_amt, payrec, mode_code,coinsurance_code,class_cd,it_remarks) values</v>
      </c>
      <c r="G90" s="14" t="str">
        <f t="shared" si="6"/>
        <v>('30Sep240040','070000164449','43200',(select max(to_number(i.premium_rcv_detail_code))+1
from ins_premium_det i),'43200','43200','02', '11000003','00','Request by Mr. Saqib Saleem 30-Sep-2024 allocation 30Sep240040');</v>
      </c>
      <c r="H90" s="15" t="str">
        <f t="shared" si="7"/>
        <v>insert into ins_premium_det (premium_rcv_code,assorted_code, rec_amount,premium_rcv_detail_code,remaining_amt, payrec, mode_code,coinsurance_code,class_cd,it_remarks) values('30Sep240040','070000164449','43200',(select max(to_number(i.premium_rcv_detail_code))+1
from ins_premium_det i),'43200','43200','02', '11000003','00','Request by Mr. Saqib Saleem 30-Sep-2024 allocation 30Sep240040');</v>
      </c>
    </row>
    <row r="91" spans="1:8" ht="90" x14ac:dyDescent="0.25">
      <c r="A91" s="9" t="s">
        <v>1320</v>
      </c>
      <c r="B91" s="11" t="s">
        <v>4501</v>
      </c>
      <c r="C91" s="16">
        <v>30864</v>
      </c>
      <c r="D91" s="12">
        <f t="shared" si="5"/>
        <v>30864</v>
      </c>
      <c r="E91" s="18" t="s">
        <v>4411</v>
      </c>
      <c r="F91" s="13" t="str">
        <f t="shared" si="4"/>
        <v>insert into ins_premium_det (premium_rcv_code,assorted_code, rec_amount,premium_rcv_detail_code,remaining_amt, payrec, mode_code,coinsurance_code,class_cd,it_remarks) values</v>
      </c>
      <c r="G91" s="14" t="str">
        <f t="shared" si="6"/>
        <v>('30Sep240040','070000164450','30864',(select max(to_number(i.premium_rcv_detail_code))+1
from ins_premium_det i),'30864','30864','02', '11000003','00','Request by Mr. Saqib Saleem 30-Sep-2024 allocation 30Sep240040');</v>
      </c>
      <c r="H91" s="15" t="str">
        <f t="shared" si="7"/>
        <v>insert into ins_premium_det (premium_rcv_code,assorted_code, rec_amount,premium_rcv_detail_code,remaining_amt, payrec, mode_code,coinsurance_code,class_cd,it_remarks) values('30Sep240040','070000164450','30864',(select max(to_number(i.premium_rcv_detail_code))+1
from ins_premium_det i),'30864','30864','02', '11000003','00','Request by Mr. Saqib Saleem 30-Sep-2024 allocation 30Sep240040');</v>
      </c>
    </row>
    <row r="92" spans="1:8" ht="90" x14ac:dyDescent="0.25">
      <c r="A92" s="10" t="s">
        <v>1331</v>
      </c>
      <c r="B92" s="11" t="s">
        <v>4502</v>
      </c>
      <c r="C92" s="17">
        <v>60988</v>
      </c>
      <c r="D92" s="12">
        <f t="shared" si="5"/>
        <v>60988</v>
      </c>
      <c r="E92" s="18" t="s">
        <v>4411</v>
      </c>
      <c r="F92" s="13" t="str">
        <f t="shared" si="4"/>
        <v>insert into ins_premium_det (premium_rcv_code,assorted_code, rec_amount,premium_rcv_detail_code,remaining_amt, payrec, mode_code,coinsurance_code,class_cd,it_remarks) values</v>
      </c>
      <c r="G92" s="14" t="str">
        <f t="shared" si="6"/>
        <v>('30Sep240040','070000164254','60988',(select max(to_number(i.premium_rcv_detail_code))+1
from ins_premium_det i),'60988','60988','02', '11000003','00','Request by Mr. Saqib Saleem 30-Sep-2024 allocation 30Sep240040');</v>
      </c>
      <c r="H92" s="15" t="str">
        <f t="shared" si="7"/>
        <v>insert into ins_premium_det (premium_rcv_code,assorted_code, rec_amount,premium_rcv_detail_code,remaining_amt, payrec, mode_code,coinsurance_code,class_cd,it_remarks) values('30Sep240040','070000164254','60988',(select max(to_number(i.premium_rcv_detail_code))+1
from ins_premium_det i),'60988','60988','02', '11000003','00','Request by Mr. Saqib Saleem 30-Sep-2024 allocation 30Sep240040');</v>
      </c>
    </row>
    <row r="93" spans="1:8" ht="90" x14ac:dyDescent="0.25">
      <c r="A93" s="9" t="s">
        <v>1344</v>
      </c>
      <c r="B93" s="11" t="s">
        <v>4503</v>
      </c>
      <c r="C93" s="16">
        <v>42400</v>
      </c>
      <c r="D93" s="12">
        <f t="shared" si="5"/>
        <v>42400</v>
      </c>
      <c r="E93" s="18" t="s">
        <v>4411</v>
      </c>
      <c r="F93" s="13" t="str">
        <f t="shared" si="4"/>
        <v>insert into ins_premium_det (premium_rcv_code,assorted_code, rec_amount,premium_rcv_detail_code,remaining_amt, payrec, mode_code,coinsurance_code,class_cd,it_remarks) values</v>
      </c>
      <c r="G93" s="14" t="str">
        <f t="shared" si="6"/>
        <v>('30Sep240040','070000164451','42400',(select max(to_number(i.premium_rcv_detail_code))+1
from ins_premium_det i),'42400','42400','02', '11000003','00','Request by Mr. Saqib Saleem 30-Sep-2024 allocation 30Sep240040');</v>
      </c>
      <c r="H93" s="15" t="str">
        <f t="shared" si="7"/>
        <v>insert into ins_premium_det (premium_rcv_code,assorted_code, rec_amount,premium_rcv_detail_code,remaining_amt, payrec, mode_code,coinsurance_code,class_cd,it_remarks) values('30Sep240040','070000164451','42400',(select max(to_number(i.premium_rcv_detail_code))+1
from ins_premium_det i),'42400','42400','02', '11000003','00','Request by Mr. Saqib Saleem 30-Sep-2024 allocation 30Sep240040');</v>
      </c>
    </row>
    <row r="94" spans="1:8" ht="90" x14ac:dyDescent="0.25">
      <c r="A94" s="10" t="s">
        <v>1355</v>
      </c>
      <c r="B94" s="11" t="s">
        <v>4504</v>
      </c>
      <c r="C94" s="17">
        <v>30345</v>
      </c>
      <c r="D94" s="12">
        <f t="shared" si="5"/>
        <v>30345</v>
      </c>
      <c r="E94" s="18" t="s">
        <v>4411</v>
      </c>
      <c r="F94" s="13" t="str">
        <f t="shared" si="4"/>
        <v>insert into ins_premium_det (premium_rcv_code,assorted_code, rec_amount,premium_rcv_detail_code,remaining_amt, payrec, mode_code,coinsurance_code,class_cd,it_remarks) values</v>
      </c>
      <c r="G94" s="14" t="str">
        <f t="shared" si="6"/>
        <v>('30Sep240040','070000164255','30345',(select max(to_number(i.premium_rcv_detail_code))+1
from ins_premium_det i),'30345','30345','02', '11000003','00','Request by Mr. Saqib Saleem 30-Sep-2024 allocation 30Sep240040');</v>
      </c>
      <c r="H94" s="15" t="str">
        <f t="shared" si="7"/>
        <v>insert into ins_premium_det (premium_rcv_code,assorted_code, rec_amount,premium_rcv_detail_code,remaining_amt, payrec, mode_code,coinsurance_code,class_cd,it_remarks) values('30Sep240040','070000164255','30345',(select max(to_number(i.premium_rcv_detail_code))+1
from ins_premium_det i),'30345','30345','02', '11000003','00','Request by Mr. Saqib Saleem 30-Sep-2024 allocation 30Sep240040');</v>
      </c>
    </row>
    <row r="95" spans="1:8" ht="90" x14ac:dyDescent="0.25">
      <c r="A95" s="9" t="s">
        <v>1368</v>
      </c>
      <c r="B95" s="11" t="s">
        <v>4505</v>
      </c>
      <c r="C95" s="16">
        <v>49620</v>
      </c>
      <c r="D95" s="12">
        <f t="shared" si="5"/>
        <v>49620</v>
      </c>
      <c r="E95" s="18" t="s">
        <v>4411</v>
      </c>
      <c r="F95" s="13" t="str">
        <f t="shared" si="4"/>
        <v>insert into ins_premium_det (premium_rcv_code,assorted_code, rec_amount,premium_rcv_detail_code,remaining_amt, payrec, mode_code,coinsurance_code,class_cd,it_remarks) values</v>
      </c>
      <c r="G95" s="14" t="str">
        <f t="shared" si="6"/>
        <v>('30Sep240040','070000164452','49620',(select max(to_number(i.premium_rcv_detail_code))+1
from ins_premium_det i),'49620','49620','02', '11000003','00','Request by Mr. Saqib Saleem 30-Sep-2024 allocation 30Sep240040');</v>
      </c>
      <c r="H95" s="15" t="str">
        <f t="shared" si="7"/>
        <v>insert into ins_premium_det (premium_rcv_code,assorted_code, rec_amount,premium_rcv_detail_code,remaining_amt, payrec, mode_code,coinsurance_code,class_cd,it_remarks) values('30Sep240040','070000164452','49620',(select max(to_number(i.premium_rcv_detail_code))+1
from ins_premium_det i),'49620','49620','02', '11000003','00','Request by Mr. Saqib Saleem 30-Sep-2024 allocation 30Sep240040');</v>
      </c>
    </row>
    <row r="96" spans="1:8" ht="90" x14ac:dyDescent="0.25">
      <c r="A96" s="10" t="s">
        <v>1380</v>
      </c>
      <c r="B96" s="11" t="s">
        <v>4506</v>
      </c>
      <c r="C96" s="17">
        <v>26775</v>
      </c>
      <c r="D96" s="12">
        <f t="shared" si="5"/>
        <v>26775</v>
      </c>
      <c r="E96" s="18" t="s">
        <v>4411</v>
      </c>
      <c r="F96" s="13" t="str">
        <f t="shared" si="4"/>
        <v>insert into ins_premium_det (premium_rcv_code,assorted_code, rec_amount,premium_rcv_detail_code,remaining_amt, payrec, mode_code,coinsurance_code,class_cd,it_remarks) values</v>
      </c>
      <c r="G96" s="14" t="str">
        <f t="shared" si="6"/>
        <v>('30Sep240040','070000164256','26775',(select max(to_number(i.premium_rcv_detail_code))+1
from ins_premium_det i),'26775','26775','02', '11000003','00','Request by Mr. Saqib Saleem 30-Sep-2024 allocation 30Sep240040');</v>
      </c>
      <c r="H96" s="15" t="str">
        <f t="shared" si="7"/>
        <v>insert into ins_premium_det (premium_rcv_code,assorted_code, rec_amount,premium_rcv_detail_code,remaining_amt, payrec, mode_code,coinsurance_code,class_cd,it_remarks) values('30Sep240040','070000164256','26775',(select max(to_number(i.premium_rcv_detail_code))+1
from ins_premium_det i),'26775','26775','02', '11000003','00','Request by Mr. Saqib Saleem 30-Sep-2024 allocation 30Sep240040');</v>
      </c>
    </row>
    <row r="97" spans="1:8" ht="90" x14ac:dyDescent="0.25">
      <c r="A97" s="9" t="s">
        <v>1392</v>
      </c>
      <c r="B97" s="11" t="s">
        <v>4507</v>
      </c>
      <c r="C97" s="16">
        <v>71400</v>
      </c>
      <c r="D97" s="12">
        <f t="shared" si="5"/>
        <v>71400</v>
      </c>
      <c r="E97" s="18" t="s">
        <v>4411</v>
      </c>
      <c r="F97" s="13" t="str">
        <f t="shared" si="4"/>
        <v>insert into ins_premium_det (premium_rcv_code,assorted_code, rec_amount,premium_rcv_detail_code,remaining_amt, payrec, mode_code,coinsurance_code,class_cd,it_remarks) values</v>
      </c>
      <c r="G97" s="14" t="str">
        <f t="shared" si="6"/>
        <v>('30Sep240040','070000164259','71400',(select max(to_number(i.premium_rcv_detail_code))+1
from ins_premium_det i),'71400','71400','02', '11000003','00','Request by Mr. Saqib Saleem 30-Sep-2024 allocation 30Sep240040');</v>
      </c>
      <c r="H97" s="15" t="str">
        <f t="shared" si="7"/>
        <v>insert into ins_premium_det (premium_rcv_code,assorted_code, rec_amount,premium_rcv_detail_code,remaining_amt, payrec, mode_code,coinsurance_code,class_cd,it_remarks) values('30Sep240040','070000164259','71400',(select max(to_number(i.premium_rcv_detail_code))+1
from ins_premium_det i),'71400','71400','02', '11000003','00','Request by Mr. Saqib Saleem 30-Sep-2024 allocation 30Sep240040');</v>
      </c>
    </row>
    <row r="98" spans="1:8" ht="90" x14ac:dyDescent="0.25">
      <c r="A98" s="10" t="s">
        <v>1405</v>
      </c>
      <c r="B98" s="11" t="s">
        <v>4508</v>
      </c>
      <c r="C98" s="17">
        <v>53550</v>
      </c>
      <c r="D98" s="12">
        <f t="shared" si="5"/>
        <v>53550</v>
      </c>
      <c r="E98" s="18" t="s">
        <v>4411</v>
      </c>
      <c r="F98" s="13" t="str">
        <f t="shared" si="4"/>
        <v>insert into ins_premium_det (premium_rcv_code,assorted_code, rec_amount,premium_rcv_detail_code,remaining_amt, payrec, mode_code,coinsurance_code,class_cd,it_remarks) values</v>
      </c>
      <c r="G98" s="14" t="str">
        <f t="shared" si="6"/>
        <v>('30Sep240040','070000164261','53550',(select max(to_number(i.premium_rcv_detail_code))+1
from ins_premium_det i),'53550','53550','02', '11000003','00','Request by Mr. Saqib Saleem 30-Sep-2024 allocation 30Sep240040');</v>
      </c>
      <c r="H98" s="15" t="str">
        <f t="shared" si="7"/>
        <v>insert into ins_premium_det (premium_rcv_code,assorted_code, rec_amount,premium_rcv_detail_code,remaining_amt, payrec, mode_code,coinsurance_code,class_cd,it_remarks) values('30Sep240040','070000164261','53550',(select max(to_number(i.premium_rcv_detail_code))+1
from ins_premium_det i),'53550','53550','02', '11000003','00','Request by Mr. Saqib Saleem 30-Sep-2024 allocation 30Sep240040');</v>
      </c>
    </row>
    <row r="99" spans="1:8" ht="90" x14ac:dyDescent="0.25">
      <c r="A99" s="9" t="s">
        <v>1418</v>
      </c>
      <c r="B99" s="11" t="s">
        <v>4509</v>
      </c>
      <c r="C99" s="16">
        <v>69785</v>
      </c>
      <c r="D99" s="12">
        <f t="shared" si="5"/>
        <v>69785</v>
      </c>
      <c r="E99" s="18" t="s">
        <v>4411</v>
      </c>
      <c r="F99" s="13" t="str">
        <f t="shared" si="4"/>
        <v>insert into ins_premium_det (premium_rcv_code,assorted_code, rec_amount,premium_rcv_detail_code,remaining_amt, payrec, mode_code,coinsurance_code,class_cd,it_remarks) values</v>
      </c>
      <c r="G99" s="14" t="str">
        <f t="shared" si="6"/>
        <v>('30Sep240040','070000164263','69785',(select max(to_number(i.premium_rcv_detail_code))+1
from ins_premium_det i),'69785','69785','02', '11000003','00','Request by Mr. Saqib Saleem 30-Sep-2024 allocation 30Sep240040');</v>
      </c>
      <c r="H99" s="15" t="str">
        <f t="shared" si="7"/>
        <v>insert into ins_premium_det (premium_rcv_code,assorted_code, rec_amount,premium_rcv_detail_code,remaining_amt, payrec, mode_code,coinsurance_code,class_cd,it_remarks) values('30Sep240040','070000164263','69785',(select max(to_number(i.premium_rcv_detail_code))+1
from ins_premium_det i),'69785','69785','02', '11000003','00','Request by Mr. Saqib Saleem 30-Sep-2024 allocation 30Sep240040');</v>
      </c>
    </row>
    <row r="100" spans="1:8" ht="90" x14ac:dyDescent="0.25">
      <c r="A100" s="10" t="s">
        <v>1428</v>
      </c>
      <c r="B100" s="11" t="s">
        <v>4510</v>
      </c>
      <c r="C100" s="17">
        <v>26282</v>
      </c>
      <c r="D100" s="12">
        <f t="shared" si="5"/>
        <v>26282</v>
      </c>
      <c r="E100" s="18" t="s">
        <v>4411</v>
      </c>
      <c r="F100" s="13" t="str">
        <f t="shared" si="4"/>
        <v>insert into ins_premium_det (premium_rcv_code,assorted_code, rec_amount,premium_rcv_detail_code,remaining_amt, payrec, mode_code,coinsurance_code,class_cd,it_remarks) values</v>
      </c>
      <c r="G100" s="14" t="str">
        <f t="shared" si="6"/>
        <v>('30Sep240040','070000164459','26282',(select max(to_number(i.premium_rcv_detail_code))+1
from ins_premium_det i),'26282','26282','02', '11000003','00','Request by Mr. Saqib Saleem 30-Sep-2024 allocation 30Sep240040');</v>
      </c>
      <c r="H100" s="15" t="str">
        <f t="shared" si="7"/>
        <v>insert into ins_premium_det (premium_rcv_code,assorted_code, rec_amount,premium_rcv_detail_code,remaining_amt, payrec, mode_code,coinsurance_code,class_cd,it_remarks) values('30Sep240040','070000164459','26282',(select max(to_number(i.premium_rcv_detail_code))+1
from ins_premium_det i),'26282','26282','02', '11000003','00','Request by Mr. Saqib Saleem 30-Sep-2024 allocation 30Sep240040');</v>
      </c>
    </row>
    <row r="101" spans="1:8" ht="90" x14ac:dyDescent="0.25">
      <c r="A101" s="9" t="s">
        <v>1440</v>
      </c>
      <c r="B101" s="11" t="s">
        <v>4511</v>
      </c>
      <c r="C101" s="16">
        <v>37188</v>
      </c>
      <c r="D101" s="12">
        <f t="shared" si="5"/>
        <v>37188</v>
      </c>
      <c r="E101" s="18" t="s">
        <v>4411</v>
      </c>
      <c r="F101" s="13" t="str">
        <f t="shared" si="4"/>
        <v>insert into ins_premium_det (premium_rcv_code,assorted_code, rec_amount,premium_rcv_detail_code,remaining_amt, payrec, mode_code,coinsurance_code,class_cd,it_remarks) values</v>
      </c>
      <c r="G101" s="14" t="str">
        <f t="shared" si="6"/>
        <v>('30Sep240040','070000164264','37188',(select max(to_number(i.premium_rcv_detail_code))+1
from ins_premium_det i),'37188','37188','02', '11000003','00','Request by Mr. Saqib Saleem 30-Sep-2024 allocation 30Sep240040');</v>
      </c>
      <c r="H101" s="15" t="str">
        <f t="shared" si="7"/>
        <v>insert into ins_premium_det (premium_rcv_code,assorted_code, rec_amount,premium_rcv_detail_code,remaining_amt, payrec, mode_code,coinsurance_code,class_cd,it_remarks) values('30Sep240040','070000164264','37188',(select max(to_number(i.premium_rcv_detail_code))+1
from ins_premium_det i),'37188','37188','02', '11000003','00','Request by Mr. Saqib Saleem 30-Sep-2024 allocation 30Sep240040');</v>
      </c>
    </row>
    <row r="102" spans="1:8" ht="90" x14ac:dyDescent="0.25">
      <c r="A102" s="10" t="s">
        <v>1453</v>
      </c>
      <c r="B102" s="11" t="s">
        <v>4512</v>
      </c>
      <c r="C102" s="17">
        <v>46708</v>
      </c>
      <c r="D102" s="12">
        <f t="shared" si="5"/>
        <v>46708</v>
      </c>
      <c r="E102" s="18" t="s">
        <v>4411</v>
      </c>
      <c r="F102" s="13" t="str">
        <f t="shared" si="4"/>
        <v>insert into ins_premium_det (premium_rcv_code,assorted_code, rec_amount,premium_rcv_detail_code,remaining_amt, payrec, mode_code,coinsurance_code,class_cd,it_remarks) values</v>
      </c>
      <c r="G102" s="14" t="str">
        <f t="shared" si="6"/>
        <v>('30Sep240040','070000164265','46708',(select max(to_number(i.premium_rcv_detail_code))+1
from ins_premium_det i),'46708','46708','02', '11000003','00','Request by Mr. Saqib Saleem 30-Sep-2024 allocation 30Sep240040');</v>
      </c>
      <c r="H102" s="15" t="str">
        <f t="shared" si="7"/>
        <v>insert into ins_premium_det (premium_rcv_code,assorted_code, rec_amount,premium_rcv_detail_code,remaining_amt, payrec, mode_code,coinsurance_code,class_cd,it_remarks) values('30Sep240040','070000164265','46708',(select max(to_number(i.premium_rcv_detail_code))+1
from ins_premium_det i),'46708','46708','02', '11000003','00','Request by Mr. Saqib Saleem 30-Sep-2024 allocation 30Sep240040');</v>
      </c>
    </row>
    <row r="103" spans="1:8" ht="90" x14ac:dyDescent="0.25">
      <c r="A103" s="9" t="s">
        <v>1464</v>
      </c>
      <c r="B103" s="11" t="s">
        <v>4513</v>
      </c>
      <c r="C103" s="16">
        <v>33048</v>
      </c>
      <c r="D103" s="12">
        <f t="shared" si="5"/>
        <v>33048</v>
      </c>
      <c r="E103" s="18" t="s">
        <v>4411</v>
      </c>
      <c r="F103" s="13" t="str">
        <f t="shared" si="4"/>
        <v>insert into ins_premium_det (premium_rcv_code,assorted_code, rec_amount,premium_rcv_detail_code,remaining_amt, payrec, mode_code,coinsurance_code,class_cd,it_remarks) values</v>
      </c>
      <c r="G103" s="14" t="str">
        <f t="shared" si="6"/>
        <v>('30Sep240040','070000164462','33048',(select max(to_number(i.premium_rcv_detail_code))+1
from ins_premium_det i),'33048','33048','02', '11000003','00','Request by Mr. Saqib Saleem 30-Sep-2024 allocation 30Sep240040');</v>
      </c>
      <c r="H103" s="15" t="str">
        <f t="shared" si="7"/>
        <v>insert into ins_premium_det (premium_rcv_code,assorted_code, rec_amount,premium_rcv_detail_code,remaining_amt, payrec, mode_code,coinsurance_code,class_cd,it_remarks) values('30Sep240040','070000164462','33048',(select max(to_number(i.premium_rcv_detail_code))+1
from ins_premium_det i),'33048','33048','02', '11000003','00','Request by Mr. Saqib Saleem 30-Sep-2024 allocation 30Sep240040');</v>
      </c>
    </row>
    <row r="104" spans="1:8" ht="90" x14ac:dyDescent="0.25">
      <c r="A104" s="10" t="s">
        <v>1476</v>
      </c>
      <c r="B104" s="11" t="s">
        <v>4514</v>
      </c>
      <c r="C104" s="17">
        <v>26282</v>
      </c>
      <c r="D104" s="12">
        <f t="shared" si="5"/>
        <v>26282</v>
      </c>
      <c r="E104" s="18" t="s">
        <v>4411</v>
      </c>
      <c r="F104" s="13" t="str">
        <f t="shared" si="4"/>
        <v>insert into ins_premium_det (premium_rcv_code,assorted_code, rec_amount,premium_rcv_detail_code,remaining_amt, payrec, mode_code,coinsurance_code,class_cd,it_remarks) values</v>
      </c>
      <c r="G104" s="14" t="str">
        <f t="shared" si="6"/>
        <v>('30Sep240040','070000164464','26282',(select max(to_number(i.premium_rcv_detail_code))+1
from ins_premium_det i),'26282','26282','02', '11000003','00','Request by Mr. Saqib Saleem 30-Sep-2024 allocation 30Sep240040');</v>
      </c>
      <c r="H104" s="15" t="str">
        <f t="shared" si="7"/>
        <v>insert into ins_premium_det (premium_rcv_code,assorted_code, rec_amount,premium_rcv_detail_code,remaining_amt, payrec, mode_code,coinsurance_code,class_cd,it_remarks) values('30Sep240040','070000164464','26282',(select max(to_number(i.premium_rcv_detail_code))+1
from ins_premium_det i),'26282','26282','02', '11000003','00','Request by Mr. Saqib Saleem 30-Sep-2024 allocation 30Sep240040');</v>
      </c>
    </row>
    <row r="105" spans="1:8" ht="90" x14ac:dyDescent="0.25">
      <c r="A105" s="9" t="s">
        <v>1489</v>
      </c>
      <c r="B105" s="11" t="s">
        <v>4515</v>
      </c>
      <c r="C105" s="16">
        <v>38675</v>
      </c>
      <c r="D105" s="12">
        <f t="shared" si="5"/>
        <v>38675</v>
      </c>
      <c r="E105" s="18" t="s">
        <v>4411</v>
      </c>
      <c r="F105" s="13" t="str">
        <f t="shared" si="4"/>
        <v>insert into ins_premium_det (premium_rcv_code,assorted_code, rec_amount,premium_rcv_detail_code,remaining_amt, payrec, mode_code,coinsurance_code,class_cd,it_remarks) values</v>
      </c>
      <c r="G105" s="14" t="str">
        <f t="shared" si="6"/>
        <v>('30Sep240040','070000164266','38675',(select max(to_number(i.premium_rcv_detail_code))+1
from ins_premium_det i),'38675','38675','02', '11000003','00','Request by Mr. Saqib Saleem 30-Sep-2024 allocation 30Sep240040');</v>
      </c>
      <c r="H105" s="15" t="str">
        <f t="shared" si="7"/>
        <v>insert into ins_premium_det (premium_rcv_code,assorted_code, rec_amount,premium_rcv_detail_code,remaining_amt, payrec, mode_code,coinsurance_code,class_cd,it_remarks) values('30Sep240040','070000164266','38675',(select max(to_number(i.premium_rcv_detail_code))+1
from ins_premium_det i),'38675','38675','02', '11000003','00','Request by Mr. Saqib Saleem 30-Sep-2024 allocation 30Sep240040');</v>
      </c>
    </row>
    <row r="106" spans="1:8" ht="90" x14ac:dyDescent="0.25">
      <c r="A106" s="10" t="s">
        <v>1501</v>
      </c>
      <c r="B106" s="11" t="s">
        <v>4516</v>
      </c>
      <c r="C106" s="17">
        <v>22015</v>
      </c>
      <c r="D106" s="12">
        <f t="shared" si="5"/>
        <v>22015</v>
      </c>
      <c r="E106" s="18" t="s">
        <v>4411</v>
      </c>
      <c r="F106" s="13" t="str">
        <f t="shared" si="4"/>
        <v>insert into ins_premium_det (premium_rcv_code,assorted_code, rec_amount,premium_rcv_detail_code,remaining_amt, payrec, mode_code,coinsurance_code,class_cd,it_remarks) values</v>
      </c>
      <c r="G106" s="14" t="str">
        <f t="shared" si="6"/>
        <v>('30Sep240040','070000164466','22015',(select max(to_number(i.premium_rcv_detail_code))+1
from ins_premium_det i),'22015','22015','02', '11000003','00','Request by Mr. Saqib Saleem 30-Sep-2024 allocation 30Sep240040');</v>
      </c>
      <c r="H106" s="15" t="str">
        <f t="shared" si="7"/>
        <v>insert into ins_premium_det (premium_rcv_code,assorted_code, rec_amount,premium_rcv_detail_code,remaining_amt, payrec, mode_code,coinsurance_code,class_cd,it_remarks) values('30Sep240040','070000164466','22015',(select max(to_number(i.premium_rcv_detail_code))+1
from ins_premium_det i),'22015','22015','02', '11000003','00','Request by Mr. Saqib Saleem 30-Sep-2024 allocation 30Sep240040');</v>
      </c>
    </row>
    <row r="107" spans="1:8" ht="90" x14ac:dyDescent="0.25">
      <c r="A107" s="9" t="s">
        <v>1512</v>
      </c>
      <c r="B107" s="11" t="s">
        <v>4517</v>
      </c>
      <c r="C107" s="16">
        <v>25500</v>
      </c>
      <c r="D107" s="12">
        <f t="shared" si="5"/>
        <v>25500</v>
      </c>
      <c r="E107" s="18" t="s">
        <v>4411</v>
      </c>
      <c r="F107" s="13" t="str">
        <f t="shared" si="4"/>
        <v>insert into ins_premium_det (premium_rcv_code,assorted_code, rec_amount,premium_rcv_detail_code,remaining_amt, payrec, mode_code,coinsurance_code,class_cd,it_remarks) values</v>
      </c>
      <c r="G107" s="14" t="str">
        <f t="shared" si="6"/>
        <v>('30Sep240040','070000164467','25500',(select max(to_number(i.premium_rcv_detail_code))+1
from ins_premium_det i),'25500','25500','02', '11000003','00','Request by Mr. Saqib Saleem 30-Sep-2024 allocation 30Sep240040');</v>
      </c>
      <c r="H107" s="15" t="str">
        <f t="shared" si="7"/>
        <v>insert into ins_premium_det (premium_rcv_code,assorted_code, rec_amount,premium_rcv_detail_code,remaining_amt, payrec, mode_code,coinsurance_code,class_cd,it_remarks) values('30Sep240040','070000164467','25500',(select max(to_number(i.premium_rcv_detail_code))+1
from ins_premium_det i),'25500','25500','02', '11000003','00','Request by Mr. Saqib Saleem 30-Sep-2024 allocation 30Sep240040');</v>
      </c>
    </row>
    <row r="108" spans="1:8" ht="90" x14ac:dyDescent="0.25">
      <c r="A108" s="10" t="s">
        <v>1525</v>
      </c>
      <c r="B108" s="11" t="s">
        <v>4518</v>
      </c>
      <c r="C108" s="17">
        <v>16734</v>
      </c>
      <c r="D108" s="12">
        <f t="shared" si="5"/>
        <v>16734</v>
      </c>
      <c r="E108" s="18" t="s">
        <v>4411</v>
      </c>
      <c r="F108" s="13" t="str">
        <f t="shared" si="4"/>
        <v>insert into ins_premium_det (premium_rcv_code,assorted_code, rec_amount,premium_rcv_detail_code,remaining_amt, payrec, mode_code,coinsurance_code,class_cd,it_remarks) values</v>
      </c>
      <c r="G108" s="14" t="str">
        <f t="shared" si="6"/>
        <v>('30Sep240040','070000164468','16734',(select max(to_number(i.premium_rcv_detail_code))+1
from ins_premium_det i),'16734','16734','02', '11000003','00','Request by Mr. Saqib Saleem 30-Sep-2024 allocation 30Sep240040');</v>
      </c>
      <c r="H108" s="15" t="str">
        <f t="shared" si="7"/>
        <v>insert into ins_premium_det (premium_rcv_code,assorted_code, rec_amount,premium_rcv_detail_code,remaining_amt, payrec, mode_code,coinsurance_code,class_cd,it_remarks) values('30Sep240040','070000164468','16734',(select max(to_number(i.premium_rcv_detail_code))+1
from ins_premium_det i),'16734','16734','02', '11000003','00','Request by Mr. Saqib Saleem 30-Sep-2024 allocation 30Sep240040');</v>
      </c>
    </row>
    <row r="109" spans="1:8" ht="90" x14ac:dyDescent="0.25">
      <c r="A109" s="9" t="s">
        <v>1538</v>
      </c>
      <c r="B109" s="11" t="s">
        <v>4519</v>
      </c>
      <c r="C109" s="16">
        <v>46856</v>
      </c>
      <c r="D109" s="12">
        <f t="shared" si="5"/>
        <v>46856</v>
      </c>
      <c r="E109" s="18" t="s">
        <v>4411</v>
      </c>
      <c r="F109" s="13" t="str">
        <f t="shared" si="4"/>
        <v>insert into ins_premium_det (premium_rcv_code,assorted_code, rec_amount,premium_rcv_detail_code,remaining_amt, payrec, mode_code,coinsurance_code,class_cd,it_remarks) values</v>
      </c>
      <c r="G109" s="14" t="str">
        <f t="shared" si="6"/>
        <v>('30Sep240040','070000164469','46856',(select max(to_number(i.premium_rcv_detail_code))+1
from ins_premium_det i),'46856','46856','02', '11000003','00','Request by Mr. Saqib Saleem 30-Sep-2024 allocation 30Sep240040');</v>
      </c>
      <c r="H109" s="15" t="str">
        <f t="shared" si="7"/>
        <v>insert into ins_premium_det (premium_rcv_code,assorted_code, rec_amount,premium_rcv_detail_code,remaining_amt, payrec, mode_code,coinsurance_code,class_cd,it_remarks) values('30Sep240040','070000164469','46856',(select max(to_number(i.premium_rcv_detail_code))+1
from ins_premium_det i),'46856','46856','02', '11000003','00','Request by Mr. Saqib Saleem 30-Sep-2024 allocation 30Sep240040');</v>
      </c>
    </row>
    <row r="110" spans="1:8" ht="90" x14ac:dyDescent="0.25">
      <c r="A110" s="10" t="s">
        <v>1551</v>
      </c>
      <c r="B110" s="11" t="s">
        <v>4520</v>
      </c>
      <c r="C110" s="17">
        <v>40148</v>
      </c>
      <c r="D110" s="12">
        <f t="shared" si="5"/>
        <v>40148</v>
      </c>
      <c r="E110" s="18" t="s">
        <v>4411</v>
      </c>
      <c r="F110" s="13" t="str">
        <f t="shared" si="4"/>
        <v>insert into ins_premium_det (premium_rcv_code,assorted_code, rec_amount,premium_rcv_detail_code,remaining_amt, payrec, mode_code,coinsurance_code,class_cd,it_remarks) values</v>
      </c>
      <c r="G110" s="14" t="str">
        <f t="shared" si="6"/>
        <v>('30Sep240040','070000164470','40148',(select max(to_number(i.premium_rcv_detail_code))+1
from ins_premium_det i),'40148','40148','02', '11000003','00','Request by Mr. Saqib Saleem 30-Sep-2024 allocation 30Sep240040');</v>
      </c>
      <c r="H110" s="15" t="str">
        <f t="shared" si="7"/>
        <v>insert into ins_premium_det (premium_rcv_code,assorted_code, rec_amount,premium_rcv_detail_code,remaining_amt, payrec, mode_code,coinsurance_code,class_cd,it_remarks) values('30Sep240040','070000164470','40148',(select max(to_number(i.premium_rcv_detail_code))+1
from ins_premium_det i),'40148','40148','02', '11000003','00','Request by Mr. Saqib Saleem 30-Sep-2024 allocation 30Sep240040');</v>
      </c>
    </row>
    <row r="111" spans="1:8" ht="90" x14ac:dyDescent="0.25">
      <c r="A111" s="9" t="s">
        <v>1562</v>
      </c>
      <c r="B111" s="11" t="s">
        <v>4521</v>
      </c>
      <c r="C111" s="16">
        <v>66948</v>
      </c>
      <c r="D111" s="12">
        <f t="shared" si="5"/>
        <v>66948</v>
      </c>
      <c r="E111" s="18" t="s">
        <v>4411</v>
      </c>
      <c r="F111" s="13" t="str">
        <f t="shared" si="4"/>
        <v>insert into ins_premium_det (premium_rcv_code,assorted_code, rec_amount,premium_rcv_detail_code,remaining_amt, payrec, mode_code,coinsurance_code,class_cd,it_remarks) values</v>
      </c>
      <c r="G111" s="14" t="str">
        <f t="shared" si="6"/>
        <v>('30Sep240040','070000164268','66948',(select max(to_number(i.premium_rcv_detail_code))+1
from ins_premium_det i),'66948','66948','02', '11000003','00','Request by Mr. Saqib Saleem 30-Sep-2024 allocation 30Sep240040');</v>
      </c>
      <c r="H111" s="15" t="str">
        <f t="shared" si="7"/>
        <v>insert into ins_premium_det (premium_rcv_code,assorted_code, rec_amount,premium_rcv_detail_code,remaining_amt, payrec, mode_code,coinsurance_code,class_cd,it_remarks) values('30Sep240040','070000164268','66948',(select max(to_number(i.premium_rcv_detail_code))+1
from ins_premium_det i),'66948','66948','02', '11000003','00','Request by Mr. Saqib Saleem 30-Sep-2024 allocation 30Sep240040');</v>
      </c>
    </row>
    <row r="112" spans="1:8" ht="90" x14ac:dyDescent="0.25">
      <c r="A112" s="10" t="s">
        <v>1576</v>
      </c>
      <c r="B112" s="11" t="s">
        <v>4522</v>
      </c>
      <c r="C112" s="17">
        <v>64788</v>
      </c>
      <c r="D112" s="12">
        <f t="shared" si="5"/>
        <v>64788</v>
      </c>
      <c r="E112" s="18" t="s">
        <v>4411</v>
      </c>
      <c r="F112" s="13" t="str">
        <f t="shared" si="4"/>
        <v>insert into ins_premium_det (premium_rcv_code,assorted_code, rec_amount,premium_rcv_detail_code,remaining_amt, payrec, mode_code,coinsurance_code,class_cd,it_remarks) values</v>
      </c>
      <c r="G112" s="14" t="str">
        <f t="shared" si="6"/>
        <v>('30Sep240040','070000164271','64788',(select max(to_number(i.premium_rcv_detail_code))+1
from ins_premium_det i),'64788','64788','02', '11000003','00','Request by Mr. Saqib Saleem 30-Sep-2024 allocation 30Sep240040');</v>
      </c>
      <c r="H112" s="15" t="str">
        <f t="shared" si="7"/>
        <v>insert into ins_premium_det (premium_rcv_code,assorted_code, rec_amount,premium_rcv_detail_code,remaining_amt, payrec, mode_code,coinsurance_code,class_cd,it_remarks) values('30Sep240040','070000164271','64788',(select max(to_number(i.premium_rcv_detail_code))+1
from ins_premium_det i),'64788','64788','02', '11000003','00','Request by Mr. Saqib Saleem 30-Sep-2024 allocation 30Sep240040');</v>
      </c>
    </row>
    <row r="113" spans="1:8" ht="90" x14ac:dyDescent="0.25">
      <c r="A113" s="9" t="s">
        <v>1587</v>
      </c>
      <c r="B113" s="11" t="s">
        <v>4523</v>
      </c>
      <c r="C113" s="16">
        <v>47200</v>
      </c>
      <c r="D113" s="12">
        <f t="shared" si="5"/>
        <v>47200</v>
      </c>
      <c r="E113" s="18" t="s">
        <v>4411</v>
      </c>
      <c r="F113" s="13" t="str">
        <f t="shared" si="4"/>
        <v>insert into ins_premium_det (premium_rcv_code,assorted_code, rec_amount,premium_rcv_detail_code,remaining_amt, payrec, mode_code,coinsurance_code,class_cd,it_remarks) values</v>
      </c>
      <c r="G113" s="14" t="str">
        <f t="shared" si="6"/>
        <v>('30Sep240040','070000164273','47200',(select max(to_number(i.premium_rcv_detail_code))+1
from ins_premium_det i),'47200','47200','02', '11000003','00','Request by Mr. Saqib Saleem 30-Sep-2024 allocation 30Sep240040');</v>
      </c>
      <c r="H113" s="15" t="str">
        <f t="shared" si="7"/>
        <v>insert into ins_premium_det (premium_rcv_code,assorted_code, rec_amount,premium_rcv_detail_code,remaining_amt, payrec, mode_code,coinsurance_code,class_cd,it_remarks) values('30Sep240040','070000164273','47200',(select max(to_number(i.premium_rcv_detail_code))+1
from ins_premium_det i),'47200','47200','02', '11000003','00','Request by Mr. Saqib Saleem 30-Sep-2024 allocation 30Sep240040');</v>
      </c>
    </row>
    <row r="114" spans="1:8" ht="90" x14ac:dyDescent="0.25">
      <c r="A114" s="10" t="s">
        <v>1602</v>
      </c>
      <c r="B114" s="11" t="s">
        <v>4524</v>
      </c>
      <c r="C114" s="17">
        <v>53250</v>
      </c>
      <c r="D114" s="12">
        <f t="shared" si="5"/>
        <v>53250</v>
      </c>
      <c r="E114" s="18" t="s">
        <v>4411</v>
      </c>
      <c r="F114" s="13" t="str">
        <f t="shared" si="4"/>
        <v>insert into ins_premium_det (premium_rcv_code,assorted_code, rec_amount,premium_rcv_detail_code,remaining_amt, payrec, mode_code,coinsurance_code,class_cd,it_remarks) values</v>
      </c>
      <c r="G114" s="14" t="str">
        <f t="shared" si="6"/>
        <v>('30Sep240040','070000164274','53250',(select max(to_number(i.premium_rcv_detail_code))+1
from ins_premium_det i),'53250','53250','02', '11000003','00','Request by Mr. Saqib Saleem 30-Sep-2024 allocation 30Sep240040');</v>
      </c>
      <c r="H114" s="15" t="str">
        <f t="shared" si="7"/>
        <v>insert into ins_premium_det (premium_rcv_code,assorted_code, rec_amount,premium_rcv_detail_code,remaining_amt, payrec, mode_code,coinsurance_code,class_cd,it_remarks) values('30Sep240040','070000164274','53250',(select max(to_number(i.premium_rcv_detail_code))+1
from ins_premium_det i),'53250','53250','02', '11000003','00','Request by Mr. Saqib Saleem 30-Sep-2024 allocation 30Sep240040');</v>
      </c>
    </row>
    <row r="115" spans="1:8" ht="90" x14ac:dyDescent="0.25">
      <c r="A115" s="9" t="s">
        <v>1613</v>
      </c>
      <c r="B115" s="11" t="s">
        <v>4525</v>
      </c>
      <c r="C115" s="16">
        <v>34080</v>
      </c>
      <c r="D115" s="12">
        <f t="shared" si="5"/>
        <v>34080</v>
      </c>
      <c r="E115" s="18" t="s">
        <v>4411</v>
      </c>
      <c r="F115" s="13" t="str">
        <f t="shared" si="4"/>
        <v>insert into ins_premium_det (premium_rcv_code,assorted_code, rec_amount,premium_rcv_detail_code,remaining_amt, payrec, mode_code,coinsurance_code,class_cd,it_remarks) values</v>
      </c>
      <c r="G115" s="14" t="str">
        <f t="shared" si="6"/>
        <v>('30Sep240040','070000164474','34080',(select max(to_number(i.premium_rcv_detail_code))+1
from ins_premium_det i),'34080','34080','02', '11000003','00','Request by Mr. Saqib Saleem 30-Sep-2024 allocation 30Sep240040');</v>
      </c>
      <c r="H115" s="15" t="str">
        <f t="shared" si="7"/>
        <v>insert into ins_premium_det (premium_rcv_code,assorted_code, rec_amount,premium_rcv_detail_code,remaining_amt, payrec, mode_code,coinsurance_code,class_cd,it_remarks) values('30Sep240040','070000164474','34080',(select max(to_number(i.premium_rcv_detail_code))+1
from ins_premium_det i),'34080','34080','02', '11000003','00','Request by Mr. Saqib Saleem 30-Sep-2024 allocation 30Sep240040');</v>
      </c>
    </row>
    <row r="116" spans="1:8" ht="90" x14ac:dyDescent="0.25">
      <c r="A116" s="10" t="s">
        <v>1628</v>
      </c>
      <c r="B116" s="11" t="s">
        <v>4526</v>
      </c>
      <c r="C116" s="17">
        <v>54080</v>
      </c>
      <c r="D116" s="12">
        <f t="shared" si="5"/>
        <v>54080</v>
      </c>
      <c r="E116" s="18" t="s">
        <v>4411</v>
      </c>
      <c r="F116" s="13" t="str">
        <f t="shared" si="4"/>
        <v>insert into ins_premium_det (premium_rcv_code,assorted_code, rec_amount,premium_rcv_detail_code,remaining_amt, payrec, mode_code,coinsurance_code,class_cd,it_remarks) values</v>
      </c>
      <c r="G116" s="14" t="str">
        <f t="shared" si="6"/>
        <v>('30Sep240040','070000164475','54080',(select max(to_number(i.premium_rcv_detail_code))+1
from ins_premium_det i),'54080','54080','02', '11000003','00','Request by Mr. Saqib Saleem 30-Sep-2024 allocation 30Sep240040');</v>
      </c>
      <c r="H116" s="15" t="str">
        <f t="shared" si="7"/>
        <v>insert into ins_premium_det (premium_rcv_code,assorted_code, rec_amount,premium_rcv_detail_code,remaining_amt, payrec, mode_code,coinsurance_code,class_cd,it_remarks) values('30Sep240040','070000164475','54080',(select max(to_number(i.premium_rcv_detail_code))+1
from ins_premium_det i),'54080','54080','02', '11000003','00','Request by Mr. Saqib Saleem 30-Sep-2024 allocation 30Sep240040');</v>
      </c>
    </row>
    <row r="117" spans="1:8" ht="90" x14ac:dyDescent="0.25">
      <c r="A117" s="9" t="s">
        <v>1639</v>
      </c>
      <c r="B117" s="11" t="s">
        <v>4527</v>
      </c>
      <c r="C117" s="16">
        <v>34368</v>
      </c>
      <c r="D117" s="12">
        <f t="shared" si="5"/>
        <v>34368</v>
      </c>
      <c r="E117" s="18" t="s">
        <v>4411</v>
      </c>
      <c r="F117" s="13" t="str">
        <f t="shared" si="4"/>
        <v>insert into ins_premium_det (premium_rcv_code,assorted_code, rec_amount,premium_rcv_detail_code,remaining_amt, payrec, mode_code,coinsurance_code,class_cd,it_remarks) values</v>
      </c>
      <c r="G117" s="14" t="str">
        <f t="shared" si="6"/>
        <v>('30Sep240040','070000164275','34368',(select max(to_number(i.premium_rcv_detail_code))+1
from ins_premium_det i),'34368','34368','02', '11000003','00','Request by Mr. Saqib Saleem 30-Sep-2024 allocation 30Sep240040');</v>
      </c>
      <c r="H117" s="15" t="str">
        <f t="shared" si="7"/>
        <v>insert into ins_premium_det (premium_rcv_code,assorted_code, rec_amount,premium_rcv_detail_code,remaining_amt, payrec, mode_code,coinsurance_code,class_cd,it_remarks) values('30Sep240040','070000164275','34368',(select max(to_number(i.premium_rcv_detail_code))+1
from ins_premium_det i),'34368','34368','02', '11000003','00','Request by Mr. Saqib Saleem 30-Sep-2024 allocation 30Sep240040');</v>
      </c>
    </row>
    <row r="118" spans="1:8" ht="90" x14ac:dyDescent="0.25">
      <c r="A118" s="10" t="s">
        <v>1652</v>
      </c>
      <c r="B118" s="11" t="s">
        <v>4528</v>
      </c>
      <c r="C118" s="17">
        <v>66192</v>
      </c>
      <c r="D118" s="12">
        <f t="shared" si="5"/>
        <v>66192</v>
      </c>
      <c r="E118" s="18" t="s">
        <v>4411</v>
      </c>
      <c r="F118" s="13" t="str">
        <f t="shared" si="4"/>
        <v>insert into ins_premium_det (premium_rcv_code,assorted_code, rec_amount,premium_rcv_detail_code,remaining_amt, payrec, mode_code,coinsurance_code,class_cd,it_remarks) values</v>
      </c>
      <c r="G118" s="14" t="str">
        <f t="shared" si="6"/>
        <v>('30Sep240040','070000164477','66192',(select max(to_number(i.premium_rcv_detail_code))+1
from ins_premium_det i),'66192','66192','02', '11000003','00','Request by Mr. Saqib Saleem 30-Sep-2024 allocation 30Sep240040');</v>
      </c>
      <c r="H118" s="15" t="str">
        <f t="shared" si="7"/>
        <v>insert into ins_premium_det (premium_rcv_code,assorted_code, rec_amount,premium_rcv_detail_code,remaining_amt, payrec, mode_code,coinsurance_code,class_cd,it_remarks) values('30Sep240040','070000164477','66192',(select max(to_number(i.premium_rcv_detail_code))+1
from ins_premium_det i),'66192','66192','02', '11000003','00','Request by Mr. Saqib Saleem 30-Sep-2024 allocation 30Sep240040');</v>
      </c>
    </row>
    <row r="119" spans="1:8" ht="90" x14ac:dyDescent="0.25">
      <c r="A119" s="9" t="s">
        <v>1665</v>
      </c>
      <c r="B119" s="11" t="s">
        <v>4529</v>
      </c>
      <c r="C119" s="16">
        <v>75586</v>
      </c>
      <c r="D119" s="12">
        <f t="shared" si="5"/>
        <v>75586</v>
      </c>
      <c r="E119" s="18" t="s">
        <v>4411</v>
      </c>
      <c r="F119" s="13" t="str">
        <f t="shared" si="4"/>
        <v>insert into ins_premium_det (premium_rcv_code,assorted_code, rec_amount,premium_rcv_detail_code,remaining_amt, payrec, mode_code,coinsurance_code,class_cd,it_remarks) values</v>
      </c>
      <c r="G119" s="14" t="str">
        <f t="shared" si="6"/>
        <v>('30Sep240040','070000164478','75586',(select max(to_number(i.premium_rcv_detail_code))+1
from ins_premium_det i),'75586','75586','02', '11000003','00','Request by Mr. Saqib Saleem 30-Sep-2024 allocation 30Sep240040');</v>
      </c>
      <c r="H119" s="15" t="str">
        <f t="shared" si="7"/>
        <v>insert into ins_premium_det (premium_rcv_code,assorted_code, rec_amount,premium_rcv_detail_code,remaining_amt, payrec, mode_code,coinsurance_code,class_cd,it_remarks) values('30Sep240040','070000164478','75586',(select max(to_number(i.premium_rcv_detail_code))+1
from ins_premium_det i),'75586','75586','02', '11000003','00','Request by Mr. Saqib Saleem 30-Sep-2024 allocation 30Sep240040');</v>
      </c>
    </row>
    <row r="120" spans="1:8" ht="90" x14ac:dyDescent="0.25">
      <c r="A120" s="10" t="s">
        <v>1679</v>
      </c>
      <c r="B120" s="11" t="s">
        <v>4530</v>
      </c>
      <c r="C120" s="17">
        <v>98679</v>
      </c>
      <c r="D120" s="12">
        <f t="shared" si="5"/>
        <v>98679</v>
      </c>
      <c r="E120" s="18" t="s">
        <v>4411</v>
      </c>
      <c r="F120" s="13" t="str">
        <f t="shared" si="4"/>
        <v>insert into ins_premium_det (premium_rcv_code,assorted_code, rec_amount,premium_rcv_detail_code,remaining_amt, payrec, mode_code,coinsurance_code,class_cd,it_remarks) values</v>
      </c>
      <c r="G120" s="14" t="str">
        <f t="shared" si="6"/>
        <v>('30Sep240040','070000164479','98679',(select max(to_number(i.premium_rcv_detail_code))+1
from ins_premium_det i),'98679','98679','02', '11000003','00','Request by Mr. Saqib Saleem 30-Sep-2024 allocation 30Sep240040');</v>
      </c>
      <c r="H120" s="15" t="str">
        <f t="shared" si="7"/>
        <v>insert into ins_premium_det (premium_rcv_code,assorted_code, rec_amount,premium_rcv_detail_code,remaining_amt, payrec, mode_code,coinsurance_code,class_cd,it_remarks) values('30Sep240040','070000164479','98679',(select max(to_number(i.premium_rcv_detail_code))+1
from ins_premium_det i),'98679','98679','02', '11000003','00','Request by Mr. Saqib Saleem 30-Sep-2024 allocation 30Sep240040');</v>
      </c>
    </row>
    <row r="121" spans="1:8" ht="90" x14ac:dyDescent="0.25">
      <c r="A121" s="9" t="s">
        <v>1690</v>
      </c>
      <c r="B121" s="11" t="s">
        <v>4531</v>
      </c>
      <c r="C121" s="16">
        <v>39525</v>
      </c>
      <c r="D121" s="12">
        <f t="shared" si="5"/>
        <v>39525</v>
      </c>
      <c r="E121" s="18" t="s">
        <v>4411</v>
      </c>
      <c r="F121" s="13" t="str">
        <f t="shared" si="4"/>
        <v>insert into ins_premium_det (premium_rcv_code,assorted_code, rec_amount,premium_rcv_detail_code,remaining_amt, payrec, mode_code,coinsurance_code,class_cd,it_remarks) values</v>
      </c>
      <c r="G121" s="14" t="str">
        <f t="shared" si="6"/>
        <v>('30Sep240040','070000164276','39525',(select max(to_number(i.premium_rcv_detail_code))+1
from ins_premium_det i),'39525','39525','02', '11000003','00','Request by Mr. Saqib Saleem 30-Sep-2024 allocation 30Sep240040');</v>
      </c>
      <c r="H121" s="15" t="str">
        <f t="shared" si="7"/>
        <v>insert into ins_premium_det (premium_rcv_code,assorted_code, rec_amount,premium_rcv_detail_code,remaining_amt, payrec, mode_code,coinsurance_code,class_cd,it_remarks) values('30Sep240040','070000164276','39525',(select max(to_number(i.premium_rcv_detail_code))+1
from ins_premium_det i),'39525','39525','02', '11000003','00','Request by Mr. Saqib Saleem 30-Sep-2024 allocation 30Sep240040');</v>
      </c>
    </row>
    <row r="122" spans="1:8" ht="90" x14ac:dyDescent="0.25">
      <c r="A122" s="10" t="s">
        <v>1703</v>
      </c>
      <c r="B122" s="11" t="s">
        <v>4532</v>
      </c>
      <c r="C122" s="17">
        <v>36640</v>
      </c>
      <c r="D122" s="12">
        <f t="shared" si="5"/>
        <v>36640</v>
      </c>
      <c r="E122" s="18" t="s">
        <v>4411</v>
      </c>
      <c r="F122" s="13" t="str">
        <f t="shared" si="4"/>
        <v>insert into ins_premium_det (premium_rcv_code,assorted_code, rec_amount,premium_rcv_detail_code,remaining_amt, payrec, mode_code,coinsurance_code,class_cd,it_remarks) values</v>
      </c>
      <c r="G122" s="14" t="str">
        <f t="shared" si="6"/>
        <v>('30Sep240040','070000164277','36640',(select max(to_number(i.premium_rcv_detail_code))+1
from ins_premium_det i),'36640','36640','02', '11000003','00','Request by Mr. Saqib Saleem 30-Sep-2024 allocation 30Sep240040');</v>
      </c>
      <c r="H122" s="15" t="str">
        <f t="shared" si="7"/>
        <v>insert into ins_premium_det (premium_rcv_code,assorted_code, rec_amount,premium_rcv_detail_code,remaining_amt, payrec, mode_code,coinsurance_code,class_cd,it_remarks) values('30Sep240040','070000164277','36640',(select max(to_number(i.premium_rcv_detail_code))+1
from ins_premium_det i),'36640','36640','02', '11000003','00','Request by Mr. Saqib Saleem 30-Sep-2024 allocation 30Sep240040');</v>
      </c>
    </row>
    <row r="123" spans="1:8" ht="90" x14ac:dyDescent="0.25">
      <c r="A123" s="9" t="s">
        <v>1716</v>
      </c>
      <c r="B123" s="11" t="s">
        <v>4533</v>
      </c>
      <c r="C123" s="16">
        <v>19168</v>
      </c>
      <c r="D123" s="12">
        <f t="shared" si="5"/>
        <v>19168</v>
      </c>
      <c r="E123" s="18" t="s">
        <v>4411</v>
      </c>
      <c r="F123" s="13" t="str">
        <f t="shared" si="4"/>
        <v>insert into ins_premium_det (premium_rcv_code,assorted_code, rec_amount,premium_rcv_detail_code,remaining_amt, payrec, mode_code,coinsurance_code,class_cd,it_remarks) values</v>
      </c>
      <c r="G123" s="14" t="str">
        <f t="shared" si="6"/>
        <v>('30Sep240040','070000164483','19168',(select max(to_number(i.premium_rcv_detail_code))+1
from ins_premium_det i),'19168','19168','02', '11000003','00','Request by Mr. Saqib Saleem 30-Sep-2024 allocation 30Sep240040');</v>
      </c>
      <c r="H123" s="15" t="str">
        <f t="shared" si="7"/>
        <v>insert into ins_premium_det (premium_rcv_code,assorted_code, rec_amount,premium_rcv_detail_code,remaining_amt, payrec, mode_code,coinsurance_code,class_cd,it_remarks) values('30Sep240040','070000164483','19168',(select max(to_number(i.premium_rcv_detail_code))+1
from ins_premium_det i),'19168','19168','02', '11000003','00','Request by Mr. Saqib Saleem 30-Sep-2024 allocation 30Sep240040');</v>
      </c>
    </row>
    <row r="124" spans="1:8" ht="90" x14ac:dyDescent="0.25">
      <c r="A124" s="10" t="s">
        <v>1730</v>
      </c>
      <c r="B124" s="11" t="s">
        <v>4534</v>
      </c>
      <c r="C124" s="17">
        <v>42000</v>
      </c>
      <c r="D124" s="12">
        <f t="shared" si="5"/>
        <v>42000</v>
      </c>
      <c r="E124" s="18" t="s">
        <v>4411</v>
      </c>
      <c r="F124" s="13" t="str">
        <f t="shared" si="4"/>
        <v>insert into ins_premium_det (premium_rcv_code,assorted_code, rec_amount,premium_rcv_detail_code,remaining_amt, payrec, mode_code,coinsurance_code,class_cd,it_remarks) values</v>
      </c>
      <c r="G124" s="14" t="str">
        <f t="shared" si="6"/>
        <v>('30Sep240040','070000164278','42000',(select max(to_number(i.premium_rcv_detail_code))+1
from ins_premium_det i),'42000','42000','02', '11000003','00','Request by Mr. Saqib Saleem 30-Sep-2024 allocation 30Sep240040');</v>
      </c>
      <c r="H124" s="15" t="str">
        <f t="shared" si="7"/>
        <v>insert into ins_premium_det (premium_rcv_code,assorted_code, rec_amount,premium_rcv_detail_code,remaining_amt, payrec, mode_code,coinsurance_code,class_cd,it_remarks) values('30Sep240040','070000164278','42000',(select max(to_number(i.premium_rcv_detail_code))+1
from ins_premium_det i),'42000','42000','02', '11000003','00','Request by Mr. Saqib Saleem 30-Sep-2024 allocation 30Sep240040');</v>
      </c>
    </row>
    <row r="125" spans="1:8" ht="90" x14ac:dyDescent="0.25">
      <c r="A125" s="9" t="s">
        <v>1743</v>
      </c>
      <c r="B125" s="11" t="s">
        <v>4535</v>
      </c>
      <c r="C125" s="16">
        <v>26240</v>
      </c>
      <c r="D125" s="12">
        <f t="shared" si="5"/>
        <v>26240</v>
      </c>
      <c r="E125" s="18" t="s">
        <v>4411</v>
      </c>
      <c r="F125" s="13" t="str">
        <f t="shared" si="4"/>
        <v>insert into ins_premium_det (premium_rcv_code,assorted_code, rec_amount,premium_rcv_detail_code,remaining_amt, payrec, mode_code,coinsurance_code,class_cd,it_remarks) values</v>
      </c>
      <c r="G125" s="14" t="str">
        <f t="shared" si="6"/>
        <v>('30Sep240040','070000164485','26240',(select max(to_number(i.premium_rcv_detail_code))+1
from ins_premium_det i),'26240','26240','02', '11000003','00','Request by Mr. Saqib Saleem 30-Sep-2024 allocation 30Sep240040');</v>
      </c>
      <c r="H125" s="15" t="str">
        <f t="shared" si="7"/>
        <v>insert into ins_premium_det (premium_rcv_code,assorted_code, rec_amount,premium_rcv_detail_code,remaining_amt, payrec, mode_code,coinsurance_code,class_cd,it_remarks) values('30Sep240040','070000164485','26240',(select max(to_number(i.premium_rcv_detail_code))+1
from ins_premium_det i),'26240','26240','02', '11000003','00','Request by Mr. Saqib Saleem 30-Sep-2024 allocation 30Sep240040');</v>
      </c>
    </row>
    <row r="126" spans="1:8" ht="90" x14ac:dyDescent="0.25">
      <c r="A126" s="10" t="s">
        <v>1755</v>
      </c>
      <c r="B126" s="11" t="s">
        <v>4536</v>
      </c>
      <c r="C126" s="17">
        <v>27680</v>
      </c>
      <c r="D126" s="12">
        <f t="shared" si="5"/>
        <v>27680</v>
      </c>
      <c r="E126" s="18" t="s">
        <v>4411</v>
      </c>
      <c r="F126" s="13" t="str">
        <f t="shared" si="4"/>
        <v>insert into ins_premium_det (premium_rcv_code,assorted_code, rec_amount,premium_rcv_detail_code,remaining_amt, payrec, mode_code,coinsurance_code,class_cd,it_remarks) values</v>
      </c>
      <c r="G126" s="14" t="str">
        <f t="shared" si="6"/>
        <v>('30Sep240040','070000164486','27680',(select max(to_number(i.premium_rcv_detail_code))+1
from ins_premium_det i),'27680','27680','02', '11000003','00','Request by Mr. Saqib Saleem 30-Sep-2024 allocation 30Sep240040');</v>
      </c>
      <c r="H126" s="15" t="str">
        <f t="shared" si="7"/>
        <v>insert into ins_premium_det (premium_rcv_code,assorted_code, rec_amount,premium_rcv_detail_code,remaining_amt, payrec, mode_code,coinsurance_code,class_cd,it_remarks) values('30Sep240040','070000164486','27680',(select max(to_number(i.premium_rcv_detail_code))+1
from ins_premium_det i),'27680','27680','02', '11000003','00','Request by Mr. Saqib Saleem 30-Sep-2024 allocation 30Sep240040');</v>
      </c>
    </row>
    <row r="127" spans="1:8" ht="90" x14ac:dyDescent="0.25">
      <c r="A127" s="9" t="s">
        <v>1767</v>
      </c>
      <c r="B127" s="11" t="s">
        <v>4537</v>
      </c>
      <c r="C127" s="16">
        <v>34182</v>
      </c>
      <c r="D127" s="12">
        <f t="shared" si="5"/>
        <v>34182</v>
      </c>
      <c r="E127" s="18" t="s">
        <v>4411</v>
      </c>
      <c r="F127" s="13" t="str">
        <f t="shared" si="4"/>
        <v>insert into ins_premium_det (premium_rcv_code,assorted_code, rec_amount,premium_rcv_detail_code,remaining_amt, payrec, mode_code,coinsurance_code,class_cd,it_remarks) values</v>
      </c>
      <c r="G127" s="14" t="str">
        <f t="shared" si="6"/>
        <v>('30Sep240040','070000164279','34182',(select max(to_number(i.premium_rcv_detail_code))+1
from ins_premium_det i),'34182','34182','02', '11000003','00','Request by Mr. Saqib Saleem 30-Sep-2024 allocation 30Sep240040');</v>
      </c>
      <c r="H127" s="15" t="str">
        <f t="shared" si="7"/>
        <v>insert into ins_premium_det (premium_rcv_code,assorted_code, rec_amount,premium_rcv_detail_code,remaining_amt, payrec, mode_code,coinsurance_code,class_cd,it_remarks) values('30Sep240040','070000164279','34182',(select max(to_number(i.premium_rcv_detail_code))+1
from ins_premium_det i),'34182','34182','02', '11000003','00','Request by Mr. Saqib Saleem 30-Sep-2024 allocation 30Sep240040');</v>
      </c>
    </row>
    <row r="128" spans="1:8" ht="90" x14ac:dyDescent="0.25">
      <c r="A128" s="10" t="s">
        <v>1778</v>
      </c>
      <c r="B128" s="11" t="s">
        <v>4538</v>
      </c>
      <c r="C128" s="17">
        <v>25760</v>
      </c>
      <c r="D128" s="12">
        <f t="shared" si="5"/>
        <v>25760</v>
      </c>
      <c r="E128" s="18" t="s">
        <v>4411</v>
      </c>
      <c r="F128" s="13" t="str">
        <f t="shared" si="4"/>
        <v>insert into ins_premium_det (premium_rcv_code,assorted_code, rec_amount,premium_rcv_detail_code,remaining_amt, payrec, mode_code,coinsurance_code,class_cd,it_remarks) values</v>
      </c>
      <c r="G128" s="14" t="str">
        <f t="shared" si="6"/>
        <v>('30Sep240040','070000164280','25760',(select max(to_number(i.premium_rcv_detail_code))+1
from ins_premium_det i),'25760','25760','02', '11000003','00','Request by Mr. Saqib Saleem 30-Sep-2024 allocation 30Sep240040');</v>
      </c>
      <c r="H128" s="15" t="str">
        <f t="shared" si="7"/>
        <v>insert into ins_premium_det (premium_rcv_code,assorted_code, rec_amount,premium_rcv_detail_code,remaining_amt, payrec, mode_code,coinsurance_code,class_cd,it_remarks) values('30Sep240040','070000164280','25760',(select max(to_number(i.premium_rcv_detail_code))+1
from ins_premium_det i),'25760','25760','02', '11000003','00','Request by Mr. Saqib Saleem 30-Sep-2024 allocation 30Sep240040');</v>
      </c>
    </row>
    <row r="129" spans="1:8" ht="90" x14ac:dyDescent="0.25">
      <c r="A129" s="9" t="s">
        <v>1790</v>
      </c>
      <c r="B129" s="11" t="s">
        <v>4539</v>
      </c>
      <c r="C129" s="16">
        <v>44848</v>
      </c>
      <c r="D129" s="12">
        <f t="shared" si="5"/>
        <v>44848</v>
      </c>
      <c r="E129" s="18" t="s">
        <v>4411</v>
      </c>
      <c r="F129" s="13" t="str">
        <f t="shared" si="4"/>
        <v>insert into ins_premium_det (premium_rcv_code,assorted_code, rec_amount,premium_rcv_detail_code,remaining_amt, payrec, mode_code,coinsurance_code,class_cd,it_remarks) values</v>
      </c>
      <c r="G129" s="14" t="str">
        <f t="shared" si="6"/>
        <v>('30Sep240040','070000164490','44848',(select max(to_number(i.premium_rcv_detail_code))+1
from ins_premium_det i),'44848','44848','02', '11000003','00','Request by Mr. Saqib Saleem 30-Sep-2024 allocation 30Sep240040');</v>
      </c>
      <c r="H129" s="15" t="str">
        <f t="shared" si="7"/>
        <v>insert into ins_premium_det (premium_rcv_code,assorted_code, rec_amount,premium_rcv_detail_code,remaining_amt, payrec, mode_code,coinsurance_code,class_cd,it_remarks) values('30Sep240040','070000164490','44848',(select max(to_number(i.premium_rcv_detail_code))+1
from ins_premium_det i),'44848','44848','02', '11000003','00','Request by Mr. Saqib Saleem 30-Sep-2024 allocation 30Sep240040');</v>
      </c>
    </row>
    <row r="130" spans="1:8" ht="90" x14ac:dyDescent="0.25">
      <c r="A130" s="10" t="s">
        <v>1803</v>
      </c>
      <c r="B130" s="11" t="s">
        <v>4540</v>
      </c>
      <c r="C130" s="17">
        <v>58995</v>
      </c>
      <c r="D130" s="12">
        <f t="shared" si="5"/>
        <v>58995</v>
      </c>
      <c r="E130" s="18" t="s">
        <v>4411</v>
      </c>
      <c r="F130" s="13" t="str">
        <f t="shared" ref="F130:F193" si="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30" s="14" t="str">
        <f t="shared" si="6"/>
        <v>('30Sep240040','070000164491','58995',(select max(to_number(i.premium_rcv_detail_code))+1
from ins_premium_det i),'58995','58995','02', '11000003','00','Request by Mr. Saqib Saleem 30-Sep-2024 allocation 30Sep240040');</v>
      </c>
      <c r="H130" s="15" t="str">
        <f t="shared" si="7"/>
        <v>insert into ins_premium_det (premium_rcv_code,assorted_code, rec_amount,premium_rcv_detail_code,remaining_amt, payrec, mode_code,coinsurance_code,class_cd,it_remarks) values('30Sep240040','070000164491','58995',(select max(to_number(i.premium_rcv_detail_code))+1
from ins_premium_det i),'58995','58995','02', '11000003','00','Request by Mr. Saqib Saleem 30-Sep-2024 allocation 30Sep240040');</v>
      </c>
    </row>
    <row r="131" spans="1:8" ht="90" x14ac:dyDescent="0.25">
      <c r="A131" s="9" t="s">
        <v>1815</v>
      </c>
      <c r="B131" s="11" t="s">
        <v>4541</v>
      </c>
      <c r="C131" s="16">
        <v>30405</v>
      </c>
      <c r="D131" s="12">
        <f t="shared" ref="D131:D194" si="9">ROUND(C131,0)</f>
        <v>30405</v>
      </c>
      <c r="E131" s="18" t="s">
        <v>4411</v>
      </c>
      <c r="F131" s="13" t="str">
        <f t="shared" si="8"/>
        <v>insert into ins_premium_det (premium_rcv_code,assorted_code, rec_amount,premium_rcv_detail_code,remaining_amt, payrec, mode_code,coinsurance_code,class_cd,it_remarks) values</v>
      </c>
      <c r="G131" s="14" t="str">
        <f t="shared" ref="G131:G194" si="10">"('"&amp;E131&amp;"','"&amp;B131&amp;"','"&amp;D131&amp;"',(select max(to_number(i.premium_rcv_detail_code))+1
from ins_premium_det i),'"&amp;D131&amp;"','"&amp;D131&amp;"','02', '11000003','00','Request by Mr. Saqib Saleem 30-Sep-2024 allocation 30Sep240040');"</f>
        <v>('30Sep240040','070000164282','30405',(select max(to_number(i.premium_rcv_detail_code))+1
from ins_premium_det i),'30405','30405','02', '11000003','00','Request by Mr. Saqib Saleem 30-Sep-2024 allocation 30Sep240040');</v>
      </c>
      <c r="H131" s="15" t="str">
        <f t="shared" ref="H131:H194" si="11">F131&amp;G131</f>
        <v>insert into ins_premium_det (premium_rcv_code,assorted_code, rec_amount,premium_rcv_detail_code,remaining_amt, payrec, mode_code,coinsurance_code,class_cd,it_remarks) values('30Sep240040','070000164282','30405',(select max(to_number(i.premium_rcv_detail_code))+1
from ins_premium_det i),'30405','30405','02', '11000003','00','Request by Mr. Saqib Saleem 30-Sep-2024 allocation 30Sep240040');</v>
      </c>
    </row>
    <row r="132" spans="1:8" ht="90" x14ac:dyDescent="0.25">
      <c r="A132" s="10" t="s">
        <v>1827</v>
      </c>
      <c r="B132" s="11" t="s">
        <v>4542</v>
      </c>
      <c r="C132" s="17">
        <v>40000</v>
      </c>
      <c r="D132" s="12">
        <f t="shared" si="9"/>
        <v>40000</v>
      </c>
      <c r="E132" s="18" t="s">
        <v>4411</v>
      </c>
      <c r="F132" s="13" t="str">
        <f t="shared" si="8"/>
        <v>insert into ins_premium_det (premium_rcv_code,assorted_code, rec_amount,premium_rcv_detail_code,remaining_amt, payrec, mode_code,coinsurance_code,class_cd,it_remarks) values</v>
      </c>
      <c r="G132" s="14" t="str">
        <f t="shared" si="10"/>
        <v>('30Sep240040','070000164283','40000',(select max(to_number(i.premium_rcv_detail_code))+1
from ins_premium_det i),'40000','40000','02', '11000003','00','Request by Mr. Saqib Saleem 30-Sep-2024 allocation 30Sep240040');</v>
      </c>
      <c r="H132" s="15" t="str">
        <f t="shared" si="11"/>
        <v>insert into ins_premium_det (premium_rcv_code,assorted_code, rec_amount,premium_rcv_detail_code,remaining_amt, payrec, mode_code,coinsurance_code,class_cd,it_remarks) values('30Sep240040','070000164283','40000',(select max(to_number(i.premium_rcv_detail_code))+1
from ins_premium_det i),'40000','40000','02', '11000003','00','Request by Mr. Saqib Saleem 30-Sep-2024 allocation 30Sep240040');</v>
      </c>
    </row>
    <row r="133" spans="1:8" ht="90" x14ac:dyDescent="0.25">
      <c r="A133" s="9" t="s">
        <v>1841</v>
      </c>
      <c r="B133" s="11" t="s">
        <v>4543</v>
      </c>
      <c r="C133" s="16">
        <v>27200</v>
      </c>
      <c r="D133" s="12">
        <f t="shared" si="9"/>
        <v>27200</v>
      </c>
      <c r="E133" s="18" t="s">
        <v>4411</v>
      </c>
      <c r="F133" s="13" t="str">
        <f t="shared" si="8"/>
        <v>insert into ins_premium_det (premium_rcv_code,assorted_code, rec_amount,premium_rcv_detail_code,remaining_amt, payrec, mode_code,coinsurance_code,class_cd,it_remarks) values</v>
      </c>
      <c r="G133" s="14" t="str">
        <f t="shared" si="10"/>
        <v>('30Sep240040','070000164284','27200',(select max(to_number(i.premium_rcv_detail_code))+1
from ins_premium_det i),'27200','27200','02', '11000003','00','Request by Mr. Saqib Saleem 30-Sep-2024 allocation 30Sep240040');</v>
      </c>
      <c r="H133" s="15" t="str">
        <f t="shared" si="11"/>
        <v>insert into ins_premium_det (premium_rcv_code,assorted_code, rec_amount,premium_rcv_detail_code,remaining_amt, payrec, mode_code,coinsurance_code,class_cd,it_remarks) values('30Sep240040','070000164284','27200',(select max(to_number(i.premium_rcv_detail_code))+1
from ins_premium_det i),'27200','27200','02', '11000003','00','Request by Mr. Saqib Saleem 30-Sep-2024 allocation 30Sep240040');</v>
      </c>
    </row>
    <row r="134" spans="1:8" ht="90" x14ac:dyDescent="0.25">
      <c r="A134" s="10" t="s">
        <v>1854</v>
      </c>
      <c r="B134" s="11" t="s">
        <v>4544</v>
      </c>
      <c r="C134" s="17">
        <v>31500</v>
      </c>
      <c r="D134" s="12">
        <f t="shared" si="9"/>
        <v>31500</v>
      </c>
      <c r="E134" s="18" t="s">
        <v>4411</v>
      </c>
      <c r="F134" s="13" t="str">
        <f t="shared" si="8"/>
        <v>insert into ins_premium_det (premium_rcv_code,assorted_code, rec_amount,premium_rcv_detail_code,remaining_amt, payrec, mode_code,coinsurance_code,class_cd,it_remarks) values</v>
      </c>
      <c r="G134" s="14" t="str">
        <f t="shared" si="10"/>
        <v>('30Sep240040','070000164285','31500',(select max(to_number(i.premium_rcv_detail_code))+1
from ins_premium_det i),'31500','31500','02', '11000003','00','Request by Mr. Saqib Saleem 30-Sep-2024 allocation 30Sep240040');</v>
      </c>
      <c r="H134" s="15" t="str">
        <f t="shared" si="11"/>
        <v>insert into ins_premium_det (premium_rcv_code,assorted_code, rec_amount,premium_rcv_detail_code,remaining_amt, payrec, mode_code,coinsurance_code,class_cd,it_remarks) values('30Sep240040','070000164285','31500',(select max(to_number(i.premium_rcv_detail_code))+1
from ins_premium_det i),'31500','31500','02', '11000003','00','Request by Mr. Saqib Saleem 30-Sep-2024 allocation 30Sep240040');</v>
      </c>
    </row>
    <row r="135" spans="1:8" ht="90" x14ac:dyDescent="0.25">
      <c r="A135" s="9" t="s">
        <v>1868</v>
      </c>
      <c r="B135" s="11" t="s">
        <v>4545</v>
      </c>
      <c r="C135" s="16">
        <v>53535</v>
      </c>
      <c r="D135" s="12">
        <f t="shared" si="9"/>
        <v>53535</v>
      </c>
      <c r="E135" s="18" t="s">
        <v>4411</v>
      </c>
      <c r="F135" s="13" t="str">
        <f t="shared" si="8"/>
        <v>insert into ins_premium_det (premium_rcv_code,assorted_code, rec_amount,premium_rcv_detail_code,remaining_amt, payrec, mode_code,coinsurance_code,class_cd,it_remarks) values</v>
      </c>
      <c r="G135" s="14" t="str">
        <f t="shared" si="10"/>
        <v>('30Sep240040','070000164497','53535',(select max(to_number(i.premium_rcv_detail_code))+1
from ins_premium_det i),'53535','53535','02', '11000003','00','Request by Mr. Saqib Saleem 30-Sep-2024 allocation 30Sep240040');</v>
      </c>
      <c r="H135" s="15" t="str">
        <f t="shared" si="11"/>
        <v>insert into ins_premium_det (premium_rcv_code,assorted_code, rec_amount,premium_rcv_detail_code,remaining_amt, payrec, mode_code,coinsurance_code,class_cd,it_remarks) values('30Sep240040','070000164497','53535',(select max(to_number(i.premium_rcv_detail_code))+1
from ins_premium_det i),'53535','53535','02', '11000003','00','Request by Mr. Saqib Saleem 30-Sep-2024 allocation 30Sep240040');</v>
      </c>
    </row>
    <row r="136" spans="1:8" ht="90" x14ac:dyDescent="0.25">
      <c r="A136" s="10" t="s">
        <v>1881</v>
      </c>
      <c r="B136" s="11" t="s">
        <v>4546</v>
      </c>
      <c r="C136" s="17">
        <v>29699</v>
      </c>
      <c r="D136" s="12">
        <f t="shared" si="9"/>
        <v>29699</v>
      </c>
      <c r="E136" s="18" t="s">
        <v>4411</v>
      </c>
      <c r="F136" s="13" t="str">
        <f t="shared" si="8"/>
        <v>insert into ins_premium_det (premium_rcv_code,assorted_code, rec_amount,premium_rcv_detail_code,remaining_amt, payrec, mode_code,coinsurance_code,class_cd,it_remarks) values</v>
      </c>
      <c r="G136" s="14" t="str">
        <f t="shared" si="10"/>
        <v>('30Sep240040','070000164498','29699',(select max(to_number(i.premium_rcv_detail_code))+1
from ins_premium_det i),'29699','29699','02', '11000003','00','Request by Mr. Saqib Saleem 30-Sep-2024 allocation 30Sep240040');</v>
      </c>
      <c r="H136" s="15" t="str">
        <f t="shared" si="11"/>
        <v>insert into ins_premium_det (premium_rcv_code,assorted_code, rec_amount,premium_rcv_detail_code,remaining_amt, payrec, mode_code,coinsurance_code,class_cd,it_remarks) values('30Sep240040','070000164498','29699',(select max(to_number(i.premium_rcv_detail_code))+1
from ins_premium_det i),'29699','29699','02', '11000003','00','Request by Mr. Saqib Saleem 30-Sep-2024 allocation 30Sep240040');</v>
      </c>
    </row>
    <row r="137" spans="1:8" ht="90" x14ac:dyDescent="0.25">
      <c r="A137" s="9" t="s">
        <v>1893</v>
      </c>
      <c r="B137" s="11" t="s">
        <v>4547</v>
      </c>
      <c r="C137" s="16">
        <v>39824</v>
      </c>
      <c r="D137" s="12">
        <f t="shared" si="9"/>
        <v>39824</v>
      </c>
      <c r="E137" s="18" t="s">
        <v>4411</v>
      </c>
      <c r="F137" s="13" t="str">
        <f t="shared" si="8"/>
        <v>insert into ins_premium_det (premium_rcv_code,assorted_code, rec_amount,premium_rcv_detail_code,remaining_amt, payrec, mode_code,coinsurance_code,class_cd,it_remarks) values</v>
      </c>
      <c r="G137" s="14" t="str">
        <f t="shared" si="10"/>
        <v>('30Sep240040','070000164288','39824',(select max(to_number(i.premium_rcv_detail_code))+1
from ins_premium_det i),'39824','39824','02', '11000003','00','Request by Mr. Saqib Saleem 30-Sep-2024 allocation 30Sep240040');</v>
      </c>
      <c r="H137" s="15" t="str">
        <f t="shared" si="11"/>
        <v>insert into ins_premium_det (premium_rcv_code,assorted_code, rec_amount,premium_rcv_detail_code,remaining_amt, payrec, mode_code,coinsurance_code,class_cd,it_remarks) values('30Sep240040','070000164288','39824',(select max(to_number(i.premium_rcv_detail_code))+1
from ins_premium_det i),'39824','39824','02', '11000003','00','Request by Mr. Saqib Saleem 30-Sep-2024 allocation 30Sep240040');</v>
      </c>
    </row>
    <row r="138" spans="1:8" ht="90" x14ac:dyDescent="0.25">
      <c r="A138" s="10" t="s">
        <v>1906</v>
      </c>
      <c r="B138" s="11" t="s">
        <v>4548</v>
      </c>
      <c r="C138" s="17">
        <v>61285</v>
      </c>
      <c r="D138" s="12">
        <f t="shared" si="9"/>
        <v>61285</v>
      </c>
      <c r="E138" s="18" t="s">
        <v>4411</v>
      </c>
      <c r="F138" s="13" t="str">
        <f t="shared" si="8"/>
        <v>insert into ins_premium_det (premium_rcv_code,assorted_code, rec_amount,premium_rcv_detail_code,remaining_amt, payrec, mode_code,coinsurance_code,class_cd,it_remarks) values</v>
      </c>
      <c r="G138" s="14" t="str">
        <f t="shared" si="10"/>
        <v>('30Sep240040','070000164500','61285',(select max(to_number(i.premium_rcv_detail_code))+1
from ins_premium_det i),'61285','61285','02', '11000003','00','Request by Mr. Saqib Saleem 30-Sep-2024 allocation 30Sep240040');</v>
      </c>
      <c r="H138" s="15" t="str">
        <f t="shared" si="11"/>
        <v>insert into ins_premium_det (premium_rcv_code,assorted_code, rec_amount,premium_rcv_detail_code,remaining_amt, payrec, mode_code,coinsurance_code,class_cd,it_remarks) values('30Sep240040','070000164500','61285',(select max(to_number(i.premium_rcv_detail_code))+1
from ins_premium_det i),'61285','61285','02', '11000003','00','Request by Mr. Saqib Saleem 30-Sep-2024 allocation 30Sep240040');</v>
      </c>
    </row>
    <row r="139" spans="1:8" ht="90" x14ac:dyDescent="0.25">
      <c r="A139" s="9" t="s">
        <v>1918</v>
      </c>
      <c r="B139" s="11" t="s">
        <v>4549</v>
      </c>
      <c r="C139" s="16">
        <v>34349</v>
      </c>
      <c r="D139" s="12">
        <f t="shared" si="9"/>
        <v>34349</v>
      </c>
      <c r="E139" s="18" t="s">
        <v>4411</v>
      </c>
      <c r="F139" s="13" t="str">
        <f t="shared" si="8"/>
        <v>insert into ins_premium_det (premium_rcv_code,assorted_code, rec_amount,premium_rcv_detail_code,remaining_amt, payrec, mode_code,coinsurance_code,class_cd,it_remarks) values</v>
      </c>
      <c r="G139" s="14" t="str">
        <f t="shared" si="10"/>
        <v>('30Sep240040','070000164501','34349',(select max(to_number(i.premium_rcv_detail_code))+1
from ins_premium_det i),'34349','34349','02', '11000003','00','Request by Mr. Saqib Saleem 30-Sep-2024 allocation 30Sep240040');</v>
      </c>
      <c r="H139" s="15" t="str">
        <f t="shared" si="11"/>
        <v>insert into ins_premium_det (premium_rcv_code,assorted_code, rec_amount,premium_rcv_detail_code,remaining_amt, payrec, mode_code,coinsurance_code,class_cd,it_remarks) values('30Sep240040','070000164501','34349',(select max(to_number(i.premium_rcv_detail_code))+1
from ins_premium_det i),'34349','34349','02', '11000003','00','Request by Mr. Saqib Saleem 30-Sep-2024 allocation 30Sep240040');</v>
      </c>
    </row>
    <row r="140" spans="1:8" ht="90" x14ac:dyDescent="0.25">
      <c r="A140" s="10" t="s">
        <v>1930</v>
      </c>
      <c r="B140" s="11" t="s">
        <v>4550</v>
      </c>
      <c r="C140" s="17">
        <v>24000</v>
      </c>
      <c r="D140" s="12">
        <f t="shared" si="9"/>
        <v>24000</v>
      </c>
      <c r="E140" s="18" t="s">
        <v>4411</v>
      </c>
      <c r="F140" s="13" t="str">
        <f t="shared" si="8"/>
        <v>insert into ins_premium_det (premium_rcv_code,assorted_code, rec_amount,premium_rcv_detail_code,remaining_amt, payrec, mode_code,coinsurance_code,class_cd,it_remarks) values</v>
      </c>
      <c r="G140" s="14" t="str">
        <f t="shared" si="10"/>
        <v>('30Sep240040','070000164290','24000',(select max(to_number(i.premium_rcv_detail_code))+1
from ins_premium_det i),'24000','24000','02', '11000003','00','Request by Mr. Saqib Saleem 30-Sep-2024 allocation 30Sep240040');</v>
      </c>
      <c r="H140" s="15" t="str">
        <f t="shared" si="11"/>
        <v>insert into ins_premium_det (premium_rcv_code,assorted_code, rec_amount,premium_rcv_detail_code,remaining_amt, payrec, mode_code,coinsurance_code,class_cd,it_remarks) values('30Sep240040','070000164290','24000',(select max(to_number(i.premium_rcv_detail_code))+1
from ins_premium_det i),'24000','24000','02', '11000003','00','Request by Mr. Saqib Saleem 30-Sep-2024 allocation 30Sep240040');</v>
      </c>
    </row>
    <row r="141" spans="1:8" ht="90" x14ac:dyDescent="0.25">
      <c r="A141" s="9" t="s">
        <v>1943</v>
      </c>
      <c r="B141" s="11" t="s">
        <v>4551</v>
      </c>
      <c r="C141" s="16">
        <v>30000</v>
      </c>
      <c r="D141" s="12">
        <f t="shared" si="9"/>
        <v>30000</v>
      </c>
      <c r="E141" s="18" t="s">
        <v>4411</v>
      </c>
      <c r="F141" s="13" t="str">
        <f t="shared" si="8"/>
        <v>insert into ins_premium_det (premium_rcv_code,assorted_code, rec_amount,premium_rcv_detail_code,remaining_amt, payrec, mode_code,coinsurance_code,class_cd,it_remarks) values</v>
      </c>
      <c r="G141" s="14" t="str">
        <f t="shared" si="10"/>
        <v>('30Sep240040','070000164291','30000',(select max(to_number(i.premium_rcv_detail_code))+1
from ins_premium_det i),'30000','30000','02', '11000003','00','Request by Mr. Saqib Saleem 30-Sep-2024 allocation 30Sep240040');</v>
      </c>
      <c r="H141" s="15" t="str">
        <f t="shared" si="11"/>
        <v>insert into ins_premium_det (premium_rcv_code,assorted_code, rec_amount,premium_rcv_detail_code,remaining_amt, payrec, mode_code,coinsurance_code,class_cd,it_remarks) values('30Sep240040','070000164291','30000',(select max(to_number(i.premium_rcv_detail_code))+1
from ins_premium_det i),'30000','30000','02', '11000003','00','Request by Mr. Saqib Saleem 30-Sep-2024 allocation 30Sep240040');</v>
      </c>
    </row>
    <row r="142" spans="1:8" ht="90" x14ac:dyDescent="0.25">
      <c r="A142" s="10" t="s">
        <v>1956</v>
      </c>
      <c r="B142" s="11" t="s">
        <v>4552</v>
      </c>
      <c r="C142" s="17">
        <v>39200</v>
      </c>
      <c r="D142" s="12">
        <f t="shared" si="9"/>
        <v>39200</v>
      </c>
      <c r="E142" s="18" t="s">
        <v>4411</v>
      </c>
      <c r="F142" s="13" t="str">
        <f t="shared" si="8"/>
        <v>insert into ins_premium_det (premium_rcv_code,assorted_code, rec_amount,premium_rcv_detail_code,remaining_amt, payrec, mode_code,coinsurance_code,class_cd,it_remarks) values</v>
      </c>
      <c r="G142" s="14" t="str">
        <f t="shared" si="10"/>
        <v>('30Sep240040','070000164292','39200',(select max(to_number(i.premium_rcv_detail_code))+1
from ins_premium_det i),'39200','39200','02', '11000003','00','Request by Mr. Saqib Saleem 30-Sep-2024 allocation 30Sep240040');</v>
      </c>
      <c r="H142" s="15" t="str">
        <f t="shared" si="11"/>
        <v>insert into ins_premium_det (premium_rcv_code,assorted_code, rec_amount,premium_rcv_detail_code,remaining_amt, payrec, mode_code,coinsurance_code,class_cd,it_remarks) values('30Sep240040','070000164292','39200',(select max(to_number(i.premium_rcv_detail_code))+1
from ins_premium_det i),'39200','39200','02', '11000003','00','Request by Mr. Saqib Saleem 30-Sep-2024 allocation 30Sep240040');</v>
      </c>
    </row>
    <row r="143" spans="1:8" ht="90" x14ac:dyDescent="0.25">
      <c r="A143" s="9" t="s">
        <v>1969</v>
      </c>
      <c r="B143" s="11" t="s">
        <v>4553</v>
      </c>
      <c r="C143" s="16">
        <v>88506</v>
      </c>
      <c r="D143" s="12">
        <f t="shared" si="9"/>
        <v>88506</v>
      </c>
      <c r="E143" s="18" t="s">
        <v>4411</v>
      </c>
      <c r="F143" s="13" t="str">
        <f t="shared" si="8"/>
        <v>insert into ins_premium_det (premium_rcv_code,assorted_code, rec_amount,premium_rcv_detail_code,remaining_amt, payrec, mode_code,coinsurance_code,class_cd,it_remarks) values</v>
      </c>
      <c r="G143" s="14" t="str">
        <f t="shared" si="10"/>
        <v>('30Sep240040','070000164504','88506',(select max(to_number(i.premium_rcv_detail_code))+1
from ins_premium_det i),'88506','88506','02', '11000003','00','Request by Mr. Saqib Saleem 30-Sep-2024 allocation 30Sep240040');</v>
      </c>
      <c r="H143" s="15" t="str">
        <f t="shared" si="11"/>
        <v>insert into ins_premium_det (premium_rcv_code,assorted_code, rec_amount,premium_rcv_detail_code,remaining_amt, payrec, mode_code,coinsurance_code,class_cd,it_remarks) values('30Sep240040','070000164504','88506',(select max(to_number(i.premium_rcv_detail_code))+1
from ins_premium_det i),'88506','88506','02', '11000003','00','Request by Mr. Saqib Saleem 30-Sep-2024 allocation 30Sep240040');</v>
      </c>
    </row>
    <row r="144" spans="1:8" ht="90" x14ac:dyDescent="0.25">
      <c r="A144" s="10" t="s">
        <v>1983</v>
      </c>
      <c r="B144" s="11" t="s">
        <v>4554</v>
      </c>
      <c r="C144" s="17">
        <v>23250</v>
      </c>
      <c r="D144" s="12">
        <f t="shared" si="9"/>
        <v>23250</v>
      </c>
      <c r="E144" s="18" t="s">
        <v>4411</v>
      </c>
      <c r="F144" s="13" t="str">
        <f t="shared" si="8"/>
        <v>insert into ins_premium_det (premium_rcv_code,assorted_code, rec_amount,premium_rcv_detail_code,remaining_amt, payrec, mode_code,coinsurance_code,class_cd,it_remarks) values</v>
      </c>
      <c r="G144" s="14" t="str">
        <f t="shared" si="10"/>
        <v>('30Sep240040','070000164294','23250',(select max(to_number(i.premium_rcv_detail_code))+1
from ins_premium_det i),'23250','23250','02', '11000003','00','Request by Mr. Saqib Saleem 30-Sep-2024 allocation 30Sep240040');</v>
      </c>
      <c r="H144" s="15" t="str">
        <f t="shared" si="11"/>
        <v>insert into ins_premium_det (premium_rcv_code,assorted_code, rec_amount,premium_rcv_detail_code,remaining_amt, payrec, mode_code,coinsurance_code,class_cd,it_remarks) values('30Sep240040','070000164294','23250',(select max(to_number(i.premium_rcv_detail_code))+1
from ins_premium_det i),'23250','23250','02', '11000003','00','Request by Mr. Saqib Saleem 30-Sep-2024 allocation 30Sep240040');</v>
      </c>
    </row>
    <row r="145" spans="1:8" ht="90" x14ac:dyDescent="0.25">
      <c r="A145" s="9" t="s">
        <v>1996</v>
      </c>
      <c r="B145" s="11" t="s">
        <v>4555</v>
      </c>
      <c r="C145" s="16">
        <v>29750</v>
      </c>
      <c r="D145" s="12">
        <f t="shared" si="9"/>
        <v>29750</v>
      </c>
      <c r="E145" s="18" t="s">
        <v>4411</v>
      </c>
      <c r="F145" s="13" t="str">
        <f t="shared" si="8"/>
        <v>insert into ins_premium_det (premium_rcv_code,assorted_code, rec_amount,premium_rcv_detail_code,remaining_amt, payrec, mode_code,coinsurance_code,class_cd,it_remarks) values</v>
      </c>
      <c r="G145" s="14" t="str">
        <f t="shared" si="10"/>
        <v>('30Sep240040','070000164295','29750',(select max(to_number(i.premium_rcv_detail_code))+1
from ins_premium_det i),'29750','29750','02', '11000003','00','Request by Mr. Saqib Saleem 30-Sep-2024 allocation 30Sep240040');</v>
      </c>
      <c r="H145" s="15" t="str">
        <f t="shared" si="11"/>
        <v>insert into ins_premium_det (premium_rcv_code,assorted_code, rec_amount,premium_rcv_detail_code,remaining_amt, payrec, mode_code,coinsurance_code,class_cd,it_remarks) values('30Sep240040','070000164295','29750',(select max(to_number(i.premium_rcv_detail_code))+1
from ins_premium_det i),'29750','29750','02', '11000003','00','Request by Mr. Saqib Saleem 30-Sep-2024 allocation 30Sep240040');</v>
      </c>
    </row>
    <row r="146" spans="1:8" ht="90" x14ac:dyDescent="0.25">
      <c r="A146" s="10" t="s">
        <v>2006</v>
      </c>
      <c r="B146" s="11" t="s">
        <v>4556</v>
      </c>
      <c r="C146" s="17">
        <v>22928</v>
      </c>
      <c r="D146" s="12">
        <f t="shared" si="9"/>
        <v>22928</v>
      </c>
      <c r="E146" s="18" t="s">
        <v>4411</v>
      </c>
      <c r="F146" s="13" t="str">
        <f t="shared" si="8"/>
        <v>insert into ins_premium_det (premium_rcv_code,assorted_code, rec_amount,premium_rcv_detail_code,remaining_amt, payrec, mode_code,coinsurance_code,class_cd,it_remarks) values</v>
      </c>
      <c r="G146" s="14" t="str">
        <f t="shared" si="10"/>
        <v>('30Sep240040','070000164508','22928',(select max(to_number(i.premium_rcv_detail_code))+1
from ins_premium_det i),'22928','22928','02', '11000003','00','Request by Mr. Saqib Saleem 30-Sep-2024 allocation 30Sep240040');</v>
      </c>
      <c r="H146" s="15" t="str">
        <f t="shared" si="11"/>
        <v>insert into ins_premium_det (premium_rcv_code,assorted_code, rec_amount,premium_rcv_detail_code,remaining_amt, payrec, mode_code,coinsurance_code,class_cd,it_remarks) values('30Sep240040','070000164508','22928',(select max(to_number(i.premium_rcv_detail_code))+1
from ins_premium_det i),'22928','22928','02', '11000003','00','Request by Mr. Saqib Saleem 30-Sep-2024 allocation 30Sep240040');</v>
      </c>
    </row>
    <row r="147" spans="1:8" ht="90" x14ac:dyDescent="0.25">
      <c r="A147" s="9" t="s">
        <v>2018</v>
      </c>
      <c r="B147" s="11" t="s">
        <v>4557</v>
      </c>
      <c r="C147" s="16">
        <v>26000</v>
      </c>
      <c r="D147" s="12">
        <f t="shared" si="9"/>
        <v>26000</v>
      </c>
      <c r="E147" s="18" t="s">
        <v>4411</v>
      </c>
      <c r="F147" s="13" t="str">
        <f t="shared" si="8"/>
        <v>insert into ins_premium_det (premium_rcv_code,assorted_code, rec_amount,premium_rcv_detail_code,remaining_amt, payrec, mode_code,coinsurance_code,class_cd,it_remarks) values</v>
      </c>
      <c r="G147" s="14" t="str">
        <f t="shared" si="10"/>
        <v>('30Sep240040','070000164509','26000',(select max(to_number(i.premium_rcv_detail_code))+1
from ins_premium_det i),'26000','26000','02', '11000003','00','Request by Mr. Saqib Saleem 30-Sep-2024 allocation 30Sep240040');</v>
      </c>
      <c r="H147" s="15" t="str">
        <f t="shared" si="11"/>
        <v>insert into ins_premium_det (premium_rcv_code,assorted_code, rec_amount,premium_rcv_detail_code,remaining_amt, payrec, mode_code,coinsurance_code,class_cd,it_remarks) values('30Sep240040','070000164509','26000',(select max(to_number(i.premium_rcv_detail_code))+1
from ins_premium_det i),'26000','26000','02', '11000003','00','Request by Mr. Saqib Saleem 30-Sep-2024 allocation 30Sep240040');</v>
      </c>
    </row>
    <row r="148" spans="1:8" ht="90" x14ac:dyDescent="0.25">
      <c r="A148" s="10" t="s">
        <v>2032</v>
      </c>
      <c r="B148" s="11" t="s">
        <v>4558</v>
      </c>
      <c r="C148" s="17">
        <v>21360</v>
      </c>
      <c r="D148" s="12">
        <f t="shared" si="9"/>
        <v>21360</v>
      </c>
      <c r="E148" s="18" t="s">
        <v>4411</v>
      </c>
      <c r="F148" s="13" t="str">
        <f t="shared" si="8"/>
        <v>insert into ins_premium_det (premium_rcv_code,assorted_code, rec_amount,premium_rcv_detail_code,remaining_amt, payrec, mode_code,coinsurance_code,class_cd,it_remarks) values</v>
      </c>
      <c r="G148" s="14" t="str">
        <f t="shared" si="10"/>
        <v>('30Sep240040','070000164510','21360',(select max(to_number(i.premium_rcv_detail_code))+1
from ins_premium_det i),'21360','21360','02', '11000003','00','Request by Mr. Saqib Saleem 30-Sep-2024 allocation 30Sep240040');</v>
      </c>
      <c r="H148" s="15" t="str">
        <f t="shared" si="11"/>
        <v>insert into ins_premium_det (premium_rcv_code,assorted_code, rec_amount,premium_rcv_detail_code,remaining_amt, payrec, mode_code,coinsurance_code,class_cd,it_remarks) values('30Sep240040','070000164510','21360',(select max(to_number(i.premium_rcv_detail_code))+1
from ins_premium_det i),'21360','21360','02', '11000003','00','Request by Mr. Saqib Saleem 30-Sep-2024 allocation 30Sep240040');</v>
      </c>
    </row>
    <row r="149" spans="1:8" ht="90" x14ac:dyDescent="0.25">
      <c r="A149" s="9" t="s">
        <v>2046</v>
      </c>
      <c r="B149" s="11" t="s">
        <v>4559</v>
      </c>
      <c r="C149" s="16">
        <v>22750</v>
      </c>
      <c r="D149" s="12">
        <f t="shared" si="9"/>
        <v>22750</v>
      </c>
      <c r="E149" s="18" t="s">
        <v>4411</v>
      </c>
      <c r="F149" s="13" t="str">
        <f t="shared" si="8"/>
        <v>insert into ins_premium_det (premium_rcv_code,assorted_code, rec_amount,premium_rcv_detail_code,remaining_amt, payrec, mode_code,coinsurance_code,class_cd,it_remarks) values</v>
      </c>
      <c r="G149" s="14" t="str">
        <f t="shared" si="10"/>
        <v>('30Sep240040','070000164298','22750',(select max(to_number(i.premium_rcv_detail_code))+1
from ins_premium_det i),'22750','22750','02', '11000003','00','Request by Mr. Saqib Saleem 30-Sep-2024 allocation 30Sep240040');</v>
      </c>
      <c r="H149" s="15" t="str">
        <f t="shared" si="11"/>
        <v>insert into ins_premium_det (premium_rcv_code,assorted_code, rec_amount,premium_rcv_detail_code,remaining_amt, payrec, mode_code,coinsurance_code,class_cd,it_remarks) values('30Sep240040','070000164298','22750',(select max(to_number(i.premium_rcv_detail_code))+1
from ins_premium_det i),'22750','22750','02', '11000003','00','Request by Mr. Saqib Saleem 30-Sep-2024 allocation 30Sep240040');</v>
      </c>
    </row>
    <row r="150" spans="1:8" ht="90" x14ac:dyDescent="0.25">
      <c r="A150" s="10" t="s">
        <v>2059</v>
      </c>
      <c r="B150" s="11" t="s">
        <v>4560</v>
      </c>
      <c r="C150" s="17">
        <v>19268</v>
      </c>
      <c r="D150" s="12">
        <f t="shared" si="9"/>
        <v>19268</v>
      </c>
      <c r="E150" s="18" t="s">
        <v>4411</v>
      </c>
      <c r="F150" s="13" t="str">
        <f t="shared" si="8"/>
        <v>insert into ins_premium_det (premium_rcv_code,assorted_code, rec_amount,premium_rcv_detail_code,remaining_amt, payrec, mode_code,coinsurance_code,class_cd,it_remarks) values</v>
      </c>
      <c r="G150" s="14" t="str">
        <f t="shared" si="10"/>
        <v>('30Sep240040','070000164299','19268',(select max(to_number(i.premium_rcv_detail_code))+1
from ins_premium_det i),'19268','19268','02', '11000003','00','Request by Mr. Saqib Saleem 30-Sep-2024 allocation 30Sep240040');</v>
      </c>
      <c r="H150" s="15" t="str">
        <f t="shared" si="11"/>
        <v>insert into ins_premium_det (premium_rcv_code,assorted_code, rec_amount,premium_rcv_detail_code,remaining_amt, payrec, mode_code,coinsurance_code,class_cd,it_remarks) values('30Sep240040','070000164299','19268',(select max(to_number(i.premium_rcv_detail_code))+1
from ins_premium_det i),'19268','19268','02', '11000003','00','Request by Mr. Saqib Saleem 30-Sep-2024 allocation 30Sep240040');</v>
      </c>
    </row>
    <row r="151" spans="1:8" ht="90" x14ac:dyDescent="0.25">
      <c r="A151" s="9" t="s">
        <v>2072</v>
      </c>
      <c r="B151" s="11" t="s">
        <v>4561</v>
      </c>
      <c r="C151" s="16">
        <v>24336</v>
      </c>
      <c r="D151" s="12">
        <f t="shared" si="9"/>
        <v>24336</v>
      </c>
      <c r="E151" s="18" t="s">
        <v>4411</v>
      </c>
      <c r="F151" s="13" t="str">
        <f t="shared" si="8"/>
        <v>insert into ins_premium_det (premium_rcv_code,assorted_code, rec_amount,premium_rcv_detail_code,remaining_amt, payrec, mode_code,coinsurance_code,class_cd,it_remarks) values</v>
      </c>
      <c r="G151" s="14" t="str">
        <f t="shared" si="10"/>
        <v>('30Sep240040','070000164512','24336',(select max(to_number(i.premium_rcv_detail_code))+1
from ins_premium_det i),'24336','24336','02', '11000003','00','Request by Mr. Saqib Saleem 30-Sep-2024 allocation 30Sep240040');</v>
      </c>
      <c r="H151" s="15" t="str">
        <f t="shared" si="11"/>
        <v>insert into ins_premium_det (premium_rcv_code,assorted_code, rec_amount,premium_rcv_detail_code,remaining_amt, payrec, mode_code,coinsurance_code,class_cd,it_remarks) values('30Sep240040','070000164512','24336',(select max(to_number(i.premium_rcv_detail_code))+1
from ins_premium_det i),'24336','24336','02', '11000003','00','Request by Mr. Saqib Saleem 30-Sep-2024 allocation 30Sep240040');</v>
      </c>
    </row>
    <row r="152" spans="1:8" ht="90" x14ac:dyDescent="0.25">
      <c r="A152" s="10" t="s">
        <v>2085</v>
      </c>
      <c r="B152" s="11" t="s">
        <v>4562</v>
      </c>
      <c r="C152" s="17">
        <v>17250</v>
      </c>
      <c r="D152" s="12">
        <f t="shared" si="9"/>
        <v>17250</v>
      </c>
      <c r="E152" s="18" t="s">
        <v>4411</v>
      </c>
      <c r="F152" s="13" t="str">
        <f t="shared" si="8"/>
        <v>insert into ins_premium_det (premium_rcv_code,assorted_code, rec_amount,premium_rcv_detail_code,remaining_amt, payrec, mode_code,coinsurance_code,class_cd,it_remarks) values</v>
      </c>
      <c r="G152" s="14" t="str">
        <f t="shared" si="10"/>
        <v>('30Sep240040','070000164300','17250',(select max(to_number(i.premium_rcv_detail_code))+1
from ins_premium_det i),'17250','17250','02', '11000003','00','Request by Mr. Saqib Saleem 30-Sep-2024 allocation 30Sep240040');</v>
      </c>
      <c r="H152" s="15" t="str">
        <f t="shared" si="11"/>
        <v>insert into ins_premium_det (premium_rcv_code,assorted_code, rec_amount,premium_rcv_detail_code,remaining_amt, payrec, mode_code,coinsurance_code,class_cd,it_remarks) values('30Sep240040','070000164300','17250',(select max(to_number(i.premium_rcv_detail_code))+1
from ins_premium_det i),'17250','17250','02', '11000003','00','Request by Mr. Saqib Saleem 30-Sep-2024 allocation 30Sep240040');</v>
      </c>
    </row>
    <row r="153" spans="1:8" ht="90" x14ac:dyDescent="0.25">
      <c r="A153" s="9" t="s">
        <v>2095</v>
      </c>
      <c r="B153" s="11" t="s">
        <v>4563</v>
      </c>
      <c r="C153" s="16">
        <v>73780</v>
      </c>
      <c r="D153" s="12">
        <f t="shared" si="9"/>
        <v>73780</v>
      </c>
      <c r="E153" s="18" t="s">
        <v>4411</v>
      </c>
      <c r="F153" s="13" t="str">
        <f t="shared" si="8"/>
        <v>insert into ins_premium_det (premium_rcv_code,assorted_code, rec_amount,premium_rcv_detail_code,remaining_amt, payrec, mode_code,coinsurance_code,class_cd,it_remarks) values</v>
      </c>
      <c r="G153" s="14" t="str">
        <f t="shared" si="10"/>
        <v>('30Sep240040','070000164301','73780',(select max(to_number(i.premium_rcv_detail_code))+1
from ins_premium_det i),'73780','73780','02', '11000003','00','Request by Mr. Saqib Saleem 30-Sep-2024 allocation 30Sep240040');</v>
      </c>
      <c r="H153" s="15" t="str">
        <f t="shared" si="11"/>
        <v>insert into ins_premium_det (premium_rcv_code,assorted_code, rec_amount,premium_rcv_detail_code,remaining_amt, payrec, mode_code,coinsurance_code,class_cd,it_remarks) values('30Sep240040','070000164301','73780',(select max(to_number(i.premium_rcv_detail_code))+1
from ins_premium_det i),'73780','73780','02', '11000003','00','Request by Mr. Saqib Saleem 30-Sep-2024 allocation 30Sep240040');</v>
      </c>
    </row>
    <row r="154" spans="1:8" ht="90" x14ac:dyDescent="0.25">
      <c r="A154" s="10" t="s">
        <v>2109</v>
      </c>
      <c r="B154" s="11" t="s">
        <v>4564</v>
      </c>
      <c r="C154" s="17">
        <v>38720</v>
      </c>
      <c r="D154" s="12">
        <f t="shared" si="9"/>
        <v>38720</v>
      </c>
      <c r="E154" s="18" t="s">
        <v>4411</v>
      </c>
      <c r="F154" s="13" t="str">
        <f t="shared" si="8"/>
        <v>insert into ins_premium_det (premium_rcv_code,assorted_code, rec_amount,premium_rcv_detail_code,remaining_amt, payrec, mode_code,coinsurance_code,class_cd,it_remarks) values</v>
      </c>
      <c r="G154" s="14" t="str">
        <f t="shared" si="10"/>
        <v>('30Sep240040','070000164515','38720',(select max(to_number(i.premium_rcv_detail_code))+1
from ins_premium_det i),'38720','38720','02', '11000003','00','Request by Mr. Saqib Saleem 30-Sep-2024 allocation 30Sep240040');</v>
      </c>
      <c r="H154" s="15" t="str">
        <f t="shared" si="11"/>
        <v>insert into ins_premium_det (premium_rcv_code,assorted_code, rec_amount,premium_rcv_detail_code,remaining_amt, payrec, mode_code,coinsurance_code,class_cd,it_remarks) values('30Sep240040','070000164515','38720',(select max(to_number(i.premium_rcv_detail_code))+1
from ins_premium_det i),'38720','38720','02', '11000003','00','Request by Mr. Saqib Saleem 30-Sep-2024 allocation 30Sep240040');</v>
      </c>
    </row>
    <row r="155" spans="1:8" ht="90" x14ac:dyDescent="0.25">
      <c r="A155" s="9" t="s">
        <v>2122</v>
      </c>
      <c r="B155" s="11" t="s">
        <v>4565</v>
      </c>
      <c r="C155" s="16">
        <v>31500</v>
      </c>
      <c r="D155" s="12">
        <f t="shared" si="9"/>
        <v>31500</v>
      </c>
      <c r="E155" s="18" t="s">
        <v>4411</v>
      </c>
      <c r="F155" s="13" t="str">
        <f t="shared" si="8"/>
        <v>insert into ins_premium_det (premium_rcv_code,assorted_code, rec_amount,premium_rcv_detail_code,remaining_amt, payrec, mode_code,coinsurance_code,class_cd,it_remarks) values</v>
      </c>
      <c r="G155" s="14" t="str">
        <f t="shared" si="10"/>
        <v>('30Sep240040','070000164302','31500',(select max(to_number(i.premium_rcv_detail_code))+1
from ins_premium_det i),'31500','31500','02', '11000003','00','Request by Mr. Saqib Saleem 30-Sep-2024 allocation 30Sep240040');</v>
      </c>
      <c r="H155" s="15" t="str">
        <f t="shared" si="11"/>
        <v>insert into ins_premium_det (premium_rcv_code,assorted_code, rec_amount,premium_rcv_detail_code,remaining_amt, payrec, mode_code,coinsurance_code,class_cd,it_remarks) values('30Sep240040','070000164302','31500',(select max(to_number(i.premium_rcv_detail_code))+1
from ins_premium_det i),'31500','31500','02', '11000003','00','Request by Mr. Saqib Saleem 30-Sep-2024 allocation 30Sep240040');</v>
      </c>
    </row>
    <row r="156" spans="1:8" ht="90" x14ac:dyDescent="0.25">
      <c r="A156" s="10" t="s">
        <v>2137</v>
      </c>
      <c r="B156" s="11" t="s">
        <v>4566</v>
      </c>
      <c r="C156" s="17">
        <v>76286</v>
      </c>
      <c r="D156" s="12">
        <f t="shared" si="9"/>
        <v>76286</v>
      </c>
      <c r="E156" s="18" t="s">
        <v>4411</v>
      </c>
      <c r="F156" s="13" t="str">
        <f t="shared" si="8"/>
        <v>insert into ins_premium_det (premium_rcv_code,assorted_code, rec_amount,premium_rcv_detail_code,remaining_amt, payrec, mode_code,coinsurance_code,class_cd,it_remarks) values</v>
      </c>
      <c r="G156" s="14" t="str">
        <f t="shared" si="10"/>
        <v>('30Sep240040','070000164303','76286',(select max(to_number(i.premium_rcv_detail_code))+1
from ins_premium_det i),'76286','76286','02', '11000003','00','Request by Mr. Saqib Saleem 30-Sep-2024 allocation 30Sep240040');</v>
      </c>
      <c r="H156" s="15" t="str">
        <f t="shared" si="11"/>
        <v>insert into ins_premium_det (premium_rcv_code,assorted_code, rec_amount,premium_rcv_detail_code,remaining_amt, payrec, mode_code,coinsurance_code,class_cd,it_remarks) values('30Sep240040','070000164303','76286',(select max(to_number(i.premium_rcv_detail_code))+1
from ins_premium_det i),'76286','76286','02', '11000003','00','Request by Mr. Saqib Saleem 30-Sep-2024 allocation 30Sep240040');</v>
      </c>
    </row>
    <row r="157" spans="1:8" ht="90" x14ac:dyDescent="0.25">
      <c r="A157" s="9" t="s">
        <v>2150</v>
      </c>
      <c r="B157" s="11" t="s">
        <v>4567</v>
      </c>
      <c r="C157" s="16">
        <v>49464</v>
      </c>
      <c r="D157" s="12">
        <f t="shared" si="9"/>
        <v>49464</v>
      </c>
      <c r="E157" s="18" t="s">
        <v>4411</v>
      </c>
      <c r="F157" s="13" t="str">
        <f t="shared" si="8"/>
        <v>insert into ins_premium_det (premium_rcv_code,assorted_code, rec_amount,premium_rcv_detail_code,remaining_amt, payrec, mode_code,coinsurance_code,class_cd,it_remarks) values</v>
      </c>
      <c r="G157" s="14" t="str">
        <f t="shared" si="10"/>
        <v>('30Sep240040','070000164518','49464',(select max(to_number(i.premium_rcv_detail_code))+1
from ins_premium_det i),'49464','49464','02', '11000003','00','Request by Mr. Saqib Saleem 30-Sep-2024 allocation 30Sep240040');</v>
      </c>
      <c r="H157" s="15" t="str">
        <f t="shared" si="11"/>
        <v>insert into ins_premium_det (premium_rcv_code,assorted_code, rec_amount,premium_rcv_detail_code,remaining_amt, payrec, mode_code,coinsurance_code,class_cd,it_remarks) values('30Sep240040','070000164518','49464',(select max(to_number(i.premium_rcv_detail_code))+1
from ins_premium_det i),'49464','49464','02', '11000003','00','Request by Mr. Saqib Saleem 30-Sep-2024 allocation 30Sep240040');</v>
      </c>
    </row>
    <row r="158" spans="1:8" ht="90" x14ac:dyDescent="0.25">
      <c r="A158" s="10" t="s">
        <v>2161</v>
      </c>
      <c r="B158" s="11" t="s">
        <v>4568</v>
      </c>
      <c r="C158" s="17">
        <v>76286</v>
      </c>
      <c r="D158" s="12">
        <f t="shared" si="9"/>
        <v>76286</v>
      </c>
      <c r="E158" s="18" t="s">
        <v>4411</v>
      </c>
      <c r="F158" s="13" t="str">
        <f t="shared" si="8"/>
        <v>insert into ins_premium_det (premium_rcv_code,assorted_code, rec_amount,premium_rcv_detail_code,remaining_amt, payrec, mode_code,coinsurance_code,class_cd,it_remarks) values</v>
      </c>
      <c r="G158" s="14" t="str">
        <f t="shared" si="10"/>
        <v>('30Sep240040','070000164521','76286',(select max(to_number(i.premium_rcv_detail_code))+1
from ins_premium_det i),'76286','76286','02', '11000003','00','Request by Mr. Saqib Saleem 30-Sep-2024 allocation 30Sep240040');</v>
      </c>
      <c r="H158" s="15" t="str">
        <f t="shared" si="11"/>
        <v>insert into ins_premium_det (premium_rcv_code,assorted_code, rec_amount,premium_rcv_detail_code,remaining_amt, payrec, mode_code,coinsurance_code,class_cd,it_remarks) values('30Sep240040','070000164521','76286',(select max(to_number(i.premium_rcv_detail_code))+1
from ins_premium_det i),'76286','76286','02', '11000003','00','Request by Mr. Saqib Saleem 30-Sep-2024 allocation 30Sep240040');</v>
      </c>
    </row>
    <row r="159" spans="1:8" ht="90" x14ac:dyDescent="0.25">
      <c r="A159" s="9" t="s">
        <v>2172</v>
      </c>
      <c r="B159" s="11" t="s">
        <v>4569</v>
      </c>
      <c r="C159" s="16">
        <v>64312</v>
      </c>
      <c r="D159" s="12">
        <f t="shared" si="9"/>
        <v>64312</v>
      </c>
      <c r="E159" s="18" t="s">
        <v>4411</v>
      </c>
      <c r="F159" s="13" t="str">
        <f t="shared" si="8"/>
        <v>insert into ins_premium_det (premium_rcv_code,assorted_code, rec_amount,premium_rcv_detail_code,remaining_amt, payrec, mode_code,coinsurance_code,class_cd,it_remarks) values</v>
      </c>
      <c r="G159" s="14" t="str">
        <f t="shared" si="10"/>
        <v>('30Sep240040','070000164522','64312',(select max(to_number(i.premium_rcv_detail_code))+1
from ins_premium_det i),'64312','64312','02', '11000003','00','Request by Mr. Saqib Saleem 30-Sep-2024 allocation 30Sep240040');</v>
      </c>
      <c r="H159" s="15" t="str">
        <f t="shared" si="11"/>
        <v>insert into ins_premium_det (premium_rcv_code,assorted_code, rec_amount,premium_rcv_detail_code,remaining_amt, payrec, mode_code,coinsurance_code,class_cd,it_remarks) values('30Sep240040','070000164522','64312',(select max(to_number(i.premium_rcv_detail_code))+1
from ins_premium_det i),'64312','64312','02', '11000003','00','Request by Mr. Saqib Saleem 30-Sep-2024 allocation 30Sep240040');</v>
      </c>
    </row>
    <row r="160" spans="1:8" ht="90" x14ac:dyDescent="0.25">
      <c r="A160" s="10" t="s">
        <v>2190</v>
      </c>
      <c r="B160" s="11" t="s">
        <v>4570</v>
      </c>
      <c r="C160" s="17">
        <v>45922</v>
      </c>
      <c r="D160" s="12">
        <f t="shared" si="9"/>
        <v>45922</v>
      </c>
      <c r="E160" s="18" t="s">
        <v>4411</v>
      </c>
      <c r="F160" s="13" t="str">
        <f t="shared" si="8"/>
        <v>insert into ins_premium_det (premium_rcv_code,assorted_code, rec_amount,premium_rcv_detail_code,remaining_amt, payrec, mode_code,coinsurance_code,class_cd,it_remarks) values</v>
      </c>
      <c r="G160" s="14" t="str">
        <f t="shared" si="10"/>
        <v>('30Sep240040','070000164523','45922',(select max(to_number(i.premium_rcv_detail_code))+1
from ins_premium_det i),'45922','45922','02', '11000003','00','Request by Mr. Saqib Saleem 30-Sep-2024 allocation 30Sep240040');</v>
      </c>
      <c r="H160" s="15" t="str">
        <f t="shared" si="11"/>
        <v>insert into ins_premium_det (premium_rcv_code,assorted_code, rec_amount,premium_rcv_detail_code,remaining_amt, payrec, mode_code,coinsurance_code,class_cd,it_remarks) values('30Sep240040','070000164523','45922',(select max(to_number(i.premium_rcv_detail_code))+1
from ins_premium_det i),'45922','45922','02', '11000003','00','Request by Mr. Saqib Saleem 30-Sep-2024 allocation 30Sep240040');</v>
      </c>
    </row>
    <row r="161" spans="1:8" ht="90" x14ac:dyDescent="0.25">
      <c r="A161" s="9" t="s">
        <v>2203</v>
      </c>
      <c r="B161" s="11" t="s">
        <v>4571</v>
      </c>
      <c r="C161" s="16">
        <v>18144</v>
      </c>
      <c r="D161" s="12">
        <f t="shared" si="9"/>
        <v>18144</v>
      </c>
      <c r="E161" s="18" t="s">
        <v>4411</v>
      </c>
      <c r="F161" s="13" t="str">
        <f t="shared" si="8"/>
        <v>insert into ins_premium_det (premium_rcv_code,assorted_code, rec_amount,premium_rcv_detail_code,remaining_amt, payrec, mode_code,coinsurance_code,class_cd,it_remarks) values</v>
      </c>
      <c r="G161" s="14" t="str">
        <f t="shared" si="10"/>
        <v>('30Sep240040','070000164524','18144',(select max(to_number(i.premium_rcv_detail_code))+1
from ins_premium_det i),'18144','18144','02', '11000003','00','Request by Mr. Saqib Saleem 30-Sep-2024 allocation 30Sep240040');</v>
      </c>
      <c r="H161" s="15" t="str">
        <f t="shared" si="11"/>
        <v>insert into ins_premium_det (premium_rcv_code,assorted_code, rec_amount,premium_rcv_detail_code,remaining_amt, payrec, mode_code,coinsurance_code,class_cd,it_remarks) values('30Sep240040','070000164524','18144',(select max(to_number(i.premium_rcv_detail_code))+1
from ins_premium_det i),'18144','18144','02', '11000003','00','Request by Mr. Saqib Saleem 30-Sep-2024 allocation 30Sep240040');</v>
      </c>
    </row>
    <row r="162" spans="1:8" ht="90" x14ac:dyDescent="0.25">
      <c r="A162" s="10" t="s">
        <v>2217</v>
      </c>
      <c r="B162" s="11" t="s">
        <v>4572</v>
      </c>
      <c r="C162" s="17">
        <v>15000</v>
      </c>
      <c r="D162" s="12">
        <f t="shared" si="9"/>
        <v>15000</v>
      </c>
      <c r="E162" s="18" t="s">
        <v>4411</v>
      </c>
      <c r="F162" s="13" t="str">
        <f t="shared" si="8"/>
        <v>insert into ins_premium_det (premium_rcv_code,assorted_code, rec_amount,premium_rcv_detail_code,remaining_amt, payrec, mode_code,coinsurance_code,class_cd,it_remarks) values</v>
      </c>
      <c r="G162" s="14" t="str">
        <f t="shared" si="10"/>
        <v>('30Sep240040','070000164525','15000',(select max(to_number(i.premium_rcv_detail_code))+1
from ins_premium_det i),'15000','15000','02', '11000003','00','Request by Mr. Saqib Saleem 30-Sep-2024 allocation 30Sep240040');</v>
      </c>
      <c r="H162" s="15" t="str">
        <f t="shared" si="11"/>
        <v>insert into ins_premium_det (premium_rcv_code,assorted_code, rec_amount,premium_rcv_detail_code,remaining_amt, payrec, mode_code,coinsurance_code,class_cd,it_remarks) values('30Sep240040','070000164525','15000',(select max(to_number(i.premium_rcv_detail_code))+1
from ins_premium_det i),'15000','15000','02', '11000003','00','Request by Mr. Saqib Saleem 30-Sep-2024 allocation 30Sep240040');</v>
      </c>
    </row>
    <row r="163" spans="1:8" ht="90" x14ac:dyDescent="0.25">
      <c r="A163" s="9" t="s">
        <v>2227</v>
      </c>
      <c r="B163" s="11" t="s">
        <v>4573</v>
      </c>
      <c r="C163" s="16">
        <v>21360</v>
      </c>
      <c r="D163" s="12">
        <f t="shared" si="9"/>
        <v>21360</v>
      </c>
      <c r="E163" s="18" t="s">
        <v>4411</v>
      </c>
      <c r="F163" s="13" t="str">
        <f t="shared" si="8"/>
        <v>insert into ins_premium_det (premium_rcv_code,assorted_code, rec_amount,premium_rcv_detail_code,remaining_amt, payrec, mode_code,coinsurance_code,class_cd,it_remarks) values</v>
      </c>
      <c r="G163" s="14" t="str">
        <f t="shared" si="10"/>
        <v>('30Sep240040','070000164304','21360',(select max(to_number(i.premium_rcv_detail_code))+1
from ins_premium_det i),'21360','21360','02', '11000003','00','Request by Mr. Saqib Saleem 30-Sep-2024 allocation 30Sep240040');</v>
      </c>
      <c r="H163" s="15" t="str">
        <f t="shared" si="11"/>
        <v>insert into ins_premium_det (premium_rcv_code,assorted_code, rec_amount,premium_rcv_detail_code,remaining_amt, payrec, mode_code,coinsurance_code,class_cd,it_remarks) values('30Sep240040','070000164304','21360',(select max(to_number(i.premium_rcv_detail_code))+1
from ins_premium_det i),'21360','21360','02', '11000003','00','Request by Mr. Saqib Saleem 30-Sep-2024 allocation 30Sep240040');</v>
      </c>
    </row>
    <row r="164" spans="1:8" ht="90" x14ac:dyDescent="0.25">
      <c r="A164" s="10" t="s">
        <v>2239</v>
      </c>
      <c r="B164" s="11" t="s">
        <v>4574</v>
      </c>
      <c r="C164" s="17">
        <v>49406</v>
      </c>
      <c r="D164" s="12">
        <f t="shared" si="9"/>
        <v>49406</v>
      </c>
      <c r="E164" s="18" t="s">
        <v>4411</v>
      </c>
      <c r="F164" s="13" t="str">
        <f t="shared" si="8"/>
        <v>insert into ins_premium_det (premium_rcv_code,assorted_code, rec_amount,premium_rcv_detail_code,remaining_amt, payrec, mode_code,coinsurance_code,class_cd,it_remarks) values</v>
      </c>
      <c r="G164" s="14" t="str">
        <f t="shared" si="10"/>
        <v>('30Sep240040','070000164306','49406',(select max(to_number(i.premium_rcv_detail_code))+1
from ins_premium_det i),'49406','49406','02', '11000003','00','Request by Mr. Saqib Saleem 30-Sep-2024 allocation 30Sep240040');</v>
      </c>
      <c r="H164" s="15" t="str">
        <f t="shared" si="11"/>
        <v>insert into ins_premium_det (premium_rcv_code,assorted_code, rec_amount,premium_rcv_detail_code,remaining_amt, payrec, mode_code,coinsurance_code,class_cd,it_remarks) values('30Sep240040','070000164306','49406',(select max(to_number(i.premium_rcv_detail_code))+1
from ins_premium_det i),'49406','49406','02', '11000003','00','Request by Mr. Saqib Saleem 30-Sep-2024 allocation 30Sep240040');</v>
      </c>
    </row>
    <row r="165" spans="1:8" ht="90" x14ac:dyDescent="0.25">
      <c r="A165" s="9" t="s">
        <v>2250</v>
      </c>
      <c r="B165" s="11" t="s">
        <v>4575</v>
      </c>
      <c r="C165" s="16">
        <v>77201</v>
      </c>
      <c r="D165" s="12">
        <f t="shared" si="9"/>
        <v>77201</v>
      </c>
      <c r="E165" s="18" t="s">
        <v>4411</v>
      </c>
      <c r="F165" s="13" t="str">
        <f t="shared" si="8"/>
        <v>insert into ins_premium_det (premium_rcv_code,assorted_code, rec_amount,premium_rcv_detail_code,remaining_amt, payrec, mode_code,coinsurance_code,class_cd,it_remarks) values</v>
      </c>
      <c r="G165" s="14" t="str">
        <f t="shared" si="10"/>
        <v>('30Sep240040','070000164307','77201',(select max(to_number(i.premium_rcv_detail_code))+1
from ins_premium_det i),'77201','77201','02', '11000003','00','Request by Mr. Saqib Saleem 30-Sep-2024 allocation 30Sep240040');</v>
      </c>
      <c r="H165" s="15" t="str">
        <f t="shared" si="11"/>
        <v>insert into ins_premium_det (premium_rcv_code,assorted_code, rec_amount,premium_rcv_detail_code,remaining_amt, payrec, mode_code,coinsurance_code,class_cd,it_remarks) values('30Sep240040','070000164307','77201',(select max(to_number(i.premium_rcv_detail_code))+1
from ins_premium_det i),'77201','77201','02', '11000003','00','Request by Mr. Saqib Saleem 30-Sep-2024 allocation 30Sep240040');</v>
      </c>
    </row>
    <row r="166" spans="1:8" ht="90" x14ac:dyDescent="0.25">
      <c r="A166" s="10" t="s">
        <v>2262</v>
      </c>
      <c r="B166" s="11" t="s">
        <v>4576</v>
      </c>
      <c r="C166" s="17">
        <v>45254</v>
      </c>
      <c r="D166" s="12">
        <f t="shared" si="9"/>
        <v>45254</v>
      </c>
      <c r="E166" s="18" t="s">
        <v>4411</v>
      </c>
      <c r="F166" s="13" t="str">
        <f t="shared" si="8"/>
        <v>insert into ins_premium_det (premium_rcv_code,assorted_code, rec_amount,premium_rcv_detail_code,remaining_amt, payrec, mode_code,coinsurance_code,class_cd,it_remarks) values</v>
      </c>
      <c r="G166" s="14" t="str">
        <f t="shared" si="10"/>
        <v>('30Sep240040','070000164530','45254',(select max(to_number(i.premium_rcv_detail_code))+1
from ins_premium_det i),'45254','45254','02', '11000003','00','Request by Mr. Saqib Saleem 30-Sep-2024 allocation 30Sep240040');</v>
      </c>
      <c r="H166" s="15" t="str">
        <f t="shared" si="11"/>
        <v>insert into ins_premium_det (premium_rcv_code,assorted_code, rec_amount,premium_rcv_detail_code,remaining_amt, payrec, mode_code,coinsurance_code,class_cd,it_remarks) values('30Sep240040','070000164530','45254',(select max(to_number(i.premium_rcv_detail_code))+1
from ins_premium_det i),'45254','45254','02', '11000003','00','Request by Mr. Saqib Saleem 30-Sep-2024 allocation 30Sep240040');</v>
      </c>
    </row>
    <row r="167" spans="1:8" ht="90" x14ac:dyDescent="0.25">
      <c r="A167" s="9" t="s">
        <v>2273</v>
      </c>
      <c r="B167" s="11" t="s">
        <v>4577</v>
      </c>
      <c r="C167" s="16">
        <v>26282</v>
      </c>
      <c r="D167" s="12">
        <f t="shared" si="9"/>
        <v>26282</v>
      </c>
      <c r="E167" s="18" t="s">
        <v>4411</v>
      </c>
      <c r="F167" s="13" t="str">
        <f t="shared" si="8"/>
        <v>insert into ins_premium_det (premium_rcv_code,assorted_code, rec_amount,premium_rcv_detail_code,remaining_amt, payrec, mode_code,coinsurance_code,class_cd,it_remarks) values</v>
      </c>
      <c r="G167" s="14" t="str">
        <f t="shared" si="10"/>
        <v>('30Sep240040','070000164531','26282',(select max(to_number(i.premium_rcv_detail_code))+1
from ins_premium_det i),'26282','26282','02', '11000003','00','Request by Mr. Saqib Saleem 30-Sep-2024 allocation 30Sep240040');</v>
      </c>
      <c r="H167" s="15" t="str">
        <f t="shared" si="11"/>
        <v>insert into ins_premium_det (premium_rcv_code,assorted_code, rec_amount,premium_rcv_detail_code,remaining_amt, payrec, mode_code,coinsurance_code,class_cd,it_remarks) values('30Sep240040','070000164531','26282',(select max(to_number(i.premium_rcv_detail_code))+1
from ins_premium_det i),'26282','26282','02', '11000003','00','Request by Mr. Saqib Saleem 30-Sep-2024 allocation 30Sep240040');</v>
      </c>
    </row>
    <row r="168" spans="1:8" ht="90" x14ac:dyDescent="0.25">
      <c r="A168" s="10" t="s">
        <v>2285</v>
      </c>
      <c r="B168" s="11" t="s">
        <v>4578</v>
      </c>
      <c r="C168" s="17">
        <v>40966</v>
      </c>
      <c r="D168" s="12">
        <f t="shared" si="9"/>
        <v>40966</v>
      </c>
      <c r="E168" s="18" t="s">
        <v>4411</v>
      </c>
      <c r="F168" s="13" t="str">
        <f t="shared" si="8"/>
        <v>insert into ins_premium_det (premium_rcv_code,assorted_code, rec_amount,premium_rcv_detail_code,remaining_amt, payrec, mode_code,coinsurance_code,class_cd,it_remarks) values</v>
      </c>
      <c r="G168" s="14" t="str">
        <f t="shared" si="10"/>
        <v>('30Sep240040','070000164308','40966',(select max(to_number(i.premium_rcv_detail_code))+1
from ins_premium_det i),'40966','40966','02', '11000003','00','Request by Mr. Saqib Saleem 30-Sep-2024 allocation 30Sep240040');</v>
      </c>
      <c r="H168" s="15" t="str">
        <f t="shared" si="11"/>
        <v>insert into ins_premium_det (premium_rcv_code,assorted_code, rec_amount,premium_rcv_detail_code,remaining_amt, payrec, mode_code,coinsurance_code,class_cd,it_remarks) values('30Sep240040','070000164308','40966',(select max(to_number(i.premium_rcv_detail_code))+1
from ins_premium_det i),'40966','40966','02', '11000003','00','Request by Mr. Saqib Saleem 30-Sep-2024 allocation 30Sep240040');</v>
      </c>
    </row>
    <row r="169" spans="1:8" ht="90" x14ac:dyDescent="0.25">
      <c r="A169" s="9" t="s">
        <v>2296</v>
      </c>
      <c r="B169" s="11" t="s">
        <v>4579</v>
      </c>
      <c r="C169" s="16">
        <v>40966</v>
      </c>
      <c r="D169" s="12">
        <f t="shared" si="9"/>
        <v>40966</v>
      </c>
      <c r="E169" s="18" t="s">
        <v>4411</v>
      </c>
      <c r="F169" s="13" t="str">
        <f t="shared" si="8"/>
        <v>insert into ins_premium_det (premium_rcv_code,assorted_code, rec_amount,premium_rcv_detail_code,remaining_amt, payrec, mode_code,coinsurance_code,class_cd,it_remarks) values</v>
      </c>
      <c r="G169" s="14" t="str">
        <f t="shared" si="10"/>
        <v>('30Sep240040','070000164309','40966',(select max(to_number(i.premium_rcv_detail_code))+1
from ins_premium_det i),'40966','40966','02', '11000003','00','Request by Mr. Saqib Saleem 30-Sep-2024 allocation 30Sep240040');</v>
      </c>
      <c r="H169" s="15" t="str">
        <f t="shared" si="11"/>
        <v>insert into ins_premium_det (premium_rcv_code,assorted_code, rec_amount,premium_rcv_detail_code,remaining_amt, payrec, mode_code,coinsurance_code,class_cd,it_remarks) values('30Sep240040','070000164309','40966',(select max(to_number(i.premium_rcv_detail_code))+1
from ins_premium_det i),'40966','40966','02', '11000003','00','Request by Mr. Saqib Saleem 30-Sep-2024 allocation 30Sep240040');</v>
      </c>
    </row>
    <row r="170" spans="1:8" ht="90" x14ac:dyDescent="0.25">
      <c r="A170" s="10" t="s">
        <v>2308</v>
      </c>
      <c r="B170" s="11" t="s">
        <v>4580</v>
      </c>
      <c r="C170" s="17">
        <v>71400</v>
      </c>
      <c r="D170" s="12">
        <f t="shared" si="9"/>
        <v>71400</v>
      </c>
      <c r="E170" s="18" t="s">
        <v>4411</v>
      </c>
      <c r="F170" s="13" t="str">
        <f t="shared" si="8"/>
        <v>insert into ins_premium_det (premium_rcv_code,assorted_code, rec_amount,premium_rcv_detail_code,remaining_amt, payrec, mode_code,coinsurance_code,class_cd,it_remarks) values</v>
      </c>
      <c r="G170" s="14" t="str">
        <f t="shared" si="10"/>
        <v>('30Sep240040','070000164311','71400',(select max(to_number(i.premium_rcv_detail_code))+1
from ins_premium_det i),'71400','71400','02', '11000003','00','Request by Mr. Saqib Saleem 30-Sep-2024 allocation 30Sep240040');</v>
      </c>
      <c r="H170" s="15" t="str">
        <f t="shared" si="11"/>
        <v>insert into ins_premium_det (premium_rcv_code,assorted_code, rec_amount,premium_rcv_detail_code,remaining_amt, payrec, mode_code,coinsurance_code,class_cd,it_remarks) values('30Sep240040','070000164311','71400',(select max(to_number(i.premium_rcv_detail_code))+1
from ins_premium_det i),'71400','71400','02', '11000003','00','Request by Mr. Saqib Saleem 30-Sep-2024 allocation 30Sep240040');</v>
      </c>
    </row>
    <row r="171" spans="1:8" ht="90" x14ac:dyDescent="0.25">
      <c r="A171" s="9" t="s">
        <v>2321</v>
      </c>
      <c r="B171" s="11" t="s">
        <v>4581</v>
      </c>
      <c r="C171" s="16">
        <v>22313</v>
      </c>
      <c r="D171" s="12">
        <f t="shared" si="9"/>
        <v>22313</v>
      </c>
      <c r="E171" s="18" t="s">
        <v>4411</v>
      </c>
      <c r="F171" s="13" t="str">
        <f t="shared" si="8"/>
        <v>insert into ins_premium_det (premium_rcv_code,assorted_code, rec_amount,premium_rcv_detail_code,remaining_amt, payrec, mode_code,coinsurance_code,class_cd,it_remarks) values</v>
      </c>
      <c r="G171" s="14" t="str">
        <f t="shared" si="10"/>
        <v>('30Sep240040','070000164312','22313',(select max(to_number(i.premium_rcv_detail_code))+1
from ins_premium_det i),'22313','22313','02', '11000003','00','Request by Mr. Saqib Saleem 30-Sep-2024 allocation 30Sep240040');</v>
      </c>
      <c r="H171" s="15" t="str">
        <f t="shared" si="11"/>
        <v>insert into ins_premium_det (premium_rcv_code,assorted_code, rec_amount,premium_rcv_detail_code,remaining_amt, payrec, mode_code,coinsurance_code,class_cd,it_remarks) values('30Sep240040','070000164312','22313',(select max(to_number(i.premium_rcv_detail_code))+1
from ins_premium_det i),'22313','22313','02', '11000003','00','Request by Mr. Saqib Saleem 30-Sep-2024 allocation 30Sep240040');</v>
      </c>
    </row>
    <row r="172" spans="1:8" ht="90" x14ac:dyDescent="0.25">
      <c r="A172" s="10" t="s">
        <v>2333</v>
      </c>
      <c r="B172" s="11" t="s">
        <v>4582</v>
      </c>
      <c r="C172" s="17">
        <v>48080</v>
      </c>
      <c r="D172" s="12">
        <f t="shared" si="9"/>
        <v>48080</v>
      </c>
      <c r="E172" s="18" t="s">
        <v>4411</v>
      </c>
      <c r="F172" s="13" t="str">
        <f t="shared" si="8"/>
        <v>insert into ins_premium_det (premium_rcv_code,assorted_code, rec_amount,premium_rcv_detail_code,remaining_amt, payrec, mode_code,coinsurance_code,class_cd,it_remarks) values</v>
      </c>
      <c r="G172" s="14" t="str">
        <f t="shared" si="10"/>
        <v>('30Sep240040','070000164539','48080',(select max(to_number(i.premium_rcv_detail_code))+1
from ins_premium_det i),'48080','48080','02', '11000003','00','Request by Mr. Saqib Saleem 30-Sep-2024 allocation 30Sep240040');</v>
      </c>
      <c r="H172" s="15" t="str">
        <f t="shared" si="11"/>
        <v>insert into ins_premium_det (premium_rcv_code,assorted_code, rec_amount,premium_rcv_detail_code,remaining_amt, payrec, mode_code,coinsurance_code,class_cd,it_remarks) values('30Sep240040','070000164539','48080',(select max(to_number(i.premium_rcv_detail_code))+1
from ins_premium_det i),'48080','48080','02', '11000003','00','Request by Mr. Saqib Saleem 30-Sep-2024 allocation 30Sep240040');</v>
      </c>
    </row>
    <row r="173" spans="1:8" ht="90" x14ac:dyDescent="0.25">
      <c r="A173" s="9" t="s">
        <v>2346</v>
      </c>
      <c r="B173" s="11" t="s">
        <v>4583</v>
      </c>
      <c r="C173" s="16">
        <v>35460</v>
      </c>
      <c r="D173" s="12">
        <f t="shared" si="9"/>
        <v>35460</v>
      </c>
      <c r="E173" s="18" t="s">
        <v>4411</v>
      </c>
      <c r="F173" s="13" t="str">
        <f t="shared" si="8"/>
        <v>insert into ins_premium_det (premium_rcv_code,assorted_code, rec_amount,premium_rcv_detail_code,remaining_amt, payrec, mode_code,coinsurance_code,class_cd,it_remarks) values</v>
      </c>
      <c r="G173" s="14" t="str">
        <f t="shared" si="10"/>
        <v>('30Sep240040','070000164540','35460',(select max(to_number(i.premium_rcv_detail_code))+1
from ins_premium_det i),'35460','35460','02', '11000003','00','Request by Mr. Saqib Saleem 30-Sep-2024 allocation 30Sep240040');</v>
      </c>
      <c r="H173" s="15" t="str">
        <f t="shared" si="11"/>
        <v>insert into ins_premium_det (premium_rcv_code,assorted_code, rec_amount,premium_rcv_detail_code,remaining_amt, payrec, mode_code,coinsurance_code,class_cd,it_remarks) values('30Sep240040','070000164540','35460',(select max(to_number(i.premium_rcv_detail_code))+1
from ins_premium_det i),'35460','35460','02', '11000003','00','Request by Mr. Saqib Saleem 30-Sep-2024 allocation 30Sep240040');</v>
      </c>
    </row>
    <row r="174" spans="1:8" ht="90" x14ac:dyDescent="0.25">
      <c r="A174" s="10" t="s">
        <v>2359</v>
      </c>
      <c r="B174" s="11" t="s">
        <v>4584</v>
      </c>
      <c r="C174" s="17">
        <v>38384</v>
      </c>
      <c r="D174" s="12">
        <f t="shared" si="9"/>
        <v>38384</v>
      </c>
      <c r="E174" s="18" t="s">
        <v>4411</v>
      </c>
      <c r="F174" s="13" t="str">
        <f t="shared" si="8"/>
        <v>insert into ins_premium_det (premium_rcv_code,assorted_code, rec_amount,premium_rcv_detail_code,remaining_amt, payrec, mode_code,coinsurance_code,class_cd,it_remarks) values</v>
      </c>
      <c r="G174" s="14" t="str">
        <f t="shared" si="10"/>
        <v>('30Sep240040','070000164541','38384',(select max(to_number(i.premium_rcv_detail_code))+1
from ins_premium_det i),'38384','38384','02', '11000003','00','Request by Mr. Saqib Saleem 30-Sep-2024 allocation 30Sep240040');</v>
      </c>
      <c r="H174" s="15" t="str">
        <f t="shared" si="11"/>
        <v>insert into ins_premium_det (premium_rcv_code,assorted_code, rec_amount,premium_rcv_detail_code,remaining_amt, payrec, mode_code,coinsurance_code,class_cd,it_remarks) values('30Sep240040','070000164541','38384',(select max(to_number(i.premium_rcv_detail_code))+1
from ins_premium_det i),'38384','38384','02', '11000003','00','Request by Mr. Saqib Saleem 30-Sep-2024 allocation 30Sep240040');</v>
      </c>
    </row>
    <row r="175" spans="1:8" ht="90" x14ac:dyDescent="0.25">
      <c r="A175" s="9" t="s">
        <v>2369</v>
      </c>
      <c r="B175" s="11" t="s">
        <v>4585</v>
      </c>
      <c r="C175" s="16">
        <v>12644</v>
      </c>
      <c r="D175" s="12">
        <f t="shared" si="9"/>
        <v>12644</v>
      </c>
      <c r="E175" s="18" t="s">
        <v>4411</v>
      </c>
      <c r="F175" s="13" t="str">
        <f t="shared" si="8"/>
        <v>insert into ins_premium_det (premium_rcv_code,assorted_code, rec_amount,premium_rcv_detail_code,remaining_amt, payrec, mode_code,coinsurance_code,class_cd,it_remarks) values</v>
      </c>
      <c r="G175" s="14" t="str">
        <f t="shared" si="10"/>
        <v>('30Sep240040','070000164313','12644',(select max(to_number(i.premium_rcv_detail_code))+1
from ins_premium_det i),'12644','12644','02', '11000003','00','Request by Mr. Saqib Saleem 30-Sep-2024 allocation 30Sep240040');</v>
      </c>
      <c r="H175" s="15" t="str">
        <f t="shared" si="11"/>
        <v>insert into ins_premium_det (premium_rcv_code,assorted_code, rec_amount,premium_rcv_detail_code,remaining_amt, payrec, mode_code,coinsurance_code,class_cd,it_remarks) values('30Sep240040','070000164313','12644',(select max(to_number(i.premium_rcv_detail_code))+1
from ins_premium_det i),'12644','12644','02', '11000003','00','Request by Mr. Saqib Saleem 30-Sep-2024 allocation 30Sep240040');</v>
      </c>
    </row>
    <row r="176" spans="1:8" ht="90" x14ac:dyDescent="0.25">
      <c r="A176" s="10" t="s">
        <v>2381</v>
      </c>
      <c r="B176" s="11" t="s">
        <v>4586</v>
      </c>
      <c r="C176" s="17">
        <v>48528</v>
      </c>
      <c r="D176" s="12">
        <f t="shared" si="9"/>
        <v>48528</v>
      </c>
      <c r="E176" s="18" t="s">
        <v>4411</v>
      </c>
      <c r="F176" s="13" t="str">
        <f t="shared" si="8"/>
        <v>insert into ins_premium_det (premium_rcv_code,assorted_code, rec_amount,premium_rcv_detail_code,remaining_amt, payrec, mode_code,coinsurance_code,class_cd,it_remarks) values</v>
      </c>
      <c r="G176" s="14" t="str">
        <f t="shared" si="10"/>
        <v>('30Sep240040','070000164543','48528',(select max(to_number(i.premium_rcv_detail_code))+1
from ins_premium_det i),'48528','48528','02', '11000003','00','Request by Mr. Saqib Saleem 30-Sep-2024 allocation 30Sep240040');</v>
      </c>
      <c r="H176" s="15" t="str">
        <f t="shared" si="11"/>
        <v>insert into ins_premium_det (premium_rcv_code,assorted_code, rec_amount,premium_rcv_detail_code,remaining_amt, payrec, mode_code,coinsurance_code,class_cd,it_remarks) values('30Sep240040','070000164543','48528',(select max(to_number(i.premium_rcv_detail_code))+1
from ins_premium_det i),'48528','48528','02', '11000003','00','Request by Mr. Saqib Saleem 30-Sep-2024 allocation 30Sep240040');</v>
      </c>
    </row>
    <row r="177" spans="1:8" ht="90" x14ac:dyDescent="0.25">
      <c r="A177" s="9" t="s">
        <v>2392</v>
      </c>
      <c r="B177" s="11" t="s">
        <v>4587</v>
      </c>
      <c r="C177" s="16">
        <v>75586</v>
      </c>
      <c r="D177" s="12">
        <f t="shared" si="9"/>
        <v>75586</v>
      </c>
      <c r="E177" s="18" t="s">
        <v>4411</v>
      </c>
      <c r="F177" s="13" t="str">
        <f t="shared" si="8"/>
        <v>insert into ins_premium_det (premium_rcv_code,assorted_code, rec_amount,premium_rcv_detail_code,remaining_amt, payrec, mode_code,coinsurance_code,class_cd,it_remarks) values</v>
      </c>
      <c r="G177" s="14" t="str">
        <f t="shared" si="10"/>
        <v>('30Sep240040','070000164545','75586',(select max(to_number(i.premium_rcv_detail_code))+1
from ins_premium_det i),'75586','75586','02', '11000003','00','Request by Mr. Saqib Saleem 30-Sep-2024 allocation 30Sep240040');</v>
      </c>
      <c r="H177" s="15" t="str">
        <f t="shared" si="11"/>
        <v>insert into ins_premium_det (premium_rcv_code,assorted_code, rec_amount,premium_rcv_detail_code,remaining_amt, payrec, mode_code,coinsurance_code,class_cd,it_remarks) values('30Sep240040','070000164545','75586',(select max(to_number(i.premium_rcv_detail_code))+1
from ins_premium_det i),'75586','75586','02', '11000003','00','Request by Mr. Saqib Saleem 30-Sep-2024 allocation 30Sep240040');</v>
      </c>
    </row>
    <row r="178" spans="1:8" ht="90" x14ac:dyDescent="0.25">
      <c r="A178" s="10" t="s">
        <v>2404</v>
      </c>
      <c r="B178" s="11" t="s">
        <v>4588</v>
      </c>
      <c r="C178" s="17">
        <v>76286</v>
      </c>
      <c r="D178" s="12">
        <f t="shared" si="9"/>
        <v>76286</v>
      </c>
      <c r="E178" s="18" t="s">
        <v>4411</v>
      </c>
      <c r="F178" s="13" t="str">
        <f t="shared" si="8"/>
        <v>insert into ins_premium_det (premium_rcv_code,assorted_code, rec_amount,premium_rcv_detail_code,remaining_amt, payrec, mode_code,coinsurance_code,class_cd,it_remarks) values</v>
      </c>
      <c r="G178" s="14" t="str">
        <f t="shared" si="10"/>
        <v>('30Sep240040','070000164546','76286',(select max(to_number(i.premium_rcv_detail_code))+1
from ins_premium_det i),'76286','76286','02', '11000003','00','Request by Mr. Saqib Saleem 30-Sep-2024 allocation 30Sep240040');</v>
      </c>
      <c r="H178" s="15" t="str">
        <f t="shared" si="11"/>
        <v>insert into ins_premium_det (premium_rcv_code,assorted_code, rec_amount,premium_rcv_detail_code,remaining_amt, payrec, mode_code,coinsurance_code,class_cd,it_remarks) values('30Sep240040','070000164546','76286',(select max(to_number(i.premium_rcv_detail_code))+1
from ins_premium_det i),'76286','76286','02', '11000003','00','Request by Mr. Saqib Saleem 30-Sep-2024 allocation 30Sep240040');</v>
      </c>
    </row>
    <row r="179" spans="1:8" ht="105" x14ac:dyDescent="0.25">
      <c r="A179" s="9" t="s">
        <v>2417</v>
      </c>
      <c r="B179" s="11" t="s">
        <v>4589</v>
      </c>
      <c r="C179" s="16">
        <v>135212</v>
      </c>
      <c r="D179" s="12">
        <f t="shared" si="9"/>
        <v>135212</v>
      </c>
      <c r="E179" s="18" t="s">
        <v>4411</v>
      </c>
      <c r="F179" s="13" t="str">
        <f t="shared" si="8"/>
        <v>insert into ins_premium_det (premium_rcv_code,assorted_code, rec_amount,premium_rcv_detail_code,remaining_amt, payrec, mode_code,coinsurance_code,class_cd,it_remarks) values</v>
      </c>
      <c r="G179" s="14" t="str">
        <f t="shared" si="10"/>
        <v>('30Sep240040','070000164548','135212',(select max(to_number(i.premium_rcv_detail_code))+1
from ins_premium_det i),'135212','135212','02', '11000003','00','Request by Mr. Saqib Saleem 30-Sep-2024 allocation 30Sep240040');</v>
      </c>
      <c r="H179" s="15" t="str">
        <f t="shared" si="11"/>
        <v>insert into ins_premium_det (premium_rcv_code,assorted_code, rec_amount,premium_rcv_detail_code,remaining_amt, payrec, mode_code,coinsurance_code,class_cd,it_remarks) values('30Sep240040','070000164548','135212',(select max(to_number(i.premium_rcv_detail_code))+1
from ins_premium_det i),'135212','135212','02', '11000003','00','Request by Mr. Saqib Saleem 30-Sep-2024 allocation 30Sep240040');</v>
      </c>
    </row>
    <row r="180" spans="1:8" ht="90" x14ac:dyDescent="0.25">
      <c r="A180" s="10" t="s">
        <v>2429</v>
      </c>
      <c r="B180" s="11" t="s">
        <v>4590</v>
      </c>
      <c r="C180" s="17">
        <v>34213</v>
      </c>
      <c r="D180" s="12">
        <f t="shared" si="9"/>
        <v>34213</v>
      </c>
      <c r="E180" s="18" t="s">
        <v>4411</v>
      </c>
      <c r="F180" s="13" t="str">
        <f t="shared" si="8"/>
        <v>insert into ins_premium_det (premium_rcv_code,assorted_code, rec_amount,premium_rcv_detail_code,remaining_amt, payrec, mode_code,coinsurance_code,class_cd,it_remarks) values</v>
      </c>
      <c r="G180" s="14" t="str">
        <f t="shared" si="10"/>
        <v>('30Sep240040','070000164550','34213',(select max(to_number(i.premium_rcv_detail_code))+1
from ins_premium_det i),'34213','34213','02', '11000003','00','Request by Mr. Saqib Saleem 30-Sep-2024 allocation 30Sep240040');</v>
      </c>
      <c r="H180" s="15" t="str">
        <f t="shared" si="11"/>
        <v>insert into ins_premium_det (premium_rcv_code,assorted_code, rec_amount,premium_rcv_detail_code,remaining_amt, payrec, mode_code,coinsurance_code,class_cd,it_remarks) values('30Sep240040','070000164550','34213',(select max(to_number(i.premium_rcv_detail_code))+1
from ins_premium_det i),'34213','34213','02', '11000003','00','Request by Mr. Saqib Saleem 30-Sep-2024 allocation 30Sep240040');</v>
      </c>
    </row>
    <row r="181" spans="1:8" ht="90" x14ac:dyDescent="0.25">
      <c r="A181" s="9" t="s">
        <v>2442</v>
      </c>
      <c r="B181" s="11" t="s">
        <v>4591</v>
      </c>
      <c r="C181" s="16">
        <v>58013</v>
      </c>
      <c r="D181" s="12">
        <f t="shared" si="9"/>
        <v>58013</v>
      </c>
      <c r="E181" s="18" t="s">
        <v>4411</v>
      </c>
      <c r="F181" s="13" t="str">
        <f t="shared" si="8"/>
        <v>insert into ins_premium_det (premium_rcv_code,assorted_code, rec_amount,premium_rcv_detail_code,remaining_amt, payrec, mode_code,coinsurance_code,class_cd,it_remarks) values</v>
      </c>
      <c r="G181" s="14" t="str">
        <f t="shared" si="10"/>
        <v>('30Sep240040','070000164551','58013',(select max(to_number(i.premium_rcv_detail_code))+1
from ins_premium_det i),'58013','58013','02', '11000003','00','Request by Mr. Saqib Saleem 30-Sep-2024 allocation 30Sep240040');</v>
      </c>
      <c r="H181" s="15" t="str">
        <f t="shared" si="11"/>
        <v>insert into ins_premium_det (premium_rcv_code,assorted_code, rec_amount,premium_rcv_detail_code,remaining_amt, payrec, mode_code,coinsurance_code,class_cd,it_remarks) values('30Sep240040','070000164551','58013',(select max(to_number(i.premium_rcv_detail_code))+1
from ins_premium_det i),'58013','58013','02', '11000003','00','Request by Mr. Saqib Saleem 30-Sep-2024 allocation 30Sep240040');</v>
      </c>
    </row>
    <row r="182" spans="1:8" ht="90" x14ac:dyDescent="0.25">
      <c r="A182" s="10" t="s">
        <v>2454</v>
      </c>
      <c r="B182" s="11" t="s">
        <v>4592</v>
      </c>
      <c r="C182" s="17">
        <v>50575</v>
      </c>
      <c r="D182" s="12">
        <f t="shared" si="9"/>
        <v>50575</v>
      </c>
      <c r="E182" s="18" t="s">
        <v>4411</v>
      </c>
      <c r="F182" s="13" t="str">
        <f t="shared" si="8"/>
        <v>insert into ins_premium_det (premium_rcv_code,assorted_code, rec_amount,premium_rcv_detail_code,remaining_amt, payrec, mode_code,coinsurance_code,class_cd,it_remarks) values</v>
      </c>
      <c r="G182" s="14" t="str">
        <f t="shared" si="10"/>
        <v>('30Sep240040','070000164552','50575',(select max(to_number(i.premium_rcv_detail_code))+1
from ins_premium_det i),'50575','50575','02', '11000003','00','Request by Mr. Saqib Saleem 30-Sep-2024 allocation 30Sep240040');</v>
      </c>
      <c r="H182" s="15" t="str">
        <f t="shared" si="11"/>
        <v>insert into ins_premium_det (premium_rcv_code,assorted_code, rec_amount,premium_rcv_detail_code,remaining_amt, payrec, mode_code,coinsurance_code,class_cd,it_remarks) values('30Sep240040','070000164552','50575',(select max(to_number(i.premium_rcv_detail_code))+1
from ins_premium_det i),'50575','50575','02', '11000003','00','Request by Mr. Saqib Saleem 30-Sep-2024 allocation 30Sep240040');</v>
      </c>
    </row>
    <row r="183" spans="1:8" ht="105" x14ac:dyDescent="0.25">
      <c r="A183" s="9" t="s">
        <v>2465</v>
      </c>
      <c r="B183" s="11" t="s">
        <v>4593</v>
      </c>
      <c r="C183" s="16">
        <v>117712</v>
      </c>
      <c r="D183" s="12">
        <f t="shared" si="9"/>
        <v>117712</v>
      </c>
      <c r="E183" s="18" t="s">
        <v>4411</v>
      </c>
      <c r="F183" s="13" t="str">
        <f t="shared" si="8"/>
        <v>insert into ins_premium_det (premium_rcv_code,assorted_code, rec_amount,premium_rcv_detail_code,remaining_amt, payrec, mode_code,coinsurance_code,class_cd,it_remarks) values</v>
      </c>
      <c r="G183" s="14" t="str">
        <f t="shared" si="10"/>
        <v>('30Sep240040','070000164314','117712',(select max(to_number(i.premium_rcv_detail_code))+1
from ins_premium_det i),'117712','117712','02', '11000003','00','Request by Mr. Saqib Saleem 30-Sep-2024 allocation 30Sep240040');</v>
      </c>
      <c r="H183" s="15" t="str">
        <f t="shared" si="11"/>
        <v>insert into ins_premium_det (premium_rcv_code,assorted_code, rec_amount,premium_rcv_detail_code,remaining_amt, payrec, mode_code,coinsurance_code,class_cd,it_remarks) values('30Sep240040','070000164314','117712',(select max(to_number(i.premium_rcv_detail_code))+1
from ins_premium_det i),'117712','117712','02', '11000003','00','Request by Mr. Saqib Saleem 30-Sep-2024 allocation 30Sep240040');</v>
      </c>
    </row>
    <row r="184" spans="1:8" ht="90" x14ac:dyDescent="0.25">
      <c r="A184" s="10" t="s">
        <v>2478</v>
      </c>
      <c r="B184" s="11" t="s">
        <v>4594</v>
      </c>
      <c r="C184" s="17">
        <v>63680</v>
      </c>
      <c r="D184" s="12">
        <f t="shared" si="9"/>
        <v>63680</v>
      </c>
      <c r="E184" s="18" t="s">
        <v>4411</v>
      </c>
      <c r="F184" s="13" t="str">
        <f t="shared" si="8"/>
        <v>insert into ins_premium_det (premium_rcv_code,assorted_code, rec_amount,premium_rcv_detail_code,remaining_amt, payrec, mode_code,coinsurance_code,class_cd,it_remarks) values</v>
      </c>
      <c r="G184" s="14" t="str">
        <f t="shared" si="10"/>
        <v>('30Sep240040','070000164316','63680',(select max(to_number(i.premium_rcv_detail_code))+1
from ins_premium_det i),'63680','63680','02', '11000003','00','Request by Mr. Saqib Saleem 30-Sep-2024 allocation 30Sep240040');</v>
      </c>
      <c r="H184" s="15" t="str">
        <f t="shared" si="11"/>
        <v>insert into ins_premium_det (premium_rcv_code,assorted_code, rec_amount,premium_rcv_detail_code,remaining_amt, payrec, mode_code,coinsurance_code,class_cd,it_remarks) values('30Sep240040','070000164316','63680',(select max(to_number(i.premium_rcv_detail_code))+1
from ins_premium_det i),'63680','63680','02', '11000003','00','Request by Mr. Saqib Saleem 30-Sep-2024 allocation 30Sep240040');</v>
      </c>
    </row>
    <row r="185" spans="1:8" ht="90" x14ac:dyDescent="0.25">
      <c r="A185" s="9" t="s">
        <v>2488</v>
      </c>
      <c r="B185" s="11" t="s">
        <v>4595</v>
      </c>
      <c r="C185" s="16">
        <v>42320</v>
      </c>
      <c r="D185" s="12">
        <f t="shared" si="9"/>
        <v>42320</v>
      </c>
      <c r="E185" s="18" t="s">
        <v>4411</v>
      </c>
      <c r="F185" s="13" t="str">
        <f t="shared" si="8"/>
        <v>insert into ins_premium_det (premium_rcv_code,assorted_code, rec_amount,premium_rcv_detail_code,remaining_amt, payrec, mode_code,coinsurance_code,class_cd,it_remarks) values</v>
      </c>
      <c r="G185" s="14" t="str">
        <f t="shared" si="10"/>
        <v>('30Sep240040','070000164318','42320',(select max(to_number(i.premium_rcv_detail_code))+1
from ins_premium_det i),'42320','42320','02', '11000003','00','Request by Mr. Saqib Saleem 30-Sep-2024 allocation 30Sep240040');</v>
      </c>
      <c r="H185" s="15" t="str">
        <f t="shared" si="11"/>
        <v>insert into ins_premium_det (premium_rcv_code,assorted_code, rec_amount,premium_rcv_detail_code,remaining_amt, payrec, mode_code,coinsurance_code,class_cd,it_remarks) values('30Sep240040','070000164318','42320',(select max(to_number(i.premium_rcv_detail_code))+1
from ins_premium_det i),'42320','42320','02', '11000003','00','Request by Mr. Saqib Saleem 30-Sep-2024 allocation 30Sep240040');</v>
      </c>
    </row>
    <row r="186" spans="1:8" ht="90" x14ac:dyDescent="0.25">
      <c r="A186" s="10" t="s">
        <v>2499</v>
      </c>
      <c r="B186" s="11" t="s">
        <v>4596</v>
      </c>
      <c r="C186" s="17">
        <v>24336</v>
      </c>
      <c r="D186" s="12">
        <f t="shared" si="9"/>
        <v>24336</v>
      </c>
      <c r="E186" s="18" t="s">
        <v>4411</v>
      </c>
      <c r="F186" s="13" t="str">
        <f t="shared" si="8"/>
        <v>insert into ins_premium_det (premium_rcv_code,assorted_code, rec_amount,premium_rcv_detail_code,remaining_amt, payrec, mode_code,coinsurance_code,class_cd,it_remarks) values</v>
      </c>
      <c r="G186" s="14" t="str">
        <f t="shared" si="10"/>
        <v>('30Sep240040','070000164320','24336',(select max(to_number(i.premium_rcv_detail_code))+1
from ins_premium_det i),'24336','24336','02', '11000003','00','Request by Mr. Saqib Saleem 30-Sep-2024 allocation 30Sep240040');</v>
      </c>
      <c r="H186" s="15" t="str">
        <f t="shared" si="11"/>
        <v>insert into ins_premium_det (premium_rcv_code,assorted_code, rec_amount,premium_rcv_detail_code,remaining_amt, payrec, mode_code,coinsurance_code,class_cd,it_remarks) values('30Sep240040','070000164320','24336',(select max(to_number(i.premium_rcv_detail_code))+1
from ins_premium_det i),'24336','24336','02', '11000003','00','Request by Mr. Saqib Saleem 30-Sep-2024 allocation 30Sep240040');</v>
      </c>
    </row>
    <row r="187" spans="1:8" ht="90" x14ac:dyDescent="0.25">
      <c r="A187" s="9" t="s">
        <v>2514</v>
      </c>
      <c r="B187" s="11" t="s">
        <v>4597</v>
      </c>
      <c r="C187" s="16">
        <v>22663</v>
      </c>
      <c r="D187" s="12">
        <f t="shared" si="9"/>
        <v>22663</v>
      </c>
      <c r="E187" s="18" t="s">
        <v>4411</v>
      </c>
      <c r="F187" s="13" t="str">
        <f t="shared" si="8"/>
        <v>insert into ins_premium_det (premium_rcv_code,assorted_code, rec_amount,premium_rcv_detail_code,remaining_amt, payrec, mode_code,coinsurance_code,class_cd,it_remarks) values</v>
      </c>
      <c r="G187" s="14" t="str">
        <f t="shared" si="10"/>
        <v>('30Sep240040','070000164321','22663',(select max(to_number(i.premium_rcv_detail_code))+1
from ins_premium_det i),'22663','22663','02', '11000003','00','Request by Mr. Saqib Saleem 30-Sep-2024 allocation 30Sep240040');</v>
      </c>
      <c r="H187" s="15" t="str">
        <f t="shared" si="11"/>
        <v>insert into ins_premium_det (premium_rcv_code,assorted_code, rec_amount,premium_rcv_detail_code,remaining_amt, payrec, mode_code,coinsurance_code,class_cd,it_remarks) values('30Sep240040','070000164321','22663',(select max(to_number(i.premium_rcv_detail_code))+1
from ins_premium_det i),'22663','22663','02', '11000003','00','Request by Mr. Saqib Saleem 30-Sep-2024 allocation 30Sep240040');</v>
      </c>
    </row>
    <row r="188" spans="1:8" ht="90" x14ac:dyDescent="0.25">
      <c r="A188" s="10" t="s">
        <v>2529</v>
      </c>
      <c r="B188" s="11" t="s">
        <v>4598</v>
      </c>
      <c r="C188" s="17">
        <v>63000</v>
      </c>
      <c r="D188" s="12">
        <f t="shared" si="9"/>
        <v>63000</v>
      </c>
      <c r="E188" s="18" t="s">
        <v>4411</v>
      </c>
      <c r="F188" s="13" t="str">
        <f t="shared" si="8"/>
        <v>insert into ins_premium_det (premium_rcv_code,assorted_code, rec_amount,premium_rcv_detail_code,remaining_amt, payrec, mode_code,coinsurance_code,class_cd,it_remarks) values</v>
      </c>
      <c r="G188" s="14" t="str">
        <f t="shared" si="10"/>
        <v>('30Sep240040','070000164322','63000',(select max(to_number(i.premium_rcv_detail_code))+1
from ins_premium_det i),'63000','63000','02', '11000003','00','Request by Mr. Saqib Saleem 30-Sep-2024 allocation 30Sep240040');</v>
      </c>
      <c r="H188" s="15" t="str">
        <f t="shared" si="11"/>
        <v>insert into ins_premium_det (premium_rcv_code,assorted_code, rec_amount,premium_rcv_detail_code,remaining_amt, payrec, mode_code,coinsurance_code,class_cd,it_remarks) values('30Sep240040','070000164322','63000',(select max(to_number(i.premium_rcv_detail_code))+1
from ins_premium_det i),'63000','63000','02', '11000003','00','Request by Mr. Saqib Saleem 30-Sep-2024 allocation 30Sep240040');</v>
      </c>
    </row>
    <row r="189" spans="1:8" ht="90" x14ac:dyDescent="0.25">
      <c r="A189" s="9" t="s">
        <v>2541</v>
      </c>
      <c r="B189" s="11" t="s">
        <v>4599</v>
      </c>
      <c r="C189" s="16">
        <v>22202</v>
      </c>
      <c r="D189" s="12">
        <f t="shared" si="9"/>
        <v>22202</v>
      </c>
      <c r="E189" s="18" t="s">
        <v>4411</v>
      </c>
      <c r="F189" s="13" t="str">
        <f t="shared" si="8"/>
        <v>insert into ins_premium_det (premium_rcv_code,assorted_code, rec_amount,premium_rcv_detail_code,remaining_amt, payrec, mode_code,coinsurance_code,class_cd,it_remarks) values</v>
      </c>
      <c r="G189" s="14" t="str">
        <f t="shared" si="10"/>
        <v>('30Sep240040','070000164561','22202',(select max(to_number(i.premium_rcv_detail_code))+1
from ins_premium_det i),'22202','22202','02', '11000003','00','Request by Mr. Saqib Saleem 30-Sep-2024 allocation 30Sep240040');</v>
      </c>
      <c r="H189" s="15" t="str">
        <f t="shared" si="11"/>
        <v>insert into ins_premium_det (premium_rcv_code,assorted_code, rec_amount,premium_rcv_detail_code,remaining_amt, payrec, mode_code,coinsurance_code,class_cd,it_remarks) values('30Sep240040','070000164561','22202',(select max(to_number(i.premium_rcv_detail_code))+1
from ins_premium_det i),'22202','22202','02', '11000003','00','Request by Mr. Saqib Saleem 30-Sep-2024 allocation 30Sep240040');</v>
      </c>
    </row>
    <row r="190" spans="1:8" ht="90" x14ac:dyDescent="0.25">
      <c r="A190" s="10" t="s">
        <v>2553</v>
      </c>
      <c r="B190" s="11" t="s">
        <v>4600</v>
      </c>
      <c r="C190" s="17">
        <v>18113</v>
      </c>
      <c r="D190" s="12">
        <f t="shared" si="9"/>
        <v>18113</v>
      </c>
      <c r="E190" s="18" t="s">
        <v>4411</v>
      </c>
      <c r="F190" s="13" t="str">
        <f t="shared" si="8"/>
        <v>insert into ins_premium_det (premium_rcv_code,assorted_code, rec_amount,premium_rcv_detail_code,remaining_amt, payrec, mode_code,coinsurance_code,class_cd,it_remarks) values</v>
      </c>
      <c r="G190" s="14" t="str">
        <f t="shared" si="10"/>
        <v>('30Sep240040','070000164323','18113',(select max(to_number(i.premium_rcv_detail_code))+1
from ins_premium_det i),'18113','18113','02', '11000003','00','Request by Mr. Saqib Saleem 30-Sep-2024 allocation 30Sep240040');</v>
      </c>
      <c r="H190" s="15" t="str">
        <f t="shared" si="11"/>
        <v>insert into ins_premium_det (premium_rcv_code,assorted_code, rec_amount,premium_rcv_detail_code,remaining_amt, payrec, mode_code,coinsurance_code,class_cd,it_remarks) values('30Sep240040','070000164323','18113',(select max(to_number(i.premium_rcv_detail_code))+1
from ins_premium_det i),'18113','18113','02', '11000003','00','Request by Mr. Saqib Saleem 30-Sep-2024 allocation 30Sep240040');</v>
      </c>
    </row>
    <row r="191" spans="1:8" ht="90" x14ac:dyDescent="0.25">
      <c r="A191" s="9" t="s">
        <v>2566</v>
      </c>
      <c r="B191" s="11" t="s">
        <v>4601</v>
      </c>
      <c r="C191" s="16">
        <v>19168</v>
      </c>
      <c r="D191" s="12">
        <f t="shared" si="9"/>
        <v>19168</v>
      </c>
      <c r="E191" s="18" t="s">
        <v>4411</v>
      </c>
      <c r="F191" s="13" t="str">
        <f t="shared" si="8"/>
        <v>insert into ins_premium_det (premium_rcv_code,assorted_code, rec_amount,premium_rcv_detail_code,remaining_amt, payrec, mode_code,coinsurance_code,class_cd,it_remarks) values</v>
      </c>
      <c r="G191" s="14" t="str">
        <f t="shared" si="10"/>
        <v>('30Sep240040','070000164563','19168',(select max(to_number(i.premium_rcv_detail_code))+1
from ins_premium_det i),'19168','19168','02', '11000003','00','Request by Mr. Saqib Saleem 30-Sep-2024 allocation 30Sep240040');</v>
      </c>
      <c r="H191" s="15" t="str">
        <f t="shared" si="11"/>
        <v>insert into ins_premium_det (premium_rcv_code,assorted_code, rec_amount,premium_rcv_detail_code,remaining_amt, payrec, mode_code,coinsurance_code,class_cd,it_remarks) values('30Sep240040','070000164563','19168',(select max(to_number(i.premium_rcv_detail_code))+1
from ins_premium_det i),'19168','19168','02', '11000003','00','Request by Mr. Saqib Saleem 30-Sep-2024 allocation 30Sep240040');</v>
      </c>
    </row>
    <row r="192" spans="1:8" ht="90" x14ac:dyDescent="0.25">
      <c r="A192" s="10" t="s">
        <v>2579</v>
      </c>
      <c r="B192" s="11" t="s">
        <v>4602</v>
      </c>
      <c r="C192" s="17">
        <v>69300</v>
      </c>
      <c r="D192" s="12">
        <f t="shared" si="9"/>
        <v>69300</v>
      </c>
      <c r="E192" s="18" t="s">
        <v>4411</v>
      </c>
      <c r="F192" s="13" t="str">
        <f t="shared" si="8"/>
        <v>insert into ins_premium_det (premium_rcv_code,assorted_code, rec_amount,premium_rcv_detail_code,remaining_amt, payrec, mode_code,coinsurance_code,class_cd,it_remarks) values</v>
      </c>
      <c r="G192" s="14" t="str">
        <f t="shared" si="10"/>
        <v>('30Sep240040','070000164325','69300',(select max(to_number(i.premium_rcv_detail_code))+1
from ins_premium_det i),'69300','69300','02', '11000003','00','Request by Mr. Saqib Saleem 30-Sep-2024 allocation 30Sep240040');</v>
      </c>
      <c r="H192" s="15" t="str">
        <f t="shared" si="11"/>
        <v>insert into ins_premium_det (premium_rcv_code,assorted_code, rec_amount,premium_rcv_detail_code,remaining_amt, payrec, mode_code,coinsurance_code,class_cd,it_remarks) values('30Sep240040','070000164325','69300',(select max(to_number(i.premium_rcv_detail_code))+1
from ins_premium_det i),'69300','69300','02', '11000003','00','Request by Mr. Saqib Saleem 30-Sep-2024 allocation 30Sep240040');</v>
      </c>
    </row>
    <row r="193" spans="1:8" ht="90" x14ac:dyDescent="0.25">
      <c r="A193" s="9" t="s">
        <v>2594</v>
      </c>
      <c r="B193" s="11" t="s">
        <v>4603</v>
      </c>
      <c r="C193" s="16">
        <v>63000</v>
      </c>
      <c r="D193" s="12">
        <f t="shared" si="9"/>
        <v>63000</v>
      </c>
      <c r="E193" s="18" t="s">
        <v>4411</v>
      </c>
      <c r="F193" s="13" t="str">
        <f t="shared" si="8"/>
        <v>insert into ins_premium_det (premium_rcv_code,assorted_code, rec_amount,premium_rcv_detail_code,remaining_amt, payrec, mode_code,coinsurance_code,class_cd,it_remarks) values</v>
      </c>
      <c r="G193" s="14" t="str">
        <f t="shared" si="10"/>
        <v>('30Sep240040','070000164564','63000',(select max(to_number(i.premium_rcv_detail_code))+1
from ins_premium_det i),'63000','63000','02', '11000003','00','Request by Mr. Saqib Saleem 30-Sep-2024 allocation 30Sep240040');</v>
      </c>
      <c r="H193" s="15" t="str">
        <f t="shared" si="11"/>
        <v>insert into ins_premium_det (premium_rcv_code,assorted_code, rec_amount,premium_rcv_detail_code,remaining_amt, payrec, mode_code,coinsurance_code,class_cd,it_remarks) values('30Sep240040','070000164564','63000',(select max(to_number(i.premium_rcv_detail_code))+1
from ins_premium_det i),'63000','63000','02', '11000003','00','Request by Mr. Saqib Saleem 30-Sep-2024 allocation 30Sep240040');</v>
      </c>
    </row>
    <row r="194" spans="1:8" ht="90" x14ac:dyDescent="0.25">
      <c r="A194" s="10" t="s">
        <v>2606</v>
      </c>
      <c r="B194" s="11" t="s">
        <v>4604</v>
      </c>
      <c r="C194" s="17">
        <v>59850</v>
      </c>
      <c r="D194" s="12">
        <f t="shared" si="9"/>
        <v>59850</v>
      </c>
      <c r="E194" s="18" t="s">
        <v>4411</v>
      </c>
      <c r="F194" s="13" t="str">
        <f t="shared" ref="F194:F257" si="12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94" s="14" t="str">
        <f t="shared" si="10"/>
        <v>('30Sep240040','070000164326','59850',(select max(to_number(i.premium_rcv_detail_code))+1
from ins_premium_det i),'59850','59850','02', '11000003','00','Request by Mr. Saqib Saleem 30-Sep-2024 allocation 30Sep240040');</v>
      </c>
      <c r="H194" s="15" t="str">
        <f t="shared" si="11"/>
        <v>insert into ins_premium_det (premium_rcv_code,assorted_code, rec_amount,premium_rcv_detail_code,remaining_amt, payrec, mode_code,coinsurance_code,class_cd,it_remarks) values('30Sep240040','070000164326','59850',(select max(to_number(i.premium_rcv_detail_code))+1
from ins_premium_det i),'59850','59850','02', '11000003','00','Request by Mr. Saqib Saleem 30-Sep-2024 allocation 30Sep240040');</v>
      </c>
    </row>
    <row r="195" spans="1:8" ht="90" x14ac:dyDescent="0.25">
      <c r="A195" s="9" t="s">
        <v>2619</v>
      </c>
      <c r="B195" s="11" t="s">
        <v>4605</v>
      </c>
      <c r="C195" s="16">
        <v>50873</v>
      </c>
      <c r="D195" s="12">
        <f t="shared" ref="D195:D258" si="13">ROUND(C195,0)</f>
        <v>50873</v>
      </c>
      <c r="E195" s="18" t="s">
        <v>4411</v>
      </c>
      <c r="F195" s="13" t="str">
        <f t="shared" si="12"/>
        <v>insert into ins_premium_det (premium_rcv_code,assorted_code, rec_amount,premium_rcv_detail_code,remaining_amt, payrec, mode_code,coinsurance_code,class_cd,it_remarks) values</v>
      </c>
      <c r="G195" s="14" t="str">
        <f t="shared" ref="G195:G258" si="14">"('"&amp;E195&amp;"','"&amp;B195&amp;"','"&amp;D195&amp;"',(select max(to_number(i.premium_rcv_detail_code))+1
from ins_premium_det i),'"&amp;D195&amp;"','"&amp;D195&amp;"','02', '11000003','00','Request by Mr. Saqib Saleem 30-Sep-2024 allocation 30Sep240040');"</f>
        <v>('30Sep240040','070000164328','50873',(select max(to_number(i.premium_rcv_detail_code))+1
from ins_premium_det i),'50873','50873','02', '11000003','00','Request by Mr. Saqib Saleem 30-Sep-2024 allocation 30Sep240040');</v>
      </c>
      <c r="H195" s="15" t="str">
        <f t="shared" ref="H195:H258" si="15">F195&amp;G195</f>
        <v>insert into ins_premium_det (premium_rcv_code,assorted_code, rec_amount,premium_rcv_detail_code,remaining_amt, payrec, mode_code,coinsurance_code,class_cd,it_remarks) values('30Sep240040','070000164328','50873',(select max(to_number(i.premium_rcv_detail_code))+1
from ins_premium_det i),'50873','50873','02', '11000003','00','Request by Mr. Saqib Saleem 30-Sep-2024 allocation 30Sep240040');</v>
      </c>
    </row>
    <row r="196" spans="1:8" ht="90" x14ac:dyDescent="0.25">
      <c r="A196" s="10" t="s">
        <v>2631</v>
      </c>
      <c r="B196" s="11" t="s">
        <v>4606</v>
      </c>
      <c r="C196" s="17">
        <v>59211</v>
      </c>
      <c r="D196" s="12">
        <f t="shared" si="13"/>
        <v>59211</v>
      </c>
      <c r="E196" s="18" t="s">
        <v>4411</v>
      </c>
      <c r="F196" s="13" t="str">
        <f t="shared" si="12"/>
        <v>insert into ins_premium_det (premium_rcv_code,assorted_code, rec_amount,premium_rcv_detail_code,remaining_amt, payrec, mode_code,coinsurance_code,class_cd,it_remarks) values</v>
      </c>
      <c r="G196" s="14" t="str">
        <f t="shared" si="14"/>
        <v>('30Sep240040','070000164331','59211',(select max(to_number(i.premium_rcv_detail_code))+1
from ins_premium_det i),'59211','59211','02', '11000003','00','Request by Mr. Saqib Saleem 30-Sep-2024 allocation 30Sep240040');</v>
      </c>
      <c r="H196" s="15" t="str">
        <f t="shared" si="15"/>
        <v>insert into ins_premium_det (premium_rcv_code,assorted_code, rec_amount,premium_rcv_detail_code,remaining_amt, payrec, mode_code,coinsurance_code,class_cd,it_remarks) values('30Sep240040','070000164331','59211',(select max(to_number(i.premium_rcv_detail_code))+1
from ins_premium_det i),'59211','59211','02', '11000003','00','Request by Mr. Saqib Saleem 30-Sep-2024 allocation 30Sep240040');</v>
      </c>
    </row>
    <row r="197" spans="1:8" ht="90" x14ac:dyDescent="0.25">
      <c r="A197" s="9" t="s">
        <v>2643</v>
      </c>
      <c r="B197" s="11" t="s">
        <v>4607</v>
      </c>
      <c r="C197" s="16">
        <v>29325</v>
      </c>
      <c r="D197" s="12">
        <f t="shared" si="13"/>
        <v>29325</v>
      </c>
      <c r="E197" s="18" t="s">
        <v>4411</v>
      </c>
      <c r="F197" s="13" t="str">
        <f t="shared" si="12"/>
        <v>insert into ins_premium_det (premium_rcv_code,assorted_code, rec_amount,premium_rcv_detail_code,remaining_amt, payrec, mode_code,coinsurance_code,class_cd,it_remarks) values</v>
      </c>
      <c r="G197" s="14" t="str">
        <f t="shared" si="14"/>
        <v>('30Sep240040','070000164568','29325',(select max(to_number(i.premium_rcv_detail_code))+1
from ins_premium_det i),'29325','29325','02', '11000003','00','Request by Mr. Saqib Saleem 30-Sep-2024 allocation 30Sep240040');</v>
      </c>
      <c r="H197" s="15" t="str">
        <f t="shared" si="15"/>
        <v>insert into ins_premium_det (premium_rcv_code,assorted_code, rec_amount,premium_rcv_detail_code,remaining_amt, payrec, mode_code,coinsurance_code,class_cd,it_remarks) values('30Sep240040','070000164568','29325',(select max(to_number(i.premium_rcv_detail_code))+1
from ins_premium_det i),'29325','29325','02', '11000003','00','Request by Mr. Saqib Saleem 30-Sep-2024 allocation 30Sep240040');</v>
      </c>
    </row>
    <row r="198" spans="1:8" ht="90" x14ac:dyDescent="0.25">
      <c r="A198" s="10" t="s">
        <v>2656</v>
      </c>
      <c r="B198" s="11" t="s">
        <v>4608</v>
      </c>
      <c r="C198" s="17">
        <v>29699</v>
      </c>
      <c r="D198" s="12">
        <f t="shared" si="13"/>
        <v>29699</v>
      </c>
      <c r="E198" s="18" t="s">
        <v>4411</v>
      </c>
      <c r="F198" s="13" t="str">
        <f t="shared" si="12"/>
        <v>insert into ins_premium_det (premium_rcv_code,assorted_code, rec_amount,premium_rcv_detail_code,remaining_amt, payrec, mode_code,coinsurance_code,class_cd,it_remarks) values</v>
      </c>
      <c r="G198" s="14" t="str">
        <f t="shared" si="14"/>
        <v>('30Sep240040','070000164332','29699',(select max(to_number(i.premium_rcv_detail_code))+1
from ins_premium_det i),'29699','29699','02', '11000003','00','Request by Mr. Saqib Saleem 30-Sep-2024 allocation 30Sep240040');</v>
      </c>
      <c r="H198" s="15" t="str">
        <f t="shared" si="15"/>
        <v>insert into ins_premium_det (premium_rcv_code,assorted_code, rec_amount,premium_rcv_detail_code,remaining_amt, payrec, mode_code,coinsurance_code,class_cd,it_remarks) values('30Sep240040','070000164332','29699',(select max(to_number(i.premium_rcv_detail_code))+1
from ins_premium_det i),'29699','29699','02', '11000003','00','Request by Mr. Saqib Saleem 30-Sep-2024 allocation 30Sep240040');</v>
      </c>
    </row>
    <row r="199" spans="1:8" ht="90" x14ac:dyDescent="0.25">
      <c r="A199" s="9" t="s">
        <v>2669</v>
      </c>
      <c r="B199" s="11" t="s">
        <v>4609</v>
      </c>
      <c r="C199" s="16">
        <v>27975</v>
      </c>
      <c r="D199" s="12">
        <f t="shared" si="13"/>
        <v>27975</v>
      </c>
      <c r="E199" s="18" t="s">
        <v>4411</v>
      </c>
      <c r="F199" s="13" t="str">
        <f t="shared" si="12"/>
        <v>insert into ins_premium_det (premium_rcv_code,assorted_code, rec_amount,premium_rcv_detail_code,remaining_amt, payrec, mode_code,coinsurance_code,class_cd,it_remarks) values</v>
      </c>
      <c r="G199" s="14" t="str">
        <f t="shared" si="14"/>
        <v>('30Sep240040','070000164569','27975',(select max(to_number(i.premium_rcv_detail_code))+1
from ins_premium_det i),'27975','27975','02', '11000003','00','Request by Mr. Saqib Saleem 30-Sep-2024 allocation 30Sep240040');</v>
      </c>
      <c r="H199" s="15" t="str">
        <f t="shared" si="15"/>
        <v>insert into ins_premium_det (premium_rcv_code,assorted_code, rec_amount,premium_rcv_detail_code,remaining_amt, payrec, mode_code,coinsurance_code,class_cd,it_remarks) values('30Sep240040','070000164569','27975',(select max(to_number(i.premium_rcv_detail_code))+1
from ins_premium_det i),'27975','27975','02', '11000003','00','Request by Mr. Saqib Saleem 30-Sep-2024 allocation 30Sep240040');</v>
      </c>
    </row>
    <row r="200" spans="1:8" ht="90" x14ac:dyDescent="0.25">
      <c r="A200" s="10" t="s">
        <v>2680</v>
      </c>
      <c r="B200" s="11" t="s">
        <v>4610</v>
      </c>
      <c r="C200" s="17">
        <v>66774</v>
      </c>
      <c r="D200" s="12">
        <f t="shared" si="13"/>
        <v>66774</v>
      </c>
      <c r="E200" s="18" t="s">
        <v>4411</v>
      </c>
      <c r="F200" s="13" t="str">
        <f t="shared" si="12"/>
        <v>insert into ins_premium_det (premium_rcv_code,assorted_code, rec_amount,premium_rcv_detail_code,remaining_amt, payrec, mode_code,coinsurance_code,class_cd,it_remarks) values</v>
      </c>
      <c r="G200" s="14" t="str">
        <f t="shared" si="14"/>
        <v>('30Sep240040','070000164333','66774',(select max(to_number(i.premium_rcv_detail_code))+1
from ins_premium_det i),'66774','66774','02', '11000003','00','Request by Mr. Saqib Saleem 30-Sep-2024 allocation 30Sep240040');</v>
      </c>
      <c r="H200" s="15" t="str">
        <f t="shared" si="15"/>
        <v>insert into ins_premium_det (premium_rcv_code,assorted_code, rec_amount,premium_rcv_detail_code,remaining_amt, payrec, mode_code,coinsurance_code,class_cd,it_remarks) values('30Sep240040','070000164333','66774',(select max(to_number(i.premium_rcv_detail_code))+1
from ins_premium_det i),'66774','66774','02', '11000003','00','Request by Mr. Saqib Saleem 30-Sep-2024 allocation 30Sep240040');</v>
      </c>
    </row>
    <row r="201" spans="1:8" ht="90" x14ac:dyDescent="0.25">
      <c r="A201" s="9" t="s">
        <v>2692</v>
      </c>
      <c r="B201" s="11" t="s">
        <v>4611</v>
      </c>
      <c r="C201" s="16">
        <v>43350</v>
      </c>
      <c r="D201" s="12">
        <f t="shared" si="13"/>
        <v>43350</v>
      </c>
      <c r="E201" s="18" t="s">
        <v>4411</v>
      </c>
      <c r="F201" s="13" t="str">
        <f t="shared" si="12"/>
        <v>insert into ins_premium_det (premium_rcv_code,assorted_code, rec_amount,premium_rcv_detail_code,remaining_amt, payrec, mode_code,coinsurance_code,class_cd,it_remarks) values</v>
      </c>
      <c r="G201" s="14" t="str">
        <f t="shared" si="14"/>
        <v>('30Sep240040','070000164335','43350',(select max(to_number(i.premium_rcv_detail_code))+1
from ins_premium_det i),'43350','43350','02', '11000003','00','Request by Mr. Saqib Saleem 30-Sep-2024 allocation 30Sep240040');</v>
      </c>
      <c r="H201" s="15" t="str">
        <f t="shared" si="15"/>
        <v>insert into ins_premium_det (premium_rcv_code,assorted_code, rec_amount,premium_rcv_detail_code,remaining_amt, payrec, mode_code,coinsurance_code,class_cd,it_remarks) values('30Sep240040','070000164335','43350',(select max(to_number(i.premium_rcv_detail_code))+1
from ins_premium_det i),'43350','43350','02', '11000003','00','Request by Mr. Saqib Saleem 30-Sep-2024 allocation 30Sep240040');</v>
      </c>
    </row>
    <row r="202" spans="1:8" ht="90" x14ac:dyDescent="0.25">
      <c r="A202" s="10" t="s">
        <v>2707</v>
      </c>
      <c r="B202" s="11" t="s">
        <v>4612</v>
      </c>
      <c r="C202" s="17">
        <v>54640</v>
      </c>
      <c r="D202" s="12">
        <f t="shared" si="13"/>
        <v>54640</v>
      </c>
      <c r="E202" s="18" t="s">
        <v>4411</v>
      </c>
      <c r="F202" s="13" t="str">
        <f t="shared" si="12"/>
        <v>insert into ins_premium_det (premium_rcv_code,assorted_code, rec_amount,premium_rcv_detail_code,remaining_amt, payrec, mode_code,coinsurance_code,class_cd,it_remarks) values</v>
      </c>
      <c r="G202" s="14" t="str">
        <f t="shared" si="14"/>
        <v>('30Sep240040','070000164571','54640',(select max(to_number(i.premium_rcv_detail_code))+1
from ins_premium_det i),'54640','54640','02', '11000003','00','Request by Mr. Saqib Saleem 30-Sep-2024 allocation 30Sep240040');</v>
      </c>
      <c r="H202" s="15" t="str">
        <f t="shared" si="15"/>
        <v>insert into ins_premium_det (premium_rcv_code,assorted_code, rec_amount,premium_rcv_detail_code,remaining_amt, payrec, mode_code,coinsurance_code,class_cd,it_remarks) values('30Sep240040','070000164571','54640',(select max(to_number(i.premium_rcv_detail_code))+1
from ins_premium_det i),'54640','54640','02', '11000003','00','Request by Mr. Saqib Saleem 30-Sep-2024 allocation 30Sep240040');</v>
      </c>
    </row>
    <row r="203" spans="1:8" ht="90" x14ac:dyDescent="0.25">
      <c r="A203" s="9" t="s">
        <v>2719</v>
      </c>
      <c r="B203" s="11" t="s">
        <v>4613</v>
      </c>
      <c r="C203" s="16">
        <v>35700</v>
      </c>
      <c r="D203" s="12">
        <f t="shared" si="13"/>
        <v>35700</v>
      </c>
      <c r="E203" s="18" t="s">
        <v>4411</v>
      </c>
      <c r="F203" s="13" t="str">
        <f t="shared" si="12"/>
        <v>insert into ins_premium_det (premium_rcv_code,assorted_code, rec_amount,premium_rcv_detail_code,remaining_amt, payrec, mode_code,coinsurance_code,class_cd,it_remarks) values</v>
      </c>
      <c r="G203" s="14" t="str">
        <f t="shared" si="14"/>
        <v>('30Sep240040','070000164336','35700',(select max(to_number(i.premium_rcv_detail_code))+1
from ins_premium_det i),'35700','35700','02', '11000003','00','Request by Mr. Saqib Saleem 30-Sep-2024 allocation 30Sep240040');</v>
      </c>
      <c r="H203" s="15" t="str">
        <f t="shared" si="15"/>
        <v>insert into ins_premium_det (premium_rcv_code,assorted_code, rec_amount,premium_rcv_detail_code,remaining_amt, payrec, mode_code,coinsurance_code,class_cd,it_remarks) values('30Sep240040','070000164336','35700',(select max(to_number(i.premium_rcv_detail_code))+1
from ins_premium_det i),'35700','35700','02', '11000003','00','Request by Mr. Saqib Saleem 30-Sep-2024 allocation 30Sep240040');</v>
      </c>
    </row>
    <row r="204" spans="1:8" ht="90" x14ac:dyDescent="0.25">
      <c r="A204" s="10" t="s">
        <v>2733</v>
      </c>
      <c r="B204" s="11" t="s">
        <v>4614</v>
      </c>
      <c r="C204" s="17">
        <v>54272</v>
      </c>
      <c r="D204" s="12">
        <f t="shared" si="13"/>
        <v>54272</v>
      </c>
      <c r="E204" s="18" t="s">
        <v>4411</v>
      </c>
      <c r="F204" s="13" t="str">
        <f t="shared" si="12"/>
        <v>insert into ins_premium_det (premium_rcv_code,assorted_code, rec_amount,premium_rcv_detail_code,remaining_amt, payrec, mode_code,coinsurance_code,class_cd,it_remarks) values</v>
      </c>
      <c r="G204" s="14" t="str">
        <f t="shared" si="14"/>
        <v>('30Sep240040','070000164570','54272',(select max(to_number(i.premium_rcv_detail_code))+1
from ins_premium_det i),'54272','54272','02', '11000003','00','Request by Mr. Saqib Saleem 30-Sep-2024 allocation 30Sep240040');</v>
      </c>
      <c r="H204" s="15" t="str">
        <f t="shared" si="15"/>
        <v>insert into ins_premium_det (premium_rcv_code,assorted_code, rec_amount,premium_rcv_detail_code,remaining_amt, payrec, mode_code,coinsurance_code,class_cd,it_remarks) values('30Sep240040','070000164570','54272',(select max(to_number(i.premium_rcv_detail_code))+1
from ins_premium_det i),'54272','54272','02', '11000003','00','Request by Mr. Saqib Saleem 30-Sep-2024 allocation 30Sep240040');</v>
      </c>
    </row>
    <row r="205" spans="1:8" ht="90" x14ac:dyDescent="0.25">
      <c r="A205" s="9" t="s">
        <v>2744</v>
      </c>
      <c r="B205" s="11" t="s">
        <v>4615</v>
      </c>
      <c r="C205" s="16">
        <v>25500</v>
      </c>
      <c r="D205" s="12">
        <f t="shared" si="13"/>
        <v>25500</v>
      </c>
      <c r="E205" s="18" t="s">
        <v>4411</v>
      </c>
      <c r="F205" s="13" t="str">
        <f t="shared" si="12"/>
        <v>insert into ins_premium_det (premium_rcv_code,assorted_code, rec_amount,premium_rcv_detail_code,remaining_amt, payrec, mode_code,coinsurance_code,class_cd,it_remarks) values</v>
      </c>
      <c r="G205" s="14" t="str">
        <f t="shared" si="14"/>
        <v>('30Sep240040','070000164337','25500',(select max(to_number(i.premium_rcv_detail_code))+1
from ins_premium_det i),'25500','25500','02', '11000003','00','Request by Mr. Saqib Saleem 30-Sep-2024 allocation 30Sep240040');</v>
      </c>
      <c r="H205" s="15" t="str">
        <f t="shared" si="15"/>
        <v>insert into ins_premium_det (premium_rcv_code,assorted_code, rec_amount,premium_rcv_detail_code,remaining_amt, payrec, mode_code,coinsurance_code,class_cd,it_remarks) values('30Sep240040','070000164337','25500',(select max(to_number(i.premium_rcv_detail_code))+1
from ins_premium_det i),'25500','25500','02', '11000003','00','Request by Mr. Saqib Saleem 30-Sep-2024 allocation 30Sep240040');</v>
      </c>
    </row>
    <row r="206" spans="1:8" ht="90" x14ac:dyDescent="0.25">
      <c r="A206" s="10" t="s">
        <v>2756</v>
      </c>
      <c r="B206" s="11" t="s">
        <v>4616</v>
      </c>
      <c r="C206" s="17">
        <v>40784</v>
      </c>
      <c r="D206" s="12">
        <f t="shared" si="13"/>
        <v>40784</v>
      </c>
      <c r="E206" s="18" t="s">
        <v>4411</v>
      </c>
      <c r="F206" s="13" t="str">
        <f t="shared" si="12"/>
        <v>insert into ins_premium_det (premium_rcv_code,assorted_code, rec_amount,premium_rcv_detail_code,remaining_amt, payrec, mode_code,coinsurance_code,class_cd,it_remarks) values</v>
      </c>
      <c r="G206" s="14" t="str">
        <f t="shared" si="14"/>
        <v>('30Sep240040','070000164338','40784',(select max(to_number(i.premium_rcv_detail_code))+1
from ins_premium_det i),'40784','40784','02', '11000003','00','Request by Mr. Saqib Saleem 30-Sep-2024 allocation 30Sep240040');</v>
      </c>
      <c r="H206" s="15" t="str">
        <f t="shared" si="15"/>
        <v>insert into ins_premium_det (premium_rcv_code,assorted_code, rec_amount,premium_rcv_detail_code,remaining_amt, payrec, mode_code,coinsurance_code,class_cd,it_remarks) values('30Sep240040','070000164338','40784',(select max(to_number(i.premium_rcv_detail_code))+1
from ins_premium_det i),'40784','40784','02', '11000003','00','Request by Mr. Saqib Saleem 30-Sep-2024 allocation 30Sep240040');</v>
      </c>
    </row>
    <row r="207" spans="1:8" ht="90" x14ac:dyDescent="0.25">
      <c r="A207" s="9" t="s">
        <v>2769</v>
      </c>
      <c r="B207" s="11" t="s">
        <v>4617</v>
      </c>
      <c r="C207" s="16">
        <v>33670</v>
      </c>
      <c r="D207" s="12">
        <f t="shared" si="13"/>
        <v>33670</v>
      </c>
      <c r="E207" s="18" t="s">
        <v>4411</v>
      </c>
      <c r="F207" s="13" t="str">
        <f t="shared" si="12"/>
        <v>insert into ins_premium_det (premium_rcv_code,assorted_code, rec_amount,premium_rcv_detail_code,remaining_amt, payrec, mode_code,coinsurance_code,class_cd,it_remarks) values</v>
      </c>
      <c r="G207" s="14" t="str">
        <f t="shared" si="14"/>
        <v>('30Sep240040','070000164340','33670',(select max(to_number(i.premium_rcv_detail_code))+1
from ins_premium_det i),'33670','33670','02', '11000003','00','Request by Mr. Saqib Saleem 30-Sep-2024 allocation 30Sep240040');</v>
      </c>
      <c r="H207" s="15" t="str">
        <f t="shared" si="15"/>
        <v>insert into ins_premium_det (premium_rcv_code,assorted_code, rec_amount,premium_rcv_detail_code,remaining_amt, payrec, mode_code,coinsurance_code,class_cd,it_remarks) values('30Sep240040','070000164340','33670',(select max(to_number(i.premium_rcv_detail_code))+1
from ins_premium_det i),'33670','33670','02', '11000003','00','Request by Mr. Saqib Saleem 30-Sep-2024 allocation 30Sep240040');</v>
      </c>
    </row>
    <row r="208" spans="1:8" ht="90" x14ac:dyDescent="0.25">
      <c r="A208" s="10" t="s">
        <v>2782</v>
      </c>
      <c r="B208" s="11" t="s">
        <v>4618</v>
      </c>
      <c r="C208" s="17">
        <v>48344</v>
      </c>
      <c r="D208" s="12">
        <f t="shared" si="13"/>
        <v>48344</v>
      </c>
      <c r="E208" s="18" t="s">
        <v>4411</v>
      </c>
      <c r="F208" s="13" t="str">
        <f t="shared" si="12"/>
        <v>insert into ins_premium_det (premium_rcv_code,assorted_code, rec_amount,premium_rcv_detail_code,remaining_amt, payrec, mode_code,coinsurance_code,class_cd,it_remarks) values</v>
      </c>
      <c r="G208" s="14" t="str">
        <f t="shared" si="14"/>
        <v>('30Sep240040','070000164567','48344',(select max(to_number(i.premium_rcv_detail_code))+1
from ins_premium_det i),'48344','48344','02', '11000003','00','Request by Mr. Saqib Saleem 30-Sep-2024 allocation 30Sep240040');</v>
      </c>
      <c r="H208" s="15" t="str">
        <f t="shared" si="15"/>
        <v>insert into ins_premium_det (premium_rcv_code,assorted_code, rec_amount,premium_rcv_detail_code,remaining_amt, payrec, mode_code,coinsurance_code,class_cd,it_remarks) values('30Sep240040','070000164567','48344',(select max(to_number(i.premium_rcv_detail_code))+1
from ins_premium_det i),'48344','48344','02', '11000003','00','Request by Mr. Saqib Saleem 30-Sep-2024 allocation 30Sep240040');</v>
      </c>
    </row>
    <row r="209" spans="1:8" ht="90" x14ac:dyDescent="0.25">
      <c r="A209" s="9" t="s">
        <v>2795</v>
      </c>
      <c r="B209" s="11" t="s">
        <v>4619</v>
      </c>
      <c r="C209" s="16">
        <v>62213</v>
      </c>
      <c r="D209" s="12">
        <f t="shared" si="13"/>
        <v>62213</v>
      </c>
      <c r="E209" s="18" t="s">
        <v>4411</v>
      </c>
      <c r="F209" s="13" t="str">
        <f t="shared" si="12"/>
        <v>insert into ins_premium_det (premium_rcv_code,assorted_code, rec_amount,premium_rcv_detail_code,remaining_amt, payrec, mode_code,coinsurance_code,class_cd,it_remarks) values</v>
      </c>
      <c r="G209" s="14" t="str">
        <f t="shared" si="14"/>
        <v>('30Sep240040','070000164345','62213',(select max(to_number(i.premium_rcv_detail_code))+1
from ins_premium_det i),'62213','62213','02', '11000003','00','Request by Mr. Saqib Saleem 30-Sep-2024 allocation 30Sep240040');</v>
      </c>
      <c r="H209" s="15" t="str">
        <f t="shared" si="15"/>
        <v>insert into ins_premium_det (premium_rcv_code,assorted_code, rec_amount,premium_rcv_detail_code,remaining_amt, payrec, mode_code,coinsurance_code,class_cd,it_remarks) values('30Sep240040','070000164345','62213',(select max(to_number(i.premium_rcv_detail_code))+1
from ins_premium_det i),'62213','62213','02', '11000003','00','Request by Mr. Saqib Saleem 30-Sep-2024 allocation 30Sep240040');</v>
      </c>
    </row>
    <row r="210" spans="1:8" ht="90" x14ac:dyDescent="0.25">
      <c r="A210" s="10" t="s">
        <v>2806</v>
      </c>
      <c r="B210" s="11" t="s">
        <v>4620</v>
      </c>
      <c r="C210" s="17">
        <v>41139</v>
      </c>
      <c r="D210" s="12">
        <f t="shared" si="13"/>
        <v>41139</v>
      </c>
      <c r="E210" s="18" t="s">
        <v>4411</v>
      </c>
      <c r="F210" s="13" t="str">
        <f t="shared" si="12"/>
        <v>insert into ins_premium_det (premium_rcv_code,assorted_code, rec_amount,premium_rcv_detail_code,remaining_amt, payrec, mode_code,coinsurance_code,class_cd,it_remarks) values</v>
      </c>
      <c r="G210" s="14" t="str">
        <f t="shared" si="14"/>
        <v>('30Sep240040','070000164346','41139',(select max(to_number(i.premium_rcv_detail_code))+1
from ins_premium_det i),'41139','41139','02', '11000003','00','Request by Mr. Saqib Saleem 30-Sep-2024 allocation 30Sep240040');</v>
      </c>
      <c r="H210" s="15" t="str">
        <f t="shared" si="15"/>
        <v>insert into ins_premium_det (premium_rcv_code,assorted_code, rec_amount,premium_rcv_detail_code,remaining_amt, payrec, mode_code,coinsurance_code,class_cd,it_remarks) values('30Sep240040','070000164346','41139',(select max(to_number(i.premium_rcv_detail_code))+1
from ins_premium_det i),'41139','41139','02', '11000003','00','Request by Mr. Saqib Saleem 30-Sep-2024 allocation 30Sep240040');</v>
      </c>
    </row>
    <row r="211" spans="1:8" ht="105" x14ac:dyDescent="0.25">
      <c r="A211" s="9" t="s">
        <v>2818</v>
      </c>
      <c r="B211" s="11" t="s">
        <v>4621</v>
      </c>
      <c r="C211" s="16">
        <v>129623</v>
      </c>
      <c r="D211" s="12">
        <f t="shared" si="13"/>
        <v>129623</v>
      </c>
      <c r="E211" s="18" t="s">
        <v>4411</v>
      </c>
      <c r="F211" s="13" t="str">
        <f t="shared" si="12"/>
        <v>insert into ins_premium_det (premium_rcv_code,assorted_code, rec_amount,premium_rcv_detail_code,remaining_amt, payrec, mode_code,coinsurance_code,class_cd,it_remarks) values</v>
      </c>
      <c r="G211" s="14" t="str">
        <f t="shared" si="14"/>
        <v>('30Sep240040','070000164380','129623',(select max(to_number(i.premium_rcv_detail_code))+1
from ins_premium_det i),'129623','129623','02', '11000003','00','Request by Mr. Saqib Saleem 30-Sep-2024 allocation 30Sep240040');</v>
      </c>
      <c r="H211" s="15" t="str">
        <f t="shared" si="15"/>
        <v>insert into ins_premium_det (premium_rcv_code,assorted_code, rec_amount,premium_rcv_detail_code,remaining_amt, payrec, mode_code,coinsurance_code,class_cd,it_remarks) values('30Sep240040','070000164380','129623',(select max(to_number(i.premium_rcv_detail_code))+1
from ins_premium_det i),'129623','129623','02', '11000003','00','Request by Mr. Saqib Saleem 30-Sep-2024 allocation 30Sep240040');</v>
      </c>
    </row>
    <row r="212" spans="1:8" ht="90" x14ac:dyDescent="0.25">
      <c r="A212" s="10" t="s">
        <v>2829</v>
      </c>
      <c r="B212" s="11" t="s">
        <v>4622</v>
      </c>
      <c r="C212" s="17">
        <v>39375</v>
      </c>
      <c r="D212" s="12">
        <f t="shared" si="13"/>
        <v>39375</v>
      </c>
      <c r="E212" s="18" t="s">
        <v>4411</v>
      </c>
      <c r="F212" s="13" t="str">
        <f t="shared" si="12"/>
        <v>insert into ins_premium_det (premium_rcv_code,assorted_code, rec_amount,premium_rcv_detail_code,remaining_amt, payrec, mode_code,coinsurance_code,class_cd,it_remarks) values</v>
      </c>
      <c r="G212" s="14" t="str">
        <f t="shared" si="14"/>
        <v>('30Sep240040','070000164381','39375',(select max(to_number(i.premium_rcv_detail_code))+1
from ins_premium_det i),'39375','39375','02', '11000003','00','Request by Mr. Saqib Saleem 30-Sep-2024 allocation 30Sep240040');</v>
      </c>
      <c r="H212" s="15" t="str">
        <f t="shared" si="15"/>
        <v>insert into ins_premium_det (premium_rcv_code,assorted_code, rec_amount,premium_rcv_detail_code,remaining_amt, payrec, mode_code,coinsurance_code,class_cd,it_remarks) values('30Sep240040','070000164381','39375',(select max(to_number(i.premium_rcv_detail_code))+1
from ins_premium_det i),'39375','39375','02', '11000003','00','Request by Mr. Saqib Saleem 30-Sep-2024 allocation 30Sep240040');</v>
      </c>
    </row>
    <row r="213" spans="1:8" ht="90" x14ac:dyDescent="0.25">
      <c r="A213" s="9" t="s">
        <v>2842</v>
      </c>
      <c r="B213" s="11" t="s">
        <v>4623</v>
      </c>
      <c r="C213" s="16">
        <v>49928</v>
      </c>
      <c r="D213" s="12">
        <f t="shared" si="13"/>
        <v>49928</v>
      </c>
      <c r="E213" s="18" t="s">
        <v>4411</v>
      </c>
      <c r="F213" s="13" t="str">
        <f t="shared" si="12"/>
        <v>insert into ins_premium_det (premium_rcv_code,assorted_code, rec_amount,premium_rcv_detail_code,remaining_amt, payrec, mode_code,coinsurance_code,class_cd,it_remarks) values</v>
      </c>
      <c r="G213" s="14" t="str">
        <f t="shared" si="14"/>
        <v>('30Sep240040','070000164382','49928',(select max(to_number(i.premium_rcv_detail_code))+1
from ins_premium_det i),'49928','49928','02', '11000003','00','Request by Mr. Saqib Saleem 30-Sep-2024 allocation 30Sep240040');</v>
      </c>
      <c r="H213" s="15" t="str">
        <f t="shared" si="15"/>
        <v>insert into ins_premium_det (premium_rcv_code,assorted_code, rec_amount,premium_rcv_detail_code,remaining_amt, payrec, mode_code,coinsurance_code,class_cd,it_remarks) values('30Sep240040','070000164382','49928',(select max(to_number(i.premium_rcv_detail_code))+1
from ins_premium_det i),'49928','49928','02', '11000003','00','Request by Mr. Saqib Saleem 30-Sep-2024 allocation 30Sep240040');</v>
      </c>
    </row>
    <row r="214" spans="1:8" ht="90" x14ac:dyDescent="0.25">
      <c r="A214" s="10" t="s">
        <v>2852</v>
      </c>
      <c r="B214" s="11" t="s">
        <v>4624</v>
      </c>
      <c r="C214" s="17">
        <v>30555</v>
      </c>
      <c r="D214" s="12">
        <f t="shared" si="13"/>
        <v>30555</v>
      </c>
      <c r="E214" s="18" t="s">
        <v>4411</v>
      </c>
      <c r="F214" s="13" t="str">
        <f t="shared" si="12"/>
        <v>insert into ins_premium_det (premium_rcv_code,assorted_code, rec_amount,premium_rcv_detail_code,remaining_amt, payrec, mode_code,coinsurance_code,class_cd,it_remarks) values</v>
      </c>
      <c r="G214" s="14" t="str">
        <f t="shared" si="14"/>
        <v>('30Sep240040','070000164384','30555',(select max(to_number(i.premium_rcv_detail_code))+1
from ins_premium_det i),'30555','30555','02', '11000003','00','Request by Mr. Saqib Saleem 30-Sep-2024 allocation 30Sep240040');</v>
      </c>
      <c r="H214" s="15" t="str">
        <f t="shared" si="15"/>
        <v>insert into ins_premium_det (premium_rcv_code,assorted_code, rec_amount,premium_rcv_detail_code,remaining_amt, payrec, mode_code,coinsurance_code,class_cd,it_remarks) values('30Sep240040','070000164384','30555',(select max(to_number(i.premium_rcv_detail_code))+1
from ins_premium_det i),'30555','30555','02', '11000003','00','Request by Mr. Saqib Saleem 30-Sep-2024 allocation 30Sep240040');</v>
      </c>
    </row>
    <row r="215" spans="1:8" ht="90" x14ac:dyDescent="0.25">
      <c r="A215" s="9" t="s">
        <v>2864</v>
      </c>
      <c r="B215" s="11" t="s">
        <v>4625</v>
      </c>
      <c r="C215" s="16">
        <v>24225</v>
      </c>
      <c r="D215" s="12">
        <f t="shared" si="13"/>
        <v>24225</v>
      </c>
      <c r="E215" s="18" t="s">
        <v>4411</v>
      </c>
      <c r="F215" s="13" t="str">
        <f t="shared" si="12"/>
        <v>insert into ins_premium_det (premium_rcv_code,assorted_code, rec_amount,premium_rcv_detail_code,remaining_amt, payrec, mode_code,coinsurance_code,class_cd,it_remarks) values</v>
      </c>
      <c r="G215" s="14" t="str">
        <f t="shared" si="14"/>
        <v>('30Sep240040','070000164386','24225',(select max(to_number(i.premium_rcv_detail_code))+1
from ins_premium_det i),'24225','24225','02', '11000003','00','Request by Mr. Saqib Saleem 30-Sep-2024 allocation 30Sep240040');</v>
      </c>
      <c r="H215" s="15" t="str">
        <f t="shared" si="15"/>
        <v>insert into ins_premium_det (premium_rcv_code,assorted_code, rec_amount,premium_rcv_detail_code,remaining_amt, payrec, mode_code,coinsurance_code,class_cd,it_remarks) values('30Sep240040','070000164386','24225',(select max(to_number(i.premium_rcv_detail_code))+1
from ins_premium_det i),'24225','24225','02', '11000003','00','Request by Mr. Saqib Saleem 30-Sep-2024 allocation 30Sep240040');</v>
      </c>
    </row>
    <row r="216" spans="1:8" ht="90" x14ac:dyDescent="0.25">
      <c r="A216" s="10" t="s">
        <v>2876</v>
      </c>
      <c r="B216" s="11" t="s">
        <v>4626</v>
      </c>
      <c r="C216" s="17">
        <v>45750</v>
      </c>
      <c r="D216" s="12">
        <f t="shared" si="13"/>
        <v>45750</v>
      </c>
      <c r="E216" s="18" t="s">
        <v>4411</v>
      </c>
      <c r="F216" s="13" t="str">
        <f t="shared" si="12"/>
        <v>insert into ins_premium_det (premium_rcv_code,assorted_code, rec_amount,premium_rcv_detail_code,remaining_amt, payrec, mode_code,coinsurance_code,class_cd,it_remarks) values</v>
      </c>
      <c r="G216" s="14" t="str">
        <f t="shared" si="14"/>
        <v>('30Sep240040','070000164562','45750',(select max(to_number(i.premium_rcv_detail_code))+1
from ins_premium_det i),'45750','45750','02', '11000003','00','Request by Mr. Saqib Saleem 30-Sep-2024 allocation 30Sep240040');</v>
      </c>
      <c r="H216" s="15" t="str">
        <f t="shared" si="15"/>
        <v>insert into ins_premium_det (premium_rcv_code,assorted_code, rec_amount,premium_rcv_detail_code,remaining_amt, payrec, mode_code,coinsurance_code,class_cd,it_remarks) values('30Sep240040','070000164562','45750',(select max(to_number(i.premium_rcv_detail_code))+1
from ins_premium_det i),'45750','45750','02', '11000003','00','Request by Mr. Saqib Saleem 30-Sep-2024 allocation 30Sep240040');</v>
      </c>
    </row>
    <row r="217" spans="1:8" ht="90" x14ac:dyDescent="0.25">
      <c r="A217" s="9" t="s">
        <v>2888</v>
      </c>
      <c r="B217" s="11" t="s">
        <v>4627</v>
      </c>
      <c r="C217" s="16">
        <v>64384</v>
      </c>
      <c r="D217" s="12">
        <f t="shared" si="13"/>
        <v>64384</v>
      </c>
      <c r="E217" s="18" t="s">
        <v>4411</v>
      </c>
      <c r="F217" s="13" t="str">
        <f t="shared" si="12"/>
        <v>insert into ins_premium_det (premium_rcv_code,assorted_code, rec_amount,premium_rcv_detail_code,remaining_amt, payrec, mode_code,coinsurance_code,class_cd,it_remarks) values</v>
      </c>
      <c r="G217" s="14" t="str">
        <f t="shared" si="14"/>
        <v>('30Sep240040','070000164560','64384',(select max(to_number(i.premium_rcv_detail_code))+1
from ins_premium_det i),'64384','64384','02', '11000003','00','Request by Mr. Saqib Saleem 30-Sep-2024 allocation 30Sep240040');</v>
      </c>
      <c r="H217" s="15" t="str">
        <f t="shared" si="15"/>
        <v>insert into ins_premium_det (premium_rcv_code,assorted_code, rec_amount,premium_rcv_detail_code,remaining_amt, payrec, mode_code,coinsurance_code,class_cd,it_remarks) values('30Sep240040','070000164560','64384',(select max(to_number(i.premium_rcv_detail_code))+1
from ins_premium_det i),'64384','64384','02', '11000003','00','Request by Mr. Saqib Saleem 30-Sep-2024 allocation 30Sep240040');</v>
      </c>
    </row>
    <row r="218" spans="1:8" ht="90" x14ac:dyDescent="0.25">
      <c r="A218" s="10" t="s">
        <v>2900</v>
      </c>
      <c r="B218" s="11" t="s">
        <v>4628</v>
      </c>
      <c r="C218" s="17">
        <v>30419</v>
      </c>
      <c r="D218" s="12">
        <f t="shared" si="13"/>
        <v>30419</v>
      </c>
      <c r="E218" s="18" t="s">
        <v>4411</v>
      </c>
      <c r="F218" s="13" t="str">
        <f t="shared" si="12"/>
        <v>insert into ins_premium_det (premium_rcv_code,assorted_code, rec_amount,premium_rcv_detail_code,remaining_amt, payrec, mode_code,coinsurance_code,class_cd,it_remarks) values</v>
      </c>
      <c r="G218" s="14" t="str">
        <f t="shared" si="14"/>
        <v>('30Sep240040','070000164387','30419',(select max(to_number(i.premium_rcv_detail_code))+1
from ins_premium_det i),'30419','30419','02', '11000003','00','Request by Mr. Saqib Saleem 30-Sep-2024 allocation 30Sep240040');</v>
      </c>
      <c r="H218" s="15" t="str">
        <f t="shared" si="15"/>
        <v>insert into ins_premium_det (premium_rcv_code,assorted_code, rec_amount,premium_rcv_detail_code,remaining_amt, payrec, mode_code,coinsurance_code,class_cd,it_remarks) values('30Sep240040','070000164387','30419',(select max(to_number(i.premium_rcv_detail_code))+1
from ins_premium_det i),'30419','30419','02', '11000003','00','Request by Mr. Saqib Saleem 30-Sep-2024 allocation 30Sep240040');</v>
      </c>
    </row>
    <row r="219" spans="1:8" ht="90" x14ac:dyDescent="0.25">
      <c r="A219" s="9" t="s">
        <v>2913</v>
      </c>
      <c r="B219" s="11" t="s">
        <v>4629</v>
      </c>
      <c r="C219" s="16">
        <v>49500</v>
      </c>
      <c r="D219" s="12">
        <f t="shared" si="13"/>
        <v>49500</v>
      </c>
      <c r="E219" s="18" t="s">
        <v>4411</v>
      </c>
      <c r="F219" s="13" t="str">
        <f t="shared" si="12"/>
        <v>insert into ins_premium_det (premium_rcv_code,assorted_code, rec_amount,premium_rcv_detail_code,remaining_amt, payrec, mode_code,coinsurance_code,class_cd,it_remarks) values</v>
      </c>
      <c r="G219" s="14" t="str">
        <f t="shared" si="14"/>
        <v>('30Sep240040','070000164559','49500',(select max(to_number(i.premium_rcv_detail_code))+1
from ins_premium_det i),'49500','49500','02', '11000003','00','Request by Mr. Saqib Saleem 30-Sep-2024 allocation 30Sep240040');</v>
      </c>
      <c r="H219" s="15" t="str">
        <f t="shared" si="15"/>
        <v>insert into ins_premium_det (premium_rcv_code,assorted_code, rec_amount,premium_rcv_detail_code,remaining_amt, payrec, mode_code,coinsurance_code,class_cd,it_remarks) values('30Sep240040','070000164559','49500',(select max(to_number(i.premium_rcv_detail_code))+1
from ins_premium_det i),'49500','49500','02', '11000003','00','Request by Mr. Saqib Saleem 30-Sep-2024 allocation 30Sep240040');</v>
      </c>
    </row>
    <row r="220" spans="1:8" ht="90" x14ac:dyDescent="0.25">
      <c r="A220" s="10" t="s">
        <v>2923</v>
      </c>
      <c r="B220" s="11" t="s">
        <v>4630</v>
      </c>
      <c r="C220" s="17">
        <v>61054</v>
      </c>
      <c r="D220" s="12">
        <f t="shared" si="13"/>
        <v>61054</v>
      </c>
      <c r="E220" s="18" t="s">
        <v>4411</v>
      </c>
      <c r="F220" s="13" t="str">
        <f t="shared" si="12"/>
        <v>insert into ins_premium_det (premium_rcv_code,assorted_code, rec_amount,premium_rcv_detail_code,remaining_amt, payrec, mode_code,coinsurance_code,class_cd,it_remarks) values</v>
      </c>
      <c r="G220" s="14" t="str">
        <f t="shared" si="14"/>
        <v>('30Sep240040','070000164558','61054',(select max(to_number(i.premium_rcv_detail_code))+1
from ins_premium_det i),'61054','61054','02', '11000003','00','Request by Mr. Saqib Saleem 30-Sep-2024 allocation 30Sep240040');</v>
      </c>
      <c r="H220" s="15" t="str">
        <f t="shared" si="15"/>
        <v>insert into ins_premium_det (premium_rcv_code,assorted_code, rec_amount,premium_rcv_detail_code,remaining_amt, payrec, mode_code,coinsurance_code,class_cd,it_remarks) values('30Sep240040','070000164558','61054',(select max(to_number(i.premium_rcv_detail_code))+1
from ins_premium_det i),'61054','61054','02', '11000003','00','Request by Mr. Saqib Saleem 30-Sep-2024 allocation 30Sep240040');</v>
      </c>
    </row>
    <row r="221" spans="1:8" ht="90" x14ac:dyDescent="0.25">
      <c r="A221" s="9" t="s">
        <v>2934</v>
      </c>
      <c r="B221" s="11" t="s">
        <v>4631</v>
      </c>
      <c r="C221" s="16">
        <v>37995</v>
      </c>
      <c r="D221" s="12">
        <f t="shared" si="13"/>
        <v>37995</v>
      </c>
      <c r="E221" s="18" t="s">
        <v>4411</v>
      </c>
      <c r="F221" s="13" t="str">
        <f t="shared" si="12"/>
        <v>insert into ins_premium_det (premium_rcv_code,assorted_code, rec_amount,premium_rcv_detail_code,remaining_amt, payrec, mode_code,coinsurance_code,class_cd,it_remarks) values</v>
      </c>
      <c r="G221" s="14" t="str">
        <f t="shared" si="14"/>
        <v>('30Sep240040','070000164557','37995',(select max(to_number(i.premium_rcv_detail_code))+1
from ins_premium_det i),'37995','37995','02', '11000003','00','Request by Mr. Saqib Saleem 30-Sep-2024 allocation 30Sep240040');</v>
      </c>
      <c r="H221" s="15" t="str">
        <f t="shared" si="15"/>
        <v>insert into ins_premium_det (premium_rcv_code,assorted_code, rec_amount,premium_rcv_detail_code,remaining_amt, payrec, mode_code,coinsurance_code,class_cd,it_remarks) values('30Sep240040','070000164557','37995',(select max(to_number(i.premium_rcv_detail_code))+1
from ins_premium_det i),'37995','37995','02', '11000003','00','Request by Mr. Saqib Saleem 30-Sep-2024 allocation 30Sep240040');</v>
      </c>
    </row>
    <row r="222" spans="1:8" ht="105" x14ac:dyDescent="0.25">
      <c r="A222" s="10" t="s">
        <v>2948</v>
      </c>
      <c r="B222" s="11" t="s">
        <v>4632</v>
      </c>
      <c r="C222" s="17">
        <v>168000</v>
      </c>
      <c r="D222" s="12">
        <f t="shared" si="13"/>
        <v>168000</v>
      </c>
      <c r="E222" s="18" t="s">
        <v>4411</v>
      </c>
      <c r="F222" s="13" t="str">
        <f t="shared" si="12"/>
        <v>insert into ins_premium_det (premium_rcv_code,assorted_code, rec_amount,premium_rcv_detail_code,remaining_amt, payrec, mode_code,coinsurance_code,class_cd,it_remarks) values</v>
      </c>
      <c r="G222" s="14" t="str">
        <f t="shared" si="14"/>
        <v>('30Sep240040','070000164390','168000',(select max(to_number(i.premium_rcv_detail_code))+1
from ins_premium_det i),'168000','168000','02', '11000003','00','Request by Mr. Saqib Saleem 30-Sep-2024 allocation 30Sep240040');</v>
      </c>
      <c r="H222" s="15" t="str">
        <f t="shared" si="15"/>
        <v>insert into ins_premium_det (premium_rcv_code,assorted_code, rec_amount,premium_rcv_detail_code,remaining_amt, payrec, mode_code,coinsurance_code,class_cd,it_remarks) values('30Sep240040','070000164390','168000',(select max(to_number(i.premium_rcv_detail_code))+1
from ins_premium_det i),'168000','168000','02', '11000003','00','Request by Mr. Saqib Saleem 30-Sep-2024 allocation 30Sep240040');</v>
      </c>
    </row>
    <row r="223" spans="1:8" ht="90" x14ac:dyDescent="0.25">
      <c r="A223" s="9" t="s">
        <v>2961</v>
      </c>
      <c r="B223" s="11" t="s">
        <v>4633</v>
      </c>
      <c r="C223" s="16">
        <v>76286</v>
      </c>
      <c r="D223" s="12">
        <f t="shared" si="13"/>
        <v>76286</v>
      </c>
      <c r="E223" s="18" t="s">
        <v>4411</v>
      </c>
      <c r="F223" s="13" t="str">
        <f t="shared" si="12"/>
        <v>insert into ins_premium_det (premium_rcv_code,assorted_code, rec_amount,premium_rcv_detail_code,remaining_amt, payrec, mode_code,coinsurance_code,class_cd,it_remarks) values</v>
      </c>
      <c r="G223" s="14" t="str">
        <f t="shared" si="14"/>
        <v>('30Sep240040','070000164392','76286',(select max(to_number(i.premium_rcv_detail_code))+1
from ins_premium_det i),'76286','76286','02', '11000003','00','Request by Mr. Saqib Saleem 30-Sep-2024 allocation 30Sep240040');</v>
      </c>
      <c r="H223" s="15" t="str">
        <f t="shared" si="15"/>
        <v>insert into ins_premium_det (premium_rcv_code,assorted_code, rec_amount,premium_rcv_detail_code,remaining_amt, payrec, mode_code,coinsurance_code,class_cd,it_remarks) values('30Sep240040','070000164392','76286',(select max(to_number(i.premium_rcv_detail_code))+1
from ins_premium_det i),'76286','76286','02', '11000003','00','Request by Mr. Saqib Saleem 30-Sep-2024 allocation 30Sep240040');</v>
      </c>
    </row>
    <row r="224" spans="1:8" ht="90" x14ac:dyDescent="0.25">
      <c r="A224" s="10" t="s">
        <v>2975</v>
      </c>
      <c r="B224" s="11" t="s">
        <v>4634</v>
      </c>
      <c r="C224" s="17">
        <v>22932</v>
      </c>
      <c r="D224" s="12">
        <f t="shared" si="13"/>
        <v>22932</v>
      </c>
      <c r="E224" s="18" t="s">
        <v>4411</v>
      </c>
      <c r="F224" s="13" t="str">
        <f t="shared" si="12"/>
        <v>insert into ins_premium_det (premium_rcv_code,assorted_code, rec_amount,premium_rcv_detail_code,remaining_amt, payrec, mode_code,coinsurance_code,class_cd,it_remarks) values</v>
      </c>
      <c r="G224" s="14" t="str">
        <f t="shared" si="14"/>
        <v>('30Sep240040','070000164556','22932',(select max(to_number(i.premium_rcv_detail_code))+1
from ins_premium_det i),'22932','22932','02', '11000003','00','Request by Mr. Saqib Saleem 30-Sep-2024 allocation 30Sep240040');</v>
      </c>
      <c r="H224" s="15" t="str">
        <f t="shared" si="15"/>
        <v>insert into ins_premium_det (premium_rcv_code,assorted_code, rec_amount,premium_rcv_detail_code,remaining_amt, payrec, mode_code,coinsurance_code,class_cd,it_remarks) values('30Sep240040','070000164556','22932',(select max(to_number(i.premium_rcv_detail_code))+1
from ins_premium_det i),'22932','22932','02', '11000003','00','Request by Mr. Saqib Saleem 30-Sep-2024 allocation 30Sep240040');</v>
      </c>
    </row>
    <row r="225" spans="1:8" ht="90" x14ac:dyDescent="0.25">
      <c r="A225" s="9" t="s">
        <v>2987</v>
      </c>
      <c r="B225" s="11" t="s">
        <v>4635</v>
      </c>
      <c r="C225" s="16">
        <v>29750</v>
      </c>
      <c r="D225" s="12">
        <f t="shared" si="13"/>
        <v>29750</v>
      </c>
      <c r="E225" s="18" t="s">
        <v>4411</v>
      </c>
      <c r="F225" s="13" t="str">
        <f t="shared" si="12"/>
        <v>insert into ins_premium_det (premium_rcv_code,assorted_code, rec_amount,premium_rcv_detail_code,remaining_amt, payrec, mode_code,coinsurance_code,class_cd,it_remarks) values</v>
      </c>
      <c r="G225" s="14" t="str">
        <f t="shared" si="14"/>
        <v>('30Sep240040','070000164555','29750',(select max(to_number(i.premium_rcv_detail_code))+1
from ins_premium_det i),'29750','29750','02', '11000003','00','Request by Mr. Saqib Saleem 30-Sep-2024 allocation 30Sep240040');</v>
      </c>
      <c r="H225" s="15" t="str">
        <f t="shared" si="15"/>
        <v>insert into ins_premium_det (premium_rcv_code,assorted_code, rec_amount,premium_rcv_detail_code,remaining_amt, payrec, mode_code,coinsurance_code,class_cd,it_remarks) values('30Sep240040','070000164555','29750',(select max(to_number(i.premium_rcv_detail_code))+1
from ins_premium_det i),'29750','29750','02', '11000003','00','Request by Mr. Saqib Saleem 30-Sep-2024 allocation 30Sep240040');</v>
      </c>
    </row>
    <row r="226" spans="1:8" ht="90" x14ac:dyDescent="0.25">
      <c r="A226" s="10" t="s">
        <v>3001</v>
      </c>
      <c r="B226" s="11" t="s">
        <v>4636</v>
      </c>
      <c r="C226" s="17">
        <v>87688</v>
      </c>
      <c r="D226" s="12">
        <f t="shared" si="13"/>
        <v>87688</v>
      </c>
      <c r="E226" s="18" t="s">
        <v>4411</v>
      </c>
      <c r="F226" s="13" t="str">
        <f t="shared" si="12"/>
        <v>insert into ins_premium_det (premium_rcv_code,assorted_code, rec_amount,premium_rcv_detail_code,remaining_amt, payrec, mode_code,coinsurance_code,class_cd,it_remarks) values</v>
      </c>
      <c r="G226" s="14" t="str">
        <f t="shared" si="14"/>
        <v>('30Sep240040','070000164393','87688',(select max(to_number(i.premium_rcv_detail_code))+1
from ins_premium_det i),'87688','87688','02', '11000003','00','Request by Mr. Saqib Saleem 30-Sep-2024 allocation 30Sep240040');</v>
      </c>
      <c r="H226" s="15" t="str">
        <f t="shared" si="15"/>
        <v>insert into ins_premium_det (premium_rcv_code,assorted_code, rec_amount,premium_rcv_detail_code,remaining_amt, payrec, mode_code,coinsurance_code,class_cd,it_remarks) values('30Sep240040','070000164393','87688',(select max(to_number(i.premium_rcv_detail_code))+1
from ins_premium_det i),'87688','87688','02', '11000003','00','Request by Mr. Saqib Saleem 30-Sep-2024 allocation 30Sep240040');</v>
      </c>
    </row>
    <row r="227" spans="1:8" ht="90" x14ac:dyDescent="0.25">
      <c r="A227" s="9" t="s">
        <v>3014</v>
      </c>
      <c r="B227" s="11" t="s">
        <v>4637</v>
      </c>
      <c r="C227" s="16">
        <v>69105</v>
      </c>
      <c r="D227" s="12">
        <f t="shared" si="13"/>
        <v>69105</v>
      </c>
      <c r="E227" s="18" t="s">
        <v>4411</v>
      </c>
      <c r="F227" s="13" t="str">
        <f t="shared" si="12"/>
        <v>insert into ins_premium_det (premium_rcv_code,assorted_code, rec_amount,premium_rcv_detail_code,remaining_amt, payrec, mode_code,coinsurance_code,class_cd,it_remarks) values</v>
      </c>
      <c r="G227" s="14" t="str">
        <f t="shared" si="14"/>
        <v>('30Sep240040','070000164554','69105',(select max(to_number(i.premium_rcv_detail_code))+1
from ins_premium_det i),'69105','69105','02', '11000003','00','Request by Mr. Saqib Saleem 30-Sep-2024 allocation 30Sep240040');</v>
      </c>
      <c r="H227" s="15" t="str">
        <f t="shared" si="15"/>
        <v>insert into ins_premium_det (premium_rcv_code,assorted_code, rec_amount,premium_rcv_detail_code,remaining_amt, payrec, mode_code,coinsurance_code,class_cd,it_remarks) values('30Sep240040','070000164554','69105',(select max(to_number(i.premium_rcv_detail_code))+1
from ins_premium_det i),'69105','69105','02', '11000003','00','Request by Mr. Saqib Saleem 30-Sep-2024 allocation 30Sep240040');</v>
      </c>
    </row>
    <row r="228" spans="1:8" ht="90" x14ac:dyDescent="0.25">
      <c r="A228" s="10" t="s">
        <v>3026</v>
      </c>
      <c r="B228" s="11" t="s">
        <v>4638</v>
      </c>
      <c r="C228" s="17">
        <v>56336</v>
      </c>
      <c r="D228" s="12">
        <f t="shared" si="13"/>
        <v>56336</v>
      </c>
      <c r="E228" s="18" t="s">
        <v>4411</v>
      </c>
      <c r="F228" s="13" t="str">
        <f t="shared" si="12"/>
        <v>insert into ins_premium_det (premium_rcv_code,assorted_code, rec_amount,premium_rcv_detail_code,remaining_amt, payrec, mode_code,coinsurance_code,class_cd,it_remarks) values</v>
      </c>
      <c r="G228" s="14" t="str">
        <f t="shared" si="14"/>
        <v>('30Sep240040','070000164394','56336',(select max(to_number(i.premium_rcv_detail_code))+1
from ins_premium_det i),'56336','56336','02', '11000003','00','Request by Mr. Saqib Saleem 30-Sep-2024 allocation 30Sep240040');</v>
      </c>
      <c r="H228" s="15" t="str">
        <f t="shared" si="15"/>
        <v>insert into ins_premium_det (premium_rcv_code,assorted_code, rec_amount,premium_rcv_detail_code,remaining_amt, payrec, mode_code,coinsurance_code,class_cd,it_remarks) values('30Sep240040','070000164394','56336',(select max(to_number(i.premium_rcv_detail_code))+1
from ins_premium_det i),'56336','56336','02', '11000003','00','Request by Mr. Saqib Saleem 30-Sep-2024 allocation 30Sep240040');</v>
      </c>
    </row>
    <row r="229" spans="1:8" ht="90" x14ac:dyDescent="0.25">
      <c r="A229" s="9" t="s">
        <v>3039</v>
      </c>
      <c r="B229" s="11" t="s">
        <v>4639</v>
      </c>
      <c r="C229" s="16">
        <v>66450</v>
      </c>
      <c r="D229" s="12">
        <f t="shared" si="13"/>
        <v>66450</v>
      </c>
      <c r="E229" s="18" t="s">
        <v>4411</v>
      </c>
      <c r="F229" s="13" t="str">
        <f t="shared" si="12"/>
        <v>insert into ins_premium_det (premium_rcv_code,assorted_code, rec_amount,premium_rcv_detail_code,remaining_amt, payrec, mode_code,coinsurance_code,class_cd,it_remarks) values</v>
      </c>
      <c r="G229" s="14" t="str">
        <f t="shared" si="14"/>
        <v>('30Sep240040','070000164395','66450',(select max(to_number(i.premium_rcv_detail_code))+1
from ins_premium_det i),'66450','66450','02', '11000003','00','Request by Mr. Saqib Saleem 30-Sep-2024 allocation 30Sep240040');</v>
      </c>
      <c r="H229" s="15" t="str">
        <f t="shared" si="15"/>
        <v>insert into ins_premium_det (premium_rcv_code,assorted_code, rec_amount,premium_rcv_detail_code,remaining_amt, payrec, mode_code,coinsurance_code,class_cd,it_remarks) values('30Sep240040','070000164395','66450',(select max(to_number(i.premium_rcv_detail_code))+1
from ins_premium_det i),'66450','66450','02', '11000003','00','Request by Mr. Saqib Saleem 30-Sep-2024 allocation 30Sep240040');</v>
      </c>
    </row>
    <row r="230" spans="1:8" ht="90" x14ac:dyDescent="0.25">
      <c r="A230" s="10" t="s">
        <v>3051</v>
      </c>
      <c r="B230" s="11" t="s">
        <v>4640</v>
      </c>
      <c r="C230" s="17">
        <v>28928</v>
      </c>
      <c r="D230" s="12">
        <f t="shared" si="13"/>
        <v>28928</v>
      </c>
      <c r="E230" s="18" t="s">
        <v>4411</v>
      </c>
      <c r="F230" s="13" t="str">
        <f t="shared" si="12"/>
        <v>insert into ins_premium_det (premium_rcv_code,assorted_code, rec_amount,premium_rcv_detail_code,remaining_amt, payrec, mode_code,coinsurance_code,class_cd,it_remarks) values</v>
      </c>
      <c r="G230" s="14" t="str">
        <f t="shared" si="14"/>
        <v>('30Sep240040','070000164396','28928',(select max(to_number(i.premium_rcv_detail_code))+1
from ins_premium_det i),'28928','28928','02', '11000003','00','Request by Mr. Saqib Saleem 30-Sep-2024 allocation 30Sep240040');</v>
      </c>
      <c r="H230" s="15" t="str">
        <f t="shared" si="15"/>
        <v>insert into ins_premium_det (premium_rcv_code,assorted_code, rec_amount,premium_rcv_detail_code,remaining_amt, payrec, mode_code,coinsurance_code,class_cd,it_remarks) values('30Sep240040','070000164396','28928',(select max(to_number(i.premium_rcv_detail_code))+1
from ins_premium_det i),'28928','28928','02', '11000003','00','Request by Mr. Saqib Saleem 30-Sep-2024 allocation 30Sep240040');</v>
      </c>
    </row>
    <row r="231" spans="1:8" ht="90" x14ac:dyDescent="0.25">
      <c r="A231" s="9" t="s">
        <v>3064</v>
      </c>
      <c r="B231" s="11" t="s">
        <v>4641</v>
      </c>
      <c r="C231" s="16">
        <v>44100</v>
      </c>
      <c r="D231" s="12">
        <f t="shared" si="13"/>
        <v>44100</v>
      </c>
      <c r="E231" s="18" t="s">
        <v>4411</v>
      </c>
      <c r="F231" s="13" t="str">
        <f t="shared" si="12"/>
        <v>insert into ins_premium_det (premium_rcv_code,assorted_code, rec_amount,premium_rcv_detail_code,remaining_amt, payrec, mode_code,coinsurance_code,class_cd,it_remarks) values</v>
      </c>
      <c r="G231" s="14" t="str">
        <f t="shared" si="14"/>
        <v>('30Sep240040','070000164553','44100',(select max(to_number(i.premium_rcv_detail_code))+1
from ins_premium_det i),'44100','44100','02', '11000003','00','Request by Mr. Saqib Saleem 30-Sep-2024 allocation 30Sep240040');</v>
      </c>
      <c r="H231" s="15" t="str">
        <f t="shared" si="15"/>
        <v>insert into ins_premium_det (premium_rcv_code,assorted_code, rec_amount,premium_rcv_detail_code,remaining_amt, payrec, mode_code,coinsurance_code,class_cd,it_remarks) values('30Sep240040','070000164553','44100',(select max(to_number(i.premium_rcv_detail_code))+1
from ins_premium_det i),'44100','44100','02', '11000003','00','Request by Mr. Saqib Saleem 30-Sep-2024 allocation 30Sep240040');</v>
      </c>
    </row>
    <row r="232" spans="1:8" ht="90" x14ac:dyDescent="0.25">
      <c r="A232" s="10" t="s">
        <v>3076</v>
      </c>
      <c r="B232" s="11" t="s">
        <v>4642</v>
      </c>
      <c r="C232" s="17">
        <v>20970</v>
      </c>
      <c r="D232" s="12">
        <f t="shared" si="13"/>
        <v>20970</v>
      </c>
      <c r="E232" s="18" t="s">
        <v>4411</v>
      </c>
      <c r="F232" s="13" t="str">
        <f t="shared" si="12"/>
        <v>insert into ins_premium_det (premium_rcv_code,assorted_code, rec_amount,premium_rcv_detail_code,remaining_amt, payrec, mode_code,coinsurance_code,class_cd,it_remarks) values</v>
      </c>
      <c r="G232" s="14" t="str">
        <f t="shared" si="14"/>
        <v>('30Sep240040','070000164397','20970',(select max(to_number(i.premium_rcv_detail_code))+1
from ins_premium_det i),'20970','20970','02', '11000003','00','Request by Mr. Saqib Saleem 30-Sep-2024 allocation 30Sep240040');</v>
      </c>
      <c r="H232" s="15" t="str">
        <f t="shared" si="15"/>
        <v>insert into ins_premium_det (premium_rcv_code,assorted_code, rec_amount,premium_rcv_detail_code,remaining_amt, payrec, mode_code,coinsurance_code,class_cd,it_remarks) values('30Sep240040','070000164397','20970',(select max(to_number(i.premium_rcv_detail_code))+1
from ins_premium_det i),'20970','20970','02', '11000003','00','Request by Mr. Saqib Saleem 30-Sep-2024 allocation 30Sep240040');</v>
      </c>
    </row>
    <row r="233" spans="1:8" ht="90" x14ac:dyDescent="0.25">
      <c r="A233" s="9" t="s">
        <v>3087</v>
      </c>
      <c r="B233" s="11" t="s">
        <v>4643</v>
      </c>
      <c r="C233" s="16">
        <v>26175</v>
      </c>
      <c r="D233" s="12">
        <f t="shared" si="13"/>
        <v>26175</v>
      </c>
      <c r="E233" s="18" t="s">
        <v>4411</v>
      </c>
      <c r="F233" s="13" t="str">
        <f t="shared" si="12"/>
        <v>insert into ins_premium_det (premium_rcv_code,assorted_code, rec_amount,premium_rcv_detail_code,remaining_amt, payrec, mode_code,coinsurance_code,class_cd,it_remarks) values</v>
      </c>
      <c r="G233" s="14" t="str">
        <f t="shared" si="14"/>
        <v>('30Sep240040','070000164398','26175',(select max(to_number(i.premium_rcv_detail_code))+1
from ins_premium_det i),'26175','26175','02', '11000003','00','Request by Mr. Saqib Saleem 30-Sep-2024 allocation 30Sep240040');</v>
      </c>
      <c r="H233" s="15" t="str">
        <f t="shared" si="15"/>
        <v>insert into ins_premium_det (premium_rcv_code,assorted_code, rec_amount,premium_rcv_detail_code,remaining_amt, payrec, mode_code,coinsurance_code,class_cd,it_remarks) values('30Sep240040','070000164398','26175',(select max(to_number(i.premium_rcv_detail_code))+1
from ins_premium_det i),'26175','26175','02', '11000003','00','Request by Mr. Saqib Saleem 30-Sep-2024 allocation 30Sep240040');</v>
      </c>
    </row>
    <row r="234" spans="1:8" ht="90" x14ac:dyDescent="0.25">
      <c r="A234" s="10" t="s">
        <v>3099</v>
      </c>
      <c r="B234" s="11" t="s">
        <v>4644</v>
      </c>
      <c r="C234" s="17">
        <v>30919</v>
      </c>
      <c r="D234" s="12">
        <f t="shared" si="13"/>
        <v>30919</v>
      </c>
      <c r="E234" s="18" t="s">
        <v>4411</v>
      </c>
      <c r="F234" s="13" t="str">
        <f t="shared" si="12"/>
        <v>insert into ins_premium_det (premium_rcv_code,assorted_code, rec_amount,premium_rcv_detail_code,remaining_amt, payrec, mode_code,coinsurance_code,class_cd,it_remarks) values</v>
      </c>
      <c r="G234" s="14" t="str">
        <f t="shared" si="14"/>
        <v>('30Sep240040','070000164399','30919',(select max(to_number(i.premium_rcv_detail_code))+1
from ins_premium_det i),'30919','30919','02', '11000003','00','Request by Mr. Saqib Saleem 30-Sep-2024 allocation 30Sep240040');</v>
      </c>
      <c r="H234" s="15" t="str">
        <f t="shared" si="15"/>
        <v>insert into ins_premium_det (premium_rcv_code,assorted_code, rec_amount,premium_rcv_detail_code,remaining_amt, payrec, mode_code,coinsurance_code,class_cd,it_remarks) values('30Sep240040','070000164399','30919',(select max(to_number(i.premium_rcv_detail_code))+1
from ins_premium_det i),'30919','30919','02', '11000003','00','Request by Mr. Saqib Saleem 30-Sep-2024 allocation 30Sep240040');</v>
      </c>
    </row>
    <row r="235" spans="1:8" ht="90" x14ac:dyDescent="0.25">
      <c r="A235" s="9" t="s">
        <v>3113</v>
      </c>
      <c r="B235" s="11" t="s">
        <v>4645</v>
      </c>
      <c r="C235" s="16">
        <v>23970</v>
      </c>
      <c r="D235" s="12">
        <f t="shared" si="13"/>
        <v>23970</v>
      </c>
      <c r="E235" s="18" t="s">
        <v>4411</v>
      </c>
      <c r="F235" s="13" t="str">
        <f t="shared" si="12"/>
        <v>insert into ins_premium_det (premium_rcv_code,assorted_code, rec_amount,premium_rcv_detail_code,remaining_amt, payrec, mode_code,coinsurance_code,class_cd,it_remarks) values</v>
      </c>
      <c r="G235" s="14" t="str">
        <f t="shared" si="14"/>
        <v>('30Sep240040','070000164549','23970',(select max(to_number(i.premium_rcv_detail_code))+1
from ins_premium_det i),'23970','23970','02', '11000003','00','Request by Mr. Saqib Saleem 30-Sep-2024 allocation 30Sep240040');</v>
      </c>
      <c r="H235" s="15" t="str">
        <f t="shared" si="15"/>
        <v>insert into ins_premium_det (premium_rcv_code,assorted_code, rec_amount,premium_rcv_detail_code,remaining_amt, payrec, mode_code,coinsurance_code,class_cd,it_remarks) values('30Sep240040','070000164549','23970',(select max(to_number(i.premium_rcv_detail_code))+1
from ins_premium_det i),'23970','23970','02', '11000003','00','Request by Mr. Saqib Saleem 30-Sep-2024 allocation 30Sep240040');</v>
      </c>
    </row>
    <row r="236" spans="1:8" ht="90" x14ac:dyDescent="0.25">
      <c r="A236" s="10" t="s">
        <v>3128</v>
      </c>
      <c r="B236" s="11" t="s">
        <v>4646</v>
      </c>
      <c r="C236" s="17">
        <v>31903</v>
      </c>
      <c r="D236" s="12">
        <f t="shared" si="13"/>
        <v>31903</v>
      </c>
      <c r="E236" s="18" t="s">
        <v>4411</v>
      </c>
      <c r="F236" s="13" t="str">
        <f t="shared" si="12"/>
        <v>insert into ins_premium_det (premium_rcv_code,assorted_code, rec_amount,premium_rcv_detail_code,remaining_amt, payrec, mode_code,coinsurance_code,class_cd,it_remarks) values</v>
      </c>
      <c r="G236" s="14" t="str">
        <f t="shared" si="14"/>
        <v>('30Sep240040','070000164547','31903',(select max(to_number(i.premium_rcv_detail_code))+1
from ins_premium_det i),'31903','31903','02', '11000003','00','Request by Mr. Saqib Saleem 30-Sep-2024 allocation 30Sep240040');</v>
      </c>
      <c r="H236" s="15" t="str">
        <f t="shared" si="15"/>
        <v>insert into ins_premium_det (premium_rcv_code,assorted_code, rec_amount,premium_rcv_detail_code,remaining_amt, payrec, mode_code,coinsurance_code,class_cd,it_remarks) values('30Sep240040','070000164547','31903',(select max(to_number(i.premium_rcv_detail_code))+1
from ins_premium_det i),'31903','31903','02', '11000003','00','Request by Mr. Saqib Saleem 30-Sep-2024 allocation 30Sep240040');</v>
      </c>
    </row>
    <row r="237" spans="1:8" ht="90" x14ac:dyDescent="0.25">
      <c r="A237" s="9" t="s">
        <v>3143</v>
      </c>
      <c r="B237" s="11" t="s">
        <v>4647</v>
      </c>
      <c r="C237" s="16">
        <v>21866</v>
      </c>
      <c r="D237" s="12">
        <f t="shared" si="13"/>
        <v>21866</v>
      </c>
      <c r="E237" s="18" t="s">
        <v>4411</v>
      </c>
      <c r="F237" s="13" t="str">
        <f t="shared" si="12"/>
        <v>insert into ins_premium_det (premium_rcv_code,assorted_code, rec_amount,premium_rcv_detail_code,remaining_amt, payrec, mode_code,coinsurance_code,class_cd,it_remarks) values</v>
      </c>
      <c r="G237" s="14" t="str">
        <f t="shared" si="14"/>
        <v>('30Sep240040','070000164544','21866',(select max(to_number(i.premium_rcv_detail_code))+1
from ins_premium_det i),'21866','21866','02', '11000003','00','Request by Mr. Saqib Saleem 30-Sep-2024 allocation 30Sep240040');</v>
      </c>
      <c r="H237" s="15" t="str">
        <f t="shared" si="15"/>
        <v>insert into ins_premium_det (premium_rcv_code,assorted_code, rec_amount,premium_rcv_detail_code,remaining_amt, payrec, mode_code,coinsurance_code,class_cd,it_remarks) values('30Sep240040','070000164544','21866',(select max(to_number(i.premium_rcv_detail_code))+1
from ins_premium_det i),'21866','21866','02', '11000003','00','Request by Mr. Saqib Saleem 30-Sep-2024 allocation 30Sep240040');</v>
      </c>
    </row>
    <row r="238" spans="1:8" ht="90" x14ac:dyDescent="0.25">
      <c r="A238" s="10" t="s">
        <v>3156</v>
      </c>
      <c r="B238" s="11" t="s">
        <v>4648</v>
      </c>
      <c r="C238" s="17">
        <v>32725</v>
      </c>
      <c r="D238" s="12">
        <f t="shared" si="13"/>
        <v>32725</v>
      </c>
      <c r="E238" s="18" t="s">
        <v>4411</v>
      </c>
      <c r="F238" s="13" t="str">
        <f t="shared" si="12"/>
        <v>insert into ins_premium_det (premium_rcv_code,assorted_code, rec_amount,premium_rcv_detail_code,remaining_amt, payrec, mode_code,coinsurance_code,class_cd,it_remarks) values</v>
      </c>
      <c r="G238" s="14" t="str">
        <f t="shared" si="14"/>
        <v>('30Sep240040','070000164142','32725',(select max(to_number(i.premium_rcv_detail_code))+1
from ins_premium_det i),'32725','32725','02', '11000003','00','Request by Mr. Saqib Saleem 30-Sep-2024 allocation 30Sep240040');</v>
      </c>
      <c r="H238" s="15" t="str">
        <f t="shared" si="15"/>
        <v>insert into ins_premium_det (premium_rcv_code,assorted_code, rec_amount,premium_rcv_detail_code,remaining_amt, payrec, mode_code,coinsurance_code,class_cd,it_remarks) values('30Sep240040','070000164142','32725',(select max(to_number(i.premium_rcv_detail_code))+1
from ins_premium_det i),'32725','32725','02', '11000003','00','Request by Mr. Saqib Saleem 30-Sep-2024 allocation 30Sep240040');</v>
      </c>
    </row>
    <row r="239" spans="1:8" ht="90" x14ac:dyDescent="0.25">
      <c r="A239" s="9" t="s">
        <v>3169</v>
      </c>
      <c r="B239" s="11" t="s">
        <v>4649</v>
      </c>
      <c r="C239" s="16">
        <v>56000</v>
      </c>
      <c r="D239" s="12">
        <f t="shared" si="13"/>
        <v>56000</v>
      </c>
      <c r="E239" s="18" t="s">
        <v>4411</v>
      </c>
      <c r="F239" s="13" t="str">
        <f t="shared" si="12"/>
        <v>insert into ins_premium_det (premium_rcv_code,assorted_code, rec_amount,premium_rcv_detail_code,remaining_amt, payrec, mode_code,coinsurance_code,class_cd,it_remarks) values</v>
      </c>
      <c r="G239" s="14" t="str">
        <f t="shared" si="14"/>
        <v>('30Sep240040','070000164400','56000',(select max(to_number(i.premium_rcv_detail_code))+1
from ins_premium_det i),'56000','56000','02', '11000003','00','Request by Mr. Saqib Saleem 30-Sep-2024 allocation 30Sep240040');</v>
      </c>
      <c r="H239" s="15" t="str">
        <f t="shared" si="15"/>
        <v>insert into ins_premium_det (premium_rcv_code,assorted_code, rec_amount,premium_rcv_detail_code,remaining_amt, payrec, mode_code,coinsurance_code,class_cd,it_remarks) values('30Sep240040','070000164400','56000',(select max(to_number(i.premium_rcv_detail_code))+1
from ins_premium_det i),'56000','56000','02', '11000003','00','Request by Mr. Saqib Saleem 30-Sep-2024 allocation 30Sep240040');</v>
      </c>
    </row>
    <row r="240" spans="1:8" ht="90" x14ac:dyDescent="0.25">
      <c r="A240" s="10" t="s">
        <v>3180</v>
      </c>
      <c r="B240" s="11" t="s">
        <v>4650</v>
      </c>
      <c r="C240" s="17">
        <v>44200</v>
      </c>
      <c r="D240" s="12">
        <f t="shared" si="13"/>
        <v>44200</v>
      </c>
      <c r="E240" s="18" t="s">
        <v>4411</v>
      </c>
      <c r="F240" s="13" t="str">
        <f t="shared" si="12"/>
        <v>insert into ins_premium_det (premium_rcv_code,assorted_code, rec_amount,premium_rcv_detail_code,remaining_amt, payrec, mode_code,coinsurance_code,class_cd,it_remarks) values</v>
      </c>
      <c r="G240" s="14" t="str">
        <f t="shared" si="14"/>
        <v>('30Sep240040','070000164401','44200',(select max(to_number(i.premium_rcv_detail_code))+1
from ins_premium_det i),'44200','44200','02', '11000003','00','Request by Mr. Saqib Saleem 30-Sep-2024 allocation 30Sep240040');</v>
      </c>
      <c r="H240" s="15" t="str">
        <f t="shared" si="15"/>
        <v>insert into ins_premium_det (premium_rcv_code,assorted_code, rec_amount,premium_rcv_detail_code,remaining_amt, payrec, mode_code,coinsurance_code,class_cd,it_remarks) values('30Sep240040','070000164401','44200',(select max(to_number(i.premium_rcv_detail_code))+1
from ins_premium_det i),'44200','44200','02', '11000003','00','Request by Mr. Saqib Saleem 30-Sep-2024 allocation 30Sep240040');</v>
      </c>
    </row>
    <row r="241" spans="1:8" ht="90" x14ac:dyDescent="0.25">
      <c r="A241" s="9" t="s">
        <v>3192</v>
      </c>
      <c r="B241" s="11" t="s">
        <v>4651</v>
      </c>
      <c r="C241" s="16">
        <v>47813</v>
      </c>
      <c r="D241" s="12">
        <f t="shared" si="13"/>
        <v>47813</v>
      </c>
      <c r="E241" s="18" t="s">
        <v>4411</v>
      </c>
      <c r="F241" s="13" t="str">
        <f t="shared" si="12"/>
        <v>insert into ins_premium_det (premium_rcv_code,assorted_code, rec_amount,premium_rcv_detail_code,remaining_amt, payrec, mode_code,coinsurance_code,class_cd,it_remarks) values</v>
      </c>
      <c r="G241" s="14" t="str">
        <f t="shared" si="14"/>
        <v>('30Sep240040','070000164542','47813',(select max(to_number(i.premium_rcv_detail_code))+1
from ins_premium_det i),'47813','47813','02', '11000003','00','Request by Mr. Saqib Saleem 30-Sep-2024 allocation 30Sep240040');</v>
      </c>
      <c r="H241" s="15" t="str">
        <f t="shared" si="15"/>
        <v>insert into ins_premium_det (premium_rcv_code,assorted_code, rec_amount,premium_rcv_detail_code,remaining_amt, payrec, mode_code,coinsurance_code,class_cd,it_remarks) values('30Sep240040','070000164542','47813',(select max(to_number(i.premium_rcv_detail_code))+1
from ins_premium_det i),'47813','47813','02', '11000003','00','Request by Mr. Saqib Saleem 30-Sep-2024 allocation 30Sep240040');</v>
      </c>
    </row>
    <row r="242" spans="1:8" ht="90" x14ac:dyDescent="0.25">
      <c r="A242" s="10" t="s">
        <v>3204</v>
      </c>
      <c r="B242" s="11" t="s">
        <v>4652</v>
      </c>
      <c r="C242" s="17">
        <v>30494</v>
      </c>
      <c r="D242" s="12">
        <f t="shared" si="13"/>
        <v>30494</v>
      </c>
      <c r="E242" s="18" t="s">
        <v>4411</v>
      </c>
      <c r="F242" s="13" t="str">
        <f t="shared" si="12"/>
        <v>insert into ins_premium_det (premium_rcv_code,assorted_code, rec_amount,premium_rcv_detail_code,remaining_amt, payrec, mode_code,coinsurance_code,class_cd,it_remarks) values</v>
      </c>
      <c r="G242" s="14" t="str">
        <f t="shared" si="14"/>
        <v>('30Sep240040','070000164538','30494',(select max(to_number(i.premium_rcv_detail_code))+1
from ins_premium_det i),'30494','30494','02', '11000003','00','Request by Mr. Saqib Saleem 30-Sep-2024 allocation 30Sep240040');</v>
      </c>
      <c r="H242" s="15" t="str">
        <f t="shared" si="15"/>
        <v>insert into ins_premium_det (premium_rcv_code,assorted_code, rec_amount,premium_rcv_detail_code,remaining_amt, payrec, mode_code,coinsurance_code,class_cd,it_remarks) values('30Sep240040','070000164538','30494',(select max(to_number(i.premium_rcv_detail_code))+1
from ins_premium_det i),'30494','30494','02', '11000003','00','Request by Mr. Saqib Saleem 30-Sep-2024 allocation 30Sep240040');</v>
      </c>
    </row>
    <row r="243" spans="1:8" ht="90" x14ac:dyDescent="0.25">
      <c r="A243" s="9" t="s">
        <v>3216</v>
      </c>
      <c r="B243" s="11" t="s">
        <v>4653</v>
      </c>
      <c r="C243" s="16">
        <v>28486</v>
      </c>
      <c r="D243" s="12">
        <f t="shared" si="13"/>
        <v>28486</v>
      </c>
      <c r="E243" s="18" t="s">
        <v>4411</v>
      </c>
      <c r="F243" s="13" t="str">
        <f t="shared" si="12"/>
        <v>insert into ins_premium_det (premium_rcv_code,assorted_code, rec_amount,premium_rcv_detail_code,remaining_amt, payrec, mode_code,coinsurance_code,class_cd,it_remarks) values</v>
      </c>
      <c r="G243" s="14" t="str">
        <f t="shared" si="14"/>
        <v>('30Sep240040','070000164537','28486',(select max(to_number(i.premium_rcv_detail_code))+1
from ins_premium_det i),'28486','28486','02', '11000003','00','Request by Mr. Saqib Saleem 30-Sep-2024 allocation 30Sep240040');</v>
      </c>
      <c r="H243" s="15" t="str">
        <f t="shared" si="15"/>
        <v>insert into ins_premium_det (premium_rcv_code,assorted_code, rec_amount,premium_rcv_detail_code,remaining_amt, payrec, mode_code,coinsurance_code,class_cd,it_remarks) values('30Sep240040','070000164537','28486',(select max(to_number(i.premium_rcv_detail_code))+1
from ins_premium_det i),'28486','28486','02', '11000003','00','Request by Mr. Saqib Saleem 30-Sep-2024 allocation 30Sep240040');</v>
      </c>
    </row>
    <row r="244" spans="1:8" ht="90" x14ac:dyDescent="0.25">
      <c r="A244" s="10" t="s">
        <v>3228</v>
      </c>
      <c r="B244" s="11" t="s">
        <v>4654</v>
      </c>
      <c r="C244" s="17">
        <v>29750</v>
      </c>
      <c r="D244" s="12">
        <f t="shared" si="13"/>
        <v>29750</v>
      </c>
      <c r="E244" s="18" t="s">
        <v>4411</v>
      </c>
      <c r="F244" s="13" t="str">
        <f t="shared" si="12"/>
        <v>insert into ins_premium_det (premium_rcv_code,assorted_code, rec_amount,premium_rcv_detail_code,remaining_amt, payrec, mode_code,coinsurance_code,class_cd,it_remarks) values</v>
      </c>
      <c r="G244" s="14" t="str">
        <f t="shared" si="14"/>
        <v>('30Sep240040','070000164536','29750',(select max(to_number(i.premium_rcv_detail_code))+1
from ins_premium_det i),'29750','29750','02', '11000003','00','Request by Mr. Saqib Saleem 30-Sep-2024 allocation 30Sep240040');</v>
      </c>
      <c r="H244" s="15" t="str">
        <f t="shared" si="15"/>
        <v>insert into ins_premium_det (premium_rcv_code,assorted_code, rec_amount,premium_rcv_detail_code,remaining_amt, payrec, mode_code,coinsurance_code,class_cd,it_remarks) values('30Sep240040','070000164536','29750',(select max(to_number(i.premium_rcv_detail_code))+1
from ins_premium_det i),'29750','29750','02', '11000003','00','Request by Mr. Saqib Saleem 30-Sep-2024 allocation 30Sep240040');</v>
      </c>
    </row>
    <row r="245" spans="1:8" ht="90" x14ac:dyDescent="0.25">
      <c r="A245" s="9" t="s">
        <v>3241</v>
      </c>
      <c r="B245" s="11" t="s">
        <v>4655</v>
      </c>
      <c r="C245" s="16">
        <v>26282</v>
      </c>
      <c r="D245" s="12">
        <f t="shared" si="13"/>
        <v>26282</v>
      </c>
      <c r="E245" s="18" t="s">
        <v>4411</v>
      </c>
      <c r="F245" s="13" t="str">
        <f t="shared" si="12"/>
        <v>insert into ins_premium_det (premium_rcv_code,assorted_code, rec_amount,premium_rcv_detail_code,remaining_amt, payrec, mode_code,coinsurance_code,class_cd,it_remarks) values</v>
      </c>
      <c r="G245" s="14" t="str">
        <f t="shared" si="14"/>
        <v>('30Sep240040','070000164402','26282',(select max(to_number(i.premium_rcv_detail_code))+1
from ins_premium_det i),'26282','26282','02', '11000003','00','Request by Mr. Saqib Saleem 30-Sep-2024 allocation 30Sep240040');</v>
      </c>
      <c r="H245" s="15" t="str">
        <f t="shared" si="15"/>
        <v>insert into ins_premium_det (premium_rcv_code,assorted_code, rec_amount,premium_rcv_detail_code,remaining_amt, payrec, mode_code,coinsurance_code,class_cd,it_remarks) values('30Sep240040','070000164402','26282',(select max(to_number(i.premium_rcv_detail_code))+1
from ins_premium_det i),'26282','26282','02', '11000003','00','Request by Mr. Saqib Saleem 30-Sep-2024 allocation 30Sep240040');</v>
      </c>
    </row>
    <row r="246" spans="1:8" ht="90" x14ac:dyDescent="0.25">
      <c r="A246" s="10" t="s">
        <v>3254</v>
      </c>
      <c r="B246" s="11" t="s">
        <v>4656</v>
      </c>
      <c r="C246" s="17">
        <v>32691</v>
      </c>
      <c r="D246" s="12">
        <f t="shared" si="13"/>
        <v>32691</v>
      </c>
      <c r="E246" s="18" t="s">
        <v>4411</v>
      </c>
      <c r="F246" s="13" t="str">
        <f t="shared" si="12"/>
        <v>insert into ins_premium_det (premium_rcv_code,assorted_code, rec_amount,premium_rcv_detail_code,remaining_amt, payrec, mode_code,coinsurance_code,class_cd,it_remarks) values</v>
      </c>
      <c r="G246" s="14" t="str">
        <f t="shared" si="14"/>
        <v>('30Sep240040','070000164535','32691',(select max(to_number(i.premium_rcv_detail_code))+1
from ins_premium_det i),'32691','32691','02', '11000003','00','Request by Mr. Saqib Saleem 30-Sep-2024 allocation 30Sep240040');</v>
      </c>
      <c r="H246" s="15" t="str">
        <f t="shared" si="15"/>
        <v>insert into ins_premium_det (premium_rcv_code,assorted_code, rec_amount,premium_rcv_detail_code,remaining_amt, payrec, mode_code,coinsurance_code,class_cd,it_remarks) values('30Sep240040','070000164535','32691',(select max(to_number(i.premium_rcv_detail_code))+1
from ins_premium_det i),'32691','32691','02', '11000003','00','Request by Mr. Saqib Saleem 30-Sep-2024 allocation 30Sep240040');</v>
      </c>
    </row>
    <row r="247" spans="1:8" ht="90" x14ac:dyDescent="0.25">
      <c r="A247" s="9" t="s">
        <v>3266</v>
      </c>
      <c r="B247" s="11" t="s">
        <v>4657</v>
      </c>
      <c r="C247" s="16">
        <v>21101</v>
      </c>
      <c r="D247" s="12">
        <f t="shared" si="13"/>
        <v>21101</v>
      </c>
      <c r="E247" s="18" t="s">
        <v>4411</v>
      </c>
      <c r="F247" s="13" t="str">
        <f t="shared" si="12"/>
        <v>insert into ins_premium_det (premium_rcv_code,assorted_code, rec_amount,premium_rcv_detail_code,remaining_amt, payrec, mode_code,coinsurance_code,class_cd,it_remarks) values</v>
      </c>
      <c r="G247" s="14" t="str">
        <f t="shared" si="14"/>
        <v>('30Sep240040','070000164404','21101',(select max(to_number(i.premium_rcv_detail_code))+1
from ins_premium_det i),'21101','21101','02', '11000003','00','Request by Mr. Saqib Saleem 30-Sep-2024 allocation 30Sep240040');</v>
      </c>
      <c r="H247" s="15" t="str">
        <f t="shared" si="15"/>
        <v>insert into ins_premium_det (premium_rcv_code,assorted_code, rec_amount,premium_rcv_detail_code,remaining_amt, payrec, mode_code,coinsurance_code,class_cd,it_remarks) values('30Sep240040','070000164404','21101',(select max(to_number(i.premium_rcv_detail_code))+1
from ins_premium_det i),'21101','21101','02', '11000003','00','Request by Mr. Saqib Saleem 30-Sep-2024 allocation 30Sep240040');</v>
      </c>
    </row>
    <row r="248" spans="1:8" ht="90" x14ac:dyDescent="0.25">
      <c r="A248" s="10" t="s">
        <v>3276</v>
      </c>
      <c r="B248" s="11" t="s">
        <v>4658</v>
      </c>
      <c r="C248" s="17">
        <v>73780</v>
      </c>
      <c r="D248" s="12">
        <f t="shared" si="13"/>
        <v>73780</v>
      </c>
      <c r="E248" s="18" t="s">
        <v>4411</v>
      </c>
      <c r="F248" s="13" t="str">
        <f t="shared" si="12"/>
        <v>insert into ins_premium_det (premium_rcv_code,assorted_code, rec_amount,premium_rcv_detail_code,remaining_amt, payrec, mode_code,coinsurance_code,class_cd,it_remarks) values</v>
      </c>
      <c r="G248" s="14" t="str">
        <f t="shared" si="14"/>
        <v>('30Sep240040','070000164405','73780',(select max(to_number(i.premium_rcv_detail_code))+1
from ins_premium_det i),'73780','73780','02', '11000003','00','Request by Mr. Saqib Saleem 30-Sep-2024 allocation 30Sep240040');</v>
      </c>
      <c r="H248" s="15" t="str">
        <f t="shared" si="15"/>
        <v>insert into ins_premium_det (premium_rcv_code,assorted_code, rec_amount,premium_rcv_detail_code,remaining_amt, payrec, mode_code,coinsurance_code,class_cd,it_remarks) values('30Sep240040','070000164405','73780',(select max(to_number(i.premium_rcv_detail_code))+1
from ins_premium_det i),'73780','73780','02', '11000003','00','Request by Mr. Saqib Saleem 30-Sep-2024 allocation 30Sep240040');</v>
      </c>
    </row>
    <row r="249" spans="1:8" ht="90" x14ac:dyDescent="0.25">
      <c r="A249" s="9" t="s">
        <v>3287</v>
      </c>
      <c r="B249" s="11" t="s">
        <v>4659</v>
      </c>
      <c r="C249" s="16">
        <v>64192</v>
      </c>
      <c r="D249" s="12">
        <f t="shared" si="13"/>
        <v>64192</v>
      </c>
      <c r="E249" s="18" t="s">
        <v>4411</v>
      </c>
      <c r="F249" s="13" t="str">
        <f t="shared" si="12"/>
        <v>insert into ins_premium_det (premium_rcv_code,assorted_code, rec_amount,premium_rcv_detail_code,remaining_amt, payrec, mode_code,coinsurance_code,class_cd,it_remarks) values</v>
      </c>
      <c r="G249" s="14" t="str">
        <f t="shared" si="14"/>
        <v>('30Sep240040','070000164406','64192',(select max(to_number(i.premium_rcv_detail_code))+1
from ins_premium_det i),'64192','64192','02', '11000003','00','Request by Mr. Saqib Saleem 30-Sep-2024 allocation 30Sep240040');</v>
      </c>
      <c r="H249" s="15" t="str">
        <f t="shared" si="15"/>
        <v>insert into ins_premium_det (premium_rcv_code,assorted_code, rec_amount,premium_rcv_detail_code,remaining_amt, payrec, mode_code,coinsurance_code,class_cd,it_remarks) values('30Sep240040','070000164406','64192',(select max(to_number(i.premium_rcv_detail_code))+1
from ins_premium_det i),'64192','64192','02', '11000003','00','Request by Mr. Saqib Saleem 30-Sep-2024 allocation 30Sep240040');</v>
      </c>
    </row>
    <row r="250" spans="1:8" ht="90" x14ac:dyDescent="0.25">
      <c r="A250" s="10" t="s">
        <v>3301</v>
      </c>
      <c r="B250" s="11" t="s">
        <v>4660</v>
      </c>
      <c r="C250" s="17">
        <v>56030</v>
      </c>
      <c r="D250" s="12">
        <f t="shared" si="13"/>
        <v>56030</v>
      </c>
      <c r="E250" s="18" t="s">
        <v>4411</v>
      </c>
      <c r="F250" s="13" t="str">
        <f t="shared" si="12"/>
        <v>insert into ins_premium_det (premium_rcv_code,assorted_code, rec_amount,premium_rcv_detail_code,remaining_amt, payrec, mode_code,coinsurance_code,class_cd,it_remarks) values</v>
      </c>
      <c r="G250" s="14" t="str">
        <f t="shared" si="14"/>
        <v>('30Sep240040','070000164534','56030',(select max(to_number(i.premium_rcv_detail_code))+1
from ins_premium_det i),'56030','56030','02', '11000003','00','Request by Mr. Saqib Saleem 30-Sep-2024 allocation 30Sep240040');</v>
      </c>
      <c r="H250" s="15" t="str">
        <f t="shared" si="15"/>
        <v>insert into ins_premium_det (premium_rcv_code,assorted_code, rec_amount,premium_rcv_detail_code,remaining_amt, payrec, mode_code,coinsurance_code,class_cd,it_remarks) values('30Sep240040','070000164534','56030',(select max(to_number(i.premium_rcv_detail_code))+1
from ins_premium_det i),'56030','56030','02', '11000003','00','Request by Mr. Saqib Saleem 30-Sep-2024 allocation 30Sep240040');</v>
      </c>
    </row>
    <row r="251" spans="1:8" ht="90" x14ac:dyDescent="0.25">
      <c r="A251" s="9" t="s">
        <v>3315</v>
      </c>
      <c r="B251" s="11" t="s">
        <v>4661</v>
      </c>
      <c r="C251" s="16">
        <v>57459</v>
      </c>
      <c r="D251" s="12">
        <f t="shared" si="13"/>
        <v>57459</v>
      </c>
      <c r="E251" s="18" t="s">
        <v>4411</v>
      </c>
      <c r="F251" s="13" t="str">
        <f t="shared" si="12"/>
        <v>insert into ins_premium_det (premium_rcv_code,assorted_code, rec_amount,premium_rcv_detail_code,remaining_amt, payrec, mode_code,coinsurance_code,class_cd,it_remarks) values</v>
      </c>
      <c r="G251" s="14" t="str">
        <f t="shared" si="14"/>
        <v>('30Sep240040','070000164533','57459',(select max(to_number(i.premium_rcv_detail_code))+1
from ins_premium_det i),'57459','57459','02', '11000003','00','Request by Mr. Saqib Saleem 30-Sep-2024 allocation 30Sep240040');</v>
      </c>
      <c r="H251" s="15" t="str">
        <f t="shared" si="15"/>
        <v>insert into ins_premium_det (premium_rcv_code,assorted_code, rec_amount,premium_rcv_detail_code,remaining_amt, payrec, mode_code,coinsurance_code,class_cd,it_remarks) values('30Sep240040','070000164533','57459',(select max(to_number(i.premium_rcv_detail_code))+1
from ins_premium_det i),'57459','57459','02', '11000003','00','Request by Mr. Saqib Saleem 30-Sep-2024 allocation 30Sep240040');</v>
      </c>
    </row>
    <row r="252" spans="1:8" ht="90" x14ac:dyDescent="0.25">
      <c r="A252" s="10" t="s">
        <v>3328</v>
      </c>
      <c r="B252" s="11" t="s">
        <v>4662</v>
      </c>
      <c r="C252" s="17">
        <v>47200</v>
      </c>
      <c r="D252" s="12">
        <f t="shared" si="13"/>
        <v>47200</v>
      </c>
      <c r="E252" s="18" t="s">
        <v>4411</v>
      </c>
      <c r="F252" s="13" t="str">
        <f t="shared" si="12"/>
        <v>insert into ins_premium_det (premium_rcv_code,assorted_code, rec_amount,premium_rcv_detail_code,remaining_amt, payrec, mode_code,coinsurance_code,class_cd,it_remarks) values</v>
      </c>
      <c r="G252" s="14" t="str">
        <f t="shared" si="14"/>
        <v>('30Sep240040','070000164532','47200',(select max(to_number(i.premium_rcv_detail_code))+1
from ins_premium_det i),'47200','47200','02', '11000003','00','Request by Mr. Saqib Saleem 30-Sep-2024 allocation 30Sep240040');</v>
      </c>
      <c r="H252" s="15" t="str">
        <f t="shared" si="15"/>
        <v>insert into ins_premium_det (premium_rcv_code,assorted_code, rec_amount,premium_rcv_detail_code,remaining_amt, payrec, mode_code,coinsurance_code,class_cd,it_remarks) values('30Sep240040','070000164532','47200',(select max(to_number(i.premium_rcv_detail_code))+1
from ins_premium_det i),'47200','47200','02', '11000003','00','Request by Mr. Saqib Saleem 30-Sep-2024 allocation 30Sep240040');</v>
      </c>
    </row>
    <row r="253" spans="1:8" ht="90" x14ac:dyDescent="0.25">
      <c r="A253" s="9" t="s">
        <v>3338</v>
      </c>
      <c r="B253" s="11" t="s">
        <v>4663</v>
      </c>
      <c r="C253" s="16">
        <v>74242</v>
      </c>
      <c r="D253" s="12">
        <f t="shared" si="13"/>
        <v>74242</v>
      </c>
      <c r="E253" s="18" t="s">
        <v>4411</v>
      </c>
      <c r="F253" s="13" t="str">
        <f t="shared" si="12"/>
        <v>insert into ins_premium_det (premium_rcv_code,assorted_code, rec_amount,premium_rcv_detail_code,remaining_amt, payrec, mode_code,coinsurance_code,class_cd,it_remarks) values</v>
      </c>
      <c r="G253" s="14" t="str">
        <f t="shared" si="14"/>
        <v>('30Sep240040','070000164408','74242',(select max(to_number(i.premium_rcv_detail_code))+1
from ins_premium_det i),'74242','74242','02', '11000003','00','Request by Mr. Saqib Saleem 30-Sep-2024 allocation 30Sep240040');</v>
      </c>
      <c r="H253" s="15" t="str">
        <f t="shared" si="15"/>
        <v>insert into ins_premium_det (premium_rcv_code,assorted_code, rec_amount,premium_rcv_detail_code,remaining_amt, payrec, mode_code,coinsurance_code,class_cd,it_remarks) values('30Sep240040','070000164408','74242',(select max(to_number(i.premium_rcv_detail_code))+1
from ins_premium_det i),'74242','74242','02', '11000003','00','Request by Mr. Saqib Saleem 30-Sep-2024 allocation 30Sep240040');</v>
      </c>
    </row>
    <row r="254" spans="1:8" ht="90" x14ac:dyDescent="0.25">
      <c r="A254" s="10" t="s">
        <v>3350</v>
      </c>
      <c r="B254" s="11" t="s">
        <v>4664</v>
      </c>
      <c r="C254" s="17">
        <v>48160</v>
      </c>
      <c r="D254" s="12">
        <f t="shared" si="13"/>
        <v>48160</v>
      </c>
      <c r="E254" s="18" t="s">
        <v>4411</v>
      </c>
      <c r="F254" s="13" t="str">
        <f t="shared" si="12"/>
        <v>insert into ins_premium_det (premium_rcv_code,assorted_code, rec_amount,premium_rcv_detail_code,remaining_amt, payrec, mode_code,coinsurance_code,class_cd,it_remarks) values</v>
      </c>
      <c r="G254" s="14" t="str">
        <f t="shared" si="14"/>
        <v>('30Sep240040','070000164409','48160',(select max(to_number(i.premium_rcv_detail_code))+1
from ins_premium_det i),'48160','48160','02', '11000003','00','Request by Mr. Saqib Saleem 30-Sep-2024 allocation 30Sep240040');</v>
      </c>
      <c r="H254" s="15" t="str">
        <f t="shared" si="15"/>
        <v>insert into ins_premium_det (premium_rcv_code,assorted_code, rec_amount,premium_rcv_detail_code,remaining_amt, payrec, mode_code,coinsurance_code,class_cd,it_remarks) values('30Sep240040','070000164409','48160',(select max(to_number(i.premium_rcv_detail_code))+1
from ins_premium_det i),'48160','48160','02', '11000003','00','Request by Mr. Saqib Saleem 30-Sep-2024 allocation 30Sep240040');</v>
      </c>
    </row>
    <row r="255" spans="1:8" ht="90" x14ac:dyDescent="0.25">
      <c r="A255" s="9" t="s">
        <v>3360</v>
      </c>
      <c r="B255" s="11" t="s">
        <v>4665</v>
      </c>
      <c r="C255" s="16">
        <v>54000</v>
      </c>
      <c r="D255" s="12">
        <f t="shared" si="13"/>
        <v>54000</v>
      </c>
      <c r="E255" s="18" t="s">
        <v>4411</v>
      </c>
      <c r="F255" s="13" t="str">
        <f t="shared" si="12"/>
        <v>insert into ins_premium_det (premium_rcv_code,assorted_code, rec_amount,premium_rcv_detail_code,remaining_amt, payrec, mode_code,coinsurance_code,class_cd,it_remarks) values</v>
      </c>
      <c r="G255" s="14" t="str">
        <f t="shared" si="14"/>
        <v>('30Sep240040','070000164411','54000',(select max(to_number(i.premium_rcv_detail_code))+1
from ins_premium_det i),'54000','54000','02', '11000003','00','Request by Mr. Saqib Saleem 30-Sep-2024 allocation 30Sep240040');</v>
      </c>
      <c r="H255" s="15" t="str">
        <f t="shared" si="15"/>
        <v>insert into ins_premium_det (premium_rcv_code,assorted_code, rec_amount,premium_rcv_detail_code,remaining_amt, payrec, mode_code,coinsurance_code,class_cd,it_remarks) values('30Sep240040','070000164411','54000',(select max(to_number(i.premium_rcv_detail_code))+1
from ins_premium_det i),'54000','54000','02', '11000003','00','Request by Mr. Saqib Saleem 30-Sep-2024 allocation 30Sep240040');</v>
      </c>
    </row>
    <row r="256" spans="1:8" ht="90" x14ac:dyDescent="0.25">
      <c r="A256" s="10" t="s">
        <v>3373</v>
      </c>
      <c r="B256" s="11" t="s">
        <v>4666</v>
      </c>
      <c r="C256" s="17">
        <v>32040</v>
      </c>
      <c r="D256" s="12">
        <f t="shared" si="13"/>
        <v>32040</v>
      </c>
      <c r="E256" s="18" t="s">
        <v>4411</v>
      </c>
      <c r="F256" s="13" t="str">
        <f t="shared" si="12"/>
        <v>insert into ins_premium_det (premium_rcv_code,assorted_code, rec_amount,premium_rcv_detail_code,remaining_amt, payrec, mode_code,coinsurance_code,class_cd,it_remarks) values</v>
      </c>
      <c r="G256" s="14" t="str">
        <f t="shared" si="14"/>
        <v>('30Sep240040','070000164529','32040',(select max(to_number(i.premium_rcv_detail_code))+1
from ins_premium_det i),'32040','32040','02', '11000003','00','Request by Mr. Saqib Saleem 30-Sep-2024 allocation 30Sep240040');</v>
      </c>
      <c r="H256" s="15" t="str">
        <f t="shared" si="15"/>
        <v>insert into ins_premium_det (premium_rcv_code,assorted_code, rec_amount,premium_rcv_detail_code,remaining_amt, payrec, mode_code,coinsurance_code,class_cd,it_remarks) values('30Sep240040','070000164529','32040',(select max(to_number(i.premium_rcv_detail_code))+1
from ins_premium_det i),'32040','32040','02', '11000003','00','Request by Mr. Saqib Saleem 30-Sep-2024 allocation 30Sep240040');</v>
      </c>
    </row>
    <row r="257" spans="1:8" ht="90" x14ac:dyDescent="0.25">
      <c r="A257" s="9" t="s">
        <v>3386</v>
      </c>
      <c r="B257" s="11" t="s">
        <v>4667</v>
      </c>
      <c r="C257" s="16">
        <v>21665</v>
      </c>
      <c r="D257" s="12">
        <f t="shared" si="13"/>
        <v>21665</v>
      </c>
      <c r="E257" s="18" t="s">
        <v>4411</v>
      </c>
      <c r="F257" s="13" t="str">
        <f t="shared" si="12"/>
        <v>insert into ins_premium_det (premium_rcv_code,assorted_code, rec_amount,premium_rcv_detail_code,remaining_amt, payrec, mode_code,coinsurance_code,class_cd,it_remarks) values</v>
      </c>
      <c r="G257" s="14" t="str">
        <f t="shared" si="14"/>
        <v>('30Sep240040','070000164528','21665',(select max(to_number(i.premium_rcv_detail_code))+1
from ins_premium_det i),'21665','21665','02', '11000003','00','Request by Mr. Saqib Saleem 30-Sep-2024 allocation 30Sep240040');</v>
      </c>
      <c r="H257" s="15" t="str">
        <f t="shared" si="15"/>
        <v>insert into ins_premium_det (premium_rcv_code,assorted_code, rec_amount,premium_rcv_detail_code,remaining_amt, payrec, mode_code,coinsurance_code,class_cd,it_remarks) values('30Sep240040','070000164528','21665',(select max(to_number(i.premium_rcv_detail_code))+1
from ins_premium_det i),'21665','21665','02', '11000003','00','Request by Mr. Saqib Saleem 30-Sep-2024 allocation 30Sep240040');</v>
      </c>
    </row>
    <row r="258" spans="1:8" ht="90" x14ac:dyDescent="0.25">
      <c r="A258" s="10" t="s">
        <v>3400</v>
      </c>
      <c r="B258" s="11" t="s">
        <v>4668</v>
      </c>
      <c r="C258" s="17">
        <v>51682</v>
      </c>
      <c r="D258" s="12">
        <f t="shared" si="13"/>
        <v>51682</v>
      </c>
      <c r="E258" s="18" t="s">
        <v>4411</v>
      </c>
      <c r="F258" s="13" t="str">
        <f t="shared" ref="F258:F314" si="16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58" s="14" t="str">
        <f t="shared" si="14"/>
        <v>('30Sep240040','070000164527','51682',(select max(to_number(i.premium_rcv_detail_code))+1
from ins_premium_det i),'51682','51682','02', '11000003','00','Request by Mr. Saqib Saleem 30-Sep-2024 allocation 30Sep240040');</v>
      </c>
      <c r="H258" s="15" t="str">
        <f t="shared" si="15"/>
        <v>insert into ins_premium_det (premium_rcv_code,assorted_code, rec_amount,premium_rcv_detail_code,remaining_amt, payrec, mode_code,coinsurance_code,class_cd,it_remarks) values('30Sep240040','070000164527','51682',(select max(to_number(i.premium_rcv_detail_code))+1
from ins_premium_det i),'51682','51682','02', '11000003','00','Request by Mr. Saqib Saleem 30-Sep-2024 allocation 30Sep240040');</v>
      </c>
    </row>
    <row r="259" spans="1:8" ht="90" x14ac:dyDescent="0.25">
      <c r="A259" s="9" t="s">
        <v>3413</v>
      </c>
      <c r="B259" s="11" t="s">
        <v>4669</v>
      </c>
      <c r="C259" s="16">
        <v>41968</v>
      </c>
      <c r="D259" s="12">
        <f t="shared" ref="D259:D314" si="17">ROUND(C259,0)</f>
        <v>41968</v>
      </c>
      <c r="E259" s="18" t="s">
        <v>4411</v>
      </c>
      <c r="F259" s="13" t="str">
        <f t="shared" si="16"/>
        <v>insert into ins_premium_det (premium_rcv_code,assorted_code, rec_amount,premium_rcv_detail_code,remaining_amt, payrec, mode_code,coinsurance_code,class_cd,it_remarks) values</v>
      </c>
      <c r="G259" s="14" t="str">
        <f t="shared" ref="G259:G314" si="18">"('"&amp;E259&amp;"','"&amp;B259&amp;"','"&amp;D259&amp;"',(select max(to_number(i.premium_rcv_detail_code))+1
from ins_premium_det i),'"&amp;D259&amp;"','"&amp;D259&amp;"','02', '11000003','00','Request by Mr. Saqib Saleem 30-Sep-2024 allocation 30Sep240040');"</f>
        <v>('30Sep240040','070000164413','41968',(select max(to_number(i.premium_rcv_detail_code))+1
from ins_premium_det i),'41968','41968','02', '11000003','00','Request by Mr. Saqib Saleem 30-Sep-2024 allocation 30Sep240040');</v>
      </c>
      <c r="H259" s="15" t="str">
        <f t="shared" ref="H259:H314" si="19">F259&amp;G259</f>
        <v>insert into ins_premium_det (premium_rcv_code,assorted_code, rec_amount,premium_rcv_detail_code,remaining_amt, payrec, mode_code,coinsurance_code,class_cd,it_remarks) values('30Sep240040','070000164413','41968',(select max(to_number(i.premium_rcv_detail_code))+1
from ins_premium_det i),'41968','41968','02', '11000003','00','Request by Mr. Saqib Saleem 30-Sep-2024 allocation 30Sep240040');</v>
      </c>
    </row>
    <row r="260" spans="1:8" ht="90" x14ac:dyDescent="0.25">
      <c r="A260" s="10" t="s">
        <v>3425</v>
      </c>
      <c r="B260" s="11" t="s">
        <v>4670</v>
      </c>
      <c r="C260" s="17">
        <v>32800</v>
      </c>
      <c r="D260" s="12">
        <f t="shared" si="17"/>
        <v>32800</v>
      </c>
      <c r="E260" s="18" t="s">
        <v>4411</v>
      </c>
      <c r="F260" s="13" t="str">
        <f t="shared" si="16"/>
        <v>insert into ins_premium_det (premium_rcv_code,assorted_code, rec_amount,premium_rcv_detail_code,remaining_amt, payrec, mode_code,coinsurance_code,class_cd,it_remarks) values</v>
      </c>
      <c r="G260" s="14" t="str">
        <f t="shared" si="18"/>
        <v>('30Sep240040','070000164414','32800',(select max(to_number(i.premium_rcv_detail_code))+1
from ins_premium_det i),'32800','32800','02', '11000003','00','Request by Mr. Saqib Saleem 30-Sep-2024 allocation 30Sep240040');</v>
      </c>
      <c r="H260" s="15" t="str">
        <f t="shared" si="19"/>
        <v>insert into ins_premium_det (premium_rcv_code,assorted_code, rec_amount,premium_rcv_detail_code,remaining_amt, payrec, mode_code,coinsurance_code,class_cd,it_remarks) values('30Sep240040','070000164414','32800',(select max(to_number(i.premium_rcv_detail_code))+1
from ins_premium_det i),'32800','32800','02', '11000003','00','Request by Mr. Saqib Saleem 30-Sep-2024 allocation 30Sep240040');</v>
      </c>
    </row>
    <row r="261" spans="1:8" ht="90" x14ac:dyDescent="0.25">
      <c r="A261" s="9" t="s">
        <v>3438</v>
      </c>
      <c r="B261" s="11" t="s">
        <v>4671</v>
      </c>
      <c r="C261" s="16">
        <v>46226</v>
      </c>
      <c r="D261" s="12">
        <f t="shared" si="17"/>
        <v>46226</v>
      </c>
      <c r="E261" s="18" t="s">
        <v>4411</v>
      </c>
      <c r="F261" s="13" t="str">
        <f t="shared" si="16"/>
        <v>insert into ins_premium_det (premium_rcv_code,assorted_code, rec_amount,premium_rcv_detail_code,remaining_amt, payrec, mode_code,coinsurance_code,class_cd,it_remarks) values</v>
      </c>
      <c r="G261" s="14" t="str">
        <f t="shared" si="18"/>
        <v>('30Sep240040','070000164526','46226',(select max(to_number(i.premium_rcv_detail_code))+1
from ins_premium_det i),'46226','46226','02', '11000003','00','Request by Mr. Saqib Saleem 30-Sep-2024 allocation 30Sep240040');</v>
      </c>
      <c r="H261" s="15" t="str">
        <f t="shared" si="19"/>
        <v>insert into ins_premium_det (premium_rcv_code,assorted_code, rec_amount,premium_rcv_detail_code,remaining_amt, payrec, mode_code,coinsurance_code,class_cd,it_remarks) values('30Sep240040','070000164526','46226',(select max(to_number(i.premium_rcv_detail_code))+1
from ins_premium_det i),'46226','46226','02', '11000003','00','Request by Mr. Saqib Saleem 30-Sep-2024 allocation 30Sep240040');</v>
      </c>
    </row>
    <row r="262" spans="1:8" ht="90" x14ac:dyDescent="0.25">
      <c r="A262" s="10" t="s">
        <v>3453</v>
      </c>
      <c r="B262" s="11" t="s">
        <v>4672</v>
      </c>
      <c r="C262" s="17">
        <v>37500</v>
      </c>
      <c r="D262" s="12">
        <f t="shared" si="17"/>
        <v>37500</v>
      </c>
      <c r="E262" s="18" t="s">
        <v>4411</v>
      </c>
      <c r="F262" s="13" t="str">
        <f t="shared" si="16"/>
        <v>insert into ins_premium_det (premium_rcv_code,assorted_code, rec_amount,premium_rcv_detail_code,remaining_amt, payrec, mode_code,coinsurance_code,class_cd,it_remarks) values</v>
      </c>
      <c r="G262" s="14" t="str">
        <f t="shared" si="18"/>
        <v>('30Sep240040','070000164415','37500',(select max(to_number(i.premium_rcv_detail_code))+1
from ins_premium_det i),'37500','37500','02', '11000003','00','Request by Mr. Saqib Saleem 30-Sep-2024 allocation 30Sep240040');</v>
      </c>
      <c r="H262" s="15" t="str">
        <f t="shared" si="19"/>
        <v>insert into ins_premium_det (premium_rcv_code,assorted_code, rec_amount,premium_rcv_detail_code,remaining_amt, payrec, mode_code,coinsurance_code,class_cd,it_remarks) values('30Sep240040','070000164415','37500',(select max(to_number(i.premium_rcv_detail_code))+1
from ins_premium_det i),'37500','37500','02', '11000003','00','Request by Mr. Saqib Saleem 30-Sep-2024 allocation 30Sep240040');</v>
      </c>
    </row>
    <row r="263" spans="1:8" ht="90" x14ac:dyDescent="0.25">
      <c r="A263" s="9" t="s">
        <v>3466</v>
      </c>
      <c r="B263" s="11" t="s">
        <v>4673</v>
      </c>
      <c r="C263" s="16">
        <v>33970</v>
      </c>
      <c r="D263" s="12">
        <f t="shared" si="17"/>
        <v>33970</v>
      </c>
      <c r="E263" s="18" t="s">
        <v>4411</v>
      </c>
      <c r="F263" s="13" t="str">
        <f t="shared" si="16"/>
        <v>insert into ins_premium_det (premium_rcv_code,assorted_code, rec_amount,premium_rcv_detail_code,remaining_amt, payrec, mode_code,coinsurance_code,class_cd,it_remarks) values</v>
      </c>
      <c r="G263" s="14" t="str">
        <f t="shared" si="18"/>
        <v>('30Sep240040','070000164417','33970',(select max(to_number(i.premium_rcv_detail_code))+1
from ins_premium_det i),'33970','33970','02', '11000003','00','Request by Mr. Saqib Saleem 30-Sep-2024 allocation 30Sep240040');</v>
      </c>
      <c r="H263" s="15" t="str">
        <f t="shared" si="19"/>
        <v>insert into ins_premium_det (premium_rcv_code,assorted_code, rec_amount,premium_rcv_detail_code,remaining_amt, payrec, mode_code,coinsurance_code,class_cd,it_remarks) values('30Sep240040','070000164417','33970',(select max(to_number(i.premium_rcv_detail_code))+1
from ins_premium_det i),'33970','33970','02', '11000003','00','Request by Mr. Saqib Saleem 30-Sep-2024 allocation 30Sep240040');</v>
      </c>
    </row>
    <row r="264" spans="1:8" ht="90" x14ac:dyDescent="0.25">
      <c r="A264" s="10" t="s">
        <v>3478</v>
      </c>
      <c r="B264" s="11" t="s">
        <v>4674</v>
      </c>
      <c r="C264" s="17">
        <v>21280</v>
      </c>
      <c r="D264" s="12">
        <f t="shared" si="17"/>
        <v>21280</v>
      </c>
      <c r="E264" s="18" t="s">
        <v>4411</v>
      </c>
      <c r="F264" s="13" t="str">
        <f t="shared" si="16"/>
        <v>insert into ins_premium_det (premium_rcv_code,assorted_code, rec_amount,premium_rcv_detail_code,remaining_amt, payrec, mode_code,coinsurance_code,class_cd,it_remarks) values</v>
      </c>
      <c r="G264" s="14" t="str">
        <f t="shared" si="18"/>
        <v>('30Sep240040','070000164418','21280',(select max(to_number(i.premium_rcv_detail_code))+1
from ins_premium_det i),'21280','21280','02', '11000003','00','Request by Mr. Saqib Saleem 30-Sep-2024 allocation 30Sep240040');</v>
      </c>
      <c r="H264" s="15" t="str">
        <f t="shared" si="19"/>
        <v>insert into ins_premium_det (premium_rcv_code,assorted_code, rec_amount,premium_rcv_detail_code,remaining_amt, payrec, mode_code,coinsurance_code,class_cd,it_remarks) values('30Sep240040','070000164418','21280',(select max(to_number(i.premium_rcv_detail_code))+1
from ins_premium_det i),'21280','21280','02', '11000003','00','Request by Mr. Saqib Saleem 30-Sep-2024 allocation 30Sep240040');</v>
      </c>
    </row>
    <row r="265" spans="1:8" ht="90" x14ac:dyDescent="0.25">
      <c r="A265" s="9" t="s">
        <v>3491</v>
      </c>
      <c r="B265" s="11" t="s">
        <v>4675</v>
      </c>
      <c r="C265" s="16">
        <v>24000</v>
      </c>
      <c r="D265" s="12">
        <f t="shared" si="17"/>
        <v>24000</v>
      </c>
      <c r="E265" s="18" t="s">
        <v>4411</v>
      </c>
      <c r="F265" s="13" t="str">
        <f t="shared" si="16"/>
        <v>insert into ins_premium_det (premium_rcv_code,assorted_code, rec_amount,premium_rcv_detail_code,remaining_amt, payrec, mode_code,coinsurance_code,class_cd,it_remarks) values</v>
      </c>
      <c r="G265" s="14" t="str">
        <f t="shared" si="18"/>
        <v>('30Sep240040','070000164420','24000',(select max(to_number(i.premium_rcv_detail_code))+1
from ins_premium_det i),'24000','24000','02', '11000003','00','Request by Mr. Saqib Saleem 30-Sep-2024 allocation 30Sep240040');</v>
      </c>
      <c r="H265" s="15" t="str">
        <f t="shared" si="19"/>
        <v>insert into ins_premium_det (premium_rcv_code,assorted_code, rec_amount,premium_rcv_detail_code,remaining_amt, payrec, mode_code,coinsurance_code,class_cd,it_remarks) values('30Sep240040','070000164420','24000',(select max(to_number(i.premium_rcv_detail_code))+1
from ins_premium_det i),'24000','24000','02', '11000003','00','Request by Mr. Saqib Saleem 30-Sep-2024 allocation 30Sep240040');</v>
      </c>
    </row>
    <row r="266" spans="1:8" ht="90" x14ac:dyDescent="0.25">
      <c r="A266" s="10" t="s">
        <v>3504</v>
      </c>
      <c r="B266" s="11" t="s">
        <v>4676</v>
      </c>
      <c r="C266" s="17">
        <v>45581</v>
      </c>
      <c r="D266" s="12">
        <f t="shared" si="17"/>
        <v>45581</v>
      </c>
      <c r="E266" s="18" t="s">
        <v>4411</v>
      </c>
      <c r="F266" s="13" t="str">
        <f t="shared" si="16"/>
        <v>insert into ins_premium_det (premium_rcv_code,assorted_code, rec_amount,premium_rcv_detail_code,remaining_amt, payrec, mode_code,coinsurance_code,class_cd,it_remarks) values</v>
      </c>
      <c r="G266" s="14" t="str">
        <f t="shared" si="18"/>
        <v>('30Sep240040','070000164427','45581',(select max(to_number(i.premium_rcv_detail_code))+1
from ins_premium_det i),'45581','45581','02', '11000003','00','Request by Mr. Saqib Saleem 30-Sep-2024 allocation 30Sep240040');</v>
      </c>
      <c r="H266" s="15" t="str">
        <f t="shared" si="19"/>
        <v>insert into ins_premium_det (premium_rcv_code,assorted_code, rec_amount,premium_rcv_detail_code,remaining_amt, payrec, mode_code,coinsurance_code,class_cd,it_remarks) values('30Sep240040','070000164427','45581',(select max(to_number(i.premium_rcv_detail_code))+1
from ins_premium_det i),'45581','45581','02', '11000003','00','Request by Mr. Saqib Saleem 30-Sep-2024 allocation 30Sep240040');</v>
      </c>
    </row>
    <row r="267" spans="1:8" ht="90" x14ac:dyDescent="0.25">
      <c r="A267" s="9" t="s">
        <v>3515</v>
      </c>
      <c r="B267" s="11" t="s">
        <v>4677</v>
      </c>
      <c r="C267" s="16">
        <v>50873</v>
      </c>
      <c r="D267" s="12">
        <f t="shared" si="17"/>
        <v>50873</v>
      </c>
      <c r="E267" s="18" t="s">
        <v>4411</v>
      </c>
      <c r="F267" s="13" t="str">
        <f t="shared" si="16"/>
        <v>insert into ins_premium_det (premium_rcv_code,assorted_code, rec_amount,premium_rcv_detail_code,remaining_amt, payrec, mode_code,coinsurance_code,class_cd,it_remarks) values</v>
      </c>
      <c r="G267" s="14" t="str">
        <f t="shared" si="18"/>
        <v>('30Sep240040','070000164520','50873',(select max(to_number(i.premium_rcv_detail_code))+1
from ins_premium_det i),'50873','50873','02', '11000003','00','Request by Mr. Saqib Saleem 30-Sep-2024 allocation 30Sep240040');</v>
      </c>
      <c r="H267" s="15" t="str">
        <f t="shared" si="19"/>
        <v>insert into ins_premium_det (premium_rcv_code,assorted_code, rec_amount,premium_rcv_detail_code,remaining_amt, payrec, mode_code,coinsurance_code,class_cd,it_remarks) values('30Sep240040','070000164520','50873',(select max(to_number(i.premium_rcv_detail_code))+1
from ins_premium_det i),'50873','50873','02', '11000003','00','Request by Mr. Saqib Saleem 30-Sep-2024 allocation 30Sep240040');</v>
      </c>
    </row>
    <row r="268" spans="1:8" ht="90" x14ac:dyDescent="0.25">
      <c r="A268" s="10" t="s">
        <v>3526</v>
      </c>
      <c r="B268" s="11" t="s">
        <v>4678</v>
      </c>
      <c r="C268" s="17">
        <v>29325</v>
      </c>
      <c r="D268" s="12">
        <f t="shared" si="17"/>
        <v>29325</v>
      </c>
      <c r="E268" s="18" t="s">
        <v>4411</v>
      </c>
      <c r="F268" s="13" t="str">
        <f t="shared" si="16"/>
        <v>insert into ins_premium_det (premium_rcv_code,assorted_code, rec_amount,premium_rcv_detail_code,remaining_amt, payrec, mode_code,coinsurance_code,class_cd,it_remarks) values</v>
      </c>
      <c r="G268" s="14" t="str">
        <f t="shared" si="18"/>
        <v>('30Sep240040','070000164517','29325',(select max(to_number(i.premium_rcv_detail_code))+1
from ins_premium_det i),'29325','29325','02', '11000003','00','Request by Mr. Saqib Saleem 30-Sep-2024 allocation 30Sep240040');</v>
      </c>
      <c r="H268" s="15" t="str">
        <f t="shared" si="19"/>
        <v>insert into ins_premium_det (premium_rcv_code,assorted_code, rec_amount,premium_rcv_detail_code,remaining_amt, payrec, mode_code,coinsurance_code,class_cd,it_remarks) values('30Sep240040','070000164517','29325',(select max(to_number(i.premium_rcv_detail_code))+1
from ins_premium_det i),'29325','29325','02', '11000003','00','Request by Mr. Saqib Saleem 30-Sep-2024 allocation 30Sep240040');</v>
      </c>
    </row>
    <row r="269" spans="1:8" ht="90" x14ac:dyDescent="0.25">
      <c r="A269" s="9" t="s">
        <v>3539</v>
      </c>
      <c r="B269" s="11" t="s">
        <v>4679</v>
      </c>
      <c r="C269" s="16">
        <v>18384</v>
      </c>
      <c r="D269" s="12">
        <f t="shared" si="17"/>
        <v>18384</v>
      </c>
      <c r="E269" s="18" t="s">
        <v>4411</v>
      </c>
      <c r="F269" s="13" t="str">
        <f t="shared" si="16"/>
        <v>insert into ins_premium_det (premium_rcv_code,assorted_code, rec_amount,premium_rcv_detail_code,remaining_amt, payrec, mode_code,coinsurance_code,class_cd,it_remarks) values</v>
      </c>
      <c r="G269" s="14" t="str">
        <f t="shared" si="18"/>
        <v>('30Sep240040','070000164429','18384',(select max(to_number(i.premium_rcv_detail_code))+1
from ins_premium_det i),'18384','18384','02', '11000003','00','Request by Mr. Saqib Saleem 30-Sep-2024 allocation 30Sep240040');</v>
      </c>
      <c r="H269" s="15" t="str">
        <f t="shared" si="19"/>
        <v>insert into ins_premium_det (premium_rcv_code,assorted_code, rec_amount,premium_rcv_detail_code,remaining_amt, payrec, mode_code,coinsurance_code,class_cd,it_remarks) values('30Sep240040','070000164429','18384',(select max(to_number(i.premium_rcv_detail_code))+1
from ins_premium_det i),'18384','18384','02', '11000003','00','Request by Mr. Saqib Saleem 30-Sep-2024 allocation 30Sep240040');</v>
      </c>
    </row>
    <row r="270" spans="1:8" ht="90" x14ac:dyDescent="0.25">
      <c r="A270" s="10" t="s">
        <v>3552</v>
      </c>
      <c r="B270" s="11" t="s">
        <v>4680</v>
      </c>
      <c r="C270" s="17">
        <v>46226</v>
      </c>
      <c r="D270" s="12">
        <f t="shared" si="17"/>
        <v>46226</v>
      </c>
      <c r="E270" s="18" t="s">
        <v>4411</v>
      </c>
      <c r="F270" s="13" t="str">
        <f t="shared" si="16"/>
        <v>insert into ins_premium_det (premium_rcv_code,assorted_code, rec_amount,premium_rcv_detail_code,remaining_amt, payrec, mode_code,coinsurance_code,class_cd,it_remarks) values</v>
      </c>
      <c r="G270" s="14" t="str">
        <f t="shared" si="18"/>
        <v>('30Sep240040','070000164431','46226',(select max(to_number(i.premium_rcv_detail_code))+1
from ins_premium_det i),'46226','46226','02', '11000003','00','Request by Mr. Saqib Saleem 30-Sep-2024 allocation 30Sep240040');</v>
      </c>
      <c r="H270" s="15" t="str">
        <f t="shared" si="19"/>
        <v>insert into ins_premium_det (premium_rcv_code,assorted_code, rec_amount,premium_rcv_detail_code,remaining_amt, payrec, mode_code,coinsurance_code,class_cd,it_remarks) values('30Sep240040','070000164431','46226',(select max(to_number(i.premium_rcv_detail_code))+1
from ins_premium_det i),'46226','46226','02', '11000003','00','Request by Mr. Saqib Saleem 30-Sep-2024 allocation 30Sep240040');</v>
      </c>
    </row>
    <row r="271" spans="1:8" ht="90" x14ac:dyDescent="0.25">
      <c r="A271" s="9" t="s">
        <v>3562</v>
      </c>
      <c r="B271" s="11" t="s">
        <v>4681</v>
      </c>
      <c r="C271" s="16">
        <v>41139</v>
      </c>
      <c r="D271" s="12">
        <f t="shared" si="17"/>
        <v>41139</v>
      </c>
      <c r="E271" s="18" t="s">
        <v>4411</v>
      </c>
      <c r="F271" s="13" t="str">
        <f t="shared" si="16"/>
        <v>insert into ins_premium_det (premium_rcv_code,assorted_code, rec_amount,premium_rcv_detail_code,remaining_amt, payrec, mode_code,coinsurance_code,class_cd,it_remarks) values</v>
      </c>
      <c r="G271" s="14" t="str">
        <f t="shared" si="18"/>
        <v>('30Sep240040','070000164432','41139',(select max(to_number(i.premium_rcv_detail_code))+1
from ins_premium_det i),'41139','41139','02', '11000003','00','Request by Mr. Saqib Saleem 30-Sep-2024 allocation 30Sep240040');</v>
      </c>
      <c r="H271" s="15" t="str">
        <f t="shared" si="19"/>
        <v>insert into ins_premium_det (premium_rcv_code,assorted_code, rec_amount,premium_rcv_detail_code,remaining_amt, payrec, mode_code,coinsurance_code,class_cd,it_remarks) values('30Sep240040','070000164432','41139',(select max(to_number(i.premium_rcv_detail_code))+1
from ins_premium_det i),'41139','41139','02', '11000003','00','Request by Mr. Saqib Saleem 30-Sep-2024 allocation 30Sep240040');</v>
      </c>
    </row>
    <row r="272" spans="1:8" ht="90" x14ac:dyDescent="0.25">
      <c r="A272" s="10" t="s">
        <v>3572</v>
      </c>
      <c r="B272" s="11" t="s">
        <v>4682</v>
      </c>
      <c r="C272" s="17">
        <v>40966</v>
      </c>
      <c r="D272" s="12">
        <f t="shared" si="17"/>
        <v>40966</v>
      </c>
      <c r="E272" s="18" t="s">
        <v>4411</v>
      </c>
      <c r="F272" s="13" t="str">
        <f t="shared" si="16"/>
        <v>insert into ins_premium_det (premium_rcv_code,assorted_code, rec_amount,premium_rcv_detail_code,remaining_amt, payrec, mode_code,coinsurance_code,class_cd,it_remarks) values</v>
      </c>
      <c r="G272" s="14" t="str">
        <f t="shared" si="18"/>
        <v>('30Sep240040','070000164433','40966',(select max(to_number(i.premium_rcv_detail_code))+1
from ins_premium_det i),'40966','40966','02', '11000003','00','Request by Mr. Saqib Saleem 30-Sep-2024 allocation 30Sep240040');</v>
      </c>
      <c r="H272" s="15" t="str">
        <f t="shared" si="19"/>
        <v>insert into ins_premium_det (premium_rcv_code,assorted_code, rec_amount,premium_rcv_detail_code,remaining_amt, payrec, mode_code,coinsurance_code,class_cd,it_remarks) values('30Sep240040','070000164433','40966',(select max(to_number(i.premium_rcv_detail_code))+1
from ins_premium_det i),'40966','40966','02', '11000003','00','Request by Mr. Saqib Saleem 30-Sep-2024 allocation 30Sep240040');</v>
      </c>
    </row>
    <row r="273" spans="1:8" ht="90" x14ac:dyDescent="0.25">
      <c r="A273" s="9" t="s">
        <v>3584</v>
      </c>
      <c r="B273" s="11" t="s">
        <v>4683</v>
      </c>
      <c r="C273" s="16">
        <v>32513</v>
      </c>
      <c r="D273" s="12">
        <f t="shared" si="17"/>
        <v>32513</v>
      </c>
      <c r="E273" s="18" t="s">
        <v>4411</v>
      </c>
      <c r="F273" s="13" t="str">
        <f t="shared" si="16"/>
        <v>insert into ins_premium_det (premium_rcv_code,assorted_code, rec_amount,premium_rcv_detail_code,remaining_amt, payrec, mode_code,coinsurance_code,class_cd,it_remarks) values</v>
      </c>
      <c r="G273" s="14" t="str">
        <f t="shared" si="18"/>
        <v>('30Sep240040','070000164516','32513',(select max(to_number(i.premium_rcv_detail_code))+1
from ins_premium_det i),'32513','32513','02', '11000003','00','Request by Mr. Saqib Saleem 30-Sep-2024 allocation 30Sep240040');</v>
      </c>
      <c r="H273" s="15" t="str">
        <f t="shared" si="19"/>
        <v>insert into ins_premium_det (premium_rcv_code,assorted_code, rec_amount,premium_rcv_detail_code,remaining_amt, payrec, mode_code,coinsurance_code,class_cd,it_remarks) values('30Sep240040','070000164516','32513',(select max(to_number(i.premium_rcv_detail_code))+1
from ins_premium_det i),'32513','32513','02', '11000003','00','Request by Mr. Saqib Saleem 30-Sep-2024 allocation 30Sep240040');</v>
      </c>
    </row>
    <row r="274" spans="1:8" ht="90" x14ac:dyDescent="0.25">
      <c r="A274" s="10" t="s">
        <v>3596</v>
      </c>
      <c r="B274" s="11" t="s">
        <v>4684</v>
      </c>
      <c r="C274" s="17">
        <v>99586</v>
      </c>
      <c r="D274" s="12">
        <f t="shared" si="17"/>
        <v>99586</v>
      </c>
      <c r="E274" s="18" t="s">
        <v>4411</v>
      </c>
      <c r="F274" s="13" t="str">
        <f t="shared" si="16"/>
        <v>insert into ins_premium_det (premium_rcv_code,assorted_code, rec_amount,premium_rcv_detail_code,remaining_amt, payrec, mode_code,coinsurance_code,class_cd,it_remarks) values</v>
      </c>
      <c r="G274" s="14" t="str">
        <f t="shared" si="18"/>
        <v>('30Sep240040','070000164435','99586',(select max(to_number(i.premium_rcv_detail_code))+1
from ins_premium_det i),'99586','99586','02', '11000003','00','Request by Mr. Saqib Saleem 30-Sep-2024 allocation 30Sep240040');</v>
      </c>
      <c r="H274" s="15" t="str">
        <f t="shared" si="19"/>
        <v>insert into ins_premium_det (premium_rcv_code,assorted_code, rec_amount,premium_rcv_detail_code,remaining_amt, payrec, mode_code,coinsurance_code,class_cd,it_remarks) values('30Sep240040','070000164435','99586',(select max(to_number(i.premium_rcv_detail_code))+1
from ins_premium_det i),'99586','99586','02', '11000003','00','Request by Mr. Saqib Saleem 30-Sep-2024 allocation 30Sep240040');</v>
      </c>
    </row>
    <row r="275" spans="1:8" ht="90" x14ac:dyDescent="0.25">
      <c r="A275" s="9" t="s">
        <v>3606</v>
      </c>
      <c r="B275" s="11" t="s">
        <v>4685</v>
      </c>
      <c r="C275" s="16">
        <v>98396</v>
      </c>
      <c r="D275" s="12">
        <f t="shared" si="17"/>
        <v>98396</v>
      </c>
      <c r="E275" s="18" t="s">
        <v>4411</v>
      </c>
      <c r="F275" s="13" t="str">
        <f t="shared" si="16"/>
        <v>insert into ins_premium_det (premium_rcv_code,assorted_code, rec_amount,premium_rcv_detail_code,remaining_amt, payrec, mode_code,coinsurance_code,class_cd,it_remarks) values</v>
      </c>
      <c r="G275" s="14" t="str">
        <f t="shared" si="18"/>
        <v>('30Sep240040','070000164514','98396',(select max(to_number(i.premium_rcv_detail_code))+1
from ins_premium_det i),'98396','98396','02', '11000003','00','Request by Mr. Saqib Saleem 30-Sep-2024 allocation 30Sep240040');</v>
      </c>
      <c r="H275" s="15" t="str">
        <f t="shared" si="19"/>
        <v>insert into ins_premium_det (premium_rcv_code,assorted_code, rec_amount,premium_rcv_detail_code,remaining_amt, payrec, mode_code,coinsurance_code,class_cd,it_remarks) values('30Sep240040','070000164514','98396',(select max(to_number(i.premium_rcv_detail_code))+1
from ins_premium_det i),'98396','98396','02', '11000003','00','Request by Mr. Saqib Saleem 30-Sep-2024 allocation 30Sep240040');</v>
      </c>
    </row>
    <row r="276" spans="1:8" ht="90" x14ac:dyDescent="0.25">
      <c r="A276" s="10" t="s">
        <v>3617</v>
      </c>
      <c r="B276" s="11" t="s">
        <v>4686</v>
      </c>
      <c r="C276" s="17">
        <v>35998</v>
      </c>
      <c r="D276" s="12">
        <f t="shared" si="17"/>
        <v>35998</v>
      </c>
      <c r="E276" s="18" t="s">
        <v>4411</v>
      </c>
      <c r="F276" s="13" t="str">
        <f t="shared" si="16"/>
        <v>insert into ins_premium_det (premium_rcv_code,assorted_code, rec_amount,premium_rcv_detail_code,remaining_amt, payrec, mode_code,coinsurance_code,class_cd,it_remarks) values</v>
      </c>
      <c r="G276" s="14" t="str">
        <f t="shared" si="18"/>
        <v>('30Sep240040','070000164436','35998',(select max(to_number(i.premium_rcv_detail_code))+1
from ins_premium_det i),'35998','35998','02', '11000003','00','Request by Mr. Saqib Saleem 30-Sep-2024 allocation 30Sep240040');</v>
      </c>
      <c r="H276" s="15" t="str">
        <f t="shared" si="19"/>
        <v>insert into ins_premium_det (premium_rcv_code,assorted_code, rec_amount,premium_rcv_detail_code,remaining_amt, payrec, mode_code,coinsurance_code,class_cd,it_remarks) values('30Sep240040','070000164436','35998',(select max(to_number(i.premium_rcv_detail_code))+1
from ins_premium_det i),'35998','35998','02', '11000003','00','Request by Mr. Saqib Saleem 30-Sep-2024 allocation 30Sep240040');</v>
      </c>
    </row>
    <row r="277" spans="1:8" ht="105" x14ac:dyDescent="0.25">
      <c r="A277" s="9" t="s">
        <v>3629</v>
      </c>
      <c r="B277" s="11" t="s">
        <v>4687</v>
      </c>
      <c r="C277" s="16">
        <v>128338</v>
      </c>
      <c r="D277" s="12">
        <f t="shared" si="17"/>
        <v>128338</v>
      </c>
      <c r="E277" s="18" t="s">
        <v>4411</v>
      </c>
      <c r="F277" s="13" t="str">
        <f t="shared" si="16"/>
        <v>insert into ins_premium_det (premium_rcv_code,assorted_code, rec_amount,premium_rcv_detail_code,remaining_amt, payrec, mode_code,coinsurance_code,class_cd,it_remarks) values</v>
      </c>
      <c r="G277" s="14" t="str">
        <f t="shared" si="18"/>
        <v>('30Sep240040','070000164437','128338',(select max(to_number(i.premium_rcv_detail_code))+1
from ins_premium_det i),'128338','128338','02', '11000003','00','Request by Mr. Saqib Saleem 30-Sep-2024 allocation 30Sep240040');</v>
      </c>
      <c r="H277" s="15" t="str">
        <f t="shared" si="19"/>
        <v>insert into ins_premium_det (premium_rcv_code,assorted_code, rec_amount,premium_rcv_detail_code,remaining_amt, payrec, mode_code,coinsurance_code,class_cd,it_remarks) values('30Sep240040','070000164437','128338',(select max(to_number(i.premium_rcv_detail_code))+1
from ins_premium_det i),'128338','128338','02', '11000003','00','Request by Mr. Saqib Saleem 30-Sep-2024 allocation 30Sep240040');</v>
      </c>
    </row>
    <row r="278" spans="1:8" ht="105" x14ac:dyDescent="0.25">
      <c r="A278" s="10" t="s">
        <v>3643</v>
      </c>
      <c r="B278" s="11" t="s">
        <v>4688</v>
      </c>
      <c r="C278" s="17">
        <v>101268</v>
      </c>
      <c r="D278" s="12">
        <f t="shared" si="17"/>
        <v>101268</v>
      </c>
      <c r="E278" s="18" t="s">
        <v>4411</v>
      </c>
      <c r="F278" s="13" t="str">
        <f t="shared" si="16"/>
        <v>insert into ins_premium_det (premium_rcv_code,assorted_code, rec_amount,premium_rcv_detail_code,remaining_amt, payrec, mode_code,coinsurance_code,class_cd,it_remarks) values</v>
      </c>
      <c r="G278" s="14" t="str">
        <f t="shared" si="18"/>
        <v>('30Sep240040','070000164439','101268',(select max(to_number(i.premium_rcv_detail_code))+1
from ins_premium_det i),'101268','101268','02', '11000003','00','Request by Mr. Saqib Saleem 30-Sep-2024 allocation 30Sep240040');</v>
      </c>
      <c r="H278" s="15" t="str">
        <f t="shared" si="19"/>
        <v>insert into ins_premium_det (premium_rcv_code,assorted_code, rec_amount,premium_rcv_detail_code,remaining_amt, payrec, mode_code,coinsurance_code,class_cd,it_remarks) values('30Sep240040','070000164439','101268',(select max(to_number(i.premium_rcv_detail_code))+1
from ins_premium_det i),'101268','101268','02', '11000003','00','Request by Mr. Saqib Saleem 30-Sep-2024 allocation 30Sep240040');</v>
      </c>
    </row>
    <row r="279" spans="1:8" ht="90" x14ac:dyDescent="0.25">
      <c r="A279" s="9" t="s">
        <v>3656</v>
      </c>
      <c r="B279" s="11" t="s">
        <v>4689</v>
      </c>
      <c r="C279" s="16">
        <v>76286</v>
      </c>
      <c r="D279" s="12">
        <f t="shared" si="17"/>
        <v>76286</v>
      </c>
      <c r="E279" s="18" t="s">
        <v>4411</v>
      </c>
      <c r="F279" s="13" t="str">
        <f t="shared" si="16"/>
        <v>insert into ins_premium_det (premium_rcv_code,assorted_code, rec_amount,premium_rcv_detail_code,remaining_amt, payrec, mode_code,coinsurance_code,class_cd,it_remarks) values</v>
      </c>
      <c r="G279" s="14" t="str">
        <f t="shared" si="18"/>
        <v>('30Sep240040','070000164440','76286',(select max(to_number(i.premium_rcv_detail_code))+1
from ins_premium_det i),'76286','76286','02', '11000003','00','Request by Mr. Saqib Saleem 30-Sep-2024 allocation 30Sep240040');</v>
      </c>
      <c r="H279" s="15" t="str">
        <f t="shared" si="19"/>
        <v>insert into ins_premium_det (premium_rcv_code,assorted_code, rec_amount,premium_rcv_detail_code,remaining_amt, payrec, mode_code,coinsurance_code,class_cd,it_remarks) values('30Sep240040','070000164440','76286',(select max(to_number(i.premium_rcv_detail_code))+1
from ins_premium_det i),'76286','76286','02', '11000003','00','Request by Mr. Saqib Saleem 30-Sep-2024 allocation 30Sep240040');</v>
      </c>
    </row>
    <row r="280" spans="1:8" ht="90" x14ac:dyDescent="0.25">
      <c r="A280" s="10" t="s">
        <v>3667</v>
      </c>
      <c r="B280" s="11" t="s">
        <v>4690</v>
      </c>
      <c r="C280" s="17">
        <v>66948</v>
      </c>
      <c r="D280" s="12">
        <f t="shared" si="17"/>
        <v>66948</v>
      </c>
      <c r="E280" s="18" t="s">
        <v>4411</v>
      </c>
      <c r="F280" s="13" t="str">
        <f t="shared" si="16"/>
        <v>insert into ins_premium_det (premium_rcv_code,assorted_code, rec_amount,premium_rcv_detail_code,remaining_amt, payrec, mode_code,coinsurance_code,class_cd,it_remarks) values</v>
      </c>
      <c r="G280" s="14" t="str">
        <f t="shared" si="18"/>
        <v>('30Sep240040','070000164441','66948',(select max(to_number(i.premium_rcv_detail_code))+1
from ins_premium_det i),'66948','66948','02', '11000003','00','Request by Mr. Saqib Saleem 30-Sep-2024 allocation 30Sep240040');</v>
      </c>
      <c r="H280" s="15" t="str">
        <f t="shared" si="19"/>
        <v>insert into ins_premium_det (premium_rcv_code,assorted_code, rec_amount,premium_rcv_detail_code,remaining_amt, payrec, mode_code,coinsurance_code,class_cd,it_remarks) values('30Sep240040','070000164441','66948',(select max(to_number(i.premium_rcv_detail_code))+1
from ins_premium_det i),'66948','66948','02', '11000003','00','Request by Mr. Saqib Saleem 30-Sep-2024 allocation 30Sep240040');</v>
      </c>
    </row>
    <row r="281" spans="1:8" ht="90" x14ac:dyDescent="0.25">
      <c r="A281" s="9" t="s">
        <v>3679</v>
      </c>
      <c r="B281" s="11" t="s">
        <v>4691</v>
      </c>
      <c r="C281" s="16">
        <v>21360</v>
      </c>
      <c r="D281" s="12">
        <f t="shared" si="17"/>
        <v>21360</v>
      </c>
      <c r="E281" s="18" t="s">
        <v>4411</v>
      </c>
      <c r="F281" s="13" t="str">
        <f t="shared" si="16"/>
        <v>insert into ins_premium_det (premium_rcv_code,assorted_code, rec_amount,premium_rcv_detail_code,remaining_amt, payrec, mode_code,coinsurance_code,class_cd,it_remarks) values</v>
      </c>
      <c r="G281" s="14" t="str">
        <f t="shared" si="18"/>
        <v>('30Sep240040','070000164513','21360',(select max(to_number(i.premium_rcv_detail_code))+1
from ins_premium_det i),'21360','21360','02', '11000003','00','Request by Mr. Saqib Saleem 30-Sep-2024 allocation 30Sep240040');</v>
      </c>
      <c r="H281" s="15" t="str">
        <f t="shared" si="19"/>
        <v>insert into ins_premium_det (premium_rcv_code,assorted_code, rec_amount,premium_rcv_detail_code,remaining_amt, payrec, mode_code,coinsurance_code,class_cd,it_remarks) values('30Sep240040','070000164513','21360',(select max(to_number(i.premium_rcv_detail_code))+1
from ins_premium_det i),'21360','21360','02', '11000003','00','Request by Mr. Saqib Saleem 30-Sep-2024 allocation 30Sep240040');</v>
      </c>
    </row>
    <row r="282" spans="1:8" ht="90" x14ac:dyDescent="0.25">
      <c r="A282" s="10" t="s">
        <v>3692</v>
      </c>
      <c r="B282" s="11" t="s">
        <v>4692</v>
      </c>
      <c r="C282" s="17">
        <v>43200</v>
      </c>
      <c r="D282" s="12">
        <f t="shared" si="17"/>
        <v>43200</v>
      </c>
      <c r="E282" s="18" t="s">
        <v>4411</v>
      </c>
      <c r="F282" s="13" t="str">
        <f t="shared" si="16"/>
        <v>insert into ins_premium_det (premium_rcv_code,assorted_code, rec_amount,premium_rcv_detail_code,remaining_amt, payrec, mode_code,coinsurance_code,class_cd,it_remarks) values</v>
      </c>
      <c r="G282" s="14" t="str">
        <f t="shared" si="18"/>
        <v>('30Sep240040','070000164511','43200',(select max(to_number(i.premium_rcv_detail_code))+1
from ins_premium_det i),'43200','43200','02', '11000003','00','Request by Mr. Saqib Saleem 30-Sep-2024 allocation 30Sep240040');</v>
      </c>
      <c r="H282" s="15" t="str">
        <f t="shared" si="19"/>
        <v>insert into ins_premium_det (premium_rcv_code,assorted_code, rec_amount,premium_rcv_detail_code,remaining_amt, payrec, mode_code,coinsurance_code,class_cd,it_remarks) values('30Sep240040','070000164511','43200',(select max(to_number(i.premium_rcv_detail_code))+1
from ins_premium_det i),'43200','43200','02', '11000003','00','Request by Mr. Saqib Saleem 30-Sep-2024 allocation 30Sep240040');</v>
      </c>
    </row>
    <row r="283" spans="1:8" ht="90" x14ac:dyDescent="0.25">
      <c r="A283" s="9" t="s">
        <v>3703</v>
      </c>
      <c r="B283" s="11" t="s">
        <v>4693</v>
      </c>
      <c r="C283" s="16">
        <v>40784</v>
      </c>
      <c r="D283" s="12">
        <f t="shared" si="17"/>
        <v>40784</v>
      </c>
      <c r="E283" s="18" t="s">
        <v>4411</v>
      </c>
      <c r="F283" s="13" t="str">
        <f t="shared" si="16"/>
        <v>insert into ins_premium_det (premium_rcv_code,assorted_code, rec_amount,premium_rcv_detail_code,remaining_amt, payrec, mode_code,coinsurance_code,class_cd,it_remarks) values</v>
      </c>
      <c r="G283" s="14" t="str">
        <f t="shared" si="18"/>
        <v>('30Sep240040','070000164507','40784',(select max(to_number(i.premium_rcv_detail_code))+1
from ins_premium_det i),'40784','40784','02', '11000003','00','Request by Mr. Saqib Saleem 30-Sep-2024 allocation 30Sep240040');</v>
      </c>
      <c r="H283" s="15" t="str">
        <f t="shared" si="19"/>
        <v>insert into ins_premium_det (premium_rcv_code,assorted_code, rec_amount,premium_rcv_detail_code,remaining_amt, payrec, mode_code,coinsurance_code,class_cd,it_remarks) values('30Sep240040','070000164507','40784',(select max(to_number(i.premium_rcv_detail_code))+1
from ins_premium_det i),'40784','40784','02', '11000003','00','Request by Mr. Saqib Saleem 30-Sep-2024 allocation 30Sep240040');</v>
      </c>
    </row>
    <row r="284" spans="1:8" ht="90" x14ac:dyDescent="0.25">
      <c r="A284" s="10" t="s">
        <v>3714</v>
      </c>
      <c r="B284" s="11" t="s">
        <v>4694</v>
      </c>
      <c r="C284" s="17">
        <v>66948</v>
      </c>
      <c r="D284" s="12">
        <f t="shared" si="17"/>
        <v>66948</v>
      </c>
      <c r="E284" s="18" t="s">
        <v>4411</v>
      </c>
      <c r="F284" s="13" t="str">
        <f t="shared" si="16"/>
        <v>insert into ins_premium_det (premium_rcv_code,assorted_code, rec_amount,premium_rcv_detail_code,remaining_amt, payrec, mode_code,coinsurance_code,class_cd,it_remarks) values</v>
      </c>
      <c r="G284" s="14" t="str">
        <f t="shared" si="18"/>
        <v>('30Sep240040','070000164442','66948',(select max(to_number(i.premium_rcv_detail_code))+1
from ins_premium_det i),'66948','66948','02', '11000003','00','Request by Mr. Saqib Saleem 30-Sep-2024 allocation 30Sep240040');</v>
      </c>
      <c r="H284" s="15" t="str">
        <f t="shared" si="19"/>
        <v>insert into ins_premium_det (premium_rcv_code,assorted_code, rec_amount,premium_rcv_detail_code,remaining_amt, payrec, mode_code,coinsurance_code,class_cd,it_remarks) values('30Sep240040','070000164442','66948',(select max(to_number(i.premium_rcv_detail_code))+1
from ins_premium_det i),'66948','66948','02', '11000003','00','Request by Mr. Saqib Saleem 30-Sep-2024 allocation 30Sep240040');</v>
      </c>
    </row>
    <row r="285" spans="1:8" ht="90" x14ac:dyDescent="0.25">
      <c r="A285" s="9" t="s">
        <v>3729</v>
      </c>
      <c r="B285" s="11" t="s">
        <v>4695</v>
      </c>
      <c r="C285" s="16">
        <v>61020</v>
      </c>
      <c r="D285" s="12">
        <f t="shared" si="17"/>
        <v>61020</v>
      </c>
      <c r="E285" s="18" t="s">
        <v>4411</v>
      </c>
      <c r="F285" s="13" t="str">
        <f t="shared" si="16"/>
        <v>insert into ins_premium_det (premium_rcv_code,assorted_code, rec_amount,premium_rcv_detail_code,remaining_amt, payrec, mode_code,coinsurance_code,class_cd,it_remarks) values</v>
      </c>
      <c r="G285" s="14" t="str">
        <f t="shared" si="18"/>
        <v>('30Sep240040','070000164506','61020',(select max(to_number(i.premium_rcv_detail_code))+1
from ins_premium_det i),'61020','61020','02', '11000003','00','Request by Mr. Saqib Saleem 30-Sep-2024 allocation 30Sep240040');</v>
      </c>
      <c r="H285" s="15" t="str">
        <f t="shared" si="19"/>
        <v>insert into ins_premium_det (premium_rcv_code,assorted_code, rec_amount,premium_rcv_detail_code,remaining_amt, payrec, mode_code,coinsurance_code,class_cd,it_remarks) values('30Sep240040','070000164506','61020',(select max(to_number(i.premium_rcv_detail_code))+1
from ins_premium_det i),'61020','61020','02', '11000003','00','Request by Mr. Saqib Saleem 30-Sep-2024 allocation 30Sep240040');</v>
      </c>
    </row>
    <row r="286" spans="1:8" ht="90" x14ac:dyDescent="0.25">
      <c r="A286" s="10" t="s">
        <v>3740</v>
      </c>
      <c r="B286" s="11" t="s">
        <v>4696</v>
      </c>
      <c r="C286" s="17">
        <v>66032</v>
      </c>
      <c r="D286" s="12">
        <f t="shared" si="17"/>
        <v>66032</v>
      </c>
      <c r="E286" s="18" t="s">
        <v>4411</v>
      </c>
      <c r="F286" s="13" t="str">
        <f t="shared" si="16"/>
        <v>insert into ins_premium_det (premium_rcv_code,assorted_code, rec_amount,premium_rcv_detail_code,remaining_amt, payrec, mode_code,coinsurance_code,class_cd,it_remarks) values</v>
      </c>
      <c r="G286" s="14" t="str">
        <f t="shared" si="18"/>
        <v>('30Sep240040','070000164444','66032',(select max(to_number(i.premium_rcv_detail_code))+1
from ins_premium_det i),'66032','66032','02', '11000003','00','Request by Mr. Saqib Saleem 30-Sep-2024 allocation 30Sep240040');</v>
      </c>
      <c r="H286" s="15" t="str">
        <f t="shared" si="19"/>
        <v>insert into ins_premium_det (premium_rcv_code,assorted_code, rec_amount,premium_rcv_detail_code,remaining_amt, payrec, mode_code,coinsurance_code,class_cd,it_remarks) values('30Sep240040','070000164444','66032',(select max(to_number(i.premium_rcv_detail_code))+1
from ins_premium_det i),'66032','66032','02', '11000003','00','Request by Mr. Saqib Saleem 30-Sep-2024 allocation 30Sep240040');</v>
      </c>
    </row>
    <row r="287" spans="1:8" ht="90" x14ac:dyDescent="0.25">
      <c r="A287" s="9" t="s">
        <v>3750</v>
      </c>
      <c r="B287" s="11" t="s">
        <v>4697</v>
      </c>
      <c r="C287" s="16">
        <v>89584</v>
      </c>
      <c r="D287" s="12">
        <f t="shared" si="17"/>
        <v>89584</v>
      </c>
      <c r="E287" s="18" t="s">
        <v>4411</v>
      </c>
      <c r="F287" s="13" t="str">
        <f t="shared" si="16"/>
        <v>insert into ins_premium_det (premium_rcv_code,assorted_code, rec_amount,premium_rcv_detail_code,remaining_amt, payrec, mode_code,coinsurance_code,class_cd,it_remarks) values</v>
      </c>
      <c r="G287" s="14" t="str">
        <f t="shared" si="18"/>
        <v>('30Sep240040','070000164505','89584',(select max(to_number(i.premium_rcv_detail_code))+1
from ins_premium_det i),'89584','89584','02', '11000003','00','Request by Mr. Saqib Saleem 30-Sep-2024 allocation 30Sep240040');</v>
      </c>
      <c r="H287" s="15" t="str">
        <f t="shared" si="19"/>
        <v>insert into ins_premium_det (premium_rcv_code,assorted_code, rec_amount,premium_rcv_detail_code,remaining_amt, payrec, mode_code,coinsurance_code,class_cd,it_remarks) values('30Sep240040','070000164505','89584',(select max(to_number(i.premium_rcv_detail_code))+1
from ins_premium_det i),'89584','89584','02', '11000003','00','Request by Mr. Saqib Saleem 30-Sep-2024 allocation 30Sep240040');</v>
      </c>
    </row>
    <row r="288" spans="1:8" ht="90" x14ac:dyDescent="0.25">
      <c r="A288" s="10" t="s">
        <v>3763</v>
      </c>
      <c r="B288" s="11" t="s">
        <v>4698</v>
      </c>
      <c r="C288" s="17">
        <v>76286</v>
      </c>
      <c r="D288" s="12">
        <f t="shared" si="17"/>
        <v>76286</v>
      </c>
      <c r="E288" s="18" t="s">
        <v>4411</v>
      </c>
      <c r="F288" s="13" t="str">
        <f t="shared" si="16"/>
        <v>insert into ins_premium_det (premium_rcv_code,assorted_code, rec_amount,premium_rcv_detail_code,remaining_amt, payrec, mode_code,coinsurance_code,class_cd,it_remarks) values</v>
      </c>
      <c r="G288" s="14" t="str">
        <f t="shared" si="18"/>
        <v>('30Sep240040','070000164503','76286',(select max(to_number(i.premium_rcv_detail_code))+1
from ins_premium_det i),'76286','76286','02', '11000003','00','Request by Mr. Saqib Saleem 30-Sep-2024 allocation 30Sep240040');</v>
      </c>
      <c r="H288" s="15" t="str">
        <f t="shared" si="19"/>
        <v>insert into ins_premium_det (premium_rcv_code,assorted_code, rec_amount,premium_rcv_detail_code,remaining_amt, payrec, mode_code,coinsurance_code,class_cd,it_remarks) values('30Sep240040','070000164503','76286',(select max(to_number(i.premium_rcv_detail_code))+1
from ins_premium_det i),'76286','76286','02', '11000003','00','Request by Mr. Saqib Saleem 30-Sep-2024 allocation 30Sep240040');</v>
      </c>
    </row>
    <row r="289" spans="1:8" ht="90" x14ac:dyDescent="0.25">
      <c r="A289" s="9" t="s">
        <v>3775</v>
      </c>
      <c r="B289" s="11" t="s">
        <v>4699</v>
      </c>
      <c r="C289" s="16">
        <v>76286</v>
      </c>
      <c r="D289" s="12">
        <f t="shared" si="17"/>
        <v>76286</v>
      </c>
      <c r="E289" s="18" t="s">
        <v>4411</v>
      </c>
      <c r="F289" s="13" t="str">
        <f t="shared" si="16"/>
        <v>insert into ins_premium_det (premium_rcv_code,assorted_code, rec_amount,premium_rcv_detail_code,remaining_amt, payrec, mode_code,coinsurance_code,class_cd,it_remarks) values</v>
      </c>
      <c r="G289" s="14" t="str">
        <f t="shared" si="18"/>
        <v>('30Sep240040','070000164502','76286',(select max(to_number(i.premium_rcv_detail_code))+1
from ins_premium_det i),'76286','76286','02', '11000003','00','Request by Mr. Saqib Saleem 30-Sep-2024 allocation 30Sep240040');</v>
      </c>
      <c r="H289" s="15" t="str">
        <f t="shared" si="19"/>
        <v>insert into ins_premium_det (premium_rcv_code,assorted_code, rec_amount,premium_rcv_detail_code,remaining_amt, payrec, mode_code,coinsurance_code,class_cd,it_remarks) values('30Sep240040','070000164502','76286',(select max(to_number(i.premium_rcv_detail_code))+1
from ins_premium_det i),'76286','76286','02', '11000003','00','Request by Mr. Saqib Saleem 30-Sep-2024 allocation 30Sep240040');</v>
      </c>
    </row>
    <row r="290" spans="1:8" ht="90" x14ac:dyDescent="0.25">
      <c r="A290" s="10" t="s">
        <v>3791</v>
      </c>
      <c r="B290" s="11" t="s">
        <v>4700</v>
      </c>
      <c r="C290" s="17">
        <v>56119</v>
      </c>
      <c r="D290" s="12">
        <f t="shared" si="17"/>
        <v>56119</v>
      </c>
      <c r="E290" s="18" t="s">
        <v>4411</v>
      </c>
      <c r="F290" s="13" t="str">
        <f t="shared" si="16"/>
        <v>insert into ins_premium_det (premium_rcv_code,assorted_code, rec_amount,premium_rcv_detail_code,remaining_amt, payrec, mode_code,coinsurance_code,class_cd,it_remarks) values</v>
      </c>
      <c r="G290" s="14" t="str">
        <f t="shared" si="18"/>
        <v>('30Sep240040','070000164453','56119',(select max(to_number(i.premium_rcv_detail_code))+1
from ins_premium_det i),'56119','56119','02', '11000003','00','Request by Mr. Saqib Saleem 30-Sep-2024 allocation 30Sep240040');</v>
      </c>
      <c r="H290" s="15" t="str">
        <f t="shared" si="19"/>
        <v>insert into ins_premium_det (premium_rcv_code,assorted_code, rec_amount,premium_rcv_detail_code,remaining_amt, payrec, mode_code,coinsurance_code,class_cd,it_remarks) values('30Sep240040','070000164453','56119',(select max(to_number(i.premium_rcv_detail_code))+1
from ins_premium_det i),'56119','56119','02', '11000003','00','Request by Mr. Saqib Saleem 30-Sep-2024 allocation 30Sep240040');</v>
      </c>
    </row>
    <row r="291" spans="1:8" ht="105" x14ac:dyDescent="0.25">
      <c r="A291" s="9" t="s">
        <v>3802</v>
      </c>
      <c r="B291" s="11" t="s">
        <v>4701</v>
      </c>
      <c r="C291" s="16">
        <v>173376</v>
      </c>
      <c r="D291" s="12">
        <f t="shared" si="17"/>
        <v>173376</v>
      </c>
      <c r="E291" s="18" t="s">
        <v>4411</v>
      </c>
      <c r="F291" s="13" t="str">
        <f t="shared" si="16"/>
        <v>insert into ins_premium_det (premium_rcv_code,assorted_code, rec_amount,premium_rcv_detail_code,remaining_amt, payrec, mode_code,coinsurance_code,class_cd,it_remarks) values</v>
      </c>
      <c r="G291" s="14" t="str">
        <f t="shared" si="18"/>
        <v>('30Sep240040','070000164499','173376',(select max(to_number(i.premium_rcv_detail_code))+1
from ins_premium_det i),'173376','173376','02', '11000003','00','Request by Mr. Saqib Saleem 30-Sep-2024 allocation 30Sep240040');</v>
      </c>
      <c r="H291" s="15" t="str">
        <f t="shared" si="19"/>
        <v>insert into ins_premium_det (premium_rcv_code,assorted_code, rec_amount,premium_rcv_detail_code,remaining_amt, payrec, mode_code,coinsurance_code,class_cd,it_remarks) values('30Sep240040','070000164499','173376',(select max(to_number(i.premium_rcv_detail_code))+1
from ins_premium_det i),'173376','173376','02', '11000003','00','Request by Mr. Saqib Saleem 30-Sep-2024 allocation 30Sep240040');</v>
      </c>
    </row>
    <row r="292" spans="1:8" ht="90" x14ac:dyDescent="0.25">
      <c r="A292" s="10" t="s">
        <v>3813</v>
      </c>
      <c r="B292" s="11" t="s">
        <v>4702</v>
      </c>
      <c r="C292" s="17">
        <v>30791</v>
      </c>
      <c r="D292" s="12">
        <f t="shared" si="17"/>
        <v>30791</v>
      </c>
      <c r="E292" s="18" t="s">
        <v>4411</v>
      </c>
      <c r="F292" s="13" t="str">
        <f t="shared" si="16"/>
        <v>insert into ins_premium_det (premium_rcv_code,assorted_code, rec_amount,premium_rcv_detail_code,remaining_amt, payrec, mode_code,coinsurance_code,class_cd,it_remarks) values</v>
      </c>
      <c r="G292" s="14" t="str">
        <f t="shared" si="18"/>
        <v>('30Sep240040','070000164496','30791',(select max(to_number(i.premium_rcv_detail_code))+1
from ins_premium_det i),'30791','30791','02', '11000003','00','Request by Mr. Saqib Saleem 30-Sep-2024 allocation 30Sep240040');</v>
      </c>
      <c r="H292" s="15" t="str">
        <f t="shared" si="19"/>
        <v>insert into ins_premium_det (premium_rcv_code,assorted_code, rec_amount,premium_rcv_detail_code,remaining_amt, payrec, mode_code,coinsurance_code,class_cd,it_remarks) values('30Sep240040','070000164496','30791',(select max(to_number(i.premium_rcv_detail_code))+1
from ins_premium_det i),'30791','30791','02', '11000003','00','Request by Mr. Saqib Saleem 30-Sep-2024 allocation 30Sep240040');</v>
      </c>
    </row>
    <row r="293" spans="1:8" ht="90" x14ac:dyDescent="0.25">
      <c r="A293" s="9" t="s">
        <v>3827</v>
      </c>
      <c r="B293" s="11" t="s">
        <v>4703</v>
      </c>
      <c r="C293" s="16">
        <v>32784</v>
      </c>
      <c r="D293" s="12">
        <f t="shared" si="17"/>
        <v>32784</v>
      </c>
      <c r="E293" s="18" t="s">
        <v>4411</v>
      </c>
      <c r="F293" s="13" t="str">
        <f t="shared" si="16"/>
        <v>insert into ins_premium_det (premium_rcv_code,assorted_code, rec_amount,premium_rcv_detail_code,remaining_amt, payrec, mode_code,coinsurance_code,class_cd,it_remarks) values</v>
      </c>
      <c r="G293" s="14" t="str">
        <f t="shared" si="18"/>
        <v>('30Sep240040','070000164454','32784',(select max(to_number(i.premium_rcv_detail_code))+1
from ins_premium_det i),'32784','32784','02', '11000003','00','Request by Mr. Saqib Saleem 30-Sep-2024 allocation 30Sep240040');</v>
      </c>
      <c r="H293" s="15" t="str">
        <f t="shared" si="19"/>
        <v>insert into ins_premium_det (premium_rcv_code,assorted_code, rec_amount,premium_rcv_detail_code,remaining_amt, payrec, mode_code,coinsurance_code,class_cd,it_remarks) values('30Sep240040','070000164454','32784',(select max(to_number(i.premium_rcv_detail_code))+1
from ins_premium_det i),'32784','32784','02', '11000003','00','Request by Mr. Saqib Saleem 30-Sep-2024 allocation 30Sep240040');</v>
      </c>
    </row>
    <row r="294" spans="1:8" ht="90" x14ac:dyDescent="0.25">
      <c r="A294" s="10" t="s">
        <v>3840</v>
      </c>
      <c r="B294" s="11" t="s">
        <v>4704</v>
      </c>
      <c r="C294" s="17">
        <v>38320</v>
      </c>
      <c r="D294" s="12">
        <f t="shared" si="17"/>
        <v>38320</v>
      </c>
      <c r="E294" s="18" t="s">
        <v>4411</v>
      </c>
      <c r="F294" s="13" t="str">
        <f t="shared" si="16"/>
        <v>insert into ins_premium_det (premium_rcv_code,assorted_code, rec_amount,premium_rcv_detail_code,remaining_amt, payrec, mode_code,coinsurance_code,class_cd,it_remarks) values</v>
      </c>
      <c r="G294" s="14" t="str">
        <f t="shared" si="18"/>
        <v>('30Sep240040','070000164455','38320',(select max(to_number(i.premium_rcv_detail_code))+1
from ins_premium_det i),'38320','38320','02', '11000003','00','Request by Mr. Saqib Saleem 30-Sep-2024 allocation 30Sep240040');</v>
      </c>
      <c r="H294" s="15" t="str">
        <f t="shared" si="19"/>
        <v>insert into ins_premium_det (premium_rcv_code,assorted_code, rec_amount,premium_rcv_detail_code,remaining_amt, payrec, mode_code,coinsurance_code,class_cd,it_remarks) values('30Sep240040','070000164455','38320',(select max(to_number(i.premium_rcv_detail_code))+1
from ins_premium_det i),'38320','38320','02', '11000003','00','Request by Mr. Saqib Saleem 30-Sep-2024 allocation 30Sep240040');</v>
      </c>
    </row>
    <row r="295" spans="1:8" ht="90" x14ac:dyDescent="0.25">
      <c r="A295" s="9" t="s">
        <v>3852</v>
      </c>
      <c r="B295" s="11" t="s">
        <v>4705</v>
      </c>
      <c r="C295" s="16">
        <v>71400</v>
      </c>
      <c r="D295" s="12">
        <f t="shared" si="17"/>
        <v>71400</v>
      </c>
      <c r="E295" s="18" t="s">
        <v>4411</v>
      </c>
      <c r="F295" s="13" t="str">
        <f t="shared" si="16"/>
        <v>insert into ins_premium_det (premium_rcv_code,assorted_code, rec_amount,premium_rcv_detail_code,remaining_amt, payrec, mode_code,coinsurance_code,class_cd,it_remarks) values</v>
      </c>
      <c r="G295" s="14" t="str">
        <f t="shared" si="18"/>
        <v>('30Sep240040','070000164495','71400',(select max(to_number(i.premium_rcv_detail_code))+1
from ins_premium_det i),'71400','71400','02', '11000003','00','Request by Mr. Saqib Saleem 30-Sep-2024 allocation 30Sep240040');</v>
      </c>
      <c r="H295" s="15" t="str">
        <f t="shared" si="19"/>
        <v>insert into ins_premium_det (premium_rcv_code,assorted_code, rec_amount,premium_rcv_detail_code,remaining_amt, payrec, mode_code,coinsurance_code,class_cd,it_remarks) values('30Sep240040','070000164495','71400',(select max(to_number(i.premium_rcv_detail_code))+1
from ins_premium_det i),'71400','71400','02', '11000003','00','Request by Mr. Saqib Saleem 30-Sep-2024 allocation 30Sep240040');</v>
      </c>
    </row>
    <row r="296" spans="1:8" ht="90" x14ac:dyDescent="0.25">
      <c r="A296" s="10" t="s">
        <v>3865</v>
      </c>
      <c r="B296" s="11" t="s">
        <v>4706</v>
      </c>
      <c r="C296" s="17">
        <v>21920</v>
      </c>
      <c r="D296" s="12">
        <f t="shared" si="17"/>
        <v>21920</v>
      </c>
      <c r="E296" s="18" t="s">
        <v>4411</v>
      </c>
      <c r="F296" s="13" t="str">
        <f t="shared" si="16"/>
        <v>insert into ins_premium_det (premium_rcv_code,assorted_code, rec_amount,premium_rcv_detail_code,remaining_amt, payrec, mode_code,coinsurance_code,class_cd,it_remarks) values</v>
      </c>
      <c r="G296" s="14" t="str">
        <f t="shared" si="18"/>
        <v>('30Sep240040','070000164456','21920',(select max(to_number(i.premium_rcv_detail_code))+1
from ins_premium_det i),'21920','21920','02', '11000003','00','Request by Mr. Saqib Saleem 30-Sep-2024 allocation 30Sep240040');</v>
      </c>
      <c r="H296" s="15" t="str">
        <f t="shared" si="19"/>
        <v>insert into ins_premium_det (premium_rcv_code,assorted_code, rec_amount,premium_rcv_detail_code,remaining_amt, payrec, mode_code,coinsurance_code,class_cd,it_remarks) values('30Sep240040','070000164456','21920',(select max(to_number(i.premium_rcv_detail_code))+1
from ins_premium_det i),'21920','21920','02', '11000003','00','Request by Mr. Saqib Saleem 30-Sep-2024 allocation 30Sep240040');</v>
      </c>
    </row>
    <row r="297" spans="1:8" ht="90" x14ac:dyDescent="0.25">
      <c r="A297" s="9" t="s">
        <v>3878</v>
      </c>
      <c r="B297" s="11" t="s">
        <v>4707</v>
      </c>
      <c r="C297" s="16">
        <v>45067</v>
      </c>
      <c r="D297" s="12">
        <f t="shared" si="17"/>
        <v>45067</v>
      </c>
      <c r="E297" s="18" t="s">
        <v>4411</v>
      </c>
      <c r="F297" s="13" t="str">
        <f t="shared" si="16"/>
        <v>insert into ins_premium_det (premium_rcv_code,assorted_code, rec_amount,premium_rcv_detail_code,remaining_amt, payrec, mode_code,coinsurance_code,class_cd,it_remarks) values</v>
      </c>
      <c r="G297" s="14" t="str">
        <f t="shared" si="18"/>
        <v>('30Sep240040','070000164494','45067',(select max(to_number(i.premium_rcv_detail_code))+1
from ins_premium_det i),'45067','45067','02', '11000003','00','Request by Mr. Saqib Saleem 30-Sep-2024 allocation 30Sep240040');</v>
      </c>
      <c r="H297" s="15" t="str">
        <f t="shared" si="19"/>
        <v>insert into ins_premium_det (premium_rcv_code,assorted_code, rec_amount,premium_rcv_detail_code,remaining_amt, payrec, mode_code,coinsurance_code,class_cd,it_remarks) values('30Sep240040','070000164494','45067',(select max(to_number(i.premium_rcv_detail_code))+1
from ins_premium_det i),'45067','45067','02', '11000003','00','Request by Mr. Saqib Saleem 30-Sep-2024 allocation 30Sep240040');</v>
      </c>
    </row>
    <row r="298" spans="1:8" ht="90" x14ac:dyDescent="0.25">
      <c r="A298" s="10" t="s">
        <v>3888</v>
      </c>
      <c r="B298" s="11" t="s">
        <v>4708</v>
      </c>
      <c r="C298" s="17">
        <v>32725</v>
      </c>
      <c r="D298" s="12">
        <f t="shared" si="17"/>
        <v>32725</v>
      </c>
      <c r="E298" s="18" t="s">
        <v>4411</v>
      </c>
      <c r="F298" s="13" t="str">
        <f t="shared" si="16"/>
        <v>insert into ins_premium_det (premium_rcv_code,assorted_code, rec_amount,premium_rcv_detail_code,remaining_amt, payrec, mode_code,coinsurance_code,class_cd,it_remarks) values</v>
      </c>
      <c r="G298" s="14" t="str">
        <f t="shared" si="18"/>
        <v>('30Sep240040','070000164493','32725',(select max(to_number(i.premium_rcv_detail_code))+1
from ins_premium_det i),'32725','32725','02', '11000003','00','Request by Mr. Saqib Saleem 30-Sep-2024 allocation 30Sep240040');</v>
      </c>
      <c r="H298" s="15" t="str">
        <f t="shared" si="19"/>
        <v>insert into ins_premium_det (premium_rcv_code,assorted_code, rec_amount,premium_rcv_detail_code,remaining_amt, payrec, mode_code,coinsurance_code,class_cd,it_remarks) values('30Sep240040','070000164493','32725',(select max(to_number(i.premium_rcv_detail_code))+1
from ins_premium_det i),'32725','32725','02', '11000003','00','Request by Mr. Saqib Saleem 30-Sep-2024 allocation 30Sep240040');</v>
      </c>
    </row>
    <row r="299" spans="1:8" ht="90" x14ac:dyDescent="0.25">
      <c r="A299" s="9" t="s">
        <v>3899</v>
      </c>
      <c r="B299" s="11" t="s">
        <v>4709</v>
      </c>
      <c r="C299" s="16">
        <v>21328</v>
      </c>
      <c r="D299" s="12">
        <f t="shared" si="17"/>
        <v>21328</v>
      </c>
      <c r="E299" s="18" t="s">
        <v>4411</v>
      </c>
      <c r="F299" s="13" t="str">
        <f t="shared" si="16"/>
        <v>insert into ins_premium_det (premium_rcv_code,assorted_code, rec_amount,premium_rcv_detail_code,remaining_amt, payrec, mode_code,coinsurance_code,class_cd,it_remarks) values</v>
      </c>
      <c r="G299" s="14" t="str">
        <f t="shared" si="18"/>
        <v>('30Sep240040','070000164457','21328',(select max(to_number(i.premium_rcv_detail_code))+1
from ins_premium_det i),'21328','21328','02', '11000003','00','Request by Mr. Saqib Saleem 30-Sep-2024 allocation 30Sep240040');</v>
      </c>
      <c r="H299" s="15" t="str">
        <f t="shared" si="19"/>
        <v>insert into ins_premium_det (premium_rcv_code,assorted_code, rec_amount,premium_rcv_detail_code,remaining_amt, payrec, mode_code,coinsurance_code,class_cd,it_remarks) values('30Sep240040','070000164457','21328',(select max(to_number(i.premium_rcv_detail_code))+1
from ins_premium_det i),'21328','21328','02', '11000003','00','Request by Mr. Saqib Saleem 30-Sep-2024 allocation 30Sep240040');</v>
      </c>
    </row>
    <row r="300" spans="1:8" ht="90" x14ac:dyDescent="0.25">
      <c r="A300" s="10" t="s">
        <v>3910</v>
      </c>
      <c r="B300" s="11" t="s">
        <v>4710</v>
      </c>
      <c r="C300" s="17">
        <v>95288</v>
      </c>
      <c r="D300" s="12">
        <f t="shared" si="17"/>
        <v>95288</v>
      </c>
      <c r="E300" s="18" t="s">
        <v>4411</v>
      </c>
      <c r="F300" s="13" t="str">
        <f t="shared" si="16"/>
        <v>insert into ins_premium_det (premium_rcv_code,assorted_code, rec_amount,premium_rcv_detail_code,remaining_amt, payrec, mode_code,coinsurance_code,class_cd,it_remarks) values</v>
      </c>
      <c r="G300" s="14" t="str">
        <f t="shared" si="18"/>
        <v>('30Sep240040','070000164458','95288',(select max(to_number(i.premium_rcv_detail_code))+1
from ins_premium_det i),'95288','95288','02', '11000003','00','Request by Mr. Saqib Saleem 30-Sep-2024 allocation 30Sep240040');</v>
      </c>
      <c r="H300" s="15" t="str">
        <f t="shared" si="19"/>
        <v>insert into ins_premium_det (premium_rcv_code,assorted_code, rec_amount,premium_rcv_detail_code,remaining_amt, payrec, mode_code,coinsurance_code,class_cd,it_remarks) values('30Sep240040','070000164458','95288',(select max(to_number(i.premium_rcv_detail_code))+1
from ins_premium_det i),'95288','95288','02', '11000003','00','Request by Mr. Saqib Saleem 30-Sep-2024 allocation 30Sep240040');</v>
      </c>
    </row>
    <row r="301" spans="1:8" ht="90" x14ac:dyDescent="0.25">
      <c r="A301" s="9" t="s">
        <v>3921</v>
      </c>
      <c r="B301" s="11" t="s">
        <v>4711</v>
      </c>
      <c r="C301" s="16">
        <v>46226</v>
      </c>
      <c r="D301" s="12">
        <f t="shared" si="17"/>
        <v>46226</v>
      </c>
      <c r="E301" s="18" t="s">
        <v>4411</v>
      </c>
      <c r="F301" s="13" t="str">
        <f t="shared" si="16"/>
        <v>insert into ins_premium_det (premium_rcv_code,assorted_code, rec_amount,premium_rcv_detail_code,remaining_amt, payrec, mode_code,coinsurance_code,class_cd,it_remarks) values</v>
      </c>
      <c r="G301" s="14" t="str">
        <f t="shared" si="18"/>
        <v>('30Sep240040','070000164460','46226',(select max(to_number(i.premium_rcv_detail_code))+1
from ins_premium_det i),'46226','46226','02', '11000003','00','Request by Mr. Saqib Saleem 30-Sep-2024 allocation 30Sep240040');</v>
      </c>
      <c r="H301" s="15" t="str">
        <f t="shared" si="19"/>
        <v>insert into ins_premium_det (premium_rcv_code,assorted_code, rec_amount,premium_rcv_detail_code,remaining_amt, payrec, mode_code,coinsurance_code,class_cd,it_remarks) values('30Sep240040','070000164460','46226',(select max(to_number(i.premium_rcv_detail_code))+1
from ins_premium_det i),'46226','46226','02', '11000003','00','Request by Mr. Saqib Saleem 30-Sep-2024 allocation 30Sep240040');</v>
      </c>
    </row>
    <row r="302" spans="1:8" ht="90" x14ac:dyDescent="0.25">
      <c r="A302" s="10" t="s">
        <v>3935</v>
      </c>
      <c r="B302" s="11" t="s">
        <v>4712</v>
      </c>
      <c r="C302" s="17">
        <v>20970</v>
      </c>
      <c r="D302" s="12">
        <f t="shared" si="17"/>
        <v>20970</v>
      </c>
      <c r="E302" s="18" t="s">
        <v>4411</v>
      </c>
      <c r="F302" s="13" t="str">
        <f t="shared" si="16"/>
        <v>insert into ins_premium_det (premium_rcv_code,assorted_code, rec_amount,premium_rcv_detail_code,remaining_amt, payrec, mode_code,coinsurance_code,class_cd,it_remarks) values</v>
      </c>
      <c r="G302" s="14" t="str">
        <f t="shared" si="18"/>
        <v>('30Sep240040','070000164489','20970',(select max(to_number(i.premium_rcv_detail_code))+1
from ins_premium_det i),'20970','20970','02', '11000003','00','Request by Mr. Saqib Saleem 30-Sep-2024 allocation 30Sep240040');</v>
      </c>
      <c r="H302" s="15" t="str">
        <f t="shared" si="19"/>
        <v>insert into ins_premium_det (premium_rcv_code,assorted_code, rec_amount,premium_rcv_detail_code,remaining_amt, payrec, mode_code,coinsurance_code,class_cd,it_remarks) values('30Sep240040','070000164489','20970',(select max(to_number(i.premium_rcv_detail_code))+1
from ins_premium_det i),'20970','20970','02', '11000003','00','Request by Mr. Saqib Saleem 30-Sep-2024 allocation 30Sep240040');</v>
      </c>
    </row>
    <row r="303" spans="1:8" ht="105" x14ac:dyDescent="0.25">
      <c r="A303" s="9" t="s">
        <v>3947</v>
      </c>
      <c r="B303" s="11" t="s">
        <v>4713</v>
      </c>
      <c r="C303" s="16">
        <v>116550</v>
      </c>
      <c r="D303" s="12">
        <f t="shared" si="17"/>
        <v>116550</v>
      </c>
      <c r="E303" s="18" t="s">
        <v>4411</v>
      </c>
      <c r="F303" s="13" t="str">
        <f t="shared" si="16"/>
        <v>insert into ins_premium_det (premium_rcv_code,assorted_code, rec_amount,premium_rcv_detail_code,remaining_amt, payrec, mode_code,coinsurance_code,class_cd,it_remarks) values</v>
      </c>
      <c r="G303" s="14" t="str">
        <f t="shared" si="18"/>
        <v>('30Sep240040','070000164461','116550',(select max(to_number(i.premium_rcv_detail_code))+1
from ins_premium_det i),'116550','116550','02', '11000003','00','Request by Mr. Saqib Saleem 30-Sep-2024 allocation 30Sep240040');</v>
      </c>
      <c r="H303" s="15" t="str">
        <f t="shared" si="19"/>
        <v>insert into ins_premium_det (premium_rcv_code,assorted_code, rec_amount,premium_rcv_detail_code,remaining_amt, payrec, mode_code,coinsurance_code,class_cd,it_remarks) values('30Sep240040','070000164461','116550',(select max(to_number(i.premium_rcv_detail_code))+1
from ins_premium_det i),'116550','116550','02', '11000003','00','Request by Mr. Saqib Saleem 30-Sep-2024 allocation 30Sep240040');</v>
      </c>
    </row>
    <row r="304" spans="1:8" ht="105" x14ac:dyDescent="0.25">
      <c r="A304" s="10" t="s">
        <v>3957</v>
      </c>
      <c r="B304" s="11" t="s">
        <v>4714</v>
      </c>
      <c r="C304" s="17">
        <v>115583</v>
      </c>
      <c r="D304" s="12">
        <f t="shared" si="17"/>
        <v>115583</v>
      </c>
      <c r="E304" s="18" t="s">
        <v>4411</v>
      </c>
      <c r="F304" s="13" t="str">
        <f t="shared" si="16"/>
        <v>insert into ins_premium_det (premium_rcv_code,assorted_code, rec_amount,premium_rcv_detail_code,remaining_amt, payrec, mode_code,coinsurance_code,class_cd,it_remarks) values</v>
      </c>
      <c r="G304" s="14" t="str">
        <f t="shared" si="18"/>
        <v>('30Sep240040','070000164463','115583',(select max(to_number(i.premium_rcv_detail_code))+1
from ins_premium_det i),'115583','115583','02', '11000003','00','Request by Mr. Saqib Saleem 30-Sep-2024 allocation 30Sep240040');</v>
      </c>
      <c r="H304" s="15" t="str">
        <f t="shared" si="19"/>
        <v>insert into ins_premium_det (premium_rcv_code,assorted_code, rec_amount,premium_rcv_detail_code,remaining_amt, payrec, mode_code,coinsurance_code,class_cd,it_remarks) values('30Sep240040','070000164463','115583',(select max(to_number(i.premium_rcv_detail_code))+1
from ins_premium_det i),'115583','115583','02', '11000003','00','Request by Mr. Saqib Saleem 30-Sep-2024 allocation 30Sep240040');</v>
      </c>
    </row>
    <row r="305" spans="1:8" ht="90" x14ac:dyDescent="0.25">
      <c r="A305" s="9" t="s">
        <v>3972</v>
      </c>
      <c r="B305" s="11" t="s">
        <v>4715</v>
      </c>
      <c r="C305" s="16">
        <v>57406</v>
      </c>
      <c r="D305" s="12">
        <f t="shared" si="17"/>
        <v>57406</v>
      </c>
      <c r="E305" s="18" t="s">
        <v>4411</v>
      </c>
      <c r="F305" s="13" t="str">
        <f t="shared" si="16"/>
        <v>insert into ins_premium_det (premium_rcv_code,assorted_code, rec_amount,premium_rcv_detail_code,remaining_amt, payrec, mode_code,coinsurance_code,class_cd,it_remarks) values</v>
      </c>
      <c r="G305" s="14" t="str">
        <f t="shared" si="18"/>
        <v>('30Sep240040','070000164488','57406',(select max(to_number(i.premium_rcv_detail_code))+1
from ins_premium_det i),'57406','57406','02', '11000003','00','Request by Mr. Saqib Saleem 30-Sep-2024 allocation 30Sep240040');</v>
      </c>
      <c r="H305" s="15" t="str">
        <f t="shared" si="19"/>
        <v>insert into ins_premium_det (premium_rcv_code,assorted_code, rec_amount,premium_rcv_detail_code,remaining_amt, payrec, mode_code,coinsurance_code,class_cd,it_remarks) values('30Sep240040','070000164488','57406',(select max(to_number(i.premium_rcv_detail_code))+1
from ins_premium_det i),'57406','57406','02', '11000003','00','Request by Mr. Saqib Saleem 30-Sep-2024 allocation 30Sep240040');</v>
      </c>
    </row>
    <row r="306" spans="1:8" ht="90" x14ac:dyDescent="0.25">
      <c r="A306" s="10" t="s">
        <v>3984</v>
      </c>
      <c r="B306" s="11" t="s">
        <v>4716</v>
      </c>
      <c r="C306" s="17">
        <v>72784</v>
      </c>
      <c r="D306" s="12">
        <f t="shared" si="17"/>
        <v>72784</v>
      </c>
      <c r="E306" s="18" t="s">
        <v>4411</v>
      </c>
      <c r="F306" s="13" t="str">
        <f t="shared" si="16"/>
        <v>insert into ins_premium_det (premium_rcv_code,assorted_code, rec_amount,premium_rcv_detail_code,remaining_amt, payrec, mode_code,coinsurance_code,class_cd,it_remarks) values</v>
      </c>
      <c r="G306" s="14" t="str">
        <f t="shared" si="18"/>
        <v>('30Sep240040','070000164487','72784',(select max(to_number(i.premium_rcv_detail_code))+1
from ins_premium_det i),'72784','72784','02', '11000003','00','Request by Mr. Saqib Saleem 30-Sep-2024 allocation 30Sep240040');</v>
      </c>
      <c r="H306" s="15" t="str">
        <f t="shared" si="19"/>
        <v>insert into ins_premium_det (premium_rcv_code,assorted_code, rec_amount,premium_rcv_detail_code,remaining_amt, payrec, mode_code,coinsurance_code,class_cd,it_remarks) values('30Sep240040','070000164487','72784',(select max(to_number(i.premium_rcv_detail_code))+1
from ins_premium_det i),'72784','72784','02', '11000003','00','Request by Mr. Saqib Saleem 30-Sep-2024 allocation 30Sep240040');</v>
      </c>
    </row>
    <row r="307" spans="1:8" ht="90" x14ac:dyDescent="0.25">
      <c r="A307" s="9" t="s">
        <v>3997</v>
      </c>
      <c r="B307" s="11" t="s">
        <v>4717</v>
      </c>
      <c r="C307" s="16">
        <v>62560</v>
      </c>
      <c r="D307" s="12">
        <f t="shared" si="17"/>
        <v>62560</v>
      </c>
      <c r="E307" s="18" t="s">
        <v>4411</v>
      </c>
      <c r="F307" s="13" t="str">
        <f t="shared" si="16"/>
        <v>insert into ins_premium_det (premium_rcv_code,assorted_code, rec_amount,premium_rcv_detail_code,remaining_amt, payrec, mode_code,coinsurance_code,class_cd,it_remarks) values</v>
      </c>
      <c r="G307" s="14" t="str">
        <f t="shared" si="18"/>
        <v>('30Sep240040','070000164484','62560',(select max(to_number(i.premium_rcv_detail_code))+1
from ins_premium_det i),'62560','62560','02', '11000003','00','Request by Mr. Saqib Saleem 30-Sep-2024 allocation 30Sep240040');</v>
      </c>
      <c r="H307" s="15" t="str">
        <f t="shared" si="19"/>
        <v>insert into ins_premium_det (premium_rcv_code,assorted_code, rec_amount,premium_rcv_detail_code,remaining_amt, payrec, mode_code,coinsurance_code,class_cd,it_remarks) values('30Sep240040','070000164484','62560',(select max(to_number(i.premium_rcv_detail_code))+1
from ins_premium_det i),'62560','62560','02', '11000003','00','Request by Mr. Saqib Saleem 30-Sep-2024 allocation 30Sep240040');</v>
      </c>
    </row>
    <row r="308" spans="1:8" ht="90" x14ac:dyDescent="0.25">
      <c r="A308" s="10" t="s">
        <v>4007</v>
      </c>
      <c r="B308" s="11" t="s">
        <v>4718</v>
      </c>
      <c r="C308" s="17">
        <v>55463</v>
      </c>
      <c r="D308" s="12">
        <f t="shared" si="17"/>
        <v>55463</v>
      </c>
      <c r="E308" s="18" t="s">
        <v>4411</v>
      </c>
      <c r="F308" s="13" t="str">
        <f t="shared" si="16"/>
        <v>insert into ins_premium_det (premium_rcv_code,assorted_code, rec_amount,premium_rcv_detail_code,remaining_amt, payrec, mode_code,coinsurance_code,class_cd,it_remarks) values</v>
      </c>
      <c r="G308" s="14" t="str">
        <f t="shared" si="18"/>
        <v>('30Sep240040','070000164482','55463',(select max(to_number(i.premium_rcv_detail_code))+1
from ins_premium_det i),'55463','55463','02', '11000003','00','Request by Mr. Saqib Saleem 30-Sep-2024 allocation 30Sep240040');</v>
      </c>
      <c r="H308" s="15" t="str">
        <f t="shared" si="19"/>
        <v>insert into ins_premium_det (premium_rcv_code,assorted_code, rec_amount,premium_rcv_detail_code,remaining_amt, payrec, mode_code,coinsurance_code,class_cd,it_remarks) values('30Sep240040','070000164482','55463',(select max(to_number(i.premium_rcv_detail_code))+1
from ins_premium_det i),'55463','55463','02', '11000003','00','Request by Mr. Saqib Saleem 30-Sep-2024 allocation 30Sep240040');</v>
      </c>
    </row>
    <row r="309" spans="1:8" ht="90" x14ac:dyDescent="0.25">
      <c r="A309" s="9" t="s">
        <v>4019</v>
      </c>
      <c r="B309" s="11" t="s">
        <v>4719</v>
      </c>
      <c r="C309" s="16">
        <v>66948</v>
      </c>
      <c r="D309" s="12">
        <f t="shared" si="17"/>
        <v>66948</v>
      </c>
      <c r="E309" s="18" t="s">
        <v>4411</v>
      </c>
      <c r="F309" s="13" t="str">
        <f t="shared" si="16"/>
        <v>insert into ins_premium_det (premium_rcv_code,assorted_code, rec_amount,premium_rcv_detail_code,remaining_amt, payrec, mode_code,coinsurance_code,class_cd,it_remarks) values</v>
      </c>
      <c r="G309" s="14" t="str">
        <f t="shared" si="18"/>
        <v>('30Sep240040','070000164481','66948',(select max(to_number(i.premium_rcv_detail_code))+1
from ins_premium_det i),'66948','66948','02', '11000003','00','Request by Mr. Saqib Saleem 30-Sep-2024 allocation 30Sep240040');</v>
      </c>
      <c r="H309" s="15" t="str">
        <f t="shared" si="19"/>
        <v>insert into ins_premium_det (premium_rcv_code,assorted_code, rec_amount,premium_rcv_detail_code,remaining_amt, payrec, mode_code,coinsurance_code,class_cd,it_remarks) values('30Sep240040','070000164481','66948',(select max(to_number(i.premium_rcv_detail_code))+1
from ins_premium_det i),'66948','66948','02', '11000003','00','Request by Mr. Saqib Saleem 30-Sep-2024 allocation 30Sep240040');</v>
      </c>
    </row>
    <row r="310" spans="1:8" ht="90" x14ac:dyDescent="0.25">
      <c r="A310" s="10" t="s">
        <v>4031</v>
      </c>
      <c r="B310" s="11" t="s">
        <v>4720</v>
      </c>
      <c r="C310" s="17">
        <v>76020</v>
      </c>
      <c r="D310" s="12">
        <f t="shared" si="17"/>
        <v>76020</v>
      </c>
      <c r="E310" s="18" t="s">
        <v>4411</v>
      </c>
      <c r="F310" s="13" t="str">
        <f t="shared" si="16"/>
        <v>insert into ins_premium_det (premium_rcv_code,assorted_code, rec_amount,premium_rcv_detail_code,remaining_amt, payrec, mode_code,coinsurance_code,class_cd,it_remarks) values</v>
      </c>
      <c r="G310" s="14" t="str">
        <f t="shared" si="18"/>
        <v>('30Sep240040','070000164476','76020',(select max(to_number(i.premium_rcv_detail_code))+1
from ins_premium_det i),'76020','76020','02', '11000003','00','Request by Mr. Saqib Saleem 30-Sep-2024 allocation 30Sep240040');</v>
      </c>
      <c r="H310" s="15" t="str">
        <f t="shared" si="19"/>
        <v>insert into ins_premium_det (premium_rcv_code,assorted_code, rec_amount,premium_rcv_detail_code,remaining_amt, payrec, mode_code,coinsurance_code,class_cd,it_remarks) values('30Sep240040','070000164476','76020',(select max(to_number(i.premium_rcv_detail_code))+1
from ins_premium_det i),'76020','76020','02', '11000003','00','Request by Mr. Saqib Saleem 30-Sep-2024 allocation 30Sep240040');</v>
      </c>
    </row>
    <row r="311" spans="1:8" ht="90" x14ac:dyDescent="0.25">
      <c r="A311" s="9" t="s">
        <v>4042</v>
      </c>
      <c r="B311" s="11" t="s">
        <v>4721</v>
      </c>
      <c r="C311" s="16">
        <v>25288</v>
      </c>
      <c r="D311" s="12">
        <f t="shared" si="17"/>
        <v>25288</v>
      </c>
      <c r="E311" s="18" t="s">
        <v>4411</v>
      </c>
      <c r="F311" s="13" t="str">
        <f t="shared" si="16"/>
        <v>insert into ins_premium_det (premium_rcv_code,assorted_code, rec_amount,premium_rcv_detail_code,remaining_amt, payrec, mode_code,coinsurance_code,class_cd,it_remarks) values</v>
      </c>
      <c r="G311" s="14" t="str">
        <f t="shared" si="18"/>
        <v>('30Sep240040','070000164473','25288',(select max(to_number(i.premium_rcv_detail_code))+1
from ins_premium_det i),'25288','25288','02', '11000003','00','Request by Mr. Saqib Saleem 30-Sep-2024 allocation 30Sep240040');</v>
      </c>
      <c r="H311" s="15" t="str">
        <f t="shared" si="19"/>
        <v>insert into ins_premium_det (premium_rcv_code,assorted_code, rec_amount,premium_rcv_detail_code,remaining_amt, payrec, mode_code,coinsurance_code,class_cd,it_remarks) values('30Sep240040','070000164473','25288',(select max(to_number(i.premium_rcv_detail_code))+1
from ins_premium_det i),'25288','25288','02', '11000003','00','Request by Mr. Saqib Saleem 30-Sep-2024 allocation 30Sep240040');</v>
      </c>
    </row>
    <row r="312" spans="1:8" ht="90" x14ac:dyDescent="0.25">
      <c r="A312" s="10" t="s">
        <v>4052</v>
      </c>
      <c r="B312" s="11" t="s">
        <v>4722</v>
      </c>
      <c r="C312" s="17">
        <v>25373</v>
      </c>
      <c r="D312" s="12">
        <f t="shared" si="17"/>
        <v>25373</v>
      </c>
      <c r="E312" s="18" t="s">
        <v>4411</v>
      </c>
      <c r="F312" s="13" t="str">
        <f t="shared" si="16"/>
        <v>insert into ins_premium_det (premium_rcv_code,assorted_code, rec_amount,premium_rcv_detail_code,remaining_amt, payrec, mode_code,coinsurance_code,class_cd,it_remarks) values</v>
      </c>
      <c r="G312" s="14" t="str">
        <f t="shared" si="18"/>
        <v>('30Sep240040','070000164472','25373',(select max(to_number(i.premium_rcv_detail_code))+1
from ins_premium_det i),'25373','25373','02', '11000003','00','Request by Mr. Saqib Saleem 30-Sep-2024 allocation 30Sep240040');</v>
      </c>
      <c r="H312" s="15" t="str">
        <f t="shared" si="19"/>
        <v>insert into ins_premium_det (premium_rcv_code,assorted_code, rec_amount,premium_rcv_detail_code,remaining_amt, payrec, mode_code,coinsurance_code,class_cd,it_remarks) values('30Sep240040','070000164472','25373',(select max(to_number(i.premium_rcv_detail_code))+1
from ins_premium_det i),'25373','25373','02', '11000003','00','Request by Mr. Saqib Saleem 30-Sep-2024 allocation 30Sep240040');</v>
      </c>
    </row>
    <row r="313" spans="1:8" ht="90" x14ac:dyDescent="0.25">
      <c r="A313" s="9" t="s">
        <v>4063</v>
      </c>
      <c r="B313" s="11" t="s">
        <v>4723</v>
      </c>
      <c r="C313" s="16">
        <v>29325</v>
      </c>
      <c r="D313" s="12">
        <f t="shared" si="17"/>
        <v>29325</v>
      </c>
      <c r="E313" s="18" t="s">
        <v>4411</v>
      </c>
      <c r="F313" s="13" t="str">
        <f t="shared" si="16"/>
        <v>insert into ins_premium_det (premium_rcv_code,assorted_code, rec_amount,premium_rcv_detail_code,remaining_amt, payrec, mode_code,coinsurance_code,class_cd,it_remarks) values</v>
      </c>
      <c r="G313" s="14" t="str">
        <f t="shared" si="18"/>
        <v>('30Sep240040','070000164465','29325',(select max(to_number(i.premium_rcv_detail_code))+1
from ins_premium_det i),'29325','29325','02', '11000003','00','Request by Mr. Saqib Saleem 30-Sep-2024 allocation 30Sep240040');</v>
      </c>
      <c r="H313" s="15" t="str">
        <f t="shared" si="19"/>
        <v>insert into ins_premium_det (premium_rcv_code,assorted_code, rec_amount,premium_rcv_detail_code,remaining_amt, payrec, mode_code,coinsurance_code,class_cd,it_remarks) values('30Sep240040','070000164465','29325',(select max(to_number(i.premium_rcv_detail_code))+1
from ins_premium_det i),'29325','29325','02', '11000003','00','Request by Mr. Saqib Saleem 30-Sep-2024 allocation 30Sep240040');</v>
      </c>
    </row>
    <row r="314" spans="1:8" ht="90" x14ac:dyDescent="0.25">
      <c r="A314" s="10" t="s">
        <v>4074</v>
      </c>
      <c r="B314" s="11" t="s">
        <v>4724</v>
      </c>
      <c r="C314" s="17">
        <v>35477</v>
      </c>
      <c r="D314" s="12">
        <f t="shared" si="17"/>
        <v>35477</v>
      </c>
      <c r="E314" s="18" t="s">
        <v>4411</v>
      </c>
      <c r="F314" s="13" t="str">
        <f t="shared" si="16"/>
        <v>insert into ins_premium_det (premium_rcv_code,assorted_code, rec_amount,premium_rcv_detail_code,remaining_amt, payrec, mode_code,coinsurance_code,class_cd,it_remarks) values</v>
      </c>
      <c r="G314" s="14" t="str">
        <f t="shared" si="18"/>
        <v>('30Sep240040','070000164471','35477',(select max(to_number(i.premium_rcv_detail_code))+1
from ins_premium_det i),'35477','35477','02', '11000003','00','Request by Mr. Saqib Saleem 30-Sep-2024 allocation 30Sep240040');</v>
      </c>
      <c r="H314" s="15" t="str">
        <f t="shared" si="19"/>
        <v>insert into ins_premium_det (premium_rcv_code,assorted_code, rec_amount,premium_rcv_detail_code,remaining_amt, payrec, mode_code,coinsurance_code,class_cd,it_remarks) values('30Sep240040','070000164471','35477',(select max(to_number(i.premium_rcv_detail_code))+1
from ins_premium_det i),'35477','35477','02', '11000003','00','Request by Mr. Saqib Saleem 30-Sep-2024 allocation 30Sep240040');</v>
      </c>
    </row>
    <row r="315" spans="1:8" x14ac:dyDescent="0.25">
      <c r="C315" s="4">
        <f>SUM(C2:C314)</f>
        <v>14356855</v>
      </c>
      <c r="D315" s="4">
        <f>SUM(D2:D314)</f>
        <v>14356855</v>
      </c>
    </row>
    <row r="317" spans="1:8" x14ac:dyDescent="0.25">
      <c r="C317">
        <v>14372682</v>
      </c>
    </row>
    <row r="319" spans="1:8" x14ac:dyDescent="0.25">
      <c r="C319" s="4">
        <f>(C317-C315)</f>
        <v>15827</v>
      </c>
    </row>
  </sheetData>
  <conditionalFormatting sqref="A2:B2 B3:B314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72FCF-559B-432F-875F-C0FE02EF116E}">
  <dimension ref="A1:J313"/>
  <sheetViews>
    <sheetView workbookViewId="0">
      <selection activeCell="A313" sqref="A1:A313"/>
    </sheetView>
  </sheetViews>
  <sheetFormatPr defaultRowHeight="15" x14ac:dyDescent="0.25"/>
  <cols>
    <col min="1" max="1" width="41.5703125" bestFit="1" customWidth="1"/>
    <col min="10" max="10" width="46.5703125" bestFit="1" customWidth="1"/>
  </cols>
  <sheetData>
    <row r="1" spans="1:10" x14ac:dyDescent="0.25">
      <c r="A1" s="9" t="s">
        <v>61</v>
      </c>
      <c r="B1" t="s">
        <v>4098</v>
      </c>
      <c r="H1">
        <v>95603</v>
      </c>
      <c r="I1" t="s">
        <v>4099</v>
      </c>
      <c r="J1" t="str">
        <f>"ia.assorted_string like '%"&amp;H1&amp;"-"&amp;I1&amp;B1&amp;"%' or"</f>
        <v>ia.assorted_string like '%95603-00004-08-2024%' or</v>
      </c>
    </row>
    <row r="2" spans="1:10" x14ac:dyDescent="0.25">
      <c r="A2" s="10" t="s">
        <v>77</v>
      </c>
      <c r="B2" t="s">
        <v>4098</v>
      </c>
      <c r="H2">
        <v>95603</v>
      </c>
      <c r="I2" t="s">
        <v>4100</v>
      </c>
      <c r="J2" t="str">
        <f t="shared" ref="J2:J65" si="0">"ia.assorted_string like '%"&amp;H2&amp;"-"&amp;I2&amp;B2&amp;"%' or"</f>
        <v>ia.assorted_string like '%95603-00006-08-2024%' or</v>
      </c>
    </row>
    <row r="3" spans="1:10" x14ac:dyDescent="0.25">
      <c r="A3" s="9" t="s">
        <v>98</v>
      </c>
      <c r="B3" t="s">
        <v>4098</v>
      </c>
      <c r="H3">
        <v>95603</v>
      </c>
      <c r="I3" t="s">
        <v>4101</v>
      </c>
      <c r="J3" t="str">
        <f t="shared" si="0"/>
        <v>ia.assorted_string like '%95603-00011-08-2024%' or</v>
      </c>
    </row>
    <row r="4" spans="1:10" x14ac:dyDescent="0.25">
      <c r="A4" s="10" t="s">
        <v>111</v>
      </c>
      <c r="B4" t="s">
        <v>4098</v>
      </c>
      <c r="H4">
        <v>95603</v>
      </c>
      <c r="I4" t="s">
        <v>4102</v>
      </c>
      <c r="J4" t="str">
        <f t="shared" si="0"/>
        <v>ia.assorted_string like '%95603-00012-08-2024%' or</v>
      </c>
    </row>
    <row r="5" spans="1:10" x14ac:dyDescent="0.25">
      <c r="A5" s="9" t="s">
        <v>127</v>
      </c>
      <c r="B5" t="s">
        <v>4098</v>
      </c>
      <c r="H5">
        <v>95603</v>
      </c>
      <c r="I5" t="s">
        <v>4103</v>
      </c>
      <c r="J5" t="str">
        <f t="shared" si="0"/>
        <v>ia.assorted_string like '%95603-00015-08-2024%' or</v>
      </c>
    </row>
    <row r="6" spans="1:10" x14ac:dyDescent="0.25">
      <c r="A6" s="10" t="s">
        <v>146</v>
      </c>
      <c r="B6" t="s">
        <v>4098</v>
      </c>
      <c r="H6">
        <v>95603</v>
      </c>
      <c r="I6" t="s">
        <v>4104</v>
      </c>
      <c r="J6" t="str">
        <f t="shared" si="0"/>
        <v>ia.assorted_string like '%95603-00019-08-2024%' or</v>
      </c>
    </row>
    <row r="7" spans="1:10" x14ac:dyDescent="0.25">
      <c r="A7" s="9" t="s">
        <v>160</v>
      </c>
      <c r="B7" t="s">
        <v>4098</v>
      </c>
      <c r="H7">
        <v>95603</v>
      </c>
      <c r="I7" t="s">
        <v>4105</v>
      </c>
      <c r="J7" t="str">
        <f t="shared" si="0"/>
        <v>ia.assorted_string like '%95603-00021-08-2024%' or</v>
      </c>
    </row>
    <row r="8" spans="1:10" x14ac:dyDescent="0.25">
      <c r="A8" s="10" t="s">
        <v>171</v>
      </c>
      <c r="B8" t="s">
        <v>4098</v>
      </c>
      <c r="H8">
        <v>95603</v>
      </c>
      <c r="I8" t="s">
        <v>4106</v>
      </c>
      <c r="J8" t="str">
        <f t="shared" si="0"/>
        <v>ia.assorted_string like '%95603-00022-08-2024%' or</v>
      </c>
    </row>
    <row r="9" spans="1:10" x14ac:dyDescent="0.25">
      <c r="A9" s="9" t="s">
        <v>185</v>
      </c>
      <c r="B9" t="s">
        <v>4098</v>
      </c>
      <c r="H9">
        <v>95603</v>
      </c>
      <c r="I9" t="s">
        <v>4107</v>
      </c>
      <c r="J9" t="str">
        <f t="shared" si="0"/>
        <v>ia.assorted_string like '%95603-00024-08-2024%' or</v>
      </c>
    </row>
    <row r="10" spans="1:10" x14ac:dyDescent="0.25">
      <c r="A10" s="10" t="s">
        <v>198</v>
      </c>
      <c r="B10" t="s">
        <v>4098</v>
      </c>
      <c r="H10">
        <v>95603</v>
      </c>
      <c r="I10" t="s">
        <v>4108</v>
      </c>
      <c r="J10" t="str">
        <f t="shared" si="0"/>
        <v>ia.assorted_string like '%95603-00027-08-2024%' or</v>
      </c>
    </row>
    <row r="11" spans="1:10" x14ac:dyDescent="0.25">
      <c r="A11" s="9" t="s">
        <v>213</v>
      </c>
      <c r="B11" t="s">
        <v>4098</v>
      </c>
      <c r="H11">
        <v>95603</v>
      </c>
      <c r="I11" t="s">
        <v>4109</v>
      </c>
      <c r="J11" t="str">
        <f t="shared" si="0"/>
        <v>ia.assorted_string like '%95603-00028-08-2024%' or</v>
      </c>
    </row>
    <row r="12" spans="1:10" x14ac:dyDescent="0.25">
      <c r="A12" s="10" t="s">
        <v>225</v>
      </c>
      <c r="B12" t="s">
        <v>4098</v>
      </c>
      <c r="H12">
        <v>95603</v>
      </c>
      <c r="I12" t="s">
        <v>4110</v>
      </c>
      <c r="J12" t="str">
        <f t="shared" si="0"/>
        <v>ia.assorted_string like '%95603-00029-08-2024%' or</v>
      </c>
    </row>
    <row r="13" spans="1:10" x14ac:dyDescent="0.25">
      <c r="A13" s="9" t="s">
        <v>240</v>
      </c>
      <c r="B13" t="s">
        <v>4098</v>
      </c>
      <c r="H13">
        <v>95603</v>
      </c>
      <c r="I13" t="s">
        <v>4111</v>
      </c>
      <c r="J13" t="str">
        <f t="shared" si="0"/>
        <v>ia.assorted_string like '%95603-00039-08-2024%' or</v>
      </c>
    </row>
    <row r="14" spans="1:10" x14ac:dyDescent="0.25">
      <c r="A14" s="10" t="s">
        <v>255</v>
      </c>
      <c r="B14" t="s">
        <v>4098</v>
      </c>
      <c r="H14">
        <v>95603</v>
      </c>
      <c r="I14" t="s">
        <v>4112</v>
      </c>
      <c r="J14" t="str">
        <f t="shared" si="0"/>
        <v>ia.assorted_string like '%95603-00043-08-2024%' or</v>
      </c>
    </row>
    <row r="15" spans="1:10" x14ac:dyDescent="0.25">
      <c r="A15" s="9" t="s">
        <v>269</v>
      </c>
      <c r="B15" t="s">
        <v>4098</v>
      </c>
      <c r="H15">
        <v>95603</v>
      </c>
      <c r="I15" t="s">
        <v>4113</v>
      </c>
      <c r="J15" t="str">
        <f t="shared" si="0"/>
        <v>ia.assorted_string like '%95603-00044-08-2024%' or</v>
      </c>
    </row>
    <row r="16" spans="1:10" x14ac:dyDescent="0.25">
      <c r="A16" s="10" t="s">
        <v>286</v>
      </c>
      <c r="B16" t="s">
        <v>4098</v>
      </c>
      <c r="H16">
        <v>95603</v>
      </c>
      <c r="I16" t="s">
        <v>4114</v>
      </c>
      <c r="J16" t="str">
        <f t="shared" si="0"/>
        <v>ia.assorted_string like '%95603-00046-08-2024%' or</v>
      </c>
    </row>
    <row r="17" spans="1:10" x14ac:dyDescent="0.25">
      <c r="A17" s="9" t="s">
        <v>302</v>
      </c>
      <c r="B17" t="s">
        <v>4098</v>
      </c>
      <c r="H17">
        <v>95603</v>
      </c>
      <c r="I17" t="s">
        <v>4115</v>
      </c>
      <c r="J17" t="str">
        <f t="shared" si="0"/>
        <v>ia.assorted_string like '%95603-00048-08-2024%' or</v>
      </c>
    </row>
    <row r="18" spans="1:10" x14ac:dyDescent="0.25">
      <c r="A18" s="10" t="s">
        <v>314</v>
      </c>
      <c r="B18" t="s">
        <v>4098</v>
      </c>
      <c r="H18">
        <v>95603</v>
      </c>
      <c r="I18" t="s">
        <v>4116</v>
      </c>
      <c r="J18" t="str">
        <f t="shared" si="0"/>
        <v>ia.assorted_string like '%95603-00055-08-2024%' or</v>
      </c>
    </row>
    <row r="19" spans="1:10" x14ac:dyDescent="0.25">
      <c r="A19" s="9" t="s">
        <v>327</v>
      </c>
      <c r="B19" t="s">
        <v>4098</v>
      </c>
      <c r="H19">
        <v>95603</v>
      </c>
      <c r="I19" t="s">
        <v>4117</v>
      </c>
      <c r="J19" t="str">
        <f t="shared" si="0"/>
        <v>ia.assorted_string like '%95603-00056-08-2024%' or</v>
      </c>
    </row>
    <row r="20" spans="1:10" x14ac:dyDescent="0.25">
      <c r="A20" s="10" t="s">
        <v>341</v>
      </c>
      <c r="B20" t="s">
        <v>4098</v>
      </c>
      <c r="H20">
        <v>95603</v>
      </c>
      <c r="I20" t="s">
        <v>4118</v>
      </c>
      <c r="J20" t="str">
        <f t="shared" si="0"/>
        <v>ia.assorted_string like '%95603-00058-08-2024%' or</v>
      </c>
    </row>
    <row r="21" spans="1:10" x14ac:dyDescent="0.25">
      <c r="A21" s="9" t="s">
        <v>353</v>
      </c>
      <c r="B21" t="s">
        <v>4098</v>
      </c>
      <c r="H21">
        <v>95603</v>
      </c>
      <c r="I21" t="s">
        <v>4119</v>
      </c>
      <c r="J21" t="str">
        <f t="shared" si="0"/>
        <v>ia.assorted_string like '%95603-00067-08-2024%' or</v>
      </c>
    </row>
    <row r="22" spans="1:10" x14ac:dyDescent="0.25">
      <c r="A22" s="10" t="s">
        <v>371</v>
      </c>
      <c r="B22" t="s">
        <v>4098</v>
      </c>
      <c r="H22">
        <v>95603</v>
      </c>
      <c r="I22" t="s">
        <v>4120</v>
      </c>
      <c r="J22" t="str">
        <f t="shared" si="0"/>
        <v>ia.assorted_string like '%95603-00072-08-2024%' or</v>
      </c>
    </row>
    <row r="23" spans="1:10" x14ac:dyDescent="0.25">
      <c r="A23" s="9" t="s">
        <v>382</v>
      </c>
      <c r="B23" t="s">
        <v>4098</v>
      </c>
      <c r="H23">
        <v>95603</v>
      </c>
      <c r="I23" t="s">
        <v>4121</v>
      </c>
      <c r="J23" t="str">
        <f t="shared" si="0"/>
        <v>ia.assorted_string like '%95603-00073-08-2024%' or</v>
      </c>
    </row>
    <row r="24" spans="1:10" x14ac:dyDescent="0.25">
      <c r="A24" s="10" t="s">
        <v>396</v>
      </c>
      <c r="B24" t="s">
        <v>4098</v>
      </c>
      <c r="H24">
        <v>95603</v>
      </c>
      <c r="I24" t="s">
        <v>4122</v>
      </c>
      <c r="J24" t="str">
        <f t="shared" si="0"/>
        <v>ia.assorted_string like '%95603-00075-08-2024%' or</v>
      </c>
    </row>
    <row r="25" spans="1:10" x14ac:dyDescent="0.25">
      <c r="A25" s="9" t="s">
        <v>411</v>
      </c>
      <c r="B25" t="s">
        <v>4098</v>
      </c>
      <c r="H25">
        <v>95603</v>
      </c>
      <c r="I25" t="s">
        <v>4123</v>
      </c>
      <c r="J25" t="str">
        <f t="shared" si="0"/>
        <v>ia.assorted_string like '%95603-00079-08-2024%' or</v>
      </c>
    </row>
    <row r="26" spans="1:10" x14ac:dyDescent="0.25">
      <c r="A26" s="10" t="s">
        <v>429</v>
      </c>
      <c r="B26" t="s">
        <v>4098</v>
      </c>
      <c r="H26">
        <v>95603</v>
      </c>
      <c r="I26" t="s">
        <v>4124</v>
      </c>
      <c r="J26" t="str">
        <f t="shared" si="0"/>
        <v>ia.assorted_string like '%95603-00082-08-2024%' or</v>
      </c>
    </row>
    <row r="27" spans="1:10" x14ac:dyDescent="0.25">
      <c r="A27" s="9" t="s">
        <v>443</v>
      </c>
      <c r="B27" t="s">
        <v>4098</v>
      </c>
      <c r="H27">
        <v>95603</v>
      </c>
      <c r="I27" t="s">
        <v>4125</v>
      </c>
      <c r="J27" t="str">
        <f t="shared" si="0"/>
        <v>ia.assorted_string like '%95603-00083-08-2024%' or</v>
      </c>
    </row>
    <row r="28" spans="1:10" x14ac:dyDescent="0.25">
      <c r="A28" s="10" t="s">
        <v>457</v>
      </c>
      <c r="B28" t="s">
        <v>4098</v>
      </c>
      <c r="H28">
        <v>95603</v>
      </c>
      <c r="I28" t="s">
        <v>4126</v>
      </c>
      <c r="J28" t="str">
        <f t="shared" si="0"/>
        <v>ia.assorted_string like '%95603-00091-08-2024%' or</v>
      </c>
    </row>
    <row r="29" spans="1:10" x14ac:dyDescent="0.25">
      <c r="A29" s="9" t="s">
        <v>470</v>
      </c>
      <c r="B29" t="s">
        <v>4098</v>
      </c>
      <c r="H29">
        <v>95603</v>
      </c>
      <c r="I29" t="s">
        <v>4127</v>
      </c>
      <c r="J29" t="str">
        <f t="shared" si="0"/>
        <v>ia.assorted_string like '%95603-00096-08-2024%' or</v>
      </c>
    </row>
    <row r="30" spans="1:10" x14ac:dyDescent="0.25">
      <c r="A30" s="10" t="s">
        <v>484</v>
      </c>
      <c r="B30" t="s">
        <v>4098</v>
      </c>
      <c r="H30">
        <v>95603</v>
      </c>
      <c r="I30" t="s">
        <v>4128</v>
      </c>
      <c r="J30" t="str">
        <f t="shared" si="0"/>
        <v>ia.assorted_string like '%95603-00103-08-2024%' or</v>
      </c>
    </row>
    <row r="31" spans="1:10" x14ac:dyDescent="0.25">
      <c r="A31" s="9" t="s">
        <v>501</v>
      </c>
      <c r="B31" t="s">
        <v>4098</v>
      </c>
      <c r="H31">
        <v>95603</v>
      </c>
      <c r="I31" t="s">
        <v>4129</v>
      </c>
      <c r="J31" t="str">
        <f t="shared" si="0"/>
        <v>ia.assorted_string like '%95603-00105-08-2024%' or</v>
      </c>
    </row>
    <row r="32" spans="1:10" x14ac:dyDescent="0.25">
      <c r="A32" s="10" t="s">
        <v>515</v>
      </c>
      <c r="B32" t="s">
        <v>4098</v>
      </c>
      <c r="H32">
        <v>95603</v>
      </c>
      <c r="I32" t="s">
        <v>4130</v>
      </c>
      <c r="J32" t="str">
        <f t="shared" si="0"/>
        <v>ia.assorted_string like '%95603-00110-08-2024%' or</v>
      </c>
    </row>
    <row r="33" spans="1:10" x14ac:dyDescent="0.25">
      <c r="A33" s="9" t="s">
        <v>527</v>
      </c>
      <c r="B33" t="s">
        <v>4098</v>
      </c>
      <c r="H33">
        <v>95603</v>
      </c>
      <c r="I33" t="s">
        <v>4131</v>
      </c>
      <c r="J33" t="str">
        <f t="shared" si="0"/>
        <v>ia.assorted_string like '%95603-00113-08-2024%' or</v>
      </c>
    </row>
    <row r="34" spans="1:10" x14ac:dyDescent="0.25">
      <c r="A34" s="10" t="s">
        <v>541</v>
      </c>
      <c r="B34" t="s">
        <v>4098</v>
      </c>
      <c r="H34">
        <v>95603</v>
      </c>
      <c r="I34" t="s">
        <v>4132</v>
      </c>
      <c r="J34" t="str">
        <f t="shared" si="0"/>
        <v>ia.assorted_string like '%95603-00115-08-2024%' or</v>
      </c>
    </row>
    <row r="35" spans="1:10" x14ac:dyDescent="0.25">
      <c r="A35" s="9" t="s">
        <v>555</v>
      </c>
      <c r="B35" t="s">
        <v>4098</v>
      </c>
      <c r="H35">
        <v>95603</v>
      </c>
      <c r="I35" t="s">
        <v>4133</v>
      </c>
      <c r="J35" t="str">
        <f t="shared" si="0"/>
        <v>ia.assorted_string like '%95603-00116-08-2024%' or</v>
      </c>
    </row>
    <row r="36" spans="1:10" x14ac:dyDescent="0.25">
      <c r="A36" s="10" t="s">
        <v>569</v>
      </c>
      <c r="B36" t="s">
        <v>4098</v>
      </c>
      <c r="H36">
        <v>95603</v>
      </c>
      <c r="I36" t="s">
        <v>4134</v>
      </c>
      <c r="J36" t="str">
        <f t="shared" si="0"/>
        <v>ia.assorted_string like '%95603-00120-08-2024%' or</v>
      </c>
    </row>
    <row r="37" spans="1:10" x14ac:dyDescent="0.25">
      <c r="A37" s="9" t="s">
        <v>582</v>
      </c>
      <c r="B37" t="s">
        <v>4098</v>
      </c>
      <c r="H37">
        <v>95603</v>
      </c>
      <c r="I37" t="s">
        <v>4135</v>
      </c>
      <c r="J37" t="str">
        <f t="shared" si="0"/>
        <v>ia.assorted_string like '%95603-00125-08-2024%' or</v>
      </c>
    </row>
    <row r="38" spans="1:10" x14ac:dyDescent="0.25">
      <c r="A38" s="10" t="s">
        <v>594</v>
      </c>
      <c r="B38" t="s">
        <v>4098</v>
      </c>
      <c r="H38">
        <v>95603</v>
      </c>
      <c r="I38" t="s">
        <v>4136</v>
      </c>
      <c r="J38" t="str">
        <f t="shared" si="0"/>
        <v>ia.assorted_string like '%95603-00127-08-2024%' or</v>
      </c>
    </row>
    <row r="39" spans="1:10" x14ac:dyDescent="0.25">
      <c r="A39" s="9" t="s">
        <v>609</v>
      </c>
      <c r="B39" t="s">
        <v>4098</v>
      </c>
      <c r="H39">
        <v>95603</v>
      </c>
      <c r="I39" t="s">
        <v>4137</v>
      </c>
      <c r="J39" t="str">
        <f t="shared" si="0"/>
        <v>ia.assorted_string like '%95603-00128-08-2024%' or</v>
      </c>
    </row>
    <row r="40" spans="1:10" x14ac:dyDescent="0.25">
      <c r="A40" s="10" t="s">
        <v>621</v>
      </c>
      <c r="B40" t="s">
        <v>4098</v>
      </c>
      <c r="H40">
        <v>95603</v>
      </c>
      <c r="I40" t="s">
        <v>4138</v>
      </c>
      <c r="J40" t="str">
        <f t="shared" si="0"/>
        <v>ia.assorted_string like '%95603-00129-08-2024%' or</v>
      </c>
    </row>
    <row r="41" spans="1:10" x14ac:dyDescent="0.25">
      <c r="A41" s="9" t="s">
        <v>633</v>
      </c>
      <c r="B41" t="s">
        <v>4098</v>
      </c>
      <c r="H41">
        <v>95603</v>
      </c>
      <c r="I41" t="s">
        <v>4139</v>
      </c>
      <c r="J41" t="str">
        <f t="shared" si="0"/>
        <v>ia.assorted_string like '%95603-00130-08-2024%' or</v>
      </c>
    </row>
    <row r="42" spans="1:10" x14ac:dyDescent="0.25">
      <c r="A42" s="10" t="s">
        <v>649</v>
      </c>
      <c r="B42" t="s">
        <v>4098</v>
      </c>
      <c r="H42">
        <v>95603</v>
      </c>
      <c r="I42" t="s">
        <v>4140</v>
      </c>
      <c r="J42" t="str">
        <f t="shared" si="0"/>
        <v>ia.assorted_string like '%95603-00136-08-2024%' or</v>
      </c>
    </row>
    <row r="43" spans="1:10" x14ac:dyDescent="0.25">
      <c r="A43" s="9" t="s">
        <v>668</v>
      </c>
      <c r="B43" t="s">
        <v>4098</v>
      </c>
      <c r="H43">
        <v>95603</v>
      </c>
      <c r="I43" t="s">
        <v>4141</v>
      </c>
      <c r="J43" t="str">
        <f t="shared" si="0"/>
        <v>ia.assorted_string like '%95603-00138-08-2024%' or</v>
      </c>
    </row>
    <row r="44" spans="1:10" x14ac:dyDescent="0.25">
      <c r="A44" s="10" t="s">
        <v>681</v>
      </c>
      <c r="B44" t="s">
        <v>4098</v>
      </c>
      <c r="H44">
        <v>95603</v>
      </c>
      <c r="I44" t="s">
        <v>4142</v>
      </c>
      <c r="J44" t="str">
        <f t="shared" si="0"/>
        <v>ia.assorted_string like '%95603-00141-08-2024%' or</v>
      </c>
    </row>
    <row r="45" spans="1:10" x14ac:dyDescent="0.25">
      <c r="A45" s="9" t="s">
        <v>694</v>
      </c>
      <c r="B45" t="s">
        <v>4098</v>
      </c>
      <c r="H45">
        <v>95603</v>
      </c>
      <c r="I45" t="s">
        <v>4143</v>
      </c>
      <c r="J45" t="str">
        <f t="shared" si="0"/>
        <v>ia.assorted_string like '%95603-00142-08-2024%' or</v>
      </c>
    </row>
    <row r="46" spans="1:10" x14ac:dyDescent="0.25">
      <c r="A46" s="10" t="s">
        <v>706</v>
      </c>
      <c r="B46" t="s">
        <v>4098</v>
      </c>
      <c r="H46">
        <v>95603</v>
      </c>
      <c r="I46" t="s">
        <v>4144</v>
      </c>
      <c r="J46" t="str">
        <f t="shared" si="0"/>
        <v>ia.assorted_string like '%95603-00144-08-2024%' or</v>
      </c>
    </row>
    <row r="47" spans="1:10" x14ac:dyDescent="0.25">
      <c r="A47" s="9" t="s">
        <v>725</v>
      </c>
      <c r="B47" t="s">
        <v>4098</v>
      </c>
      <c r="H47">
        <v>95603</v>
      </c>
      <c r="I47" t="s">
        <v>4145</v>
      </c>
      <c r="J47" t="str">
        <f t="shared" si="0"/>
        <v>ia.assorted_string like '%95603-00001-08-2024%' or</v>
      </c>
    </row>
    <row r="48" spans="1:10" x14ac:dyDescent="0.25">
      <c r="A48" s="10" t="s">
        <v>744</v>
      </c>
      <c r="B48" t="s">
        <v>4098</v>
      </c>
      <c r="H48">
        <v>95603</v>
      </c>
      <c r="I48" t="s">
        <v>4146</v>
      </c>
      <c r="J48" t="str">
        <f t="shared" si="0"/>
        <v>ia.assorted_string like '%95603-00002-08-2024%' or</v>
      </c>
    </row>
    <row r="49" spans="1:10" x14ac:dyDescent="0.25">
      <c r="A49" s="9" t="s">
        <v>759</v>
      </c>
      <c r="B49" t="s">
        <v>4098</v>
      </c>
      <c r="H49">
        <v>95603</v>
      </c>
      <c r="I49" t="s">
        <v>4147</v>
      </c>
      <c r="J49" t="str">
        <f t="shared" si="0"/>
        <v>ia.assorted_string like '%95603-00156-08-2024%' or</v>
      </c>
    </row>
    <row r="50" spans="1:10" x14ac:dyDescent="0.25">
      <c r="A50" s="10" t="s">
        <v>776</v>
      </c>
      <c r="B50" t="s">
        <v>4098</v>
      </c>
      <c r="H50">
        <v>95603</v>
      </c>
      <c r="I50" t="s">
        <v>4148</v>
      </c>
      <c r="J50" t="str">
        <f t="shared" si="0"/>
        <v>ia.assorted_string like '%95603-00005-08-2024%' or</v>
      </c>
    </row>
    <row r="51" spans="1:10" x14ac:dyDescent="0.25">
      <c r="A51" s="9" t="s">
        <v>792</v>
      </c>
      <c r="B51" t="s">
        <v>4098</v>
      </c>
      <c r="H51">
        <v>95603</v>
      </c>
      <c r="I51" t="s">
        <v>4149</v>
      </c>
      <c r="J51" t="str">
        <f t="shared" si="0"/>
        <v>ia.assorted_string like '%95603-00007-08-2024%' or</v>
      </c>
    </row>
    <row r="52" spans="1:10" x14ac:dyDescent="0.25">
      <c r="A52" s="10" t="s">
        <v>805</v>
      </c>
      <c r="B52" t="s">
        <v>4098</v>
      </c>
      <c r="H52">
        <v>95603</v>
      </c>
      <c r="I52" t="s">
        <v>4150</v>
      </c>
      <c r="J52" t="str">
        <f t="shared" si="0"/>
        <v>ia.assorted_string like '%95603-00160-08-2024%' or</v>
      </c>
    </row>
    <row r="53" spans="1:10" x14ac:dyDescent="0.25">
      <c r="A53" s="9" t="s">
        <v>818</v>
      </c>
      <c r="B53" t="s">
        <v>4098</v>
      </c>
      <c r="H53">
        <v>95603</v>
      </c>
      <c r="I53" t="s">
        <v>4151</v>
      </c>
      <c r="J53" t="str">
        <f t="shared" si="0"/>
        <v>ia.assorted_string like '%95603-00163-08-2024%' or</v>
      </c>
    </row>
    <row r="54" spans="1:10" x14ac:dyDescent="0.25">
      <c r="A54" s="10" t="s">
        <v>834</v>
      </c>
      <c r="B54" t="s">
        <v>4098</v>
      </c>
      <c r="H54">
        <v>95603</v>
      </c>
      <c r="I54" t="s">
        <v>4152</v>
      </c>
      <c r="J54" t="str">
        <f t="shared" si="0"/>
        <v>ia.assorted_string like '%95603-00008-08-2024%' or</v>
      </c>
    </row>
    <row r="55" spans="1:10" x14ac:dyDescent="0.25">
      <c r="A55" s="9" t="s">
        <v>847</v>
      </c>
      <c r="B55" t="s">
        <v>4098</v>
      </c>
      <c r="H55">
        <v>95603</v>
      </c>
      <c r="I55" t="s">
        <v>4153</v>
      </c>
      <c r="J55" t="str">
        <f t="shared" si="0"/>
        <v>ia.assorted_string like '%95603-00165-08-2024%' or</v>
      </c>
    </row>
    <row r="56" spans="1:10" x14ac:dyDescent="0.25">
      <c r="A56" s="10" t="s">
        <v>862</v>
      </c>
      <c r="B56" t="s">
        <v>4098</v>
      </c>
      <c r="H56">
        <v>95603</v>
      </c>
      <c r="I56" t="s">
        <v>4154</v>
      </c>
      <c r="J56" t="str">
        <f t="shared" si="0"/>
        <v>ia.assorted_string like '%95603-00009-08-2024%' or</v>
      </c>
    </row>
    <row r="57" spans="1:10" x14ac:dyDescent="0.25">
      <c r="A57" s="9" t="s">
        <v>878</v>
      </c>
      <c r="B57" t="s">
        <v>4098</v>
      </c>
      <c r="H57">
        <v>95603</v>
      </c>
      <c r="I57" t="s">
        <v>4155</v>
      </c>
      <c r="J57" t="str">
        <f t="shared" si="0"/>
        <v>ia.assorted_string like '%95603-00010-08-2024%' or</v>
      </c>
    </row>
    <row r="58" spans="1:10" x14ac:dyDescent="0.25">
      <c r="A58" s="10" t="s">
        <v>892</v>
      </c>
      <c r="B58" t="s">
        <v>4098</v>
      </c>
      <c r="H58">
        <v>95603</v>
      </c>
      <c r="I58" t="s">
        <v>4156</v>
      </c>
      <c r="J58" t="str">
        <f t="shared" si="0"/>
        <v>ia.assorted_string like '%95603-00169-08-2024%' or</v>
      </c>
    </row>
    <row r="59" spans="1:10" x14ac:dyDescent="0.25">
      <c r="A59" s="9" t="s">
        <v>908</v>
      </c>
      <c r="B59" t="s">
        <v>4098</v>
      </c>
      <c r="H59">
        <v>95603</v>
      </c>
      <c r="I59" t="s">
        <v>4157</v>
      </c>
      <c r="J59" t="str">
        <f t="shared" si="0"/>
        <v>ia.assorted_string like '%95603-00013-08-2024%' or</v>
      </c>
    </row>
    <row r="60" spans="1:10" x14ac:dyDescent="0.25">
      <c r="A60" s="10" t="s">
        <v>921</v>
      </c>
      <c r="B60" t="s">
        <v>4098</v>
      </c>
      <c r="H60">
        <v>95603</v>
      </c>
      <c r="I60" t="s">
        <v>4158</v>
      </c>
      <c r="J60" t="str">
        <f t="shared" si="0"/>
        <v>ia.assorted_string like '%95603-00172-08-2024%' or</v>
      </c>
    </row>
    <row r="61" spans="1:10" x14ac:dyDescent="0.25">
      <c r="A61" s="9" t="s">
        <v>935</v>
      </c>
      <c r="B61" t="s">
        <v>4098</v>
      </c>
      <c r="H61">
        <v>95603</v>
      </c>
      <c r="I61" t="s">
        <v>4159</v>
      </c>
      <c r="J61" t="str">
        <f t="shared" si="0"/>
        <v>ia.assorted_string like '%95603-00016-08-2024%' or</v>
      </c>
    </row>
    <row r="62" spans="1:10" x14ac:dyDescent="0.25">
      <c r="A62" s="10" t="s">
        <v>946</v>
      </c>
      <c r="B62" t="s">
        <v>4098</v>
      </c>
      <c r="H62">
        <v>95603</v>
      </c>
      <c r="I62" t="s">
        <v>4160</v>
      </c>
      <c r="J62" t="str">
        <f t="shared" si="0"/>
        <v>ia.assorted_string like '%95603-00174-08-2024%' or</v>
      </c>
    </row>
    <row r="63" spans="1:10" x14ac:dyDescent="0.25">
      <c r="A63" s="9" t="s">
        <v>961</v>
      </c>
      <c r="B63" t="s">
        <v>4098</v>
      </c>
      <c r="H63">
        <v>95603</v>
      </c>
      <c r="I63" t="s">
        <v>4161</v>
      </c>
      <c r="J63" t="str">
        <f t="shared" si="0"/>
        <v>ia.assorted_string like '%95603-00017-08-2024%' or</v>
      </c>
    </row>
    <row r="64" spans="1:10" x14ac:dyDescent="0.25">
      <c r="A64" s="10" t="s">
        <v>973</v>
      </c>
      <c r="B64" t="s">
        <v>4098</v>
      </c>
      <c r="H64">
        <v>95603</v>
      </c>
      <c r="I64" t="s">
        <v>4162</v>
      </c>
      <c r="J64" t="str">
        <f t="shared" si="0"/>
        <v>ia.assorted_string like '%95603-00175-08-2024%' or</v>
      </c>
    </row>
    <row r="65" spans="1:10" x14ac:dyDescent="0.25">
      <c r="A65" s="9" t="s">
        <v>987</v>
      </c>
      <c r="B65" t="s">
        <v>4098</v>
      </c>
      <c r="H65">
        <v>95603</v>
      </c>
      <c r="I65" t="s">
        <v>4163</v>
      </c>
      <c r="J65" t="str">
        <f t="shared" si="0"/>
        <v>ia.assorted_string like '%95603-00018-08-2024%' or</v>
      </c>
    </row>
    <row r="66" spans="1:10" x14ac:dyDescent="0.25">
      <c r="A66" s="10" t="s">
        <v>1001</v>
      </c>
      <c r="B66" t="s">
        <v>4098</v>
      </c>
      <c r="H66">
        <v>95603</v>
      </c>
      <c r="I66" t="s">
        <v>4164</v>
      </c>
      <c r="J66" t="str">
        <f t="shared" ref="J66:J129" si="1">"ia.assorted_string like '%"&amp;H66&amp;"-"&amp;I66&amp;B66&amp;"%' or"</f>
        <v>ia.assorted_string like '%95603-00176-08-2024%' or</v>
      </c>
    </row>
    <row r="67" spans="1:10" x14ac:dyDescent="0.25">
      <c r="A67" s="9" t="s">
        <v>1013</v>
      </c>
      <c r="B67" t="s">
        <v>4098</v>
      </c>
      <c r="H67">
        <v>95603</v>
      </c>
      <c r="I67" t="s">
        <v>4165</v>
      </c>
      <c r="J67" t="str">
        <f t="shared" si="1"/>
        <v>ia.assorted_string like '%95603-00177-08-2024%' or</v>
      </c>
    </row>
    <row r="68" spans="1:10" x14ac:dyDescent="0.25">
      <c r="A68" s="10" t="s">
        <v>1027</v>
      </c>
      <c r="B68" t="s">
        <v>4098</v>
      </c>
      <c r="H68">
        <v>95603</v>
      </c>
      <c r="I68" t="s">
        <v>4166</v>
      </c>
      <c r="J68" t="str">
        <f t="shared" si="1"/>
        <v>ia.assorted_string like '%95603-00020-08-2024%' or</v>
      </c>
    </row>
    <row r="69" spans="1:10" x14ac:dyDescent="0.25">
      <c r="A69" s="9" t="s">
        <v>1041</v>
      </c>
      <c r="B69" t="s">
        <v>4098</v>
      </c>
      <c r="H69">
        <v>95603</v>
      </c>
      <c r="I69" t="s">
        <v>4167</v>
      </c>
      <c r="J69" t="str">
        <f t="shared" si="1"/>
        <v>ia.assorted_string like '%95603-00178-08-2024%' or</v>
      </c>
    </row>
    <row r="70" spans="1:10" x14ac:dyDescent="0.25">
      <c r="A70" s="10" t="s">
        <v>1055</v>
      </c>
      <c r="B70" t="s">
        <v>4098</v>
      </c>
      <c r="H70">
        <v>95603</v>
      </c>
      <c r="I70" t="s">
        <v>4168</v>
      </c>
      <c r="J70" t="str">
        <f t="shared" si="1"/>
        <v>ia.assorted_string like '%95603-00179-08-2024%' or</v>
      </c>
    </row>
    <row r="71" spans="1:10" x14ac:dyDescent="0.25">
      <c r="A71" s="9" t="s">
        <v>1066</v>
      </c>
      <c r="B71" t="s">
        <v>4098</v>
      </c>
      <c r="H71">
        <v>95603</v>
      </c>
      <c r="I71" t="s">
        <v>4169</v>
      </c>
      <c r="J71" t="str">
        <f t="shared" si="1"/>
        <v>ia.assorted_string like '%95603-00023-08-2024%' or</v>
      </c>
    </row>
    <row r="72" spans="1:10" x14ac:dyDescent="0.25">
      <c r="A72" s="10" t="s">
        <v>1079</v>
      </c>
      <c r="B72" t="s">
        <v>4098</v>
      </c>
      <c r="H72">
        <v>95603</v>
      </c>
      <c r="I72" t="s">
        <v>4170</v>
      </c>
      <c r="J72" t="str">
        <f t="shared" si="1"/>
        <v>ia.assorted_string like '%95603-00181-08-2024%' or</v>
      </c>
    </row>
    <row r="73" spans="1:10" x14ac:dyDescent="0.25">
      <c r="A73" s="9" t="s">
        <v>1091</v>
      </c>
      <c r="B73" t="s">
        <v>4098</v>
      </c>
      <c r="H73">
        <v>95603</v>
      </c>
      <c r="I73" t="s">
        <v>4171</v>
      </c>
      <c r="J73" t="str">
        <f t="shared" si="1"/>
        <v>ia.assorted_string like '%95603-00025-08-2024%' or</v>
      </c>
    </row>
    <row r="74" spans="1:10" x14ac:dyDescent="0.25">
      <c r="A74" s="10" t="s">
        <v>1105</v>
      </c>
      <c r="B74" t="s">
        <v>4098</v>
      </c>
      <c r="H74">
        <v>95603</v>
      </c>
      <c r="I74" t="s">
        <v>4172</v>
      </c>
      <c r="J74" t="str">
        <f t="shared" si="1"/>
        <v>ia.assorted_string like '%95603-00183-08-2024%' or</v>
      </c>
    </row>
    <row r="75" spans="1:10" x14ac:dyDescent="0.25">
      <c r="A75" s="9" t="s">
        <v>1116</v>
      </c>
      <c r="B75" t="s">
        <v>4098</v>
      </c>
      <c r="H75">
        <v>95603</v>
      </c>
      <c r="I75" t="s">
        <v>4173</v>
      </c>
      <c r="J75" t="str">
        <f t="shared" si="1"/>
        <v>ia.assorted_string like '%95603-00026-08-2024%' or</v>
      </c>
    </row>
    <row r="76" spans="1:10" x14ac:dyDescent="0.25">
      <c r="A76" s="9" t="s">
        <v>1142</v>
      </c>
      <c r="B76" t="s">
        <v>4098</v>
      </c>
      <c r="H76">
        <v>95603</v>
      </c>
      <c r="I76" t="s">
        <v>4174</v>
      </c>
      <c r="J76" t="str">
        <f t="shared" si="1"/>
        <v>ia.assorted_string like '%95603-00030-08-2024%' or</v>
      </c>
    </row>
    <row r="77" spans="1:10" x14ac:dyDescent="0.25">
      <c r="A77" s="10" t="s">
        <v>1155</v>
      </c>
      <c r="B77" t="s">
        <v>4098</v>
      </c>
      <c r="H77">
        <v>95603</v>
      </c>
      <c r="I77" t="s">
        <v>4175</v>
      </c>
      <c r="J77" t="str">
        <f t="shared" si="1"/>
        <v>ia.assorted_string like '%95603-00031-08-2024%' or</v>
      </c>
    </row>
    <row r="78" spans="1:10" x14ac:dyDescent="0.25">
      <c r="A78" s="9" t="s">
        <v>1167</v>
      </c>
      <c r="B78" t="s">
        <v>4098</v>
      </c>
      <c r="H78">
        <v>95603</v>
      </c>
      <c r="I78" t="s">
        <v>4176</v>
      </c>
      <c r="J78" t="str">
        <f t="shared" si="1"/>
        <v>ia.assorted_string like '%95603-00191-08-2024%' or</v>
      </c>
    </row>
    <row r="79" spans="1:10" x14ac:dyDescent="0.25">
      <c r="A79" s="10" t="s">
        <v>1180</v>
      </c>
      <c r="B79" t="s">
        <v>4098</v>
      </c>
      <c r="H79">
        <v>95603</v>
      </c>
      <c r="I79" t="s">
        <v>4177</v>
      </c>
      <c r="J79" t="str">
        <f t="shared" si="1"/>
        <v>ia.assorted_string like '%95603-00032-08-2024%' or</v>
      </c>
    </row>
    <row r="80" spans="1:10" x14ac:dyDescent="0.25">
      <c r="A80" s="9" t="s">
        <v>1192</v>
      </c>
      <c r="B80" t="s">
        <v>4098</v>
      </c>
      <c r="H80">
        <v>95603</v>
      </c>
      <c r="I80" t="s">
        <v>4178</v>
      </c>
      <c r="J80" t="str">
        <f t="shared" si="1"/>
        <v>ia.assorted_string like '%95603-00033-08-2024%' or</v>
      </c>
    </row>
    <row r="81" spans="1:10" x14ac:dyDescent="0.25">
      <c r="A81" s="10" t="s">
        <v>1204</v>
      </c>
      <c r="B81" t="s">
        <v>4098</v>
      </c>
      <c r="H81">
        <v>95603</v>
      </c>
      <c r="I81" t="s">
        <v>4179</v>
      </c>
      <c r="J81" t="str">
        <f t="shared" si="1"/>
        <v>ia.assorted_string like '%95603-00034-08-2024%' or</v>
      </c>
    </row>
    <row r="82" spans="1:10" x14ac:dyDescent="0.25">
      <c r="A82" s="9" t="s">
        <v>1220</v>
      </c>
      <c r="B82" t="s">
        <v>4098</v>
      </c>
      <c r="H82">
        <v>95603</v>
      </c>
      <c r="I82" t="s">
        <v>4180</v>
      </c>
      <c r="J82" t="str">
        <f t="shared" si="1"/>
        <v>ia.assorted_string like '%95603-00196-08-2024%' or</v>
      </c>
    </row>
    <row r="83" spans="1:10" x14ac:dyDescent="0.25">
      <c r="A83" s="10" t="s">
        <v>1233</v>
      </c>
      <c r="B83" t="s">
        <v>4098</v>
      </c>
      <c r="H83">
        <v>95603</v>
      </c>
      <c r="I83" t="s">
        <v>4181</v>
      </c>
      <c r="J83" t="str">
        <f t="shared" si="1"/>
        <v>ia.assorted_string like '%95603-00036-08-2024%' or</v>
      </c>
    </row>
    <row r="84" spans="1:10" x14ac:dyDescent="0.25">
      <c r="A84" s="9" t="s">
        <v>1244</v>
      </c>
      <c r="B84" t="s">
        <v>4098</v>
      </c>
      <c r="H84">
        <v>95603</v>
      </c>
      <c r="I84" t="s">
        <v>4182</v>
      </c>
      <c r="J84" t="str">
        <f t="shared" si="1"/>
        <v>ia.assorted_string like '%95603-00037-08-2024%' or</v>
      </c>
    </row>
    <row r="85" spans="1:10" x14ac:dyDescent="0.25">
      <c r="A85" s="10" t="s">
        <v>1256</v>
      </c>
      <c r="B85" t="s">
        <v>4098</v>
      </c>
      <c r="H85">
        <v>95603</v>
      </c>
      <c r="I85" t="s">
        <v>4183</v>
      </c>
      <c r="J85" t="str">
        <f t="shared" si="1"/>
        <v>ia.assorted_string like '%95603-00198-08-2024%' or</v>
      </c>
    </row>
    <row r="86" spans="1:10" x14ac:dyDescent="0.25">
      <c r="A86" s="9" t="s">
        <v>1270</v>
      </c>
      <c r="B86" t="s">
        <v>4098</v>
      </c>
      <c r="H86">
        <v>95603</v>
      </c>
      <c r="I86" t="s">
        <v>4184</v>
      </c>
      <c r="J86" t="str">
        <f t="shared" si="1"/>
        <v>ia.assorted_string like '%95603-00199-08-2024%' or</v>
      </c>
    </row>
    <row r="87" spans="1:10" x14ac:dyDescent="0.25">
      <c r="A87" s="10" t="s">
        <v>1283</v>
      </c>
      <c r="B87" t="s">
        <v>4098</v>
      </c>
      <c r="H87">
        <v>95603</v>
      </c>
      <c r="I87" t="s">
        <v>4185</v>
      </c>
      <c r="J87" t="str">
        <f t="shared" si="1"/>
        <v>ia.assorted_string like '%95603-00200-08-2024%' or</v>
      </c>
    </row>
    <row r="88" spans="1:10" x14ac:dyDescent="0.25">
      <c r="A88" s="9" t="s">
        <v>1295</v>
      </c>
      <c r="B88" t="s">
        <v>4098</v>
      </c>
      <c r="H88">
        <v>95603</v>
      </c>
      <c r="I88" t="s">
        <v>4186</v>
      </c>
      <c r="J88" t="str">
        <f t="shared" si="1"/>
        <v>ia.assorted_string like '%95603-00038-08-2024%' or</v>
      </c>
    </row>
    <row r="89" spans="1:10" x14ac:dyDescent="0.25">
      <c r="A89" s="10" t="s">
        <v>1307</v>
      </c>
      <c r="B89" t="s">
        <v>4098</v>
      </c>
      <c r="H89">
        <v>95603</v>
      </c>
      <c r="I89" t="s">
        <v>4187</v>
      </c>
      <c r="J89" t="str">
        <f t="shared" si="1"/>
        <v>ia.assorted_string like '%95603-00202-08-2024%' or</v>
      </c>
    </row>
    <row r="90" spans="1:10" x14ac:dyDescent="0.25">
      <c r="A90" s="9" t="s">
        <v>1320</v>
      </c>
      <c r="B90" t="s">
        <v>4098</v>
      </c>
      <c r="H90">
        <v>95603</v>
      </c>
      <c r="I90" t="s">
        <v>4188</v>
      </c>
      <c r="J90" t="str">
        <f t="shared" si="1"/>
        <v>ia.assorted_string like '%95603-00203-08-2024%' or</v>
      </c>
    </row>
    <row r="91" spans="1:10" x14ac:dyDescent="0.25">
      <c r="A91" s="10" t="s">
        <v>1331</v>
      </c>
      <c r="B91" t="s">
        <v>4098</v>
      </c>
      <c r="H91">
        <v>95603</v>
      </c>
      <c r="I91" t="s">
        <v>4189</v>
      </c>
      <c r="J91" t="str">
        <f t="shared" si="1"/>
        <v>ia.assorted_string like '%95603-00040-08-2024%' or</v>
      </c>
    </row>
    <row r="92" spans="1:10" x14ac:dyDescent="0.25">
      <c r="A92" s="9" t="s">
        <v>1344</v>
      </c>
      <c r="B92" t="s">
        <v>4098</v>
      </c>
      <c r="H92">
        <v>95603</v>
      </c>
      <c r="I92" t="s">
        <v>4190</v>
      </c>
      <c r="J92" t="str">
        <f t="shared" si="1"/>
        <v>ia.assorted_string like '%95603-00204-08-2024%' or</v>
      </c>
    </row>
    <row r="93" spans="1:10" x14ac:dyDescent="0.25">
      <c r="A93" s="10" t="s">
        <v>1355</v>
      </c>
      <c r="B93" t="s">
        <v>4098</v>
      </c>
      <c r="H93">
        <v>95603</v>
      </c>
      <c r="I93" t="s">
        <v>4191</v>
      </c>
      <c r="J93" t="str">
        <f t="shared" si="1"/>
        <v>ia.assorted_string like '%95603-00041-08-2024%' or</v>
      </c>
    </row>
    <row r="94" spans="1:10" x14ac:dyDescent="0.25">
      <c r="A94" s="9" t="s">
        <v>1368</v>
      </c>
      <c r="B94" t="s">
        <v>4098</v>
      </c>
      <c r="H94">
        <v>95603</v>
      </c>
      <c r="I94" t="s">
        <v>4192</v>
      </c>
      <c r="J94" t="str">
        <f t="shared" si="1"/>
        <v>ia.assorted_string like '%95603-00205-08-2024%' or</v>
      </c>
    </row>
    <row r="95" spans="1:10" x14ac:dyDescent="0.25">
      <c r="A95" s="10" t="s">
        <v>1380</v>
      </c>
      <c r="B95" t="s">
        <v>4098</v>
      </c>
      <c r="H95">
        <v>95603</v>
      </c>
      <c r="I95" t="s">
        <v>4193</v>
      </c>
      <c r="J95" t="str">
        <f t="shared" si="1"/>
        <v>ia.assorted_string like '%95603-00042-08-2024%' or</v>
      </c>
    </row>
    <row r="96" spans="1:10" x14ac:dyDescent="0.25">
      <c r="A96" s="9" t="s">
        <v>1392</v>
      </c>
      <c r="B96" t="s">
        <v>4098</v>
      </c>
      <c r="H96">
        <v>95603</v>
      </c>
      <c r="I96" t="s">
        <v>4194</v>
      </c>
      <c r="J96" t="str">
        <f t="shared" si="1"/>
        <v>ia.assorted_string like '%95603-00045-08-2024%' or</v>
      </c>
    </row>
    <row r="97" spans="1:10" x14ac:dyDescent="0.25">
      <c r="A97" s="10" t="s">
        <v>1405</v>
      </c>
      <c r="B97" t="s">
        <v>4098</v>
      </c>
      <c r="H97">
        <v>95603</v>
      </c>
      <c r="I97" t="s">
        <v>4195</v>
      </c>
      <c r="J97" t="str">
        <f t="shared" si="1"/>
        <v>ia.assorted_string like '%95603-00047-08-2024%' or</v>
      </c>
    </row>
    <row r="98" spans="1:10" x14ac:dyDescent="0.25">
      <c r="A98" s="9" t="s">
        <v>1418</v>
      </c>
      <c r="B98" t="s">
        <v>4098</v>
      </c>
      <c r="H98">
        <v>95603</v>
      </c>
      <c r="I98" t="s">
        <v>4196</v>
      </c>
      <c r="J98" t="str">
        <f t="shared" si="1"/>
        <v>ia.assorted_string like '%95603-00049-08-2024%' or</v>
      </c>
    </row>
    <row r="99" spans="1:10" x14ac:dyDescent="0.25">
      <c r="A99" s="10" t="s">
        <v>1428</v>
      </c>
      <c r="B99" t="s">
        <v>4098</v>
      </c>
      <c r="H99">
        <v>95603</v>
      </c>
      <c r="I99" t="s">
        <v>4197</v>
      </c>
      <c r="J99" t="str">
        <f t="shared" si="1"/>
        <v>ia.assorted_string like '%95603-00212-08-2024%' or</v>
      </c>
    </row>
    <row r="100" spans="1:10" x14ac:dyDescent="0.25">
      <c r="A100" s="9" t="s">
        <v>1440</v>
      </c>
      <c r="B100" t="s">
        <v>4098</v>
      </c>
      <c r="H100">
        <v>95603</v>
      </c>
      <c r="I100" t="s">
        <v>4198</v>
      </c>
      <c r="J100" t="str">
        <f t="shared" si="1"/>
        <v>ia.assorted_string like '%95603-00050-08-2024%' or</v>
      </c>
    </row>
    <row r="101" spans="1:10" x14ac:dyDescent="0.25">
      <c r="A101" s="10" t="s">
        <v>1453</v>
      </c>
      <c r="B101" t="s">
        <v>4098</v>
      </c>
      <c r="H101">
        <v>95603</v>
      </c>
      <c r="I101" t="s">
        <v>4199</v>
      </c>
      <c r="J101" t="str">
        <f t="shared" si="1"/>
        <v>ia.assorted_string like '%95603-00051-08-2024%' or</v>
      </c>
    </row>
    <row r="102" spans="1:10" x14ac:dyDescent="0.25">
      <c r="A102" s="9" t="s">
        <v>1464</v>
      </c>
      <c r="B102" t="s">
        <v>4098</v>
      </c>
      <c r="H102">
        <v>95603</v>
      </c>
      <c r="I102" t="s">
        <v>4200</v>
      </c>
      <c r="J102" t="str">
        <f t="shared" si="1"/>
        <v>ia.assorted_string like '%95603-00215-08-2024%' or</v>
      </c>
    </row>
    <row r="103" spans="1:10" x14ac:dyDescent="0.25">
      <c r="A103" s="10" t="s">
        <v>1476</v>
      </c>
      <c r="B103" t="s">
        <v>4098</v>
      </c>
      <c r="H103">
        <v>95603</v>
      </c>
      <c r="I103" t="s">
        <v>4201</v>
      </c>
      <c r="J103" t="str">
        <f t="shared" si="1"/>
        <v>ia.assorted_string like '%95603-00217-08-2024%' or</v>
      </c>
    </row>
    <row r="104" spans="1:10" x14ac:dyDescent="0.25">
      <c r="A104" s="9" t="s">
        <v>1489</v>
      </c>
      <c r="B104" t="s">
        <v>4098</v>
      </c>
      <c r="H104">
        <v>95603</v>
      </c>
      <c r="I104" t="s">
        <v>4202</v>
      </c>
      <c r="J104" t="str">
        <f t="shared" si="1"/>
        <v>ia.assorted_string like '%95603-00052-08-2024%' or</v>
      </c>
    </row>
    <row r="105" spans="1:10" x14ac:dyDescent="0.25">
      <c r="A105" s="10" t="s">
        <v>1501</v>
      </c>
      <c r="B105" t="s">
        <v>4098</v>
      </c>
      <c r="H105">
        <v>95603</v>
      </c>
      <c r="I105" t="s">
        <v>4203</v>
      </c>
      <c r="J105" t="str">
        <f t="shared" si="1"/>
        <v>ia.assorted_string like '%95603-00219-08-2024%' or</v>
      </c>
    </row>
    <row r="106" spans="1:10" x14ac:dyDescent="0.25">
      <c r="A106" s="9" t="s">
        <v>1512</v>
      </c>
      <c r="B106" t="s">
        <v>4098</v>
      </c>
      <c r="H106">
        <v>95603</v>
      </c>
      <c r="I106" t="s">
        <v>4204</v>
      </c>
      <c r="J106" t="str">
        <f t="shared" si="1"/>
        <v>ia.assorted_string like '%95603-00220-08-2024%' or</v>
      </c>
    </row>
    <row r="107" spans="1:10" x14ac:dyDescent="0.25">
      <c r="A107" s="10" t="s">
        <v>1525</v>
      </c>
      <c r="B107" t="s">
        <v>4098</v>
      </c>
      <c r="H107">
        <v>95603</v>
      </c>
      <c r="I107" t="s">
        <v>4205</v>
      </c>
      <c r="J107" t="str">
        <f t="shared" si="1"/>
        <v>ia.assorted_string like '%95603-00221-08-2024%' or</v>
      </c>
    </row>
    <row r="108" spans="1:10" x14ac:dyDescent="0.25">
      <c r="A108" s="9" t="s">
        <v>1538</v>
      </c>
      <c r="B108" t="s">
        <v>4098</v>
      </c>
      <c r="H108">
        <v>95603</v>
      </c>
      <c r="I108" t="s">
        <v>4206</v>
      </c>
      <c r="J108" t="str">
        <f t="shared" si="1"/>
        <v>ia.assorted_string like '%95603-00222-08-2024%' or</v>
      </c>
    </row>
    <row r="109" spans="1:10" x14ac:dyDescent="0.25">
      <c r="A109" s="10" t="s">
        <v>1551</v>
      </c>
      <c r="B109" t="s">
        <v>4098</v>
      </c>
      <c r="H109">
        <v>95603</v>
      </c>
      <c r="I109" t="s">
        <v>4207</v>
      </c>
      <c r="J109" t="str">
        <f t="shared" si="1"/>
        <v>ia.assorted_string like '%95603-00223-08-2024%' or</v>
      </c>
    </row>
    <row r="110" spans="1:10" x14ac:dyDescent="0.25">
      <c r="A110" s="9" t="s">
        <v>1562</v>
      </c>
      <c r="B110" t="s">
        <v>4098</v>
      </c>
      <c r="H110">
        <v>95603</v>
      </c>
      <c r="I110" t="s">
        <v>4208</v>
      </c>
      <c r="J110" t="str">
        <f t="shared" si="1"/>
        <v>ia.assorted_string like '%95603-00054-08-2024%' or</v>
      </c>
    </row>
    <row r="111" spans="1:10" x14ac:dyDescent="0.25">
      <c r="A111" s="10" t="s">
        <v>1576</v>
      </c>
      <c r="B111" t="s">
        <v>4098</v>
      </c>
      <c r="H111">
        <v>95603</v>
      </c>
      <c r="I111" t="s">
        <v>4209</v>
      </c>
      <c r="J111" t="str">
        <f t="shared" si="1"/>
        <v>ia.assorted_string like '%95603-00057-08-2024%' or</v>
      </c>
    </row>
    <row r="112" spans="1:10" x14ac:dyDescent="0.25">
      <c r="A112" s="9" t="s">
        <v>1587</v>
      </c>
      <c r="B112" t="s">
        <v>4098</v>
      </c>
      <c r="H112">
        <v>95603</v>
      </c>
      <c r="I112" t="s">
        <v>4210</v>
      </c>
      <c r="J112" t="str">
        <f t="shared" si="1"/>
        <v>ia.assorted_string like '%95603-00059-08-2024%' or</v>
      </c>
    </row>
    <row r="113" spans="1:10" x14ac:dyDescent="0.25">
      <c r="A113" s="10" t="s">
        <v>1602</v>
      </c>
      <c r="B113" t="s">
        <v>4098</v>
      </c>
      <c r="H113">
        <v>95603</v>
      </c>
      <c r="I113" t="s">
        <v>4211</v>
      </c>
      <c r="J113" t="str">
        <f t="shared" si="1"/>
        <v>ia.assorted_string like '%95603-00060-08-2024%' or</v>
      </c>
    </row>
    <row r="114" spans="1:10" x14ac:dyDescent="0.25">
      <c r="A114" s="9" t="s">
        <v>1613</v>
      </c>
      <c r="B114" t="s">
        <v>4098</v>
      </c>
      <c r="H114">
        <v>95603</v>
      </c>
      <c r="I114" t="s">
        <v>4212</v>
      </c>
      <c r="J114" t="str">
        <f t="shared" si="1"/>
        <v>ia.assorted_string like '%95603-00227-08-2024%' or</v>
      </c>
    </row>
    <row r="115" spans="1:10" x14ac:dyDescent="0.25">
      <c r="A115" s="10" t="s">
        <v>1628</v>
      </c>
      <c r="B115" t="s">
        <v>4098</v>
      </c>
      <c r="H115">
        <v>95603</v>
      </c>
      <c r="I115" t="s">
        <v>4213</v>
      </c>
      <c r="J115" t="str">
        <f t="shared" si="1"/>
        <v>ia.assorted_string like '%95603-00228-08-2024%' or</v>
      </c>
    </row>
    <row r="116" spans="1:10" x14ac:dyDescent="0.25">
      <c r="A116" s="9" t="s">
        <v>1639</v>
      </c>
      <c r="B116" t="s">
        <v>4098</v>
      </c>
      <c r="H116">
        <v>95603</v>
      </c>
      <c r="I116" t="s">
        <v>4214</v>
      </c>
      <c r="J116" t="str">
        <f t="shared" si="1"/>
        <v>ia.assorted_string like '%95603-00061-08-2024%' or</v>
      </c>
    </row>
    <row r="117" spans="1:10" x14ac:dyDescent="0.25">
      <c r="A117" s="10" t="s">
        <v>1652</v>
      </c>
      <c r="B117" t="s">
        <v>4098</v>
      </c>
      <c r="H117">
        <v>95603</v>
      </c>
      <c r="I117" t="s">
        <v>4215</v>
      </c>
      <c r="J117" t="str">
        <f t="shared" si="1"/>
        <v>ia.assorted_string like '%95603-00230-08-2024%' or</v>
      </c>
    </row>
    <row r="118" spans="1:10" x14ac:dyDescent="0.25">
      <c r="A118" s="9" t="s">
        <v>1665</v>
      </c>
      <c r="B118" t="s">
        <v>4098</v>
      </c>
      <c r="H118">
        <v>95603</v>
      </c>
      <c r="I118" t="s">
        <v>4216</v>
      </c>
      <c r="J118" t="str">
        <f t="shared" si="1"/>
        <v>ia.assorted_string like '%95603-00231-08-2024%' or</v>
      </c>
    </row>
    <row r="119" spans="1:10" x14ac:dyDescent="0.25">
      <c r="A119" s="10" t="s">
        <v>1679</v>
      </c>
      <c r="B119" t="s">
        <v>4098</v>
      </c>
      <c r="H119">
        <v>95603</v>
      </c>
      <c r="I119" t="s">
        <v>4217</v>
      </c>
      <c r="J119" t="str">
        <f t="shared" si="1"/>
        <v>ia.assorted_string like '%95603-00232-08-2024%' or</v>
      </c>
    </row>
    <row r="120" spans="1:10" x14ac:dyDescent="0.25">
      <c r="A120" s="9" t="s">
        <v>1690</v>
      </c>
      <c r="B120" t="s">
        <v>4098</v>
      </c>
      <c r="H120">
        <v>95603</v>
      </c>
      <c r="I120" t="s">
        <v>4218</v>
      </c>
      <c r="J120" t="str">
        <f t="shared" si="1"/>
        <v>ia.assorted_string like '%95603-00062-08-2024%' or</v>
      </c>
    </row>
    <row r="121" spans="1:10" x14ac:dyDescent="0.25">
      <c r="A121" s="10" t="s">
        <v>1703</v>
      </c>
      <c r="B121" t="s">
        <v>4098</v>
      </c>
      <c r="H121">
        <v>95603</v>
      </c>
      <c r="I121" t="s">
        <v>4219</v>
      </c>
      <c r="J121" t="str">
        <f t="shared" si="1"/>
        <v>ia.assorted_string like '%95603-00063-08-2024%' or</v>
      </c>
    </row>
    <row r="122" spans="1:10" x14ac:dyDescent="0.25">
      <c r="A122" s="9" t="s">
        <v>1716</v>
      </c>
      <c r="B122" t="s">
        <v>4098</v>
      </c>
      <c r="H122">
        <v>95603</v>
      </c>
      <c r="I122" t="s">
        <v>4220</v>
      </c>
      <c r="J122" t="str">
        <f t="shared" si="1"/>
        <v>ia.assorted_string like '%95603-00236-08-2024%' or</v>
      </c>
    </row>
    <row r="123" spans="1:10" x14ac:dyDescent="0.25">
      <c r="A123" s="10" t="s">
        <v>1730</v>
      </c>
      <c r="B123" t="s">
        <v>4098</v>
      </c>
      <c r="H123">
        <v>95603</v>
      </c>
      <c r="I123" t="s">
        <v>4221</v>
      </c>
      <c r="J123" t="str">
        <f t="shared" si="1"/>
        <v>ia.assorted_string like '%95603-00064-08-2024%' or</v>
      </c>
    </row>
    <row r="124" spans="1:10" x14ac:dyDescent="0.25">
      <c r="A124" s="9" t="s">
        <v>1743</v>
      </c>
      <c r="B124" t="s">
        <v>4098</v>
      </c>
      <c r="H124">
        <v>95603</v>
      </c>
      <c r="I124" t="s">
        <v>4222</v>
      </c>
      <c r="J124" t="str">
        <f t="shared" si="1"/>
        <v>ia.assorted_string like '%95603-00238-08-2024%' or</v>
      </c>
    </row>
    <row r="125" spans="1:10" x14ac:dyDescent="0.25">
      <c r="A125" s="10" t="s">
        <v>1755</v>
      </c>
      <c r="B125" t="s">
        <v>4098</v>
      </c>
      <c r="H125">
        <v>95603</v>
      </c>
      <c r="I125" t="s">
        <v>4223</v>
      </c>
      <c r="J125" t="str">
        <f t="shared" si="1"/>
        <v>ia.assorted_string like '%95603-00239-08-2024%' or</v>
      </c>
    </row>
    <row r="126" spans="1:10" x14ac:dyDescent="0.25">
      <c r="A126" s="9" t="s">
        <v>1767</v>
      </c>
      <c r="B126" t="s">
        <v>4098</v>
      </c>
      <c r="H126">
        <v>95603</v>
      </c>
      <c r="I126" t="s">
        <v>4224</v>
      </c>
      <c r="J126" t="str">
        <f t="shared" si="1"/>
        <v>ia.assorted_string like '%95603-00065-08-2024%' or</v>
      </c>
    </row>
    <row r="127" spans="1:10" x14ac:dyDescent="0.25">
      <c r="A127" s="10" t="s">
        <v>1778</v>
      </c>
      <c r="B127" t="s">
        <v>4098</v>
      </c>
      <c r="H127">
        <v>95603</v>
      </c>
      <c r="I127" t="s">
        <v>4225</v>
      </c>
      <c r="J127" t="str">
        <f t="shared" si="1"/>
        <v>ia.assorted_string like '%95603-00066-08-2024%' or</v>
      </c>
    </row>
    <row r="128" spans="1:10" x14ac:dyDescent="0.25">
      <c r="A128" s="9" t="s">
        <v>1790</v>
      </c>
      <c r="B128" t="s">
        <v>4098</v>
      </c>
      <c r="H128">
        <v>95603</v>
      </c>
      <c r="I128" t="s">
        <v>4226</v>
      </c>
      <c r="J128" t="str">
        <f t="shared" si="1"/>
        <v>ia.assorted_string like '%95603-00243-08-2024%' or</v>
      </c>
    </row>
    <row r="129" spans="1:10" x14ac:dyDescent="0.25">
      <c r="A129" s="10" t="s">
        <v>1803</v>
      </c>
      <c r="B129" t="s">
        <v>4098</v>
      </c>
      <c r="H129">
        <v>95603</v>
      </c>
      <c r="I129" t="s">
        <v>4227</v>
      </c>
      <c r="J129" t="str">
        <f t="shared" si="1"/>
        <v>ia.assorted_string like '%95603-00244-08-2024%' or</v>
      </c>
    </row>
    <row r="130" spans="1:10" x14ac:dyDescent="0.25">
      <c r="A130" s="9" t="s">
        <v>1815</v>
      </c>
      <c r="B130" t="s">
        <v>4098</v>
      </c>
      <c r="H130">
        <v>95603</v>
      </c>
      <c r="I130" t="s">
        <v>4228</v>
      </c>
      <c r="J130" t="str">
        <f t="shared" ref="J130:J193" si="2">"ia.assorted_string like '%"&amp;H130&amp;"-"&amp;I130&amp;B130&amp;"%' or"</f>
        <v>ia.assorted_string like '%95603-00068-08-2024%' or</v>
      </c>
    </row>
    <row r="131" spans="1:10" x14ac:dyDescent="0.25">
      <c r="A131" s="10" t="s">
        <v>1827</v>
      </c>
      <c r="B131" t="s">
        <v>4098</v>
      </c>
      <c r="H131">
        <v>95603</v>
      </c>
      <c r="I131" t="s">
        <v>4229</v>
      </c>
      <c r="J131" t="str">
        <f t="shared" si="2"/>
        <v>ia.assorted_string like '%95603-00069-08-2024%' or</v>
      </c>
    </row>
    <row r="132" spans="1:10" x14ac:dyDescent="0.25">
      <c r="A132" s="9" t="s">
        <v>1841</v>
      </c>
      <c r="B132" t="s">
        <v>4098</v>
      </c>
      <c r="H132">
        <v>95603</v>
      </c>
      <c r="I132" t="s">
        <v>4230</v>
      </c>
      <c r="J132" t="str">
        <f t="shared" si="2"/>
        <v>ia.assorted_string like '%95603-00070-08-2024%' or</v>
      </c>
    </row>
    <row r="133" spans="1:10" x14ac:dyDescent="0.25">
      <c r="A133" s="10" t="s">
        <v>1854</v>
      </c>
      <c r="B133" t="s">
        <v>4098</v>
      </c>
      <c r="H133">
        <v>95603</v>
      </c>
      <c r="I133" t="s">
        <v>4231</v>
      </c>
      <c r="J133" t="str">
        <f t="shared" si="2"/>
        <v>ia.assorted_string like '%95603-00071-08-2024%' or</v>
      </c>
    </row>
    <row r="134" spans="1:10" x14ac:dyDescent="0.25">
      <c r="A134" s="9" t="s">
        <v>1868</v>
      </c>
      <c r="B134" t="s">
        <v>4098</v>
      </c>
      <c r="H134">
        <v>95603</v>
      </c>
      <c r="I134" t="s">
        <v>4232</v>
      </c>
      <c r="J134" t="str">
        <f t="shared" si="2"/>
        <v>ia.assorted_string like '%95603-00250-08-2024%' or</v>
      </c>
    </row>
    <row r="135" spans="1:10" x14ac:dyDescent="0.25">
      <c r="A135" s="10" t="s">
        <v>1881</v>
      </c>
      <c r="B135" t="s">
        <v>4098</v>
      </c>
      <c r="H135">
        <v>95603</v>
      </c>
      <c r="I135" t="s">
        <v>4233</v>
      </c>
      <c r="J135" t="str">
        <f t="shared" si="2"/>
        <v>ia.assorted_string like '%95603-00251-08-2024%' or</v>
      </c>
    </row>
    <row r="136" spans="1:10" x14ac:dyDescent="0.25">
      <c r="A136" s="9" t="s">
        <v>1893</v>
      </c>
      <c r="B136" t="s">
        <v>4098</v>
      </c>
      <c r="H136">
        <v>95603</v>
      </c>
      <c r="I136" t="s">
        <v>4234</v>
      </c>
      <c r="J136" t="str">
        <f t="shared" si="2"/>
        <v>ia.assorted_string like '%95603-00074-08-2024%' or</v>
      </c>
    </row>
    <row r="137" spans="1:10" x14ac:dyDescent="0.25">
      <c r="A137" s="10" t="s">
        <v>1906</v>
      </c>
      <c r="B137" t="s">
        <v>4098</v>
      </c>
      <c r="H137">
        <v>95603</v>
      </c>
      <c r="I137" t="s">
        <v>4235</v>
      </c>
      <c r="J137" t="str">
        <f t="shared" si="2"/>
        <v>ia.assorted_string like '%95603-00253-08-2024%' or</v>
      </c>
    </row>
    <row r="138" spans="1:10" x14ac:dyDescent="0.25">
      <c r="A138" s="9" t="s">
        <v>1918</v>
      </c>
      <c r="B138" t="s">
        <v>4098</v>
      </c>
      <c r="H138">
        <v>95603</v>
      </c>
      <c r="I138" t="s">
        <v>4236</v>
      </c>
      <c r="J138" t="str">
        <f t="shared" si="2"/>
        <v>ia.assorted_string like '%95603-00254-08-2024%' or</v>
      </c>
    </row>
    <row r="139" spans="1:10" x14ac:dyDescent="0.25">
      <c r="A139" s="10" t="s">
        <v>1930</v>
      </c>
      <c r="B139" t="s">
        <v>4098</v>
      </c>
      <c r="H139">
        <v>95603</v>
      </c>
      <c r="I139" t="s">
        <v>4237</v>
      </c>
      <c r="J139" t="str">
        <f t="shared" si="2"/>
        <v>ia.assorted_string like '%95603-00076-08-2024%' or</v>
      </c>
    </row>
    <row r="140" spans="1:10" x14ac:dyDescent="0.25">
      <c r="A140" s="9" t="s">
        <v>1943</v>
      </c>
      <c r="B140" t="s">
        <v>4098</v>
      </c>
      <c r="H140">
        <v>95603</v>
      </c>
      <c r="I140" t="s">
        <v>4238</v>
      </c>
      <c r="J140" t="str">
        <f t="shared" si="2"/>
        <v>ia.assorted_string like '%95603-00077-08-2024%' or</v>
      </c>
    </row>
    <row r="141" spans="1:10" x14ac:dyDescent="0.25">
      <c r="A141" s="10" t="s">
        <v>1956</v>
      </c>
      <c r="B141" t="s">
        <v>4098</v>
      </c>
      <c r="H141">
        <v>95603</v>
      </c>
      <c r="I141" t="s">
        <v>4239</v>
      </c>
      <c r="J141" t="str">
        <f t="shared" si="2"/>
        <v>ia.assorted_string like '%95603-00078-08-2024%' or</v>
      </c>
    </row>
    <row r="142" spans="1:10" x14ac:dyDescent="0.25">
      <c r="A142" s="9" t="s">
        <v>1969</v>
      </c>
      <c r="B142" t="s">
        <v>4098</v>
      </c>
      <c r="H142">
        <v>95603</v>
      </c>
      <c r="I142" t="s">
        <v>4240</v>
      </c>
      <c r="J142" t="str">
        <f t="shared" si="2"/>
        <v>ia.assorted_string like '%95603-00257-08-2024%' or</v>
      </c>
    </row>
    <row r="143" spans="1:10" x14ac:dyDescent="0.25">
      <c r="A143" s="10" t="s">
        <v>1983</v>
      </c>
      <c r="B143" t="s">
        <v>4098</v>
      </c>
      <c r="H143">
        <v>95603</v>
      </c>
      <c r="I143" t="s">
        <v>4241</v>
      </c>
      <c r="J143" t="str">
        <f t="shared" si="2"/>
        <v>ia.assorted_string like '%95603-00080-08-2024%' or</v>
      </c>
    </row>
    <row r="144" spans="1:10" x14ac:dyDescent="0.25">
      <c r="A144" s="9" t="s">
        <v>1996</v>
      </c>
      <c r="B144" t="s">
        <v>4098</v>
      </c>
      <c r="H144">
        <v>95603</v>
      </c>
      <c r="I144" t="s">
        <v>4242</v>
      </c>
      <c r="J144" t="str">
        <f t="shared" si="2"/>
        <v>ia.assorted_string like '%95603-00081-08-2024%' or</v>
      </c>
    </row>
    <row r="145" spans="1:10" x14ac:dyDescent="0.25">
      <c r="A145" s="10" t="s">
        <v>2006</v>
      </c>
      <c r="B145" t="s">
        <v>4098</v>
      </c>
      <c r="H145">
        <v>95603</v>
      </c>
      <c r="I145" t="s">
        <v>4243</v>
      </c>
      <c r="J145" t="str">
        <f t="shared" si="2"/>
        <v>ia.assorted_string like '%95603-00261-08-2024%' or</v>
      </c>
    </row>
    <row r="146" spans="1:10" x14ac:dyDescent="0.25">
      <c r="A146" s="9" t="s">
        <v>2018</v>
      </c>
      <c r="B146" t="s">
        <v>4098</v>
      </c>
      <c r="H146">
        <v>95603</v>
      </c>
      <c r="I146" t="s">
        <v>4244</v>
      </c>
      <c r="J146" t="str">
        <f t="shared" si="2"/>
        <v>ia.assorted_string like '%95603-00262-08-2024%' or</v>
      </c>
    </row>
    <row r="147" spans="1:10" x14ac:dyDescent="0.25">
      <c r="A147" s="10" t="s">
        <v>2032</v>
      </c>
      <c r="B147" t="s">
        <v>4098</v>
      </c>
      <c r="H147">
        <v>95603</v>
      </c>
      <c r="I147" t="s">
        <v>4245</v>
      </c>
      <c r="J147" t="str">
        <f t="shared" si="2"/>
        <v>ia.assorted_string like '%95603-00263-08-2024%' or</v>
      </c>
    </row>
    <row r="148" spans="1:10" x14ac:dyDescent="0.25">
      <c r="A148" s="9" t="s">
        <v>2046</v>
      </c>
      <c r="B148" t="s">
        <v>4098</v>
      </c>
      <c r="H148">
        <v>95603</v>
      </c>
      <c r="I148" t="s">
        <v>4246</v>
      </c>
      <c r="J148" t="str">
        <f t="shared" si="2"/>
        <v>ia.assorted_string like '%95603-00084-08-2024%' or</v>
      </c>
    </row>
    <row r="149" spans="1:10" x14ac:dyDescent="0.25">
      <c r="A149" s="10" t="s">
        <v>2059</v>
      </c>
      <c r="B149" t="s">
        <v>4098</v>
      </c>
      <c r="H149">
        <v>95603</v>
      </c>
      <c r="I149" t="s">
        <v>4247</v>
      </c>
      <c r="J149" t="str">
        <f t="shared" si="2"/>
        <v>ia.assorted_string like '%95603-00085-08-2024%' or</v>
      </c>
    </row>
    <row r="150" spans="1:10" x14ac:dyDescent="0.25">
      <c r="A150" s="9" t="s">
        <v>2072</v>
      </c>
      <c r="B150" t="s">
        <v>4098</v>
      </c>
      <c r="H150">
        <v>95603</v>
      </c>
      <c r="I150" t="s">
        <v>4248</v>
      </c>
      <c r="J150" t="str">
        <f t="shared" si="2"/>
        <v>ia.assorted_string like '%95603-00265-08-2024%' or</v>
      </c>
    </row>
    <row r="151" spans="1:10" x14ac:dyDescent="0.25">
      <c r="A151" s="10" t="s">
        <v>2085</v>
      </c>
      <c r="B151" t="s">
        <v>4098</v>
      </c>
      <c r="H151">
        <v>95603</v>
      </c>
      <c r="I151" t="s">
        <v>4249</v>
      </c>
      <c r="J151" t="str">
        <f t="shared" si="2"/>
        <v>ia.assorted_string like '%95603-00086-08-2024%' or</v>
      </c>
    </row>
    <row r="152" spans="1:10" x14ac:dyDescent="0.25">
      <c r="A152" s="9" t="s">
        <v>2095</v>
      </c>
      <c r="B152" t="s">
        <v>4098</v>
      </c>
      <c r="H152">
        <v>95603</v>
      </c>
      <c r="I152" t="s">
        <v>4250</v>
      </c>
      <c r="J152" t="str">
        <f t="shared" si="2"/>
        <v>ia.assorted_string like '%95603-00087-08-2024%' or</v>
      </c>
    </row>
    <row r="153" spans="1:10" x14ac:dyDescent="0.25">
      <c r="A153" s="10" t="s">
        <v>2109</v>
      </c>
      <c r="B153" t="s">
        <v>4098</v>
      </c>
      <c r="H153">
        <v>95603</v>
      </c>
      <c r="I153" t="s">
        <v>4251</v>
      </c>
      <c r="J153" t="str">
        <f t="shared" si="2"/>
        <v>ia.assorted_string like '%95603-00268-08-2024%' or</v>
      </c>
    </row>
    <row r="154" spans="1:10" x14ac:dyDescent="0.25">
      <c r="A154" s="9" t="s">
        <v>2122</v>
      </c>
      <c r="B154" t="s">
        <v>4098</v>
      </c>
      <c r="H154">
        <v>95603</v>
      </c>
      <c r="I154" t="s">
        <v>4252</v>
      </c>
      <c r="J154" t="str">
        <f t="shared" si="2"/>
        <v>ia.assorted_string like '%95603-00088-08-2024%' or</v>
      </c>
    </row>
    <row r="155" spans="1:10" x14ac:dyDescent="0.25">
      <c r="A155" s="10" t="s">
        <v>2137</v>
      </c>
      <c r="B155" t="s">
        <v>4098</v>
      </c>
      <c r="H155">
        <v>95603</v>
      </c>
      <c r="I155" t="s">
        <v>4253</v>
      </c>
      <c r="J155" t="str">
        <f t="shared" si="2"/>
        <v>ia.assorted_string like '%95603-00089-08-2024%' or</v>
      </c>
    </row>
    <row r="156" spans="1:10" x14ac:dyDescent="0.25">
      <c r="A156" s="9" t="s">
        <v>2150</v>
      </c>
      <c r="B156" t="s">
        <v>4098</v>
      </c>
      <c r="H156">
        <v>95603</v>
      </c>
      <c r="I156" t="s">
        <v>4254</v>
      </c>
      <c r="J156" t="str">
        <f t="shared" si="2"/>
        <v>ia.assorted_string like '%95603-00271-08-2024%' or</v>
      </c>
    </row>
    <row r="157" spans="1:10" x14ac:dyDescent="0.25">
      <c r="A157" s="10" t="s">
        <v>2161</v>
      </c>
      <c r="B157" t="s">
        <v>4098</v>
      </c>
      <c r="H157">
        <v>95603</v>
      </c>
      <c r="I157" t="s">
        <v>4255</v>
      </c>
      <c r="J157" t="str">
        <f t="shared" si="2"/>
        <v>ia.assorted_string like '%95603-00274-08-2024%' or</v>
      </c>
    </row>
    <row r="158" spans="1:10" x14ac:dyDescent="0.25">
      <c r="A158" s="9" t="s">
        <v>2172</v>
      </c>
      <c r="B158" t="s">
        <v>4098</v>
      </c>
      <c r="H158">
        <v>95603</v>
      </c>
      <c r="I158" t="s">
        <v>4256</v>
      </c>
      <c r="J158" t="str">
        <f t="shared" si="2"/>
        <v>ia.assorted_string like '%95603-00275-08-2024%' or</v>
      </c>
    </row>
    <row r="159" spans="1:10" x14ac:dyDescent="0.25">
      <c r="A159" s="10" t="s">
        <v>2190</v>
      </c>
      <c r="B159" t="s">
        <v>4098</v>
      </c>
      <c r="H159">
        <v>95603</v>
      </c>
      <c r="I159" t="s">
        <v>4257</v>
      </c>
      <c r="J159" t="str">
        <f t="shared" si="2"/>
        <v>ia.assorted_string like '%95603-00276-08-2024%' or</v>
      </c>
    </row>
    <row r="160" spans="1:10" x14ac:dyDescent="0.25">
      <c r="A160" s="9" t="s">
        <v>2203</v>
      </c>
      <c r="B160" t="s">
        <v>4098</v>
      </c>
      <c r="H160">
        <v>95603</v>
      </c>
      <c r="I160" t="s">
        <v>4258</v>
      </c>
      <c r="J160" t="str">
        <f t="shared" si="2"/>
        <v>ia.assorted_string like '%95603-00277-08-2024%' or</v>
      </c>
    </row>
    <row r="161" spans="1:10" x14ac:dyDescent="0.25">
      <c r="A161" s="10" t="s">
        <v>2217</v>
      </c>
      <c r="B161" t="s">
        <v>4098</v>
      </c>
      <c r="H161">
        <v>95603</v>
      </c>
      <c r="I161" t="s">
        <v>4259</v>
      </c>
      <c r="J161" t="str">
        <f t="shared" si="2"/>
        <v>ia.assorted_string like '%95603-00278-08-2024%' or</v>
      </c>
    </row>
    <row r="162" spans="1:10" x14ac:dyDescent="0.25">
      <c r="A162" s="9" t="s">
        <v>2227</v>
      </c>
      <c r="B162" t="s">
        <v>4098</v>
      </c>
      <c r="H162">
        <v>95603</v>
      </c>
      <c r="I162" t="s">
        <v>4260</v>
      </c>
      <c r="J162" t="str">
        <f t="shared" si="2"/>
        <v>ia.assorted_string like '%95603-00090-08-2024%' or</v>
      </c>
    </row>
    <row r="163" spans="1:10" x14ac:dyDescent="0.25">
      <c r="A163" s="10" t="s">
        <v>2239</v>
      </c>
      <c r="B163" t="s">
        <v>4098</v>
      </c>
      <c r="H163">
        <v>95603</v>
      </c>
      <c r="I163" t="s">
        <v>4261</v>
      </c>
      <c r="J163" t="str">
        <f t="shared" si="2"/>
        <v>ia.assorted_string like '%95603-00092-08-2024%' or</v>
      </c>
    </row>
    <row r="164" spans="1:10" x14ac:dyDescent="0.25">
      <c r="A164" s="9" t="s">
        <v>2250</v>
      </c>
      <c r="B164" t="s">
        <v>4098</v>
      </c>
      <c r="H164">
        <v>95603</v>
      </c>
      <c r="I164" t="s">
        <v>4262</v>
      </c>
      <c r="J164" t="str">
        <f t="shared" si="2"/>
        <v>ia.assorted_string like '%95603-00093-08-2024%' or</v>
      </c>
    </row>
    <row r="165" spans="1:10" x14ac:dyDescent="0.25">
      <c r="A165" s="10" t="s">
        <v>2262</v>
      </c>
      <c r="B165" t="s">
        <v>4098</v>
      </c>
      <c r="H165">
        <v>95603</v>
      </c>
      <c r="I165" t="s">
        <v>4263</v>
      </c>
      <c r="J165" t="str">
        <f t="shared" si="2"/>
        <v>ia.assorted_string like '%95603-00283-08-2024%' or</v>
      </c>
    </row>
    <row r="166" spans="1:10" x14ac:dyDescent="0.25">
      <c r="A166" s="9" t="s">
        <v>2273</v>
      </c>
      <c r="B166" t="s">
        <v>4098</v>
      </c>
      <c r="H166">
        <v>95603</v>
      </c>
      <c r="I166" t="s">
        <v>4264</v>
      </c>
      <c r="J166" t="str">
        <f t="shared" si="2"/>
        <v>ia.assorted_string like '%95603-00284-08-2024%' or</v>
      </c>
    </row>
    <row r="167" spans="1:10" x14ac:dyDescent="0.25">
      <c r="A167" s="10" t="s">
        <v>2285</v>
      </c>
      <c r="B167" t="s">
        <v>4098</v>
      </c>
      <c r="H167">
        <v>95603</v>
      </c>
      <c r="I167" t="s">
        <v>4265</v>
      </c>
      <c r="J167" t="str">
        <f t="shared" si="2"/>
        <v>ia.assorted_string like '%95603-00094-08-2024%' or</v>
      </c>
    </row>
    <row r="168" spans="1:10" x14ac:dyDescent="0.25">
      <c r="A168" s="9" t="s">
        <v>2296</v>
      </c>
      <c r="B168" t="s">
        <v>4098</v>
      </c>
      <c r="H168">
        <v>95603</v>
      </c>
      <c r="I168" t="s">
        <v>4266</v>
      </c>
      <c r="J168" t="str">
        <f t="shared" si="2"/>
        <v>ia.assorted_string like '%95603-00095-08-2024%' or</v>
      </c>
    </row>
    <row r="169" spans="1:10" x14ac:dyDescent="0.25">
      <c r="A169" s="10" t="s">
        <v>2308</v>
      </c>
      <c r="B169" t="s">
        <v>4098</v>
      </c>
      <c r="H169">
        <v>95603</v>
      </c>
      <c r="I169" t="s">
        <v>4267</v>
      </c>
      <c r="J169" t="str">
        <f t="shared" si="2"/>
        <v>ia.assorted_string like '%95603-00097-08-2024%' or</v>
      </c>
    </row>
    <row r="170" spans="1:10" x14ac:dyDescent="0.25">
      <c r="A170" s="9" t="s">
        <v>2321</v>
      </c>
      <c r="B170" t="s">
        <v>4098</v>
      </c>
      <c r="H170">
        <v>95603</v>
      </c>
      <c r="I170" t="s">
        <v>4268</v>
      </c>
      <c r="J170" t="str">
        <f t="shared" si="2"/>
        <v>ia.assorted_string like '%95603-00098-08-2024%' or</v>
      </c>
    </row>
    <row r="171" spans="1:10" x14ac:dyDescent="0.25">
      <c r="A171" s="10" t="s">
        <v>2333</v>
      </c>
      <c r="B171" t="s">
        <v>4098</v>
      </c>
      <c r="H171">
        <v>95603</v>
      </c>
      <c r="I171" t="s">
        <v>4269</v>
      </c>
      <c r="J171" t="str">
        <f t="shared" si="2"/>
        <v>ia.assorted_string like '%95603-00292-08-2024%' or</v>
      </c>
    </row>
    <row r="172" spans="1:10" x14ac:dyDescent="0.25">
      <c r="A172" s="9" t="s">
        <v>2346</v>
      </c>
      <c r="B172" t="s">
        <v>4098</v>
      </c>
      <c r="H172">
        <v>95603</v>
      </c>
      <c r="I172" t="s">
        <v>4270</v>
      </c>
      <c r="J172" t="str">
        <f t="shared" si="2"/>
        <v>ia.assorted_string like '%95603-00293-08-2024%' or</v>
      </c>
    </row>
    <row r="173" spans="1:10" x14ac:dyDescent="0.25">
      <c r="A173" s="10" t="s">
        <v>2359</v>
      </c>
      <c r="B173" t="s">
        <v>4098</v>
      </c>
      <c r="H173">
        <v>95603</v>
      </c>
      <c r="I173" t="s">
        <v>4271</v>
      </c>
      <c r="J173" t="str">
        <f t="shared" si="2"/>
        <v>ia.assorted_string like '%95603-00294-08-2024%' or</v>
      </c>
    </row>
    <row r="174" spans="1:10" x14ac:dyDescent="0.25">
      <c r="A174" s="9" t="s">
        <v>2369</v>
      </c>
      <c r="B174" t="s">
        <v>4098</v>
      </c>
      <c r="H174">
        <v>95603</v>
      </c>
      <c r="I174" t="s">
        <v>4272</v>
      </c>
      <c r="J174" t="str">
        <f t="shared" si="2"/>
        <v>ia.assorted_string like '%95603-00099-08-2024%' or</v>
      </c>
    </row>
    <row r="175" spans="1:10" x14ac:dyDescent="0.25">
      <c r="A175" s="10" t="s">
        <v>2381</v>
      </c>
      <c r="B175" t="s">
        <v>4098</v>
      </c>
      <c r="H175">
        <v>95603</v>
      </c>
      <c r="I175" t="s">
        <v>4273</v>
      </c>
      <c r="J175" t="str">
        <f t="shared" si="2"/>
        <v>ia.assorted_string like '%95603-00296-08-2024%' or</v>
      </c>
    </row>
    <row r="176" spans="1:10" x14ac:dyDescent="0.25">
      <c r="A176" s="9" t="s">
        <v>2392</v>
      </c>
      <c r="B176" t="s">
        <v>4098</v>
      </c>
      <c r="H176">
        <v>95603</v>
      </c>
      <c r="I176" t="s">
        <v>4274</v>
      </c>
      <c r="J176" t="str">
        <f t="shared" si="2"/>
        <v>ia.assorted_string like '%95603-00298-08-2024%' or</v>
      </c>
    </row>
    <row r="177" spans="1:10" x14ac:dyDescent="0.25">
      <c r="A177" s="10" t="s">
        <v>2404</v>
      </c>
      <c r="B177" t="s">
        <v>4098</v>
      </c>
      <c r="H177">
        <v>95603</v>
      </c>
      <c r="I177" t="s">
        <v>4275</v>
      </c>
      <c r="J177" t="str">
        <f t="shared" si="2"/>
        <v>ia.assorted_string like '%95603-00299-08-2024%' or</v>
      </c>
    </row>
    <row r="178" spans="1:10" x14ac:dyDescent="0.25">
      <c r="A178" s="9" t="s">
        <v>2417</v>
      </c>
      <c r="B178" t="s">
        <v>4098</v>
      </c>
      <c r="H178">
        <v>95603</v>
      </c>
      <c r="I178" t="s">
        <v>4276</v>
      </c>
      <c r="J178" t="str">
        <f t="shared" si="2"/>
        <v>ia.assorted_string like '%95603-00301-08-2024%' or</v>
      </c>
    </row>
    <row r="179" spans="1:10" x14ac:dyDescent="0.25">
      <c r="A179" s="10" t="s">
        <v>2429</v>
      </c>
      <c r="B179" t="s">
        <v>4098</v>
      </c>
      <c r="H179">
        <v>95603</v>
      </c>
      <c r="I179" t="s">
        <v>4277</v>
      </c>
      <c r="J179" t="str">
        <f t="shared" si="2"/>
        <v>ia.assorted_string like '%95603-00303-08-2024%' or</v>
      </c>
    </row>
    <row r="180" spans="1:10" x14ac:dyDescent="0.25">
      <c r="A180" s="9" t="s">
        <v>2442</v>
      </c>
      <c r="B180" t="s">
        <v>4098</v>
      </c>
      <c r="H180">
        <v>95603</v>
      </c>
      <c r="I180" t="s">
        <v>4278</v>
      </c>
      <c r="J180" t="str">
        <f t="shared" si="2"/>
        <v>ia.assorted_string like '%95603-00304-08-2024%' or</v>
      </c>
    </row>
    <row r="181" spans="1:10" x14ac:dyDescent="0.25">
      <c r="A181" s="10" t="s">
        <v>2454</v>
      </c>
      <c r="B181" t="s">
        <v>4098</v>
      </c>
      <c r="H181">
        <v>95603</v>
      </c>
      <c r="I181" t="s">
        <v>4279</v>
      </c>
      <c r="J181" t="str">
        <f t="shared" si="2"/>
        <v>ia.assorted_string like '%95603-00305-08-2024%' or</v>
      </c>
    </row>
    <row r="182" spans="1:10" x14ac:dyDescent="0.25">
      <c r="A182" s="9" t="s">
        <v>2465</v>
      </c>
      <c r="B182" t="s">
        <v>4098</v>
      </c>
      <c r="H182">
        <v>95603</v>
      </c>
      <c r="I182" t="s">
        <v>4280</v>
      </c>
      <c r="J182" t="str">
        <f t="shared" si="2"/>
        <v>ia.assorted_string like '%95603-00100-08-2024%' or</v>
      </c>
    </row>
    <row r="183" spans="1:10" x14ac:dyDescent="0.25">
      <c r="A183" s="10" t="s">
        <v>2478</v>
      </c>
      <c r="B183" t="s">
        <v>4098</v>
      </c>
      <c r="H183">
        <v>95603</v>
      </c>
      <c r="I183" t="s">
        <v>4281</v>
      </c>
      <c r="J183" t="str">
        <f t="shared" si="2"/>
        <v>ia.assorted_string like '%95603-00102-08-2024%' or</v>
      </c>
    </row>
    <row r="184" spans="1:10" x14ac:dyDescent="0.25">
      <c r="A184" s="9" t="s">
        <v>2488</v>
      </c>
      <c r="B184" t="s">
        <v>4098</v>
      </c>
      <c r="H184">
        <v>95603</v>
      </c>
      <c r="I184" t="s">
        <v>4282</v>
      </c>
      <c r="J184" t="str">
        <f t="shared" si="2"/>
        <v>ia.assorted_string like '%95603-00104-08-2024%' or</v>
      </c>
    </row>
    <row r="185" spans="1:10" x14ac:dyDescent="0.25">
      <c r="A185" s="10" t="s">
        <v>2499</v>
      </c>
      <c r="B185" t="s">
        <v>4098</v>
      </c>
      <c r="H185">
        <v>95603</v>
      </c>
      <c r="I185" t="s">
        <v>4283</v>
      </c>
      <c r="J185" t="str">
        <f t="shared" si="2"/>
        <v>ia.assorted_string like '%95603-00106-08-2024%' or</v>
      </c>
    </row>
    <row r="186" spans="1:10" x14ac:dyDescent="0.25">
      <c r="A186" s="9" t="s">
        <v>2514</v>
      </c>
      <c r="B186" t="s">
        <v>4098</v>
      </c>
      <c r="H186">
        <v>95603</v>
      </c>
      <c r="I186" t="s">
        <v>4284</v>
      </c>
      <c r="J186" t="str">
        <f t="shared" si="2"/>
        <v>ia.assorted_string like '%95603-00107-08-2024%' or</v>
      </c>
    </row>
    <row r="187" spans="1:10" x14ac:dyDescent="0.25">
      <c r="A187" s="10" t="s">
        <v>2529</v>
      </c>
      <c r="B187" t="s">
        <v>4098</v>
      </c>
      <c r="H187">
        <v>95603</v>
      </c>
      <c r="I187" t="s">
        <v>4285</v>
      </c>
      <c r="J187" t="str">
        <f t="shared" si="2"/>
        <v>ia.assorted_string like '%95603-00108-08-2024%' or</v>
      </c>
    </row>
    <row r="188" spans="1:10" x14ac:dyDescent="0.25">
      <c r="A188" s="9" t="s">
        <v>2541</v>
      </c>
      <c r="B188" t="s">
        <v>4098</v>
      </c>
      <c r="H188">
        <v>95603</v>
      </c>
      <c r="I188" t="s">
        <v>4286</v>
      </c>
      <c r="J188" t="str">
        <f t="shared" si="2"/>
        <v>ia.assorted_string like '%95603-00314-08-2024%' or</v>
      </c>
    </row>
    <row r="189" spans="1:10" x14ac:dyDescent="0.25">
      <c r="A189" s="10" t="s">
        <v>2553</v>
      </c>
      <c r="B189" t="s">
        <v>4098</v>
      </c>
      <c r="H189">
        <v>95603</v>
      </c>
      <c r="I189" t="s">
        <v>4287</v>
      </c>
      <c r="J189" t="str">
        <f t="shared" si="2"/>
        <v>ia.assorted_string like '%95603-00109-08-2024%' or</v>
      </c>
    </row>
    <row r="190" spans="1:10" x14ac:dyDescent="0.25">
      <c r="A190" s="9" t="s">
        <v>2566</v>
      </c>
      <c r="B190" t="s">
        <v>4098</v>
      </c>
      <c r="H190">
        <v>95603</v>
      </c>
      <c r="I190" t="s">
        <v>4288</v>
      </c>
      <c r="J190" t="str">
        <f t="shared" si="2"/>
        <v>ia.assorted_string like '%95603-00316-08-2024%' or</v>
      </c>
    </row>
    <row r="191" spans="1:10" x14ac:dyDescent="0.25">
      <c r="A191" s="10" t="s">
        <v>2579</v>
      </c>
      <c r="B191" t="s">
        <v>4098</v>
      </c>
      <c r="H191">
        <v>95603</v>
      </c>
      <c r="I191" t="s">
        <v>4289</v>
      </c>
      <c r="J191" t="str">
        <f t="shared" si="2"/>
        <v>ia.assorted_string like '%95603-00111-08-2024%' or</v>
      </c>
    </row>
    <row r="192" spans="1:10" x14ac:dyDescent="0.25">
      <c r="A192" s="9" t="s">
        <v>2594</v>
      </c>
      <c r="B192" t="s">
        <v>4098</v>
      </c>
      <c r="H192">
        <v>95603</v>
      </c>
      <c r="I192" t="s">
        <v>4290</v>
      </c>
      <c r="J192" t="str">
        <f t="shared" si="2"/>
        <v>ia.assorted_string like '%95603-00317-08-2024%' or</v>
      </c>
    </row>
    <row r="193" spans="1:10" x14ac:dyDescent="0.25">
      <c r="A193" s="10" t="s">
        <v>2606</v>
      </c>
      <c r="B193" t="s">
        <v>4098</v>
      </c>
      <c r="H193">
        <v>95603</v>
      </c>
      <c r="I193" t="s">
        <v>4291</v>
      </c>
      <c r="J193" t="str">
        <f t="shared" si="2"/>
        <v>ia.assorted_string like '%95603-00112-08-2024%' or</v>
      </c>
    </row>
    <row r="194" spans="1:10" x14ac:dyDescent="0.25">
      <c r="A194" s="9" t="s">
        <v>2619</v>
      </c>
      <c r="B194" t="s">
        <v>4098</v>
      </c>
      <c r="H194">
        <v>95603</v>
      </c>
      <c r="I194" t="s">
        <v>4292</v>
      </c>
      <c r="J194" t="str">
        <f t="shared" ref="J194:J257" si="3">"ia.assorted_string like '%"&amp;H194&amp;"-"&amp;I194&amp;B194&amp;"%' or"</f>
        <v>ia.assorted_string like '%95603-00114-08-2024%' or</v>
      </c>
    </row>
    <row r="195" spans="1:10" x14ac:dyDescent="0.25">
      <c r="A195" s="10" t="s">
        <v>2631</v>
      </c>
      <c r="B195" t="s">
        <v>4098</v>
      </c>
      <c r="H195">
        <v>95603</v>
      </c>
      <c r="I195" t="s">
        <v>4293</v>
      </c>
      <c r="J195" t="str">
        <f t="shared" si="3"/>
        <v>ia.assorted_string like '%95603-00117-08-2024%' or</v>
      </c>
    </row>
    <row r="196" spans="1:10" x14ac:dyDescent="0.25">
      <c r="A196" s="9" t="s">
        <v>2643</v>
      </c>
      <c r="B196" t="s">
        <v>4098</v>
      </c>
      <c r="H196">
        <v>95603</v>
      </c>
      <c r="I196" t="s">
        <v>4294</v>
      </c>
      <c r="J196" t="str">
        <f t="shared" si="3"/>
        <v>ia.assorted_string like '%95603-00321-08-2024%' or</v>
      </c>
    </row>
    <row r="197" spans="1:10" x14ac:dyDescent="0.25">
      <c r="A197" s="10" t="s">
        <v>2656</v>
      </c>
      <c r="B197" t="s">
        <v>4098</v>
      </c>
      <c r="H197">
        <v>95603</v>
      </c>
      <c r="I197" t="s">
        <v>4295</v>
      </c>
      <c r="J197" t="str">
        <f t="shared" si="3"/>
        <v>ia.assorted_string like '%95603-00118-08-2024%' or</v>
      </c>
    </row>
    <row r="198" spans="1:10" x14ac:dyDescent="0.25">
      <c r="A198" s="9" t="s">
        <v>2669</v>
      </c>
      <c r="B198" t="s">
        <v>4098</v>
      </c>
      <c r="H198">
        <v>95603</v>
      </c>
      <c r="I198" t="s">
        <v>4296</v>
      </c>
      <c r="J198" t="str">
        <f t="shared" si="3"/>
        <v>ia.assorted_string like '%95603-00322-08-2024%' or</v>
      </c>
    </row>
    <row r="199" spans="1:10" x14ac:dyDescent="0.25">
      <c r="A199" s="10" t="s">
        <v>2680</v>
      </c>
      <c r="B199" t="s">
        <v>4098</v>
      </c>
      <c r="H199">
        <v>95603</v>
      </c>
      <c r="I199" t="s">
        <v>4297</v>
      </c>
      <c r="J199" t="str">
        <f t="shared" si="3"/>
        <v>ia.assorted_string like '%95603-00119-08-2024%' or</v>
      </c>
    </row>
    <row r="200" spans="1:10" x14ac:dyDescent="0.25">
      <c r="A200" s="9" t="s">
        <v>2692</v>
      </c>
      <c r="B200" t="s">
        <v>4098</v>
      </c>
      <c r="H200">
        <v>95603</v>
      </c>
      <c r="I200" t="s">
        <v>4298</v>
      </c>
      <c r="J200" t="str">
        <f t="shared" si="3"/>
        <v>ia.assorted_string like '%95603-00121-08-2024%' or</v>
      </c>
    </row>
    <row r="201" spans="1:10" x14ac:dyDescent="0.25">
      <c r="A201" s="10" t="s">
        <v>2707</v>
      </c>
      <c r="B201" t="s">
        <v>4098</v>
      </c>
      <c r="H201">
        <v>95603</v>
      </c>
      <c r="I201" t="s">
        <v>4299</v>
      </c>
      <c r="J201" t="str">
        <f t="shared" si="3"/>
        <v>ia.assorted_string like '%95603-00324-08-2024%' or</v>
      </c>
    </row>
    <row r="202" spans="1:10" x14ac:dyDescent="0.25">
      <c r="A202" s="9" t="s">
        <v>2719</v>
      </c>
      <c r="B202" t="s">
        <v>4098</v>
      </c>
      <c r="H202">
        <v>95603</v>
      </c>
      <c r="I202" t="s">
        <v>4300</v>
      </c>
      <c r="J202" t="str">
        <f t="shared" si="3"/>
        <v>ia.assorted_string like '%95603-00122-08-2024%' or</v>
      </c>
    </row>
    <row r="203" spans="1:10" x14ac:dyDescent="0.25">
      <c r="A203" s="10" t="s">
        <v>2733</v>
      </c>
      <c r="B203" t="s">
        <v>4098</v>
      </c>
      <c r="H203">
        <v>95603</v>
      </c>
      <c r="I203" t="s">
        <v>4301</v>
      </c>
      <c r="J203" t="str">
        <f t="shared" si="3"/>
        <v>ia.assorted_string like '%95603-00323-08-2024%' or</v>
      </c>
    </row>
    <row r="204" spans="1:10" x14ac:dyDescent="0.25">
      <c r="A204" s="9" t="s">
        <v>2744</v>
      </c>
      <c r="B204" t="s">
        <v>4098</v>
      </c>
      <c r="H204">
        <v>95603</v>
      </c>
      <c r="I204" t="s">
        <v>4302</v>
      </c>
      <c r="J204" t="str">
        <f t="shared" si="3"/>
        <v>ia.assorted_string like '%95603-00123-08-2024%' or</v>
      </c>
    </row>
    <row r="205" spans="1:10" x14ac:dyDescent="0.25">
      <c r="A205" s="10" t="s">
        <v>2756</v>
      </c>
      <c r="B205" t="s">
        <v>4098</v>
      </c>
      <c r="H205">
        <v>95603</v>
      </c>
      <c r="I205" t="s">
        <v>4303</v>
      </c>
      <c r="J205" t="str">
        <f t="shared" si="3"/>
        <v>ia.assorted_string like '%95603-00124-08-2024%' or</v>
      </c>
    </row>
    <row r="206" spans="1:10" x14ac:dyDescent="0.25">
      <c r="A206" s="9" t="s">
        <v>2769</v>
      </c>
      <c r="B206" t="s">
        <v>4098</v>
      </c>
      <c r="H206">
        <v>95603</v>
      </c>
      <c r="I206" t="s">
        <v>4304</v>
      </c>
      <c r="J206" t="str">
        <f t="shared" si="3"/>
        <v>ia.assorted_string like '%95603-00126-08-2024%' or</v>
      </c>
    </row>
    <row r="207" spans="1:10" x14ac:dyDescent="0.25">
      <c r="A207" s="10" t="s">
        <v>2782</v>
      </c>
      <c r="B207" t="s">
        <v>4098</v>
      </c>
      <c r="H207">
        <v>95603</v>
      </c>
      <c r="I207" t="s">
        <v>4305</v>
      </c>
      <c r="J207" t="str">
        <f t="shared" si="3"/>
        <v>ia.assorted_string like '%95603-00320-08-2024%' or</v>
      </c>
    </row>
    <row r="208" spans="1:10" x14ac:dyDescent="0.25">
      <c r="A208" s="9" t="s">
        <v>2795</v>
      </c>
      <c r="B208" t="s">
        <v>4098</v>
      </c>
      <c r="H208">
        <v>95603</v>
      </c>
      <c r="I208" t="s">
        <v>4306</v>
      </c>
      <c r="J208" t="str">
        <f t="shared" si="3"/>
        <v>ia.assorted_string like '%95603-00131-08-2024%' or</v>
      </c>
    </row>
    <row r="209" spans="1:10" x14ac:dyDescent="0.25">
      <c r="A209" s="10" t="s">
        <v>2806</v>
      </c>
      <c r="B209" t="s">
        <v>4098</v>
      </c>
      <c r="H209">
        <v>95603</v>
      </c>
      <c r="I209" t="s">
        <v>4307</v>
      </c>
      <c r="J209" t="str">
        <f t="shared" si="3"/>
        <v>ia.assorted_string like '%95603-00132-08-2024%' or</v>
      </c>
    </row>
    <row r="210" spans="1:10" x14ac:dyDescent="0.25">
      <c r="A210" s="9" t="s">
        <v>2818</v>
      </c>
      <c r="B210" t="s">
        <v>4098</v>
      </c>
      <c r="H210">
        <v>95603</v>
      </c>
      <c r="I210" t="s">
        <v>4308</v>
      </c>
      <c r="J210" t="str">
        <f t="shared" si="3"/>
        <v>ia.assorted_string like '%95603-00133-08-2024%' or</v>
      </c>
    </row>
    <row r="211" spans="1:10" x14ac:dyDescent="0.25">
      <c r="A211" s="10" t="s">
        <v>2829</v>
      </c>
      <c r="B211" t="s">
        <v>4098</v>
      </c>
      <c r="H211">
        <v>95603</v>
      </c>
      <c r="I211" t="s">
        <v>4309</v>
      </c>
      <c r="J211" t="str">
        <f t="shared" si="3"/>
        <v>ia.assorted_string like '%95603-00134-08-2024%' or</v>
      </c>
    </row>
    <row r="212" spans="1:10" x14ac:dyDescent="0.25">
      <c r="A212" s="9" t="s">
        <v>2842</v>
      </c>
      <c r="B212" t="s">
        <v>4098</v>
      </c>
      <c r="H212">
        <v>95603</v>
      </c>
      <c r="I212" t="s">
        <v>4310</v>
      </c>
      <c r="J212" t="str">
        <f t="shared" si="3"/>
        <v>ia.assorted_string like '%95603-00135-08-2024%' or</v>
      </c>
    </row>
    <row r="213" spans="1:10" x14ac:dyDescent="0.25">
      <c r="A213" s="10" t="s">
        <v>2852</v>
      </c>
      <c r="B213" t="s">
        <v>4098</v>
      </c>
      <c r="H213">
        <v>95603</v>
      </c>
      <c r="I213" t="s">
        <v>4311</v>
      </c>
      <c r="J213" t="str">
        <f t="shared" si="3"/>
        <v>ia.assorted_string like '%95603-00137-08-2024%' or</v>
      </c>
    </row>
    <row r="214" spans="1:10" x14ac:dyDescent="0.25">
      <c r="A214" s="9" t="s">
        <v>2864</v>
      </c>
      <c r="B214" t="s">
        <v>4098</v>
      </c>
      <c r="H214">
        <v>95603</v>
      </c>
      <c r="I214" t="s">
        <v>4312</v>
      </c>
      <c r="J214" t="str">
        <f t="shared" si="3"/>
        <v>ia.assorted_string like '%95603-00139-08-2024%' or</v>
      </c>
    </row>
    <row r="215" spans="1:10" x14ac:dyDescent="0.25">
      <c r="A215" s="10" t="s">
        <v>2876</v>
      </c>
      <c r="B215" t="s">
        <v>4098</v>
      </c>
      <c r="H215">
        <v>95603</v>
      </c>
      <c r="I215" t="s">
        <v>4313</v>
      </c>
      <c r="J215" t="str">
        <f t="shared" si="3"/>
        <v>ia.assorted_string like '%95603-00315-08-2024%' or</v>
      </c>
    </row>
    <row r="216" spans="1:10" x14ac:dyDescent="0.25">
      <c r="A216" s="9" t="s">
        <v>2888</v>
      </c>
      <c r="B216" t="s">
        <v>4098</v>
      </c>
      <c r="H216">
        <v>95603</v>
      </c>
      <c r="I216" t="s">
        <v>4314</v>
      </c>
      <c r="J216" t="str">
        <f t="shared" si="3"/>
        <v>ia.assorted_string like '%95603-00313-08-2024%' or</v>
      </c>
    </row>
    <row r="217" spans="1:10" x14ac:dyDescent="0.25">
      <c r="A217" s="10" t="s">
        <v>2900</v>
      </c>
      <c r="B217" t="s">
        <v>4098</v>
      </c>
      <c r="H217">
        <v>95603</v>
      </c>
      <c r="I217" t="s">
        <v>4315</v>
      </c>
      <c r="J217" t="str">
        <f t="shared" si="3"/>
        <v>ia.assorted_string like '%95603-00140-08-2024%' or</v>
      </c>
    </row>
    <row r="218" spans="1:10" x14ac:dyDescent="0.25">
      <c r="A218" s="9" t="s">
        <v>2913</v>
      </c>
      <c r="B218" t="s">
        <v>4098</v>
      </c>
      <c r="H218">
        <v>95603</v>
      </c>
      <c r="I218" t="s">
        <v>4316</v>
      </c>
      <c r="J218" t="str">
        <f t="shared" si="3"/>
        <v>ia.assorted_string like '%95603-00312-08-2024%' or</v>
      </c>
    </row>
    <row r="219" spans="1:10" x14ac:dyDescent="0.25">
      <c r="A219" s="10" t="s">
        <v>2923</v>
      </c>
      <c r="B219" t="s">
        <v>4098</v>
      </c>
      <c r="H219">
        <v>95603</v>
      </c>
      <c r="I219" t="s">
        <v>4317</v>
      </c>
      <c r="J219" t="str">
        <f t="shared" si="3"/>
        <v>ia.assorted_string like '%95603-00311-08-2024%' or</v>
      </c>
    </row>
    <row r="220" spans="1:10" x14ac:dyDescent="0.25">
      <c r="A220" s="9" t="s">
        <v>2934</v>
      </c>
      <c r="B220" t="s">
        <v>4098</v>
      </c>
      <c r="H220">
        <v>95603</v>
      </c>
      <c r="I220" t="s">
        <v>4318</v>
      </c>
      <c r="J220" t="str">
        <f t="shared" si="3"/>
        <v>ia.assorted_string like '%95603-00310-08-2024%' or</v>
      </c>
    </row>
    <row r="221" spans="1:10" x14ac:dyDescent="0.25">
      <c r="A221" s="10" t="s">
        <v>2948</v>
      </c>
      <c r="B221" t="s">
        <v>4098</v>
      </c>
      <c r="H221">
        <v>95603</v>
      </c>
      <c r="I221" t="s">
        <v>4319</v>
      </c>
      <c r="J221" t="str">
        <f t="shared" si="3"/>
        <v>ia.assorted_string like '%95603-00143-08-2024%' or</v>
      </c>
    </row>
    <row r="222" spans="1:10" x14ac:dyDescent="0.25">
      <c r="A222" s="9" t="s">
        <v>2961</v>
      </c>
      <c r="B222" t="s">
        <v>4098</v>
      </c>
      <c r="H222">
        <v>95603</v>
      </c>
      <c r="I222" t="s">
        <v>4320</v>
      </c>
      <c r="J222" t="str">
        <f t="shared" si="3"/>
        <v>ia.assorted_string like '%95603-00145-08-2024%' or</v>
      </c>
    </row>
    <row r="223" spans="1:10" x14ac:dyDescent="0.25">
      <c r="A223" s="10" t="s">
        <v>2975</v>
      </c>
      <c r="B223" t="s">
        <v>4098</v>
      </c>
      <c r="H223">
        <v>95603</v>
      </c>
      <c r="I223" t="s">
        <v>4321</v>
      </c>
      <c r="J223" t="str">
        <f t="shared" si="3"/>
        <v>ia.assorted_string like '%95603-00309-08-2024%' or</v>
      </c>
    </row>
    <row r="224" spans="1:10" x14ac:dyDescent="0.25">
      <c r="A224" s="9" t="s">
        <v>2987</v>
      </c>
      <c r="B224" t="s">
        <v>4098</v>
      </c>
      <c r="H224">
        <v>95603</v>
      </c>
      <c r="I224" t="s">
        <v>4322</v>
      </c>
      <c r="J224" t="str">
        <f t="shared" si="3"/>
        <v>ia.assorted_string like '%95603-00308-08-2024%' or</v>
      </c>
    </row>
    <row r="225" spans="1:10" x14ac:dyDescent="0.25">
      <c r="A225" s="10" t="s">
        <v>3001</v>
      </c>
      <c r="B225" t="s">
        <v>4098</v>
      </c>
      <c r="H225">
        <v>95603</v>
      </c>
      <c r="I225" t="s">
        <v>4323</v>
      </c>
      <c r="J225" t="str">
        <f t="shared" si="3"/>
        <v>ia.assorted_string like '%95603-00146-08-2024%' or</v>
      </c>
    </row>
    <row r="226" spans="1:10" x14ac:dyDescent="0.25">
      <c r="A226" s="9" t="s">
        <v>3014</v>
      </c>
      <c r="B226" t="s">
        <v>4098</v>
      </c>
      <c r="H226">
        <v>95603</v>
      </c>
      <c r="I226" t="s">
        <v>4324</v>
      </c>
      <c r="J226" t="str">
        <f t="shared" si="3"/>
        <v>ia.assorted_string like '%95603-00307-08-2024%' or</v>
      </c>
    </row>
    <row r="227" spans="1:10" x14ac:dyDescent="0.25">
      <c r="A227" s="10" t="s">
        <v>3026</v>
      </c>
      <c r="B227" t="s">
        <v>4098</v>
      </c>
      <c r="H227">
        <v>95603</v>
      </c>
      <c r="I227" t="s">
        <v>4325</v>
      </c>
      <c r="J227" t="str">
        <f t="shared" si="3"/>
        <v>ia.assorted_string like '%95603-00147-08-2024%' or</v>
      </c>
    </row>
    <row r="228" spans="1:10" x14ac:dyDescent="0.25">
      <c r="A228" s="9" t="s">
        <v>3039</v>
      </c>
      <c r="B228" t="s">
        <v>4098</v>
      </c>
      <c r="H228">
        <v>95603</v>
      </c>
      <c r="I228" t="s">
        <v>4326</v>
      </c>
      <c r="J228" t="str">
        <f t="shared" si="3"/>
        <v>ia.assorted_string like '%95603-00148-08-2024%' or</v>
      </c>
    </row>
    <row r="229" spans="1:10" x14ac:dyDescent="0.25">
      <c r="A229" s="10" t="s">
        <v>3051</v>
      </c>
      <c r="B229" t="s">
        <v>4098</v>
      </c>
      <c r="H229">
        <v>95603</v>
      </c>
      <c r="I229" t="s">
        <v>4327</v>
      </c>
      <c r="J229" t="str">
        <f t="shared" si="3"/>
        <v>ia.assorted_string like '%95603-00149-08-2024%' or</v>
      </c>
    </row>
    <row r="230" spans="1:10" x14ac:dyDescent="0.25">
      <c r="A230" s="9" t="s">
        <v>3064</v>
      </c>
      <c r="B230" t="s">
        <v>4098</v>
      </c>
      <c r="H230">
        <v>95603</v>
      </c>
      <c r="I230" t="s">
        <v>4328</v>
      </c>
      <c r="J230" t="str">
        <f t="shared" si="3"/>
        <v>ia.assorted_string like '%95603-00306-08-2024%' or</v>
      </c>
    </row>
    <row r="231" spans="1:10" x14ac:dyDescent="0.25">
      <c r="A231" s="10" t="s">
        <v>3076</v>
      </c>
      <c r="B231" t="s">
        <v>4098</v>
      </c>
      <c r="H231">
        <v>95603</v>
      </c>
      <c r="I231" t="s">
        <v>4329</v>
      </c>
      <c r="J231" t="str">
        <f t="shared" si="3"/>
        <v>ia.assorted_string like '%95603-00150-08-2024%' or</v>
      </c>
    </row>
    <row r="232" spans="1:10" x14ac:dyDescent="0.25">
      <c r="A232" s="9" t="s">
        <v>3087</v>
      </c>
      <c r="B232" t="s">
        <v>4098</v>
      </c>
      <c r="H232">
        <v>95603</v>
      </c>
      <c r="I232" t="s">
        <v>4330</v>
      </c>
      <c r="J232" t="str">
        <f t="shared" si="3"/>
        <v>ia.assorted_string like '%95603-00151-08-2024%' or</v>
      </c>
    </row>
    <row r="233" spans="1:10" x14ac:dyDescent="0.25">
      <c r="A233" s="10" t="s">
        <v>3099</v>
      </c>
      <c r="B233" t="s">
        <v>4098</v>
      </c>
      <c r="H233">
        <v>95603</v>
      </c>
      <c r="I233" t="s">
        <v>4331</v>
      </c>
      <c r="J233" t="str">
        <f t="shared" si="3"/>
        <v>ia.assorted_string like '%95603-00152-08-2024%' or</v>
      </c>
    </row>
    <row r="234" spans="1:10" x14ac:dyDescent="0.25">
      <c r="A234" s="9" t="s">
        <v>3113</v>
      </c>
      <c r="B234" t="s">
        <v>4098</v>
      </c>
      <c r="H234">
        <v>95603</v>
      </c>
      <c r="I234" t="s">
        <v>4332</v>
      </c>
      <c r="J234" t="str">
        <f t="shared" si="3"/>
        <v>ia.assorted_string like '%95603-00302-08-2024%' or</v>
      </c>
    </row>
    <row r="235" spans="1:10" x14ac:dyDescent="0.25">
      <c r="A235" s="10" t="s">
        <v>3128</v>
      </c>
      <c r="B235" t="s">
        <v>4098</v>
      </c>
      <c r="H235">
        <v>95603</v>
      </c>
      <c r="I235" t="s">
        <v>4333</v>
      </c>
      <c r="J235" t="str">
        <f t="shared" si="3"/>
        <v>ia.assorted_string like '%95603-00300-08-2024%' or</v>
      </c>
    </row>
    <row r="236" spans="1:10" x14ac:dyDescent="0.25">
      <c r="A236" s="9" t="s">
        <v>3143</v>
      </c>
      <c r="B236" t="s">
        <v>4098</v>
      </c>
      <c r="H236">
        <v>95603</v>
      </c>
      <c r="I236" t="s">
        <v>4334</v>
      </c>
      <c r="J236" t="str">
        <f t="shared" si="3"/>
        <v>ia.assorted_string like '%95603-00297-08-2024%' or</v>
      </c>
    </row>
    <row r="237" spans="1:10" x14ac:dyDescent="0.25">
      <c r="A237" s="10" t="s">
        <v>3156</v>
      </c>
      <c r="B237" t="s">
        <v>4098</v>
      </c>
      <c r="H237">
        <v>95574</v>
      </c>
      <c r="I237" t="s">
        <v>4145</v>
      </c>
      <c r="J237" t="str">
        <f t="shared" si="3"/>
        <v>ia.assorted_string like '%95574-00001-08-2024%' or</v>
      </c>
    </row>
    <row r="238" spans="1:10" x14ac:dyDescent="0.25">
      <c r="A238" s="9" t="s">
        <v>3169</v>
      </c>
      <c r="B238" t="s">
        <v>4098</v>
      </c>
      <c r="H238">
        <v>95603</v>
      </c>
      <c r="I238" t="s">
        <v>4335</v>
      </c>
      <c r="J238" t="str">
        <f t="shared" si="3"/>
        <v>ia.assorted_string like '%95603-00153-08-2024%' or</v>
      </c>
    </row>
    <row r="239" spans="1:10" x14ac:dyDescent="0.25">
      <c r="A239" s="10" t="s">
        <v>3180</v>
      </c>
      <c r="B239" t="s">
        <v>4098</v>
      </c>
      <c r="H239">
        <v>95603</v>
      </c>
      <c r="I239" t="s">
        <v>4336</v>
      </c>
      <c r="J239" t="str">
        <f t="shared" si="3"/>
        <v>ia.assorted_string like '%95603-00154-08-2024%' or</v>
      </c>
    </row>
    <row r="240" spans="1:10" x14ac:dyDescent="0.25">
      <c r="A240" s="9" t="s">
        <v>3192</v>
      </c>
      <c r="B240" t="s">
        <v>4098</v>
      </c>
      <c r="H240">
        <v>95603</v>
      </c>
      <c r="I240" t="s">
        <v>4337</v>
      </c>
      <c r="J240" t="str">
        <f t="shared" si="3"/>
        <v>ia.assorted_string like '%95603-00295-08-2024%' or</v>
      </c>
    </row>
    <row r="241" spans="1:10" x14ac:dyDescent="0.25">
      <c r="A241" s="10" t="s">
        <v>3204</v>
      </c>
      <c r="B241" t="s">
        <v>4098</v>
      </c>
      <c r="H241">
        <v>95603</v>
      </c>
      <c r="I241" t="s">
        <v>4338</v>
      </c>
      <c r="J241" t="str">
        <f t="shared" si="3"/>
        <v>ia.assorted_string like '%95603-00291-08-2024%' or</v>
      </c>
    </row>
    <row r="242" spans="1:10" x14ac:dyDescent="0.25">
      <c r="A242" s="9" t="s">
        <v>3216</v>
      </c>
      <c r="B242" t="s">
        <v>4098</v>
      </c>
      <c r="H242">
        <v>95603</v>
      </c>
      <c r="I242" t="s">
        <v>4339</v>
      </c>
      <c r="J242" t="str">
        <f t="shared" si="3"/>
        <v>ia.assorted_string like '%95603-00290-08-2024%' or</v>
      </c>
    </row>
    <row r="243" spans="1:10" x14ac:dyDescent="0.25">
      <c r="A243" s="10" t="s">
        <v>3228</v>
      </c>
      <c r="B243" t="s">
        <v>4098</v>
      </c>
      <c r="H243">
        <v>95603</v>
      </c>
      <c r="I243" t="s">
        <v>4340</v>
      </c>
      <c r="J243" t="str">
        <f t="shared" si="3"/>
        <v>ia.assorted_string like '%95603-00289-08-2024%' or</v>
      </c>
    </row>
    <row r="244" spans="1:10" x14ac:dyDescent="0.25">
      <c r="A244" s="9" t="s">
        <v>3241</v>
      </c>
      <c r="B244" t="s">
        <v>4098</v>
      </c>
      <c r="H244">
        <v>95603</v>
      </c>
      <c r="I244" t="s">
        <v>4341</v>
      </c>
      <c r="J244" t="str">
        <f t="shared" si="3"/>
        <v>ia.assorted_string like '%95603-00155-08-2024%' or</v>
      </c>
    </row>
    <row r="245" spans="1:10" x14ac:dyDescent="0.25">
      <c r="A245" s="10" t="s">
        <v>3254</v>
      </c>
      <c r="B245" t="s">
        <v>4098</v>
      </c>
      <c r="H245">
        <v>95603</v>
      </c>
      <c r="I245" t="s">
        <v>4342</v>
      </c>
      <c r="J245" t="str">
        <f t="shared" si="3"/>
        <v>ia.assorted_string like '%95603-00288-08-2024%' or</v>
      </c>
    </row>
    <row r="246" spans="1:10" x14ac:dyDescent="0.25">
      <c r="A246" s="9" t="s">
        <v>3266</v>
      </c>
      <c r="B246" t="s">
        <v>4098</v>
      </c>
      <c r="H246">
        <v>95603</v>
      </c>
      <c r="I246" t="s">
        <v>4343</v>
      </c>
      <c r="J246" t="str">
        <f t="shared" si="3"/>
        <v>ia.assorted_string like '%95603-00157-08-2024%' or</v>
      </c>
    </row>
    <row r="247" spans="1:10" x14ac:dyDescent="0.25">
      <c r="A247" s="10" t="s">
        <v>3276</v>
      </c>
      <c r="B247" t="s">
        <v>4098</v>
      </c>
      <c r="H247">
        <v>95603</v>
      </c>
      <c r="I247" t="s">
        <v>4344</v>
      </c>
      <c r="J247" t="str">
        <f t="shared" si="3"/>
        <v>ia.assorted_string like '%95603-00158-08-2024%' or</v>
      </c>
    </row>
    <row r="248" spans="1:10" x14ac:dyDescent="0.25">
      <c r="A248" s="9" t="s">
        <v>3287</v>
      </c>
      <c r="B248" t="s">
        <v>4098</v>
      </c>
      <c r="H248">
        <v>95603</v>
      </c>
      <c r="I248" t="s">
        <v>4345</v>
      </c>
      <c r="J248" t="str">
        <f t="shared" si="3"/>
        <v>ia.assorted_string like '%95603-00159-08-2024%' or</v>
      </c>
    </row>
    <row r="249" spans="1:10" x14ac:dyDescent="0.25">
      <c r="A249" s="10" t="s">
        <v>3301</v>
      </c>
      <c r="B249" t="s">
        <v>4098</v>
      </c>
      <c r="H249">
        <v>95603</v>
      </c>
      <c r="I249" t="s">
        <v>4346</v>
      </c>
      <c r="J249" t="str">
        <f t="shared" si="3"/>
        <v>ia.assorted_string like '%95603-00287-08-2024%' or</v>
      </c>
    </row>
    <row r="250" spans="1:10" x14ac:dyDescent="0.25">
      <c r="A250" s="9" t="s">
        <v>3315</v>
      </c>
      <c r="B250" t="s">
        <v>4098</v>
      </c>
      <c r="H250">
        <v>95603</v>
      </c>
      <c r="I250" t="s">
        <v>4347</v>
      </c>
      <c r="J250" t="str">
        <f t="shared" si="3"/>
        <v>ia.assorted_string like '%95603-00286-08-2024%' or</v>
      </c>
    </row>
    <row r="251" spans="1:10" x14ac:dyDescent="0.25">
      <c r="A251" s="10" t="s">
        <v>3328</v>
      </c>
      <c r="B251" t="s">
        <v>4098</v>
      </c>
      <c r="H251">
        <v>95603</v>
      </c>
      <c r="I251" t="s">
        <v>4348</v>
      </c>
      <c r="J251" t="str">
        <f t="shared" si="3"/>
        <v>ia.assorted_string like '%95603-00285-08-2024%' or</v>
      </c>
    </row>
    <row r="252" spans="1:10" x14ac:dyDescent="0.25">
      <c r="A252" s="9" t="s">
        <v>3338</v>
      </c>
      <c r="B252" t="s">
        <v>4098</v>
      </c>
      <c r="H252">
        <v>95603</v>
      </c>
      <c r="I252" t="s">
        <v>4349</v>
      </c>
      <c r="J252" t="str">
        <f t="shared" si="3"/>
        <v>ia.assorted_string like '%95603-00161-08-2024%' or</v>
      </c>
    </row>
    <row r="253" spans="1:10" x14ac:dyDescent="0.25">
      <c r="A253" s="10" t="s">
        <v>3350</v>
      </c>
      <c r="B253" t="s">
        <v>4098</v>
      </c>
      <c r="H253">
        <v>95603</v>
      </c>
      <c r="I253" t="s">
        <v>4350</v>
      </c>
      <c r="J253" t="str">
        <f t="shared" si="3"/>
        <v>ia.assorted_string like '%95603-00162-08-2024%' or</v>
      </c>
    </row>
    <row r="254" spans="1:10" x14ac:dyDescent="0.25">
      <c r="A254" s="9" t="s">
        <v>3360</v>
      </c>
      <c r="B254" t="s">
        <v>4098</v>
      </c>
      <c r="H254">
        <v>95603</v>
      </c>
      <c r="I254" t="s">
        <v>4351</v>
      </c>
      <c r="J254" t="str">
        <f t="shared" si="3"/>
        <v>ia.assorted_string like '%95603-00164-08-2024%' or</v>
      </c>
    </row>
    <row r="255" spans="1:10" x14ac:dyDescent="0.25">
      <c r="A255" s="10" t="s">
        <v>3373</v>
      </c>
      <c r="B255" t="s">
        <v>4098</v>
      </c>
      <c r="H255">
        <v>95603</v>
      </c>
      <c r="I255" t="s">
        <v>4352</v>
      </c>
      <c r="J255" t="str">
        <f t="shared" si="3"/>
        <v>ia.assorted_string like '%95603-00282-08-2024%' or</v>
      </c>
    </row>
    <row r="256" spans="1:10" x14ac:dyDescent="0.25">
      <c r="A256" s="9" t="s">
        <v>3386</v>
      </c>
      <c r="B256" t="s">
        <v>4098</v>
      </c>
      <c r="H256">
        <v>95603</v>
      </c>
      <c r="I256" t="s">
        <v>4353</v>
      </c>
      <c r="J256" t="str">
        <f t="shared" si="3"/>
        <v>ia.assorted_string like '%95603-00281-08-2024%' or</v>
      </c>
    </row>
    <row r="257" spans="1:10" x14ac:dyDescent="0.25">
      <c r="A257" s="10" t="s">
        <v>3400</v>
      </c>
      <c r="B257" t="s">
        <v>4098</v>
      </c>
      <c r="H257">
        <v>95603</v>
      </c>
      <c r="I257" t="s">
        <v>4354</v>
      </c>
      <c r="J257" t="str">
        <f t="shared" si="3"/>
        <v>ia.assorted_string like '%95603-00280-08-2024%' or</v>
      </c>
    </row>
    <row r="258" spans="1:10" x14ac:dyDescent="0.25">
      <c r="A258" s="9" t="s">
        <v>3413</v>
      </c>
      <c r="B258" t="s">
        <v>4098</v>
      </c>
      <c r="H258">
        <v>95603</v>
      </c>
      <c r="I258" t="s">
        <v>4355</v>
      </c>
      <c r="J258" t="str">
        <f t="shared" ref="J258:J313" si="4">"ia.assorted_string like '%"&amp;H258&amp;"-"&amp;I258&amp;B258&amp;"%' or"</f>
        <v>ia.assorted_string like '%95603-00166-08-2024%' or</v>
      </c>
    </row>
    <row r="259" spans="1:10" x14ac:dyDescent="0.25">
      <c r="A259" s="10" t="s">
        <v>3425</v>
      </c>
      <c r="B259" t="s">
        <v>4098</v>
      </c>
      <c r="H259">
        <v>95603</v>
      </c>
      <c r="I259" t="s">
        <v>4356</v>
      </c>
      <c r="J259" t="str">
        <f t="shared" si="4"/>
        <v>ia.assorted_string like '%95603-00167-08-2024%' or</v>
      </c>
    </row>
    <row r="260" spans="1:10" x14ac:dyDescent="0.25">
      <c r="A260" s="9" t="s">
        <v>3438</v>
      </c>
      <c r="B260" t="s">
        <v>4098</v>
      </c>
      <c r="H260">
        <v>95603</v>
      </c>
      <c r="I260" t="s">
        <v>4357</v>
      </c>
      <c r="J260" t="str">
        <f t="shared" si="4"/>
        <v>ia.assorted_string like '%95603-00279-08-2024%' or</v>
      </c>
    </row>
    <row r="261" spans="1:10" x14ac:dyDescent="0.25">
      <c r="A261" s="10" t="s">
        <v>3453</v>
      </c>
      <c r="B261" t="s">
        <v>4098</v>
      </c>
      <c r="H261">
        <v>95603</v>
      </c>
      <c r="I261" t="s">
        <v>4358</v>
      </c>
      <c r="J261" t="str">
        <f t="shared" si="4"/>
        <v>ia.assorted_string like '%95603-00168-08-2024%' or</v>
      </c>
    </row>
    <row r="262" spans="1:10" x14ac:dyDescent="0.25">
      <c r="A262" s="9" t="s">
        <v>3466</v>
      </c>
      <c r="B262" t="s">
        <v>4098</v>
      </c>
      <c r="H262">
        <v>95603</v>
      </c>
      <c r="I262" t="s">
        <v>4359</v>
      </c>
      <c r="J262" t="str">
        <f t="shared" si="4"/>
        <v>ia.assorted_string like '%95603-00170-08-2024%' or</v>
      </c>
    </row>
    <row r="263" spans="1:10" x14ac:dyDescent="0.25">
      <c r="A263" s="10" t="s">
        <v>3478</v>
      </c>
      <c r="B263" t="s">
        <v>4098</v>
      </c>
      <c r="H263">
        <v>95603</v>
      </c>
      <c r="I263" t="s">
        <v>4360</v>
      </c>
      <c r="J263" t="str">
        <f t="shared" si="4"/>
        <v>ia.assorted_string like '%95603-00171-08-2024%' or</v>
      </c>
    </row>
    <row r="264" spans="1:10" x14ac:dyDescent="0.25">
      <c r="A264" s="9" t="s">
        <v>3491</v>
      </c>
      <c r="B264" t="s">
        <v>4098</v>
      </c>
      <c r="H264">
        <v>95603</v>
      </c>
      <c r="I264" t="s">
        <v>4361</v>
      </c>
      <c r="J264" t="str">
        <f t="shared" si="4"/>
        <v>ia.assorted_string like '%95603-00173-08-2024%' or</v>
      </c>
    </row>
    <row r="265" spans="1:10" x14ac:dyDescent="0.25">
      <c r="A265" s="10" t="s">
        <v>3504</v>
      </c>
      <c r="B265" t="s">
        <v>4098</v>
      </c>
      <c r="H265">
        <v>95603</v>
      </c>
      <c r="I265" t="s">
        <v>4362</v>
      </c>
      <c r="J265" t="str">
        <f t="shared" si="4"/>
        <v>ia.assorted_string like '%95603-00180-08-2024%' or</v>
      </c>
    </row>
    <row r="266" spans="1:10" x14ac:dyDescent="0.25">
      <c r="A266" s="9" t="s">
        <v>3515</v>
      </c>
      <c r="B266" t="s">
        <v>4098</v>
      </c>
      <c r="H266">
        <v>95603</v>
      </c>
      <c r="I266" t="s">
        <v>4363</v>
      </c>
      <c r="J266" t="str">
        <f t="shared" si="4"/>
        <v>ia.assorted_string like '%95603-00273-08-2024%' or</v>
      </c>
    </row>
    <row r="267" spans="1:10" x14ac:dyDescent="0.25">
      <c r="A267" s="10" t="s">
        <v>3526</v>
      </c>
      <c r="B267" t="s">
        <v>4098</v>
      </c>
      <c r="H267">
        <v>95603</v>
      </c>
      <c r="I267" t="s">
        <v>4364</v>
      </c>
      <c r="J267" t="str">
        <f t="shared" si="4"/>
        <v>ia.assorted_string like '%95603-00270-08-2024%' or</v>
      </c>
    </row>
    <row r="268" spans="1:10" x14ac:dyDescent="0.25">
      <c r="A268" s="9" t="s">
        <v>3539</v>
      </c>
      <c r="B268" t="s">
        <v>4098</v>
      </c>
      <c r="H268">
        <v>95603</v>
      </c>
      <c r="I268" t="s">
        <v>4365</v>
      </c>
      <c r="J268" t="str">
        <f t="shared" si="4"/>
        <v>ia.assorted_string like '%95603-00182-08-2024%' or</v>
      </c>
    </row>
    <row r="269" spans="1:10" x14ac:dyDescent="0.25">
      <c r="A269" s="10" t="s">
        <v>3552</v>
      </c>
      <c r="B269" t="s">
        <v>4098</v>
      </c>
      <c r="H269">
        <v>95603</v>
      </c>
      <c r="I269" t="s">
        <v>4366</v>
      </c>
      <c r="J269" t="str">
        <f t="shared" si="4"/>
        <v>ia.assorted_string like '%95603-00184-08-2024%' or</v>
      </c>
    </row>
    <row r="270" spans="1:10" x14ac:dyDescent="0.25">
      <c r="A270" s="9" t="s">
        <v>3562</v>
      </c>
      <c r="B270" t="s">
        <v>4098</v>
      </c>
      <c r="H270">
        <v>95603</v>
      </c>
      <c r="I270" t="s">
        <v>4367</v>
      </c>
      <c r="J270" t="str">
        <f t="shared" si="4"/>
        <v>ia.assorted_string like '%95603-00185-08-2024%' or</v>
      </c>
    </row>
    <row r="271" spans="1:10" x14ac:dyDescent="0.25">
      <c r="A271" s="10" t="s">
        <v>3572</v>
      </c>
      <c r="B271" t="s">
        <v>4098</v>
      </c>
      <c r="H271">
        <v>95603</v>
      </c>
      <c r="I271" t="s">
        <v>4368</v>
      </c>
      <c r="J271" t="str">
        <f t="shared" si="4"/>
        <v>ia.assorted_string like '%95603-00186-08-2024%' or</v>
      </c>
    </row>
    <row r="272" spans="1:10" x14ac:dyDescent="0.25">
      <c r="A272" s="9" t="s">
        <v>3584</v>
      </c>
      <c r="B272" t="s">
        <v>4098</v>
      </c>
      <c r="H272">
        <v>95603</v>
      </c>
      <c r="I272" t="s">
        <v>4369</v>
      </c>
      <c r="J272" t="str">
        <f t="shared" si="4"/>
        <v>ia.assorted_string like '%95603-00269-08-2024%' or</v>
      </c>
    </row>
    <row r="273" spans="1:10" x14ac:dyDescent="0.25">
      <c r="A273" s="10" t="s">
        <v>3596</v>
      </c>
      <c r="B273" t="s">
        <v>4098</v>
      </c>
      <c r="H273">
        <v>95603</v>
      </c>
      <c r="I273" t="s">
        <v>4370</v>
      </c>
      <c r="J273" t="str">
        <f t="shared" si="4"/>
        <v>ia.assorted_string like '%95603-00188-08-2024%' or</v>
      </c>
    </row>
    <row r="274" spans="1:10" x14ac:dyDescent="0.25">
      <c r="A274" s="9" t="s">
        <v>3606</v>
      </c>
      <c r="B274" t="s">
        <v>4098</v>
      </c>
      <c r="H274">
        <v>95603</v>
      </c>
      <c r="I274" t="s">
        <v>4371</v>
      </c>
      <c r="J274" t="str">
        <f t="shared" si="4"/>
        <v>ia.assorted_string like '%95603-00267-08-2024%' or</v>
      </c>
    </row>
    <row r="275" spans="1:10" x14ac:dyDescent="0.25">
      <c r="A275" s="10" t="s">
        <v>3617</v>
      </c>
      <c r="B275" t="s">
        <v>4098</v>
      </c>
      <c r="H275">
        <v>95603</v>
      </c>
      <c r="I275" t="s">
        <v>4372</v>
      </c>
      <c r="J275" t="str">
        <f t="shared" si="4"/>
        <v>ia.assorted_string like '%95603-00189-08-2024%' or</v>
      </c>
    </row>
    <row r="276" spans="1:10" x14ac:dyDescent="0.25">
      <c r="A276" s="9" t="s">
        <v>3629</v>
      </c>
      <c r="B276" t="s">
        <v>4098</v>
      </c>
      <c r="H276">
        <v>95603</v>
      </c>
      <c r="I276" t="s">
        <v>4373</v>
      </c>
      <c r="J276" t="str">
        <f t="shared" si="4"/>
        <v>ia.assorted_string like '%95603-00190-08-2024%' or</v>
      </c>
    </row>
    <row r="277" spans="1:10" x14ac:dyDescent="0.25">
      <c r="A277" s="10" t="s">
        <v>3643</v>
      </c>
      <c r="B277" t="s">
        <v>4098</v>
      </c>
      <c r="H277">
        <v>95603</v>
      </c>
      <c r="I277" t="s">
        <v>4374</v>
      </c>
      <c r="J277" t="str">
        <f t="shared" si="4"/>
        <v>ia.assorted_string like '%95603-00192-08-2024%' or</v>
      </c>
    </row>
    <row r="278" spans="1:10" x14ac:dyDescent="0.25">
      <c r="A278" s="9" t="s">
        <v>3656</v>
      </c>
      <c r="B278" t="s">
        <v>4098</v>
      </c>
      <c r="H278">
        <v>95603</v>
      </c>
      <c r="I278" t="s">
        <v>4375</v>
      </c>
      <c r="J278" t="str">
        <f t="shared" si="4"/>
        <v>ia.assorted_string like '%95603-00193-08-2024%' or</v>
      </c>
    </row>
    <row r="279" spans="1:10" x14ac:dyDescent="0.25">
      <c r="A279" s="10" t="s">
        <v>3667</v>
      </c>
      <c r="B279" t="s">
        <v>4098</v>
      </c>
      <c r="H279">
        <v>95603</v>
      </c>
      <c r="I279" t="s">
        <v>4376</v>
      </c>
      <c r="J279" t="str">
        <f t="shared" si="4"/>
        <v>ia.assorted_string like '%95603-00194-08-2024%' or</v>
      </c>
    </row>
    <row r="280" spans="1:10" x14ac:dyDescent="0.25">
      <c r="A280" s="9" t="s">
        <v>3679</v>
      </c>
      <c r="B280" t="s">
        <v>4098</v>
      </c>
      <c r="H280">
        <v>95603</v>
      </c>
      <c r="I280" t="s">
        <v>4377</v>
      </c>
      <c r="J280" t="str">
        <f t="shared" si="4"/>
        <v>ia.assorted_string like '%95603-00266-08-2024%' or</v>
      </c>
    </row>
    <row r="281" spans="1:10" x14ac:dyDescent="0.25">
      <c r="A281" s="10" t="s">
        <v>3692</v>
      </c>
      <c r="B281" t="s">
        <v>4098</v>
      </c>
      <c r="H281">
        <v>95603</v>
      </c>
      <c r="I281" t="s">
        <v>4378</v>
      </c>
      <c r="J281" t="str">
        <f t="shared" si="4"/>
        <v>ia.assorted_string like '%95603-00264-08-2024%' or</v>
      </c>
    </row>
    <row r="282" spans="1:10" x14ac:dyDescent="0.25">
      <c r="A282" s="9" t="s">
        <v>3703</v>
      </c>
      <c r="B282" t="s">
        <v>4098</v>
      </c>
      <c r="H282">
        <v>95603</v>
      </c>
      <c r="I282" t="s">
        <v>4379</v>
      </c>
      <c r="J282" t="str">
        <f t="shared" si="4"/>
        <v>ia.assorted_string like '%95603-00260-08-2024%' or</v>
      </c>
    </row>
    <row r="283" spans="1:10" x14ac:dyDescent="0.25">
      <c r="A283" s="10" t="s">
        <v>3714</v>
      </c>
      <c r="B283" t="s">
        <v>4098</v>
      </c>
      <c r="H283">
        <v>95603</v>
      </c>
      <c r="I283" t="s">
        <v>4380</v>
      </c>
      <c r="J283" t="str">
        <f t="shared" si="4"/>
        <v>ia.assorted_string like '%95603-00195-08-2024%' or</v>
      </c>
    </row>
    <row r="284" spans="1:10" x14ac:dyDescent="0.25">
      <c r="A284" s="9" t="s">
        <v>3729</v>
      </c>
      <c r="B284" t="s">
        <v>4098</v>
      </c>
      <c r="H284">
        <v>95603</v>
      </c>
      <c r="I284" t="s">
        <v>4381</v>
      </c>
      <c r="J284" t="str">
        <f t="shared" si="4"/>
        <v>ia.assorted_string like '%95603-00259-08-2024%' or</v>
      </c>
    </row>
    <row r="285" spans="1:10" x14ac:dyDescent="0.25">
      <c r="A285" s="10" t="s">
        <v>3740</v>
      </c>
      <c r="B285" t="s">
        <v>4098</v>
      </c>
      <c r="H285">
        <v>95603</v>
      </c>
      <c r="I285" t="s">
        <v>4382</v>
      </c>
      <c r="J285" t="str">
        <f t="shared" si="4"/>
        <v>ia.assorted_string like '%95603-00197-08-2024%' or</v>
      </c>
    </row>
    <row r="286" spans="1:10" x14ac:dyDescent="0.25">
      <c r="A286" s="9" t="s">
        <v>3750</v>
      </c>
      <c r="B286" t="s">
        <v>4098</v>
      </c>
      <c r="H286">
        <v>95603</v>
      </c>
      <c r="I286" t="s">
        <v>4383</v>
      </c>
      <c r="J286" t="str">
        <f t="shared" si="4"/>
        <v>ia.assorted_string like '%95603-00258-08-2024%' or</v>
      </c>
    </row>
    <row r="287" spans="1:10" x14ac:dyDescent="0.25">
      <c r="A287" s="10" t="s">
        <v>3763</v>
      </c>
      <c r="B287" t="s">
        <v>4098</v>
      </c>
      <c r="H287">
        <v>95603</v>
      </c>
      <c r="I287" t="s">
        <v>4384</v>
      </c>
      <c r="J287" t="str">
        <f t="shared" si="4"/>
        <v>ia.assorted_string like '%95603-00256-08-2024%' or</v>
      </c>
    </row>
    <row r="288" spans="1:10" x14ac:dyDescent="0.25">
      <c r="A288" s="9" t="s">
        <v>3775</v>
      </c>
      <c r="B288" t="s">
        <v>4098</v>
      </c>
      <c r="H288">
        <v>95603</v>
      </c>
      <c r="I288" t="s">
        <v>4385</v>
      </c>
      <c r="J288" t="str">
        <f t="shared" si="4"/>
        <v>ia.assorted_string like '%95603-00255-08-2024%' or</v>
      </c>
    </row>
    <row r="289" spans="1:10" x14ac:dyDescent="0.25">
      <c r="A289" s="10" t="s">
        <v>3791</v>
      </c>
      <c r="B289" t="s">
        <v>4098</v>
      </c>
      <c r="H289">
        <v>95603</v>
      </c>
      <c r="I289" t="s">
        <v>4386</v>
      </c>
      <c r="J289" t="str">
        <f t="shared" si="4"/>
        <v>ia.assorted_string like '%95603-00206-08-2024%' or</v>
      </c>
    </row>
    <row r="290" spans="1:10" x14ac:dyDescent="0.25">
      <c r="A290" s="9" t="s">
        <v>3802</v>
      </c>
      <c r="B290" t="s">
        <v>4098</v>
      </c>
      <c r="H290">
        <v>95603</v>
      </c>
      <c r="I290" t="s">
        <v>4387</v>
      </c>
      <c r="J290" t="str">
        <f t="shared" si="4"/>
        <v>ia.assorted_string like '%95603-00252-08-2024%' or</v>
      </c>
    </row>
    <row r="291" spans="1:10" x14ac:dyDescent="0.25">
      <c r="A291" s="10" t="s">
        <v>3813</v>
      </c>
      <c r="B291" t="s">
        <v>4098</v>
      </c>
      <c r="H291">
        <v>95603</v>
      </c>
      <c r="I291" t="s">
        <v>4388</v>
      </c>
      <c r="J291" t="str">
        <f t="shared" si="4"/>
        <v>ia.assorted_string like '%95603-00249-08-2024%' or</v>
      </c>
    </row>
    <row r="292" spans="1:10" x14ac:dyDescent="0.25">
      <c r="A292" s="9" t="s">
        <v>3827</v>
      </c>
      <c r="B292" t="s">
        <v>4098</v>
      </c>
      <c r="H292">
        <v>95603</v>
      </c>
      <c r="I292" t="s">
        <v>4389</v>
      </c>
      <c r="J292" t="str">
        <f t="shared" si="4"/>
        <v>ia.assorted_string like '%95603-00207-08-2024%' or</v>
      </c>
    </row>
    <row r="293" spans="1:10" x14ac:dyDescent="0.25">
      <c r="A293" s="10" t="s">
        <v>3840</v>
      </c>
      <c r="B293" t="s">
        <v>4098</v>
      </c>
      <c r="H293">
        <v>95603</v>
      </c>
      <c r="I293" t="s">
        <v>4390</v>
      </c>
      <c r="J293" t="str">
        <f t="shared" si="4"/>
        <v>ia.assorted_string like '%95603-00208-08-2024%' or</v>
      </c>
    </row>
    <row r="294" spans="1:10" x14ac:dyDescent="0.25">
      <c r="A294" s="9" t="s">
        <v>3852</v>
      </c>
      <c r="B294" t="s">
        <v>4098</v>
      </c>
      <c r="H294">
        <v>95603</v>
      </c>
      <c r="I294" t="s">
        <v>4391</v>
      </c>
      <c r="J294" t="str">
        <f t="shared" si="4"/>
        <v>ia.assorted_string like '%95603-00248-08-2024%' or</v>
      </c>
    </row>
    <row r="295" spans="1:10" x14ac:dyDescent="0.25">
      <c r="A295" s="10" t="s">
        <v>3865</v>
      </c>
      <c r="B295" t="s">
        <v>4098</v>
      </c>
      <c r="H295">
        <v>95603</v>
      </c>
      <c r="I295" t="s">
        <v>4392</v>
      </c>
      <c r="J295" t="str">
        <f t="shared" si="4"/>
        <v>ia.assorted_string like '%95603-00209-08-2024%' or</v>
      </c>
    </row>
    <row r="296" spans="1:10" x14ac:dyDescent="0.25">
      <c r="A296" s="9" t="s">
        <v>3878</v>
      </c>
      <c r="B296" t="s">
        <v>4098</v>
      </c>
      <c r="H296">
        <v>95603</v>
      </c>
      <c r="I296" t="s">
        <v>4393</v>
      </c>
      <c r="J296" t="str">
        <f t="shared" si="4"/>
        <v>ia.assorted_string like '%95603-00247-08-2024%' or</v>
      </c>
    </row>
    <row r="297" spans="1:10" x14ac:dyDescent="0.25">
      <c r="A297" s="10" t="s">
        <v>3888</v>
      </c>
      <c r="B297" t="s">
        <v>4098</v>
      </c>
      <c r="H297">
        <v>95603</v>
      </c>
      <c r="I297" t="s">
        <v>4394</v>
      </c>
      <c r="J297" t="str">
        <f t="shared" si="4"/>
        <v>ia.assorted_string like '%95603-00246-08-2024%' or</v>
      </c>
    </row>
    <row r="298" spans="1:10" x14ac:dyDescent="0.25">
      <c r="A298" s="9" t="s">
        <v>3899</v>
      </c>
      <c r="B298" t="s">
        <v>4098</v>
      </c>
      <c r="H298">
        <v>95603</v>
      </c>
      <c r="I298" t="s">
        <v>4395</v>
      </c>
      <c r="J298" t="str">
        <f t="shared" si="4"/>
        <v>ia.assorted_string like '%95603-00210-08-2024%' or</v>
      </c>
    </row>
    <row r="299" spans="1:10" x14ac:dyDescent="0.25">
      <c r="A299" s="10" t="s">
        <v>3910</v>
      </c>
      <c r="B299" t="s">
        <v>4098</v>
      </c>
      <c r="H299">
        <v>95603</v>
      </c>
      <c r="I299" t="s">
        <v>4396</v>
      </c>
      <c r="J299" t="str">
        <f t="shared" si="4"/>
        <v>ia.assorted_string like '%95603-00211-08-2024%' or</v>
      </c>
    </row>
    <row r="300" spans="1:10" x14ac:dyDescent="0.25">
      <c r="A300" s="9" t="s">
        <v>3921</v>
      </c>
      <c r="B300" t="s">
        <v>4098</v>
      </c>
      <c r="H300">
        <v>95603</v>
      </c>
      <c r="I300" t="s">
        <v>4397</v>
      </c>
      <c r="J300" t="str">
        <f t="shared" si="4"/>
        <v>ia.assorted_string like '%95603-00213-08-2024%' or</v>
      </c>
    </row>
    <row r="301" spans="1:10" x14ac:dyDescent="0.25">
      <c r="A301" s="10" t="s">
        <v>3935</v>
      </c>
      <c r="B301" t="s">
        <v>4098</v>
      </c>
      <c r="H301">
        <v>95603</v>
      </c>
      <c r="I301" t="s">
        <v>4398</v>
      </c>
      <c r="J301" t="str">
        <f t="shared" si="4"/>
        <v>ia.assorted_string like '%95603-00242-08-2024%' or</v>
      </c>
    </row>
    <row r="302" spans="1:10" x14ac:dyDescent="0.25">
      <c r="A302" s="9" t="s">
        <v>3947</v>
      </c>
      <c r="B302" t="s">
        <v>4098</v>
      </c>
      <c r="H302">
        <v>95603</v>
      </c>
      <c r="I302" t="s">
        <v>4399</v>
      </c>
      <c r="J302" t="str">
        <f t="shared" si="4"/>
        <v>ia.assorted_string like '%95603-00214-08-2024%' or</v>
      </c>
    </row>
    <row r="303" spans="1:10" x14ac:dyDescent="0.25">
      <c r="A303" s="10" t="s">
        <v>3957</v>
      </c>
      <c r="B303" t="s">
        <v>4098</v>
      </c>
      <c r="H303">
        <v>95603</v>
      </c>
      <c r="I303" t="s">
        <v>4400</v>
      </c>
      <c r="J303" t="str">
        <f t="shared" si="4"/>
        <v>ia.assorted_string like '%95603-00216-08-2024%' or</v>
      </c>
    </row>
    <row r="304" spans="1:10" x14ac:dyDescent="0.25">
      <c r="A304" s="9" t="s">
        <v>3972</v>
      </c>
      <c r="B304" t="s">
        <v>4098</v>
      </c>
      <c r="H304">
        <v>95603</v>
      </c>
      <c r="I304" t="s">
        <v>4401</v>
      </c>
      <c r="J304" t="str">
        <f t="shared" si="4"/>
        <v>ia.assorted_string like '%95603-00241-08-2024%' or</v>
      </c>
    </row>
    <row r="305" spans="1:10" x14ac:dyDescent="0.25">
      <c r="A305" s="10" t="s">
        <v>3984</v>
      </c>
      <c r="B305" t="s">
        <v>4098</v>
      </c>
      <c r="H305">
        <v>95603</v>
      </c>
      <c r="I305" t="s">
        <v>4402</v>
      </c>
      <c r="J305" t="str">
        <f t="shared" si="4"/>
        <v>ia.assorted_string like '%95603-00240-08-2024%' or</v>
      </c>
    </row>
    <row r="306" spans="1:10" x14ac:dyDescent="0.25">
      <c r="A306" s="9" t="s">
        <v>3997</v>
      </c>
      <c r="B306" t="s">
        <v>4098</v>
      </c>
      <c r="H306">
        <v>95603</v>
      </c>
      <c r="I306" t="s">
        <v>4403</v>
      </c>
      <c r="J306" t="str">
        <f t="shared" si="4"/>
        <v>ia.assorted_string like '%95603-00237-08-2024%' or</v>
      </c>
    </row>
    <row r="307" spans="1:10" x14ac:dyDescent="0.25">
      <c r="A307" s="10" t="s">
        <v>4007</v>
      </c>
      <c r="B307" t="s">
        <v>4098</v>
      </c>
      <c r="H307">
        <v>95603</v>
      </c>
      <c r="I307" t="s">
        <v>4404</v>
      </c>
      <c r="J307" t="str">
        <f t="shared" si="4"/>
        <v>ia.assorted_string like '%95603-00235-08-2024%' or</v>
      </c>
    </row>
    <row r="308" spans="1:10" x14ac:dyDescent="0.25">
      <c r="A308" s="9" t="s">
        <v>4019</v>
      </c>
      <c r="B308" t="s">
        <v>4098</v>
      </c>
      <c r="H308">
        <v>95603</v>
      </c>
      <c r="I308" t="s">
        <v>4405</v>
      </c>
      <c r="J308" t="str">
        <f t="shared" si="4"/>
        <v>ia.assorted_string like '%95603-00234-08-2024%' or</v>
      </c>
    </row>
    <row r="309" spans="1:10" x14ac:dyDescent="0.25">
      <c r="A309" s="10" t="s">
        <v>4031</v>
      </c>
      <c r="B309" t="s">
        <v>4098</v>
      </c>
      <c r="H309">
        <v>95603</v>
      </c>
      <c r="I309" t="s">
        <v>4406</v>
      </c>
      <c r="J309" t="str">
        <f t="shared" si="4"/>
        <v>ia.assorted_string like '%95603-00229-08-2024%' or</v>
      </c>
    </row>
    <row r="310" spans="1:10" x14ac:dyDescent="0.25">
      <c r="A310" s="9" t="s">
        <v>4042</v>
      </c>
      <c r="B310" t="s">
        <v>4098</v>
      </c>
      <c r="H310">
        <v>95603</v>
      </c>
      <c r="I310" t="s">
        <v>4407</v>
      </c>
      <c r="J310" t="str">
        <f t="shared" si="4"/>
        <v>ia.assorted_string like '%95603-00226-08-2024%' or</v>
      </c>
    </row>
    <row r="311" spans="1:10" x14ac:dyDescent="0.25">
      <c r="A311" s="10" t="s">
        <v>4052</v>
      </c>
      <c r="B311" t="s">
        <v>4098</v>
      </c>
      <c r="H311">
        <v>95603</v>
      </c>
      <c r="I311" t="s">
        <v>4408</v>
      </c>
      <c r="J311" t="str">
        <f t="shared" si="4"/>
        <v>ia.assorted_string like '%95603-00225-08-2024%' or</v>
      </c>
    </row>
    <row r="312" spans="1:10" x14ac:dyDescent="0.25">
      <c r="A312" s="9" t="s">
        <v>4063</v>
      </c>
      <c r="B312" t="s">
        <v>4098</v>
      </c>
      <c r="H312">
        <v>95603</v>
      </c>
      <c r="I312" t="s">
        <v>4409</v>
      </c>
      <c r="J312" t="str">
        <f t="shared" si="4"/>
        <v>ia.assorted_string like '%95603-00218-08-2024%' or</v>
      </c>
    </row>
    <row r="313" spans="1:10" x14ac:dyDescent="0.25">
      <c r="A313" s="10" t="s">
        <v>4074</v>
      </c>
      <c r="B313" t="s">
        <v>4098</v>
      </c>
      <c r="H313">
        <v>95603</v>
      </c>
      <c r="I313" t="s">
        <v>4410</v>
      </c>
      <c r="J313" t="str">
        <f t="shared" si="4"/>
        <v>ia.assorted_string like '%95603-00224-08-2024%' or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</vt:lpstr>
      <vt:lpstr>working1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obaid.gulraiz@salaamtakaful.com</dc:creator>
  <cp:lastModifiedBy>IT User Software</cp:lastModifiedBy>
  <dcterms:created xsi:type="dcterms:W3CDTF">2024-09-30T07:55:57Z</dcterms:created>
  <dcterms:modified xsi:type="dcterms:W3CDTF">2024-09-30T13:05:45Z</dcterms:modified>
</cp:coreProperties>
</file>