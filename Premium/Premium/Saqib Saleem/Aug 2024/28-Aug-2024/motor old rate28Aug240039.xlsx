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mium\Saqib Saleem\28-Aug-2024\"/>
    </mc:Choice>
  </mc:AlternateContent>
  <xr:revisionPtr revIDLastSave="0" documentId="13_ncr:1_{D9B41150-78F0-4369-94C0-ED7E467AA72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-PAK" sheetId="1" r:id="rId1"/>
    <sheet name="working" sheetId="2" r:id="rId2"/>
    <sheet name="Sheet2" sheetId="3" r:id="rId3"/>
  </sheets>
  <externalReferences>
    <externalReference r:id="rId4"/>
  </externalReferences>
  <definedNames>
    <definedName name="_xlnm._FilterDatabase" localSheetId="2" hidden="1">Sheet2!$H$1:$I$246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G5" i="2" s="1"/>
  <c r="H5" i="2" s="1"/>
  <c r="B6" i="2"/>
  <c r="B7" i="2"/>
  <c r="B8" i="2"/>
  <c r="B9" i="2"/>
  <c r="G9" i="2" s="1"/>
  <c r="H9" i="2" s="1"/>
  <c r="B10" i="2"/>
  <c r="B11" i="2"/>
  <c r="B12" i="2"/>
  <c r="B13" i="2"/>
  <c r="G13" i="2" s="1"/>
  <c r="H13" i="2" s="1"/>
  <c r="B14" i="2"/>
  <c r="B15" i="2"/>
  <c r="B16" i="2"/>
  <c r="B17" i="2"/>
  <c r="G17" i="2" s="1"/>
  <c r="H17" i="2" s="1"/>
  <c r="B18" i="2"/>
  <c r="B19" i="2"/>
  <c r="B20" i="2"/>
  <c r="B21" i="2"/>
  <c r="G21" i="2" s="1"/>
  <c r="H21" i="2" s="1"/>
  <c r="B22" i="2"/>
  <c r="B23" i="2"/>
  <c r="B24" i="2"/>
  <c r="B25" i="2"/>
  <c r="G25" i="2" s="1"/>
  <c r="H25" i="2" s="1"/>
  <c r="B26" i="2"/>
  <c r="B27" i="2"/>
  <c r="B28" i="2"/>
  <c r="B29" i="2"/>
  <c r="G29" i="2" s="1"/>
  <c r="H29" i="2" s="1"/>
  <c r="B30" i="2"/>
  <c r="B31" i="2"/>
  <c r="B32" i="2"/>
  <c r="B33" i="2"/>
  <c r="G33" i="2" s="1"/>
  <c r="H33" i="2" s="1"/>
  <c r="B34" i="2"/>
  <c r="B35" i="2"/>
  <c r="B36" i="2"/>
  <c r="B37" i="2"/>
  <c r="G37" i="2" s="1"/>
  <c r="H37" i="2" s="1"/>
  <c r="B38" i="2"/>
  <c r="B39" i="2"/>
  <c r="B40" i="2"/>
  <c r="B41" i="2"/>
  <c r="G41" i="2" s="1"/>
  <c r="H41" i="2" s="1"/>
  <c r="B42" i="2"/>
  <c r="B43" i="2"/>
  <c r="B44" i="2"/>
  <c r="B45" i="2"/>
  <c r="G45" i="2" s="1"/>
  <c r="H45" i="2" s="1"/>
  <c r="B46" i="2"/>
  <c r="B47" i="2"/>
  <c r="B48" i="2"/>
  <c r="B49" i="2"/>
  <c r="G49" i="2" s="1"/>
  <c r="H49" i="2" s="1"/>
  <c r="B50" i="2"/>
  <c r="B51" i="2"/>
  <c r="B52" i="2"/>
  <c r="B53" i="2"/>
  <c r="G53" i="2" s="1"/>
  <c r="H53" i="2" s="1"/>
  <c r="B54" i="2"/>
  <c r="B55" i="2"/>
  <c r="B56" i="2"/>
  <c r="B57" i="2"/>
  <c r="G57" i="2" s="1"/>
  <c r="H57" i="2" s="1"/>
  <c r="B58" i="2"/>
  <c r="B59" i="2"/>
  <c r="B60" i="2"/>
  <c r="B61" i="2"/>
  <c r="G61" i="2" s="1"/>
  <c r="H61" i="2" s="1"/>
  <c r="B62" i="2"/>
  <c r="B63" i="2"/>
  <c r="B64" i="2"/>
  <c r="B65" i="2"/>
  <c r="G65" i="2" s="1"/>
  <c r="H65" i="2" s="1"/>
  <c r="B66" i="2"/>
  <c r="B67" i="2"/>
  <c r="B68" i="2"/>
  <c r="B69" i="2"/>
  <c r="G69" i="2" s="1"/>
  <c r="H69" i="2" s="1"/>
  <c r="B70" i="2"/>
  <c r="B71" i="2"/>
  <c r="B72" i="2"/>
  <c r="B73" i="2"/>
  <c r="G73" i="2" s="1"/>
  <c r="H73" i="2" s="1"/>
  <c r="B74" i="2"/>
  <c r="B75" i="2"/>
  <c r="B76" i="2"/>
  <c r="B77" i="2"/>
  <c r="G77" i="2" s="1"/>
  <c r="H77" i="2" s="1"/>
  <c r="B78" i="2"/>
  <c r="B79" i="2"/>
  <c r="B80" i="2"/>
  <c r="B81" i="2"/>
  <c r="G81" i="2" s="1"/>
  <c r="H81" i="2" s="1"/>
  <c r="B82" i="2"/>
  <c r="B83" i="2"/>
  <c r="B84" i="2"/>
  <c r="B85" i="2"/>
  <c r="G85" i="2" s="1"/>
  <c r="H85" i="2" s="1"/>
  <c r="B86" i="2"/>
  <c r="B87" i="2"/>
  <c r="B88" i="2"/>
  <c r="B89" i="2"/>
  <c r="G89" i="2" s="1"/>
  <c r="H89" i="2" s="1"/>
  <c r="B90" i="2"/>
  <c r="B91" i="2"/>
  <c r="B92" i="2"/>
  <c r="B93" i="2"/>
  <c r="G93" i="2" s="1"/>
  <c r="H93" i="2" s="1"/>
  <c r="B94" i="2"/>
  <c r="B95" i="2"/>
  <c r="B96" i="2"/>
  <c r="B97" i="2"/>
  <c r="G97" i="2" s="1"/>
  <c r="H97" i="2" s="1"/>
  <c r="B98" i="2"/>
  <c r="B99" i="2"/>
  <c r="B100" i="2"/>
  <c r="B101" i="2"/>
  <c r="G101" i="2" s="1"/>
  <c r="H101" i="2" s="1"/>
  <c r="B102" i="2"/>
  <c r="B103" i="2"/>
  <c r="B104" i="2"/>
  <c r="B105" i="2"/>
  <c r="G105" i="2" s="1"/>
  <c r="H105" i="2" s="1"/>
  <c r="B106" i="2"/>
  <c r="B107" i="2"/>
  <c r="B108" i="2"/>
  <c r="B109" i="2"/>
  <c r="G109" i="2" s="1"/>
  <c r="H109" i="2" s="1"/>
  <c r="B110" i="2"/>
  <c r="B111" i="2"/>
  <c r="B112" i="2"/>
  <c r="B113" i="2"/>
  <c r="G113" i="2" s="1"/>
  <c r="H113" i="2" s="1"/>
  <c r="B114" i="2"/>
  <c r="B115" i="2"/>
  <c r="B116" i="2"/>
  <c r="B117" i="2"/>
  <c r="G117" i="2" s="1"/>
  <c r="H117" i="2" s="1"/>
  <c r="B118" i="2"/>
  <c r="B119" i="2"/>
  <c r="B120" i="2"/>
  <c r="B121" i="2"/>
  <c r="G121" i="2" s="1"/>
  <c r="H121" i="2" s="1"/>
  <c r="B122" i="2"/>
  <c r="B123" i="2"/>
  <c r="B124" i="2"/>
  <c r="B125" i="2"/>
  <c r="G125" i="2" s="1"/>
  <c r="H125" i="2" s="1"/>
  <c r="B126" i="2"/>
  <c r="B127" i="2"/>
  <c r="B128" i="2"/>
  <c r="B129" i="2"/>
  <c r="G129" i="2" s="1"/>
  <c r="H129" i="2" s="1"/>
  <c r="B130" i="2"/>
  <c r="B131" i="2"/>
  <c r="B132" i="2"/>
  <c r="B133" i="2"/>
  <c r="G133" i="2" s="1"/>
  <c r="H133" i="2" s="1"/>
  <c r="B134" i="2"/>
  <c r="B135" i="2"/>
  <c r="B136" i="2"/>
  <c r="B137" i="2"/>
  <c r="G137" i="2" s="1"/>
  <c r="H137" i="2" s="1"/>
  <c r="B138" i="2"/>
  <c r="B139" i="2"/>
  <c r="B140" i="2"/>
  <c r="B141" i="2"/>
  <c r="G141" i="2" s="1"/>
  <c r="H141" i="2" s="1"/>
  <c r="B142" i="2"/>
  <c r="B143" i="2"/>
  <c r="B144" i="2"/>
  <c r="B145" i="2"/>
  <c r="G145" i="2" s="1"/>
  <c r="H145" i="2" s="1"/>
  <c r="B146" i="2"/>
  <c r="B147" i="2"/>
  <c r="B148" i="2"/>
  <c r="B149" i="2"/>
  <c r="G149" i="2" s="1"/>
  <c r="H149" i="2" s="1"/>
  <c r="B150" i="2"/>
  <c r="B151" i="2"/>
  <c r="B152" i="2"/>
  <c r="B153" i="2"/>
  <c r="G153" i="2" s="1"/>
  <c r="H153" i="2" s="1"/>
  <c r="B154" i="2"/>
  <c r="B155" i="2"/>
  <c r="B156" i="2"/>
  <c r="B157" i="2"/>
  <c r="G157" i="2" s="1"/>
  <c r="H157" i="2" s="1"/>
  <c r="B158" i="2"/>
  <c r="B159" i="2"/>
  <c r="B160" i="2"/>
  <c r="B161" i="2"/>
  <c r="G161" i="2" s="1"/>
  <c r="H161" i="2" s="1"/>
  <c r="B162" i="2"/>
  <c r="B163" i="2"/>
  <c r="B164" i="2"/>
  <c r="B165" i="2"/>
  <c r="G165" i="2" s="1"/>
  <c r="H165" i="2" s="1"/>
  <c r="B166" i="2"/>
  <c r="B167" i="2"/>
  <c r="B168" i="2"/>
  <c r="B169" i="2"/>
  <c r="G169" i="2" s="1"/>
  <c r="H169" i="2" s="1"/>
  <c r="B170" i="2"/>
  <c r="B171" i="2"/>
  <c r="B172" i="2"/>
  <c r="B173" i="2"/>
  <c r="G173" i="2" s="1"/>
  <c r="H173" i="2" s="1"/>
  <c r="B174" i="2"/>
  <c r="B175" i="2"/>
  <c r="B176" i="2"/>
  <c r="B177" i="2"/>
  <c r="G177" i="2" s="1"/>
  <c r="H177" i="2" s="1"/>
  <c r="B178" i="2"/>
  <c r="B179" i="2"/>
  <c r="B180" i="2"/>
  <c r="B181" i="2"/>
  <c r="G181" i="2" s="1"/>
  <c r="H181" i="2" s="1"/>
  <c r="B182" i="2"/>
  <c r="B183" i="2"/>
  <c r="B184" i="2"/>
  <c r="B185" i="2"/>
  <c r="G185" i="2" s="1"/>
  <c r="H185" i="2" s="1"/>
  <c r="B186" i="2"/>
  <c r="B187" i="2"/>
  <c r="B188" i="2"/>
  <c r="B189" i="2"/>
  <c r="G189" i="2" s="1"/>
  <c r="H189" i="2" s="1"/>
  <c r="B190" i="2"/>
  <c r="B191" i="2"/>
  <c r="B192" i="2"/>
  <c r="B193" i="2"/>
  <c r="G193" i="2" s="1"/>
  <c r="H193" i="2" s="1"/>
  <c r="B194" i="2"/>
  <c r="B195" i="2"/>
  <c r="B196" i="2"/>
  <c r="B197" i="2"/>
  <c r="G197" i="2" s="1"/>
  <c r="H197" i="2" s="1"/>
  <c r="B198" i="2"/>
  <c r="B199" i="2"/>
  <c r="B200" i="2"/>
  <c r="B201" i="2"/>
  <c r="G201" i="2" s="1"/>
  <c r="H201" i="2" s="1"/>
  <c r="B202" i="2"/>
  <c r="B203" i="2"/>
  <c r="B204" i="2"/>
  <c r="B205" i="2"/>
  <c r="G205" i="2" s="1"/>
  <c r="H205" i="2" s="1"/>
  <c r="B206" i="2"/>
  <c r="B207" i="2"/>
  <c r="B208" i="2"/>
  <c r="B209" i="2"/>
  <c r="G209" i="2" s="1"/>
  <c r="H209" i="2" s="1"/>
  <c r="B210" i="2"/>
  <c r="B211" i="2"/>
  <c r="B212" i="2"/>
  <c r="B213" i="2"/>
  <c r="G213" i="2" s="1"/>
  <c r="H213" i="2" s="1"/>
  <c r="B214" i="2"/>
  <c r="B215" i="2"/>
  <c r="B216" i="2"/>
  <c r="B217" i="2"/>
  <c r="G217" i="2" s="1"/>
  <c r="H217" i="2" s="1"/>
  <c r="B218" i="2"/>
  <c r="B219" i="2"/>
  <c r="B220" i="2"/>
  <c r="B221" i="2"/>
  <c r="G221" i="2" s="1"/>
  <c r="H221" i="2" s="1"/>
  <c r="B222" i="2"/>
  <c r="B223" i="2"/>
  <c r="B224" i="2"/>
  <c r="B225" i="2"/>
  <c r="G225" i="2" s="1"/>
  <c r="H225" i="2" s="1"/>
  <c r="B226" i="2"/>
  <c r="B227" i="2"/>
  <c r="B228" i="2"/>
  <c r="B229" i="2"/>
  <c r="G229" i="2" s="1"/>
  <c r="H229" i="2" s="1"/>
  <c r="B230" i="2"/>
  <c r="B231" i="2"/>
  <c r="B232" i="2"/>
  <c r="B233" i="2"/>
  <c r="G233" i="2" s="1"/>
  <c r="H233" i="2" s="1"/>
  <c r="B234" i="2"/>
  <c r="B235" i="2"/>
  <c r="B236" i="2"/>
  <c r="B237" i="2"/>
  <c r="G237" i="2" s="1"/>
  <c r="H237" i="2" s="1"/>
  <c r="B238" i="2"/>
  <c r="B239" i="2"/>
  <c r="B240" i="2"/>
  <c r="B241" i="2"/>
  <c r="G241" i="2" s="1"/>
  <c r="H241" i="2" s="1"/>
  <c r="B242" i="2"/>
  <c r="B243" i="2"/>
  <c r="B244" i="2"/>
  <c r="B245" i="2"/>
  <c r="G245" i="2" s="1"/>
  <c r="H245" i="2" s="1"/>
  <c r="B246" i="2"/>
  <c r="B1" i="2"/>
  <c r="G1" i="2" s="1"/>
  <c r="H4" i="2"/>
  <c r="H8" i="2"/>
  <c r="H12" i="2"/>
  <c r="H16" i="2"/>
  <c r="H20" i="2"/>
  <c r="H24" i="2"/>
  <c r="H28" i="2"/>
  <c r="H43" i="2"/>
  <c r="H59" i="2"/>
  <c r="H75" i="2"/>
  <c r="H91" i="2"/>
  <c r="H107" i="2"/>
  <c r="H123" i="2"/>
  <c r="H139" i="2"/>
  <c r="H155" i="2"/>
  <c r="H171" i="2"/>
  <c r="H187" i="2"/>
  <c r="H203" i="2"/>
  <c r="H219" i="2"/>
  <c r="H235" i="2"/>
  <c r="G2" i="2"/>
  <c r="H2" i="2" s="1"/>
  <c r="G3" i="2"/>
  <c r="H3" i="2" s="1"/>
  <c r="G4" i="2"/>
  <c r="G6" i="2"/>
  <c r="H6" i="2" s="1"/>
  <c r="G7" i="2"/>
  <c r="H7" i="2" s="1"/>
  <c r="G8" i="2"/>
  <c r="G10" i="2"/>
  <c r="H10" i="2" s="1"/>
  <c r="G11" i="2"/>
  <c r="H11" i="2" s="1"/>
  <c r="G12" i="2"/>
  <c r="G14" i="2"/>
  <c r="H14" i="2" s="1"/>
  <c r="G15" i="2"/>
  <c r="H15" i="2" s="1"/>
  <c r="G16" i="2"/>
  <c r="G18" i="2"/>
  <c r="H18" i="2" s="1"/>
  <c r="G19" i="2"/>
  <c r="H19" i="2" s="1"/>
  <c r="G20" i="2"/>
  <c r="G22" i="2"/>
  <c r="H22" i="2" s="1"/>
  <c r="G23" i="2"/>
  <c r="H23" i="2" s="1"/>
  <c r="G24" i="2"/>
  <c r="G26" i="2"/>
  <c r="H26" i="2" s="1"/>
  <c r="G27" i="2"/>
  <c r="H27" i="2" s="1"/>
  <c r="G28" i="2"/>
  <c r="G30" i="2"/>
  <c r="H30" i="2" s="1"/>
  <c r="G31" i="2"/>
  <c r="H31" i="2" s="1"/>
  <c r="G32" i="2"/>
  <c r="H32" i="2" s="1"/>
  <c r="G34" i="2"/>
  <c r="H34" i="2" s="1"/>
  <c r="G35" i="2"/>
  <c r="H35" i="2" s="1"/>
  <c r="G36" i="2"/>
  <c r="H36" i="2" s="1"/>
  <c r="G38" i="2"/>
  <c r="H38" i="2" s="1"/>
  <c r="G39" i="2"/>
  <c r="H39" i="2" s="1"/>
  <c r="G40" i="2"/>
  <c r="H40" i="2" s="1"/>
  <c r="G42" i="2"/>
  <c r="H42" i="2" s="1"/>
  <c r="G43" i="2"/>
  <c r="G44" i="2"/>
  <c r="H44" i="2" s="1"/>
  <c r="G46" i="2"/>
  <c r="H46" i="2" s="1"/>
  <c r="G47" i="2"/>
  <c r="H47" i="2" s="1"/>
  <c r="G48" i="2"/>
  <c r="H48" i="2" s="1"/>
  <c r="G50" i="2"/>
  <c r="H50" i="2" s="1"/>
  <c r="G51" i="2"/>
  <c r="H51" i="2" s="1"/>
  <c r="G52" i="2"/>
  <c r="H52" i="2" s="1"/>
  <c r="G54" i="2"/>
  <c r="H54" i="2" s="1"/>
  <c r="G55" i="2"/>
  <c r="H55" i="2" s="1"/>
  <c r="G56" i="2"/>
  <c r="H56" i="2" s="1"/>
  <c r="G58" i="2"/>
  <c r="H58" i="2" s="1"/>
  <c r="G59" i="2"/>
  <c r="G60" i="2"/>
  <c r="H60" i="2" s="1"/>
  <c r="G62" i="2"/>
  <c r="H62" i="2" s="1"/>
  <c r="G63" i="2"/>
  <c r="H63" i="2" s="1"/>
  <c r="G64" i="2"/>
  <c r="H64" i="2" s="1"/>
  <c r="G66" i="2"/>
  <c r="H66" i="2" s="1"/>
  <c r="G67" i="2"/>
  <c r="H67" i="2" s="1"/>
  <c r="G68" i="2"/>
  <c r="H68" i="2" s="1"/>
  <c r="G70" i="2"/>
  <c r="H70" i="2" s="1"/>
  <c r="G71" i="2"/>
  <c r="H71" i="2" s="1"/>
  <c r="G72" i="2"/>
  <c r="H72" i="2" s="1"/>
  <c r="G74" i="2"/>
  <c r="H74" i="2" s="1"/>
  <c r="G75" i="2"/>
  <c r="G76" i="2"/>
  <c r="H76" i="2" s="1"/>
  <c r="G78" i="2"/>
  <c r="H78" i="2" s="1"/>
  <c r="G79" i="2"/>
  <c r="H79" i="2" s="1"/>
  <c r="G80" i="2"/>
  <c r="H80" i="2" s="1"/>
  <c r="G82" i="2"/>
  <c r="H82" i="2" s="1"/>
  <c r="G83" i="2"/>
  <c r="H83" i="2" s="1"/>
  <c r="G84" i="2"/>
  <c r="H84" i="2" s="1"/>
  <c r="G86" i="2"/>
  <c r="H86" i="2" s="1"/>
  <c r="G87" i="2"/>
  <c r="H87" i="2" s="1"/>
  <c r="G88" i="2"/>
  <c r="H88" i="2" s="1"/>
  <c r="G90" i="2"/>
  <c r="H90" i="2" s="1"/>
  <c r="G91" i="2"/>
  <c r="G92" i="2"/>
  <c r="H92" i="2" s="1"/>
  <c r="G94" i="2"/>
  <c r="H94" i="2" s="1"/>
  <c r="G95" i="2"/>
  <c r="H95" i="2" s="1"/>
  <c r="G96" i="2"/>
  <c r="H96" i="2" s="1"/>
  <c r="G98" i="2"/>
  <c r="H98" i="2" s="1"/>
  <c r="G99" i="2"/>
  <c r="H99" i="2" s="1"/>
  <c r="G100" i="2"/>
  <c r="H100" i="2" s="1"/>
  <c r="G102" i="2"/>
  <c r="H102" i="2" s="1"/>
  <c r="G103" i="2"/>
  <c r="H103" i="2" s="1"/>
  <c r="G104" i="2"/>
  <c r="H104" i="2" s="1"/>
  <c r="G106" i="2"/>
  <c r="H106" i="2" s="1"/>
  <c r="G107" i="2"/>
  <c r="G108" i="2"/>
  <c r="H108" i="2" s="1"/>
  <c r="G110" i="2"/>
  <c r="H110" i="2" s="1"/>
  <c r="G111" i="2"/>
  <c r="H111" i="2" s="1"/>
  <c r="G112" i="2"/>
  <c r="H112" i="2" s="1"/>
  <c r="G114" i="2"/>
  <c r="H114" i="2" s="1"/>
  <c r="G115" i="2"/>
  <c r="H115" i="2" s="1"/>
  <c r="G116" i="2"/>
  <c r="H116" i="2" s="1"/>
  <c r="G118" i="2"/>
  <c r="H118" i="2" s="1"/>
  <c r="G119" i="2"/>
  <c r="H119" i="2" s="1"/>
  <c r="G120" i="2"/>
  <c r="H120" i="2" s="1"/>
  <c r="G122" i="2"/>
  <c r="H122" i="2" s="1"/>
  <c r="G123" i="2"/>
  <c r="G124" i="2"/>
  <c r="H124" i="2" s="1"/>
  <c r="G126" i="2"/>
  <c r="H126" i="2" s="1"/>
  <c r="G127" i="2"/>
  <c r="H127" i="2" s="1"/>
  <c r="G128" i="2"/>
  <c r="H128" i="2" s="1"/>
  <c r="G130" i="2"/>
  <c r="H130" i="2" s="1"/>
  <c r="G131" i="2"/>
  <c r="H131" i="2" s="1"/>
  <c r="G132" i="2"/>
  <c r="H132" i="2" s="1"/>
  <c r="G134" i="2"/>
  <c r="H134" i="2" s="1"/>
  <c r="G135" i="2"/>
  <c r="H135" i="2" s="1"/>
  <c r="G136" i="2"/>
  <c r="H136" i="2" s="1"/>
  <c r="G138" i="2"/>
  <c r="H138" i="2" s="1"/>
  <c r="G139" i="2"/>
  <c r="G140" i="2"/>
  <c r="H140" i="2" s="1"/>
  <c r="G142" i="2"/>
  <c r="H142" i="2" s="1"/>
  <c r="G143" i="2"/>
  <c r="H143" i="2" s="1"/>
  <c r="G144" i="2"/>
  <c r="H144" i="2" s="1"/>
  <c r="G146" i="2"/>
  <c r="H146" i="2" s="1"/>
  <c r="G147" i="2"/>
  <c r="H147" i="2" s="1"/>
  <c r="G148" i="2"/>
  <c r="H148" i="2" s="1"/>
  <c r="G150" i="2"/>
  <c r="H150" i="2" s="1"/>
  <c r="G151" i="2"/>
  <c r="H151" i="2" s="1"/>
  <c r="G152" i="2"/>
  <c r="H152" i="2" s="1"/>
  <c r="G154" i="2"/>
  <c r="H154" i="2" s="1"/>
  <c r="G155" i="2"/>
  <c r="G156" i="2"/>
  <c r="H156" i="2" s="1"/>
  <c r="G158" i="2"/>
  <c r="H158" i="2" s="1"/>
  <c r="G159" i="2"/>
  <c r="H159" i="2" s="1"/>
  <c r="G160" i="2"/>
  <c r="H160" i="2" s="1"/>
  <c r="G162" i="2"/>
  <c r="H162" i="2" s="1"/>
  <c r="G163" i="2"/>
  <c r="H163" i="2" s="1"/>
  <c r="G164" i="2"/>
  <c r="H164" i="2" s="1"/>
  <c r="G166" i="2"/>
  <c r="H166" i="2" s="1"/>
  <c r="G167" i="2"/>
  <c r="H167" i="2" s="1"/>
  <c r="G168" i="2"/>
  <c r="H168" i="2" s="1"/>
  <c r="G170" i="2"/>
  <c r="H170" i="2" s="1"/>
  <c r="G171" i="2"/>
  <c r="G172" i="2"/>
  <c r="H172" i="2" s="1"/>
  <c r="G174" i="2"/>
  <c r="H174" i="2" s="1"/>
  <c r="G175" i="2"/>
  <c r="H175" i="2" s="1"/>
  <c r="G176" i="2"/>
  <c r="H176" i="2" s="1"/>
  <c r="G178" i="2"/>
  <c r="H178" i="2" s="1"/>
  <c r="G179" i="2"/>
  <c r="H179" i="2" s="1"/>
  <c r="G180" i="2"/>
  <c r="H180" i="2" s="1"/>
  <c r="G182" i="2"/>
  <c r="H182" i="2" s="1"/>
  <c r="G183" i="2"/>
  <c r="H183" i="2" s="1"/>
  <c r="G184" i="2"/>
  <c r="H184" i="2" s="1"/>
  <c r="G186" i="2"/>
  <c r="H186" i="2" s="1"/>
  <c r="G187" i="2"/>
  <c r="G188" i="2"/>
  <c r="H188" i="2" s="1"/>
  <c r="G190" i="2"/>
  <c r="H190" i="2" s="1"/>
  <c r="G191" i="2"/>
  <c r="H191" i="2" s="1"/>
  <c r="G192" i="2"/>
  <c r="H192" i="2" s="1"/>
  <c r="G194" i="2"/>
  <c r="H194" i="2" s="1"/>
  <c r="G195" i="2"/>
  <c r="H195" i="2" s="1"/>
  <c r="G196" i="2"/>
  <c r="H196" i="2" s="1"/>
  <c r="G198" i="2"/>
  <c r="H198" i="2" s="1"/>
  <c r="G199" i="2"/>
  <c r="H199" i="2" s="1"/>
  <c r="G200" i="2"/>
  <c r="H200" i="2" s="1"/>
  <c r="G202" i="2"/>
  <c r="H202" i="2" s="1"/>
  <c r="G203" i="2"/>
  <c r="G204" i="2"/>
  <c r="H204" i="2" s="1"/>
  <c r="G206" i="2"/>
  <c r="H206" i="2" s="1"/>
  <c r="G207" i="2"/>
  <c r="H207" i="2" s="1"/>
  <c r="G208" i="2"/>
  <c r="H208" i="2" s="1"/>
  <c r="G210" i="2"/>
  <c r="H210" i="2" s="1"/>
  <c r="G211" i="2"/>
  <c r="H211" i="2" s="1"/>
  <c r="G212" i="2"/>
  <c r="H212" i="2" s="1"/>
  <c r="G214" i="2"/>
  <c r="H214" i="2" s="1"/>
  <c r="G215" i="2"/>
  <c r="H215" i="2" s="1"/>
  <c r="G216" i="2"/>
  <c r="H216" i="2" s="1"/>
  <c r="G218" i="2"/>
  <c r="H218" i="2" s="1"/>
  <c r="G219" i="2"/>
  <c r="G220" i="2"/>
  <c r="H220" i="2" s="1"/>
  <c r="G222" i="2"/>
  <c r="H222" i="2" s="1"/>
  <c r="G223" i="2"/>
  <c r="H223" i="2" s="1"/>
  <c r="G224" i="2"/>
  <c r="H224" i="2" s="1"/>
  <c r="G226" i="2"/>
  <c r="H226" i="2" s="1"/>
  <c r="G227" i="2"/>
  <c r="H227" i="2" s="1"/>
  <c r="G228" i="2"/>
  <c r="H228" i="2" s="1"/>
  <c r="G230" i="2"/>
  <c r="H230" i="2" s="1"/>
  <c r="G231" i="2"/>
  <c r="H231" i="2" s="1"/>
  <c r="G232" i="2"/>
  <c r="H232" i="2" s="1"/>
  <c r="G234" i="2"/>
  <c r="H234" i="2" s="1"/>
  <c r="G235" i="2"/>
  <c r="G236" i="2"/>
  <c r="H236" i="2" s="1"/>
  <c r="G238" i="2"/>
  <c r="H238" i="2" s="1"/>
  <c r="G239" i="2"/>
  <c r="H239" i="2" s="1"/>
  <c r="G240" i="2"/>
  <c r="H240" i="2" s="1"/>
  <c r="G242" i="2"/>
  <c r="H242" i="2" s="1"/>
  <c r="G243" i="2"/>
  <c r="H243" i="2" s="1"/>
  <c r="G244" i="2"/>
  <c r="H244" i="2" s="1"/>
  <c r="G246" i="2"/>
  <c r="H246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1" i="3"/>
  <c r="H1" i="2" l="1"/>
  <c r="F1" i="2"/>
  <c r="D1" i="2"/>
  <c r="AM2" i="1" l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L278" i="1"/>
  <c r="AG278" i="1"/>
</calcChain>
</file>

<file path=xl/sharedStrings.xml><?xml version="1.0" encoding="utf-8"?>
<sst xmlns="http://schemas.openxmlformats.org/spreadsheetml/2006/main" count="10932" uniqueCount="4979">
  <si>
    <t>Sr.</t>
  </si>
  <si>
    <t>Status</t>
  </si>
  <si>
    <t>Contract No.</t>
  </si>
  <si>
    <t>Contract Status</t>
  </si>
  <si>
    <t>Insurance Agency</t>
  </si>
  <si>
    <t>Customer Name</t>
  </si>
  <si>
    <t>City</t>
  </si>
  <si>
    <t>CNIC No.</t>
  </si>
  <si>
    <t>Home Phone#</t>
  </si>
  <si>
    <t>Mobile Number</t>
  </si>
  <si>
    <t>Business Phone#</t>
  </si>
  <si>
    <t>Mail Address</t>
  </si>
  <si>
    <t>Finance Amount</t>
  </si>
  <si>
    <t>Car Price</t>
  </si>
  <si>
    <t>Ins. Policy</t>
  </si>
  <si>
    <t>Ins. Expiry Date</t>
  </si>
  <si>
    <t>Engine No.</t>
  </si>
  <si>
    <t>Chassis No.</t>
  </si>
  <si>
    <t>Car Category</t>
  </si>
  <si>
    <t>Reg. No.</t>
  </si>
  <si>
    <t>Car Name</t>
  </si>
  <si>
    <t>Model</t>
  </si>
  <si>
    <t>Contract Booking Date</t>
  </si>
  <si>
    <t>Contract Value Date</t>
  </si>
  <si>
    <t>Contract Maturity Date</t>
  </si>
  <si>
    <t>Purchase Order No.</t>
  </si>
  <si>
    <t>Tenor#2</t>
  </si>
  <si>
    <t>Tracker Company</t>
  </si>
  <si>
    <t>Tracker Reference Number</t>
  </si>
  <si>
    <t>Tracker Installation Date</t>
  </si>
  <si>
    <t xml:space="preserve">Rate </t>
  </si>
  <si>
    <t xml:space="preserve">Sum Insured </t>
  </si>
  <si>
    <t>Premium</t>
  </si>
  <si>
    <t>OLD Contract Ref</t>
  </si>
  <si>
    <t>Remarks-I</t>
  </si>
  <si>
    <t>Remarks-II</t>
  </si>
  <si>
    <t>NORM</t>
  </si>
  <si>
    <t>9976AP1211730015</t>
  </si>
  <si>
    <t>A</t>
  </si>
  <si>
    <t>T-PAK</t>
  </si>
  <si>
    <t>UMAR AFTAB</t>
  </si>
  <si>
    <t>Gujrat</t>
  </si>
  <si>
    <t>34201-3844938-7</t>
  </si>
  <si>
    <t>03006243327</t>
  </si>
  <si>
    <t xml:space="preserve">STREET NO 2 ALI PUR ROAD NEAR KHAWA JAGAN KABARSTAN GUJRAT PK </t>
  </si>
  <si>
    <t>01-1707-PO-MTR-PCCM-D-001962</t>
  </si>
  <si>
    <t>13-JUL-2018</t>
  </si>
  <si>
    <t>154080</t>
  </si>
  <si>
    <t>10054052</t>
  </si>
  <si>
    <t>USD</t>
  </si>
  <si>
    <t>APX-647</t>
  </si>
  <si>
    <t>SUZUKI CULTUS VXL EURO II</t>
  </si>
  <si>
    <t>2019</t>
  </si>
  <si>
    <t>21-JUN-2021</t>
  </si>
  <si>
    <t>21-Jun-2026</t>
  </si>
  <si>
    <t>OLUGJR300069622</t>
  </si>
  <si>
    <t>CTRK</t>
  </si>
  <si>
    <t>DIB0030736</t>
  </si>
  <si>
    <t>18-JUN-2021</t>
  </si>
  <si>
    <t>2%</t>
  </si>
  <si>
    <t>997AAD2210220001</t>
  </si>
  <si>
    <t>MUHAMMAD HAROON MUZAFFAR</t>
  </si>
  <si>
    <t>Lahore</t>
  </si>
  <si>
    <t>35302-1871370-5</t>
  </si>
  <si>
    <t>0442513276</t>
  </si>
  <si>
    <t>03224952868</t>
  </si>
  <si>
    <t>03007531428</t>
  </si>
  <si>
    <t xml:space="preserve">H NO B2/1 R-23-24 MOHALLAH D-BLOCK OKARA. </t>
  </si>
  <si>
    <t>2524/00358/00014/07/2017</t>
  </si>
  <si>
    <t>06-JUL-2018</t>
  </si>
  <si>
    <t>072379</t>
  </si>
  <si>
    <t>706481</t>
  </si>
  <si>
    <t>NEW</t>
  </si>
  <si>
    <t/>
  </si>
  <si>
    <t>PICANTO 1.0L A/T</t>
  </si>
  <si>
    <t>2021</t>
  </si>
  <si>
    <t>11-JUL-2021</t>
  </si>
  <si>
    <t>11-Jul-2028</t>
  </si>
  <si>
    <t>OLALHR300065234</t>
  </si>
  <si>
    <t>DIB0030939</t>
  </si>
  <si>
    <t>03-JUL-2021</t>
  </si>
  <si>
    <t>9976AP1211730022</t>
  </si>
  <si>
    <t>RIASAT ALI</t>
  </si>
  <si>
    <t>MURIDK</t>
  </si>
  <si>
    <t>35401-5419675-5</t>
  </si>
  <si>
    <t>03004607315</t>
  </si>
  <si>
    <t xml:space="preserve">STREET NO 2 BASRA COLONY MURIDKAY PK </t>
  </si>
  <si>
    <t>2524/00358/00039/07/2017</t>
  </si>
  <si>
    <t>11-JUL-2018</t>
  </si>
  <si>
    <t>760666</t>
  </si>
  <si>
    <t>300187</t>
  </si>
  <si>
    <t>HYUNDAI ELANTRA</t>
  </si>
  <si>
    <t>21-Jun-2024</t>
  </si>
  <si>
    <t>LDMDK300069597</t>
  </si>
  <si>
    <t>DIB0030733</t>
  </si>
  <si>
    <t>9976AD1220170019</t>
  </si>
  <si>
    <t>HASSAM EJAZ</t>
  </si>
  <si>
    <t>Rawalpindi</t>
  </si>
  <si>
    <t>37405-7475858-3</t>
  </si>
  <si>
    <t>03345546018</t>
  </si>
  <si>
    <t xml:space="preserve">BILAL STREET H NO 275/F-7 STREET NO 30 MOHALLAH KAMALABAD RAWALPINDI CANTT. TEHSIL DSITRICT RWP </t>
  </si>
  <si>
    <t>2524/00358/00206/07/2017</t>
  </si>
  <si>
    <t>28-JUL-2018</t>
  </si>
  <si>
    <t>238891</t>
  </si>
  <si>
    <t>1138803</t>
  </si>
  <si>
    <t>SUZUKI ALTO VX EURO II</t>
  </si>
  <si>
    <t>2022</t>
  </si>
  <si>
    <t>11-JUL-2022</t>
  </si>
  <si>
    <t>11-Jul-2027</t>
  </si>
  <si>
    <t>OLARWP300083192</t>
  </si>
  <si>
    <t>ITFM</t>
  </si>
  <si>
    <t>7986/07/2022/ITFM</t>
  </si>
  <si>
    <t>04-JUL-2022</t>
  </si>
  <si>
    <t>9976AD1220590032</t>
  </si>
  <si>
    <t>AL SAUD KHAN</t>
  </si>
  <si>
    <t>Karachi</t>
  </si>
  <si>
    <t>42201-2805301-5</t>
  </si>
  <si>
    <t>03122004434</t>
  </si>
  <si>
    <t xml:space="preserve">KINZA CHEMICAL R-110/4 SECTOR 16-A BLOCK-4,BUFFERZONE KARACHI 0312-2004434 </t>
  </si>
  <si>
    <t>2524/00358/002330/07/2017</t>
  </si>
  <si>
    <t>30-JUL-2018</t>
  </si>
  <si>
    <t>69U503451</t>
  </si>
  <si>
    <t>1015242</t>
  </si>
  <si>
    <t>CHANGAN KARVAN PLUS</t>
  </si>
  <si>
    <t>21-JUL-2022</t>
  </si>
  <si>
    <t>21-Jul-2029</t>
  </si>
  <si>
    <t>OLAKHI300084846</t>
  </si>
  <si>
    <t>7892/06/2022/ITFM</t>
  </si>
  <si>
    <t>29-JUN-2022</t>
  </si>
  <si>
    <t>9976AD1220900014</t>
  </si>
  <si>
    <t>ZAINAB</t>
  </si>
  <si>
    <t>Islamabad</t>
  </si>
  <si>
    <t>37201-4961790-4</t>
  </si>
  <si>
    <t>03165646366</t>
  </si>
  <si>
    <t>051402224920</t>
  </si>
  <si>
    <t xml:space="preserve">MAKAAN # 802 ST # 8 PHASE 6 BAHRIA TOWN RAWALPINDI PK </t>
  </si>
  <si>
    <t>2524/00358/00246/07/2017</t>
  </si>
  <si>
    <t>30-JULY-2018</t>
  </si>
  <si>
    <t>199129</t>
  </si>
  <si>
    <t>10099124</t>
  </si>
  <si>
    <t>SUZUKI CULTUS VXL EURO-II</t>
  </si>
  <si>
    <t>OLAISD300086202</t>
  </si>
  <si>
    <t>DIB0034596</t>
  </si>
  <si>
    <t>9976AD1203660066</t>
  </si>
  <si>
    <t>MUHAMMAD ARSALAN</t>
  </si>
  <si>
    <t>42201-7880381-5</t>
  </si>
  <si>
    <t>0340-6096570</t>
  </si>
  <si>
    <t xml:space="preserve">R- 330, PAK KAUSAR TOWN, MALIR KHOKARAPAR NEAR ANUM CLINIC MALIR KARACHI PAKISTAN </t>
  </si>
  <si>
    <t>DIB/T/BT/22491/LHR/0718</t>
  </si>
  <si>
    <t>22-JUL-2019</t>
  </si>
  <si>
    <t>501485</t>
  </si>
  <si>
    <t>006834</t>
  </si>
  <si>
    <t>CHANGAN KARVAAN</t>
  </si>
  <si>
    <t>2020</t>
  </si>
  <si>
    <t>21-JUL-2021</t>
  </si>
  <si>
    <t>21-Jul-2026</t>
  </si>
  <si>
    <t>OLAKHI300064540</t>
  </si>
  <si>
    <t>DIB0030892</t>
  </si>
  <si>
    <t>02-JUL-2021</t>
  </si>
  <si>
    <t>9976AD1210810006</t>
  </si>
  <si>
    <t>MUZAFAR UDDIN SHAIKH</t>
  </si>
  <si>
    <t>42301-0913069-3</t>
  </si>
  <si>
    <t>03002131770</t>
  </si>
  <si>
    <t xml:space="preserve">FLAT NO. D-1, GROUND FLOOR GOR-2, S .M.C.H.S. NEAR BINDO KHAN HOTEL KARACHI PK </t>
  </si>
  <si>
    <t>49684/00011/07/2018</t>
  </si>
  <si>
    <t>16-JUL-2019</t>
  </si>
  <si>
    <t>177443</t>
  </si>
  <si>
    <t>10077454</t>
  </si>
  <si>
    <t>SUZUKI CULTUS VXL</t>
  </si>
  <si>
    <t>OLAKHI300066876</t>
  </si>
  <si>
    <t>DIB0030890</t>
  </si>
  <si>
    <t>30-JUN-2021</t>
  </si>
  <si>
    <t>9976AD1211520075</t>
  </si>
  <si>
    <t>SYED ZEESHAN HAIDER</t>
  </si>
  <si>
    <t>42201-8743191-1</t>
  </si>
  <si>
    <t>03002128120</t>
  </si>
  <si>
    <t>0</t>
  </si>
  <si>
    <t xml:space="preserve">HOUSE # A-6 GULISTAN E JAUHAR BLOCK -4 NEAR KAMRAN CHOWRANGI KARACHI PK </t>
  </si>
  <si>
    <t>2018/07/CLFTTPCDP01310</t>
  </si>
  <si>
    <t>30-JUL-2019</t>
  </si>
  <si>
    <t>R18Z16922096</t>
  </si>
  <si>
    <t>NFBFC666XMR074425</t>
  </si>
  <si>
    <t>CIVIC IVTEC M/T</t>
  </si>
  <si>
    <t>03-AUG-2021</t>
  </si>
  <si>
    <t>03-Aug-2025</t>
  </si>
  <si>
    <t>OLAKHI300069259</t>
  </si>
  <si>
    <t>DIB0030878</t>
  </si>
  <si>
    <t>9976AD2213260007</t>
  </si>
  <si>
    <t>NAZIM HUSSAIN</t>
  </si>
  <si>
    <t>Faisalabad</t>
  </si>
  <si>
    <t>33100-0998407-5</t>
  </si>
  <si>
    <t>03336520622</t>
  </si>
  <si>
    <t>03336520622, 03336520622</t>
  </si>
  <si>
    <t xml:space="preserve">P-105 NEW P-6288 ST NO 6 MUHAMMAD K HAN TOWN MANSOOR ABAD FSD NEAR SHAR FAISALABAD PK </t>
  </si>
  <si>
    <t>PL-0718-1101010102-V14-D-00491</t>
  </si>
  <si>
    <t>503462</t>
  </si>
  <si>
    <t>1015349</t>
  </si>
  <si>
    <t>CHANGAN KARVAAN PLUS</t>
  </si>
  <si>
    <t>OLAFSD30079583</t>
  </si>
  <si>
    <t>ITECL</t>
  </si>
  <si>
    <t>7863/06/2022</t>
  </si>
  <si>
    <t>05-JUL-2022</t>
  </si>
  <si>
    <t>9976AD1212860016</t>
  </si>
  <si>
    <t>MUHAMMAD SIDDIQ BASHIR</t>
  </si>
  <si>
    <t>33100-5950785-1</t>
  </si>
  <si>
    <t>NA</t>
  </si>
  <si>
    <t>03064228065</t>
  </si>
  <si>
    <t xml:space="preserve">H NO P-362 BLOCK D JHANG ROAD GULIFISHAN COLONY NR PTCL EXCHANGE FAISALABAD </t>
  </si>
  <si>
    <t>DIB/T/BT/22531/KHI/0718</t>
  </si>
  <si>
    <t>690501865</t>
  </si>
  <si>
    <t>1014853</t>
  </si>
  <si>
    <t>11-Jul-2025</t>
  </si>
  <si>
    <t>OLAFSD300074967</t>
  </si>
  <si>
    <t>DIB0034588</t>
  </si>
  <si>
    <t>9976AD1221580142</t>
  </si>
  <si>
    <t>GHULAM MUSTAFA</t>
  </si>
  <si>
    <t>35201-5688006-7</t>
  </si>
  <si>
    <t>03404088994</t>
  </si>
  <si>
    <t>04236362201</t>
  </si>
  <si>
    <t xml:space="preserve">TECHLOGIX PAKISTAN PVT LTD 39 EMPRE SS ROAD LAHORE </t>
  </si>
  <si>
    <t>PL-0718-1101010102-V14-D-00432</t>
  </si>
  <si>
    <t>26-JUL-2019</t>
  </si>
  <si>
    <t>237880</t>
  </si>
  <si>
    <t>1137867</t>
  </si>
  <si>
    <t>SUZUKI ALTO VXR EURO-II</t>
  </si>
  <si>
    <t>OLALHR300087895</t>
  </si>
  <si>
    <t>7996/07/2022/ITFM</t>
  </si>
  <si>
    <t>9976AD2220250005</t>
  </si>
  <si>
    <t>SAMI ULLAH</t>
  </si>
  <si>
    <t>Hyderabad</t>
  </si>
  <si>
    <t>41304-1925178-7</t>
  </si>
  <si>
    <t>03363010354</t>
  </si>
  <si>
    <t xml:space="preserve">HOUSE # D-447 BLOCK B UNIT # 8 LATI FABAD HYDERABAD PK </t>
  </si>
  <si>
    <t>2524/00891/00146/07/2018</t>
  </si>
  <si>
    <t>503092</t>
  </si>
  <si>
    <t>1015649</t>
  </si>
  <si>
    <t>21-Jul-2027</t>
  </si>
  <si>
    <t>OLAHYD300083382</t>
  </si>
  <si>
    <t>7975/07/2022</t>
  </si>
  <si>
    <t>9976AD1213640066</t>
  </si>
  <si>
    <t>JAMAL U DIN MANGI</t>
  </si>
  <si>
    <t>Kotri Jamshoro</t>
  </si>
  <si>
    <t>45103-2342776-1</t>
  </si>
  <si>
    <t>03323924544</t>
  </si>
  <si>
    <t xml:space="preserve">HOUSE NO A/271/3 PHASE -I SINDH UNIVERSITY SOCIIETY JAMSHORO SINDH PAKISTAN </t>
  </si>
  <si>
    <t>2018/07/CLFTTPCDP01314</t>
  </si>
  <si>
    <t>Q097937</t>
  </si>
  <si>
    <t>6075345</t>
  </si>
  <si>
    <t>TOYOTA COROLLA ALTIS A/T</t>
  </si>
  <si>
    <t>OLAKJM300082522</t>
  </si>
  <si>
    <t>7983/07/2022/ITFM</t>
  </si>
  <si>
    <t>9976AP1221880006</t>
  </si>
  <si>
    <t>FAREEHA ADNAN</t>
  </si>
  <si>
    <t>35202-0712574-2</t>
  </si>
  <si>
    <t>03217293293</t>
  </si>
  <si>
    <t xml:space="preserve">H NO 665 UMER BLOCK ALLAMA IQBAL TO WN LAHORE PK </t>
  </si>
  <si>
    <t>DIB/T/BT/24725/LHR/0719</t>
  </si>
  <si>
    <t>04-JUL-2020</t>
  </si>
  <si>
    <t>203684</t>
  </si>
  <si>
    <t>10103671</t>
  </si>
  <si>
    <t>LEA-20-5134</t>
  </si>
  <si>
    <t>SUZUKI WAGNOR VXL AGS</t>
  </si>
  <si>
    <t>OLULHR300088613</t>
  </si>
  <si>
    <t>ITFT</t>
  </si>
  <si>
    <t>8013/07/2022/ITFM</t>
  </si>
  <si>
    <t>06-JUL-2022</t>
  </si>
  <si>
    <t>1.5%</t>
  </si>
  <si>
    <t>9976AP1221880003</t>
  </si>
  <si>
    <t>ZAEEM ULLAH KHAN</t>
  </si>
  <si>
    <t>42201-0555846-7</t>
  </si>
  <si>
    <t>03018234448</t>
  </si>
  <si>
    <t xml:space="preserve">R- 100 FALAK NAZ PEBBLES NEAR QUETT A TOWN HOUSING SOCIETY SCHEEM 33 SU KARACHI PK </t>
  </si>
  <si>
    <t>DIB/T/BT/24732/KHI/0719</t>
  </si>
  <si>
    <t>137824</t>
  </si>
  <si>
    <t>0037800</t>
  </si>
  <si>
    <t>BRV-067</t>
  </si>
  <si>
    <t>SUZUKI ALTO VXL AGS EURO-II</t>
  </si>
  <si>
    <t>OLUKHI300088594</t>
  </si>
  <si>
    <t>8015/07/2022/ITFM</t>
  </si>
  <si>
    <t>9976AP1221870001</t>
  </si>
  <si>
    <t>NOUMAN MANZOOR</t>
  </si>
  <si>
    <t>42101-2494114-3</t>
  </si>
  <si>
    <t>03452650218</t>
  </si>
  <si>
    <t xml:space="preserve">R- 89 BLOCK C NAYA NAZIMABAD MASJID -E- TOHEED KARACHI PK </t>
  </si>
  <si>
    <t>DIB/T/BT/24730/KHI/0719</t>
  </si>
  <si>
    <t>209914</t>
  </si>
  <si>
    <t>110995</t>
  </si>
  <si>
    <t>OLUKHI300088615</t>
  </si>
  <si>
    <t>8006/07/2022/ITFM</t>
  </si>
  <si>
    <t>9976AD1220210003</t>
  </si>
  <si>
    <t>ABDUL WAHAB</t>
  </si>
  <si>
    <t>Gujranwala</t>
  </si>
  <si>
    <t>34101-4790988-1</t>
  </si>
  <si>
    <t>03324831853</t>
  </si>
  <si>
    <t xml:space="preserve">NEAR MUGHAL MAHAL HOTAL CHAND QILLA BY PASS GUJRANWALA </t>
  </si>
  <si>
    <t>2524/01503/00013/07/2019</t>
  </si>
  <si>
    <t>17-JUL-2020</t>
  </si>
  <si>
    <t>240980</t>
  </si>
  <si>
    <t>1141127</t>
  </si>
  <si>
    <t>SUZUKI ALTO VX EURO-II</t>
  </si>
  <si>
    <t>OLAGWL300083326</t>
  </si>
  <si>
    <t>DIB0034608</t>
  </si>
  <si>
    <t>20-JUL-2022</t>
  </si>
  <si>
    <t>9976AP1231870001</t>
  </si>
  <si>
    <t>MUHAMMAD UMAR</t>
  </si>
  <si>
    <t>33100-3044114-1</t>
  </si>
  <si>
    <t>03006682885</t>
  </si>
  <si>
    <t xml:space="preserve">P-244-C BLOCK C MODEL CITY 208 CHAK ROAD CANAL ROAD EDEN GARDEN FAISALABAD </t>
  </si>
  <si>
    <t>COMP/P/50866/07/2019</t>
  </si>
  <si>
    <t>08-JUL-2020</t>
  </si>
  <si>
    <t>245317</t>
  </si>
  <si>
    <t>10145309</t>
  </si>
  <si>
    <t>SUZUKI WAGONR VXL AGS</t>
  </si>
  <si>
    <t>2023</t>
  </si>
  <si>
    <t>11-JUL-2023</t>
  </si>
  <si>
    <t>11-Jul-2026</t>
  </si>
  <si>
    <t>OLDFSD300095153</t>
  </si>
  <si>
    <t>10331/07/2023/ITFM</t>
  </si>
  <si>
    <t>05-JUL-2023</t>
  </si>
  <si>
    <t>1.75%</t>
  </si>
  <si>
    <t>9976AP2211940006</t>
  </si>
  <si>
    <t>FAISAL SHAHZAD</t>
  </si>
  <si>
    <t>34201-5961406-9</t>
  </si>
  <si>
    <t>03320120170</t>
  </si>
  <si>
    <t xml:space="preserve">PO BHIO WALI TIBI SIKHWAN GUJRAT PK </t>
  </si>
  <si>
    <t>07-JUL-2020</t>
  </si>
  <si>
    <t>PKB630887</t>
  </si>
  <si>
    <t>SB308PK01168341</t>
  </si>
  <si>
    <t>AAB-658</t>
  </si>
  <si>
    <t>SUZUKI MEHRAN VXR EURO II</t>
  </si>
  <si>
    <t>2015</t>
  </si>
  <si>
    <t>OLUGJR300070412</t>
  </si>
  <si>
    <t>DIB0030962</t>
  </si>
  <si>
    <t>07-JUL-2021</t>
  </si>
  <si>
    <t>9976AD2211020003</t>
  </si>
  <si>
    <t>SHAH AHMAD ATA</t>
  </si>
  <si>
    <t>42101-1759247-5</t>
  </si>
  <si>
    <t>03452006894</t>
  </si>
  <si>
    <t xml:space="preserve">RETAIL MEDIA PLOT NO 32/10 SECTOR 15 KORANGI INDUSTRIAL AREA KARACHI </t>
  </si>
  <si>
    <t>DIB/T/24761/LHR/0719</t>
  </si>
  <si>
    <t>14-JUL-2020</t>
  </si>
  <si>
    <t>17547198</t>
  </si>
  <si>
    <t>272380</t>
  </si>
  <si>
    <t>CITY I-VTEC P/T</t>
  </si>
  <si>
    <t>03-Aug-2027</t>
  </si>
  <si>
    <t>OLAKHI300067805</t>
  </si>
  <si>
    <t>DIB0030958</t>
  </si>
  <si>
    <t>9976AD2221810016</t>
  </si>
  <si>
    <t>HERA YOUNUS</t>
  </si>
  <si>
    <t>42201-5503876-0</t>
  </si>
  <si>
    <t>03059133043</t>
  </si>
  <si>
    <t>03059133087</t>
  </si>
  <si>
    <t xml:space="preserve">H # B- 45 SHAH FAISAL TOWN MALIR HA LT JINNAH AVENUE MALIR PAKISTAN SEC KARACHI PK </t>
  </si>
  <si>
    <t>50866/00051/07/2019</t>
  </si>
  <si>
    <t>18-JUL-2020</t>
  </si>
  <si>
    <t>1012328</t>
  </si>
  <si>
    <t>022052</t>
  </si>
  <si>
    <t>HONDA CITY I-VTEC 1.2L CVT</t>
  </si>
  <si>
    <t>21-Jul-2025</t>
  </si>
  <si>
    <t>OLAKHI300088405</t>
  </si>
  <si>
    <t>7979/07/2022/ITFM</t>
  </si>
  <si>
    <t>9976AD1221110004</t>
  </si>
  <si>
    <t>SHEEMA YASSIR</t>
  </si>
  <si>
    <t>35200-1501085-4</t>
  </si>
  <si>
    <t>03334044960</t>
  </si>
  <si>
    <t xml:space="preserve">HOUSE NO 473 M-BLOCK STREET NO 15 P HASE 6 DHA LAHORE PK </t>
  </si>
  <si>
    <t>2524/01552/00004/08/2019</t>
  </si>
  <si>
    <t>25-JUL-2020</t>
  </si>
  <si>
    <t>199353</t>
  </si>
  <si>
    <t>10099364</t>
  </si>
  <si>
    <t>SUZUKI CULTUS VXL AGS EURO-II</t>
  </si>
  <si>
    <t>OLALHR300086688</t>
  </si>
  <si>
    <t>8018/07/2022/ITFM</t>
  </si>
  <si>
    <t>9976AD1220320077</t>
  </si>
  <si>
    <t>MUHAMMAD FARHAN</t>
  </si>
  <si>
    <t>35202-4852515-1</t>
  </si>
  <si>
    <t>03234271971</t>
  </si>
  <si>
    <t xml:space="preserve">ASIF CENTER 31,32 2ND FLOOR MULTAN ROAD CHUBURGI LAHORE </t>
  </si>
  <si>
    <t>DIB/T/BT/24900/KHI/0719</t>
  </si>
  <si>
    <t>24-JUL-2020</t>
  </si>
  <si>
    <t>240030</t>
  </si>
  <si>
    <t>1140135</t>
  </si>
  <si>
    <t>SUZUKI ALTO VXR EURO II</t>
  </si>
  <si>
    <t>21-Jul-2028</t>
  </si>
  <si>
    <t>OLALHR300083824</t>
  </si>
  <si>
    <t>8029/07/2022/ITFM</t>
  </si>
  <si>
    <t>9976AD1220900031</t>
  </si>
  <si>
    <t>MUSHTAQ AHMED KHAN</t>
  </si>
  <si>
    <t>Wah Cantt</t>
  </si>
  <si>
    <t>37406-2224245-1</t>
  </si>
  <si>
    <t>03335567038</t>
  </si>
  <si>
    <t xml:space="preserve">HOUSE NO 7A, VALLEY ROAD WESTRIGE 0 PK </t>
  </si>
  <si>
    <t>66/00074/07/2019</t>
  </si>
  <si>
    <t>23-JUL-2020</t>
  </si>
  <si>
    <t>198933</t>
  </si>
  <si>
    <t>10098926</t>
  </si>
  <si>
    <t>SUZUKI CULTUS VXL AGS EURO II</t>
  </si>
  <si>
    <t>OLAWAH300085952</t>
  </si>
  <si>
    <t>DIB0034628</t>
  </si>
  <si>
    <t>07-JUL-2022</t>
  </si>
  <si>
    <t>9976AD1220320097</t>
  </si>
  <si>
    <t>NAZIA ISHTIAQ</t>
  </si>
  <si>
    <t>14301-1895093-0</t>
  </si>
  <si>
    <t>36626743</t>
  </si>
  <si>
    <t>0321-4480437</t>
  </si>
  <si>
    <t xml:space="preserve">E-9/4 LANE-5 OFFICER COLONY, WALTON ROAD CANTT LAHORE </t>
  </si>
  <si>
    <t>50866/00094/07/2019</t>
  </si>
  <si>
    <t>26-JUL-2020</t>
  </si>
  <si>
    <t>240311</t>
  </si>
  <si>
    <t>1139800</t>
  </si>
  <si>
    <t>OLALHR300083966</t>
  </si>
  <si>
    <t>8026/07/2022/ITFM</t>
  </si>
  <si>
    <t>9976AD1220740024</t>
  </si>
  <si>
    <t>MUHAMMAD SAJID</t>
  </si>
  <si>
    <t>35201-0724390-3</t>
  </si>
  <si>
    <t>5734029</t>
  </si>
  <si>
    <t>0321-4995323</t>
  </si>
  <si>
    <t>5707480</t>
  </si>
  <si>
    <t xml:space="preserve">H NO 247/1 SECTOR-2 ST NO 34 DEFENCE HOUSING AUTHORITY LAHORE </t>
  </si>
  <si>
    <t>50866/00097/07/2019</t>
  </si>
  <si>
    <t>28-JUL-2020</t>
  </si>
  <si>
    <t>81010039</t>
  </si>
  <si>
    <t>022662</t>
  </si>
  <si>
    <t>HONDA CITY ASPIRE A/T</t>
  </si>
  <si>
    <t>OLALHR300085423</t>
  </si>
  <si>
    <t>8025/07/2022/ITFM</t>
  </si>
  <si>
    <t>9976AP2221950002</t>
  </si>
  <si>
    <t>NASEER AHMED</t>
  </si>
  <si>
    <t>42201-8800425-3</t>
  </si>
  <si>
    <t>03002340335</t>
  </si>
  <si>
    <t xml:space="preserve">HOUSE # A-66 1ST FLOOR MADRAS HOUSI NG SOCIETY GULZAR E HIJRI SCHEME 33 KARACHI PK </t>
  </si>
  <si>
    <t>50866/00089/07/2019</t>
  </si>
  <si>
    <t>214173</t>
  </si>
  <si>
    <t>207701</t>
  </si>
  <si>
    <t>HYUNDAI TUCSON AWD</t>
  </si>
  <si>
    <t>OLDKHI300088654</t>
  </si>
  <si>
    <t>8039/07/2022/ITFM</t>
  </si>
  <si>
    <t>9976AD2220310015</t>
  </si>
  <si>
    <t>FRIDA KHANAM</t>
  </si>
  <si>
    <t>Rahim Yar Khan</t>
  </si>
  <si>
    <t>31303-2069136-8</t>
  </si>
  <si>
    <t>03077978523</t>
  </si>
  <si>
    <t xml:space="preserve">AWAIS OIL MILLS SAR BHORI ROAD BAST I ROKNI RY KAHN RAHIM YAR KHAN PK </t>
  </si>
  <si>
    <t>50866/00103/07/2019</t>
  </si>
  <si>
    <t>239637</t>
  </si>
  <si>
    <t>1139639</t>
  </si>
  <si>
    <t>SUZUKI ALTO VXR</t>
  </si>
  <si>
    <t>27-JUL-2022</t>
  </si>
  <si>
    <t>27-Jul-2027</t>
  </si>
  <si>
    <t>OLARY300083692</t>
  </si>
  <si>
    <t>9976AD1220550017</t>
  </si>
  <si>
    <t>AHSAN NADEEM AHMAD</t>
  </si>
  <si>
    <t>35201-5323653-1</t>
  </si>
  <si>
    <t>03222231115</t>
  </si>
  <si>
    <t xml:space="preserve">BAGHBAN PURA ROAD NEAR ALLIED BANK BRANCH LAHORE </t>
  </si>
  <si>
    <t>50866/00138/07/2019</t>
  </si>
  <si>
    <t>30-JUL-2020</t>
  </si>
  <si>
    <t>240772</t>
  </si>
  <si>
    <t>1140765</t>
  </si>
  <si>
    <t>03-AUG-2022</t>
  </si>
  <si>
    <t>OLALHR300084654</t>
  </si>
  <si>
    <t>DIB0034624</t>
  </si>
  <si>
    <t>13-JUL-2022</t>
  </si>
  <si>
    <t>9976AP1231870002</t>
  </si>
  <si>
    <t>KAMRAN FAHEEM</t>
  </si>
  <si>
    <t>42201-1055237-1</t>
  </si>
  <si>
    <t>00971562582225</t>
  </si>
  <si>
    <t xml:space="preserve">RAWAN TOWER MAHATTA QASMIA SHARJAH 500001 UNITED ARAB EMIRATES </t>
  </si>
  <si>
    <t>DIB/T/BT/24939/KHI/0719</t>
  </si>
  <si>
    <t>277322</t>
  </si>
  <si>
    <t>1177312</t>
  </si>
  <si>
    <t>RDA</t>
  </si>
  <si>
    <t>OLDKHI300095164</t>
  </si>
  <si>
    <t>10332/07/2023/ITFM</t>
  </si>
  <si>
    <t>06-JUL-2023</t>
  </si>
  <si>
    <t>1.4%</t>
  </si>
  <si>
    <t>9976AD1220740028</t>
  </si>
  <si>
    <t>SYED AZHAR ABBAS</t>
  </si>
  <si>
    <t>42201-7918395-9</t>
  </si>
  <si>
    <t>03452364122</t>
  </si>
  <si>
    <t xml:space="preserve">FLAT NO.504 5TH FLOOR AL.NAHDI TOWER BLOCK-14 GULISTAN-E-JAUHAR KARACHI 0345-2364122 NOK 0334-3213338 </t>
  </si>
  <si>
    <t>DIB/T/BT/24946/KHI/0719</t>
  </si>
  <si>
    <t>237860</t>
  </si>
  <si>
    <t>1137898</t>
  </si>
  <si>
    <t>SUZUKI ALTO VX</t>
  </si>
  <si>
    <t>OLAKHI300085463</t>
  </si>
  <si>
    <t>DIB0034623</t>
  </si>
  <si>
    <t>9976AD1220590031</t>
  </si>
  <si>
    <t>RUBY NADEEM</t>
  </si>
  <si>
    <t>42301-2438055-2</t>
  </si>
  <si>
    <t>03032957151</t>
  </si>
  <si>
    <t xml:space="preserve">H # 1085 AREA 27/B MEHMOODABAD 6 KARACHI PK </t>
  </si>
  <si>
    <t>DIB/T/BT/24940/KHI/0719</t>
  </si>
  <si>
    <t>239300</t>
  </si>
  <si>
    <t>1139294</t>
  </si>
  <si>
    <t>SUZUKI ALTO VXL AGS EURO II</t>
  </si>
  <si>
    <t>OLAKHI300084816</t>
  </si>
  <si>
    <t>7884/06/2022/ITFM</t>
  </si>
  <si>
    <t>9976AD1213350018</t>
  </si>
  <si>
    <t>FARHAN</t>
  </si>
  <si>
    <t>42301-2094798-3</t>
  </si>
  <si>
    <t>03002283009</t>
  </si>
  <si>
    <t xml:space="preserve">HOUSE # A-37 BLOCK B NEAR IJTIMA GA H NAYA NAZIMABAD KARACHI PK </t>
  </si>
  <si>
    <t>DIB/T/BT/24948/KHI/0719</t>
  </si>
  <si>
    <t>503303</t>
  </si>
  <si>
    <t>1015258</t>
  </si>
  <si>
    <t>OLAKHI300081159</t>
  </si>
  <si>
    <t>DIB0034616</t>
  </si>
  <si>
    <t>9976AD1220600080</t>
  </si>
  <si>
    <t>MAAZ BIN SHAHOOD</t>
  </si>
  <si>
    <t>42101-3228107-7</t>
  </si>
  <si>
    <t>02136953394</t>
  </si>
  <si>
    <t>03462678223</t>
  </si>
  <si>
    <t xml:space="preserve">HOUSE NO R-84 ST-19 SECTOR 14-B SHADMAN TOWN NORTH NAZIMABAD KARACHI </t>
  </si>
  <si>
    <t>PL-0819-1101010102-V14-D-00420</t>
  </si>
  <si>
    <t>31-JUL-2020</t>
  </si>
  <si>
    <t>228481</t>
  </si>
  <si>
    <t>1128461</t>
  </si>
  <si>
    <t>OLAKHI300084976</t>
  </si>
  <si>
    <t>7770/06/2022/ITFM</t>
  </si>
  <si>
    <t>22-JUN-2022</t>
  </si>
  <si>
    <t>9976AD2221100019</t>
  </si>
  <si>
    <t>SAMAN ASIF</t>
  </si>
  <si>
    <t>35201-4169582-6</t>
  </si>
  <si>
    <t>03014882043</t>
  </si>
  <si>
    <t>04235787716</t>
  </si>
  <si>
    <t xml:space="preserve">HOUSE NO.150 BLOCK G PHASE 5 DHA LAHORE </t>
  </si>
  <si>
    <t>60564/00112/05/2022</t>
  </si>
  <si>
    <t>4176841</t>
  </si>
  <si>
    <t>207335</t>
  </si>
  <si>
    <t>HYUNDAI TUSCON AWD</t>
  </si>
  <si>
    <t>21-JUN-2022</t>
  </si>
  <si>
    <t>21-Jun-2027</t>
  </si>
  <si>
    <t>OLALHR300086667</t>
  </si>
  <si>
    <t>7299/05/2022/ITFM</t>
  </si>
  <si>
    <t>25-MAY-2022</t>
  </si>
  <si>
    <t>9976AD2203220002</t>
  </si>
  <si>
    <t>MARYUM NISAR</t>
  </si>
  <si>
    <t>42201-5316373-0</t>
  </si>
  <si>
    <t>03333381828</t>
  </si>
  <si>
    <t>02134927859</t>
  </si>
  <si>
    <t xml:space="preserve">A-392/A BLOCK 2 GULISATN-E-JOHAR NE AR U and MEE MART KARACHI PK </t>
  </si>
  <si>
    <t>54370/00012/05/2021</t>
  </si>
  <si>
    <t>171706</t>
  </si>
  <si>
    <t>10071710</t>
  </si>
  <si>
    <t>SUZUKI CULTUS VXXL AGS EURO II</t>
  </si>
  <si>
    <t>27-JUN-2021</t>
  </si>
  <si>
    <t>27-Jun-2026</t>
  </si>
  <si>
    <t>POAKHI300061252</t>
  </si>
  <si>
    <t>DIB0030342</t>
  </si>
  <si>
    <t>07-MAY-2021</t>
  </si>
  <si>
    <t>9976AD1210900073</t>
  </si>
  <si>
    <t>MOHAMMED YASIR</t>
  </si>
  <si>
    <t>42201-0286974-9</t>
  </si>
  <si>
    <t>03218201109</t>
  </si>
  <si>
    <t>34384412-13</t>
  </si>
  <si>
    <t xml:space="preserve">ALLINONE SOLUTIONS PLOT NO 26-A MEZZANINE FLOOR ADJACENT KASHMIR RD BLK 2 PECHS KHI </t>
  </si>
  <si>
    <t>54370/00043/05/2021</t>
  </si>
  <si>
    <t>Q075604</t>
  </si>
  <si>
    <t>6053108</t>
  </si>
  <si>
    <t>TOYOTA COROLLA ALTIS 1.6 M/T</t>
  </si>
  <si>
    <t>OLAKHI3000647470</t>
  </si>
  <si>
    <t>DIB0030443</t>
  </si>
  <si>
    <t>22-MAY-2021</t>
  </si>
  <si>
    <t>9976AD1213650088</t>
  </si>
  <si>
    <t>DANISH</t>
  </si>
  <si>
    <t>41304-1379477-5</t>
  </si>
  <si>
    <t>03353614499</t>
  </si>
  <si>
    <t xml:space="preserve">B NO 219-A BLOCK C NEAR IGS MEDICAL CENTER UNIT 2 LATIFABAD HYDERABAD </t>
  </si>
  <si>
    <t>52456/00050/07/2020</t>
  </si>
  <si>
    <t>15-JUL-2021</t>
  </si>
  <si>
    <t>097981</t>
  </si>
  <si>
    <t>6075458</t>
  </si>
  <si>
    <t>OLAHYD300082606</t>
  </si>
  <si>
    <t>7981/07/2022/ITFM</t>
  </si>
  <si>
    <t>9976AP1221960004</t>
  </si>
  <si>
    <t>SHAISTA IKRAM</t>
  </si>
  <si>
    <t>42201-4918147-4</t>
  </si>
  <si>
    <t>03342645877</t>
  </si>
  <si>
    <t>03342645877 - 0331-7866969</t>
  </si>
  <si>
    <t xml:space="preserve">FLAT NO B-12 STREET 33 GALAXY LINE APPARTMENT DHA PHASE V NEAR SABA AV KARACHI PK </t>
  </si>
  <si>
    <t>DIB/T/27842/LHR/0720</t>
  </si>
  <si>
    <t>06-JUL-2021</t>
  </si>
  <si>
    <t>Q065930</t>
  </si>
  <si>
    <t>R-6043439</t>
  </si>
  <si>
    <t>BRY-283</t>
  </si>
  <si>
    <t>TOYOTA COROLLA ALTIS</t>
  </si>
  <si>
    <t>OLUKHI300088696</t>
  </si>
  <si>
    <t>8052/07/2022/ITFM</t>
  </si>
  <si>
    <t>14-JUL-2022</t>
  </si>
  <si>
    <t>9976AP2221960003</t>
  </si>
  <si>
    <t>RAJA TARIQ REHMAN</t>
  </si>
  <si>
    <t>42301-2202892-7</t>
  </si>
  <si>
    <t>35853308</t>
  </si>
  <si>
    <t>03008252400</t>
  </si>
  <si>
    <t>35015331</t>
  </si>
  <si>
    <t xml:space="preserve">H # 28-A ST # PHASE # V DHA OPP KHYABAN E SHAHEEN KARACHI </t>
  </si>
  <si>
    <t>DIB/T/27866/LHR/0720</t>
  </si>
  <si>
    <t>14-JUL-2021</t>
  </si>
  <si>
    <t>12903221</t>
  </si>
  <si>
    <t>003979</t>
  </si>
  <si>
    <t>BGQ-703</t>
  </si>
  <si>
    <t>HONDA CIVIC VTI ORIEL P/T</t>
  </si>
  <si>
    <t>2016</t>
  </si>
  <si>
    <t>OLUKHI300088694</t>
  </si>
  <si>
    <t>8057/07/2022/ITFM</t>
  </si>
  <si>
    <t>9976AP2221960004</t>
  </si>
  <si>
    <t>BILAL AHMED</t>
  </si>
  <si>
    <t>42201-9619815-3</t>
  </si>
  <si>
    <t>03332170226</t>
  </si>
  <si>
    <t xml:space="preserve">396 PIB COLONY NEAR CENTRAL JAIL UZ MA TENT HOUSE KARACHI PK </t>
  </si>
  <si>
    <t>0000000521/0720/109-0</t>
  </si>
  <si>
    <t>23-JUL-2021</t>
  </si>
  <si>
    <t>741473</t>
  </si>
  <si>
    <t>1279989</t>
  </si>
  <si>
    <t>BNQ-103</t>
  </si>
  <si>
    <t>SUZUKI MEHRAN VX EURO-II</t>
  </si>
  <si>
    <t>2018</t>
  </si>
  <si>
    <t>OLUKHI300088682</t>
  </si>
  <si>
    <t>8047/07/2022/ITFM</t>
  </si>
  <si>
    <t>9976AD1221590143</t>
  </si>
  <si>
    <t>ABDUL QADEER</t>
  </si>
  <si>
    <t>Sialkot</t>
  </si>
  <si>
    <t>34603-8264675-7</t>
  </si>
  <si>
    <t>00971581019570</t>
  </si>
  <si>
    <t xml:space="preserve">FLAT 1402 LAVENDER TOWER EMIRATES CITY AJMAN UNITED ARAB EMIRATES </t>
  </si>
  <si>
    <t>61151/00197/06/2022</t>
  </si>
  <si>
    <t>4809829</t>
  </si>
  <si>
    <t>026534</t>
  </si>
  <si>
    <t>HONDA BRV IVTEC S</t>
  </si>
  <si>
    <t>08-JUN-2022</t>
  </si>
  <si>
    <t>27-Jul-2029</t>
  </si>
  <si>
    <t>OLASKT300087855</t>
  </si>
  <si>
    <t>DIB0034593</t>
  </si>
  <si>
    <t>30-JUN-2022</t>
  </si>
  <si>
    <t>9976AD1211580002</t>
  </si>
  <si>
    <t>SHAHBAZ ALI</t>
  </si>
  <si>
    <t>35201-7025403-5</t>
  </si>
  <si>
    <t>03200435283</t>
  </si>
  <si>
    <t xml:space="preserve">OLD 1 SNAP CAFE GOHAWA MORE MAIN BE DIAN ROAD KHURSHID MODEL SCHOOL WAL I STREET OPPOSITE ALFALAH TOWN LAHORE </t>
  </si>
  <si>
    <t>2524/02602/00014/08/2021</t>
  </si>
  <si>
    <t>2A32526</t>
  </si>
  <si>
    <t>7020800</t>
  </si>
  <si>
    <t>YARIS ATIV CVT 1.3</t>
  </si>
  <si>
    <t>07-JUN-2021</t>
  </si>
  <si>
    <t>21-AUG-2021</t>
  </si>
  <si>
    <t>21-Aug-2026</t>
  </si>
  <si>
    <t>OLALHR300069317</t>
  </si>
  <si>
    <t>5301/08/2021</t>
  </si>
  <si>
    <t>09/08/2021</t>
  </si>
  <si>
    <t>9976AP2201790152</t>
  </si>
  <si>
    <t>WAQAS IQBAL</t>
  </si>
  <si>
    <t>61101-8984103-1</t>
  </si>
  <si>
    <t>03134854455</t>
  </si>
  <si>
    <t>04237808313</t>
  </si>
  <si>
    <t xml:space="preserve">H NO 499 RAVI BLOCK IQBAL TOWN 1ST FLOOR LAHORE PK </t>
  </si>
  <si>
    <t>62089/00104/07/2022</t>
  </si>
  <si>
    <t>29-JUL-2023</t>
  </si>
  <si>
    <t>R06A1661512</t>
  </si>
  <si>
    <t>DA17V110076</t>
  </si>
  <si>
    <t>RCN</t>
  </si>
  <si>
    <t>LEB-17A-3137</t>
  </si>
  <si>
    <t>SUZUKI EVERY</t>
  </si>
  <si>
    <t>27-SEP-2020</t>
  </si>
  <si>
    <t>27-Jan-2025</t>
  </si>
  <si>
    <t>POULHR300048073</t>
  </si>
  <si>
    <t>DIB0027727</t>
  </si>
  <si>
    <t>31-JUL-2019</t>
  </si>
  <si>
    <t>2.5%</t>
  </si>
  <si>
    <t>9976AP2192120026</t>
  </si>
  <si>
    <t>CO19 Relief Principal Deferment Cases</t>
  </si>
  <si>
    <t>9976AP2201770015</t>
  </si>
  <si>
    <t>MUSTAFA ALI KHAN</t>
  </si>
  <si>
    <t>61101-5174790-1</t>
  </si>
  <si>
    <t>03335163121</t>
  </si>
  <si>
    <t>0512323361</t>
  </si>
  <si>
    <t xml:space="preserve">H # 05 ST # 87 SECTOR G - 6 -1 / 4 ISLAMABAD PK </t>
  </si>
  <si>
    <t>2524/03131/00052/07/2022</t>
  </si>
  <si>
    <t>26-JUL-2023</t>
  </si>
  <si>
    <t>3516254</t>
  </si>
  <si>
    <t>KR016224</t>
  </si>
  <si>
    <t>BR-V IVTEC</t>
  </si>
  <si>
    <t>27-NOV-2020</t>
  </si>
  <si>
    <t>27-Feb-2026</t>
  </si>
  <si>
    <t>PODISD300047933</t>
  </si>
  <si>
    <t>1563/07/2019/ITFM</t>
  </si>
  <si>
    <t>29-JUL-2019</t>
  </si>
  <si>
    <t>9976AP2192110006</t>
  </si>
  <si>
    <t>9976AD1210840014</t>
  </si>
  <si>
    <t>MUHAMMAD ASHRAF</t>
  </si>
  <si>
    <t>33100-3464469-7</t>
  </si>
  <si>
    <t>0412413298</t>
  </si>
  <si>
    <t>03007609412, 03007609412</t>
  </si>
  <si>
    <t>03007609412</t>
  </si>
  <si>
    <t xml:space="preserve">H NO P-298 MAIN JINNAH COLONY FAISALABAD PK </t>
  </si>
  <si>
    <t>2018-07-205-V01501OP0001925</t>
  </si>
  <si>
    <t>03-JUL-2019</t>
  </si>
  <si>
    <t>173748</t>
  </si>
  <si>
    <t>1073727</t>
  </si>
  <si>
    <t>ALTO VX EURO-II</t>
  </si>
  <si>
    <t>21-Jul-2024</t>
  </si>
  <si>
    <t>OLAFSD300066898</t>
  </si>
  <si>
    <t>DIB0030949</t>
  </si>
  <si>
    <t>08-JUL-2021</t>
  </si>
  <si>
    <t>9976AP1201420023</t>
  </si>
  <si>
    <t>RAJA ABRAR MAHMOOD</t>
  </si>
  <si>
    <t>37405-4366603-3</t>
  </si>
  <si>
    <t>03360336777</t>
  </si>
  <si>
    <t>0515424040</t>
  </si>
  <si>
    <t xml:space="preserve">MAIN ROAD DRY PORT DHOKE MUNSHI KHA N PUBLIC PARK NEAR SHELL OIL DEPO O RAWALPINDI PK </t>
  </si>
  <si>
    <t>52456/00044/07/2020</t>
  </si>
  <si>
    <t>12936021</t>
  </si>
  <si>
    <t>R039147</t>
  </si>
  <si>
    <t>AJA-031</t>
  </si>
  <si>
    <t>CIVIC VTI ORIEL P/T</t>
  </si>
  <si>
    <t>21-MAR-2021</t>
  </si>
  <si>
    <t>POURWP300047573</t>
  </si>
  <si>
    <t>1491/07/2019/ITFM</t>
  </si>
  <si>
    <t>15-JUL-2019</t>
  </si>
  <si>
    <t>9976ap1191960006</t>
  </si>
  <si>
    <t>9976AP1201710057</t>
  </si>
  <si>
    <t>MUHAMMAD ASIM YAHYA</t>
  </si>
  <si>
    <t>35202-6347999-9</t>
  </si>
  <si>
    <t>03224456280</t>
  </si>
  <si>
    <t>35213701</t>
  </si>
  <si>
    <t xml:space="preserve">H# 06-A JAHANGIR PARK SHADBAGH SHE R SHAH ROAD TOKAY WALA CHOWK NEAR B LAHORE PK </t>
  </si>
  <si>
    <t>52456/00094/07/2020</t>
  </si>
  <si>
    <t>134113</t>
  </si>
  <si>
    <t>10034110</t>
  </si>
  <si>
    <t>WAGONR VXL</t>
  </si>
  <si>
    <t>2017</t>
  </si>
  <si>
    <t>21-SEP-2020</t>
  </si>
  <si>
    <t>21-Dec-2024</t>
  </si>
  <si>
    <t>PODLHR300023661</t>
  </si>
  <si>
    <t>TDIDIB0020827</t>
  </si>
  <si>
    <t>14-JUL-2017</t>
  </si>
  <si>
    <t>3.1%</t>
  </si>
  <si>
    <t>9976AP1171950003</t>
  </si>
  <si>
    <t>9976AD2210900016</t>
  </si>
  <si>
    <t>MUHAMMAD SOHAIL ASHFAQ</t>
  </si>
  <si>
    <t>35202-5361529-9</t>
  </si>
  <si>
    <t>03218419479</t>
  </si>
  <si>
    <t xml:space="preserve">HOUSE NO. 236, A-1, JOHAR TOWN, LAHORE </t>
  </si>
  <si>
    <t>52456/00151/07/2020</t>
  </si>
  <si>
    <t>28-JUL-2021</t>
  </si>
  <si>
    <t>6923042</t>
  </si>
  <si>
    <t>075324</t>
  </si>
  <si>
    <t>OLALHR300067345</t>
  </si>
  <si>
    <t>DIB0030983</t>
  </si>
  <si>
    <t>9976AD1213420016</t>
  </si>
  <si>
    <t>SYED HASSAN ABBAS</t>
  </si>
  <si>
    <t>35202-2702107-1</t>
  </si>
  <si>
    <t>03218507119</t>
  </si>
  <si>
    <t>04235817440</t>
  </si>
  <si>
    <t xml:space="preserve">16-A/5 BLOCK A GULBERG II HALI ROAD LAHORE </t>
  </si>
  <si>
    <t>DIB/T/37985/ISD/0722</t>
  </si>
  <si>
    <t>27-JUL-2023</t>
  </si>
  <si>
    <t>2TRA861913</t>
  </si>
  <si>
    <t>TGN166R-0893545</t>
  </si>
  <si>
    <t>FORTUNER G 4*2 STD PETROL</t>
  </si>
  <si>
    <t>03-Aug-2026</t>
  </si>
  <si>
    <t>OLALHR300069568</t>
  </si>
  <si>
    <t>5194/07/2021</t>
  </si>
  <si>
    <t>30-JUL-2021</t>
  </si>
  <si>
    <t>9976AP1192120033</t>
  </si>
  <si>
    <t>KASHIF ZULFIQAR SAADI</t>
  </si>
  <si>
    <t>33100-1828678-7</t>
  </si>
  <si>
    <t>03341407153</t>
  </si>
  <si>
    <t>041-85222999</t>
  </si>
  <si>
    <t xml:space="preserve">P 200 CHAK 208 RB NEAR BEST EXPORTS FAISALABAD C/O Z K TEXTILE 041 8522999 </t>
  </si>
  <si>
    <t>2524/03675/00010/07/2023</t>
  </si>
  <si>
    <t>26-JUL-2024</t>
  </si>
  <si>
    <t>A616994</t>
  </si>
  <si>
    <t>891785</t>
  </si>
  <si>
    <t>FORTUNER A/T</t>
  </si>
  <si>
    <t>03-AUG-2019</t>
  </si>
  <si>
    <t>03-Aug-2024</t>
  </si>
  <si>
    <t>PODFSD300048083</t>
  </si>
  <si>
    <t>1599/07/2019/ITFM</t>
  </si>
  <si>
    <t>9976AP2192120023</t>
  </si>
  <si>
    <t>SAIF ALI KHAN</t>
  </si>
  <si>
    <t>37405-8594779-9</t>
  </si>
  <si>
    <t>03235230824</t>
  </si>
  <si>
    <t xml:space="preserve">H # 453 / M MAIN DOUBLE ROAD G - 11 / 3 NEAR G - 11 MARKAZ ISLAMABAD PK </t>
  </si>
  <si>
    <t>2023T032VPCDP00617</t>
  </si>
  <si>
    <t>R136063</t>
  </si>
  <si>
    <t>L1321-4426002</t>
  </si>
  <si>
    <t>YT-351</t>
  </si>
  <si>
    <t>2013</t>
  </si>
  <si>
    <t>POUISB300048068</t>
  </si>
  <si>
    <t>1598/07/2019/ITFM</t>
  </si>
  <si>
    <t>9976AP1192120028</t>
  </si>
  <si>
    <t>MUHAMMAD ADIL</t>
  </si>
  <si>
    <t>37405-9188268-9</t>
  </si>
  <si>
    <t>03318151949</t>
  </si>
  <si>
    <t xml:space="preserve">H # 26 - B,STREET 2 1ST FLOOR SECTO R # 2 KHAYBAN - E- SIR SYED NEAR GO LDEN CNG STATION RAWALPINDI </t>
  </si>
  <si>
    <t>PL-0723-1101010102-V14-D-00621</t>
  </si>
  <si>
    <t>620848</t>
  </si>
  <si>
    <t>1159402</t>
  </si>
  <si>
    <t>FA-359</t>
  </si>
  <si>
    <t>SUZUKI MEHRAN VXR</t>
  </si>
  <si>
    <t>POURWP300048069</t>
  </si>
  <si>
    <t>1597/07/2019/ITFM</t>
  </si>
  <si>
    <t>9976AP1192120036</t>
  </si>
  <si>
    <t>MUHAMMAD ADNAN SARWAR</t>
  </si>
  <si>
    <t>33100-1989596-9</t>
  </si>
  <si>
    <t>03006632132</t>
  </si>
  <si>
    <t>03006632132, 03006632132</t>
  </si>
  <si>
    <t>0419200132</t>
  </si>
  <si>
    <t xml:space="preserve">P-96-C PMC COLONY SARGODHA ROAD FS D FAISALABAD PK </t>
  </si>
  <si>
    <t>DIB/T/41947/LHR/0723</t>
  </si>
  <si>
    <t>12-JUL-2024</t>
  </si>
  <si>
    <t>Q027260</t>
  </si>
  <si>
    <t>ZRE171R-6004728</t>
  </si>
  <si>
    <t>AAC-660</t>
  </si>
  <si>
    <t>POUFSD300048091</t>
  </si>
  <si>
    <t>1603/07/2019/ITFM</t>
  </si>
  <si>
    <t>9976AP1192120013</t>
  </si>
  <si>
    <t>SYED HASSAN MEHMOOD</t>
  </si>
  <si>
    <t>61101-6927231-9</t>
  </si>
  <si>
    <t>03215558849</t>
  </si>
  <si>
    <t>051558849</t>
  </si>
  <si>
    <t xml:space="preserve">H # 340 ST # 11 D - 12 / 3 ISLAMABAD PK </t>
  </si>
  <si>
    <t>72614/00005/07/2023</t>
  </si>
  <si>
    <t>11-JUL-2024</t>
  </si>
  <si>
    <t>8751141</t>
  </si>
  <si>
    <t>R150413</t>
  </si>
  <si>
    <t>CA-449</t>
  </si>
  <si>
    <t>HONDA CITY ASPIRE M/T</t>
  </si>
  <si>
    <t>2014</t>
  </si>
  <si>
    <t>POUISD300048006</t>
  </si>
  <si>
    <t>1586/07/2019</t>
  </si>
  <si>
    <t>9976AP2192120025</t>
  </si>
  <si>
    <t>SHAHEEN AKHTAR</t>
  </si>
  <si>
    <t>37405-8468584-9</t>
  </si>
  <si>
    <t>03335553148</t>
  </si>
  <si>
    <t>0515770026</t>
  </si>
  <si>
    <t xml:space="preserve">H # 16 / A BLOCK A SATELLITE TOWN RAWALPINDI PK </t>
  </si>
  <si>
    <t>62089/00094/07/2022</t>
  </si>
  <si>
    <t>28-JUL-2023</t>
  </si>
  <si>
    <t>1000424</t>
  </si>
  <si>
    <t>1116946</t>
  </si>
  <si>
    <t>BOLAN VX EURO II</t>
  </si>
  <si>
    <t>PODRWP300048074</t>
  </si>
  <si>
    <t>1600/07/2019/ITFM</t>
  </si>
  <si>
    <t>997APD1182120022</t>
  </si>
  <si>
    <t>KOMAL SARFRAZ</t>
  </si>
  <si>
    <t>33100-2604183-8</t>
  </si>
  <si>
    <t>03017068551</t>
  </si>
  <si>
    <t>0412650202</t>
  </si>
  <si>
    <t xml:space="preserve">P 265 B BLOCK STREET NAJAF COLONY D HUDHI WALA FAISALABAD PK </t>
  </si>
  <si>
    <t>DIB/T/38002/ISB/0822</t>
  </si>
  <si>
    <t>HJ-300234</t>
  </si>
  <si>
    <t>LFPAHFMVM18001812</t>
  </si>
  <si>
    <t>FAW V-2</t>
  </si>
  <si>
    <t>03-AUG-2018</t>
  </si>
  <si>
    <t>PODFSD300036700</t>
  </si>
  <si>
    <t>DIB0025493</t>
  </si>
  <si>
    <t>31-JUL-2018</t>
  </si>
  <si>
    <t>9976AP1182120046</t>
  </si>
  <si>
    <t>ZARABIA TARIQ</t>
  </si>
  <si>
    <t>33102-7170349-8</t>
  </si>
  <si>
    <t>03217688800</t>
  </si>
  <si>
    <t>03217688800, 03217688800</t>
  </si>
  <si>
    <t>0419201508</t>
  </si>
  <si>
    <t xml:space="preserve">631-B B BLOCK PEOPLES COLONY NO 1 FSD FAISALABAD PK </t>
  </si>
  <si>
    <t>62089/00111/07/2022</t>
  </si>
  <si>
    <t>743348</t>
  </si>
  <si>
    <t>1281867</t>
  </si>
  <si>
    <t>MEHRAN VXR</t>
  </si>
  <si>
    <t>PODFSD300036639</t>
  </si>
  <si>
    <t>DIB0025474</t>
  </si>
  <si>
    <t>9976AP1192120035</t>
  </si>
  <si>
    <t>SALEEM AFZAL</t>
  </si>
  <si>
    <t>82303-8764998-1</t>
  </si>
  <si>
    <t>03465158002</t>
  </si>
  <si>
    <t>0519067250</t>
  </si>
  <si>
    <t xml:space="preserve">H # 8 ST # 1 AIRPORT HOUSING SOCIET Y NEAR SECTOR III RAWALPINDI PK </t>
  </si>
  <si>
    <t>2524/03131/00075/07/2022</t>
  </si>
  <si>
    <t>B-769526</t>
  </si>
  <si>
    <t>1308053</t>
  </si>
  <si>
    <t>MEHRAN VXR EURO II</t>
  </si>
  <si>
    <t>PODRWP300048080</t>
  </si>
  <si>
    <t>1608/07/2019/ITFM</t>
  </si>
  <si>
    <t>997APD2202120068</t>
  </si>
  <si>
    <t>MANZOOR AHMED MALKANI</t>
  </si>
  <si>
    <t>41201-9959625-5</t>
  </si>
  <si>
    <t>03443239630</t>
  </si>
  <si>
    <t xml:space="preserve">BANGLOW # E-/180 GULISTAN-E-SAJJAD NEAR ALLIED BANK LTD HYDERABAD PK </t>
  </si>
  <si>
    <t>DIB/T/37990/ISB/0722</t>
  </si>
  <si>
    <t>135339</t>
  </si>
  <si>
    <t>1035326</t>
  </si>
  <si>
    <t>03-AUG-2020</t>
  </si>
  <si>
    <t>PODHYD300056065</t>
  </si>
  <si>
    <t>DIB0028532</t>
  </si>
  <si>
    <t>9976AP1211930004</t>
  </si>
  <si>
    <t>MUHAMAMD AMJAD</t>
  </si>
  <si>
    <t>35201-7766948-3</t>
  </si>
  <si>
    <t>03008417966</t>
  </si>
  <si>
    <t>04235924019</t>
  </si>
  <si>
    <t xml:space="preserve">SAFARI GARDEN HAJVERY BUILDERS MAIN BOULEVARD PUNJAB COOP. HOUSING SCT OPP DEFENCE FORT SOCIETY GHAZI ROAD LAHORE </t>
  </si>
  <si>
    <t>DIB/T/28176/KHI/0720</t>
  </si>
  <si>
    <t>29-JUL-2021</t>
  </si>
  <si>
    <t>17669402TP</t>
  </si>
  <si>
    <t>0066139</t>
  </si>
  <si>
    <t>TOYOTA LAND CRUSIER RPADO TXL</t>
  </si>
  <si>
    <t>OLULHR300070547</t>
  </si>
  <si>
    <t>DIB0030997</t>
  </si>
  <si>
    <t>10-JUL-2021</t>
  </si>
  <si>
    <t>997APD2202120044</t>
  </si>
  <si>
    <t>SHAHBAZ ALI RANA</t>
  </si>
  <si>
    <t>37405-0262190-1</t>
  </si>
  <si>
    <t>051-8350104, 0333-5565655</t>
  </si>
  <si>
    <t>051-4471146</t>
  </si>
  <si>
    <t xml:space="preserve">H # 359 GROUND FLOOR ST # 15 FALCON COMPLEX, NEAR JAHAZ GROUND, RAWALPINDI PK </t>
  </si>
  <si>
    <t>2524/03131/00057/07/2022</t>
  </si>
  <si>
    <t>1004873</t>
  </si>
  <si>
    <t>01121390</t>
  </si>
  <si>
    <t>SUZUKI BOLAN VX</t>
  </si>
  <si>
    <t>PODRWP300056178</t>
  </si>
  <si>
    <t>2806/07/2020/ITFM</t>
  </si>
  <si>
    <t>997APD1202120069</t>
  </si>
  <si>
    <t>MUHAMMAD SHOAIB</t>
  </si>
  <si>
    <t>35202-0290256-9</t>
  </si>
  <si>
    <t>03124885058</t>
  </si>
  <si>
    <t>03214308321</t>
  </si>
  <si>
    <t>04235218606</t>
  </si>
  <si>
    <t xml:space="preserve">FLAT NO 9 SECOND FLOOR ABDULLAH CENTER MULTAN ROAD AWAN TOWN LAHORE </t>
  </si>
  <si>
    <t>62089/00085/07/2022</t>
  </si>
  <si>
    <t>6R124993</t>
  </si>
  <si>
    <t>NFIAET306H1024976</t>
  </si>
  <si>
    <t>ALTO VXL AGS EURO II</t>
  </si>
  <si>
    <t>PODLHR300056116</t>
  </si>
  <si>
    <t>2789/07/2020/ITFM</t>
  </si>
  <si>
    <t>9976AP1231930002</t>
  </si>
  <si>
    <t>AMMAR JAVED</t>
  </si>
  <si>
    <t>33100-1591973-5</t>
  </si>
  <si>
    <t>03226677631</t>
  </si>
  <si>
    <t>03226677631, 03226677631</t>
  </si>
  <si>
    <t xml:space="preserve">ST NO 6 DRAMAN WALI GALI KARKHANA B AZAR FSD FAISALABAD </t>
  </si>
  <si>
    <t>52456/00023/07/2020</t>
  </si>
  <si>
    <t>09-JUL-2021</t>
  </si>
  <si>
    <t>304251</t>
  </si>
  <si>
    <t>312474</t>
  </si>
  <si>
    <t>KIA SPORTAGE FWD</t>
  </si>
  <si>
    <t>21-JUL-2023</t>
  </si>
  <si>
    <t>OLDFSD300095193</t>
  </si>
  <si>
    <t>FLCN</t>
  </si>
  <si>
    <t>997AAD1201980012</t>
  </si>
  <si>
    <t>RAYYAN MALIK</t>
  </si>
  <si>
    <t>35202-3000017-9</t>
  </si>
  <si>
    <t>03213442222</t>
  </si>
  <si>
    <t xml:space="preserve">HOUSE NO 66-K VALENCIA TOWN LAHORE PK </t>
  </si>
  <si>
    <t>2524/03131/00045/07/2022</t>
  </si>
  <si>
    <t>25-JUL-2023</t>
  </si>
  <si>
    <t>16912056</t>
  </si>
  <si>
    <t>LR063733</t>
  </si>
  <si>
    <t>CIVIC IVTEC ORIEL P/T WITH NAV &amp; LEATHER SEATS</t>
  </si>
  <si>
    <t>POALHR300055277</t>
  </si>
  <si>
    <t>DIB0028523</t>
  </si>
  <si>
    <t>997APD1202120063</t>
  </si>
  <si>
    <t>ABDULLAH TALAT</t>
  </si>
  <si>
    <t>35202-1345582-3</t>
  </si>
  <si>
    <t>03244641113</t>
  </si>
  <si>
    <t xml:space="preserve">PLOT NO 56 BLOCK C-2 DEFENCE ROAD E NGINEERING TOWN NEAR ALLIED BANK LAHORE </t>
  </si>
  <si>
    <t>62089/00065/07/2022</t>
  </si>
  <si>
    <t>22-JUL-2023</t>
  </si>
  <si>
    <t>R18Z12926052</t>
  </si>
  <si>
    <t>NFBFC6661HR029430</t>
  </si>
  <si>
    <t>LEA-18-4604</t>
  </si>
  <si>
    <t>HONDA CIVIC IVTEC ORIEL P/T</t>
  </si>
  <si>
    <t>POULHR300056136</t>
  </si>
  <si>
    <t>2798/07/2020/ITFM</t>
  </si>
  <si>
    <t>9976AD1211090006</t>
  </si>
  <si>
    <t>NASIR ALLIANI</t>
  </si>
  <si>
    <t>42201-1060283-9</t>
  </si>
  <si>
    <t>03332314253</t>
  </si>
  <si>
    <t xml:space="preserve">A-127 PECHS BLOCK 2 NEAR GOVT SCHOOL KARACHI </t>
  </si>
  <si>
    <t>52456/00031/07/2020</t>
  </si>
  <si>
    <t>12-JUL-2021</t>
  </si>
  <si>
    <t>172058</t>
  </si>
  <si>
    <t>1072058</t>
  </si>
  <si>
    <t>SUZUKI ALTO VXL EURO II</t>
  </si>
  <si>
    <t>OLAKHI300067781</t>
  </si>
  <si>
    <t>DIB0030938</t>
  </si>
  <si>
    <t>05-JUL-2021</t>
  </si>
  <si>
    <t>997APD2202120026</t>
  </si>
  <si>
    <t>SADAM HUSSAIN</t>
  </si>
  <si>
    <t>41504-0487265-9</t>
  </si>
  <si>
    <t>03453789713</t>
  </si>
  <si>
    <t xml:space="preserve">BANGLOW # C-29 PH-II LATIFABAD MIR HUSSAINABAD NEAR INDUS LAW COLLEGE HYDERABAD PK </t>
  </si>
  <si>
    <t>2022/07/CLFTTPCDP00944</t>
  </si>
  <si>
    <t>Z507438</t>
  </si>
  <si>
    <t>NZE170R-4133843</t>
  </si>
  <si>
    <t>BLJ-349</t>
  </si>
  <si>
    <t>TOYOTA COROLLA GLI M/T</t>
  </si>
  <si>
    <t>POUHYD300056038</t>
  </si>
  <si>
    <t>DIB0028536</t>
  </si>
  <si>
    <t>9976AP1211960004</t>
  </si>
  <si>
    <t>SHAHID MAHMOOD</t>
  </si>
  <si>
    <t>34101-7579586-1</t>
  </si>
  <si>
    <t>03000609611</t>
  </si>
  <si>
    <t xml:space="preserve">MAIN HAFIZABAD ROAD, NEAR PTCL EXCH ANGE GUJRANWALA </t>
  </si>
  <si>
    <t>2020-07-205-V01501DP0001429</t>
  </si>
  <si>
    <t>13-JUL-2021</t>
  </si>
  <si>
    <t>2A30827</t>
  </si>
  <si>
    <t>7019068</t>
  </si>
  <si>
    <t>YARIS GLI 1.3 M/T</t>
  </si>
  <si>
    <t>OLDGWL300070601</t>
  </si>
  <si>
    <t>5096/07/2021/ITFM</t>
  </si>
  <si>
    <t>997AAD1201350006</t>
  </si>
  <si>
    <t>AUSTIN ISMAT</t>
  </si>
  <si>
    <t>42101-4897658-7</t>
  </si>
  <si>
    <t>03238226306</t>
  </si>
  <si>
    <t>32453438</t>
  </si>
  <si>
    <t xml:space="preserve">HOUISE # A-23 HUSSAIN D SILVA TOWN BLOCK P KARACHI PK </t>
  </si>
  <si>
    <t>DIB/T/37674/LHR/0722</t>
  </si>
  <si>
    <t>301932</t>
  </si>
  <si>
    <t>302468</t>
  </si>
  <si>
    <t>SPORTAGE FWD</t>
  </si>
  <si>
    <t>POAKHI300053902</t>
  </si>
  <si>
    <t>9976AD1210390002</t>
  </si>
  <si>
    <t>GHAFOOR AHMAD</t>
  </si>
  <si>
    <t>35202-2675741-7</t>
  </si>
  <si>
    <t>03034027027</t>
  </si>
  <si>
    <t>04235967426</t>
  </si>
  <si>
    <t xml:space="preserve">94-E PUNJAB GOVT EMPLOYEE CO-OPERAT IVE HOUSING SOCIETY COLLEGE ROAD NE AR ZAHOOR CHOWK LAHORE </t>
  </si>
  <si>
    <t>52456/00063/07/2020</t>
  </si>
  <si>
    <t>16-JUL-2021</t>
  </si>
  <si>
    <t>G4NAMH306932</t>
  </si>
  <si>
    <t>NNAQL51AZKP306736</t>
  </si>
  <si>
    <t>KIA SPORTAGE AWD</t>
  </si>
  <si>
    <t>OLALHR300065620</t>
  </si>
  <si>
    <t>997APD1202120028</t>
  </si>
  <si>
    <t>MANSOOR KHAN</t>
  </si>
  <si>
    <t>71504-0390641-3</t>
  </si>
  <si>
    <t>03355111121</t>
  </si>
  <si>
    <t>0512363111</t>
  </si>
  <si>
    <t xml:space="preserve">H # 49 ( GROUND PORTION) MAIN DOUBL E ROAD SECTOR G-11/2 ISLAMABAD PK </t>
  </si>
  <si>
    <t>2022/07/CLFTTPCDP00917</t>
  </si>
  <si>
    <t>18-JUL-2023</t>
  </si>
  <si>
    <t>6165682</t>
  </si>
  <si>
    <t>1861851</t>
  </si>
  <si>
    <t>AHY-288</t>
  </si>
  <si>
    <t>TOYOTA PRIUS HYBRID</t>
  </si>
  <si>
    <t>POUISB300056086</t>
  </si>
  <si>
    <t>DIB0028522</t>
  </si>
  <si>
    <t>9976AP1192120014</t>
  </si>
  <si>
    <t>GOSHI YAQOOB</t>
  </si>
  <si>
    <t>35102-8080394-2</t>
  </si>
  <si>
    <t>03214883827</t>
  </si>
  <si>
    <t>0423586573</t>
  </si>
  <si>
    <t xml:space="preserve">G BLOCK YOUHANABAD FEROZPUR ROAD H NO 03 ST NO 03 NEAR CHRISH CHURCH/ LAHORE PK </t>
  </si>
  <si>
    <t>2524/03131/00032/07/2022</t>
  </si>
  <si>
    <t>17-JUL-2023</t>
  </si>
  <si>
    <t>PKS13036395</t>
  </si>
  <si>
    <t>S413PK10036401</t>
  </si>
  <si>
    <t>LEE-17-6122</t>
  </si>
  <si>
    <t>SWIFT DLX A/T</t>
  </si>
  <si>
    <t>POULHR300047982</t>
  </si>
  <si>
    <t>DIB0027716</t>
  </si>
  <si>
    <t>9976AP1231940007</t>
  </si>
  <si>
    <t>SHAHZAD HUSSAIN</t>
  </si>
  <si>
    <t>33100-0452633-3</t>
  </si>
  <si>
    <t>03007981911</t>
  </si>
  <si>
    <t>03007981911, 03007981911</t>
  </si>
  <si>
    <t>0418845805</t>
  </si>
  <si>
    <t xml:space="preserve">P-803 ST NO 7-B MOHALLA USMAN TOWN MILLAT ROAD FAISALABAD PK </t>
  </si>
  <si>
    <t>DIB/T/BT/27897/LHR/0720</t>
  </si>
  <si>
    <t>19-JUL-2021</t>
  </si>
  <si>
    <t>13508338</t>
  </si>
  <si>
    <t>008329</t>
  </si>
  <si>
    <t>AHS-262</t>
  </si>
  <si>
    <t>HONDA BRV-IVTEC-S</t>
  </si>
  <si>
    <t>OLUFSD300095293</t>
  </si>
  <si>
    <t>10341/07/2023/ITFM</t>
  </si>
  <si>
    <t>12-JUL-2023</t>
  </si>
  <si>
    <t>997AAD1201740004</t>
  </si>
  <si>
    <t>MEHMOOD HASSAN KHAN</t>
  </si>
  <si>
    <t>35201-3649777-9</t>
  </si>
  <si>
    <t>03324150944</t>
  </si>
  <si>
    <t xml:space="preserve">PLOT NO 8 SIKKA STREET, 08 KM RAIWI ND ROAD LAHORE </t>
  </si>
  <si>
    <t>DIB/T/37659/ISB/0722</t>
  </si>
  <si>
    <t>14-JUL-2023</t>
  </si>
  <si>
    <t>G4NALH301930</t>
  </si>
  <si>
    <t>NNAQL51AZKP302561</t>
  </si>
  <si>
    <t>POALHR300054444</t>
  </si>
  <si>
    <t>9976AP1231940006</t>
  </si>
  <si>
    <t>ASAD MAJEED</t>
  </si>
  <si>
    <t>33100-8137956-5</t>
  </si>
  <si>
    <t>03135555293</t>
  </si>
  <si>
    <t xml:space="preserve">HOUSE NO P-167 STREET NO 4 MAUHALLA MASOODABAD RAJA CHOWK PEOPLES COLONY NO 2 FSD </t>
  </si>
  <si>
    <t>2524/02023/00014/07/2020</t>
  </si>
  <si>
    <t>2A19285</t>
  </si>
  <si>
    <t>9507858</t>
  </si>
  <si>
    <t>AUX-879</t>
  </si>
  <si>
    <t>TOYOTA YARIS ATIV X CVT 1.5</t>
  </si>
  <si>
    <t>OLUFSD300095243</t>
  </si>
  <si>
    <t>10340/07/2023/ITFM</t>
  </si>
  <si>
    <t>9976AP1192120012</t>
  </si>
  <si>
    <t>SAIRA NAZ</t>
  </si>
  <si>
    <t>35201-5970730-2</t>
  </si>
  <si>
    <t>03074163576</t>
  </si>
  <si>
    <t>03211686953, 03074163576</t>
  </si>
  <si>
    <t>03211686953</t>
  </si>
  <si>
    <t xml:space="preserve">H NO E-18 N BLOCK NEAR 220 KV GRID STATION LAHORE </t>
  </si>
  <si>
    <t>2524/03131/00012/07/2022</t>
  </si>
  <si>
    <t>101066</t>
  </si>
  <si>
    <t>1001041</t>
  </si>
  <si>
    <t>ALTO VXR EURO II</t>
  </si>
  <si>
    <t>PODLHR300047970</t>
  </si>
  <si>
    <t>DIB0027711</t>
  </si>
  <si>
    <t>9976AP2192120001</t>
  </si>
  <si>
    <t>IFTIKHAR AHMAD HAIDRI</t>
  </si>
  <si>
    <t>42201-3574125-1</t>
  </si>
  <si>
    <t>03368311214</t>
  </si>
  <si>
    <t xml:space="preserve">H NO 242 SARDAR GULSHAN E HOUSING S OCIETY COLLEGE RAOD RACHNA TOWN SHA LAHORE PK </t>
  </si>
  <si>
    <t>62089/0006/07/2022</t>
  </si>
  <si>
    <t>04-JUL-2023</t>
  </si>
  <si>
    <t>768906</t>
  </si>
  <si>
    <t>1307433</t>
  </si>
  <si>
    <t>MEHRAN VXR EURO-II</t>
  </si>
  <si>
    <t>PODLHR300047954</t>
  </si>
  <si>
    <t>DIB0027709</t>
  </si>
  <si>
    <t>9976AP1231940003</t>
  </si>
  <si>
    <t>MUHAMMAD ASHFAQ</t>
  </si>
  <si>
    <t>33100-9119713-5</t>
  </si>
  <si>
    <t>03008667799</t>
  </si>
  <si>
    <t xml:space="preserve">HOUSE NO 173 E MODEL CITY 1 CANAL ROAD FAISALABAD </t>
  </si>
  <si>
    <t>52456/00073/07/2020</t>
  </si>
  <si>
    <t>17507520</t>
  </si>
  <si>
    <t>219803</t>
  </si>
  <si>
    <t>LEB-18-6817</t>
  </si>
  <si>
    <t>HONDA CITY I-VTEC M/T</t>
  </si>
  <si>
    <t>OLUFSD300095283</t>
  </si>
  <si>
    <t>10336/07/2023/ITFM</t>
  </si>
  <si>
    <t>997AAD2201560001</t>
  </si>
  <si>
    <t>MUHAMMAD FAHAD ZAKI</t>
  </si>
  <si>
    <t>42101-4737458-9</t>
  </si>
  <si>
    <t>03453179016</t>
  </si>
  <si>
    <t xml:space="preserve">FZ WHEELS OFF 606 6TH FLOOR WINDSONG PLACE KCHS SHAHRA E FAISAL KARACHI </t>
  </si>
  <si>
    <t>2022-07-205-V01501DP0002177</t>
  </si>
  <si>
    <t>13-JUL-2023</t>
  </si>
  <si>
    <t>R18Z16911532</t>
  </si>
  <si>
    <t>NFBFC666XLR063195</t>
  </si>
  <si>
    <t>POAKHI300054111</t>
  </si>
  <si>
    <t>DIB0028491</t>
  </si>
  <si>
    <t>29-JUL-2020</t>
  </si>
  <si>
    <t>997APD2202110009</t>
  </si>
  <si>
    <t>RIFFAT TABINDA</t>
  </si>
  <si>
    <t>37405-8903082-4</t>
  </si>
  <si>
    <t>03011113760</t>
  </si>
  <si>
    <t xml:space="preserve">H # 13 1ST FLOOR ST # 23 SECTOR -A PHASE-2 DHA NEAR GATE # 3 GIGA MALL ISLAMABAD PK </t>
  </si>
  <si>
    <t>2022-07-205-V01501DP0002147</t>
  </si>
  <si>
    <t>79798984</t>
  </si>
  <si>
    <t>261744</t>
  </si>
  <si>
    <t>CITY ASPIRE A/T</t>
  </si>
  <si>
    <t>PODISD300056045</t>
  </si>
  <si>
    <t>DIB0028505</t>
  </si>
  <si>
    <t>997APD1202120014</t>
  </si>
  <si>
    <t>FAYYAZ AHMED</t>
  </si>
  <si>
    <t>42201-6441593-9</t>
  </si>
  <si>
    <t>03219212874</t>
  </si>
  <si>
    <t xml:space="preserve">HOUSE # R-53 ARCHITECT HOUSING SOCI ETY BLOCK-09 NEAR AL MEHRAN SCHOOL KARACHI PK </t>
  </si>
  <si>
    <t>PL-0722-1101010102-V14-D-00606</t>
  </si>
  <si>
    <t>Z539436</t>
  </si>
  <si>
    <t>NZE170R-4165333</t>
  </si>
  <si>
    <t>BNZ-198</t>
  </si>
  <si>
    <t>COROLLA GLI A/T</t>
  </si>
  <si>
    <t>POUKHI300056011</t>
  </si>
  <si>
    <t>DIB0028500</t>
  </si>
  <si>
    <t>9976AD1192070002</t>
  </si>
  <si>
    <t>SYED RAZA ALI</t>
  </si>
  <si>
    <t>37405-4271079-9</t>
  </si>
  <si>
    <t>0514454871/ 5148898</t>
  </si>
  <si>
    <t>03218551662</t>
  </si>
  <si>
    <t>0321-8551662</t>
  </si>
  <si>
    <t xml:space="preserve">DUBAI ISLAMIC BANK PLOT 67 A SATELLITE TOWN MUREE ROAD RAWALPINDI </t>
  </si>
  <si>
    <t>DIB/T/37983/LHR/0722</t>
  </si>
  <si>
    <t>6R107404</t>
  </si>
  <si>
    <t>H1007411</t>
  </si>
  <si>
    <t>POAISD300047891</t>
  </si>
  <si>
    <t>9976AP1192110001</t>
  </si>
  <si>
    <t>SAJID MEHMOOD</t>
  </si>
  <si>
    <t>37405-4406290-5</t>
  </si>
  <si>
    <t>03335190504</t>
  </si>
  <si>
    <t>0512352478</t>
  </si>
  <si>
    <t xml:space="preserve">PO KHAS CHALAWARA KOTLI SATTIAN RAWALPINDI </t>
  </si>
  <si>
    <t>62089/00037/07/2022</t>
  </si>
  <si>
    <t>1583210</t>
  </si>
  <si>
    <t>0237740</t>
  </si>
  <si>
    <t>PASSO</t>
  </si>
  <si>
    <t>PODISD300047957</t>
  </si>
  <si>
    <t>1560/07/2019/ITFM</t>
  </si>
  <si>
    <t>997APD2202110011</t>
  </si>
  <si>
    <t>ZARGHOONA KHAN</t>
  </si>
  <si>
    <t>42000-8471915-4</t>
  </si>
  <si>
    <t>03032012096</t>
  </si>
  <si>
    <t>123456</t>
  </si>
  <si>
    <t xml:space="preserve">PLOT # C-52 PORTION F-3 BLOCK 3 GUL ISTAN E JOHAR KARACHI PK </t>
  </si>
  <si>
    <t>DIB/T/37631/LHR/0722</t>
  </si>
  <si>
    <t>3A90-AK8191</t>
  </si>
  <si>
    <t>A05A-0020250</t>
  </si>
  <si>
    <t>MITSUBISHI MIRAJ</t>
  </si>
  <si>
    <t>POUKHI300055962</t>
  </si>
  <si>
    <t>DIB0028492</t>
  </si>
  <si>
    <t>997APD2202100013</t>
  </si>
  <si>
    <t>SAADAT RASHID</t>
  </si>
  <si>
    <t>37405-3274103-3</t>
  </si>
  <si>
    <t>03235070848</t>
  </si>
  <si>
    <t>0512709200</t>
  </si>
  <si>
    <t xml:space="preserve">H # 301 MAIN BOULEVARD PHASE-III BA HRIA TOWN RAWALPINDI PK </t>
  </si>
  <si>
    <t>2524/03131/00043/07/2022</t>
  </si>
  <si>
    <t>7538917</t>
  </si>
  <si>
    <t>260843</t>
  </si>
  <si>
    <t>27-JUL-2020</t>
  </si>
  <si>
    <t>27-Jul-2025</t>
  </si>
  <si>
    <t>PODRWP300055951</t>
  </si>
  <si>
    <t>DIB0028484</t>
  </si>
  <si>
    <t>997APD1202110004</t>
  </si>
  <si>
    <t>USMAN RASHEED</t>
  </si>
  <si>
    <t>35201-4741930-7</t>
  </si>
  <si>
    <t>03003466467</t>
  </si>
  <si>
    <t>37631193</t>
  </si>
  <si>
    <t xml:space="preserve">R.A.U TRADERS AND ASLAM CENTRE SHAH ALAM MUT LHR 37631193 </t>
  </si>
  <si>
    <t>UWT/D/T002/0000001560/0722/109-0</t>
  </si>
  <si>
    <t>136640</t>
  </si>
  <si>
    <t>1036632</t>
  </si>
  <si>
    <t>PODLHR300055960</t>
  </si>
  <si>
    <t>2763/07/2020/ITFM</t>
  </si>
  <si>
    <t>9976AP1192110015</t>
  </si>
  <si>
    <t>AMIR MEHMOOD</t>
  </si>
  <si>
    <t>35202-9760981-5</t>
  </si>
  <si>
    <t>03138127676</t>
  </si>
  <si>
    <t>03138127676, 03124899638</t>
  </si>
  <si>
    <t xml:space="preserve">SHOP # 6-7 2ND FLOOR AZIZ CENTER IC HRA HALL ROAD LAHORE </t>
  </si>
  <si>
    <t>PL-0722-1101010102-V14-D-00590</t>
  </si>
  <si>
    <t>104878</t>
  </si>
  <si>
    <t>1004865</t>
  </si>
  <si>
    <t>PODLHR300047884</t>
  </si>
  <si>
    <t>DIB0027694</t>
  </si>
  <si>
    <t>997APD1202100027</t>
  </si>
  <si>
    <t>AYESHA AAMER SHEIKH</t>
  </si>
  <si>
    <t>35202-4757136-0</t>
  </si>
  <si>
    <t>03004018742</t>
  </si>
  <si>
    <t xml:space="preserve">HOUSE NO.203, G-1, JOHAR TOWN, LAHORE. </t>
  </si>
  <si>
    <t>2524/03131/00023/07/2022</t>
  </si>
  <si>
    <t>K10C-1069240</t>
  </si>
  <si>
    <t>ZC13S-104220</t>
  </si>
  <si>
    <t>SWIFT RS</t>
  </si>
  <si>
    <t>POULHR300055911</t>
  </si>
  <si>
    <t>DIB0028485</t>
  </si>
  <si>
    <t>9976AP2211950008</t>
  </si>
  <si>
    <t>SYED ALI ASAD RIZVI</t>
  </si>
  <si>
    <t>Burewala</t>
  </si>
  <si>
    <t>36601-7253669-1</t>
  </si>
  <si>
    <t>03006995800</t>
  </si>
  <si>
    <t xml:space="preserve">S/O SYED RIAZ HUSSAIN RIZVI MOHALLAH BASHIR TOWN BUREWALA MOBILE NO 0300-6995800 </t>
  </si>
  <si>
    <t>52456/00096/07/2020</t>
  </si>
  <si>
    <t>8000954</t>
  </si>
  <si>
    <t>2002719</t>
  </si>
  <si>
    <t>TOYOTA CH-R HYBRID</t>
  </si>
  <si>
    <t>OLUBRV300070683</t>
  </si>
  <si>
    <t>5101/07/2021</t>
  </si>
  <si>
    <t>997APD1202100024</t>
  </si>
  <si>
    <t>IRFAN NAZEER</t>
  </si>
  <si>
    <t>37302-5982660-9</t>
  </si>
  <si>
    <t>03317171111</t>
  </si>
  <si>
    <t>0515730275</t>
  </si>
  <si>
    <t xml:space="preserve">THE KNOWLEDGE CAMP 2ND FLOOR D-170 CIVIC CENTE PHASE 4 BAHRIA TOWN RAWALPNIDI </t>
  </si>
  <si>
    <t>DIB/T/37635/LHR/0722</t>
  </si>
  <si>
    <t>9798976</t>
  </si>
  <si>
    <t>L261640</t>
  </si>
  <si>
    <t>27-Jul-2024</t>
  </si>
  <si>
    <t>PODRWP300055702</t>
  </si>
  <si>
    <t>2760/07/2020/ITFM</t>
  </si>
  <si>
    <t>997APD1202120062</t>
  </si>
  <si>
    <t>SAJID MUHAMMAD SADIQ</t>
  </si>
  <si>
    <t>35202-2756086-5</t>
  </si>
  <si>
    <t>04235866217</t>
  </si>
  <si>
    <t>03009477662</t>
  </si>
  <si>
    <t xml:space="preserve">HOUSE NO 67 M GULBERG 3 LAHORE </t>
  </si>
  <si>
    <t>62089/00025/07/2022</t>
  </si>
  <si>
    <t>159609</t>
  </si>
  <si>
    <t>059609</t>
  </si>
  <si>
    <t>CULTUS VXL AGS EURO II</t>
  </si>
  <si>
    <t>PODLHR300055946</t>
  </si>
  <si>
    <t>2770/07/2020/ITFM</t>
  </si>
  <si>
    <t>9976AP1192110004</t>
  </si>
  <si>
    <t>ALTAF HUSSAIN</t>
  </si>
  <si>
    <t>16202-7659281-3</t>
  </si>
  <si>
    <t>03005547179</t>
  </si>
  <si>
    <t>0300-5547179</t>
  </si>
  <si>
    <t>4412590, 4416823</t>
  </si>
  <si>
    <t xml:space="preserve">H # 758 F-BLOCK SAIDPUR ROAD NEAR SIDDIQUI CHOWK SATEKKITE TOWN RAWALPINDI </t>
  </si>
  <si>
    <t>01-2207-PO-MTR-PCCM-D-000876</t>
  </si>
  <si>
    <t>197992</t>
  </si>
  <si>
    <t>10097993</t>
  </si>
  <si>
    <t>SUZUKI WAGONR VXL</t>
  </si>
  <si>
    <t>PODRWP300047916</t>
  </si>
  <si>
    <t>1555/07/2019/ITFM</t>
  </si>
  <si>
    <t>27-JUL-2019</t>
  </si>
  <si>
    <t>9976AP2192110002</t>
  </si>
  <si>
    <t>SYEDA SEEMAB HASSAN</t>
  </si>
  <si>
    <t>36102-7806363-4</t>
  </si>
  <si>
    <t>03135333801</t>
  </si>
  <si>
    <t>0512088770</t>
  </si>
  <si>
    <t xml:space="preserve">H # 37 ST # 2 BLOCK G NAVAL ENCOURA GE ISLAMABAD </t>
  </si>
  <si>
    <t>2524/03131/00008/07/2022</t>
  </si>
  <si>
    <t>106411</t>
  </si>
  <si>
    <t>1006423</t>
  </si>
  <si>
    <t>ALTO VXR AGS EURO-II</t>
  </si>
  <si>
    <t>PODISD300047863</t>
  </si>
  <si>
    <t>DIB0027693</t>
  </si>
  <si>
    <t>9976AP1192100004</t>
  </si>
  <si>
    <t>MUMTAZ MEHRAJ</t>
  </si>
  <si>
    <t>35201-1795744-0</t>
  </si>
  <si>
    <t>03024763437</t>
  </si>
  <si>
    <t xml:space="preserve">H NO 114 BLOCK C PAK ARAB SOCIETY F EROZEPUR ROAD LAHORE </t>
  </si>
  <si>
    <t>PL-0722-1101010102-V14-D-00593</t>
  </si>
  <si>
    <t>7533804</t>
  </si>
  <si>
    <t>NFBGM647KR253084</t>
  </si>
  <si>
    <t>HONDA CITY IVTEC M/T</t>
  </si>
  <si>
    <t>PODLHR300047874</t>
  </si>
  <si>
    <t>DIB0027686</t>
  </si>
  <si>
    <t>9976AP2192120004</t>
  </si>
  <si>
    <t>NAJEEB AHMED</t>
  </si>
  <si>
    <t>42201-0423041-3</t>
  </si>
  <si>
    <t>03132011953</t>
  </si>
  <si>
    <t>02132765331</t>
  </si>
  <si>
    <t xml:space="preserve">SHOP # 01 JINNAHABAD GHASS MANDI SI DDIQUE WAHAB ROAD TIMBER MARKET PLO T # 1704 1705 NEAR SOOMRO GALI KARACHI </t>
  </si>
  <si>
    <t>2524/03131/00001/07/2022</t>
  </si>
  <si>
    <t>03-JUL-2023</t>
  </si>
  <si>
    <t>Z18Z12919056</t>
  </si>
  <si>
    <t>R022426</t>
  </si>
  <si>
    <t>BKJ-121</t>
  </si>
  <si>
    <t>HONDA CIVIC 1.8L OREIL</t>
  </si>
  <si>
    <t>POUKHI300047902</t>
  </si>
  <si>
    <t>1556/07/2019/ITFM</t>
  </si>
  <si>
    <t>9976AP2192110011</t>
  </si>
  <si>
    <t>MUHAMMAD BILAL</t>
  </si>
  <si>
    <t>42201-1927736-3</t>
  </si>
  <si>
    <t>03212989690</t>
  </si>
  <si>
    <t>003212989690</t>
  </si>
  <si>
    <t xml:space="preserve">HOUSE # JM 653 NEW TOWN JAMSHED ROA D # 2 NEAR TOTAL PETROL PUMP KARACHI PK </t>
  </si>
  <si>
    <t>PL-0721-1101010102-V14-D-00329</t>
  </si>
  <si>
    <t>30-JUL-2022</t>
  </si>
  <si>
    <t>KF-L384505</t>
  </si>
  <si>
    <t>LA1508-0082904</t>
  </si>
  <si>
    <t>MOVE CUSTOM</t>
  </si>
  <si>
    <t>POUKHI300047757</t>
  </si>
  <si>
    <t>1554/07/2019/ITFM</t>
  </si>
  <si>
    <t>9976AP2192110009</t>
  </si>
  <si>
    <t>MUHAMMAD FAISAL</t>
  </si>
  <si>
    <t>33100-1540445-5</t>
  </si>
  <si>
    <t>03000301301</t>
  </si>
  <si>
    <t>03000301301, 03000701702</t>
  </si>
  <si>
    <t>03000701702</t>
  </si>
  <si>
    <t xml:space="preserve">H NO 404 ST NO 7 NISAR COLONY MAIN BAZAR SAMANABAD FSD FAISALABAD PK </t>
  </si>
  <si>
    <t>54913/00058/07/2021</t>
  </si>
  <si>
    <t>29-JUL-2022</t>
  </si>
  <si>
    <t>1NZ-75Q1303</t>
  </si>
  <si>
    <t>NHP10-2444718</t>
  </si>
  <si>
    <t>TOYOTA AQUA HYBRID</t>
  </si>
  <si>
    <t>POUFSD300047908</t>
  </si>
  <si>
    <t>DIB0027688</t>
  </si>
  <si>
    <t>9976AP2192110003</t>
  </si>
  <si>
    <t>BADAR MUNIR</t>
  </si>
  <si>
    <t>61101-6406828-1</t>
  </si>
  <si>
    <t>0512228571</t>
  </si>
  <si>
    <t xml:space="preserve">ERTIBATAT PRIVATE LIMITED BUILDING 10, E-11/3 MARKEZ M.P.C.H.S ISLAMABAD </t>
  </si>
  <si>
    <t>2021-07-205-V01501OPOOO1782</t>
  </si>
  <si>
    <t>157353</t>
  </si>
  <si>
    <t>00102325</t>
  </si>
  <si>
    <t>CIAZ A/T</t>
  </si>
  <si>
    <t>PODISD300047875</t>
  </si>
  <si>
    <t>DIB0027687</t>
  </si>
  <si>
    <t>9976AP1192100002</t>
  </si>
  <si>
    <t>AZEEM GHAFOOR</t>
  </si>
  <si>
    <t>35202-2707760-1</t>
  </si>
  <si>
    <t>03024335657</t>
  </si>
  <si>
    <t>04237497800</t>
  </si>
  <si>
    <t xml:space="preserve">HOUSE # 36 STREET # 8 MOHALLAH GUNJ SHAKAR ROAD SYED PUR MULTAN ROAD LAHORE </t>
  </si>
  <si>
    <t>2524/02564/00122/07/2021</t>
  </si>
  <si>
    <t>105783</t>
  </si>
  <si>
    <t>10085743</t>
  </si>
  <si>
    <t>PODLHR300047867</t>
  </si>
  <si>
    <t>DIB0027684</t>
  </si>
  <si>
    <t>997APD2202090006</t>
  </si>
  <si>
    <t>SHAHZAD ALI</t>
  </si>
  <si>
    <t>41306-0106531-7</t>
  </si>
  <si>
    <t>03003285358</t>
  </si>
  <si>
    <t xml:space="preserve">HOUSE # 128 BLOCK C SEHRISH NAGAR Q ASIMABAD HYDERABAD PK </t>
  </si>
  <si>
    <t>2021/07/CLFTTPCDPOO868</t>
  </si>
  <si>
    <t>Q315483</t>
  </si>
  <si>
    <t>ZRE172R-7014484</t>
  </si>
  <si>
    <t>BFM-232</t>
  </si>
  <si>
    <t>COROLLA ALTIS GRANDE CVT</t>
  </si>
  <si>
    <t>POUHYD300055888</t>
  </si>
  <si>
    <t>DIB0028479</t>
  </si>
  <si>
    <t>997APD1202100031</t>
  </si>
  <si>
    <t>JAMSHAID IQBAL</t>
  </si>
  <si>
    <t>35202-0540428-1</t>
  </si>
  <si>
    <t>03009483620</t>
  </si>
  <si>
    <t xml:space="preserve">GOVT. HIGH SCHOOL MAIN MARKET TOWNS HIP LAHORE </t>
  </si>
  <si>
    <t>54913/00072/07/2021</t>
  </si>
  <si>
    <t>G3LALP0444</t>
  </si>
  <si>
    <t>NNATA52AZKP702331</t>
  </si>
  <si>
    <t>PODLHR300055878</t>
  </si>
  <si>
    <t>DIB0028474</t>
  </si>
  <si>
    <t>997APD1202060001</t>
  </si>
  <si>
    <t>WASEEM IQBAL ANSARI</t>
  </si>
  <si>
    <t>37405-0477328-1</t>
  </si>
  <si>
    <t>03215170882</t>
  </si>
  <si>
    <t>0514573882</t>
  </si>
  <si>
    <t xml:space="preserve">H # 732 BLOCK-B SATELLITE TOWN NEAR NATIONAL MARKET RAWALPINDI PK </t>
  </si>
  <si>
    <t>54913/00041/07/2021</t>
  </si>
  <si>
    <t>25-JUL-2022</t>
  </si>
  <si>
    <t>L15A79798954</t>
  </si>
  <si>
    <t>LR261585</t>
  </si>
  <si>
    <t>HONDA CITY ASPIRE</t>
  </si>
  <si>
    <t>PODRWP300055532</t>
  </si>
  <si>
    <t>2740/07/2020/ITFM</t>
  </si>
  <si>
    <t>997APD1202090005</t>
  </si>
  <si>
    <t>RANA AZHAR MEHMOOD</t>
  </si>
  <si>
    <t>35302-2265285-5</t>
  </si>
  <si>
    <t>03006960236</t>
  </si>
  <si>
    <t>0512814365</t>
  </si>
  <si>
    <t xml:space="preserve">H # 118 ST # 36 SECTOR # G-8/2 ISLAMABAD PK </t>
  </si>
  <si>
    <t>DIB/T/BT/32929/LHR/0721</t>
  </si>
  <si>
    <t>6911651</t>
  </si>
  <si>
    <t>LR063360</t>
  </si>
  <si>
    <t>PODISD300055703</t>
  </si>
  <si>
    <t>2752/07/2020/ITFM</t>
  </si>
  <si>
    <t>9976AP2192060005</t>
  </si>
  <si>
    <t>SABA ASIF</t>
  </si>
  <si>
    <t>42301-9641808-8</t>
  </si>
  <si>
    <t>03008291808</t>
  </si>
  <si>
    <t>03008291808, 03008291808</t>
  </si>
  <si>
    <t xml:space="preserve">HOUSE # 24-B STREET 9TH CENTRAL DHA PHASE-2 NEAR EATON KARACHI PK </t>
  </si>
  <si>
    <t>2021-07-205-V01501DP0001841</t>
  </si>
  <si>
    <t>2530862</t>
  </si>
  <si>
    <t>4156754</t>
  </si>
  <si>
    <t>27-Jul-2026</t>
  </si>
  <si>
    <t>PODKHI300047831</t>
  </si>
  <si>
    <t>1535/07/2019/ITFM</t>
  </si>
  <si>
    <t>24-JUL-2019</t>
  </si>
  <si>
    <t>997APD1202100014</t>
  </si>
  <si>
    <t>SYED ALI RAZA KAZMI</t>
  </si>
  <si>
    <t>35202-3004338-1</t>
  </si>
  <si>
    <t>03244245325</t>
  </si>
  <si>
    <t xml:space="preserve">90 MOH CHAMAN BAGH RAJ GARH LAHORE </t>
  </si>
  <si>
    <t>54913/00049/07/2021</t>
  </si>
  <si>
    <t>28-JUL-2022</t>
  </si>
  <si>
    <t>9798763</t>
  </si>
  <si>
    <t>261144</t>
  </si>
  <si>
    <t>CITY ASPIRE M/T</t>
  </si>
  <si>
    <t>PODLHR300055762</t>
  </si>
  <si>
    <t>DIB0028470</t>
  </si>
  <si>
    <t>997APD2202090011</t>
  </si>
  <si>
    <t>MALIK MOHAMMAD IMRAN</t>
  </si>
  <si>
    <t>42301-8279675-5</t>
  </si>
  <si>
    <t>03333097905</t>
  </si>
  <si>
    <t>32462412</t>
  </si>
  <si>
    <t xml:space="preserve">HOUSE # H-141 PAKISTAN and TELE COMMU NICATION COLONY GIZRI ROAD CLIFTON KARACHI PK </t>
  </si>
  <si>
    <t>PL-0721-1101010102-V14-D-00325</t>
  </si>
  <si>
    <t>7539383</t>
  </si>
  <si>
    <t>261562</t>
  </si>
  <si>
    <t>HONDA CITY IVTEC A/T</t>
  </si>
  <si>
    <t>PODKHI300055333</t>
  </si>
  <si>
    <t>2753/07/2020</t>
  </si>
  <si>
    <t>9976AP1192060001</t>
  </si>
  <si>
    <t>SHEIKH MUHAMMAD ABID</t>
  </si>
  <si>
    <t>12101-0989951-7</t>
  </si>
  <si>
    <t>03018550519</t>
  </si>
  <si>
    <t xml:space="preserve">H # 473 MAIN DOUBLE ROAD I-10/4 ISLAMABAD PK </t>
  </si>
  <si>
    <t>2107-PO-MTR-PCCM-D-001031</t>
  </si>
  <si>
    <t>1559884</t>
  </si>
  <si>
    <t>2146069</t>
  </si>
  <si>
    <t>TOYOTA VTIZ</t>
  </si>
  <si>
    <t>POUISD300047847</t>
  </si>
  <si>
    <t>1533/07/2019/ITFM</t>
  </si>
  <si>
    <t>997APD2202090012</t>
  </si>
  <si>
    <t>MUHAMMAD RIZWAN</t>
  </si>
  <si>
    <t>35202-8675172-7</t>
  </si>
  <si>
    <t>35865810</t>
  </si>
  <si>
    <t>0336-1132226</t>
  </si>
  <si>
    <t>37428222-3</t>
  </si>
  <si>
    <t xml:space="preserve">H# 5 BASHIR STREET# 09 MOHALA KARMABAD REHMAN PURA WAHDAT ROAD LAHORE </t>
  </si>
  <si>
    <t>PL-0721-1101010102-V14-D-00327</t>
  </si>
  <si>
    <t>HR15-133782D</t>
  </si>
  <si>
    <t>YF15-306562</t>
  </si>
  <si>
    <t>NISSAN JUKE</t>
  </si>
  <si>
    <t>POULHR300055859</t>
  </si>
  <si>
    <t>DIB0028464</t>
  </si>
  <si>
    <t>997AAD1201820021</t>
  </si>
  <si>
    <t>SHAKEEL AHMAD</t>
  </si>
  <si>
    <t>Kasur</t>
  </si>
  <si>
    <t>35102-4633618-9</t>
  </si>
  <si>
    <t>03206570800</t>
  </si>
  <si>
    <t xml:space="preserve">KHEM KARAN ROAD RUNG PUR KASUR </t>
  </si>
  <si>
    <t>01-2107-PO-MTR-PCCM-D-001025</t>
  </si>
  <si>
    <t>G3LALP024801</t>
  </si>
  <si>
    <t>NNATA52AZKP702271</t>
  </si>
  <si>
    <t>POAKSR300054761</t>
  </si>
  <si>
    <t>DIB0028472</t>
  </si>
  <si>
    <t>997APD2202100017</t>
  </si>
  <si>
    <t>SYED ARMAN HUSSAIN BUKHARI</t>
  </si>
  <si>
    <t>35202-2197748-7</t>
  </si>
  <si>
    <t>37490591</t>
  </si>
  <si>
    <t>03219413543</t>
  </si>
  <si>
    <t xml:space="preserve">H NO 340 F SABZAZAR SCHEME MULTAN ROAD LAHORE </t>
  </si>
  <si>
    <t>01-2107-PO-MTR-PCCM-D-001030</t>
  </si>
  <si>
    <t>129383</t>
  </si>
  <si>
    <t>1029386</t>
  </si>
  <si>
    <t>ALTO VXL AGS EURO-II</t>
  </si>
  <si>
    <t>PODLHR300055276</t>
  </si>
  <si>
    <t>DIB0028465</t>
  </si>
  <si>
    <t>997AAD2201900001</t>
  </si>
  <si>
    <t>FAISAL MEHMOOD</t>
  </si>
  <si>
    <t>42101-5236429-7</t>
  </si>
  <si>
    <t>02134302140-41</t>
  </si>
  <si>
    <t>03002008879</t>
  </si>
  <si>
    <t>34302140-41</t>
  </si>
  <si>
    <t xml:space="preserve">PRINT SOLUTIONS PLOT NO.126-O MIAN KHALID BIN WALEED RD PECHS BLOCK 2 KHI </t>
  </si>
  <si>
    <t>2524/02564/00097/07/2021</t>
  </si>
  <si>
    <t>131743</t>
  </si>
  <si>
    <t>500483</t>
  </si>
  <si>
    <t>KIA PICANTO 1.0L M/T</t>
  </si>
  <si>
    <t>POAKHI300055073</t>
  </si>
  <si>
    <t>DIB0028402</t>
  </si>
  <si>
    <t>997APD1202100017</t>
  </si>
  <si>
    <t>AWAIS RAZA</t>
  </si>
  <si>
    <t>35202-9361455-5</t>
  </si>
  <si>
    <t>03219401938</t>
  </si>
  <si>
    <t>04235971789</t>
  </si>
  <si>
    <t xml:space="preserve">HOUSE NO 286-B VALANCIA TOWN LAHORE </t>
  </si>
  <si>
    <t>54913/00063/07/2021</t>
  </si>
  <si>
    <t>HJ301005</t>
  </si>
  <si>
    <t>LFPAFMVM19002651</t>
  </si>
  <si>
    <t>FAW V2</t>
  </si>
  <si>
    <t>PODLHR300055875</t>
  </si>
  <si>
    <t>DIB0028469</t>
  </si>
  <si>
    <t>997APD2202090001</t>
  </si>
  <si>
    <t>KHAWAR HAYAT KHAN</t>
  </si>
  <si>
    <t>37406-7972516-5</t>
  </si>
  <si>
    <t>03105500006</t>
  </si>
  <si>
    <t>0514533799</t>
  </si>
  <si>
    <t xml:space="preserve">H # CB-270 ST # 10 NAWABABAD PK </t>
  </si>
  <si>
    <t>01-2107-PO-MTR-PCCM-D-001029</t>
  </si>
  <si>
    <t>137717</t>
  </si>
  <si>
    <t>1037641</t>
  </si>
  <si>
    <t>SUZUKI ALTO VXL</t>
  </si>
  <si>
    <t>PODWAH300055841</t>
  </si>
  <si>
    <t>DIB0028462</t>
  </si>
  <si>
    <t>997APD1202090007</t>
  </si>
  <si>
    <t>MUHAMMAD SHAYAN SIDDIQUI</t>
  </si>
  <si>
    <t>42101-7188932-9</t>
  </si>
  <si>
    <t>03351135224</t>
  </si>
  <si>
    <t xml:space="preserve">HOUSE NO A-116 SECTOR 11-B NORTH KARACHI, KARACHI </t>
  </si>
  <si>
    <t>54913/00051/07/2021</t>
  </si>
  <si>
    <t>978401</t>
  </si>
  <si>
    <t>0964706</t>
  </si>
  <si>
    <t>KX-7879</t>
  </si>
  <si>
    <t>TOYOTA HILUX REVO</t>
  </si>
  <si>
    <t>POUKHI300055736</t>
  </si>
  <si>
    <t>DIB0028467</t>
  </si>
  <si>
    <t>9976AD2213580001</t>
  </si>
  <si>
    <t>KIRAN NAQI</t>
  </si>
  <si>
    <t>42201-2402888-0</t>
  </si>
  <si>
    <t>03058730662</t>
  </si>
  <si>
    <t xml:space="preserve">B- 142 STELL TOWN BIN QASIM QUAID-E - AZAM PARK KARACHI PK </t>
  </si>
  <si>
    <t>2524/02023/00054/07/2020</t>
  </si>
  <si>
    <t>500233</t>
  </si>
  <si>
    <t>1015730</t>
  </si>
  <si>
    <t>OLAKHI300082392</t>
  </si>
  <si>
    <t>DIB0034626</t>
  </si>
  <si>
    <t>9976AD1220600082</t>
  </si>
  <si>
    <t>FAISAL ALI</t>
  </si>
  <si>
    <t>45201-1026792-7</t>
  </si>
  <si>
    <t>03004176395</t>
  </si>
  <si>
    <t xml:space="preserve">D-13 4TH FLOOR DESCON PLAZA MAIN SHAHRAH-E-FAISAL P.E.C.H.S BLOCK-6 NEAR KFC KARACHI </t>
  </si>
  <si>
    <t>52456/00138/07/2020</t>
  </si>
  <si>
    <t>240855</t>
  </si>
  <si>
    <t>1140877</t>
  </si>
  <si>
    <t>OLAKHI300084944</t>
  </si>
  <si>
    <t>8054/07/2022</t>
  </si>
  <si>
    <t>997APD2202090009</t>
  </si>
  <si>
    <t>MUHAMMAD ADEEL MUMTAZ</t>
  </si>
  <si>
    <t>35201-6369383-3</t>
  </si>
  <si>
    <t>03214558989</t>
  </si>
  <si>
    <t xml:space="preserve">22-E ZAFAR ROAD BASEMENT,LAHORE CAN TT LAHORE </t>
  </si>
  <si>
    <t>001/KHI/PCCOMP/P/55194/07/2021</t>
  </si>
  <si>
    <t>1NZ6599897</t>
  </si>
  <si>
    <t>NKE165-7174626</t>
  </si>
  <si>
    <t>FIELDER</t>
  </si>
  <si>
    <t>POULHR300055821</t>
  </si>
  <si>
    <t>DIB0028456</t>
  </si>
  <si>
    <t>997APD1202100015</t>
  </si>
  <si>
    <t>MIRZA ZAHEER UD DIN BABAR</t>
  </si>
  <si>
    <t>35202-0457810-7</t>
  </si>
  <si>
    <t>03225895555</t>
  </si>
  <si>
    <t xml:space="preserve">HOUSE NO 298 MEWATI MOHALLAH NEW AB ADI NEAR NIM WALA CHOWK CHOTI PHATA KI KOT LAKHPAT LAHORE </t>
  </si>
  <si>
    <t>2021-07-205-V01501OPOOO1677</t>
  </si>
  <si>
    <t>22-JUL-2022</t>
  </si>
  <si>
    <t>203136</t>
  </si>
  <si>
    <t>10103118</t>
  </si>
  <si>
    <t>WAGON R VXL</t>
  </si>
  <si>
    <t>PODLHR300055792</t>
  </si>
  <si>
    <t>DIB0028458</t>
  </si>
  <si>
    <t>9976AD1221110008</t>
  </si>
  <si>
    <t>SOBIA IJAZ</t>
  </si>
  <si>
    <t>33100-9205014-2</t>
  </si>
  <si>
    <t>0324-7273641</t>
  </si>
  <si>
    <t xml:space="preserve">P-126-F, BLOCK-F, EDEN VALLEY SWEET FAISALABAD FAISALABAD </t>
  </si>
  <si>
    <t>DIB/T/BT/28139/LHR/0720</t>
  </si>
  <si>
    <t>199524</t>
  </si>
  <si>
    <t>10099475</t>
  </si>
  <si>
    <t>OLAFSD300088503</t>
  </si>
  <si>
    <t>8058/07/2022</t>
  </si>
  <si>
    <t>15-JUL-2022</t>
  </si>
  <si>
    <t>997APD1202100021</t>
  </si>
  <si>
    <t>ATTIQ UR REHMAN</t>
  </si>
  <si>
    <t>33100-9893611-9</t>
  </si>
  <si>
    <t>03009650476</t>
  </si>
  <si>
    <t>03009650476, 03239650476</t>
  </si>
  <si>
    <t>03239650476</t>
  </si>
  <si>
    <t xml:space="preserve">H NO P-135 ST NO 3 QAIM PURA FSD NE AR SARKAR E MADINA MASJID FAISALABAD PK </t>
  </si>
  <si>
    <t>54913/00038/07/2021</t>
  </si>
  <si>
    <t>23-JUL-2022</t>
  </si>
  <si>
    <t>130135</t>
  </si>
  <si>
    <t>1030150</t>
  </si>
  <si>
    <t>ALTO VXL</t>
  </si>
  <si>
    <t>PODFSD300055734</t>
  </si>
  <si>
    <t>DIB0028452</t>
  </si>
  <si>
    <t>997APD1202050036</t>
  </si>
  <si>
    <t>FAIZ AHMAD FAIZ</t>
  </si>
  <si>
    <t>33101-2736540-3</t>
  </si>
  <si>
    <t>03478316984</t>
  </si>
  <si>
    <t xml:space="preserve">OFFICE NO 701, 7TH FLOOR HAMZA CENT ER ABBOT ROAD NEAR GREEN TEA LAKSHM I CHOWK LAHORE </t>
  </si>
  <si>
    <t>DIB/T/BT/32677/LHR/0721</t>
  </si>
  <si>
    <t>126178</t>
  </si>
  <si>
    <t>1026138</t>
  </si>
  <si>
    <t>SUZUKI ALTO AGS VXL</t>
  </si>
  <si>
    <t>PODLHR300055601</t>
  </si>
  <si>
    <t>DIB0028446</t>
  </si>
  <si>
    <t>22-JUL-2020</t>
  </si>
  <si>
    <t>9976AP2231950004</t>
  </si>
  <si>
    <t>SYED SUFIYAN</t>
  </si>
  <si>
    <t>42101-8063901-5</t>
  </si>
  <si>
    <t>03182732662</t>
  </si>
  <si>
    <t xml:space="preserve">FLAT NO B-115 MARIA APARTMENT BLOCK 1 GATE 2 NEAR ZAIN IMAM BARGA NORTH NAZIMABAD,KARACHI PAKISTAN </t>
  </si>
  <si>
    <t>2524/02023/00056/07/2020</t>
  </si>
  <si>
    <t>6R110019</t>
  </si>
  <si>
    <t>1009984</t>
  </si>
  <si>
    <t>BTT-622</t>
  </si>
  <si>
    <t>OLUKHI300095333</t>
  </si>
  <si>
    <t>10344/07/2023/ITFM</t>
  </si>
  <si>
    <t>9976AP2192040002</t>
  </si>
  <si>
    <t>BAHAR ALI HAIDER</t>
  </si>
  <si>
    <t>35202-2974307-5</t>
  </si>
  <si>
    <t>0322-4007361</t>
  </si>
  <si>
    <t>03219530197</t>
  </si>
  <si>
    <t xml:space="preserve">HOUSE # 298 SECTOR A-1 TOWNSHIP LAHORE PK </t>
  </si>
  <si>
    <t>PL-0721-1101010102-V14-D-00295</t>
  </si>
  <si>
    <t>PK10B140763</t>
  </si>
  <si>
    <t>AIJ310PK10040752</t>
  </si>
  <si>
    <t>LEA-17A-7188</t>
  </si>
  <si>
    <t>POULHR300047779</t>
  </si>
  <si>
    <t>DIB0027672</t>
  </si>
  <si>
    <t>23-JUL-2019</t>
  </si>
  <si>
    <t>997APD1202050044</t>
  </si>
  <si>
    <t>WAHAB IJAZ SAHI</t>
  </si>
  <si>
    <t>34104-3787595-3</t>
  </si>
  <si>
    <t>03225561191</t>
  </si>
  <si>
    <t xml:space="preserve">GT ROAD GHAKKHAR NEAR SABZI MANDI GUJRANWALA </t>
  </si>
  <si>
    <t>54913/00013/07/2021</t>
  </si>
  <si>
    <t>2A03366</t>
  </si>
  <si>
    <t>7001579</t>
  </si>
  <si>
    <t>YARIS GLI CVT 1.3</t>
  </si>
  <si>
    <t>PODGWL300055493</t>
  </si>
  <si>
    <t>2719/07/2020/ITFM</t>
  </si>
  <si>
    <t>21-JUL-2020</t>
  </si>
  <si>
    <t>997APD1202030016</t>
  </si>
  <si>
    <t>FAISAL JAVED</t>
  </si>
  <si>
    <t>35102-1864909-3</t>
  </si>
  <si>
    <t>0321-7383589</t>
  </si>
  <si>
    <t>04232560445</t>
  </si>
  <si>
    <t xml:space="preserve">HOUSE NO 4 STREET NO 1 DEFENCE COLO NY KASUR </t>
  </si>
  <si>
    <t>2021-07-205-V01501OP0001639</t>
  </si>
  <si>
    <t>L13Z17524586</t>
  </si>
  <si>
    <t>NFBGM1643JR241707</t>
  </si>
  <si>
    <t>LE-19-1630</t>
  </si>
  <si>
    <t>CITY IVTEC P/T</t>
  </si>
  <si>
    <t>POUKSR300055502</t>
  </si>
  <si>
    <t>2721/07/2020/ITFM</t>
  </si>
  <si>
    <t>997APD2202040020</t>
  </si>
  <si>
    <t>ABDUL MAJEED CHUADHARY</t>
  </si>
  <si>
    <t>37405-9697166-9</t>
  </si>
  <si>
    <t>051-5781257</t>
  </si>
  <si>
    <t>0300-8555655</t>
  </si>
  <si>
    <t>051-5131273</t>
  </si>
  <si>
    <t xml:space="preserve">H# NE-461 DHOKE ELAHI BUKSH UMER ROAD RAWALPINDI </t>
  </si>
  <si>
    <t>2021-07-205-V01501DP0001622</t>
  </si>
  <si>
    <t>204811</t>
  </si>
  <si>
    <t>10104809</t>
  </si>
  <si>
    <t>PODRWP300055361</t>
  </si>
  <si>
    <t>DIB0028436</t>
  </si>
  <si>
    <t>997APD2202030010</t>
  </si>
  <si>
    <t>MUHAMMAD AFZAL SATTAR</t>
  </si>
  <si>
    <t>35202-3232294-1</t>
  </si>
  <si>
    <t>03378655137</t>
  </si>
  <si>
    <t xml:space="preserve">HOUSE NO 1-A STREET NO 8 AFTAAB CHO WK AMIN PARK RAVI ROAD LAHORE </t>
  </si>
  <si>
    <t>2021-07-205-V01501DP0001629</t>
  </si>
  <si>
    <t>R06A-1718877</t>
  </si>
  <si>
    <t>DR17V-109174</t>
  </si>
  <si>
    <t>NISSAN CLIPPER</t>
  </si>
  <si>
    <t>POULHR300055461</t>
  </si>
  <si>
    <t>DIB0028437</t>
  </si>
  <si>
    <t>20-JUL-2020</t>
  </si>
  <si>
    <t>9976AP1172020002</t>
  </si>
  <si>
    <t>WAHEED TAHIR</t>
  </si>
  <si>
    <t>31303-6893372-1</t>
  </si>
  <si>
    <t>03224940377</t>
  </si>
  <si>
    <t>35295395-7</t>
  </si>
  <si>
    <t xml:space="preserve">H# 224 G 4 JOHAR TOWN PK </t>
  </si>
  <si>
    <t>2524/02564/00039/07/2021</t>
  </si>
  <si>
    <t>PKF611483</t>
  </si>
  <si>
    <t>SF410PK518343</t>
  </si>
  <si>
    <t>SUZUKI CULTUS VXR EURO II</t>
  </si>
  <si>
    <t>21-JUL-2017</t>
  </si>
  <si>
    <t>POALHR300023762</t>
  </si>
  <si>
    <t>TDIDIB0020863</t>
  </si>
  <si>
    <t>9976AP2192030002</t>
  </si>
  <si>
    <t>SYED CHAN SHAH</t>
  </si>
  <si>
    <t>37406-9288431-7</t>
  </si>
  <si>
    <t>03005018309</t>
  </si>
  <si>
    <t>03018504919</t>
  </si>
  <si>
    <t xml:space="preserve">H # 682 ST # 32 SECTOR B - 17 GT RO AD ISLAMABAD PK </t>
  </si>
  <si>
    <t>0000000957/0721/109-0</t>
  </si>
  <si>
    <t>01-JUL-2022</t>
  </si>
  <si>
    <t>2952576</t>
  </si>
  <si>
    <t>KR055995</t>
  </si>
  <si>
    <t>CIVIC VTI P/T S/R</t>
  </si>
  <si>
    <t>21-JUL-2019</t>
  </si>
  <si>
    <t>PODRWP300047751</t>
  </si>
  <si>
    <t>DIB0027664</t>
  </si>
  <si>
    <t>20-JUL-2019</t>
  </si>
  <si>
    <t>997AAD1172720008</t>
  </si>
  <si>
    <t>MUHAMMAD IRFAN HAIDER</t>
  </si>
  <si>
    <t>33100-5424059-9</t>
  </si>
  <si>
    <t>03216607554</t>
  </si>
  <si>
    <t>03216607554, 03216607554</t>
  </si>
  <si>
    <t xml:space="preserve">P-406 ST NO 11 MOHALA MUHAMMAD PURA FAISALABAD PK </t>
  </si>
  <si>
    <t>2021-07-205-V01501OP0001627</t>
  </si>
  <si>
    <t>12-JUL-2022</t>
  </si>
  <si>
    <t>Z530447</t>
  </si>
  <si>
    <t>4156336</t>
  </si>
  <si>
    <t>COROLLA GLI</t>
  </si>
  <si>
    <t>FSD300026093</t>
  </si>
  <si>
    <t>15866/07/2018</t>
  </si>
  <si>
    <t>18-JUL-2018</t>
  </si>
  <si>
    <t>2.7%</t>
  </si>
  <si>
    <t>9976AP1192030001</t>
  </si>
  <si>
    <t>RUKKYIA SIDDIQUE MALIK</t>
  </si>
  <si>
    <t>37405-0227661-8</t>
  </si>
  <si>
    <t>03208557128</t>
  </si>
  <si>
    <t>906725114</t>
  </si>
  <si>
    <t xml:space="preserve">H # NE 1521 E/18-B ST # 5/4-B RAJPU T COTTAGE NATIONAL TOWN NEAR NOOR K RAWALPINDI PK </t>
  </si>
  <si>
    <t>2021-07-205-V01501DP0001649</t>
  </si>
  <si>
    <t>750330</t>
  </si>
  <si>
    <t>01288860</t>
  </si>
  <si>
    <t>PODISD300047711</t>
  </si>
  <si>
    <t>DIB0027660</t>
  </si>
  <si>
    <t>19-JUL-2019</t>
  </si>
  <si>
    <t>9976AP2211980007</t>
  </si>
  <si>
    <t>UZMA RANI</t>
  </si>
  <si>
    <t>34603-4890449-6</t>
  </si>
  <si>
    <t>03354360844</t>
  </si>
  <si>
    <t xml:space="preserve">MARALA ROAD MOHALLAH NANDPURA NEAR MAKI MASJID SIALKOT PK </t>
  </si>
  <si>
    <t>54913/00037/07/2021</t>
  </si>
  <si>
    <t>LI3Z175446047</t>
  </si>
  <si>
    <t>2270568</t>
  </si>
  <si>
    <t>HONDA CITY I-VTEC P/T</t>
  </si>
  <si>
    <t>OLDSKT300070808</t>
  </si>
  <si>
    <t>5123/07/2021/ITFM</t>
  </si>
  <si>
    <t>9976AD1211200042</t>
  </si>
  <si>
    <t>KHURRAM RAZA SARWAR</t>
  </si>
  <si>
    <t>35201-1427160-9</t>
  </si>
  <si>
    <t>03236000047</t>
  </si>
  <si>
    <t xml:space="preserve">HOUSE NO: 5, WATEMAN ROAD LARAX COLONY MUGHAL PURA,LAHORE </t>
  </si>
  <si>
    <t>54913/00001/07/2021</t>
  </si>
  <si>
    <t>2A31825</t>
  </si>
  <si>
    <t>NSP150R-7019562</t>
  </si>
  <si>
    <t>03-Aug-2028</t>
  </si>
  <si>
    <t>OLALHR300068498</t>
  </si>
  <si>
    <t>DIB0031037</t>
  </si>
  <si>
    <t>9976AD1211170014</t>
  </si>
  <si>
    <t>RAHEEL ANWAR</t>
  </si>
  <si>
    <t>42201-6461322-3</t>
  </si>
  <si>
    <t>03363248629</t>
  </si>
  <si>
    <t xml:space="preserve">HOUSE NO 743 NEAR FAROOQI MASJID, SAUDABAD NEAR MODEL COLONY KARACHI. 03363248629 </t>
  </si>
  <si>
    <t>T002/000000946/0621/109-0</t>
  </si>
  <si>
    <t>22-JUN-222</t>
  </si>
  <si>
    <t>2A31998</t>
  </si>
  <si>
    <t>NSP150R-7019648</t>
  </si>
  <si>
    <t>TOYOTA YARIS ATIV</t>
  </si>
  <si>
    <t>OLAKHI30068034</t>
  </si>
  <si>
    <t>DIB0031029</t>
  </si>
  <si>
    <t>997APD1202030014</t>
  </si>
  <si>
    <t>HAFIZ MUHAMMAD SULTAN</t>
  </si>
  <si>
    <t>34201-1910237-3</t>
  </si>
  <si>
    <t>03316233722</t>
  </si>
  <si>
    <t xml:space="preserve">NEAR SHAMA GOODS G.T ROAD MOHALLA BILAL TOWN GUJRAT 0331-6233722 </t>
  </si>
  <si>
    <t>54913/00061/07/2021</t>
  </si>
  <si>
    <t>6911395</t>
  </si>
  <si>
    <t>063028</t>
  </si>
  <si>
    <t>HONDA CIVIC IVTEC</t>
  </si>
  <si>
    <t>PODGJR300055282</t>
  </si>
  <si>
    <t>2707/07/2020/ITFM</t>
  </si>
  <si>
    <t>997APD1202040032</t>
  </si>
  <si>
    <t>AMEER BUX</t>
  </si>
  <si>
    <t>41204-0874437-1</t>
  </si>
  <si>
    <t>03003090832 03000828527</t>
  </si>
  <si>
    <t>03003090832</t>
  </si>
  <si>
    <t xml:space="preserve">HOUSE # C-100 SITE EMPLOYEES COLONY MILL AREA KOTRI PK </t>
  </si>
  <si>
    <t>2021/07/CLFTTPCDP00824</t>
  </si>
  <si>
    <t>059370</t>
  </si>
  <si>
    <t>6036851</t>
  </si>
  <si>
    <t>BQK-451</t>
  </si>
  <si>
    <t>POUKJM300055339</t>
  </si>
  <si>
    <t>DIB0028431</t>
  </si>
  <si>
    <t>997APD1202050038</t>
  </si>
  <si>
    <t>PARAS ALI</t>
  </si>
  <si>
    <t>43203-3074701-9</t>
  </si>
  <si>
    <t>03332633320</t>
  </si>
  <si>
    <t xml:space="preserve">HOUSE # 24 BEHIND ZAMAN B AR GAH DA RYABAD COLONY NENCO LINE NEAR IMAM KOTRI JAMSHORO PK </t>
  </si>
  <si>
    <t>DIB/T/BT/32555/LHR/0721</t>
  </si>
  <si>
    <t>08-JUL-2022</t>
  </si>
  <si>
    <t>L13Z17538449</t>
  </si>
  <si>
    <t>NFBGM1644LR260186</t>
  </si>
  <si>
    <t>HONDA CITY IVTEC P/T</t>
  </si>
  <si>
    <t>PODKJM300055332</t>
  </si>
  <si>
    <t>DIB0028432</t>
  </si>
  <si>
    <t>9976AD2213010001</t>
  </si>
  <si>
    <t>SHEIKH MUHAMMAD ARSLAN ALI</t>
  </si>
  <si>
    <t>33100-8724276-7</t>
  </si>
  <si>
    <t>03004761508</t>
  </si>
  <si>
    <t>03004761508, 03004761508</t>
  </si>
  <si>
    <t xml:space="preserve">H NO P-2 MAIN TOWN ST NO 13 ABC ROA D AFGHANABAD NO 2 FAISALABAD PK </t>
  </si>
  <si>
    <t>DIB/T/BT/32908/KHI/0721</t>
  </si>
  <si>
    <t>26-JUL-2022</t>
  </si>
  <si>
    <t>502364</t>
  </si>
  <si>
    <t>1015821</t>
  </si>
  <si>
    <t>CHANGAN KARWAAN PLUS</t>
  </si>
  <si>
    <t>OLAFSD300076732</t>
  </si>
  <si>
    <t>TDIDIB0030280</t>
  </si>
  <si>
    <t>18-JUL-2022</t>
  </si>
  <si>
    <t>9976AD2220910043</t>
  </si>
  <si>
    <t>MUHAMMAD FAREED</t>
  </si>
  <si>
    <t>42301-4269032-1</t>
  </si>
  <si>
    <t>03249498961</t>
  </si>
  <si>
    <t xml:space="preserve">706 7TH FLOOR AL RAMZAN RIDE GARDEN WEST NEAR JILANI MASJID KARACHI PK </t>
  </si>
  <si>
    <t>54913/00014/07/2021</t>
  </si>
  <si>
    <t>14809914</t>
  </si>
  <si>
    <t>026693</t>
  </si>
  <si>
    <t>HONDA BRV IV TEC</t>
  </si>
  <si>
    <t>OLAKHIAT300086381</t>
  </si>
  <si>
    <t>8031/07/2022/ITFM</t>
  </si>
  <si>
    <t>997APD1202020001</t>
  </si>
  <si>
    <t>RAMEEZ ASHRAF</t>
  </si>
  <si>
    <t>MANDIBAHUDDIN</t>
  </si>
  <si>
    <t>34402-8038788-7</t>
  </si>
  <si>
    <t>03479035451</t>
  </si>
  <si>
    <t xml:space="preserve">HOUSE NO 8/24 NEAR ALI MASJID , LAL AZAR COLONY MANDI BAHAUDDIN </t>
  </si>
  <si>
    <t>2524/02564/00100/07/2021</t>
  </si>
  <si>
    <t>R18Z12914147</t>
  </si>
  <si>
    <t>NFBFC6666HR017452</t>
  </si>
  <si>
    <t>ADV-146</t>
  </si>
  <si>
    <t>CIVIC IVTEC ORIEL P/T</t>
  </si>
  <si>
    <t>POUMNB300055274</t>
  </si>
  <si>
    <t>2704/07/2020/ITFM</t>
  </si>
  <si>
    <t>15-JUL-2020</t>
  </si>
  <si>
    <t>9976AP1221990003</t>
  </si>
  <si>
    <t>SHAKOOR ALI</t>
  </si>
  <si>
    <t>35202-6930236-5</t>
  </si>
  <si>
    <t>03234643171</t>
  </si>
  <si>
    <t xml:space="preserve">HOUSE NO 14 STREET NO 4 PAAM STREET OLD ANARKALI LAHORE PK </t>
  </si>
  <si>
    <t>DIB/T/BT/32913/ISB/0721</t>
  </si>
  <si>
    <t>9792049</t>
  </si>
  <si>
    <t>R234026</t>
  </si>
  <si>
    <t>AKF-875</t>
  </si>
  <si>
    <t>OLULHR300088738</t>
  </si>
  <si>
    <t>8062/07/2022/ITFM</t>
  </si>
  <si>
    <t>16-JUL-2022</t>
  </si>
  <si>
    <t>997APD1202020004</t>
  </si>
  <si>
    <t>MUHAMMAD SHAH SHAMAS</t>
  </si>
  <si>
    <t>61101-7580766-7</t>
  </si>
  <si>
    <t>03335443399</t>
  </si>
  <si>
    <t>051287863</t>
  </si>
  <si>
    <t xml:space="preserve">H # 335 RAVI ROAD SECTOR # G-8/2 ISLAMABAD PK </t>
  </si>
  <si>
    <t>54913/00033/07/2021</t>
  </si>
  <si>
    <t>7539282</t>
  </si>
  <si>
    <t>LR261393</t>
  </si>
  <si>
    <t>PODISD300055252</t>
  </si>
  <si>
    <t>DIB0028414</t>
  </si>
  <si>
    <t>9976AP2221990001</t>
  </si>
  <si>
    <t>GHAZIA ZAHID</t>
  </si>
  <si>
    <t>32203-0947904-4</t>
  </si>
  <si>
    <t>03315483827</t>
  </si>
  <si>
    <t>04237228635</t>
  </si>
  <si>
    <t xml:space="preserve">H NO 9 ST NO 12 JAIL ROAD STREET HA FIZ CAR AC NEAR CHASHNI SWEET LAHORE PK </t>
  </si>
  <si>
    <t>DIB/T/BT/32602/KHI/0721</t>
  </si>
  <si>
    <t>668568</t>
  </si>
  <si>
    <t>01210533</t>
  </si>
  <si>
    <t>MN-17-661</t>
  </si>
  <si>
    <t>SUZUKI MEHRAN VXR EUR-II</t>
  </si>
  <si>
    <t>OLULHR300088735</t>
  </si>
  <si>
    <t>8063/07/2022/ITFM</t>
  </si>
  <si>
    <t>9976AP1221960002</t>
  </si>
  <si>
    <t>YAR MUHAMMAD</t>
  </si>
  <si>
    <t>42301-0857911-1</t>
  </si>
  <si>
    <t>03213258560</t>
  </si>
  <si>
    <t xml:space="preserve">MALIK NAZAKAT AND CO PLOT # 455 STREET # 03 GATE # 03 TRUCK STAND HAWKSBAY ROAD KARACHI </t>
  </si>
  <si>
    <t>DIB/T/BT/32567/LHR/0721</t>
  </si>
  <si>
    <t>0693661</t>
  </si>
  <si>
    <t>5537061</t>
  </si>
  <si>
    <t>KY-3045</t>
  </si>
  <si>
    <t>TOYOTA HILUX REVO G DC A/T 4X4</t>
  </si>
  <si>
    <t>OLUKHI300088740</t>
  </si>
  <si>
    <t>8056/07/2022/ITFM</t>
  </si>
  <si>
    <t>9976AP1222090007</t>
  </si>
  <si>
    <t>SYED ZOHAIB ANJUM ZAIDI</t>
  </si>
  <si>
    <t>42201-6657164-1</t>
  </si>
  <si>
    <t>03332168892</t>
  </si>
  <si>
    <t>35301343</t>
  </si>
  <si>
    <t xml:space="preserve">SUITE NO 104,105,106 FORAM 1ST FLORE HASCOL PETROLEUM KHYABAN -E- JHANGAIR CLIFTON KARACHI PAKISTAN </t>
  </si>
  <si>
    <t>DIB/T/BT/32568/LHR/0721</t>
  </si>
  <si>
    <t>NP020833</t>
  </si>
  <si>
    <t>KP710017</t>
  </si>
  <si>
    <t>BWY-128</t>
  </si>
  <si>
    <t>KIA PICANTO 1.0</t>
  </si>
  <si>
    <t>OLUKHI300088753</t>
  </si>
  <si>
    <t>DIB0034642</t>
  </si>
  <si>
    <t>19-JUL-2022</t>
  </si>
  <si>
    <t>997APD2202030003</t>
  </si>
  <si>
    <t>SYEDA SAMAN ZAHRA RIZVI</t>
  </si>
  <si>
    <t>35201-9488957-8</t>
  </si>
  <si>
    <t>03364686391</t>
  </si>
  <si>
    <t>99262177</t>
  </si>
  <si>
    <t xml:space="preserve">HOUSE NO 227 BLOCK H-4 PHASE 1 WAPD A TOWN LAHORE </t>
  </si>
  <si>
    <t>0000000960/0721/109-0</t>
  </si>
  <si>
    <t>Z497350</t>
  </si>
  <si>
    <t>NZE170R4123615</t>
  </si>
  <si>
    <t>LEA-18-3569</t>
  </si>
  <si>
    <t>POULHR300055371</t>
  </si>
  <si>
    <t>DIB0028430</t>
  </si>
  <si>
    <t>997APD1202020006</t>
  </si>
  <si>
    <t>AMEER ASIM KHAN</t>
  </si>
  <si>
    <t>37405-6838998-1</t>
  </si>
  <si>
    <t>03335240000</t>
  </si>
  <si>
    <t xml:space="preserve">H # KH-355 ST # 8-A SHALLEY VELLY R ANGE ROAD NEAR MOON PLAZA RAWALPINDI PK </t>
  </si>
  <si>
    <t>2021/07/CLFTTPCDP00837</t>
  </si>
  <si>
    <t>137432</t>
  </si>
  <si>
    <t>1037409</t>
  </si>
  <si>
    <t>ALTO VXR EURO-II</t>
  </si>
  <si>
    <t>PODRWP300055322</t>
  </si>
  <si>
    <t>DIB0028423</t>
  </si>
  <si>
    <t>16-JUL-2020</t>
  </si>
  <si>
    <t>997APD1202040029</t>
  </si>
  <si>
    <t>MUZZAMIL SHAMIM</t>
  </si>
  <si>
    <t>42201-9422637-5</t>
  </si>
  <si>
    <t>03212654492</t>
  </si>
  <si>
    <t xml:space="preserve">HOUSE # C- 13 BLOCK 2 ADMINISTRATIO N SOCIETY BALOCH COLONY NOOR MASJID KARACHI PK </t>
  </si>
  <si>
    <t>DIB/T/32525/LHR/0621</t>
  </si>
  <si>
    <t>256635</t>
  </si>
  <si>
    <t>0175472</t>
  </si>
  <si>
    <t>CX-9409</t>
  </si>
  <si>
    <t>DAIHATSU HIJET</t>
  </si>
  <si>
    <t>POUKHI300055382</t>
  </si>
  <si>
    <t>DIB0028433</t>
  </si>
  <si>
    <t>997APD1182000008</t>
  </si>
  <si>
    <t>NUSRAT IQBAL</t>
  </si>
  <si>
    <t>37201-1832700-5</t>
  </si>
  <si>
    <t>03343131496</t>
  </si>
  <si>
    <t xml:space="preserve">HOUSE NO 31 ST 5A SHAH KHALID COLONY RAWALPINDI PAKISTAN </t>
  </si>
  <si>
    <t>DIB/T/32540/LHR/0721</t>
  </si>
  <si>
    <t>981670</t>
  </si>
  <si>
    <t>1098160</t>
  </si>
  <si>
    <t>21-JUL-2018</t>
  </si>
  <si>
    <t>PODRWP300036017</t>
  </si>
  <si>
    <t>FSPT</t>
  </si>
  <si>
    <t>15882/07/2018/SPD</t>
  </si>
  <si>
    <t>17-JUL-2018</t>
  </si>
  <si>
    <t>9976AP2211980012</t>
  </si>
  <si>
    <t>NOMAN AHMED KHAN</t>
  </si>
  <si>
    <t>42101-4221416-9</t>
  </si>
  <si>
    <t>03342057068</t>
  </si>
  <si>
    <t>02134662861</t>
  </si>
  <si>
    <t xml:space="preserve">HOUSE R- 2352 BLOCK 2 SCHEEM 33 MET ROVILE 3 GULZAR--E HIJRI KARACHI PK </t>
  </si>
  <si>
    <t>DIB/T/BT/32926/KHI/0721</t>
  </si>
  <si>
    <t>J199157</t>
  </si>
  <si>
    <t>1302737</t>
  </si>
  <si>
    <t>BKQ-274</t>
  </si>
  <si>
    <t>MIRA</t>
  </si>
  <si>
    <t>OLUKHI300070870</t>
  </si>
  <si>
    <t>DIB0031062</t>
  </si>
  <si>
    <t>17-JUL-2021</t>
  </si>
  <si>
    <t>997AAD2200600005</t>
  </si>
  <si>
    <t>SAID NAWAB</t>
  </si>
  <si>
    <t>21202-7187266-5</t>
  </si>
  <si>
    <t>03113333332</t>
  </si>
  <si>
    <t>0213475455</t>
  </si>
  <si>
    <t xml:space="preserve">FLAT # 5/7A, COMM # 2/2, 3/2 SAHIL APPARTMENT CLIFTON BLOCK-3 NEAR BIL, KARACHI PK </t>
  </si>
  <si>
    <t>54913/00005/07/2021</t>
  </si>
  <si>
    <t>159608</t>
  </si>
  <si>
    <t>10059590</t>
  </si>
  <si>
    <t>POAKHI300053493</t>
  </si>
  <si>
    <t>2683/07/2020/ITFM</t>
  </si>
  <si>
    <t>9976AP2191980004</t>
  </si>
  <si>
    <t>UBAID UR REHMAN</t>
  </si>
  <si>
    <t>37405-0684524-3</t>
  </si>
  <si>
    <t>03345464296</t>
  </si>
  <si>
    <t xml:space="preserve">H # 66 SIR SYED STREET NATIONAL HOU SING SCHEME # 01 ADYALA ROAD RAWALPINDI PK </t>
  </si>
  <si>
    <t>DIB/T/BT/32927/KHI/0721</t>
  </si>
  <si>
    <t>966844</t>
  </si>
  <si>
    <t>525107</t>
  </si>
  <si>
    <t>SUZUKI WAGONR IMPORTED</t>
  </si>
  <si>
    <t>POURWP300047641</t>
  </si>
  <si>
    <t>DIB0027647</t>
  </si>
  <si>
    <t>17-JUL-2019</t>
  </si>
  <si>
    <t>9976AP2192000001</t>
  </si>
  <si>
    <t>AZHAR ALI</t>
  </si>
  <si>
    <t>33100-4808845-3</t>
  </si>
  <si>
    <t>03055006279</t>
  </si>
  <si>
    <t>0514571819</t>
  </si>
  <si>
    <t xml:space="preserve">H # E-110 SAIDPUR SCHEME # 02 NEW C OMMERCE COLLEGE NEW PHAGWARI RAWALPINDI PK </t>
  </si>
  <si>
    <t>DIB/T/BT/32910/KHI/0721</t>
  </si>
  <si>
    <t>198369</t>
  </si>
  <si>
    <t>10098356</t>
  </si>
  <si>
    <t>PODRWP300047574</t>
  </si>
  <si>
    <t>1496/07/2019/ITFM</t>
  </si>
  <si>
    <t>997AAD1201670016</t>
  </si>
  <si>
    <t>IQRA JAVEED</t>
  </si>
  <si>
    <t>Multan</t>
  </si>
  <si>
    <t>36302-6871599-6</t>
  </si>
  <si>
    <t>03005770404, 061-6538900</t>
  </si>
  <si>
    <t>03005770404</t>
  </si>
  <si>
    <t xml:space="preserve">FAHAD VILLAS TOUNSA ROAD STREET NO 6 NEW GARDEN TOWN MULTAN PK </t>
  </si>
  <si>
    <t>2524/02023/00072/07/2020</t>
  </si>
  <si>
    <t>G3LALP044411</t>
  </si>
  <si>
    <t>NNATA52AZKP701954</t>
  </si>
  <si>
    <t>POAMUX300054262</t>
  </si>
  <si>
    <t>17200/07/2020</t>
  </si>
  <si>
    <t>9976AP2191970001</t>
  </si>
  <si>
    <t>TAHIR ABBAS</t>
  </si>
  <si>
    <t>35201-4234740-1</t>
  </si>
  <si>
    <t>03074243355</t>
  </si>
  <si>
    <t>0512609264</t>
  </si>
  <si>
    <t xml:space="preserve">FLAT # 506 - A ABU DHABI TOWER F - 11 MARKAZ ISLAMABAD PK </t>
  </si>
  <si>
    <t>52456/00173/07/2020</t>
  </si>
  <si>
    <t>Z562056</t>
  </si>
  <si>
    <t>4187549</t>
  </si>
  <si>
    <t>PODISD300047602</t>
  </si>
  <si>
    <t>1494/07/2019/ITFM</t>
  </si>
  <si>
    <t>997APD2201990001</t>
  </si>
  <si>
    <t>UMM E JAVERIA</t>
  </si>
  <si>
    <t>42201-1515097-4</t>
  </si>
  <si>
    <t>34012095</t>
  </si>
  <si>
    <t>03343711654, 03343711654</t>
  </si>
  <si>
    <t>03343711654</t>
  </si>
  <si>
    <t xml:space="preserve">HOUSE # N-162 BLOCK-12 GULISTAN-E-J OHAR NEAR RADO BAKERY KARACHI PK </t>
  </si>
  <si>
    <t>DIB/T/BT/28174/ISB/0720</t>
  </si>
  <si>
    <t>449930</t>
  </si>
  <si>
    <t>LA300S-1409821</t>
  </si>
  <si>
    <t>EIS MIRA</t>
  </si>
  <si>
    <t>POUKHI300055303</t>
  </si>
  <si>
    <t>2702/07/2020</t>
  </si>
  <si>
    <t>997APD1201970011</t>
  </si>
  <si>
    <t>MUHAMMAD AWAIS MALIK</t>
  </si>
  <si>
    <t>37405-9031086-9</t>
  </si>
  <si>
    <t>03451555585</t>
  </si>
  <si>
    <t xml:space="preserve">AM COMMUNICATION SHOP 25-A GROUND FLOOR DUBIA PLAZA 6TH ROAD RAWALPINDI </t>
  </si>
  <si>
    <t>2524/02023/00042/07/2020</t>
  </si>
  <si>
    <t>159821</t>
  </si>
  <si>
    <t>10059839</t>
  </si>
  <si>
    <t>CULTUS VXR EUROII</t>
  </si>
  <si>
    <t>PODRWP300055216</t>
  </si>
  <si>
    <t>DIB0028395</t>
  </si>
  <si>
    <t>13-JUL-2020</t>
  </si>
  <si>
    <t>997APD1201970014</t>
  </si>
  <si>
    <t>ASIA SHAD</t>
  </si>
  <si>
    <t>35201-2799254-4</t>
  </si>
  <si>
    <t>03216912637</t>
  </si>
  <si>
    <t xml:space="preserve">HOUSE NO E-24-12/1 MADNI STREET MOH ALLAH FIRDOUS PARK NEAR TELEPHONE E LAHORE PK </t>
  </si>
  <si>
    <t>2524/02023/00044/07/2020</t>
  </si>
  <si>
    <t>137425</t>
  </si>
  <si>
    <t>1037400</t>
  </si>
  <si>
    <t>PODLHR300055238</t>
  </si>
  <si>
    <t>DIB0028406</t>
  </si>
  <si>
    <t>997APD1201960008</t>
  </si>
  <si>
    <t>SIKANDAR AZAM</t>
  </si>
  <si>
    <t>34101-9408002-7</t>
  </si>
  <si>
    <t>03224572595</t>
  </si>
  <si>
    <t xml:space="preserve">HAFIZ ABAD ROAD, GALI MUHAMMAD ALI WALI, STREET NO 2 MOHALLAH CHAH SAR AFAN GUJRANWALA </t>
  </si>
  <si>
    <t>52456/00061/07/2020</t>
  </si>
  <si>
    <t>G3LAKP169186</t>
  </si>
  <si>
    <t>NNATA52AXKP500454</t>
  </si>
  <si>
    <t>KIA PICANTO 1.0 L M/T</t>
  </si>
  <si>
    <t>PODGWL300055192</t>
  </si>
  <si>
    <t>2687/07/2020/ITFM</t>
  </si>
  <si>
    <t>09-JUL-2020</t>
  </si>
  <si>
    <t>997APD2201970017</t>
  </si>
  <si>
    <t>TALAL AHMAD</t>
  </si>
  <si>
    <t>35202-4544176-1</t>
  </si>
  <si>
    <t>04235320182</t>
  </si>
  <si>
    <t>03214261278</t>
  </si>
  <si>
    <t>37242482</t>
  </si>
  <si>
    <t xml:space="preserve">HOUSE NO 16 A GOLF LANE GOR 1 LAHORE </t>
  </si>
  <si>
    <t>2524/02023/00023/07/2020</t>
  </si>
  <si>
    <t>20-JUL-2021</t>
  </si>
  <si>
    <t>06AA815497</t>
  </si>
  <si>
    <t>MH34S414833</t>
  </si>
  <si>
    <t>LEF-18-5451</t>
  </si>
  <si>
    <t>WAGON R</t>
  </si>
  <si>
    <t>POULHR300055230</t>
  </si>
  <si>
    <t>DIB0028396</t>
  </si>
  <si>
    <t>9976AD1211720007</t>
  </si>
  <si>
    <t>KASHIF SALEEM</t>
  </si>
  <si>
    <t>42201-6513108-7</t>
  </si>
  <si>
    <t>03002425249</t>
  </si>
  <si>
    <t xml:space="preserve">KAIN MEDICAL 136/C BLOCK NO II PECHS C C AREA KARACHI </t>
  </si>
  <si>
    <t>54913/00018/07/2021</t>
  </si>
  <si>
    <t>311138</t>
  </si>
  <si>
    <t>512785</t>
  </si>
  <si>
    <t>SPORTAGE AWD</t>
  </si>
  <si>
    <t>OLAKHI300069641</t>
  </si>
  <si>
    <t>1%</t>
  </si>
  <si>
    <t>9976AP2212000003</t>
  </si>
  <si>
    <t>WALLYAT ALI</t>
  </si>
  <si>
    <t>35202-2258587-3</t>
  </si>
  <si>
    <t>042-5145291 / 0300-4125535</t>
  </si>
  <si>
    <t>0345-4577779</t>
  </si>
  <si>
    <t>042-35125264</t>
  </si>
  <si>
    <t xml:space="preserve">254 -16-B-1 COLLEGE ROAD ASLAM CHOWK TOWNSHIP LAHORE 0300-4125535 042-5145291 LAHORE </t>
  </si>
  <si>
    <t>G4NALH340087</t>
  </si>
  <si>
    <t>NNAQL51AZKP507992</t>
  </si>
  <si>
    <t>OLDLHR300070951</t>
  </si>
  <si>
    <t>5130/07/2021</t>
  </si>
  <si>
    <t>997APD1201970018</t>
  </si>
  <si>
    <t>TANVEER HUSSAIN</t>
  </si>
  <si>
    <t>42201-9839780-9</t>
  </si>
  <si>
    <t>03332903707</t>
  </si>
  <si>
    <t xml:space="preserve">B/153 BLOCK 2 SAADI TOWN SCHEM 36 KARACHI </t>
  </si>
  <si>
    <t>DIB/T/BT/27907/LHR/0720</t>
  </si>
  <si>
    <t>PKF619399</t>
  </si>
  <si>
    <t>PK526254</t>
  </si>
  <si>
    <t>BFF-643</t>
  </si>
  <si>
    <t>CULTUS VXL</t>
  </si>
  <si>
    <t>POUKHI300055234</t>
  </si>
  <si>
    <t>2697/07/2020</t>
  </si>
  <si>
    <t>997APD2201950005</t>
  </si>
  <si>
    <t>MIAN MUHAMMAD AWAIS SHAHID</t>
  </si>
  <si>
    <t>42501-2184166-9</t>
  </si>
  <si>
    <t>02134710912</t>
  </si>
  <si>
    <t>03312009570, 03364057797</t>
  </si>
  <si>
    <t>02134710911</t>
  </si>
  <si>
    <t xml:space="preserve">HOUSE # A-683 GULSHAN-E-HADEED PHAS E 2 NEAR L-7 MARKET KARACHI </t>
  </si>
  <si>
    <t>52456/00006/07/2020</t>
  </si>
  <si>
    <t>R18Z16910992</t>
  </si>
  <si>
    <t>NFBFC6667LR062621</t>
  </si>
  <si>
    <t>HONDA CIVIC ORIEL VTI P/T</t>
  </si>
  <si>
    <t>11-JUL-2020</t>
  </si>
  <si>
    <t>PODKHI300055202</t>
  </si>
  <si>
    <t>2694/07/2020/ITFM</t>
  </si>
  <si>
    <t>10-JUL-2020</t>
  </si>
  <si>
    <t>997APD1201970013</t>
  </si>
  <si>
    <t>AZMAT MAJEED</t>
  </si>
  <si>
    <t>33104-4024222-4</t>
  </si>
  <si>
    <t>03023321598</t>
  </si>
  <si>
    <t>03023321598, 03023321598</t>
  </si>
  <si>
    <t>03023321498</t>
  </si>
  <si>
    <t xml:space="preserve">H NO P-90-E PMC STAFF COLONY DAEWOO ROAD FAISALABAD PK </t>
  </si>
  <si>
    <t>2524/02023/00002/07/2020</t>
  </si>
  <si>
    <t>159901</t>
  </si>
  <si>
    <t>10059896</t>
  </si>
  <si>
    <t>PODFSD300055223</t>
  </si>
  <si>
    <t>DIB0028394</t>
  </si>
  <si>
    <t>997APD2201950008</t>
  </si>
  <si>
    <t>YASMEEN ZEHRA</t>
  </si>
  <si>
    <t>42201-3416425-6</t>
  </si>
  <si>
    <t>02134969889</t>
  </si>
  <si>
    <t>03122696646</t>
  </si>
  <si>
    <t xml:space="preserve">FLAT # F-12 SULEMAN PLAZA 2ND FLOOR GULSHAN E IQBAL BLOCK 10 RASHID MI KARACHI PK </t>
  </si>
  <si>
    <t>DIB/T//BT/27904/LHR/0720</t>
  </si>
  <si>
    <t>159691</t>
  </si>
  <si>
    <t>10059776</t>
  </si>
  <si>
    <t>SUZUKI CULTUS VXR</t>
  </si>
  <si>
    <t>PODKHI300055195</t>
  </si>
  <si>
    <t>DIB0028392</t>
  </si>
  <si>
    <t>997AAD2201820012</t>
  </si>
  <si>
    <t>MUHAMMAD FAROOQ</t>
  </si>
  <si>
    <t>33106-8854317-7</t>
  </si>
  <si>
    <t>03337297861</t>
  </si>
  <si>
    <t>03337297861, 03337297861</t>
  </si>
  <si>
    <t>0418721598</t>
  </si>
  <si>
    <t xml:space="preserve">H NO 214 ST NO 06 GARDENS COLONY SA TYANA ROAD FSD NEAR A PLUS ACADEMY FAISALABAD PK </t>
  </si>
  <si>
    <t>2524/00891/00118/07/2018</t>
  </si>
  <si>
    <t>L13Z17538699</t>
  </si>
  <si>
    <t>NFBGM1641LR260467</t>
  </si>
  <si>
    <t>CITY I-VTEC A/T</t>
  </si>
  <si>
    <t>POAFSD300054993</t>
  </si>
  <si>
    <t>DIB0028383</t>
  </si>
  <si>
    <t>997AAD1200510002</t>
  </si>
  <si>
    <t>WASEEM AHMAD</t>
  </si>
  <si>
    <t>35201-5697840-3</t>
  </si>
  <si>
    <t>0301-4469447</t>
  </si>
  <si>
    <t>042-36112044</t>
  </si>
  <si>
    <t xml:space="preserve">N.M GLASS AIRPORT NEAR TOTAL PUMP LINK MAJ. MUSTAFA SHAHEED ROAD LAHORE. CANTT LAHORE </t>
  </si>
  <si>
    <t>2524/00891/00109/07/2018</t>
  </si>
  <si>
    <t>159536</t>
  </si>
  <si>
    <t>10059523</t>
  </si>
  <si>
    <t>CULTUS VXL AGS EURO-II</t>
  </si>
  <si>
    <t>POALHR300053280</t>
  </si>
  <si>
    <t>2686/07/2020/ITFM</t>
  </si>
  <si>
    <t>997AAD1200430002</t>
  </si>
  <si>
    <t>RIZWANA</t>
  </si>
  <si>
    <t>35201-1167934-4</t>
  </si>
  <si>
    <t>0308-7022285</t>
  </si>
  <si>
    <t>37176004-9</t>
  </si>
  <si>
    <t xml:space="preserve">HOUSE 225/1, BLOCK N , DHA PHASE 1 , LAHORE CANTT PAKISTAN 0308702285 </t>
  </si>
  <si>
    <t>52456/00178/07/2020</t>
  </si>
  <si>
    <t>159482</t>
  </si>
  <si>
    <t>10059486</t>
  </si>
  <si>
    <t>POALHR300053222</t>
  </si>
  <si>
    <t>DIB0028384</t>
  </si>
  <si>
    <t>9976AP1191910003</t>
  </si>
  <si>
    <t>ABDUL GHANI</t>
  </si>
  <si>
    <t>42301-8521786-5</t>
  </si>
  <si>
    <t>03009285303</t>
  </si>
  <si>
    <t>03462434370</t>
  </si>
  <si>
    <t xml:space="preserve">FLAT NO D/17 SANA GARDEN GHULAM HUS SAIN QASIM ROAD GARDEN WEST NEAR B AGHE HALAR HALL KARACHI </t>
  </si>
  <si>
    <t>3B20171960</t>
  </si>
  <si>
    <t>BS17-0220277</t>
  </si>
  <si>
    <t>DAYZ</t>
  </si>
  <si>
    <t>11-JUL-2019</t>
  </si>
  <si>
    <t>POUKHI300047444</t>
  </si>
  <si>
    <t>DIB0027623</t>
  </si>
  <si>
    <t>10-JUL-2019</t>
  </si>
  <si>
    <t>997APD1201950005</t>
  </si>
  <si>
    <t>ASHFAQ AHMED</t>
  </si>
  <si>
    <t>42401-7677582-5</t>
  </si>
  <si>
    <t>02136721190</t>
  </si>
  <si>
    <t>03008248494</t>
  </si>
  <si>
    <t>36347008</t>
  </si>
  <si>
    <t xml:space="preserve">H NO C-174 BLOCK I NORTH NAZIMABAD KARACHI </t>
  </si>
  <si>
    <t>DIB/T/BT/24936/KHI/0719</t>
  </si>
  <si>
    <t>3SZ-3110028</t>
  </si>
  <si>
    <t>J200E-2003894</t>
  </si>
  <si>
    <t>BG-9964</t>
  </si>
  <si>
    <t>TOYOTA RUSH</t>
  </si>
  <si>
    <t>POUKHI300055072</t>
  </si>
  <si>
    <t>DIB0028382</t>
  </si>
  <si>
    <t>997APD1201920007</t>
  </si>
  <si>
    <t>MUHAMMAD ALMAS GULL</t>
  </si>
  <si>
    <t>33102-5603394-5</t>
  </si>
  <si>
    <t>03217641832</t>
  </si>
  <si>
    <t>03217641832, 03217641832</t>
  </si>
  <si>
    <t xml:space="preserve">H NO P-166-B ISMAIL VALLEY ISMAIL R OAD FAISALABAD PK </t>
  </si>
  <si>
    <t>2524/00077/00098/07/2016</t>
  </si>
  <si>
    <t>29-JUL-2017</t>
  </si>
  <si>
    <t>201572</t>
  </si>
  <si>
    <t>10101557</t>
  </si>
  <si>
    <t>PODFSD300055125</t>
  </si>
  <si>
    <t>DIB0028377</t>
  </si>
  <si>
    <t>997APD1201910005</t>
  </si>
  <si>
    <t>MUHAMMAD IRFAN AHMED</t>
  </si>
  <si>
    <t>34101-2458262-1</t>
  </si>
  <si>
    <t>03228564610</t>
  </si>
  <si>
    <t xml:space="preserve">SUPERIOR IMPEX (PVT) LIMITED B 3 1ST FLOOR TRUST PLAZA GT ROAD GUJRANWALA </t>
  </si>
  <si>
    <t>50866/00059/07/2019</t>
  </si>
  <si>
    <t>202731</t>
  </si>
  <si>
    <t>10102720</t>
  </si>
  <si>
    <t>PODGWL300054921</t>
  </si>
  <si>
    <t>DIB0028376</t>
  </si>
  <si>
    <t>997APD2201900002</t>
  </si>
  <si>
    <t>NAVEED KHAN</t>
  </si>
  <si>
    <t>42301-6503722-1</t>
  </si>
  <si>
    <t>0333542784</t>
  </si>
  <si>
    <t>03333542784</t>
  </si>
  <si>
    <t xml:space="preserve">FLAT # E-12 2nd FLOOR FAHAD GARDEN GULSHAN E IQBAL BLOCK # 13-E NEAR M ASJID E AQSA KARACHI </t>
  </si>
  <si>
    <t>DIB/T/BT/24745/LHR/0719</t>
  </si>
  <si>
    <t>1NZ-7644478</t>
  </si>
  <si>
    <t>NHP10-6439684</t>
  </si>
  <si>
    <t>POUKHI300055071</t>
  </si>
  <si>
    <t>DIB0028374</t>
  </si>
  <si>
    <t>9976AD2181060001</t>
  </si>
  <si>
    <t>HARIS AHMED TARIQ</t>
  </si>
  <si>
    <t>42201-1264067-5</t>
  </si>
  <si>
    <t>03333063383</t>
  </si>
  <si>
    <t>02135660062</t>
  </si>
  <si>
    <t xml:space="preserve">B-189 BLACK 2 GULISTAN-E-JOHAR NEAR SHADI QILA OPP SHIAKH ZAID KHI UNI KARACHI PK </t>
  </si>
  <si>
    <t>04/P/079/0000389/-/07/2017</t>
  </si>
  <si>
    <t>24-JUL-2018</t>
  </si>
  <si>
    <t>17514236</t>
  </si>
  <si>
    <t>JR228512</t>
  </si>
  <si>
    <t>CITY I-VTEC M/T</t>
  </si>
  <si>
    <t>POAKHI300033096</t>
  </si>
  <si>
    <t>DIB0025288</t>
  </si>
  <si>
    <t>03-JUL-2018</t>
  </si>
  <si>
    <t>9976AP2212120045</t>
  </si>
  <si>
    <t>KHALID FAROOQI</t>
  </si>
  <si>
    <t>42101-8994012-9</t>
  </si>
  <si>
    <t>03337727768</t>
  </si>
  <si>
    <t xml:space="preserve">HOUSE # 17/8 BLOCK 5-C NAZIMABAD KARACHI PK </t>
  </si>
  <si>
    <t>2023/07/HOTVPCTDP02238</t>
  </si>
  <si>
    <t>HH301041</t>
  </si>
  <si>
    <t>LFPAHFMVM18000992</t>
  </si>
  <si>
    <t>BLS-751</t>
  </si>
  <si>
    <t>FAW V 2</t>
  </si>
  <si>
    <t>OLUKHI300071548</t>
  </si>
  <si>
    <t>DIB0031184</t>
  </si>
  <si>
    <t>31-JUL-2021</t>
  </si>
  <si>
    <t>9976AP1232120017</t>
  </si>
  <si>
    <t>ZULIFQAR KHAN</t>
  </si>
  <si>
    <t>33100-1599768-3</t>
  </si>
  <si>
    <t>03017400087</t>
  </si>
  <si>
    <t xml:space="preserve">CHAK NO -87 RAEES ABAD DAKKHANA KHAS DIJKOT FAISALABAD </t>
  </si>
  <si>
    <t>UWT/D/T002/00002143/0723/109-0</t>
  </si>
  <si>
    <t>30-JUL-2024</t>
  </si>
  <si>
    <t>Q338488</t>
  </si>
  <si>
    <t>R-7037603</t>
  </si>
  <si>
    <t>AME-70</t>
  </si>
  <si>
    <t>03-AUG-2023</t>
  </si>
  <si>
    <t>OLUFSD300095923</t>
  </si>
  <si>
    <t>10419/07/2023/ITFM</t>
  </si>
  <si>
    <t>31-JUL-2023</t>
  </si>
  <si>
    <t>9976AP1232120008</t>
  </si>
  <si>
    <t>ABDUL RASHEED CHANDIO</t>
  </si>
  <si>
    <t>45401-3238571-5</t>
  </si>
  <si>
    <t>03158413400</t>
  </si>
  <si>
    <t xml:space="preserve">20 ROW H BLOCK 4 SINDHI JAMAT COPER ATIVE SOCIETY JOGI MOR KE OFFICE KARACHI PK </t>
  </si>
  <si>
    <t>72614/00028/07/2023</t>
  </si>
  <si>
    <t>6R269068</t>
  </si>
  <si>
    <t>H1169076</t>
  </si>
  <si>
    <t>BYF-419</t>
  </si>
  <si>
    <t>OLUKHI300095774</t>
  </si>
  <si>
    <t>10409/07/2023/ITFM</t>
  </si>
  <si>
    <t>9976AP1222000010</t>
  </si>
  <si>
    <t>MUHAMMAD AHMED THANVI</t>
  </si>
  <si>
    <t>42201-2712705-3</t>
  </si>
  <si>
    <t>35249055</t>
  </si>
  <si>
    <t>03009244516</t>
  </si>
  <si>
    <t xml:space="preserve">C 403 CREEK VISTA APPARTMENT DHA PHASE VIII KARACHI </t>
  </si>
  <si>
    <t>2021/07/CLFTTPCDP00843</t>
  </si>
  <si>
    <t>6R191708</t>
  </si>
  <si>
    <t>1091559</t>
  </si>
  <si>
    <t>BUZ-167</t>
  </si>
  <si>
    <t>OLUKHI300088755</t>
  </si>
  <si>
    <t>8077/07/2022/ITFM</t>
  </si>
  <si>
    <t>9976AP1222000009</t>
  </si>
  <si>
    <t>ZEESHAN SAEED</t>
  </si>
  <si>
    <t>42201-9673343-9</t>
  </si>
  <si>
    <t>03009230572</t>
  </si>
  <si>
    <t>02134813091</t>
  </si>
  <si>
    <t xml:space="preserve">HOUSE NO B 114 BLOCK 5 GULSHAN E IQBAL KARACHI </t>
  </si>
  <si>
    <t>01-2107-PO-MTR-PCCM-D-000987</t>
  </si>
  <si>
    <t>14807266</t>
  </si>
  <si>
    <t>023942</t>
  </si>
  <si>
    <t>HONDA BR-V IVTEC</t>
  </si>
  <si>
    <t>OLUKHI300088785</t>
  </si>
  <si>
    <t>8074/07/2022/ITFM</t>
  </si>
  <si>
    <t>9976AP1232120009</t>
  </si>
  <si>
    <t>FARAZ SHARIF</t>
  </si>
  <si>
    <t>42101-0378256-1</t>
  </si>
  <si>
    <t>03312499703</t>
  </si>
  <si>
    <t>03312499703, 03312499703</t>
  </si>
  <si>
    <t xml:space="preserve">HOUSE # 17/9 3-F NAZIMABAD # 3 NEAR GOL MARKET KARACHI CENTRAL NEAR GO KARACHI PK </t>
  </si>
  <si>
    <t>72614/00027/07/2023</t>
  </si>
  <si>
    <t>675384</t>
  </si>
  <si>
    <t>01213892</t>
  </si>
  <si>
    <t>BHP-573</t>
  </si>
  <si>
    <t>OLUKHI300095804</t>
  </si>
  <si>
    <t>10404/07/2023/ITFM</t>
  </si>
  <si>
    <t>9976AP1232120012</t>
  </si>
  <si>
    <t>AMEER AHMED ABBASI</t>
  </si>
  <si>
    <t>42000-0529642-3</t>
  </si>
  <si>
    <t>03336936747</t>
  </si>
  <si>
    <t>02134520105</t>
  </si>
  <si>
    <t xml:space="preserve">808 8 TH FLOOR ANUM ESTATE BALOCH C OLONY SHAHRAH-E- FAISAL KARACHI </t>
  </si>
  <si>
    <t>0723-1101010102-V14-D-00624</t>
  </si>
  <si>
    <t>1007161</t>
  </si>
  <si>
    <t>63500107247</t>
  </si>
  <si>
    <t>BXS-095</t>
  </si>
  <si>
    <t>SUZUKI SWIFT GL CVT</t>
  </si>
  <si>
    <t>OLUKHI300095833</t>
  </si>
  <si>
    <t>10410/07/2023/ITFM</t>
  </si>
  <si>
    <t>9976AD1221520137</t>
  </si>
  <si>
    <t>IQRA SAJID MEHDI</t>
  </si>
  <si>
    <t>37405-1892219-2</t>
  </si>
  <si>
    <t>03218501686</t>
  </si>
  <si>
    <t>0515413021</t>
  </si>
  <si>
    <t xml:space="preserve">WESTMINSTER INTERNATIONAL SCHOOL WALLAYAT COMPLEX PHASE 7 BAHRIA TOWN RAWALPINDI </t>
  </si>
  <si>
    <t>2524/02564/00085/07/2021</t>
  </si>
  <si>
    <t>U7781</t>
  </si>
  <si>
    <t>001545</t>
  </si>
  <si>
    <t>PROTON SAGA A/T AGE</t>
  </si>
  <si>
    <t>OLAISD300087827</t>
  </si>
  <si>
    <t>8072/0/2022/ITFM</t>
  </si>
  <si>
    <t>9976AD2212870012</t>
  </si>
  <si>
    <t>KHAWAJA MUHAMMAD AHSAN</t>
  </si>
  <si>
    <t>33100-8256411-5</t>
  </si>
  <si>
    <t>03127654958</t>
  </si>
  <si>
    <t>03127654958, 03127654958</t>
  </si>
  <si>
    <t xml:space="preserve">P-94 NEAR ISMAIL NARKEZ TARIQ TOWN FSD FAISALABAD PK </t>
  </si>
  <si>
    <t>2021-07-205-V01501DP0001646</t>
  </si>
  <si>
    <t>503318</t>
  </si>
  <si>
    <t>1015455</t>
  </si>
  <si>
    <t>OLAFSD300074972</t>
  </si>
  <si>
    <t>TDIDIB0030281</t>
  </si>
  <si>
    <t>9976AP2232120008</t>
  </si>
  <si>
    <t>HAMID RAZA</t>
  </si>
  <si>
    <t>35103-7393598-5</t>
  </si>
  <si>
    <t>0418731498</t>
  </si>
  <si>
    <t>03007974253</t>
  </si>
  <si>
    <t>0418541116</t>
  </si>
  <si>
    <t xml:space="preserve">HOUSE NO P-684 BHATTI STREET ZEESHAN ROAD KHAYBAN COLONY NO 2 MADINA TOWN FSD </t>
  </si>
  <si>
    <t>DIB/T/42217/LHR/0723</t>
  </si>
  <si>
    <t>25-JUL-2024</t>
  </si>
  <si>
    <t>189712</t>
  </si>
  <si>
    <t>10089708</t>
  </si>
  <si>
    <t>LED-19-6109</t>
  </si>
  <si>
    <t>OLUFSD300095915</t>
  </si>
  <si>
    <t>10417/07/2023/ITFM</t>
  </si>
  <si>
    <t>9976AP1232020023</t>
  </si>
  <si>
    <t>ZUBYIAN</t>
  </si>
  <si>
    <t>33100-5135807-9</t>
  </si>
  <si>
    <t xml:space="preserve">STREET NO 7 MOHALLAH NAWAZ PARK GHULAM MUHAMMADABAD FAISALABAD 0335-7450846 </t>
  </si>
  <si>
    <t>01-2206-PO-MTR-PCCM-D-000777</t>
  </si>
  <si>
    <t>6R154756</t>
  </si>
  <si>
    <t>1054724</t>
  </si>
  <si>
    <t>ACH-467</t>
  </si>
  <si>
    <t>OLUFSD300095416</t>
  </si>
  <si>
    <t>10355/07/2023/ITFM</t>
  </si>
  <si>
    <t>9976AP2232120010</t>
  </si>
  <si>
    <t>SHAHRUKH AHMED KHAN</t>
  </si>
  <si>
    <t>42101-2390487-1</t>
  </si>
  <si>
    <t>03453170131</t>
  </si>
  <si>
    <t xml:space="preserve">1/2 BLOCK 5-D BEHIND MCB BANK KARACHI PK </t>
  </si>
  <si>
    <t>72614/00020/07/2023</t>
  </si>
  <si>
    <t>6R116606</t>
  </si>
  <si>
    <t>H1016593</t>
  </si>
  <si>
    <t>BRU-497</t>
  </si>
  <si>
    <t>OLUKHI300095893</t>
  </si>
  <si>
    <t>10413/07/2023/ITFM</t>
  </si>
  <si>
    <t>9976AP1232120016</t>
  </si>
  <si>
    <t>MUHAMMAD ABDUL SAMI</t>
  </si>
  <si>
    <t>42201-7645230-7</t>
  </si>
  <si>
    <t>03212498266</t>
  </si>
  <si>
    <t xml:space="preserve">43-B BLOCK STREET 47 SAIMA ABRAIN V ILLAS SARJANI TOWN KHI KARACHI PK </t>
  </si>
  <si>
    <t>2023/07/CLFTTPCDP01073</t>
  </si>
  <si>
    <t>24-JUL-2024</t>
  </si>
  <si>
    <t>PKF636818</t>
  </si>
  <si>
    <t>543702</t>
  </si>
  <si>
    <t>BJY-193</t>
  </si>
  <si>
    <t>SUZUKI CULTUS VXR CNG</t>
  </si>
  <si>
    <t>OLUKHI300095913</t>
  </si>
  <si>
    <t>10418/07/2023/ITFM</t>
  </si>
  <si>
    <t>9976AD1211690029</t>
  </si>
  <si>
    <t>TAHIR MAHMOOD KHAN</t>
  </si>
  <si>
    <t>Bahawalpur</t>
  </si>
  <si>
    <t>31202-0641599-3</t>
  </si>
  <si>
    <t>03009684043</t>
  </si>
  <si>
    <t>0629250121</t>
  </si>
  <si>
    <t xml:space="preserve">H NO 9-B ST NO 01 GULSTAN COLONY BE HIND SE COLLEGE BAHAWALPUR PK </t>
  </si>
  <si>
    <t>54913/00025/07/2021</t>
  </si>
  <si>
    <t>2A32251</t>
  </si>
  <si>
    <t>NSP150R-7019596</t>
  </si>
  <si>
    <t>TOYOTA YARIS ATIV MT 1.3</t>
  </si>
  <si>
    <t>OLABHP300059361</t>
  </si>
  <si>
    <t>108548/07/2021</t>
  </si>
  <si>
    <t>9976AP2212120031</t>
  </si>
  <si>
    <t>SYED MUHAMMAD SAQLAIN HAIDER</t>
  </si>
  <si>
    <t>42101-8998428-7</t>
  </si>
  <si>
    <t>03362263662</t>
  </si>
  <si>
    <t>02135862937</t>
  </si>
  <si>
    <t xml:space="preserve">DR ZIA UDDIN HOSPITAL CLIFTON ST 4/ B SHAHRAH-E- GHALIM BLOCK 6 CLIFTON SHIRE JINNAH COLONY KARACHI </t>
  </si>
  <si>
    <t>PL-0723-1101010102-V14-D-00555</t>
  </si>
  <si>
    <t>23-JUL-2024</t>
  </si>
  <si>
    <t>Q340219</t>
  </si>
  <si>
    <t>ZRE172R-7039370</t>
  </si>
  <si>
    <t>BPY-564</t>
  </si>
  <si>
    <t>OLUKHI300071475</t>
  </si>
  <si>
    <t>5227/07/2021</t>
  </si>
  <si>
    <t>9976AP2212120050</t>
  </si>
  <si>
    <t>AZFAR ALI</t>
  </si>
  <si>
    <t>42301-9760592-5</t>
  </si>
  <si>
    <t>35867380 35834735</t>
  </si>
  <si>
    <t>03458293767</t>
  </si>
  <si>
    <t>N/A</t>
  </si>
  <si>
    <t xml:space="preserve">SEA CLIFF APPT 1 A 11 CLIFTON BLK NO 2 KARACHI </t>
  </si>
  <si>
    <t>2023/07/CLFTTPCDP01038</t>
  </si>
  <si>
    <t>20-JUL-2024</t>
  </si>
  <si>
    <t>R18Z12920346</t>
  </si>
  <si>
    <t>NFBFC664HR023721</t>
  </si>
  <si>
    <t>BKL-502</t>
  </si>
  <si>
    <t>OLUKHI300071535</t>
  </si>
  <si>
    <t>5240/07/2021</t>
  </si>
  <si>
    <t>9976AP2212120054</t>
  </si>
  <si>
    <t>UJAILA RAHMAN</t>
  </si>
  <si>
    <t>42201-6533501-8</t>
  </si>
  <si>
    <t>03351251742</t>
  </si>
  <si>
    <t>34549385</t>
  </si>
  <si>
    <t xml:space="preserve">SYSTEMS LTD, 1ST FLOOR PLOT NO. E-5 CENTRAL COMMERCIAL AREA NEAR HBL BANK SHAHEED E MILLAT ROAD BRANCH KARACHI </t>
  </si>
  <si>
    <t>DIB/T/41946/LHR/0723</t>
  </si>
  <si>
    <t>1576247</t>
  </si>
  <si>
    <t>2153344</t>
  </si>
  <si>
    <t>TOYOTA VITZ</t>
  </si>
  <si>
    <t>OLUKHI300071490</t>
  </si>
  <si>
    <t>5238/07/2021</t>
  </si>
  <si>
    <t>9976AP2212120032</t>
  </si>
  <si>
    <t>NASIR AHMED MUMTAZ</t>
  </si>
  <si>
    <t>42101-7272468-7</t>
  </si>
  <si>
    <t>03212721531</t>
  </si>
  <si>
    <t xml:space="preserve">FLAT A-104, ERUM SHOPPING CENTER, SECTOR 15-A/2, BUFFER ZONE KARACHI. 0321-2721531 </t>
  </si>
  <si>
    <t>DIB/T/41952/ISB/0723</t>
  </si>
  <si>
    <t>16-JUL-2024</t>
  </si>
  <si>
    <t>839886</t>
  </si>
  <si>
    <t>0152524</t>
  </si>
  <si>
    <t>OLUKHI300071462</t>
  </si>
  <si>
    <t>5213/07/2021</t>
  </si>
  <si>
    <t>9976AD1211720006</t>
  </si>
  <si>
    <t>AYESHA FAHEEM</t>
  </si>
  <si>
    <t>35202-2272941-4</t>
  </si>
  <si>
    <t>04235925189</t>
  </si>
  <si>
    <t>03214827723</t>
  </si>
  <si>
    <t xml:space="preserve">HOUSE NO I H 307 FALCON COMPLEX P A F GULBERG III LAHORE </t>
  </si>
  <si>
    <t>72614/00001/07/2023</t>
  </si>
  <si>
    <t>04-JUL-2024</t>
  </si>
  <si>
    <t>2A32392</t>
  </si>
  <si>
    <t>7019963</t>
  </si>
  <si>
    <t>YARIS GLI M/T 1.3</t>
  </si>
  <si>
    <t>11-AUG-2021</t>
  </si>
  <si>
    <t>11-Aug-2028</t>
  </si>
  <si>
    <t>OLALHR300069642</t>
  </si>
  <si>
    <t>DIB0031166</t>
  </si>
  <si>
    <t>9976AP1222110040</t>
  </si>
  <si>
    <t>MUHAMMAD KASHIF</t>
  </si>
  <si>
    <t>42201-3161752-7</t>
  </si>
  <si>
    <t>03219204636</t>
  </si>
  <si>
    <t xml:space="preserve">FLAT # C-101 FAIZAN CORNER 1ST FLOO R BLOCK 13-D BLOCK E CIVIC HOMES GU KARACHI PK </t>
  </si>
  <si>
    <t>DIB/T/37998/LHR/0722</t>
  </si>
  <si>
    <t>178672</t>
  </si>
  <si>
    <t>1078669</t>
  </si>
  <si>
    <t>BUH-952</t>
  </si>
  <si>
    <t>OLUKHI300089101</t>
  </si>
  <si>
    <t>8234/07/2022/ITFM</t>
  </si>
  <si>
    <t>9976AP1222110034</t>
  </si>
  <si>
    <t>MUHAMAMD SHAHID SHAFI</t>
  </si>
  <si>
    <t>42201-0855651-9</t>
  </si>
  <si>
    <t>03130208432</t>
  </si>
  <si>
    <t xml:space="preserve">H- B36 JOUHAR 8A RUFI MERY LAND NEA R CANT 6 NO CHECK PORT KARACHI PK </t>
  </si>
  <si>
    <t>62089/00103/07/2022</t>
  </si>
  <si>
    <t>12901504</t>
  </si>
  <si>
    <t>001852</t>
  </si>
  <si>
    <t>BGU-111</t>
  </si>
  <si>
    <t>HONDA CIVIC ORIEL P/T</t>
  </si>
  <si>
    <t>OLUKHI300089082</t>
  </si>
  <si>
    <t>8224/07/2022/ITFM</t>
  </si>
  <si>
    <t>9976AP1222110038</t>
  </si>
  <si>
    <t>SHAHRUKH FAROOQ</t>
  </si>
  <si>
    <t>42401-7014575-1</t>
  </si>
  <si>
    <t>03102645046</t>
  </si>
  <si>
    <t>03102645046, 03212294164</t>
  </si>
  <si>
    <t xml:space="preserve">H/1729/144 GC GUJRAT COLONY BALDIA TOWN 3 NEAR GUJRAT SCHOOL KARACHI PK </t>
  </si>
  <si>
    <t>62089/00099/07/2022</t>
  </si>
  <si>
    <t>3740017</t>
  </si>
  <si>
    <t>114069</t>
  </si>
  <si>
    <t>BAZ-815</t>
  </si>
  <si>
    <t>HONDA CIVIC IVTEC PT</t>
  </si>
  <si>
    <t>OLUKHI300089066</t>
  </si>
  <si>
    <t>8228/07/2022/ITFM</t>
  </si>
  <si>
    <t>9976AP1222110010</t>
  </si>
  <si>
    <t>MUHAMMAD KASHIF BHATTI</t>
  </si>
  <si>
    <t>35201-6760462-7</t>
  </si>
  <si>
    <t>03055651567</t>
  </si>
  <si>
    <t xml:space="preserve">H NO 1 ST NO 9 QUAID E MILAT COLONY KOT LAKHPAT NEW JAIL ROAD LAHORE C LAHORE PK </t>
  </si>
  <si>
    <t>PL-0722-1101010102-V14-D-00663</t>
  </si>
  <si>
    <t>140214</t>
  </si>
  <si>
    <t>1040195</t>
  </si>
  <si>
    <t>AAK-367</t>
  </si>
  <si>
    <t>OLULHR300089062</t>
  </si>
  <si>
    <t>8194/07/2022/ITFM</t>
  </si>
  <si>
    <t>9976AP2222110010</t>
  </si>
  <si>
    <t>MUHAMMAD AZEEM</t>
  </si>
  <si>
    <t>34102-7320992-1</t>
  </si>
  <si>
    <t>03214255184</t>
  </si>
  <si>
    <t xml:space="preserve">IS ENTERPRISES MARKETING AND DISTRIBUTION OFF 218-E BLOCK BASEMENT, NEAR EHSAN MUMTAZ HOSPITAL JOHAR TOWN LHR </t>
  </si>
  <si>
    <t>62089/00092/07/2022</t>
  </si>
  <si>
    <t>79797065</t>
  </si>
  <si>
    <t>KR255833</t>
  </si>
  <si>
    <t>LE-19A-3021</t>
  </si>
  <si>
    <t>OLULHR300089068</t>
  </si>
  <si>
    <t>8213/07/2022/ITFM</t>
  </si>
  <si>
    <t>9976AP1222110015</t>
  </si>
  <si>
    <t>MEMOONA ALI</t>
  </si>
  <si>
    <t>42301-0772782-4</t>
  </si>
  <si>
    <t>03332696247</t>
  </si>
  <si>
    <t>03332696247, 03332696247</t>
  </si>
  <si>
    <t xml:space="preserve">BANGLOW # A/52 GP,KOHSAR HOUSING SO CIETY AIR PORT ROAD LATIFABAD NEAR HYDERABAD PK </t>
  </si>
  <si>
    <t>62089/00090/07/2022</t>
  </si>
  <si>
    <t>168119</t>
  </si>
  <si>
    <t>1068017</t>
  </si>
  <si>
    <t>BTX-417</t>
  </si>
  <si>
    <t>OLUHYD300089058</t>
  </si>
  <si>
    <t>8216/07/2022/ITFM</t>
  </si>
  <si>
    <t>9976AP1222110023</t>
  </si>
  <si>
    <t>ASIA KHAN</t>
  </si>
  <si>
    <t>35202-2115662-2</t>
  </si>
  <si>
    <t>03214013822</t>
  </si>
  <si>
    <t>04235172273-5</t>
  </si>
  <si>
    <t xml:space="preserve">49-CIVIC CENTRE M.A JOHAR TOWN LAHORE </t>
  </si>
  <si>
    <t>2524/0313/00076/07/2022</t>
  </si>
  <si>
    <t>12908005</t>
  </si>
  <si>
    <t>010810</t>
  </si>
  <si>
    <t>LEB-17-8304</t>
  </si>
  <si>
    <t>OLULHR300089087</t>
  </si>
  <si>
    <t>8221/07/2022/ITFM</t>
  </si>
  <si>
    <t>9976AP1222110025</t>
  </si>
  <si>
    <t>MUHAMMAD AHSAN JAVED</t>
  </si>
  <si>
    <t>35201-4270450-5</t>
  </si>
  <si>
    <t>03214702737</t>
  </si>
  <si>
    <t>04235711157</t>
  </si>
  <si>
    <t xml:space="preserve">H NO 12-B EDEN CITY NEAR DHA PHASE 8 AIRPORT ROAD LAHORE PK </t>
  </si>
  <si>
    <t>2524/03131/00077/07/2022</t>
  </si>
  <si>
    <t>813537</t>
  </si>
  <si>
    <t>700256</t>
  </si>
  <si>
    <t>AHG-034</t>
  </si>
  <si>
    <t>KIA STONIC EX</t>
  </si>
  <si>
    <t>OLULHR300089069</t>
  </si>
  <si>
    <t>8118/07/2022/ITFM</t>
  </si>
  <si>
    <t>9976AP2222110019</t>
  </si>
  <si>
    <t>SHAHRUKH SHAKIR</t>
  </si>
  <si>
    <t>42201-6758338-9</t>
  </si>
  <si>
    <t>03323228478</t>
  </si>
  <si>
    <t xml:space="preserve">PLOT 131/3 FLAT 201 BAB-E- USMAN AP P BMCHS BAHADURABAD TOOSO RESTURENT KARACHI PK </t>
  </si>
  <si>
    <t>DIB/T/37991/LHR/0722</t>
  </si>
  <si>
    <t>6R158560</t>
  </si>
  <si>
    <t>1058557</t>
  </si>
  <si>
    <t>BVU-322</t>
  </si>
  <si>
    <t>OLUKHI300089100</t>
  </si>
  <si>
    <t>8235/07/2022/ITFM</t>
  </si>
  <si>
    <t>9976AP1222130041</t>
  </si>
  <si>
    <t>MOHBAT SHAH</t>
  </si>
  <si>
    <t>17301-7759340-9</t>
  </si>
  <si>
    <t>0322-4688725</t>
  </si>
  <si>
    <t xml:space="preserve">H# P-115 ST# 07 WAKEELAN WALI GALI CHINIOT BAZAR NEAR BAJWA MEDICINE FAISALABAD </t>
  </si>
  <si>
    <t>DIB/T/37986/ISB/0722</t>
  </si>
  <si>
    <t>204270</t>
  </si>
  <si>
    <t>10104281</t>
  </si>
  <si>
    <t>AAX-843</t>
  </si>
  <si>
    <t>SUZUKI WAGONR R VXL AGS</t>
  </si>
  <si>
    <t>OLUFSD300089104</t>
  </si>
  <si>
    <t>TDIDIB0030296</t>
  </si>
  <si>
    <t>9976AP1222130042</t>
  </si>
  <si>
    <t>SUNDAR KHAN MEMON</t>
  </si>
  <si>
    <t>41504-0374739-5</t>
  </si>
  <si>
    <t>03322641532</t>
  </si>
  <si>
    <t xml:space="preserve">HOUSE # A/19 KEHKASHAN SOCIETY QASI MABAD BEHIND SONEHRI BOOK DEPOT HYDERABAD PK </t>
  </si>
  <si>
    <t>PL-0722-1101010102-V14-D-00652</t>
  </si>
  <si>
    <t>320645</t>
  </si>
  <si>
    <t>7019690</t>
  </si>
  <si>
    <t>BKT-620</t>
  </si>
  <si>
    <t>TOYOTA COROLLA ALTIS GRANDE CVT</t>
  </si>
  <si>
    <t>OLUHYD300089057</t>
  </si>
  <si>
    <t>8195/07/2022/ITFM</t>
  </si>
  <si>
    <t>9976AP1212120086</t>
  </si>
  <si>
    <t>MUHAMMAD NOMAN BUTT</t>
  </si>
  <si>
    <t>34201-3074530-3</t>
  </si>
  <si>
    <t>03064172620</t>
  </si>
  <si>
    <t xml:space="preserve">NEAR KHAJOR WALI MASJID MOH DEPUTY YAR MUHAMMAD GUJRAT 0306-4172620 </t>
  </si>
  <si>
    <t>2524/03131/00049/07/2022</t>
  </si>
  <si>
    <t>15E4E5MGM4220495</t>
  </si>
  <si>
    <t>LSJA24U90MN081541</t>
  </si>
  <si>
    <t>MG HS TURBO</t>
  </si>
  <si>
    <t>OLDGJR300071366</t>
  </si>
  <si>
    <t>9976AP2212120034</t>
  </si>
  <si>
    <t>IMTIAZ KHAN</t>
  </si>
  <si>
    <t>17301-7636291-3</t>
  </si>
  <si>
    <t>03222751661</t>
  </si>
  <si>
    <t>03222751661, 03222751661</t>
  </si>
  <si>
    <t xml:space="preserve">H. NO. A-107 ALI TOWN SECTOR 13/A S CHEME 33 GULZAR-E-HIJRI AL KHAIR HO KARACHI PK </t>
  </si>
  <si>
    <t>PL-0722-1101010102-V14-D-00624</t>
  </si>
  <si>
    <t>R18Z1295508</t>
  </si>
  <si>
    <t>NFBFC666XLR059597</t>
  </si>
  <si>
    <t>BRK-672</t>
  </si>
  <si>
    <t>OLUKHI300071423</t>
  </si>
  <si>
    <t>5223/07/2021</t>
  </si>
  <si>
    <t>9976AP1212120081</t>
  </si>
  <si>
    <t>CHAUDHARY JEHANZEB DHOTHAR</t>
  </si>
  <si>
    <t>34101-1507989-9</t>
  </si>
  <si>
    <t>03008648989</t>
  </si>
  <si>
    <t xml:space="preserve">ST NO.262 BLOCK KABOOL MUHALLAH DC COLONY GUJRANWALA CANTT TEH AND DISTT GUJRANWALA </t>
  </si>
  <si>
    <t>62089/00069/07/2022</t>
  </si>
  <si>
    <t>816214</t>
  </si>
  <si>
    <t>300895</t>
  </si>
  <si>
    <t>HYNDAI ELANTRA</t>
  </si>
  <si>
    <t>OLDGWL300071368</t>
  </si>
  <si>
    <t>5185/07/2021</t>
  </si>
  <si>
    <t>9976AP2212120026</t>
  </si>
  <si>
    <t>SYED RAFFAT ABBAS ZAIDI</t>
  </si>
  <si>
    <t>42101-1652288-1</t>
  </si>
  <si>
    <t>03003331827</t>
  </si>
  <si>
    <t>30196669</t>
  </si>
  <si>
    <t xml:space="preserve">HOSUE NO G-14/5A CLAYTON QUARTER JAHANGIR ROAD KARACHI </t>
  </si>
  <si>
    <t>12/P/T111/0005624/0722/01</t>
  </si>
  <si>
    <t>2054124</t>
  </si>
  <si>
    <t>2226239</t>
  </si>
  <si>
    <t>OLIKHI300071379</t>
  </si>
  <si>
    <t>5217/07/2021</t>
  </si>
  <si>
    <t>9976AP1212120052</t>
  </si>
  <si>
    <t>MUHAMMAD ALI A RAZZAQUE</t>
  </si>
  <si>
    <t>42101-6219615-3</t>
  </si>
  <si>
    <t>0346-2781299</t>
  </si>
  <si>
    <t>34310501-2</t>
  </si>
  <si>
    <t xml:space="preserve">HNO. R-800 BLOCK- 18 SAMANABAD F.B AREA NEAR MAZAIDAR HALEEM KARACHI </t>
  </si>
  <si>
    <t>PL-0722-1101010102-V14-D-00633</t>
  </si>
  <si>
    <t>79753316</t>
  </si>
  <si>
    <t>177784</t>
  </si>
  <si>
    <t>BEZ-689</t>
  </si>
  <si>
    <t>OLUKHI300071443</t>
  </si>
  <si>
    <t>5214/07/2021</t>
  </si>
  <si>
    <t>9976AP1212120049</t>
  </si>
  <si>
    <t>MUHAMMAD ZUBAIR KHAN</t>
  </si>
  <si>
    <t>42101-5031519-9</t>
  </si>
  <si>
    <t>03121180564</t>
  </si>
  <si>
    <t>03121180564, 03121180564</t>
  </si>
  <si>
    <t xml:space="preserve">HOUSE # B-280 SECTOR # 11-B NORTH K ARACHI NEAR LYCOS GRAMMER SCHOOL KARACHI PK </t>
  </si>
  <si>
    <t>62089/00059/07/2022</t>
  </si>
  <si>
    <t>20-JUL-2023</t>
  </si>
  <si>
    <t>Z514354</t>
  </si>
  <si>
    <t>4140992</t>
  </si>
  <si>
    <t>BLP-850</t>
  </si>
  <si>
    <t>TOYOTA COROLLA XLI</t>
  </si>
  <si>
    <t>OLUKHI300071441</t>
  </si>
  <si>
    <t>5218/07/2021</t>
  </si>
  <si>
    <t>9976AP1222030010</t>
  </si>
  <si>
    <t>ADIL ZAHIR SYED</t>
  </si>
  <si>
    <t>42101-0788325-7</t>
  </si>
  <si>
    <t>03452491262</t>
  </si>
  <si>
    <t>34527490</t>
  </si>
  <si>
    <t xml:space="preserve">A- 204 HAROON VIEW SECTER 5/C NORTH KHI POWER HOUSE CHOWRANGI KARACHI PK </t>
  </si>
  <si>
    <t>2021/07/CLFTTPCDP00815</t>
  </si>
  <si>
    <t>113140</t>
  </si>
  <si>
    <t>1013109</t>
  </si>
  <si>
    <t>BQV-734</t>
  </si>
  <si>
    <t>OLUKHI300088790</t>
  </si>
  <si>
    <t>8085/07/2022/ITFM</t>
  </si>
  <si>
    <t>9976AD1220490027</t>
  </si>
  <si>
    <t>MUHAMMAD QAMAR UDDIN</t>
  </si>
  <si>
    <t>42201-0275228-9</t>
  </si>
  <si>
    <t>34819272</t>
  </si>
  <si>
    <t>03002262599</t>
  </si>
  <si>
    <t>34991841</t>
  </si>
  <si>
    <t xml:space="preserve">HOUSE NO B 115 BLOCK 5 GULSHAN E IQBAL NEAR AKHTER EYE HOSPITAL KARACHI </t>
  </si>
  <si>
    <t>2524/02564/00034/07/2021</t>
  </si>
  <si>
    <t>4809781</t>
  </si>
  <si>
    <t>026480</t>
  </si>
  <si>
    <t>HONDA BRV IVTEC-S</t>
  </si>
  <si>
    <t>OLAKHI300084309</t>
  </si>
  <si>
    <t>7862/06/2022</t>
  </si>
  <si>
    <t>28-JUN-2022</t>
  </si>
  <si>
    <t>9976AP1212120048</t>
  </si>
  <si>
    <t>33102-6026718-3</t>
  </si>
  <si>
    <t>03157692583</t>
  </si>
  <si>
    <t xml:space="preserve">FLAT NO A-919 9TH FLOOR SEC 11-A NORTH KARACHI KHI </t>
  </si>
  <si>
    <t>PL-0722-1101010102-V14-D-00609</t>
  </si>
  <si>
    <t>501904</t>
  </si>
  <si>
    <t>1007031</t>
  </si>
  <si>
    <t>CHANGAN KARWAN PLUS</t>
  </si>
  <si>
    <t>OLDKHI300071373</t>
  </si>
  <si>
    <t>5216/07/2021</t>
  </si>
  <si>
    <t>9976AD1211250091</t>
  </si>
  <si>
    <t>SYED ZAKIR ALI</t>
  </si>
  <si>
    <t>41504-0370617-1</t>
  </si>
  <si>
    <t>03332751453</t>
  </si>
  <si>
    <t xml:space="preserve">FLAT NO 202 3RD FLOOR ALI SHAH HEIG HT GIZRI NEAR KMC HOSPITAL GIZRI KARACHI PK </t>
  </si>
  <si>
    <t>2524/03131/00038/07/2022</t>
  </si>
  <si>
    <t>172967</t>
  </si>
  <si>
    <t>1072945</t>
  </si>
  <si>
    <t>OLAKHI300068528</t>
  </si>
  <si>
    <t>DIB0031140</t>
  </si>
  <si>
    <t>9976AP1222140046</t>
  </si>
  <si>
    <t>SHAHRUKH</t>
  </si>
  <si>
    <t>41304-2197978-7</t>
  </si>
  <si>
    <t>03157989325</t>
  </si>
  <si>
    <t xml:space="preserve">HOUSE # III B2 UNIT NO 8 LATIFABAD NEAR AKBARI MASJID HYD HYDERABAD PK </t>
  </si>
  <si>
    <t>UWT/D/T002/0000001603/0822/109-0</t>
  </si>
  <si>
    <t>100220</t>
  </si>
  <si>
    <t>4001617</t>
  </si>
  <si>
    <t>BCD-740</t>
  </si>
  <si>
    <t>TOYOTA COROLLA GLI</t>
  </si>
  <si>
    <t>OLUHYD300089016</t>
  </si>
  <si>
    <t>8209/07/2022/ITFM</t>
  </si>
  <si>
    <t>9976AP1222110030</t>
  </si>
  <si>
    <t>HARIS BIN SHAHAB</t>
  </si>
  <si>
    <t>42401-4190753-3</t>
  </si>
  <si>
    <t>03332408170</t>
  </si>
  <si>
    <t xml:space="preserve">HOUSE NO B- 99 SECTER 11-A NORTH KH I OPP MCB ISLAMIC BANK KARACHI PK </t>
  </si>
  <si>
    <t>DIB/T/37626/LHR/0722</t>
  </si>
  <si>
    <t>Z13500639</t>
  </si>
  <si>
    <t>R000601</t>
  </si>
  <si>
    <t>BH-2050</t>
  </si>
  <si>
    <t>HONDA BRV -IVTEC</t>
  </si>
  <si>
    <t>OLUKHI300089032</t>
  </si>
  <si>
    <t>8204/07/2022/ITFM</t>
  </si>
  <si>
    <t>9976AD1211200053</t>
  </si>
  <si>
    <t>ZOHAIB JAHANGIR</t>
  </si>
  <si>
    <t>JHELUM</t>
  </si>
  <si>
    <t>37301-2729397-3</t>
  </si>
  <si>
    <t>03335895226</t>
  </si>
  <si>
    <t>0544627512</t>
  </si>
  <si>
    <t xml:space="preserve">JAHANGIR HOUSE SHAMIS PVR DAKHANA K ALA BASE NEAR FALA DEPO JHELUM PK </t>
  </si>
  <si>
    <t>54913/00011/07/2021</t>
  </si>
  <si>
    <t>174919</t>
  </si>
  <si>
    <t>1074940</t>
  </si>
  <si>
    <t>OLAJHM300068424</t>
  </si>
  <si>
    <t>DIB0031078</t>
  </si>
  <si>
    <t>9976AP1212120066</t>
  </si>
  <si>
    <t>UMAR FAROOQ</t>
  </si>
  <si>
    <t>34101-5122359-1</t>
  </si>
  <si>
    <t>03040615701</t>
  </si>
  <si>
    <t xml:space="preserve">GALA ALI SHER WALA ST NO 2 MOH NAZE ER PARK GUJRANWALA PK </t>
  </si>
  <si>
    <t>PL-0722-1101010102-V14-D-00594</t>
  </si>
  <si>
    <t>R18Z13743221</t>
  </si>
  <si>
    <t>NFBFB2552ER117239</t>
  </si>
  <si>
    <t>LEF-14-513</t>
  </si>
  <si>
    <t>HONDA CIVIC IVTEC M/T</t>
  </si>
  <si>
    <t>OLUGWL300071272</t>
  </si>
  <si>
    <t>5176/07/2021</t>
  </si>
  <si>
    <t>9976AP1222020007</t>
  </si>
  <si>
    <t>MUHAMMAD ASIM AYUB ANSARI</t>
  </si>
  <si>
    <t>42101-9088427-9</t>
  </si>
  <si>
    <t>03142366873</t>
  </si>
  <si>
    <t>34536712</t>
  </si>
  <si>
    <t xml:space="preserve">FLAT NO A 701 MAHAD RESIDENCY SECTOR 11A NORTH KARACHI </t>
  </si>
  <si>
    <t>2524/02564/00058/07/2021</t>
  </si>
  <si>
    <t>13043933</t>
  </si>
  <si>
    <t>10043937</t>
  </si>
  <si>
    <t>SUZUKI SWIFT A/T NAVIGATION</t>
  </si>
  <si>
    <t>OLUKHI300088823</t>
  </si>
  <si>
    <t>8095/07/2022/ITFM</t>
  </si>
  <si>
    <t>9976AP1222070009</t>
  </si>
  <si>
    <t>MUHAMMAD RIAZ QAMAR</t>
  </si>
  <si>
    <t>36103-7166352-9</t>
  </si>
  <si>
    <t>03002959407</t>
  </si>
  <si>
    <t xml:space="preserve">HOUSE NO 13/9, B AREA NEAR MASJID RIAZ UL JANNAH LIQUAT ABAD ,KARACHI 0300-2959407 </t>
  </si>
  <si>
    <t>2021/07/CLFTTPCDP00838</t>
  </si>
  <si>
    <t>147168</t>
  </si>
  <si>
    <t>10046985</t>
  </si>
  <si>
    <t>BQN-302</t>
  </si>
  <si>
    <t>OLUKHI300088812</t>
  </si>
  <si>
    <t>8086/07/2022/ITFM</t>
  </si>
  <si>
    <t>9976AP1222110004</t>
  </si>
  <si>
    <t>SHAHBAZ AHMAD</t>
  </si>
  <si>
    <t>35201-9487827-7</t>
  </si>
  <si>
    <t>03224116028</t>
  </si>
  <si>
    <t xml:space="preserve">H NO 13-E ST NO 3 KORAY STOP MAIN W ALTON ROAD LAHORE PK </t>
  </si>
  <si>
    <t>62089/00057/07/2022</t>
  </si>
  <si>
    <t>309178</t>
  </si>
  <si>
    <t>502831</t>
  </si>
  <si>
    <t>LEB-20-249</t>
  </si>
  <si>
    <t>OLULHR300089042</t>
  </si>
  <si>
    <t>8189/07/2022/ITFM</t>
  </si>
  <si>
    <t>9976AP2232020009</t>
  </si>
  <si>
    <t>MUHAMMAD BIN NASEER</t>
  </si>
  <si>
    <t>33102-4984485-5</t>
  </si>
  <si>
    <t>03071175959</t>
  </si>
  <si>
    <t xml:space="preserve">HOUSE NO P-323 STREET NO 11 MUSLIM TOWN NO 3 SARGODHA ROAD FSD </t>
  </si>
  <si>
    <t>2524/02564/00056/07/2021</t>
  </si>
  <si>
    <t>142530</t>
  </si>
  <si>
    <t>10042609</t>
  </si>
  <si>
    <t>AFU-185</t>
  </si>
  <si>
    <t>OLUFSD300095574</t>
  </si>
  <si>
    <t>10366/07/2023/ITFM</t>
  </si>
  <si>
    <t>9976AP2222110005</t>
  </si>
  <si>
    <t>MUHAMMAD TAIMUR HAYAT</t>
  </si>
  <si>
    <t>35201-8804858-7</t>
  </si>
  <si>
    <t>03334293052</t>
  </si>
  <si>
    <t xml:space="preserve">H NO 32 FAHIME STREET SULTAN MAHMOO D ROAD BIJLI GHAR SHALIMAR TOWN LAHORE PK </t>
  </si>
  <si>
    <t>62089/00018/07/2022</t>
  </si>
  <si>
    <t>194458</t>
  </si>
  <si>
    <t>10094475</t>
  </si>
  <si>
    <t>LEH-19-2581</t>
  </si>
  <si>
    <t>SUZUKI WAGONR VXR</t>
  </si>
  <si>
    <t>OLULHR300089025</t>
  </si>
  <si>
    <t>8192/07/2022/ITFM</t>
  </si>
  <si>
    <t>9976AP1232010022</t>
  </si>
  <si>
    <t>42401-5978340-7</t>
  </si>
  <si>
    <t>03122626343</t>
  </si>
  <si>
    <t>03122626343, 03122626343</t>
  </si>
  <si>
    <t xml:space="preserve">1727/375 376 377 DILAWAR MUHALLA BA LDIA TOWN 3 NEAR TURK MASJID KARACHI PK </t>
  </si>
  <si>
    <t>54913/00021/07/2021</t>
  </si>
  <si>
    <t>276999</t>
  </si>
  <si>
    <t>1176981</t>
  </si>
  <si>
    <t>OLDKHI300095514</t>
  </si>
  <si>
    <t>10362/07/2023/ITFM</t>
  </si>
  <si>
    <t>9976AP2232010008</t>
  </si>
  <si>
    <t>MUHAMMAD ASLAM KHAN</t>
  </si>
  <si>
    <t>42000-0469654-9</t>
  </si>
  <si>
    <t>03340292816</t>
  </si>
  <si>
    <t>03340292816, 03340292816</t>
  </si>
  <si>
    <t xml:space="preserve">HOUSE # R-449 BLOCK 18 F.B. AREA NE AR NOOR HOSPITAL KARACHI PK </t>
  </si>
  <si>
    <t>2021-07-205-V01501OP0001653</t>
  </si>
  <si>
    <t>2A22473</t>
  </si>
  <si>
    <t>9508945</t>
  </si>
  <si>
    <t>BTF-650</t>
  </si>
  <si>
    <t>OLUKHI300095493</t>
  </si>
  <si>
    <t>10359/07/2023/ITFM</t>
  </si>
  <si>
    <t>9976AP2232070006</t>
  </si>
  <si>
    <t>ALI HASSAN</t>
  </si>
  <si>
    <t>35201-6926674-1</t>
  </si>
  <si>
    <t>03091040012</t>
  </si>
  <si>
    <t xml:space="preserve">120-D 4TH FLOOR COMMERCIAL BROADWAY DHA PHASE 8 LAHORE 03091040012 </t>
  </si>
  <si>
    <t>2021-07-205-V015010POOO1650</t>
  </si>
  <si>
    <t>6R276025</t>
  </si>
  <si>
    <t>1176041</t>
  </si>
  <si>
    <t>27-Jul-2028</t>
  </si>
  <si>
    <t>OLDLHR300095543</t>
  </si>
  <si>
    <t>10368/07/2023/ITFM</t>
  </si>
  <si>
    <t>9976AP1222110016</t>
  </si>
  <si>
    <t>HANAN YAQOOB</t>
  </si>
  <si>
    <t>32304-0225225-3</t>
  </si>
  <si>
    <t>03332942500</t>
  </si>
  <si>
    <t xml:space="preserve">H NO 78-B GREEN VALLEY PHASE 4 SIAL KOT ROAD GUJRANWALA PK </t>
  </si>
  <si>
    <t>2524/03131/00004/07/2022</t>
  </si>
  <si>
    <t>Q346320</t>
  </si>
  <si>
    <t>R-7045481</t>
  </si>
  <si>
    <t>AUE-598</t>
  </si>
  <si>
    <t>TOYOTA COROLLA ALTIS GRANDE</t>
  </si>
  <si>
    <t>OLUGWL300089038</t>
  </si>
  <si>
    <t>8200/07/2022/ITFM</t>
  </si>
  <si>
    <t>9976AP1212090005</t>
  </si>
  <si>
    <t>KHURRAM SAJID</t>
  </si>
  <si>
    <t>41304-7285863-1</t>
  </si>
  <si>
    <t>03323733354</t>
  </si>
  <si>
    <t>03323733354 03323733354</t>
  </si>
  <si>
    <t xml:space="preserve">FLAT # 03 1ST FLOOR HASSAN SQUARE U NIT # 6 LATIFABAD HYDERABAD PK </t>
  </si>
  <si>
    <t>2021-07-205-V01501OP0001652</t>
  </si>
  <si>
    <t>KFN-123213</t>
  </si>
  <si>
    <t>0170660</t>
  </si>
  <si>
    <t>MOVE</t>
  </si>
  <si>
    <t>OLUHYD300071072</t>
  </si>
  <si>
    <t>DIB0031098</t>
  </si>
  <si>
    <t>9976AP1222020006</t>
  </si>
  <si>
    <t>ABDUL NAFAY</t>
  </si>
  <si>
    <t>42201-7402281-7</t>
  </si>
  <si>
    <t>03348218090</t>
  </si>
  <si>
    <t xml:space="preserve">SHOP NO.125, 1ST FLOOR STAR CITY MALL, SADDAR KARACHI. </t>
  </si>
  <si>
    <t>2021-07-205-V01501OP0001655</t>
  </si>
  <si>
    <t>00029</t>
  </si>
  <si>
    <t>1000237</t>
  </si>
  <si>
    <t>CHANGAN OSHAN X7 COMFORT</t>
  </si>
  <si>
    <t>OLDKHI300088855</t>
  </si>
  <si>
    <t>8096/07/2022/ITFM</t>
  </si>
  <si>
    <t>9976AD1213350023</t>
  </si>
  <si>
    <t>ABBAS</t>
  </si>
  <si>
    <t>42000-1182001-3</t>
  </si>
  <si>
    <t>03423412132</t>
  </si>
  <si>
    <t xml:space="preserve">FLAT A- 27 4 RTH FLOOR BLESSING APP ARTMENT GARDEN EAST GOLDEN SOCIETY KARACHI PK </t>
  </si>
  <si>
    <t>2021-07-205-V01501OP0001643</t>
  </si>
  <si>
    <t>503306</t>
  </si>
  <si>
    <t>1015501</t>
  </si>
  <si>
    <t>OLAKHI300080894</t>
  </si>
  <si>
    <t>8067/07/2022/ITFM</t>
  </si>
  <si>
    <t>9976AP1222110026</t>
  </si>
  <si>
    <t>SHAHID SALEEM</t>
  </si>
  <si>
    <t>91400-0246693-9</t>
  </si>
  <si>
    <t>03228445199</t>
  </si>
  <si>
    <t xml:space="preserve">H NO 640 ASKARI 9 LANE 39 LAHORE CA NTT LAHORE PK </t>
  </si>
  <si>
    <t>2524/03079/00107/06/2022</t>
  </si>
  <si>
    <t>17505194</t>
  </si>
  <si>
    <t>216682</t>
  </si>
  <si>
    <t>LE-18-5221</t>
  </si>
  <si>
    <t>OLULHR300089033</t>
  </si>
  <si>
    <t>818707/2022/ITFM</t>
  </si>
  <si>
    <t>9976AD1221810040</t>
  </si>
  <si>
    <t>NAVEED AHMED</t>
  </si>
  <si>
    <t>42000-2623487-3</t>
  </si>
  <si>
    <t>03332026810</t>
  </si>
  <si>
    <t xml:space="preserve">617 ANUM BLESSING BLOCK 7/8 KCHS SHAHRAH E FAISAL KARACHI </t>
  </si>
  <si>
    <t>54913/00029/07/2021</t>
  </si>
  <si>
    <t>51012710</t>
  </si>
  <si>
    <t>022862</t>
  </si>
  <si>
    <t>OLAKHI300088462</t>
  </si>
  <si>
    <t>8050/07/2022/ITFM</t>
  </si>
  <si>
    <t>9976AP2222110016</t>
  </si>
  <si>
    <t>TARIQ IQBAL</t>
  </si>
  <si>
    <t>42401-7413554-3</t>
  </si>
  <si>
    <t>0311-2633382</t>
  </si>
  <si>
    <t xml:space="preserve">HOUSE # A84, SEC X7 NEAR HAMZA ISLAMIC COLLAGE EIDGAH GROUND GULSHAN E MEYMAR KARACHI </t>
  </si>
  <si>
    <t>2022-07-205-V01501DP0002161</t>
  </si>
  <si>
    <t>Z547197</t>
  </si>
  <si>
    <t>4172904</t>
  </si>
  <si>
    <t>BPH-447</t>
  </si>
  <si>
    <t>OLUKHI300089013</t>
  </si>
  <si>
    <t>8185/07/2022/ITFM</t>
  </si>
  <si>
    <t>9976AP2222030005</t>
  </si>
  <si>
    <t>MUHAMMAD FARHAN HAIDER</t>
  </si>
  <si>
    <t>35202-7844300-1</t>
  </si>
  <si>
    <t>0321-8444350</t>
  </si>
  <si>
    <t>042-35811422-3</t>
  </si>
  <si>
    <t xml:space="preserve">H NO 2-A/96 KHADAM PARK MODEL TOWN LAHORE </t>
  </si>
  <si>
    <t>DIB/T/BT/32563/HYD/0721</t>
  </si>
  <si>
    <t>09-JUL-2022</t>
  </si>
  <si>
    <t>136770</t>
  </si>
  <si>
    <t>10036791</t>
  </si>
  <si>
    <t>LEA-17-4984</t>
  </si>
  <si>
    <t>OLULHR300088844</t>
  </si>
  <si>
    <t>8102/07/2022/ITFM</t>
  </si>
  <si>
    <t>9976AP1222140044</t>
  </si>
  <si>
    <t>GHULAM MUHY UD DIN</t>
  </si>
  <si>
    <t>35202-2731094-7</t>
  </si>
  <si>
    <t>03264520384</t>
  </si>
  <si>
    <t xml:space="preserve">H NO 4 ST NO 8 WAHAB GUJJAR STREET SALAMAT MOHALLAH MOHNI ROAD LAHORE PK </t>
  </si>
  <si>
    <t>PL-0722-1101010102-V14-D-00650</t>
  </si>
  <si>
    <t>168856</t>
  </si>
  <si>
    <t>700396</t>
  </si>
  <si>
    <t>LE-20-5131</t>
  </si>
  <si>
    <t>KIA PICANTO 1.0L A/T</t>
  </si>
  <si>
    <t>OLULHR300089014</t>
  </si>
  <si>
    <t>8180/07/2022/ITFM</t>
  </si>
  <si>
    <t>9976AP2222100002</t>
  </si>
  <si>
    <t>SYED SHAHANSHA HASNAIN</t>
  </si>
  <si>
    <t>61101-1911356-1</t>
  </si>
  <si>
    <t>03002505091</t>
  </si>
  <si>
    <t xml:space="preserve">HOUSE # C-199/21 BLOCK 14 GULISTAN E JOHAR KARACHI PK </t>
  </si>
  <si>
    <t>DIB/T/37637/LHR/0722</t>
  </si>
  <si>
    <t>PKF632210</t>
  </si>
  <si>
    <t>PK539084</t>
  </si>
  <si>
    <t>BHS-448</t>
  </si>
  <si>
    <t>2012</t>
  </si>
  <si>
    <t>OLUKHI300088964</t>
  </si>
  <si>
    <t>8166/07/2022/ITFM</t>
  </si>
  <si>
    <t>9976AP2222100003</t>
  </si>
  <si>
    <t>35202-3278988-9</t>
  </si>
  <si>
    <t>03224143730</t>
  </si>
  <si>
    <t xml:space="preserve">301-A BLOCK NO H-3 JOHAR TOWN LAHORE </t>
  </si>
  <si>
    <t>DIB/T/38003/LHR/0822</t>
  </si>
  <si>
    <t>S4PEWR0845</t>
  </si>
  <si>
    <t>NKPBT3SRRNP000342</t>
  </si>
  <si>
    <t>AJA-259</t>
  </si>
  <si>
    <t>PROTON SAGA A/T ACE</t>
  </si>
  <si>
    <t>OLULHR300089018</t>
  </si>
  <si>
    <t>8168/07/2022/ITFM</t>
  </si>
  <si>
    <t>9976AD2220870009</t>
  </si>
  <si>
    <t>KHURRAM SHAKOOR</t>
  </si>
  <si>
    <t>35202-6129242-3</t>
  </si>
  <si>
    <t>03124088888</t>
  </si>
  <si>
    <t>04237215111</t>
  </si>
  <si>
    <t xml:space="preserve">OFFICE NO 10 2ND FLOOR HAMZA CENTER 31-THE HALL ROAD LAHORE </t>
  </si>
  <si>
    <t>UWT/D/T002/0000001558/0722/109</t>
  </si>
  <si>
    <t>1013551</t>
  </si>
  <si>
    <t>024798</t>
  </si>
  <si>
    <t>OLALHR300085865</t>
  </si>
  <si>
    <t>DIB0034659</t>
  </si>
  <si>
    <t>9976AP1222140045</t>
  </si>
  <si>
    <t>JUNAID AMJAD</t>
  </si>
  <si>
    <t>35201-7509190-9</t>
  </si>
  <si>
    <t>03227526676</t>
  </si>
  <si>
    <t xml:space="preserve">H NO 85-A ST NO 19 RAILWAY OFFICERS COLONY WALTON LAHORE CANTT LAHORE PK </t>
  </si>
  <si>
    <t>2524/03131/00021/07/2022</t>
  </si>
  <si>
    <t>17425118</t>
  </si>
  <si>
    <t>1625411</t>
  </si>
  <si>
    <t>LED-15-448</t>
  </si>
  <si>
    <t>OLULHR300088945</t>
  </si>
  <si>
    <t>8179/07/2022/ITFM</t>
  </si>
  <si>
    <t>997AAD2203390001</t>
  </si>
  <si>
    <t>MIRZA MUHAMMAD ARSHAD BAIG</t>
  </si>
  <si>
    <t>35201-1283669-1</t>
  </si>
  <si>
    <t>04235113755</t>
  </si>
  <si>
    <t xml:space="preserve">CITY STAR SHOPPING MALL 51-1 B/1 QUAID E AZAM TOWN SCHEME MODEL TOWN LINK ROAD LHR LAHORE </t>
  </si>
  <si>
    <t>12/P/T111/0005553/0722/01</t>
  </si>
  <si>
    <t>G4NAMU102153</t>
  </si>
  <si>
    <t>PMHJ813SMN204032</t>
  </si>
  <si>
    <t>TUCSON AWD</t>
  </si>
  <si>
    <t>POALHR300063222</t>
  </si>
  <si>
    <t>DIB0031137</t>
  </si>
  <si>
    <t>9976AP2222070005</t>
  </si>
  <si>
    <t>AZHAR WASIM</t>
  </si>
  <si>
    <t>42101-1842715-3</t>
  </si>
  <si>
    <t>03039137227</t>
  </si>
  <si>
    <t xml:space="preserve">HOUSE NO.C-44 BLOCK-D NORTH NAZIMABAD KARACHI 0331-2267112 </t>
  </si>
  <si>
    <t>01-2107-PO-MTR-PCCM-D-001000</t>
  </si>
  <si>
    <t>177785</t>
  </si>
  <si>
    <t>1077725</t>
  </si>
  <si>
    <t>BUF-943</t>
  </si>
  <si>
    <t>OLUKHI300088865</t>
  </si>
  <si>
    <t>8110/07/2022/ITFM</t>
  </si>
  <si>
    <t>9976AP1222070005</t>
  </si>
  <si>
    <t>MUHAMMAD OBAIDULLAH ATHER</t>
  </si>
  <si>
    <t>37105-3987019-5</t>
  </si>
  <si>
    <t>03332776664</t>
  </si>
  <si>
    <t xml:space="preserve">HOUSE NO B-42 BLOCK NO 10-A GULSHAN E IQBAL RASHID MINHAS ROAD KHI NEA KARACHI PK </t>
  </si>
  <si>
    <t>2021/07/CLFTTPCDP00823</t>
  </si>
  <si>
    <t>149909</t>
  </si>
  <si>
    <t>1049877</t>
  </si>
  <si>
    <t>BTF-403</t>
  </si>
  <si>
    <t>OLUKHI300088843</t>
  </si>
  <si>
    <t>8106/07/2022/ITFM</t>
  </si>
  <si>
    <t>9976AP2222070002</t>
  </si>
  <si>
    <t>MUHAMMAD AWAIS</t>
  </si>
  <si>
    <t>33301-6411840-7</t>
  </si>
  <si>
    <t>03247124353</t>
  </si>
  <si>
    <t>04237659021</t>
  </si>
  <si>
    <t xml:space="preserve">H NO P-36/10 LAWRANCE ROAD JUBILLEE TOWN NEAR BOARD OFFICE LAHORE PK </t>
  </si>
  <si>
    <t>01-2107-PO-MTR-PCCM-D-001001</t>
  </si>
  <si>
    <t>112571</t>
  </si>
  <si>
    <t>10012559</t>
  </si>
  <si>
    <t>LEA-16-9525</t>
  </si>
  <si>
    <t>OLULHR300088873</t>
  </si>
  <si>
    <t>8113/07/2022/ITFM</t>
  </si>
  <si>
    <t>9976AP1222070002</t>
  </si>
  <si>
    <t>MUHAMMAD UZAIR AHMAD SIDDIQUI</t>
  </si>
  <si>
    <t>35202-4857309-5</t>
  </si>
  <si>
    <t>0321-4073030</t>
  </si>
  <si>
    <t>37658484 37640909</t>
  </si>
  <si>
    <t xml:space="preserve">H NO 309 LDA EMPLOYEES HOUSING SOCIETY PHASE II LAHORE </t>
  </si>
  <si>
    <t>2021-07-205-V01501OP0001682</t>
  </si>
  <si>
    <t>158935</t>
  </si>
  <si>
    <t>105831</t>
  </si>
  <si>
    <t>REB-20-8492</t>
  </si>
  <si>
    <t>OLULHR300088862</t>
  </si>
  <si>
    <t>8115/07/2022/ITFM</t>
  </si>
  <si>
    <t>9976AD2213640024</t>
  </si>
  <si>
    <t>QURATUL AIN QAZI</t>
  </si>
  <si>
    <t>Abotabad</t>
  </si>
  <si>
    <t>13101-0809880-2</t>
  </si>
  <si>
    <t>03355433771</t>
  </si>
  <si>
    <t xml:space="preserve">VIP APPARTMENT FLAT # 7 SWALL INDUS TRY ROAD MANDIAN NEAR DAOOD MARBEL ABBOTTABAD PK </t>
  </si>
  <si>
    <t>12/P/T111/0005532/0722/01</t>
  </si>
  <si>
    <t>6R238967</t>
  </si>
  <si>
    <t>1139002</t>
  </si>
  <si>
    <t>OLAABD300082542</t>
  </si>
  <si>
    <t>7854/06/2022/ITFM</t>
  </si>
  <si>
    <t>9976AP2232120009</t>
  </si>
  <si>
    <t>DANYAL KHAN</t>
  </si>
  <si>
    <t>42101-8994556-3</t>
  </si>
  <si>
    <t>03471816462</t>
  </si>
  <si>
    <t xml:space="preserve">SANOBER TOWN TOWER 4TH FLOOR A1-406 UNIVERSITY ROAD SCHEME 33 KARACHI 0347-1816462 </t>
  </si>
  <si>
    <t>UWT/D/T002/0000001555/0722/109</t>
  </si>
  <si>
    <t>12910912</t>
  </si>
  <si>
    <t>666014028</t>
  </si>
  <si>
    <t>BHZ-231</t>
  </si>
  <si>
    <t>HONDA CIVIC 1.8</t>
  </si>
  <si>
    <t>OLUKHI300095744</t>
  </si>
  <si>
    <t>10390/07/2023/ITFM</t>
  </si>
  <si>
    <t>9976AP2232060005</t>
  </si>
  <si>
    <t>ABDUL JABBAR</t>
  </si>
  <si>
    <t>42501-6600370-1</t>
  </si>
  <si>
    <t>03012154161</t>
  </si>
  <si>
    <t xml:space="preserve">H # 244 BAHADURYAR JUNG ROAD BHUTTO NAGAR 1ST LANDHI 89 KHI KARACHI PK </t>
  </si>
  <si>
    <t>54913/0036/07/2021</t>
  </si>
  <si>
    <t>Q327146</t>
  </si>
  <si>
    <t>7026260</t>
  </si>
  <si>
    <t>BKZ-903</t>
  </si>
  <si>
    <t>OLUKHI300095584</t>
  </si>
  <si>
    <t>10374/07/2023/ITFM</t>
  </si>
  <si>
    <t>9976AP1232050003</t>
  </si>
  <si>
    <t>AMNA NASEEM</t>
  </si>
  <si>
    <t>90406-0104403-6</t>
  </si>
  <si>
    <t>03331300857</t>
  </si>
  <si>
    <t xml:space="preserve">R-310, SECTOR 15-A/4, BUFFER ZONE, KARACHI. </t>
  </si>
  <si>
    <t>PL-C/21-1101010102-V14-D00314</t>
  </si>
  <si>
    <t>6R184472</t>
  </si>
  <si>
    <t>H1084395</t>
  </si>
  <si>
    <t>BUQ-574</t>
  </si>
  <si>
    <t>OLUKHI300095604</t>
  </si>
  <si>
    <t>10372/07/2023/ITFM</t>
  </si>
  <si>
    <t>9976AD1220870075</t>
  </si>
  <si>
    <t>TARIQ AZAM</t>
  </si>
  <si>
    <t>37405-2701369-1</t>
  </si>
  <si>
    <t>03345531786</t>
  </si>
  <si>
    <t>0518484212</t>
  </si>
  <si>
    <t xml:space="preserve">AZAM HOUSE 344/E ST # 72 SECTOR G-1 1/2 ISLAMABAD PK </t>
  </si>
  <si>
    <t>62089/00015/07/2022</t>
  </si>
  <si>
    <t>300106</t>
  </si>
  <si>
    <t>309816</t>
  </si>
  <si>
    <t>OLAISD300085921</t>
  </si>
  <si>
    <t>9976AP1222110002</t>
  </si>
  <si>
    <t>MUHAMMAD REHAN</t>
  </si>
  <si>
    <t>34603-1621785-5</t>
  </si>
  <si>
    <t>03338717771</t>
  </si>
  <si>
    <t xml:space="preserve">H NO 73-A STREET NO 4 SIALKOT CANTT NEAR V-MALL SIALKOT PK </t>
  </si>
  <si>
    <t>2524/03131/00002/07/2022</t>
  </si>
  <si>
    <t>858834</t>
  </si>
  <si>
    <t>701059</t>
  </si>
  <si>
    <t>AXK-207</t>
  </si>
  <si>
    <t>KIA STONIC EX+</t>
  </si>
  <si>
    <t>OLUSKT300088972</t>
  </si>
  <si>
    <t>8165/07/2022/ITFM</t>
  </si>
  <si>
    <t>9976AD1221190021</t>
  </si>
  <si>
    <t>ALMAS NOOR</t>
  </si>
  <si>
    <t>33100-0613761-2</t>
  </si>
  <si>
    <t>03326868797</t>
  </si>
  <si>
    <t>03326868797, 03326868797</t>
  </si>
  <si>
    <t>0412680012</t>
  </si>
  <si>
    <t xml:space="preserve">HOUSE F-410-C WEST CANAL ROAD AMIN TOWN FAISALABAD PK </t>
  </si>
  <si>
    <t>2022/07/CLFTTPCDP0198</t>
  </si>
  <si>
    <t>24-JUL-2023</t>
  </si>
  <si>
    <t>200692</t>
  </si>
  <si>
    <t>10100641</t>
  </si>
  <si>
    <t>OLAFSD300086863</t>
  </si>
  <si>
    <t>8151/07/2022/ITFM</t>
  </si>
  <si>
    <t>9976AD1220310045</t>
  </si>
  <si>
    <t>ABUZER MEHDI-ASAAN ACCOUNT</t>
  </si>
  <si>
    <t>36302-6806877-3</t>
  </si>
  <si>
    <t>03364116299</t>
  </si>
  <si>
    <t xml:space="preserve">ATTOCK SOLUTIONS 1ST FLOOR GLAXY SHOPPING CENTER MAIN FEROZPUR ROAD LAHORE </t>
  </si>
  <si>
    <t>DIB/T/37644/KHI/0722</t>
  </si>
  <si>
    <t>07-JUL-2023</t>
  </si>
  <si>
    <t>51013216</t>
  </si>
  <si>
    <t>R023607</t>
  </si>
  <si>
    <t>HONDA CITY I-VTEC</t>
  </si>
  <si>
    <t>OLALHR300083829</t>
  </si>
  <si>
    <t>8150/07/2022</t>
  </si>
  <si>
    <t>9976AP1212090013</t>
  </si>
  <si>
    <t>HAMID MAHMOOD</t>
  </si>
  <si>
    <t>35202-0784487-9</t>
  </si>
  <si>
    <t>03356120017</t>
  </si>
  <si>
    <t xml:space="preserve">HOUSE NO. 16, GARDINIA, SECTOR-C, BAHRIA TOWN LAHORE </t>
  </si>
  <si>
    <t>62089/00033/07/2022</t>
  </si>
  <si>
    <t>CVN018919</t>
  </si>
  <si>
    <t>WAUZZZF40HA035068</t>
  </si>
  <si>
    <t>LED-17-286</t>
  </si>
  <si>
    <t>AUDI A4 1.4 TFSI</t>
  </si>
  <si>
    <t>27-JUL-2021</t>
  </si>
  <si>
    <t>OLULHR300071188</t>
  </si>
  <si>
    <t>9976AD1210580008</t>
  </si>
  <si>
    <t>ZEESHAN FAROOQ</t>
  </si>
  <si>
    <t>35202-8675099-5</t>
  </si>
  <si>
    <t>03217007111</t>
  </si>
  <si>
    <t xml:space="preserve">43-IMPERIAL BLOCK PARAGON CITY BARKI ROAD LAHORE 03217007111 </t>
  </si>
  <si>
    <t>62089/00009/07/2022</t>
  </si>
  <si>
    <t>5MSM3180051</t>
  </si>
  <si>
    <t>MN064640</t>
  </si>
  <si>
    <t>OLALHR300066275</t>
  </si>
  <si>
    <t>TDIDIB0029493</t>
  </si>
  <si>
    <t>28-07-2021</t>
  </si>
  <si>
    <t>9976AD1203630016</t>
  </si>
  <si>
    <t>YASIR ALI</t>
  </si>
  <si>
    <t>35202-5484028-7</t>
  </si>
  <si>
    <t>0305554444</t>
  </si>
  <si>
    <t>03055554444</t>
  </si>
  <si>
    <t>35711707</t>
  </si>
  <si>
    <t xml:space="preserve">OFF# 28 L NEAR MINI MKT GULBERG 2 LAHORE </t>
  </si>
  <si>
    <t>2524/02564/00065/07/2021</t>
  </si>
  <si>
    <t>2TRA859790</t>
  </si>
  <si>
    <t>TGN156R-0443690</t>
  </si>
  <si>
    <t>OLALHR300064164</t>
  </si>
  <si>
    <t>DIB0031100</t>
  </si>
  <si>
    <t>24-JUL-2021</t>
  </si>
  <si>
    <t>9976AD1211200044</t>
  </si>
  <si>
    <t>USAMA LIAQUAT BUTT</t>
  </si>
  <si>
    <t>35202-0966972-9</t>
  </si>
  <si>
    <t>03218893115</t>
  </si>
  <si>
    <t xml:space="preserve">GLOBEMSPORTS HOUSE NO.2553/716,STREET NO.4-A NEW IQBAL PARK,GULSHAN VIEW CANTT LAHORE </t>
  </si>
  <si>
    <t>62089/00007/07/2022</t>
  </si>
  <si>
    <t>174411</t>
  </si>
  <si>
    <t>1074299</t>
  </si>
  <si>
    <t>03-SEP-2021</t>
  </si>
  <si>
    <t>03-Sep-2024</t>
  </si>
  <si>
    <t>OLALHR300068492</t>
  </si>
  <si>
    <t>DIB0031129</t>
  </si>
  <si>
    <t>9976AP2222070003</t>
  </si>
  <si>
    <t>HASSAN RAZA</t>
  </si>
  <si>
    <t>35202-6822981-9</t>
  </si>
  <si>
    <t>03234001604</t>
  </si>
  <si>
    <t xml:space="preserve">H NO 13 ST NO 19 IBRAHIM ROAD BILAL GUNJ LAHORE PK </t>
  </si>
  <si>
    <t>2524/02564/00091/07/2021</t>
  </si>
  <si>
    <t>2A09116</t>
  </si>
  <si>
    <t>9503898</t>
  </si>
  <si>
    <t>ABF-200</t>
  </si>
  <si>
    <t>OLULHR300088892</t>
  </si>
  <si>
    <t>8119/07/2022/ITFM</t>
  </si>
  <si>
    <t>9976AP1222070003</t>
  </si>
  <si>
    <t>MUJTABA JAVAID</t>
  </si>
  <si>
    <t>35202-9996602-9</t>
  </si>
  <si>
    <t>03218811119</t>
  </si>
  <si>
    <t xml:space="preserve">QODE TECHNOLOGIES HOUSE NO. 236, JADE BLOCK PARK VIEW CITY, LAHORE </t>
  </si>
  <si>
    <t>DIB/T/BT/32924/KHI/0721</t>
  </si>
  <si>
    <t>854775</t>
  </si>
  <si>
    <t>301673</t>
  </si>
  <si>
    <t>AE2-450</t>
  </si>
  <si>
    <t>HUYNDAI ELENTRA</t>
  </si>
  <si>
    <t>OLULHR300088864</t>
  </si>
  <si>
    <t>8117/07/2022/ITFM</t>
  </si>
  <si>
    <t>9976AP1232080015</t>
  </si>
  <si>
    <t>ALI ATHER KHAN</t>
  </si>
  <si>
    <t>42101-3772675-5</t>
  </si>
  <si>
    <t>03161030397</t>
  </si>
  <si>
    <t xml:space="preserve">B- 202 ANSARI TOWER BLOCK I NORTH N AZIMABAD SHIP OWNER COLLEGE KARACHI PK </t>
  </si>
  <si>
    <t>54913/00060/07/2021</t>
  </si>
  <si>
    <t>6R155984</t>
  </si>
  <si>
    <t>1055967</t>
  </si>
  <si>
    <t>BTH-882</t>
  </si>
  <si>
    <t>OLUKHI300095753</t>
  </si>
  <si>
    <t>10388/07/2023/ITFM</t>
  </si>
  <si>
    <t>9976AD1221380018</t>
  </si>
  <si>
    <t>MUHAMMAD SHAHID GURWAN</t>
  </si>
  <si>
    <t>31202-9273573-7</t>
  </si>
  <si>
    <t>00971567350991</t>
  </si>
  <si>
    <t xml:space="preserve">FLAT.NO 401 AL YAQUAB BUILDING OSMAN BIN MADFOON STREET ABU SHAGARA SAHRJAH 307501 UNITED ARAB EMIRATES </t>
  </si>
  <si>
    <t>DIB/T/37636/LHR/0722</t>
  </si>
  <si>
    <t>51012518</t>
  </si>
  <si>
    <t>022470</t>
  </si>
  <si>
    <t>OLABHP300087109</t>
  </si>
  <si>
    <t>TDIDIB0030291</t>
  </si>
  <si>
    <t>9976AD1212840001</t>
  </si>
  <si>
    <t>NADEEM ASLAM</t>
  </si>
  <si>
    <t>33100-5529933-9</t>
  </si>
  <si>
    <t>2413196</t>
  </si>
  <si>
    <t xml:space="preserve">H NO P-52 ST NO 2 MUNEERA ABAD FAISALABAD </t>
  </si>
  <si>
    <t>2524/03131/00027/07/2022</t>
  </si>
  <si>
    <t>506776</t>
  </si>
  <si>
    <t>1015807</t>
  </si>
  <si>
    <t>OLAFSD300074752</t>
  </si>
  <si>
    <t>TDIDIB0030292</t>
  </si>
  <si>
    <t>9976AP2222080006</t>
  </si>
  <si>
    <t>AFSHAN TABASSAM</t>
  </si>
  <si>
    <t>42201-0150601-0</t>
  </si>
  <si>
    <t>03044500570</t>
  </si>
  <si>
    <t xml:space="preserve">1202 12 TH FLOOR SAIMA SQUARE ONE J OHAR MOR MILLINUM MALL KARACHI PK </t>
  </si>
  <si>
    <t>62089/00043/07/2022</t>
  </si>
  <si>
    <t>2A22555</t>
  </si>
  <si>
    <t>9508972</t>
  </si>
  <si>
    <t>BUS-125</t>
  </si>
  <si>
    <t>TOYOTA YARIS ATIV X MT 1.5</t>
  </si>
  <si>
    <t>OLUKHI300088911</t>
  </si>
  <si>
    <t>8139/07/2022/ITFM</t>
  </si>
  <si>
    <t>9976AP2212100014</t>
  </si>
  <si>
    <t>MIR AHMED WASEEM</t>
  </si>
  <si>
    <t>35202-2928596-5</t>
  </si>
  <si>
    <t>37460980</t>
  </si>
  <si>
    <t>03219431392</t>
  </si>
  <si>
    <t>04237640441</t>
  </si>
  <si>
    <t xml:space="preserve">AK THREAD WORKS HOUSE NO 100 STREET NO 9 NEW SHALIMAR COLONY ROAD LAHORE </t>
  </si>
  <si>
    <t>2021-07-205-V1501DP0001840</t>
  </si>
  <si>
    <t>311664</t>
  </si>
  <si>
    <t>512572</t>
  </si>
  <si>
    <t>OLDLHR300071123</t>
  </si>
  <si>
    <t>5151/07/2021</t>
  </si>
  <si>
    <t>9976AP1232070009</t>
  </si>
  <si>
    <t>MUHAMMAD IMRAN</t>
  </si>
  <si>
    <t>42000-0514023-9</t>
  </si>
  <si>
    <t>03002289647</t>
  </si>
  <si>
    <t xml:space="preserve">FLAT A-60 BUILDING 60, ASKARI-5 MALIR CANTT KARACHI </t>
  </si>
  <si>
    <t>DIB/T/BT/32931/LHR/0721</t>
  </si>
  <si>
    <t>6R276260</t>
  </si>
  <si>
    <t>1176252</t>
  </si>
  <si>
    <t>OLDKHI300095613</t>
  </si>
  <si>
    <t>10377/07/2023/ITFM</t>
  </si>
  <si>
    <t>SUBS</t>
  </si>
  <si>
    <t>9976AP1222110013</t>
  </si>
  <si>
    <t>TAMOOR ALI</t>
  </si>
  <si>
    <t>41201-8073684-7</t>
  </si>
  <si>
    <t>03155595013</t>
  </si>
  <si>
    <t xml:space="preserve">B-100 OLD MEMON CITY QASIMABAD HYD HYDERABAD PK </t>
  </si>
  <si>
    <t>62089/00089/07/2022</t>
  </si>
  <si>
    <t>191640</t>
  </si>
  <si>
    <t>10091605</t>
  </si>
  <si>
    <t>BVQ-051</t>
  </si>
  <si>
    <t>OLUHYD300089055</t>
  </si>
  <si>
    <t>8214/07/2022/ITFM</t>
  </si>
  <si>
    <t>WACH</t>
  </si>
  <si>
    <t>9976AP1201500011</t>
  </si>
  <si>
    <t>NAZIA CHAUDHRY</t>
  </si>
  <si>
    <t>37405-3453541-0</t>
  </si>
  <si>
    <t>0334-8557776 0333-5533547 03368825998</t>
  </si>
  <si>
    <t xml:space="preserve">HNO SA 998/B STREET NO. 05 SADIQABAD NEAR HBL BANK RAWALPINDI </t>
  </si>
  <si>
    <t>DIB/T/BT/27861/LHR/0720</t>
  </si>
  <si>
    <t>770461</t>
  </si>
  <si>
    <t>1308995</t>
  </si>
  <si>
    <t>MEHRAN VX EURO II</t>
  </si>
  <si>
    <t>03-APR-2021</t>
  </si>
  <si>
    <t>PODRWP300047522</t>
  </si>
  <si>
    <t>1473/07/2019/ITFM</t>
  </si>
  <si>
    <t>9976AP1191980002</t>
  </si>
  <si>
    <t>997APD2202060004</t>
  </si>
  <si>
    <t>SYED GHULAM MUSTAFA KAMAL</t>
  </si>
  <si>
    <t>31102-0620785-1</t>
  </si>
  <si>
    <t>03218250315</t>
  </si>
  <si>
    <t xml:space="preserve">HOUSE NO 11-B-2 CANTT BAZAR AREA MA LIR CANTT NATIONAL BANK KARACHI PK </t>
  </si>
  <si>
    <t>2021-07-205-V01501DP0001781</t>
  </si>
  <si>
    <t>Q344105</t>
  </si>
  <si>
    <t>7043288</t>
  </si>
  <si>
    <t>PODKHI300055541</t>
  </si>
  <si>
    <t>DIB0028449</t>
  </si>
  <si>
    <t>9976AP2192000004</t>
  </si>
  <si>
    <t>MARIYAM JAMAL</t>
  </si>
  <si>
    <t>42201-8371224-6</t>
  </si>
  <si>
    <t>0333367834</t>
  </si>
  <si>
    <t>03333370810</t>
  </si>
  <si>
    <t xml:space="preserve">FLAT NO B-527 RAMSHA AVENUE BLOCK - 13, GULISTAN-E-JOHAR KARACHI </t>
  </si>
  <si>
    <t>01-2107-PO-MTR-PCCM-D-000991</t>
  </si>
  <si>
    <t>S07A</t>
  </si>
  <si>
    <t>JHI-1219514</t>
  </si>
  <si>
    <t>HONDA N ONE</t>
  </si>
  <si>
    <t>POUKHI300047722</t>
  </si>
  <si>
    <t>1508/07/2019/ITFM</t>
  </si>
  <si>
    <t>9976AP1192030003</t>
  </si>
  <si>
    <t>NASIR GULZAR BUTTAR</t>
  </si>
  <si>
    <t>37405-5922333-1</t>
  </si>
  <si>
    <t>03335112760</t>
  </si>
  <si>
    <t>0514935078</t>
  </si>
  <si>
    <t xml:space="preserve">H # DD - 33 ST # 1 GULSHAN DADAN MU RREE ROAD NEAR MEZAN BANK RAWALPINDI PK </t>
  </si>
  <si>
    <t>2021/07/CLFTTPCDP00798</t>
  </si>
  <si>
    <t>1467824</t>
  </si>
  <si>
    <t>0182140</t>
  </si>
  <si>
    <t>AFF-032</t>
  </si>
  <si>
    <t>TOYOTA PASSO</t>
  </si>
  <si>
    <t>POURWP300047621</t>
  </si>
  <si>
    <t>DIB0027656</t>
  </si>
  <si>
    <t>18-JUL-2019</t>
  </si>
  <si>
    <t>9976AP2191860001</t>
  </si>
  <si>
    <t>HASSAN MUNEER KHAN</t>
  </si>
  <si>
    <t>42301-5324258-7</t>
  </si>
  <si>
    <t>02135876007</t>
  </si>
  <si>
    <t>03365045997</t>
  </si>
  <si>
    <t xml:space="preserve">HOUSE NO A-1, NEELUM COLONY, NEAR USMAN MASJID STREET NO 7 CLIFTON KARACHI </t>
  </si>
  <si>
    <t>2524/00358/0089/07/2017</t>
  </si>
  <si>
    <t>B368278</t>
  </si>
  <si>
    <t>288952</t>
  </si>
  <si>
    <t>SUZUKI HUSTLER</t>
  </si>
  <si>
    <t>POUISD3000747351</t>
  </si>
  <si>
    <t>51/07/2019/ITFM</t>
  </si>
  <si>
    <t>9976AD1211620033</t>
  </si>
  <si>
    <t>MUHAMMAD HASHIM</t>
  </si>
  <si>
    <t>36303-1004995-7</t>
  </si>
  <si>
    <t>0300-8529007</t>
  </si>
  <si>
    <t>03008529007</t>
  </si>
  <si>
    <t xml:space="preserve">PIONEER AUTO CARE NEAR CASANEDOO FURNITURE SHOWROOM OLD BAHAWALPUR ROAD MULTAN </t>
  </si>
  <si>
    <t>62089/00010/07/2022</t>
  </si>
  <si>
    <t>217865</t>
  </si>
  <si>
    <t>10117851</t>
  </si>
  <si>
    <t>OLAMUX300069300</t>
  </si>
  <si>
    <t>108552/07/2021</t>
  </si>
  <si>
    <t>9976AP1222100005</t>
  </si>
  <si>
    <t>REHAN ZAIDI</t>
  </si>
  <si>
    <t>42101-5647664-1</t>
  </si>
  <si>
    <t>03048246434</t>
  </si>
  <si>
    <t xml:space="preserve">HOUSE NO 016 B SJ GARDEN HOUSING SCHEME BEDIAN ROAD LAHORE CANTT LAHORE. PAKISTAN </t>
  </si>
  <si>
    <t>2022-07-205-V01501DP0002136</t>
  </si>
  <si>
    <t>212950027</t>
  </si>
  <si>
    <t>053504</t>
  </si>
  <si>
    <t>LE-19-A-2905</t>
  </si>
  <si>
    <t>OLULHR300088983</t>
  </si>
  <si>
    <t>8170/07/2022/ITFM</t>
  </si>
  <si>
    <t>9976AD1221810033</t>
  </si>
  <si>
    <t>WALEED BIN TARIQ</t>
  </si>
  <si>
    <t>33100-3014128-3</t>
  </si>
  <si>
    <t>03222972222</t>
  </si>
  <si>
    <t>03222972222, 03222972222</t>
  </si>
  <si>
    <t xml:space="preserve">P-7 B BLOCK GULISTAN COLONY NO 2 FS D NEAR AYESHA MASJID FAISALABAD PK </t>
  </si>
  <si>
    <t>2524/03131/00009/07/2022</t>
  </si>
  <si>
    <t>239056</t>
  </si>
  <si>
    <t>10139049</t>
  </si>
  <si>
    <t>OLAFSD300088492</t>
  </si>
  <si>
    <t>8136/07/2022/ITFM</t>
  </si>
  <si>
    <t>CLOSED</t>
  </si>
  <si>
    <t>9976AP1201810004</t>
  </si>
  <si>
    <t>L</t>
  </si>
  <si>
    <t>RAZA IMRAN AHMAD</t>
  </si>
  <si>
    <t>35202-8350249-3</t>
  </si>
  <si>
    <t>03234412066</t>
  </si>
  <si>
    <t>37656510</t>
  </si>
  <si>
    <t xml:space="preserve">SHOP# 14 MAKKAH CENTER SHAHALAM MKT LAHORE </t>
  </si>
  <si>
    <t>50025/00019/11/2018</t>
  </si>
  <si>
    <t>Z538378</t>
  </si>
  <si>
    <t>4164768</t>
  </si>
  <si>
    <t>03-OCT-2020</t>
  </si>
  <si>
    <t>03-Jun-2024</t>
  </si>
  <si>
    <t>PODLHR300040125</t>
  </si>
  <si>
    <t>DIB0026237</t>
  </si>
  <si>
    <t>10-NOV-2018</t>
  </si>
  <si>
    <t>9976AP1183170004</t>
  </si>
  <si>
    <t>997APD1201710019</t>
  </si>
  <si>
    <t>RAO TAHIR SAEED</t>
  </si>
  <si>
    <t>61101-7535056-7</t>
  </si>
  <si>
    <t>03212376700</t>
  </si>
  <si>
    <t>0321-2376700</t>
  </si>
  <si>
    <t>35817337</t>
  </si>
  <si>
    <t xml:space="preserve">H# 12-B PAK ARBAB SOCIETY DISTRECT FEROZ PUR ROAD LAHORE </t>
  </si>
  <si>
    <t>DIB/T/13095/LHR/1116</t>
  </si>
  <si>
    <t>122207</t>
  </si>
  <si>
    <t>10022180</t>
  </si>
  <si>
    <t>21-Apr-2024</t>
  </si>
  <si>
    <t>PODLHR300017064</t>
  </si>
  <si>
    <t>10080/11/2016</t>
  </si>
  <si>
    <t>19-NOV-2016</t>
  </si>
  <si>
    <t>997APD1163270001</t>
  </si>
  <si>
    <t>997APD2202120062</t>
  </si>
  <si>
    <t>SAJIDA KHUSHI MUHAMMAD</t>
  </si>
  <si>
    <t>37405-5873448-4</t>
  </si>
  <si>
    <t>0515552657</t>
  </si>
  <si>
    <t>03335125996</t>
  </si>
  <si>
    <t>2652387 781</t>
  </si>
  <si>
    <t xml:space="preserve">HOUSE NO 221 ST NO 21 E-7 ISLAMABAD </t>
  </si>
  <si>
    <t>2017/11/CLFTTPCDP02283</t>
  </si>
  <si>
    <t>145836</t>
  </si>
  <si>
    <t>10045794</t>
  </si>
  <si>
    <t>03-Jan-2024</t>
  </si>
  <si>
    <t>PODRWP300028149</t>
  </si>
  <si>
    <t>DIB0023205</t>
  </si>
  <si>
    <t>30-NOV-2017</t>
  </si>
  <si>
    <t>997APD2173340033</t>
  </si>
  <si>
    <t>9976AP1201710045</t>
  </si>
  <si>
    <t>DANISH AHMAD</t>
  </si>
  <si>
    <t>35202-0827114-9</t>
  </si>
  <si>
    <t>03330458740</t>
  </si>
  <si>
    <t>03214308750</t>
  </si>
  <si>
    <t xml:space="preserve">OFF# 2 GROUND FLOOR NAZIR MANSION I NSIDE ROYAL PARK LAHORE </t>
  </si>
  <si>
    <t>50025/00056/11/2018</t>
  </si>
  <si>
    <t>174719</t>
  </si>
  <si>
    <t>10074714</t>
  </si>
  <si>
    <t>21-May-2024</t>
  </si>
  <si>
    <t>PODLHR300040282</t>
  </si>
  <si>
    <t>16802/11/2018/SPD</t>
  </si>
  <si>
    <t>15-NOV-2018</t>
  </si>
  <si>
    <t>9976AP1183260008</t>
  </si>
  <si>
    <t>9976AP2201770033</t>
  </si>
  <si>
    <t>NOOR UD DIN</t>
  </si>
  <si>
    <t>42201-9035565-5</t>
  </si>
  <si>
    <t>03059157574</t>
  </si>
  <si>
    <t>03012504842</t>
  </si>
  <si>
    <t>34917574</t>
  </si>
  <si>
    <t xml:space="preserve">C- 22 ROZE GARDEN BLOCK 13 GULISTAN -E- JOHAR OPP RABIA CITY KARACHI PK </t>
  </si>
  <si>
    <t>DIB/T/BT/23203/KHI/1118</t>
  </si>
  <si>
    <t>PKH215661</t>
  </si>
  <si>
    <t>RH413PK212917</t>
  </si>
  <si>
    <t>AXX-635</t>
  </si>
  <si>
    <t>LIANA RXI M/T</t>
  </si>
  <si>
    <t>27-May-2024</t>
  </si>
  <si>
    <t>POUKHI300040554</t>
  </si>
  <si>
    <t>TDIDIB0026058</t>
  </si>
  <si>
    <t>27-NOV-2018</t>
  </si>
  <si>
    <t>9976AP2183310003</t>
  </si>
  <si>
    <t>9976AP2201500002</t>
  </si>
  <si>
    <t>NOOR ALI SHAH BANGASH</t>
  </si>
  <si>
    <t>42301-3557212-7</t>
  </si>
  <si>
    <t>03322602600</t>
  </si>
  <si>
    <t xml:space="preserve">HOUSE # B-8/66 BANGASH MOHALLA A/B SINIA LINE NEAR 2/E BLOCJ 2 PECHS N KARACHI PK </t>
  </si>
  <si>
    <t>49889/00101/10/2018</t>
  </si>
  <si>
    <t>Z455326</t>
  </si>
  <si>
    <t>4083898</t>
  </si>
  <si>
    <t>BGD-455</t>
  </si>
  <si>
    <t>POUKHI300039851</t>
  </si>
  <si>
    <t>FTST</t>
  </si>
  <si>
    <t>16656/10/2018/FTSM</t>
  </si>
  <si>
    <t>30-OCT-2018</t>
  </si>
  <si>
    <t>9976AP2183040021</t>
  </si>
  <si>
    <t>9976AP2201790191</t>
  </si>
  <si>
    <t>35202-0481298-3</t>
  </si>
  <si>
    <t>03234455330</t>
  </si>
  <si>
    <t xml:space="preserve">114-B TARIQ GARDEN LAHORE </t>
  </si>
  <si>
    <t>49889/00125/10/2018</t>
  </si>
  <si>
    <t>2943848</t>
  </si>
  <si>
    <t>JR047274</t>
  </si>
  <si>
    <t>27-Apr-2024</t>
  </si>
  <si>
    <t>PODLHR300039911</t>
  </si>
  <si>
    <t>FTSM</t>
  </si>
  <si>
    <t>16683/10/2018/FTSM</t>
  </si>
  <si>
    <t>31-OCT-2018</t>
  </si>
  <si>
    <t>9976AP2183090001</t>
  </si>
  <si>
    <t>997AAD2203160006</t>
  </si>
  <si>
    <t>ALI RAZA</t>
  </si>
  <si>
    <t>36301-6826794-5</t>
  </si>
  <si>
    <t>0321-4497670</t>
  </si>
  <si>
    <t>111999919-42674</t>
  </si>
  <si>
    <t xml:space="preserve">FLAT#9 BLOCK 10-B TYPE DHA FLAT SHABBIR TOWN RAIWAND ROAD MULTAN </t>
  </si>
  <si>
    <t>53157/00075/11/2020</t>
  </si>
  <si>
    <t>6915165</t>
  </si>
  <si>
    <t>067057</t>
  </si>
  <si>
    <t>27-Nov-2026</t>
  </si>
  <si>
    <t>POALHR300060791</t>
  </si>
  <si>
    <t>DIB0029056</t>
  </si>
  <si>
    <t>23-NOV-2020</t>
  </si>
  <si>
    <t>9976AD1212430122</t>
  </si>
  <si>
    <t>MUHAMMAD ARSHAD ALI</t>
  </si>
  <si>
    <t>35202-2355340-3</t>
  </si>
  <si>
    <t>03214500666</t>
  </si>
  <si>
    <t>31701600</t>
  </si>
  <si>
    <t xml:space="preserve">ARSHAD ALI ASHRAF TRADING CO SHOP NO 6 FRUIT MARKET RAVI LINK ROAD LAHOR </t>
  </si>
  <si>
    <t>56038/00027/10/2021</t>
  </si>
  <si>
    <t>EAS074335</t>
  </si>
  <si>
    <t>6MB038892</t>
  </si>
  <si>
    <t>AUDI E-TRON 50-QUATTRO</t>
  </si>
  <si>
    <t>03-MAR-2022</t>
  </si>
  <si>
    <t>03-Mar-2027</t>
  </si>
  <si>
    <t>OLALHR300072895</t>
  </si>
  <si>
    <t>9976AD1212290004</t>
  </si>
  <si>
    <t>MUHAMMAD USMAN</t>
  </si>
  <si>
    <t>17301-1473739-3</t>
  </si>
  <si>
    <t>03339100587</t>
  </si>
  <si>
    <t>05190808045</t>
  </si>
  <si>
    <t xml:space="preserve">H # 228 ST # 6 PIR JAMSHAID COLONY K.R.L ROAD KHANA RAWALPINDI PK </t>
  </si>
  <si>
    <t>01-2110-PO-MTR-PCCM-D-001492</t>
  </si>
  <si>
    <t>190436</t>
  </si>
  <si>
    <t>1090378</t>
  </si>
  <si>
    <t>27-NOV-2021</t>
  </si>
  <si>
    <t>OLAISD300072088</t>
  </si>
  <si>
    <t>DIB0032364</t>
  </si>
  <si>
    <t>02-NOV-2021</t>
  </si>
  <si>
    <t>9976AD1212120076</t>
  </si>
  <si>
    <t>OMAR ISHAQ</t>
  </si>
  <si>
    <t>35202-8311978-5</t>
  </si>
  <si>
    <t>03222206742</t>
  </si>
  <si>
    <t xml:space="preserve">F - 793 KINARI BAZAR NEAR SOHA MARKET LAHORE 0322-2206742 </t>
  </si>
  <si>
    <t>56038/00054/10/2021</t>
  </si>
  <si>
    <t>312625</t>
  </si>
  <si>
    <t>307488</t>
  </si>
  <si>
    <t>11-FEB-2022</t>
  </si>
  <si>
    <t>11-Feb-2027</t>
  </si>
  <si>
    <t>OLALHR300071389</t>
  </si>
  <si>
    <t>5549/10/2021</t>
  </si>
  <si>
    <t>23-OCT-2021</t>
  </si>
  <si>
    <t>9976AD1201710026</t>
  </si>
  <si>
    <t>MUHAMMAD ZEESHAN QAISAR</t>
  </si>
  <si>
    <t>33202-7493386-1</t>
  </si>
  <si>
    <t>03137759203</t>
  </si>
  <si>
    <t xml:space="preserve">MAIN BAZAR H NO 252 MOH EHSAN COLONY JHANG </t>
  </si>
  <si>
    <t>50866/00023/07/2019</t>
  </si>
  <si>
    <t>21-Jan-2024</t>
  </si>
  <si>
    <t>9976AD1180660001</t>
  </si>
  <si>
    <t>9976AP2192120028</t>
  </si>
  <si>
    <t>FAKHAR MUEEN</t>
  </si>
  <si>
    <t>37405-9484135-9</t>
  </si>
  <si>
    <t>03455100986</t>
  </si>
  <si>
    <t>0514449123</t>
  </si>
  <si>
    <t xml:space="preserve">MUEEN TRADERS SUIT NO 263-B STREET NO 08 SEC NO 01 KHAYABAN E SIR SYED RAWALPINDI </t>
  </si>
  <si>
    <t>DIB/T/41945/LHR/0723</t>
  </si>
  <si>
    <t>L15Z13516425</t>
  </si>
  <si>
    <t>R016431</t>
  </si>
  <si>
    <t>PODRWP300048093</t>
  </si>
  <si>
    <t>1605/07/2019/ITFM</t>
  </si>
  <si>
    <t>9976AP2192120029</t>
  </si>
  <si>
    <t>SAJID MAHMOOD</t>
  </si>
  <si>
    <t>42201-0129580-1</t>
  </si>
  <si>
    <t>03214204199</t>
  </si>
  <si>
    <t xml:space="preserve">VIRK OIL TRADERS RAVI COLONY MAIN BAND ROAD OPP SUZUKI RAVI MOTORS LAHORE </t>
  </si>
  <si>
    <t>DIB/T/41943/KHI/0723</t>
  </si>
  <si>
    <t>2ZR-1392936</t>
  </si>
  <si>
    <t>ZWR80-0030322</t>
  </si>
  <si>
    <t>AJU-468</t>
  </si>
  <si>
    <t>TOYOTA NOAH VAN</t>
  </si>
  <si>
    <t>POULHR300048012</t>
  </si>
  <si>
    <t>DIB0027712</t>
  </si>
  <si>
    <t>9976AP1192120026</t>
  </si>
  <si>
    <t>72614/00003/07/2023</t>
  </si>
  <si>
    <t>09-JUL-2024</t>
  </si>
  <si>
    <t>Z324805</t>
  </si>
  <si>
    <t>NZE170R4046791</t>
  </si>
  <si>
    <t>BEF-399</t>
  </si>
  <si>
    <t>POUHYD300048010</t>
  </si>
  <si>
    <t>DIB0027720</t>
  </si>
  <si>
    <t>9976AP2192120015</t>
  </si>
  <si>
    <t>MUHAMMAD ZAHID</t>
  </si>
  <si>
    <t>33100-9108416-5</t>
  </si>
  <si>
    <t>0300-4203615</t>
  </si>
  <si>
    <t>041-2628808</t>
  </si>
  <si>
    <t xml:space="preserve">HOUSE # P-334, STREET # 11, MOHALLAH HIMAT PURA FAISALABAD, </t>
  </si>
  <si>
    <t>2524/03131/00073/07/2022</t>
  </si>
  <si>
    <t>PK10B161701</t>
  </si>
  <si>
    <t>A1J310PK10061701</t>
  </si>
  <si>
    <t>LEA-18A-8540</t>
  </si>
  <si>
    <t>POUFSD300047992</t>
  </si>
  <si>
    <t>DIB0027713</t>
  </si>
  <si>
    <t>997APD1202890008</t>
  </si>
  <si>
    <t>SALEEM HUSSAIN</t>
  </si>
  <si>
    <t>35202-7139279-3</t>
  </si>
  <si>
    <t>03214613733</t>
  </si>
  <si>
    <t>04237282257</t>
  </si>
  <si>
    <t xml:space="preserve">15/ III MAIN ROAD SHADBAGH TAJ PURA LAHORE </t>
  </si>
  <si>
    <t>DIB/T/37669/LHR/0722</t>
  </si>
  <si>
    <t>L15871404194</t>
  </si>
  <si>
    <t>LR063145</t>
  </si>
  <si>
    <t>HONDA CIVIC TURBO 1.5L</t>
  </si>
  <si>
    <t>PODLHR300056145</t>
  </si>
  <si>
    <t>2771/07/2020/ITFM</t>
  </si>
  <si>
    <t>997AAD1201810003</t>
  </si>
  <si>
    <t>AAMAR HASSAN</t>
  </si>
  <si>
    <t>42301-1335078-3</t>
  </si>
  <si>
    <t>03002029959</t>
  </si>
  <si>
    <t>35873442</t>
  </si>
  <si>
    <t xml:space="preserve">H # 24/2 8 TH STREET KAHABAN-E- RAH AT PHASE 4 RAHAT PARK KARACHI PK </t>
  </si>
  <si>
    <t>62089/00064/07/2022</t>
  </si>
  <si>
    <t>G4NLAH313597</t>
  </si>
  <si>
    <t>NNAQL51AZKP503248</t>
  </si>
  <si>
    <t>POAKHI300054541</t>
  </si>
  <si>
    <t>997APD1202120025</t>
  </si>
  <si>
    <t>AAQIB MUNAWER HUSSAIN</t>
  </si>
  <si>
    <t>42301-7365817-5</t>
  </si>
  <si>
    <t>03082225060</t>
  </si>
  <si>
    <t xml:space="preserve">HOUSE # 123/1 30th STREET KHAYABAN E MUHAFIZ PH-06 DHA NEAR ALI MASJID KARACHI PK </t>
  </si>
  <si>
    <t>DIB/T/37640/KHI/0722</t>
  </si>
  <si>
    <t>R18Z1-2542940</t>
  </si>
  <si>
    <t>R106334</t>
  </si>
  <si>
    <t>AZH-526</t>
  </si>
  <si>
    <t>POUKHI300056082</t>
  </si>
  <si>
    <t>DIB0028535</t>
  </si>
  <si>
    <t>9976AP2192110007</t>
  </si>
  <si>
    <t>ALIA WAQAS</t>
  </si>
  <si>
    <t>61101-0450097-8</t>
  </si>
  <si>
    <t>03331908009</t>
  </si>
  <si>
    <t>0519201721</t>
  </si>
  <si>
    <t xml:space="preserve">H # 401 ST # 58 ALLAMA IQBAL COLONY RAWALPINDI PK </t>
  </si>
  <si>
    <t>62089/00042/07/2022</t>
  </si>
  <si>
    <t>3B20HA3492</t>
  </si>
  <si>
    <t>B11W-0039294</t>
  </si>
  <si>
    <t>AAD-212</t>
  </si>
  <si>
    <t>MITSUBISHI EK WAGON</t>
  </si>
  <si>
    <t>POURWP300047922</t>
  </si>
  <si>
    <t>1564/07/2019/ITFM</t>
  </si>
  <si>
    <t>997APD1182080007</t>
  </si>
  <si>
    <t>SARDAR NOUMAN IJAZ</t>
  </si>
  <si>
    <t>82303-4635000-1</t>
  </si>
  <si>
    <t>03235173389</t>
  </si>
  <si>
    <t>0515495310</t>
  </si>
  <si>
    <t xml:space="preserve">TOPA NAKRAN PO RAWALAKOT DHAMNI SHA RKI PONCH </t>
  </si>
  <si>
    <t>2524/02564/00110/07/2021</t>
  </si>
  <si>
    <t>742539</t>
  </si>
  <si>
    <t>1281060</t>
  </si>
  <si>
    <t>27-JUL-2018</t>
  </si>
  <si>
    <t>PODRWP300036457</t>
  </si>
  <si>
    <t>DIB0025424</t>
  </si>
  <si>
    <t>997APD2202090010</t>
  </si>
  <si>
    <t>MUHAMMAD AMIN</t>
  </si>
  <si>
    <t>35201-5961446-7</t>
  </si>
  <si>
    <t>03004307643, 03004137515</t>
  </si>
  <si>
    <t>03234124043</t>
  </si>
  <si>
    <t xml:space="preserve">H# 114 AUQAF HOUSING SCHEME ST# 20 NEAR KOTLI PIR ABDUL MALIK REHMAN R LAHORE PK </t>
  </si>
  <si>
    <t>2524/02564/00112/07/2021</t>
  </si>
  <si>
    <t>PK10K137418</t>
  </si>
  <si>
    <t>NF1AVK31H10036446</t>
  </si>
  <si>
    <t>LE19-2442</t>
  </si>
  <si>
    <t>POULHR300055895</t>
  </si>
  <si>
    <t>DIB0028478</t>
  </si>
  <si>
    <t>9976AP2192070002</t>
  </si>
  <si>
    <t>MUSTAFA MAZHAR</t>
  </si>
  <si>
    <t>35202-7738605-7</t>
  </si>
  <si>
    <t>03377800455</t>
  </si>
  <si>
    <t xml:space="preserve">H NO 8 MOHALLAH GULSHAN HABIB HABIB ULLAH ROAD GARHI SHAHU LAHORE </t>
  </si>
  <si>
    <t>2021-07-205-V01501OP0001844</t>
  </si>
  <si>
    <t>R06AA336787</t>
  </si>
  <si>
    <t>MK32S522219</t>
  </si>
  <si>
    <t>LE-16A-5453</t>
  </si>
  <si>
    <t>SUZUKI SPICIA</t>
  </si>
  <si>
    <t>POULHR300047852</t>
  </si>
  <si>
    <t>DIB0027683</t>
  </si>
  <si>
    <t>9976AP1192100003</t>
  </si>
  <si>
    <t>MUHAMMAD ASIF JAMIL</t>
  </si>
  <si>
    <t>Peshawar</t>
  </si>
  <si>
    <t>32303-0786630-7</t>
  </si>
  <si>
    <t>03214444529</t>
  </si>
  <si>
    <t>0915275628</t>
  </si>
  <si>
    <t xml:space="preserve">H # 25 / 3 - A JAMRUD LANE UNIVERSI TY TOWN NEAR TOWN WEDDING HALL PESHAWAR PK </t>
  </si>
  <si>
    <t>PL-0721-1101010102-V14-D-00326</t>
  </si>
  <si>
    <t>R286529</t>
  </si>
  <si>
    <t>7110254</t>
  </si>
  <si>
    <t>COROLLA AXIO</t>
  </si>
  <si>
    <t>POUPEW300047848</t>
  </si>
  <si>
    <t>1534/07/2019/ITFM</t>
  </si>
  <si>
    <t>9976AP1192070003</t>
  </si>
  <si>
    <t>SYED SAIFULLAH HUSSAINI</t>
  </si>
  <si>
    <t>42101-6120362-9</t>
  </si>
  <si>
    <t>6649593 03008283487</t>
  </si>
  <si>
    <t>03008283487</t>
  </si>
  <si>
    <t>5868026 7</t>
  </si>
  <si>
    <t xml:space="preserve">D-15/1, BLOCK NO. 3 KDA SCHEME NO. 5 CLIFTON KARACHI 75600 </t>
  </si>
  <si>
    <t>2021-07-CLFTTPCDP000861</t>
  </si>
  <si>
    <t>Z490274</t>
  </si>
  <si>
    <t>4115751</t>
  </si>
  <si>
    <t>BJJ-447</t>
  </si>
  <si>
    <t>COROLLLA GLI M/T</t>
  </si>
  <si>
    <t>POUKHI300047819</t>
  </si>
  <si>
    <t>1537/07/2019/ITFM</t>
  </si>
  <si>
    <t>9976AP1192060002</t>
  </si>
  <si>
    <t>MUTTAHIR HUSSAIN</t>
  </si>
  <si>
    <t>61101-3956807-1</t>
  </si>
  <si>
    <t>03335177837 03125177837</t>
  </si>
  <si>
    <t xml:space="preserve">BIOLINKS SOLUTION OFFICE 23 SHALIMAR FLOOR ARIES TOWER MURREE ROAD SHAMSABAD RAWALPINDI </t>
  </si>
  <si>
    <t>54913/00069/07/2021</t>
  </si>
  <si>
    <t>17524446</t>
  </si>
  <si>
    <t>241571</t>
  </si>
  <si>
    <t>POURWP300047844</t>
  </si>
  <si>
    <t>1539/07/2019/ITFM</t>
  </si>
  <si>
    <t>997APD1202040034</t>
  </si>
  <si>
    <t>MOHAMMAD ARIF</t>
  </si>
  <si>
    <t>33104-2107349-3</t>
  </si>
  <si>
    <t>03007650480</t>
  </si>
  <si>
    <t>03007650480, 03007650480</t>
  </si>
  <si>
    <t xml:space="preserve">P-10 ST NO 4 HASEEB SHAHEED COLONY FSD FAISALABAD PK </t>
  </si>
  <si>
    <t>2524/02564/00062/07/2021</t>
  </si>
  <si>
    <t>204825</t>
  </si>
  <si>
    <t>10104823</t>
  </si>
  <si>
    <t>PODFSD300055341</t>
  </si>
  <si>
    <t>DIB0028440</t>
  </si>
  <si>
    <t>997AAD1201770016</t>
  </si>
  <si>
    <t>SHAHEER AMIR KHAN</t>
  </si>
  <si>
    <t>35202-6009619-5</t>
  </si>
  <si>
    <t>03644666667</t>
  </si>
  <si>
    <t xml:space="preserve">RANA JAMEEL CHOWK KASHMIR ROAD PEOP LES COLONY GUJRANWALA </t>
  </si>
  <si>
    <t>2524/02564/00048/07/2021</t>
  </si>
  <si>
    <t>G3LALP024836</t>
  </si>
  <si>
    <t>NNATA52AZKP702192</t>
  </si>
  <si>
    <t>POAGWL300054489</t>
  </si>
  <si>
    <t>DIB0028438</t>
  </si>
  <si>
    <t>9976AP1172010007</t>
  </si>
  <si>
    <t>ABDULLAH KHALID</t>
  </si>
  <si>
    <t>35201-9061058-7</t>
  </si>
  <si>
    <t>03334309964</t>
  </si>
  <si>
    <t xml:space="preserve">H# 205 J BLOCK PHASE 5 DHA LAHORE PK </t>
  </si>
  <si>
    <t>2021/07/CLFTTPCDP00830</t>
  </si>
  <si>
    <t>2917285</t>
  </si>
  <si>
    <t>020656</t>
  </si>
  <si>
    <t>CIVIC I-VTEC ORIEL P/T</t>
  </si>
  <si>
    <t>PODLHR300023823</t>
  </si>
  <si>
    <t>TDIDIB0020847</t>
  </si>
  <si>
    <t>19-JUL-2017</t>
  </si>
  <si>
    <t>9976AP2192040001</t>
  </si>
  <si>
    <t>ZOHAIB FAROOQ AGHA</t>
  </si>
  <si>
    <t>61101-8382499-9</t>
  </si>
  <si>
    <t>03228264756</t>
  </si>
  <si>
    <t>0512260441</t>
  </si>
  <si>
    <t xml:space="preserve">H # 89 ST # 93 SECTOR # G-9 / 4 ISLAMABAD PK </t>
  </si>
  <si>
    <t>UWT/D/T002/0000000988/0721/109-0</t>
  </si>
  <si>
    <t>197061</t>
  </si>
  <si>
    <t>10097048</t>
  </si>
  <si>
    <t>PODISD300047734</t>
  </si>
  <si>
    <t>DIB0027663</t>
  </si>
  <si>
    <t>9976AP1191980006</t>
  </si>
  <si>
    <t>MUHAMMAD TAJ TAHIR</t>
  </si>
  <si>
    <t>33100-0804313-3</t>
  </si>
  <si>
    <t>03009667872</t>
  </si>
  <si>
    <t>03009667872, 03009667872</t>
  </si>
  <si>
    <t>0412646327</t>
  </si>
  <si>
    <t xml:space="preserve">P-213-A ST NO 2 SHADAB COLONY FSD FAISALABAD PK </t>
  </si>
  <si>
    <t>2021/07/CLFTTPCDPOO844</t>
  </si>
  <si>
    <t>R104227</t>
  </si>
  <si>
    <t>1004204</t>
  </si>
  <si>
    <t>PODFSD300047541</t>
  </si>
  <si>
    <t>1483/07/2019/ITFM</t>
  </si>
  <si>
    <t>9976AP1191970001</t>
  </si>
  <si>
    <t>FATIMA HAIDER ALI SHARIF</t>
  </si>
  <si>
    <t>42101-7870868-2</t>
  </si>
  <si>
    <t>03218214214</t>
  </si>
  <si>
    <t>03218214214, 03218214214</t>
  </si>
  <si>
    <t xml:space="preserve">OFFICE # 355 3RD FLOOR TRADE AVENUE SHAHRA-E-LIAQUAT NEAR UBL TOWER KARACHI </t>
  </si>
  <si>
    <t>DIB/T/BT/28179/KHI/0720</t>
  </si>
  <si>
    <t>R18Z1-2546427</t>
  </si>
  <si>
    <t>NFBFB2668DR19846</t>
  </si>
  <si>
    <t>AZY-947</t>
  </si>
  <si>
    <t>HONDA CIVIC VTI P/T</t>
  </si>
  <si>
    <t>POUKHI300047611</t>
  </si>
  <si>
    <t>DIB0027640</t>
  </si>
  <si>
    <t>9976AP1191990001</t>
  </si>
  <si>
    <t>SOHAIL NADEEM</t>
  </si>
  <si>
    <t>SHEIKUPURA</t>
  </si>
  <si>
    <t>35401-2870279-9</t>
  </si>
  <si>
    <t>03077039562</t>
  </si>
  <si>
    <t xml:space="preserve">KAHLID ROAD STREET # 3 MOHALLAH CHO RI GARAN SHEIKHUPURA </t>
  </si>
  <si>
    <t>2524/02023/00060/07/2020</t>
  </si>
  <si>
    <t>148654</t>
  </si>
  <si>
    <t>10048636</t>
  </si>
  <si>
    <t>PODSHK300047560</t>
  </si>
  <si>
    <t>DIB0027642</t>
  </si>
  <si>
    <t>9976AD1170830005</t>
  </si>
  <si>
    <t>USMAN SIDDIQUE VIRK</t>
  </si>
  <si>
    <t>35201-1683599-3</t>
  </si>
  <si>
    <t>03214807388</t>
  </si>
  <si>
    <t xml:space="preserve">H# 106 B ANGORI BAGH SCHEME 1 SHALI MAR BAGHBANPURA LAHORE PK </t>
  </si>
  <si>
    <t>52456/00099/07/2020</t>
  </si>
  <si>
    <t>693136</t>
  </si>
  <si>
    <t>1231616</t>
  </si>
  <si>
    <t>MEHRAN</t>
  </si>
  <si>
    <t>27-JUL-2017</t>
  </si>
  <si>
    <t>POALHR300020334</t>
  </si>
  <si>
    <t>DIB0021707</t>
  </si>
  <si>
    <t>17-JUL-2017</t>
  </si>
  <si>
    <t>9976AP2191960002</t>
  </si>
  <si>
    <t>AMEEMA EJAZ</t>
  </si>
  <si>
    <t>37405-4516408-8</t>
  </si>
  <si>
    <t>0515524066</t>
  </si>
  <si>
    <t>03035294629</t>
  </si>
  <si>
    <t xml:space="preserve">H NO 241 ST NO 11 ABU BAKAR BLOCK PHASE NO 08 BAHIRA TOWN RWP </t>
  </si>
  <si>
    <t>2524/02023/00012/07/2020</t>
  </si>
  <si>
    <t>7532988</t>
  </si>
  <si>
    <t>KR252211</t>
  </si>
  <si>
    <t>CITY IV-TEC M/T</t>
  </si>
  <si>
    <t>PODISD300047572</t>
  </si>
  <si>
    <t>1486/07/2019/ITFM</t>
  </si>
  <si>
    <t>13-JUL-2019</t>
  </si>
  <si>
    <t>997APD1201960007</t>
  </si>
  <si>
    <t>KOUSAR PARVEEN</t>
  </si>
  <si>
    <t>34201-4790360-4</t>
  </si>
  <si>
    <t>03016206415</t>
  </si>
  <si>
    <t xml:space="preserve">NEAR GOVT GIRLS HIGH SCHOOL AADOWAL ROAD GUJRAT </t>
  </si>
  <si>
    <t>DIB/T/BT/27903/ISB/0720</t>
  </si>
  <si>
    <t>PK10K159822</t>
  </si>
  <si>
    <t>NF1AVK31H10059811</t>
  </si>
  <si>
    <t>CULTUS VXL EURO II</t>
  </si>
  <si>
    <t>PODGJR300055184</t>
  </si>
  <si>
    <t>2692/07/2020/ITFM</t>
  </si>
  <si>
    <t>9976AP2191930006</t>
  </si>
  <si>
    <t>ROBINA NEWTON</t>
  </si>
  <si>
    <t>34603-8234641-8</t>
  </si>
  <si>
    <t>03338039223</t>
  </si>
  <si>
    <t>05137136</t>
  </si>
  <si>
    <t xml:space="preserve">H # KH 948 ST # 7 RAHE - SAKOON COL ONY NEAR RAKSHANDA MESJID RAWALPINDI PK </t>
  </si>
  <si>
    <t>52456/00026/07/2020</t>
  </si>
  <si>
    <t>K176887</t>
  </si>
  <si>
    <t>238149</t>
  </si>
  <si>
    <t>SUZUKI ALTO IMPORTED</t>
  </si>
  <si>
    <t>11-Jul-2024</t>
  </si>
  <si>
    <t>POURWP300047533</t>
  </si>
  <si>
    <t>1478/07/2019/ITFM</t>
  </si>
  <si>
    <t>9976AP1171920004</t>
  </si>
  <si>
    <t>MEHMOOD UL HASSAN</t>
  </si>
  <si>
    <t>35202-7257412-3</t>
  </si>
  <si>
    <t>03369876825</t>
  </si>
  <si>
    <t>357502621</t>
  </si>
  <si>
    <t xml:space="preserve">H# 04 ST# 16 AL NOORANI STREET AL F ATEH ROAD ICHRA LAHORE PK </t>
  </si>
  <si>
    <t>52456/00109/07/2020</t>
  </si>
  <si>
    <t>104461</t>
  </si>
  <si>
    <t>10004454</t>
  </si>
  <si>
    <t>11-JUL-2017</t>
  </si>
  <si>
    <t>PODLHR300023553</t>
  </si>
  <si>
    <t>12595/07/2017/SPD</t>
  </si>
  <si>
    <t>10-JUL-2017</t>
  </si>
  <si>
    <t>997APD1201970012</t>
  </si>
  <si>
    <t>MUHAMMAD SUFIAN</t>
  </si>
  <si>
    <t>33100-6464745-1</t>
  </si>
  <si>
    <t>03156686852</t>
  </si>
  <si>
    <t>03156686852, 03156686852</t>
  </si>
  <si>
    <t>0412645514</t>
  </si>
  <si>
    <t xml:space="preserve">H NO P-170 B-BLOCK SHAHBAZ TOWN ABC ROAD FAISALABAD PK </t>
  </si>
  <si>
    <t>DIB/T/BT/24937/LHR/0719</t>
  </si>
  <si>
    <t>127802</t>
  </si>
  <si>
    <t>1027765</t>
  </si>
  <si>
    <t>ALTL VXL AGS EURO II</t>
  </si>
  <si>
    <t>PODFSD300055198</t>
  </si>
  <si>
    <t>DIB0028388</t>
  </si>
  <si>
    <t>9976AP2191920003</t>
  </si>
  <si>
    <t>SYED SAFDAR RAZA</t>
  </si>
  <si>
    <t>34201-5382900-7</t>
  </si>
  <si>
    <t>03455238675, 051-5157013</t>
  </si>
  <si>
    <t>0519274087</t>
  </si>
  <si>
    <t xml:space="preserve">H # 129 ST # 25 SECTOR B ASKARI 14 RAWALPINDI PK </t>
  </si>
  <si>
    <t>DIB/T/16792/LHR/0717</t>
  </si>
  <si>
    <t>3B20-KQ5820</t>
  </si>
  <si>
    <t>B21W-0310535</t>
  </si>
  <si>
    <t>AMB-823</t>
  </si>
  <si>
    <t>POURWP300047482</t>
  </si>
  <si>
    <t>1467/07/2019/ITFM</t>
  </si>
  <si>
    <t>09-JUL-2019</t>
  </si>
  <si>
    <t>9976AP2191960001</t>
  </si>
  <si>
    <t>MUHAMMAD JAWAD UL HASSAN</t>
  </si>
  <si>
    <t>61101-0409847-3</t>
  </si>
  <si>
    <t>03215138998</t>
  </si>
  <si>
    <t xml:space="preserve">H # C - 2 / 2 ST # 38 PRESS COLONY SECTOR G - 7 / 4 ISLAMABAD PK </t>
  </si>
  <si>
    <t>197749</t>
  </si>
  <si>
    <t>10097745</t>
  </si>
  <si>
    <t>PODISD300047431</t>
  </si>
  <si>
    <t>1463/07/2019</t>
  </si>
  <si>
    <t>08-JUL-2019</t>
  </si>
  <si>
    <t>9976AD1170300008</t>
  </si>
  <si>
    <t>MUHAMMAD NAEEM</t>
  </si>
  <si>
    <t>31102-0566250-1</t>
  </si>
  <si>
    <t>0300-6983167</t>
  </si>
  <si>
    <t xml:space="preserve">SUN REAL ESTATE, B- 182, MOHLANWAL SCHEME, CANAL ROAD LHR LAHORE PK </t>
  </si>
  <si>
    <t>DIB/T/BT/24954/KHI/0719</t>
  </si>
  <si>
    <t>L13Z17463112</t>
  </si>
  <si>
    <t>NFBGM154XHR206478</t>
  </si>
  <si>
    <t>POALHR300018718</t>
  </si>
  <si>
    <t>12578/07/2017</t>
  </si>
  <si>
    <t>06-JUL-2017</t>
  </si>
  <si>
    <t>9976AP1212120059</t>
  </si>
  <si>
    <t>JAWAID SUMAR</t>
  </si>
  <si>
    <t>42201-9378342-5</t>
  </si>
  <si>
    <t>03217328338</t>
  </si>
  <si>
    <t>02135883874</t>
  </si>
  <si>
    <t xml:space="preserve">HOUSE C-277/1A BLOCK 14 GULISTAN-E -JOHAR NEAR AL FAIZAN CNG STATION N KARACHI PK </t>
  </si>
  <si>
    <t>72614/00012/07/2023</t>
  </si>
  <si>
    <t>19-JUL-2024</t>
  </si>
  <si>
    <t>2122603</t>
  </si>
  <si>
    <t>322935</t>
  </si>
  <si>
    <t>BG-4036</t>
  </si>
  <si>
    <t>SUZUKI VITARA GL</t>
  </si>
  <si>
    <t>OLUKHI300071512</t>
  </si>
  <si>
    <t>5239/07/2021</t>
  </si>
  <si>
    <t>9976AP1212110033</t>
  </si>
  <si>
    <t>MALIK RIAZ GHANI</t>
  </si>
  <si>
    <t>34104-5889153-3</t>
  </si>
  <si>
    <t>03000123342</t>
  </si>
  <si>
    <t xml:space="preserve">AL GHANI FLOOR MILLS PLOT NO 45 SUNDAR INDUSTRIAL ESTATE LAHORE </t>
  </si>
  <si>
    <t>2524/03131/00053/07/2022</t>
  </si>
  <si>
    <t>3UR-3275316</t>
  </si>
  <si>
    <t>URJ-201-4203571</t>
  </si>
  <si>
    <t>LEXUS LX570</t>
  </si>
  <si>
    <t>OLUHYD300071289</t>
  </si>
  <si>
    <t>9976AP2212150070</t>
  </si>
  <si>
    <t>JASPAL SINGH</t>
  </si>
  <si>
    <t>17301-0433166-7</t>
  </si>
  <si>
    <t>03211111501</t>
  </si>
  <si>
    <t>35790976</t>
  </si>
  <si>
    <t xml:space="preserve">H# 113 F MODEL TOWN LAHORE PK </t>
  </si>
  <si>
    <t>2524/03131/00047/07/2022</t>
  </si>
  <si>
    <t>G4KMA909726</t>
  </si>
  <si>
    <t>PMHL341BMMW400104</t>
  </si>
  <si>
    <t>SONATA A/T</t>
  </si>
  <si>
    <t>OLDLHR300071405</t>
  </si>
  <si>
    <t>5201/07/2021</t>
  </si>
  <si>
    <t>9976AD1210910107</t>
  </si>
  <si>
    <t>GHULAM FAREED</t>
  </si>
  <si>
    <t>42000-0466764-7</t>
  </si>
  <si>
    <t>03018220194</t>
  </si>
  <si>
    <t xml:space="preserve">HUZAIFA USMAN ENTERPRISES PLOT NO 307 ST NO 02 GATE NO 4 QUAID E AZAM TRUCK STAND HAWKSBAY ROAD KHI </t>
  </si>
  <si>
    <t>UWT/D/T002/00001564/0722/109-0</t>
  </si>
  <si>
    <t>R18Z16923514</t>
  </si>
  <si>
    <t>NFBFC665MR075983</t>
  </si>
  <si>
    <t>HONDA CIVIC VTI ORIEL</t>
  </si>
  <si>
    <t>OLAKHI300067540</t>
  </si>
  <si>
    <t>108543/07/2021</t>
  </si>
  <si>
    <t>9976AD2211230036</t>
  </si>
  <si>
    <t>SHERAZ HASAN</t>
  </si>
  <si>
    <t>42201-6127158-5</t>
  </si>
  <si>
    <t>03453378117</t>
  </si>
  <si>
    <t>02134331335</t>
  </si>
  <si>
    <t xml:space="preserve">PLOT # 427 SECTOR # 7-A KORANGI IND USTRIAL AREA NER NRL KARACHI </t>
  </si>
  <si>
    <t>62089/00058/07/2022</t>
  </si>
  <si>
    <t>216645</t>
  </si>
  <si>
    <t>10116651</t>
  </si>
  <si>
    <t>OLAKHI300068604</t>
  </si>
  <si>
    <t>DIB0031147</t>
  </si>
  <si>
    <t>9976AP2212110018</t>
  </si>
  <si>
    <t>GHULAM HAIDER</t>
  </si>
  <si>
    <t>42201-0363973-5</t>
  </si>
  <si>
    <t>0300-2122047</t>
  </si>
  <si>
    <t>02135061836</t>
  </si>
  <si>
    <t xml:space="preserve">PLOT NO 158 159 SECTOR 24 KORANGI INDUSTRIAL AREA KARACHI </t>
  </si>
  <si>
    <t>62089/00014/07/2022</t>
  </si>
  <si>
    <t>PK10B106268</t>
  </si>
  <si>
    <t>A1J310PK10086249</t>
  </si>
  <si>
    <t>BDQ-529</t>
  </si>
  <si>
    <t>SUZUKI WAGON R VX</t>
  </si>
  <si>
    <t>OLUKHI300071298</t>
  </si>
  <si>
    <t>5178/07/2021</t>
  </si>
  <si>
    <t>9976AP1212120072</t>
  </si>
  <si>
    <t>ANEES ALI</t>
  </si>
  <si>
    <t>34603-4740447-1</t>
  </si>
  <si>
    <t>03336118001</t>
  </si>
  <si>
    <t xml:space="preserve">JINNAH TOWN SHAHABPURA NEAR TAJ DAR E MADINA MASJID SIALKOT PK </t>
  </si>
  <si>
    <t>2524/03131/00070/07/2022</t>
  </si>
  <si>
    <t>178825</t>
  </si>
  <si>
    <t>10078847</t>
  </si>
  <si>
    <t>CULTUS VXL EURO-II</t>
  </si>
  <si>
    <t>OLDSKT30070868</t>
  </si>
  <si>
    <t>5179/07/2021</t>
  </si>
  <si>
    <t>9976AP1212120075</t>
  </si>
  <si>
    <t>HASSAN ZULFIQAR</t>
  </si>
  <si>
    <t>31202-0997307-9</t>
  </si>
  <si>
    <t>03006855505</t>
  </si>
  <si>
    <t>03006855505, 03006855505</t>
  </si>
  <si>
    <t xml:space="preserve">HOUSE NO 65 STREET NO 06 AL MAJEED PARADISE RAFI QAMAR ROAD BAHAWALPUR PK </t>
  </si>
  <si>
    <t>PL-0721-1101010102-V14-D-00292</t>
  </si>
  <si>
    <t>171473</t>
  </si>
  <si>
    <t>NF1AET306H1071279</t>
  </si>
  <si>
    <t>OLDBHP300071118</t>
  </si>
  <si>
    <t>108529/07/2021</t>
  </si>
  <si>
    <t>26-JUL-2021</t>
  </si>
  <si>
    <t>9976AP2212080011</t>
  </si>
  <si>
    <t>ABDUL SAMAD</t>
  </si>
  <si>
    <t>42501-7565111-7</t>
  </si>
  <si>
    <t>03462322412</t>
  </si>
  <si>
    <t xml:space="preserve">219 SEC E PLOT NO E SULTANABAD MT K HAN ROAD FAROOQ-E- AZAM MASJID KARACHI PK </t>
  </si>
  <si>
    <t>2021-07-205-V01501OPOOO1835</t>
  </si>
  <si>
    <t>3240982</t>
  </si>
  <si>
    <t>068649</t>
  </si>
  <si>
    <t>MG MOTOR MG HS TURBO</t>
  </si>
  <si>
    <t>OLDKHI300071113</t>
  </si>
  <si>
    <t>5155/07/2021</t>
  </si>
  <si>
    <t>9976AP1232050002</t>
  </si>
  <si>
    <t>SHEHBAZ HUSSAIN</t>
  </si>
  <si>
    <t>34101-2632747-5</t>
  </si>
  <si>
    <t>03018668697</t>
  </si>
  <si>
    <t>03018668697, 03018668697</t>
  </si>
  <si>
    <t xml:space="preserve">H NO 53-A ST NO 3 MADINA TOWN OFFIC ER COLONY NO 2 FAISALABAD PK </t>
  </si>
  <si>
    <t>2021-07-205-V01501OP0001671</t>
  </si>
  <si>
    <t>8AH023919</t>
  </si>
  <si>
    <t>1003521</t>
  </si>
  <si>
    <t>CHNAGAN OSHAN X7</t>
  </si>
  <si>
    <t>OLDFSD300095575</t>
  </si>
  <si>
    <t>10367/07/2023/ITFM</t>
  </si>
  <si>
    <t>9976AP2222030006</t>
  </si>
  <si>
    <t>FAISAL TARIQ</t>
  </si>
  <si>
    <t>42301-6674198-5</t>
  </si>
  <si>
    <t>03009248384</t>
  </si>
  <si>
    <t xml:space="preserve">HOUSE R-452 A-1 COTTAGE BLOCK -9 NE AR FARZANA DAWA KHANA FEDRAL AREA N KARACHI PK </t>
  </si>
  <si>
    <t>2524/02564/00064/07/2021</t>
  </si>
  <si>
    <t>4040499</t>
  </si>
  <si>
    <t>124266</t>
  </si>
  <si>
    <t>OLUKHI300088824</t>
  </si>
  <si>
    <t>8104/07/2022/ITFM</t>
  </si>
  <si>
    <t>9976AP1211940009</t>
  </si>
  <si>
    <t>MUHAMMAD IKRAM</t>
  </si>
  <si>
    <t>34101-3636058-7</t>
  </si>
  <si>
    <t>03219641111</t>
  </si>
  <si>
    <t xml:space="preserve">HOUSE NO 3 ST NO 1 MOH CLIMAX TOWN GUJRANWALA PK </t>
  </si>
  <si>
    <t>50866/00134/7/2019</t>
  </si>
  <si>
    <t>Q075997</t>
  </si>
  <si>
    <t>6053488</t>
  </si>
  <si>
    <t>TOYOTA COROLA ALTIS A/T</t>
  </si>
  <si>
    <t>OLDGWL300070494</t>
  </si>
  <si>
    <t>5083/07/2021/ITFM</t>
  </si>
  <si>
    <t>9976AD1220290003</t>
  </si>
  <si>
    <t>MUHAMMAD AKRAM CHADHAR</t>
  </si>
  <si>
    <t>Shikarpur</t>
  </si>
  <si>
    <t>35404-7450217-3</t>
  </si>
  <si>
    <t>03007452490</t>
  </si>
  <si>
    <t xml:space="preserve">RIGHT WOOD FURNITURE SHOWROOM CHADH AR HOUSE MOH VIEW COLONY SHEIKHUPUR A SHEIKHUPURA </t>
  </si>
  <si>
    <t>DIB/T/BT/24754/LHR/0719</t>
  </si>
  <si>
    <t>239614</t>
  </si>
  <si>
    <t>1139528</t>
  </si>
  <si>
    <t>OLASHK300083362</t>
  </si>
  <si>
    <t>DIB0034611</t>
  </si>
  <si>
    <t>9976AP2212120038</t>
  </si>
  <si>
    <t>MUHAMMAD ZAHEER KHAN</t>
  </si>
  <si>
    <t>42201-0774272-9</t>
  </si>
  <si>
    <t>03012366927</t>
  </si>
  <si>
    <t xml:space="preserve">H NO 99 STREET 1 SECTOR 35/B AREA K AREA KORANGI KARACHI </t>
  </si>
  <si>
    <t>5491/00071/07/2021</t>
  </si>
  <si>
    <t>2250730</t>
  </si>
  <si>
    <t>4004296</t>
  </si>
  <si>
    <t>OLIKHI300071532</t>
  </si>
  <si>
    <t>DIB0031175</t>
  </si>
  <si>
    <t>9976AP2212140061</t>
  </si>
  <si>
    <t>NEELAM PERVEZ</t>
  </si>
  <si>
    <t>42101-0237456-8</t>
  </si>
  <si>
    <t>03332400900</t>
  </si>
  <si>
    <t>03332400900, 03332400900</t>
  </si>
  <si>
    <t xml:space="preserve">H # R-537 SEC 11-C/3 NORTH KARACHI NEAR HASHMIYA QASMIYA MASJID KARACHI PK </t>
  </si>
  <si>
    <t>54913/00077/07/2021</t>
  </si>
  <si>
    <t>1KR-2069365</t>
  </si>
  <si>
    <t>NSP130-2228379</t>
  </si>
  <si>
    <t>BTU-106</t>
  </si>
  <si>
    <t>VITZ</t>
  </si>
  <si>
    <t>02-AUG-2021</t>
  </si>
  <si>
    <t>OLUKHI300071564</t>
  </si>
  <si>
    <t>DIB0031187</t>
  </si>
  <si>
    <t>9976AP2222110014</t>
  </si>
  <si>
    <t>ZEESHAN NOOR</t>
  </si>
  <si>
    <t>35204-0342672-3</t>
  </si>
  <si>
    <t>03418000065</t>
  </si>
  <si>
    <t xml:space="preserve">H NO 47/A AWT PHASE 1 DEFENCE ROAD NEAR GUJAR HOUSE / DERA GUJAR DA LAHORE PK </t>
  </si>
  <si>
    <t>62089/00108/07/2022</t>
  </si>
  <si>
    <t>190427</t>
  </si>
  <si>
    <t>10090620</t>
  </si>
  <si>
    <t>AJS-668</t>
  </si>
  <si>
    <t>OLULHR300089077</t>
  </si>
  <si>
    <t>8226/07/2022/ITFM</t>
  </si>
  <si>
    <t>9976AP1222110019</t>
  </si>
  <si>
    <t>RANA SARFRAZ AHMED</t>
  </si>
  <si>
    <t>34101-4847826-7</t>
  </si>
  <si>
    <t>03006412312</t>
  </si>
  <si>
    <t xml:space="preserve">NEAR MADINA MASJID ST# 6 MOH WAHDAT COLONY GUJRANWALA PK </t>
  </si>
  <si>
    <t>62089/00101/07/2022</t>
  </si>
  <si>
    <t>158437</t>
  </si>
  <si>
    <t>10058425</t>
  </si>
  <si>
    <t>LEE-18-9802</t>
  </si>
  <si>
    <t>OLUGWL300089075</t>
  </si>
  <si>
    <t>8212/07/2022/ITFM</t>
  </si>
  <si>
    <t>997APD1202120055</t>
  </si>
  <si>
    <t>FARWA ALI</t>
  </si>
  <si>
    <t>37405-8437220-0</t>
  </si>
  <si>
    <t>03340501257</t>
  </si>
  <si>
    <t>0518435473</t>
  </si>
  <si>
    <t xml:space="preserve">H # 110 RAJA MEHBOOB GHAUSIA COLONY RAWALPINDI PK </t>
  </si>
  <si>
    <t>52456/00183/07/2020</t>
  </si>
  <si>
    <t>192948</t>
  </si>
  <si>
    <t>10092952</t>
  </si>
  <si>
    <t>ARF-589</t>
  </si>
  <si>
    <t>SUZUKI WAGON R VXL</t>
  </si>
  <si>
    <t>PODRWP300056169</t>
  </si>
  <si>
    <t>DIB0028544</t>
  </si>
  <si>
    <t>997APD1202120080</t>
  </si>
  <si>
    <t>MUHAMMAD SOHAIL AHMAD</t>
  </si>
  <si>
    <t>35103-6380314-9</t>
  </si>
  <si>
    <t>03008836376</t>
  </si>
  <si>
    <t>055111347348</t>
  </si>
  <si>
    <t xml:space="preserve">FAZAIA HOUSING SCHEME NEAR NAWAB CH OWK PINDI BY PASS GUJRANWALA </t>
  </si>
  <si>
    <t>52456/00194/07/2020</t>
  </si>
  <si>
    <t>PK10K107072</t>
  </si>
  <si>
    <t>NF1AVK31H10007046</t>
  </si>
  <si>
    <t>AEX-190</t>
  </si>
  <si>
    <t>CULTUS VXL EUROII</t>
  </si>
  <si>
    <t>POULHR300056233</t>
  </si>
  <si>
    <t>2814/07/2020/ITFM</t>
  </si>
  <si>
    <t>997APD2202120013</t>
  </si>
  <si>
    <t>MUHAMMAD AMIR KHAN</t>
  </si>
  <si>
    <t>42401-2311576-3</t>
  </si>
  <si>
    <t>03166193864</t>
  </si>
  <si>
    <t xml:space="preserve">HOUSE # 188 SECTOR # C-3 SAEEDABAD BALDIA TOWN NEAR NOOR MASJID KARACHI PK </t>
  </si>
  <si>
    <t>52456/000139/07/2020</t>
  </si>
  <si>
    <t>E07Z-9147643</t>
  </si>
  <si>
    <t>HM2-1904041</t>
  </si>
  <si>
    <t>CY-8408</t>
  </si>
  <si>
    <t>HONDA YAMUS VAN</t>
  </si>
  <si>
    <t>POUKHI300056001</t>
  </si>
  <si>
    <t>DIB0028501</t>
  </si>
  <si>
    <t>997APD1202110001</t>
  </si>
  <si>
    <t>MUHAMMAD ADNAN</t>
  </si>
  <si>
    <t>37405-6729000-3</t>
  </si>
  <si>
    <t>03315057200</t>
  </si>
  <si>
    <t xml:space="preserve">ADNAN DAIRY FARM KALMA CHOCK DHOKE SYEDAN RWP RAWALPINDI </t>
  </si>
  <si>
    <t>52456/00135/07/2020</t>
  </si>
  <si>
    <t>328603</t>
  </si>
  <si>
    <t>7027714</t>
  </si>
  <si>
    <t>AGS-970</t>
  </si>
  <si>
    <t>POURWP300055981</t>
  </si>
  <si>
    <t>DIB0028495</t>
  </si>
  <si>
    <t>9976AP1212110034</t>
  </si>
  <si>
    <t>34603-3809368-9</t>
  </si>
  <si>
    <t>03431471854</t>
  </si>
  <si>
    <t xml:space="preserve">H NO D 2 132 KV GRID STATION SHAHAB PURA SIALKOT PK </t>
  </si>
  <si>
    <t>54913/00048/07/2021</t>
  </si>
  <si>
    <t>R06A-1988492</t>
  </si>
  <si>
    <t>DA17V-208042</t>
  </si>
  <si>
    <t>EVERY</t>
  </si>
  <si>
    <t>OLUSKT300071225</t>
  </si>
  <si>
    <t>5174/07/2021</t>
  </si>
  <si>
    <t>9976AP1222090008</t>
  </si>
  <si>
    <t>MUHAMMAD NAVEED</t>
  </si>
  <si>
    <t>41103-6034647-1</t>
  </si>
  <si>
    <t>03332762306</t>
  </si>
  <si>
    <t xml:space="preserve">FLAT# 304 3RD FLOOR HABIB CITY OPP SPARK SCHOOL PAKORA STOP QASIMABAD HYDERABAD CELL : 03332762306 </t>
  </si>
  <si>
    <t>62089/00077/07/2022</t>
  </si>
  <si>
    <t>160674</t>
  </si>
  <si>
    <t>10060686</t>
  </si>
  <si>
    <t>BSL-313</t>
  </si>
  <si>
    <t>OLUHYD300088910</t>
  </si>
  <si>
    <t>8159/07/2022/ITFM</t>
  </si>
  <si>
    <t>9976AP2222080008</t>
  </si>
  <si>
    <t>BANO IQBAL</t>
  </si>
  <si>
    <t>42000-3956345-8</t>
  </si>
  <si>
    <t>03322746242</t>
  </si>
  <si>
    <t xml:space="preserve">HOUSE # B-721 FB AREA BLOCK 13 NEAR RAFAE-AAM HOSPITAL KARACHI PK </t>
  </si>
  <si>
    <t>62089/00067/07/2022</t>
  </si>
  <si>
    <t>6R108602</t>
  </si>
  <si>
    <t>1008577</t>
  </si>
  <si>
    <t>BQU-101</t>
  </si>
  <si>
    <t>OLUKHI300088867</t>
  </si>
  <si>
    <t>8133/07/2022/ITFM</t>
  </si>
  <si>
    <t>9976AP2192070004</t>
  </si>
  <si>
    <t>KASHIF IJAZ</t>
  </si>
  <si>
    <t>35201-4888879-1</t>
  </si>
  <si>
    <t>03224656899</t>
  </si>
  <si>
    <t xml:space="preserve">OFFICE 258 D BLOCK LANE # 3 PAF COL ONY ZARAR SHAHEED ROAD CANTT OPPOSI TE ASKARI 9 LAHORE </t>
  </si>
  <si>
    <t>PK10K111693</t>
  </si>
  <si>
    <t>NFIAVK31H10011681</t>
  </si>
  <si>
    <t>LEB-18-9599</t>
  </si>
  <si>
    <t>POULHR300047862</t>
  </si>
  <si>
    <t>DIB0027681</t>
  </si>
  <si>
    <t>997APD1202090001</t>
  </si>
  <si>
    <t>ASMA ALAM</t>
  </si>
  <si>
    <t>61101-1888615-0</t>
  </si>
  <si>
    <t>03335601950</t>
  </si>
  <si>
    <t>0519267064</t>
  </si>
  <si>
    <t xml:space="preserve">H # 37 ST # 9 SECTOR # G-13/3 ISLAMABAD PK </t>
  </si>
  <si>
    <t>52456/00103/07/2020</t>
  </si>
  <si>
    <t>1276675</t>
  </si>
  <si>
    <t>1026680</t>
  </si>
  <si>
    <t>AQC-951</t>
  </si>
  <si>
    <t>PODISD300055833</t>
  </si>
  <si>
    <t>DIB0028471</t>
  </si>
  <si>
    <t>9976AD1210200027</t>
  </si>
  <si>
    <t>MUHAMMAD IQBAL</t>
  </si>
  <si>
    <t>OKARA</t>
  </si>
  <si>
    <t>35302-1998492-7</t>
  </si>
  <si>
    <t>0442550131</t>
  </si>
  <si>
    <t>03216950032</t>
  </si>
  <si>
    <t>0442513333</t>
  </si>
  <si>
    <t xml:space="preserve">69 GRAIN MARKET OKARA (KARAM TRADERS) </t>
  </si>
  <si>
    <t>54913/00035/07/2021</t>
  </si>
  <si>
    <t>SFG15T21732956</t>
  </si>
  <si>
    <t>PDF580PALR21G1150</t>
  </si>
  <si>
    <t xml:space="preserve"> 580SUV</t>
  </si>
  <si>
    <t>20-JAN-2021</t>
  </si>
  <si>
    <t>OLAOKR300065112</t>
  </si>
  <si>
    <t>5145/07/2021/ITFM</t>
  </si>
  <si>
    <t>9976AP1231990015</t>
  </si>
  <si>
    <t>SYED MURTAZA IMAM ABIDI</t>
  </si>
  <si>
    <t>42101-4020038-3</t>
  </si>
  <si>
    <t>03339995729</t>
  </si>
  <si>
    <t>03339995729, 03339995729</t>
  </si>
  <si>
    <t xml:space="preserve">PLOT # C-165 FLAT # 110 FIRST FLOOR FATIMA PALACE BLOCK 3 PECHS NEAR S KARACHI PK </t>
  </si>
  <si>
    <t>72614/00008/07/2023</t>
  </si>
  <si>
    <t>1015511</t>
  </si>
  <si>
    <t>115510</t>
  </si>
  <si>
    <t>SUZUKI SWIFT GLX CVT</t>
  </si>
  <si>
    <t>OLDKHI300095403</t>
  </si>
  <si>
    <t>10353/07/2023/ITFM</t>
  </si>
  <si>
    <t>9976AP1212080024</t>
  </si>
  <si>
    <t>MARVI</t>
  </si>
  <si>
    <t>LARKANA</t>
  </si>
  <si>
    <t>43201-6957044-0</t>
  </si>
  <si>
    <t>03005509348</t>
  </si>
  <si>
    <t xml:space="preserve">BANGLOW # B-56 SACHAL COLONY NEAR Z ABIST LARKANA LARKANA PK </t>
  </si>
  <si>
    <t>DIB/T/BT/32620/HYD/0721</t>
  </si>
  <si>
    <t>2036796</t>
  </si>
  <si>
    <t>2224031</t>
  </si>
  <si>
    <t>OLULRK300070783</t>
  </si>
  <si>
    <t>TDIDIB0029479</t>
  </si>
  <si>
    <t>9976AD2210280003</t>
  </si>
  <si>
    <t>SHAHIDA JAFFRI</t>
  </si>
  <si>
    <t>41204-4264273-0</t>
  </si>
  <si>
    <t>03332302992</t>
  </si>
  <si>
    <t xml:space="preserve">C-112 BANGLOW TPS COLONY JAMSHORO N EAR POWR HOUSE HYDERABAD PK </t>
  </si>
  <si>
    <t>54913/00022/07/2021</t>
  </si>
  <si>
    <t>Q077415</t>
  </si>
  <si>
    <t>6054889</t>
  </si>
  <si>
    <t>COROLLA ALTIS A/T</t>
  </si>
  <si>
    <t>28-JAN-2021</t>
  </si>
  <si>
    <t>OLAKHI300065190</t>
  </si>
  <si>
    <t>DIB0031015</t>
  </si>
  <si>
    <t>9976AD2211480013</t>
  </si>
  <si>
    <t>34203-6456030-1</t>
  </si>
  <si>
    <t>03425103840</t>
  </si>
  <si>
    <t xml:space="preserve">MUHAMMAD ASHRAF HOUSE GADI GURRAHA NEAR JAMIA MASJID BILAL SARA-I-ALAMGIR PK </t>
  </si>
  <si>
    <t>54913/00019/07/2021</t>
  </si>
  <si>
    <t>2600843</t>
  </si>
  <si>
    <t>075784</t>
  </si>
  <si>
    <t>HONDA CIVIC 1.5L TURBO</t>
  </si>
  <si>
    <t>28-MAY-2021</t>
  </si>
  <si>
    <t>OLAJHM300068942</t>
  </si>
  <si>
    <t>DIB0031020</t>
  </si>
  <si>
    <t>9976AD2170310028</t>
  </si>
  <si>
    <t>KANWAL SHAHZADI</t>
  </si>
  <si>
    <t>34502-1467389-8</t>
  </si>
  <si>
    <t>0304-6043434</t>
  </si>
  <si>
    <t xml:space="preserve">H NO 52 ST NO 2 GULISTAN TOWN BAGHAT PURA ABU BAKAR STOP LAHORE </t>
  </si>
  <si>
    <t>DIB/T/16798/LHR/0717</t>
  </si>
  <si>
    <t>Z496444</t>
  </si>
  <si>
    <t>4123135</t>
  </si>
  <si>
    <t>LEH-17-877</t>
  </si>
  <si>
    <t>31-JAN-2017</t>
  </si>
  <si>
    <t>POALHR300018839</t>
  </si>
  <si>
    <t>12637/07/2017</t>
  </si>
  <si>
    <t>15-JUL-2017</t>
  </si>
  <si>
    <t>997APD1201960010</t>
  </si>
  <si>
    <t>FAISAL IQBAL</t>
  </si>
  <si>
    <t>42000-0544013-5</t>
  </si>
  <si>
    <t>03215054998</t>
  </si>
  <si>
    <t>03215054998, 03215054998</t>
  </si>
  <si>
    <t xml:space="preserve">HOUSE # 11/2/1 1ST FLOOR SHEET # 19 MODEL COLONY AWAMI HOTEL KARACHI PK </t>
  </si>
  <si>
    <t>52456/00033/07/2020</t>
  </si>
  <si>
    <t>PKS-13041426</t>
  </si>
  <si>
    <t>RS413PK10041424</t>
  </si>
  <si>
    <t>BNG-941</t>
  </si>
  <si>
    <t>SWIFT DLX ABS WITH EBD</t>
  </si>
  <si>
    <t>POUKHI300055221</t>
  </si>
  <si>
    <t>2696/07/2020/ITFM</t>
  </si>
  <si>
    <t>9976AP1211900003</t>
  </si>
  <si>
    <t>MUHAMMAD SAJJAD</t>
  </si>
  <si>
    <t>35404-8556517-1</t>
  </si>
  <si>
    <t>03004293253</t>
  </si>
  <si>
    <t xml:space="preserve">M/S BRIGHT CONSTRUCTION HAROON STREET TARIQ ROAD HOUSE NO 231 SHEIKHUPURA </t>
  </si>
  <si>
    <t>54913/00010/07/2021</t>
  </si>
  <si>
    <t>339504</t>
  </si>
  <si>
    <t>7038669</t>
  </si>
  <si>
    <t>LED-19-4897</t>
  </si>
  <si>
    <t>OLUSHK300070472</t>
  </si>
  <si>
    <t>5076/07/2021/ITFM</t>
  </si>
  <si>
    <t>9976AD1170790006</t>
  </si>
  <si>
    <t>MARYAM AHMED ALI</t>
  </si>
  <si>
    <t>35202-2084357-4</t>
  </si>
  <si>
    <t>03224999283</t>
  </si>
  <si>
    <t>35340510</t>
  </si>
  <si>
    <t xml:space="preserve">H # 2 BLOCK 13-D ST # 10 MOHALLA WA FAQI COLONY LAHORE PK </t>
  </si>
  <si>
    <t>01-1706-PO-MTR-PCCM-D-001865</t>
  </si>
  <si>
    <t>134011</t>
  </si>
  <si>
    <t>10033989</t>
  </si>
  <si>
    <t>LEH-17-2385</t>
  </si>
  <si>
    <t>20-MAR-2017</t>
  </si>
  <si>
    <t>LHR300020167</t>
  </si>
  <si>
    <t>DIB0021553</t>
  </si>
  <si>
    <t>07-JUL-2017</t>
  </si>
  <si>
    <t>9976AD2220320024</t>
  </si>
  <si>
    <t>31104-8520483-1</t>
  </si>
  <si>
    <t>03034937462</t>
  </si>
  <si>
    <t xml:space="preserve">GHAZI RECOVERIES COMPANY BAHAWALPUR MOTORS NEAR SERANI MASJID MULTAN ROAD BAHAWALPUR MOB# 03034937462 </t>
  </si>
  <si>
    <t>62089/00008/07/2022</t>
  </si>
  <si>
    <t>239259</t>
  </si>
  <si>
    <t>1139256</t>
  </si>
  <si>
    <t>01-FEB-2022</t>
  </si>
  <si>
    <t>OLABHP300083933</t>
  </si>
  <si>
    <t>8002/07/2022/ITFM</t>
  </si>
  <si>
    <t>9976AD2201640009</t>
  </si>
  <si>
    <t>MOAZAM ALI</t>
  </si>
  <si>
    <t>35202-6034345-5</t>
  </si>
  <si>
    <t>0313-4391569</t>
  </si>
  <si>
    <t xml:space="preserve">H# 29/11 AWAN STREET GUNJ BAKSH ROAD ICHRA LAHORE </t>
  </si>
  <si>
    <t>DIB/T/16763/LHR/0717</t>
  </si>
  <si>
    <t>134568</t>
  </si>
  <si>
    <t>10034552</t>
  </si>
  <si>
    <t>LEF-17-6078</t>
  </si>
  <si>
    <t>27-FEB-2017</t>
  </si>
  <si>
    <t>POALHR300019418</t>
  </si>
  <si>
    <t>TDIDIB0020817</t>
  </si>
  <si>
    <t>05-JUL-2017</t>
  </si>
  <si>
    <t>9976AD1170410001</t>
  </si>
  <si>
    <t>RAJA BILAL AHMED</t>
  </si>
  <si>
    <t>36501-1839920-3</t>
  </si>
  <si>
    <t>03004831183</t>
  </si>
  <si>
    <t>35321461</t>
  </si>
  <si>
    <t xml:space="preserve">ALI AKBAR GROUP, 1KM FROM BHPTIAN CHOWK, DEFENCE ROAD OFF RAIWIND ROAD, LAHORE LAHORE </t>
  </si>
  <si>
    <t>01-1707-PO-MTR-PCCM-D-001881</t>
  </si>
  <si>
    <t>134601</t>
  </si>
  <si>
    <t>10034588</t>
  </si>
  <si>
    <t>LEF-17-9094</t>
  </si>
  <si>
    <t>10-FEB-2017</t>
  </si>
  <si>
    <t>POALHR300019104</t>
  </si>
  <si>
    <t>12564/07/2017</t>
  </si>
  <si>
    <t>04-JUL-2017</t>
  </si>
  <si>
    <t>9976AD1170590004</t>
  </si>
  <si>
    <t>ANAM WAQAR UD DEEN</t>
  </si>
  <si>
    <t>35202-9472316-2</t>
  </si>
  <si>
    <t>04235710500</t>
  </si>
  <si>
    <t>03334556352</t>
  </si>
  <si>
    <t>04235694672</t>
  </si>
  <si>
    <t xml:space="preserve">FISHBOWL, 181/1, 1ST FLOOR, Y BLOCK COMMERCIAL, PHASE 3, DHA LAHORE CANTT PAKISTAN </t>
  </si>
  <si>
    <t>01-1707-PO-MTR-PCCM-D-001879</t>
  </si>
  <si>
    <t>134531</t>
  </si>
  <si>
    <t>10034514</t>
  </si>
  <si>
    <t>LEF-17-9092</t>
  </si>
  <si>
    <t>28-FEB-2017</t>
  </si>
  <si>
    <t>PAOLHR300019602</t>
  </si>
  <si>
    <t>DIB0021632</t>
  </si>
  <si>
    <t>997AAD1201770015</t>
  </si>
  <si>
    <t>ALI NASIR</t>
  </si>
  <si>
    <t>33100-3664793-9</t>
  </si>
  <si>
    <t>03217658585</t>
  </si>
  <si>
    <t>03217658585, 03217658585</t>
  </si>
  <si>
    <t xml:space="preserve">H NO P-16 JUDICIAL COLONY SHEIKHUP URA ROAD FSD NEAR SITARA VALLEY FAISALABAD PK </t>
  </si>
  <si>
    <t>52283/00057/06/2020</t>
  </si>
  <si>
    <t>17538358</t>
  </si>
  <si>
    <t>R260093</t>
  </si>
  <si>
    <t>AQV-340</t>
  </si>
  <si>
    <t>25-JUN-2020</t>
  </si>
  <si>
    <t>POAFSD300054474</t>
  </si>
  <si>
    <t>2640/06/2020/ITFM</t>
  </si>
  <si>
    <t>03-JUL-2020</t>
  </si>
  <si>
    <t>9976AD2191510001</t>
  </si>
  <si>
    <t>NAEEM AKHTAR</t>
  </si>
  <si>
    <t>33100-0832228-9</t>
  </si>
  <si>
    <t>03007626063</t>
  </si>
  <si>
    <t>03007626063, 03007626063</t>
  </si>
  <si>
    <t xml:space="preserve">646/ F BLOCK GULISTAN COLONY FSD FAISALABAD PK </t>
  </si>
  <si>
    <t>50866/00004/07/2019</t>
  </si>
  <si>
    <t>3516088</t>
  </si>
  <si>
    <t>KR016098</t>
  </si>
  <si>
    <t>ANX-445</t>
  </si>
  <si>
    <t>BR-V I-VTEC S CVT</t>
  </si>
  <si>
    <t>31-MAY-2019</t>
  </si>
  <si>
    <t>POAFSD300046522</t>
  </si>
  <si>
    <t>1446/07/2019</t>
  </si>
  <si>
    <t>9976AP2211720005</t>
  </si>
  <si>
    <t>NISAR AHMAD</t>
  </si>
  <si>
    <t>22601-1746044-9</t>
  </si>
  <si>
    <t>03455544993</t>
  </si>
  <si>
    <t xml:space="preserve">H # L-522 SHIREEN JINNAH COLONY CLI FTON BLOCK 1 KARACHI PK </t>
  </si>
  <si>
    <t>54561/00032/06/2021</t>
  </si>
  <si>
    <t>3020193</t>
  </si>
  <si>
    <t>105759</t>
  </si>
  <si>
    <t>MG MOTORS MG ZS 1.5L PETROL</t>
  </si>
  <si>
    <t>OLDKHI300069611</t>
  </si>
  <si>
    <t>DIB0030730</t>
  </si>
  <si>
    <t>Policy # 2024</t>
  </si>
  <si>
    <t>Tms Prem</t>
  </si>
  <si>
    <t>Difference</t>
  </si>
  <si>
    <t>KHI/HO/D/MO/PC COMP/C/93577/3/07/2024</t>
  </si>
  <si>
    <t>KHI/HO/D/MO/PC COMP/C/93577/4/07/2024</t>
  </si>
  <si>
    <t>KHI/HO/D/MO/PC COMP/C/93577/10/07/2024</t>
  </si>
  <si>
    <t>KHI/HO/D/MO/PC COMP/C/93577/11/07/2024</t>
  </si>
  <si>
    <t>KHI/HO/D/MO/PC COMP/C/93577/12/07/2024</t>
  </si>
  <si>
    <t>KHI/HO/D/MO/PC COMP/C/93577/16/07/2024</t>
  </si>
  <si>
    <t>KHI/HO/D/MO/PC COMP/C/93577/17/07/2024</t>
  </si>
  <si>
    <t>KHI/HO/D/MO/PC COMP/C/93577/20/07/2024</t>
  </si>
  <si>
    <t>KHI/HO/D/MO/PC COMP/C/93577/23/07/2024</t>
  </si>
  <si>
    <t>KHI/HO/D/MO/PC COMP/C/93577/24/07/2024</t>
  </si>
  <si>
    <t>KHI/HO/D/MO/PC COMP/C/93577/26/07/2024</t>
  </si>
  <si>
    <t>KHI/HO/D/MO/PC COMP/C/93577/28/07/2024</t>
  </si>
  <si>
    <t>KHI/HO/D/MO/PC COMP/C/93577/32/07/2024</t>
  </si>
  <si>
    <t>KHI/HO/D/MO/PC COMP/C/93577/35/07/2024</t>
  </si>
  <si>
    <t>KHI/HO/D/MO/PC COMP/C/93577/36/07/2024</t>
  </si>
  <si>
    <t>KHI/HO/D/MO/PC COMP/C/93577/37/07/2024</t>
  </si>
  <si>
    <t>KHI/HO/D/MO/PC COMP/C/93577/38/07/2024</t>
  </si>
  <si>
    <t>KHI/HO/D/MO/PC COMP/C/93577/43/07/2024</t>
  </si>
  <si>
    <t>KHI/HO/D/MO/PC COMP/C/93577/45/07/2024</t>
  </si>
  <si>
    <t>KHI/HO/D/MO/PC COMP/C/93577/46/07/2024</t>
  </si>
  <si>
    <t>KHI/HO/D/MO/PC COMP/C/93577/53/07/2024</t>
  </si>
  <si>
    <t>KHI/HO/D/MO/PC COMP/C/93577/56/07/2024</t>
  </si>
  <si>
    <t>KHI/HO/D/MO/PC COMP/C/93577/59/07/2024</t>
  </si>
  <si>
    <t>KHI/HO/D/MO/PC COMP/C/93577/62/07/2024</t>
  </si>
  <si>
    <t>KHI/HO/D/MO/PC COMP/C/93577/64/07/2024</t>
  </si>
  <si>
    <t>KHI/HO/D/MO/PC COMP/C/93577/67/07/2024</t>
  </si>
  <si>
    <t>KHI/HO/D/MO/PC COMP/C/93577/68/07/2024</t>
  </si>
  <si>
    <t>KHI/HO/D/MO/PC COMP/C/93577/71/07/2024</t>
  </si>
  <si>
    <t>KHI/HO/D/MO/PC COMP/C/93577/74/07/2024</t>
  </si>
  <si>
    <t>KHI/HO/D/MO/PC COMP/C/93577/77/07/2024</t>
  </si>
  <si>
    <t>KHI/HO/D/MO/PC COMP/C/93577/88/07/2024</t>
  </si>
  <si>
    <t>KHI/HO/D/MO/PC COMP/C/93577/89/07/2024</t>
  </si>
  <si>
    <t>KHI/HO/D/MO/PC COMP/C/93577/90/07/2024</t>
  </si>
  <si>
    <t>KHI/HO/D/MO/PC COMP/C/93577/92/07/2024</t>
  </si>
  <si>
    <t>KHI/HO/D/MO/PC COMP/C/93577/95/07/2024</t>
  </si>
  <si>
    <t>KHI/HO/D/MO/PC COMP/C/93577/96/07/2024</t>
  </si>
  <si>
    <t>KHI/HO/D/MO/PC COMP/C/93577/97/07/2024</t>
  </si>
  <si>
    <t>KHI/HO/D/MO/PC COMP/C/93577/98/07/2024</t>
  </si>
  <si>
    <t>KHI/HO/D/MO/PC COMP/C/93577/1/07/2024</t>
  </si>
  <si>
    <t>KHI/HO/D/MO/PC COMP/C/93577/2/07/2024</t>
  </si>
  <si>
    <t>KHI/HO/D/MO/PC COMP/C/93577/6/07/2024</t>
  </si>
  <si>
    <t>KHI/HO/D/MO/PC COMP/C/93577/108/07/2024</t>
  </si>
  <si>
    <t>KHI/HO/D/MO/PC COMP/C/93577/9/07/2024</t>
  </si>
  <si>
    <t>KHI/HO/D/MO/PC COMP/C/93577/13/07/2024</t>
  </si>
  <si>
    <t>KHI/HO/D/MO/PC COMP/C/93577/14/07/2024</t>
  </si>
  <si>
    <t>KHI/HO/D/MO/PC COMP/C/93577/15/07/2024</t>
  </si>
  <si>
    <t>KHI/HO/D/MO/PC COMP/C/93577/18/07/2024</t>
  </si>
  <si>
    <t>KHI/HO/D/MO/PC COMP/C/93577/116/07/2024</t>
  </si>
  <si>
    <t>KHI/HO/D/MO/PC COMP/C/93577/19/07/2024</t>
  </si>
  <si>
    <t>KHI/HO/D/MO/PC COMP/C/93577/21/07/2024</t>
  </si>
  <si>
    <t>KHI/HO/D/MO/PC COMP/C/93577/119/07/2024</t>
  </si>
  <si>
    <t>KHI/HO/D/MO/PC COMP/C/93577/22/07/2024</t>
  </si>
  <si>
    <t>KHI/HO/D/MO/PC COMP/C/93577/27/07/2024</t>
  </si>
  <si>
    <t>KHI/HO/D/MO/PC COMP/C/93577/121/07/2024</t>
  </si>
  <si>
    <t>KHI/HO/D/MO/PC COMP/C/93577/29/07/2024</t>
  </si>
  <si>
    <t>KHI/HO/D/MO/PC COMP/C/93577/123/07/2024</t>
  </si>
  <si>
    <t>KHI/HO/D/MO/PC COMP/C/93577/30/07/2024</t>
  </si>
  <si>
    <t>KHI/HO/D/MO/PC COMP/C/93577/125/07/2024</t>
  </si>
  <si>
    <t>KHI/HO/D/MO/PC COMP/C/93577/31/07/2024</t>
  </si>
  <si>
    <t>KHI/HO/D/MO/PC COMP/C/93577/33/07/2024</t>
  </si>
  <si>
    <t>KHI/HO/D/MO/PC COMP/C/93577/129/07/2024</t>
  </si>
  <si>
    <t>KHI/HO/D/MO/PC COMP/C/93577/34/07/2024</t>
  </si>
  <si>
    <t>KHI/HO/D/MO/PC COMP/C/93577/130/07/2024</t>
  </si>
  <si>
    <t>KHI/HO/D/MO/PC COMP/C/93577/39/07/2024</t>
  </si>
  <si>
    <t>KHI/HO/D/MO/PC COMP/C/93577/132/07/2024</t>
  </si>
  <si>
    <t>KHI/HO/D/MO/PC COMP/C/93577/40/07/2024</t>
  </si>
  <si>
    <t>KHI/HO/D/MO/PC COMP/C/93577/41/07/2024</t>
  </si>
  <si>
    <t>KHI/HO/D/MO/PC COMP/C/93577/42/07/2024</t>
  </si>
  <si>
    <t>KHI/HO/D/MO/PC COMP/C/93577/44/07/2024</t>
  </si>
  <si>
    <t>KHI/HO/D/MO/PC COMP/C/93577/47/07/2024</t>
  </si>
  <si>
    <t>KHI/HO/D/MO/PC COMP/C/93577/48/07/2024</t>
  </si>
  <si>
    <t>KHI/HO/D/MO/PC COMP/C/93577/49/07/2024</t>
  </si>
  <si>
    <t>KHI/HO/D/MO/PC COMP/C/93577/145/07/2024</t>
  </si>
  <si>
    <t>KHI/HO/D/MO/PC COMP/C/93577/50/07/2024</t>
  </si>
  <si>
    <t>KHI/HO/D/MO/PC COMP/C/93577/51/07/2024</t>
  </si>
  <si>
    <t>KHI/HO/D/MO/PC COMP/C/93577/52/07/2024</t>
  </si>
  <si>
    <t>KHI/HO/D/MO/PC COMP/C/93577/54/07/2024</t>
  </si>
  <si>
    <t>KHI/HO/D/MO/PC COMP/C/93577/55/07/2024</t>
  </si>
  <si>
    <t>KHI/HO/D/MO/PC COMP/C/93577/57/07/2024</t>
  </si>
  <si>
    <t>KHI/HO/D/MO/PC COMP/C/93577/58/07/2024</t>
  </si>
  <si>
    <t>KHI/HO/D/MO/PC COMP/C/93577/60/07/2024</t>
  </si>
  <si>
    <t>KHI/HO/D/MO/PC COMP/C/93577/61/07/2024</t>
  </si>
  <si>
    <t>KHI/HO/D/MO/PC COMP/C/93577/63/07/2024</t>
  </si>
  <si>
    <t>KHI/HO/D/MO/PC COMP/C/93577/65/07/2024</t>
  </si>
  <si>
    <t>KHI/HO/D/MO/PC COMP/C/93577/66/07/2024</t>
  </si>
  <si>
    <t>KHI/HO/D/MO/PC COMP/C/93577/69/07/2024</t>
  </si>
  <si>
    <t>KHI/HO/D/MO/PC COMP/C/93577/70/07/2024</t>
  </si>
  <si>
    <t>KHI/HO/D/MO/PC COMP/C/93577/72/07/2024</t>
  </si>
  <si>
    <t>KHI/HO/D/MO/PC COMP/C/93577/73/07/2024</t>
  </si>
  <si>
    <t>KHI/HO/D/MO/PC COMP/C/93577/75/07/2024</t>
  </si>
  <si>
    <t>KHI/HO/D/MO/PC COMP/C/93577/76/07/2024</t>
  </si>
  <si>
    <t>KHI/HO/D/MO/PC COMP/C/93577/78/07/2024</t>
  </si>
  <si>
    <t>KHI/HO/D/MO/PC COMP/C/93577/79/07/2024</t>
  </si>
  <si>
    <t>KHI/HO/D/MO/PC COMP/C/93577/171/07/2024</t>
  </si>
  <si>
    <t>KHI/HO/D/MO/PC COMP/C/93577/172/07/2024</t>
  </si>
  <si>
    <t>KHI/HO/D/MO/PC COMP/C/93577/80/07/2024</t>
  </si>
  <si>
    <t>KHI/HO/D/MO/PC COMP/C/93577/81/07/2024</t>
  </si>
  <si>
    <t>KHI/HO/D/MO/PC COMP/C/93577/174/07/2024</t>
  </si>
  <si>
    <t>KHI/HO/D/MO/PC COMP/C/93577/82/07/2024</t>
  </si>
  <si>
    <t>KHI/HO/D/MO/PC COMP/C/93577/84/07/2024</t>
  </si>
  <si>
    <t>KHI/HO/D/MO/PC COMP/C/93577/178/07/2024</t>
  </si>
  <si>
    <t>KHI/HO/D/MO/PC COMP/C/93577/85/07/2024</t>
  </si>
  <si>
    <t>KHI/HO/D/MO/PC COMP/C/93577/86/07/2024</t>
  </si>
  <si>
    <t>KHI/HO/D/MO/PC COMP/C/93577/87/07/2024</t>
  </si>
  <si>
    <t>KHI/HO/D/MO/PC COMP/C/93577/93/07/2024</t>
  </si>
  <si>
    <t>KHI/HO/D/MO/PC COMP/C/93577/94/07/2024</t>
  </si>
  <si>
    <t>KHI/HO/D/MO/PC COMP/C/93577/99/07/2024</t>
  </si>
  <si>
    <t>KHI/HO/D/MO/PC COMP/C/93577/100/07/2024</t>
  </si>
  <si>
    <t>KHI/HO/D/MO/PC COMP/C/93577/192/07/2024</t>
  </si>
  <si>
    <t>KHI/HO/D/MO/PC COMP/C/93577/195/07/2024</t>
  </si>
  <si>
    <t>KHI/HO/D/MO/PC COMP/C/93577/196/07/2024</t>
  </si>
  <si>
    <t>KHI/HO/D/MO/PC COMP/C/93577/101/07/2024</t>
  </si>
  <si>
    <t>KHI/HO/D/MO/PC COMP/C/93577/102/07/2024</t>
  </si>
  <si>
    <t>KHI/HO/D/MO/PC COMP/C/93577/103/07/2024</t>
  </si>
  <si>
    <t>KHI/HO/D/MO/PC COMP/C/93577/202/07/2024</t>
  </si>
  <si>
    <t>KHI/HO/D/MO/PC COMP/C/93577/203/07/2024</t>
  </si>
  <si>
    <t>KHI/HO/D/MO/PC COMP/C/93577/104/07/2024</t>
  </si>
  <si>
    <t>KHI/HO/D/MO/PC COMP/C/93577/205/07/2024</t>
  </si>
  <si>
    <t>KHI/HO/D/MO/PC COMP/C/93577/105/07/2024</t>
  </si>
  <si>
    <t>KHI/HO/D/MO/PC COMP/C/93577/207/07/2024</t>
  </si>
  <si>
    <t>KHI/HO/D/MO/PC COMP/C/93577/208/07/2024</t>
  </si>
  <si>
    <t>KHI/HO/D/MO/PC COMP/C/93577/209/07/2024</t>
  </si>
  <si>
    <t>KHI/HO/D/MO/PC COMP/C/93577/106/07/2024</t>
  </si>
  <si>
    <t>KHI/HO/D/MO/PC COMP/C/93577/107/07/2024</t>
  </si>
  <si>
    <t>KHI/HO/D/MO/PC COMP/C/93577/214/07/2024</t>
  </si>
  <si>
    <t>KHI/HO/D/MO/PC COMP/C/93577/109/07/2024</t>
  </si>
  <si>
    <t>KHI/HO/D/MO/PC COMP/C/93577/110/07/2024</t>
  </si>
  <si>
    <t>KHI/HO/D/MO/PC COMP/C/93577/111/07/2024</t>
  </si>
  <si>
    <t>KHI/HO/D/MO/PC COMP/C/93577/112/07/2024</t>
  </si>
  <si>
    <t>KHI/HO/D/MO/PC COMP/C/93577/113/07/2024</t>
  </si>
  <si>
    <t>KHI/HO/D/MO/PC COMP/C/93577/114/07/2024</t>
  </si>
  <si>
    <t>KHI/HO/D/MO/PC COMP/C/93577/115/07/2024</t>
  </si>
  <si>
    <t>KHI/HO/D/MO/PC COMP/C/93577/117/07/2024</t>
  </si>
  <si>
    <t>KHI/HO/D/MO/PC COMP/C/93577/226/07/2024</t>
  </si>
  <si>
    <t>KHI/HO/D/MO/PC COMP/C/93577/118/07/2024</t>
  </si>
  <si>
    <t>KHI/HO/D/MO/PC COMP/C/93577/120/07/2024</t>
  </si>
  <si>
    <t>KHI/HO/D/MO/PC COMP/C/93577/122/07/2024</t>
  </si>
  <si>
    <t>KHI/HO/D/MO/PC COMP/C/93577/124/07/2024</t>
  </si>
  <si>
    <t>KHI/HO/D/MO/PC COMP/C/93577/126/07/2024</t>
  </si>
  <si>
    <t>KHI/HO/D/MO/PC COMP/C/93577/127/07/2024</t>
  </si>
  <si>
    <t>KHI/HO/D/MO/PC COMP/C/93577/128/07/2024</t>
  </si>
  <si>
    <t>KHI/HO/D/MO/PC COMP/C/93577/131/07/2024</t>
  </si>
  <si>
    <t>KHI/HO/D/MO/PC COMP/C/93577/133/07/2024</t>
  </si>
  <si>
    <t>KHI/HO/D/MO/PC COMP/C/93577/134/07/2024</t>
  </si>
  <si>
    <t>KHI/HO/D/MO/PC COMP/C/93577/136/07/2024</t>
  </si>
  <si>
    <t>KHI/HO/D/MO/PC COMP/C/93577/137/07/2024</t>
  </si>
  <si>
    <t>KHI/HO/D/MO/PC COMP/C/93577/138/07/2024</t>
  </si>
  <si>
    <t>KHI/HO/D/MO/PC COMP/C/93577/140/07/2024</t>
  </si>
  <si>
    <t>KHI/HO/D/MO/PC COMP/C/93577/141/07/2024</t>
  </si>
  <si>
    <t>KHI/HO/D/MO/PC COMP/C/93577/142/07/2024</t>
  </si>
  <si>
    <t>KHI/HO/D/MO/PC COMP/C/93577/247/07/2024</t>
  </si>
  <si>
    <t>KHI/HO/D/MO/PC COMP/C/93577/248/07/2024</t>
  </si>
  <si>
    <t>KHI/HO/D/MO/PC COMP/C/93577/143/07/2024</t>
  </si>
  <si>
    <t>KHI/HO/D/MO/PC COMP/C/93577/144/07/2024</t>
  </si>
  <si>
    <t>KHI/HO/D/MO/PC COMP/C/93577/246/07/2024</t>
  </si>
  <si>
    <t>KHI/HO/D/MO/PC COMP/C/93577/245/07/2024</t>
  </si>
  <si>
    <t>KHI/HO/D/MO/PC COMP/C/93577/146/07/2024</t>
  </si>
  <si>
    <t>KHI/HO/D/MO/PC COMP/C/93577/244/07/2024</t>
  </si>
  <si>
    <t>KHI/HO/D/MO/PC COMP/C/93577/147/07/2024</t>
  </si>
  <si>
    <t>KHI/HO/D/MO/PC COMP/C/93577/148/07/2024</t>
  </si>
  <si>
    <t>KHI/HO/D/MO/PC COMP/C/93577/243/07/2024</t>
  </si>
  <si>
    <t>KHI/HO/D/MO/PC COMP/C/93577/149/07/2024</t>
  </si>
  <si>
    <t>KHI/HO/D/MO/PC COMP/C/93577/150/07/2024</t>
  </si>
  <si>
    <t>KHI/HO/D/MO/PC COMP/C/93577/151/07/2024</t>
  </si>
  <si>
    <t>KHI/HO/D/MO/PC COMP/C/93577/152/07/2024</t>
  </si>
  <si>
    <t>KHI/HO/D/MO/PC COMP/C/93577/153/07/2024</t>
  </si>
  <si>
    <t>KHI/HO/D/MO/PC COMP/C/93577/155/07/2024</t>
  </si>
  <si>
    <t>KHI/HO/D/MO/PC COMP/C/93577/156/07/2024</t>
  </si>
  <si>
    <t>KHI/HO/D/MO/PC COMP/C/93577/157/07/2024</t>
  </si>
  <si>
    <t>KHI/HO/D/MO/PC COMP/C/93577/158/07/2024</t>
  </si>
  <si>
    <t>KHI/HO/D/MO/PC COMP/C/93577/159/07/2024</t>
  </si>
  <si>
    <t>KHI/HO/D/MO/PC COMP/C/93577/160/07/2024</t>
  </si>
  <si>
    <t>KHI/HO/D/MO/PC COMP/C/93577/161/07/2024</t>
  </si>
  <si>
    <t>KHI/HO/D/MO/PC COMP/C/93577/162/07/2024</t>
  </si>
  <si>
    <t>KHI/HO/D/MO/PC COMP/C/93577/163/07/2024</t>
  </si>
  <si>
    <t>KHI/HO/D/MO/PC COMP/C/93577/164/07/2024</t>
  </si>
  <si>
    <t>KHI/HO/D/MO/PC COMP/C/93577/165/07/2024</t>
  </si>
  <si>
    <t>KHI/HO/D/MO/PC COMP/C/93577/166/07/2024</t>
  </si>
  <si>
    <t>KHI/HO/D/MO/PC COMP/C/93577/167/07/2024</t>
  </si>
  <si>
    <t>KHI/HO/D/MO/PC COMP/C/93577/168/07/2024</t>
  </si>
  <si>
    <t>KHI/HO/D/MO/PC COMP/C/93577/169/07/2024</t>
  </si>
  <si>
    <t>KHI/HO/D/MO/PC COMP/C/93577/170/07/2024</t>
  </si>
  <si>
    <t>KHI/HO/D/MO/PC COMP/C/93577/173/07/2024</t>
  </si>
  <si>
    <t>KHI/HO/D/MO/PC COMP/C/93577/242/07/2024</t>
  </si>
  <si>
    <t>KHI/HO/D/MO/PC COMP/C/93577/241/07/2024</t>
  </si>
  <si>
    <t>KHI/HO/D/MO/PC COMP/C/93577/175/07/2024</t>
  </si>
  <si>
    <t>KHI/HO/D/MO/PC COMP/C/93577/176/07/2024</t>
  </si>
  <si>
    <t>KHI/HO/D/MO/PC COMP/C/93577/179/07/2024</t>
  </si>
  <si>
    <t>KHI/HO/D/MO/PC COMP/C/93577/180/07/2024</t>
  </si>
  <si>
    <t>KHI/HO/D/MO/PC COMP/C/93577/240/07/2024</t>
  </si>
  <si>
    <t>KHI/HO/D/MO/PC COMP/C/93577/181/07/2024</t>
  </si>
  <si>
    <t>KHI/HO/D/MO/PC COMP/C/93577/239/07/2024</t>
  </si>
  <si>
    <t>KHI/HO/D/MO/PC COMP/C/93577/238/07/2024</t>
  </si>
  <si>
    <t>KHI/HO/D/MO/PC COMP/C/93577/182/07/2024</t>
  </si>
  <si>
    <t>KHI/HO/D/MO/PC COMP/C/93577/237/07/2024</t>
  </si>
  <si>
    <t>KHI/HO/D/MO/PC COMP/C/93577/183/07/2024</t>
  </si>
  <si>
    <t>KHI/HO/D/MO/PC COMP/C/93577/236/07/2024</t>
  </si>
  <si>
    <t>KHI/HO/D/MO/PC COMP/C/93577/235/07/2024</t>
  </si>
  <si>
    <t>KHI/HO/D/MO/PC COMP/C/93577/234/07/2024</t>
  </si>
  <si>
    <t>KHI/HO/D/MO/PC COMP/C/93577/184/07/2024</t>
  </si>
  <si>
    <t>KHI/HO/D/MO/PC COMP/C/93577/233/07/2024</t>
  </si>
  <si>
    <t>KHI/HO/D/MO/PC COMP/C/93577/232/07/2024</t>
  </si>
  <si>
    <t>KHI/HO/D/MO/PC COMP/C/93577/231/07/2024</t>
  </si>
  <si>
    <t>KHI/HO/D/MO/PC COMP/C/93577/185/07/2024</t>
  </si>
  <si>
    <t>KHI/HO/D/MO/PC COMP/C/93577/230/07/2024</t>
  </si>
  <si>
    <t>KHI/HO/D/MO/PC COMP/C/93577/186/07/2024</t>
  </si>
  <si>
    <t>KHI/HO/D/MO/PC COMP/C/93577/228/07/2024</t>
  </si>
  <si>
    <t>KHI/HO/D/MO/PC COMP/C/93577/188/07/2024</t>
  </si>
  <si>
    <t>KHI/HO/D/MO/PC COMP/C/93577/189/07/2024</t>
  </si>
  <si>
    <t>KHI/HO/D/MO/PC COMP/C/93577/190/07/2024</t>
  </si>
  <si>
    <t>KHI/HO/D/MO/PC COMP/C/93577/191/07/2024</t>
  </si>
  <si>
    <t>KHI/HO/D/MO/PC COMP/C/93577/193/07/2024</t>
  </si>
  <si>
    <t>KHI/HO/D/MO/PC COMP/C/93577/194/07/2024</t>
  </si>
  <si>
    <t>KHI/HO/D/MO/PC COMP/C/93577/227/07/2024</t>
  </si>
  <si>
    <t>KHI/HO/D/MO/PC COMP/C/93577/225/07/2024</t>
  </si>
  <si>
    <t>KHI/HO/D/MO/PC COMP/C/93577/224/07/2024</t>
  </si>
  <si>
    <t>KHI/HO/D/MO/PC COMP/C/93577/223/07/2024</t>
  </si>
  <si>
    <t>KHI/HO/D/MO/PC COMP/C/93577/197/07/2024</t>
  </si>
  <si>
    <t>KHI/HO/D/MO/PC COMP/C/93577/198/07/2024</t>
  </si>
  <si>
    <t>KHI/HO/D/MO/PC COMP/C/93577/222/07/2024</t>
  </si>
  <si>
    <t>KHI/HO/D/MO/PC COMP/C/93577/221/07/2024</t>
  </si>
  <si>
    <t>KHI/HO/D/MO/PC COMP/C/93577/199/07/2024</t>
  </si>
  <si>
    <t>KHI/HO/D/MO/PC COMP/C/93577/200/07/2024</t>
  </si>
  <si>
    <t>KHI/HO/D/MO/PC COMP/C/93577/201/07/2024</t>
  </si>
  <si>
    <t>KHI/HO/D/MO/PC COMP/C/93577/204/07/2024</t>
  </si>
  <si>
    <t>KHI/HO/D/MO/PC COMP/C/93577/206/07/2024</t>
  </si>
  <si>
    <t>KHI/HO/D/MO/PC COMP/C/93577/210/07/2024</t>
  </si>
  <si>
    <t>KHI/HO/D/MO/PC COMP/C/93577/220/07/2024</t>
  </si>
  <si>
    <t>KHI/HO/D/MO/PC COMP/C/93577/219/07/2024</t>
  </si>
  <si>
    <t>KHI/HO/D/MO/PC COMP/C/93577/218/07/2024</t>
  </si>
  <si>
    <t>KHI/HO/D/MO/PC COMP/C/93577/213/07/2024</t>
  </si>
  <si>
    <t>KHI/HO/D/MO/PC COMP/C/93577/215/07/2024</t>
  </si>
  <si>
    <t>KHI/HO/D/MO/PC COMP/C/93577/216/07/2024</t>
  </si>
  <si>
    <t>KHI/HO/D/MO/PC COMP/C/93577/217/07/2024</t>
  </si>
  <si>
    <t>KHI/HO/D/MO/PC COMP/C/93577/154/07/2024</t>
  </si>
  <si>
    <t>KHI/HO/D/MO/PC COMP/C/93577/5/07/2024</t>
  </si>
  <si>
    <t>KHI/HO/D/MO/PC COMP/C/93577/83/07/2024</t>
  </si>
  <si>
    <t>KHI/HO/D/MO/PC COMP/C/93577/139/07/2024</t>
  </si>
  <si>
    <t>KHI/HO/D/MO/PC COMP/C/93577/177/07/2024</t>
  </si>
  <si>
    <t>KHI/HO/D/MO/PC COMP/C/93577/187/07/2024</t>
  </si>
  <si>
    <t>KHI/HO/D/MO/PC COMP/C/93577/212/07/2024</t>
  </si>
  <si>
    <t>KHI/HO/D/MO/PC COMP/C/89429/195/05/2024</t>
  </si>
  <si>
    <t>KHI/HO/D/MO/PC COMP/C/89429/217/05/2024</t>
  </si>
  <si>
    <t>KHI/HO/D/MO/PC COMP/C/89429/71/05/2024</t>
  </si>
  <si>
    <t>KHI/HO/D/MO/PC COMP/C/90833/47/06/2024</t>
  </si>
  <si>
    <t>KHI/HO/D/MO/PC COMP/C/90833/185/06/2024</t>
  </si>
  <si>
    <t>-07-2024</t>
  </si>
  <si>
    <t>-05-2024</t>
  </si>
  <si>
    <t>-06-2024</t>
  </si>
  <si>
    <t>00003</t>
  </si>
  <si>
    <t>00004</t>
  </si>
  <si>
    <t>00010</t>
  </si>
  <si>
    <t>00011</t>
  </si>
  <si>
    <t>00012</t>
  </si>
  <si>
    <t>00016</t>
  </si>
  <si>
    <t>00017</t>
  </si>
  <si>
    <t>00020</t>
  </si>
  <si>
    <t>00023</t>
  </si>
  <si>
    <t>00024</t>
  </si>
  <si>
    <t>00026</t>
  </si>
  <si>
    <t>00028</t>
  </si>
  <si>
    <t>00032</t>
  </si>
  <si>
    <t>00035</t>
  </si>
  <si>
    <t>00036</t>
  </si>
  <si>
    <t>00037</t>
  </si>
  <si>
    <t>00038</t>
  </si>
  <si>
    <t>00043</t>
  </si>
  <si>
    <t>00045</t>
  </si>
  <si>
    <t>00046</t>
  </si>
  <si>
    <t>00053</t>
  </si>
  <si>
    <t>00056</t>
  </si>
  <si>
    <t>00059</t>
  </si>
  <si>
    <t>00062</t>
  </si>
  <si>
    <t>00064</t>
  </si>
  <si>
    <t>00067</t>
  </si>
  <si>
    <t>00068</t>
  </si>
  <si>
    <t>00071</t>
  </si>
  <si>
    <t>00074</t>
  </si>
  <si>
    <t>00077</t>
  </si>
  <si>
    <t>00088</t>
  </si>
  <si>
    <t>00089</t>
  </si>
  <si>
    <t>00090</t>
  </si>
  <si>
    <t>00092</t>
  </si>
  <si>
    <t>00195</t>
  </si>
  <si>
    <t>00217</t>
  </si>
  <si>
    <t>00095</t>
  </si>
  <si>
    <t>00096</t>
  </si>
  <si>
    <t>00097</t>
  </si>
  <si>
    <t>00098</t>
  </si>
  <si>
    <t>00047</t>
  </si>
  <si>
    <t>00185</t>
  </si>
  <si>
    <t>00001</t>
  </si>
  <si>
    <t>00002</t>
  </si>
  <si>
    <t>00006</t>
  </si>
  <si>
    <t>00108</t>
  </si>
  <si>
    <t>00009</t>
  </si>
  <si>
    <t>00013</t>
  </si>
  <si>
    <t>00014</t>
  </si>
  <si>
    <t>00015</t>
  </si>
  <si>
    <t>00018</t>
  </si>
  <si>
    <t>00116</t>
  </si>
  <si>
    <t>00019</t>
  </si>
  <si>
    <t>00021</t>
  </si>
  <si>
    <t>00119</t>
  </si>
  <si>
    <t>00022</t>
  </si>
  <si>
    <t>00027</t>
  </si>
  <si>
    <t>00121</t>
  </si>
  <si>
    <t>00123</t>
  </si>
  <si>
    <t>00030</t>
  </si>
  <si>
    <t>00125</t>
  </si>
  <si>
    <t>00031</t>
  </si>
  <si>
    <t>00033</t>
  </si>
  <si>
    <t>00129</t>
  </si>
  <si>
    <t>00034</t>
  </si>
  <si>
    <t>00130</t>
  </si>
  <si>
    <t>00039</t>
  </si>
  <si>
    <t>00132</t>
  </si>
  <si>
    <t>00040</t>
  </si>
  <si>
    <t>00041</t>
  </si>
  <si>
    <t>00042</t>
  </si>
  <si>
    <t>00044</t>
  </si>
  <si>
    <t>00048</t>
  </si>
  <si>
    <t>00049</t>
  </si>
  <si>
    <t>00145</t>
  </si>
  <si>
    <t>00050</t>
  </si>
  <si>
    <t>00051</t>
  </si>
  <si>
    <t>00052</t>
  </si>
  <si>
    <t>00054</t>
  </si>
  <si>
    <t>00055</t>
  </si>
  <si>
    <t>00057</t>
  </si>
  <si>
    <t>00058</t>
  </si>
  <si>
    <t>00060</t>
  </si>
  <si>
    <t>00061</t>
  </si>
  <si>
    <t>00063</t>
  </si>
  <si>
    <t>00065</t>
  </si>
  <si>
    <t>00066</t>
  </si>
  <si>
    <t>00069</t>
  </si>
  <si>
    <t>00070</t>
  </si>
  <si>
    <t>00072</t>
  </si>
  <si>
    <t>00073</t>
  </si>
  <si>
    <t>00075</t>
  </si>
  <si>
    <t>00076</t>
  </si>
  <si>
    <t>00078</t>
  </si>
  <si>
    <t>00079</t>
  </si>
  <si>
    <t>00171</t>
  </si>
  <si>
    <t>00172</t>
  </si>
  <si>
    <t>00080</t>
  </si>
  <si>
    <t>00081</t>
  </si>
  <si>
    <t>00174</t>
  </si>
  <si>
    <t>00082</t>
  </si>
  <si>
    <t>00084</t>
  </si>
  <si>
    <t>00178</t>
  </si>
  <si>
    <t>00085</t>
  </si>
  <si>
    <t>00086</t>
  </si>
  <si>
    <t>00087</t>
  </si>
  <si>
    <t>00093</t>
  </si>
  <si>
    <t>00094</t>
  </si>
  <si>
    <t>00099</t>
  </si>
  <si>
    <t>00100</t>
  </si>
  <si>
    <t>00192</t>
  </si>
  <si>
    <t>00196</t>
  </si>
  <si>
    <t>00101</t>
  </si>
  <si>
    <t>00102</t>
  </si>
  <si>
    <t>00103</t>
  </si>
  <si>
    <t>00202</t>
  </si>
  <si>
    <t>00203</t>
  </si>
  <si>
    <t>00104</t>
  </si>
  <si>
    <t>00205</t>
  </si>
  <si>
    <t>00105</t>
  </si>
  <si>
    <t>00207</t>
  </si>
  <si>
    <t>00208</t>
  </si>
  <si>
    <t>00209</t>
  </si>
  <si>
    <t>00106</t>
  </si>
  <si>
    <t>00107</t>
  </si>
  <si>
    <t>00214</t>
  </si>
  <si>
    <t>00109</t>
  </si>
  <si>
    <t>00110</t>
  </si>
  <si>
    <t>00111</t>
  </si>
  <si>
    <t>00112</t>
  </si>
  <si>
    <t>00113</t>
  </si>
  <si>
    <t>00114</t>
  </si>
  <si>
    <t>00115</t>
  </si>
  <si>
    <t>00117</t>
  </si>
  <si>
    <t>00226</t>
  </si>
  <si>
    <t>00118</t>
  </si>
  <si>
    <t>00120</t>
  </si>
  <si>
    <t>00122</t>
  </si>
  <si>
    <t>00124</t>
  </si>
  <si>
    <t>00126</t>
  </si>
  <si>
    <t>00127</t>
  </si>
  <si>
    <t>00128</t>
  </si>
  <si>
    <t>00131</t>
  </si>
  <si>
    <t>00133</t>
  </si>
  <si>
    <t>00134</t>
  </si>
  <si>
    <t>00136</t>
  </si>
  <si>
    <t>00137</t>
  </si>
  <si>
    <t>00138</t>
  </si>
  <si>
    <t>00140</t>
  </si>
  <si>
    <t>00141</t>
  </si>
  <si>
    <t>00142</t>
  </si>
  <si>
    <t>00247</t>
  </si>
  <si>
    <t>00248</t>
  </si>
  <si>
    <t>00143</t>
  </si>
  <si>
    <t>00144</t>
  </si>
  <si>
    <t>00246</t>
  </si>
  <si>
    <t>00245</t>
  </si>
  <si>
    <t>00146</t>
  </si>
  <si>
    <t>00244</t>
  </si>
  <si>
    <t>00147</t>
  </si>
  <si>
    <t>00148</t>
  </si>
  <si>
    <t>00243</t>
  </si>
  <si>
    <t>00149</t>
  </si>
  <si>
    <t>00150</t>
  </si>
  <si>
    <t>00151</t>
  </si>
  <si>
    <t>00152</t>
  </si>
  <si>
    <t>00153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</si>
  <si>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</si>
  <si>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</si>
  <si>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</si>
  <si>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</si>
  <si>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</si>
  <si>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</si>
  <si>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</si>
  <si>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</si>
  <si>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</si>
  <si>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</si>
  <si>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</si>
  <si>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</si>
  <si>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</si>
  <si>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</si>
  <si>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</si>
  <si>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</si>
  <si>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00173</t>
  </si>
  <si>
    <t>00242</t>
  </si>
  <si>
    <t>00241</t>
  </si>
  <si>
    <t>00175</t>
  </si>
  <si>
    <t>00176</t>
  </si>
  <si>
    <t>00179</t>
  </si>
  <si>
    <t>00180</t>
  </si>
  <si>
    <t>00240</t>
  </si>
  <si>
    <t>00181</t>
  </si>
  <si>
    <t>00239</t>
  </si>
  <si>
    <t>00238</t>
  </si>
  <si>
    <t>00182</t>
  </si>
  <si>
    <t>00237</t>
  </si>
  <si>
    <t>00183</t>
  </si>
  <si>
    <t>00236</t>
  </si>
  <si>
    <t>00235</t>
  </si>
  <si>
    <t>00234</t>
  </si>
  <si>
    <t>00184</t>
  </si>
  <si>
    <t>00233</t>
  </si>
  <si>
    <t>00232</t>
  </si>
  <si>
    <t>00231</t>
  </si>
  <si>
    <t>00230</t>
  </si>
  <si>
    <t>00186</t>
  </si>
  <si>
    <t>00228</t>
  </si>
  <si>
    <t>00188</t>
  </si>
  <si>
    <t>00189</t>
  </si>
  <si>
    <t>00190</t>
  </si>
  <si>
    <t>00191</t>
  </si>
  <si>
    <t>00193</t>
  </si>
  <si>
    <t>00194</t>
  </si>
  <si>
    <t>00227</t>
  </si>
  <si>
    <t>00225</t>
  </si>
  <si>
    <t>00224</t>
  </si>
  <si>
    <t>00223</t>
  </si>
  <si>
    <t>00197</t>
  </si>
  <si>
    <t>00198</t>
  </si>
  <si>
    <t>00222</t>
  </si>
  <si>
    <t>00221</t>
  </si>
  <si>
    <t>00199</t>
  </si>
  <si>
    <t>00200</t>
  </si>
  <si>
    <t>00201</t>
  </si>
  <si>
    <t>00204</t>
  </si>
  <si>
    <t>00206</t>
  </si>
  <si>
    <t>00210</t>
  </si>
  <si>
    <t>00220</t>
  </si>
  <si>
    <t>00219</t>
  </si>
  <si>
    <t>00218</t>
  </si>
  <si>
    <t>00213</t>
  </si>
  <si>
    <t>00215</t>
  </si>
  <si>
    <t>00216</t>
  </si>
  <si>
    <t>00154</t>
  </si>
  <si>
    <t>00005</t>
  </si>
  <si>
    <t>00083</t>
  </si>
  <si>
    <t>00139</t>
  </si>
  <si>
    <t>00177</t>
  </si>
  <si>
    <t>00187</t>
  </si>
  <si>
    <t>00212</t>
  </si>
  <si>
    <t>28Aug240039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</si>
</sst>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/d/yyyy"/>
    <numFmt numFmtId="165" formatCode="_-* #,##0_-;\-* #,##0_-;_-* &quot;-&quot;??_-;_-@_-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3" borderId="2" xfId="0" applyFont="1" applyFill="1" applyBorder="1"/>
    <xf numFmtId="0" fontId="0" fillId="0" borderId="2" xfId="0" applyFont="1" applyBorder="1"/>
    <xf numFmtId="0" fontId="0" fillId="0" borderId="0" xfId="0" applyAlignment="1">
      <alignment vertical="top"/>
    </xf>
    <xf numFmtId="166" fontId="3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65" fontId="0" fillId="3" borderId="2" xfId="1" applyNumberFormat="1" applyFont="1" applyFill="1" applyBorder="1"/>
    <xf numFmtId="165" fontId="0" fillId="0" borderId="2" xfId="1" applyNumberFormat="1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WSED.xlsx" TargetMode="External"/><Relationship Id="rId1" Type="http://schemas.openxmlformats.org/officeDocument/2006/relationships/externalLinkPath" Target="file:///C:\Users\adil.hassan\Downloads\W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KHI/HO/D/MO/PC COMP/C/90833/185/06/2024</v>
          </cell>
          <cell r="C2" t="str">
            <v>070000161913</v>
          </cell>
        </row>
        <row r="3">
          <cell r="B3" t="str">
            <v>KHI/HO/D/MO/PC COMP/C/90833/47/06/2024</v>
          </cell>
          <cell r="C3" t="str">
            <v>070000161775</v>
          </cell>
        </row>
        <row r="4">
          <cell r="B4" t="str">
            <v>KHI/HO/D/MO/PC COMP/C/93577/189/07/2024</v>
          </cell>
          <cell r="C4" t="str">
            <v>070000162844</v>
          </cell>
        </row>
        <row r="5">
          <cell r="B5" t="str">
            <v>KHI/HO/D/MO/PC COMP/C/93577/162/07/2024</v>
          </cell>
          <cell r="C5" t="str">
            <v>070000162817</v>
          </cell>
        </row>
        <row r="6">
          <cell r="B6" t="str">
            <v>KHI/HO/D/MO/PC COMP/C/93577/218/07/2024</v>
          </cell>
          <cell r="C6" t="str">
            <v>070000162873</v>
          </cell>
        </row>
        <row r="7">
          <cell r="B7" t="str">
            <v>KHI/HO/D/MO/PC COMP/C/93577/240/07/2024</v>
          </cell>
          <cell r="C7" t="str">
            <v>070000162895</v>
          </cell>
        </row>
        <row r="8">
          <cell r="B8" t="str">
            <v>KHI/HO/D/MO/PC COMP/C/93577/22/07/2024</v>
          </cell>
          <cell r="C8" t="str">
            <v>070000162674</v>
          </cell>
        </row>
        <row r="9">
          <cell r="B9" t="str">
            <v>KHI/HO/D/MO/PC COMP/C/93577/81/07/2024</v>
          </cell>
          <cell r="C9" t="str">
            <v>070000162733</v>
          </cell>
        </row>
        <row r="10">
          <cell r="B10" t="str">
            <v>KHI/HO/D/MO/PC COMP/C/93577/100/07/2024</v>
          </cell>
          <cell r="C10" t="str">
            <v>070000162752</v>
          </cell>
        </row>
        <row r="11">
          <cell r="B11" t="str">
            <v>KHI/HO/D/MO/PC COMP/C/93577/185/07/2024</v>
          </cell>
          <cell r="C11" t="str">
            <v>070000162840</v>
          </cell>
        </row>
        <row r="12">
          <cell r="B12" t="str">
            <v>KHI/HO/D/MO/PC COMP/C/93577/228/07/2024</v>
          </cell>
          <cell r="C12" t="str">
            <v>070000162883</v>
          </cell>
        </row>
        <row r="13">
          <cell r="B13" t="str">
            <v>KHI/HO/D/MO/PC COMP/C/93577/234/07/2024</v>
          </cell>
          <cell r="C13" t="str">
            <v>070000162889</v>
          </cell>
        </row>
        <row r="14">
          <cell r="B14" t="str">
            <v>KHI/HO/D/MO/PC COMP/C/93577/241/07/2024</v>
          </cell>
          <cell r="C14" t="str">
            <v>070000162896</v>
          </cell>
        </row>
        <row r="15">
          <cell r="B15" t="str">
            <v>KHI/HO/D/MO/PC COMP/C/93577/248/07/2024</v>
          </cell>
          <cell r="C15" t="str">
            <v>070000162903</v>
          </cell>
        </row>
        <row r="16">
          <cell r="B16" t="str">
            <v>KHI/HO/D/MO/PC COMP/C/93577/172/07/2024</v>
          </cell>
          <cell r="C16" t="str">
            <v>070000162827</v>
          </cell>
        </row>
        <row r="17">
          <cell r="B17" t="str">
            <v>KHI/HO/D/MO/PC COMP/C/93577/174/07/2024</v>
          </cell>
          <cell r="C17" t="str">
            <v>070000162829</v>
          </cell>
        </row>
        <row r="18">
          <cell r="B18" t="str">
            <v>KHI/HO/D/MO/PC COMP/C/93577/175/07/2024</v>
          </cell>
          <cell r="C18" t="str">
            <v>070000162830</v>
          </cell>
        </row>
        <row r="19">
          <cell r="B19" t="str">
            <v>KHI/HO/D/MO/PC COMP/C/93577/176/07/2024</v>
          </cell>
          <cell r="C19" t="str">
            <v>070000162831</v>
          </cell>
        </row>
        <row r="20">
          <cell r="B20" t="str">
            <v>KHI/HO/D/MO/PC COMP/C/93577/178/07/2024</v>
          </cell>
          <cell r="C20" t="str">
            <v>070000162833</v>
          </cell>
        </row>
        <row r="21">
          <cell r="B21" t="str">
            <v>KHI/HO/D/MO/PC COMP/C/93577/179/07/2024</v>
          </cell>
          <cell r="C21" t="str">
            <v>070000162834</v>
          </cell>
        </row>
        <row r="22">
          <cell r="B22" t="str">
            <v>KHI/HO/D/MO/PC COMP/C/93577/180/07/2024</v>
          </cell>
          <cell r="C22" t="str">
            <v>070000162835</v>
          </cell>
        </row>
        <row r="23">
          <cell r="B23" t="str">
            <v>KHI/HO/D/MO/PC COMP/C/93577/181/07/2024</v>
          </cell>
          <cell r="C23" t="str">
            <v>070000162836</v>
          </cell>
        </row>
        <row r="24">
          <cell r="B24" t="str">
            <v>KHI/HO/D/MO/PC COMP/C/93577/183/07/2024</v>
          </cell>
          <cell r="C24" t="str">
            <v>070000162838</v>
          </cell>
        </row>
        <row r="25">
          <cell r="B25" t="str">
            <v>KHI/HO/D/MO/PC COMP/C/93577/184/07/2024</v>
          </cell>
          <cell r="C25" t="str">
            <v>070000162839</v>
          </cell>
        </row>
        <row r="26">
          <cell r="B26" t="str">
            <v>KHI/HO/D/MO/PC COMP/C/93577/187/07/2024</v>
          </cell>
          <cell r="C26" t="str">
            <v>070000162842</v>
          </cell>
        </row>
        <row r="27">
          <cell r="B27" t="str">
            <v>KHI/HO/D/MO/PC COMP/C/93577/190/07/2024</v>
          </cell>
          <cell r="C27" t="str">
            <v>070000162845</v>
          </cell>
        </row>
        <row r="28">
          <cell r="B28" t="str">
            <v>KHI/HO/D/MO/PC COMP/C/93577/191/07/2024</v>
          </cell>
          <cell r="C28" t="str">
            <v>070000162846</v>
          </cell>
        </row>
        <row r="29">
          <cell r="B29" t="str">
            <v>KHI/HO/D/MO/PC COMP/C/93577/192/07/2024</v>
          </cell>
          <cell r="C29" t="str">
            <v>070000162847</v>
          </cell>
        </row>
        <row r="30">
          <cell r="B30" t="str">
            <v>KHI/HO/D/MO/PC COMP/C/93577/193/07/2024</v>
          </cell>
          <cell r="C30" t="str">
            <v>070000162848</v>
          </cell>
        </row>
        <row r="31">
          <cell r="B31" t="str">
            <v>KHI/HO/D/MO/PC COMP/C/93577/195/07/2024</v>
          </cell>
          <cell r="C31" t="str">
            <v>070000162850</v>
          </cell>
        </row>
        <row r="32">
          <cell r="B32" t="str">
            <v>KHI/HO/D/MO/PC COMP/C/93577/243/07/2024</v>
          </cell>
          <cell r="C32" t="str">
            <v>070000162898</v>
          </cell>
        </row>
        <row r="33">
          <cell r="B33" t="str">
            <v>KHI/HO/D/MO/PC COMP/C/93577/244/07/2024</v>
          </cell>
          <cell r="C33" t="str">
            <v>070000162899</v>
          </cell>
        </row>
        <row r="34">
          <cell r="B34" t="str">
            <v>KHI/HO/D/MO/PC COMP/C/93577/245/07/2024</v>
          </cell>
          <cell r="C34" t="str">
            <v>070000162900</v>
          </cell>
        </row>
        <row r="35">
          <cell r="B35" t="str">
            <v>KHI/HO/D/MO/PC COMP/C/93577/246/07/2024</v>
          </cell>
          <cell r="C35" t="str">
            <v>070000162901</v>
          </cell>
        </row>
        <row r="36">
          <cell r="B36" t="str">
            <v>KHI/HO/D/MO/PC COMP/C/93577/247/07/2024</v>
          </cell>
          <cell r="C36" t="str">
            <v>070000162902</v>
          </cell>
        </row>
        <row r="37">
          <cell r="B37" t="str">
            <v>KHI/HO/D/MO/PC COMP/C/93577/143/07/2024</v>
          </cell>
          <cell r="C37" t="str">
            <v>070000162798</v>
          </cell>
        </row>
        <row r="38">
          <cell r="B38" t="str">
            <v>KHI/HO/D/MO/PC COMP/C/93577/144/07/2024</v>
          </cell>
          <cell r="C38" t="str">
            <v>070000162799</v>
          </cell>
        </row>
        <row r="39">
          <cell r="B39" t="str">
            <v>KHI/HO/D/MO/PC COMP/C/93577/146/07/2024</v>
          </cell>
          <cell r="C39" t="str">
            <v>070000162801</v>
          </cell>
        </row>
        <row r="40">
          <cell r="B40" t="str">
            <v>KHI/HO/D/MO/PC COMP/C/93577/147/07/2024</v>
          </cell>
          <cell r="C40" t="str">
            <v>070000162802</v>
          </cell>
        </row>
        <row r="41">
          <cell r="B41" t="str">
            <v>KHI/HO/D/MO/PC COMP/C/93577/148/07/2024</v>
          </cell>
          <cell r="C41" t="str">
            <v>070000162803</v>
          </cell>
        </row>
        <row r="42">
          <cell r="B42" t="str">
            <v>KHI/HO/D/MO/PC COMP/C/93577/150/07/2024</v>
          </cell>
          <cell r="C42" t="str">
            <v>070000162805</v>
          </cell>
        </row>
        <row r="43">
          <cell r="B43" t="str">
            <v>KHI/HO/D/MO/PC COMP/C/93577/152/07/2024</v>
          </cell>
          <cell r="C43" t="str">
            <v>070000162807</v>
          </cell>
        </row>
        <row r="44">
          <cell r="B44" t="str">
            <v>KHI/HO/D/MO/PC COMP/C/93577/151/07/2024</v>
          </cell>
          <cell r="C44" t="str">
            <v>070000162806</v>
          </cell>
        </row>
        <row r="45">
          <cell r="B45" t="str">
            <v>KHI/HO/D/MO/PC COMP/C/93577/156/07/2024</v>
          </cell>
          <cell r="C45" t="str">
            <v>070000162811</v>
          </cell>
        </row>
        <row r="46">
          <cell r="B46" t="str">
            <v>KHI/HO/D/MO/PC COMP/C/93577/154/07/2024</v>
          </cell>
          <cell r="C46" t="str">
            <v>070000162809</v>
          </cell>
        </row>
        <row r="47">
          <cell r="B47" t="str">
            <v>KHI/HO/D/MO/PC COMP/C/93577/155/07/2024</v>
          </cell>
          <cell r="C47" t="str">
            <v>070000162810</v>
          </cell>
        </row>
        <row r="48">
          <cell r="B48" t="str">
            <v>KHI/HO/D/MO/PC COMP/C/93577/158/07/2024</v>
          </cell>
          <cell r="C48" t="str">
            <v>070000162813</v>
          </cell>
        </row>
        <row r="49">
          <cell r="B49" t="str">
            <v>KHI/HO/D/MO/PC COMP/C/93577/159/07/2024</v>
          </cell>
          <cell r="C49" t="str">
            <v>070000162814</v>
          </cell>
        </row>
        <row r="50">
          <cell r="B50" t="str">
            <v>KHI/HO/D/MO/PC COMP/C/93577/160/07/2024</v>
          </cell>
          <cell r="C50" t="str">
            <v>070000162815</v>
          </cell>
        </row>
        <row r="51">
          <cell r="B51" t="str">
            <v>KHI/HO/D/MO/PC COMP/C/93577/163/07/2024</v>
          </cell>
          <cell r="C51" t="str">
            <v>070000162818</v>
          </cell>
        </row>
        <row r="52">
          <cell r="B52" t="str">
            <v>KHI/HO/D/MO/PC COMP/C/93577/164/07/2024</v>
          </cell>
          <cell r="C52" t="str">
            <v>070000162819</v>
          </cell>
        </row>
        <row r="53">
          <cell r="B53" t="str">
            <v>KHI/HO/D/MO/PC COMP/C/93577/196/07/2024</v>
          </cell>
          <cell r="C53" t="str">
            <v>070000162851</v>
          </cell>
        </row>
        <row r="54">
          <cell r="B54" t="str">
            <v>KHI/HO/D/MO/PC COMP/C/93577/197/07/2024</v>
          </cell>
          <cell r="C54" t="str">
            <v>070000162852</v>
          </cell>
        </row>
        <row r="55">
          <cell r="B55" t="str">
            <v>KHI/HO/D/MO/PC COMP/C/93577/198/07/2024</v>
          </cell>
          <cell r="C55" t="str">
            <v>070000162853</v>
          </cell>
        </row>
        <row r="56">
          <cell r="B56" t="str">
            <v>KHI/HO/D/MO/PC COMP/C/93577/220/07/2024</v>
          </cell>
          <cell r="C56" t="str">
            <v>070000162875</v>
          </cell>
        </row>
        <row r="57">
          <cell r="B57" t="str">
            <v>KHI/HO/D/MO/PC COMP/C/93577/200/07/2024</v>
          </cell>
          <cell r="C57" t="str">
            <v>070000162855</v>
          </cell>
        </row>
        <row r="58">
          <cell r="B58" t="str">
            <v>KHI/HO/D/MO/PC COMP/C/93577/199/07/2024</v>
          </cell>
          <cell r="C58" t="str">
            <v>070000162854</v>
          </cell>
        </row>
        <row r="59">
          <cell r="B59" t="str">
            <v>KHI/HO/D/MO/PC COMP/C/93577/202/07/2024</v>
          </cell>
          <cell r="C59" t="str">
            <v>070000162857</v>
          </cell>
        </row>
        <row r="60">
          <cell r="B60" t="str">
            <v>KHI/HO/D/MO/PC COMP/C/93577/203/07/2024</v>
          </cell>
          <cell r="C60" t="str">
            <v>070000162858</v>
          </cell>
        </row>
        <row r="61">
          <cell r="B61" t="str">
            <v>KHI/HO/D/MO/PC COMP/C/93577/204/07/2024</v>
          </cell>
          <cell r="C61" t="str">
            <v>070000162859</v>
          </cell>
        </row>
        <row r="62">
          <cell r="B62" t="str">
            <v>KHI/HO/D/MO/PC COMP/C/93577/205/07/2024</v>
          </cell>
          <cell r="C62" t="str">
            <v>070000162860</v>
          </cell>
        </row>
        <row r="63">
          <cell r="B63" t="str">
            <v>KHI/HO/D/MO/PC COMP/C/93577/206/07/2024</v>
          </cell>
          <cell r="C63" t="str">
            <v>070000162861</v>
          </cell>
        </row>
        <row r="64">
          <cell r="B64" t="str">
            <v>KHI/HO/D/MO/PC COMP/C/93577/209/07/2024</v>
          </cell>
          <cell r="C64" t="str">
            <v>070000162864</v>
          </cell>
        </row>
        <row r="65">
          <cell r="B65" t="str">
            <v>KHI/HO/D/MO/PC COMP/C/93577/207/07/2024</v>
          </cell>
          <cell r="C65" t="str">
            <v>070000162862</v>
          </cell>
        </row>
        <row r="66">
          <cell r="B66" t="str">
            <v>KHI/HO/D/MO/PC COMP/C/93577/210/07/2024</v>
          </cell>
          <cell r="C66" t="str">
            <v>070000162865</v>
          </cell>
        </row>
        <row r="67">
          <cell r="B67" t="str">
            <v>KHI/HO/D/MO/PC COMP/C/93577/212/07/2024</v>
          </cell>
          <cell r="C67" t="str">
            <v>070000162867</v>
          </cell>
        </row>
        <row r="68">
          <cell r="B68" t="str">
            <v>KHI/HO/D/MO/PC COMP/C/93577/213/07/2024</v>
          </cell>
          <cell r="C68" t="str">
            <v>070000162868</v>
          </cell>
        </row>
        <row r="69">
          <cell r="B69" t="str">
            <v>KHI/HO/D/MO/PC COMP/C/93577/214/07/2024</v>
          </cell>
          <cell r="C69" t="str">
            <v>070000162869</v>
          </cell>
        </row>
        <row r="70">
          <cell r="B70" t="str">
            <v>KHI/HO/D/MO/PC COMP/C/93577/216/07/2024</v>
          </cell>
          <cell r="C70" t="str">
            <v>070000162871</v>
          </cell>
        </row>
        <row r="71">
          <cell r="B71" t="str">
            <v>KHI/HO/D/MO/PC COMP/C/93577/217/07/2024</v>
          </cell>
          <cell r="C71" t="str">
            <v>070000162872</v>
          </cell>
        </row>
        <row r="72">
          <cell r="B72" t="str">
            <v>KHI/HO/D/MO/PC COMP/C/93577/219/07/2024</v>
          </cell>
          <cell r="C72" t="str">
            <v>070000162874</v>
          </cell>
        </row>
        <row r="73">
          <cell r="B73" t="str">
            <v>KHI/HO/D/MO/PC COMP/C/93577/222/07/2024</v>
          </cell>
          <cell r="C73" t="str">
            <v>070000162877</v>
          </cell>
        </row>
        <row r="74">
          <cell r="B74" t="str">
            <v>KHI/HO/D/MO/PC COMP/C/93577/166/07/2024</v>
          </cell>
          <cell r="C74" t="str">
            <v>070000162821</v>
          </cell>
        </row>
        <row r="75">
          <cell r="B75" t="str">
            <v>KHI/HO/D/MO/PC COMP/C/93577/167/07/2024</v>
          </cell>
          <cell r="C75" t="str">
            <v>070000162822</v>
          </cell>
        </row>
        <row r="76">
          <cell r="B76" t="str">
            <v>KHI/HO/D/MO/PC COMP/C/93577/168/07/2024</v>
          </cell>
          <cell r="C76" t="str">
            <v>070000162823</v>
          </cell>
        </row>
        <row r="77">
          <cell r="B77" t="str">
            <v>KHI/HO/D/MO/PC COMP/C/93577/170/07/2024</v>
          </cell>
          <cell r="C77" t="str">
            <v>070000162825</v>
          </cell>
        </row>
        <row r="78">
          <cell r="B78" t="str">
            <v>KHI/HO/D/MO/PC COMP/C/93577/171/07/2024</v>
          </cell>
          <cell r="C78" t="str">
            <v>070000162826</v>
          </cell>
        </row>
        <row r="79">
          <cell r="B79" t="str">
            <v>KHI/HO/D/MO/PC COMP/C/93577/223/07/2024</v>
          </cell>
          <cell r="C79" t="str">
            <v>070000162878</v>
          </cell>
        </row>
        <row r="80">
          <cell r="B80" t="str">
            <v>KHI/HO/D/MO/PC COMP/C/93577/224/07/2024</v>
          </cell>
          <cell r="C80" t="str">
            <v>070000162879</v>
          </cell>
        </row>
        <row r="81">
          <cell r="B81" t="str">
            <v>KHI/HO/D/MO/PC COMP/C/93577/225/07/2024</v>
          </cell>
          <cell r="C81" t="str">
            <v>070000162880</v>
          </cell>
        </row>
        <row r="82">
          <cell r="B82" t="str">
            <v>KHI/HO/D/MO/PC COMP/C/93577/226/07/2024</v>
          </cell>
          <cell r="C82" t="str">
            <v>070000162881</v>
          </cell>
        </row>
        <row r="83">
          <cell r="B83" t="str">
            <v>KHI/HO/D/MO/PC COMP/C/93577/227/07/2024</v>
          </cell>
          <cell r="C83" t="str">
            <v>070000162882</v>
          </cell>
        </row>
        <row r="84">
          <cell r="B84" t="str">
            <v>KHI/HO/D/MO/PC COMP/C/93577/230/07/2024</v>
          </cell>
          <cell r="C84" t="str">
            <v>070000162885</v>
          </cell>
        </row>
        <row r="85">
          <cell r="B85" t="str">
            <v>KHI/HO/D/MO/PC COMP/C/93577/231/07/2024</v>
          </cell>
          <cell r="C85" t="str">
            <v>070000162886</v>
          </cell>
        </row>
        <row r="86">
          <cell r="B86" t="str">
            <v>KHI/HO/D/MO/PC COMP/C/93577/232/07/2024</v>
          </cell>
          <cell r="C86" t="str">
            <v>070000162887</v>
          </cell>
        </row>
        <row r="87">
          <cell r="B87" t="str">
            <v>KHI/HO/D/MO/PC COMP/C/93577/233/07/2024</v>
          </cell>
          <cell r="C87" t="str">
            <v>070000162888</v>
          </cell>
        </row>
        <row r="88">
          <cell r="B88" t="str">
            <v>KHI/HO/D/MO/PC COMP/C/93577/235/07/2024</v>
          </cell>
          <cell r="C88" t="str">
            <v>070000162890</v>
          </cell>
        </row>
        <row r="89">
          <cell r="B89" t="str">
            <v>KHI/HO/D/MO/PC COMP/C/93577/236/07/2024</v>
          </cell>
          <cell r="C89" t="str">
            <v>070000162891</v>
          </cell>
        </row>
        <row r="90">
          <cell r="B90" t="str">
            <v>KHI/HO/D/MO/PC COMP/C/93577/237/07/2024</v>
          </cell>
          <cell r="C90" t="str">
            <v>070000162892</v>
          </cell>
        </row>
        <row r="91">
          <cell r="B91" t="str">
            <v>KHI/HO/D/MO/PC COMP/C/93577/238/07/2024</v>
          </cell>
          <cell r="C91" t="str">
            <v>070000162893</v>
          </cell>
        </row>
        <row r="92">
          <cell r="B92" t="str">
            <v>KHI/HO/D/MO/PC COMP/C/93577/239/07/2024</v>
          </cell>
          <cell r="C92" t="str">
            <v>070000162894</v>
          </cell>
        </row>
        <row r="93">
          <cell r="B93" t="str">
            <v>KHI/HO/D/MO/PC COMP/C/93577/242/07/2024</v>
          </cell>
          <cell r="C93" t="str">
            <v>070000162897</v>
          </cell>
        </row>
        <row r="94">
          <cell r="B94" t="str">
            <v>KHI/HO/D/MO/PC COMP/C/93577/140/07/2024</v>
          </cell>
          <cell r="C94" t="str">
            <v>070000162795</v>
          </cell>
        </row>
        <row r="95">
          <cell r="B95" t="str">
            <v>KHI/HO/D/MO/PC COMP/C/93577/141/07/2024</v>
          </cell>
          <cell r="C95" t="str">
            <v>070000162796</v>
          </cell>
        </row>
        <row r="96">
          <cell r="B96" t="str">
            <v>KHI/HO/D/MO/PC COMP/C/93577/142/07/2024</v>
          </cell>
          <cell r="C96" t="str">
            <v>070000162797</v>
          </cell>
        </row>
        <row r="97">
          <cell r="B97" t="str">
            <v>KHI/HO/D/MO/PC COMP/C/93577/145/07/2024</v>
          </cell>
          <cell r="C97" t="str">
            <v>070000162800</v>
          </cell>
        </row>
        <row r="98">
          <cell r="B98" t="str">
            <v>KHI/HO/D/MO/PC COMP/C/93577/149/07/2024</v>
          </cell>
          <cell r="C98" t="str">
            <v>070000162804</v>
          </cell>
        </row>
        <row r="99">
          <cell r="B99" t="str">
            <v>KHI/HO/D/MO/PC COMP/C/93577/153/07/2024</v>
          </cell>
          <cell r="C99" t="str">
            <v>070000162808</v>
          </cell>
        </row>
        <row r="100">
          <cell r="B100" t="str">
            <v>KHI/HO/D/MO/PC COMP/C/93577/157/07/2024</v>
          </cell>
          <cell r="C100" t="str">
            <v>070000162812</v>
          </cell>
        </row>
        <row r="101">
          <cell r="B101" t="str">
            <v>KHI/HO/D/MO/PC COMP/C/93577/161/07/2024</v>
          </cell>
          <cell r="C101" t="str">
            <v>070000162816</v>
          </cell>
        </row>
        <row r="102">
          <cell r="B102" t="str">
            <v>KHI/HO/D/MO/PC COMP/C/93577/165/07/2024</v>
          </cell>
          <cell r="C102" t="str">
            <v>070000162820</v>
          </cell>
        </row>
        <row r="103">
          <cell r="B103" t="str">
            <v>KHI/HO/D/MO/PC COMP/C/93577/169/07/2024</v>
          </cell>
          <cell r="C103" t="str">
            <v>070000162824</v>
          </cell>
        </row>
        <row r="104">
          <cell r="B104" t="str">
            <v>KHI/HO/D/MO/PC COMP/C/93577/173/07/2024</v>
          </cell>
          <cell r="C104" t="str">
            <v>070000162828</v>
          </cell>
        </row>
        <row r="105">
          <cell r="B105" t="str">
            <v>KHI/HO/D/MO/PC COMP/C/93577/177/07/2024</v>
          </cell>
          <cell r="C105" t="str">
            <v>070000162832</v>
          </cell>
        </row>
        <row r="106">
          <cell r="B106" t="str">
            <v>KHI/HO/D/MO/PC COMP/C/93577/182/07/2024</v>
          </cell>
          <cell r="C106" t="str">
            <v>070000162837</v>
          </cell>
        </row>
        <row r="107">
          <cell r="B107" t="str">
            <v>KHI/HO/D/MO/PC COMP/C/93577/186/07/2024</v>
          </cell>
          <cell r="C107" t="str">
            <v>070000162841</v>
          </cell>
        </row>
        <row r="108">
          <cell r="B108" t="str">
            <v>KHI/HO/D/MO/PC COMP/C/93577/188/07/2024</v>
          </cell>
          <cell r="C108" t="str">
            <v>070000162843</v>
          </cell>
        </row>
        <row r="109">
          <cell r="B109" t="str">
            <v>KHI/HO/D/MO/PC COMP/C/93577/194/07/2024</v>
          </cell>
          <cell r="C109" t="str">
            <v>070000162849</v>
          </cell>
        </row>
        <row r="110">
          <cell r="B110" t="str">
            <v>KHI/HO/D/MO/PC COMP/C/93577/201/07/2024</v>
          </cell>
          <cell r="C110" t="str">
            <v>070000162856</v>
          </cell>
        </row>
        <row r="111">
          <cell r="B111" t="str">
            <v>KHI/HO/D/MO/PC COMP/C/93577/208/07/2024</v>
          </cell>
          <cell r="C111" t="str">
            <v>070000162863</v>
          </cell>
        </row>
        <row r="112">
          <cell r="B112" t="str">
            <v>KHI/HO/D/MO/PC COMP/C/93577/215/07/2024</v>
          </cell>
          <cell r="C112" t="str">
            <v>070000162870</v>
          </cell>
        </row>
        <row r="113">
          <cell r="B113" t="str">
            <v>KHI/HO/D/MO/PC COMP/C/93577/221/07/2024</v>
          </cell>
          <cell r="C113" t="str">
            <v>070000162876</v>
          </cell>
        </row>
        <row r="114">
          <cell r="B114" t="str">
            <v>KHI/HO/D/MO/PC COMP/C/89429/71/05/2024</v>
          </cell>
          <cell r="C114" t="str">
            <v>070000159311</v>
          </cell>
        </row>
        <row r="115">
          <cell r="B115" t="str">
            <v>KHI/HO/D/MO/PC COMP/C/89429/195/05/2024</v>
          </cell>
          <cell r="C115" t="str">
            <v>070000159435</v>
          </cell>
        </row>
        <row r="116">
          <cell r="B116" t="str">
            <v>KHI/HO/D/MO/PC COMP/C/89429/217/05/2024</v>
          </cell>
          <cell r="C116" t="str">
            <v>070000159457</v>
          </cell>
        </row>
        <row r="117">
          <cell r="B117" t="str">
            <v>KHI/HO/D/MO/PC COMP/C/93577/1/07/2024</v>
          </cell>
          <cell r="C117" t="str">
            <v>070000162653</v>
          </cell>
        </row>
        <row r="118">
          <cell r="B118" t="str">
            <v>KHI/HO/D/MO/PC COMP/C/93577/2/07/2024</v>
          </cell>
          <cell r="C118" t="str">
            <v>070000162654</v>
          </cell>
        </row>
        <row r="119">
          <cell r="B119" t="str">
            <v>KHI/HO/D/MO/PC COMP/C/93577/3/07/2024</v>
          </cell>
          <cell r="C119" t="str">
            <v>070000162655</v>
          </cell>
        </row>
        <row r="120">
          <cell r="B120" t="str">
            <v>KHI/HO/D/MO/PC COMP/C/93577/4/07/2024</v>
          </cell>
          <cell r="C120" t="str">
            <v>070000162656</v>
          </cell>
        </row>
        <row r="121">
          <cell r="B121" t="str">
            <v>KHI/HO/D/MO/PC COMP/C/93577/6/07/2024</v>
          </cell>
          <cell r="C121" t="str">
            <v>070000162658</v>
          </cell>
        </row>
        <row r="122">
          <cell r="B122" t="str">
            <v>KHI/HO/D/MO/PC COMP/C/93577/16/07/2024</v>
          </cell>
          <cell r="C122" t="str">
            <v>070000162668</v>
          </cell>
        </row>
        <row r="123">
          <cell r="B123" t="str">
            <v>KHI/HO/D/MO/PC COMP/C/93577/9/07/2024</v>
          </cell>
          <cell r="C123" t="str">
            <v>070000162661</v>
          </cell>
        </row>
        <row r="124">
          <cell r="B124" t="str">
            <v>KHI/HO/D/MO/PC COMP/C/93577/12/07/2024</v>
          </cell>
          <cell r="C124" t="str">
            <v>070000162664</v>
          </cell>
        </row>
        <row r="125">
          <cell r="B125" t="str">
            <v>KHI/HO/D/MO/PC COMP/C/93577/10/07/2024</v>
          </cell>
          <cell r="C125" t="str">
            <v>070000162662</v>
          </cell>
        </row>
        <row r="126">
          <cell r="B126" t="str">
            <v>KHI/HO/D/MO/PC COMP/C/93577/13/07/2024</v>
          </cell>
          <cell r="C126" t="str">
            <v>070000162665</v>
          </cell>
        </row>
        <row r="127">
          <cell r="B127" t="str">
            <v>KHI/HO/D/MO/PC COMP/C/93577/14/07/2024</v>
          </cell>
          <cell r="C127" t="str">
            <v>070000162666</v>
          </cell>
        </row>
        <row r="128">
          <cell r="B128" t="str">
            <v>KHI/HO/D/MO/PC COMP/C/93577/15/07/2024</v>
          </cell>
          <cell r="C128" t="str">
            <v>070000162667</v>
          </cell>
        </row>
        <row r="129">
          <cell r="B129" t="str">
            <v>KHI/HO/D/MO/PC COMP/C/93577/18/07/2024</v>
          </cell>
          <cell r="C129" t="str">
            <v>070000162670</v>
          </cell>
        </row>
        <row r="130">
          <cell r="B130" t="str">
            <v>KHI/HO/D/MO/PC COMP/C/93577/19/07/2024</v>
          </cell>
          <cell r="C130" t="str">
            <v>070000162671</v>
          </cell>
        </row>
        <row r="131">
          <cell r="B131" t="str">
            <v>KHI/HO/D/MO/PC COMP/C/93577/20/07/2024</v>
          </cell>
          <cell r="C131" t="str">
            <v>070000162672</v>
          </cell>
        </row>
        <row r="132">
          <cell r="B132" t="str">
            <v>KHI/HO/D/MO/PC COMP/C/93577/21/07/2024</v>
          </cell>
          <cell r="C132" t="str">
            <v>070000162673</v>
          </cell>
        </row>
        <row r="133">
          <cell r="B133" t="str">
            <v>KHI/HO/D/MO/PC COMP/C/93577/5/07/2024</v>
          </cell>
          <cell r="C133" t="str">
            <v>070000162657</v>
          </cell>
        </row>
        <row r="134">
          <cell r="B134" t="str">
            <v>KHI/HO/D/MO/PC COMP/C/93577/11/07/2024</v>
          </cell>
          <cell r="C134" t="str">
            <v>070000162663</v>
          </cell>
        </row>
        <row r="135">
          <cell r="B135" t="str">
            <v>KHI/HO/D/MO/PC COMP/C/93577/17/07/2024</v>
          </cell>
          <cell r="C135" t="str">
            <v>070000162669</v>
          </cell>
        </row>
        <row r="136">
          <cell r="B136" t="str">
            <v>KHI/HO/D/MO/PC COMP/C/93577/23/07/2024</v>
          </cell>
          <cell r="C136" t="str">
            <v>070000162675</v>
          </cell>
        </row>
        <row r="137">
          <cell r="B137" t="str">
            <v>KHI/HO/D/MO/PC COMP/C/93577/30/07/2024</v>
          </cell>
          <cell r="C137" t="str">
            <v>070000162682</v>
          </cell>
        </row>
        <row r="138">
          <cell r="B138" t="str">
            <v>KHI/HO/D/MO/PC COMP/C/93577/36/07/2024</v>
          </cell>
          <cell r="C138" t="str">
            <v>070000162688</v>
          </cell>
        </row>
        <row r="139">
          <cell r="B139" t="str">
            <v>KHI/HO/D/MO/PC COMP/C/93577/39/07/2024</v>
          </cell>
          <cell r="C139" t="str">
            <v>070000162691</v>
          </cell>
        </row>
        <row r="140">
          <cell r="B140" t="str">
            <v>KHI/HO/D/MO/PC COMP/C/93577/24/07/2024</v>
          </cell>
          <cell r="C140" t="str">
            <v>070000162676</v>
          </cell>
        </row>
        <row r="141">
          <cell r="B141" t="str">
            <v>KHI/HO/D/MO/PC COMP/C/93577/26/07/2024</v>
          </cell>
          <cell r="C141" t="str">
            <v>070000162678</v>
          </cell>
        </row>
        <row r="142">
          <cell r="B142" t="str">
            <v>KHI/HO/D/MO/PC COMP/C/93577/27/07/2024</v>
          </cell>
          <cell r="C142" t="str">
            <v>070000162679</v>
          </cell>
        </row>
        <row r="143">
          <cell r="B143" t="str">
            <v>KHI/HO/D/MO/PC COMP/C/93577/28/07/2024</v>
          </cell>
          <cell r="C143" t="str">
            <v>070000162680</v>
          </cell>
        </row>
        <row r="144">
          <cell r="B144" t="str">
            <v>KHI/HO/D/MO/PC COMP/C/93577/29/07/2024</v>
          </cell>
          <cell r="C144" t="str">
            <v>070000162681</v>
          </cell>
        </row>
        <row r="145">
          <cell r="B145" t="str">
            <v>KHI/HO/D/MO/PC COMP/C/93577/31/07/2024</v>
          </cell>
          <cell r="C145" t="str">
            <v>070000162683</v>
          </cell>
        </row>
        <row r="146">
          <cell r="B146" t="str">
            <v>KHI/HO/D/MO/PC COMP/C/93577/32/07/2024</v>
          </cell>
          <cell r="C146" t="str">
            <v>070000162684</v>
          </cell>
        </row>
        <row r="147">
          <cell r="B147" t="str">
            <v>KHI/HO/D/MO/PC COMP/C/93577/33/07/2024</v>
          </cell>
          <cell r="C147" t="str">
            <v>070000162685</v>
          </cell>
        </row>
        <row r="148">
          <cell r="B148" t="str">
            <v>KHI/HO/D/MO/PC COMP/C/93577/34/07/2024</v>
          </cell>
          <cell r="C148" t="str">
            <v>070000162686</v>
          </cell>
        </row>
        <row r="149">
          <cell r="B149" t="str">
            <v>KHI/HO/D/MO/PC COMP/C/93577/35/07/2024</v>
          </cell>
          <cell r="C149" t="str">
            <v>070000162687</v>
          </cell>
        </row>
        <row r="150">
          <cell r="B150" t="str">
            <v>KHI/HO/D/MO/PC COMP/C/93577/37/07/2024</v>
          </cell>
          <cell r="C150" t="str">
            <v>070000162689</v>
          </cell>
        </row>
        <row r="151">
          <cell r="B151" t="str">
            <v>KHI/HO/D/MO/PC COMP/C/93577/38/07/2024</v>
          </cell>
          <cell r="C151" t="str">
            <v>070000162690</v>
          </cell>
        </row>
        <row r="152">
          <cell r="B152" t="str">
            <v>KHI/HO/D/MO/PC COMP/C/93577/62/07/2024</v>
          </cell>
          <cell r="C152" t="str">
            <v>070000162714</v>
          </cell>
        </row>
        <row r="153">
          <cell r="B153" t="str">
            <v>KHI/HO/D/MO/PC COMP/C/93577/63/07/2024</v>
          </cell>
          <cell r="C153" t="str">
            <v>070000162715</v>
          </cell>
        </row>
        <row r="154">
          <cell r="B154" t="str">
            <v>KHI/HO/D/MO/PC COMP/C/93577/64/07/2024</v>
          </cell>
          <cell r="C154" t="str">
            <v>070000162716</v>
          </cell>
        </row>
        <row r="155">
          <cell r="B155" t="str">
            <v>KHI/HO/D/MO/PC COMP/C/93577/66/07/2024</v>
          </cell>
          <cell r="C155" t="str">
            <v>070000162718</v>
          </cell>
        </row>
        <row r="156">
          <cell r="B156" t="str">
            <v>KHI/HO/D/MO/PC COMP/C/93577/67/07/2024</v>
          </cell>
          <cell r="C156" t="str">
            <v>070000162719</v>
          </cell>
        </row>
        <row r="157">
          <cell r="B157" t="str">
            <v>KHI/HO/D/MO/PC COMP/C/93577/68/07/2024</v>
          </cell>
          <cell r="C157" t="str">
            <v>070000162720</v>
          </cell>
        </row>
        <row r="158">
          <cell r="B158" t="str">
            <v>KHI/HO/D/MO/PC COMP/C/93577/69/07/2024</v>
          </cell>
          <cell r="C158" t="str">
            <v>070000162721</v>
          </cell>
        </row>
        <row r="159">
          <cell r="B159" t="str">
            <v>KHI/HO/D/MO/PC COMP/C/93577/71/07/2024</v>
          </cell>
          <cell r="C159" t="str">
            <v>070000162723</v>
          </cell>
        </row>
        <row r="160">
          <cell r="B160" t="str">
            <v>KHI/HO/D/MO/PC COMP/C/93577/72/07/2024</v>
          </cell>
          <cell r="C160" t="str">
            <v>070000162724</v>
          </cell>
        </row>
        <row r="161">
          <cell r="B161" t="str">
            <v>KHI/HO/D/MO/PC COMP/C/93577/73/07/2024</v>
          </cell>
          <cell r="C161" t="str">
            <v>070000162725</v>
          </cell>
        </row>
        <row r="162">
          <cell r="B162" t="str">
            <v>KHI/HO/D/MO/PC COMP/C/93577/74/07/2024</v>
          </cell>
          <cell r="C162" t="str">
            <v>070000162726</v>
          </cell>
        </row>
        <row r="163">
          <cell r="B163" t="str">
            <v>KHI/HO/D/MO/PC COMP/C/93577/75/07/2024</v>
          </cell>
          <cell r="C163" t="str">
            <v>070000162727</v>
          </cell>
        </row>
        <row r="164">
          <cell r="B164" t="str">
            <v>KHI/HO/D/MO/PC COMP/C/93577/77/07/2024</v>
          </cell>
          <cell r="C164" t="str">
            <v>070000162729</v>
          </cell>
        </row>
        <row r="165">
          <cell r="B165" t="str">
            <v>KHI/HO/D/MO/PC COMP/C/93577/78/07/2024</v>
          </cell>
          <cell r="C165" t="str">
            <v>070000162730</v>
          </cell>
        </row>
        <row r="166">
          <cell r="B166" t="str">
            <v>KHI/HO/D/MO/PC COMP/C/93577/79/07/2024</v>
          </cell>
          <cell r="C166" t="str">
            <v>070000162731</v>
          </cell>
        </row>
        <row r="167">
          <cell r="B167" t="str">
            <v>KHI/HO/D/MO/PC COMP/C/93577/80/07/2024</v>
          </cell>
          <cell r="C167" t="str">
            <v>070000162732</v>
          </cell>
        </row>
        <row r="168">
          <cell r="B168" t="str">
            <v>KHI/HO/D/MO/PC COMP/C/93577/46/07/2024</v>
          </cell>
          <cell r="C168" t="str">
            <v>070000162698</v>
          </cell>
        </row>
        <row r="169">
          <cell r="B169" t="str">
            <v>KHI/HO/D/MO/PC COMP/C/93577/44/07/2024</v>
          </cell>
          <cell r="C169" t="str">
            <v>070000162696</v>
          </cell>
        </row>
        <row r="170">
          <cell r="B170" t="str">
            <v>KHI/HO/D/MO/PC COMP/C/93577/45/07/2024</v>
          </cell>
          <cell r="C170" t="str">
            <v>070000162697</v>
          </cell>
        </row>
        <row r="171">
          <cell r="B171" t="str">
            <v>KHI/HO/D/MO/PC COMP/C/93577/52/07/2024</v>
          </cell>
          <cell r="C171" t="str">
            <v>070000162704</v>
          </cell>
        </row>
        <row r="172">
          <cell r="B172" t="str">
            <v>KHI/HO/D/MO/PC COMP/C/93577/48/07/2024</v>
          </cell>
          <cell r="C172" t="str">
            <v>070000162700</v>
          </cell>
        </row>
        <row r="173">
          <cell r="B173" t="str">
            <v>KHI/HO/D/MO/PC COMP/C/93577/49/07/2024</v>
          </cell>
          <cell r="C173" t="str">
            <v>070000162701</v>
          </cell>
        </row>
        <row r="174">
          <cell r="B174" t="str">
            <v>KHI/HO/D/MO/PC COMP/C/93577/50/07/2024</v>
          </cell>
          <cell r="C174" t="str">
            <v>070000162702</v>
          </cell>
        </row>
        <row r="175">
          <cell r="B175" t="str">
            <v>KHI/HO/D/MO/PC COMP/C/93577/51/07/2024</v>
          </cell>
          <cell r="C175" t="str">
            <v>070000162703</v>
          </cell>
        </row>
        <row r="176">
          <cell r="B176" t="str">
            <v>KHI/HO/D/MO/PC COMP/C/93577/54/07/2024</v>
          </cell>
          <cell r="C176" t="str">
            <v>070000162706</v>
          </cell>
        </row>
        <row r="177">
          <cell r="B177" t="str">
            <v>KHI/HO/D/MO/PC COMP/C/93577/55/07/2024</v>
          </cell>
          <cell r="C177" t="str">
            <v>070000162707</v>
          </cell>
        </row>
        <row r="178">
          <cell r="B178" t="str">
            <v>KHI/HO/D/MO/PC COMP/C/93577/56/07/2024</v>
          </cell>
          <cell r="C178" t="str">
            <v>070000162708</v>
          </cell>
        </row>
        <row r="179">
          <cell r="B179" t="str">
            <v>KHI/HO/D/MO/PC COMP/C/93577/57/07/2024</v>
          </cell>
          <cell r="C179" t="str">
            <v>070000162709</v>
          </cell>
        </row>
        <row r="180">
          <cell r="B180" t="str">
            <v>KHI/HO/D/MO/PC COMP/C/93577/58/07/2024</v>
          </cell>
          <cell r="C180" t="str">
            <v>070000162710</v>
          </cell>
        </row>
        <row r="181">
          <cell r="B181" t="str">
            <v>KHI/HO/D/MO/PC COMP/C/93577/60/07/2024</v>
          </cell>
          <cell r="C181" t="str">
            <v>070000162712</v>
          </cell>
        </row>
        <row r="182">
          <cell r="B182" t="str">
            <v>KHI/HO/D/MO/PC COMP/C/93577/61/07/2024</v>
          </cell>
          <cell r="C182" t="str">
            <v>070000162713</v>
          </cell>
        </row>
        <row r="183">
          <cell r="B183" t="str">
            <v>KHI/HO/D/MO/PC COMP/C/93577/83/07/2024</v>
          </cell>
          <cell r="C183" t="str">
            <v>070000162735</v>
          </cell>
        </row>
        <row r="184">
          <cell r="B184" t="str">
            <v>KHI/HO/D/MO/PC COMP/C/93577/84/07/2024</v>
          </cell>
          <cell r="C184" t="str">
            <v>070000162736</v>
          </cell>
        </row>
        <row r="185">
          <cell r="B185" t="str">
            <v>KHI/HO/D/MO/PC COMP/C/93577/85/07/2024</v>
          </cell>
          <cell r="C185" t="str">
            <v>070000162737</v>
          </cell>
        </row>
        <row r="186">
          <cell r="B186" t="str">
            <v>KHI/HO/D/MO/PC COMP/C/93577/110/07/2024</v>
          </cell>
          <cell r="C186" t="str">
            <v>070000162762</v>
          </cell>
        </row>
        <row r="187">
          <cell r="B187" t="str">
            <v>KHI/HO/D/MO/PC COMP/C/93577/98/07/2024</v>
          </cell>
          <cell r="C187" t="str">
            <v>070000162750</v>
          </cell>
        </row>
        <row r="188">
          <cell r="B188" t="str">
            <v>KHI/HO/D/MO/PC COMP/C/93577/86/07/2024</v>
          </cell>
          <cell r="C188" t="str">
            <v>070000162738</v>
          </cell>
        </row>
        <row r="189">
          <cell r="B189" t="str">
            <v>KHI/HO/D/MO/PC COMP/C/93577/87/07/2024</v>
          </cell>
          <cell r="C189" t="str">
            <v>070000162739</v>
          </cell>
        </row>
        <row r="190">
          <cell r="B190" t="str">
            <v>KHI/HO/D/MO/PC COMP/C/93577/89/07/2024</v>
          </cell>
          <cell r="C190" t="str">
            <v>070000162741</v>
          </cell>
        </row>
        <row r="191">
          <cell r="B191" t="str">
            <v>KHI/HO/D/MO/PC COMP/C/93577/90/07/2024</v>
          </cell>
          <cell r="C191" t="str">
            <v>070000162742</v>
          </cell>
        </row>
        <row r="192">
          <cell r="B192" t="str">
            <v>KHI/HO/D/MO/PC COMP/C/93577/92/07/2024</v>
          </cell>
          <cell r="C192" t="str">
            <v>070000162744</v>
          </cell>
        </row>
        <row r="193">
          <cell r="B193" t="str">
            <v>KHI/HO/D/MO/PC COMP/C/93577/94/07/2024</v>
          </cell>
          <cell r="C193" t="str">
            <v>070000162746</v>
          </cell>
        </row>
        <row r="194">
          <cell r="B194" t="str">
            <v>KHI/HO/D/MO/PC COMP/C/93577/95/07/2024</v>
          </cell>
          <cell r="C194" t="str">
            <v>070000162747</v>
          </cell>
        </row>
        <row r="195">
          <cell r="B195" t="str">
            <v>KHI/HO/D/MO/PC COMP/C/93577/96/07/2024</v>
          </cell>
          <cell r="C195" t="str">
            <v>070000162748</v>
          </cell>
        </row>
        <row r="196">
          <cell r="B196" t="str">
            <v>KHI/HO/D/MO/PC COMP/C/93577/97/07/2024</v>
          </cell>
          <cell r="C196" t="str">
            <v>070000162749</v>
          </cell>
        </row>
        <row r="197">
          <cell r="B197" t="str">
            <v>KHI/HO/D/MO/PC COMP/C/93577/101/07/2024</v>
          </cell>
          <cell r="C197" t="str">
            <v>070000162753</v>
          </cell>
        </row>
        <row r="198">
          <cell r="B198" t="str">
            <v>KHI/HO/D/MO/PC COMP/C/93577/102/07/2024</v>
          </cell>
          <cell r="C198" t="str">
            <v>070000162754</v>
          </cell>
        </row>
        <row r="199">
          <cell r="B199" t="str">
            <v>KHI/HO/D/MO/PC COMP/C/93577/103/07/2024</v>
          </cell>
          <cell r="C199" t="str">
            <v>070000162755</v>
          </cell>
        </row>
        <row r="200">
          <cell r="B200" t="str">
            <v>KHI/HO/D/MO/PC COMP/C/93577/106/07/2024</v>
          </cell>
          <cell r="C200" t="str">
            <v>070000162758</v>
          </cell>
        </row>
        <row r="201">
          <cell r="B201" t="str">
            <v>KHI/HO/D/MO/PC COMP/C/93577/40/07/2024</v>
          </cell>
          <cell r="C201" t="str">
            <v>070000162692</v>
          </cell>
        </row>
        <row r="202">
          <cell r="B202" t="str">
            <v>KHI/HO/D/MO/PC COMP/C/93577/41/07/2024</v>
          </cell>
          <cell r="C202" t="str">
            <v>070000162693</v>
          </cell>
        </row>
        <row r="203">
          <cell r="B203" t="str">
            <v>KHI/HO/D/MO/PC COMP/C/93577/42/07/2024</v>
          </cell>
          <cell r="C203" t="str">
            <v>070000162694</v>
          </cell>
        </row>
        <row r="204">
          <cell r="B204" t="str">
            <v>KHI/HO/D/MO/PC COMP/C/93577/43/07/2024</v>
          </cell>
          <cell r="C204" t="str">
            <v>070000162695</v>
          </cell>
        </row>
        <row r="205">
          <cell r="B205" t="str">
            <v>KHI/HO/D/MO/PC COMP/C/93577/47/07/2024</v>
          </cell>
          <cell r="C205" t="str">
            <v>070000162699</v>
          </cell>
        </row>
        <row r="206">
          <cell r="B206" t="str">
            <v>KHI/HO/D/MO/PC COMP/C/93577/53/07/2024</v>
          </cell>
          <cell r="C206" t="str">
            <v>070000162705</v>
          </cell>
        </row>
        <row r="207">
          <cell r="B207" t="str">
            <v>KHI/HO/D/MO/PC COMP/C/93577/59/07/2024</v>
          </cell>
          <cell r="C207" t="str">
            <v>070000162711</v>
          </cell>
        </row>
        <row r="208">
          <cell r="B208" t="str">
            <v>KHI/HO/D/MO/PC COMP/C/93577/104/07/2024</v>
          </cell>
          <cell r="C208" t="str">
            <v>070000162756</v>
          </cell>
        </row>
        <row r="209">
          <cell r="B209" t="str">
            <v>KHI/HO/D/MO/PC COMP/C/93577/107/07/2024</v>
          </cell>
          <cell r="C209" t="str">
            <v>070000162759</v>
          </cell>
        </row>
        <row r="210">
          <cell r="B210" t="str">
            <v>KHI/HO/D/MO/PC COMP/C/93577/108/07/2024</v>
          </cell>
          <cell r="C210" t="str">
            <v>070000162760</v>
          </cell>
        </row>
        <row r="211">
          <cell r="B211" t="str">
            <v>KHI/HO/D/MO/PC COMP/C/93577/109/07/2024</v>
          </cell>
          <cell r="C211" t="str">
            <v>070000162761</v>
          </cell>
        </row>
        <row r="212">
          <cell r="B212" t="str">
            <v>KHI/HO/D/MO/PC COMP/C/93577/112/07/2024</v>
          </cell>
          <cell r="C212" t="str">
            <v>070000162764</v>
          </cell>
        </row>
        <row r="213">
          <cell r="B213" t="str">
            <v>KHI/HO/D/MO/PC COMP/C/93577/113/07/2024</v>
          </cell>
          <cell r="C213" t="str">
            <v>070000162765</v>
          </cell>
        </row>
        <row r="214">
          <cell r="B214" t="str">
            <v>KHI/HO/D/MO/PC COMP/C/93577/114/07/2024</v>
          </cell>
          <cell r="C214" t="str">
            <v>070000162766</v>
          </cell>
        </row>
        <row r="215">
          <cell r="B215" t="str">
            <v>KHI/HO/D/MO/PC COMP/C/93577/115/07/2024</v>
          </cell>
          <cell r="C215" t="str">
            <v>070000162767</v>
          </cell>
        </row>
        <row r="216">
          <cell r="B216" t="str">
            <v>KHI/HO/D/MO/PC COMP/C/93577/117/07/2024</v>
          </cell>
          <cell r="C216" t="str">
            <v>070000162769</v>
          </cell>
        </row>
        <row r="217">
          <cell r="B217" t="str">
            <v>KHI/HO/D/MO/PC COMP/C/93577/118/07/2024</v>
          </cell>
          <cell r="C217" t="str">
            <v>070000162770</v>
          </cell>
        </row>
        <row r="218">
          <cell r="B218" t="str">
            <v>KHI/HO/D/MO/PC COMP/C/93577/119/07/2024</v>
          </cell>
          <cell r="C218" t="str">
            <v>070000162771</v>
          </cell>
        </row>
        <row r="219">
          <cell r="B219" t="str">
            <v>KHI/HO/D/MO/PC COMP/C/93577/120/07/2024</v>
          </cell>
          <cell r="C219" t="str">
            <v>070000162772</v>
          </cell>
        </row>
        <row r="220">
          <cell r="B220" t="str">
            <v>KHI/HO/D/MO/PC COMP/C/93577/65/07/2024</v>
          </cell>
          <cell r="C220" t="str">
            <v>070000162717</v>
          </cell>
        </row>
        <row r="221">
          <cell r="B221" t="str">
            <v>KHI/HO/D/MO/PC COMP/C/93577/70/07/2024</v>
          </cell>
          <cell r="C221" t="str">
            <v>070000162722</v>
          </cell>
        </row>
        <row r="222">
          <cell r="B222" t="str">
            <v>KHI/HO/D/MO/PC COMP/C/93577/76/07/2024</v>
          </cell>
          <cell r="C222" t="str">
            <v>070000162728</v>
          </cell>
        </row>
        <row r="223">
          <cell r="B223" t="str">
            <v>KHI/HO/D/MO/PC COMP/C/93577/82/07/2024</v>
          </cell>
          <cell r="C223" t="str">
            <v>070000162734</v>
          </cell>
        </row>
        <row r="224">
          <cell r="B224" t="str">
            <v>KHI/HO/D/MO/PC COMP/C/93577/88/07/2024</v>
          </cell>
          <cell r="C224" t="str">
            <v>070000162740</v>
          </cell>
        </row>
        <row r="225">
          <cell r="B225" t="str">
            <v>KHI/HO/D/MO/PC COMP/C/93577/93/07/2024</v>
          </cell>
          <cell r="C225" t="str">
            <v>070000162745</v>
          </cell>
        </row>
        <row r="226">
          <cell r="B226" t="str">
            <v>KHI/HO/D/MO/PC COMP/C/93577/99/07/2024</v>
          </cell>
          <cell r="C226" t="str">
            <v>070000162751</v>
          </cell>
        </row>
        <row r="227">
          <cell r="B227" t="str">
            <v>KHI/HO/D/MO/PC COMP/C/93577/105/07/2024</v>
          </cell>
          <cell r="C227" t="str">
            <v>070000162757</v>
          </cell>
        </row>
        <row r="228">
          <cell r="B228" t="str">
            <v>KHI/HO/D/MO/PC COMP/C/93577/111/07/2024</v>
          </cell>
          <cell r="C228" t="str">
            <v>070000162763</v>
          </cell>
        </row>
        <row r="229">
          <cell r="B229" t="str">
            <v>KHI/HO/D/MO/PC COMP/C/93577/116/07/2024</v>
          </cell>
          <cell r="C229" t="str">
            <v>070000162768</v>
          </cell>
        </row>
        <row r="230">
          <cell r="B230" t="str">
            <v>KHI/HO/D/MO/PC COMP/C/93577/121/07/2024</v>
          </cell>
          <cell r="C230" t="str">
            <v>070000162775</v>
          </cell>
        </row>
        <row r="231">
          <cell r="B231" t="str">
            <v>KHI/HO/D/MO/PC COMP/C/93577/122/07/2024</v>
          </cell>
          <cell r="C231" t="str">
            <v>070000162776</v>
          </cell>
        </row>
        <row r="232">
          <cell r="B232" t="str">
            <v>KHI/HO/D/MO/PC COMP/C/93577/123/07/2024</v>
          </cell>
          <cell r="C232" t="str">
            <v>070000162777</v>
          </cell>
        </row>
        <row r="233">
          <cell r="B233" t="str">
            <v>KHI/HO/D/MO/PC COMP/C/93577/124/07/2024</v>
          </cell>
          <cell r="C233" t="str">
            <v>070000162778</v>
          </cell>
        </row>
        <row r="234">
          <cell r="B234" t="str">
            <v>KHI/HO/D/MO/PC COMP/C/93577/125/07/2024</v>
          </cell>
          <cell r="C234" t="str">
            <v>070000162779</v>
          </cell>
        </row>
        <row r="235">
          <cell r="B235" t="str">
            <v>KHI/HO/D/MO/PC COMP/C/93577/126/07/2024</v>
          </cell>
          <cell r="C235" t="str">
            <v>070000162780</v>
          </cell>
        </row>
        <row r="236">
          <cell r="B236" t="str">
            <v>KHI/HO/D/MO/PC COMP/C/93577/127/07/2024</v>
          </cell>
          <cell r="C236" t="str">
            <v>070000162781</v>
          </cell>
        </row>
        <row r="237">
          <cell r="B237" t="str">
            <v>KHI/HO/D/MO/PC COMP/C/93577/128/07/2024</v>
          </cell>
          <cell r="C237" t="str">
            <v>070000162782</v>
          </cell>
        </row>
        <row r="238">
          <cell r="B238" t="str">
            <v>KHI/HO/D/MO/PC COMP/C/93577/129/07/2024</v>
          </cell>
          <cell r="C238" t="str">
            <v>070000162783</v>
          </cell>
        </row>
        <row r="239">
          <cell r="B239" t="str">
            <v>KHI/HO/D/MO/PC COMP/C/93577/130/07/2024</v>
          </cell>
          <cell r="C239" t="str">
            <v>070000162784</v>
          </cell>
        </row>
        <row r="240">
          <cell r="B240" t="str">
            <v>KHI/HO/D/MO/PC COMP/C/93577/131/07/2024</v>
          </cell>
          <cell r="C240" t="str">
            <v>070000162785</v>
          </cell>
        </row>
        <row r="241">
          <cell r="B241" t="str">
            <v>KHI/HO/D/MO/PC COMP/C/93577/132/07/2024</v>
          </cell>
          <cell r="C241" t="str">
            <v>070000162786</v>
          </cell>
        </row>
        <row r="242">
          <cell r="B242" t="str">
            <v>KHI/HO/D/MO/PC COMP/C/93577/133/07/2024</v>
          </cell>
          <cell r="C242" t="str">
            <v>070000162787</v>
          </cell>
        </row>
        <row r="243">
          <cell r="B243" t="str">
            <v>KHI/HO/D/MO/PC COMP/C/93577/134/07/2024</v>
          </cell>
          <cell r="C243" t="str">
            <v>070000162788</v>
          </cell>
        </row>
        <row r="244">
          <cell r="B244" t="str">
            <v>KHI/HO/D/MO/PC COMP/C/93577/136/07/2024</v>
          </cell>
          <cell r="C244" t="str">
            <v>070000162790</v>
          </cell>
        </row>
        <row r="245">
          <cell r="B245" t="str">
            <v>KHI/HO/D/MO/PC COMP/C/93577/137/07/2024</v>
          </cell>
          <cell r="C245" t="str">
            <v>070000162791</v>
          </cell>
        </row>
        <row r="246">
          <cell r="B246" t="str">
            <v>KHI/HO/D/MO/PC COMP/C/93577/138/07/2024</v>
          </cell>
          <cell r="C246" t="str">
            <v>070000162792</v>
          </cell>
        </row>
        <row r="247">
          <cell r="B247" t="str">
            <v>KHI/HO/D/MO/PC COMP/C/93577/139/07/2024</v>
          </cell>
          <cell r="C247" t="str">
            <v>070000162793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" displayName="Table6" ref="A1:AM278" totalsRowCount="1">
  <autoFilter ref="A1:AM277" xr:uid="{00000000-000C-0000-FFFF-FFFF00000000}">
    <filterColumn colId="32">
      <filters>
        <filter val="101,268"/>
        <filter val="11,475"/>
        <filter val="11,858"/>
        <filter val="113,902"/>
        <filter val="119,000"/>
        <filter val="12,000"/>
        <filter val="129,985"/>
        <filter val="13,598"/>
        <filter val="15,938"/>
        <filter val="16,000"/>
        <filter val="16,019"/>
        <filter val="16,153"/>
        <filter val="16,485"/>
        <filter val="16,538"/>
        <filter val="18,460"/>
        <filter val="19,168"/>
        <filter val="19,268"/>
        <filter val="19,688"/>
        <filter val="20,081"/>
        <filter val="20,625"/>
        <filter val="20,970"/>
        <filter val="21,658"/>
        <filter val="22,000"/>
        <filter val="22,058"/>
        <filter val="22,202"/>
        <filter val="22,400"/>
        <filter val="22,928"/>
        <filter val="22,950"/>
        <filter val="23,129"/>
        <filter val="23,188"/>
        <filter val="23,610"/>
        <filter val="23,800"/>
        <filter val="23,970"/>
        <filter val="24,225"/>
        <filter val="24,863"/>
        <filter val="24,880"/>
        <filter val="25,360"/>
        <filter val="25,375"/>
        <filter val="25,425"/>
        <filter val="25,500"/>
        <filter val="25,638"/>
        <filter val="25,813"/>
        <filter val="25,988"/>
        <filter val="26,074"/>
        <filter val="26,128"/>
        <filter val="26,163"/>
        <filter val="26,175"/>
        <filter val="26,282"/>
        <filter val="26,775"/>
        <filter val="27,094"/>
        <filter val="27,680"/>
        <filter val="28,000"/>
        <filter val="28,050"/>
        <filter val="28,369"/>
        <filter val="28,438"/>
        <filter val="28,657"/>
        <filter val="280,000"/>
        <filter val="29,223"/>
        <filter val="29,461"/>
        <filter val="29,531"/>
        <filter val="29,699"/>
        <filter val="29,775"/>
        <filter val="29,963"/>
        <filter val="29,985"/>
        <filter val="30,330"/>
        <filter val="30,389"/>
        <filter val="30,625"/>
        <filter val="30,656"/>
        <filter val="30,713"/>
        <filter val="30,838"/>
        <filter val="30,983"/>
        <filter val="31,325"/>
        <filter val="31,500"/>
        <filter val="31,544"/>
        <filter val="31,781"/>
        <filter val="31,782"/>
        <filter val="32,000"/>
        <filter val="32,480"/>
        <filter val="32,513"/>
        <filter val="32,719"/>
        <filter val="32,800"/>
        <filter val="33,048"/>
        <filter val="33,150"/>
        <filter val="33,152"/>
        <filter val="33,469"/>
        <filter val="33,556"/>
        <filter val="33,915"/>
        <filter val="33,941"/>
        <filter val="34,080"/>
        <filter val="34,125"/>
        <filter val="34,202"/>
        <filter val="34,350"/>
        <filter val="34,425"/>
        <filter val="34,650"/>
        <filter val="34,969"/>
        <filter val="35,200"/>
        <filter val="35,606"/>
        <filter val="35,625"/>
        <filter val="36,000"/>
        <filter val="36,300"/>
        <filter val="36,981"/>
        <filter val="37,013"/>
        <filter val="37,219"/>
        <filter val="37,383"/>
        <filter val="37,481"/>
        <filter val="37,530"/>
        <filter val="37,695"/>
        <filter val="38,148"/>
        <filter val="38,150"/>
        <filter val="38,250"/>
        <filter val="38,325"/>
        <filter val="38,850"/>
        <filter val="38,880"/>
        <filter val="38,888"/>
        <filter val="39,088"/>
        <filter val="39,450"/>
        <filter val="39,525"/>
        <filter val="39,600"/>
        <filter val="39,623"/>
        <filter val="40,170"/>
        <filter val="40,800"/>
        <filter val="41,139"/>
        <filter val="41,174"/>
        <filter val="41,438"/>
        <filter val="41,738"/>
        <filter val="41,895"/>
        <filter val="42,075"/>
        <filter val="42,320"/>
        <filter val="42,336"/>
        <filter val="42,512"/>
        <filter val="43,192"/>
        <filter val="43,663"/>
        <filter val="44,000"/>
        <filter val="44,250"/>
        <filter val="44,400"/>
        <filter val="44,498"/>
        <filter val="44,625"/>
        <filter val="44,848"/>
        <filter val="45,529"/>
        <filter val="46,226"/>
        <filter val="46,495"/>
        <filter val="46,788"/>
        <filter val="46,920"/>
        <filter val="47,175"/>
        <filter val="48,000"/>
        <filter val="48,450"/>
        <filter val="48,497"/>
        <filter val="48,600"/>
        <filter val="48,623"/>
        <filter val="49,688"/>
        <filter val="50,156"/>
        <filter val="50,235"/>
        <filter val="50,625"/>
        <filter val="51,600"/>
        <filter val="51,975"/>
        <filter val="52,500"/>
        <filter val="52,594"/>
        <filter val="53,550"/>
        <filter val="54,400"/>
        <filter val="55,300"/>
        <filter val="56,250"/>
        <filter val="56,338"/>
        <filter val="58,013"/>
        <filter val="58,500"/>
        <filter val="58,820"/>
        <filter val="58,841"/>
        <filter val="58,921"/>
        <filter val="59,479"/>
        <filter val="60,855"/>
        <filter val="60,885"/>
        <filter val="61,600"/>
        <filter val="62,000"/>
        <filter val="63,000"/>
        <filter val="63,019"/>
        <filter val="63,750"/>
        <filter val="63,760"/>
        <filter val="66,224"/>
        <filter val="67,342"/>
        <filter val="67,440"/>
        <filter val="67,500"/>
        <filter val="67,725"/>
        <filter val="68,513"/>
        <filter val="69,020"/>
        <filter val="69,469"/>
        <filter val="69,734"/>
        <filter val="70,875"/>
        <filter val="72,450"/>
        <filter val="74,655"/>
        <filter val="76,106"/>
        <filter val="76,286"/>
        <filter val="77,138"/>
        <filter val="80,313"/>
        <filter val="85,531"/>
        <filter val="87,760"/>
        <filter val="88,000"/>
        <filter val="88,200"/>
        <filter val="89,250"/>
        <filter val="91,856"/>
        <filter val="91,896"/>
        <filter val="94,265"/>
        <filter val="94,470"/>
      </filters>
    </filterColumn>
  </autoFilter>
  <sortState xmlns:xlrd2="http://schemas.microsoft.com/office/spreadsheetml/2017/richdata2" ref="A2:AJ277">
    <sortCondition ref="B2:B277"/>
  </sortState>
  <tableColumns count="39">
    <tableColumn id="1" xr3:uid="{00000000-0010-0000-0000-000001000000}" name="Sr."/>
    <tableColumn id="2" xr3:uid="{00000000-0010-0000-0000-000002000000}" name="Status"/>
    <tableColumn id="3" xr3:uid="{00000000-0010-0000-0000-000003000000}" name="Contract No."/>
    <tableColumn id="4" xr3:uid="{00000000-0010-0000-0000-000004000000}" name="Contract Status"/>
    <tableColumn id="5" xr3:uid="{00000000-0010-0000-0000-000005000000}" name="Insurance Agency"/>
    <tableColumn id="6" xr3:uid="{00000000-0010-0000-0000-000006000000}" name="Customer Name"/>
    <tableColumn id="7" xr3:uid="{00000000-0010-0000-0000-000007000000}" name="City"/>
    <tableColumn id="8" xr3:uid="{00000000-0010-0000-0000-000008000000}" name="CNIC No."/>
    <tableColumn id="9" xr3:uid="{00000000-0010-0000-0000-000009000000}" name="Home Phone#"/>
    <tableColumn id="10" xr3:uid="{00000000-0010-0000-0000-00000A000000}" name="Mobile Number"/>
    <tableColumn id="11" xr3:uid="{00000000-0010-0000-0000-00000B000000}" name="Business Phone#"/>
    <tableColumn id="12" xr3:uid="{00000000-0010-0000-0000-00000C000000}" name="Mail Address"/>
    <tableColumn id="13" xr3:uid="{00000000-0010-0000-0000-00000D000000}" name="Finance Amount"/>
    <tableColumn id="14" xr3:uid="{00000000-0010-0000-0000-00000E000000}" name="Car Price"/>
    <tableColumn id="15" xr3:uid="{00000000-0010-0000-0000-00000F000000}" name="Ins. Policy"/>
    <tableColumn id="16" xr3:uid="{00000000-0010-0000-0000-000010000000}" name="Ins. Expiry Date"/>
    <tableColumn id="17" xr3:uid="{00000000-0010-0000-0000-000011000000}" name="Engine No."/>
    <tableColumn id="18" xr3:uid="{00000000-0010-0000-0000-000012000000}" name="Chassis No."/>
    <tableColumn id="19" xr3:uid="{00000000-0010-0000-0000-000013000000}" name="Car Category"/>
    <tableColumn id="20" xr3:uid="{00000000-0010-0000-0000-000014000000}" name="Reg. No."/>
    <tableColumn id="21" xr3:uid="{00000000-0010-0000-0000-000015000000}" name="Car Name"/>
    <tableColumn id="22" xr3:uid="{00000000-0010-0000-0000-000016000000}" name="Model"/>
    <tableColumn id="23" xr3:uid="{00000000-0010-0000-0000-000017000000}" name="Contract Booking Date" dataDxfId="10" totalsRowDxfId="9"/>
    <tableColumn id="24" xr3:uid="{00000000-0010-0000-0000-000018000000}" name="Contract Value Date"/>
    <tableColumn id="25" xr3:uid="{00000000-0010-0000-0000-000019000000}" name="Contract Maturity Date"/>
    <tableColumn id="26" xr3:uid="{00000000-0010-0000-0000-00001A000000}" name="Purchase Order No."/>
    <tableColumn id="27" xr3:uid="{00000000-0010-0000-0000-00001B000000}" name="Tenor#2"/>
    <tableColumn id="28" xr3:uid="{00000000-0010-0000-0000-00001C000000}" name="Tracker Company"/>
    <tableColumn id="29" xr3:uid="{00000000-0010-0000-0000-00001D000000}" name="Tracker Reference Number"/>
    <tableColumn id="30" xr3:uid="{00000000-0010-0000-0000-00001E000000}" name="Tracker Installation Date"/>
    <tableColumn id="31" xr3:uid="{00000000-0010-0000-0000-00001F000000}" name="Rate "/>
    <tableColumn id="32" xr3:uid="{00000000-0010-0000-0000-000020000000}" name="Sum Insured "/>
    <tableColumn id="33" xr3:uid="{00000000-0010-0000-0000-000021000000}" name="Premium" totalsRowFunction="custom" dataDxfId="8" totalsRowDxfId="7" dataCellStyle="Comma">
      <totalsRowFormula>SUBTOTAL(9,Table6[Premium])</totalsRowFormula>
    </tableColumn>
    <tableColumn id="34" xr3:uid="{00000000-0010-0000-0000-000022000000}" name="OLD Contract Ref"/>
    <tableColumn id="35" xr3:uid="{00000000-0010-0000-0000-000023000000}" name="Remarks-I"/>
    <tableColumn id="36" xr3:uid="{00000000-0010-0000-0000-000024000000}" name="Remarks-II"/>
    <tableColumn id="37" xr3:uid="{A27B2809-4E91-44AA-B968-1F6723D667F9}" name="Policy # 2024" dataDxfId="6"/>
    <tableColumn id="38" xr3:uid="{D574CA16-B3D3-4B19-A190-9CCB937D683B}" name="Tms Prem" totalsRowFunction="sum" dataDxfId="5" totalsRowDxfId="4" dataCellStyle="Comma"/>
    <tableColumn id="39" xr3:uid="{A13E4E08-28C5-41C0-A3F9-81B556380344}" name="Difference" dataDxfId="3">
      <calculatedColumnFormula>Table6[[#This Row],[Premium]]-Table6[[#This Row],[Tms Prem]]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64"/>
  <sheetViews>
    <sheetView topLeftCell="AD253" workbookViewId="0">
      <selection activeCell="AL2" sqref="AL2:AL277"/>
    </sheetView>
  </sheetViews>
  <sheetFormatPr defaultRowHeight="15" x14ac:dyDescent="0.25"/>
  <cols>
    <col min="3" max="3" width="14.140625" customWidth="1"/>
    <col min="4" max="4" width="16.42578125" customWidth="1"/>
    <col min="5" max="5" width="18.5703125" customWidth="1"/>
    <col min="6" max="6" width="17.42578125" customWidth="1"/>
    <col min="8" max="8" width="11" customWidth="1"/>
    <col min="9" max="9" width="15.5703125" customWidth="1"/>
    <col min="10" max="10" width="17.28515625" customWidth="1"/>
    <col min="11" max="11" width="18" customWidth="1"/>
    <col min="12" max="12" width="14.7109375" customWidth="1"/>
    <col min="13" max="13" width="17.5703125" customWidth="1"/>
    <col min="14" max="14" width="10.85546875" customWidth="1"/>
    <col min="15" max="15" width="12" customWidth="1"/>
    <col min="16" max="16" width="16.7109375" customWidth="1"/>
    <col min="17" max="17" width="12.7109375" customWidth="1"/>
    <col min="18" max="18" width="13.140625" customWidth="1"/>
    <col min="19" max="19" width="14.28515625" customWidth="1"/>
    <col min="20" max="20" width="10.5703125" customWidth="1"/>
    <col min="21" max="21" width="11.7109375" customWidth="1"/>
    <col min="23" max="23" width="22.7109375" customWidth="1"/>
    <col min="24" max="24" width="20.7109375" customWidth="1"/>
    <col min="25" max="25" width="23.28515625" customWidth="1"/>
    <col min="26" max="26" width="20.28515625" customWidth="1"/>
    <col min="27" max="27" width="10.28515625" customWidth="1"/>
    <col min="28" max="28" width="18.28515625" customWidth="1"/>
    <col min="29" max="29" width="26.85546875" customWidth="1"/>
    <col min="30" max="30" width="24.5703125" customWidth="1"/>
    <col min="32" max="32" width="14.5703125" customWidth="1"/>
    <col min="33" max="33" width="11.28515625" customWidth="1"/>
    <col min="34" max="34" width="18" customWidth="1"/>
    <col min="35" max="35" width="12" customWidth="1"/>
    <col min="36" max="36" width="12.5703125" customWidth="1"/>
    <col min="37" max="37" width="41.140625" bestFit="1" customWidth="1"/>
    <col min="38" max="38" width="11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4486</v>
      </c>
      <c r="AL1" t="s">
        <v>4487</v>
      </c>
      <c r="AM1" t="s">
        <v>4488</v>
      </c>
    </row>
    <row r="2" spans="1:39" x14ac:dyDescent="0.25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43</v>
      </c>
      <c r="K2" t="s">
        <v>43</v>
      </c>
      <c r="L2" t="s">
        <v>44</v>
      </c>
      <c r="M2">
        <v>1400000</v>
      </c>
      <c r="N2">
        <v>2000000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s="1">
        <v>44369</v>
      </c>
      <c r="X2" t="s">
        <v>53</v>
      </c>
      <c r="Y2" t="s">
        <v>54</v>
      </c>
      <c r="Z2" t="s">
        <v>55</v>
      </c>
      <c r="AA2">
        <v>5</v>
      </c>
      <c r="AB2" t="s">
        <v>56</v>
      </c>
      <c r="AC2" t="s">
        <v>57</v>
      </c>
      <c r="AD2" t="s">
        <v>58</v>
      </c>
      <c r="AE2" t="s">
        <v>59</v>
      </c>
      <c r="AF2">
        <v>1600000</v>
      </c>
      <c r="AG2" s="6">
        <v>32000</v>
      </c>
      <c r="AK2" t="s">
        <v>4489</v>
      </c>
      <c r="AL2" s="6">
        <v>32000</v>
      </c>
      <c r="AM2" s="7">
        <f>Table6[[#This Row],[Premium]]-Table6[[#This Row],[Tms Prem]]</f>
        <v>0</v>
      </c>
    </row>
    <row r="3" spans="1:39" x14ac:dyDescent="0.25">
      <c r="A3">
        <v>2</v>
      </c>
      <c r="B3" t="s">
        <v>36</v>
      </c>
      <c r="C3" t="s">
        <v>60</v>
      </c>
      <c r="D3" t="s">
        <v>38</v>
      </c>
      <c r="E3" t="s">
        <v>39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>
        <v>1346800</v>
      </c>
      <c r="N3">
        <v>2072000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s="1">
        <v>44218</v>
      </c>
      <c r="X3" t="s">
        <v>76</v>
      </c>
      <c r="Y3" t="s">
        <v>77</v>
      </c>
      <c r="Z3" t="s">
        <v>78</v>
      </c>
      <c r="AA3">
        <v>7</v>
      </c>
      <c r="AB3" t="s">
        <v>56</v>
      </c>
      <c r="AC3" t="s">
        <v>79</v>
      </c>
      <c r="AD3" t="s">
        <v>80</v>
      </c>
      <c r="AE3" t="s">
        <v>59</v>
      </c>
      <c r="AF3">
        <v>1657600</v>
      </c>
      <c r="AG3" s="6">
        <v>33152</v>
      </c>
      <c r="AK3" t="s">
        <v>4490</v>
      </c>
      <c r="AL3" s="6">
        <v>33152</v>
      </c>
      <c r="AM3" s="7">
        <f>Table6[[#This Row],[Premium]]-Table6[[#This Row],[Tms Prem]]</f>
        <v>0</v>
      </c>
    </row>
    <row r="4" spans="1:39" hidden="1" x14ac:dyDescent="0.25">
      <c r="A4">
        <v>3</v>
      </c>
      <c r="B4" t="s">
        <v>36</v>
      </c>
      <c r="C4" t="s">
        <v>81</v>
      </c>
      <c r="D4" t="s">
        <v>38</v>
      </c>
      <c r="E4" t="s">
        <v>39</v>
      </c>
      <c r="F4" t="s">
        <v>82</v>
      </c>
      <c r="G4" t="s">
        <v>83</v>
      </c>
      <c r="H4" t="s">
        <v>84</v>
      </c>
      <c r="I4" t="s">
        <v>85</v>
      </c>
      <c r="J4" t="s">
        <v>85</v>
      </c>
      <c r="K4" t="s">
        <v>85</v>
      </c>
      <c r="L4" t="s">
        <v>86</v>
      </c>
      <c r="M4">
        <v>2625350</v>
      </c>
      <c r="N4">
        <v>4039000</v>
      </c>
      <c r="O4" t="s">
        <v>87</v>
      </c>
      <c r="P4" t="s">
        <v>88</v>
      </c>
      <c r="Q4" t="s">
        <v>89</v>
      </c>
      <c r="R4" t="s">
        <v>90</v>
      </c>
      <c r="S4" t="s">
        <v>72</v>
      </c>
      <c r="T4" t="s">
        <v>73</v>
      </c>
      <c r="U4" t="s">
        <v>91</v>
      </c>
      <c r="V4" t="s">
        <v>75</v>
      </c>
      <c r="W4" s="1">
        <v>44369</v>
      </c>
      <c r="X4" t="s">
        <v>53</v>
      </c>
      <c r="Y4" t="s">
        <v>92</v>
      </c>
      <c r="Z4" t="s">
        <v>93</v>
      </c>
      <c r="AA4">
        <v>3</v>
      </c>
      <c r="AB4" t="s">
        <v>56</v>
      </c>
      <c r="AC4" t="s">
        <v>94</v>
      </c>
      <c r="AD4" t="s">
        <v>58</v>
      </c>
      <c r="AE4" t="s">
        <v>59</v>
      </c>
      <c r="AF4">
        <v>2423400</v>
      </c>
      <c r="AG4" s="6">
        <v>0</v>
      </c>
      <c r="AK4" t="e">
        <v>#N/A</v>
      </c>
      <c r="AL4" s="6" t="e">
        <v>#N/A</v>
      </c>
      <c r="AM4" s="7" t="e">
        <f>Table6[[#This Row],[Premium]]-Table6[[#This Row],[Tms Prem]]</f>
        <v>#N/A</v>
      </c>
    </row>
    <row r="5" spans="1:39" x14ac:dyDescent="0.25">
      <c r="A5">
        <v>4</v>
      </c>
      <c r="B5" t="s">
        <v>36</v>
      </c>
      <c r="C5" t="s">
        <v>95</v>
      </c>
      <c r="D5" t="s">
        <v>38</v>
      </c>
      <c r="E5" t="s">
        <v>39</v>
      </c>
      <c r="F5" t="s">
        <v>96</v>
      </c>
      <c r="G5" t="s">
        <v>97</v>
      </c>
      <c r="H5" t="s">
        <v>98</v>
      </c>
      <c r="I5" t="s">
        <v>73</v>
      </c>
      <c r="J5" t="s">
        <v>99</v>
      </c>
      <c r="K5" t="s">
        <v>73</v>
      </c>
      <c r="L5" t="s">
        <v>100</v>
      </c>
      <c r="M5">
        <v>1019200</v>
      </c>
      <c r="N5">
        <v>1274000</v>
      </c>
      <c r="O5" t="s">
        <v>101</v>
      </c>
      <c r="P5" t="s">
        <v>102</v>
      </c>
      <c r="Q5" t="s">
        <v>103</v>
      </c>
      <c r="R5" t="s">
        <v>104</v>
      </c>
      <c r="S5" t="s">
        <v>72</v>
      </c>
      <c r="T5" t="s">
        <v>73</v>
      </c>
      <c r="U5" t="s">
        <v>105</v>
      </c>
      <c r="V5" t="s">
        <v>106</v>
      </c>
      <c r="W5" s="1">
        <v>44578</v>
      </c>
      <c r="X5" t="s">
        <v>107</v>
      </c>
      <c r="Y5" t="s">
        <v>108</v>
      </c>
      <c r="Z5" t="s">
        <v>109</v>
      </c>
      <c r="AA5">
        <v>5</v>
      </c>
      <c r="AB5" t="s">
        <v>110</v>
      </c>
      <c r="AC5" t="s">
        <v>111</v>
      </c>
      <c r="AD5" t="s">
        <v>112</v>
      </c>
      <c r="AE5" t="s">
        <v>59</v>
      </c>
      <c r="AF5">
        <v>1082900</v>
      </c>
      <c r="AG5" s="6">
        <v>21658</v>
      </c>
      <c r="AK5" t="s">
        <v>4491</v>
      </c>
      <c r="AL5" s="6">
        <v>21658</v>
      </c>
      <c r="AM5" s="7">
        <f>Table6[[#This Row],[Premium]]-Table6[[#This Row],[Tms Prem]]</f>
        <v>0</v>
      </c>
    </row>
    <row r="6" spans="1:39" x14ac:dyDescent="0.25">
      <c r="A6">
        <v>5</v>
      </c>
      <c r="B6" t="s">
        <v>36</v>
      </c>
      <c r="C6" t="s">
        <v>113</v>
      </c>
      <c r="D6" t="s">
        <v>38</v>
      </c>
      <c r="E6" t="s">
        <v>39</v>
      </c>
      <c r="F6" t="s">
        <v>114</v>
      </c>
      <c r="G6" t="s">
        <v>115</v>
      </c>
      <c r="H6" t="s">
        <v>116</v>
      </c>
      <c r="I6" t="s">
        <v>73</v>
      </c>
      <c r="J6" t="s">
        <v>117</v>
      </c>
      <c r="K6" t="s">
        <v>73</v>
      </c>
      <c r="L6" t="s">
        <v>118</v>
      </c>
      <c r="M6">
        <v>1458000</v>
      </c>
      <c r="N6">
        <v>1944000</v>
      </c>
      <c r="O6" t="s">
        <v>119</v>
      </c>
      <c r="P6" t="s">
        <v>120</v>
      </c>
      <c r="Q6" t="s">
        <v>121</v>
      </c>
      <c r="R6" t="s">
        <v>122</v>
      </c>
      <c r="S6" t="s">
        <v>72</v>
      </c>
      <c r="T6" t="s">
        <v>73</v>
      </c>
      <c r="U6" t="s">
        <v>123</v>
      </c>
      <c r="V6" t="s">
        <v>106</v>
      </c>
      <c r="W6" s="1">
        <v>44620</v>
      </c>
      <c r="X6" t="s">
        <v>124</v>
      </c>
      <c r="Y6" t="s">
        <v>125</v>
      </c>
      <c r="Z6" t="s">
        <v>126</v>
      </c>
      <c r="AA6">
        <v>7</v>
      </c>
      <c r="AB6" t="s">
        <v>110</v>
      </c>
      <c r="AC6" t="s">
        <v>127</v>
      </c>
      <c r="AD6" t="s">
        <v>128</v>
      </c>
      <c r="AE6" t="s">
        <v>59</v>
      </c>
      <c r="AF6">
        <v>1652400</v>
      </c>
      <c r="AG6" s="6">
        <v>33048</v>
      </c>
      <c r="AK6" t="s">
        <v>4492</v>
      </c>
      <c r="AL6" s="6">
        <v>33048</v>
      </c>
      <c r="AM6" s="7">
        <f>Table6[[#This Row],[Premium]]-Table6[[#This Row],[Tms Prem]]</f>
        <v>0</v>
      </c>
    </row>
    <row r="7" spans="1:39" x14ac:dyDescent="0.25">
      <c r="A7">
        <v>6</v>
      </c>
      <c r="B7" t="s">
        <v>36</v>
      </c>
      <c r="C7" t="s">
        <v>129</v>
      </c>
      <c r="D7" t="s">
        <v>38</v>
      </c>
      <c r="E7" t="s">
        <v>39</v>
      </c>
      <c r="F7" t="s">
        <v>130</v>
      </c>
      <c r="G7" t="s">
        <v>131</v>
      </c>
      <c r="H7" t="s">
        <v>132</v>
      </c>
      <c r="I7" t="s">
        <v>133</v>
      </c>
      <c r="J7" t="s">
        <v>73</v>
      </c>
      <c r="K7" t="s">
        <v>134</v>
      </c>
      <c r="L7" t="s">
        <v>135</v>
      </c>
      <c r="M7">
        <v>1683000</v>
      </c>
      <c r="N7">
        <v>2244000</v>
      </c>
      <c r="O7" t="s">
        <v>136</v>
      </c>
      <c r="P7" t="s">
        <v>137</v>
      </c>
      <c r="Q7" t="s">
        <v>138</v>
      </c>
      <c r="R7" t="s">
        <v>139</v>
      </c>
      <c r="S7" t="s">
        <v>72</v>
      </c>
      <c r="T7" t="s">
        <v>73</v>
      </c>
      <c r="U7" t="s">
        <v>140</v>
      </c>
      <c r="V7" t="s">
        <v>106</v>
      </c>
      <c r="W7" s="1">
        <v>44651</v>
      </c>
      <c r="X7" t="s">
        <v>107</v>
      </c>
      <c r="Y7" t="s">
        <v>77</v>
      </c>
      <c r="Z7" t="s">
        <v>141</v>
      </c>
      <c r="AA7">
        <v>6</v>
      </c>
      <c r="AB7" t="s">
        <v>56</v>
      </c>
      <c r="AC7" t="s">
        <v>142</v>
      </c>
      <c r="AD7" t="s">
        <v>112</v>
      </c>
      <c r="AE7" t="s">
        <v>59</v>
      </c>
      <c r="AF7">
        <v>1907400</v>
      </c>
      <c r="AG7" s="6">
        <v>38148</v>
      </c>
      <c r="AK7" t="s">
        <v>4493</v>
      </c>
      <c r="AL7" s="6">
        <v>38148</v>
      </c>
      <c r="AM7" s="7">
        <f>Table6[[#This Row],[Premium]]-Table6[[#This Row],[Tms Prem]]</f>
        <v>0</v>
      </c>
    </row>
    <row r="8" spans="1:39" x14ac:dyDescent="0.25">
      <c r="A8">
        <v>7</v>
      </c>
      <c r="B8" t="s">
        <v>36</v>
      </c>
      <c r="C8" t="s">
        <v>143</v>
      </c>
      <c r="D8" t="s">
        <v>38</v>
      </c>
      <c r="E8" t="s">
        <v>39</v>
      </c>
      <c r="F8" t="s">
        <v>144</v>
      </c>
      <c r="G8" t="s">
        <v>115</v>
      </c>
      <c r="H8" t="s">
        <v>145</v>
      </c>
      <c r="I8" t="s">
        <v>146</v>
      </c>
      <c r="J8" t="s">
        <v>146</v>
      </c>
      <c r="K8" t="s">
        <v>73</v>
      </c>
      <c r="L8" t="s">
        <v>147</v>
      </c>
      <c r="M8">
        <v>1188750</v>
      </c>
      <c r="N8">
        <v>1585000</v>
      </c>
      <c r="O8" t="s">
        <v>148</v>
      </c>
      <c r="P8" t="s">
        <v>149</v>
      </c>
      <c r="Q8" t="s">
        <v>150</v>
      </c>
      <c r="R8" t="s">
        <v>151</v>
      </c>
      <c r="S8" t="s">
        <v>72</v>
      </c>
      <c r="T8" t="s">
        <v>73</v>
      </c>
      <c r="U8" t="s">
        <v>152</v>
      </c>
      <c r="V8" t="s">
        <v>153</v>
      </c>
      <c r="W8" s="1">
        <v>44196</v>
      </c>
      <c r="X8" t="s">
        <v>154</v>
      </c>
      <c r="Y8" t="s">
        <v>155</v>
      </c>
      <c r="Z8" t="s">
        <v>156</v>
      </c>
      <c r="AA8">
        <v>5</v>
      </c>
      <c r="AB8" t="s">
        <v>56</v>
      </c>
      <c r="AC8" t="s">
        <v>157</v>
      </c>
      <c r="AD8" t="s">
        <v>158</v>
      </c>
      <c r="AE8" t="s">
        <v>59</v>
      </c>
      <c r="AF8">
        <v>1268000</v>
      </c>
      <c r="AG8" s="6">
        <v>25360</v>
      </c>
      <c r="AK8" t="s">
        <v>4494</v>
      </c>
      <c r="AL8" s="6">
        <v>25360</v>
      </c>
      <c r="AM8" s="7">
        <f>Table6[[#This Row],[Premium]]-Table6[[#This Row],[Tms Prem]]</f>
        <v>0</v>
      </c>
    </row>
    <row r="9" spans="1:39" x14ac:dyDescent="0.25">
      <c r="A9">
        <v>8</v>
      </c>
      <c r="B9" t="s">
        <v>36</v>
      </c>
      <c r="C9" t="s">
        <v>159</v>
      </c>
      <c r="D9" t="s">
        <v>38</v>
      </c>
      <c r="E9" t="s">
        <v>39</v>
      </c>
      <c r="F9" t="s">
        <v>160</v>
      </c>
      <c r="G9" t="s">
        <v>115</v>
      </c>
      <c r="H9" t="s">
        <v>161</v>
      </c>
      <c r="I9" t="s">
        <v>162</v>
      </c>
      <c r="J9" t="s">
        <v>162</v>
      </c>
      <c r="K9" t="s">
        <v>162</v>
      </c>
      <c r="L9" t="s">
        <v>163</v>
      </c>
      <c r="M9">
        <v>1491000</v>
      </c>
      <c r="N9">
        <v>2130000</v>
      </c>
      <c r="O9" t="s">
        <v>164</v>
      </c>
      <c r="P9" t="s">
        <v>165</v>
      </c>
      <c r="Q9" t="s">
        <v>166</v>
      </c>
      <c r="R9" t="s">
        <v>167</v>
      </c>
      <c r="S9" t="s">
        <v>72</v>
      </c>
      <c r="T9" t="s">
        <v>73</v>
      </c>
      <c r="U9" t="s">
        <v>168</v>
      </c>
      <c r="V9" t="s">
        <v>75</v>
      </c>
      <c r="W9" s="1">
        <v>44277</v>
      </c>
      <c r="X9" t="s">
        <v>154</v>
      </c>
      <c r="Y9" t="s">
        <v>155</v>
      </c>
      <c r="Z9" t="s">
        <v>169</v>
      </c>
      <c r="AA9">
        <v>5</v>
      </c>
      <c r="AB9" t="s">
        <v>56</v>
      </c>
      <c r="AC9" t="s">
        <v>170</v>
      </c>
      <c r="AD9" t="s">
        <v>171</v>
      </c>
      <c r="AE9" t="s">
        <v>59</v>
      </c>
      <c r="AF9">
        <v>1704000</v>
      </c>
      <c r="AG9" s="6">
        <v>34080</v>
      </c>
      <c r="AK9" t="s">
        <v>4495</v>
      </c>
      <c r="AL9" s="6">
        <v>34080</v>
      </c>
      <c r="AM9" s="7">
        <f>Table6[[#This Row],[Premium]]-Table6[[#This Row],[Tms Prem]]</f>
        <v>0</v>
      </c>
    </row>
    <row r="10" spans="1:39" x14ac:dyDescent="0.25">
      <c r="A10">
        <v>9</v>
      </c>
      <c r="B10" t="s">
        <v>36</v>
      </c>
      <c r="C10" t="s">
        <v>172</v>
      </c>
      <c r="D10" t="s">
        <v>38</v>
      </c>
      <c r="E10" t="s">
        <v>39</v>
      </c>
      <c r="F10" t="s">
        <v>173</v>
      </c>
      <c r="G10" t="s">
        <v>115</v>
      </c>
      <c r="H10" t="s">
        <v>174</v>
      </c>
      <c r="I10" t="s">
        <v>175</v>
      </c>
      <c r="J10" t="s">
        <v>175</v>
      </c>
      <c r="K10" t="s">
        <v>176</v>
      </c>
      <c r="L10" t="s">
        <v>177</v>
      </c>
      <c r="M10">
        <v>2980080</v>
      </c>
      <c r="N10">
        <v>4139000</v>
      </c>
      <c r="O10" t="s">
        <v>178</v>
      </c>
      <c r="P10" t="s">
        <v>179</v>
      </c>
      <c r="Q10" t="s">
        <v>180</v>
      </c>
      <c r="R10" t="s">
        <v>181</v>
      </c>
      <c r="S10" t="s">
        <v>72</v>
      </c>
      <c r="T10" t="s">
        <v>73</v>
      </c>
      <c r="U10" t="s">
        <v>182</v>
      </c>
      <c r="V10" t="s">
        <v>75</v>
      </c>
      <c r="W10" s="1">
        <v>44348</v>
      </c>
      <c r="X10" t="s">
        <v>183</v>
      </c>
      <c r="Y10" t="s">
        <v>184</v>
      </c>
      <c r="Z10" t="s">
        <v>185</v>
      </c>
      <c r="AA10">
        <v>4</v>
      </c>
      <c r="AB10" t="s">
        <v>56</v>
      </c>
      <c r="AC10" t="s">
        <v>186</v>
      </c>
      <c r="AD10" t="s">
        <v>158</v>
      </c>
      <c r="AE10" t="s">
        <v>59</v>
      </c>
      <c r="AF10">
        <v>3311200</v>
      </c>
      <c r="AG10" s="6">
        <v>66224</v>
      </c>
      <c r="AK10" t="s">
        <v>4496</v>
      </c>
      <c r="AL10" s="6">
        <v>66224</v>
      </c>
      <c r="AM10" s="7">
        <f>Table6[[#This Row],[Premium]]-Table6[[#This Row],[Tms Prem]]</f>
        <v>0</v>
      </c>
    </row>
    <row r="11" spans="1:39" x14ac:dyDescent="0.25">
      <c r="A11">
        <v>10</v>
      </c>
      <c r="B11" t="s">
        <v>36</v>
      </c>
      <c r="C11" t="s">
        <v>187</v>
      </c>
      <c r="D11" t="s">
        <v>38</v>
      </c>
      <c r="E11" t="s">
        <v>39</v>
      </c>
      <c r="F11" t="s">
        <v>188</v>
      </c>
      <c r="G11" t="s">
        <v>189</v>
      </c>
      <c r="H11" t="s">
        <v>190</v>
      </c>
      <c r="I11" t="s">
        <v>191</v>
      </c>
      <c r="J11" t="s">
        <v>192</v>
      </c>
      <c r="K11" t="s">
        <v>191</v>
      </c>
      <c r="L11" t="s">
        <v>193</v>
      </c>
      <c r="M11">
        <v>1000350</v>
      </c>
      <c r="N11">
        <v>1539000</v>
      </c>
      <c r="O11" t="s">
        <v>194</v>
      </c>
      <c r="P11" t="s">
        <v>179</v>
      </c>
      <c r="Q11" t="s">
        <v>195</v>
      </c>
      <c r="R11" t="s">
        <v>196</v>
      </c>
      <c r="S11" t="s">
        <v>72</v>
      </c>
      <c r="T11" t="s">
        <v>73</v>
      </c>
      <c r="U11" t="s">
        <v>197</v>
      </c>
      <c r="V11" t="s">
        <v>106</v>
      </c>
      <c r="W11" s="1">
        <v>44522</v>
      </c>
      <c r="X11" t="s">
        <v>107</v>
      </c>
      <c r="Y11" t="s">
        <v>108</v>
      </c>
      <c r="Z11" t="s">
        <v>198</v>
      </c>
      <c r="AA11">
        <v>5</v>
      </c>
      <c r="AB11" t="s">
        <v>199</v>
      </c>
      <c r="AC11" t="s">
        <v>200</v>
      </c>
      <c r="AD11" t="s">
        <v>201</v>
      </c>
      <c r="AE11" t="s">
        <v>59</v>
      </c>
      <c r="AF11">
        <v>1308150</v>
      </c>
      <c r="AG11" s="6">
        <v>26163</v>
      </c>
      <c r="AK11" t="s">
        <v>4497</v>
      </c>
      <c r="AL11" s="6">
        <v>26163</v>
      </c>
      <c r="AM11" s="7">
        <f>Table6[[#This Row],[Premium]]-Table6[[#This Row],[Tms Prem]]</f>
        <v>0</v>
      </c>
    </row>
    <row r="12" spans="1:39" x14ac:dyDescent="0.25">
      <c r="A12">
        <v>11</v>
      </c>
      <c r="B12" t="s">
        <v>36</v>
      </c>
      <c r="C12" t="s">
        <v>202</v>
      </c>
      <c r="D12" t="s">
        <v>38</v>
      </c>
      <c r="E12" t="s">
        <v>39</v>
      </c>
      <c r="F12" t="s">
        <v>203</v>
      </c>
      <c r="G12" t="s">
        <v>189</v>
      </c>
      <c r="H12" t="s">
        <v>204</v>
      </c>
      <c r="I12" t="s">
        <v>205</v>
      </c>
      <c r="J12" t="s">
        <v>206</v>
      </c>
      <c r="K12" t="s">
        <v>205</v>
      </c>
      <c r="L12" t="s">
        <v>207</v>
      </c>
      <c r="M12">
        <v>1000350</v>
      </c>
      <c r="N12">
        <v>1539000</v>
      </c>
      <c r="O12" t="s">
        <v>208</v>
      </c>
      <c r="P12" t="s">
        <v>179</v>
      </c>
      <c r="Q12" t="s">
        <v>209</v>
      </c>
      <c r="R12" t="s">
        <v>210</v>
      </c>
      <c r="S12" t="s">
        <v>72</v>
      </c>
      <c r="T12" t="s">
        <v>73</v>
      </c>
      <c r="U12" t="s">
        <v>197</v>
      </c>
      <c r="V12" t="s">
        <v>106</v>
      </c>
      <c r="W12" s="1">
        <v>44482</v>
      </c>
      <c r="X12" t="s">
        <v>107</v>
      </c>
      <c r="Y12" t="s">
        <v>211</v>
      </c>
      <c r="Z12" t="s">
        <v>212</v>
      </c>
      <c r="AA12">
        <v>3</v>
      </c>
      <c r="AB12" t="s">
        <v>56</v>
      </c>
      <c r="AC12" t="s">
        <v>213</v>
      </c>
      <c r="AD12" t="s">
        <v>201</v>
      </c>
      <c r="AE12" t="s">
        <v>59</v>
      </c>
      <c r="AF12">
        <v>1308150</v>
      </c>
      <c r="AG12" s="6">
        <v>26163</v>
      </c>
      <c r="AK12" t="s">
        <v>4498</v>
      </c>
      <c r="AL12" s="6">
        <v>26163</v>
      </c>
      <c r="AM12" s="7">
        <f>Table6[[#This Row],[Premium]]-Table6[[#This Row],[Tms Prem]]</f>
        <v>0</v>
      </c>
    </row>
    <row r="13" spans="1:39" x14ac:dyDescent="0.25">
      <c r="A13">
        <v>12</v>
      </c>
      <c r="B13" t="s">
        <v>36</v>
      </c>
      <c r="C13" t="s">
        <v>214</v>
      </c>
      <c r="D13" t="s">
        <v>38</v>
      </c>
      <c r="E13" t="s">
        <v>39</v>
      </c>
      <c r="F13" t="s">
        <v>215</v>
      </c>
      <c r="G13" t="s">
        <v>62</v>
      </c>
      <c r="H13" t="s">
        <v>216</v>
      </c>
      <c r="I13" t="s">
        <v>217</v>
      </c>
      <c r="J13" t="s">
        <v>217</v>
      </c>
      <c r="K13" t="s">
        <v>218</v>
      </c>
      <c r="L13" t="s">
        <v>219</v>
      </c>
      <c r="M13">
        <v>1213100</v>
      </c>
      <c r="N13">
        <v>1733000</v>
      </c>
      <c r="O13" t="s">
        <v>220</v>
      </c>
      <c r="P13" t="s">
        <v>221</v>
      </c>
      <c r="Q13" t="s">
        <v>222</v>
      </c>
      <c r="R13" t="s">
        <v>223</v>
      </c>
      <c r="S13" t="s">
        <v>72</v>
      </c>
      <c r="T13" t="s">
        <v>73</v>
      </c>
      <c r="U13" t="s">
        <v>224</v>
      </c>
      <c r="V13" t="s">
        <v>106</v>
      </c>
      <c r="W13" s="1">
        <v>44719</v>
      </c>
      <c r="X13" t="s">
        <v>107</v>
      </c>
      <c r="Y13" t="s">
        <v>108</v>
      </c>
      <c r="Z13" t="s">
        <v>225</v>
      </c>
      <c r="AA13">
        <v>5</v>
      </c>
      <c r="AB13" t="s">
        <v>110</v>
      </c>
      <c r="AC13" t="s">
        <v>226</v>
      </c>
      <c r="AD13" t="s">
        <v>201</v>
      </c>
      <c r="AE13" t="s">
        <v>59</v>
      </c>
      <c r="AF13">
        <v>1473050</v>
      </c>
      <c r="AG13" s="6">
        <v>29461</v>
      </c>
      <c r="AK13" t="s">
        <v>4499</v>
      </c>
      <c r="AL13" s="6">
        <v>29461</v>
      </c>
      <c r="AM13" s="7">
        <f>Table6[[#This Row],[Premium]]-Table6[[#This Row],[Tms Prem]]</f>
        <v>0</v>
      </c>
    </row>
    <row r="14" spans="1:39" x14ac:dyDescent="0.25">
      <c r="A14">
        <v>13</v>
      </c>
      <c r="B14" t="s">
        <v>36</v>
      </c>
      <c r="C14" t="s">
        <v>227</v>
      </c>
      <c r="D14" t="s">
        <v>38</v>
      </c>
      <c r="E14" t="s">
        <v>39</v>
      </c>
      <c r="F14" t="s">
        <v>228</v>
      </c>
      <c r="G14" t="s">
        <v>229</v>
      </c>
      <c r="H14" t="s">
        <v>230</v>
      </c>
      <c r="I14" t="s">
        <v>231</v>
      </c>
      <c r="J14" t="s">
        <v>231</v>
      </c>
      <c r="K14" t="s">
        <v>231</v>
      </c>
      <c r="L14" t="s">
        <v>232</v>
      </c>
      <c r="M14">
        <v>1360500</v>
      </c>
      <c r="N14">
        <v>1814000</v>
      </c>
      <c r="O14" t="s">
        <v>233</v>
      </c>
      <c r="P14" t="s">
        <v>179</v>
      </c>
      <c r="Q14" t="s">
        <v>234</v>
      </c>
      <c r="R14" t="s">
        <v>235</v>
      </c>
      <c r="S14" t="s">
        <v>72</v>
      </c>
      <c r="T14" t="s">
        <v>73</v>
      </c>
      <c r="U14" t="s">
        <v>197</v>
      </c>
      <c r="V14" t="s">
        <v>106</v>
      </c>
      <c r="W14" s="1">
        <v>44586</v>
      </c>
      <c r="X14" t="s">
        <v>124</v>
      </c>
      <c r="Y14" t="s">
        <v>236</v>
      </c>
      <c r="Z14" t="s">
        <v>237</v>
      </c>
      <c r="AA14">
        <v>5</v>
      </c>
      <c r="AB14" t="s">
        <v>199</v>
      </c>
      <c r="AC14" t="s">
        <v>238</v>
      </c>
      <c r="AD14" t="s">
        <v>112</v>
      </c>
      <c r="AE14" t="s">
        <v>59</v>
      </c>
      <c r="AF14">
        <v>1541900</v>
      </c>
      <c r="AG14" s="6">
        <v>30838</v>
      </c>
      <c r="AK14" t="s">
        <v>4500</v>
      </c>
      <c r="AL14" s="6">
        <v>30838</v>
      </c>
      <c r="AM14" s="7">
        <f>Table6[[#This Row],[Premium]]-Table6[[#This Row],[Tms Prem]]</f>
        <v>0</v>
      </c>
    </row>
    <row r="15" spans="1:39" x14ac:dyDescent="0.25">
      <c r="A15">
        <v>14</v>
      </c>
      <c r="B15" t="s">
        <v>36</v>
      </c>
      <c r="C15" t="s">
        <v>239</v>
      </c>
      <c r="D15" t="s">
        <v>38</v>
      </c>
      <c r="E15" t="s">
        <v>39</v>
      </c>
      <c r="F15" t="s">
        <v>240</v>
      </c>
      <c r="G15" t="s">
        <v>241</v>
      </c>
      <c r="H15" t="s">
        <v>242</v>
      </c>
      <c r="I15" t="s">
        <v>73</v>
      </c>
      <c r="J15" t="s">
        <v>243</v>
      </c>
      <c r="K15" t="s">
        <v>73</v>
      </c>
      <c r="L15" t="s">
        <v>244</v>
      </c>
      <c r="M15">
        <v>2422000</v>
      </c>
      <c r="N15">
        <v>3460000</v>
      </c>
      <c r="O15" t="s">
        <v>245</v>
      </c>
      <c r="P15" t="s">
        <v>179</v>
      </c>
      <c r="Q15" t="s">
        <v>246</v>
      </c>
      <c r="R15" t="s">
        <v>247</v>
      </c>
      <c r="S15" t="s">
        <v>72</v>
      </c>
      <c r="T15" t="s">
        <v>73</v>
      </c>
      <c r="U15" t="s">
        <v>248</v>
      </c>
      <c r="V15" t="s">
        <v>106</v>
      </c>
      <c r="W15" s="1">
        <v>44560</v>
      </c>
      <c r="X15" t="s">
        <v>124</v>
      </c>
      <c r="Y15" t="s">
        <v>236</v>
      </c>
      <c r="Z15" t="s">
        <v>249</v>
      </c>
      <c r="AA15">
        <v>5</v>
      </c>
      <c r="AB15" t="s">
        <v>110</v>
      </c>
      <c r="AC15" t="s">
        <v>250</v>
      </c>
      <c r="AD15" t="s">
        <v>112</v>
      </c>
      <c r="AE15" t="s">
        <v>59</v>
      </c>
      <c r="AF15">
        <v>2941000</v>
      </c>
      <c r="AG15" s="6">
        <v>58820</v>
      </c>
      <c r="AK15" t="s">
        <v>4501</v>
      </c>
      <c r="AL15" s="6">
        <v>58820</v>
      </c>
      <c r="AM15" s="7">
        <f>Table6[[#This Row],[Premium]]-Table6[[#This Row],[Tms Prem]]</f>
        <v>0</v>
      </c>
    </row>
    <row r="16" spans="1:39" x14ac:dyDescent="0.25">
      <c r="A16">
        <v>15</v>
      </c>
      <c r="B16" t="s">
        <v>36</v>
      </c>
      <c r="C16" t="s">
        <v>251</v>
      </c>
      <c r="D16" t="s">
        <v>38</v>
      </c>
      <c r="E16" t="s">
        <v>39</v>
      </c>
      <c r="F16" t="s">
        <v>252</v>
      </c>
      <c r="G16" t="s">
        <v>62</v>
      </c>
      <c r="H16" t="s">
        <v>253</v>
      </c>
      <c r="I16" t="s">
        <v>254</v>
      </c>
      <c r="J16" t="s">
        <v>254</v>
      </c>
      <c r="K16" t="s">
        <v>254</v>
      </c>
      <c r="L16" t="s">
        <v>255</v>
      </c>
      <c r="M16">
        <v>1470000</v>
      </c>
      <c r="N16">
        <v>2100000</v>
      </c>
      <c r="O16" t="s">
        <v>256</v>
      </c>
      <c r="P16" t="s">
        <v>257</v>
      </c>
      <c r="Q16" t="s">
        <v>258</v>
      </c>
      <c r="R16" t="s">
        <v>259</v>
      </c>
      <c r="S16" t="s">
        <v>49</v>
      </c>
      <c r="T16" t="s">
        <v>260</v>
      </c>
      <c r="U16" t="s">
        <v>261</v>
      </c>
      <c r="V16" t="s">
        <v>153</v>
      </c>
      <c r="W16" s="1">
        <v>44749</v>
      </c>
      <c r="X16" t="s">
        <v>107</v>
      </c>
      <c r="Y16" t="s">
        <v>108</v>
      </c>
      <c r="Z16" t="s">
        <v>262</v>
      </c>
      <c r="AA16">
        <v>5</v>
      </c>
      <c r="AB16" t="s">
        <v>263</v>
      </c>
      <c r="AC16" t="s">
        <v>264</v>
      </c>
      <c r="AD16" t="s">
        <v>265</v>
      </c>
      <c r="AE16" t="s">
        <v>266</v>
      </c>
      <c r="AF16">
        <v>1785000</v>
      </c>
      <c r="AG16" s="6">
        <v>26775</v>
      </c>
      <c r="AK16" t="s">
        <v>4502</v>
      </c>
      <c r="AL16" s="6">
        <v>26775</v>
      </c>
      <c r="AM16" s="7">
        <f>Table6[[#This Row],[Premium]]-Table6[[#This Row],[Tms Prem]]</f>
        <v>0</v>
      </c>
    </row>
    <row r="17" spans="1:39" x14ac:dyDescent="0.25">
      <c r="A17">
        <v>16</v>
      </c>
      <c r="B17" t="s">
        <v>36</v>
      </c>
      <c r="C17" t="s">
        <v>267</v>
      </c>
      <c r="D17" t="s">
        <v>38</v>
      </c>
      <c r="E17" t="s">
        <v>39</v>
      </c>
      <c r="F17" t="s">
        <v>268</v>
      </c>
      <c r="G17" t="s">
        <v>115</v>
      </c>
      <c r="H17" t="s">
        <v>269</v>
      </c>
      <c r="I17" t="s">
        <v>270</v>
      </c>
      <c r="J17" t="s">
        <v>270</v>
      </c>
      <c r="K17" t="s">
        <v>176</v>
      </c>
      <c r="L17" t="s">
        <v>271</v>
      </c>
      <c r="M17">
        <v>1487500</v>
      </c>
      <c r="N17">
        <v>2125000</v>
      </c>
      <c r="O17" t="s">
        <v>272</v>
      </c>
      <c r="P17" t="s">
        <v>257</v>
      </c>
      <c r="Q17" t="s">
        <v>273</v>
      </c>
      <c r="R17" t="s">
        <v>274</v>
      </c>
      <c r="S17" t="s">
        <v>49</v>
      </c>
      <c r="T17" t="s">
        <v>275</v>
      </c>
      <c r="U17" t="s">
        <v>276</v>
      </c>
      <c r="V17" t="s">
        <v>153</v>
      </c>
      <c r="W17" s="1">
        <v>44749</v>
      </c>
      <c r="X17" t="s">
        <v>107</v>
      </c>
      <c r="Y17" t="s">
        <v>108</v>
      </c>
      <c r="Z17" t="s">
        <v>277</v>
      </c>
      <c r="AA17">
        <v>5</v>
      </c>
      <c r="AB17" t="s">
        <v>110</v>
      </c>
      <c r="AC17" t="s">
        <v>278</v>
      </c>
      <c r="AD17" t="s">
        <v>265</v>
      </c>
      <c r="AE17" t="s">
        <v>266</v>
      </c>
      <c r="AF17">
        <v>1806250</v>
      </c>
      <c r="AG17" s="6">
        <v>27094</v>
      </c>
      <c r="AK17" t="s">
        <v>4503</v>
      </c>
      <c r="AL17" s="6">
        <v>27094</v>
      </c>
      <c r="AM17" s="7">
        <f>Table6[[#This Row],[Premium]]-Table6[[#This Row],[Tms Prem]]</f>
        <v>0</v>
      </c>
    </row>
    <row r="18" spans="1:39" x14ac:dyDescent="0.25">
      <c r="A18">
        <v>17</v>
      </c>
      <c r="B18" t="s">
        <v>36</v>
      </c>
      <c r="C18" t="s">
        <v>279</v>
      </c>
      <c r="D18" t="s">
        <v>38</v>
      </c>
      <c r="E18" t="s">
        <v>39</v>
      </c>
      <c r="F18" t="s">
        <v>280</v>
      </c>
      <c r="G18" t="s">
        <v>115</v>
      </c>
      <c r="H18" t="s">
        <v>281</v>
      </c>
      <c r="I18" t="s">
        <v>282</v>
      </c>
      <c r="J18" t="s">
        <v>282</v>
      </c>
      <c r="K18" t="s">
        <v>176</v>
      </c>
      <c r="L18" t="s">
        <v>283</v>
      </c>
      <c r="M18">
        <v>1557500</v>
      </c>
      <c r="N18">
        <v>2225000</v>
      </c>
      <c r="O18" t="s">
        <v>284</v>
      </c>
      <c r="P18" t="s">
        <v>257</v>
      </c>
      <c r="Q18" t="s">
        <v>285</v>
      </c>
      <c r="R18" t="s">
        <v>286</v>
      </c>
      <c r="S18" t="s">
        <v>49</v>
      </c>
      <c r="T18" t="s">
        <v>73</v>
      </c>
      <c r="U18" t="s">
        <v>276</v>
      </c>
      <c r="V18" t="s">
        <v>106</v>
      </c>
      <c r="W18" s="1">
        <v>44748</v>
      </c>
      <c r="X18" t="s">
        <v>107</v>
      </c>
      <c r="Y18" t="s">
        <v>108</v>
      </c>
      <c r="Z18" t="s">
        <v>287</v>
      </c>
      <c r="AA18">
        <v>5</v>
      </c>
      <c r="AB18" t="s">
        <v>110</v>
      </c>
      <c r="AC18" t="s">
        <v>288</v>
      </c>
      <c r="AD18" t="s">
        <v>265</v>
      </c>
      <c r="AE18" t="s">
        <v>266</v>
      </c>
      <c r="AF18">
        <v>1891250</v>
      </c>
      <c r="AG18" s="6">
        <v>28369</v>
      </c>
      <c r="AK18" t="s">
        <v>4504</v>
      </c>
      <c r="AL18" s="6">
        <v>28369</v>
      </c>
      <c r="AM18" s="7">
        <f>Table6[[#This Row],[Premium]]-Table6[[#This Row],[Tms Prem]]</f>
        <v>0</v>
      </c>
    </row>
    <row r="19" spans="1:39" x14ac:dyDescent="0.25">
      <c r="A19">
        <v>18</v>
      </c>
      <c r="B19" t="s">
        <v>36</v>
      </c>
      <c r="C19" t="s">
        <v>289</v>
      </c>
      <c r="D19" t="s">
        <v>38</v>
      </c>
      <c r="E19" t="s">
        <v>39</v>
      </c>
      <c r="F19" t="s">
        <v>290</v>
      </c>
      <c r="G19" t="s">
        <v>291</v>
      </c>
      <c r="H19" t="s">
        <v>292</v>
      </c>
      <c r="I19" t="s">
        <v>293</v>
      </c>
      <c r="J19" t="s">
        <v>293</v>
      </c>
      <c r="K19" t="s">
        <v>293</v>
      </c>
      <c r="L19" t="s">
        <v>294</v>
      </c>
      <c r="M19">
        <v>955500</v>
      </c>
      <c r="N19">
        <v>1274000</v>
      </c>
      <c r="O19" t="s">
        <v>295</v>
      </c>
      <c r="P19" t="s">
        <v>296</v>
      </c>
      <c r="Q19" t="s">
        <v>297</v>
      </c>
      <c r="R19" t="s">
        <v>298</v>
      </c>
      <c r="S19" t="s">
        <v>72</v>
      </c>
      <c r="T19" t="s">
        <v>73</v>
      </c>
      <c r="U19" t="s">
        <v>299</v>
      </c>
      <c r="V19" t="s">
        <v>106</v>
      </c>
      <c r="W19" s="1">
        <v>44582</v>
      </c>
      <c r="X19" t="s">
        <v>124</v>
      </c>
      <c r="Y19" t="s">
        <v>236</v>
      </c>
      <c r="Z19" t="s">
        <v>300</v>
      </c>
      <c r="AA19">
        <v>5</v>
      </c>
      <c r="AB19" t="s">
        <v>56</v>
      </c>
      <c r="AC19" t="s">
        <v>301</v>
      </c>
      <c r="AD19" t="s">
        <v>302</v>
      </c>
      <c r="AE19" t="s">
        <v>59</v>
      </c>
      <c r="AF19">
        <v>1082900</v>
      </c>
      <c r="AG19" s="6">
        <v>21658</v>
      </c>
      <c r="AK19" t="s">
        <v>4505</v>
      </c>
      <c r="AL19" s="6">
        <v>21658</v>
      </c>
      <c r="AM19" s="7">
        <f>Table6[[#This Row],[Premium]]-Table6[[#This Row],[Tms Prem]]</f>
        <v>0</v>
      </c>
    </row>
    <row r="20" spans="1:39" x14ac:dyDescent="0.25">
      <c r="A20">
        <v>19</v>
      </c>
      <c r="B20" t="s">
        <v>36</v>
      </c>
      <c r="C20" t="s">
        <v>303</v>
      </c>
      <c r="D20" t="s">
        <v>38</v>
      </c>
      <c r="E20" t="s">
        <v>39</v>
      </c>
      <c r="F20" t="s">
        <v>304</v>
      </c>
      <c r="G20" t="s">
        <v>189</v>
      </c>
      <c r="H20" t="s">
        <v>305</v>
      </c>
      <c r="I20" t="s">
        <v>73</v>
      </c>
      <c r="J20" t="s">
        <v>306</v>
      </c>
      <c r="K20" t="s">
        <v>73</v>
      </c>
      <c r="L20" t="s">
        <v>307</v>
      </c>
      <c r="M20">
        <v>2618700</v>
      </c>
      <c r="N20">
        <v>3741000</v>
      </c>
      <c r="O20" t="s">
        <v>308</v>
      </c>
      <c r="P20" t="s">
        <v>309</v>
      </c>
      <c r="Q20" t="s">
        <v>310</v>
      </c>
      <c r="R20" t="s">
        <v>311</v>
      </c>
      <c r="S20" t="s">
        <v>72</v>
      </c>
      <c r="T20" t="s">
        <v>73</v>
      </c>
      <c r="U20" t="s">
        <v>312</v>
      </c>
      <c r="V20" t="s">
        <v>313</v>
      </c>
      <c r="W20" s="1">
        <v>45113</v>
      </c>
      <c r="X20" t="s">
        <v>314</v>
      </c>
      <c r="Y20" t="s">
        <v>315</v>
      </c>
      <c r="Z20" t="s">
        <v>316</v>
      </c>
      <c r="AA20">
        <v>3</v>
      </c>
      <c r="AB20" t="s">
        <v>263</v>
      </c>
      <c r="AC20" t="s">
        <v>317</v>
      </c>
      <c r="AD20" t="s">
        <v>318</v>
      </c>
      <c r="AE20" t="s">
        <v>319</v>
      </c>
      <c r="AF20">
        <v>3366900</v>
      </c>
      <c r="AG20" s="6">
        <v>58921</v>
      </c>
      <c r="AK20" t="s">
        <v>4506</v>
      </c>
      <c r="AL20" s="6">
        <v>58921</v>
      </c>
      <c r="AM20" s="7">
        <f>Table6[[#This Row],[Premium]]-Table6[[#This Row],[Tms Prem]]</f>
        <v>0</v>
      </c>
    </row>
    <row r="21" spans="1:39" x14ac:dyDescent="0.25">
      <c r="A21">
        <v>20</v>
      </c>
      <c r="B21" t="s">
        <v>36</v>
      </c>
      <c r="C21" t="s">
        <v>320</v>
      </c>
      <c r="D21" t="s">
        <v>38</v>
      </c>
      <c r="E21" t="s">
        <v>39</v>
      </c>
      <c r="F21" t="s">
        <v>321</v>
      </c>
      <c r="G21" t="s">
        <v>41</v>
      </c>
      <c r="H21" t="s">
        <v>322</v>
      </c>
      <c r="I21" t="s">
        <v>323</v>
      </c>
      <c r="J21" t="s">
        <v>323</v>
      </c>
      <c r="K21" t="s">
        <v>323</v>
      </c>
      <c r="L21" t="s">
        <v>324</v>
      </c>
      <c r="M21">
        <v>487500</v>
      </c>
      <c r="N21">
        <v>750000</v>
      </c>
      <c r="O21" t="s">
        <v>308</v>
      </c>
      <c r="P21" t="s">
        <v>325</v>
      </c>
      <c r="Q21" t="s">
        <v>326</v>
      </c>
      <c r="R21" t="s">
        <v>327</v>
      </c>
      <c r="S21" t="s">
        <v>49</v>
      </c>
      <c r="T21" t="s">
        <v>328</v>
      </c>
      <c r="U21" t="s">
        <v>329</v>
      </c>
      <c r="V21" t="s">
        <v>330</v>
      </c>
      <c r="W21" s="1">
        <v>44390</v>
      </c>
      <c r="X21" t="s">
        <v>154</v>
      </c>
      <c r="Y21" t="s">
        <v>155</v>
      </c>
      <c r="Z21" t="s">
        <v>331</v>
      </c>
      <c r="AA21">
        <v>5</v>
      </c>
      <c r="AB21" t="s">
        <v>56</v>
      </c>
      <c r="AC21" t="s">
        <v>332</v>
      </c>
      <c r="AD21" t="s">
        <v>333</v>
      </c>
      <c r="AE21" t="s">
        <v>59</v>
      </c>
      <c r="AF21">
        <v>600000</v>
      </c>
      <c r="AG21" s="6">
        <v>12000</v>
      </c>
      <c r="AK21" t="s">
        <v>4507</v>
      </c>
      <c r="AL21" s="6">
        <v>12000</v>
      </c>
      <c r="AM21" s="7">
        <f>Table6[[#This Row],[Premium]]-Table6[[#This Row],[Tms Prem]]</f>
        <v>0</v>
      </c>
    </row>
    <row r="22" spans="1:39" x14ac:dyDescent="0.25">
      <c r="A22">
        <v>21</v>
      </c>
      <c r="B22" t="s">
        <v>36</v>
      </c>
      <c r="C22" t="s">
        <v>334</v>
      </c>
      <c r="D22" t="s">
        <v>38</v>
      </c>
      <c r="E22" t="s">
        <v>39</v>
      </c>
      <c r="F22" t="s">
        <v>335</v>
      </c>
      <c r="G22" t="s">
        <v>115</v>
      </c>
      <c r="H22" t="s">
        <v>336</v>
      </c>
      <c r="I22" t="s">
        <v>73</v>
      </c>
      <c r="J22" t="s">
        <v>337</v>
      </c>
      <c r="K22" t="s">
        <v>73</v>
      </c>
      <c r="L22" t="s">
        <v>338</v>
      </c>
      <c r="M22">
        <v>1594200</v>
      </c>
      <c r="N22">
        <v>2657000</v>
      </c>
      <c r="O22" t="s">
        <v>339</v>
      </c>
      <c r="P22" t="s">
        <v>340</v>
      </c>
      <c r="Q22" t="s">
        <v>341</v>
      </c>
      <c r="R22" t="s">
        <v>342</v>
      </c>
      <c r="S22" t="s">
        <v>72</v>
      </c>
      <c r="T22" t="s">
        <v>73</v>
      </c>
      <c r="U22" t="s">
        <v>343</v>
      </c>
      <c r="V22" t="s">
        <v>75</v>
      </c>
      <c r="W22" s="1">
        <v>44298</v>
      </c>
      <c r="X22" t="s">
        <v>183</v>
      </c>
      <c r="Y22" t="s">
        <v>344</v>
      </c>
      <c r="Z22" t="s">
        <v>345</v>
      </c>
      <c r="AA22">
        <v>6</v>
      </c>
      <c r="AB22" t="s">
        <v>56</v>
      </c>
      <c r="AC22" t="s">
        <v>346</v>
      </c>
      <c r="AD22" t="s">
        <v>333</v>
      </c>
      <c r="AE22" t="s">
        <v>59</v>
      </c>
      <c r="AF22">
        <v>2125600</v>
      </c>
      <c r="AG22" s="6">
        <v>42512</v>
      </c>
      <c r="AK22" t="s">
        <v>4508</v>
      </c>
      <c r="AL22" s="6">
        <v>42512</v>
      </c>
      <c r="AM22" s="7">
        <f>Table6[[#This Row],[Premium]]-Table6[[#This Row],[Tms Prem]]</f>
        <v>0</v>
      </c>
    </row>
    <row r="23" spans="1:39" x14ac:dyDescent="0.25">
      <c r="A23">
        <v>22</v>
      </c>
      <c r="B23" t="s">
        <v>36</v>
      </c>
      <c r="C23" t="s">
        <v>347</v>
      </c>
      <c r="D23" t="s">
        <v>38</v>
      </c>
      <c r="E23" t="s">
        <v>39</v>
      </c>
      <c r="F23" t="s">
        <v>348</v>
      </c>
      <c r="G23" t="s">
        <v>115</v>
      </c>
      <c r="H23" t="s">
        <v>349</v>
      </c>
      <c r="I23" t="s">
        <v>350</v>
      </c>
      <c r="J23" t="s">
        <v>351</v>
      </c>
      <c r="K23" t="s">
        <v>176</v>
      </c>
      <c r="L23" t="s">
        <v>352</v>
      </c>
      <c r="M23">
        <v>1657000</v>
      </c>
      <c r="N23">
        <v>3314000</v>
      </c>
      <c r="O23" t="s">
        <v>353</v>
      </c>
      <c r="P23" t="s">
        <v>354</v>
      </c>
      <c r="Q23" t="s">
        <v>355</v>
      </c>
      <c r="R23" t="s">
        <v>356</v>
      </c>
      <c r="S23" t="s">
        <v>72</v>
      </c>
      <c r="T23" t="s">
        <v>73</v>
      </c>
      <c r="U23" t="s">
        <v>357</v>
      </c>
      <c r="V23" t="s">
        <v>106</v>
      </c>
      <c r="W23" s="1">
        <v>44742</v>
      </c>
      <c r="X23" t="s">
        <v>124</v>
      </c>
      <c r="Y23" t="s">
        <v>358</v>
      </c>
      <c r="Z23" t="s">
        <v>359</v>
      </c>
      <c r="AA23">
        <v>3</v>
      </c>
      <c r="AB23" t="s">
        <v>110</v>
      </c>
      <c r="AC23" t="s">
        <v>360</v>
      </c>
      <c r="AD23" t="s">
        <v>112</v>
      </c>
      <c r="AE23" t="s">
        <v>59</v>
      </c>
      <c r="AF23">
        <v>2816900</v>
      </c>
      <c r="AG23" s="6">
        <v>56338</v>
      </c>
      <c r="AK23" t="s">
        <v>4509</v>
      </c>
      <c r="AL23" s="6">
        <v>56338</v>
      </c>
      <c r="AM23" s="7">
        <f>Table6[[#This Row],[Premium]]-Table6[[#This Row],[Tms Prem]]</f>
        <v>0</v>
      </c>
    </row>
    <row r="24" spans="1:39" x14ac:dyDescent="0.25">
      <c r="A24">
        <v>23</v>
      </c>
      <c r="B24" t="s">
        <v>36</v>
      </c>
      <c r="C24" t="s">
        <v>361</v>
      </c>
      <c r="D24" t="s">
        <v>38</v>
      </c>
      <c r="E24" t="s">
        <v>39</v>
      </c>
      <c r="F24" t="s">
        <v>362</v>
      </c>
      <c r="G24" t="s">
        <v>62</v>
      </c>
      <c r="H24" t="s">
        <v>363</v>
      </c>
      <c r="I24" t="s">
        <v>364</v>
      </c>
      <c r="J24" t="s">
        <v>364</v>
      </c>
      <c r="K24" t="s">
        <v>364</v>
      </c>
      <c r="L24" t="s">
        <v>365</v>
      </c>
      <c r="M24">
        <v>1996500</v>
      </c>
      <c r="N24">
        <v>2662000</v>
      </c>
      <c r="O24" t="s">
        <v>366</v>
      </c>
      <c r="P24" t="s">
        <v>367</v>
      </c>
      <c r="Q24" t="s">
        <v>368</v>
      </c>
      <c r="R24" t="s">
        <v>369</v>
      </c>
      <c r="S24" t="s">
        <v>72</v>
      </c>
      <c r="T24" t="s">
        <v>73</v>
      </c>
      <c r="U24" t="s">
        <v>370</v>
      </c>
      <c r="V24" t="s">
        <v>106</v>
      </c>
      <c r="W24" s="1">
        <v>44672</v>
      </c>
      <c r="X24" t="s">
        <v>107</v>
      </c>
      <c r="Y24" t="s">
        <v>315</v>
      </c>
      <c r="Z24" t="s">
        <v>371</v>
      </c>
      <c r="AA24">
        <v>4</v>
      </c>
      <c r="AB24" t="s">
        <v>110</v>
      </c>
      <c r="AC24" t="s">
        <v>372</v>
      </c>
      <c r="AD24" t="s">
        <v>265</v>
      </c>
      <c r="AE24" t="s">
        <v>266</v>
      </c>
      <c r="AF24">
        <v>2262700</v>
      </c>
      <c r="AG24" s="6">
        <v>33941</v>
      </c>
      <c r="AK24" t="s">
        <v>4510</v>
      </c>
      <c r="AL24" s="6">
        <v>33941</v>
      </c>
      <c r="AM24" s="7">
        <f>Table6[[#This Row],[Premium]]-Table6[[#This Row],[Tms Prem]]</f>
        <v>0</v>
      </c>
    </row>
    <row r="25" spans="1:39" x14ac:dyDescent="0.25">
      <c r="A25">
        <v>24</v>
      </c>
      <c r="B25" t="s">
        <v>36</v>
      </c>
      <c r="C25" t="s">
        <v>373</v>
      </c>
      <c r="D25" t="s">
        <v>38</v>
      </c>
      <c r="E25" t="s">
        <v>39</v>
      </c>
      <c r="F25" t="s">
        <v>374</v>
      </c>
      <c r="G25" t="s">
        <v>62</v>
      </c>
      <c r="H25" t="s">
        <v>375</v>
      </c>
      <c r="I25" t="s">
        <v>376</v>
      </c>
      <c r="J25" t="s">
        <v>376</v>
      </c>
      <c r="K25" t="s">
        <v>376</v>
      </c>
      <c r="L25" t="s">
        <v>377</v>
      </c>
      <c r="M25">
        <v>1082200</v>
      </c>
      <c r="N25">
        <v>1546000</v>
      </c>
      <c r="O25" t="s">
        <v>378</v>
      </c>
      <c r="P25" t="s">
        <v>379</v>
      </c>
      <c r="Q25" t="s">
        <v>380</v>
      </c>
      <c r="R25" t="s">
        <v>381</v>
      </c>
      <c r="S25" t="s">
        <v>72</v>
      </c>
      <c r="T25" t="s">
        <v>73</v>
      </c>
      <c r="U25" t="s">
        <v>382</v>
      </c>
      <c r="V25" t="s">
        <v>106</v>
      </c>
      <c r="W25" s="1">
        <v>44593</v>
      </c>
      <c r="X25" t="s">
        <v>124</v>
      </c>
      <c r="Y25" t="s">
        <v>383</v>
      </c>
      <c r="Z25" t="s">
        <v>384</v>
      </c>
      <c r="AA25">
        <v>6</v>
      </c>
      <c r="AB25" t="s">
        <v>110</v>
      </c>
      <c r="AC25" t="s">
        <v>385</v>
      </c>
      <c r="AD25" t="s">
        <v>265</v>
      </c>
      <c r="AE25" t="s">
        <v>59</v>
      </c>
      <c r="AF25">
        <v>1314100</v>
      </c>
      <c r="AG25" s="6">
        <v>26282</v>
      </c>
      <c r="AK25" t="s">
        <v>4511</v>
      </c>
      <c r="AL25" s="6">
        <v>26282</v>
      </c>
      <c r="AM25" s="7">
        <f>Table6[[#This Row],[Premium]]-Table6[[#This Row],[Tms Prem]]</f>
        <v>0</v>
      </c>
    </row>
    <row r="26" spans="1:39" x14ac:dyDescent="0.25">
      <c r="A26">
        <v>25</v>
      </c>
      <c r="B26" t="s">
        <v>36</v>
      </c>
      <c r="C26" t="s">
        <v>386</v>
      </c>
      <c r="D26" t="s">
        <v>38</v>
      </c>
      <c r="E26" t="s">
        <v>39</v>
      </c>
      <c r="F26" t="s">
        <v>387</v>
      </c>
      <c r="G26" t="s">
        <v>388</v>
      </c>
      <c r="H26" t="s">
        <v>389</v>
      </c>
      <c r="I26" t="s">
        <v>73</v>
      </c>
      <c r="J26" t="s">
        <v>390</v>
      </c>
      <c r="K26" t="s">
        <v>73</v>
      </c>
      <c r="L26" t="s">
        <v>391</v>
      </c>
      <c r="M26">
        <v>1937600</v>
      </c>
      <c r="N26">
        <v>2422000</v>
      </c>
      <c r="O26" t="s">
        <v>392</v>
      </c>
      <c r="P26" t="s">
        <v>393</v>
      </c>
      <c r="Q26" t="s">
        <v>394</v>
      </c>
      <c r="R26" t="s">
        <v>395</v>
      </c>
      <c r="S26" t="s">
        <v>72</v>
      </c>
      <c r="T26" t="s">
        <v>73</v>
      </c>
      <c r="U26" t="s">
        <v>396</v>
      </c>
      <c r="V26" t="s">
        <v>106</v>
      </c>
      <c r="W26" s="1">
        <v>44651</v>
      </c>
      <c r="X26" t="s">
        <v>124</v>
      </c>
      <c r="Y26" t="s">
        <v>155</v>
      </c>
      <c r="Z26" t="s">
        <v>397</v>
      </c>
      <c r="AA26">
        <v>4</v>
      </c>
      <c r="AB26" t="s">
        <v>56</v>
      </c>
      <c r="AC26" t="s">
        <v>398</v>
      </c>
      <c r="AD26" t="s">
        <v>399</v>
      </c>
      <c r="AE26" t="s">
        <v>59</v>
      </c>
      <c r="AF26">
        <v>2058700</v>
      </c>
      <c r="AG26" s="6">
        <v>41174</v>
      </c>
      <c r="AK26" t="s">
        <v>4512</v>
      </c>
      <c r="AL26" s="6">
        <v>41174</v>
      </c>
      <c r="AM26" s="7">
        <f>Table6[[#This Row],[Premium]]-Table6[[#This Row],[Tms Prem]]</f>
        <v>0</v>
      </c>
    </row>
    <row r="27" spans="1:39" x14ac:dyDescent="0.25">
      <c r="A27">
        <v>26</v>
      </c>
      <c r="B27" t="s">
        <v>36</v>
      </c>
      <c r="C27" t="s">
        <v>400</v>
      </c>
      <c r="D27" t="s">
        <v>38</v>
      </c>
      <c r="E27" t="s">
        <v>39</v>
      </c>
      <c r="F27" t="s">
        <v>401</v>
      </c>
      <c r="G27" t="s">
        <v>62</v>
      </c>
      <c r="H27" t="s">
        <v>402</v>
      </c>
      <c r="I27" t="s">
        <v>403</v>
      </c>
      <c r="J27" t="s">
        <v>404</v>
      </c>
      <c r="K27" t="s">
        <v>404</v>
      </c>
      <c r="L27" t="s">
        <v>405</v>
      </c>
      <c r="M27">
        <v>1044800</v>
      </c>
      <c r="N27">
        <v>1306000</v>
      </c>
      <c r="O27" t="s">
        <v>406</v>
      </c>
      <c r="P27" t="s">
        <v>407</v>
      </c>
      <c r="Q27" t="s">
        <v>408</v>
      </c>
      <c r="R27" t="s">
        <v>409</v>
      </c>
      <c r="S27" t="s">
        <v>72</v>
      </c>
      <c r="T27" t="s">
        <v>73</v>
      </c>
      <c r="U27" t="s">
        <v>105</v>
      </c>
      <c r="V27" t="s">
        <v>106</v>
      </c>
      <c r="W27" s="1">
        <v>44593</v>
      </c>
      <c r="X27" t="s">
        <v>124</v>
      </c>
      <c r="Y27" t="s">
        <v>236</v>
      </c>
      <c r="Z27" t="s">
        <v>410</v>
      </c>
      <c r="AA27">
        <v>5</v>
      </c>
      <c r="AB27" t="s">
        <v>110</v>
      </c>
      <c r="AC27" t="s">
        <v>411</v>
      </c>
      <c r="AD27" t="s">
        <v>265</v>
      </c>
      <c r="AE27" t="s">
        <v>59</v>
      </c>
      <c r="AF27">
        <v>1110100</v>
      </c>
      <c r="AG27" s="6">
        <v>22202</v>
      </c>
      <c r="AK27" t="s">
        <v>4513</v>
      </c>
      <c r="AL27" s="6">
        <v>22202</v>
      </c>
      <c r="AM27" s="7">
        <f>Table6[[#This Row],[Premium]]-Table6[[#This Row],[Tms Prem]]</f>
        <v>0</v>
      </c>
    </row>
    <row r="28" spans="1:39" x14ac:dyDescent="0.25">
      <c r="A28">
        <v>27</v>
      </c>
      <c r="B28" t="s">
        <v>36</v>
      </c>
      <c r="C28" t="s">
        <v>412</v>
      </c>
      <c r="D28" t="s">
        <v>38</v>
      </c>
      <c r="E28" t="s">
        <v>39</v>
      </c>
      <c r="F28" t="s">
        <v>413</v>
      </c>
      <c r="G28" t="s">
        <v>62</v>
      </c>
      <c r="H28" t="s">
        <v>414</v>
      </c>
      <c r="I28" t="s">
        <v>415</v>
      </c>
      <c r="J28" t="s">
        <v>416</v>
      </c>
      <c r="K28" t="s">
        <v>417</v>
      </c>
      <c r="L28" t="s">
        <v>418</v>
      </c>
      <c r="M28">
        <v>2422000</v>
      </c>
      <c r="N28">
        <v>3460000</v>
      </c>
      <c r="O28" t="s">
        <v>419</v>
      </c>
      <c r="P28" t="s">
        <v>420</v>
      </c>
      <c r="Q28" t="s">
        <v>421</v>
      </c>
      <c r="R28" t="s">
        <v>422</v>
      </c>
      <c r="S28" t="s">
        <v>72</v>
      </c>
      <c r="T28" t="s">
        <v>73</v>
      </c>
      <c r="U28" t="s">
        <v>423</v>
      </c>
      <c r="V28" t="s">
        <v>106</v>
      </c>
      <c r="W28" s="1">
        <v>44635</v>
      </c>
      <c r="X28" t="s">
        <v>124</v>
      </c>
      <c r="Y28" t="s">
        <v>358</v>
      </c>
      <c r="Z28" t="s">
        <v>424</v>
      </c>
      <c r="AA28">
        <v>3</v>
      </c>
      <c r="AB28" t="s">
        <v>110</v>
      </c>
      <c r="AC28" t="s">
        <v>425</v>
      </c>
      <c r="AD28" t="s">
        <v>265</v>
      </c>
      <c r="AE28" t="s">
        <v>59</v>
      </c>
      <c r="AF28">
        <v>2941000</v>
      </c>
      <c r="AG28" s="6">
        <v>58820</v>
      </c>
      <c r="AK28" t="s">
        <v>4514</v>
      </c>
      <c r="AL28" s="6">
        <v>58820</v>
      </c>
      <c r="AM28" s="7">
        <f>Table6[[#This Row],[Premium]]-Table6[[#This Row],[Tms Prem]]</f>
        <v>0</v>
      </c>
    </row>
    <row r="29" spans="1:39" x14ac:dyDescent="0.25">
      <c r="A29">
        <v>28</v>
      </c>
      <c r="B29" t="s">
        <v>36</v>
      </c>
      <c r="C29" t="s">
        <v>426</v>
      </c>
      <c r="D29" t="s">
        <v>38</v>
      </c>
      <c r="E29" t="s">
        <v>39</v>
      </c>
      <c r="F29" t="s">
        <v>427</v>
      </c>
      <c r="G29" t="s">
        <v>115</v>
      </c>
      <c r="H29" t="s">
        <v>428</v>
      </c>
      <c r="I29" t="s">
        <v>429</v>
      </c>
      <c r="J29" t="s">
        <v>429</v>
      </c>
      <c r="K29" t="s">
        <v>429</v>
      </c>
      <c r="L29" t="s">
        <v>430</v>
      </c>
      <c r="M29">
        <v>2984923</v>
      </c>
      <c r="N29">
        <v>6350900</v>
      </c>
      <c r="O29" t="s">
        <v>431</v>
      </c>
      <c r="P29" t="s">
        <v>367</v>
      </c>
      <c r="Q29" t="s">
        <v>432</v>
      </c>
      <c r="R29" t="s">
        <v>433</v>
      </c>
      <c r="S29" t="s">
        <v>72</v>
      </c>
      <c r="T29" t="s">
        <v>73</v>
      </c>
      <c r="U29" t="s">
        <v>434</v>
      </c>
      <c r="V29" t="s">
        <v>106</v>
      </c>
      <c r="W29" s="1">
        <v>44756</v>
      </c>
      <c r="X29" t="s">
        <v>124</v>
      </c>
      <c r="Y29" t="s">
        <v>358</v>
      </c>
      <c r="Z29" t="s">
        <v>435</v>
      </c>
      <c r="AA29">
        <v>3</v>
      </c>
      <c r="AB29" t="s">
        <v>110</v>
      </c>
      <c r="AC29" t="s">
        <v>436</v>
      </c>
      <c r="AD29" t="s">
        <v>399</v>
      </c>
      <c r="AE29" t="s">
        <v>319</v>
      </c>
      <c r="AF29">
        <v>5398265</v>
      </c>
      <c r="AG29" s="6">
        <v>94470</v>
      </c>
      <c r="AK29" t="s">
        <v>4515</v>
      </c>
      <c r="AL29" s="6">
        <v>94470</v>
      </c>
      <c r="AM29" s="7">
        <f>Table6[[#This Row],[Premium]]-Table6[[#This Row],[Tms Prem]]</f>
        <v>0</v>
      </c>
    </row>
    <row r="30" spans="1:39" x14ac:dyDescent="0.25">
      <c r="A30">
        <v>29</v>
      </c>
      <c r="B30" t="s">
        <v>36</v>
      </c>
      <c r="C30" t="s">
        <v>437</v>
      </c>
      <c r="D30" t="s">
        <v>38</v>
      </c>
      <c r="E30" t="s">
        <v>39</v>
      </c>
      <c r="F30" t="s">
        <v>438</v>
      </c>
      <c r="G30" t="s">
        <v>439</v>
      </c>
      <c r="H30" t="s">
        <v>440</v>
      </c>
      <c r="I30" t="s">
        <v>441</v>
      </c>
      <c r="J30" t="s">
        <v>441</v>
      </c>
      <c r="K30" t="s">
        <v>441</v>
      </c>
      <c r="L30" t="s">
        <v>442</v>
      </c>
      <c r="M30">
        <v>1236800</v>
      </c>
      <c r="N30">
        <v>1546000</v>
      </c>
      <c r="O30" t="s">
        <v>443</v>
      </c>
      <c r="P30" t="s">
        <v>420</v>
      </c>
      <c r="Q30" t="s">
        <v>444</v>
      </c>
      <c r="R30" t="s">
        <v>445</v>
      </c>
      <c r="S30" t="s">
        <v>72</v>
      </c>
      <c r="T30" t="s">
        <v>73</v>
      </c>
      <c r="U30" t="s">
        <v>446</v>
      </c>
      <c r="V30" t="s">
        <v>106</v>
      </c>
      <c r="W30" s="1">
        <v>44592</v>
      </c>
      <c r="X30" t="s">
        <v>447</v>
      </c>
      <c r="Y30" t="s">
        <v>448</v>
      </c>
      <c r="Z30" t="s">
        <v>449</v>
      </c>
      <c r="AA30">
        <v>5</v>
      </c>
      <c r="AB30" t="s">
        <v>199</v>
      </c>
      <c r="AC30" t="s">
        <v>73</v>
      </c>
      <c r="AD30" t="s">
        <v>265</v>
      </c>
      <c r="AE30" t="s">
        <v>59</v>
      </c>
      <c r="AF30">
        <v>1314100</v>
      </c>
      <c r="AG30" s="6">
        <v>26282</v>
      </c>
      <c r="AK30" t="s">
        <v>4516</v>
      </c>
      <c r="AL30" s="6">
        <v>26282</v>
      </c>
      <c r="AM30" s="7">
        <f>Table6[[#This Row],[Premium]]-Table6[[#This Row],[Tms Prem]]</f>
        <v>0</v>
      </c>
    </row>
    <row r="31" spans="1:39" x14ac:dyDescent="0.25">
      <c r="A31">
        <v>30</v>
      </c>
      <c r="B31" t="s">
        <v>36</v>
      </c>
      <c r="C31" t="s">
        <v>450</v>
      </c>
      <c r="D31" t="s">
        <v>38</v>
      </c>
      <c r="E31" t="s">
        <v>39</v>
      </c>
      <c r="F31" t="s">
        <v>451</v>
      </c>
      <c r="G31" t="s">
        <v>62</v>
      </c>
      <c r="H31" t="s">
        <v>452</v>
      </c>
      <c r="I31" t="s">
        <v>453</v>
      </c>
      <c r="J31" t="s">
        <v>453</v>
      </c>
      <c r="K31" t="s">
        <v>453</v>
      </c>
      <c r="L31" t="s">
        <v>454</v>
      </c>
      <c r="M31">
        <v>1159500</v>
      </c>
      <c r="N31">
        <v>1546000</v>
      </c>
      <c r="O31" t="s">
        <v>455</v>
      </c>
      <c r="P31" t="s">
        <v>456</v>
      </c>
      <c r="Q31" t="s">
        <v>457</v>
      </c>
      <c r="R31" t="s">
        <v>458</v>
      </c>
      <c r="S31" t="s">
        <v>72</v>
      </c>
      <c r="T31" t="s">
        <v>73</v>
      </c>
      <c r="U31" t="s">
        <v>382</v>
      </c>
      <c r="V31" t="s">
        <v>106</v>
      </c>
      <c r="W31" s="1">
        <v>44616</v>
      </c>
      <c r="X31" t="s">
        <v>459</v>
      </c>
      <c r="Y31" t="s">
        <v>344</v>
      </c>
      <c r="Z31" t="s">
        <v>460</v>
      </c>
      <c r="AA31">
        <v>5</v>
      </c>
      <c r="AB31" t="s">
        <v>56</v>
      </c>
      <c r="AC31" t="s">
        <v>461</v>
      </c>
      <c r="AD31" t="s">
        <v>462</v>
      </c>
      <c r="AE31" t="s">
        <v>59</v>
      </c>
      <c r="AF31">
        <v>1314100</v>
      </c>
      <c r="AG31" s="6">
        <v>26282</v>
      </c>
      <c r="AK31" t="s">
        <v>4517</v>
      </c>
      <c r="AL31" s="6">
        <v>26282</v>
      </c>
      <c r="AM31" s="7">
        <f>Table6[[#This Row],[Premium]]-Table6[[#This Row],[Tms Prem]]</f>
        <v>0</v>
      </c>
    </row>
    <row r="32" spans="1:39" x14ac:dyDescent="0.25">
      <c r="A32">
        <v>31</v>
      </c>
      <c r="B32" t="s">
        <v>36</v>
      </c>
      <c r="C32" t="s">
        <v>463</v>
      </c>
      <c r="D32" t="s">
        <v>38</v>
      </c>
      <c r="E32" t="s">
        <v>39</v>
      </c>
      <c r="F32" t="s">
        <v>464</v>
      </c>
      <c r="G32" t="s">
        <v>115</v>
      </c>
      <c r="H32" t="s">
        <v>465</v>
      </c>
      <c r="I32" t="s">
        <v>73</v>
      </c>
      <c r="J32" t="s">
        <v>466</v>
      </c>
      <c r="K32" t="s">
        <v>73</v>
      </c>
      <c r="L32" t="s">
        <v>467</v>
      </c>
      <c r="M32">
        <v>2494750</v>
      </c>
      <c r="N32">
        <v>2935000</v>
      </c>
      <c r="O32" t="s">
        <v>468</v>
      </c>
      <c r="P32" t="s">
        <v>456</v>
      </c>
      <c r="Q32" t="s">
        <v>469</v>
      </c>
      <c r="R32" t="s">
        <v>470</v>
      </c>
      <c r="S32" t="s">
        <v>471</v>
      </c>
      <c r="T32" t="s">
        <v>73</v>
      </c>
      <c r="U32" t="s">
        <v>276</v>
      </c>
      <c r="V32" t="s">
        <v>313</v>
      </c>
      <c r="W32" s="1">
        <v>45113</v>
      </c>
      <c r="X32" t="s">
        <v>314</v>
      </c>
      <c r="Y32" t="s">
        <v>77</v>
      </c>
      <c r="Z32" t="s">
        <v>472</v>
      </c>
      <c r="AA32">
        <v>5</v>
      </c>
      <c r="AB32" t="s">
        <v>263</v>
      </c>
      <c r="AC32" t="s">
        <v>473</v>
      </c>
      <c r="AD32" t="s">
        <v>474</v>
      </c>
      <c r="AE32" t="s">
        <v>475</v>
      </c>
      <c r="AF32">
        <v>2641500</v>
      </c>
      <c r="AG32" s="6">
        <v>36981</v>
      </c>
      <c r="AK32" t="s">
        <v>4518</v>
      </c>
      <c r="AL32" s="6">
        <v>36981</v>
      </c>
      <c r="AM32" s="7">
        <f>Table6[[#This Row],[Premium]]-Table6[[#This Row],[Tms Prem]]</f>
        <v>0</v>
      </c>
    </row>
    <row r="33" spans="1:39" x14ac:dyDescent="0.25">
      <c r="A33">
        <v>32</v>
      </c>
      <c r="B33" t="s">
        <v>36</v>
      </c>
      <c r="C33" t="s">
        <v>476</v>
      </c>
      <c r="D33" t="s">
        <v>38</v>
      </c>
      <c r="E33" t="s">
        <v>39</v>
      </c>
      <c r="F33" t="s">
        <v>477</v>
      </c>
      <c r="G33" t="s">
        <v>115</v>
      </c>
      <c r="H33" t="s">
        <v>478</v>
      </c>
      <c r="I33" t="s">
        <v>73</v>
      </c>
      <c r="J33" t="s">
        <v>479</v>
      </c>
      <c r="K33" t="s">
        <v>73</v>
      </c>
      <c r="L33" t="s">
        <v>480</v>
      </c>
      <c r="M33">
        <v>1044800</v>
      </c>
      <c r="N33">
        <v>1306000</v>
      </c>
      <c r="O33" t="s">
        <v>481</v>
      </c>
      <c r="P33" t="s">
        <v>456</v>
      </c>
      <c r="Q33" t="s">
        <v>482</v>
      </c>
      <c r="R33" t="s">
        <v>483</v>
      </c>
      <c r="S33" t="s">
        <v>72</v>
      </c>
      <c r="T33" t="s">
        <v>73</v>
      </c>
      <c r="U33" t="s">
        <v>484</v>
      </c>
      <c r="V33" t="s">
        <v>106</v>
      </c>
      <c r="W33" s="1">
        <v>44635</v>
      </c>
      <c r="X33" t="s">
        <v>124</v>
      </c>
      <c r="Y33" t="s">
        <v>236</v>
      </c>
      <c r="Z33" t="s">
        <v>485</v>
      </c>
      <c r="AA33">
        <v>5</v>
      </c>
      <c r="AB33" t="s">
        <v>56</v>
      </c>
      <c r="AC33" t="s">
        <v>486</v>
      </c>
      <c r="AD33" t="s">
        <v>265</v>
      </c>
      <c r="AE33" t="s">
        <v>59</v>
      </c>
      <c r="AF33">
        <v>1110100</v>
      </c>
      <c r="AG33" s="6">
        <v>22202</v>
      </c>
      <c r="AK33" t="s">
        <v>4519</v>
      </c>
      <c r="AL33" s="6">
        <v>22202</v>
      </c>
      <c r="AM33" s="7">
        <f>Table6[[#This Row],[Premium]]-Table6[[#This Row],[Tms Prem]]</f>
        <v>0</v>
      </c>
    </row>
    <row r="34" spans="1:39" x14ac:dyDescent="0.25">
      <c r="A34">
        <v>33</v>
      </c>
      <c r="B34" t="s">
        <v>36</v>
      </c>
      <c r="C34" t="s">
        <v>487</v>
      </c>
      <c r="D34" t="s">
        <v>38</v>
      </c>
      <c r="E34" t="s">
        <v>39</v>
      </c>
      <c r="F34" t="s">
        <v>488</v>
      </c>
      <c r="G34" t="s">
        <v>115</v>
      </c>
      <c r="H34" t="s">
        <v>489</v>
      </c>
      <c r="I34" t="s">
        <v>490</v>
      </c>
      <c r="J34" t="s">
        <v>490</v>
      </c>
      <c r="K34" t="s">
        <v>490</v>
      </c>
      <c r="L34" t="s">
        <v>491</v>
      </c>
      <c r="M34">
        <v>1222900</v>
      </c>
      <c r="N34">
        <v>1747000</v>
      </c>
      <c r="O34" t="s">
        <v>492</v>
      </c>
      <c r="P34" t="s">
        <v>456</v>
      </c>
      <c r="Q34" t="s">
        <v>493</v>
      </c>
      <c r="R34" t="s">
        <v>494</v>
      </c>
      <c r="S34" t="s">
        <v>72</v>
      </c>
      <c r="T34" t="s">
        <v>73</v>
      </c>
      <c r="U34" t="s">
        <v>495</v>
      </c>
      <c r="V34" t="s">
        <v>106</v>
      </c>
      <c r="W34" s="1">
        <v>44620</v>
      </c>
      <c r="X34" t="s">
        <v>124</v>
      </c>
      <c r="Y34" t="s">
        <v>236</v>
      </c>
      <c r="Z34" t="s">
        <v>496</v>
      </c>
      <c r="AA34">
        <v>5</v>
      </c>
      <c r="AB34" t="s">
        <v>110</v>
      </c>
      <c r="AC34" t="s">
        <v>497</v>
      </c>
      <c r="AD34" t="s">
        <v>128</v>
      </c>
      <c r="AE34" t="s">
        <v>59</v>
      </c>
      <c r="AF34">
        <v>1484950</v>
      </c>
      <c r="AG34" s="6">
        <v>29699</v>
      </c>
      <c r="AK34" t="s">
        <v>4520</v>
      </c>
      <c r="AL34" s="6">
        <v>29699</v>
      </c>
      <c r="AM34" s="7">
        <f>Table6[[#This Row],[Premium]]-Table6[[#This Row],[Tms Prem]]</f>
        <v>0</v>
      </c>
    </row>
    <row r="35" spans="1:39" x14ac:dyDescent="0.25">
      <c r="A35">
        <v>34</v>
      </c>
      <c r="B35" t="s">
        <v>36</v>
      </c>
      <c r="C35" t="s">
        <v>498</v>
      </c>
      <c r="D35" t="s">
        <v>38</v>
      </c>
      <c r="E35" t="s">
        <v>39</v>
      </c>
      <c r="F35" t="s">
        <v>499</v>
      </c>
      <c r="G35" t="s">
        <v>115</v>
      </c>
      <c r="H35" t="s">
        <v>500</v>
      </c>
      <c r="I35" t="s">
        <v>501</v>
      </c>
      <c r="J35" t="s">
        <v>501</v>
      </c>
      <c r="K35" t="s">
        <v>501</v>
      </c>
      <c r="L35" t="s">
        <v>502</v>
      </c>
      <c r="M35">
        <v>1269800</v>
      </c>
      <c r="N35">
        <v>1814000</v>
      </c>
      <c r="O35" t="s">
        <v>503</v>
      </c>
      <c r="P35" t="s">
        <v>456</v>
      </c>
      <c r="Q35" t="s">
        <v>504</v>
      </c>
      <c r="R35" t="s">
        <v>505</v>
      </c>
      <c r="S35" t="s">
        <v>72</v>
      </c>
      <c r="T35" t="s">
        <v>73</v>
      </c>
      <c r="U35" t="s">
        <v>123</v>
      </c>
      <c r="V35" t="s">
        <v>106</v>
      </c>
      <c r="W35" s="1">
        <v>44531</v>
      </c>
      <c r="X35" t="s">
        <v>124</v>
      </c>
      <c r="Y35" t="s">
        <v>358</v>
      </c>
      <c r="Z35" t="s">
        <v>506</v>
      </c>
      <c r="AA35">
        <v>3</v>
      </c>
      <c r="AB35" t="s">
        <v>56</v>
      </c>
      <c r="AC35" t="s">
        <v>507</v>
      </c>
      <c r="AD35" t="s">
        <v>399</v>
      </c>
      <c r="AE35" t="s">
        <v>59</v>
      </c>
      <c r="AF35">
        <v>1541900</v>
      </c>
      <c r="AG35" s="6">
        <v>30838</v>
      </c>
      <c r="AK35" t="s">
        <v>4521</v>
      </c>
      <c r="AL35" s="6">
        <v>30838</v>
      </c>
      <c r="AM35" s="7">
        <f>Table6[[#This Row],[Premium]]-Table6[[#This Row],[Tms Prem]]</f>
        <v>0</v>
      </c>
    </row>
    <row r="36" spans="1:39" x14ac:dyDescent="0.25">
      <c r="A36">
        <v>35</v>
      </c>
      <c r="B36" t="s">
        <v>36</v>
      </c>
      <c r="C36" t="s">
        <v>508</v>
      </c>
      <c r="D36" t="s">
        <v>38</v>
      </c>
      <c r="E36" t="s">
        <v>39</v>
      </c>
      <c r="F36" t="s">
        <v>509</v>
      </c>
      <c r="G36" t="s">
        <v>115</v>
      </c>
      <c r="H36" t="s">
        <v>510</v>
      </c>
      <c r="I36" t="s">
        <v>511</v>
      </c>
      <c r="J36" t="s">
        <v>512</v>
      </c>
      <c r="K36" t="s">
        <v>73</v>
      </c>
      <c r="L36" t="s">
        <v>513</v>
      </c>
      <c r="M36">
        <v>1397600</v>
      </c>
      <c r="N36">
        <v>1747000</v>
      </c>
      <c r="O36" t="s">
        <v>514</v>
      </c>
      <c r="P36" t="s">
        <v>515</v>
      </c>
      <c r="Q36" t="s">
        <v>516</v>
      </c>
      <c r="R36" t="s">
        <v>517</v>
      </c>
      <c r="S36" t="s">
        <v>72</v>
      </c>
      <c r="T36" t="s">
        <v>73</v>
      </c>
      <c r="U36" t="s">
        <v>276</v>
      </c>
      <c r="V36" t="s">
        <v>106</v>
      </c>
      <c r="W36" s="1">
        <v>44621</v>
      </c>
      <c r="X36" t="s">
        <v>124</v>
      </c>
      <c r="Y36" t="s">
        <v>125</v>
      </c>
      <c r="Z36" t="s">
        <v>518</v>
      </c>
      <c r="AA36">
        <v>7</v>
      </c>
      <c r="AB36" t="s">
        <v>110</v>
      </c>
      <c r="AC36" t="s">
        <v>519</v>
      </c>
      <c r="AD36" t="s">
        <v>520</v>
      </c>
      <c r="AE36" t="s">
        <v>59</v>
      </c>
      <c r="AF36">
        <v>1484950</v>
      </c>
      <c r="AG36" s="6">
        <v>29699</v>
      </c>
      <c r="AK36" t="s">
        <v>4522</v>
      </c>
      <c r="AL36" s="6">
        <v>29699</v>
      </c>
      <c r="AM36" s="7">
        <f>Table6[[#This Row],[Premium]]-Table6[[#This Row],[Tms Prem]]</f>
        <v>0</v>
      </c>
    </row>
    <row r="37" spans="1:39" x14ac:dyDescent="0.25">
      <c r="A37">
        <v>36</v>
      </c>
      <c r="B37" t="s">
        <v>36</v>
      </c>
      <c r="C37" t="s">
        <v>521</v>
      </c>
      <c r="D37" t="s">
        <v>38</v>
      </c>
      <c r="E37" t="s">
        <v>39</v>
      </c>
      <c r="F37" t="s">
        <v>522</v>
      </c>
      <c r="G37" t="s">
        <v>62</v>
      </c>
      <c r="H37" t="s">
        <v>523</v>
      </c>
      <c r="I37" t="s">
        <v>73</v>
      </c>
      <c r="J37" t="s">
        <v>524</v>
      </c>
      <c r="K37" t="s">
        <v>525</v>
      </c>
      <c r="L37" t="s">
        <v>526</v>
      </c>
      <c r="M37">
        <v>2960530</v>
      </c>
      <c r="N37">
        <v>6299000</v>
      </c>
      <c r="O37" t="s">
        <v>527</v>
      </c>
      <c r="P37" s="1">
        <v>45436</v>
      </c>
      <c r="Q37" t="s">
        <v>528</v>
      </c>
      <c r="R37" t="s">
        <v>529</v>
      </c>
      <c r="S37" t="s">
        <v>72</v>
      </c>
      <c r="T37" t="s">
        <v>73</v>
      </c>
      <c r="U37" t="s">
        <v>530</v>
      </c>
      <c r="V37" t="s">
        <v>106</v>
      </c>
      <c r="W37" s="1">
        <v>44671</v>
      </c>
      <c r="X37" t="s">
        <v>531</v>
      </c>
      <c r="Y37" t="s">
        <v>532</v>
      </c>
      <c r="Z37" t="s">
        <v>533</v>
      </c>
      <c r="AA37">
        <v>5</v>
      </c>
      <c r="AB37" t="s">
        <v>110</v>
      </c>
      <c r="AC37" t="s">
        <v>534</v>
      </c>
      <c r="AD37" t="s">
        <v>535</v>
      </c>
      <c r="AE37" t="s">
        <v>266</v>
      </c>
      <c r="AF37">
        <v>5354150</v>
      </c>
      <c r="AG37" s="6">
        <v>80313</v>
      </c>
      <c r="AK37" t="s">
        <v>4730</v>
      </c>
      <c r="AL37" s="6">
        <v>80313</v>
      </c>
      <c r="AM37" s="7">
        <f>Table6[[#This Row],[Premium]]-Table6[[#This Row],[Tms Prem]]</f>
        <v>0</v>
      </c>
    </row>
    <row r="38" spans="1:39" x14ac:dyDescent="0.25">
      <c r="A38">
        <v>37</v>
      </c>
      <c r="B38" t="s">
        <v>36</v>
      </c>
      <c r="C38" t="s">
        <v>536</v>
      </c>
      <c r="D38" t="s">
        <v>38</v>
      </c>
      <c r="E38" t="s">
        <v>39</v>
      </c>
      <c r="F38" t="s">
        <v>537</v>
      </c>
      <c r="G38" t="s">
        <v>115</v>
      </c>
      <c r="H38" t="s">
        <v>538</v>
      </c>
      <c r="I38" t="s">
        <v>539</v>
      </c>
      <c r="J38" t="s">
        <v>539</v>
      </c>
      <c r="K38" t="s">
        <v>540</v>
      </c>
      <c r="L38" t="s">
        <v>541</v>
      </c>
      <c r="M38">
        <v>1522500</v>
      </c>
      <c r="N38">
        <v>2030000</v>
      </c>
      <c r="O38" t="s">
        <v>542</v>
      </c>
      <c r="P38" s="1">
        <v>45417</v>
      </c>
      <c r="Q38" t="s">
        <v>543</v>
      </c>
      <c r="R38" t="s">
        <v>544</v>
      </c>
      <c r="S38" t="s">
        <v>72</v>
      </c>
      <c r="T38" t="s">
        <v>73</v>
      </c>
      <c r="U38" t="s">
        <v>545</v>
      </c>
      <c r="V38" t="s">
        <v>75</v>
      </c>
      <c r="W38" s="1">
        <v>44152</v>
      </c>
      <c r="X38" t="s">
        <v>546</v>
      </c>
      <c r="Y38" t="s">
        <v>547</v>
      </c>
      <c r="Z38" t="s">
        <v>548</v>
      </c>
      <c r="AA38">
        <v>5</v>
      </c>
      <c r="AB38" t="s">
        <v>56</v>
      </c>
      <c r="AC38" t="s">
        <v>549</v>
      </c>
      <c r="AD38" t="s">
        <v>550</v>
      </c>
      <c r="AE38" t="s">
        <v>59</v>
      </c>
      <c r="AF38">
        <v>1624000</v>
      </c>
      <c r="AG38" s="6">
        <v>32480</v>
      </c>
      <c r="AK38" t="s">
        <v>4731</v>
      </c>
      <c r="AL38" s="6">
        <v>32480</v>
      </c>
      <c r="AM38" s="7">
        <f>Table6[[#This Row],[Premium]]-Table6[[#This Row],[Tms Prem]]</f>
        <v>0</v>
      </c>
    </row>
    <row r="39" spans="1:39" x14ac:dyDescent="0.25">
      <c r="A39">
        <v>38</v>
      </c>
      <c r="B39" t="s">
        <v>36</v>
      </c>
      <c r="C39" t="s">
        <v>551</v>
      </c>
      <c r="D39" t="s">
        <v>38</v>
      </c>
      <c r="E39" t="s">
        <v>39</v>
      </c>
      <c r="F39" t="s">
        <v>552</v>
      </c>
      <c r="G39" t="s">
        <v>115</v>
      </c>
      <c r="H39" t="s">
        <v>553</v>
      </c>
      <c r="I39" t="s">
        <v>73</v>
      </c>
      <c r="J39" t="s">
        <v>554</v>
      </c>
      <c r="K39" t="s">
        <v>555</v>
      </c>
      <c r="L39" t="s">
        <v>556</v>
      </c>
      <c r="M39">
        <v>2580000</v>
      </c>
      <c r="N39">
        <v>3225000</v>
      </c>
      <c r="O39" t="s">
        <v>557</v>
      </c>
      <c r="P39" s="1">
        <v>45435</v>
      </c>
      <c r="Q39" t="s">
        <v>558</v>
      </c>
      <c r="R39" t="s">
        <v>559</v>
      </c>
      <c r="S39" t="s">
        <v>72</v>
      </c>
      <c r="T39" t="s">
        <v>73</v>
      </c>
      <c r="U39" t="s">
        <v>560</v>
      </c>
      <c r="V39" t="s">
        <v>75</v>
      </c>
      <c r="W39" s="1">
        <v>44286</v>
      </c>
      <c r="X39" t="s">
        <v>546</v>
      </c>
      <c r="Y39" t="s">
        <v>547</v>
      </c>
      <c r="Z39" t="s">
        <v>561</v>
      </c>
      <c r="AA39">
        <v>5</v>
      </c>
      <c r="AB39" t="s">
        <v>56</v>
      </c>
      <c r="AC39" t="s">
        <v>562</v>
      </c>
      <c r="AD39" t="s">
        <v>563</v>
      </c>
      <c r="AE39" t="s">
        <v>59</v>
      </c>
      <c r="AF39">
        <v>2580000</v>
      </c>
      <c r="AG39" s="6">
        <v>51600</v>
      </c>
      <c r="AK39" t="s">
        <v>4732</v>
      </c>
      <c r="AL39" s="6">
        <v>51600</v>
      </c>
      <c r="AM39" s="7">
        <f>Table6[[#This Row],[Premium]]-Table6[[#This Row],[Tms Prem]]</f>
        <v>0</v>
      </c>
    </row>
    <row r="40" spans="1:39" x14ac:dyDescent="0.25">
      <c r="A40">
        <v>39</v>
      </c>
      <c r="B40" t="s">
        <v>36</v>
      </c>
      <c r="C40" t="s">
        <v>564</v>
      </c>
      <c r="D40" t="s">
        <v>38</v>
      </c>
      <c r="E40" t="s">
        <v>39</v>
      </c>
      <c r="F40" t="s">
        <v>565</v>
      </c>
      <c r="G40" t="s">
        <v>229</v>
      </c>
      <c r="H40" t="s">
        <v>566</v>
      </c>
      <c r="I40" t="s">
        <v>567</v>
      </c>
      <c r="J40" t="s">
        <v>567</v>
      </c>
      <c r="K40" t="s">
        <v>73</v>
      </c>
      <c r="L40" t="s">
        <v>568</v>
      </c>
      <c r="M40">
        <v>1903000</v>
      </c>
      <c r="N40">
        <v>3460000</v>
      </c>
      <c r="O40" t="s">
        <v>569</v>
      </c>
      <c r="P40" t="s">
        <v>570</v>
      </c>
      <c r="Q40" t="s">
        <v>571</v>
      </c>
      <c r="R40" t="s">
        <v>572</v>
      </c>
      <c r="S40" t="s">
        <v>72</v>
      </c>
      <c r="T40" t="s">
        <v>73</v>
      </c>
      <c r="U40" t="s">
        <v>248</v>
      </c>
      <c r="V40" t="s">
        <v>106</v>
      </c>
      <c r="W40" s="1">
        <v>44561</v>
      </c>
      <c r="X40" t="s">
        <v>124</v>
      </c>
      <c r="Y40" t="s">
        <v>236</v>
      </c>
      <c r="Z40" t="s">
        <v>573</v>
      </c>
      <c r="AA40">
        <v>5</v>
      </c>
      <c r="AB40" t="s">
        <v>110</v>
      </c>
      <c r="AC40" t="s">
        <v>574</v>
      </c>
      <c r="AD40" t="s">
        <v>112</v>
      </c>
      <c r="AE40" t="s">
        <v>59</v>
      </c>
      <c r="AF40">
        <v>2941000</v>
      </c>
      <c r="AG40" s="6">
        <v>58820</v>
      </c>
      <c r="AK40" t="s">
        <v>4523</v>
      </c>
      <c r="AL40" s="6">
        <v>58820</v>
      </c>
      <c r="AM40" s="7">
        <f>Table6[[#This Row],[Premium]]-Table6[[#This Row],[Tms Prem]]</f>
        <v>0</v>
      </c>
    </row>
    <row r="41" spans="1:39" x14ac:dyDescent="0.25">
      <c r="A41">
        <v>40</v>
      </c>
      <c r="B41" t="s">
        <v>36</v>
      </c>
      <c r="C41" t="s">
        <v>575</v>
      </c>
      <c r="D41" t="s">
        <v>38</v>
      </c>
      <c r="E41" t="s">
        <v>39</v>
      </c>
      <c r="F41" t="s">
        <v>576</v>
      </c>
      <c r="G41" t="s">
        <v>115</v>
      </c>
      <c r="H41" t="s">
        <v>577</v>
      </c>
      <c r="I41" t="s">
        <v>578</v>
      </c>
      <c r="J41" t="s">
        <v>579</v>
      </c>
      <c r="K41" t="s">
        <v>176</v>
      </c>
      <c r="L41" t="s">
        <v>580</v>
      </c>
      <c r="M41">
        <v>2090000</v>
      </c>
      <c r="N41">
        <v>3800000</v>
      </c>
      <c r="O41" t="s">
        <v>581</v>
      </c>
      <c r="P41" t="s">
        <v>582</v>
      </c>
      <c r="Q41" t="s">
        <v>583</v>
      </c>
      <c r="R41" t="s">
        <v>584</v>
      </c>
      <c r="S41" t="s">
        <v>49</v>
      </c>
      <c r="T41" t="s">
        <v>585</v>
      </c>
      <c r="U41" t="s">
        <v>586</v>
      </c>
      <c r="V41" t="s">
        <v>153</v>
      </c>
      <c r="W41" s="1">
        <v>44757</v>
      </c>
      <c r="X41" t="s">
        <v>124</v>
      </c>
      <c r="Y41" t="s">
        <v>358</v>
      </c>
      <c r="Z41" t="s">
        <v>587</v>
      </c>
      <c r="AA41">
        <v>3</v>
      </c>
      <c r="AB41" t="s">
        <v>110</v>
      </c>
      <c r="AC41" t="s">
        <v>588</v>
      </c>
      <c r="AD41" t="s">
        <v>589</v>
      </c>
      <c r="AE41" t="s">
        <v>266</v>
      </c>
      <c r="AF41">
        <v>3230000</v>
      </c>
      <c r="AG41" s="6">
        <v>48450</v>
      </c>
      <c r="AK41" t="s">
        <v>4524</v>
      </c>
      <c r="AL41" s="6">
        <v>48450</v>
      </c>
      <c r="AM41" s="7">
        <f>Table6[[#This Row],[Premium]]-Table6[[#This Row],[Tms Prem]]</f>
        <v>0</v>
      </c>
    </row>
    <row r="42" spans="1:39" x14ac:dyDescent="0.25">
      <c r="A42">
        <v>41</v>
      </c>
      <c r="B42" t="s">
        <v>36</v>
      </c>
      <c r="C42" t="s">
        <v>590</v>
      </c>
      <c r="D42" t="s">
        <v>38</v>
      </c>
      <c r="E42" t="s">
        <v>39</v>
      </c>
      <c r="F42" t="s">
        <v>591</v>
      </c>
      <c r="G42" t="s">
        <v>115</v>
      </c>
      <c r="H42" t="s">
        <v>592</v>
      </c>
      <c r="I42" t="s">
        <v>593</v>
      </c>
      <c r="J42" t="s">
        <v>594</v>
      </c>
      <c r="K42" t="s">
        <v>595</v>
      </c>
      <c r="L42" t="s">
        <v>596</v>
      </c>
      <c r="M42">
        <v>2240000</v>
      </c>
      <c r="N42">
        <v>3200000</v>
      </c>
      <c r="O42" t="s">
        <v>597</v>
      </c>
      <c r="P42" t="s">
        <v>598</v>
      </c>
      <c r="Q42" t="s">
        <v>599</v>
      </c>
      <c r="R42" t="s">
        <v>600</v>
      </c>
      <c r="S42" t="s">
        <v>49</v>
      </c>
      <c r="T42" t="s">
        <v>601</v>
      </c>
      <c r="U42" t="s">
        <v>602</v>
      </c>
      <c r="V42" t="s">
        <v>603</v>
      </c>
      <c r="W42" s="1">
        <v>44757</v>
      </c>
      <c r="X42" t="s">
        <v>124</v>
      </c>
      <c r="Y42" t="s">
        <v>358</v>
      </c>
      <c r="Z42" t="s">
        <v>604</v>
      </c>
      <c r="AA42">
        <v>3</v>
      </c>
      <c r="AB42" t="s">
        <v>110</v>
      </c>
      <c r="AC42" t="s">
        <v>605</v>
      </c>
      <c r="AD42" t="s">
        <v>589</v>
      </c>
      <c r="AE42" t="s">
        <v>266</v>
      </c>
      <c r="AF42">
        <v>2720000</v>
      </c>
      <c r="AG42" s="6">
        <v>40800</v>
      </c>
      <c r="AK42" t="s">
        <v>4525</v>
      </c>
      <c r="AL42" s="6">
        <v>40800</v>
      </c>
      <c r="AM42" s="7">
        <f>Table6[[#This Row],[Premium]]-Table6[[#This Row],[Tms Prem]]</f>
        <v>0</v>
      </c>
    </row>
    <row r="43" spans="1:39" x14ac:dyDescent="0.25">
      <c r="A43">
        <v>42</v>
      </c>
      <c r="B43" t="s">
        <v>36</v>
      </c>
      <c r="C43" t="s">
        <v>606</v>
      </c>
      <c r="D43" t="s">
        <v>38</v>
      </c>
      <c r="E43" t="s">
        <v>39</v>
      </c>
      <c r="F43" t="s">
        <v>607</v>
      </c>
      <c r="G43" t="s">
        <v>115</v>
      </c>
      <c r="H43" t="s">
        <v>608</v>
      </c>
      <c r="I43" t="s">
        <v>609</v>
      </c>
      <c r="J43" t="s">
        <v>609</v>
      </c>
      <c r="K43" t="s">
        <v>176</v>
      </c>
      <c r="L43" t="s">
        <v>610</v>
      </c>
      <c r="M43">
        <v>651000</v>
      </c>
      <c r="N43">
        <v>930000</v>
      </c>
      <c r="O43" t="s">
        <v>611</v>
      </c>
      <c r="P43" t="s">
        <v>612</v>
      </c>
      <c r="Q43" t="s">
        <v>613</v>
      </c>
      <c r="R43" t="s">
        <v>614</v>
      </c>
      <c r="S43" t="s">
        <v>49</v>
      </c>
      <c r="T43" t="s">
        <v>615</v>
      </c>
      <c r="U43" t="s">
        <v>616</v>
      </c>
      <c r="V43" t="s">
        <v>617</v>
      </c>
      <c r="W43" s="1">
        <v>44757</v>
      </c>
      <c r="X43" t="s">
        <v>124</v>
      </c>
      <c r="Y43" t="s">
        <v>155</v>
      </c>
      <c r="Z43" t="s">
        <v>618</v>
      </c>
      <c r="AA43">
        <v>4</v>
      </c>
      <c r="AB43" t="s">
        <v>110</v>
      </c>
      <c r="AC43" t="s">
        <v>619</v>
      </c>
      <c r="AD43" t="s">
        <v>462</v>
      </c>
      <c r="AE43" t="s">
        <v>266</v>
      </c>
      <c r="AF43">
        <v>790500</v>
      </c>
      <c r="AG43" s="6">
        <v>11858</v>
      </c>
      <c r="AK43" t="s">
        <v>4526</v>
      </c>
      <c r="AL43" s="6">
        <v>11858</v>
      </c>
      <c r="AM43" s="7">
        <f>Table6[[#This Row],[Premium]]-Table6[[#This Row],[Tms Prem]]</f>
        <v>0</v>
      </c>
    </row>
    <row r="44" spans="1:39" x14ac:dyDescent="0.25">
      <c r="A44">
        <v>43</v>
      </c>
      <c r="B44" t="s">
        <v>36</v>
      </c>
      <c r="C44" t="s">
        <v>620</v>
      </c>
      <c r="D44" t="s">
        <v>38</v>
      </c>
      <c r="E44" t="s">
        <v>39</v>
      </c>
      <c r="F44" t="s">
        <v>621</v>
      </c>
      <c r="G44" t="s">
        <v>622</v>
      </c>
      <c r="H44" t="s">
        <v>623</v>
      </c>
      <c r="I44" t="s">
        <v>73</v>
      </c>
      <c r="J44" t="s">
        <v>624</v>
      </c>
      <c r="K44" t="s">
        <v>73</v>
      </c>
      <c r="L44" t="s">
        <v>625</v>
      </c>
      <c r="M44">
        <v>3473100</v>
      </c>
      <c r="N44">
        <v>4086000</v>
      </c>
      <c r="O44" t="s">
        <v>626</v>
      </c>
      <c r="P44" s="1">
        <v>45471</v>
      </c>
      <c r="Q44" t="s">
        <v>627</v>
      </c>
      <c r="R44" t="s">
        <v>628</v>
      </c>
      <c r="S44" t="s">
        <v>471</v>
      </c>
      <c r="T44" t="s">
        <v>73</v>
      </c>
      <c r="U44" t="s">
        <v>629</v>
      </c>
      <c r="V44" t="s">
        <v>106</v>
      </c>
      <c r="W44" t="s">
        <v>630</v>
      </c>
      <c r="X44" t="s">
        <v>447</v>
      </c>
      <c r="Y44" t="s">
        <v>631</v>
      </c>
      <c r="Z44" t="s">
        <v>632</v>
      </c>
      <c r="AA44">
        <v>7</v>
      </c>
      <c r="AB44" t="s">
        <v>110</v>
      </c>
      <c r="AC44" t="s">
        <v>633</v>
      </c>
      <c r="AD44" t="s">
        <v>634</v>
      </c>
      <c r="AE44" t="s">
        <v>475</v>
      </c>
      <c r="AF44">
        <v>3473100</v>
      </c>
      <c r="AG44" s="6">
        <v>48623</v>
      </c>
      <c r="AK44" t="s">
        <v>4733</v>
      </c>
      <c r="AL44" s="6">
        <v>48623</v>
      </c>
      <c r="AM44" s="7">
        <f>Table6[[#This Row],[Premium]]-Table6[[#This Row],[Tms Prem]]</f>
        <v>0</v>
      </c>
    </row>
    <row r="45" spans="1:39" x14ac:dyDescent="0.25">
      <c r="A45">
        <v>44</v>
      </c>
      <c r="B45" t="s">
        <v>36</v>
      </c>
      <c r="C45" t="s">
        <v>635</v>
      </c>
      <c r="D45" t="s">
        <v>38</v>
      </c>
      <c r="E45" t="s">
        <v>39</v>
      </c>
      <c r="F45" t="s">
        <v>636</v>
      </c>
      <c r="G45" t="s">
        <v>62</v>
      </c>
      <c r="H45" t="s">
        <v>637</v>
      </c>
      <c r="I45" t="s">
        <v>638</v>
      </c>
      <c r="J45" t="s">
        <v>638</v>
      </c>
      <c r="K45" t="s">
        <v>638</v>
      </c>
      <c r="L45" t="s">
        <v>639</v>
      </c>
      <c r="M45">
        <v>2102250</v>
      </c>
      <c r="N45">
        <v>2803000</v>
      </c>
      <c r="O45" t="s">
        <v>640</v>
      </c>
      <c r="P45" s="1">
        <v>45451</v>
      </c>
      <c r="Q45" t="s">
        <v>641</v>
      </c>
      <c r="R45" t="s">
        <v>642</v>
      </c>
      <c r="S45" t="s">
        <v>72</v>
      </c>
      <c r="T45" t="s">
        <v>73</v>
      </c>
      <c r="U45" t="s">
        <v>643</v>
      </c>
      <c r="V45" t="s">
        <v>75</v>
      </c>
      <c r="W45" t="s">
        <v>644</v>
      </c>
      <c r="X45" t="s">
        <v>645</v>
      </c>
      <c r="Y45" t="s">
        <v>646</v>
      </c>
      <c r="Z45" t="s">
        <v>647</v>
      </c>
      <c r="AA45">
        <v>5</v>
      </c>
      <c r="AB45" t="s">
        <v>199</v>
      </c>
      <c r="AC45" t="s">
        <v>648</v>
      </c>
      <c r="AD45" t="s">
        <v>649</v>
      </c>
      <c r="AE45" t="s">
        <v>59</v>
      </c>
      <c r="AF45">
        <v>2242400</v>
      </c>
      <c r="AG45" s="6">
        <v>44848</v>
      </c>
      <c r="AK45" t="s">
        <v>4734</v>
      </c>
      <c r="AL45" s="6">
        <v>44848</v>
      </c>
      <c r="AM45" s="7">
        <f>Table6[[#This Row],[Premium]]-Table6[[#This Row],[Tms Prem]]</f>
        <v>0</v>
      </c>
    </row>
    <row r="46" spans="1:39" x14ac:dyDescent="0.25">
      <c r="A46">
        <v>45</v>
      </c>
      <c r="B46" t="s">
        <v>36</v>
      </c>
      <c r="C46" t="s">
        <v>650</v>
      </c>
      <c r="D46" t="s">
        <v>38</v>
      </c>
      <c r="E46" t="s">
        <v>39</v>
      </c>
      <c r="F46" t="s">
        <v>651</v>
      </c>
      <c r="G46" t="s">
        <v>62</v>
      </c>
      <c r="H46" t="s">
        <v>652</v>
      </c>
      <c r="I46" t="s">
        <v>653</v>
      </c>
      <c r="J46" t="s">
        <v>653</v>
      </c>
      <c r="K46" t="s">
        <v>654</v>
      </c>
      <c r="L46" t="s">
        <v>655</v>
      </c>
      <c r="M46">
        <v>605470</v>
      </c>
      <c r="N46">
        <v>1100000</v>
      </c>
      <c r="O46" t="s">
        <v>656</v>
      </c>
      <c r="P46" t="s">
        <v>657</v>
      </c>
      <c r="Q46" t="s">
        <v>658</v>
      </c>
      <c r="R46" t="s">
        <v>659</v>
      </c>
      <c r="S46" t="s">
        <v>660</v>
      </c>
      <c r="T46" t="s">
        <v>661</v>
      </c>
      <c r="U46" t="s">
        <v>662</v>
      </c>
      <c r="V46" t="s">
        <v>330</v>
      </c>
      <c r="W46" s="1">
        <v>44009</v>
      </c>
      <c r="X46" t="s">
        <v>663</v>
      </c>
      <c r="Y46" t="s">
        <v>664</v>
      </c>
      <c r="Z46" t="s">
        <v>665</v>
      </c>
      <c r="AA46">
        <v>4</v>
      </c>
      <c r="AB46" t="s">
        <v>56</v>
      </c>
      <c r="AC46" t="s">
        <v>666</v>
      </c>
      <c r="AD46" t="s">
        <v>667</v>
      </c>
      <c r="AE46" t="s">
        <v>668</v>
      </c>
      <c r="AF46">
        <v>880000</v>
      </c>
      <c r="AG46" s="6">
        <v>22000</v>
      </c>
      <c r="AH46" t="s">
        <v>669</v>
      </c>
      <c r="AI46" t="s">
        <v>670</v>
      </c>
      <c r="AK46" t="s">
        <v>4527</v>
      </c>
      <c r="AL46" s="6">
        <v>22000</v>
      </c>
      <c r="AM46" s="7">
        <f>Table6[[#This Row],[Premium]]-Table6[[#This Row],[Tms Prem]]</f>
        <v>0</v>
      </c>
    </row>
    <row r="47" spans="1:39" x14ac:dyDescent="0.25">
      <c r="A47">
        <v>46</v>
      </c>
      <c r="B47" t="s">
        <v>36</v>
      </c>
      <c r="C47" t="s">
        <v>671</v>
      </c>
      <c r="D47" t="s">
        <v>38</v>
      </c>
      <c r="E47" t="s">
        <v>39</v>
      </c>
      <c r="F47" t="s">
        <v>672</v>
      </c>
      <c r="G47" t="s">
        <v>131</v>
      </c>
      <c r="H47" t="s">
        <v>673</v>
      </c>
      <c r="I47" t="s">
        <v>674</v>
      </c>
      <c r="J47" t="s">
        <v>73</v>
      </c>
      <c r="K47" t="s">
        <v>675</v>
      </c>
      <c r="L47" t="s">
        <v>676</v>
      </c>
      <c r="M47">
        <v>1154981</v>
      </c>
      <c r="N47">
        <v>2765000</v>
      </c>
      <c r="O47" t="s">
        <v>677</v>
      </c>
      <c r="P47" t="s">
        <v>678</v>
      </c>
      <c r="Q47" t="s">
        <v>679</v>
      </c>
      <c r="R47" t="s">
        <v>680</v>
      </c>
      <c r="S47" t="s">
        <v>72</v>
      </c>
      <c r="T47" t="s">
        <v>73</v>
      </c>
      <c r="U47" t="s">
        <v>681</v>
      </c>
      <c r="V47" t="s">
        <v>52</v>
      </c>
      <c r="W47" s="1">
        <v>44007</v>
      </c>
      <c r="X47" t="s">
        <v>682</v>
      </c>
      <c r="Y47" t="s">
        <v>683</v>
      </c>
      <c r="Z47" t="s">
        <v>684</v>
      </c>
      <c r="AA47">
        <v>5</v>
      </c>
      <c r="AB47" t="s">
        <v>110</v>
      </c>
      <c r="AC47" t="s">
        <v>685</v>
      </c>
      <c r="AD47" t="s">
        <v>686</v>
      </c>
      <c r="AE47" t="s">
        <v>668</v>
      </c>
      <c r="AF47">
        <v>2212000</v>
      </c>
      <c r="AG47" s="6">
        <v>55300</v>
      </c>
      <c r="AH47" t="s">
        <v>687</v>
      </c>
      <c r="AI47" t="s">
        <v>670</v>
      </c>
      <c r="AK47" t="s">
        <v>4528</v>
      </c>
      <c r="AL47" s="6">
        <v>55300</v>
      </c>
      <c r="AM47" s="7">
        <f>Table6[[#This Row],[Premium]]-Table6[[#This Row],[Tms Prem]]</f>
        <v>0</v>
      </c>
    </row>
    <row r="48" spans="1:39" hidden="1" x14ac:dyDescent="0.25">
      <c r="A48">
        <v>47</v>
      </c>
      <c r="B48" t="s">
        <v>36</v>
      </c>
      <c r="C48" t="s">
        <v>688</v>
      </c>
      <c r="D48" t="s">
        <v>38</v>
      </c>
      <c r="E48" t="s">
        <v>39</v>
      </c>
      <c r="F48" t="s">
        <v>689</v>
      </c>
      <c r="G48" t="s">
        <v>189</v>
      </c>
      <c r="H48" t="s">
        <v>690</v>
      </c>
      <c r="I48" t="s">
        <v>691</v>
      </c>
      <c r="J48" t="s">
        <v>692</v>
      </c>
      <c r="K48" t="s">
        <v>693</v>
      </c>
      <c r="L48" t="s">
        <v>694</v>
      </c>
      <c r="M48">
        <v>898500</v>
      </c>
      <c r="N48">
        <v>1198000</v>
      </c>
      <c r="O48" t="s">
        <v>695</v>
      </c>
      <c r="P48" t="s">
        <v>696</v>
      </c>
      <c r="Q48" t="s">
        <v>697</v>
      </c>
      <c r="R48" t="s">
        <v>698</v>
      </c>
      <c r="S48" t="s">
        <v>72</v>
      </c>
      <c r="T48" t="s">
        <v>73</v>
      </c>
      <c r="U48" t="s">
        <v>699</v>
      </c>
      <c r="V48" t="s">
        <v>75</v>
      </c>
      <c r="W48" s="1">
        <v>44280</v>
      </c>
      <c r="X48" t="s">
        <v>154</v>
      </c>
      <c r="Y48" t="s">
        <v>700</v>
      </c>
      <c r="Z48" t="s">
        <v>701</v>
      </c>
      <c r="AA48">
        <v>3</v>
      </c>
      <c r="AB48" t="s">
        <v>56</v>
      </c>
      <c r="AC48" t="s">
        <v>702</v>
      </c>
      <c r="AD48" t="s">
        <v>703</v>
      </c>
      <c r="AE48" t="s">
        <v>59</v>
      </c>
      <c r="AF48">
        <v>718800</v>
      </c>
      <c r="AG48" s="6">
        <v>0</v>
      </c>
      <c r="AK48" t="e">
        <v>#N/A</v>
      </c>
      <c r="AL48" s="6" t="e">
        <v>#N/A</v>
      </c>
      <c r="AM48" s="7" t="e">
        <f>Table6[[#This Row],[Premium]]-Table6[[#This Row],[Tms Prem]]</f>
        <v>#N/A</v>
      </c>
    </row>
    <row r="49" spans="1:39" x14ac:dyDescent="0.25">
      <c r="A49">
        <v>48</v>
      </c>
      <c r="B49" t="s">
        <v>36</v>
      </c>
      <c r="C49" t="s">
        <v>704</v>
      </c>
      <c r="D49" t="s">
        <v>38</v>
      </c>
      <c r="E49" t="s">
        <v>39</v>
      </c>
      <c r="F49" t="s">
        <v>705</v>
      </c>
      <c r="G49" t="s">
        <v>97</v>
      </c>
      <c r="H49" t="s">
        <v>706</v>
      </c>
      <c r="I49" t="s">
        <v>707</v>
      </c>
      <c r="J49" t="s">
        <v>73</v>
      </c>
      <c r="K49" t="s">
        <v>708</v>
      </c>
      <c r="L49" t="s">
        <v>709</v>
      </c>
      <c r="M49">
        <v>1989545</v>
      </c>
      <c r="N49">
        <v>3100000</v>
      </c>
      <c r="O49" t="s">
        <v>710</v>
      </c>
      <c r="P49" t="s">
        <v>598</v>
      </c>
      <c r="Q49" t="s">
        <v>711</v>
      </c>
      <c r="R49" t="s">
        <v>712</v>
      </c>
      <c r="S49" t="s">
        <v>49</v>
      </c>
      <c r="T49" t="s">
        <v>713</v>
      </c>
      <c r="U49" t="s">
        <v>714</v>
      </c>
      <c r="V49" t="s">
        <v>617</v>
      </c>
      <c r="W49" s="1">
        <v>43972</v>
      </c>
      <c r="X49" t="s">
        <v>715</v>
      </c>
      <c r="Y49" t="s">
        <v>358</v>
      </c>
      <c r="Z49" t="s">
        <v>716</v>
      </c>
      <c r="AA49">
        <v>4</v>
      </c>
      <c r="AB49" t="s">
        <v>110</v>
      </c>
      <c r="AC49" t="s">
        <v>717</v>
      </c>
      <c r="AD49" t="s">
        <v>718</v>
      </c>
      <c r="AE49" t="s">
        <v>668</v>
      </c>
      <c r="AF49">
        <v>2480000</v>
      </c>
      <c r="AG49" s="6">
        <v>62000</v>
      </c>
      <c r="AH49" t="s">
        <v>719</v>
      </c>
      <c r="AI49" t="s">
        <v>670</v>
      </c>
      <c r="AK49" t="s">
        <v>4529</v>
      </c>
      <c r="AL49" s="6">
        <v>62000</v>
      </c>
      <c r="AM49" s="7">
        <f>Table6[[#This Row],[Premium]]-Table6[[#This Row],[Tms Prem]]</f>
        <v>0</v>
      </c>
    </row>
    <row r="50" spans="1:39" hidden="1" x14ac:dyDescent="0.25">
      <c r="A50">
        <v>49</v>
      </c>
      <c r="B50" t="s">
        <v>36</v>
      </c>
      <c r="C50" t="s">
        <v>720</v>
      </c>
      <c r="D50" t="s">
        <v>38</v>
      </c>
      <c r="E50" t="s">
        <v>39</v>
      </c>
      <c r="F50" t="s">
        <v>721</v>
      </c>
      <c r="G50" t="s">
        <v>62</v>
      </c>
      <c r="H50" t="s">
        <v>722</v>
      </c>
      <c r="I50" t="s">
        <v>723</v>
      </c>
      <c r="J50" t="s">
        <v>723</v>
      </c>
      <c r="K50" t="s">
        <v>724</v>
      </c>
      <c r="L50" t="s">
        <v>725</v>
      </c>
      <c r="M50">
        <v>582394</v>
      </c>
      <c r="N50">
        <v>1094000</v>
      </c>
      <c r="O50" t="s">
        <v>726</v>
      </c>
      <c r="P50" t="s">
        <v>612</v>
      </c>
      <c r="Q50" t="s">
        <v>727</v>
      </c>
      <c r="R50" t="s">
        <v>728</v>
      </c>
      <c r="S50" t="s">
        <v>72</v>
      </c>
      <c r="T50" t="s">
        <v>73</v>
      </c>
      <c r="U50" t="s">
        <v>729</v>
      </c>
      <c r="V50" t="s">
        <v>730</v>
      </c>
      <c r="W50" s="1">
        <v>44001</v>
      </c>
      <c r="X50" t="s">
        <v>731</v>
      </c>
      <c r="Y50" t="s">
        <v>732</v>
      </c>
      <c r="Z50" t="s">
        <v>733</v>
      </c>
      <c r="AA50">
        <v>4</v>
      </c>
      <c r="AB50" t="s">
        <v>56</v>
      </c>
      <c r="AC50" t="s">
        <v>734</v>
      </c>
      <c r="AD50" t="s">
        <v>735</v>
      </c>
      <c r="AE50" t="s">
        <v>736</v>
      </c>
      <c r="AF50">
        <v>656400</v>
      </c>
      <c r="AG50" s="6">
        <v>0</v>
      </c>
      <c r="AH50" t="s">
        <v>737</v>
      </c>
      <c r="AI50" t="s">
        <v>670</v>
      </c>
      <c r="AK50" t="e">
        <v>#N/A</v>
      </c>
      <c r="AL50" s="6" t="e">
        <v>#N/A</v>
      </c>
      <c r="AM50" s="7" t="e">
        <f>Table6[[#This Row],[Premium]]-Table6[[#This Row],[Tms Prem]]</f>
        <v>#N/A</v>
      </c>
    </row>
    <row r="51" spans="1:39" x14ac:dyDescent="0.25">
      <c r="A51">
        <v>50</v>
      </c>
      <c r="B51" t="s">
        <v>36</v>
      </c>
      <c r="C51" t="s">
        <v>738</v>
      </c>
      <c r="D51" t="s">
        <v>38</v>
      </c>
      <c r="E51" t="s">
        <v>39</v>
      </c>
      <c r="F51" t="s">
        <v>739</v>
      </c>
      <c r="G51" t="s">
        <v>62</v>
      </c>
      <c r="H51" t="s">
        <v>740</v>
      </c>
      <c r="I51" t="s">
        <v>73</v>
      </c>
      <c r="J51" t="s">
        <v>741</v>
      </c>
      <c r="K51" t="s">
        <v>73</v>
      </c>
      <c r="L51" t="s">
        <v>742</v>
      </c>
      <c r="M51">
        <v>2391000</v>
      </c>
      <c r="N51">
        <v>3985000</v>
      </c>
      <c r="O51" t="s">
        <v>743</v>
      </c>
      <c r="P51" t="s">
        <v>744</v>
      </c>
      <c r="Q51" t="s">
        <v>745</v>
      </c>
      <c r="R51" t="s">
        <v>746</v>
      </c>
      <c r="S51" t="s">
        <v>72</v>
      </c>
      <c r="T51" t="s">
        <v>73</v>
      </c>
      <c r="U51" t="s">
        <v>714</v>
      </c>
      <c r="V51" t="s">
        <v>75</v>
      </c>
      <c r="W51" s="1">
        <v>44286</v>
      </c>
      <c r="X51" t="s">
        <v>154</v>
      </c>
      <c r="Y51" t="s">
        <v>155</v>
      </c>
      <c r="Z51" t="s">
        <v>747</v>
      </c>
      <c r="AA51">
        <v>5</v>
      </c>
      <c r="AB51" t="s">
        <v>56</v>
      </c>
      <c r="AC51" t="s">
        <v>748</v>
      </c>
      <c r="AD51" t="s">
        <v>703</v>
      </c>
      <c r="AE51" t="s">
        <v>59</v>
      </c>
      <c r="AF51">
        <v>3188000</v>
      </c>
      <c r="AG51" s="6">
        <v>63760</v>
      </c>
      <c r="AK51" t="s">
        <v>4530</v>
      </c>
      <c r="AL51" s="6">
        <v>63760</v>
      </c>
      <c r="AM51" s="7">
        <f>Table6[[#This Row],[Premium]]-Table6[[#This Row],[Tms Prem]]</f>
        <v>0</v>
      </c>
    </row>
    <row r="52" spans="1:39" x14ac:dyDescent="0.25">
      <c r="A52">
        <v>51</v>
      </c>
      <c r="B52" t="s">
        <v>36</v>
      </c>
      <c r="C52" t="s">
        <v>749</v>
      </c>
      <c r="D52" t="s">
        <v>38</v>
      </c>
      <c r="E52" t="s">
        <v>39</v>
      </c>
      <c r="F52" t="s">
        <v>750</v>
      </c>
      <c r="G52" t="s">
        <v>62</v>
      </c>
      <c r="H52" t="s">
        <v>751</v>
      </c>
      <c r="I52" t="s">
        <v>752</v>
      </c>
      <c r="J52" t="s">
        <v>752</v>
      </c>
      <c r="K52" t="s">
        <v>753</v>
      </c>
      <c r="L52" t="s">
        <v>754</v>
      </c>
      <c r="M52">
        <v>3829000</v>
      </c>
      <c r="N52">
        <v>7658000</v>
      </c>
      <c r="O52" t="s">
        <v>755</v>
      </c>
      <c r="P52" t="s">
        <v>756</v>
      </c>
      <c r="Q52" t="s">
        <v>757</v>
      </c>
      <c r="R52" t="s">
        <v>758</v>
      </c>
      <c r="S52" t="s">
        <v>72</v>
      </c>
      <c r="T52" t="s">
        <v>73</v>
      </c>
      <c r="U52" t="s">
        <v>759</v>
      </c>
      <c r="V52" t="s">
        <v>75</v>
      </c>
      <c r="W52" s="1">
        <v>44538</v>
      </c>
      <c r="X52" t="s">
        <v>183</v>
      </c>
      <c r="Y52" t="s">
        <v>760</v>
      </c>
      <c r="Z52" t="s">
        <v>761</v>
      </c>
      <c r="AA52">
        <v>5</v>
      </c>
      <c r="AB52" t="s">
        <v>199</v>
      </c>
      <c r="AC52" t="s">
        <v>762</v>
      </c>
      <c r="AD52" t="s">
        <v>763</v>
      </c>
      <c r="AE52" t="s">
        <v>266</v>
      </c>
      <c r="AF52">
        <v>6126400</v>
      </c>
      <c r="AG52" s="6">
        <v>91896</v>
      </c>
      <c r="AK52" t="s">
        <v>4531</v>
      </c>
      <c r="AL52" s="6">
        <v>91896</v>
      </c>
      <c r="AM52" s="7">
        <f>Table6[[#This Row],[Premium]]-Table6[[#This Row],[Tms Prem]]</f>
        <v>0</v>
      </c>
    </row>
    <row r="53" spans="1:39" hidden="1" x14ac:dyDescent="0.25">
      <c r="A53">
        <v>52</v>
      </c>
      <c r="B53" t="s">
        <v>36</v>
      </c>
      <c r="C53" t="s">
        <v>764</v>
      </c>
      <c r="D53" t="s">
        <v>38</v>
      </c>
      <c r="E53" t="s">
        <v>39</v>
      </c>
      <c r="F53" t="s">
        <v>765</v>
      </c>
      <c r="G53" t="s">
        <v>189</v>
      </c>
      <c r="H53" t="s">
        <v>766</v>
      </c>
      <c r="I53" t="s">
        <v>73</v>
      </c>
      <c r="J53" t="s">
        <v>767</v>
      </c>
      <c r="K53" t="s">
        <v>768</v>
      </c>
      <c r="L53" t="s">
        <v>769</v>
      </c>
      <c r="M53">
        <v>6029250</v>
      </c>
      <c r="N53">
        <v>8039000</v>
      </c>
      <c r="O53" t="s">
        <v>770</v>
      </c>
      <c r="P53" t="s">
        <v>771</v>
      </c>
      <c r="Q53" t="s">
        <v>772</v>
      </c>
      <c r="R53" t="s">
        <v>773</v>
      </c>
      <c r="S53" t="s">
        <v>72</v>
      </c>
      <c r="T53" t="s">
        <v>73</v>
      </c>
      <c r="U53" t="s">
        <v>774</v>
      </c>
      <c r="V53" t="s">
        <v>52</v>
      </c>
      <c r="W53" s="1">
        <v>43677</v>
      </c>
      <c r="X53" t="s">
        <v>775</v>
      </c>
      <c r="Y53" t="s">
        <v>776</v>
      </c>
      <c r="Z53" t="s">
        <v>777</v>
      </c>
      <c r="AA53">
        <v>5</v>
      </c>
      <c r="AB53" t="s">
        <v>110</v>
      </c>
      <c r="AC53" t="s">
        <v>778</v>
      </c>
      <c r="AD53" t="s">
        <v>667</v>
      </c>
      <c r="AE53" t="s">
        <v>668</v>
      </c>
      <c r="AF53">
        <v>4823400</v>
      </c>
      <c r="AG53" s="6">
        <v>0</v>
      </c>
      <c r="AK53" t="e">
        <v>#N/A</v>
      </c>
      <c r="AL53" s="6" t="e">
        <v>#N/A</v>
      </c>
      <c r="AM53" s="7" t="e">
        <f>Table6[[#This Row],[Premium]]-Table6[[#This Row],[Tms Prem]]</f>
        <v>#N/A</v>
      </c>
    </row>
    <row r="54" spans="1:39" hidden="1" x14ac:dyDescent="0.25">
      <c r="A54">
        <v>53</v>
      </c>
      <c r="B54" t="s">
        <v>36</v>
      </c>
      <c r="C54" t="s">
        <v>779</v>
      </c>
      <c r="D54" t="s">
        <v>38</v>
      </c>
      <c r="E54" t="s">
        <v>39</v>
      </c>
      <c r="F54" t="s">
        <v>780</v>
      </c>
      <c r="G54" t="s">
        <v>131</v>
      </c>
      <c r="H54" t="s">
        <v>781</v>
      </c>
      <c r="I54" t="s">
        <v>782</v>
      </c>
      <c r="J54" t="s">
        <v>73</v>
      </c>
      <c r="K54" t="s">
        <v>176</v>
      </c>
      <c r="L54" t="s">
        <v>783</v>
      </c>
      <c r="M54">
        <v>850000</v>
      </c>
      <c r="N54">
        <v>1700000</v>
      </c>
      <c r="O54" t="s">
        <v>784</v>
      </c>
      <c r="P54" t="s">
        <v>771</v>
      </c>
      <c r="Q54" t="s">
        <v>785</v>
      </c>
      <c r="R54" t="s">
        <v>786</v>
      </c>
      <c r="S54" t="s">
        <v>49</v>
      </c>
      <c r="T54" t="s">
        <v>787</v>
      </c>
      <c r="U54" t="s">
        <v>343</v>
      </c>
      <c r="V54" t="s">
        <v>788</v>
      </c>
      <c r="W54" s="1">
        <v>43677</v>
      </c>
      <c r="X54" t="s">
        <v>775</v>
      </c>
      <c r="Y54" t="s">
        <v>776</v>
      </c>
      <c r="Z54" t="s">
        <v>789</v>
      </c>
      <c r="AA54">
        <v>5</v>
      </c>
      <c r="AB54" t="s">
        <v>110</v>
      </c>
      <c r="AC54" t="s">
        <v>790</v>
      </c>
      <c r="AD54" t="s">
        <v>667</v>
      </c>
      <c r="AE54" t="s">
        <v>668</v>
      </c>
      <c r="AF54">
        <v>1020000</v>
      </c>
      <c r="AG54" s="6">
        <v>0</v>
      </c>
      <c r="AK54" t="e">
        <v>#N/A</v>
      </c>
      <c r="AL54" s="6" t="e">
        <v>#N/A</v>
      </c>
      <c r="AM54" s="7" t="e">
        <f>Table6[[#This Row],[Premium]]-Table6[[#This Row],[Tms Prem]]</f>
        <v>#N/A</v>
      </c>
    </row>
    <row r="55" spans="1:39" hidden="1" x14ac:dyDescent="0.25">
      <c r="A55">
        <v>54</v>
      </c>
      <c r="B55" t="s">
        <v>36</v>
      </c>
      <c r="C55" t="s">
        <v>791</v>
      </c>
      <c r="D55" t="s">
        <v>38</v>
      </c>
      <c r="E55" t="s">
        <v>39</v>
      </c>
      <c r="F55" t="s">
        <v>792</v>
      </c>
      <c r="G55" t="s">
        <v>97</v>
      </c>
      <c r="H55" t="s">
        <v>793</v>
      </c>
      <c r="I55" t="s">
        <v>794</v>
      </c>
      <c r="J55" t="s">
        <v>73</v>
      </c>
      <c r="K55" t="s">
        <v>176</v>
      </c>
      <c r="L55" t="s">
        <v>795</v>
      </c>
      <c r="M55">
        <v>536000</v>
      </c>
      <c r="N55">
        <v>670000</v>
      </c>
      <c r="O55" t="s">
        <v>796</v>
      </c>
      <c r="P55" t="s">
        <v>771</v>
      </c>
      <c r="Q55" t="s">
        <v>797</v>
      </c>
      <c r="R55" t="s">
        <v>798</v>
      </c>
      <c r="S55" t="s">
        <v>49</v>
      </c>
      <c r="T55" t="s">
        <v>799</v>
      </c>
      <c r="U55" t="s">
        <v>800</v>
      </c>
      <c r="V55" t="s">
        <v>330</v>
      </c>
      <c r="W55" s="1">
        <v>43677</v>
      </c>
      <c r="X55" t="s">
        <v>775</v>
      </c>
      <c r="Y55" t="s">
        <v>776</v>
      </c>
      <c r="Z55" t="s">
        <v>801</v>
      </c>
      <c r="AA55">
        <v>5</v>
      </c>
      <c r="AB55" t="s">
        <v>110</v>
      </c>
      <c r="AC55" t="s">
        <v>802</v>
      </c>
      <c r="AD55" t="s">
        <v>667</v>
      </c>
      <c r="AE55" t="s">
        <v>668</v>
      </c>
      <c r="AF55">
        <v>402000</v>
      </c>
      <c r="AG55" s="6">
        <v>0</v>
      </c>
      <c r="AK55" t="e">
        <v>#N/A</v>
      </c>
      <c r="AL55" s="6" t="e">
        <v>#N/A</v>
      </c>
      <c r="AM55" s="7" t="e">
        <f>Table6[[#This Row],[Premium]]-Table6[[#This Row],[Tms Prem]]</f>
        <v>#N/A</v>
      </c>
    </row>
    <row r="56" spans="1:39" x14ac:dyDescent="0.25">
      <c r="A56">
        <v>55</v>
      </c>
      <c r="B56" t="s">
        <v>36</v>
      </c>
      <c r="C56" t="s">
        <v>803</v>
      </c>
      <c r="D56" t="s">
        <v>38</v>
      </c>
      <c r="E56" t="s">
        <v>39</v>
      </c>
      <c r="F56" t="s">
        <v>804</v>
      </c>
      <c r="G56" t="s">
        <v>189</v>
      </c>
      <c r="H56" t="s">
        <v>805</v>
      </c>
      <c r="I56" t="s">
        <v>806</v>
      </c>
      <c r="J56" t="s">
        <v>807</v>
      </c>
      <c r="K56" t="s">
        <v>808</v>
      </c>
      <c r="L56" t="s">
        <v>809</v>
      </c>
      <c r="M56">
        <v>1635000</v>
      </c>
      <c r="N56">
        <v>2180000</v>
      </c>
      <c r="O56" t="s">
        <v>810</v>
      </c>
      <c r="P56" t="s">
        <v>811</v>
      </c>
      <c r="Q56" t="s">
        <v>812</v>
      </c>
      <c r="R56" t="s">
        <v>813</v>
      </c>
      <c r="S56" t="s">
        <v>49</v>
      </c>
      <c r="T56" t="s">
        <v>814</v>
      </c>
      <c r="U56" t="s">
        <v>586</v>
      </c>
      <c r="V56" t="s">
        <v>330</v>
      </c>
      <c r="W56" s="1">
        <v>43677</v>
      </c>
      <c r="X56" t="s">
        <v>775</v>
      </c>
      <c r="Y56" t="s">
        <v>184</v>
      </c>
      <c r="Z56" t="s">
        <v>815</v>
      </c>
      <c r="AA56">
        <v>6</v>
      </c>
      <c r="AB56" t="s">
        <v>110</v>
      </c>
      <c r="AC56" t="s">
        <v>816</v>
      </c>
      <c r="AD56" t="s">
        <v>667</v>
      </c>
      <c r="AE56" t="s">
        <v>668</v>
      </c>
      <c r="AF56">
        <v>1526000</v>
      </c>
      <c r="AG56" s="6">
        <v>38150</v>
      </c>
      <c r="AK56" t="s">
        <v>4532</v>
      </c>
      <c r="AL56" s="6">
        <v>38150</v>
      </c>
      <c r="AM56" s="7">
        <f>Table6[[#This Row],[Premium]]-Table6[[#This Row],[Tms Prem]]</f>
        <v>0</v>
      </c>
    </row>
    <row r="57" spans="1:39" x14ac:dyDescent="0.25">
      <c r="A57">
        <v>56</v>
      </c>
      <c r="B57" t="s">
        <v>36</v>
      </c>
      <c r="C57" t="s">
        <v>817</v>
      </c>
      <c r="D57" t="s">
        <v>38</v>
      </c>
      <c r="E57" t="s">
        <v>39</v>
      </c>
      <c r="F57" t="s">
        <v>818</v>
      </c>
      <c r="G57" t="s">
        <v>131</v>
      </c>
      <c r="H57" t="s">
        <v>819</v>
      </c>
      <c r="I57" t="s">
        <v>820</v>
      </c>
      <c r="J57" t="s">
        <v>73</v>
      </c>
      <c r="K57" t="s">
        <v>821</v>
      </c>
      <c r="L57" t="s">
        <v>822</v>
      </c>
      <c r="M57">
        <v>1432000</v>
      </c>
      <c r="N57">
        <v>1790000</v>
      </c>
      <c r="O57" t="s">
        <v>823</v>
      </c>
      <c r="P57" t="s">
        <v>824</v>
      </c>
      <c r="Q57" t="s">
        <v>825</v>
      </c>
      <c r="R57" t="s">
        <v>826</v>
      </c>
      <c r="S57" t="s">
        <v>49</v>
      </c>
      <c r="T57" t="s">
        <v>827</v>
      </c>
      <c r="U57" t="s">
        <v>828</v>
      </c>
      <c r="V57" t="s">
        <v>829</v>
      </c>
      <c r="W57" s="1">
        <v>43677</v>
      </c>
      <c r="X57" t="s">
        <v>775</v>
      </c>
      <c r="Y57" t="s">
        <v>184</v>
      </c>
      <c r="Z57" t="s">
        <v>830</v>
      </c>
      <c r="AA57">
        <v>6</v>
      </c>
      <c r="AB57" t="s">
        <v>110</v>
      </c>
      <c r="AC57" t="s">
        <v>831</v>
      </c>
      <c r="AD57" t="s">
        <v>667</v>
      </c>
      <c r="AE57" t="s">
        <v>668</v>
      </c>
      <c r="AF57">
        <v>1253000</v>
      </c>
      <c r="AG57" s="6">
        <v>31325</v>
      </c>
      <c r="AK57" t="s">
        <v>4533</v>
      </c>
      <c r="AL57" s="6">
        <v>31325</v>
      </c>
      <c r="AM57" s="7">
        <f>Table6[[#This Row],[Premium]]-Table6[[#This Row],[Tms Prem]]</f>
        <v>0</v>
      </c>
    </row>
    <row r="58" spans="1:39" hidden="1" x14ac:dyDescent="0.25">
      <c r="A58">
        <v>57</v>
      </c>
      <c r="B58" t="s">
        <v>36</v>
      </c>
      <c r="C58" t="s">
        <v>832</v>
      </c>
      <c r="D58" t="s">
        <v>38</v>
      </c>
      <c r="E58" t="s">
        <v>39</v>
      </c>
      <c r="F58" t="s">
        <v>833</v>
      </c>
      <c r="G58" t="s">
        <v>97</v>
      </c>
      <c r="H58" t="s">
        <v>834</v>
      </c>
      <c r="I58" t="s">
        <v>835</v>
      </c>
      <c r="J58" t="s">
        <v>73</v>
      </c>
      <c r="K58" t="s">
        <v>836</v>
      </c>
      <c r="L58" t="s">
        <v>837</v>
      </c>
      <c r="M58">
        <v>840000</v>
      </c>
      <c r="N58">
        <v>1050000</v>
      </c>
      <c r="O58" t="s">
        <v>838</v>
      </c>
      <c r="P58" t="s">
        <v>839</v>
      </c>
      <c r="Q58" t="s">
        <v>840</v>
      </c>
      <c r="R58" t="s">
        <v>841</v>
      </c>
      <c r="S58" t="s">
        <v>72</v>
      </c>
      <c r="T58" t="s">
        <v>73</v>
      </c>
      <c r="U58" t="s">
        <v>842</v>
      </c>
      <c r="V58" t="s">
        <v>52</v>
      </c>
      <c r="W58" s="1">
        <v>43677</v>
      </c>
      <c r="X58" t="s">
        <v>775</v>
      </c>
      <c r="Y58" t="s">
        <v>776</v>
      </c>
      <c r="Z58" t="s">
        <v>843</v>
      </c>
      <c r="AA58">
        <v>5</v>
      </c>
      <c r="AB58" t="s">
        <v>110</v>
      </c>
      <c r="AC58" t="s">
        <v>844</v>
      </c>
      <c r="AD58" t="s">
        <v>667</v>
      </c>
      <c r="AE58" t="s">
        <v>668</v>
      </c>
      <c r="AF58">
        <v>630000</v>
      </c>
      <c r="AG58" s="6">
        <v>0</v>
      </c>
      <c r="AK58" t="e">
        <v>#N/A</v>
      </c>
      <c r="AL58" s="6" t="e">
        <v>#N/A</v>
      </c>
      <c r="AM58" s="7" t="e">
        <f>Table6[[#This Row],[Premium]]-Table6[[#This Row],[Tms Prem]]</f>
        <v>#N/A</v>
      </c>
    </row>
    <row r="59" spans="1:39" hidden="1" x14ac:dyDescent="0.25">
      <c r="A59">
        <v>58</v>
      </c>
      <c r="B59" t="s">
        <v>36</v>
      </c>
      <c r="C59" t="s">
        <v>845</v>
      </c>
      <c r="D59" t="s">
        <v>38</v>
      </c>
      <c r="E59" t="s">
        <v>39</v>
      </c>
      <c r="F59" t="s">
        <v>846</v>
      </c>
      <c r="G59" t="s">
        <v>189</v>
      </c>
      <c r="H59" t="s">
        <v>847</v>
      </c>
      <c r="I59" t="s">
        <v>848</v>
      </c>
      <c r="J59" t="s">
        <v>848</v>
      </c>
      <c r="K59" t="s">
        <v>849</v>
      </c>
      <c r="L59" t="s">
        <v>850</v>
      </c>
      <c r="M59">
        <v>782600</v>
      </c>
      <c r="N59">
        <v>1204000</v>
      </c>
      <c r="O59" t="s">
        <v>851</v>
      </c>
      <c r="P59" t="s">
        <v>657</v>
      </c>
      <c r="Q59" t="s">
        <v>852</v>
      </c>
      <c r="R59" t="s">
        <v>853</v>
      </c>
      <c r="S59" t="s">
        <v>72</v>
      </c>
      <c r="T59" t="s">
        <v>73</v>
      </c>
      <c r="U59" t="s">
        <v>854</v>
      </c>
      <c r="V59" t="s">
        <v>617</v>
      </c>
      <c r="W59" s="1">
        <v>43312</v>
      </c>
      <c r="X59" t="s">
        <v>855</v>
      </c>
      <c r="Y59" t="s">
        <v>776</v>
      </c>
      <c r="Z59" t="s">
        <v>856</v>
      </c>
      <c r="AA59">
        <v>6</v>
      </c>
      <c r="AB59" t="s">
        <v>56</v>
      </c>
      <c r="AC59" t="s">
        <v>857</v>
      </c>
      <c r="AD59" t="s">
        <v>858</v>
      </c>
      <c r="AE59" t="s">
        <v>736</v>
      </c>
      <c r="AF59">
        <v>722400</v>
      </c>
      <c r="AG59" s="6">
        <v>0</v>
      </c>
      <c r="AK59" t="e">
        <v>#N/A</v>
      </c>
      <c r="AL59" s="6" t="e">
        <v>#N/A</v>
      </c>
      <c r="AM59" s="7" t="e">
        <f>Table6[[#This Row],[Premium]]-Table6[[#This Row],[Tms Prem]]</f>
        <v>#N/A</v>
      </c>
    </row>
    <row r="60" spans="1:39" x14ac:dyDescent="0.25">
      <c r="A60">
        <v>59</v>
      </c>
      <c r="B60" t="s">
        <v>36</v>
      </c>
      <c r="C60" t="s">
        <v>859</v>
      </c>
      <c r="D60" t="s">
        <v>38</v>
      </c>
      <c r="E60" t="s">
        <v>39</v>
      </c>
      <c r="F60" t="s">
        <v>860</v>
      </c>
      <c r="G60" t="s">
        <v>189</v>
      </c>
      <c r="H60" t="s">
        <v>861</v>
      </c>
      <c r="I60" t="s">
        <v>862</v>
      </c>
      <c r="J60" t="s">
        <v>863</v>
      </c>
      <c r="K60" t="s">
        <v>864</v>
      </c>
      <c r="L60" t="s">
        <v>865</v>
      </c>
      <c r="M60">
        <v>477000</v>
      </c>
      <c r="N60">
        <v>795000</v>
      </c>
      <c r="O60" t="s">
        <v>866</v>
      </c>
      <c r="P60" t="s">
        <v>657</v>
      </c>
      <c r="Q60" t="s">
        <v>867</v>
      </c>
      <c r="R60" t="s">
        <v>868</v>
      </c>
      <c r="S60" t="s">
        <v>72</v>
      </c>
      <c r="T60" t="s">
        <v>73</v>
      </c>
      <c r="U60" t="s">
        <v>869</v>
      </c>
      <c r="V60" t="s">
        <v>617</v>
      </c>
      <c r="W60" s="1">
        <v>43312</v>
      </c>
      <c r="X60" t="s">
        <v>855</v>
      </c>
      <c r="Y60" t="s">
        <v>184</v>
      </c>
      <c r="Z60" t="s">
        <v>870</v>
      </c>
      <c r="AA60">
        <v>7</v>
      </c>
      <c r="AB60" t="s">
        <v>56</v>
      </c>
      <c r="AC60" t="s">
        <v>871</v>
      </c>
      <c r="AD60" t="s">
        <v>858</v>
      </c>
      <c r="AE60" t="s">
        <v>736</v>
      </c>
      <c r="AF60">
        <v>516750</v>
      </c>
      <c r="AG60" s="6">
        <v>16019</v>
      </c>
      <c r="AK60" t="s">
        <v>4534</v>
      </c>
      <c r="AL60" s="6">
        <v>16019</v>
      </c>
      <c r="AM60" s="7">
        <f>Table6[[#This Row],[Premium]]-Table6[[#This Row],[Tms Prem]]</f>
        <v>0</v>
      </c>
    </row>
    <row r="61" spans="1:39" hidden="1" x14ac:dyDescent="0.25">
      <c r="A61">
        <v>60</v>
      </c>
      <c r="B61" t="s">
        <v>36</v>
      </c>
      <c r="C61" t="s">
        <v>872</v>
      </c>
      <c r="D61" t="s">
        <v>38</v>
      </c>
      <c r="E61" t="s">
        <v>39</v>
      </c>
      <c r="F61" t="s">
        <v>873</v>
      </c>
      <c r="G61" t="s">
        <v>97</v>
      </c>
      <c r="H61" t="s">
        <v>874</v>
      </c>
      <c r="I61" t="s">
        <v>875</v>
      </c>
      <c r="J61" t="s">
        <v>73</v>
      </c>
      <c r="K61" t="s">
        <v>876</v>
      </c>
      <c r="L61" t="s">
        <v>877</v>
      </c>
      <c r="M61">
        <v>461500</v>
      </c>
      <c r="N61">
        <v>923000</v>
      </c>
      <c r="O61" t="s">
        <v>878</v>
      </c>
      <c r="P61" t="s">
        <v>657</v>
      </c>
      <c r="Q61" t="s">
        <v>879</v>
      </c>
      <c r="R61" t="s">
        <v>880</v>
      </c>
      <c r="S61" t="s">
        <v>72</v>
      </c>
      <c r="T61" t="s">
        <v>73</v>
      </c>
      <c r="U61" t="s">
        <v>881</v>
      </c>
      <c r="V61" t="s">
        <v>52</v>
      </c>
      <c r="W61" s="1">
        <v>43677</v>
      </c>
      <c r="X61" t="s">
        <v>775</v>
      </c>
      <c r="Y61" t="s">
        <v>776</v>
      </c>
      <c r="Z61" t="s">
        <v>882</v>
      </c>
      <c r="AA61">
        <v>5</v>
      </c>
      <c r="AB61" t="s">
        <v>110</v>
      </c>
      <c r="AC61" t="s">
        <v>883</v>
      </c>
      <c r="AD61" t="s">
        <v>667</v>
      </c>
      <c r="AE61" t="s">
        <v>668</v>
      </c>
      <c r="AF61">
        <v>553800</v>
      </c>
      <c r="AG61" s="6">
        <v>0</v>
      </c>
      <c r="AK61" t="e">
        <v>#N/A</v>
      </c>
      <c r="AL61" s="6" t="e">
        <v>#N/A</v>
      </c>
      <c r="AM61" s="7" t="e">
        <f>Table6[[#This Row],[Premium]]-Table6[[#This Row],[Tms Prem]]</f>
        <v>#N/A</v>
      </c>
    </row>
    <row r="62" spans="1:39" x14ac:dyDescent="0.25">
      <c r="A62">
        <v>61</v>
      </c>
      <c r="B62" t="s">
        <v>36</v>
      </c>
      <c r="C62" t="s">
        <v>884</v>
      </c>
      <c r="D62" t="s">
        <v>38</v>
      </c>
      <c r="E62" t="s">
        <v>39</v>
      </c>
      <c r="F62" t="s">
        <v>885</v>
      </c>
      <c r="G62" t="s">
        <v>229</v>
      </c>
      <c r="H62" t="s">
        <v>886</v>
      </c>
      <c r="I62" t="s">
        <v>887</v>
      </c>
      <c r="J62" t="s">
        <v>887</v>
      </c>
      <c r="K62" t="s">
        <v>176</v>
      </c>
      <c r="L62" t="s">
        <v>888</v>
      </c>
      <c r="M62">
        <v>978600</v>
      </c>
      <c r="N62">
        <v>1398000</v>
      </c>
      <c r="O62" t="s">
        <v>889</v>
      </c>
      <c r="P62" t="s">
        <v>756</v>
      </c>
      <c r="Q62" t="s">
        <v>890</v>
      </c>
      <c r="R62" t="s">
        <v>891</v>
      </c>
      <c r="S62" t="s">
        <v>72</v>
      </c>
      <c r="T62" t="s">
        <v>73</v>
      </c>
      <c r="U62" t="s">
        <v>446</v>
      </c>
      <c r="V62" t="s">
        <v>153</v>
      </c>
      <c r="W62" s="1">
        <v>44042</v>
      </c>
      <c r="X62" t="s">
        <v>892</v>
      </c>
      <c r="Y62" t="s">
        <v>184</v>
      </c>
      <c r="Z62" t="s">
        <v>893</v>
      </c>
      <c r="AA62">
        <v>5</v>
      </c>
      <c r="AB62" t="s">
        <v>56</v>
      </c>
      <c r="AC62" t="s">
        <v>894</v>
      </c>
      <c r="AD62" t="s">
        <v>456</v>
      </c>
      <c r="AE62" t="s">
        <v>59</v>
      </c>
      <c r="AF62">
        <v>1048500</v>
      </c>
      <c r="AG62" s="6">
        <v>20970</v>
      </c>
      <c r="AK62" t="s">
        <v>4535</v>
      </c>
      <c r="AL62" s="6">
        <v>20970</v>
      </c>
      <c r="AM62" s="7">
        <f>Table6[[#This Row],[Premium]]-Table6[[#This Row],[Tms Prem]]</f>
        <v>0</v>
      </c>
    </row>
    <row r="63" spans="1:39" x14ac:dyDescent="0.25">
      <c r="A63">
        <v>62</v>
      </c>
      <c r="B63" t="s">
        <v>36</v>
      </c>
      <c r="C63" t="s">
        <v>895</v>
      </c>
      <c r="D63" t="s">
        <v>38</v>
      </c>
      <c r="E63" t="s">
        <v>39</v>
      </c>
      <c r="F63" t="s">
        <v>896</v>
      </c>
      <c r="G63" t="s">
        <v>62</v>
      </c>
      <c r="H63" t="s">
        <v>897</v>
      </c>
      <c r="I63" t="s">
        <v>73</v>
      </c>
      <c r="J63" t="s">
        <v>898</v>
      </c>
      <c r="K63" t="s">
        <v>899</v>
      </c>
      <c r="L63" t="s">
        <v>900</v>
      </c>
      <c r="M63">
        <v>12000000</v>
      </c>
      <c r="N63">
        <v>20000000</v>
      </c>
      <c r="O63" t="s">
        <v>901</v>
      </c>
      <c r="P63" t="s">
        <v>902</v>
      </c>
      <c r="Q63" t="s">
        <v>903</v>
      </c>
      <c r="R63" t="s">
        <v>904</v>
      </c>
      <c r="S63" t="s">
        <v>660</v>
      </c>
      <c r="T63" t="s">
        <v>73</v>
      </c>
      <c r="U63" t="s">
        <v>905</v>
      </c>
      <c r="V63" t="s">
        <v>603</v>
      </c>
      <c r="W63" s="1">
        <v>44389</v>
      </c>
      <c r="X63" t="s">
        <v>76</v>
      </c>
      <c r="Y63" t="s">
        <v>315</v>
      </c>
      <c r="Z63" t="s">
        <v>906</v>
      </c>
      <c r="AA63">
        <v>5</v>
      </c>
      <c r="AB63" t="s">
        <v>56</v>
      </c>
      <c r="AC63" t="s">
        <v>907</v>
      </c>
      <c r="AD63" t="s">
        <v>908</v>
      </c>
      <c r="AE63" t="s">
        <v>319</v>
      </c>
      <c r="AF63">
        <v>16000000</v>
      </c>
      <c r="AG63" s="6">
        <v>280000</v>
      </c>
      <c r="AK63" t="s">
        <v>4536</v>
      </c>
      <c r="AL63" s="6">
        <v>280000</v>
      </c>
      <c r="AM63" s="7">
        <f>Table6[[#This Row],[Premium]]-Table6[[#This Row],[Tms Prem]]</f>
        <v>0</v>
      </c>
    </row>
    <row r="64" spans="1:39" x14ac:dyDescent="0.25">
      <c r="A64">
        <v>63</v>
      </c>
      <c r="B64" t="s">
        <v>36</v>
      </c>
      <c r="C64" t="s">
        <v>909</v>
      </c>
      <c r="D64" t="s">
        <v>38</v>
      </c>
      <c r="E64" t="s">
        <v>39</v>
      </c>
      <c r="F64" t="s">
        <v>910</v>
      </c>
      <c r="G64" t="s">
        <v>97</v>
      </c>
      <c r="H64" t="s">
        <v>911</v>
      </c>
      <c r="I64" t="s">
        <v>912</v>
      </c>
      <c r="J64" t="s">
        <v>73</v>
      </c>
      <c r="K64" t="s">
        <v>913</v>
      </c>
      <c r="L64" t="s">
        <v>914</v>
      </c>
      <c r="M64">
        <v>879200</v>
      </c>
      <c r="N64">
        <v>1099000</v>
      </c>
      <c r="O64" t="s">
        <v>915</v>
      </c>
      <c r="P64" t="s">
        <v>678</v>
      </c>
      <c r="Q64" t="s">
        <v>916</v>
      </c>
      <c r="R64" t="s">
        <v>917</v>
      </c>
      <c r="S64" t="s">
        <v>72</v>
      </c>
      <c r="T64" t="s">
        <v>73</v>
      </c>
      <c r="U64" t="s">
        <v>918</v>
      </c>
      <c r="V64" t="s">
        <v>153</v>
      </c>
      <c r="W64" s="1">
        <v>44042</v>
      </c>
      <c r="X64" t="s">
        <v>892</v>
      </c>
      <c r="Y64" t="s">
        <v>184</v>
      </c>
      <c r="Z64" t="s">
        <v>919</v>
      </c>
      <c r="AA64">
        <v>5</v>
      </c>
      <c r="AB64" t="s">
        <v>110</v>
      </c>
      <c r="AC64" t="s">
        <v>920</v>
      </c>
      <c r="AD64" t="s">
        <v>456</v>
      </c>
      <c r="AE64" t="s">
        <v>59</v>
      </c>
      <c r="AF64">
        <v>824250</v>
      </c>
      <c r="AG64" s="6">
        <v>16485</v>
      </c>
      <c r="AK64" t="s">
        <v>4537</v>
      </c>
      <c r="AL64" s="6">
        <v>16485</v>
      </c>
      <c r="AM64" s="7">
        <f>Table6[[#This Row],[Premium]]-Table6[[#This Row],[Tms Prem]]</f>
        <v>0</v>
      </c>
    </row>
    <row r="65" spans="1:39" x14ac:dyDescent="0.25">
      <c r="A65">
        <v>64</v>
      </c>
      <c r="B65" t="s">
        <v>36</v>
      </c>
      <c r="C65" t="s">
        <v>921</v>
      </c>
      <c r="D65" t="s">
        <v>38</v>
      </c>
      <c r="E65" t="s">
        <v>39</v>
      </c>
      <c r="F65" t="s">
        <v>922</v>
      </c>
      <c r="G65" t="s">
        <v>62</v>
      </c>
      <c r="H65" t="s">
        <v>923</v>
      </c>
      <c r="I65" t="s">
        <v>924</v>
      </c>
      <c r="J65" t="s">
        <v>925</v>
      </c>
      <c r="K65" t="s">
        <v>926</v>
      </c>
      <c r="L65" t="s">
        <v>927</v>
      </c>
      <c r="M65">
        <v>1358300</v>
      </c>
      <c r="N65">
        <v>1598000</v>
      </c>
      <c r="O65" t="s">
        <v>928</v>
      </c>
      <c r="P65" t="s">
        <v>756</v>
      </c>
      <c r="Q65" t="s">
        <v>929</v>
      </c>
      <c r="R65" t="s">
        <v>930</v>
      </c>
      <c r="S65" t="s">
        <v>72</v>
      </c>
      <c r="T65" t="s">
        <v>73</v>
      </c>
      <c r="U65" t="s">
        <v>931</v>
      </c>
      <c r="V65" t="s">
        <v>153</v>
      </c>
      <c r="W65" s="1">
        <v>44042</v>
      </c>
      <c r="X65" t="s">
        <v>892</v>
      </c>
      <c r="Y65" t="s">
        <v>184</v>
      </c>
      <c r="Z65" t="s">
        <v>932</v>
      </c>
      <c r="AA65">
        <v>5</v>
      </c>
      <c r="AB65" t="s">
        <v>110</v>
      </c>
      <c r="AC65" t="s">
        <v>933</v>
      </c>
      <c r="AD65" t="s">
        <v>456</v>
      </c>
      <c r="AE65" t="s">
        <v>59</v>
      </c>
      <c r="AF65">
        <v>1198500</v>
      </c>
      <c r="AG65" s="6">
        <v>23970</v>
      </c>
      <c r="AK65" t="s">
        <v>4538</v>
      </c>
      <c r="AL65" s="6">
        <v>23970</v>
      </c>
      <c r="AM65" s="7">
        <f>Table6[[#This Row],[Premium]]-Table6[[#This Row],[Tms Prem]]</f>
        <v>0</v>
      </c>
    </row>
    <row r="66" spans="1:39" x14ac:dyDescent="0.25">
      <c r="A66">
        <v>65</v>
      </c>
      <c r="B66" t="s">
        <v>36</v>
      </c>
      <c r="C66" t="s">
        <v>934</v>
      </c>
      <c r="D66" t="s">
        <v>38</v>
      </c>
      <c r="E66" t="s">
        <v>39</v>
      </c>
      <c r="F66" t="s">
        <v>935</v>
      </c>
      <c r="G66" t="s">
        <v>189</v>
      </c>
      <c r="H66" t="s">
        <v>936</v>
      </c>
      <c r="I66" t="s">
        <v>937</v>
      </c>
      <c r="J66" t="s">
        <v>938</v>
      </c>
      <c r="K66" t="s">
        <v>937</v>
      </c>
      <c r="L66" t="s">
        <v>939</v>
      </c>
      <c r="M66">
        <v>2063250</v>
      </c>
      <c r="N66">
        <v>8253000</v>
      </c>
      <c r="O66" t="s">
        <v>940</v>
      </c>
      <c r="P66" t="s">
        <v>941</v>
      </c>
      <c r="Q66" t="s">
        <v>942</v>
      </c>
      <c r="R66" t="s">
        <v>943</v>
      </c>
      <c r="S66" t="s">
        <v>72</v>
      </c>
      <c r="T66" t="s">
        <v>73</v>
      </c>
      <c r="U66" t="s">
        <v>944</v>
      </c>
      <c r="V66" t="s">
        <v>313</v>
      </c>
      <c r="W66" s="1">
        <v>45119</v>
      </c>
      <c r="X66" t="s">
        <v>945</v>
      </c>
      <c r="Y66" t="s">
        <v>155</v>
      </c>
      <c r="Z66" t="s">
        <v>946</v>
      </c>
      <c r="AA66">
        <v>3</v>
      </c>
      <c r="AB66" t="s">
        <v>947</v>
      </c>
      <c r="AC66" t="s">
        <v>73</v>
      </c>
      <c r="AD66" t="s">
        <v>73</v>
      </c>
      <c r="AE66" t="s">
        <v>319</v>
      </c>
      <c r="AF66">
        <v>7427700</v>
      </c>
      <c r="AG66" s="6">
        <v>129985</v>
      </c>
      <c r="AK66" t="s">
        <v>4539</v>
      </c>
      <c r="AL66" s="6">
        <v>129985</v>
      </c>
      <c r="AM66" s="7">
        <f>Table6[[#This Row],[Premium]]-Table6[[#This Row],[Tms Prem]]</f>
        <v>0</v>
      </c>
    </row>
    <row r="67" spans="1:39" x14ac:dyDescent="0.25">
      <c r="A67">
        <v>66</v>
      </c>
      <c r="B67" t="s">
        <v>36</v>
      </c>
      <c r="C67" t="s">
        <v>948</v>
      </c>
      <c r="D67" t="s">
        <v>38</v>
      </c>
      <c r="E67" t="s">
        <v>39</v>
      </c>
      <c r="F67" t="s">
        <v>949</v>
      </c>
      <c r="G67" t="s">
        <v>62</v>
      </c>
      <c r="H67" t="s">
        <v>950</v>
      </c>
      <c r="I67" t="s">
        <v>951</v>
      </c>
      <c r="J67" t="s">
        <v>951</v>
      </c>
      <c r="K67" t="s">
        <v>951</v>
      </c>
      <c r="L67" t="s">
        <v>952</v>
      </c>
      <c r="M67">
        <v>3035250</v>
      </c>
      <c r="N67">
        <v>4047000</v>
      </c>
      <c r="O67" t="s">
        <v>953</v>
      </c>
      <c r="P67" t="s">
        <v>954</v>
      </c>
      <c r="Q67" t="s">
        <v>955</v>
      </c>
      <c r="R67" t="s">
        <v>956</v>
      </c>
      <c r="S67" t="s">
        <v>72</v>
      </c>
      <c r="T67" t="s">
        <v>73</v>
      </c>
      <c r="U67" t="s">
        <v>957</v>
      </c>
      <c r="V67" t="s">
        <v>153</v>
      </c>
      <c r="W67" s="1">
        <v>44028</v>
      </c>
      <c r="X67" t="s">
        <v>892</v>
      </c>
      <c r="Y67" t="s">
        <v>344</v>
      </c>
      <c r="Z67" t="s">
        <v>958</v>
      </c>
      <c r="AA67">
        <v>7</v>
      </c>
      <c r="AB67" t="s">
        <v>56</v>
      </c>
      <c r="AC67" t="s">
        <v>959</v>
      </c>
      <c r="AD67" t="s">
        <v>456</v>
      </c>
      <c r="AE67" t="s">
        <v>266</v>
      </c>
      <c r="AF67">
        <v>3035250</v>
      </c>
      <c r="AG67" s="6">
        <v>45529</v>
      </c>
      <c r="AK67" t="s">
        <v>4540</v>
      </c>
      <c r="AL67" s="6">
        <v>45529</v>
      </c>
      <c r="AM67" s="7">
        <f>Table6[[#This Row],[Premium]]-Table6[[#This Row],[Tms Prem]]</f>
        <v>0</v>
      </c>
    </row>
    <row r="68" spans="1:39" x14ac:dyDescent="0.25">
      <c r="A68">
        <v>67</v>
      </c>
      <c r="B68" t="s">
        <v>36</v>
      </c>
      <c r="C68" t="s">
        <v>960</v>
      </c>
      <c r="D68" t="s">
        <v>38</v>
      </c>
      <c r="E68" t="s">
        <v>39</v>
      </c>
      <c r="F68" t="s">
        <v>961</v>
      </c>
      <c r="G68" t="s">
        <v>62</v>
      </c>
      <c r="H68" t="s">
        <v>962</v>
      </c>
      <c r="I68" t="s">
        <v>963</v>
      </c>
      <c r="J68" t="s">
        <v>963</v>
      </c>
      <c r="K68" t="s">
        <v>963</v>
      </c>
      <c r="L68" t="s">
        <v>964</v>
      </c>
      <c r="M68">
        <v>2100000</v>
      </c>
      <c r="N68">
        <v>3500000</v>
      </c>
      <c r="O68" t="s">
        <v>965</v>
      </c>
      <c r="P68" t="s">
        <v>966</v>
      </c>
      <c r="Q68" t="s">
        <v>967</v>
      </c>
      <c r="R68" t="s">
        <v>968</v>
      </c>
      <c r="S68" t="s">
        <v>49</v>
      </c>
      <c r="T68" t="s">
        <v>969</v>
      </c>
      <c r="U68" t="s">
        <v>970</v>
      </c>
      <c r="V68" t="s">
        <v>617</v>
      </c>
      <c r="W68" s="1">
        <v>44042</v>
      </c>
      <c r="X68" t="s">
        <v>892</v>
      </c>
      <c r="Y68" t="s">
        <v>760</v>
      </c>
      <c r="Z68" t="s">
        <v>971</v>
      </c>
      <c r="AA68">
        <v>6</v>
      </c>
      <c r="AB68" t="s">
        <v>110</v>
      </c>
      <c r="AC68" t="s">
        <v>972</v>
      </c>
      <c r="AD68" t="s">
        <v>456</v>
      </c>
      <c r="AE68" t="s">
        <v>59</v>
      </c>
      <c r="AF68">
        <v>2625000</v>
      </c>
      <c r="AG68" s="6">
        <v>52500</v>
      </c>
      <c r="AK68" t="s">
        <v>4541</v>
      </c>
      <c r="AL68" s="6">
        <v>52500</v>
      </c>
      <c r="AM68" s="7">
        <f>Table6[[#This Row],[Premium]]-Table6[[#This Row],[Tms Prem]]</f>
        <v>0</v>
      </c>
    </row>
    <row r="69" spans="1:39" x14ac:dyDescent="0.25">
      <c r="A69">
        <v>68</v>
      </c>
      <c r="B69" t="s">
        <v>36</v>
      </c>
      <c r="C69" t="s">
        <v>973</v>
      </c>
      <c r="D69" t="s">
        <v>38</v>
      </c>
      <c r="E69" t="s">
        <v>39</v>
      </c>
      <c r="F69" t="s">
        <v>974</v>
      </c>
      <c r="G69" t="s">
        <v>115</v>
      </c>
      <c r="H69" t="s">
        <v>975</v>
      </c>
      <c r="I69" t="s">
        <v>73</v>
      </c>
      <c r="J69" t="s">
        <v>976</v>
      </c>
      <c r="K69" t="s">
        <v>73</v>
      </c>
      <c r="L69" t="s">
        <v>977</v>
      </c>
      <c r="M69">
        <v>1306400</v>
      </c>
      <c r="N69">
        <v>1633000</v>
      </c>
      <c r="O69" t="s">
        <v>978</v>
      </c>
      <c r="P69" t="s">
        <v>979</v>
      </c>
      <c r="Q69" t="s">
        <v>980</v>
      </c>
      <c r="R69" t="s">
        <v>981</v>
      </c>
      <c r="S69" t="s">
        <v>72</v>
      </c>
      <c r="T69" t="s">
        <v>73</v>
      </c>
      <c r="U69" t="s">
        <v>982</v>
      </c>
      <c r="V69" t="s">
        <v>75</v>
      </c>
      <c r="W69" s="1">
        <v>44305</v>
      </c>
      <c r="X69" t="s">
        <v>154</v>
      </c>
      <c r="Y69" t="s">
        <v>155</v>
      </c>
      <c r="Z69" t="s">
        <v>983</v>
      </c>
      <c r="AA69">
        <v>5</v>
      </c>
      <c r="AB69" t="s">
        <v>56</v>
      </c>
      <c r="AC69" t="s">
        <v>984</v>
      </c>
      <c r="AD69" t="s">
        <v>985</v>
      </c>
      <c r="AE69" t="s">
        <v>59</v>
      </c>
      <c r="AF69">
        <v>1306400</v>
      </c>
      <c r="AG69" s="6">
        <v>26128</v>
      </c>
      <c r="AK69" t="s">
        <v>4542</v>
      </c>
      <c r="AL69" s="6">
        <v>26128</v>
      </c>
      <c r="AM69" s="7">
        <f>Table6[[#This Row],[Premium]]-Table6[[#This Row],[Tms Prem]]</f>
        <v>0</v>
      </c>
    </row>
    <row r="70" spans="1:39" x14ac:dyDescent="0.25">
      <c r="A70">
        <v>69</v>
      </c>
      <c r="B70" t="s">
        <v>36</v>
      </c>
      <c r="C70" t="s">
        <v>986</v>
      </c>
      <c r="D70" t="s">
        <v>38</v>
      </c>
      <c r="E70" t="s">
        <v>39</v>
      </c>
      <c r="F70" t="s">
        <v>987</v>
      </c>
      <c r="G70" t="s">
        <v>229</v>
      </c>
      <c r="H70" t="s">
        <v>988</v>
      </c>
      <c r="I70" t="s">
        <v>989</v>
      </c>
      <c r="J70" t="s">
        <v>989</v>
      </c>
      <c r="K70" t="s">
        <v>176</v>
      </c>
      <c r="L70" t="s">
        <v>990</v>
      </c>
      <c r="M70">
        <v>2040000</v>
      </c>
      <c r="N70">
        <v>2550000</v>
      </c>
      <c r="O70" t="s">
        <v>991</v>
      </c>
      <c r="P70" t="s">
        <v>945</v>
      </c>
      <c r="Q70" t="s">
        <v>992</v>
      </c>
      <c r="R70" t="s">
        <v>993</v>
      </c>
      <c r="S70" t="s">
        <v>49</v>
      </c>
      <c r="T70" t="s">
        <v>994</v>
      </c>
      <c r="U70" t="s">
        <v>995</v>
      </c>
      <c r="V70" t="s">
        <v>730</v>
      </c>
      <c r="W70" s="1">
        <v>44042</v>
      </c>
      <c r="X70" t="s">
        <v>892</v>
      </c>
      <c r="Y70" t="s">
        <v>184</v>
      </c>
      <c r="Z70" t="s">
        <v>996</v>
      </c>
      <c r="AA70">
        <v>5</v>
      </c>
      <c r="AB70" t="s">
        <v>56</v>
      </c>
      <c r="AC70" t="s">
        <v>997</v>
      </c>
      <c r="AD70" t="s">
        <v>456</v>
      </c>
      <c r="AE70" t="s">
        <v>59</v>
      </c>
      <c r="AF70">
        <v>1912500</v>
      </c>
      <c r="AG70" s="6">
        <v>38250</v>
      </c>
      <c r="AK70" t="s">
        <v>4543</v>
      </c>
      <c r="AL70" s="6">
        <v>38250</v>
      </c>
      <c r="AM70" s="7">
        <f>Table6[[#This Row],[Premium]]-Table6[[#This Row],[Tms Prem]]</f>
        <v>0</v>
      </c>
    </row>
    <row r="71" spans="1:39" x14ac:dyDescent="0.25">
      <c r="A71">
        <v>70</v>
      </c>
      <c r="B71" t="s">
        <v>36</v>
      </c>
      <c r="C71" t="s">
        <v>998</v>
      </c>
      <c r="D71" t="s">
        <v>38</v>
      </c>
      <c r="E71" t="s">
        <v>39</v>
      </c>
      <c r="F71" t="s">
        <v>999</v>
      </c>
      <c r="G71" t="s">
        <v>291</v>
      </c>
      <c r="H71" t="s">
        <v>1000</v>
      </c>
      <c r="I71" t="s">
        <v>1001</v>
      </c>
      <c r="J71" t="s">
        <v>1001</v>
      </c>
      <c r="K71" t="s">
        <v>1001</v>
      </c>
      <c r="L71" t="s">
        <v>1002</v>
      </c>
      <c r="M71">
        <v>1710100</v>
      </c>
      <c r="N71">
        <v>2443000</v>
      </c>
      <c r="O71" t="s">
        <v>1003</v>
      </c>
      <c r="P71" t="s">
        <v>1004</v>
      </c>
      <c r="Q71" t="s">
        <v>1005</v>
      </c>
      <c r="R71" t="s">
        <v>1006</v>
      </c>
      <c r="S71" t="s">
        <v>72</v>
      </c>
      <c r="T71" t="s">
        <v>73</v>
      </c>
      <c r="U71" t="s">
        <v>1007</v>
      </c>
      <c r="V71" t="s">
        <v>75</v>
      </c>
      <c r="W71" s="1">
        <v>44392</v>
      </c>
      <c r="X71" t="s">
        <v>154</v>
      </c>
      <c r="Y71" t="s">
        <v>155</v>
      </c>
      <c r="Z71" t="s">
        <v>1008</v>
      </c>
      <c r="AA71">
        <v>5</v>
      </c>
      <c r="AB71" t="s">
        <v>263</v>
      </c>
      <c r="AC71" t="s">
        <v>1009</v>
      </c>
      <c r="AD71" t="s">
        <v>1004</v>
      </c>
      <c r="AE71" t="s">
        <v>59</v>
      </c>
      <c r="AF71">
        <v>1954400</v>
      </c>
      <c r="AG71" s="6">
        <v>39088</v>
      </c>
      <c r="AK71" t="s">
        <v>4544</v>
      </c>
      <c r="AL71" s="6">
        <v>39088</v>
      </c>
      <c r="AM71" s="7">
        <f>Table6[[#This Row],[Premium]]-Table6[[#This Row],[Tms Prem]]</f>
        <v>0</v>
      </c>
    </row>
    <row r="72" spans="1:39" x14ac:dyDescent="0.25">
      <c r="A72">
        <v>71</v>
      </c>
      <c r="B72" t="s">
        <v>36</v>
      </c>
      <c r="C72" t="s">
        <v>1010</v>
      </c>
      <c r="D72" t="s">
        <v>38</v>
      </c>
      <c r="E72" t="s">
        <v>39</v>
      </c>
      <c r="F72" t="s">
        <v>1011</v>
      </c>
      <c r="G72" t="s">
        <v>115</v>
      </c>
      <c r="H72" t="s">
        <v>1012</v>
      </c>
      <c r="I72" t="s">
        <v>1013</v>
      </c>
      <c r="J72" t="s">
        <v>1013</v>
      </c>
      <c r="K72" t="s">
        <v>1014</v>
      </c>
      <c r="L72" t="s">
        <v>1015</v>
      </c>
      <c r="M72">
        <v>1714650</v>
      </c>
      <c r="N72">
        <v>4899000</v>
      </c>
      <c r="O72" t="s">
        <v>1016</v>
      </c>
      <c r="P72" t="s">
        <v>945</v>
      </c>
      <c r="Q72" t="s">
        <v>1017</v>
      </c>
      <c r="R72" t="s">
        <v>1018</v>
      </c>
      <c r="S72" t="s">
        <v>72</v>
      </c>
      <c r="T72" t="s">
        <v>73</v>
      </c>
      <c r="U72" t="s">
        <v>1019</v>
      </c>
      <c r="V72" t="s">
        <v>153</v>
      </c>
      <c r="W72" s="1">
        <v>43965</v>
      </c>
      <c r="X72" t="s">
        <v>892</v>
      </c>
      <c r="Y72" t="s">
        <v>344</v>
      </c>
      <c r="Z72" t="s">
        <v>1020</v>
      </c>
      <c r="AA72">
        <v>7</v>
      </c>
      <c r="AB72" t="s">
        <v>73</v>
      </c>
      <c r="AC72" t="s">
        <v>73</v>
      </c>
      <c r="AD72" t="s">
        <v>73</v>
      </c>
      <c r="AE72" t="s">
        <v>736</v>
      </c>
      <c r="AF72">
        <v>3674250</v>
      </c>
      <c r="AG72" s="6">
        <v>113902</v>
      </c>
      <c r="AK72" t="s">
        <v>4545</v>
      </c>
      <c r="AL72" s="6">
        <v>113902</v>
      </c>
      <c r="AM72" s="7">
        <f>Table6[[#This Row],[Premium]]-Table6[[#This Row],[Tms Prem]]</f>
        <v>0</v>
      </c>
    </row>
    <row r="73" spans="1:39" x14ac:dyDescent="0.25">
      <c r="A73">
        <v>72</v>
      </c>
      <c r="B73" t="s">
        <v>36</v>
      </c>
      <c r="C73" t="s">
        <v>1021</v>
      </c>
      <c r="D73" t="s">
        <v>38</v>
      </c>
      <c r="E73" t="s">
        <v>39</v>
      </c>
      <c r="F73" t="s">
        <v>1022</v>
      </c>
      <c r="G73" t="s">
        <v>62</v>
      </c>
      <c r="H73" t="s">
        <v>1023</v>
      </c>
      <c r="I73" t="s">
        <v>1024</v>
      </c>
      <c r="J73" t="s">
        <v>1024</v>
      </c>
      <c r="K73" t="s">
        <v>1025</v>
      </c>
      <c r="L73" t="s">
        <v>1026</v>
      </c>
      <c r="M73">
        <v>2958000</v>
      </c>
      <c r="N73">
        <v>4930000</v>
      </c>
      <c r="O73" t="s">
        <v>1027</v>
      </c>
      <c r="P73" t="s">
        <v>1028</v>
      </c>
      <c r="Q73" t="s">
        <v>1029</v>
      </c>
      <c r="R73" t="s">
        <v>1030</v>
      </c>
      <c r="S73" t="s">
        <v>72</v>
      </c>
      <c r="T73" t="s">
        <v>73</v>
      </c>
      <c r="U73" t="s">
        <v>1031</v>
      </c>
      <c r="V73" t="s">
        <v>75</v>
      </c>
      <c r="W73" s="1">
        <v>44235</v>
      </c>
      <c r="X73" t="s">
        <v>154</v>
      </c>
      <c r="Y73" t="s">
        <v>358</v>
      </c>
      <c r="Z73" t="s">
        <v>1032</v>
      </c>
      <c r="AA73">
        <v>4</v>
      </c>
      <c r="AB73" t="s">
        <v>73</v>
      </c>
      <c r="AC73" t="s">
        <v>73</v>
      </c>
      <c r="AD73" t="s">
        <v>73</v>
      </c>
      <c r="AE73" t="s">
        <v>319</v>
      </c>
      <c r="AF73">
        <v>3944000</v>
      </c>
      <c r="AG73" s="6">
        <v>69020</v>
      </c>
      <c r="AK73" t="s">
        <v>4546</v>
      </c>
      <c r="AL73" s="6">
        <v>69020</v>
      </c>
      <c r="AM73" s="7">
        <f>Table6[[#This Row],[Premium]]-Table6[[#This Row],[Tms Prem]]</f>
        <v>0</v>
      </c>
    </row>
    <row r="74" spans="1:39" x14ac:dyDescent="0.25">
      <c r="A74">
        <v>73</v>
      </c>
      <c r="B74" t="s">
        <v>36</v>
      </c>
      <c r="C74" t="s">
        <v>1033</v>
      </c>
      <c r="D74" t="s">
        <v>38</v>
      </c>
      <c r="E74" t="s">
        <v>39</v>
      </c>
      <c r="F74" t="s">
        <v>1034</v>
      </c>
      <c r="G74" t="s">
        <v>131</v>
      </c>
      <c r="H74" t="s">
        <v>1035</v>
      </c>
      <c r="I74" t="s">
        <v>1036</v>
      </c>
      <c r="J74" t="s">
        <v>1036</v>
      </c>
      <c r="K74" t="s">
        <v>1037</v>
      </c>
      <c r="L74" t="s">
        <v>1038</v>
      </c>
      <c r="M74">
        <v>1475000</v>
      </c>
      <c r="N74">
        <v>2950000</v>
      </c>
      <c r="O74" t="s">
        <v>1039</v>
      </c>
      <c r="P74" t="s">
        <v>1040</v>
      </c>
      <c r="Q74" t="s">
        <v>1041</v>
      </c>
      <c r="R74" t="s">
        <v>1042</v>
      </c>
      <c r="S74" t="s">
        <v>49</v>
      </c>
      <c r="T74" t="s">
        <v>1043</v>
      </c>
      <c r="U74" t="s">
        <v>1044</v>
      </c>
      <c r="V74" t="s">
        <v>829</v>
      </c>
      <c r="W74" s="1">
        <v>44042</v>
      </c>
      <c r="X74" t="s">
        <v>892</v>
      </c>
      <c r="Y74" t="s">
        <v>184</v>
      </c>
      <c r="Z74" t="s">
        <v>1045</v>
      </c>
      <c r="AA74">
        <v>5</v>
      </c>
      <c r="AB74" t="s">
        <v>56</v>
      </c>
      <c r="AC74" t="s">
        <v>1046</v>
      </c>
      <c r="AD74" t="s">
        <v>456</v>
      </c>
      <c r="AE74" t="s">
        <v>59</v>
      </c>
      <c r="AF74">
        <v>2212500</v>
      </c>
      <c r="AG74" s="6">
        <v>44250</v>
      </c>
      <c r="AK74" t="s">
        <v>4547</v>
      </c>
      <c r="AL74" s="6">
        <v>44250</v>
      </c>
      <c r="AM74" s="7">
        <f>Table6[[#This Row],[Premium]]-Table6[[#This Row],[Tms Prem]]</f>
        <v>0</v>
      </c>
    </row>
    <row r="75" spans="1:39" x14ac:dyDescent="0.25">
      <c r="A75">
        <v>74</v>
      </c>
      <c r="B75" t="s">
        <v>36</v>
      </c>
      <c r="C75" t="s">
        <v>1047</v>
      </c>
      <c r="D75" t="s">
        <v>38</v>
      </c>
      <c r="E75" t="s">
        <v>39</v>
      </c>
      <c r="F75" t="s">
        <v>1048</v>
      </c>
      <c r="G75" t="s">
        <v>62</v>
      </c>
      <c r="H75" t="s">
        <v>1049</v>
      </c>
      <c r="I75" t="s">
        <v>1050</v>
      </c>
      <c r="J75" t="s">
        <v>1050</v>
      </c>
      <c r="K75" t="s">
        <v>1051</v>
      </c>
      <c r="L75" t="s">
        <v>1052</v>
      </c>
      <c r="M75">
        <v>1400000</v>
      </c>
      <c r="N75">
        <v>1750000</v>
      </c>
      <c r="O75" t="s">
        <v>1053</v>
      </c>
      <c r="P75" t="s">
        <v>1054</v>
      </c>
      <c r="Q75" t="s">
        <v>1055</v>
      </c>
      <c r="R75" t="s">
        <v>1056</v>
      </c>
      <c r="S75" t="s">
        <v>49</v>
      </c>
      <c r="T75" t="s">
        <v>1057</v>
      </c>
      <c r="U75" t="s">
        <v>1058</v>
      </c>
      <c r="V75" t="s">
        <v>730</v>
      </c>
      <c r="W75" s="1">
        <v>43677</v>
      </c>
      <c r="X75" t="s">
        <v>775</v>
      </c>
      <c r="Y75" t="s">
        <v>760</v>
      </c>
      <c r="Z75" t="s">
        <v>1059</v>
      </c>
      <c r="AA75">
        <v>7</v>
      </c>
      <c r="AB75" t="s">
        <v>56</v>
      </c>
      <c r="AC75" t="s">
        <v>1060</v>
      </c>
      <c r="AD75" t="s">
        <v>667</v>
      </c>
      <c r="AE75" t="s">
        <v>668</v>
      </c>
      <c r="AF75">
        <v>1225000</v>
      </c>
      <c r="AG75" s="6">
        <v>30625</v>
      </c>
      <c r="AK75" t="s">
        <v>4548</v>
      </c>
      <c r="AL75" s="6">
        <v>30625</v>
      </c>
      <c r="AM75" s="7">
        <f>Table6[[#This Row],[Premium]]-Table6[[#This Row],[Tms Prem]]</f>
        <v>0</v>
      </c>
    </row>
    <row r="76" spans="1:39" x14ac:dyDescent="0.25">
      <c r="A76">
        <v>75</v>
      </c>
      <c r="B76" t="s">
        <v>36</v>
      </c>
      <c r="C76" t="s">
        <v>1061</v>
      </c>
      <c r="D76" t="s">
        <v>38</v>
      </c>
      <c r="E76" t="s">
        <v>39</v>
      </c>
      <c r="F76" t="s">
        <v>1062</v>
      </c>
      <c r="G76" t="s">
        <v>189</v>
      </c>
      <c r="H76" t="s">
        <v>1063</v>
      </c>
      <c r="I76" t="s">
        <v>1064</v>
      </c>
      <c r="J76" t="s">
        <v>1065</v>
      </c>
      <c r="K76" t="s">
        <v>1066</v>
      </c>
      <c r="L76" t="s">
        <v>1067</v>
      </c>
      <c r="M76">
        <v>2924000</v>
      </c>
      <c r="N76">
        <v>4300000</v>
      </c>
      <c r="O76" t="s">
        <v>1068</v>
      </c>
      <c r="P76" t="s">
        <v>1069</v>
      </c>
      <c r="Q76" t="s">
        <v>1070</v>
      </c>
      <c r="R76" t="s">
        <v>1071</v>
      </c>
      <c r="S76" t="s">
        <v>49</v>
      </c>
      <c r="T76" t="s">
        <v>1072</v>
      </c>
      <c r="U76" t="s">
        <v>1073</v>
      </c>
      <c r="V76" t="s">
        <v>617</v>
      </c>
      <c r="W76" s="1">
        <v>45120</v>
      </c>
      <c r="X76" t="s">
        <v>945</v>
      </c>
      <c r="Y76" t="s">
        <v>155</v>
      </c>
      <c r="Z76" t="s">
        <v>1074</v>
      </c>
      <c r="AA76">
        <v>3</v>
      </c>
      <c r="AB76" t="s">
        <v>263</v>
      </c>
      <c r="AC76" t="s">
        <v>1075</v>
      </c>
      <c r="AD76" t="s">
        <v>1076</v>
      </c>
      <c r="AE76" t="s">
        <v>319</v>
      </c>
      <c r="AF76">
        <v>3870000</v>
      </c>
      <c r="AG76" s="6">
        <v>67725</v>
      </c>
      <c r="AK76" t="s">
        <v>4549</v>
      </c>
      <c r="AL76" s="6">
        <v>67725</v>
      </c>
      <c r="AM76" s="7">
        <f>Table6[[#This Row],[Premium]]-Table6[[#This Row],[Tms Prem]]</f>
        <v>0</v>
      </c>
    </row>
    <row r="77" spans="1:39" x14ac:dyDescent="0.25">
      <c r="A77">
        <v>76</v>
      </c>
      <c r="B77" t="s">
        <v>36</v>
      </c>
      <c r="C77" t="s">
        <v>1077</v>
      </c>
      <c r="D77" t="s">
        <v>38</v>
      </c>
      <c r="E77" t="s">
        <v>39</v>
      </c>
      <c r="F77" t="s">
        <v>1078</v>
      </c>
      <c r="G77" t="s">
        <v>62</v>
      </c>
      <c r="H77" t="s">
        <v>1079</v>
      </c>
      <c r="I77" t="s">
        <v>1080</v>
      </c>
      <c r="J77" t="s">
        <v>1080</v>
      </c>
      <c r="K77" t="s">
        <v>1080</v>
      </c>
      <c r="L77" t="s">
        <v>1081</v>
      </c>
      <c r="M77">
        <v>1224750</v>
      </c>
      <c r="N77">
        <v>4899000</v>
      </c>
      <c r="O77" t="s">
        <v>1082</v>
      </c>
      <c r="P77" t="s">
        <v>1083</v>
      </c>
      <c r="Q77" t="s">
        <v>1084</v>
      </c>
      <c r="R77" t="s">
        <v>1085</v>
      </c>
      <c r="S77" t="s">
        <v>72</v>
      </c>
      <c r="T77" t="s">
        <v>73</v>
      </c>
      <c r="U77" t="s">
        <v>944</v>
      </c>
      <c r="V77" t="s">
        <v>153</v>
      </c>
      <c r="W77" s="1">
        <v>44004</v>
      </c>
      <c r="X77" t="s">
        <v>892</v>
      </c>
      <c r="Y77" t="s">
        <v>184</v>
      </c>
      <c r="Z77" t="s">
        <v>1086</v>
      </c>
      <c r="AA77">
        <v>5</v>
      </c>
      <c r="AB77" t="s">
        <v>73</v>
      </c>
      <c r="AC77" t="s">
        <v>73</v>
      </c>
      <c r="AD77" t="s">
        <v>73</v>
      </c>
      <c r="AE77" t="s">
        <v>668</v>
      </c>
      <c r="AF77">
        <v>3674250</v>
      </c>
      <c r="AG77" s="6">
        <v>91856</v>
      </c>
      <c r="AK77" t="s">
        <v>4550</v>
      </c>
      <c r="AL77" s="6">
        <v>91856</v>
      </c>
      <c r="AM77" s="7">
        <f>Table6[[#This Row],[Premium]]-Table6[[#This Row],[Tms Prem]]</f>
        <v>0</v>
      </c>
    </row>
    <row r="78" spans="1:39" x14ac:dyDescent="0.25">
      <c r="A78">
        <v>77</v>
      </c>
      <c r="B78" t="s">
        <v>36</v>
      </c>
      <c r="C78" t="s">
        <v>1087</v>
      </c>
      <c r="D78" t="s">
        <v>38</v>
      </c>
      <c r="E78" t="s">
        <v>39</v>
      </c>
      <c r="F78" t="s">
        <v>1088</v>
      </c>
      <c r="G78" t="s">
        <v>189</v>
      </c>
      <c r="H78" t="s">
        <v>1089</v>
      </c>
      <c r="I78" t="s">
        <v>73</v>
      </c>
      <c r="J78" t="s">
        <v>1090</v>
      </c>
      <c r="K78" t="s">
        <v>73</v>
      </c>
      <c r="L78" t="s">
        <v>1091</v>
      </c>
      <c r="M78">
        <v>2565000</v>
      </c>
      <c r="N78">
        <v>4500000</v>
      </c>
      <c r="O78" t="s">
        <v>1092</v>
      </c>
      <c r="P78" t="s">
        <v>1004</v>
      </c>
      <c r="Q78" t="s">
        <v>1093</v>
      </c>
      <c r="R78" t="s">
        <v>1094</v>
      </c>
      <c r="S78" t="s">
        <v>49</v>
      </c>
      <c r="T78" t="s">
        <v>1095</v>
      </c>
      <c r="U78" t="s">
        <v>1096</v>
      </c>
      <c r="V78" t="s">
        <v>75</v>
      </c>
      <c r="W78" s="1">
        <v>45120</v>
      </c>
      <c r="X78" t="s">
        <v>945</v>
      </c>
      <c r="Y78" t="s">
        <v>155</v>
      </c>
      <c r="Z78" t="s">
        <v>1097</v>
      </c>
      <c r="AA78">
        <v>3</v>
      </c>
      <c r="AB78" t="s">
        <v>263</v>
      </c>
      <c r="AC78" t="s">
        <v>1098</v>
      </c>
      <c r="AD78" t="s">
        <v>1076</v>
      </c>
      <c r="AE78" t="s">
        <v>319</v>
      </c>
      <c r="AF78">
        <v>4050000</v>
      </c>
      <c r="AG78" s="6">
        <v>70875</v>
      </c>
      <c r="AK78" t="s">
        <v>4551</v>
      </c>
      <c r="AL78" s="6">
        <v>70875</v>
      </c>
      <c r="AM78" s="7">
        <f>Table6[[#This Row],[Premium]]-Table6[[#This Row],[Tms Prem]]</f>
        <v>0</v>
      </c>
    </row>
    <row r="79" spans="1:39" x14ac:dyDescent="0.25">
      <c r="A79">
        <v>78</v>
      </c>
      <c r="B79" t="s">
        <v>36</v>
      </c>
      <c r="C79" t="s">
        <v>1099</v>
      </c>
      <c r="D79" t="s">
        <v>38</v>
      </c>
      <c r="E79" t="s">
        <v>39</v>
      </c>
      <c r="F79" t="s">
        <v>1100</v>
      </c>
      <c r="G79" t="s">
        <v>62</v>
      </c>
      <c r="H79" t="s">
        <v>1101</v>
      </c>
      <c r="I79" t="s">
        <v>1102</v>
      </c>
      <c r="J79" t="s">
        <v>1103</v>
      </c>
      <c r="K79" t="s">
        <v>1104</v>
      </c>
      <c r="L79" t="s">
        <v>1105</v>
      </c>
      <c r="M79">
        <v>715650</v>
      </c>
      <c r="N79">
        <v>1101000</v>
      </c>
      <c r="O79" t="s">
        <v>1106</v>
      </c>
      <c r="P79" t="s">
        <v>318</v>
      </c>
      <c r="Q79" t="s">
        <v>1107</v>
      </c>
      <c r="R79" t="s">
        <v>1108</v>
      </c>
      <c r="S79" t="s">
        <v>72</v>
      </c>
      <c r="T79" t="s">
        <v>73</v>
      </c>
      <c r="U79" t="s">
        <v>1109</v>
      </c>
      <c r="V79" t="s">
        <v>52</v>
      </c>
      <c r="W79" s="1">
        <v>43677</v>
      </c>
      <c r="X79" t="s">
        <v>775</v>
      </c>
      <c r="Y79" t="s">
        <v>760</v>
      </c>
      <c r="Z79" t="s">
        <v>1110</v>
      </c>
      <c r="AA79">
        <v>7</v>
      </c>
      <c r="AB79" t="s">
        <v>56</v>
      </c>
      <c r="AC79" t="s">
        <v>1111</v>
      </c>
      <c r="AD79" t="s">
        <v>179</v>
      </c>
      <c r="AE79" t="s">
        <v>668</v>
      </c>
      <c r="AF79">
        <v>770700</v>
      </c>
      <c r="AG79" s="6">
        <v>19268</v>
      </c>
      <c r="AK79" t="s">
        <v>4552</v>
      </c>
      <c r="AL79" s="6">
        <v>19268</v>
      </c>
      <c r="AM79" s="7">
        <f>Table6[[#This Row],[Premium]]-Table6[[#This Row],[Tms Prem]]</f>
        <v>0</v>
      </c>
    </row>
    <row r="80" spans="1:39" hidden="1" x14ac:dyDescent="0.25">
      <c r="A80">
        <v>79</v>
      </c>
      <c r="B80" t="s">
        <v>36</v>
      </c>
      <c r="C80" t="s">
        <v>1112</v>
      </c>
      <c r="D80" t="s">
        <v>38</v>
      </c>
      <c r="E80" t="s">
        <v>39</v>
      </c>
      <c r="F80" t="s">
        <v>1113</v>
      </c>
      <c r="G80" t="s">
        <v>62</v>
      </c>
      <c r="H80" t="s">
        <v>1114</v>
      </c>
      <c r="I80" t="s">
        <v>1115</v>
      </c>
      <c r="J80" t="s">
        <v>1115</v>
      </c>
      <c r="K80" t="s">
        <v>1115</v>
      </c>
      <c r="L80" t="s">
        <v>1116</v>
      </c>
      <c r="M80">
        <v>692250</v>
      </c>
      <c r="N80">
        <v>923000</v>
      </c>
      <c r="O80" t="s">
        <v>1117</v>
      </c>
      <c r="P80" t="s">
        <v>1118</v>
      </c>
      <c r="Q80" t="s">
        <v>1119</v>
      </c>
      <c r="R80" t="s">
        <v>1120</v>
      </c>
      <c r="S80" t="s">
        <v>72</v>
      </c>
      <c r="T80" t="s">
        <v>73</v>
      </c>
      <c r="U80" t="s">
        <v>1121</v>
      </c>
      <c r="V80" t="s">
        <v>52</v>
      </c>
      <c r="W80" s="1">
        <v>43677</v>
      </c>
      <c r="X80" t="s">
        <v>775</v>
      </c>
      <c r="Y80" t="s">
        <v>776</v>
      </c>
      <c r="Z80" t="s">
        <v>1122</v>
      </c>
      <c r="AA80">
        <v>5</v>
      </c>
      <c r="AB80" t="s">
        <v>56</v>
      </c>
      <c r="AC80" t="s">
        <v>1123</v>
      </c>
      <c r="AD80" t="s">
        <v>179</v>
      </c>
      <c r="AE80" t="s">
        <v>668</v>
      </c>
      <c r="AF80">
        <v>553800</v>
      </c>
      <c r="AG80" s="6">
        <v>0</v>
      </c>
      <c r="AK80" t="e">
        <v>#N/A</v>
      </c>
      <c r="AL80" s="6" t="e">
        <v>#N/A</v>
      </c>
      <c r="AM80" s="7" t="e">
        <f>Table6[[#This Row],[Premium]]-Table6[[#This Row],[Tms Prem]]</f>
        <v>#N/A</v>
      </c>
    </row>
    <row r="81" spans="1:39" x14ac:dyDescent="0.25">
      <c r="A81">
        <v>80</v>
      </c>
      <c r="B81" t="s">
        <v>36</v>
      </c>
      <c r="C81" t="s">
        <v>1124</v>
      </c>
      <c r="D81" t="s">
        <v>38</v>
      </c>
      <c r="E81" t="s">
        <v>39</v>
      </c>
      <c r="F81" t="s">
        <v>1125</v>
      </c>
      <c r="G81" t="s">
        <v>189</v>
      </c>
      <c r="H81" t="s">
        <v>1126</v>
      </c>
      <c r="I81" t="s">
        <v>73</v>
      </c>
      <c r="J81" t="s">
        <v>1127</v>
      </c>
      <c r="K81" t="s">
        <v>73</v>
      </c>
      <c r="L81" t="s">
        <v>1128</v>
      </c>
      <c r="M81">
        <v>2145000</v>
      </c>
      <c r="N81">
        <v>3300000</v>
      </c>
      <c r="O81" t="s">
        <v>1129</v>
      </c>
      <c r="P81" t="s">
        <v>1069</v>
      </c>
      <c r="Q81" t="s">
        <v>1130</v>
      </c>
      <c r="R81" t="s">
        <v>1131</v>
      </c>
      <c r="S81" t="s">
        <v>49</v>
      </c>
      <c r="T81" t="s">
        <v>1132</v>
      </c>
      <c r="U81" t="s">
        <v>1133</v>
      </c>
      <c r="V81" t="s">
        <v>617</v>
      </c>
      <c r="W81" s="1">
        <v>45120</v>
      </c>
      <c r="X81" t="s">
        <v>945</v>
      </c>
      <c r="Y81" t="s">
        <v>155</v>
      </c>
      <c r="Z81" t="s">
        <v>1134</v>
      </c>
      <c r="AA81">
        <v>3</v>
      </c>
      <c r="AB81" t="s">
        <v>263</v>
      </c>
      <c r="AC81" t="s">
        <v>1135</v>
      </c>
      <c r="AD81" t="s">
        <v>1076</v>
      </c>
      <c r="AE81" t="s">
        <v>319</v>
      </c>
      <c r="AF81">
        <v>2970000</v>
      </c>
      <c r="AG81" s="6">
        <v>51975</v>
      </c>
      <c r="AK81" t="s">
        <v>4553</v>
      </c>
      <c r="AL81" s="6">
        <v>51975</v>
      </c>
      <c r="AM81" s="7">
        <f>Table6[[#This Row],[Premium]]-Table6[[#This Row],[Tms Prem]]</f>
        <v>0</v>
      </c>
    </row>
    <row r="82" spans="1:39" x14ac:dyDescent="0.25">
      <c r="A82">
        <v>81</v>
      </c>
      <c r="B82" t="s">
        <v>36</v>
      </c>
      <c r="C82" t="s">
        <v>1136</v>
      </c>
      <c r="D82" t="s">
        <v>38</v>
      </c>
      <c r="E82" t="s">
        <v>39</v>
      </c>
      <c r="F82" t="s">
        <v>1137</v>
      </c>
      <c r="G82" t="s">
        <v>115</v>
      </c>
      <c r="H82" t="s">
        <v>1138</v>
      </c>
      <c r="I82" t="s">
        <v>73</v>
      </c>
      <c r="J82" t="s">
        <v>1139</v>
      </c>
      <c r="K82" t="s">
        <v>1139</v>
      </c>
      <c r="L82" t="s">
        <v>1140</v>
      </c>
      <c r="M82">
        <v>2638350</v>
      </c>
      <c r="N82">
        <v>4059000</v>
      </c>
      <c r="O82" t="s">
        <v>1141</v>
      </c>
      <c r="P82" t="s">
        <v>1142</v>
      </c>
      <c r="Q82" t="s">
        <v>1143</v>
      </c>
      <c r="R82" t="s">
        <v>1144</v>
      </c>
      <c r="S82" t="s">
        <v>72</v>
      </c>
      <c r="T82" t="s">
        <v>73</v>
      </c>
      <c r="U82" t="s">
        <v>714</v>
      </c>
      <c r="V82" t="s">
        <v>153</v>
      </c>
      <c r="W82" s="1">
        <v>43986</v>
      </c>
      <c r="X82" t="s">
        <v>892</v>
      </c>
      <c r="Y82" t="s">
        <v>184</v>
      </c>
      <c r="Z82" t="s">
        <v>1145</v>
      </c>
      <c r="AA82">
        <v>5</v>
      </c>
      <c r="AB82" t="s">
        <v>56</v>
      </c>
      <c r="AC82" t="s">
        <v>1146</v>
      </c>
      <c r="AD82" t="s">
        <v>1147</v>
      </c>
      <c r="AE82" t="s">
        <v>668</v>
      </c>
      <c r="AF82">
        <v>3044250</v>
      </c>
      <c r="AG82" s="6">
        <v>76106</v>
      </c>
      <c r="AK82" t="s">
        <v>4554</v>
      </c>
      <c r="AL82" s="6">
        <v>76106</v>
      </c>
      <c r="AM82" s="7">
        <f>Table6[[#This Row],[Premium]]-Table6[[#This Row],[Tms Prem]]</f>
        <v>0</v>
      </c>
    </row>
    <row r="83" spans="1:39" x14ac:dyDescent="0.25">
      <c r="A83">
        <v>82</v>
      </c>
      <c r="B83" t="s">
        <v>36</v>
      </c>
      <c r="C83" t="s">
        <v>1148</v>
      </c>
      <c r="D83" t="s">
        <v>38</v>
      </c>
      <c r="E83" t="s">
        <v>39</v>
      </c>
      <c r="F83" t="s">
        <v>1149</v>
      </c>
      <c r="G83" t="s">
        <v>131</v>
      </c>
      <c r="H83" t="s">
        <v>1150</v>
      </c>
      <c r="I83" t="s">
        <v>1151</v>
      </c>
      <c r="J83" t="s">
        <v>73</v>
      </c>
      <c r="K83" t="s">
        <v>176</v>
      </c>
      <c r="L83" t="s">
        <v>1152</v>
      </c>
      <c r="M83">
        <v>1963500</v>
      </c>
      <c r="N83">
        <v>2805000</v>
      </c>
      <c r="O83" t="s">
        <v>1153</v>
      </c>
      <c r="P83" t="s">
        <v>318</v>
      </c>
      <c r="Q83" t="s">
        <v>1154</v>
      </c>
      <c r="R83" t="s">
        <v>1155</v>
      </c>
      <c r="S83" t="s">
        <v>72</v>
      </c>
      <c r="T83" t="s">
        <v>73</v>
      </c>
      <c r="U83" t="s">
        <v>1156</v>
      </c>
      <c r="V83" t="s">
        <v>153</v>
      </c>
      <c r="W83" s="1">
        <v>44041</v>
      </c>
      <c r="X83" t="s">
        <v>892</v>
      </c>
      <c r="Y83" t="s">
        <v>184</v>
      </c>
      <c r="Z83" t="s">
        <v>1157</v>
      </c>
      <c r="AA83">
        <v>5</v>
      </c>
      <c r="AB83" t="s">
        <v>56</v>
      </c>
      <c r="AC83" t="s">
        <v>1158</v>
      </c>
      <c r="AD83" t="s">
        <v>1147</v>
      </c>
      <c r="AE83" t="s">
        <v>59</v>
      </c>
      <c r="AF83">
        <v>2103750</v>
      </c>
      <c r="AG83" s="6">
        <v>42075</v>
      </c>
      <c r="AK83" t="s">
        <v>4555</v>
      </c>
      <c r="AL83" s="6">
        <v>42075</v>
      </c>
      <c r="AM83" s="7">
        <f>Table6[[#This Row],[Premium]]-Table6[[#This Row],[Tms Prem]]</f>
        <v>0</v>
      </c>
    </row>
    <row r="84" spans="1:39" x14ac:dyDescent="0.25">
      <c r="A84">
        <v>83</v>
      </c>
      <c r="B84" t="s">
        <v>36</v>
      </c>
      <c r="C84" t="s">
        <v>1159</v>
      </c>
      <c r="D84" t="s">
        <v>38</v>
      </c>
      <c r="E84" t="s">
        <v>39</v>
      </c>
      <c r="F84" t="s">
        <v>1160</v>
      </c>
      <c r="G84" t="s">
        <v>115</v>
      </c>
      <c r="H84" t="s">
        <v>1161</v>
      </c>
      <c r="I84" t="s">
        <v>1162</v>
      </c>
      <c r="J84" t="s">
        <v>1162</v>
      </c>
      <c r="K84" t="s">
        <v>176</v>
      </c>
      <c r="L84" t="s">
        <v>1163</v>
      </c>
      <c r="M84">
        <v>1872500</v>
      </c>
      <c r="N84">
        <v>2675000</v>
      </c>
      <c r="O84" t="s">
        <v>1164</v>
      </c>
      <c r="P84" t="s">
        <v>474</v>
      </c>
      <c r="Q84" t="s">
        <v>1165</v>
      </c>
      <c r="R84" t="s">
        <v>1166</v>
      </c>
      <c r="S84" t="s">
        <v>49</v>
      </c>
      <c r="T84" t="s">
        <v>1167</v>
      </c>
      <c r="U84" t="s">
        <v>1168</v>
      </c>
      <c r="V84" t="s">
        <v>617</v>
      </c>
      <c r="W84" s="1">
        <v>44042</v>
      </c>
      <c r="X84" t="s">
        <v>892</v>
      </c>
      <c r="Y84" t="s">
        <v>184</v>
      </c>
      <c r="Z84" t="s">
        <v>1169</v>
      </c>
      <c r="AA84">
        <v>5</v>
      </c>
      <c r="AB84" t="s">
        <v>56</v>
      </c>
      <c r="AC84" t="s">
        <v>1170</v>
      </c>
      <c r="AD84" t="s">
        <v>1147</v>
      </c>
      <c r="AE84" t="s">
        <v>668</v>
      </c>
      <c r="AF84">
        <v>2006250</v>
      </c>
      <c r="AG84" s="6">
        <v>50156</v>
      </c>
      <c r="AK84" t="s">
        <v>4556</v>
      </c>
      <c r="AL84" s="6">
        <v>50156</v>
      </c>
      <c r="AM84" s="7">
        <f>Table6[[#This Row],[Premium]]-Table6[[#This Row],[Tms Prem]]</f>
        <v>0</v>
      </c>
    </row>
    <row r="85" spans="1:39" x14ac:dyDescent="0.25">
      <c r="A85">
        <v>84</v>
      </c>
      <c r="B85" t="s">
        <v>36</v>
      </c>
      <c r="C85" t="s">
        <v>1171</v>
      </c>
      <c r="D85" t="s">
        <v>38</v>
      </c>
      <c r="E85" t="s">
        <v>39</v>
      </c>
      <c r="F85" t="s">
        <v>1172</v>
      </c>
      <c r="G85" t="s">
        <v>131</v>
      </c>
      <c r="H85" t="s">
        <v>1173</v>
      </c>
      <c r="I85" t="s">
        <v>1174</v>
      </c>
      <c r="J85" t="s">
        <v>1175</v>
      </c>
      <c r="K85" t="s">
        <v>1176</v>
      </c>
      <c r="L85" t="s">
        <v>1177</v>
      </c>
      <c r="M85">
        <v>1055425</v>
      </c>
      <c r="N85">
        <v>1295000</v>
      </c>
      <c r="O85" t="s">
        <v>1178</v>
      </c>
      <c r="P85" t="s">
        <v>678</v>
      </c>
      <c r="Q85" t="s">
        <v>1179</v>
      </c>
      <c r="R85" t="s">
        <v>1180</v>
      </c>
      <c r="S85" t="s">
        <v>72</v>
      </c>
      <c r="T85" t="s">
        <v>73</v>
      </c>
      <c r="U85" t="s">
        <v>931</v>
      </c>
      <c r="V85" t="s">
        <v>52</v>
      </c>
      <c r="W85" s="1">
        <v>43672</v>
      </c>
      <c r="X85" t="s">
        <v>775</v>
      </c>
      <c r="Y85" t="s">
        <v>760</v>
      </c>
      <c r="Z85" t="s">
        <v>1181</v>
      </c>
      <c r="AA85">
        <v>7</v>
      </c>
      <c r="AB85" t="s">
        <v>73</v>
      </c>
      <c r="AC85" t="s">
        <v>73</v>
      </c>
      <c r="AD85" t="s">
        <v>73</v>
      </c>
      <c r="AE85" t="s">
        <v>266</v>
      </c>
      <c r="AF85">
        <v>906500</v>
      </c>
      <c r="AG85" s="6">
        <v>13598</v>
      </c>
      <c r="AK85" t="s">
        <v>4557</v>
      </c>
      <c r="AL85" s="6">
        <v>13598</v>
      </c>
      <c r="AM85" s="7">
        <f>Table6[[#This Row],[Premium]]-Table6[[#This Row],[Tms Prem]]</f>
        <v>0</v>
      </c>
    </row>
    <row r="86" spans="1:39" hidden="1" x14ac:dyDescent="0.25">
      <c r="A86">
        <v>85</v>
      </c>
      <c r="B86" t="s">
        <v>36</v>
      </c>
      <c r="C86" t="s">
        <v>1182</v>
      </c>
      <c r="D86" t="s">
        <v>38</v>
      </c>
      <c r="E86" t="s">
        <v>39</v>
      </c>
      <c r="F86" t="s">
        <v>1183</v>
      </c>
      <c r="G86" t="s">
        <v>131</v>
      </c>
      <c r="H86" t="s">
        <v>1184</v>
      </c>
      <c r="I86" t="s">
        <v>1185</v>
      </c>
      <c r="J86" t="s">
        <v>73</v>
      </c>
      <c r="K86" t="s">
        <v>1186</v>
      </c>
      <c r="L86" t="s">
        <v>1187</v>
      </c>
      <c r="M86">
        <v>1240000</v>
      </c>
      <c r="N86">
        <v>1550000</v>
      </c>
      <c r="O86" t="s">
        <v>1188</v>
      </c>
      <c r="P86" t="s">
        <v>1142</v>
      </c>
      <c r="Q86" t="s">
        <v>1189</v>
      </c>
      <c r="R86" t="s">
        <v>1190</v>
      </c>
      <c r="S86" t="s">
        <v>660</v>
      </c>
      <c r="T86" t="s">
        <v>73</v>
      </c>
      <c r="U86" t="s">
        <v>1191</v>
      </c>
      <c r="V86" t="s">
        <v>330</v>
      </c>
      <c r="W86" s="1">
        <v>43676</v>
      </c>
      <c r="X86" t="s">
        <v>775</v>
      </c>
      <c r="Y86" t="s">
        <v>776</v>
      </c>
      <c r="Z86" t="s">
        <v>1192</v>
      </c>
      <c r="AA86">
        <v>5</v>
      </c>
      <c r="AB86" t="s">
        <v>110</v>
      </c>
      <c r="AC86" t="s">
        <v>1193</v>
      </c>
      <c r="AD86" t="s">
        <v>686</v>
      </c>
      <c r="AE86" t="s">
        <v>668</v>
      </c>
      <c r="AF86">
        <v>930000</v>
      </c>
      <c r="AG86" s="6">
        <v>0</v>
      </c>
      <c r="AK86" t="e">
        <v>#N/A</v>
      </c>
      <c r="AL86" s="6" t="e">
        <v>#N/A</v>
      </c>
      <c r="AM86" s="7" t="e">
        <f>Table6[[#This Row],[Premium]]-Table6[[#This Row],[Tms Prem]]</f>
        <v>#N/A</v>
      </c>
    </row>
    <row r="87" spans="1:39" hidden="1" x14ac:dyDescent="0.25">
      <c r="A87">
        <v>86</v>
      </c>
      <c r="B87" t="s">
        <v>36</v>
      </c>
      <c r="C87" t="s">
        <v>1194</v>
      </c>
      <c r="D87" t="s">
        <v>38</v>
      </c>
      <c r="E87" t="s">
        <v>39</v>
      </c>
      <c r="F87" t="s">
        <v>1195</v>
      </c>
      <c r="G87" t="s">
        <v>115</v>
      </c>
      <c r="H87" t="s">
        <v>1196</v>
      </c>
      <c r="I87" t="s">
        <v>1197</v>
      </c>
      <c r="J87" t="s">
        <v>1198</v>
      </c>
      <c r="K87" t="s">
        <v>1197</v>
      </c>
      <c r="L87" t="s">
        <v>1199</v>
      </c>
      <c r="M87">
        <v>750000</v>
      </c>
      <c r="N87">
        <v>1000000</v>
      </c>
      <c r="O87" t="s">
        <v>1200</v>
      </c>
      <c r="P87" t="s">
        <v>1118</v>
      </c>
      <c r="Q87" t="s">
        <v>1201</v>
      </c>
      <c r="R87" t="s">
        <v>1202</v>
      </c>
      <c r="S87" t="s">
        <v>660</v>
      </c>
      <c r="T87" t="s">
        <v>73</v>
      </c>
      <c r="U87" t="s">
        <v>1203</v>
      </c>
      <c r="V87" t="s">
        <v>788</v>
      </c>
      <c r="W87" s="1">
        <v>44041</v>
      </c>
      <c r="X87" t="s">
        <v>892</v>
      </c>
      <c r="Y87" t="s">
        <v>776</v>
      </c>
      <c r="Z87" t="s">
        <v>1204</v>
      </c>
      <c r="AA87">
        <v>4</v>
      </c>
      <c r="AB87" t="s">
        <v>56</v>
      </c>
      <c r="AC87" t="s">
        <v>1205</v>
      </c>
      <c r="AD87" t="s">
        <v>1147</v>
      </c>
      <c r="AE87" t="s">
        <v>668</v>
      </c>
      <c r="AF87">
        <v>600000</v>
      </c>
      <c r="AG87" s="6">
        <v>0</v>
      </c>
      <c r="AK87" t="e">
        <v>#N/A</v>
      </c>
      <c r="AL87" s="6" t="e">
        <v>#N/A</v>
      </c>
      <c r="AM87" s="7" t="e">
        <f>Table6[[#This Row],[Premium]]-Table6[[#This Row],[Tms Prem]]</f>
        <v>#N/A</v>
      </c>
    </row>
    <row r="88" spans="1:39" x14ac:dyDescent="0.25">
      <c r="A88">
        <v>87</v>
      </c>
      <c r="B88" t="s">
        <v>36</v>
      </c>
      <c r="C88" t="s">
        <v>1206</v>
      </c>
      <c r="D88" t="s">
        <v>38</v>
      </c>
      <c r="E88" t="s">
        <v>39</v>
      </c>
      <c r="F88" t="s">
        <v>1207</v>
      </c>
      <c r="G88" t="s">
        <v>97</v>
      </c>
      <c r="H88" t="s">
        <v>1208</v>
      </c>
      <c r="I88" t="s">
        <v>1209</v>
      </c>
      <c r="J88" t="s">
        <v>73</v>
      </c>
      <c r="K88" t="s">
        <v>1210</v>
      </c>
      <c r="L88" t="s">
        <v>1211</v>
      </c>
      <c r="M88">
        <v>2072000</v>
      </c>
      <c r="N88">
        <v>2590000</v>
      </c>
      <c r="O88" t="s">
        <v>1212</v>
      </c>
      <c r="P88" t="s">
        <v>954</v>
      </c>
      <c r="Q88" t="s">
        <v>1213</v>
      </c>
      <c r="R88" t="s">
        <v>1214</v>
      </c>
      <c r="S88" t="s">
        <v>72</v>
      </c>
      <c r="T88" t="s">
        <v>73</v>
      </c>
      <c r="U88" t="s">
        <v>343</v>
      </c>
      <c r="V88" t="s">
        <v>153</v>
      </c>
      <c r="W88" s="1">
        <v>44040</v>
      </c>
      <c r="X88" t="s">
        <v>1215</v>
      </c>
      <c r="Y88" t="s">
        <v>1216</v>
      </c>
      <c r="Z88" t="s">
        <v>1217</v>
      </c>
      <c r="AA88">
        <v>5</v>
      </c>
      <c r="AB88" t="s">
        <v>56</v>
      </c>
      <c r="AC88" t="s">
        <v>1218</v>
      </c>
      <c r="AD88" t="s">
        <v>420</v>
      </c>
      <c r="AE88" t="s">
        <v>59</v>
      </c>
      <c r="AF88">
        <v>1942500</v>
      </c>
      <c r="AG88" s="6">
        <v>38850</v>
      </c>
      <c r="AK88" t="s">
        <v>4558</v>
      </c>
      <c r="AL88" s="6">
        <v>38850</v>
      </c>
      <c r="AM88" s="7">
        <f>Table6[[#This Row],[Premium]]-Table6[[#This Row],[Tms Prem]]</f>
        <v>0</v>
      </c>
    </row>
    <row r="89" spans="1:39" x14ac:dyDescent="0.25">
      <c r="A89">
        <v>88</v>
      </c>
      <c r="B89" t="s">
        <v>36</v>
      </c>
      <c r="C89" t="s">
        <v>1219</v>
      </c>
      <c r="D89" t="s">
        <v>38</v>
      </c>
      <c r="E89" t="s">
        <v>39</v>
      </c>
      <c r="F89" t="s">
        <v>1220</v>
      </c>
      <c r="G89" t="s">
        <v>62</v>
      </c>
      <c r="H89" t="s">
        <v>1221</v>
      </c>
      <c r="I89" t="s">
        <v>73</v>
      </c>
      <c r="J89" t="s">
        <v>1222</v>
      </c>
      <c r="K89" t="s">
        <v>1223</v>
      </c>
      <c r="L89" t="s">
        <v>1224</v>
      </c>
      <c r="M89">
        <v>1048500</v>
      </c>
      <c r="N89">
        <v>1398000</v>
      </c>
      <c r="O89" t="s">
        <v>1225</v>
      </c>
      <c r="P89" t="s">
        <v>1040</v>
      </c>
      <c r="Q89" t="s">
        <v>1226</v>
      </c>
      <c r="R89" t="s">
        <v>1227</v>
      </c>
      <c r="S89" t="s">
        <v>72</v>
      </c>
      <c r="T89" t="s">
        <v>73</v>
      </c>
      <c r="U89" t="s">
        <v>446</v>
      </c>
      <c r="V89" t="s">
        <v>153</v>
      </c>
      <c r="W89" s="1">
        <v>44041</v>
      </c>
      <c r="X89" t="s">
        <v>892</v>
      </c>
      <c r="Y89" t="s">
        <v>184</v>
      </c>
      <c r="Z89" t="s">
        <v>1228</v>
      </c>
      <c r="AA89">
        <v>5</v>
      </c>
      <c r="AB89" t="s">
        <v>110</v>
      </c>
      <c r="AC89" t="s">
        <v>1229</v>
      </c>
      <c r="AD89" t="s">
        <v>420</v>
      </c>
      <c r="AE89" t="s">
        <v>59</v>
      </c>
      <c r="AF89">
        <v>1048500</v>
      </c>
      <c r="AG89" s="6">
        <v>20970</v>
      </c>
      <c r="AK89" t="s">
        <v>4559</v>
      </c>
      <c r="AL89" s="6">
        <v>20970</v>
      </c>
      <c r="AM89" s="7">
        <f>Table6[[#This Row],[Premium]]-Table6[[#This Row],[Tms Prem]]</f>
        <v>0</v>
      </c>
    </row>
    <row r="90" spans="1:39" hidden="1" x14ac:dyDescent="0.25">
      <c r="A90">
        <v>89</v>
      </c>
      <c r="B90" t="s">
        <v>36</v>
      </c>
      <c r="C90" t="s">
        <v>1230</v>
      </c>
      <c r="D90" t="s">
        <v>38</v>
      </c>
      <c r="E90" t="s">
        <v>39</v>
      </c>
      <c r="F90" t="s">
        <v>1231</v>
      </c>
      <c r="G90" t="s">
        <v>62</v>
      </c>
      <c r="H90" t="s">
        <v>1232</v>
      </c>
      <c r="I90" t="s">
        <v>1233</v>
      </c>
      <c r="J90" t="s">
        <v>1234</v>
      </c>
      <c r="K90" t="s">
        <v>1233</v>
      </c>
      <c r="L90" t="s">
        <v>1235</v>
      </c>
      <c r="M90">
        <v>935850</v>
      </c>
      <c r="N90">
        <v>1101000</v>
      </c>
      <c r="O90" t="s">
        <v>1236</v>
      </c>
      <c r="P90" t="s">
        <v>1118</v>
      </c>
      <c r="Q90" t="s">
        <v>1237</v>
      </c>
      <c r="R90" t="s">
        <v>1238</v>
      </c>
      <c r="S90" t="s">
        <v>72</v>
      </c>
      <c r="T90" t="s">
        <v>73</v>
      </c>
      <c r="U90" t="s">
        <v>446</v>
      </c>
      <c r="V90" t="s">
        <v>52</v>
      </c>
      <c r="W90" s="1">
        <v>43676</v>
      </c>
      <c r="X90" t="s">
        <v>775</v>
      </c>
      <c r="Y90" t="s">
        <v>776</v>
      </c>
      <c r="Z90" t="s">
        <v>1239</v>
      </c>
      <c r="AA90">
        <v>5</v>
      </c>
      <c r="AB90" t="s">
        <v>56</v>
      </c>
      <c r="AC90" t="s">
        <v>1240</v>
      </c>
      <c r="AD90" t="s">
        <v>686</v>
      </c>
      <c r="AE90" t="s">
        <v>668</v>
      </c>
      <c r="AF90">
        <v>660600</v>
      </c>
      <c r="AG90" s="6">
        <v>0</v>
      </c>
      <c r="AK90" t="e">
        <v>#N/A</v>
      </c>
      <c r="AL90" s="6" t="e">
        <v>#N/A</v>
      </c>
      <c r="AM90" s="7" t="e">
        <f>Table6[[#This Row],[Premium]]-Table6[[#This Row],[Tms Prem]]</f>
        <v>#N/A</v>
      </c>
    </row>
    <row r="91" spans="1:39" x14ac:dyDescent="0.25">
      <c r="A91">
        <v>90</v>
      </c>
      <c r="B91" t="s">
        <v>36</v>
      </c>
      <c r="C91" t="s">
        <v>1241</v>
      </c>
      <c r="D91" t="s">
        <v>38</v>
      </c>
      <c r="E91" t="s">
        <v>39</v>
      </c>
      <c r="F91" t="s">
        <v>1242</v>
      </c>
      <c r="G91" t="s">
        <v>62</v>
      </c>
      <c r="H91" t="s">
        <v>1243</v>
      </c>
      <c r="I91" t="s">
        <v>73</v>
      </c>
      <c r="J91" t="s">
        <v>1244</v>
      </c>
      <c r="K91" t="s">
        <v>73</v>
      </c>
      <c r="L91" t="s">
        <v>1245</v>
      </c>
      <c r="M91">
        <v>1917500</v>
      </c>
      <c r="N91">
        <v>2950000</v>
      </c>
      <c r="O91" t="s">
        <v>1246</v>
      </c>
      <c r="P91" t="s">
        <v>1076</v>
      </c>
      <c r="Q91" t="s">
        <v>1247</v>
      </c>
      <c r="R91" t="s">
        <v>1248</v>
      </c>
      <c r="S91" t="s">
        <v>660</v>
      </c>
      <c r="T91" t="s">
        <v>73</v>
      </c>
      <c r="U91" t="s">
        <v>1249</v>
      </c>
      <c r="V91" t="s">
        <v>730</v>
      </c>
      <c r="W91" s="1">
        <v>44040</v>
      </c>
      <c r="X91" t="s">
        <v>892</v>
      </c>
      <c r="Y91" t="s">
        <v>184</v>
      </c>
      <c r="Z91" t="s">
        <v>1250</v>
      </c>
      <c r="AA91">
        <v>5</v>
      </c>
      <c r="AB91" t="s">
        <v>56</v>
      </c>
      <c r="AC91" t="s">
        <v>1251</v>
      </c>
      <c r="AD91" t="s">
        <v>420</v>
      </c>
      <c r="AE91" t="s">
        <v>59</v>
      </c>
      <c r="AF91">
        <v>2212500</v>
      </c>
      <c r="AG91" s="6">
        <v>44250</v>
      </c>
      <c r="AK91" t="s">
        <v>4560</v>
      </c>
      <c r="AL91" s="6">
        <v>44250</v>
      </c>
      <c r="AM91" s="7">
        <f>Table6[[#This Row],[Premium]]-Table6[[#This Row],[Tms Prem]]</f>
        <v>0</v>
      </c>
    </row>
    <row r="92" spans="1:39" x14ac:dyDescent="0.25">
      <c r="A92">
        <v>91</v>
      </c>
      <c r="B92" t="s">
        <v>36</v>
      </c>
      <c r="C92" t="s">
        <v>1252</v>
      </c>
      <c r="D92" t="s">
        <v>38</v>
      </c>
      <c r="E92" t="s">
        <v>39</v>
      </c>
      <c r="F92" t="s">
        <v>1253</v>
      </c>
      <c r="G92" t="s">
        <v>1254</v>
      </c>
      <c r="H92" t="s">
        <v>1255</v>
      </c>
      <c r="I92" t="s">
        <v>73</v>
      </c>
      <c r="J92" t="s">
        <v>1256</v>
      </c>
      <c r="K92" t="s">
        <v>73</v>
      </c>
      <c r="L92" t="s">
        <v>1257</v>
      </c>
      <c r="M92">
        <v>3575000</v>
      </c>
      <c r="N92">
        <v>5500000</v>
      </c>
      <c r="O92" t="s">
        <v>1258</v>
      </c>
      <c r="P92" t="s">
        <v>612</v>
      </c>
      <c r="Q92" t="s">
        <v>1259</v>
      </c>
      <c r="R92" t="s">
        <v>1260</v>
      </c>
      <c r="S92" t="s">
        <v>660</v>
      </c>
      <c r="T92" t="s">
        <v>73</v>
      </c>
      <c r="U92" t="s">
        <v>1261</v>
      </c>
      <c r="V92" t="s">
        <v>603</v>
      </c>
      <c r="W92" s="1">
        <v>44391</v>
      </c>
      <c r="X92" t="s">
        <v>154</v>
      </c>
      <c r="Y92" t="s">
        <v>155</v>
      </c>
      <c r="Z92" t="s">
        <v>1262</v>
      </c>
      <c r="AA92">
        <v>5</v>
      </c>
      <c r="AB92" t="s">
        <v>199</v>
      </c>
      <c r="AC92" t="s">
        <v>1263</v>
      </c>
      <c r="AD92" t="s">
        <v>1004</v>
      </c>
      <c r="AE92" t="s">
        <v>59</v>
      </c>
      <c r="AF92">
        <v>4400000</v>
      </c>
      <c r="AG92" s="6">
        <v>88000</v>
      </c>
      <c r="AK92" t="s">
        <v>4561</v>
      </c>
      <c r="AL92" s="6">
        <v>88000</v>
      </c>
      <c r="AM92" s="7">
        <f>Table6[[#This Row],[Premium]]-Table6[[#This Row],[Tms Prem]]</f>
        <v>0</v>
      </c>
    </row>
    <row r="93" spans="1:39" hidden="1" x14ac:dyDescent="0.25">
      <c r="A93">
        <v>92</v>
      </c>
      <c r="B93" t="s">
        <v>36</v>
      </c>
      <c r="C93" t="s">
        <v>1264</v>
      </c>
      <c r="D93" t="s">
        <v>38</v>
      </c>
      <c r="E93" t="s">
        <v>39</v>
      </c>
      <c r="F93" t="s">
        <v>1265</v>
      </c>
      <c r="G93" t="s">
        <v>97</v>
      </c>
      <c r="H93" t="s">
        <v>1266</v>
      </c>
      <c r="I93" t="s">
        <v>73</v>
      </c>
      <c r="J93" t="s">
        <v>1267</v>
      </c>
      <c r="K93" t="s">
        <v>1268</v>
      </c>
      <c r="L93" t="s">
        <v>1269</v>
      </c>
      <c r="M93">
        <v>2103750</v>
      </c>
      <c r="N93">
        <v>2805000</v>
      </c>
      <c r="O93" t="s">
        <v>1270</v>
      </c>
      <c r="P93" t="s">
        <v>318</v>
      </c>
      <c r="Q93" t="s">
        <v>1271</v>
      </c>
      <c r="R93" t="s">
        <v>1272</v>
      </c>
      <c r="S93" t="s">
        <v>72</v>
      </c>
      <c r="T93" t="s">
        <v>73</v>
      </c>
      <c r="U93" t="s">
        <v>1156</v>
      </c>
      <c r="V93" t="s">
        <v>153</v>
      </c>
      <c r="W93" s="1">
        <v>44040</v>
      </c>
      <c r="X93" t="s">
        <v>1215</v>
      </c>
      <c r="Y93" t="s">
        <v>1273</v>
      </c>
      <c r="Z93" t="s">
        <v>1274</v>
      </c>
      <c r="AA93">
        <v>4</v>
      </c>
      <c r="AB93" t="s">
        <v>110</v>
      </c>
      <c r="AC93" t="s">
        <v>1275</v>
      </c>
      <c r="AD93" t="s">
        <v>420</v>
      </c>
      <c r="AE93" t="s">
        <v>59</v>
      </c>
      <c r="AF93">
        <v>1683000</v>
      </c>
      <c r="AG93" s="6">
        <v>0</v>
      </c>
      <c r="AK93" t="e">
        <v>#N/A</v>
      </c>
      <c r="AL93" s="6" t="e">
        <v>#N/A</v>
      </c>
      <c r="AM93" s="7" t="e">
        <f>Table6[[#This Row],[Premium]]-Table6[[#This Row],[Tms Prem]]</f>
        <v>#N/A</v>
      </c>
    </row>
    <row r="94" spans="1:39" x14ac:dyDescent="0.25">
      <c r="A94">
        <v>93</v>
      </c>
      <c r="B94" t="s">
        <v>36</v>
      </c>
      <c r="C94" t="s">
        <v>1276</v>
      </c>
      <c r="D94" t="s">
        <v>38</v>
      </c>
      <c r="E94" t="s">
        <v>39</v>
      </c>
      <c r="F94" t="s">
        <v>1277</v>
      </c>
      <c r="G94" t="s">
        <v>62</v>
      </c>
      <c r="H94" t="s">
        <v>1278</v>
      </c>
      <c r="I94" t="s">
        <v>1279</v>
      </c>
      <c r="J94" t="s">
        <v>1280</v>
      </c>
      <c r="K94" t="s">
        <v>73</v>
      </c>
      <c r="L94" t="s">
        <v>1281</v>
      </c>
      <c r="M94">
        <v>1687250</v>
      </c>
      <c r="N94">
        <v>1985000</v>
      </c>
      <c r="O94" t="s">
        <v>1282</v>
      </c>
      <c r="P94" t="s">
        <v>474</v>
      </c>
      <c r="Q94" t="s">
        <v>1283</v>
      </c>
      <c r="R94" t="s">
        <v>1284</v>
      </c>
      <c r="S94" t="s">
        <v>72</v>
      </c>
      <c r="T94" t="s">
        <v>73</v>
      </c>
      <c r="U94" t="s">
        <v>1285</v>
      </c>
      <c r="V94" t="s">
        <v>153</v>
      </c>
      <c r="W94" s="1">
        <v>44042</v>
      </c>
      <c r="X94" t="s">
        <v>892</v>
      </c>
      <c r="Y94" t="s">
        <v>184</v>
      </c>
      <c r="Z94" t="s">
        <v>1286</v>
      </c>
      <c r="AA94">
        <v>5</v>
      </c>
      <c r="AB94" t="s">
        <v>263</v>
      </c>
      <c r="AC94" t="s">
        <v>1287</v>
      </c>
      <c r="AD94" t="s">
        <v>420</v>
      </c>
      <c r="AE94" t="s">
        <v>59</v>
      </c>
      <c r="AF94">
        <v>1488750</v>
      </c>
      <c r="AG94" s="6">
        <v>29775</v>
      </c>
      <c r="AK94" t="s">
        <v>4562</v>
      </c>
      <c r="AL94" s="6">
        <v>29775</v>
      </c>
      <c r="AM94" s="7">
        <f>Table6[[#This Row],[Premium]]-Table6[[#This Row],[Tms Prem]]</f>
        <v>0</v>
      </c>
    </row>
    <row r="95" spans="1:39" x14ac:dyDescent="0.25">
      <c r="A95">
        <v>94</v>
      </c>
      <c r="B95" t="s">
        <v>36</v>
      </c>
      <c r="C95" t="s">
        <v>1288</v>
      </c>
      <c r="D95" t="s">
        <v>38</v>
      </c>
      <c r="E95" t="s">
        <v>39</v>
      </c>
      <c r="F95" t="s">
        <v>1289</v>
      </c>
      <c r="G95" t="s">
        <v>97</v>
      </c>
      <c r="H95" t="s">
        <v>1290</v>
      </c>
      <c r="I95" t="s">
        <v>1291</v>
      </c>
      <c r="J95" t="s">
        <v>1292</v>
      </c>
      <c r="K95" t="s">
        <v>1293</v>
      </c>
      <c r="L95" t="s">
        <v>1294</v>
      </c>
      <c r="M95">
        <v>1300000</v>
      </c>
      <c r="N95">
        <v>1625000</v>
      </c>
      <c r="O95" t="s">
        <v>1295</v>
      </c>
      <c r="P95" t="s">
        <v>756</v>
      </c>
      <c r="Q95" t="s">
        <v>1296</v>
      </c>
      <c r="R95" t="s">
        <v>1297</v>
      </c>
      <c r="S95" t="s">
        <v>72</v>
      </c>
      <c r="T95" t="s">
        <v>73</v>
      </c>
      <c r="U95" t="s">
        <v>1298</v>
      </c>
      <c r="V95" t="s">
        <v>52</v>
      </c>
      <c r="W95" s="1">
        <v>43676</v>
      </c>
      <c r="X95" t="s">
        <v>775</v>
      </c>
      <c r="Y95" t="s">
        <v>184</v>
      </c>
      <c r="Z95" t="s">
        <v>1299</v>
      </c>
      <c r="AA95">
        <v>6</v>
      </c>
      <c r="AB95" t="s">
        <v>110</v>
      </c>
      <c r="AC95" t="s">
        <v>1300</v>
      </c>
      <c r="AD95" t="s">
        <v>1301</v>
      </c>
      <c r="AE95" t="s">
        <v>668</v>
      </c>
      <c r="AF95">
        <v>1137500</v>
      </c>
      <c r="AG95" s="6">
        <v>28438</v>
      </c>
      <c r="AK95" t="s">
        <v>4563</v>
      </c>
      <c r="AL95" s="6">
        <v>28438</v>
      </c>
      <c r="AM95" s="7">
        <f>Table6[[#This Row],[Premium]]-Table6[[#This Row],[Tms Prem]]</f>
        <v>0</v>
      </c>
    </row>
    <row r="96" spans="1:39" hidden="1" x14ac:dyDescent="0.25">
      <c r="A96">
        <v>95</v>
      </c>
      <c r="B96" t="s">
        <v>36</v>
      </c>
      <c r="C96" t="s">
        <v>1302</v>
      </c>
      <c r="D96" t="s">
        <v>38</v>
      </c>
      <c r="E96" t="s">
        <v>39</v>
      </c>
      <c r="F96" t="s">
        <v>1303</v>
      </c>
      <c r="G96" t="s">
        <v>131</v>
      </c>
      <c r="H96" t="s">
        <v>1304</v>
      </c>
      <c r="I96" t="s">
        <v>1305</v>
      </c>
      <c r="J96" t="s">
        <v>73</v>
      </c>
      <c r="K96" t="s">
        <v>1306</v>
      </c>
      <c r="L96" t="s">
        <v>1307</v>
      </c>
      <c r="M96">
        <v>1036000</v>
      </c>
      <c r="N96">
        <v>1295000</v>
      </c>
      <c r="O96" t="s">
        <v>1308</v>
      </c>
      <c r="P96" t="s">
        <v>1118</v>
      </c>
      <c r="Q96" t="s">
        <v>1309</v>
      </c>
      <c r="R96" t="s">
        <v>1310</v>
      </c>
      <c r="S96" t="s">
        <v>72</v>
      </c>
      <c r="T96" t="s">
        <v>73</v>
      </c>
      <c r="U96" t="s">
        <v>1311</v>
      </c>
      <c r="V96" t="s">
        <v>52</v>
      </c>
      <c r="W96" s="1">
        <v>43676</v>
      </c>
      <c r="X96" t="s">
        <v>775</v>
      </c>
      <c r="Y96" t="s">
        <v>776</v>
      </c>
      <c r="Z96" t="s">
        <v>1312</v>
      </c>
      <c r="AA96">
        <v>5</v>
      </c>
      <c r="AB96" t="s">
        <v>56</v>
      </c>
      <c r="AC96" t="s">
        <v>1313</v>
      </c>
      <c r="AD96" t="s">
        <v>686</v>
      </c>
      <c r="AE96" t="s">
        <v>668</v>
      </c>
      <c r="AF96">
        <v>777000</v>
      </c>
      <c r="AG96" s="6">
        <v>0</v>
      </c>
      <c r="AK96" t="e">
        <v>#N/A</v>
      </c>
      <c r="AL96" s="6" t="e">
        <v>#N/A</v>
      </c>
      <c r="AM96" s="7" t="e">
        <f>Table6[[#This Row],[Premium]]-Table6[[#This Row],[Tms Prem]]</f>
        <v>#N/A</v>
      </c>
    </row>
    <row r="97" spans="1:39" x14ac:dyDescent="0.25">
      <c r="A97">
        <v>96</v>
      </c>
      <c r="B97" t="s">
        <v>36</v>
      </c>
      <c r="C97" t="s">
        <v>1314</v>
      </c>
      <c r="D97" t="s">
        <v>38</v>
      </c>
      <c r="E97" t="s">
        <v>39</v>
      </c>
      <c r="F97" t="s">
        <v>1315</v>
      </c>
      <c r="G97" t="s">
        <v>62</v>
      </c>
      <c r="H97" t="s">
        <v>1316</v>
      </c>
      <c r="I97" t="s">
        <v>1317</v>
      </c>
      <c r="J97" t="s">
        <v>1317</v>
      </c>
      <c r="K97" t="s">
        <v>1317</v>
      </c>
      <c r="L97" t="s">
        <v>1318</v>
      </c>
      <c r="M97">
        <v>1996000</v>
      </c>
      <c r="N97">
        <v>2495000</v>
      </c>
      <c r="O97" t="s">
        <v>1319</v>
      </c>
      <c r="P97" t="s">
        <v>318</v>
      </c>
      <c r="Q97" t="s">
        <v>1320</v>
      </c>
      <c r="R97" t="s">
        <v>1321</v>
      </c>
      <c r="S97" t="s">
        <v>72</v>
      </c>
      <c r="T97" t="s">
        <v>73</v>
      </c>
      <c r="U97" t="s">
        <v>1322</v>
      </c>
      <c r="V97" t="s">
        <v>52</v>
      </c>
      <c r="W97" s="1">
        <v>43675</v>
      </c>
      <c r="X97" t="s">
        <v>775</v>
      </c>
      <c r="Y97" t="s">
        <v>184</v>
      </c>
      <c r="Z97" t="s">
        <v>1323</v>
      </c>
      <c r="AA97">
        <v>6</v>
      </c>
      <c r="AB97" t="s">
        <v>56</v>
      </c>
      <c r="AC97" t="s">
        <v>1324</v>
      </c>
      <c r="AD97" t="s">
        <v>221</v>
      </c>
      <c r="AE97" t="s">
        <v>668</v>
      </c>
      <c r="AF97">
        <v>1746500</v>
      </c>
      <c r="AG97" s="6">
        <v>43663</v>
      </c>
      <c r="AK97" t="s">
        <v>4564</v>
      </c>
      <c r="AL97" s="6">
        <v>43663</v>
      </c>
      <c r="AM97" s="7">
        <f>Table6[[#This Row],[Premium]]-Table6[[#This Row],[Tms Prem]]</f>
        <v>0</v>
      </c>
    </row>
    <row r="98" spans="1:39" hidden="1" x14ac:dyDescent="0.25">
      <c r="A98">
        <v>97</v>
      </c>
      <c r="B98" t="s">
        <v>36</v>
      </c>
      <c r="C98" t="s">
        <v>1325</v>
      </c>
      <c r="D98" t="s">
        <v>38</v>
      </c>
      <c r="E98" t="s">
        <v>39</v>
      </c>
      <c r="F98" t="s">
        <v>1326</v>
      </c>
      <c r="G98" t="s">
        <v>115</v>
      </c>
      <c r="H98" t="s">
        <v>1327</v>
      </c>
      <c r="I98" t="s">
        <v>1328</v>
      </c>
      <c r="J98" t="s">
        <v>1328</v>
      </c>
      <c r="K98" t="s">
        <v>1329</v>
      </c>
      <c r="L98" t="s">
        <v>1330</v>
      </c>
      <c r="M98">
        <v>1875000</v>
      </c>
      <c r="N98">
        <v>2500000</v>
      </c>
      <c r="O98" t="s">
        <v>1331</v>
      </c>
      <c r="P98" t="s">
        <v>1332</v>
      </c>
      <c r="Q98" t="s">
        <v>1333</v>
      </c>
      <c r="R98" t="s">
        <v>1334</v>
      </c>
      <c r="S98" t="s">
        <v>49</v>
      </c>
      <c r="T98" t="s">
        <v>1335</v>
      </c>
      <c r="U98" t="s">
        <v>1336</v>
      </c>
      <c r="V98" t="s">
        <v>730</v>
      </c>
      <c r="W98" s="1">
        <v>43677</v>
      </c>
      <c r="X98" t="s">
        <v>775</v>
      </c>
      <c r="Y98" t="s">
        <v>776</v>
      </c>
      <c r="Z98" t="s">
        <v>1337</v>
      </c>
      <c r="AA98">
        <v>5</v>
      </c>
      <c r="AB98" t="s">
        <v>110</v>
      </c>
      <c r="AC98" t="s">
        <v>1338</v>
      </c>
      <c r="AD98" t="s">
        <v>1301</v>
      </c>
      <c r="AE98" t="s">
        <v>668</v>
      </c>
      <c r="AF98">
        <v>1500000</v>
      </c>
      <c r="AG98" s="6">
        <v>0</v>
      </c>
      <c r="AK98" t="e">
        <v>#N/A</v>
      </c>
      <c r="AL98" s="6" t="e">
        <v>#N/A</v>
      </c>
      <c r="AM98" s="7" t="e">
        <f>Table6[[#This Row],[Premium]]-Table6[[#This Row],[Tms Prem]]</f>
        <v>#N/A</v>
      </c>
    </row>
    <row r="99" spans="1:39" x14ac:dyDescent="0.25">
      <c r="A99">
        <v>98</v>
      </c>
      <c r="B99" t="s">
        <v>36</v>
      </c>
      <c r="C99" t="s">
        <v>1339</v>
      </c>
      <c r="D99" t="s">
        <v>38</v>
      </c>
      <c r="E99" t="s">
        <v>39</v>
      </c>
      <c r="F99" t="s">
        <v>1340</v>
      </c>
      <c r="G99" t="s">
        <v>115</v>
      </c>
      <c r="H99" t="s">
        <v>1341</v>
      </c>
      <c r="I99" t="s">
        <v>1342</v>
      </c>
      <c r="J99" t="s">
        <v>1342</v>
      </c>
      <c r="K99" t="s">
        <v>1343</v>
      </c>
      <c r="L99" t="s">
        <v>1344</v>
      </c>
      <c r="M99">
        <v>1015000</v>
      </c>
      <c r="N99">
        <v>1450000</v>
      </c>
      <c r="O99" t="s">
        <v>1345</v>
      </c>
      <c r="P99" t="s">
        <v>1346</v>
      </c>
      <c r="Q99" t="s">
        <v>1347</v>
      </c>
      <c r="R99" t="s">
        <v>1348</v>
      </c>
      <c r="S99" t="s">
        <v>660</v>
      </c>
      <c r="T99" t="s">
        <v>73</v>
      </c>
      <c r="U99" t="s">
        <v>1349</v>
      </c>
      <c r="V99" t="s">
        <v>603</v>
      </c>
      <c r="W99" s="1">
        <v>43676</v>
      </c>
      <c r="X99" t="s">
        <v>775</v>
      </c>
      <c r="Y99" t="s">
        <v>760</v>
      </c>
      <c r="Z99" t="s">
        <v>1350</v>
      </c>
      <c r="AA99">
        <v>7</v>
      </c>
      <c r="AB99" t="s">
        <v>110</v>
      </c>
      <c r="AC99" t="s">
        <v>1351</v>
      </c>
      <c r="AD99" t="s">
        <v>1301</v>
      </c>
      <c r="AE99" t="s">
        <v>668</v>
      </c>
      <c r="AF99">
        <v>1015000</v>
      </c>
      <c r="AG99" s="6">
        <v>25375</v>
      </c>
      <c r="AK99" t="s">
        <v>4565</v>
      </c>
      <c r="AL99" s="6">
        <v>25375</v>
      </c>
      <c r="AM99" s="7">
        <f>Table6[[#This Row],[Premium]]-Table6[[#This Row],[Tms Prem]]</f>
        <v>0</v>
      </c>
    </row>
    <row r="100" spans="1:39" x14ac:dyDescent="0.25">
      <c r="A100">
        <v>99</v>
      </c>
      <c r="B100" t="s">
        <v>36</v>
      </c>
      <c r="C100" t="s">
        <v>1352</v>
      </c>
      <c r="D100" t="s">
        <v>38</v>
      </c>
      <c r="E100" t="s">
        <v>39</v>
      </c>
      <c r="F100" t="s">
        <v>1353</v>
      </c>
      <c r="G100" t="s">
        <v>189</v>
      </c>
      <c r="H100" t="s">
        <v>1354</v>
      </c>
      <c r="I100" t="s">
        <v>1355</v>
      </c>
      <c r="J100" t="s">
        <v>1356</v>
      </c>
      <c r="K100" t="s">
        <v>1357</v>
      </c>
      <c r="L100" t="s">
        <v>1358</v>
      </c>
      <c r="M100">
        <v>985500</v>
      </c>
      <c r="N100">
        <v>2190000</v>
      </c>
      <c r="O100" t="s">
        <v>1359</v>
      </c>
      <c r="P100" t="s">
        <v>1360</v>
      </c>
      <c r="Q100" t="s">
        <v>1361</v>
      </c>
      <c r="R100" t="s">
        <v>1362</v>
      </c>
      <c r="S100" t="s">
        <v>660</v>
      </c>
      <c r="T100" t="s">
        <v>73</v>
      </c>
      <c r="U100" t="s">
        <v>1363</v>
      </c>
      <c r="V100" t="s">
        <v>330</v>
      </c>
      <c r="W100" s="1">
        <v>43676</v>
      </c>
      <c r="X100" t="s">
        <v>775</v>
      </c>
      <c r="Y100" t="s">
        <v>184</v>
      </c>
      <c r="Z100" t="s">
        <v>1364</v>
      </c>
      <c r="AA100">
        <v>6</v>
      </c>
      <c r="AB100" t="s">
        <v>56</v>
      </c>
      <c r="AC100" t="s">
        <v>1365</v>
      </c>
      <c r="AD100" t="s">
        <v>221</v>
      </c>
      <c r="AE100" t="s">
        <v>668</v>
      </c>
      <c r="AF100">
        <v>1533000</v>
      </c>
      <c r="AG100" s="6">
        <v>38325</v>
      </c>
      <c r="AK100" t="s">
        <v>4566</v>
      </c>
      <c r="AL100" s="6">
        <v>38325</v>
      </c>
      <c r="AM100" s="7">
        <f>Table6[[#This Row],[Premium]]-Table6[[#This Row],[Tms Prem]]</f>
        <v>0</v>
      </c>
    </row>
    <row r="101" spans="1:39" hidden="1" x14ac:dyDescent="0.25">
      <c r="A101">
        <v>100</v>
      </c>
      <c r="B101" t="s">
        <v>36</v>
      </c>
      <c r="C101" t="s">
        <v>1366</v>
      </c>
      <c r="D101" t="s">
        <v>38</v>
      </c>
      <c r="E101" t="s">
        <v>39</v>
      </c>
      <c r="F101" t="s">
        <v>1367</v>
      </c>
      <c r="G101" t="s">
        <v>131</v>
      </c>
      <c r="H101" t="s">
        <v>1368</v>
      </c>
      <c r="I101" t="s">
        <v>73</v>
      </c>
      <c r="J101" t="s">
        <v>73</v>
      </c>
      <c r="K101" t="s">
        <v>1369</v>
      </c>
      <c r="L101" t="s">
        <v>1370</v>
      </c>
      <c r="M101">
        <v>1225000</v>
      </c>
      <c r="N101">
        <v>2500000</v>
      </c>
      <c r="O101" t="s">
        <v>1371</v>
      </c>
      <c r="P101" t="s">
        <v>447</v>
      </c>
      <c r="Q101" t="s">
        <v>1372</v>
      </c>
      <c r="R101" t="s">
        <v>1373</v>
      </c>
      <c r="S101" t="s">
        <v>72</v>
      </c>
      <c r="T101" t="s">
        <v>73</v>
      </c>
      <c r="U101" t="s">
        <v>1374</v>
      </c>
      <c r="V101" t="s">
        <v>52</v>
      </c>
      <c r="W101" s="1">
        <v>43676</v>
      </c>
      <c r="X101" t="s">
        <v>775</v>
      </c>
      <c r="Y101" t="s">
        <v>776</v>
      </c>
      <c r="Z101" t="s">
        <v>1375</v>
      </c>
      <c r="AA101">
        <v>5</v>
      </c>
      <c r="AB101" t="s">
        <v>56</v>
      </c>
      <c r="AC101" t="s">
        <v>1376</v>
      </c>
      <c r="AD101" t="s">
        <v>686</v>
      </c>
      <c r="AE101" t="s">
        <v>668</v>
      </c>
      <c r="AF101">
        <v>1500000</v>
      </c>
      <c r="AG101" s="6">
        <v>0</v>
      </c>
      <c r="AK101" t="e">
        <v>#N/A</v>
      </c>
      <c r="AL101" s="6" t="e">
        <v>#N/A</v>
      </c>
      <c r="AM101" s="7" t="e">
        <f>Table6[[#This Row],[Premium]]-Table6[[#This Row],[Tms Prem]]</f>
        <v>#N/A</v>
      </c>
    </row>
    <row r="102" spans="1:39" hidden="1" x14ac:dyDescent="0.25">
      <c r="A102">
        <v>101</v>
      </c>
      <c r="B102" t="s">
        <v>36</v>
      </c>
      <c r="C102" t="s">
        <v>1377</v>
      </c>
      <c r="D102" t="s">
        <v>38</v>
      </c>
      <c r="E102" t="s">
        <v>39</v>
      </c>
      <c r="F102" t="s">
        <v>1378</v>
      </c>
      <c r="G102" t="s">
        <v>62</v>
      </c>
      <c r="H102" t="s">
        <v>1379</v>
      </c>
      <c r="I102" t="s">
        <v>1380</v>
      </c>
      <c r="J102" t="s">
        <v>1380</v>
      </c>
      <c r="K102" t="s">
        <v>1381</v>
      </c>
      <c r="L102" t="s">
        <v>1382</v>
      </c>
      <c r="M102">
        <v>880800</v>
      </c>
      <c r="N102">
        <v>1101000</v>
      </c>
      <c r="O102" t="s">
        <v>1383</v>
      </c>
      <c r="P102" t="s">
        <v>1346</v>
      </c>
      <c r="Q102" t="s">
        <v>1384</v>
      </c>
      <c r="R102" t="s">
        <v>1385</v>
      </c>
      <c r="S102" t="s">
        <v>72</v>
      </c>
      <c r="T102" t="s">
        <v>73</v>
      </c>
      <c r="U102" t="s">
        <v>446</v>
      </c>
      <c r="V102" t="s">
        <v>52</v>
      </c>
      <c r="W102" s="1">
        <v>43675</v>
      </c>
      <c r="X102" t="s">
        <v>775</v>
      </c>
      <c r="Y102" t="s">
        <v>776</v>
      </c>
      <c r="Z102" t="s">
        <v>1386</v>
      </c>
      <c r="AA102">
        <v>5</v>
      </c>
      <c r="AB102" t="s">
        <v>56</v>
      </c>
      <c r="AC102" t="s">
        <v>1387</v>
      </c>
      <c r="AD102" t="s">
        <v>221</v>
      </c>
      <c r="AE102" t="s">
        <v>668</v>
      </c>
      <c r="AF102">
        <v>660600</v>
      </c>
      <c r="AG102" s="6">
        <v>0</v>
      </c>
      <c r="AK102" t="e">
        <v>#N/A</v>
      </c>
      <c r="AL102" s="6" t="e">
        <v>#N/A</v>
      </c>
      <c r="AM102" s="7" t="e">
        <f>Table6[[#This Row],[Premium]]-Table6[[#This Row],[Tms Prem]]</f>
        <v>#N/A</v>
      </c>
    </row>
    <row r="103" spans="1:39" x14ac:dyDescent="0.25">
      <c r="A103">
        <v>102</v>
      </c>
      <c r="B103" t="s">
        <v>36</v>
      </c>
      <c r="C103" t="s">
        <v>1388</v>
      </c>
      <c r="D103" t="s">
        <v>38</v>
      </c>
      <c r="E103" t="s">
        <v>39</v>
      </c>
      <c r="F103" t="s">
        <v>1389</v>
      </c>
      <c r="G103" t="s">
        <v>229</v>
      </c>
      <c r="H103" t="s">
        <v>1390</v>
      </c>
      <c r="I103" t="s">
        <v>1391</v>
      </c>
      <c r="J103" t="s">
        <v>1391</v>
      </c>
      <c r="K103" t="s">
        <v>1391</v>
      </c>
      <c r="L103" t="s">
        <v>1392</v>
      </c>
      <c r="M103">
        <v>2104000</v>
      </c>
      <c r="N103">
        <v>2630000</v>
      </c>
      <c r="O103" t="s">
        <v>1393</v>
      </c>
      <c r="P103" t="s">
        <v>1346</v>
      </c>
      <c r="Q103" t="s">
        <v>1394</v>
      </c>
      <c r="R103" t="s">
        <v>1395</v>
      </c>
      <c r="S103" t="s">
        <v>49</v>
      </c>
      <c r="T103" t="s">
        <v>1396</v>
      </c>
      <c r="U103" t="s">
        <v>1397</v>
      </c>
      <c r="V103" t="s">
        <v>603</v>
      </c>
      <c r="W103" s="1">
        <v>44039</v>
      </c>
      <c r="X103" t="s">
        <v>1215</v>
      </c>
      <c r="Y103" t="s">
        <v>1216</v>
      </c>
      <c r="Z103" t="s">
        <v>1398</v>
      </c>
      <c r="AA103">
        <v>5</v>
      </c>
      <c r="AB103" t="s">
        <v>56</v>
      </c>
      <c r="AC103" t="s">
        <v>1399</v>
      </c>
      <c r="AD103" t="s">
        <v>1215</v>
      </c>
      <c r="AE103" t="s">
        <v>59</v>
      </c>
      <c r="AF103">
        <v>1972500</v>
      </c>
      <c r="AG103" s="6">
        <v>39450</v>
      </c>
      <c r="AK103" t="s">
        <v>4567</v>
      </c>
      <c r="AL103" s="6">
        <v>39450</v>
      </c>
      <c r="AM103" s="7">
        <f>Table6[[#This Row],[Premium]]-Table6[[#This Row],[Tms Prem]]</f>
        <v>0</v>
      </c>
    </row>
    <row r="104" spans="1:39" x14ac:dyDescent="0.25">
      <c r="A104">
        <v>103</v>
      </c>
      <c r="B104" t="s">
        <v>36</v>
      </c>
      <c r="C104" t="s">
        <v>1400</v>
      </c>
      <c r="D104" t="s">
        <v>38</v>
      </c>
      <c r="E104" t="s">
        <v>39</v>
      </c>
      <c r="F104" t="s">
        <v>1401</v>
      </c>
      <c r="G104" t="s">
        <v>62</v>
      </c>
      <c r="H104" t="s">
        <v>1402</v>
      </c>
      <c r="I104" t="s">
        <v>1403</v>
      </c>
      <c r="J104" t="s">
        <v>1403</v>
      </c>
      <c r="K104" t="s">
        <v>1403</v>
      </c>
      <c r="L104" t="s">
        <v>1404</v>
      </c>
      <c r="M104">
        <v>1617600</v>
      </c>
      <c r="N104">
        <v>2022000</v>
      </c>
      <c r="O104" t="s">
        <v>1405</v>
      </c>
      <c r="P104" t="s">
        <v>1346</v>
      </c>
      <c r="Q104" t="s">
        <v>1406</v>
      </c>
      <c r="R104" t="s">
        <v>1407</v>
      </c>
      <c r="S104" t="s">
        <v>72</v>
      </c>
      <c r="T104" t="s">
        <v>73</v>
      </c>
      <c r="U104" t="s">
        <v>74</v>
      </c>
      <c r="V104" t="s">
        <v>153</v>
      </c>
      <c r="W104" s="1">
        <v>44040</v>
      </c>
      <c r="X104" t="s">
        <v>1215</v>
      </c>
      <c r="Y104" t="s">
        <v>1216</v>
      </c>
      <c r="Z104" t="s">
        <v>1408</v>
      </c>
      <c r="AA104">
        <v>5</v>
      </c>
      <c r="AB104" t="s">
        <v>56</v>
      </c>
      <c r="AC104" t="s">
        <v>1409</v>
      </c>
      <c r="AD104" t="s">
        <v>379</v>
      </c>
      <c r="AE104" t="s">
        <v>59</v>
      </c>
      <c r="AF104">
        <v>1516500</v>
      </c>
      <c r="AG104" s="6">
        <v>30330</v>
      </c>
      <c r="AK104" t="s">
        <v>4568</v>
      </c>
      <c r="AL104" s="6">
        <v>30330</v>
      </c>
      <c r="AM104" s="7">
        <f>Table6[[#This Row],[Premium]]-Table6[[#This Row],[Tms Prem]]</f>
        <v>0</v>
      </c>
    </row>
    <row r="105" spans="1:39" x14ac:dyDescent="0.25">
      <c r="A105">
        <v>104</v>
      </c>
      <c r="B105" t="s">
        <v>36</v>
      </c>
      <c r="C105" t="s">
        <v>1410</v>
      </c>
      <c r="D105" t="s">
        <v>38</v>
      </c>
      <c r="E105" t="s">
        <v>39</v>
      </c>
      <c r="F105" t="s">
        <v>1411</v>
      </c>
      <c r="G105" t="s">
        <v>97</v>
      </c>
      <c r="H105" t="s">
        <v>1412</v>
      </c>
      <c r="I105" t="s">
        <v>1413</v>
      </c>
      <c r="J105" t="s">
        <v>73</v>
      </c>
      <c r="K105" t="s">
        <v>1414</v>
      </c>
      <c r="L105" t="s">
        <v>1415</v>
      </c>
      <c r="M105">
        <v>2384250</v>
      </c>
      <c r="N105">
        <v>2805000</v>
      </c>
      <c r="O105" t="s">
        <v>1416</v>
      </c>
      <c r="P105" t="s">
        <v>1417</v>
      </c>
      <c r="Q105" t="s">
        <v>1418</v>
      </c>
      <c r="R105" t="s">
        <v>1419</v>
      </c>
      <c r="S105" t="s">
        <v>72</v>
      </c>
      <c r="T105" t="s">
        <v>73</v>
      </c>
      <c r="U105" t="s">
        <v>1420</v>
      </c>
      <c r="V105" t="s">
        <v>153</v>
      </c>
      <c r="W105" s="1">
        <v>44036</v>
      </c>
      <c r="X105" t="s">
        <v>1215</v>
      </c>
      <c r="Y105" t="s">
        <v>448</v>
      </c>
      <c r="Z105" t="s">
        <v>1421</v>
      </c>
      <c r="AA105">
        <v>7</v>
      </c>
      <c r="AB105" t="s">
        <v>110</v>
      </c>
      <c r="AC105" t="s">
        <v>1422</v>
      </c>
      <c r="AD105" t="s">
        <v>393</v>
      </c>
      <c r="AE105" t="s">
        <v>59</v>
      </c>
      <c r="AF105">
        <v>2103750</v>
      </c>
      <c r="AG105" s="6">
        <v>42075</v>
      </c>
      <c r="AK105" t="s">
        <v>4569</v>
      </c>
      <c r="AL105" s="6">
        <v>42075</v>
      </c>
      <c r="AM105" s="7">
        <f>Table6[[#This Row],[Premium]]-Table6[[#This Row],[Tms Prem]]</f>
        <v>0</v>
      </c>
    </row>
    <row r="106" spans="1:39" x14ac:dyDescent="0.25">
      <c r="A106">
        <v>105</v>
      </c>
      <c r="B106" t="s">
        <v>36</v>
      </c>
      <c r="C106" t="s">
        <v>1423</v>
      </c>
      <c r="D106" t="s">
        <v>38</v>
      </c>
      <c r="E106" t="s">
        <v>39</v>
      </c>
      <c r="F106" t="s">
        <v>1424</v>
      </c>
      <c r="G106" t="s">
        <v>131</v>
      </c>
      <c r="H106" t="s">
        <v>1425</v>
      </c>
      <c r="I106" t="s">
        <v>1426</v>
      </c>
      <c r="J106" t="s">
        <v>73</v>
      </c>
      <c r="K106" t="s">
        <v>1427</v>
      </c>
      <c r="L106" t="s">
        <v>1428</v>
      </c>
      <c r="M106">
        <v>2434200</v>
      </c>
      <c r="N106">
        <v>4057000</v>
      </c>
      <c r="O106" t="s">
        <v>1429</v>
      </c>
      <c r="P106" t="s">
        <v>1360</v>
      </c>
      <c r="Q106" t="s">
        <v>1430</v>
      </c>
      <c r="R106" t="s">
        <v>1431</v>
      </c>
      <c r="S106" t="s">
        <v>72</v>
      </c>
      <c r="T106" t="s">
        <v>73</v>
      </c>
      <c r="U106" t="s">
        <v>714</v>
      </c>
      <c r="V106" t="s">
        <v>153</v>
      </c>
      <c r="W106" s="1">
        <v>44039</v>
      </c>
      <c r="X106" t="s">
        <v>1215</v>
      </c>
      <c r="Y106" t="s">
        <v>1216</v>
      </c>
      <c r="Z106" t="s">
        <v>1432</v>
      </c>
      <c r="AA106">
        <v>5</v>
      </c>
      <c r="AB106" t="s">
        <v>110</v>
      </c>
      <c r="AC106" t="s">
        <v>1433</v>
      </c>
      <c r="AD106" t="s">
        <v>367</v>
      </c>
      <c r="AE106" t="s">
        <v>59</v>
      </c>
      <c r="AF106">
        <v>3042750</v>
      </c>
      <c r="AG106" s="6">
        <v>60855</v>
      </c>
      <c r="AK106" t="s">
        <v>4570</v>
      </c>
      <c r="AL106" s="6">
        <v>60855</v>
      </c>
      <c r="AM106" s="7">
        <f>Table6[[#This Row],[Premium]]-Table6[[#This Row],[Tms Prem]]</f>
        <v>0</v>
      </c>
    </row>
    <row r="107" spans="1:39" x14ac:dyDescent="0.25">
      <c r="A107">
        <v>106</v>
      </c>
      <c r="B107" t="s">
        <v>36</v>
      </c>
      <c r="C107" t="s">
        <v>1434</v>
      </c>
      <c r="D107" t="s">
        <v>38</v>
      </c>
      <c r="E107" t="s">
        <v>39</v>
      </c>
      <c r="F107" t="s">
        <v>1435</v>
      </c>
      <c r="G107" t="s">
        <v>115</v>
      </c>
      <c r="H107" t="s">
        <v>1436</v>
      </c>
      <c r="I107" t="s">
        <v>1437</v>
      </c>
      <c r="J107" t="s">
        <v>1438</v>
      </c>
      <c r="K107" t="s">
        <v>1437</v>
      </c>
      <c r="L107" t="s">
        <v>1439</v>
      </c>
      <c r="M107">
        <v>1830900</v>
      </c>
      <c r="N107">
        <v>2154000</v>
      </c>
      <c r="O107" t="s">
        <v>1440</v>
      </c>
      <c r="P107" t="s">
        <v>1346</v>
      </c>
      <c r="Q107" t="s">
        <v>1441</v>
      </c>
      <c r="R107" t="s">
        <v>1442</v>
      </c>
      <c r="S107" t="s">
        <v>72</v>
      </c>
      <c r="T107" t="s">
        <v>73</v>
      </c>
      <c r="U107" t="s">
        <v>995</v>
      </c>
      <c r="V107" t="s">
        <v>52</v>
      </c>
      <c r="W107" s="1">
        <v>43671</v>
      </c>
      <c r="X107" t="s">
        <v>1301</v>
      </c>
      <c r="Y107" t="s">
        <v>1443</v>
      </c>
      <c r="Z107" t="s">
        <v>1444</v>
      </c>
      <c r="AA107">
        <v>7</v>
      </c>
      <c r="AB107" t="s">
        <v>110</v>
      </c>
      <c r="AC107" t="s">
        <v>1445</v>
      </c>
      <c r="AD107" t="s">
        <v>1446</v>
      </c>
      <c r="AE107" t="s">
        <v>668</v>
      </c>
      <c r="AF107">
        <v>1507800</v>
      </c>
      <c r="AG107" s="6">
        <v>37695</v>
      </c>
      <c r="AK107" t="s">
        <v>4571</v>
      </c>
      <c r="AL107" s="6">
        <v>37695</v>
      </c>
      <c r="AM107" s="7">
        <f>Table6[[#This Row],[Premium]]-Table6[[#This Row],[Tms Prem]]</f>
        <v>0</v>
      </c>
    </row>
    <row r="108" spans="1:39" x14ac:dyDescent="0.25">
      <c r="A108">
        <v>107</v>
      </c>
      <c r="B108" t="s">
        <v>36</v>
      </c>
      <c r="C108" t="s">
        <v>1447</v>
      </c>
      <c r="D108" t="s">
        <v>38</v>
      </c>
      <c r="E108" t="s">
        <v>39</v>
      </c>
      <c r="F108" t="s">
        <v>1448</v>
      </c>
      <c r="G108" t="s">
        <v>62</v>
      </c>
      <c r="H108" t="s">
        <v>1449</v>
      </c>
      <c r="I108" t="s">
        <v>1450</v>
      </c>
      <c r="J108" t="s">
        <v>1450</v>
      </c>
      <c r="K108" t="s">
        <v>1450</v>
      </c>
      <c r="L108" t="s">
        <v>1451</v>
      </c>
      <c r="M108">
        <v>1844500</v>
      </c>
      <c r="N108">
        <v>2635000</v>
      </c>
      <c r="O108" t="s">
        <v>1452</v>
      </c>
      <c r="P108" t="s">
        <v>1453</v>
      </c>
      <c r="Q108" t="s">
        <v>1454</v>
      </c>
      <c r="R108" t="s">
        <v>1455</v>
      </c>
      <c r="S108" t="s">
        <v>72</v>
      </c>
      <c r="T108" t="s">
        <v>73</v>
      </c>
      <c r="U108" t="s">
        <v>1456</v>
      </c>
      <c r="V108" t="s">
        <v>153</v>
      </c>
      <c r="W108" s="1">
        <v>44040</v>
      </c>
      <c r="X108" t="s">
        <v>1215</v>
      </c>
      <c r="Y108" t="s">
        <v>1216</v>
      </c>
      <c r="Z108" t="s">
        <v>1457</v>
      </c>
      <c r="AA108">
        <v>5</v>
      </c>
      <c r="AB108" t="s">
        <v>56</v>
      </c>
      <c r="AC108" t="s">
        <v>1458</v>
      </c>
      <c r="AD108" t="s">
        <v>367</v>
      </c>
      <c r="AE108" t="s">
        <v>59</v>
      </c>
      <c r="AF108">
        <v>1976250</v>
      </c>
      <c r="AG108" s="6">
        <v>39525</v>
      </c>
      <c r="AK108" t="s">
        <v>4572</v>
      </c>
      <c r="AL108" s="6">
        <v>39525</v>
      </c>
      <c r="AM108" s="7">
        <f>Table6[[#This Row],[Premium]]-Table6[[#This Row],[Tms Prem]]</f>
        <v>0</v>
      </c>
    </row>
    <row r="109" spans="1:39" x14ac:dyDescent="0.25">
      <c r="A109">
        <v>108</v>
      </c>
      <c r="B109" t="s">
        <v>36</v>
      </c>
      <c r="C109" t="s">
        <v>1459</v>
      </c>
      <c r="D109" t="s">
        <v>38</v>
      </c>
      <c r="E109" t="s">
        <v>39</v>
      </c>
      <c r="F109" t="s">
        <v>1460</v>
      </c>
      <c r="G109" t="s">
        <v>115</v>
      </c>
      <c r="H109" t="s">
        <v>1461</v>
      </c>
      <c r="I109" t="s">
        <v>1462</v>
      </c>
      <c r="J109" t="s">
        <v>1462</v>
      </c>
      <c r="K109" t="s">
        <v>1463</v>
      </c>
      <c r="L109" t="s">
        <v>1464</v>
      </c>
      <c r="M109">
        <v>1814400</v>
      </c>
      <c r="N109">
        <v>2592000</v>
      </c>
      <c r="O109" t="s">
        <v>1465</v>
      </c>
      <c r="P109" t="s">
        <v>1360</v>
      </c>
      <c r="Q109" t="s">
        <v>1466</v>
      </c>
      <c r="R109" t="s">
        <v>1467</v>
      </c>
      <c r="S109" t="s">
        <v>72</v>
      </c>
      <c r="T109" t="s">
        <v>73</v>
      </c>
      <c r="U109" t="s">
        <v>1468</v>
      </c>
      <c r="V109" t="s">
        <v>153</v>
      </c>
      <c r="W109" s="1">
        <v>44039</v>
      </c>
      <c r="X109" t="s">
        <v>1215</v>
      </c>
      <c r="Y109" t="s">
        <v>1216</v>
      </c>
      <c r="Z109" t="s">
        <v>1469</v>
      </c>
      <c r="AA109">
        <v>5</v>
      </c>
      <c r="AB109" t="s">
        <v>199</v>
      </c>
      <c r="AC109" t="s">
        <v>1470</v>
      </c>
      <c r="AD109" t="s">
        <v>367</v>
      </c>
      <c r="AE109" t="s">
        <v>668</v>
      </c>
      <c r="AF109">
        <v>1944000</v>
      </c>
      <c r="AG109" s="6">
        <v>48600</v>
      </c>
      <c r="AK109" t="s">
        <v>4573</v>
      </c>
      <c r="AL109" s="6">
        <v>48600</v>
      </c>
      <c r="AM109" s="7">
        <f>Table6[[#This Row],[Premium]]-Table6[[#This Row],[Tms Prem]]</f>
        <v>0</v>
      </c>
    </row>
    <row r="110" spans="1:39" x14ac:dyDescent="0.25">
      <c r="A110">
        <v>109</v>
      </c>
      <c r="B110" t="s">
        <v>36</v>
      </c>
      <c r="C110" t="s">
        <v>1471</v>
      </c>
      <c r="D110" t="s">
        <v>38</v>
      </c>
      <c r="E110" t="s">
        <v>39</v>
      </c>
      <c r="F110" t="s">
        <v>1472</v>
      </c>
      <c r="G110" t="s">
        <v>131</v>
      </c>
      <c r="H110" t="s">
        <v>1473</v>
      </c>
      <c r="I110" t="s">
        <v>1474</v>
      </c>
      <c r="J110" t="s">
        <v>1474</v>
      </c>
      <c r="K110" t="s">
        <v>1474</v>
      </c>
      <c r="L110" t="s">
        <v>1475</v>
      </c>
      <c r="M110">
        <v>1365000</v>
      </c>
      <c r="N110">
        <v>1950000</v>
      </c>
      <c r="O110" t="s">
        <v>1476</v>
      </c>
      <c r="P110" t="s">
        <v>1360</v>
      </c>
      <c r="Q110" t="s">
        <v>1477</v>
      </c>
      <c r="R110" t="s">
        <v>1478</v>
      </c>
      <c r="S110" t="s">
        <v>660</v>
      </c>
      <c r="T110" t="s">
        <v>73</v>
      </c>
      <c r="U110" t="s">
        <v>1479</v>
      </c>
      <c r="V110" t="s">
        <v>330</v>
      </c>
      <c r="W110" s="1">
        <v>43671</v>
      </c>
      <c r="X110" t="s">
        <v>1301</v>
      </c>
      <c r="Y110" t="s">
        <v>1443</v>
      </c>
      <c r="Z110" t="s">
        <v>1480</v>
      </c>
      <c r="AA110">
        <v>7</v>
      </c>
      <c r="AB110" t="s">
        <v>110</v>
      </c>
      <c r="AC110" t="s">
        <v>1481</v>
      </c>
      <c r="AD110" t="s">
        <v>1446</v>
      </c>
      <c r="AE110" t="s">
        <v>668</v>
      </c>
      <c r="AF110">
        <v>1365000</v>
      </c>
      <c r="AG110" s="6">
        <v>34125</v>
      </c>
      <c r="AK110" t="s">
        <v>4574</v>
      </c>
      <c r="AL110" s="6">
        <v>34125</v>
      </c>
      <c r="AM110" s="7">
        <f>Table6[[#This Row],[Premium]]-Table6[[#This Row],[Tms Prem]]</f>
        <v>0</v>
      </c>
    </row>
    <row r="111" spans="1:39" x14ac:dyDescent="0.25">
      <c r="A111">
        <v>110</v>
      </c>
      <c r="B111" t="s">
        <v>36</v>
      </c>
      <c r="C111" t="s">
        <v>1482</v>
      </c>
      <c r="D111" t="s">
        <v>38</v>
      </c>
      <c r="E111" t="s">
        <v>39</v>
      </c>
      <c r="F111" t="s">
        <v>1483</v>
      </c>
      <c r="G111" t="s">
        <v>62</v>
      </c>
      <c r="H111" t="s">
        <v>1484</v>
      </c>
      <c r="I111" t="s">
        <v>1485</v>
      </c>
      <c r="J111" t="s">
        <v>1486</v>
      </c>
      <c r="K111" t="s">
        <v>1487</v>
      </c>
      <c r="L111" t="s">
        <v>1488</v>
      </c>
      <c r="M111">
        <v>1452000</v>
      </c>
      <c r="N111">
        <v>2420000</v>
      </c>
      <c r="O111" t="s">
        <v>1489</v>
      </c>
      <c r="P111" t="s">
        <v>1360</v>
      </c>
      <c r="Q111" t="s">
        <v>1490</v>
      </c>
      <c r="R111" t="s">
        <v>1491</v>
      </c>
      <c r="S111" t="s">
        <v>660</v>
      </c>
      <c r="T111" t="s">
        <v>73</v>
      </c>
      <c r="U111" t="s">
        <v>1492</v>
      </c>
      <c r="V111" t="s">
        <v>788</v>
      </c>
      <c r="W111" s="1">
        <v>44039</v>
      </c>
      <c r="X111" t="s">
        <v>1215</v>
      </c>
      <c r="Y111" t="s">
        <v>1216</v>
      </c>
      <c r="Z111" t="s">
        <v>1493</v>
      </c>
      <c r="AA111">
        <v>5</v>
      </c>
      <c r="AB111" t="s">
        <v>56</v>
      </c>
      <c r="AC111" t="s">
        <v>1494</v>
      </c>
      <c r="AD111" t="s">
        <v>379</v>
      </c>
      <c r="AE111" t="s">
        <v>59</v>
      </c>
      <c r="AF111">
        <v>1815000</v>
      </c>
      <c r="AG111" s="6">
        <v>36300</v>
      </c>
      <c r="AK111" t="s">
        <v>4575</v>
      </c>
      <c r="AL111" s="6">
        <v>36300</v>
      </c>
      <c r="AM111" s="7">
        <f>Table6[[#This Row],[Premium]]-Table6[[#This Row],[Tms Prem]]</f>
        <v>0</v>
      </c>
    </row>
    <row r="112" spans="1:39" x14ac:dyDescent="0.25">
      <c r="A112">
        <v>111</v>
      </c>
      <c r="B112" t="s">
        <v>36</v>
      </c>
      <c r="C112" t="s">
        <v>1495</v>
      </c>
      <c r="D112" t="s">
        <v>38</v>
      </c>
      <c r="E112" t="s">
        <v>39</v>
      </c>
      <c r="F112" t="s">
        <v>1496</v>
      </c>
      <c r="G112" t="s">
        <v>1497</v>
      </c>
      <c r="H112" t="s">
        <v>1498</v>
      </c>
      <c r="I112" t="s">
        <v>1499</v>
      </c>
      <c r="J112" t="s">
        <v>1499</v>
      </c>
      <c r="K112" t="s">
        <v>1499</v>
      </c>
      <c r="L112" t="s">
        <v>1500</v>
      </c>
      <c r="M112">
        <v>1399300</v>
      </c>
      <c r="N112">
        <v>1999000</v>
      </c>
      <c r="O112" t="s">
        <v>1501</v>
      </c>
      <c r="P112" t="s">
        <v>1453</v>
      </c>
      <c r="Q112" t="s">
        <v>1502</v>
      </c>
      <c r="R112" t="s">
        <v>1503</v>
      </c>
      <c r="S112" t="s">
        <v>72</v>
      </c>
      <c r="T112" t="s">
        <v>73</v>
      </c>
      <c r="U112" t="s">
        <v>74</v>
      </c>
      <c r="V112" t="s">
        <v>153</v>
      </c>
      <c r="W112" s="1">
        <v>44012</v>
      </c>
      <c r="X112" t="s">
        <v>892</v>
      </c>
      <c r="Y112" t="s">
        <v>184</v>
      </c>
      <c r="Z112" t="s">
        <v>1504</v>
      </c>
      <c r="AA112">
        <v>5</v>
      </c>
      <c r="AB112" t="s">
        <v>56</v>
      </c>
      <c r="AC112" t="s">
        <v>1505</v>
      </c>
      <c r="AD112" t="s">
        <v>420</v>
      </c>
      <c r="AE112" t="s">
        <v>668</v>
      </c>
      <c r="AF112">
        <v>1499250</v>
      </c>
      <c r="AG112" s="6">
        <v>37481</v>
      </c>
      <c r="AK112" t="s">
        <v>4576</v>
      </c>
      <c r="AL112" s="6">
        <v>37481</v>
      </c>
      <c r="AM112" s="7">
        <f>Table6[[#This Row],[Premium]]-Table6[[#This Row],[Tms Prem]]</f>
        <v>0</v>
      </c>
    </row>
    <row r="113" spans="1:39" x14ac:dyDescent="0.25">
      <c r="A113">
        <v>112</v>
      </c>
      <c r="B113" t="s">
        <v>36</v>
      </c>
      <c r="C113" t="s">
        <v>1506</v>
      </c>
      <c r="D113" t="s">
        <v>38</v>
      </c>
      <c r="E113" t="s">
        <v>39</v>
      </c>
      <c r="F113" t="s">
        <v>1507</v>
      </c>
      <c r="G113" t="s">
        <v>62</v>
      </c>
      <c r="H113" t="s">
        <v>1508</v>
      </c>
      <c r="I113" t="s">
        <v>1509</v>
      </c>
      <c r="J113" t="s">
        <v>1510</v>
      </c>
      <c r="K113" t="s">
        <v>205</v>
      </c>
      <c r="L113" t="s">
        <v>1511</v>
      </c>
      <c r="M113">
        <v>1278400</v>
      </c>
      <c r="N113">
        <v>1598000</v>
      </c>
      <c r="O113" t="s">
        <v>1512</v>
      </c>
      <c r="P113" t="s">
        <v>1360</v>
      </c>
      <c r="Q113" t="s">
        <v>1513</v>
      </c>
      <c r="R113" t="s">
        <v>1514</v>
      </c>
      <c r="S113" t="s">
        <v>72</v>
      </c>
      <c r="T113" t="s">
        <v>73</v>
      </c>
      <c r="U113" t="s">
        <v>1515</v>
      </c>
      <c r="V113" t="s">
        <v>153</v>
      </c>
      <c r="W113" s="1">
        <v>44040</v>
      </c>
      <c r="X113" t="s">
        <v>1215</v>
      </c>
      <c r="Y113" t="s">
        <v>1216</v>
      </c>
      <c r="Z113" t="s">
        <v>1516</v>
      </c>
      <c r="AA113">
        <v>5</v>
      </c>
      <c r="AB113" t="s">
        <v>56</v>
      </c>
      <c r="AC113" t="s">
        <v>1517</v>
      </c>
      <c r="AD113" t="s">
        <v>379</v>
      </c>
      <c r="AE113" t="s">
        <v>59</v>
      </c>
      <c r="AF113">
        <v>1198500</v>
      </c>
      <c r="AG113" s="6">
        <v>23970</v>
      </c>
      <c r="AK113" t="s">
        <v>4577</v>
      </c>
      <c r="AL113" s="6">
        <v>23970</v>
      </c>
      <c r="AM113" s="7">
        <f>Table6[[#This Row],[Premium]]-Table6[[#This Row],[Tms Prem]]</f>
        <v>0</v>
      </c>
    </row>
    <row r="114" spans="1:39" x14ac:dyDescent="0.25">
      <c r="A114">
        <v>113</v>
      </c>
      <c r="B114" t="s">
        <v>36</v>
      </c>
      <c r="C114" t="s">
        <v>1518</v>
      </c>
      <c r="D114" t="s">
        <v>38</v>
      </c>
      <c r="E114" t="s">
        <v>39</v>
      </c>
      <c r="F114" t="s">
        <v>1519</v>
      </c>
      <c r="G114" t="s">
        <v>115</v>
      </c>
      <c r="H114" t="s">
        <v>1520</v>
      </c>
      <c r="I114" t="s">
        <v>1521</v>
      </c>
      <c r="J114" t="s">
        <v>1522</v>
      </c>
      <c r="K114" t="s">
        <v>1523</v>
      </c>
      <c r="L114" t="s">
        <v>1524</v>
      </c>
      <c r="M114">
        <v>1234350</v>
      </c>
      <c r="N114">
        <v>1899000</v>
      </c>
      <c r="O114" t="s">
        <v>1525</v>
      </c>
      <c r="P114" t="s">
        <v>1360</v>
      </c>
      <c r="Q114" t="s">
        <v>1526</v>
      </c>
      <c r="R114" t="s">
        <v>1527</v>
      </c>
      <c r="S114" t="s">
        <v>72</v>
      </c>
      <c r="T114" t="s">
        <v>73</v>
      </c>
      <c r="U114" t="s">
        <v>1528</v>
      </c>
      <c r="V114" t="s">
        <v>153</v>
      </c>
      <c r="W114" s="1">
        <v>44020</v>
      </c>
      <c r="X114" t="s">
        <v>892</v>
      </c>
      <c r="Y114" t="s">
        <v>184</v>
      </c>
      <c r="Z114" t="s">
        <v>1529</v>
      </c>
      <c r="AA114">
        <v>5</v>
      </c>
      <c r="AB114" t="s">
        <v>56</v>
      </c>
      <c r="AC114" t="s">
        <v>1530</v>
      </c>
      <c r="AD114" t="s">
        <v>1215</v>
      </c>
      <c r="AE114" t="s">
        <v>668</v>
      </c>
      <c r="AF114">
        <v>1424250</v>
      </c>
      <c r="AG114" s="6">
        <v>35606</v>
      </c>
      <c r="AK114" t="s">
        <v>4578</v>
      </c>
      <c r="AL114" s="6">
        <v>35606</v>
      </c>
      <c r="AM114" s="7">
        <f>Table6[[#This Row],[Premium]]-Table6[[#This Row],[Tms Prem]]</f>
        <v>0</v>
      </c>
    </row>
    <row r="115" spans="1:39" x14ac:dyDescent="0.25">
      <c r="A115">
        <v>114</v>
      </c>
      <c r="B115" t="s">
        <v>36</v>
      </c>
      <c r="C115" t="s">
        <v>1531</v>
      </c>
      <c r="D115" t="s">
        <v>38</v>
      </c>
      <c r="E115" t="s">
        <v>39</v>
      </c>
      <c r="F115" t="s">
        <v>1532</v>
      </c>
      <c r="G115" t="s">
        <v>62</v>
      </c>
      <c r="H115" t="s">
        <v>1533</v>
      </c>
      <c r="I115" t="s">
        <v>1534</v>
      </c>
      <c r="J115" t="s">
        <v>1534</v>
      </c>
      <c r="K115" t="s">
        <v>1535</v>
      </c>
      <c r="L115" t="s">
        <v>1536</v>
      </c>
      <c r="M115">
        <v>598120</v>
      </c>
      <c r="N115">
        <v>1574000</v>
      </c>
      <c r="O115" t="s">
        <v>1537</v>
      </c>
      <c r="P115" t="s">
        <v>1360</v>
      </c>
      <c r="Q115" t="s">
        <v>1538</v>
      </c>
      <c r="R115" t="s">
        <v>1539</v>
      </c>
      <c r="S115" t="s">
        <v>72</v>
      </c>
      <c r="T115" t="s">
        <v>73</v>
      </c>
      <c r="U115" t="s">
        <v>1540</v>
      </c>
      <c r="V115" t="s">
        <v>153</v>
      </c>
      <c r="W115" s="1">
        <v>44040</v>
      </c>
      <c r="X115" t="s">
        <v>1215</v>
      </c>
      <c r="Y115" t="s">
        <v>1216</v>
      </c>
      <c r="Z115" t="s">
        <v>1541</v>
      </c>
      <c r="AA115">
        <v>5</v>
      </c>
      <c r="AB115" t="s">
        <v>56</v>
      </c>
      <c r="AC115" t="s">
        <v>1542</v>
      </c>
      <c r="AD115" t="s">
        <v>379</v>
      </c>
      <c r="AE115" t="s">
        <v>59</v>
      </c>
      <c r="AF115">
        <v>1180500</v>
      </c>
      <c r="AG115" s="6">
        <v>23610</v>
      </c>
      <c r="AK115" t="s">
        <v>4579</v>
      </c>
      <c r="AL115" s="6">
        <v>23610</v>
      </c>
      <c r="AM115" s="7">
        <f>Table6[[#This Row],[Premium]]-Table6[[#This Row],[Tms Prem]]</f>
        <v>0</v>
      </c>
    </row>
    <row r="116" spans="1:39" x14ac:dyDescent="0.25">
      <c r="A116">
        <v>115</v>
      </c>
      <c r="B116" t="s">
        <v>36</v>
      </c>
      <c r="C116" t="s">
        <v>1543</v>
      </c>
      <c r="D116" t="s">
        <v>38</v>
      </c>
      <c r="E116" t="s">
        <v>39</v>
      </c>
      <c r="F116" t="s">
        <v>1544</v>
      </c>
      <c r="G116" t="s">
        <v>388</v>
      </c>
      <c r="H116" t="s">
        <v>1545</v>
      </c>
      <c r="I116" t="s">
        <v>1546</v>
      </c>
      <c r="J116" t="s">
        <v>73</v>
      </c>
      <c r="K116" t="s">
        <v>1547</v>
      </c>
      <c r="L116" t="s">
        <v>1548</v>
      </c>
      <c r="M116">
        <v>1118600</v>
      </c>
      <c r="N116">
        <v>1598000</v>
      </c>
      <c r="O116" t="s">
        <v>1549</v>
      </c>
      <c r="P116" t="s">
        <v>1360</v>
      </c>
      <c r="Q116" t="s">
        <v>1550</v>
      </c>
      <c r="R116" t="s">
        <v>1551</v>
      </c>
      <c r="S116" t="s">
        <v>72</v>
      </c>
      <c r="T116" t="s">
        <v>73</v>
      </c>
      <c r="U116" t="s">
        <v>1552</v>
      </c>
      <c r="V116" t="s">
        <v>153</v>
      </c>
      <c r="W116" s="1">
        <v>44039</v>
      </c>
      <c r="X116" t="s">
        <v>1215</v>
      </c>
      <c r="Y116" t="s">
        <v>1216</v>
      </c>
      <c r="Z116" t="s">
        <v>1553</v>
      </c>
      <c r="AA116">
        <v>5</v>
      </c>
      <c r="AB116" t="s">
        <v>56</v>
      </c>
      <c r="AC116" t="s">
        <v>1554</v>
      </c>
      <c r="AD116" t="s">
        <v>379</v>
      </c>
      <c r="AE116" t="s">
        <v>59</v>
      </c>
      <c r="AF116">
        <v>1198500</v>
      </c>
      <c r="AG116" s="6">
        <v>23970</v>
      </c>
      <c r="AK116" t="s">
        <v>4580</v>
      </c>
      <c r="AL116" s="6">
        <v>23970</v>
      </c>
      <c r="AM116" s="7">
        <f>Table6[[#This Row],[Premium]]-Table6[[#This Row],[Tms Prem]]</f>
        <v>0</v>
      </c>
    </row>
    <row r="117" spans="1:39" x14ac:dyDescent="0.25">
      <c r="A117">
        <v>116</v>
      </c>
      <c r="B117" t="s">
        <v>36</v>
      </c>
      <c r="C117" t="s">
        <v>1555</v>
      </c>
      <c r="D117" t="s">
        <v>38</v>
      </c>
      <c r="E117" t="s">
        <v>39</v>
      </c>
      <c r="F117" t="s">
        <v>1556</v>
      </c>
      <c r="G117" t="s">
        <v>115</v>
      </c>
      <c r="H117" t="s">
        <v>1557</v>
      </c>
      <c r="I117" t="s">
        <v>73</v>
      </c>
      <c r="J117" t="s">
        <v>1558</v>
      </c>
      <c r="K117" t="s">
        <v>73</v>
      </c>
      <c r="L117" t="s">
        <v>1559</v>
      </c>
      <c r="M117">
        <v>3600000</v>
      </c>
      <c r="N117">
        <v>6000000</v>
      </c>
      <c r="O117" t="s">
        <v>1560</v>
      </c>
      <c r="P117" t="s">
        <v>1453</v>
      </c>
      <c r="Q117" t="s">
        <v>1561</v>
      </c>
      <c r="R117" t="s">
        <v>1562</v>
      </c>
      <c r="S117" t="s">
        <v>49</v>
      </c>
      <c r="T117" t="s">
        <v>1563</v>
      </c>
      <c r="U117" t="s">
        <v>1564</v>
      </c>
      <c r="V117" t="s">
        <v>730</v>
      </c>
      <c r="W117" s="1">
        <v>44039</v>
      </c>
      <c r="X117" t="s">
        <v>1215</v>
      </c>
      <c r="Y117" t="s">
        <v>1216</v>
      </c>
      <c r="Z117" t="s">
        <v>1565</v>
      </c>
      <c r="AA117">
        <v>5</v>
      </c>
      <c r="AB117" t="s">
        <v>56</v>
      </c>
      <c r="AC117" t="s">
        <v>1566</v>
      </c>
      <c r="AD117" t="s">
        <v>1215</v>
      </c>
      <c r="AE117" t="s">
        <v>266</v>
      </c>
      <c r="AF117">
        <v>4500000</v>
      </c>
      <c r="AG117" s="6">
        <v>67500</v>
      </c>
      <c r="AK117" t="s">
        <v>4581</v>
      </c>
      <c r="AL117" s="6">
        <v>67500</v>
      </c>
      <c r="AM117" s="7">
        <f>Table6[[#This Row],[Premium]]-Table6[[#This Row],[Tms Prem]]</f>
        <v>0</v>
      </c>
    </row>
    <row r="118" spans="1:39" x14ac:dyDescent="0.25">
      <c r="A118">
        <v>117</v>
      </c>
      <c r="B118" t="s">
        <v>36</v>
      </c>
      <c r="C118" t="s">
        <v>1567</v>
      </c>
      <c r="D118" t="s">
        <v>38</v>
      </c>
      <c r="E118" t="s">
        <v>39</v>
      </c>
      <c r="F118" t="s">
        <v>1568</v>
      </c>
      <c r="G118" t="s">
        <v>115</v>
      </c>
      <c r="H118" t="s">
        <v>1569</v>
      </c>
      <c r="I118" t="s">
        <v>1570</v>
      </c>
      <c r="J118" t="s">
        <v>1570</v>
      </c>
      <c r="K118" t="s">
        <v>176</v>
      </c>
      <c r="L118" t="s">
        <v>1571</v>
      </c>
      <c r="M118">
        <v>1360500</v>
      </c>
      <c r="N118">
        <v>1814000</v>
      </c>
      <c r="O118" t="s">
        <v>1572</v>
      </c>
      <c r="P118" t="s">
        <v>744</v>
      </c>
      <c r="Q118" t="s">
        <v>1573</v>
      </c>
      <c r="R118" t="s">
        <v>1574</v>
      </c>
      <c r="S118" t="s">
        <v>72</v>
      </c>
      <c r="T118" t="s">
        <v>73</v>
      </c>
      <c r="U118" t="s">
        <v>197</v>
      </c>
      <c r="V118" t="s">
        <v>106</v>
      </c>
      <c r="W118" s="1">
        <v>44554</v>
      </c>
      <c r="X118" t="s">
        <v>124</v>
      </c>
      <c r="Y118" t="s">
        <v>358</v>
      </c>
      <c r="Z118" t="s">
        <v>1575</v>
      </c>
      <c r="AA118">
        <v>3</v>
      </c>
      <c r="AB118" t="s">
        <v>56</v>
      </c>
      <c r="AC118" t="s">
        <v>1576</v>
      </c>
      <c r="AD118" t="s">
        <v>399</v>
      </c>
      <c r="AE118" t="s">
        <v>266</v>
      </c>
      <c r="AF118">
        <v>1541900</v>
      </c>
      <c r="AG118" s="6">
        <v>23129</v>
      </c>
      <c r="AK118" t="s">
        <v>4582</v>
      </c>
      <c r="AL118" s="6">
        <v>23129</v>
      </c>
      <c r="AM118" s="7">
        <f>Table6[[#This Row],[Premium]]-Table6[[#This Row],[Tms Prem]]</f>
        <v>0</v>
      </c>
    </row>
    <row r="119" spans="1:39" x14ac:dyDescent="0.25">
      <c r="A119">
        <v>118</v>
      </c>
      <c r="B119" t="s">
        <v>36</v>
      </c>
      <c r="C119" t="s">
        <v>1577</v>
      </c>
      <c r="D119" t="s">
        <v>38</v>
      </c>
      <c r="E119" t="s">
        <v>39</v>
      </c>
      <c r="F119" t="s">
        <v>1578</v>
      </c>
      <c r="G119" t="s">
        <v>115</v>
      </c>
      <c r="H119" t="s">
        <v>1579</v>
      </c>
      <c r="I119" t="s">
        <v>73</v>
      </c>
      <c r="J119" t="s">
        <v>1580</v>
      </c>
      <c r="K119" t="s">
        <v>73</v>
      </c>
      <c r="L119" t="s">
        <v>1581</v>
      </c>
      <c r="M119">
        <v>1236800</v>
      </c>
      <c r="N119">
        <v>1546000</v>
      </c>
      <c r="O119" t="s">
        <v>1582</v>
      </c>
      <c r="P119" t="s">
        <v>744</v>
      </c>
      <c r="Q119" t="s">
        <v>1583</v>
      </c>
      <c r="R119" t="s">
        <v>1584</v>
      </c>
      <c r="S119" t="s">
        <v>72</v>
      </c>
      <c r="T119" t="s">
        <v>73</v>
      </c>
      <c r="U119" t="s">
        <v>224</v>
      </c>
      <c r="V119" t="s">
        <v>106</v>
      </c>
      <c r="W119" s="1">
        <v>44621</v>
      </c>
      <c r="X119" t="s">
        <v>124</v>
      </c>
      <c r="Y119" t="s">
        <v>125</v>
      </c>
      <c r="Z119" t="s">
        <v>1585</v>
      </c>
      <c r="AA119">
        <v>7</v>
      </c>
      <c r="AB119" t="s">
        <v>199</v>
      </c>
      <c r="AC119" t="s">
        <v>1586</v>
      </c>
      <c r="AD119" t="s">
        <v>589</v>
      </c>
      <c r="AE119" t="s">
        <v>59</v>
      </c>
      <c r="AF119">
        <v>1314100</v>
      </c>
      <c r="AG119" s="6">
        <v>26282</v>
      </c>
      <c r="AK119" t="s">
        <v>4583</v>
      </c>
      <c r="AL119" s="6">
        <v>26282</v>
      </c>
      <c r="AM119" s="7">
        <f>Table6[[#This Row],[Premium]]-Table6[[#This Row],[Tms Prem]]</f>
        <v>0</v>
      </c>
    </row>
    <row r="120" spans="1:39" x14ac:dyDescent="0.25">
      <c r="A120">
        <v>119</v>
      </c>
      <c r="B120" t="s">
        <v>36</v>
      </c>
      <c r="C120" t="s">
        <v>1587</v>
      </c>
      <c r="D120" t="s">
        <v>38</v>
      </c>
      <c r="E120" t="s">
        <v>39</v>
      </c>
      <c r="F120" t="s">
        <v>1588</v>
      </c>
      <c r="G120" t="s">
        <v>62</v>
      </c>
      <c r="H120" t="s">
        <v>1589</v>
      </c>
      <c r="I120" t="s">
        <v>1590</v>
      </c>
      <c r="J120" t="s">
        <v>1590</v>
      </c>
      <c r="K120" t="s">
        <v>1590</v>
      </c>
      <c r="L120" t="s">
        <v>1591</v>
      </c>
      <c r="M120">
        <v>2925000</v>
      </c>
      <c r="N120">
        <v>3900000</v>
      </c>
      <c r="O120" t="s">
        <v>1592</v>
      </c>
      <c r="P120" t="s">
        <v>1360</v>
      </c>
      <c r="Q120" t="s">
        <v>1593</v>
      </c>
      <c r="R120" t="s">
        <v>1594</v>
      </c>
      <c r="S120" t="s">
        <v>660</v>
      </c>
      <c r="T120" t="s">
        <v>73</v>
      </c>
      <c r="U120" t="s">
        <v>1595</v>
      </c>
      <c r="V120" t="s">
        <v>617</v>
      </c>
      <c r="W120" s="1">
        <v>44039</v>
      </c>
      <c r="X120" t="s">
        <v>1215</v>
      </c>
      <c r="Y120" t="s">
        <v>1216</v>
      </c>
      <c r="Z120" t="s">
        <v>1596</v>
      </c>
      <c r="AA120">
        <v>5</v>
      </c>
      <c r="AB120" t="s">
        <v>56</v>
      </c>
      <c r="AC120" t="s">
        <v>1597</v>
      </c>
      <c r="AD120" t="s">
        <v>379</v>
      </c>
      <c r="AE120" t="s">
        <v>59</v>
      </c>
      <c r="AF120">
        <v>2925000</v>
      </c>
      <c r="AG120" s="6">
        <v>58500</v>
      </c>
      <c r="AK120" t="s">
        <v>4584</v>
      </c>
      <c r="AL120" s="6">
        <v>58500</v>
      </c>
      <c r="AM120" s="7">
        <f>Table6[[#This Row],[Premium]]-Table6[[#This Row],[Tms Prem]]</f>
        <v>0</v>
      </c>
    </row>
    <row r="121" spans="1:39" x14ac:dyDescent="0.25">
      <c r="A121">
        <v>120</v>
      </c>
      <c r="B121" t="s">
        <v>36</v>
      </c>
      <c r="C121" t="s">
        <v>1598</v>
      </c>
      <c r="D121" t="s">
        <v>38</v>
      </c>
      <c r="E121" t="s">
        <v>39</v>
      </c>
      <c r="F121" t="s">
        <v>1599</v>
      </c>
      <c r="G121" t="s">
        <v>62</v>
      </c>
      <c r="H121" t="s">
        <v>1600</v>
      </c>
      <c r="I121" t="s">
        <v>1601</v>
      </c>
      <c r="J121" t="s">
        <v>1601</v>
      </c>
      <c r="K121" t="s">
        <v>1601</v>
      </c>
      <c r="L121" t="s">
        <v>1602</v>
      </c>
      <c r="M121">
        <v>1271250</v>
      </c>
      <c r="N121">
        <v>1695000</v>
      </c>
      <c r="O121" t="s">
        <v>1603</v>
      </c>
      <c r="P121" t="s">
        <v>1604</v>
      </c>
      <c r="Q121" t="s">
        <v>1605</v>
      </c>
      <c r="R121" t="s">
        <v>1606</v>
      </c>
      <c r="S121" t="s">
        <v>72</v>
      </c>
      <c r="T121" t="s">
        <v>73</v>
      </c>
      <c r="U121" t="s">
        <v>1607</v>
      </c>
      <c r="V121" t="s">
        <v>153</v>
      </c>
      <c r="W121" s="1">
        <v>44040</v>
      </c>
      <c r="X121" t="s">
        <v>1215</v>
      </c>
      <c r="Y121" t="s">
        <v>1216</v>
      </c>
      <c r="Z121" t="s">
        <v>1608</v>
      </c>
      <c r="AA121">
        <v>5</v>
      </c>
      <c r="AB121" t="s">
        <v>56</v>
      </c>
      <c r="AC121" t="s">
        <v>1609</v>
      </c>
      <c r="AD121" t="s">
        <v>379</v>
      </c>
      <c r="AE121" t="s">
        <v>59</v>
      </c>
      <c r="AF121">
        <v>1271250</v>
      </c>
      <c r="AG121" s="6">
        <v>25425</v>
      </c>
      <c r="AK121" t="s">
        <v>4585</v>
      </c>
      <c r="AL121" s="6">
        <v>25425</v>
      </c>
      <c r="AM121" s="7">
        <f>Table6[[#This Row],[Premium]]-Table6[[#This Row],[Tms Prem]]</f>
        <v>0</v>
      </c>
    </row>
    <row r="122" spans="1:39" x14ac:dyDescent="0.25">
      <c r="A122">
        <v>121</v>
      </c>
      <c r="B122" t="s">
        <v>36</v>
      </c>
      <c r="C122" t="s">
        <v>1610</v>
      </c>
      <c r="D122" t="s">
        <v>38</v>
      </c>
      <c r="E122" t="s">
        <v>39</v>
      </c>
      <c r="F122" t="s">
        <v>1611</v>
      </c>
      <c r="G122" t="s">
        <v>189</v>
      </c>
      <c r="H122" t="s">
        <v>1612</v>
      </c>
      <c r="I122" t="s">
        <v>73</v>
      </c>
      <c r="J122" t="s">
        <v>1613</v>
      </c>
      <c r="K122" t="s">
        <v>73</v>
      </c>
      <c r="L122" t="s">
        <v>1614</v>
      </c>
      <c r="M122">
        <v>1187520</v>
      </c>
      <c r="N122">
        <v>2474000</v>
      </c>
      <c r="O122" t="s">
        <v>1615</v>
      </c>
      <c r="P122" t="s">
        <v>902</v>
      </c>
      <c r="Q122" t="s">
        <v>1616</v>
      </c>
      <c r="R122" t="s">
        <v>1617</v>
      </c>
      <c r="S122" t="s">
        <v>72</v>
      </c>
      <c r="T122" t="s">
        <v>73</v>
      </c>
      <c r="U122" t="s">
        <v>168</v>
      </c>
      <c r="V122" t="s">
        <v>106</v>
      </c>
      <c r="W122" s="1">
        <v>44672</v>
      </c>
      <c r="X122" t="s">
        <v>447</v>
      </c>
      <c r="Y122" t="s">
        <v>631</v>
      </c>
      <c r="Z122" t="s">
        <v>1618</v>
      </c>
      <c r="AA122">
        <v>7</v>
      </c>
      <c r="AB122" t="s">
        <v>199</v>
      </c>
      <c r="AC122" t="s">
        <v>1619</v>
      </c>
      <c r="AD122" t="s">
        <v>1620</v>
      </c>
      <c r="AE122" t="s">
        <v>266</v>
      </c>
      <c r="AF122">
        <v>2102900</v>
      </c>
      <c r="AG122" s="6">
        <v>31544</v>
      </c>
      <c r="AK122" t="s">
        <v>4586</v>
      </c>
      <c r="AL122" s="6">
        <v>31544</v>
      </c>
      <c r="AM122" s="7">
        <f>Table6[[#This Row],[Premium]]-Table6[[#This Row],[Tms Prem]]</f>
        <v>0</v>
      </c>
    </row>
    <row r="123" spans="1:39" x14ac:dyDescent="0.25">
      <c r="A123">
        <v>122</v>
      </c>
      <c r="B123" t="s">
        <v>36</v>
      </c>
      <c r="C123" t="s">
        <v>1621</v>
      </c>
      <c r="D123" t="s">
        <v>38</v>
      </c>
      <c r="E123" t="s">
        <v>39</v>
      </c>
      <c r="F123" t="s">
        <v>1622</v>
      </c>
      <c r="G123" t="s">
        <v>189</v>
      </c>
      <c r="H123" t="s">
        <v>1623</v>
      </c>
      <c r="I123" t="s">
        <v>1624</v>
      </c>
      <c r="J123" t="s">
        <v>1625</v>
      </c>
      <c r="K123" t="s">
        <v>1626</v>
      </c>
      <c r="L123" t="s">
        <v>1627</v>
      </c>
      <c r="M123">
        <v>1118600</v>
      </c>
      <c r="N123">
        <v>1598000</v>
      </c>
      <c r="O123" t="s">
        <v>1628</v>
      </c>
      <c r="P123" t="s">
        <v>1629</v>
      </c>
      <c r="Q123" t="s">
        <v>1630</v>
      </c>
      <c r="R123" t="s">
        <v>1631</v>
      </c>
      <c r="S123" t="s">
        <v>72</v>
      </c>
      <c r="T123" t="s">
        <v>73</v>
      </c>
      <c r="U123" t="s">
        <v>1632</v>
      </c>
      <c r="V123" t="s">
        <v>153</v>
      </c>
      <c r="W123" s="1">
        <v>44040</v>
      </c>
      <c r="X123" t="s">
        <v>1215</v>
      </c>
      <c r="Y123" t="s">
        <v>1216</v>
      </c>
      <c r="Z123" t="s">
        <v>1633</v>
      </c>
      <c r="AA123">
        <v>5</v>
      </c>
      <c r="AB123" t="s">
        <v>56</v>
      </c>
      <c r="AC123" t="s">
        <v>1634</v>
      </c>
      <c r="AD123" t="s">
        <v>393</v>
      </c>
      <c r="AE123" t="s">
        <v>668</v>
      </c>
      <c r="AF123">
        <v>1198500</v>
      </c>
      <c r="AG123" s="6">
        <v>29963</v>
      </c>
      <c r="AK123" t="s">
        <v>4587</v>
      </c>
      <c r="AL123" s="6">
        <v>29963</v>
      </c>
      <c r="AM123" s="7">
        <f>Table6[[#This Row],[Premium]]-Table6[[#This Row],[Tms Prem]]</f>
        <v>0</v>
      </c>
    </row>
    <row r="124" spans="1:39" x14ac:dyDescent="0.25">
      <c r="A124">
        <v>123</v>
      </c>
      <c r="B124" t="s">
        <v>36</v>
      </c>
      <c r="C124" t="s">
        <v>1635</v>
      </c>
      <c r="D124" t="s">
        <v>38</v>
      </c>
      <c r="E124" t="s">
        <v>39</v>
      </c>
      <c r="F124" t="s">
        <v>1636</v>
      </c>
      <c r="G124" t="s">
        <v>62</v>
      </c>
      <c r="H124" t="s">
        <v>1637</v>
      </c>
      <c r="I124" t="s">
        <v>1638</v>
      </c>
      <c r="J124" t="s">
        <v>1638</v>
      </c>
      <c r="K124" t="s">
        <v>1638</v>
      </c>
      <c r="L124" t="s">
        <v>1639</v>
      </c>
      <c r="M124">
        <v>1358300</v>
      </c>
      <c r="N124">
        <v>1598000</v>
      </c>
      <c r="O124" t="s">
        <v>1640</v>
      </c>
      <c r="P124" t="s">
        <v>1629</v>
      </c>
      <c r="Q124" t="s">
        <v>1641</v>
      </c>
      <c r="R124" t="s">
        <v>1642</v>
      </c>
      <c r="S124" t="s">
        <v>72</v>
      </c>
      <c r="T124" t="s">
        <v>73</v>
      </c>
      <c r="U124" t="s">
        <v>1643</v>
      </c>
      <c r="V124" t="s">
        <v>153</v>
      </c>
      <c r="W124" s="1">
        <v>44035</v>
      </c>
      <c r="X124" t="s">
        <v>1215</v>
      </c>
      <c r="Y124" t="s">
        <v>1216</v>
      </c>
      <c r="Z124" t="s">
        <v>1644</v>
      </c>
      <c r="AA124">
        <v>5</v>
      </c>
      <c r="AB124" t="s">
        <v>56</v>
      </c>
      <c r="AC124" t="s">
        <v>1645</v>
      </c>
      <c r="AD124" t="s">
        <v>1646</v>
      </c>
      <c r="AE124" t="s">
        <v>59</v>
      </c>
      <c r="AF124">
        <v>1198500</v>
      </c>
      <c r="AG124" s="6">
        <v>23970</v>
      </c>
      <c r="AK124" t="s">
        <v>4588</v>
      </c>
      <c r="AL124" s="6">
        <v>23970</v>
      </c>
      <c r="AM124" s="7">
        <f>Table6[[#This Row],[Premium]]-Table6[[#This Row],[Tms Prem]]</f>
        <v>0</v>
      </c>
    </row>
    <row r="125" spans="1:39" x14ac:dyDescent="0.25">
      <c r="A125">
        <v>124</v>
      </c>
      <c r="B125" t="s">
        <v>36</v>
      </c>
      <c r="C125" t="s">
        <v>1647</v>
      </c>
      <c r="D125" t="s">
        <v>38</v>
      </c>
      <c r="E125" t="s">
        <v>39</v>
      </c>
      <c r="F125" t="s">
        <v>1648</v>
      </c>
      <c r="G125" t="s">
        <v>115</v>
      </c>
      <c r="H125" t="s">
        <v>1649</v>
      </c>
      <c r="I125" t="s">
        <v>73</v>
      </c>
      <c r="J125" t="s">
        <v>1650</v>
      </c>
      <c r="K125" t="s">
        <v>73</v>
      </c>
      <c r="L125" t="s">
        <v>1651</v>
      </c>
      <c r="M125">
        <v>1527500</v>
      </c>
      <c r="N125">
        <v>2350000</v>
      </c>
      <c r="O125" t="s">
        <v>1652</v>
      </c>
      <c r="P125" t="s">
        <v>744</v>
      </c>
      <c r="Q125" t="s">
        <v>1653</v>
      </c>
      <c r="R125" t="s">
        <v>1654</v>
      </c>
      <c r="S125" t="s">
        <v>49</v>
      </c>
      <c r="T125" t="s">
        <v>1655</v>
      </c>
      <c r="U125" t="s">
        <v>276</v>
      </c>
      <c r="V125" t="s">
        <v>52</v>
      </c>
      <c r="W125" s="1">
        <v>45121</v>
      </c>
      <c r="X125" t="s">
        <v>945</v>
      </c>
      <c r="Y125" t="s">
        <v>155</v>
      </c>
      <c r="Z125" t="s">
        <v>1656</v>
      </c>
      <c r="AA125">
        <v>3</v>
      </c>
      <c r="AB125" t="s">
        <v>263</v>
      </c>
      <c r="AC125" t="s">
        <v>1657</v>
      </c>
      <c r="AD125" t="s">
        <v>1142</v>
      </c>
      <c r="AE125" t="s">
        <v>319</v>
      </c>
      <c r="AF125">
        <v>2115000</v>
      </c>
      <c r="AG125" s="6">
        <v>37013</v>
      </c>
      <c r="AK125" t="s">
        <v>4589</v>
      </c>
      <c r="AL125" s="6">
        <v>37013</v>
      </c>
      <c r="AM125" s="7">
        <f>Table6[[#This Row],[Premium]]-Table6[[#This Row],[Tms Prem]]</f>
        <v>0</v>
      </c>
    </row>
    <row r="126" spans="1:39" x14ac:dyDescent="0.25">
      <c r="A126">
        <v>125</v>
      </c>
      <c r="B126" t="s">
        <v>36</v>
      </c>
      <c r="C126" t="s">
        <v>1658</v>
      </c>
      <c r="D126" t="s">
        <v>38</v>
      </c>
      <c r="E126" t="s">
        <v>39</v>
      </c>
      <c r="F126" t="s">
        <v>1659</v>
      </c>
      <c r="G126" t="s">
        <v>62</v>
      </c>
      <c r="H126" t="s">
        <v>1660</v>
      </c>
      <c r="I126" t="s">
        <v>1661</v>
      </c>
      <c r="J126" t="s">
        <v>1661</v>
      </c>
      <c r="K126" t="s">
        <v>1662</v>
      </c>
      <c r="L126" t="s">
        <v>1663</v>
      </c>
      <c r="M126">
        <v>1088000</v>
      </c>
      <c r="N126">
        <v>1360000</v>
      </c>
      <c r="O126" t="s">
        <v>1664</v>
      </c>
      <c r="P126" t="s">
        <v>462</v>
      </c>
      <c r="Q126" t="s">
        <v>1665</v>
      </c>
      <c r="R126" t="s">
        <v>1666</v>
      </c>
      <c r="S126" t="s">
        <v>49</v>
      </c>
      <c r="T126" t="s">
        <v>1667</v>
      </c>
      <c r="U126" t="s">
        <v>1298</v>
      </c>
      <c r="V126" t="s">
        <v>730</v>
      </c>
      <c r="W126" s="1">
        <v>43669</v>
      </c>
      <c r="X126" t="s">
        <v>1301</v>
      </c>
      <c r="Y126" t="s">
        <v>1216</v>
      </c>
      <c r="Z126" t="s">
        <v>1668</v>
      </c>
      <c r="AA126">
        <v>6</v>
      </c>
      <c r="AB126" t="s">
        <v>56</v>
      </c>
      <c r="AC126" t="s">
        <v>1669</v>
      </c>
      <c r="AD126" t="s">
        <v>1670</v>
      </c>
      <c r="AE126" t="s">
        <v>668</v>
      </c>
      <c r="AF126">
        <v>952000</v>
      </c>
      <c r="AG126" s="6">
        <v>23800</v>
      </c>
      <c r="AK126" t="s">
        <v>4590</v>
      </c>
      <c r="AL126" s="6">
        <v>23800</v>
      </c>
      <c r="AM126" s="7">
        <f>Table6[[#This Row],[Premium]]-Table6[[#This Row],[Tms Prem]]</f>
        <v>0</v>
      </c>
    </row>
    <row r="127" spans="1:39" x14ac:dyDescent="0.25">
      <c r="A127">
        <v>126</v>
      </c>
      <c r="B127" t="s">
        <v>36</v>
      </c>
      <c r="C127" t="s">
        <v>1671</v>
      </c>
      <c r="D127" t="s">
        <v>38</v>
      </c>
      <c r="E127" t="s">
        <v>39</v>
      </c>
      <c r="F127" t="s">
        <v>1672</v>
      </c>
      <c r="G127" t="s">
        <v>291</v>
      </c>
      <c r="H127" t="s">
        <v>1673</v>
      </c>
      <c r="I127" t="s">
        <v>1674</v>
      </c>
      <c r="J127" t="s">
        <v>1674</v>
      </c>
      <c r="K127" t="s">
        <v>1674</v>
      </c>
      <c r="L127" t="s">
        <v>1675</v>
      </c>
      <c r="M127">
        <v>1874600</v>
      </c>
      <c r="N127">
        <v>2678000</v>
      </c>
      <c r="O127" t="s">
        <v>1676</v>
      </c>
      <c r="P127" t="s">
        <v>107</v>
      </c>
      <c r="Q127" t="s">
        <v>1677</v>
      </c>
      <c r="R127" t="s">
        <v>1678</v>
      </c>
      <c r="S127" t="s">
        <v>72</v>
      </c>
      <c r="T127" t="s">
        <v>73</v>
      </c>
      <c r="U127" t="s">
        <v>1679</v>
      </c>
      <c r="V127" t="s">
        <v>153</v>
      </c>
      <c r="W127" s="1">
        <v>44035</v>
      </c>
      <c r="X127" t="s">
        <v>1215</v>
      </c>
      <c r="Y127" t="s">
        <v>1216</v>
      </c>
      <c r="Z127" t="s">
        <v>1680</v>
      </c>
      <c r="AA127">
        <v>5</v>
      </c>
      <c r="AB127" t="s">
        <v>110</v>
      </c>
      <c r="AC127" t="s">
        <v>1681</v>
      </c>
      <c r="AD127" t="s">
        <v>1682</v>
      </c>
      <c r="AE127" t="s">
        <v>59</v>
      </c>
      <c r="AF127">
        <v>2008500</v>
      </c>
      <c r="AG127" s="6">
        <v>40170</v>
      </c>
      <c r="AK127" t="s">
        <v>4591</v>
      </c>
      <c r="AL127" s="6">
        <v>40170</v>
      </c>
      <c r="AM127" s="7">
        <f>Table6[[#This Row],[Premium]]-Table6[[#This Row],[Tms Prem]]</f>
        <v>0</v>
      </c>
    </row>
    <row r="128" spans="1:39" x14ac:dyDescent="0.25">
      <c r="A128">
        <v>127</v>
      </c>
      <c r="B128" t="s">
        <v>36</v>
      </c>
      <c r="C128" t="s">
        <v>1683</v>
      </c>
      <c r="D128" t="s">
        <v>38</v>
      </c>
      <c r="E128" t="s">
        <v>39</v>
      </c>
      <c r="F128" t="s">
        <v>1684</v>
      </c>
      <c r="G128" t="s">
        <v>1497</v>
      </c>
      <c r="H128" t="s">
        <v>1685</v>
      </c>
      <c r="I128" t="s">
        <v>1686</v>
      </c>
      <c r="J128" t="s">
        <v>1686</v>
      </c>
      <c r="K128" t="s">
        <v>1687</v>
      </c>
      <c r="L128" t="s">
        <v>1688</v>
      </c>
      <c r="M128">
        <v>1900000</v>
      </c>
      <c r="N128">
        <v>2375000</v>
      </c>
      <c r="O128" t="s">
        <v>1689</v>
      </c>
      <c r="P128" t="s">
        <v>462</v>
      </c>
      <c r="Q128" t="s">
        <v>1690</v>
      </c>
      <c r="R128" t="s">
        <v>1691</v>
      </c>
      <c r="S128" t="s">
        <v>49</v>
      </c>
      <c r="T128" t="s">
        <v>1692</v>
      </c>
      <c r="U128" t="s">
        <v>1693</v>
      </c>
      <c r="V128" t="s">
        <v>617</v>
      </c>
      <c r="W128" s="1">
        <v>44033</v>
      </c>
      <c r="X128" t="s">
        <v>1682</v>
      </c>
      <c r="Y128" t="s">
        <v>358</v>
      </c>
      <c r="Z128" t="s">
        <v>1694</v>
      </c>
      <c r="AA128">
        <v>5</v>
      </c>
      <c r="AB128" t="s">
        <v>110</v>
      </c>
      <c r="AC128" t="s">
        <v>1695</v>
      </c>
      <c r="AD128" t="s">
        <v>1682</v>
      </c>
      <c r="AE128" t="s">
        <v>59</v>
      </c>
      <c r="AF128">
        <v>1781250</v>
      </c>
      <c r="AG128" s="6">
        <v>35625</v>
      </c>
      <c r="AK128" t="s">
        <v>4592</v>
      </c>
      <c r="AL128" s="6">
        <v>35625</v>
      </c>
      <c r="AM128" s="7">
        <f>Table6[[#This Row],[Premium]]-Table6[[#This Row],[Tms Prem]]</f>
        <v>0</v>
      </c>
    </row>
    <row r="129" spans="1:39" x14ac:dyDescent="0.25">
      <c r="A129">
        <v>128</v>
      </c>
      <c r="B129" t="s">
        <v>36</v>
      </c>
      <c r="C129" t="s">
        <v>1696</v>
      </c>
      <c r="D129" t="s">
        <v>38</v>
      </c>
      <c r="E129" t="s">
        <v>39</v>
      </c>
      <c r="F129" t="s">
        <v>1697</v>
      </c>
      <c r="G129" t="s">
        <v>97</v>
      </c>
      <c r="H129" t="s">
        <v>1698</v>
      </c>
      <c r="I129" t="s">
        <v>1699</v>
      </c>
      <c r="J129" t="s">
        <v>1700</v>
      </c>
      <c r="K129" t="s">
        <v>1701</v>
      </c>
      <c r="L129" t="s">
        <v>1702</v>
      </c>
      <c r="M129">
        <v>1356000</v>
      </c>
      <c r="N129">
        <v>1695000</v>
      </c>
      <c r="O129" t="s">
        <v>1703</v>
      </c>
      <c r="P129" t="s">
        <v>107</v>
      </c>
      <c r="Q129" t="s">
        <v>1704</v>
      </c>
      <c r="R129" t="s">
        <v>1705</v>
      </c>
      <c r="S129" t="s">
        <v>72</v>
      </c>
      <c r="T129" t="s">
        <v>73</v>
      </c>
      <c r="U129" t="s">
        <v>1298</v>
      </c>
      <c r="V129" t="s">
        <v>153</v>
      </c>
      <c r="W129" s="1">
        <v>44034</v>
      </c>
      <c r="X129" t="s">
        <v>1682</v>
      </c>
      <c r="Y129" t="s">
        <v>358</v>
      </c>
      <c r="Z129" t="s">
        <v>1706</v>
      </c>
      <c r="AA129">
        <v>5</v>
      </c>
      <c r="AB129" t="s">
        <v>56</v>
      </c>
      <c r="AC129" t="s">
        <v>1707</v>
      </c>
      <c r="AD129" t="s">
        <v>1682</v>
      </c>
      <c r="AE129" t="s">
        <v>59</v>
      </c>
      <c r="AF129">
        <v>1271250</v>
      </c>
      <c r="AG129" s="6">
        <v>25425</v>
      </c>
      <c r="AK129" t="s">
        <v>4593</v>
      </c>
      <c r="AL129" s="6">
        <v>25425</v>
      </c>
      <c r="AM129" s="7">
        <f>Table6[[#This Row],[Premium]]-Table6[[#This Row],[Tms Prem]]</f>
        <v>0</v>
      </c>
    </row>
    <row r="130" spans="1:39" x14ac:dyDescent="0.25">
      <c r="A130">
        <v>129</v>
      </c>
      <c r="B130" t="s">
        <v>36</v>
      </c>
      <c r="C130" t="s">
        <v>1708</v>
      </c>
      <c r="D130" t="s">
        <v>38</v>
      </c>
      <c r="E130" t="s">
        <v>39</v>
      </c>
      <c r="F130" t="s">
        <v>1709</v>
      </c>
      <c r="G130" t="s">
        <v>62</v>
      </c>
      <c r="H130" t="s">
        <v>1710</v>
      </c>
      <c r="I130" t="s">
        <v>1711</v>
      </c>
      <c r="J130" t="s">
        <v>1711</v>
      </c>
      <c r="K130" t="s">
        <v>1711</v>
      </c>
      <c r="L130" t="s">
        <v>1712</v>
      </c>
      <c r="M130">
        <v>893750</v>
      </c>
      <c r="N130">
        <v>1375000</v>
      </c>
      <c r="O130" t="s">
        <v>1713</v>
      </c>
      <c r="P130" t="s">
        <v>462</v>
      </c>
      <c r="Q130" t="s">
        <v>1714</v>
      </c>
      <c r="R130" t="s">
        <v>1715</v>
      </c>
      <c r="S130" t="s">
        <v>660</v>
      </c>
      <c r="T130" t="s">
        <v>73</v>
      </c>
      <c r="U130" t="s">
        <v>1716</v>
      </c>
      <c r="V130" t="s">
        <v>330</v>
      </c>
      <c r="W130" s="1">
        <v>44033</v>
      </c>
      <c r="X130" t="s">
        <v>1682</v>
      </c>
      <c r="Y130" t="s">
        <v>358</v>
      </c>
      <c r="Z130" t="s">
        <v>1717</v>
      </c>
      <c r="AA130">
        <v>5</v>
      </c>
      <c r="AB130" t="s">
        <v>56</v>
      </c>
      <c r="AC130" t="s">
        <v>1718</v>
      </c>
      <c r="AD130" t="s">
        <v>1719</v>
      </c>
      <c r="AE130" t="s">
        <v>59</v>
      </c>
      <c r="AF130">
        <v>1031250</v>
      </c>
      <c r="AG130" s="6">
        <v>20625</v>
      </c>
      <c r="AK130" t="s">
        <v>4594</v>
      </c>
      <c r="AL130" s="6">
        <v>20625</v>
      </c>
      <c r="AM130" s="7">
        <f>Table6[[#This Row],[Premium]]-Table6[[#This Row],[Tms Prem]]</f>
        <v>0</v>
      </c>
    </row>
    <row r="131" spans="1:39" hidden="1" x14ac:dyDescent="0.25">
      <c r="A131">
        <v>130</v>
      </c>
      <c r="B131" t="s">
        <v>36</v>
      </c>
      <c r="C131" t="s">
        <v>1720</v>
      </c>
      <c r="D131" t="s">
        <v>38</v>
      </c>
      <c r="E131" t="s">
        <v>39</v>
      </c>
      <c r="F131" t="s">
        <v>1721</v>
      </c>
      <c r="G131" t="s">
        <v>62</v>
      </c>
      <c r="H131" t="s">
        <v>1722</v>
      </c>
      <c r="I131" t="s">
        <v>1723</v>
      </c>
      <c r="J131" t="s">
        <v>1723</v>
      </c>
      <c r="K131" t="s">
        <v>1724</v>
      </c>
      <c r="L131" t="s">
        <v>1725</v>
      </c>
      <c r="M131">
        <v>800000</v>
      </c>
      <c r="N131">
        <v>1000000</v>
      </c>
      <c r="O131" t="s">
        <v>1726</v>
      </c>
      <c r="P131" t="s">
        <v>107</v>
      </c>
      <c r="Q131" t="s">
        <v>1727</v>
      </c>
      <c r="R131" t="s">
        <v>1728</v>
      </c>
      <c r="S131" t="s">
        <v>49</v>
      </c>
      <c r="T131" t="s">
        <v>73</v>
      </c>
      <c r="U131" t="s">
        <v>1729</v>
      </c>
      <c r="V131" t="s">
        <v>330</v>
      </c>
      <c r="W131" s="1">
        <v>42937</v>
      </c>
      <c r="X131" t="s">
        <v>1730</v>
      </c>
      <c r="Y131" t="s">
        <v>700</v>
      </c>
      <c r="Z131" t="s">
        <v>1731</v>
      </c>
      <c r="AA131">
        <v>7</v>
      </c>
      <c r="AB131" t="s">
        <v>56</v>
      </c>
      <c r="AC131" t="s">
        <v>1732</v>
      </c>
      <c r="AD131" t="s">
        <v>1730</v>
      </c>
      <c r="AE131" t="s">
        <v>736</v>
      </c>
      <c r="AF131">
        <v>600000</v>
      </c>
      <c r="AG131" s="6">
        <v>0</v>
      </c>
      <c r="AK131" t="e">
        <v>#N/A</v>
      </c>
      <c r="AL131" s="6" t="e">
        <v>#N/A</v>
      </c>
      <c r="AM131" s="7" t="e">
        <f>Table6[[#This Row],[Premium]]-Table6[[#This Row],[Tms Prem]]</f>
        <v>#N/A</v>
      </c>
    </row>
    <row r="132" spans="1:39" hidden="1" x14ac:dyDescent="0.25">
      <c r="A132">
        <v>131</v>
      </c>
      <c r="B132" t="s">
        <v>36</v>
      </c>
      <c r="C132" t="s">
        <v>1733</v>
      </c>
      <c r="D132" t="s">
        <v>38</v>
      </c>
      <c r="E132" t="s">
        <v>39</v>
      </c>
      <c r="F132" t="s">
        <v>1734</v>
      </c>
      <c r="G132" t="s">
        <v>97</v>
      </c>
      <c r="H132" t="s">
        <v>1735</v>
      </c>
      <c r="I132" t="s">
        <v>1736</v>
      </c>
      <c r="J132" t="s">
        <v>73</v>
      </c>
      <c r="K132" t="s">
        <v>1737</v>
      </c>
      <c r="L132" t="s">
        <v>1738</v>
      </c>
      <c r="M132">
        <v>3125600</v>
      </c>
      <c r="N132">
        <v>3907000</v>
      </c>
      <c r="O132" t="s">
        <v>1739</v>
      </c>
      <c r="P132" t="s">
        <v>1740</v>
      </c>
      <c r="Q132" t="s">
        <v>1741</v>
      </c>
      <c r="R132" t="s">
        <v>1742</v>
      </c>
      <c r="S132" t="s">
        <v>72</v>
      </c>
      <c r="T132" t="s">
        <v>73</v>
      </c>
      <c r="U132" t="s">
        <v>1743</v>
      </c>
      <c r="V132" t="s">
        <v>52</v>
      </c>
      <c r="W132" s="1">
        <v>43668</v>
      </c>
      <c r="X132" t="s">
        <v>1744</v>
      </c>
      <c r="Y132" t="s">
        <v>700</v>
      </c>
      <c r="Z132" t="s">
        <v>1745</v>
      </c>
      <c r="AA132">
        <v>5</v>
      </c>
      <c r="AB132" t="s">
        <v>56</v>
      </c>
      <c r="AC132" t="s">
        <v>1746</v>
      </c>
      <c r="AD132" t="s">
        <v>1747</v>
      </c>
      <c r="AE132" t="s">
        <v>668</v>
      </c>
      <c r="AF132">
        <v>2344200</v>
      </c>
      <c r="AG132" s="6">
        <v>0</v>
      </c>
      <c r="AK132" t="e">
        <v>#N/A</v>
      </c>
      <c r="AL132" s="6" t="e">
        <v>#N/A</v>
      </c>
      <c r="AM132" s="7" t="e">
        <f>Table6[[#This Row],[Premium]]-Table6[[#This Row],[Tms Prem]]</f>
        <v>#N/A</v>
      </c>
    </row>
    <row r="133" spans="1:39" x14ac:dyDescent="0.25">
      <c r="A133">
        <v>132</v>
      </c>
      <c r="B133" t="s">
        <v>36</v>
      </c>
      <c r="C133" t="s">
        <v>1748</v>
      </c>
      <c r="D133" t="s">
        <v>38</v>
      </c>
      <c r="E133" t="s">
        <v>39</v>
      </c>
      <c r="F133" t="s">
        <v>1749</v>
      </c>
      <c r="G133" t="s">
        <v>189</v>
      </c>
      <c r="H133" t="s">
        <v>1750</v>
      </c>
      <c r="I133" t="s">
        <v>1751</v>
      </c>
      <c r="J133" t="s">
        <v>1752</v>
      </c>
      <c r="K133" t="s">
        <v>1751</v>
      </c>
      <c r="L133" t="s">
        <v>1753</v>
      </c>
      <c r="M133">
        <v>1489257</v>
      </c>
      <c r="N133">
        <v>1912000</v>
      </c>
      <c r="O133" t="s">
        <v>1754</v>
      </c>
      <c r="P133" t="s">
        <v>1755</v>
      </c>
      <c r="Q133" t="s">
        <v>1756</v>
      </c>
      <c r="R133" t="s">
        <v>1757</v>
      </c>
      <c r="S133" t="s">
        <v>72</v>
      </c>
      <c r="T133" t="s">
        <v>73</v>
      </c>
      <c r="U133" t="s">
        <v>1758</v>
      </c>
      <c r="V133" t="s">
        <v>617</v>
      </c>
      <c r="W133" s="1">
        <v>43007</v>
      </c>
      <c r="X133" t="s">
        <v>855</v>
      </c>
      <c r="Y133" t="s">
        <v>184</v>
      </c>
      <c r="Z133" t="s">
        <v>1759</v>
      </c>
      <c r="AA133">
        <v>7</v>
      </c>
      <c r="AB133" t="s">
        <v>947</v>
      </c>
      <c r="AC133" t="s">
        <v>1760</v>
      </c>
      <c r="AD133" t="s">
        <v>1761</v>
      </c>
      <c r="AE133" t="s">
        <v>1762</v>
      </c>
      <c r="AF133">
        <v>1242800</v>
      </c>
      <c r="AG133" s="6">
        <v>33556</v>
      </c>
      <c r="AK133" t="s">
        <v>4595</v>
      </c>
      <c r="AL133" s="6">
        <v>33556</v>
      </c>
      <c r="AM133" s="7">
        <f>Table6[[#This Row],[Premium]]-Table6[[#This Row],[Tms Prem]]</f>
        <v>0</v>
      </c>
    </row>
    <row r="134" spans="1:39" x14ac:dyDescent="0.25">
      <c r="A134">
        <v>133</v>
      </c>
      <c r="B134" t="s">
        <v>36</v>
      </c>
      <c r="C134" t="s">
        <v>1763</v>
      </c>
      <c r="D134" t="s">
        <v>38</v>
      </c>
      <c r="E134" t="s">
        <v>39</v>
      </c>
      <c r="F134" t="s">
        <v>1764</v>
      </c>
      <c r="G134" t="s">
        <v>131</v>
      </c>
      <c r="H134" t="s">
        <v>1765</v>
      </c>
      <c r="I134" t="s">
        <v>1766</v>
      </c>
      <c r="J134" t="s">
        <v>73</v>
      </c>
      <c r="K134" t="s">
        <v>1767</v>
      </c>
      <c r="L134" t="s">
        <v>1768</v>
      </c>
      <c r="M134">
        <v>553800</v>
      </c>
      <c r="N134">
        <v>923000</v>
      </c>
      <c r="O134" t="s">
        <v>1769</v>
      </c>
      <c r="P134" t="s">
        <v>589</v>
      </c>
      <c r="Q134" t="s">
        <v>1770</v>
      </c>
      <c r="R134" t="s">
        <v>1771</v>
      </c>
      <c r="S134" t="s">
        <v>72</v>
      </c>
      <c r="T134" t="s">
        <v>73</v>
      </c>
      <c r="U134" t="s">
        <v>881</v>
      </c>
      <c r="V134" t="s">
        <v>52</v>
      </c>
      <c r="W134" s="1">
        <v>43668</v>
      </c>
      <c r="X134" t="s">
        <v>1744</v>
      </c>
      <c r="Y134" t="s">
        <v>358</v>
      </c>
      <c r="Z134" t="s">
        <v>1772</v>
      </c>
      <c r="AA134">
        <v>6</v>
      </c>
      <c r="AB134" t="s">
        <v>56</v>
      </c>
      <c r="AC134" t="s">
        <v>1773</v>
      </c>
      <c r="AD134" t="s">
        <v>1774</v>
      </c>
      <c r="AE134" t="s">
        <v>668</v>
      </c>
      <c r="AF134">
        <v>646100</v>
      </c>
      <c r="AG134" s="6">
        <v>16153</v>
      </c>
      <c r="AK134" t="s">
        <v>4596</v>
      </c>
      <c r="AL134" s="6">
        <v>16153</v>
      </c>
      <c r="AM134" s="7">
        <f>Table6[[#This Row],[Premium]]-Table6[[#This Row],[Tms Prem]]</f>
        <v>0</v>
      </c>
    </row>
    <row r="135" spans="1:39" x14ac:dyDescent="0.25">
      <c r="A135">
        <v>134</v>
      </c>
      <c r="B135" t="s">
        <v>36</v>
      </c>
      <c r="C135" t="s">
        <v>1775</v>
      </c>
      <c r="D135" t="s">
        <v>38</v>
      </c>
      <c r="E135" t="s">
        <v>39</v>
      </c>
      <c r="F135" t="s">
        <v>1776</v>
      </c>
      <c r="G135" t="s">
        <v>622</v>
      </c>
      <c r="H135" t="s">
        <v>1777</v>
      </c>
      <c r="I135" t="s">
        <v>1778</v>
      </c>
      <c r="J135" t="s">
        <v>1778</v>
      </c>
      <c r="K135" t="s">
        <v>1778</v>
      </c>
      <c r="L135" t="s">
        <v>1779</v>
      </c>
      <c r="M135">
        <v>1851500</v>
      </c>
      <c r="N135">
        <v>2645000</v>
      </c>
      <c r="O135" t="s">
        <v>1780</v>
      </c>
      <c r="P135" t="s">
        <v>1604</v>
      </c>
      <c r="Q135" t="s">
        <v>1781</v>
      </c>
      <c r="R135" t="s">
        <v>1782</v>
      </c>
      <c r="S135" t="s">
        <v>72</v>
      </c>
      <c r="T135" t="s">
        <v>73</v>
      </c>
      <c r="U135" t="s">
        <v>1783</v>
      </c>
      <c r="V135" t="s">
        <v>75</v>
      </c>
      <c r="W135" s="1">
        <v>44394</v>
      </c>
      <c r="X135" t="s">
        <v>154</v>
      </c>
      <c r="Y135" t="s">
        <v>155</v>
      </c>
      <c r="Z135" t="s">
        <v>1784</v>
      </c>
      <c r="AA135">
        <v>5</v>
      </c>
      <c r="AB135" t="s">
        <v>110</v>
      </c>
      <c r="AC135" t="s">
        <v>1785</v>
      </c>
      <c r="AD135" t="s">
        <v>570</v>
      </c>
      <c r="AE135" t="s">
        <v>59</v>
      </c>
      <c r="AF135">
        <v>2116000</v>
      </c>
      <c r="AG135" s="6">
        <v>42320</v>
      </c>
      <c r="AK135" t="s">
        <v>4597</v>
      </c>
      <c r="AL135" s="6">
        <v>42320</v>
      </c>
      <c r="AM135" s="7">
        <f>Table6[[#This Row],[Premium]]-Table6[[#This Row],[Tms Prem]]</f>
        <v>0</v>
      </c>
    </row>
    <row r="136" spans="1:39" x14ac:dyDescent="0.25">
      <c r="A136">
        <v>135</v>
      </c>
      <c r="B136" t="s">
        <v>36</v>
      </c>
      <c r="C136" t="s">
        <v>1786</v>
      </c>
      <c r="D136" t="s">
        <v>38</v>
      </c>
      <c r="E136" t="s">
        <v>39</v>
      </c>
      <c r="F136" t="s">
        <v>1787</v>
      </c>
      <c r="G136" t="s">
        <v>62</v>
      </c>
      <c r="H136" t="s">
        <v>1788</v>
      </c>
      <c r="I136" t="s">
        <v>73</v>
      </c>
      <c r="J136" t="s">
        <v>1789</v>
      </c>
      <c r="K136" t="s">
        <v>73</v>
      </c>
      <c r="L136" t="s">
        <v>1790</v>
      </c>
      <c r="M136">
        <v>2102250</v>
      </c>
      <c r="N136">
        <v>2803000</v>
      </c>
      <c r="O136" t="s">
        <v>1791</v>
      </c>
      <c r="P136" t="s">
        <v>1740</v>
      </c>
      <c r="Q136" t="s">
        <v>1792</v>
      </c>
      <c r="R136" t="s">
        <v>1793</v>
      </c>
      <c r="S136" t="s">
        <v>72</v>
      </c>
      <c r="T136" t="s">
        <v>73</v>
      </c>
      <c r="U136" t="s">
        <v>643</v>
      </c>
      <c r="V136" t="s">
        <v>75</v>
      </c>
      <c r="W136" s="1">
        <v>44316</v>
      </c>
      <c r="X136" t="s">
        <v>183</v>
      </c>
      <c r="Y136" t="s">
        <v>1794</v>
      </c>
      <c r="Z136" t="s">
        <v>1795</v>
      </c>
      <c r="AA136">
        <v>7</v>
      </c>
      <c r="AB136" t="s">
        <v>56</v>
      </c>
      <c r="AC136" t="s">
        <v>1796</v>
      </c>
      <c r="AD136" t="s">
        <v>1028</v>
      </c>
      <c r="AE136" t="s">
        <v>59</v>
      </c>
      <c r="AF136">
        <v>2242400</v>
      </c>
      <c r="AG136" s="6">
        <v>44848</v>
      </c>
      <c r="AK136" t="s">
        <v>4598</v>
      </c>
      <c r="AL136" s="6">
        <v>44848</v>
      </c>
      <c r="AM136" s="7">
        <f>Table6[[#This Row],[Premium]]-Table6[[#This Row],[Tms Prem]]</f>
        <v>0</v>
      </c>
    </row>
    <row r="137" spans="1:39" x14ac:dyDescent="0.25">
      <c r="A137">
        <v>136</v>
      </c>
      <c r="B137" t="s">
        <v>36</v>
      </c>
      <c r="C137" t="s">
        <v>1797</v>
      </c>
      <c r="D137" t="s">
        <v>38</v>
      </c>
      <c r="E137" t="s">
        <v>39</v>
      </c>
      <c r="F137" t="s">
        <v>1798</v>
      </c>
      <c r="G137" t="s">
        <v>115</v>
      </c>
      <c r="H137" t="s">
        <v>1799</v>
      </c>
      <c r="I137" t="s">
        <v>73</v>
      </c>
      <c r="J137" t="s">
        <v>1800</v>
      </c>
      <c r="K137" t="s">
        <v>73</v>
      </c>
      <c r="L137" t="s">
        <v>1801</v>
      </c>
      <c r="M137">
        <v>2220000</v>
      </c>
      <c r="N137">
        <v>2775000</v>
      </c>
      <c r="O137" t="s">
        <v>1802</v>
      </c>
      <c r="P137" t="s">
        <v>1803</v>
      </c>
      <c r="Q137" t="s">
        <v>1804</v>
      </c>
      <c r="R137" t="s">
        <v>1805</v>
      </c>
      <c r="S137" t="s">
        <v>72</v>
      </c>
      <c r="T137" t="s">
        <v>73</v>
      </c>
      <c r="U137" t="s">
        <v>1806</v>
      </c>
      <c r="V137" t="s">
        <v>75</v>
      </c>
      <c r="W137" s="1">
        <v>44313</v>
      </c>
      <c r="X137" t="s">
        <v>183</v>
      </c>
      <c r="Y137" t="s">
        <v>760</v>
      </c>
      <c r="Z137" t="s">
        <v>1807</v>
      </c>
      <c r="AA137">
        <v>5</v>
      </c>
      <c r="AB137" t="s">
        <v>56</v>
      </c>
      <c r="AC137" t="s">
        <v>1808</v>
      </c>
      <c r="AD137" t="s">
        <v>1028</v>
      </c>
      <c r="AE137" t="s">
        <v>59</v>
      </c>
      <c r="AF137">
        <v>2220000</v>
      </c>
      <c r="AG137" s="6">
        <v>44400</v>
      </c>
      <c r="AK137" t="s">
        <v>4599</v>
      </c>
      <c r="AL137" s="6">
        <v>44400</v>
      </c>
      <c r="AM137" s="7">
        <f>Table6[[#This Row],[Premium]]-Table6[[#This Row],[Tms Prem]]</f>
        <v>0</v>
      </c>
    </row>
    <row r="138" spans="1:39" x14ac:dyDescent="0.25">
      <c r="A138">
        <v>137</v>
      </c>
      <c r="B138" t="s">
        <v>36</v>
      </c>
      <c r="C138" t="s">
        <v>1809</v>
      </c>
      <c r="D138" t="s">
        <v>38</v>
      </c>
      <c r="E138" t="s">
        <v>39</v>
      </c>
      <c r="F138" t="s">
        <v>1810</v>
      </c>
      <c r="G138" t="s">
        <v>41</v>
      </c>
      <c r="H138" t="s">
        <v>1811</v>
      </c>
      <c r="I138" t="s">
        <v>73</v>
      </c>
      <c r="J138" t="s">
        <v>1812</v>
      </c>
      <c r="K138" t="s">
        <v>73</v>
      </c>
      <c r="L138" t="s">
        <v>1813</v>
      </c>
      <c r="M138">
        <v>3237600</v>
      </c>
      <c r="N138">
        <v>4047000</v>
      </c>
      <c r="O138" t="s">
        <v>1814</v>
      </c>
      <c r="P138" t="s">
        <v>1360</v>
      </c>
      <c r="Q138" t="s">
        <v>1815</v>
      </c>
      <c r="R138" t="s">
        <v>1816</v>
      </c>
      <c r="S138" t="s">
        <v>72</v>
      </c>
      <c r="T138" t="s">
        <v>73</v>
      </c>
      <c r="U138" t="s">
        <v>1817</v>
      </c>
      <c r="V138" t="s">
        <v>153</v>
      </c>
      <c r="W138" s="1">
        <v>44033</v>
      </c>
      <c r="X138" t="s">
        <v>1682</v>
      </c>
      <c r="Y138" t="s">
        <v>358</v>
      </c>
      <c r="Z138" t="s">
        <v>1818</v>
      </c>
      <c r="AA138">
        <v>5</v>
      </c>
      <c r="AB138" t="s">
        <v>110</v>
      </c>
      <c r="AC138" t="s">
        <v>1819</v>
      </c>
      <c r="AD138" t="s">
        <v>296</v>
      </c>
      <c r="AE138" t="s">
        <v>266</v>
      </c>
      <c r="AF138">
        <v>3035250</v>
      </c>
      <c r="AG138" s="6">
        <v>45529</v>
      </c>
      <c r="AK138" t="s">
        <v>4600</v>
      </c>
      <c r="AL138" s="6">
        <v>45529</v>
      </c>
      <c r="AM138" s="7">
        <f>Table6[[#This Row],[Premium]]-Table6[[#This Row],[Tms Prem]]</f>
        <v>0</v>
      </c>
    </row>
    <row r="139" spans="1:39" x14ac:dyDescent="0.25">
      <c r="A139">
        <v>138</v>
      </c>
      <c r="B139" t="s">
        <v>36</v>
      </c>
      <c r="C139" t="s">
        <v>1820</v>
      </c>
      <c r="D139" t="s">
        <v>38</v>
      </c>
      <c r="E139" t="s">
        <v>39</v>
      </c>
      <c r="F139" t="s">
        <v>1821</v>
      </c>
      <c r="G139" t="s">
        <v>241</v>
      </c>
      <c r="H139" t="s">
        <v>1822</v>
      </c>
      <c r="I139" t="s">
        <v>1823</v>
      </c>
      <c r="J139" t="s">
        <v>1823</v>
      </c>
      <c r="K139" t="s">
        <v>1824</v>
      </c>
      <c r="L139" t="s">
        <v>1825</v>
      </c>
      <c r="M139">
        <v>2240000</v>
      </c>
      <c r="N139">
        <v>3200000</v>
      </c>
      <c r="O139" t="s">
        <v>1826</v>
      </c>
      <c r="P139" t="s">
        <v>1620</v>
      </c>
      <c r="Q139" t="s">
        <v>1827</v>
      </c>
      <c r="R139" t="s">
        <v>1828</v>
      </c>
      <c r="S139" t="s">
        <v>49</v>
      </c>
      <c r="T139" t="s">
        <v>1829</v>
      </c>
      <c r="U139" t="s">
        <v>248</v>
      </c>
      <c r="V139" t="s">
        <v>52</v>
      </c>
      <c r="W139" s="1">
        <v>44034</v>
      </c>
      <c r="X139" t="s">
        <v>1682</v>
      </c>
      <c r="Y139" t="s">
        <v>358</v>
      </c>
      <c r="Z139" t="s">
        <v>1830</v>
      </c>
      <c r="AA139">
        <v>5</v>
      </c>
      <c r="AB139" t="s">
        <v>56</v>
      </c>
      <c r="AC139" t="s">
        <v>1831</v>
      </c>
      <c r="AD139" t="s">
        <v>1719</v>
      </c>
      <c r="AE139" t="s">
        <v>59</v>
      </c>
      <c r="AF139">
        <v>2400000</v>
      </c>
      <c r="AG139" s="6">
        <v>48000</v>
      </c>
      <c r="AK139" t="s">
        <v>4601</v>
      </c>
      <c r="AL139" s="6">
        <v>48000</v>
      </c>
      <c r="AM139" s="7">
        <f>Table6[[#This Row],[Premium]]-Table6[[#This Row],[Tms Prem]]</f>
        <v>0</v>
      </c>
    </row>
    <row r="140" spans="1:39" x14ac:dyDescent="0.25">
      <c r="A140">
        <v>139</v>
      </c>
      <c r="B140" t="s">
        <v>36</v>
      </c>
      <c r="C140" t="s">
        <v>1832</v>
      </c>
      <c r="D140" t="s">
        <v>38</v>
      </c>
      <c r="E140" t="s">
        <v>39</v>
      </c>
      <c r="F140" t="s">
        <v>1833</v>
      </c>
      <c r="G140" t="s">
        <v>241</v>
      </c>
      <c r="H140" t="s">
        <v>1834</v>
      </c>
      <c r="I140" t="s">
        <v>1835</v>
      </c>
      <c r="J140" t="s">
        <v>1835</v>
      </c>
      <c r="K140" t="s">
        <v>176</v>
      </c>
      <c r="L140" t="s">
        <v>1836</v>
      </c>
      <c r="M140">
        <v>2073600</v>
      </c>
      <c r="N140">
        <v>2592000</v>
      </c>
      <c r="O140" t="s">
        <v>1837</v>
      </c>
      <c r="P140" t="s">
        <v>1838</v>
      </c>
      <c r="Q140" t="s">
        <v>1839</v>
      </c>
      <c r="R140" t="s">
        <v>1840</v>
      </c>
      <c r="S140" t="s">
        <v>72</v>
      </c>
      <c r="T140" t="s">
        <v>73</v>
      </c>
      <c r="U140" t="s">
        <v>1841</v>
      </c>
      <c r="V140" t="s">
        <v>153</v>
      </c>
      <c r="W140" s="1">
        <v>44035</v>
      </c>
      <c r="X140" t="s">
        <v>1215</v>
      </c>
      <c r="Y140" t="s">
        <v>1443</v>
      </c>
      <c r="Z140" t="s">
        <v>1842</v>
      </c>
      <c r="AA140">
        <v>6</v>
      </c>
      <c r="AB140" t="s">
        <v>56</v>
      </c>
      <c r="AC140" t="s">
        <v>1843</v>
      </c>
      <c r="AD140" t="s">
        <v>1682</v>
      </c>
      <c r="AE140" t="s">
        <v>59</v>
      </c>
      <c r="AF140">
        <v>1944000</v>
      </c>
      <c r="AG140" s="6">
        <v>38880</v>
      </c>
      <c r="AK140" t="s">
        <v>4602</v>
      </c>
      <c r="AL140" s="6">
        <v>38880</v>
      </c>
      <c r="AM140" s="7">
        <f>Table6[[#This Row],[Premium]]-Table6[[#This Row],[Tms Prem]]</f>
        <v>0</v>
      </c>
    </row>
    <row r="141" spans="1:39" x14ac:dyDescent="0.25">
      <c r="A141">
        <v>140</v>
      </c>
      <c r="B141" t="s">
        <v>36</v>
      </c>
      <c r="C141" t="s">
        <v>1844</v>
      </c>
      <c r="D141" t="s">
        <v>38</v>
      </c>
      <c r="E141" t="s">
        <v>39</v>
      </c>
      <c r="F141" t="s">
        <v>1845</v>
      </c>
      <c r="G141" t="s">
        <v>189</v>
      </c>
      <c r="H141" t="s">
        <v>1846</v>
      </c>
      <c r="I141" t="s">
        <v>1847</v>
      </c>
      <c r="J141" t="s">
        <v>1848</v>
      </c>
      <c r="K141" t="s">
        <v>1847</v>
      </c>
      <c r="L141" t="s">
        <v>1849</v>
      </c>
      <c r="M141">
        <v>1077300</v>
      </c>
      <c r="N141">
        <v>1539000</v>
      </c>
      <c r="O141" t="s">
        <v>1850</v>
      </c>
      <c r="P141" t="s">
        <v>1851</v>
      </c>
      <c r="Q141" t="s">
        <v>1852</v>
      </c>
      <c r="R141" t="s">
        <v>1853</v>
      </c>
      <c r="S141" t="s">
        <v>72</v>
      </c>
      <c r="T141" t="s">
        <v>73</v>
      </c>
      <c r="U141" t="s">
        <v>1854</v>
      </c>
      <c r="V141" t="s">
        <v>106</v>
      </c>
      <c r="W141" s="1">
        <v>44497</v>
      </c>
      <c r="X141" t="s">
        <v>124</v>
      </c>
      <c r="Y141" t="s">
        <v>236</v>
      </c>
      <c r="Z141" t="s">
        <v>1855</v>
      </c>
      <c r="AA141">
        <v>5</v>
      </c>
      <c r="AB141" t="s">
        <v>56</v>
      </c>
      <c r="AC141" t="s">
        <v>1856</v>
      </c>
      <c r="AD141" t="s">
        <v>1857</v>
      </c>
      <c r="AE141" t="s">
        <v>59</v>
      </c>
      <c r="AF141">
        <v>1308150</v>
      </c>
      <c r="AG141" s="6">
        <v>26163</v>
      </c>
      <c r="AK141" t="s">
        <v>4603</v>
      </c>
      <c r="AL141" s="6">
        <v>26163</v>
      </c>
      <c r="AM141" s="7">
        <f>Table6[[#This Row],[Premium]]-Table6[[#This Row],[Tms Prem]]</f>
        <v>0</v>
      </c>
    </row>
    <row r="142" spans="1:39" x14ac:dyDescent="0.25">
      <c r="A142">
        <v>141</v>
      </c>
      <c r="B142" t="s">
        <v>36</v>
      </c>
      <c r="C142" t="s">
        <v>1858</v>
      </c>
      <c r="D142" t="s">
        <v>38</v>
      </c>
      <c r="E142" t="s">
        <v>39</v>
      </c>
      <c r="F142" t="s">
        <v>1859</v>
      </c>
      <c r="G142" t="s">
        <v>115</v>
      </c>
      <c r="H142" t="s">
        <v>1860</v>
      </c>
      <c r="I142" t="s">
        <v>1861</v>
      </c>
      <c r="J142" t="s">
        <v>1861</v>
      </c>
      <c r="K142" t="s">
        <v>1861</v>
      </c>
      <c r="L142" t="s">
        <v>1862</v>
      </c>
      <c r="M142">
        <v>2871400</v>
      </c>
      <c r="N142">
        <v>4102000</v>
      </c>
      <c r="O142" t="s">
        <v>1863</v>
      </c>
      <c r="P142" t="s">
        <v>107</v>
      </c>
      <c r="Q142" t="s">
        <v>1864</v>
      </c>
      <c r="R142" t="s">
        <v>1865</v>
      </c>
      <c r="S142" t="s">
        <v>72</v>
      </c>
      <c r="T142" t="s">
        <v>73</v>
      </c>
      <c r="U142" t="s">
        <v>1866</v>
      </c>
      <c r="V142" t="s">
        <v>106</v>
      </c>
      <c r="W142" s="1">
        <v>44652</v>
      </c>
      <c r="X142" t="s">
        <v>124</v>
      </c>
      <c r="Y142" t="s">
        <v>358</v>
      </c>
      <c r="Z142" t="s">
        <v>1867</v>
      </c>
      <c r="AA142">
        <v>3</v>
      </c>
      <c r="AB142" t="s">
        <v>110</v>
      </c>
      <c r="AC142" t="s">
        <v>1868</v>
      </c>
      <c r="AD142" t="s">
        <v>265</v>
      </c>
      <c r="AE142" t="s">
        <v>59</v>
      </c>
      <c r="AF142">
        <v>3486700</v>
      </c>
      <c r="AG142" s="6">
        <v>69734</v>
      </c>
      <c r="AK142" t="s">
        <v>4604</v>
      </c>
      <c r="AL142" s="6">
        <v>69734</v>
      </c>
      <c r="AM142" s="7">
        <f>Table6[[#This Row],[Premium]]-Table6[[#This Row],[Tms Prem]]</f>
        <v>0</v>
      </c>
    </row>
    <row r="143" spans="1:39" x14ac:dyDescent="0.25">
      <c r="A143">
        <v>142</v>
      </c>
      <c r="B143" t="s">
        <v>36</v>
      </c>
      <c r="C143" t="s">
        <v>1869</v>
      </c>
      <c r="D143" t="s">
        <v>38</v>
      </c>
      <c r="E143" t="s">
        <v>39</v>
      </c>
      <c r="F143" t="s">
        <v>1870</v>
      </c>
      <c r="G143" t="s">
        <v>1871</v>
      </c>
      <c r="H143" t="s">
        <v>1872</v>
      </c>
      <c r="I143" t="s">
        <v>1873</v>
      </c>
      <c r="J143" t="s">
        <v>1873</v>
      </c>
      <c r="K143" t="s">
        <v>1873</v>
      </c>
      <c r="L143" t="s">
        <v>1874</v>
      </c>
      <c r="M143">
        <v>2100000</v>
      </c>
      <c r="N143">
        <v>3000000</v>
      </c>
      <c r="O143" t="s">
        <v>1875</v>
      </c>
      <c r="P143" t="s">
        <v>1360</v>
      </c>
      <c r="Q143" t="s">
        <v>1876</v>
      </c>
      <c r="R143" t="s">
        <v>1877</v>
      </c>
      <c r="S143" t="s">
        <v>49</v>
      </c>
      <c r="T143" t="s">
        <v>1878</v>
      </c>
      <c r="U143" t="s">
        <v>1879</v>
      </c>
      <c r="V143" t="s">
        <v>730</v>
      </c>
      <c r="W143" s="1">
        <v>44032</v>
      </c>
      <c r="X143" t="s">
        <v>1682</v>
      </c>
      <c r="Y143" t="s">
        <v>358</v>
      </c>
      <c r="Z143" t="s">
        <v>1880</v>
      </c>
      <c r="AA143">
        <v>5</v>
      </c>
      <c r="AB143" t="s">
        <v>263</v>
      </c>
      <c r="AC143" t="s">
        <v>1881</v>
      </c>
      <c r="AD143" t="s">
        <v>1882</v>
      </c>
      <c r="AE143" t="s">
        <v>668</v>
      </c>
      <c r="AF143">
        <v>2250000</v>
      </c>
      <c r="AG143" s="6">
        <v>56250</v>
      </c>
      <c r="AK143" t="s">
        <v>4605</v>
      </c>
      <c r="AL143" s="6">
        <v>56250</v>
      </c>
      <c r="AM143" s="7">
        <f>Table6[[#This Row],[Premium]]-Table6[[#This Row],[Tms Prem]]</f>
        <v>0</v>
      </c>
    </row>
    <row r="144" spans="1:39" x14ac:dyDescent="0.25">
      <c r="A144">
        <v>143</v>
      </c>
      <c r="B144" t="s">
        <v>36</v>
      </c>
      <c r="C144" t="s">
        <v>1883</v>
      </c>
      <c r="D144" t="s">
        <v>38</v>
      </c>
      <c r="E144" t="s">
        <v>39</v>
      </c>
      <c r="F144" t="s">
        <v>1884</v>
      </c>
      <c r="G144" t="s">
        <v>62</v>
      </c>
      <c r="H144" t="s">
        <v>1885</v>
      </c>
      <c r="I144" t="s">
        <v>1886</v>
      </c>
      <c r="J144" t="s">
        <v>1886</v>
      </c>
      <c r="K144" t="s">
        <v>1886</v>
      </c>
      <c r="L144" t="s">
        <v>1887</v>
      </c>
      <c r="M144">
        <v>2100000</v>
      </c>
      <c r="N144">
        <v>3000000</v>
      </c>
      <c r="O144" t="s">
        <v>1888</v>
      </c>
      <c r="P144" t="s">
        <v>447</v>
      </c>
      <c r="Q144" t="s">
        <v>1889</v>
      </c>
      <c r="R144" t="s">
        <v>1890</v>
      </c>
      <c r="S144" t="s">
        <v>49</v>
      </c>
      <c r="T144" t="s">
        <v>1891</v>
      </c>
      <c r="U144" t="s">
        <v>1420</v>
      </c>
      <c r="V144" t="s">
        <v>617</v>
      </c>
      <c r="W144" s="1">
        <v>44760</v>
      </c>
      <c r="X144" t="s">
        <v>124</v>
      </c>
      <c r="Y144" t="s">
        <v>358</v>
      </c>
      <c r="Z144" t="s">
        <v>1892</v>
      </c>
      <c r="AA144">
        <v>3</v>
      </c>
      <c r="AB144" t="s">
        <v>263</v>
      </c>
      <c r="AC144" t="s">
        <v>1893</v>
      </c>
      <c r="AD144" t="s">
        <v>1894</v>
      </c>
      <c r="AE144" t="s">
        <v>266</v>
      </c>
      <c r="AF144">
        <v>2550000</v>
      </c>
      <c r="AG144" s="6">
        <v>38250</v>
      </c>
      <c r="AK144" t="s">
        <v>4606</v>
      </c>
      <c r="AL144" s="6">
        <v>38250</v>
      </c>
      <c r="AM144" s="7">
        <f>Table6[[#This Row],[Premium]]-Table6[[#This Row],[Tms Prem]]</f>
        <v>0</v>
      </c>
    </row>
    <row r="145" spans="1:39" x14ac:dyDescent="0.25">
      <c r="A145">
        <v>144</v>
      </c>
      <c r="B145" t="s">
        <v>36</v>
      </c>
      <c r="C145" t="s">
        <v>1895</v>
      </c>
      <c r="D145" t="s">
        <v>38</v>
      </c>
      <c r="E145" t="s">
        <v>39</v>
      </c>
      <c r="F145" t="s">
        <v>1896</v>
      </c>
      <c r="G145" t="s">
        <v>131</v>
      </c>
      <c r="H145" t="s">
        <v>1897</v>
      </c>
      <c r="I145" t="s">
        <v>1898</v>
      </c>
      <c r="J145" t="s">
        <v>73</v>
      </c>
      <c r="K145" t="s">
        <v>1899</v>
      </c>
      <c r="L145" t="s">
        <v>1900</v>
      </c>
      <c r="M145">
        <v>1864800</v>
      </c>
      <c r="N145">
        <v>2590000</v>
      </c>
      <c r="O145" t="s">
        <v>1901</v>
      </c>
      <c r="P145" t="s">
        <v>1857</v>
      </c>
      <c r="Q145" t="s">
        <v>1902</v>
      </c>
      <c r="R145" t="s">
        <v>1903</v>
      </c>
      <c r="S145" t="s">
        <v>72</v>
      </c>
      <c r="T145" t="s">
        <v>73</v>
      </c>
      <c r="U145" t="s">
        <v>1693</v>
      </c>
      <c r="V145" t="s">
        <v>153</v>
      </c>
      <c r="W145" s="1">
        <v>44032</v>
      </c>
      <c r="X145" t="s">
        <v>1682</v>
      </c>
      <c r="Y145" t="s">
        <v>155</v>
      </c>
      <c r="Z145" t="s">
        <v>1904</v>
      </c>
      <c r="AA145">
        <v>6</v>
      </c>
      <c r="AB145" t="s">
        <v>56</v>
      </c>
      <c r="AC145" t="s">
        <v>1905</v>
      </c>
      <c r="AD145" t="s">
        <v>1882</v>
      </c>
      <c r="AE145" t="s">
        <v>59</v>
      </c>
      <c r="AF145">
        <v>1942500</v>
      </c>
      <c r="AG145" s="6">
        <v>38850</v>
      </c>
      <c r="AK145" t="s">
        <v>4607</v>
      </c>
      <c r="AL145" s="6">
        <v>38850</v>
      </c>
      <c r="AM145" s="7">
        <f>Table6[[#This Row],[Premium]]-Table6[[#This Row],[Tms Prem]]</f>
        <v>0</v>
      </c>
    </row>
    <row r="146" spans="1:39" x14ac:dyDescent="0.25">
      <c r="A146">
        <v>145</v>
      </c>
      <c r="B146" t="s">
        <v>36</v>
      </c>
      <c r="C146" t="s">
        <v>1906</v>
      </c>
      <c r="D146" t="s">
        <v>38</v>
      </c>
      <c r="E146" t="s">
        <v>39</v>
      </c>
      <c r="F146" t="s">
        <v>1907</v>
      </c>
      <c r="G146" t="s">
        <v>62</v>
      </c>
      <c r="H146" t="s">
        <v>1908</v>
      </c>
      <c r="I146" t="s">
        <v>1909</v>
      </c>
      <c r="J146" t="s">
        <v>1909</v>
      </c>
      <c r="K146" t="s">
        <v>1910</v>
      </c>
      <c r="L146" t="s">
        <v>1911</v>
      </c>
      <c r="M146">
        <v>585000</v>
      </c>
      <c r="N146">
        <v>900000</v>
      </c>
      <c r="O146" t="s">
        <v>1912</v>
      </c>
      <c r="P146" t="s">
        <v>589</v>
      </c>
      <c r="Q146" t="s">
        <v>1913</v>
      </c>
      <c r="R146" t="s">
        <v>1914</v>
      </c>
      <c r="S146" t="s">
        <v>49</v>
      </c>
      <c r="T146" t="s">
        <v>1915</v>
      </c>
      <c r="U146" t="s">
        <v>1916</v>
      </c>
      <c r="V146" t="s">
        <v>730</v>
      </c>
      <c r="W146" s="1">
        <v>44760</v>
      </c>
      <c r="X146" t="s">
        <v>124</v>
      </c>
      <c r="Y146" t="s">
        <v>236</v>
      </c>
      <c r="Z146" t="s">
        <v>1917</v>
      </c>
      <c r="AA146">
        <v>5</v>
      </c>
      <c r="AB146" t="s">
        <v>263</v>
      </c>
      <c r="AC146" t="s">
        <v>1918</v>
      </c>
      <c r="AD146" t="s">
        <v>1894</v>
      </c>
      <c r="AE146" t="s">
        <v>266</v>
      </c>
      <c r="AF146">
        <v>765000</v>
      </c>
      <c r="AG146" s="6">
        <v>11475</v>
      </c>
      <c r="AK146" t="s">
        <v>4608</v>
      </c>
      <c r="AL146" s="6">
        <v>11475</v>
      </c>
      <c r="AM146" s="7">
        <f>Table6[[#This Row],[Premium]]-Table6[[#This Row],[Tms Prem]]</f>
        <v>0</v>
      </c>
    </row>
    <row r="147" spans="1:39" x14ac:dyDescent="0.25">
      <c r="A147">
        <v>146</v>
      </c>
      <c r="B147" t="s">
        <v>36</v>
      </c>
      <c r="C147" t="s">
        <v>1919</v>
      </c>
      <c r="D147" t="s">
        <v>38</v>
      </c>
      <c r="E147" t="s">
        <v>39</v>
      </c>
      <c r="F147" t="s">
        <v>1920</v>
      </c>
      <c r="G147" t="s">
        <v>115</v>
      </c>
      <c r="H147" t="s">
        <v>1921</v>
      </c>
      <c r="I147" t="s">
        <v>73</v>
      </c>
      <c r="J147" t="s">
        <v>1922</v>
      </c>
      <c r="K147" t="s">
        <v>73</v>
      </c>
      <c r="L147" t="s">
        <v>1923</v>
      </c>
      <c r="M147">
        <v>2940000</v>
      </c>
      <c r="N147">
        <v>7000000</v>
      </c>
      <c r="O147" t="s">
        <v>1924</v>
      </c>
      <c r="P147" t="s">
        <v>1755</v>
      </c>
      <c r="Q147" t="s">
        <v>1925</v>
      </c>
      <c r="R147" t="s">
        <v>1926</v>
      </c>
      <c r="S147" t="s">
        <v>49</v>
      </c>
      <c r="T147" t="s">
        <v>1927</v>
      </c>
      <c r="U147" t="s">
        <v>1928</v>
      </c>
      <c r="V147" t="s">
        <v>52</v>
      </c>
      <c r="W147" s="1">
        <v>44757</v>
      </c>
      <c r="X147" t="s">
        <v>124</v>
      </c>
      <c r="Y147" t="s">
        <v>358</v>
      </c>
      <c r="Z147" t="s">
        <v>1929</v>
      </c>
      <c r="AA147">
        <v>3</v>
      </c>
      <c r="AB147" t="s">
        <v>110</v>
      </c>
      <c r="AC147" t="s">
        <v>1930</v>
      </c>
      <c r="AD147" t="s">
        <v>589</v>
      </c>
      <c r="AE147" t="s">
        <v>266</v>
      </c>
      <c r="AF147">
        <v>5950000</v>
      </c>
      <c r="AG147" s="6">
        <v>89250</v>
      </c>
      <c r="AK147" t="s">
        <v>4609</v>
      </c>
      <c r="AL147" s="6">
        <v>89250</v>
      </c>
      <c r="AM147" s="7">
        <f>Table6[[#This Row],[Premium]]-Table6[[#This Row],[Tms Prem]]</f>
        <v>0</v>
      </c>
    </row>
    <row r="148" spans="1:39" x14ac:dyDescent="0.25">
      <c r="A148">
        <v>147</v>
      </c>
      <c r="B148" t="s">
        <v>36</v>
      </c>
      <c r="C148" t="s">
        <v>1931</v>
      </c>
      <c r="D148" t="s">
        <v>38</v>
      </c>
      <c r="E148" t="s">
        <v>39</v>
      </c>
      <c r="F148" t="s">
        <v>1932</v>
      </c>
      <c r="G148" t="s">
        <v>115</v>
      </c>
      <c r="H148" t="s">
        <v>1933</v>
      </c>
      <c r="I148" t="s">
        <v>73</v>
      </c>
      <c r="J148" t="s">
        <v>1934</v>
      </c>
      <c r="K148" t="s">
        <v>1935</v>
      </c>
      <c r="L148" t="s">
        <v>1936</v>
      </c>
      <c r="M148">
        <v>1489800</v>
      </c>
      <c r="N148">
        <v>2292000</v>
      </c>
      <c r="O148" t="s">
        <v>1937</v>
      </c>
      <c r="P148" t="s">
        <v>1755</v>
      </c>
      <c r="Q148" t="s">
        <v>1938</v>
      </c>
      <c r="R148" t="s">
        <v>1939</v>
      </c>
      <c r="S148" t="s">
        <v>49</v>
      </c>
      <c r="T148" t="s">
        <v>1940</v>
      </c>
      <c r="U148" t="s">
        <v>1941</v>
      </c>
      <c r="V148" t="s">
        <v>106</v>
      </c>
      <c r="W148" s="1">
        <v>44770</v>
      </c>
      <c r="X148" t="s">
        <v>459</v>
      </c>
      <c r="Y148" t="s">
        <v>344</v>
      </c>
      <c r="Z148" t="s">
        <v>1942</v>
      </c>
      <c r="AA148">
        <v>5</v>
      </c>
      <c r="AB148" t="s">
        <v>56</v>
      </c>
      <c r="AC148" t="s">
        <v>1943</v>
      </c>
      <c r="AD148" t="s">
        <v>1944</v>
      </c>
      <c r="AE148" t="s">
        <v>266</v>
      </c>
      <c r="AF148">
        <v>1948200</v>
      </c>
      <c r="AG148" s="6">
        <v>29223</v>
      </c>
      <c r="AK148" t="s">
        <v>4610</v>
      </c>
      <c r="AL148" s="6">
        <v>29223</v>
      </c>
      <c r="AM148" s="7">
        <f>Table6[[#This Row],[Premium]]-Table6[[#This Row],[Tms Prem]]</f>
        <v>0</v>
      </c>
    </row>
    <row r="149" spans="1:39" x14ac:dyDescent="0.25">
      <c r="A149">
        <v>148</v>
      </c>
      <c r="B149" t="s">
        <v>36</v>
      </c>
      <c r="C149" t="s">
        <v>1945</v>
      </c>
      <c r="D149" t="s">
        <v>38</v>
      </c>
      <c r="E149" t="s">
        <v>39</v>
      </c>
      <c r="F149" t="s">
        <v>1946</v>
      </c>
      <c r="G149" t="s">
        <v>62</v>
      </c>
      <c r="H149" t="s">
        <v>1947</v>
      </c>
      <c r="I149" t="s">
        <v>1948</v>
      </c>
      <c r="J149" t="s">
        <v>1948</v>
      </c>
      <c r="K149" t="s">
        <v>1949</v>
      </c>
      <c r="L149" t="s">
        <v>1950</v>
      </c>
      <c r="M149">
        <v>1145000</v>
      </c>
      <c r="N149">
        <v>2290000</v>
      </c>
      <c r="O149" t="s">
        <v>1951</v>
      </c>
      <c r="P149" t="s">
        <v>1838</v>
      </c>
      <c r="Q149" t="s">
        <v>1952</v>
      </c>
      <c r="R149" t="s">
        <v>1953</v>
      </c>
      <c r="S149" t="s">
        <v>49</v>
      </c>
      <c r="T149" t="s">
        <v>1954</v>
      </c>
      <c r="U149" t="s">
        <v>1168</v>
      </c>
      <c r="V149" t="s">
        <v>730</v>
      </c>
      <c r="W149" s="1">
        <v>44033</v>
      </c>
      <c r="X149" t="s">
        <v>1682</v>
      </c>
      <c r="Y149" t="s">
        <v>236</v>
      </c>
      <c r="Z149" t="s">
        <v>1955</v>
      </c>
      <c r="AA149">
        <v>7</v>
      </c>
      <c r="AB149" t="s">
        <v>56</v>
      </c>
      <c r="AC149" t="s">
        <v>1956</v>
      </c>
      <c r="AD149" t="s">
        <v>296</v>
      </c>
      <c r="AE149" t="s">
        <v>59</v>
      </c>
      <c r="AF149">
        <v>1717500</v>
      </c>
      <c r="AG149" s="6">
        <v>34350</v>
      </c>
      <c r="AK149" t="s">
        <v>4611</v>
      </c>
      <c r="AL149" s="6">
        <v>34350</v>
      </c>
      <c r="AM149" s="7">
        <f>Table6[[#This Row],[Premium]]-Table6[[#This Row],[Tms Prem]]</f>
        <v>0</v>
      </c>
    </row>
    <row r="150" spans="1:39" x14ac:dyDescent="0.25">
      <c r="A150">
        <v>149</v>
      </c>
      <c r="B150" t="s">
        <v>36</v>
      </c>
      <c r="C150" t="s">
        <v>1957</v>
      </c>
      <c r="D150" t="s">
        <v>38</v>
      </c>
      <c r="E150" t="s">
        <v>39</v>
      </c>
      <c r="F150" t="s">
        <v>1958</v>
      </c>
      <c r="G150" t="s">
        <v>97</v>
      </c>
      <c r="H150" t="s">
        <v>1959</v>
      </c>
      <c r="I150" t="s">
        <v>1960</v>
      </c>
      <c r="J150" t="s">
        <v>73</v>
      </c>
      <c r="K150" t="s">
        <v>176</v>
      </c>
      <c r="L150" t="s">
        <v>1961</v>
      </c>
      <c r="M150">
        <v>1048500</v>
      </c>
      <c r="N150">
        <v>1398000</v>
      </c>
      <c r="O150" t="s">
        <v>1962</v>
      </c>
      <c r="P150" t="s">
        <v>589</v>
      </c>
      <c r="Q150" t="s">
        <v>1963</v>
      </c>
      <c r="R150" t="s">
        <v>1964</v>
      </c>
      <c r="S150" t="s">
        <v>72</v>
      </c>
      <c r="T150" t="s">
        <v>73</v>
      </c>
      <c r="U150" t="s">
        <v>1965</v>
      </c>
      <c r="V150" t="s">
        <v>153</v>
      </c>
      <c r="W150" s="1">
        <v>44032</v>
      </c>
      <c r="X150" t="s">
        <v>1682</v>
      </c>
      <c r="Y150" t="s">
        <v>358</v>
      </c>
      <c r="Z150" t="s">
        <v>1966</v>
      </c>
      <c r="AA150">
        <v>5</v>
      </c>
      <c r="AB150" t="s">
        <v>56</v>
      </c>
      <c r="AC150" t="s">
        <v>1967</v>
      </c>
      <c r="AD150" t="s">
        <v>1968</v>
      </c>
      <c r="AE150" t="s">
        <v>59</v>
      </c>
      <c r="AF150">
        <v>1048500</v>
      </c>
      <c r="AG150" s="6">
        <v>20970</v>
      </c>
      <c r="AK150" t="s">
        <v>4612</v>
      </c>
      <c r="AL150" s="6">
        <v>20970</v>
      </c>
      <c r="AM150" s="7">
        <f>Table6[[#This Row],[Premium]]-Table6[[#This Row],[Tms Prem]]</f>
        <v>0</v>
      </c>
    </row>
    <row r="151" spans="1:39" hidden="1" x14ac:dyDescent="0.25">
      <c r="A151">
        <v>150</v>
      </c>
      <c r="B151" t="s">
        <v>36</v>
      </c>
      <c r="C151" t="s">
        <v>1969</v>
      </c>
      <c r="D151" t="s">
        <v>38</v>
      </c>
      <c r="E151" t="s">
        <v>39</v>
      </c>
      <c r="F151" t="s">
        <v>1970</v>
      </c>
      <c r="G151" t="s">
        <v>115</v>
      </c>
      <c r="H151" t="s">
        <v>1971</v>
      </c>
      <c r="I151" t="s">
        <v>1972</v>
      </c>
      <c r="J151" t="s">
        <v>1972</v>
      </c>
      <c r="K151" t="s">
        <v>176</v>
      </c>
      <c r="L151" t="s">
        <v>1973</v>
      </c>
      <c r="M151">
        <v>714000</v>
      </c>
      <c r="N151">
        <v>1020000</v>
      </c>
      <c r="O151" t="s">
        <v>1974</v>
      </c>
      <c r="P151" t="s">
        <v>399</v>
      </c>
      <c r="Q151" t="s">
        <v>1975</v>
      </c>
      <c r="R151" t="s">
        <v>1976</v>
      </c>
      <c r="S151" t="s">
        <v>660</v>
      </c>
      <c r="T151" t="s">
        <v>1977</v>
      </c>
      <c r="U151" t="s">
        <v>1978</v>
      </c>
      <c r="V151" t="s">
        <v>788</v>
      </c>
      <c r="W151" s="1">
        <v>44034</v>
      </c>
      <c r="X151" t="s">
        <v>1682</v>
      </c>
      <c r="Y151" t="s">
        <v>700</v>
      </c>
      <c r="Z151" t="s">
        <v>1979</v>
      </c>
      <c r="AA151">
        <v>4</v>
      </c>
      <c r="AB151" t="s">
        <v>56</v>
      </c>
      <c r="AC151" t="s">
        <v>1980</v>
      </c>
      <c r="AD151" t="s">
        <v>1682</v>
      </c>
      <c r="AE151" t="s">
        <v>59</v>
      </c>
      <c r="AF151">
        <v>612000</v>
      </c>
      <c r="AG151" s="6">
        <v>0</v>
      </c>
      <c r="AK151" t="e">
        <v>#N/A</v>
      </c>
      <c r="AL151" s="6" t="e">
        <v>#N/A</v>
      </c>
      <c r="AM151" s="7" t="e">
        <f>Table6[[#This Row],[Premium]]-Table6[[#This Row],[Tms Prem]]</f>
        <v>#N/A</v>
      </c>
    </row>
    <row r="152" spans="1:39" hidden="1" x14ac:dyDescent="0.25">
      <c r="A152">
        <v>151</v>
      </c>
      <c r="B152" t="s">
        <v>36</v>
      </c>
      <c r="C152" t="s">
        <v>1981</v>
      </c>
      <c r="D152" t="s">
        <v>38</v>
      </c>
      <c r="E152" t="s">
        <v>39</v>
      </c>
      <c r="F152" t="s">
        <v>1982</v>
      </c>
      <c r="G152" t="s">
        <v>97</v>
      </c>
      <c r="H152" t="s">
        <v>1983</v>
      </c>
      <c r="I152" t="s">
        <v>73</v>
      </c>
      <c r="J152" t="s">
        <v>1984</v>
      </c>
      <c r="K152" t="s">
        <v>73</v>
      </c>
      <c r="L152" t="s">
        <v>1985</v>
      </c>
      <c r="M152">
        <v>691900</v>
      </c>
      <c r="N152">
        <v>814000</v>
      </c>
      <c r="O152" t="s">
        <v>1986</v>
      </c>
      <c r="P152" t="s">
        <v>1740</v>
      </c>
      <c r="Q152" t="s">
        <v>1987</v>
      </c>
      <c r="R152" t="s">
        <v>1988</v>
      </c>
      <c r="S152" t="s">
        <v>72</v>
      </c>
      <c r="T152" t="s">
        <v>73</v>
      </c>
      <c r="U152" t="s">
        <v>842</v>
      </c>
      <c r="V152" t="s">
        <v>617</v>
      </c>
      <c r="W152" s="1">
        <v>43300</v>
      </c>
      <c r="X152" t="s">
        <v>1989</v>
      </c>
      <c r="Y152" t="s">
        <v>700</v>
      </c>
      <c r="Z152" t="s">
        <v>1990</v>
      </c>
      <c r="AA152">
        <v>6</v>
      </c>
      <c r="AB152" t="s">
        <v>1991</v>
      </c>
      <c r="AC152" t="s">
        <v>1992</v>
      </c>
      <c r="AD152" t="s">
        <v>1993</v>
      </c>
      <c r="AE152" t="s">
        <v>736</v>
      </c>
      <c r="AF152">
        <v>488400</v>
      </c>
      <c r="AG152" s="6">
        <v>0</v>
      </c>
      <c r="AK152" t="e">
        <v>#N/A</v>
      </c>
      <c r="AL152" s="6" t="e">
        <v>#N/A</v>
      </c>
      <c r="AM152" s="7" t="e">
        <f>Table6[[#This Row],[Premium]]-Table6[[#This Row],[Tms Prem]]</f>
        <v>#N/A</v>
      </c>
    </row>
    <row r="153" spans="1:39" x14ac:dyDescent="0.25">
      <c r="A153">
        <v>152</v>
      </c>
      <c r="B153" t="s">
        <v>36</v>
      </c>
      <c r="C153" t="s">
        <v>1994</v>
      </c>
      <c r="D153" t="s">
        <v>38</v>
      </c>
      <c r="E153" t="s">
        <v>39</v>
      </c>
      <c r="F153" t="s">
        <v>1995</v>
      </c>
      <c r="G153" t="s">
        <v>115</v>
      </c>
      <c r="H153" t="s">
        <v>1996</v>
      </c>
      <c r="I153" t="s">
        <v>1997</v>
      </c>
      <c r="J153" t="s">
        <v>1997</v>
      </c>
      <c r="K153" t="s">
        <v>1998</v>
      </c>
      <c r="L153" t="s">
        <v>1999</v>
      </c>
      <c r="M153">
        <v>1120000</v>
      </c>
      <c r="N153">
        <v>1400000</v>
      </c>
      <c r="O153" t="s">
        <v>2000</v>
      </c>
      <c r="P153" t="s">
        <v>1360</v>
      </c>
      <c r="Q153" t="s">
        <v>2001</v>
      </c>
      <c r="R153" t="s">
        <v>2002</v>
      </c>
      <c r="S153" t="s">
        <v>660</v>
      </c>
      <c r="T153" t="s">
        <v>2003</v>
      </c>
      <c r="U153" t="s">
        <v>2004</v>
      </c>
      <c r="V153" t="s">
        <v>829</v>
      </c>
      <c r="W153" s="1">
        <v>44394</v>
      </c>
      <c r="X153" t="s">
        <v>154</v>
      </c>
      <c r="Y153" t="s">
        <v>155</v>
      </c>
      <c r="Z153" t="s">
        <v>2005</v>
      </c>
      <c r="AA153">
        <v>5</v>
      </c>
      <c r="AB153" t="s">
        <v>56</v>
      </c>
      <c r="AC153" t="s">
        <v>2006</v>
      </c>
      <c r="AD153" t="s">
        <v>2007</v>
      </c>
      <c r="AE153" t="s">
        <v>59</v>
      </c>
      <c r="AF153">
        <v>1120000</v>
      </c>
      <c r="AG153" s="6">
        <v>22400</v>
      </c>
      <c r="AK153" t="s">
        <v>4613</v>
      </c>
      <c r="AL153" s="6">
        <v>22400</v>
      </c>
      <c r="AM153" s="7">
        <f>Table6[[#This Row],[Premium]]-Table6[[#This Row],[Tms Prem]]</f>
        <v>0</v>
      </c>
    </row>
    <row r="154" spans="1:39" x14ac:dyDescent="0.25">
      <c r="A154">
        <v>153</v>
      </c>
      <c r="B154" t="s">
        <v>36</v>
      </c>
      <c r="C154" t="s">
        <v>2008</v>
      </c>
      <c r="D154" t="s">
        <v>38</v>
      </c>
      <c r="E154" t="s">
        <v>39</v>
      </c>
      <c r="F154" t="s">
        <v>2009</v>
      </c>
      <c r="G154" t="s">
        <v>115</v>
      </c>
      <c r="H154" t="s">
        <v>2010</v>
      </c>
      <c r="I154" t="s">
        <v>2011</v>
      </c>
      <c r="J154" t="s">
        <v>2011</v>
      </c>
      <c r="K154" t="s">
        <v>2012</v>
      </c>
      <c r="L154" t="s">
        <v>2013</v>
      </c>
      <c r="M154">
        <v>1588000</v>
      </c>
      <c r="N154">
        <v>1985000</v>
      </c>
      <c r="O154" t="s">
        <v>2014</v>
      </c>
      <c r="P154" t="s">
        <v>399</v>
      </c>
      <c r="Q154" t="s">
        <v>2015</v>
      </c>
      <c r="R154" t="s">
        <v>2016</v>
      </c>
      <c r="S154" t="s">
        <v>72</v>
      </c>
      <c r="T154" t="s">
        <v>73</v>
      </c>
      <c r="U154" t="s">
        <v>1285</v>
      </c>
      <c r="V154" t="s">
        <v>153</v>
      </c>
      <c r="W154" s="1">
        <v>43890</v>
      </c>
      <c r="X154" t="s">
        <v>1215</v>
      </c>
      <c r="Y154" t="s">
        <v>1216</v>
      </c>
      <c r="Z154" t="s">
        <v>2017</v>
      </c>
      <c r="AA154">
        <v>5</v>
      </c>
      <c r="AB154" t="s">
        <v>110</v>
      </c>
      <c r="AC154" t="s">
        <v>2018</v>
      </c>
      <c r="AD154" t="s">
        <v>309</v>
      </c>
      <c r="AE154" t="s">
        <v>668</v>
      </c>
      <c r="AF154">
        <v>1488750</v>
      </c>
      <c r="AG154" s="6">
        <v>37219</v>
      </c>
      <c r="AK154" t="s">
        <v>4614</v>
      </c>
      <c r="AL154" s="6">
        <v>37219</v>
      </c>
      <c r="AM154" s="7">
        <f>Table6[[#This Row],[Premium]]-Table6[[#This Row],[Tms Prem]]</f>
        <v>0</v>
      </c>
    </row>
    <row r="155" spans="1:39" x14ac:dyDescent="0.25">
      <c r="A155">
        <v>154</v>
      </c>
      <c r="B155" t="s">
        <v>36</v>
      </c>
      <c r="C155" t="s">
        <v>2019</v>
      </c>
      <c r="D155" t="s">
        <v>38</v>
      </c>
      <c r="E155" t="s">
        <v>39</v>
      </c>
      <c r="F155" t="s">
        <v>2020</v>
      </c>
      <c r="G155" t="s">
        <v>97</v>
      </c>
      <c r="H155" t="s">
        <v>2021</v>
      </c>
      <c r="I155" t="s">
        <v>2022</v>
      </c>
      <c r="J155" t="s">
        <v>73</v>
      </c>
      <c r="K155" t="s">
        <v>176</v>
      </c>
      <c r="L155" t="s">
        <v>2023</v>
      </c>
      <c r="M155">
        <v>1060000</v>
      </c>
      <c r="N155">
        <v>1325000</v>
      </c>
      <c r="O155" t="s">
        <v>2024</v>
      </c>
      <c r="P155" t="s">
        <v>1360</v>
      </c>
      <c r="Q155" t="s">
        <v>2025</v>
      </c>
      <c r="R155" t="s">
        <v>2026</v>
      </c>
      <c r="S155" t="s">
        <v>660</v>
      </c>
      <c r="T155" t="s">
        <v>73</v>
      </c>
      <c r="U155" t="s">
        <v>2027</v>
      </c>
      <c r="V155" t="s">
        <v>330</v>
      </c>
      <c r="W155" s="1">
        <v>43663</v>
      </c>
      <c r="X155" t="s">
        <v>1744</v>
      </c>
      <c r="Y155" t="s">
        <v>155</v>
      </c>
      <c r="Z155" t="s">
        <v>2028</v>
      </c>
      <c r="AA155">
        <v>7</v>
      </c>
      <c r="AB155" t="s">
        <v>56</v>
      </c>
      <c r="AC155" t="s">
        <v>2029</v>
      </c>
      <c r="AD155" t="s">
        <v>2030</v>
      </c>
      <c r="AE155" t="s">
        <v>668</v>
      </c>
      <c r="AF155">
        <v>927500</v>
      </c>
      <c r="AG155" s="6">
        <v>23188</v>
      </c>
      <c r="AK155" t="s">
        <v>4615</v>
      </c>
      <c r="AL155" s="6">
        <v>23188</v>
      </c>
      <c r="AM155" s="7">
        <f>Table6[[#This Row],[Premium]]-Table6[[#This Row],[Tms Prem]]</f>
        <v>0</v>
      </c>
    </row>
    <row r="156" spans="1:39" hidden="1" x14ac:dyDescent="0.25">
      <c r="A156">
        <v>155</v>
      </c>
      <c r="B156" t="s">
        <v>36</v>
      </c>
      <c r="C156" t="s">
        <v>2031</v>
      </c>
      <c r="D156" t="s">
        <v>38</v>
      </c>
      <c r="E156" t="s">
        <v>39</v>
      </c>
      <c r="F156" t="s">
        <v>2032</v>
      </c>
      <c r="G156" t="s">
        <v>97</v>
      </c>
      <c r="H156" t="s">
        <v>2033</v>
      </c>
      <c r="I156" t="s">
        <v>2034</v>
      </c>
      <c r="J156" t="s">
        <v>73</v>
      </c>
      <c r="K156" t="s">
        <v>2035</v>
      </c>
      <c r="L156" t="s">
        <v>2036</v>
      </c>
      <c r="M156">
        <v>1218750</v>
      </c>
      <c r="N156">
        <v>1625000</v>
      </c>
      <c r="O156" t="s">
        <v>2037</v>
      </c>
      <c r="P156" t="s">
        <v>447</v>
      </c>
      <c r="Q156" t="s">
        <v>2038</v>
      </c>
      <c r="R156" t="s">
        <v>2039</v>
      </c>
      <c r="S156" t="s">
        <v>72</v>
      </c>
      <c r="T156" t="s">
        <v>73</v>
      </c>
      <c r="U156" t="s">
        <v>1607</v>
      </c>
      <c r="V156" t="s">
        <v>52</v>
      </c>
      <c r="W156" s="1">
        <v>43665</v>
      </c>
      <c r="X156" t="s">
        <v>1744</v>
      </c>
      <c r="Y156" t="s">
        <v>700</v>
      </c>
      <c r="Z156" t="s">
        <v>2040</v>
      </c>
      <c r="AA156">
        <v>5</v>
      </c>
      <c r="AB156" t="s">
        <v>110</v>
      </c>
      <c r="AC156" t="s">
        <v>2041</v>
      </c>
      <c r="AD156" t="s">
        <v>165</v>
      </c>
      <c r="AE156" t="s">
        <v>668</v>
      </c>
      <c r="AF156">
        <v>975000</v>
      </c>
      <c r="AG156" s="6">
        <v>0</v>
      </c>
      <c r="AK156" t="e">
        <v>#N/A</v>
      </c>
      <c r="AL156" s="6" t="e">
        <v>#N/A</v>
      </c>
      <c r="AM156" s="7" t="e">
        <f>Table6[[#This Row],[Premium]]-Table6[[#This Row],[Tms Prem]]</f>
        <v>#N/A</v>
      </c>
    </row>
    <row r="157" spans="1:39" x14ac:dyDescent="0.25">
      <c r="A157">
        <v>156</v>
      </c>
      <c r="B157" t="s">
        <v>36</v>
      </c>
      <c r="C157" t="s">
        <v>2042</v>
      </c>
      <c r="D157" t="s">
        <v>38</v>
      </c>
      <c r="E157" t="s">
        <v>39</v>
      </c>
      <c r="F157" t="s">
        <v>2043</v>
      </c>
      <c r="G157" t="s">
        <v>2044</v>
      </c>
      <c r="H157" t="s">
        <v>2045</v>
      </c>
      <c r="I157" t="s">
        <v>2046</v>
      </c>
      <c r="J157" t="s">
        <v>2047</v>
      </c>
      <c r="K157" t="s">
        <v>2047</v>
      </c>
      <c r="L157" t="s">
        <v>2048</v>
      </c>
      <c r="M157">
        <v>1499250</v>
      </c>
      <c r="N157">
        <v>1999000</v>
      </c>
      <c r="O157" t="s">
        <v>2049</v>
      </c>
      <c r="P157" t="s">
        <v>902</v>
      </c>
      <c r="Q157" t="s">
        <v>2050</v>
      </c>
      <c r="R157" t="s">
        <v>2051</v>
      </c>
      <c r="S157" t="s">
        <v>72</v>
      </c>
      <c r="T157" t="s">
        <v>73</v>
      </c>
      <c r="U157" t="s">
        <v>74</v>
      </c>
      <c r="V157" t="s">
        <v>153</v>
      </c>
      <c r="W157" s="1">
        <v>43997</v>
      </c>
      <c r="X157" t="s">
        <v>1215</v>
      </c>
      <c r="Y157" t="s">
        <v>1216</v>
      </c>
      <c r="Z157" t="s">
        <v>2052</v>
      </c>
      <c r="AA157">
        <v>5</v>
      </c>
      <c r="AB157" t="s">
        <v>947</v>
      </c>
      <c r="AC157" t="s">
        <v>2053</v>
      </c>
      <c r="AD157" t="s">
        <v>1882</v>
      </c>
      <c r="AE157" t="s">
        <v>59</v>
      </c>
      <c r="AF157">
        <v>1499250</v>
      </c>
      <c r="AG157" s="6">
        <v>29985</v>
      </c>
      <c r="AK157" t="s">
        <v>4616</v>
      </c>
      <c r="AL157" s="6">
        <v>29985</v>
      </c>
      <c r="AM157" s="7">
        <f>Table6[[#This Row],[Premium]]-Table6[[#This Row],[Tms Prem]]</f>
        <v>0</v>
      </c>
    </row>
    <row r="158" spans="1:39" hidden="1" x14ac:dyDescent="0.25">
      <c r="A158">
        <v>157</v>
      </c>
      <c r="B158" t="s">
        <v>36</v>
      </c>
      <c r="C158" t="s">
        <v>2054</v>
      </c>
      <c r="D158" t="s">
        <v>38</v>
      </c>
      <c r="E158" t="s">
        <v>39</v>
      </c>
      <c r="F158" t="s">
        <v>2055</v>
      </c>
      <c r="G158" t="s">
        <v>131</v>
      </c>
      <c r="H158" t="s">
        <v>2056</v>
      </c>
      <c r="I158" t="s">
        <v>2057</v>
      </c>
      <c r="J158" t="s">
        <v>73</v>
      </c>
      <c r="K158" t="s">
        <v>2058</v>
      </c>
      <c r="L158" t="s">
        <v>2059</v>
      </c>
      <c r="M158">
        <v>1804500</v>
      </c>
      <c r="N158">
        <v>2406000</v>
      </c>
      <c r="O158" t="s">
        <v>2060</v>
      </c>
      <c r="P158" t="s">
        <v>902</v>
      </c>
      <c r="Q158" t="s">
        <v>2061</v>
      </c>
      <c r="R158" t="s">
        <v>2062</v>
      </c>
      <c r="S158" t="s">
        <v>72</v>
      </c>
      <c r="T158" t="s">
        <v>73</v>
      </c>
      <c r="U158" t="s">
        <v>1168</v>
      </c>
      <c r="V158" t="s">
        <v>52</v>
      </c>
      <c r="W158" s="1">
        <v>43662</v>
      </c>
      <c r="X158" t="s">
        <v>1744</v>
      </c>
      <c r="Y158" t="s">
        <v>700</v>
      </c>
      <c r="Z158" t="s">
        <v>2063</v>
      </c>
      <c r="AA158">
        <v>5</v>
      </c>
      <c r="AB158" t="s">
        <v>110</v>
      </c>
      <c r="AC158" t="s">
        <v>2064</v>
      </c>
      <c r="AD158" t="s">
        <v>165</v>
      </c>
      <c r="AE158" t="s">
        <v>668</v>
      </c>
      <c r="AF158">
        <v>1443600</v>
      </c>
      <c r="AG158" s="6">
        <v>0</v>
      </c>
      <c r="AK158" t="e">
        <v>#N/A</v>
      </c>
      <c r="AL158" s="6" t="e">
        <v>#N/A</v>
      </c>
      <c r="AM158" s="7" t="e">
        <f>Table6[[#This Row],[Premium]]-Table6[[#This Row],[Tms Prem]]</f>
        <v>#N/A</v>
      </c>
    </row>
    <row r="159" spans="1:39" x14ac:dyDescent="0.25">
      <c r="A159">
        <v>158</v>
      </c>
      <c r="B159" t="s">
        <v>36</v>
      </c>
      <c r="C159" t="s">
        <v>2065</v>
      </c>
      <c r="D159" t="s">
        <v>38</v>
      </c>
      <c r="E159" t="s">
        <v>39</v>
      </c>
      <c r="F159" t="s">
        <v>2066</v>
      </c>
      <c r="G159" t="s">
        <v>115</v>
      </c>
      <c r="H159" t="s">
        <v>2067</v>
      </c>
      <c r="I159" t="s">
        <v>2068</v>
      </c>
      <c r="J159" t="s">
        <v>2069</v>
      </c>
      <c r="K159" t="s">
        <v>2070</v>
      </c>
      <c r="L159" t="s">
        <v>2071</v>
      </c>
      <c r="M159">
        <v>1226250</v>
      </c>
      <c r="N159">
        <v>1635000</v>
      </c>
      <c r="O159" t="s">
        <v>2072</v>
      </c>
      <c r="P159" t="s">
        <v>902</v>
      </c>
      <c r="Q159" t="s">
        <v>2073</v>
      </c>
      <c r="R159" t="s">
        <v>2074</v>
      </c>
      <c r="S159" t="s">
        <v>660</v>
      </c>
      <c r="T159" t="s">
        <v>73</v>
      </c>
      <c r="U159" t="s">
        <v>2075</v>
      </c>
      <c r="V159" t="s">
        <v>603</v>
      </c>
      <c r="W159" s="1">
        <v>44029</v>
      </c>
      <c r="X159" t="s">
        <v>1682</v>
      </c>
      <c r="Y159" t="s">
        <v>358</v>
      </c>
      <c r="Z159" t="s">
        <v>2076</v>
      </c>
      <c r="AA159">
        <v>5</v>
      </c>
      <c r="AB159" t="s">
        <v>199</v>
      </c>
      <c r="AC159" t="s">
        <v>2077</v>
      </c>
      <c r="AD159" t="s">
        <v>1882</v>
      </c>
      <c r="AE159" t="s">
        <v>668</v>
      </c>
      <c r="AF159">
        <v>1226250</v>
      </c>
      <c r="AG159" s="6">
        <v>30656</v>
      </c>
      <c r="AK159" t="s">
        <v>4617</v>
      </c>
      <c r="AL159" s="6">
        <v>30656</v>
      </c>
      <c r="AM159" s="7">
        <f>Table6[[#This Row],[Premium]]-Table6[[#This Row],[Tms Prem]]</f>
        <v>0</v>
      </c>
    </row>
    <row r="160" spans="1:39" x14ac:dyDescent="0.25">
      <c r="A160">
        <v>159</v>
      </c>
      <c r="B160" t="s">
        <v>36</v>
      </c>
      <c r="C160" t="s">
        <v>2078</v>
      </c>
      <c r="D160" t="s">
        <v>38</v>
      </c>
      <c r="E160" t="s">
        <v>39</v>
      </c>
      <c r="F160" t="s">
        <v>2079</v>
      </c>
      <c r="G160" t="s">
        <v>97</v>
      </c>
      <c r="H160" t="s">
        <v>2080</v>
      </c>
      <c r="I160" t="s">
        <v>73</v>
      </c>
      <c r="J160" t="s">
        <v>2081</v>
      </c>
      <c r="K160" t="s">
        <v>73</v>
      </c>
      <c r="L160" t="s">
        <v>2082</v>
      </c>
      <c r="M160">
        <v>1396000</v>
      </c>
      <c r="N160">
        <v>1745000</v>
      </c>
      <c r="O160" t="s">
        <v>2083</v>
      </c>
      <c r="P160" t="s">
        <v>612</v>
      </c>
      <c r="Q160" t="s">
        <v>2084</v>
      </c>
      <c r="R160" t="s">
        <v>2085</v>
      </c>
      <c r="S160" t="s">
        <v>72</v>
      </c>
      <c r="T160" t="s">
        <v>73</v>
      </c>
      <c r="U160" t="s">
        <v>2086</v>
      </c>
      <c r="V160" t="s">
        <v>153</v>
      </c>
      <c r="W160" s="1">
        <v>44027</v>
      </c>
      <c r="X160" t="s">
        <v>1682</v>
      </c>
      <c r="Y160" t="s">
        <v>358</v>
      </c>
      <c r="Z160" t="s">
        <v>2087</v>
      </c>
      <c r="AA160">
        <v>5</v>
      </c>
      <c r="AB160" t="s">
        <v>56</v>
      </c>
      <c r="AC160" t="s">
        <v>2088</v>
      </c>
      <c r="AD160" t="s">
        <v>2089</v>
      </c>
      <c r="AE160" t="s">
        <v>59</v>
      </c>
      <c r="AF160">
        <v>1308750</v>
      </c>
      <c r="AG160" s="6">
        <v>26175</v>
      </c>
      <c r="AK160" t="s">
        <v>4618</v>
      </c>
      <c r="AL160" s="6">
        <v>26175</v>
      </c>
      <c r="AM160" s="7">
        <f>Table6[[#This Row],[Premium]]-Table6[[#This Row],[Tms Prem]]</f>
        <v>0</v>
      </c>
    </row>
    <row r="161" spans="1:39" x14ac:dyDescent="0.25">
      <c r="A161">
        <v>160</v>
      </c>
      <c r="B161" t="s">
        <v>36</v>
      </c>
      <c r="C161" t="s">
        <v>2090</v>
      </c>
      <c r="D161" t="s">
        <v>38</v>
      </c>
      <c r="E161" t="s">
        <v>39</v>
      </c>
      <c r="F161" t="s">
        <v>2091</v>
      </c>
      <c r="G161" t="s">
        <v>62</v>
      </c>
      <c r="H161" t="s">
        <v>2092</v>
      </c>
      <c r="I161" t="s">
        <v>2093</v>
      </c>
      <c r="J161" t="s">
        <v>2093</v>
      </c>
      <c r="K161" t="s">
        <v>2093</v>
      </c>
      <c r="L161" t="s">
        <v>2094</v>
      </c>
      <c r="M161">
        <v>1118400</v>
      </c>
      <c r="N161">
        <v>1398000</v>
      </c>
      <c r="O161" t="s">
        <v>2095</v>
      </c>
      <c r="P161" t="s">
        <v>612</v>
      </c>
      <c r="Q161" t="s">
        <v>2096</v>
      </c>
      <c r="R161" t="s">
        <v>2097</v>
      </c>
      <c r="S161" t="s">
        <v>72</v>
      </c>
      <c r="T161" t="s">
        <v>73</v>
      </c>
      <c r="U161" t="s">
        <v>1109</v>
      </c>
      <c r="V161" t="s">
        <v>153</v>
      </c>
      <c r="W161" s="1">
        <v>44027</v>
      </c>
      <c r="X161" t="s">
        <v>1682</v>
      </c>
      <c r="Y161" t="s">
        <v>358</v>
      </c>
      <c r="Z161" t="s">
        <v>2098</v>
      </c>
      <c r="AA161">
        <v>5</v>
      </c>
      <c r="AB161" t="s">
        <v>56</v>
      </c>
      <c r="AC161" t="s">
        <v>2099</v>
      </c>
      <c r="AD161" t="s">
        <v>340</v>
      </c>
      <c r="AE161" t="s">
        <v>59</v>
      </c>
      <c r="AF161">
        <v>1048500</v>
      </c>
      <c r="AG161" s="6">
        <v>20970</v>
      </c>
      <c r="AK161" t="s">
        <v>4619</v>
      </c>
      <c r="AL161" s="6">
        <v>20970</v>
      </c>
      <c r="AM161" s="7">
        <f>Table6[[#This Row],[Premium]]-Table6[[#This Row],[Tms Prem]]</f>
        <v>0</v>
      </c>
    </row>
    <row r="162" spans="1:39" x14ac:dyDescent="0.25">
      <c r="A162">
        <v>161</v>
      </c>
      <c r="B162" t="s">
        <v>36</v>
      </c>
      <c r="C162" t="s">
        <v>2100</v>
      </c>
      <c r="D162" t="s">
        <v>38</v>
      </c>
      <c r="E162" t="s">
        <v>39</v>
      </c>
      <c r="F162" t="s">
        <v>2101</v>
      </c>
      <c r="G162" t="s">
        <v>291</v>
      </c>
      <c r="H162" t="s">
        <v>2102</v>
      </c>
      <c r="I162" t="s">
        <v>2103</v>
      </c>
      <c r="J162" t="s">
        <v>2103</v>
      </c>
      <c r="K162" t="s">
        <v>2103</v>
      </c>
      <c r="L162" t="s">
        <v>2104</v>
      </c>
      <c r="M162">
        <v>1424250</v>
      </c>
      <c r="N162">
        <v>1899000</v>
      </c>
      <c r="O162" t="s">
        <v>2105</v>
      </c>
      <c r="P162" t="s">
        <v>1028</v>
      </c>
      <c r="Q162" t="s">
        <v>2106</v>
      </c>
      <c r="R162" t="s">
        <v>2107</v>
      </c>
      <c r="S162" t="s">
        <v>72</v>
      </c>
      <c r="T162" t="s">
        <v>73</v>
      </c>
      <c r="U162" t="s">
        <v>2108</v>
      </c>
      <c r="V162" t="s">
        <v>153</v>
      </c>
      <c r="W162" s="1">
        <v>44026</v>
      </c>
      <c r="X162" t="s">
        <v>1682</v>
      </c>
      <c r="Y162" t="s">
        <v>358</v>
      </c>
      <c r="Z162" t="s">
        <v>2109</v>
      </c>
      <c r="AA162">
        <v>5</v>
      </c>
      <c r="AB162" t="s">
        <v>110</v>
      </c>
      <c r="AC162" t="s">
        <v>2110</v>
      </c>
      <c r="AD162" t="s">
        <v>2111</v>
      </c>
      <c r="AE162" t="s">
        <v>668</v>
      </c>
      <c r="AF162">
        <v>1424250</v>
      </c>
      <c r="AG162" s="6">
        <v>35606</v>
      </c>
      <c r="AK162" t="s">
        <v>4620</v>
      </c>
      <c r="AL162" s="6">
        <v>35606</v>
      </c>
      <c r="AM162" s="7">
        <f>Table6[[#This Row],[Premium]]-Table6[[#This Row],[Tms Prem]]</f>
        <v>0</v>
      </c>
    </row>
    <row r="163" spans="1:39" x14ac:dyDescent="0.25">
      <c r="A163">
        <v>162</v>
      </c>
      <c r="B163" t="s">
        <v>36</v>
      </c>
      <c r="C163" t="s">
        <v>2112</v>
      </c>
      <c r="D163" t="s">
        <v>38</v>
      </c>
      <c r="E163" t="s">
        <v>39</v>
      </c>
      <c r="F163" t="s">
        <v>2113</v>
      </c>
      <c r="G163" t="s">
        <v>62</v>
      </c>
      <c r="H163" t="s">
        <v>2114</v>
      </c>
      <c r="I163" t="s">
        <v>2115</v>
      </c>
      <c r="J163" t="s">
        <v>2116</v>
      </c>
      <c r="K163" t="s">
        <v>2117</v>
      </c>
      <c r="L163" t="s">
        <v>2118</v>
      </c>
      <c r="M163">
        <v>1102500</v>
      </c>
      <c r="N163">
        <v>1575000</v>
      </c>
      <c r="O163" t="s">
        <v>2119</v>
      </c>
      <c r="P163" t="s">
        <v>2120</v>
      </c>
      <c r="Q163" t="s">
        <v>2121</v>
      </c>
      <c r="R163" t="s">
        <v>2122</v>
      </c>
      <c r="S163" t="s">
        <v>660</v>
      </c>
      <c r="T163" t="s">
        <v>2123</v>
      </c>
      <c r="U163" t="s">
        <v>2124</v>
      </c>
      <c r="V163" t="s">
        <v>330</v>
      </c>
      <c r="W163" s="1">
        <v>44027</v>
      </c>
      <c r="X163" t="s">
        <v>1682</v>
      </c>
      <c r="Y163" t="s">
        <v>358</v>
      </c>
      <c r="Z163" t="s">
        <v>2125</v>
      </c>
      <c r="AA163">
        <v>5</v>
      </c>
      <c r="AB163" t="s">
        <v>56</v>
      </c>
      <c r="AC163" t="s">
        <v>2126</v>
      </c>
      <c r="AD163" t="s">
        <v>1882</v>
      </c>
      <c r="AE163" t="s">
        <v>668</v>
      </c>
      <c r="AF163">
        <v>1181250</v>
      </c>
      <c r="AG163" s="6">
        <v>29531</v>
      </c>
      <c r="AK163" t="s">
        <v>4621</v>
      </c>
      <c r="AL163" s="6">
        <v>29531</v>
      </c>
      <c r="AM163" s="7">
        <f>Table6[[#This Row],[Premium]]-Table6[[#This Row],[Tms Prem]]</f>
        <v>0</v>
      </c>
    </row>
    <row r="164" spans="1:39" x14ac:dyDescent="0.25">
      <c r="A164">
        <v>163</v>
      </c>
      <c r="B164" t="s">
        <v>36</v>
      </c>
      <c r="C164" t="s">
        <v>2127</v>
      </c>
      <c r="D164" t="s">
        <v>38</v>
      </c>
      <c r="E164" t="s">
        <v>39</v>
      </c>
      <c r="F164" t="s">
        <v>2128</v>
      </c>
      <c r="G164" t="s">
        <v>115</v>
      </c>
      <c r="H164" t="s">
        <v>2129</v>
      </c>
      <c r="I164" t="s">
        <v>73</v>
      </c>
      <c r="J164" t="s">
        <v>2130</v>
      </c>
      <c r="K164" t="s">
        <v>73</v>
      </c>
      <c r="L164" t="s">
        <v>2131</v>
      </c>
      <c r="M164">
        <v>2537530</v>
      </c>
      <c r="N164">
        <v>5399000</v>
      </c>
      <c r="O164" t="s">
        <v>2132</v>
      </c>
      <c r="P164" t="s">
        <v>107</v>
      </c>
      <c r="Q164" t="s">
        <v>2133</v>
      </c>
      <c r="R164" t="s">
        <v>2134</v>
      </c>
      <c r="S164" t="s">
        <v>72</v>
      </c>
      <c r="T164" t="s">
        <v>73</v>
      </c>
      <c r="U164" t="s">
        <v>2135</v>
      </c>
      <c r="V164" t="s">
        <v>75</v>
      </c>
      <c r="W164" s="1">
        <v>44368</v>
      </c>
      <c r="X164" t="s">
        <v>154</v>
      </c>
      <c r="Y164" t="s">
        <v>155</v>
      </c>
      <c r="Z164" t="s">
        <v>2136</v>
      </c>
      <c r="AA164">
        <v>5</v>
      </c>
      <c r="AB164" t="s">
        <v>73</v>
      </c>
      <c r="AC164" t="s">
        <v>73</v>
      </c>
      <c r="AD164" t="s">
        <v>73</v>
      </c>
      <c r="AE164" t="s">
        <v>2137</v>
      </c>
      <c r="AF164">
        <v>4319200</v>
      </c>
      <c r="AG164" s="6">
        <v>43192</v>
      </c>
      <c r="AK164" t="s">
        <v>4622</v>
      </c>
      <c r="AL164" s="6">
        <v>43192</v>
      </c>
      <c r="AM164" s="7">
        <f>Table6[[#This Row],[Premium]]-Table6[[#This Row],[Tms Prem]]</f>
        <v>0</v>
      </c>
    </row>
    <row r="165" spans="1:39" hidden="1" x14ac:dyDescent="0.25">
      <c r="A165">
        <v>164</v>
      </c>
      <c r="B165" t="s">
        <v>36</v>
      </c>
      <c r="C165" t="s">
        <v>2138</v>
      </c>
      <c r="D165" t="s">
        <v>38</v>
      </c>
      <c r="E165" t="s">
        <v>39</v>
      </c>
      <c r="F165" t="s">
        <v>2139</v>
      </c>
      <c r="G165" t="s">
        <v>62</v>
      </c>
      <c r="H165" t="s">
        <v>2140</v>
      </c>
      <c r="I165" t="s">
        <v>2141</v>
      </c>
      <c r="J165" t="s">
        <v>2142</v>
      </c>
      <c r="K165" t="s">
        <v>2143</v>
      </c>
      <c r="L165" t="s">
        <v>2144</v>
      </c>
      <c r="M165">
        <v>4019680</v>
      </c>
      <c r="N165">
        <v>5432000</v>
      </c>
      <c r="O165" t="s">
        <v>1826</v>
      </c>
      <c r="P165" t="s">
        <v>1755</v>
      </c>
      <c r="Q165" t="s">
        <v>2145</v>
      </c>
      <c r="R165" t="s">
        <v>2146</v>
      </c>
      <c r="S165" t="s">
        <v>72</v>
      </c>
      <c r="T165" t="s">
        <v>73</v>
      </c>
      <c r="U165" t="s">
        <v>2135</v>
      </c>
      <c r="V165" t="s">
        <v>75</v>
      </c>
      <c r="W165" s="1">
        <v>44396</v>
      </c>
      <c r="X165" t="s">
        <v>154</v>
      </c>
      <c r="Y165" t="s">
        <v>700</v>
      </c>
      <c r="Z165" t="s">
        <v>2147</v>
      </c>
      <c r="AA165">
        <v>3</v>
      </c>
      <c r="AB165" t="s">
        <v>199</v>
      </c>
      <c r="AC165" t="s">
        <v>2148</v>
      </c>
      <c r="AD165" t="s">
        <v>2007</v>
      </c>
      <c r="AE165" t="s">
        <v>319</v>
      </c>
      <c r="AF165">
        <v>3259200</v>
      </c>
      <c r="AG165" s="6">
        <v>0</v>
      </c>
      <c r="AK165" t="e">
        <v>#N/A</v>
      </c>
      <c r="AL165" s="6" t="e">
        <v>#N/A</v>
      </c>
      <c r="AM165" s="7" t="e">
        <f>Table6[[#This Row],[Premium]]-Table6[[#This Row],[Tms Prem]]</f>
        <v>#N/A</v>
      </c>
    </row>
    <row r="166" spans="1:39" x14ac:dyDescent="0.25">
      <c r="A166">
        <v>165</v>
      </c>
      <c r="B166" t="s">
        <v>36</v>
      </c>
      <c r="C166" t="s">
        <v>2149</v>
      </c>
      <c r="D166" t="s">
        <v>38</v>
      </c>
      <c r="E166" t="s">
        <v>39</v>
      </c>
      <c r="F166" t="s">
        <v>2150</v>
      </c>
      <c r="G166" t="s">
        <v>115</v>
      </c>
      <c r="H166" t="s">
        <v>2151</v>
      </c>
      <c r="I166" t="s">
        <v>73</v>
      </c>
      <c r="J166" t="s">
        <v>2152</v>
      </c>
      <c r="K166" t="s">
        <v>73</v>
      </c>
      <c r="L166" t="s">
        <v>2153</v>
      </c>
      <c r="M166">
        <v>840000</v>
      </c>
      <c r="N166">
        <v>1050000</v>
      </c>
      <c r="O166" t="s">
        <v>2154</v>
      </c>
      <c r="P166" t="s">
        <v>2120</v>
      </c>
      <c r="Q166" t="s">
        <v>2155</v>
      </c>
      <c r="R166" t="s">
        <v>2156</v>
      </c>
      <c r="S166" t="s">
        <v>49</v>
      </c>
      <c r="T166" t="s">
        <v>2157</v>
      </c>
      <c r="U166" t="s">
        <v>2158</v>
      </c>
      <c r="V166" t="s">
        <v>603</v>
      </c>
      <c r="W166" s="1">
        <v>44027</v>
      </c>
      <c r="X166" t="s">
        <v>1682</v>
      </c>
      <c r="Y166" t="s">
        <v>358</v>
      </c>
      <c r="Z166" t="s">
        <v>2159</v>
      </c>
      <c r="AA166">
        <v>5</v>
      </c>
      <c r="AB166" t="s">
        <v>199</v>
      </c>
      <c r="AC166" t="s">
        <v>2160</v>
      </c>
      <c r="AD166" t="s">
        <v>2089</v>
      </c>
      <c r="AE166" t="s">
        <v>668</v>
      </c>
      <c r="AF166">
        <v>787500</v>
      </c>
      <c r="AG166" s="6">
        <v>19688</v>
      </c>
      <c r="AK166" t="s">
        <v>4623</v>
      </c>
      <c r="AL166" s="6">
        <v>19688</v>
      </c>
      <c r="AM166" s="7">
        <f>Table6[[#This Row],[Premium]]-Table6[[#This Row],[Tms Prem]]</f>
        <v>0</v>
      </c>
    </row>
    <row r="167" spans="1:39" x14ac:dyDescent="0.25">
      <c r="A167">
        <v>166</v>
      </c>
      <c r="B167" t="s">
        <v>36</v>
      </c>
      <c r="C167" t="s">
        <v>2161</v>
      </c>
      <c r="D167" t="s">
        <v>38</v>
      </c>
      <c r="E167" t="s">
        <v>39</v>
      </c>
      <c r="F167" t="s">
        <v>2162</v>
      </c>
      <c r="G167" t="s">
        <v>115</v>
      </c>
      <c r="H167" t="s">
        <v>2163</v>
      </c>
      <c r="I167" t="s">
        <v>2164</v>
      </c>
      <c r="J167" t="s">
        <v>2165</v>
      </c>
      <c r="K167" t="s">
        <v>2166</v>
      </c>
      <c r="L167" t="s">
        <v>2167</v>
      </c>
      <c r="M167">
        <v>2841300</v>
      </c>
      <c r="N167">
        <v>4059000</v>
      </c>
      <c r="O167" t="s">
        <v>2168</v>
      </c>
      <c r="P167" t="s">
        <v>333</v>
      </c>
      <c r="Q167" t="s">
        <v>2169</v>
      </c>
      <c r="R167" t="s">
        <v>2170</v>
      </c>
      <c r="S167" t="s">
        <v>72</v>
      </c>
      <c r="T167" t="s">
        <v>73</v>
      </c>
      <c r="U167" t="s">
        <v>2171</v>
      </c>
      <c r="V167" t="s">
        <v>153</v>
      </c>
      <c r="W167" s="1">
        <v>44025</v>
      </c>
      <c r="X167" t="s">
        <v>2172</v>
      </c>
      <c r="Y167" t="s">
        <v>211</v>
      </c>
      <c r="Z167" t="s">
        <v>2173</v>
      </c>
      <c r="AA167">
        <v>5</v>
      </c>
      <c r="AB167" t="s">
        <v>263</v>
      </c>
      <c r="AC167" t="s">
        <v>2174</v>
      </c>
      <c r="AD167" t="s">
        <v>2175</v>
      </c>
      <c r="AE167" t="s">
        <v>59</v>
      </c>
      <c r="AF167">
        <v>3044250</v>
      </c>
      <c r="AG167" s="6">
        <v>60885</v>
      </c>
      <c r="AK167" t="s">
        <v>4624</v>
      </c>
      <c r="AL167" s="6">
        <v>60885</v>
      </c>
      <c r="AM167" s="7">
        <f>Table6[[#This Row],[Premium]]-Table6[[#This Row],[Tms Prem]]</f>
        <v>0</v>
      </c>
    </row>
    <row r="168" spans="1:39" x14ac:dyDescent="0.25">
      <c r="A168">
        <v>167</v>
      </c>
      <c r="B168" t="s">
        <v>36</v>
      </c>
      <c r="C168" t="s">
        <v>2176</v>
      </c>
      <c r="D168" t="s">
        <v>38</v>
      </c>
      <c r="E168" t="s">
        <v>39</v>
      </c>
      <c r="F168" t="s">
        <v>2177</v>
      </c>
      <c r="G168" t="s">
        <v>189</v>
      </c>
      <c r="H168" t="s">
        <v>2178</v>
      </c>
      <c r="I168" t="s">
        <v>2179</v>
      </c>
      <c r="J168" t="s">
        <v>2180</v>
      </c>
      <c r="K168" t="s">
        <v>2181</v>
      </c>
      <c r="L168" t="s">
        <v>2182</v>
      </c>
      <c r="M168">
        <v>1436050</v>
      </c>
      <c r="N168">
        <v>1865000</v>
      </c>
      <c r="O168" t="s">
        <v>2183</v>
      </c>
      <c r="P168" t="s">
        <v>582</v>
      </c>
      <c r="Q168" t="s">
        <v>2184</v>
      </c>
      <c r="R168" t="s">
        <v>2185</v>
      </c>
      <c r="S168" t="s">
        <v>72</v>
      </c>
      <c r="T168" t="s">
        <v>73</v>
      </c>
      <c r="U168" t="s">
        <v>2158</v>
      </c>
      <c r="V168" t="s">
        <v>153</v>
      </c>
      <c r="W168" s="1">
        <v>44027</v>
      </c>
      <c r="X168" t="s">
        <v>1682</v>
      </c>
      <c r="Y168" t="s">
        <v>236</v>
      </c>
      <c r="Z168" t="s">
        <v>2186</v>
      </c>
      <c r="AA168">
        <v>7</v>
      </c>
      <c r="AB168" t="s">
        <v>56</v>
      </c>
      <c r="AC168" t="s">
        <v>2187</v>
      </c>
      <c r="AD168" t="s">
        <v>2175</v>
      </c>
      <c r="AE168" t="s">
        <v>668</v>
      </c>
      <c r="AF168">
        <v>1398750</v>
      </c>
      <c r="AG168" s="6">
        <v>34969</v>
      </c>
      <c r="AK168" t="s">
        <v>4625</v>
      </c>
      <c r="AL168" s="6">
        <v>34969</v>
      </c>
      <c r="AM168" s="7">
        <f>Table6[[#This Row],[Premium]]-Table6[[#This Row],[Tms Prem]]</f>
        <v>0</v>
      </c>
    </row>
    <row r="169" spans="1:39" x14ac:dyDescent="0.25">
      <c r="A169">
        <v>168</v>
      </c>
      <c r="B169" t="s">
        <v>36</v>
      </c>
      <c r="C169" t="s">
        <v>2188</v>
      </c>
      <c r="D169" t="s">
        <v>38</v>
      </c>
      <c r="E169" t="s">
        <v>39</v>
      </c>
      <c r="F169" t="s">
        <v>2189</v>
      </c>
      <c r="G169" t="s">
        <v>115</v>
      </c>
      <c r="H169" t="s">
        <v>2190</v>
      </c>
      <c r="I169" t="s">
        <v>2191</v>
      </c>
      <c r="J169" t="s">
        <v>2192</v>
      </c>
      <c r="K169" t="s">
        <v>2192</v>
      </c>
      <c r="L169" t="s">
        <v>2193</v>
      </c>
      <c r="M169">
        <v>1221500</v>
      </c>
      <c r="N169">
        <v>1745000</v>
      </c>
      <c r="O169" t="s">
        <v>2194</v>
      </c>
      <c r="P169" t="s">
        <v>2120</v>
      </c>
      <c r="Q169" t="s">
        <v>2195</v>
      </c>
      <c r="R169" t="s">
        <v>2196</v>
      </c>
      <c r="S169" t="s">
        <v>72</v>
      </c>
      <c r="T169" t="s">
        <v>73</v>
      </c>
      <c r="U169" t="s">
        <v>2197</v>
      </c>
      <c r="V169" t="s">
        <v>153</v>
      </c>
      <c r="W169" s="1">
        <v>44025</v>
      </c>
      <c r="X169" t="s">
        <v>1682</v>
      </c>
      <c r="Y169" t="s">
        <v>358</v>
      </c>
      <c r="Z169" t="s">
        <v>2198</v>
      </c>
      <c r="AA169">
        <v>5</v>
      </c>
      <c r="AB169" t="s">
        <v>56</v>
      </c>
      <c r="AC169" t="s">
        <v>2199</v>
      </c>
      <c r="AD169" t="s">
        <v>2089</v>
      </c>
      <c r="AE169" t="s">
        <v>668</v>
      </c>
      <c r="AF169">
        <v>1308750</v>
      </c>
      <c r="AG169" s="6">
        <v>32719</v>
      </c>
      <c r="AK169" t="s">
        <v>4626</v>
      </c>
      <c r="AL169" s="6">
        <v>32719</v>
      </c>
      <c r="AM169" s="7">
        <f>Table6[[#This Row],[Premium]]-Table6[[#This Row],[Tms Prem]]</f>
        <v>0</v>
      </c>
    </row>
    <row r="170" spans="1:39" x14ac:dyDescent="0.25">
      <c r="A170">
        <v>169</v>
      </c>
      <c r="B170" t="s">
        <v>36</v>
      </c>
      <c r="C170" t="s">
        <v>2200</v>
      </c>
      <c r="D170" t="s">
        <v>38</v>
      </c>
      <c r="E170" t="s">
        <v>39</v>
      </c>
      <c r="F170" t="s">
        <v>2201</v>
      </c>
      <c r="G170" t="s">
        <v>189</v>
      </c>
      <c r="H170" t="s">
        <v>2202</v>
      </c>
      <c r="I170" t="s">
        <v>2203</v>
      </c>
      <c r="J170" t="s">
        <v>2204</v>
      </c>
      <c r="K170" t="s">
        <v>2205</v>
      </c>
      <c r="L170" t="s">
        <v>2206</v>
      </c>
      <c r="M170">
        <v>1810550</v>
      </c>
      <c r="N170">
        <v>2586500</v>
      </c>
      <c r="O170" t="s">
        <v>2207</v>
      </c>
      <c r="P170" t="s">
        <v>221</v>
      </c>
      <c r="Q170" t="s">
        <v>2208</v>
      </c>
      <c r="R170" t="s">
        <v>2209</v>
      </c>
      <c r="S170" t="s">
        <v>72</v>
      </c>
      <c r="T170" t="s">
        <v>73</v>
      </c>
      <c r="U170" t="s">
        <v>2210</v>
      </c>
      <c r="V170" t="s">
        <v>153</v>
      </c>
      <c r="W170" s="1">
        <v>44012</v>
      </c>
      <c r="X170" t="s">
        <v>1682</v>
      </c>
      <c r="Y170" t="s">
        <v>155</v>
      </c>
      <c r="Z170" t="s">
        <v>2211</v>
      </c>
      <c r="AA170">
        <v>6</v>
      </c>
      <c r="AB170" t="s">
        <v>56</v>
      </c>
      <c r="AC170" t="s">
        <v>2212</v>
      </c>
      <c r="AD170" t="s">
        <v>2111</v>
      </c>
      <c r="AE170" t="s">
        <v>668</v>
      </c>
      <c r="AF170">
        <v>1939875</v>
      </c>
      <c r="AG170" s="6">
        <v>48497</v>
      </c>
      <c r="AK170" t="s">
        <v>4627</v>
      </c>
      <c r="AL170" s="6">
        <v>48497</v>
      </c>
      <c r="AM170" s="7">
        <f>Table6[[#This Row],[Premium]]-Table6[[#This Row],[Tms Prem]]</f>
        <v>0</v>
      </c>
    </row>
    <row r="171" spans="1:39" x14ac:dyDescent="0.25">
      <c r="A171">
        <v>170</v>
      </c>
      <c r="B171" t="s">
        <v>36</v>
      </c>
      <c r="C171" t="s">
        <v>2213</v>
      </c>
      <c r="D171" t="s">
        <v>38</v>
      </c>
      <c r="E171" t="s">
        <v>39</v>
      </c>
      <c r="F171" t="s">
        <v>2214</v>
      </c>
      <c r="G171" t="s">
        <v>62</v>
      </c>
      <c r="H171" t="s">
        <v>2215</v>
      </c>
      <c r="I171" t="s">
        <v>2216</v>
      </c>
      <c r="J171" t="s">
        <v>2216</v>
      </c>
      <c r="K171" t="s">
        <v>2217</v>
      </c>
      <c r="L171" t="s">
        <v>2218</v>
      </c>
      <c r="M171">
        <v>1588000</v>
      </c>
      <c r="N171">
        <v>1985000</v>
      </c>
      <c r="O171" t="s">
        <v>2219</v>
      </c>
      <c r="P171" t="s">
        <v>221</v>
      </c>
      <c r="Q171" t="s">
        <v>2220</v>
      </c>
      <c r="R171" t="s">
        <v>2221</v>
      </c>
      <c r="S171" t="s">
        <v>72</v>
      </c>
      <c r="T171" t="s">
        <v>73</v>
      </c>
      <c r="U171" t="s">
        <v>2222</v>
      </c>
      <c r="V171" t="s">
        <v>153</v>
      </c>
      <c r="W171" s="1">
        <v>43881</v>
      </c>
      <c r="X171" t="s">
        <v>2172</v>
      </c>
      <c r="Y171" t="s">
        <v>211</v>
      </c>
      <c r="Z171" t="s">
        <v>2223</v>
      </c>
      <c r="AA171">
        <v>5</v>
      </c>
      <c r="AB171" t="s">
        <v>110</v>
      </c>
      <c r="AC171" t="s">
        <v>2224</v>
      </c>
      <c r="AD171" t="s">
        <v>2111</v>
      </c>
      <c r="AE171" t="s">
        <v>668</v>
      </c>
      <c r="AF171">
        <v>1488750</v>
      </c>
      <c r="AG171" s="6">
        <v>37219</v>
      </c>
      <c r="AK171" t="s">
        <v>4628</v>
      </c>
      <c r="AL171" s="6">
        <v>37219</v>
      </c>
      <c r="AM171" s="7">
        <f>Table6[[#This Row],[Premium]]-Table6[[#This Row],[Tms Prem]]</f>
        <v>0</v>
      </c>
    </row>
    <row r="172" spans="1:39" x14ac:dyDescent="0.25">
      <c r="A172">
        <v>171</v>
      </c>
      <c r="B172" t="s">
        <v>36</v>
      </c>
      <c r="C172" t="s">
        <v>2225</v>
      </c>
      <c r="D172" t="s">
        <v>38</v>
      </c>
      <c r="E172" t="s">
        <v>39</v>
      </c>
      <c r="F172" t="s">
        <v>2226</v>
      </c>
      <c r="G172" t="s">
        <v>62</v>
      </c>
      <c r="H172" t="s">
        <v>2227</v>
      </c>
      <c r="I172" t="s">
        <v>2228</v>
      </c>
      <c r="J172" t="s">
        <v>2228</v>
      </c>
      <c r="K172" t="s">
        <v>2229</v>
      </c>
      <c r="L172" t="s">
        <v>2230</v>
      </c>
      <c r="M172">
        <v>873400</v>
      </c>
      <c r="N172">
        <v>1985000</v>
      </c>
      <c r="O172" t="s">
        <v>2231</v>
      </c>
      <c r="P172" t="s">
        <v>902</v>
      </c>
      <c r="Q172" t="s">
        <v>2232</v>
      </c>
      <c r="R172" t="s">
        <v>2233</v>
      </c>
      <c r="S172" t="s">
        <v>72</v>
      </c>
      <c r="T172" t="s">
        <v>73</v>
      </c>
      <c r="U172" t="s">
        <v>2222</v>
      </c>
      <c r="V172" t="s">
        <v>153</v>
      </c>
      <c r="W172" s="1">
        <v>43873</v>
      </c>
      <c r="X172" t="s">
        <v>2172</v>
      </c>
      <c r="Y172" t="s">
        <v>108</v>
      </c>
      <c r="Z172" t="s">
        <v>2234</v>
      </c>
      <c r="AA172">
        <v>7</v>
      </c>
      <c r="AB172" t="s">
        <v>56</v>
      </c>
      <c r="AC172" t="s">
        <v>2235</v>
      </c>
      <c r="AD172" t="s">
        <v>2111</v>
      </c>
      <c r="AE172" t="s">
        <v>668</v>
      </c>
      <c r="AF172">
        <v>1488750</v>
      </c>
      <c r="AG172" s="6">
        <v>37219</v>
      </c>
      <c r="AK172" t="s">
        <v>4629</v>
      </c>
      <c r="AL172" s="6">
        <v>37219</v>
      </c>
      <c r="AM172" s="7">
        <f>Table6[[#This Row],[Premium]]-Table6[[#This Row],[Tms Prem]]</f>
        <v>0</v>
      </c>
    </row>
    <row r="173" spans="1:39" x14ac:dyDescent="0.25">
      <c r="A173">
        <v>172</v>
      </c>
      <c r="B173" t="s">
        <v>36</v>
      </c>
      <c r="C173" t="s">
        <v>2236</v>
      </c>
      <c r="D173" t="s">
        <v>38</v>
      </c>
      <c r="E173" t="s">
        <v>39</v>
      </c>
      <c r="F173" t="s">
        <v>2237</v>
      </c>
      <c r="G173" t="s">
        <v>229</v>
      </c>
      <c r="H173" t="s">
        <v>2238</v>
      </c>
      <c r="I173" t="s">
        <v>2239</v>
      </c>
      <c r="J173" t="s">
        <v>2239</v>
      </c>
      <c r="K173" t="s">
        <v>2240</v>
      </c>
      <c r="L173" t="s">
        <v>2241</v>
      </c>
      <c r="M173">
        <v>1025500</v>
      </c>
      <c r="N173">
        <v>1465000</v>
      </c>
      <c r="O173" t="s">
        <v>73</v>
      </c>
      <c r="P173" t="s">
        <v>73</v>
      </c>
      <c r="Q173" t="s">
        <v>2242</v>
      </c>
      <c r="R173" t="s">
        <v>2243</v>
      </c>
      <c r="S173" t="s">
        <v>660</v>
      </c>
      <c r="T173" t="s">
        <v>73</v>
      </c>
      <c r="U173" t="s">
        <v>2244</v>
      </c>
      <c r="V173" t="s">
        <v>829</v>
      </c>
      <c r="W173" s="1">
        <v>43656</v>
      </c>
      <c r="X173" t="s">
        <v>2245</v>
      </c>
      <c r="Y173" t="s">
        <v>211</v>
      </c>
      <c r="Z173" t="s">
        <v>2246</v>
      </c>
      <c r="AA173">
        <v>6</v>
      </c>
      <c r="AB173" t="s">
        <v>56</v>
      </c>
      <c r="AC173" t="s">
        <v>2247</v>
      </c>
      <c r="AD173" t="s">
        <v>2248</v>
      </c>
      <c r="AE173" t="s">
        <v>668</v>
      </c>
      <c r="AF173">
        <v>1025500</v>
      </c>
      <c r="AG173" s="6">
        <v>25638</v>
      </c>
      <c r="AK173" t="s">
        <v>4630</v>
      </c>
      <c r="AL173" s="6">
        <v>25638</v>
      </c>
      <c r="AM173" s="7">
        <f>Table6[[#This Row],[Premium]]-Table6[[#This Row],[Tms Prem]]</f>
        <v>0</v>
      </c>
    </row>
    <row r="174" spans="1:39" x14ac:dyDescent="0.25">
      <c r="A174">
        <v>173</v>
      </c>
      <c r="B174" t="s">
        <v>36</v>
      </c>
      <c r="C174" t="s">
        <v>2249</v>
      </c>
      <c r="D174" t="s">
        <v>38</v>
      </c>
      <c r="E174" t="s">
        <v>39</v>
      </c>
      <c r="F174" t="s">
        <v>2250</v>
      </c>
      <c r="G174" t="s">
        <v>115</v>
      </c>
      <c r="H174" t="s">
        <v>2251</v>
      </c>
      <c r="I174" t="s">
        <v>2252</v>
      </c>
      <c r="J174" t="s">
        <v>2253</v>
      </c>
      <c r="K174" t="s">
        <v>2254</v>
      </c>
      <c r="L174" t="s">
        <v>2255</v>
      </c>
      <c r="M174">
        <v>1722500</v>
      </c>
      <c r="N174">
        <v>2650000</v>
      </c>
      <c r="O174" t="s">
        <v>2256</v>
      </c>
      <c r="P174" t="s">
        <v>456</v>
      </c>
      <c r="Q174" t="s">
        <v>2257</v>
      </c>
      <c r="R174" t="s">
        <v>2258</v>
      </c>
      <c r="S174" t="s">
        <v>660</v>
      </c>
      <c r="T174" t="s">
        <v>2259</v>
      </c>
      <c r="U174" t="s">
        <v>2260</v>
      </c>
      <c r="V174" t="s">
        <v>829</v>
      </c>
      <c r="W174" s="1">
        <v>44025</v>
      </c>
      <c r="X174" t="s">
        <v>1682</v>
      </c>
      <c r="Y174" t="s">
        <v>358</v>
      </c>
      <c r="Z174" t="s">
        <v>2261</v>
      </c>
      <c r="AA174">
        <v>5</v>
      </c>
      <c r="AB174" t="s">
        <v>56</v>
      </c>
      <c r="AC174" t="s">
        <v>2262</v>
      </c>
      <c r="AD174" t="s">
        <v>2089</v>
      </c>
      <c r="AE174" t="s">
        <v>668</v>
      </c>
      <c r="AF174">
        <v>1987500</v>
      </c>
      <c r="AG174" s="6">
        <v>49688</v>
      </c>
      <c r="AK174" t="s">
        <v>4631</v>
      </c>
      <c r="AL174" s="6">
        <v>49688</v>
      </c>
      <c r="AM174" s="7">
        <f>Table6[[#This Row],[Premium]]-Table6[[#This Row],[Tms Prem]]</f>
        <v>0</v>
      </c>
    </row>
    <row r="175" spans="1:39" x14ac:dyDescent="0.25">
      <c r="A175">
        <v>174</v>
      </c>
      <c r="B175" t="s">
        <v>36</v>
      </c>
      <c r="C175" t="s">
        <v>2263</v>
      </c>
      <c r="D175" t="s">
        <v>38</v>
      </c>
      <c r="E175" t="s">
        <v>39</v>
      </c>
      <c r="F175" t="s">
        <v>2264</v>
      </c>
      <c r="G175" t="s">
        <v>189</v>
      </c>
      <c r="H175" t="s">
        <v>2265</v>
      </c>
      <c r="I175" t="s">
        <v>2266</v>
      </c>
      <c r="J175" t="s">
        <v>2267</v>
      </c>
      <c r="K175" t="s">
        <v>2266</v>
      </c>
      <c r="L175" t="s">
        <v>2268</v>
      </c>
      <c r="M175">
        <v>1186500</v>
      </c>
      <c r="N175">
        <v>1695000</v>
      </c>
      <c r="O175" t="s">
        <v>2269</v>
      </c>
      <c r="P175" t="s">
        <v>2270</v>
      </c>
      <c r="Q175" t="s">
        <v>2271</v>
      </c>
      <c r="R175" t="s">
        <v>2272</v>
      </c>
      <c r="S175" t="s">
        <v>72</v>
      </c>
      <c r="T175" t="s">
        <v>73</v>
      </c>
      <c r="U175" t="s">
        <v>729</v>
      </c>
      <c r="V175" t="s">
        <v>153</v>
      </c>
      <c r="W175" s="1">
        <v>44022</v>
      </c>
      <c r="X175" t="s">
        <v>2172</v>
      </c>
      <c r="Y175" t="s">
        <v>211</v>
      </c>
      <c r="Z175" t="s">
        <v>2273</v>
      </c>
      <c r="AA175">
        <v>5</v>
      </c>
      <c r="AB175" t="s">
        <v>56</v>
      </c>
      <c r="AC175" t="s">
        <v>2274</v>
      </c>
      <c r="AD175" t="s">
        <v>309</v>
      </c>
      <c r="AE175" t="s">
        <v>668</v>
      </c>
      <c r="AF175">
        <v>1271250</v>
      </c>
      <c r="AG175" s="6">
        <v>31781</v>
      </c>
      <c r="AK175" t="s">
        <v>4632</v>
      </c>
      <c r="AL175" s="6">
        <v>31781</v>
      </c>
      <c r="AM175" s="7">
        <f>Table6[[#This Row],[Premium]]-Table6[[#This Row],[Tms Prem]]</f>
        <v>0</v>
      </c>
    </row>
    <row r="176" spans="1:39" x14ac:dyDescent="0.25">
      <c r="A176">
        <v>175</v>
      </c>
      <c r="B176" t="s">
        <v>36</v>
      </c>
      <c r="C176" t="s">
        <v>2275</v>
      </c>
      <c r="D176" t="s">
        <v>38</v>
      </c>
      <c r="E176" t="s">
        <v>39</v>
      </c>
      <c r="F176" t="s">
        <v>2276</v>
      </c>
      <c r="G176" t="s">
        <v>291</v>
      </c>
      <c r="H176" t="s">
        <v>2277</v>
      </c>
      <c r="I176" t="s">
        <v>73</v>
      </c>
      <c r="J176" t="s">
        <v>2278</v>
      </c>
      <c r="K176" t="s">
        <v>2278</v>
      </c>
      <c r="L176" t="s">
        <v>2279</v>
      </c>
      <c r="M176">
        <v>1356000</v>
      </c>
      <c r="N176">
        <v>1695000</v>
      </c>
      <c r="O176" t="s">
        <v>2280</v>
      </c>
      <c r="P176" t="s">
        <v>1147</v>
      </c>
      <c r="Q176" t="s">
        <v>2281</v>
      </c>
      <c r="R176" t="s">
        <v>2282</v>
      </c>
      <c r="S176" t="s">
        <v>72</v>
      </c>
      <c r="T176" t="s">
        <v>73</v>
      </c>
      <c r="U176" t="s">
        <v>729</v>
      </c>
      <c r="V176" t="s">
        <v>153</v>
      </c>
      <c r="W176" s="1">
        <v>44021</v>
      </c>
      <c r="X176" t="s">
        <v>2172</v>
      </c>
      <c r="Y176" t="s">
        <v>211</v>
      </c>
      <c r="Z176" t="s">
        <v>2283</v>
      </c>
      <c r="AA176">
        <v>5</v>
      </c>
      <c r="AB176" t="s">
        <v>56</v>
      </c>
      <c r="AC176" t="s">
        <v>2284</v>
      </c>
      <c r="AD176" t="s">
        <v>309</v>
      </c>
      <c r="AE176" t="s">
        <v>668</v>
      </c>
      <c r="AF176">
        <v>1271250</v>
      </c>
      <c r="AG176" s="6">
        <v>31781</v>
      </c>
      <c r="AK176" t="s">
        <v>4633</v>
      </c>
      <c r="AL176" s="6">
        <v>31781</v>
      </c>
      <c r="AM176" s="7">
        <f>Table6[[#This Row],[Premium]]-Table6[[#This Row],[Tms Prem]]</f>
        <v>0</v>
      </c>
    </row>
    <row r="177" spans="1:39" x14ac:dyDescent="0.25">
      <c r="A177">
        <v>176</v>
      </c>
      <c r="B177" t="s">
        <v>36</v>
      </c>
      <c r="C177" t="s">
        <v>2285</v>
      </c>
      <c r="D177" t="s">
        <v>38</v>
      </c>
      <c r="E177" t="s">
        <v>39</v>
      </c>
      <c r="F177" t="s">
        <v>2286</v>
      </c>
      <c r="G177" t="s">
        <v>115</v>
      </c>
      <c r="H177" t="s">
        <v>2287</v>
      </c>
      <c r="I177" t="s">
        <v>2288</v>
      </c>
      <c r="J177" t="s">
        <v>2289</v>
      </c>
      <c r="K177" t="s">
        <v>176</v>
      </c>
      <c r="L177" t="s">
        <v>2290</v>
      </c>
      <c r="M177">
        <v>1890000</v>
      </c>
      <c r="N177">
        <v>2700000</v>
      </c>
      <c r="O177" t="s">
        <v>2291</v>
      </c>
      <c r="P177" t="s">
        <v>2111</v>
      </c>
      <c r="Q177" t="s">
        <v>2292</v>
      </c>
      <c r="R177" t="s">
        <v>2293</v>
      </c>
      <c r="S177" t="s">
        <v>660</v>
      </c>
      <c r="T177" t="s">
        <v>73</v>
      </c>
      <c r="U177" t="s">
        <v>1363</v>
      </c>
      <c r="V177" t="s">
        <v>330</v>
      </c>
      <c r="W177" s="1">
        <v>44020</v>
      </c>
      <c r="X177" t="s">
        <v>2172</v>
      </c>
      <c r="Y177" t="s">
        <v>211</v>
      </c>
      <c r="Z177" t="s">
        <v>2294</v>
      </c>
      <c r="AA177">
        <v>5</v>
      </c>
      <c r="AB177" t="s">
        <v>56</v>
      </c>
      <c r="AC177" t="s">
        <v>2295</v>
      </c>
      <c r="AD177" t="s">
        <v>325</v>
      </c>
      <c r="AE177" t="s">
        <v>668</v>
      </c>
      <c r="AF177">
        <v>2025000</v>
      </c>
      <c r="AG177" s="6">
        <v>50625</v>
      </c>
      <c r="AK177" t="s">
        <v>4634</v>
      </c>
      <c r="AL177" s="6">
        <v>50625</v>
      </c>
      <c r="AM177" s="7">
        <f>Table6[[#This Row],[Premium]]-Table6[[#This Row],[Tms Prem]]</f>
        <v>0</v>
      </c>
    </row>
    <row r="178" spans="1:39" x14ac:dyDescent="0.25">
      <c r="A178">
        <v>177</v>
      </c>
      <c r="B178" t="s">
        <v>36</v>
      </c>
      <c r="C178" t="s">
        <v>2296</v>
      </c>
      <c r="D178" t="s">
        <v>38</v>
      </c>
      <c r="E178" t="s">
        <v>39</v>
      </c>
      <c r="F178" t="s">
        <v>2297</v>
      </c>
      <c r="G178" t="s">
        <v>115</v>
      </c>
      <c r="H178" t="s">
        <v>2298</v>
      </c>
      <c r="I178" t="s">
        <v>2299</v>
      </c>
      <c r="J178" t="s">
        <v>2299</v>
      </c>
      <c r="K178" t="s">
        <v>2300</v>
      </c>
      <c r="L178" t="s">
        <v>2301</v>
      </c>
      <c r="M178">
        <v>1410800</v>
      </c>
      <c r="N178">
        <v>1763500</v>
      </c>
      <c r="O178" t="s">
        <v>2302</v>
      </c>
      <c r="P178" t="s">
        <v>2303</v>
      </c>
      <c r="Q178" t="s">
        <v>2304</v>
      </c>
      <c r="R178" t="s">
        <v>2305</v>
      </c>
      <c r="S178" t="s">
        <v>72</v>
      </c>
      <c r="T178" t="s">
        <v>73</v>
      </c>
      <c r="U178" t="s">
        <v>2306</v>
      </c>
      <c r="V178" t="s">
        <v>617</v>
      </c>
      <c r="W178" s="1">
        <v>43206</v>
      </c>
      <c r="X178" t="s">
        <v>88</v>
      </c>
      <c r="Y178" t="s">
        <v>211</v>
      </c>
      <c r="Z178" t="s">
        <v>2307</v>
      </c>
      <c r="AA178">
        <v>7</v>
      </c>
      <c r="AB178" t="s">
        <v>56</v>
      </c>
      <c r="AC178" t="s">
        <v>2308</v>
      </c>
      <c r="AD178" t="s">
        <v>2309</v>
      </c>
      <c r="AE178" t="s">
        <v>668</v>
      </c>
      <c r="AF178">
        <v>1146275</v>
      </c>
      <c r="AG178" s="6">
        <v>28657</v>
      </c>
      <c r="AK178" t="s">
        <v>4635</v>
      </c>
      <c r="AL178" s="6">
        <v>28657</v>
      </c>
      <c r="AM178" s="7">
        <f>Table6[[#This Row],[Premium]]-Table6[[#This Row],[Tms Prem]]</f>
        <v>0</v>
      </c>
    </row>
    <row r="179" spans="1:39" x14ac:dyDescent="0.25">
      <c r="A179">
        <v>178</v>
      </c>
      <c r="B179" t="s">
        <v>36</v>
      </c>
      <c r="C179" t="s">
        <v>2310</v>
      </c>
      <c r="D179" t="s">
        <v>38</v>
      </c>
      <c r="E179" t="s">
        <v>39</v>
      </c>
      <c r="F179" t="s">
        <v>2311</v>
      </c>
      <c r="G179" t="s">
        <v>115</v>
      </c>
      <c r="H179" t="s">
        <v>2312</v>
      </c>
      <c r="I179" t="s">
        <v>2313</v>
      </c>
      <c r="J179" t="s">
        <v>2313</v>
      </c>
      <c r="K179" t="s">
        <v>2313</v>
      </c>
      <c r="L179" t="s">
        <v>2314</v>
      </c>
      <c r="M179">
        <v>700000</v>
      </c>
      <c r="N179">
        <v>1000000</v>
      </c>
      <c r="O179" t="s">
        <v>2315</v>
      </c>
      <c r="P179" t="s">
        <v>771</v>
      </c>
      <c r="Q179" t="s">
        <v>2316</v>
      </c>
      <c r="R179" t="s">
        <v>2317</v>
      </c>
      <c r="S179" t="s">
        <v>49</v>
      </c>
      <c r="T179" t="s">
        <v>2318</v>
      </c>
      <c r="U179" t="s">
        <v>2319</v>
      </c>
      <c r="V179" t="s">
        <v>617</v>
      </c>
      <c r="W179" s="1">
        <v>44408</v>
      </c>
      <c r="X179" t="s">
        <v>183</v>
      </c>
      <c r="Y179" t="s">
        <v>1794</v>
      </c>
      <c r="Z179" t="s">
        <v>2320</v>
      </c>
      <c r="AA179">
        <v>7</v>
      </c>
      <c r="AB179" t="s">
        <v>56</v>
      </c>
      <c r="AC179" t="s">
        <v>2321</v>
      </c>
      <c r="AD179" t="s">
        <v>2322</v>
      </c>
      <c r="AE179" t="s">
        <v>59</v>
      </c>
      <c r="AF179">
        <v>800000</v>
      </c>
      <c r="AG179" s="6">
        <v>16000</v>
      </c>
      <c r="AK179" t="s">
        <v>4636</v>
      </c>
      <c r="AL179" s="6">
        <v>16000</v>
      </c>
      <c r="AM179" s="7">
        <f>Table6[[#This Row],[Premium]]-Table6[[#This Row],[Tms Prem]]</f>
        <v>0</v>
      </c>
    </row>
    <row r="180" spans="1:39" x14ac:dyDescent="0.25">
      <c r="A180">
        <v>179</v>
      </c>
      <c r="B180" t="s">
        <v>36</v>
      </c>
      <c r="C180" t="s">
        <v>2323</v>
      </c>
      <c r="D180" t="s">
        <v>38</v>
      </c>
      <c r="E180" t="s">
        <v>39</v>
      </c>
      <c r="F180" t="s">
        <v>2324</v>
      </c>
      <c r="G180" t="s">
        <v>189</v>
      </c>
      <c r="H180" t="s">
        <v>2325</v>
      </c>
      <c r="I180" t="s">
        <v>73</v>
      </c>
      <c r="J180" t="s">
        <v>2326</v>
      </c>
      <c r="K180" t="s">
        <v>73</v>
      </c>
      <c r="L180" t="s">
        <v>2327</v>
      </c>
      <c r="M180">
        <v>2464000</v>
      </c>
      <c r="N180">
        <v>5600000</v>
      </c>
      <c r="O180" t="s">
        <v>2328</v>
      </c>
      <c r="P180" t="s">
        <v>2329</v>
      </c>
      <c r="Q180" t="s">
        <v>2330</v>
      </c>
      <c r="R180" t="s">
        <v>2331</v>
      </c>
      <c r="S180" t="s">
        <v>49</v>
      </c>
      <c r="T180" t="s">
        <v>2332</v>
      </c>
      <c r="U180" t="s">
        <v>586</v>
      </c>
      <c r="V180" t="s">
        <v>52</v>
      </c>
      <c r="W180" s="1">
        <v>45138</v>
      </c>
      <c r="X180" t="s">
        <v>2333</v>
      </c>
      <c r="Y180" t="s">
        <v>760</v>
      </c>
      <c r="Z180" t="s">
        <v>2334</v>
      </c>
      <c r="AA180">
        <v>3</v>
      </c>
      <c r="AB180" t="s">
        <v>263</v>
      </c>
      <c r="AC180" t="s">
        <v>2335</v>
      </c>
      <c r="AD180" t="s">
        <v>2336</v>
      </c>
      <c r="AE180" t="s">
        <v>319</v>
      </c>
      <c r="AF180">
        <v>5040000</v>
      </c>
      <c r="AG180" s="6">
        <v>88200</v>
      </c>
      <c r="AK180" t="s">
        <v>4637</v>
      </c>
      <c r="AL180" s="6">
        <v>88200</v>
      </c>
      <c r="AM180" s="7">
        <f>Table6[[#This Row],[Premium]]-Table6[[#This Row],[Tms Prem]]</f>
        <v>0</v>
      </c>
    </row>
    <row r="181" spans="1:39" x14ac:dyDescent="0.25">
      <c r="A181">
        <v>180</v>
      </c>
      <c r="B181" t="s">
        <v>36</v>
      </c>
      <c r="C181" t="s">
        <v>2337</v>
      </c>
      <c r="D181" t="s">
        <v>38</v>
      </c>
      <c r="E181" t="s">
        <v>39</v>
      </c>
      <c r="F181" t="s">
        <v>2338</v>
      </c>
      <c r="G181" t="s">
        <v>115</v>
      </c>
      <c r="H181" t="s">
        <v>2339</v>
      </c>
      <c r="I181" t="s">
        <v>2340</v>
      </c>
      <c r="J181" t="s">
        <v>2340</v>
      </c>
      <c r="K181" t="s">
        <v>176</v>
      </c>
      <c r="L181" t="s">
        <v>2341</v>
      </c>
      <c r="M181">
        <v>1828400</v>
      </c>
      <c r="N181">
        <v>2612000</v>
      </c>
      <c r="O181" t="s">
        <v>2342</v>
      </c>
      <c r="P181" t="s">
        <v>2329</v>
      </c>
      <c r="Q181" t="s">
        <v>2343</v>
      </c>
      <c r="R181" t="s">
        <v>2344</v>
      </c>
      <c r="S181" t="s">
        <v>49</v>
      </c>
      <c r="T181" t="s">
        <v>2345</v>
      </c>
      <c r="U181" t="s">
        <v>224</v>
      </c>
      <c r="V181" t="s">
        <v>106</v>
      </c>
      <c r="W181" s="1">
        <v>45138</v>
      </c>
      <c r="X181" t="s">
        <v>2333</v>
      </c>
      <c r="Y181" t="s">
        <v>760</v>
      </c>
      <c r="Z181" t="s">
        <v>2346</v>
      </c>
      <c r="AA181">
        <v>3</v>
      </c>
      <c r="AB181" t="s">
        <v>263</v>
      </c>
      <c r="AC181" t="s">
        <v>2347</v>
      </c>
      <c r="AD181" t="s">
        <v>2336</v>
      </c>
      <c r="AE181" t="s">
        <v>319</v>
      </c>
      <c r="AF181">
        <v>2350800</v>
      </c>
      <c r="AG181" s="6">
        <v>41139</v>
      </c>
      <c r="AK181" t="s">
        <v>4638</v>
      </c>
      <c r="AL181" s="6">
        <v>41139</v>
      </c>
      <c r="AM181" s="7">
        <f>Table6[[#This Row],[Premium]]-Table6[[#This Row],[Tms Prem]]</f>
        <v>0</v>
      </c>
    </row>
    <row r="182" spans="1:39" x14ac:dyDescent="0.25">
      <c r="A182">
        <v>181</v>
      </c>
      <c r="B182" t="s">
        <v>36</v>
      </c>
      <c r="C182" t="s">
        <v>2348</v>
      </c>
      <c r="D182" t="s">
        <v>38</v>
      </c>
      <c r="E182" t="s">
        <v>39</v>
      </c>
      <c r="F182" t="s">
        <v>2349</v>
      </c>
      <c r="G182" t="s">
        <v>115</v>
      </c>
      <c r="H182" t="s">
        <v>2350</v>
      </c>
      <c r="I182" t="s">
        <v>2351</v>
      </c>
      <c r="J182" t="s">
        <v>2352</v>
      </c>
      <c r="K182" t="s">
        <v>73</v>
      </c>
      <c r="L182" t="s">
        <v>2353</v>
      </c>
      <c r="M182">
        <v>1470000</v>
      </c>
      <c r="N182">
        <v>2100000</v>
      </c>
      <c r="O182" t="s">
        <v>2354</v>
      </c>
      <c r="P182" t="s">
        <v>1894</v>
      </c>
      <c r="Q182" t="s">
        <v>2355</v>
      </c>
      <c r="R182" t="s">
        <v>2356</v>
      </c>
      <c r="S182" t="s">
        <v>49</v>
      </c>
      <c r="T182" t="s">
        <v>2357</v>
      </c>
      <c r="U182" t="s">
        <v>276</v>
      </c>
      <c r="V182" t="s">
        <v>75</v>
      </c>
      <c r="W182" s="1">
        <v>44761</v>
      </c>
      <c r="X182" t="s">
        <v>124</v>
      </c>
      <c r="Y182" t="s">
        <v>236</v>
      </c>
      <c r="Z182" t="s">
        <v>2358</v>
      </c>
      <c r="AA182">
        <v>5</v>
      </c>
      <c r="AB182" t="s">
        <v>110</v>
      </c>
      <c r="AC182" t="s">
        <v>2359</v>
      </c>
      <c r="AD182" t="s">
        <v>1944</v>
      </c>
      <c r="AE182" t="s">
        <v>266</v>
      </c>
      <c r="AF182">
        <v>1785000</v>
      </c>
      <c r="AG182" s="6">
        <v>26775</v>
      </c>
      <c r="AK182" t="s">
        <v>4639</v>
      </c>
      <c r="AL182" s="6">
        <v>26775</v>
      </c>
      <c r="AM182" s="7">
        <f>Table6[[#This Row],[Premium]]-Table6[[#This Row],[Tms Prem]]</f>
        <v>0</v>
      </c>
    </row>
    <row r="183" spans="1:39" x14ac:dyDescent="0.25">
      <c r="A183">
        <v>182</v>
      </c>
      <c r="B183" t="s">
        <v>36</v>
      </c>
      <c r="C183" t="s">
        <v>2360</v>
      </c>
      <c r="D183" t="s">
        <v>38</v>
      </c>
      <c r="E183" t="s">
        <v>39</v>
      </c>
      <c r="F183" t="s">
        <v>2361</v>
      </c>
      <c r="G183" t="s">
        <v>115</v>
      </c>
      <c r="H183" t="s">
        <v>2362</v>
      </c>
      <c r="I183" t="s">
        <v>73</v>
      </c>
      <c r="J183" t="s">
        <v>2363</v>
      </c>
      <c r="K183" t="s">
        <v>2364</v>
      </c>
      <c r="L183" t="s">
        <v>2365</v>
      </c>
      <c r="M183">
        <v>2100000</v>
      </c>
      <c r="N183">
        <v>4200000</v>
      </c>
      <c r="O183" t="s">
        <v>2366</v>
      </c>
      <c r="P183" t="s">
        <v>589</v>
      </c>
      <c r="Q183" t="s">
        <v>2367</v>
      </c>
      <c r="R183" t="s">
        <v>2368</v>
      </c>
      <c r="S183" t="s">
        <v>49</v>
      </c>
      <c r="T183" t="s">
        <v>73</v>
      </c>
      <c r="U183" t="s">
        <v>2369</v>
      </c>
      <c r="V183" t="s">
        <v>75</v>
      </c>
      <c r="W183" s="1">
        <v>44761</v>
      </c>
      <c r="X183" t="s">
        <v>124</v>
      </c>
      <c r="Y183" t="s">
        <v>358</v>
      </c>
      <c r="Z183" t="s">
        <v>2370</v>
      </c>
      <c r="AA183">
        <v>3</v>
      </c>
      <c r="AB183" t="s">
        <v>110</v>
      </c>
      <c r="AC183" t="s">
        <v>2371</v>
      </c>
      <c r="AD183" t="s">
        <v>1857</v>
      </c>
      <c r="AE183" t="s">
        <v>266</v>
      </c>
      <c r="AF183">
        <v>3570000</v>
      </c>
      <c r="AG183" s="6">
        <v>53550</v>
      </c>
      <c r="AK183" t="s">
        <v>4640</v>
      </c>
      <c r="AL183" s="6">
        <v>53550</v>
      </c>
      <c r="AM183" s="7">
        <f>Table6[[#This Row],[Premium]]-Table6[[#This Row],[Tms Prem]]</f>
        <v>0</v>
      </c>
    </row>
    <row r="184" spans="1:39" x14ac:dyDescent="0.25">
      <c r="A184">
        <v>183</v>
      </c>
      <c r="B184" t="s">
        <v>36</v>
      </c>
      <c r="C184" t="s">
        <v>2372</v>
      </c>
      <c r="D184" t="s">
        <v>38</v>
      </c>
      <c r="E184" t="s">
        <v>39</v>
      </c>
      <c r="F184" t="s">
        <v>2373</v>
      </c>
      <c r="G184" t="s">
        <v>115</v>
      </c>
      <c r="H184" t="s">
        <v>2374</v>
      </c>
      <c r="I184" t="s">
        <v>2375</v>
      </c>
      <c r="J184" t="s">
        <v>2376</v>
      </c>
      <c r="K184" t="s">
        <v>2375</v>
      </c>
      <c r="L184" t="s">
        <v>2377</v>
      </c>
      <c r="M184">
        <v>630000</v>
      </c>
      <c r="N184">
        <v>1050000</v>
      </c>
      <c r="O184" t="s">
        <v>2378</v>
      </c>
      <c r="P184" t="s">
        <v>2329</v>
      </c>
      <c r="Q184" t="s">
        <v>2379</v>
      </c>
      <c r="R184" t="s">
        <v>2380</v>
      </c>
      <c r="S184" t="s">
        <v>49</v>
      </c>
      <c r="T184" t="s">
        <v>2381</v>
      </c>
      <c r="U184" t="s">
        <v>329</v>
      </c>
      <c r="V184" t="s">
        <v>730</v>
      </c>
      <c r="W184" s="1">
        <v>45138</v>
      </c>
      <c r="X184" t="s">
        <v>2333</v>
      </c>
      <c r="Y184" t="s">
        <v>184</v>
      </c>
      <c r="Z184" t="s">
        <v>2382</v>
      </c>
      <c r="AA184">
        <v>2</v>
      </c>
      <c r="AB184" t="s">
        <v>263</v>
      </c>
      <c r="AC184" t="s">
        <v>2383</v>
      </c>
      <c r="AD184" t="s">
        <v>2336</v>
      </c>
      <c r="AE184" t="s">
        <v>319</v>
      </c>
      <c r="AF184">
        <v>945000</v>
      </c>
      <c r="AG184" s="6">
        <v>16538</v>
      </c>
      <c r="AK184" t="s">
        <v>4641</v>
      </c>
      <c r="AL184" s="6">
        <v>16538</v>
      </c>
      <c r="AM184" s="7">
        <f>Table6[[#This Row],[Premium]]-Table6[[#This Row],[Tms Prem]]</f>
        <v>0</v>
      </c>
    </row>
    <row r="185" spans="1:39" x14ac:dyDescent="0.25">
      <c r="A185">
        <v>184</v>
      </c>
      <c r="B185" t="s">
        <v>36</v>
      </c>
      <c r="C185" t="s">
        <v>2384</v>
      </c>
      <c r="D185" t="s">
        <v>38</v>
      </c>
      <c r="E185" t="s">
        <v>39</v>
      </c>
      <c r="F185" t="s">
        <v>2385</v>
      </c>
      <c r="G185" t="s">
        <v>115</v>
      </c>
      <c r="H185" t="s">
        <v>2386</v>
      </c>
      <c r="I185" t="s">
        <v>2387</v>
      </c>
      <c r="J185" t="s">
        <v>2387</v>
      </c>
      <c r="K185" t="s">
        <v>2388</v>
      </c>
      <c r="L185" t="s">
        <v>2389</v>
      </c>
      <c r="M185">
        <v>1740000</v>
      </c>
      <c r="N185">
        <v>4350000</v>
      </c>
      <c r="O185" t="s">
        <v>2390</v>
      </c>
      <c r="P185" t="s">
        <v>2329</v>
      </c>
      <c r="Q185" t="s">
        <v>2391</v>
      </c>
      <c r="R185" t="s">
        <v>2392</v>
      </c>
      <c r="S185" t="s">
        <v>49</v>
      </c>
      <c r="T185" t="s">
        <v>2393</v>
      </c>
      <c r="U185" t="s">
        <v>2394</v>
      </c>
      <c r="V185" t="s">
        <v>106</v>
      </c>
      <c r="W185" s="1">
        <v>45138</v>
      </c>
      <c r="X185" t="s">
        <v>2333</v>
      </c>
      <c r="Y185" t="s">
        <v>760</v>
      </c>
      <c r="Z185" t="s">
        <v>2395</v>
      </c>
      <c r="AA185">
        <v>3</v>
      </c>
      <c r="AB185" t="s">
        <v>263</v>
      </c>
      <c r="AC185" t="s">
        <v>2396</v>
      </c>
      <c r="AD185" t="s">
        <v>2336</v>
      </c>
      <c r="AE185" t="s">
        <v>319</v>
      </c>
      <c r="AF185">
        <v>3915000</v>
      </c>
      <c r="AG185" s="6">
        <v>68513</v>
      </c>
      <c r="AK185" t="s">
        <v>4642</v>
      </c>
      <c r="AL185" s="6">
        <v>68513</v>
      </c>
      <c r="AM185" s="7">
        <f>Table6[[#This Row],[Premium]]-Table6[[#This Row],[Tms Prem]]</f>
        <v>0</v>
      </c>
    </row>
    <row r="186" spans="1:39" x14ac:dyDescent="0.25">
      <c r="A186">
        <v>185</v>
      </c>
      <c r="B186" t="s">
        <v>36</v>
      </c>
      <c r="C186" t="s">
        <v>2397</v>
      </c>
      <c r="D186" t="s">
        <v>38</v>
      </c>
      <c r="E186" t="s">
        <v>39</v>
      </c>
      <c r="F186" t="s">
        <v>2398</v>
      </c>
      <c r="G186" t="s">
        <v>131</v>
      </c>
      <c r="H186" t="s">
        <v>2399</v>
      </c>
      <c r="I186" t="s">
        <v>73</v>
      </c>
      <c r="J186" t="s">
        <v>2400</v>
      </c>
      <c r="K186" t="s">
        <v>2401</v>
      </c>
      <c r="L186" t="s">
        <v>2402</v>
      </c>
      <c r="M186">
        <v>1121715</v>
      </c>
      <c r="N186">
        <v>2492700</v>
      </c>
      <c r="O186" t="s">
        <v>2403</v>
      </c>
      <c r="P186" t="s">
        <v>447</v>
      </c>
      <c r="Q186" t="s">
        <v>2404</v>
      </c>
      <c r="R186" t="s">
        <v>2405</v>
      </c>
      <c r="S186" t="s">
        <v>72</v>
      </c>
      <c r="T186" t="s">
        <v>73</v>
      </c>
      <c r="U186" t="s">
        <v>2406</v>
      </c>
      <c r="V186" t="s">
        <v>106</v>
      </c>
      <c r="W186" s="1">
        <v>44713</v>
      </c>
      <c r="X186" t="s">
        <v>447</v>
      </c>
      <c r="Y186" t="s">
        <v>1216</v>
      </c>
      <c r="Z186" t="s">
        <v>2407</v>
      </c>
      <c r="AA186">
        <v>3</v>
      </c>
      <c r="AB186" t="s">
        <v>110</v>
      </c>
      <c r="AC186" t="s">
        <v>2408</v>
      </c>
      <c r="AD186" t="s">
        <v>1944</v>
      </c>
      <c r="AE186" t="s">
        <v>266</v>
      </c>
      <c r="AF186">
        <v>2118795</v>
      </c>
      <c r="AG186" s="6">
        <v>31782</v>
      </c>
      <c r="AK186" t="s">
        <v>4643</v>
      </c>
      <c r="AL186" s="6">
        <v>31782</v>
      </c>
      <c r="AM186" s="7">
        <f>Table6[[#This Row],[Premium]]-Table6[[#This Row],[Tms Prem]]</f>
        <v>0</v>
      </c>
    </row>
    <row r="187" spans="1:39" x14ac:dyDescent="0.25">
      <c r="A187">
        <v>186</v>
      </c>
      <c r="B187" t="s">
        <v>36</v>
      </c>
      <c r="C187" t="s">
        <v>2409</v>
      </c>
      <c r="D187" t="s">
        <v>38</v>
      </c>
      <c r="E187" t="s">
        <v>39</v>
      </c>
      <c r="F187" t="s">
        <v>2410</v>
      </c>
      <c r="G187" t="s">
        <v>189</v>
      </c>
      <c r="H187" t="s">
        <v>2411</v>
      </c>
      <c r="I187" t="s">
        <v>2412</v>
      </c>
      <c r="J187" t="s">
        <v>2413</v>
      </c>
      <c r="K187" t="s">
        <v>2412</v>
      </c>
      <c r="L187" t="s">
        <v>2414</v>
      </c>
      <c r="M187">
        <v>769500</v>
      </c>
      <c r="N187">
        <v>1539000</v>
      </c>
      <c r="O187" t="s">
        <v>2415</v>
      </c>
      <c r="P187" t="s">
        <v>589</v>
      </c>
      <c r="Q187" t="s">
        <v>2416</v>
      </c>
      <c r="R187" t="s">
        <v>2417</v>
      </c>
      <c r="S187" t="s">
        <v>72</v>
      </c>
      <c r="T187" t="s">
        <v>73</v>
      </c>
      <c r="U187" t="s">
        <v>1854</v>
      </c>
      <c r="V187" t="s">
        <v>106</v>
      </c>
      <c r="W187" s="1">
        <v>44483</v>
      </c>
      <c r="X187" t="s">
        <v>447</v>
      </c>
      <c r="Y187" t="s">
        <v>1216</v>
      </c>
      <c r="Z187" t="s">
        <v>2418</v>
      </c>
      <c r="AA187">
        <v>3</v>
      </c>
      <c r="AB187" t="s">
        <v>56</v>
      </c>
      <c r="AC187" t="s">
        <v>2419</v>
      </c>
      <c r="AD187" t="s">
        <v>1944</v>
      </c>
      <c r="AE187" t="s">
        <v>59</v>
      </c>
      <c r="AF187">
        <v>1308150</v>
      </c>
      <c r="AG187" s="6">
        <v>26163</v>
      </c>
      <c r="AK187" t="s">
        <v>4644</v>
      </c>
      <c r="AL187" s="6">
        <v>26163</v>
      </c>
      <c r="AM187" s="7">
        <f>Table6[[#This Row],[Premium]]-Table6[[#This Row],[Tms Prem]]</f>
        <v>0</v>
      </c>
    </row>
    <row r="188" spans="1:39" x14ac:dyDescent="0.25">
      <c r="A188">
        <v>187</v>
      </c>
      <c r="B188" t="s">
        <v>36</v>
      </c>
      <c r="C188" t="s">
        <v>2420</v>
      </c>
      <c r="D188" t="s">
        <v>38</v>
      </c>
      <c r="E188" t="s">
        <v>39</v>
      </c>
      <c r="F188" t="s">
        <v>2421</v>
      </c>
      <c r="G188" t="s">
        <v>189</v>
      </c>
      <c r="H188" t="s">
        <v>2422</v>
      </c>
      <c r="I188" t="s">
        <v>2423</v>
      </c>
      <c r="J188" t="s">
        <v>2424</v>
      </c>
      <c r="K188" t="s">
        <v>2425</v>
      </c>
      <c r="L188" t="s">
        <v>2426</v>
      </c>
      <c r="M188">
        <v>1342000</v>
      </c>
      <c r="N188">
        <v>2200000</v>
      </c>
      <c r="O188" t="s">
        <v>2427</v>
      </c>
      <c r="P188" t="s">
        <v>2428</v>
      </c>
      <c r="Q188" t="s">
        <v>2429</v>
      </c>
      <c r="R188" t="s">
        <v>2430</v>
      </c>
      <c r="S188" t="s">
        <v>49</v>
      </c>
      <c r="T188" t="s">
        <v>2431</v>
      </c>
      <c r="U188" t="s">
        <v>1298</v>
      </c>
      <c r="V188" t="s">
        <v>52</v>
      </c>
      <c r="W188" s="1">
        <v>45138</v>
      </c>
      <c r="X188" t="s">
        <v>2333</v>
      </c>
      <c r="Y188" t="s">
        <v>344</v>
      </c>
      <c r="Z188" t="s">
        <v>2432</v>
      </c>
      <c r="AA188">
        <v>4</v>
      </c>
      <c r="AB188" t="s">
        <v>263</v>
      </c>
      <c r="AC188" t="s">
        <v>2433</v>
      </c>
      <c r="AD188" t="s">
        <v>2336</v>
      </c>
      <c r="AE188" t="s">
        <v>319</v>
      </c>
      <c r="AF188">
        <v>1980000</v>
      </c>
      <c r="AG188" s="6">
        <v>34650</v>
      </c>
      <c r="AK188" t="s">
        <v>4645</v>
      </c>
      <c r="AL188" s="6">
        <v>34650</v>
      </c>
      <c r="AM188" s="7">
        <f>Table6[[#This Row],[Premium]]-Table6[[#This Row],[Tms Prem]]</f>
        <v>0</v>
      </c>
    </row>
    <row r="189" spans="1:39" x14ac:dyDescent="0.25">
      <c r="A189">
        <v>188</v>
      </c>
      <c r="B189" t="s">
        <v>36</v>
      </c>
      <c r="C189" t="s">
        <v>2434</v>
      </c>
      <c r="D189" t="s">
        <v>38</v>
      </c>
      <c r="E189" t="s">
        <v>39</v>
      </c>
      <c r="F189" t="s">
        <v>2435</v>
      </c>
      <c r="G189" t="s">
        <v>189</v>
      </c>
      <c r="H189" t="s">
        <v>2436</v>
      </c>
      <c r="I189" t="s">
        <v>73</v>
      </c>
      <c r="J189" t="s">
        <v>73</v>
      </c>
      <c r="K189" t="s">
        <v>73</v>
      </c>
      <c r="L189" t="s">
        <v>2437</v>
      </c>
      <c r="M189">
        <v>1855000</v>
      </c>
      <c r="N189">
        <v>2650000</v>
      </c>
      <c r="O189" t="s">
        <v>2438</v>
      </c>
      <c r="P189" t="s">
        <v>1118</v>
      </c>
      <c r="Q189" t="s">
        <v>2439</v>
      </c>
      <c r="R189" t="s">
        <v>2440</v>
      </c>
      <c r="S189" t="s">
        <v>49</v>
      </c>
      <c r="T189" t="s">
        <v>2441</v>
      </c>
      <c r="U189" t="s">
        <v>276</v>
      </c>
      <c r="V189" t="s">
        <v>75</v>
      </c>
      <c r="W189" s="1">
        <v>45128</v>
      </c>
      <c r="X189" t="s">
        <v>945</v>
      </c>
      <c r="Y189" t="s">
        <v>383</v>
      </c>
      <c r="Z189" t="s">
        <v>2442</v>
      </c>
      <c r="AA189">
        <v>5</v>
      </c>
      <c r="AB189" t="s">
        <v>263</v>
      </c>
      <c r="AC189" t="s">
        <v>2443</v>
      </c>
      <c r="AD189" t="s">
        <v>1040</v>
      </c>
      <c r="AE189" t="s">
        <v>319</v>
      </c>
      <c r="AF189">
        <v>2385000</v>
      </c>
      <c r="AG189" s="6">
        <v>41738</v>
      </c>
      <c r="AK189" t="s">
        <v>4646</v>
      </c>
      <c r="AL189" s="6">
        <v>41738</v>
      </c>
      <c r="AM189" s="7">
        <f>Table6[[#This Row],[Premium]]-Table6[[#This Row],[Tms Prem]]</f>
        <v>0</v>
      </c>
    </row>
    <row r="190" spans="1:39" x14ac:dyDescent="0.25">
      <c r="A190">
        <v>189</v>
      </c>
      <c r="B190" t="s">
        <v>36</v>
      </c>
      <c r="C190" t="s">
        <v>2444</v>
      </c>
      <c r="D190" t="s">
        <v>38</v>
      </c>
      <c r="E190" t="s">
        <v>39</v>
      </c>
      <c r="F190" t="s">
        <v>2445</v>
      </c>
      <c r="G190" t="s">
        <v>115</v>
      </c>
      <c r="H190" t="s">
        <v>2446</v>
      </c>
      <c r="I190" t="s">
        <v>2447</v>
      </c>
      <c r="J190" t="s">
        <v>2447</v>
      </c>
      <c r="K190" t="s">
        <v>2447</v>
      </c>
      <c r="L190" t="s">
        <v>2448</v>
      </c>
      <c r="M190">
        <v>1200000</v>
      </c>
      <c r="N190">
        <v>2000000</v>
      </c>
      <c r="O190" t="s">
        <v>2449</v>
      </c>
      <c r="P190" t="s">
        <v>2428</v>
      </c>
      <c r="Q190" t="s">
        <v>2450</v>
      </c>
      <c r="R190" t="s">
        <v>2451</v>
      </c>
      <c r="S190" t="s">
        <v>49</v>
      </c>
      <c r="T190" t="s">
        <v>2452</v>
      </c>
      <c r="U190" t="s">
        <v>382</v>
      </c>
      <c r="V190" t="s">
        <v>52</v>
      </c>
      <c r="W190" s="1">
        <v>45138</v>
      </c>
      <c r="X190" t="s">
        <v>2333</v>
      </c>
      <c r="Y190" t="s">
        <v>1794</v>
      </c>
      <c r="Z190" t="s">
        <v>2453</v>
      </c>
      <c r="AA190">
        <v>5</v>
      </c>
      <c r="AB190" t="s">
        <v>263</v>
      </c>
      <c r="AC190" t="s">
        <v>2454</v>
      </c>
      <c r="AD190" t="s">
        <v>2336</v>
      </c>
      <c r="AE190" t="s">
        <v>319</v>
      </c>
      <c r="AF190">
        <v>1800000</v>
      </c>
      <c r="AG190" s="6">
        <v>31500</v>
      </c>
      <c r="AK190" t="s">
        <v>4647</v>
      </c>
      <c r="AL190" s="6">
        <v>31500</v>
      </c>
      <c r="AM190" s="7">
        <f>Table6[[#This Row],[Premium]]-Table6[[#This Row],[Tms Prem]]</f>
        <v>0</v>
      </c>
    </row>
    <row r="191" spans="1:39" x14ac:dyDescent="0.25">
      <c r="A191">
        <v>190</v>
      </c>
      <c r="B191" t="s">
        <v>36</v>
      </c>
      <c r="C191" t="s">
        <v>2455</v>
      </c>
      <c r="D191" t="s">
        <v>38</v>
      </c>
      <c r="E191" t="s">
        <v>39</v>
      </c>
      <c r="F191" t="s">
        <v>2456</v>
      </c>
      <c r="G191" t="s">
        <v>115</v>
      </c>
      <c r="H191" t="s">
        <v>2457</v>
      </c>
      <c r="I191" t="s">
        <v>2458</v>
      </c>
      <c r="J191" t="s">
        <v>2458</v>
      </c>
      <c r="K191" t="s">
        <v>176</v>
      </c>
      <c r="L191" t="s">
        <v>2459</v>
      </c>
      <c r="M191">
        <v>1072500</v>
      </c>
      <c r="N191">
        <v>1650000</v>
      </c>
      <c r="O191" t="s">
        <v>2460</v>
      </c>
      <c r="P191" t="s">
        <v>2461</v>
      </c>
      <c r="Q191" t="s">
        <v>2462</v>
      </c>
      <c r="R191" t="s">
        <v>2463</v>
      </c>
      <c r="S191" t="s">
        <v>49</v>
      </c>
      <c r="T191" t="s">
        <v>2464</v>
      </c>
      <c r="U191" t="s">
        <v>2465</v>
      </c>
      <c r="V191" t="s">
        <v>730</v>
      </c>
      <c r="W191" s="1">
        <v>45138</v>
      </c>
      <c r="X191" t="s">
        <v>2333</v>
      </c>
      <c r="Y191" t="s">
        <v>1794</v>
      </c>
      <c r="Z191" t="s">
        <v>2466</v>
      </c>
      <c r="AA191">
        <v>5</v>
      </c>
      <c r="AB191" t="s">
        <v>263</v>
      </c>
      <c r="AC191" t="s">
        <v>2467</v>
      </c>
      <c r="AD191" t="s">
        <v>2336</v>
      </c>
      <c r="AE191" t="s">
        <v>319</v>
      </c>
      <c r="AF191">
        <v>1485000</v>
      </c>
      <c r="AG191" s="6">
        <v>25988</v>
      </c>
      <c r="AK191" t="s">
        <v>4648</v>
      </c>
      <c r="AL191" s="6">
        <v>25988</v>
      </c>
      <c r="AM191" s="7">
        <f>Table6[[#This Row],[Premium]]-Table6[[#This Row],[Tms Prem]]</f>
        <v>0</v>
      </c>
    </row>
    <row r="192" spans="1:39" x14ac:dyDescent="0.25">
      <c r="A192">
        <v>191</v>
      </c>
      <c r="B192" t="s">
        <v>36</v>
      </c>
      <c r="C192" t="s">
        <v>2468</v>
      </c>
      <c r="D192" t="s">
        <v>38</v>
      </c>
      <c r="E192" t="s">
        <v>39</v>
      </c>
      <c r="F192" t="s">
        <v>2469</v>
      </c>
      <c r="G192" t="s">
        <v>2470</v>
      </c>
      <c r="H192" t="s">
        <v>2471</v>
      </c>
      <c r="I192" t="s">
        <v>2472</v>
      </c>
      <c r="J192" t="s">
        <v>2472</v>
      </c>
      <c r="K192" t="s">
        <v>2473</v>
      </c>
      <c r="L192" t="s">
        <v>2474</v>
      </c>
      <c r="M192">
        <v>926100</v>
      </c>
      <c r="N192">
        <v>2646000</v>
      </c>
      <c r="O192" t="s">
        <v>2475</v>
      </c>
      <c r="P192" t="s">
        <v>1620</v>
      </c>
      <c r="Q192" t="s">
        <v>2476</v>
      </c>
      <c r="R192" t="s">
        <v>2477</v>
      </c>
      <c r="S192" t="s">
        <v>72</v>
      </c>
      <c r="T192" t="s">
        <v>73</v>
      </c>
      <c r="U192" t="s">
        <v>2478</v>
      </c>
      <c r="V192" t="s">
        <v>75</v>
      </c>
      <c r="W192" s="1">
        <v>44365</v>
      </c>
      <c r="X192" t="s">
        <v>183</v>
      </c>
      <c r="Y192" t="s">
        <v>760</v>
      </c>
      <c r="Z192" t="s">
        <v>2479</v>
      </c>
      <c r="AA192">
        <v>5</v>
      </c>
      <c r="AB192" t="s">
        <v>947</v>
      </c>
      <c r="AC192" t="s">
        <v>2480</v>
      </c>
      <c r="AD192" t="s">
        <v>1069</v>
      </c>
      <c r="AE192" t="s">
        <v>59</v>
      </c>
      <c r="AF192">
        <v>2116800</v>
      </c>
      <c r="AG192" s="6">
        <v>42336</v>
      </c>
      <c r="AK192" t="s">
        <v>4649</v>
      </c>
      <c r="AL192" s="6">
        <v>42336</v>
      </c>
      <c r="AM192" s="7">
        <f>Table6[[#This Row],[Premium]]-Table6[[#This Row],[Tms Prem]]</f>
        <v>0</v>
      </c>
    </row>
    <row r="193" spans="1:39" x14ac:dyDescent="0.25">
      <c r="A193">
        <v>192</v>
      </c>
      <c r="B193" t="s">
        <v>36</v>
      </c>
      <c r="C193" t="s">
        <v>2481</v>
      </c>
      <c r="D193" t="s">
        <v>38</v>
      </c>
      <c r="E193" t="s">
        <v>39</v>
      </c>
      <c r="F193" t="s">
        <v>2482</v>
      </c>
      <c r="G193" t="s">
        <v>115</v>
      </c>
      <c r="H193" t="s">
        <v>2483</v>
      </c>
      <c r="I193" t="s">
        <v>2484</v>
      </c>
      <c r="J193" t="s">
        <v>2484</v>
      </c>
      <c r="K193" t="s">
        <v>2485</v>
      </c>
      <c r="L193" t="s">
        <v>2486</v>
      </c>
      <c r="M193">
        <v>2695000</v>
      </c>
      <c r="N193">
        <v>3850000</v>
      </c>
      <c r="O193" t="s">
        <v>2487</v>
      </c>
      <c r="P193" t="s">
        <v>2488</v>
      </c>
      <c r="Q193" t="s">
        <v>2489</v>
      </c>
      <c r="R193" t="s">
        <v>2490</v>
      </c>
      <c r="S193" t="s">
        <v>49</v>
      </c>
      <c r="T193" t="s">
        <v>2491</v>
      </c>
      <c r="U193" t="s">
        <v>1397</v>
      </c>
      <c r="V193" t="s">
        <v>52</v>
      </c>
      <c r="W193" s="1">
        <v>44408</v>
      </c>
      <c r="X193" t="s">
        <v>183</v>
      </c>
      <c r="Y193" t="s">
        <v>760</v>
      </c>
      <c r="Z193" t="s">
        <v>2492</v>
      </c>
      <c r="AA193">
        <v>5</v>
      </c>
      <c r="AB193" t="s">
        <v>199</v>
      </c>
      <c r="AC193" t="s">
        <v>2493</v>
      </c>
      <c r="AD193" t="s">
        <v>2322</v>
      </c>
      <c r="AE193" t="s">
        <v>59</v>
      </c>
      <c r="AF193">
        <v>3080000</v>
      </c>
      <c r="AG193" s="6">
        <v>61600</v>
      </c>
      <c r="AK193" t="s">
        <v>4650</v>
      </c>
      <c r="AL193" s="6">
        <v>61600</v>
      </c>
      <c r="AM193" s="7">
        <f>Table6[[#This Row],[Premium]]-Table6[[#This Row],[Tms Prem]]</f>
        <v>0</v>
      </c>
    </row>
    <row r="194" spans="1:39" x14ac:dyDescent="0.25">
      <c r="A194">
        <v>193</v>
      </c>
      <c r="B194" t="s">
        <v>36</v>
      </c>
      <c r="C194" t="s">
        <v>2494</v>
      </c>
      <c r="D194" t="s">
        <v>38</v>
      </c>
      <c r="E194" t="s">
        <v>39</v>
      </c>
      <c r="F194" t="s">
        <v>2495</v>
      </c>
      <c r="G194" t="s">
        <v>115</v>
      </c>
      <c r="H194" t="s">
        <v>2496</v>
      </c>
      <c r="I194" t="s">
        <v>2497</v>
      </c>
      <c r="J194" t="s">
        <v>2498</v>
      </c>
      <c r="K194" t="s">
        <v>2499</v>
      </c>
      <c r="L194" t="s">
        <v>2500</v>
      </c>
      <c r="M194">
        <v>2380000</v>
      </c>
      <c r="N194">
        <v>3400000</v>
      </c>
      <c r="O194" t="s">
        <v>2501</v>
      </c>
      <c r="P194" t="s">
        <v>2502</v>
      </c>
      <c r="Q194" t="s">
        <v>2503</v>
      </c>
      <c r="R194" t="s">
        <v>2504</v>
      </c>
      <c r="S194" t="s">
        <v>49</v>
      </c>
      <c r="T194" t="s">
        <v>2505</v>
      </c>
      <c r="U194" t="s">
        <v>602</v>
      </c>
      <c r="V194" t="s">
        <v>730</v>
      </c>
      <c r="W194" s="1">
        <v>44408</v>
      </c>
      <c r="X194" t="s">
        <v>183</v>
      </c>
      <c r="Y194" t="s">
        <v>1794</v>
      </c>
      <c r="Z194" t="s">
        <v>2506</v>
      </c>
      <c r="AA194">
        <v>7</v>
      </c>
      <c r="AB194" t="s">
        <v>199</v>
      </c>
      <c r="AC194" t="s">
        <v>2507</v>
      </c>
      <c r="AD194" t="s">
        <v>2322</v>
      </c>
      <c r="AE194" t="s">
        <v>59</v>
      </c>
      <c r="AF194">
        <v>2720000</v>
      </c>
      <c r="AG194" s="6">
        <v>54400</v>
      </c>
      <c r="AK194" t="s">
        <v>4651</v>
      </c>
      <c r="AL194" s="6">
        <v>54400</v>
      </c>
      <c r="AM194" s="7">
        <f>Table6[[#This Row],[Premium]]-Table6[[#This Row],[Tms Prem]]</f>
        <v>0</v>
      </c>
    </row>
    <row r="195" spans="1:39" x14ac:dyDescent="0.25">
      <c r="A195">
        <v>194</v>
      </c>
      <c r="B195" t="s">
        <v>36</v>
      </c>
      <c r="C195" t="s">
        <v>2508</v>
      </c>
      <c r="D195" t="s">
        <v>38</v>
      </c>
      <c r="E195" t="s">
        <v>39</v>
      </c>
      <c r="F195" t="s">
        <v>2509</v>
      </c>
      <c r="G195" t="s">
        <v>115</v>
      </c>
      <c r="H195" t="s">
        <v>2510</v>
      </c>
      <c r="I195" t="s">
        <v>73</v>
      </c>
      <c r="J195" t="s">
        <v>2511</v>
      </c>
      <c r="K195" t="s">
        <v>2512</v>
      </c>
      <c r="L195" t="s">
        <v>2513</v>
      </c>
      <c r="M195">
        <v>1575000</v>
      </c>
      <c r="N195">
        <v>2250000</v>
      </c>
      <c r="O195" t="s">
        <v>2514</v>
      </c>
      <c r="P195" t="s">
        <v>824</v>
      </c>
      <c r="Q195" t="s">
        <v>2515</v>
      </c>
      <c r="R195" t="s">
        <v>2516</v>
      </c>
      <c r="S195" t="s">
        <v>660</v>
      </c>
      <c r="T195" t="s">
        <v>73</v>
      </c>
      <c r="U195" t="s">
        <v>2517</v>
      </c>
      <c r="V195" t="s">
        <v>330</v>
      </c>
      <c r="W195" s="1">
        <v>44408</v>
      </c>
      <c r="X195" t="s">
        <v>183</v>
      </c>
      <c r="Y195" t="s">
        <v>760</v>
      </c>
      <c r="Z195" t="s">
        <v>2518</v>
      </c>
      <c r="AA195">
        <v>5</v>
      </c>
      <c r="AB195" t="s">
        <v>199</v>
      </c>
      <c r="AC195" t="s">
        <v>2519</v>
      </c>
      <c r="AD195" t="s">
        <v>2322</v>
      </c>
      <c r="AE195" t="s">
        <v>59</v>
      </c>
      <c r="AF195">
        <v>1800000</v>
      </c>
      <c r="AG195" s="6">
        <v>36000</v>
      </c>
      <c r="AK195" t="s">
        <v>4652</v>
      </c>
      <c r="AL195" s="6">
        <v>36000</v>
      </c>
      <c r="AM195" s="7">
        <f>Table6[[#This Row],[Premium]]-Table6[[#This Row],[Tms Prem]]</f>
        <v>0</v>
      </c>
    </row>
    <row r="196" spans="1:39" x14ac:dyDescent="0.25">
      <c r="A196">
        <v>195</v>
      </c>
      <c r="B196" t="s">
        <v>36</v>
      </c>
      <c r="C196" t="s">
        <v>2520</v>
      </c>
      <c r="D196" t="s">
        <v>38</v>
      </c>
      <c r="E196" t="s">
        <v>39</v>
      </c>
      <c r="F196" t="s">
        <v>2521</v>
      </c>
      <c r="G196" t="s">
        <v>115</v>
      </c>
      <c r="H196" t="s">
        <v>2522</v>
      </c>
      <c r="I196" t="s">
        <v>73</v>
      </c>
      <c r="J196" t="s">
        <v>2523</v>
      </c>
      <c r="K196" t="s">
        <v>73</v>
      </c>
      <c r="L196" t="s">
        <v>2524</v>
      </c>
      <c r="M196">
        <v>1435000</v>
      </c>
      <c r="N196">
        <v>2050000</v>
      </c>
      <c r="O196" t="s">
        <v>2525</v>
      </c>
      <c r="P196" t="s">
        <v>2526</v>
      </c>
      <c r="Q196" t="s">
        <v>2527</v>
      </c>
      <c r="R196" t="s">
        <v>2528</v>
      </c>
      <c r="S196" t="s">
        <v>660</v>
      </c>
      <c r="T196" t="s">
        <v>73</v>
      </c>
      <c r="U196" t="s">
        <v>2004</v>
      </c>
      <c r="V196" t="s">
        <v>52</v>
      </c>
      <c r="W196" s="1">
        <v>44408</v>
      </c>
      <c r="X196" t="s">
        <v>183</v>
      </c>
      <c r="Y196" t="s">
        <v>760</v>
      </c>
      <c r="Z196" t="s">
        <v>2529</v>
      </c>
      <c r="AA196">
        <v>5</v>
      </c>
      <c r="AB196" t="s">
        <v>199</v>
      </c>
      <c r="AC196" t="s">
        <v>2530</v>
      </c>
      <c r="AD196" t="s">
        <v>2322</v>
      </c>
      <c r="AE196" t="s">
        <v>59</v>
      </c>
      <c r="AF196">
        <v>1640000</v>
      </c>
      <c r="AG196" s="6">
        <v>32800</v>
      </c>
      <c r="AK196" t="s">
        <v>4653</v>
      </c>
      <c r="AL196" s="6">
        <v>32800</v>
      </c>
      <c r="AM196" s="7">
        <f>Table6[[#This Row],[Premium]]-Table6[[#This Row],[Tms Prem]]</f>
        <v>0</v>
      </c>
    </row>
    <row r="197" spans="1:39" x14ac:dyDescent="0.25">
      <c r="A197">
        <v>196</v>
      </c>
      <c r="B197" t="s">
        <v>36</v>
      </c>
      <c r="C197" t="s">
        <v>2531</v>
      </c>
      <c r="D197" t="s">
        <v>38</v>
      </c>
      <c r="E197" t="s">
        <v>39</v>
      </c>
      <c r="F197" t="s">
        <v>2532</v>
      </c>
      <c r="G197" t="s">
        <v>62</v>
      </c>
      <c r="H197" t="s">
        <v>2533</v>
      </c>
      <c r="I197" t="s">
        <v>2534</v>
      </c>
      <c r="J197" t="s">
        <v>2535</v>
      </c>
      <c r="K197" t="s">
        <v>73</v>
      </c>
      <c r="L197" t="s">
        <v>2536</v>
      </c>
      <c r="M197">
        <v>830620</v>
      </c>
      <c r="N197">
        <v>2443000</v>
      </c>
      <c r="O197" t="s">
        <v>2537</v>
      </c>
      <c r="P197" t="s">
        <v>2538</v>
      </c>
      <c r="Q197" t="s">
        <v>2539</v>
      </c>
      <c r="R197" t="s">
        <v>2540</v>
      </c>
      <c r="S197" t="s">
        <v>72</v>
      </c>
      <c r="T197" t="s">
        <v>73</v>
      </c>
      <c r="U197" t="s">
        <v>2541</v>
      </c>
      <c r="V197" t="s">
        <v>75</v>
      </c>
      <c r="W197" s="1">
        <v>44368</v>
      </c>
      <c r="X197" t="s">
        <v>2542</v>
      </c>
      <c r="Y197" t="s">
        <v>2543</v>
      </c>
      <c r="Z197" t="s">
        <v>2544</v>
      </c>
      <c r="AA197">
        <v>7</v>
      </c>
      <c r="AB197" t="s">
        <v>56</v>
      </c>
      <c r="AC197" t="s">
        <v>2545</v>
      </c>
      <c r="AD197" t="s">
        <v>2322</v>
      </c>
      <c r="AE197" t="s">
        <v>319</v>
      </c>
      <c r="AF197">
        <v>1954400</v>
      </c>
      <c r="AG197" s="6">
        <v>34202</v>
      </c>
      <c r="AK197" t="s">
        <v>4654</v>
      </c>
      <c r="AL197" s="6">
        <v>34202</v>
      </c>
      <c r="AM197" s="7">
        <f>Table6[[#This Row],[Premium]]-Table6[[#This Row],[Tms Prem]]</f>
        <v>0</v>
      </c>
    </row>
    <row r="198" spans="1:39" x14ac:dyDescent="0.25">
      <c r="A198">
        <v>197</v>
      </c>
      <c r="B198" t="s">
        <v>36</v>
      </c>
      <c r="C198" t="s">
        <v>2546</v>
      </c>
      <c r="D198" t="s">
        <v>38</v>
      </c>
      <c r="E198" t="s">
        <v>39</v>
      </c>
      <c r="F198" t="s">
        <v>2547</v>
      </c>
      <c r="G198" t="s">
        <v>115</v>
      </c>
      <c r="H198" t="s">
        <v>2548</v>
      </c>
      <c r="I198" t="s">
        <v>2549</v>
      </c>
      <c r="J198" t="s">
        <v>2549</v>
      </c>
      <c r="K198" t="s">
        <v>2549</v>
      </c>
      <c r="L198" t="s">
        <v>2550</v>
      </c>
      <c r="M198">
        <v>1365000</v>
      </c>
      <c r="N198">
        <v>1950000</v>
      </c>
      <c r="O198" t="s">
        <v>2551</v>
      </c>
      <c r="P198" t="s">
        <v>657</v>
      </c>
      <c r="Q198" t="s">
        <v>2552</v>
      </c>
      <c r="R198" t="s">
        <v>2553</v>
      </c>
      <c r="S198" t="s">
        <v>49</v>
      </c>
      <c r="T198" t="s">
        <v>2554</v>
      </c>
      <c r="U198" t="s">
        <v>224</v>
      </c>
      <c r="V198" t="s">
        <v>75</v>
      </c>
      <c r="W198" s="1">
        <v>44772</v>
      </c>
      <c r="X198" t="s">
        <v>459</v>
      </c>
      <c r="Y198" t="s">
        <v>344</v>
      </c>
      <c r="Z198" t="s">
        <v>2555</v>
      </c>
      <c r="AA198">
        <v>5</v>
      </c>
      <c r="AB198" t="s">
        <v>110</v>
      </c>
      <c r="AC198" t="s">
        <v>2556</v>
      </c>
      <c r="AD198" t="s">
        <v>1346</v>
      </c>
      <c r="AE198" t="s">
        <v>266</v>
      </c>
      <c r="AF198">
        <v>1657500</v>
      </c>
      <c r="AG198" s="6">
        <v>24863</v>
      </c>
      <c r="AK198" t="s">
        <v>4655</v>
      </c>
      <c r="AL198" s="6">
        <v>24863</v>
      </c>
      <c r="AM198" s="7">
        <f>Table6[[#This Row],[Premium]]-Table6[[#This Row],[Tms Prem]]</f>
        <v>0</v>
      </c>
    </row>
    <row r="199" spans="1:39" x14ac:dyDescent="0.25">
      <c r="A199">
        <v>198</v>
      </c>
      <c r="B199" t="s">
        <v>36</v>
      </c>
      <c r="C199" t="s">
        <v>2557</v>
      </c>
      <c r="D199" t="s">
        <v>38</v>
      </c>
      <c r="E199" t="s">
        <v>39</v>
      </c>
      <c r="F199" t="s">
        <v>2558</v>
      </c>
      <c r="G199" t="s">
        <v>115</v>
      </c>
      <c r="H199" t="s">
        <v>2559</v>
      </c>
      <c r="I199" t="s">
        <v>2560</v>
      </c>
      <c r="J199" t="s">
        <v>2560</v>
      </c>
      <c r="K199" t="s">
        <v>176</v>
      </c>
      <c r="L199" t="s">
        <v>2561</v>
      </c>
      <c r="M199">
        <v>2443000</v>
      </c>
      <c r="N199">
        <v>3490000</v>
      </c>
      <c r="O199" t="s">
        <v>2562</v>
      </c>
      <c r="P199" t="s">
        <v>657</v>
      </c>
      <c r="Q199" t="s">
        <v>2563</v>
      </c>
      <c r="R199" t="s">
        <v>2564</v>
      </c>
      <c r="S199" t="s">
        <v>49</v>
      </c>
      <c r="T199" t="s">
        <v>2565</v>
      </c>
      <c r="U199" t="s">
        <v>2566</v>
      </c>
      <c r="V199" t="s">
        <v>603</v>
      </c>
      <c r="W199" s="1">
        <v>44772</v>
      </c>
      <c r="X199" t="s">
        <v>459</v>
      </c>
      <c r="Y199" t="s">
        <v>184</v>
      </c>
      <c r="Z199" t="s">
        <v>2567</v>
      </c>
      <c r="AA199">
        <v>3</v>
      </c>
      <c r="AB199" t="s">
        <v>110</v>
      </c>
      <c r="AC199" t="s">
        <v>2568</v>
      </c>
      <c r="AD199" t="s">
        <v>1346</v>
      </c>
      <c r="AE199" t="s">
        <v>266</v>
      </c>
      <c r="AF199">
        <v>2966500</v>
      </c>
      <c r="AG199" s="6">
        <v>44498</v>
      </c>
      <c r="AK199" t="s">
        <v>4656</v>
      </c>
      <c r="AL199" s="6">
        <v>44498</v>
      </c>
      <c r="AM199" s="7">
        <f>Table6[[#This Row],[Premium]]-Table6[[#This Row],[Tms Prem]]</f>
        <v>0</v>
      </c>
    </row>
    <row r="200" spans="1:39" x14ac:dyDescent="0.25">
      <c r="A200">
        <v>199</v>
      </c>
      <c r="B200" t="s">
        <v>36</v>
      </c>
      <c r="C200" t="s">
        <v>2569</v>
      </c>
      <c r="D200" t="s">
        <v>38</v>
      </c>
      <c r="E200" t="s">
        <v>39</v>
      </c>
      <c r="F200" t="s">
        <v>2570</v>
      </c>
      <c r="G200" t="s">
        <v>115</v>
      </c>
      <c r="H200" t="s">
        <v>2571</v>
      </c>
      <c r="I200" t="s">
        <v>2572</v>
      </c>
      <c r="J200" t="s">
        <v>2573</v>
      </c>
      <c r="K200" t="s">
        <v>176</v>
      </c>
      <c r="L200" t="s">
        <v>2574</v>
      </c>
      <c r="M200">
        <v>1400000</v>
      </c>
      <c r="N200">
        <v>2000000</v>
      </c>
      <c r="O200" t="s">
        <v>2575</v>
      </c>
      <c r="P200" t="s">
        <v>657</v>
      </c>
      <c r="Q200" t="s">
        <v>2576</v>
      </c>
      <c r="R200" t="s">
        <v>2577</v>
      </c>
      <c r="S200" t="s">
        <v>49</v>
      </c>
      <c r="T200" t="s">
        <v>2578</v>
      </c>
      <c r="U200" t="s">
        <v>2579</v>
      </c>
      <c r="V200" t="s">
        <v>829</v>
      </c>
      <c r="W200" s="1">
        <v>44772</v>
      </c>
      <c r="X200" t="s">
        <v>459</v>
      </c>
      <c r="Y200" t="s">
        <v>184</v>
      </c>
      <c r="Z200" t="s">
        <v>2580</v>
      </c>
      <c r="AA200">
        <v>3</v>
      </c>
      <c r="AB200" t="s">
        <v>110</v>
      </c>
      <c r="AC200" t="s">
        <v>2581</v>
      </c>
      <c r="AD200" t="s">
        <v>1346</v>
      </c>
      <c r="AE200" t="s">
        <v>266</v>
      </c>
      <c r="AF200">
        <v>1700000</v>
      </c>
      <c r="AG200" s="6">
        <v>25500</v>
      </c>
      <c r="AK200" t="s">
        <v>4657</v>
      </c>
      <c r="AL200" s="6">
        <v>25500</v>
      </c>
      <c r="AM200" s="7">
        <f>Table6[[#This Row],[Premium]]-Table6[[#This Row],[Tms Prem]]</f>
        <v>0</v>
      </c>
    </row>
    <row r="201" spans="1:39" x14ac:dyDescent="0.25">
      <c r="A201">
        <v>200</v>
      </c>
      <c r="B201" t="s">
        <v>36</v>
      </c>
      <c r="C201" t="s">
        <v>2582</v>
      </c>
      <c r="D201" t="s">
        <v>38</v>
      </c>
      <c r="E201" t="s">
        <v>39</v>
      </c>
      <c r="F201" t="s">
        <v>2583</v>
      </c>
      <c r="G201" t="s">
        <v>62</v>
      </c>
      <c r="H201" t="s">
        <v>2584</v>
      </c>
      <c r="I201" t="s">
        <v>2585</v>
      </c>
      <c r="J201" t="s">
        <v>2585</v>
      </c>
      <c r="K201" t="s">
        <v>2585</v>
      </c>
      <c r="L201" t="s">
        <v>2586</v>
      </c>
      <c r="M201">
        <v>1211000</v>
      </c>
      <c r="N201">
        <v>1730000</v>
      </c>
      <c r="O201" t="s">
        <v>2587</v>
      </c>
      <c r="P201" t="s">
        <v>657</v>
      </c>
      <c r="Q201" t="s">
        <v>2588</v>
      </c>
      <c r="R201" t="s">
        <v>2589</v>
      </c>
      <c r="S201" t="s">
        <v>49</v>
      </c>
      <c r="T201" t="s">
        <v>2590</v>
      </c>
      <c r="U201" t="s">
        <v>224</v>
      </c>
      <c r="V201" t="s">
        <v>153</v>
      </c>
      <c r="W201" s="1">
        <v>44772</v>
      </c>
      <c r="X201" t="s">
        <v>459</v>
      </c>
      <c r="Y201" t="s">
        <v>344</v>
      </c>
      <c r="Z201" t="s">
        <v>2591</v>
      </c>
      <c r="AA201">
        <v>5</v>
      </c>
      <c r="AB201" t="s">
        <v>110</v>
      </c>
      <c r="AC201" t="s">
        <v>2592</v>
      </c>
      <c r="AD201" t="s">
        <v>1346</v>
      </c>
      <c r="AE201" t="s">
        <v>266</v>
      </c>
      <c r="AF201">
        <v>1470500</v>
      </c>
      <c r="AG201" s="6">
        <v>22058</v>
      </c>
      <c r="AK201" t="s">
        <v>4658</v>
      </c>
      <c r="AL201" s="6">
        <v>22058</v>
      </c>
      <c r="AM201" s="7">
        <f>Table6[[#This Row],[Premium]]-Table6[[#This Row],[Tms Prem]]</f>
        <v>0</v>
      </c>
    </row>
    <row r="202" spans="1:39" x14ac:dyDescent="0.25">
      <c r="A202">
        <v>201</v>
      </c>
      <c r="B202" t="s">
        <v>36</v>
      </c>
      <c r="C202" t="s">
        <v>2593</v>
      </c>
      <c r="D202" t="s">
        <v>38</v>
      </c>
      <c r="E202" t="s">
        <v>39</v>
      </c>
      <c r="F202" t="s">
        <v>2594</v>
      </c>
      <c r="G202" t="s">
        <v>62</v>
      </c>
      <c r="H202" t="s">
        <v>2595</v>
      </c>
      <c r="I202" t="s">
        <v>73</v>
      </c>
      <c r="J202" t="s">
        <v>2596</v>
      </c>
      <c r="K202" t="s">
        <v>73</v>
      </c>
      <c r="L202" t="s">
        <v>2597</v>
      </c>
      <c r="M202">
        <v>1982500</v>
      </c>
      <c r="N202">
        <v>3050000</v>
      </c>
      <c r="O202" t="s">
        <v>2598</v>
      </c>
      <c r="P202" t="s">
        <v>839</v>
      </c>
      <c r="Q202" t="s">
        <v>2599</v>
      </c>
      <c r="R202" t="s">
        <v>2600</v>
      </c>
      <c r="S202" t="s">
        <v>49</v>
      </c>
      <c r="T202" t="s">
        <v>2601</v>
      </c>
      <c r="U202" t="s">
        <v>1420</v>
      </c>
      <c r="V202" t="s">
        <v>52</v>
      </c>
      <c r="W202" s="1">
        <v>44772</v>
      </c>
      <c r="X202" t="s">
        <v>459</v>
      </c>
      <c r="Y202" t="s">
        <v>184</v>
      </c>
      <c r="Z202" t="s">
        <v>2602</v>
      </c>
      <c r="AA202">
        <v>3</v>
      </c>
      <c r="AB202" t="s">
        <v>110</v>
      </c>
      <c r="AC202" t="s">
        <v>2603</v>
      </c>
      <c r="AD202" t="s">
        <v>1346</v>
      </c>
      <c r="AE202" t="s">
        <v>266</v>
      </c>
      <c r="AF202">
        <v>2592500</v>
      </c>
      <c r="AG202" s="6">
        <v>38888</v>
      </c>
      <c r="AK202" t="s">
        <v>4659</v>
      </c>
      <c r="AL202" s="6">
        <v>38888</v>
      </c>
      <c r="AM202" s="7">
        <f>Table6[[#This Row],[Premium]]-Table6[[#This Row],[Tms Prem]]</f>
        <v>0</v>
      </c>
    </row>
    <row r="203" spans="1:39" x14ac:dyDescent="0.25">
      <c r="A203">
        <v>202</v>
      </c>
      <c r="B203" t="s">
        <v>36</v>
      </c>
      <c r="C203" t="s">
        <v>2604</v>
      </c>
      <c r="D203" t="s">
        <v>38</v>
      </c>
      <c r="E203" t="s">
        <v>39</v>
      </c>
      <c r="F203" t="s">
        <v>2605</v>
      </c>
      <c r="G203" t="s">
        <v>229</v>
      </c>
      <c r="H203" t="s">
        <v>2606</v>
      </c>
      <c r="I203" t="s">
        <v>2607</v>
      </c>
      <c r="J203" t="s">
        <v>2608</v>
      </c>
      <c r="K203" t="s">
        <v>2607</v>
      </c>
      <c r="L203" t="s">
        <v>2609</v>
      </c>
      <c r="M203">
        <v>1365000</v>
      </c>
      <c r="N203">
        <v>1950000</v>
      </c>
      <c r="O203" t="s">
        <v>2610</v>
      </c>
      <c r="P203" t="s">
        <v>839</v>
      </c>
      <c r="Q203" t="s">
        <v>2611</v>
      </c>
      <c r="R203" t="s">
        <v>2612</v>
      </c>
      <c r="S203" t="s">
        <v>49</v>
      </c>
      <c r="T203" t="s">
        <v>2613</v>
      </c>
      <c r="U203" t="s">
        <v>224</v>
      </c>
      <c r="V203" t="s">
        <v>75</v>
      </c>
      <c r="W203" s="1">
        <v>44772</v>
      </c>
      <c r="X203" t="s">
        <v>459</v>
      </c>
      <c r="Y203" t="s">
        <v>344</v>
      </c>
      <c r="Z203" t="s">
        <v>2614</v>
      </c>
      <c r="AA203">
        <v>5</v>
      </c>
      <c r="AB203" t="s">
        <v>110</v>
      </c>
      <c r="AC203" t="s">
        <v>2615</v>
      </c>
      <c r="AD203" t="s">
        <v>1346</v>
      </c>
      <c r="AE203" t="s">
        <v>266</v>
      </c>
      <c r="AF203">
        <v>1657500</v>
      </c>
      <c r="AG203" s="6">
        <v>24863</v>
      </c>
      <c r="AK203" t="s">
        <v>4660</v>
      </c>
      <c r="AL203" s="6">
        <v>24863</v>
      </c>
      <c r="AM203" s="7">
        <f>Table6[[#This Row],[Premium]]-Table6[[#This Row],[Tms Prem]]</f>
        <v>0</v>
      </c>
    </row>
    <row r="204" spans="1:39" x14ac:dyDescent="0.25">
      <c r="A204">
        <v>203</v>
      </c>
      <c r="B204" t="s">
        <v>36</v>
      </c>
      <c r="C204" t="s">
        <v>2616</v>
      </c>
      <c r="D204" t="s">
        <v>38</v>
      </c>
      <c r="E204" t="s">
        <v>39</v>
      </c>
      <c r="F204" t="s">
        <v>2617</v>
      </c>
      <c r="G204" t="s">
        <v>62</v>
      </c>
      <c r="H204" t="s">
        <v>2618</v>
      </c>
      <c r="I204" t="s">
        <v>73</v>
      </c>
      <c r="J204" t="s">
        <v>2619</v>
      </c>
      <c r="K204" t="s">
        <v>2620</v>
      </c>
      <c r="L204" t="s">
        <v>2621</v>
      </c>
      <c r="M204">
        <v>2275000</v>
      </c>
      <c r="N204">
        <v>3250000</v>
      </c>
      <c r="O204" t="s">
        <v>2622</v>
      </c>
      <c r="P204" t="s">
        <v>657</v>
      </c>
      <c r="Q204" t="s">
        <v>2623</v>
      </c>
      <c r="R204" t="s">
        <v>2624</v>
      </c>
      <c r="S204" t="s">
        <v>49</v>
      </c>
      <c r="T204" t="s">
        <v>2625</v>
      </c>
      <c r="U204" t="s">
        <v>602</v>
      </c>
      <c r="V204" t="s">
        <v>730</v>
      </c>
      <c r="W204" s="1">
        <v>44772</v>
      </c>
      <c r="X204" t="s">
        <v>459</v>
      </c>
      <c r="Y204" t="s">
        <v>184</v>
      </c>
      <c r="Z204" t="s">
        <v>2626</v>
      </c>
      <c r="AA204">
        <v>3</v>
      </c>
      <c r="AB204" t="s">
        <v>263</v>
      </c>
      <c r="AC204" t="s">
        <v>2627</v>
      </c>
      <c r="AD204" t="s">
        <v>1346</v>
      </c>
      <c r="AE204" t="s">
        <v>266</v>
      </c>
      <c r="AF204">
        <v>2762500</v>
      </c>
      <c r="AG204" s="6">
        <v>41438</v>
      </c>
      <c r="AK204" t="s">
        <v>4661</v>
      </c>
      <c r="AL204" s="6">
        <v>41438</v>
      </c>
      <c r="AM204" s="7">
        <f>Table6[[#This Row],[Premium]]-Table6[[#This Row],[Tms Prem]]</f>
        <v>0</v>
      </c>
    </row>
    <row r="205" spans="1:39" x14ac:dyDescent="0.25">
      <c r="A205">
        <v>204</v>
      </c>
      <c r="B205" t="s">
        <v>36</v>
      </c>
      <c r="C205" t="s">
        <v>2628</v>
      </c>
      <c r="D205" t="s">
        <v>38</v>
      </c>
      <c r="E205" t="s">
        <v>39</v>
      </c>
      <c r="F205" t="s">
        <v>2629</v>
      </c>
      <c r="G205" t="s">
        <v>62</v>
      </c>
      <c r="H205" t="s">
        <v>2630</v>
      </c>
      <c r="I205" t="s">
        <v>2631</v>
      </c>
      <c r="J205" t="s">
        <v>2631</v>
      </c>
      <c r="K205" t="s">
        <v>2632</v>
      </c>
      <c r="L205" t="s">
        <v>2633</v>
      </c>
      <c r="M205">
        <v>2366000</v>
      </c>
      <c r="N205">
        <v>4550000</v>
      </c>
      <c r="O205" t="s">
        <v>2634</v>
      </c>
      <c r="P205" t="s">
        <v>657</v>
      </c>
      <c r="Q205" t="s">
        <v>2635</v>
      </c>
      <c r="R205" t="s">
        <v>2636</v>
      </c>
      <c r="S205" t="s">
        <v>49</v>
      </c>
      <c r="T205" t="s">
        <v>2637</v>
      </c>
      <c r="U205" t="s">
        <v>2638</v>
      </c>
      <c r="V205" t="s">
        <v>75</v>
      </c>
      <c r="W205" s="1">
        <v>44772</v>
      </c>
      <c r="X205" t="s">
        <v>459</v>
      </c>
      <c r="Y205" t="s">
        <v>184</v>
      </c>
      <c r="Z205" t="s">
        <v>2639</v>
      </c>
      <c r="AA205">
        <v>3</v>
      </c>
      <c r="AB205" t="s">
        <v>110</v>
      </c>
      <c r="AC205" t="s">
        <v>2640</v>
      </c>
      <c r="AD205" t="s">
        <v>1346</v>
      </c>
      <c r="AE205" t="s">
        <v>266</v>
      </c>
      <c r="AF205">
        <v>3867500</v>
      </c>
      <c r="AG205" s="6">
        <v>58013</v>
      </c>
      <c r="AK205" t="s">
        <v>4662</v>
      </c>
      <c r="AL205" s="6">
        <v>58013</v>
      </c>
      <c r="AM205" s="7">
        <f>Table6[[#This Row],[Premium]]-Table6[[#This Row],[Tms Prem]]</f>
        <v>0</v>
      </c>
    </row>
    <row r="206" spans="1:39" x14ac:dyDescent="0.25">
      <c r="A206">
        <v>205</v>
      </c>
      <c r="B206" t="s">
        <v>36</v>
      </c>
      <c r="C206" t="s">
        <v>2641</v>
      </c>
      <c r="D206" t="s">
        <v>38</v>
      </c>
      <c r="E206" t="s">
        <v>39</v>
      </c>
      <c r="F206" t="s">
        <v>2642</v>
      </c>
      <c r="G206" t="s">
        <v>115</v>
      </c>
      <c r="H206" t="s">
        <v>2643</v>
      </c>
      <c r="I206" t="s">
        <v>2644</v>
      </c>
      <c r="J206" t="s">
        <v>2644</v>
      </c>
      <c r="K206" t="s">
        <v>176</v>
      </c>
      <c r="L206" t="s">
        <v>2645</v>
      </c>
      <c r="M206">
        <v>1227000</v>
      </c>
      <c r="N206">
        <v>2045000</v>
      </c>
      <c r="O206" t="s">
        <v>2646</v>
      </c>
      <c r="P206" t="s">
        <v>756</v>
      </c>
      <c r="Q206" t="s">
        <v>2647</v>
      </c>
      <c r="R206" t="s">
        <v>2648</v>
      </c>
      <c r="S206" t="s">
        <v>49</v>
      </c>
      <c r="T206" t="s">
        <v>2649</v>
      </c>
      <c r="U206" t="s">
        <v>382</v>
      </c>
      <c r="V206" t="s">
        <v>75</v>
      </c>
      <c r="W206" s="1">
        <v>44772</v>
      </c>
      <c r="X206" t="s">
        <v>459</v>
      </c>
      <c r="Y206" t="s">
        <v>344</v>
      </c>
      <c r="Z206" t="s">
        <v>2650</v>
      </c>
      <c r="AA206">
        <v>5</v>
      </c>
      <c r="AB206" t="s">
        <v>110</v>
      </c>
      <c r="AC206" t="s">
        <v>2651</v>
      </c>
      <c r="AD206" t="s">
        <v>1346</v>
      </c>
      <c r="AE206" t="s">
        <v>266</v>
      </c>
      <c r="AF206">
        <v>1738250</v>
      </c>
      <c r="AG206" s="6">
        <v>26074</v>
      </c>
      <c r="AK206" t="s">
        <v>4663</v>
      </c>
      <c r="AL206" s="6">
        <v>26074</v>
      </c>
      <c r="AM206" s="7">
        <f>Table6[[#This Row],[Premium]]-Table6[[#This Row],[Tms Prem]]</f>
        <v>0</v>
      </c>
    </row>
    <row r="207" spans="1:39" x14ac:dyDescent="0.25">
      <c r="A207">
        <v>206</v>
      </c>
      <c r="B207" t="s">
        <v>36</v>
      </c>
      <c r="C207" t="s">
        <v>2652</v>
      </c>
      <c r="D207" t="s">
        <v>38</v>
      </c>
      <c r="E207" t="s">
        <v>39</v>
      </c>
      <c r="F207" t="s">
        <v>2653</v>
      </c>
      <c r="G207" t="s">
        <v>189</v>
      </c>
      <c r="H207" t="s">
        <v>2654</v>
      </c>
      <c r="I207" t="s">
        <v>2655</v>
      </c>
      <c r="J207" t="s">
        <v>2655</v>
      </c>
      <c r="K207" t="s">
        <v>2655</v>
      </c>
      <c r="L207" t="s">
        <v>2656</v>
      </c>
      <c r="M207">
        <v>1645000</v>
      </c>
      <c r="N207">
        <v>2350000</v>
      </c>
      <c r="O207" t="s">
        <v>2657</v>
      </c>
      <c r="P207" t="s">
        <v>756</v>
      </c>
      <c r="Q207" t="s">
        <v>2658</v>
      </c>
      <c r="R207" t="s">
        <v>2659</v>
      </c>
      <c r="S207" t="s">
        <v>49</v>
      </c>
      <c r="T207" t="s">
        <v>2660</v>
      </c>
      <c r="U207" t="s">
        <v>2661</v>
      </c>
      <c r="V207" t="s">
        <v>153</v>
      </c>
      <c r="W207" s="1">
        <v>44774</v>
      </c>
      <c r="X207" t="s">
        <v>459</v>
      </c>
      <c r="Y207" t="s">
        <v>344</v>
      </c>
      <c r="Z207" t="s">
        <v>2662</v>
      </c>
      <c r="AA207">
        <v>5</v>
      </c>
      <c r="AB207" t="s">
        <v>56</v>
      </c>
      <c r="AC207" t="s">
        <v>2663</v>
      </c>
      <c r="AD207" t="s">
        <v>1346</v>
      </c>
      <c r="AE207" t="s">
        <v>266</v>
      </c>
      <c r="AF207">
        <v>1997500</v>
      </c>
      <c r="AG207" s="6">
        <v>29963</v>
      </c>
      <c r="AK207" t="s">
        <v>4664</v>
      </c>
      <c r="AL207" s="6">
        <v>29963</v>
      </c>
      <c r="AM207" s="7">
        <f>Table6[[#This Row],[Premium]]-Table6[[#This Row],[Tms Prem]]</f>
        <v>0</v>
      </c>
    </row>
    <row r="208" spans="1:39" x14ac:dyDescent="0.25">
      <c r="A208">
        <v>207</v>
      </c>
      <c r="B208" t="s">
        <v>36</v>
      </c>
      <c r="C208" t="s">
        <v>2664</v>
      </c>
      <c r="D208" t="s">
        <v>38</v>
      </c>
      <c r="E208" t="s">
        <v>39</v>
      </c>
      <c r="F208" t="s">
        <v>2665</v>
      </c>
      <c r="G208" t="s">
        <v>229</v>
      </c>
      <c r="H208" t="s">
        <v>2666</v>
      </c>
      <c r="I208" t="s">
        <v>2667</v>
      </c>
      <c r="J208" t="s">
        <v>2667</v>
      </c>
      <c r="K208" t="s">
        <v>176</v>
      </c>
      <c r="L208" t="s">
        <v>2668</v>
      </c>
      <c r="M208">
        <v>2171200</v>
      </c>
      <c r="N208">
        <v>3680000</v>
      </c>
      <c r="O208" t="s">
        <v>2669</v>
      </c>
      <c r="P208" t="s">
        <v>756</v>
      </c>
      <c r="Q208" t="s">
        <v>2670</v>
      </c>
      <c r="R208" t="s">
        <v>2671</v>
      </c>
      <c r="S208" t="s">
        <v>49</v>
      </c>
      <c r="T208" t="s">
        <v>2672</v>
      </c>
      <c r="U208" t="s">
        <v>2673</v>
      </c>
      <c r="V208" t="s">
        <v>730</v>
      </c>
      <c r="W208" s="1">
        <v>44774</v>
      </c>
      <c r="X208" t="s">
        <v>459</v>
      </c>
      <c r="Y208" t="s">
        <v>184</v>
      </c>
      <c r="Z208" t="s">
        <v>2674</v>
      </c>
      <c r="AA208">
        <v>3</v>
      </c>
      <c r="AB208" t="s">
        <v>110</v>
      </c>
      <c r="AC208" t="s">
        <v>2675</v>
      </c>
      <c r="AD208" t="s">
        <v>1346</v>
      </c>
      <c r="AE208" t="s">
        <v>266</v>
      </c>
      <c r="AF208">
        <v>3128000</v>
      </c>
      <c r="AG208" s="6">
        <v>46920</v>
      </c>
      <c r="AK208" t="s">
        <v>4665</v>
      </c>
      <c r="AL208" s="6">
        <v>46920</v>
      </c>
      <c r="AM208" s="7">
        <f>Table6[[#This Row],[Premium]]-Table6[[#This Row],[Tms Prem]]</f>
        <v>0</v>
      </c>
    </row>
    <row r="209" spans="1:39" x14ac:dyDescent="0.25">
      <c r="A209">
        <v>208</v>
      </c>
      <c r="B209" t="s">
        <v>36</v>
      </c>
      <c r="C209" t="s">
        <v>2676</v>
      </c>
      <c r="D209" t="s">
        <v>38</v>
      </c>
      <c r="E209" t="s">
        <v>39</v>
      </c>
      <c r="F209" t="s">
        <v>2677</v>
      </c>
      <c r="G209" t="s">
        <v>41</v>
      </c>
      <c r="H209" t="s">
        <v>2678</v>
      </c>
      <c r="I209" t="s">
        <v>73</v>
      </c>
      <c r="J209" t="s">
        <v>2679</v>
      </c>
      <c r="K209" t="s">
        <v>73</v>
      </c>
      <c r="L209" t="s">
        <v>2680</v>
      </c>
      <c r="M209">
        <v>3291000</v>
      </c>
      <c r="N209">
        <v>5485000</v>
      </c>
      <c r="O209" t="s">
        <v>2681</v>
      </c>
      <c r="P209" t="s">
        <v>954</v>
      </c>
      <c r="Q209" t="s">
        <v>2682</v>
      </c>
      <c r="R209" t="s">
        <v>2683</v>
      </c>
      <c r="S209" t="s">
        <v>72</v>
      </c>
      <c r="T209" t="s">
        <v>73</v>
      </c>
      <c r="U209" t="s">
        <v>2684</v>
      </c>
      <c r="V209" t="s">
        <v>75</v>
      </c>
      <c r="W209" s="1">
        <v>44408</v>
      </c>
      <c r="X209" t="s">
        <v>183</v>
      </c>
      <c r="Y209" t="s">
        <v>760</v>
      </c>
      <c r="Z209" t="s">
        <v>2685</v>
      </c>
      <c r="AA209">
        <v>5</v>
      </c>
      <c r="AB209" t="s">
        <v>199</v>
      </c>
      <c r="AC209" t="s">
        <v>763</v>
      </c>
      <c r="AD209" t="s">
        <v>1360</v>
      </c>
      <c r="AE209" t="s">
        <v>59</v>
      </c>
      <c r="AF209">
        <v>4388000</v>
      </c>
      <c r="AG209" s="6">
        <v>87760</v>
      </c>
      <c r="AK209" t="s">
        <v>4666</v>
      </c>
      <c r="AL209" s="6">
        <v>87760</v>
      </c>
      <c r="AM209" s="7">
        <f>Table6[[#This Row],[Premium]]-Table6[[#This Row],[Tms Prem]]</f>
        <v>0</v>
      </c>
    </row>
    <row r="210" spans="1:39" x14ac:dyDescent="0.25">
      <c r="A210">
        <v>209</v>
      </c>
      <c r="B210" t="s">
        <v>36</v>
      </c>
      <c r="C210" t="s">
        <v>2686</v>
      </c>
      <c r="D210" t="s">
        <v>38</v>
      </c>
      <c r="E210" t="s">
        <v>39</v>
      </c>
      <c r="F210" t="s">
        <v>2687</v>
      </c>
      <c r="G210" t="s">
        <v>115</v>
      </c>
      <c r="H210" t="s">
        <v>2688</v>
      </c>
      <c r="I210" t="s">
        <v>2689</v>
      </c>
      <c r="J210" t="s">
        <v>2690</v>
      </c>
      <c r="K210" t="s">
        <v>2689</v>
      </c>
      <c r="L210" t="s">
        <v>2691</v>
      </c>
      <c r="M210">
        <v>2529000</v>
      </c>
      <c r="N210">
        <v>4215000</v>
      </c>
      <c r="O210" t="s">
        <v>2692</v>
      </c>
      <c r="P210" t="s">
        <v>954</v>
      </c>
      <c r="Q210" t="s">
        <v>2693</v>
      </c>
      <c r="R210" t="s">
        <v>2694</v>
      </c>
      <c r="S210" t="s">
        <v>49</v>
      </c>
      <c r="T210" t="s">
        <v>2695</v>
      </c>
      <c r="U210" t="s">
        <v>714</v>
      </c>
      <c r="V210" t="s">
        <v>153</v>
      </c>
      <c r="W210" s="1">
        <v>44408</v>
      </c>
      <c r="X210" t="s">
        <v>183</v>
      </c>
      <c r="Y210" t="s">
        <v>760</v>
      </c>
      <c r="Z210" t="s">
        <v>2696</v>
      </c>
      <c r="AA210">
        <v>5</v>
      </c>
      <c r="AB210" t="s">
        <v>199</v>
      </c>
      <c r="AC210" t="s">
        <v>2697</v>
      </c>
      <c r="AD210" t="s">
        <v>2322</v>
      </c>
      <c r="AE210" t="s">
        <v>59</v>
      </c>
      <c r="AF210">
        <v>3372000</v>
      </c>
      <c r="AG210" s="6">
        <v>67440</v>
      </c>
      <c r="AK210" t="s">
        <v>4667</v>
      </c>
      <c r="AL210" s="6">
        <v>67440</v>
      </c>
      <c r="AM210" s="7">
        <f>Table6[[#This Row],[Premium]]-Table6[[#This Row],[Tms Prem]]</f>
        <v>0</v>
      </c>
    </row>
    <row r="211" spans="1:39" x14ac:dyDescent="0.25">
      <c r="A211">
        <v>210</v>
      </c>
      <c r="B211" t="s">
        <v>36</v>
      </c>
      <c r="C211" t="s">
        <v>2698</v>
      </c>
      <c r="D211" t="s">
        <v>38</v>
      </c>
      <c r="E211" t="s">
        <v>39</v>
      </c>
      <c r="F211" t="s">
        <v>2699</v>
      </c>
      <c r="G211" t="s">
        <v>291</v>
      </c>
      <c r="H211" t="s">
        <v>2700</v>
      </c>
      <c r="I211" t="s">
        <v>73</v>
      </c>
      <c r="J211" t="s">
        <v>2701</v>
      </c>
      <c r="K211" t="s">
        <v>73</v>
      </c>
      <c r="L211" t="s">
        <v>2702</v>
      </c>
      <c r="M211">
        <v>2495360</v>
      </c>
      <c r="N211">
        <v>3899000</v>
      </c>
      <c r="O211" t="s">
        <v>2703</v>
      </c>
      <c r="P211" t="s">
        <v>954</v>
      </c>
      <c r="Q211" t="s">
        <v>2704</v>
      </c>
      <c r="R211" t="s">
        <v>2705</v>
      </c>
      <c r="S211" t="s">
        <v>72</v>
      </c>
      <c r="T211" t="s">
        <v>73</v>
      </c>
      <c r="U211" t="s">
        <v>2706</v>
      </c>
      <c r="V211" t="s">
        <v>75</v>
      </c>
      <c r="W211" s="1">
        <v>44408</v>
      </c>
      <c r="X211" t="s">
        <v>183</v>
      </c>
      <c r="Y211" t="s">
        <v>760</v>
      </c>
      <c r="Z211" t="s">
        <v>2707</v>
      </c>
      <c r="AA211">
        <v>5</v>
      </c>
      <c r="AB211" t="s">
        <v>199</v>
      </c>
      <c r="AC211" t="s">
        <v>2708</v>
      </c>
      <c r="AD211" t="s">
        <v>763</v>
      </c>
      <c r="AE211" t="s">
        <v>266</v>
      </c>
      <c r="AF211">
        <v>3119200</v>
      </c>
      <c r="AG211" s="6">
        <v>46788</v>
      </c>
      <c r="AK211" t="s">
        <v>4668</v>
      </c>
      <c r="AL211" s="6">
        <v>46788</v>
      </c>
      <c r="AM211" s="7">
        <f>Table6[[#This Row],[Premium]]-Table6[[#This Row],[Tms Prem]]</f>
        <v>0</v>
      </c>
    </row>
    <row r="212" spans="1:39" x14ac:dyDescent="0.25">
      <c r="A212">
        <v>211</v>
      </c>
      <c r="B212" t="s">
        <v>36</v>
      </c>
      <c r="C212" t="s">
        <v>2709</v>
      </c>
      <c r="D212" t="s">
        <v>38</v>
      </c>
      <c r="E212" t="s">
        <v>39</v>
      </c>
      <c r="F212" t="s">
        <v>2710</v>
      </c>
      <c r="G212" t="s">
        <v>115</v>
      </c>
      <c r="H212" t="s">
        <v>2711</v>
      </c>
      <c r="I212" t="s">
        <v>73</v>
      </c>
      <c r="J212" t="s">
        <v>2712</v>
      </c>
      <c r="K212" t="s">
        <v>2713</v>
      </c>
      <c r="L212" t="s">
        <v>2714</v>
      </c>
      <c r="M212">
        <v>1925000</v>
      </c>
      <c r="N212">
        <v>2750000</v>
      </c>
      <c r="O212" t="s">
        <v>2715</v>
      </c>
      <c r="P212" t="s">
        <v>945</v>
      </c>
      <c r="Q212" t="s">
        <v>2716</v>
      </c>
      <c r="R212" t="s">
        <v>2717</v>
      </c>
      <c r="S212" t="s">
        <v>660</v>
      </c>
      <c r="T212" t="s">
        <v>73</v>
      </c>
      <c r="U212" t="s">
        <v>2517</v>
      </c>
      <c r="V212" t="s">
        <v>617</v>
      </c>
      <c r="W212" s="1">
        <v>44408</v>
      </c>
      <c r="X212" t="s">
        <v>183</v>
      </c>
      <c r="Y212" t="s">
        <v>760</v>
      </c>
      <c r="Z212" t="s">
        <v>2718</v>
      </c>
      <c r="AA212">
        <v>5</v>
      </c>
      <c r="AB212" t="s">
        <v>199</v>
      </c>
      <c r="AC212" t="s">
        <v>2719</v>
      </c>
      <c r="AD212" t="s">
        <v>2322</v>
      </c>
      <c r="AE212" t="s">
        <v>59</v>
      </c>
      <c r="AF212">
        <v>2200000</v>
      </c>
      <c r="AG212" s="6">
        <v>44000</v>
      </c>
      <c r="AK212" t="s">
        <v>4669</v>
      </c>
      <c r="AL212" s="6">
        <v>44000</v>
      </c>
      <c r="AM212" s="7">
        <f>Table6[[#This Row],[Premium]]-Table6[[#This Row],[Tms Prem]]</f>
        <v>0</v>
      </c>
    </row>
    <row r="213" spans="1:39" x14ac:dyDescent="0.25">
      <c r="A213">
        <v>212</v>
      </c>
      <c r="B213" t="s">
        <v>36</v>
      </c>
      <c r="C213" t="s">
        <v>2720</v>
      </c>
      <c r="D213" t="s">
        <v>38</v>
      </c>
      <c r="E213" t="s">
        <v>39</v>
      </c>
      <c r="F213" t="s">
        <v>2721</v>
      </c>
      <c r="G213" t="s">
        <v>115</v>
      </c>
      <c r="H213" t="s">
        <v>2722</v>
      </c>
      <c r="I213" t="s">
        <v>2499</v>
      </c>
      <c r="J213" t="s">
        <v>2723</v>
      </c>
      <c r="K213" t="s">
        <v>2724</v>
      </c>
      <c r="L213" t="s">
        <v>2725</v>
      </c>
      <c r="M213">
        <v>1608750</v>
      </c>
      <c r="N213">
        <v>2475000</v>
      </c>
      <c r="O213" t="s">
        <v>2726</v>
      </c>
      <c r="P213" t="s">
        <v>678</v>
      </c>
      <c r="Q213" t="s">
        <v>2727</v>
      </c>
      <c r="R213" t="s">
        <v>2728</v>
      </c>
      <c r="S213" t="s">
        <v>49</v>
      </c>
      <c r="T213" t="s">
        <v>2729</v>
      </c>
      <c r="U213" t="s">
        <v>423</v>
      </c>
      <c r="V213" t="s">
        <v>603</v>
      </c>
      <c r="W213" s="1">
        <v>44408</v>
      </c>
      <c r="X213" t="s">
        <v>183</v>
      </c>
      <c r="Y213" t="s">
        <v>344</v>
      </c>
      <c r="Z213" t="s">
        <v>2730</v>
      </c>
      <c r="AA213">
        <v>6</v>
      </c>
      <c r="AB213" t="s">
        <v>199</v>
      </c>
      <c r="AC213" t="s">
        <v>2731</v>
      </c>
      <c r="AD213" t="s">
        <v>2322</v>
      </c>
      <c r="AE213" t="s">
        <v>59</v>
      </c>
      <c r="AF213">
        <v>1980000</v>
      </c>
      <c r="AG213" s="6">
        <v>39600</v>
      </c>
      <c r="AK213" t="s">
        <v>4670</v>
      </c>
      <c r="AL213" s="6">
        <v>39600</v>
      </c>
      <c r="AM213" s="7">
        <f>Table6[[#This Row],[Premium]]-Table6[[#This Row],[Tms Prem]]</f>
        <v>0</v>
      </c>
    </row>
    <row r="214" spans="1:39" x14ac:dyDescent="0.25">
      <c r="A214">
        <v>213</v>
      </c>
      <c r="B214" t="s">
        <v>36</v>
      </c>
      <c r="C214" t="s">
        <v>2732</v>
      </c>
      <c r="D214" t="s">
        <v>38</v>
      </c>
      <c r="E214" t="s">
        <v>39</v>
      </c>
      <c r="F214" t="s">
        <v>2733</v>
      </c>
      <c r="G214" t="s">
        <v>115</v>
      </c>
      <c r="H214" t="s">
        <v>2734</v>
      </c>
      <c r="I214" t="s">
        <v>2735</v>
      </c>
      <c r="J214" t="s">
        <v>2736</v>
      </c>
      <c r="K214" t="s">
        <v>176</v>
      </c>
      <c r="L214" t="s">
        <v>2737</v>
      </c>
      <c r="M214">
        <v>1364000</v>
      </c>
      <c r="N214">
        <v>2200000</v>
      </c>
      <c r="O214" t="s">
        <v>2738</v>
      </c>
      <c r="P214" t="s">
        <v>2739</v>
      </c>
      <c r="Q214" t="s">
        <v>2740</v>
      </c>
      <c r="R214" t="s">
        <v>2741</v>
      </c>
      <c r="S214" t="s">
        <v>49</v>
      </c>
      <c r="T214" t="s">
        <v>2742</v>
      </c>
      <c r="U214" t="s">
        <v>2743</v>
      </c>
      <c r="V214" t="s">
        <v>617</v>
      </c>
      <c r="W214" s="1">
        <v>44408</v>
      </c>
      <c r="X214" t="s">
        <v>183</v>
      </c>
      <c r="Y214" t="s">
        <v>760</v>
      </c>
      <c r="Z214" t="s">
        <v>2744</v>
      </c>
      <c r="AA214">
        <v>5</v>
      </c>
      <c r="AB214" t="s">
        <v>199</v>
      </c>
      <c r="AC214" t="s">
        <v>2745</v>
      </c>
      <c r="AD214" t="s">
        <v>2322</v>
      </c>
      <c r="AE214" t="s">
        <v>59</v>
      </c>
      <c r="AF214">
        <v>1760000</v>
      </c>
      <c r="AG214" s="6">
        <v>35200</v>
      </c>
      <c r="AK214" t="s">
        <v>4671</v>
      </c>
      <c r="AL214" s="6">
        <v>35200</v>
      </c>
      <c r="AM214" s="7">
        <f>Table6[[#This Row],[Premium]]-Table6[[#This Row],[Tms Prem]]</f>
        <v>0</v>
      </c>
    </row>
    <row r="215" spans="1:39" x14ac:dyDescent="0.25">
      <c r="A215">
        <v>214</v>
      </c>
      <c r="B215" t="s">
        <v>36</v>
      </c>
      <c r="C215" t="s">
        <v>2746</v>
      </c>
      <c r="D215" t="s">
        <v>38</v>
      </c>
      <c r="E215" t="s">
        <v>39</v>
      </c>
      <c r="F215" t="s">
        <v>2747</v>
      </c>
      <c r="G215" t="s">
        <v>115</v>
      </c>
      <c r="H215" t="s">
        <v>2748</v>
      </c>
      <c r="I215" t="s">
        <v>2749</v>
      </c>
      <c r="J215" t="s">
        <v>2749</v>
      </c>
      <c r="K215" t="s">
        <v>2750</v>
      </c>
      <c r="L215" t="s">
        <v>2751</v>
      </c>
      <c r="M215">
        <v>1102500</v>
      </c>
      <c r="N215">
        <v>1575000</v>
      </c>
      <c r="O215" t="s">
        <v>2752</v>
      </c>
      <c r="P215" t="s">
        <v>399</v>
      </c>
      <c r="Q215" t="s">
        <v>2753</v>
      </c>
      <c r="R215" t="s">
        <v>2754</v>
      </c>
      <c r="S215" t="s">
        <v>49</v>
      </c>
      <c r="T215" t="s">
        <v>2755</v>
      </c>
      <c r="U215" t="s">
        <v>224</v>
      </c>
      <c r="V215" t="s">
        <v>52</v>
      </c>
      <c r="W215" s="1">
        <v>44764</v>
      </c>
      <c r="X215" t="s">
        <v>447</v>
      </c>
      <c r="Y215" t="s">
        <v>448</v>
      </c>
      <c r="Z215" t="s">
        <v>2756</v>
      </c>
      <c r="AA215">
        <v>5</v>
      </c>
      <c r="AB215" t="s">
        <v>110</v>
      </c>
      <c r="AC215" t="s">
        <v>2757</v>
      </c>
      <c r="AD215" t="s">
        <v>1944</v>
      </c>
      <c r="AE215" t="s">
        <v>266</v>
      </c>
      <c r="AF215">
        <v>1338750</v>
      </c>
      <c r="AG215" s="6">
        <v>20081</v>
      </c>
      <c r="AK215" t="s">
        <v>4672</v>
      </c>
      <c r="AL215" s="6">
        <v>20081</v>
      </c>
      <c r="AM215" s="7">
        <f>Table6[[#This Row],[Premium]]-Table6[[#This Row],[Tms Prem]]</f>
        <v>0</v>
      </c>
    </row>
    <row r="216" spans="1:39" x14ac:dyDescent="0.25">
      <c r="A216">
        <v>215</v>
      </c>
      <c r="B216" t="s">
        <v>36</v>
      </c>
      <c r="C216" t="s">
        <v>2758</v>
      </c>
      <c r="D216" t="s">
        <v>38</v>
      </c>
      <c r="E216" t="s">
        <v>39</v>
      </c>
      <c r="F216" t="s">
        <v>2759</v>
      </c>
      <c r="G216" t="s">
        <v>115</v>
      </c>
      <c r="H216" t="s">
        <v>2760</v>
      </c>
      <c r="I216" t="s">
        <v>2761</v>
      </c>
      <c r="J216" t="s">
        <v>2762</v>
      </c>
      <c r="K216" t="s">
        <v>2763</v>
      </c>
      <c r="L216" t="s">
        <v>2764</v>
      </c>
      <c r="M216">
        <v>926750</v>
      </c>
      <c r="N216">
        <v>3707000</v>
      </c>
      <c r="O216" t="s">
        <v>2765</v>
      </c>
      <c r="P216" t="s">
        <v>1838</v>
      </c>
      <c r="Q216" t="s">
        <v>2766</v>
      </c>
      <c r="R216" t="s">
        <v>2767</v>
      </c>
      <c r="S216" t="s">
        <v>72</v>
      </c>
      <c r="T216" t="s">
        <v>73</v>
      </c>
      <c r="U216" t="s">
        <v>2768</v>
      </c>
      <c r="V216" t="s">
        <v>106</v>
      </c>
      <c r="W216" s="1">
        <v>44610</v>
      </c>
      <c r="X216" t="s">
        <v>459</v>
      </c>
      <c r="Y216" t="s">
        <v>184</v>
      </c>
      <c r="Z216" t="s">
        <v>2769</v>
      </c>
      <c r="AA216">
        <v>3</v>
      </c>
      <c r="AB216" t="s">
        <v>199</v>
      </c>
      <c r="AC216" t="s">
        <v>2770</v>
      </c>
      <c r="AD216" t="s">
        <v>2771</v>
      </c>
      <c r="AE216" t="s">
        <v>59</v>
      </c>
      <c r="AF216">
        <v>3150950</v>
      </c>
      <c r="AG216" s="6">
        <v>63019</v>
      </c>
      <c r="AK216" t="s">
        <v>4673</v>
      </c>
      <c r="AL216" s="6">
        <v>63019</v>
      </c>
      <c r="AM216" s="7">
        <f>Table6[[#This Row],[Premium]]-Table6[[#This Row],[Tms Prem]]</f>
        <v>0</v>
      </c>
    </row>
    <row r="217" spans="1:39" x14ac:dyDescent="0.25">
      <c r="A217">
        <v>216</v>
      </c>
      <c r="B217" t="s">
        <v>36</v>
      </c>
      <c r="C217" t="s">
        <v>2772</v>
      </c>
      <c r="D217" t="s">
        <v>38</v>
      </c>
      <c r="E217" t="s">
        <v>39</v>
      </c>
      <c r="F217" t="s">
        <v>413</v>
      </c>
      <c r="G217" t="s">
        <v>115</v>
      </c>
      <c r="H217" t="s">
        <v>2773</v>
      </c>
      <c r="I217" t="s">
        <v>73</v>
      </c>
      <c r="J217" t="s">
        <v>2774</v>
      </c>
      <c r="K217" t="s">
        <v>73</v>
      </c>
      <c r="L217" t="s">
        <v>2775</v>
      </c>
      <c r="M217">
        <v>1088500</v>
      </c>
      <c r="N217">
        <v>1555000</v>
      </c>
      <c r="O217" t="s">
        <v>2776</v>
      </c>
      <c r="P217" t="s">
        <v>1076</v>
      </c>
      <c r="Q217" t="s">
        <v>2777</v>
      </c>
      <c r="R217" t="s">
        <v>2778</v>
      </c>
      <c r="S217" t="s">
        <v>72</v>
      </c>
      <c r="T217" t="s">
        <v>73</v>
      </c>
      <c r="U217" t="s">
        <v>2779</v>
      </c>
      <c r="V217" t="s">
        <v>75</v>
      </c>
      <c r="W217" s="1">
        <v>44408</v>
      </c>
      <c r="X217" t="s">
        <v>183</v>
      </c>
      <c r="Y217" t="s">
        <v>760</v>
      </c>
      <c r="Z217" t="s">
        <v>2780</v>
      </c>
      <c r="AA217">
        <v>5</v>
      </c>
      <c r="AB217" t="s">
        <v>199</v>
      </c>
      <c r="AC217" t="s">
        <v>2781</v>
      </c>
      <c r="AD217" t="s">
        <v>2322</v>
      </c>
      <c r="AE217" t="s">
        <v>59</v>
      </c>
      <c r="AF217">
        <v>1244000</v>
      </c>
      <c r="AG217" s="6">
        <v>24880</v>
      </c>
      <c r="AK217" t="s">
        <v>4674</v>
      </c>
      <c r="AL217" s="6">
        <v>24880</v>
      </c>
      <c r="AM217" s="7">
        <f>Table6[[#This Row],[Premium]]-Table6[[#This Row],[Tms Prem]]</f>
        <v>0</v>
      </c>
    </row>
    <row r="218" spans="1:39" x14ac:dyDescent="0.25">
      <c r="A218">
        <v>217</v>
      </c>
      <c r="B218" t="s">
        <v>36</v>
      </c>
      <c r="C218" t="s">
        <v>2782</v>
      </c>
      <c r="D218" t="s">
        <v>38</v>
      </c>
      <c r="E218" t="s">
        <v>39</v>
      </c>
      <c r="F218" t="s">
        <v>2783</v>
      </c>
      <c r="G218" t="s">
        <v>115</v>
      </c>
      <c r="H218" t="s">
        <v>2784</v>
      </c>
      <c r="I218" t="s">
        <v>2785</v>
      </c>
      <c r="J218" t="s">
        <v>2785</v>
      </c>
      <c r="K218" t="s">
        <v>176</v>
      </c>
      <c r="L218" t="s">
        <v>2786</v>
      </c>
      <c r="M218">
        <v>1074750</v>
      </c>
      <c r="N218">
        <v>1433000</v>
      </c>
      <c r="O218" t="s">
        <v>2787</v>
      </c>
      <c r="P218" t="s">
        <v>2739</v>
      </c>
      <c r="Q218" t="s">
        <v>2788</v>
      </c>
      <c r="R218" t="s">
        <v>2789</v>
      </c>
      <c r="S218" t="s">
        <v>72</v>
      </c>
      <c r="T218" t="s">
        <v>73</v>
      </c>
      <c r="U218" t="s">
        <v>1965</v>
      </c>
      <c r="V218" t="s">
        <v>75</v>
      </c>
      <c r="W218" s="1">
        <v>44321</v>
      </c>
      <c r="X218" t="s">
        <v>183</v>
      </c>
      <c r="Y218" t="s">
        <v>760</v>
      </c>
      <c r="Z218" t="s">
        <v>2790</v>
      </c>
      <c r="AA218">
        <v>5</v>
      </c>
      <c r="AB218" t="s">
        <v>56</v>
      </c>
      <c r="AC218" t="s">
        <v>2791</v>
      </c>
      <c r="AD218" t="s">
        <v>744</v>
      </c>
      <c r="AE218" t="s">
        <v>59</v>
      </c>
      <c r="AF218">
        <v>1146400</v>
      </c>
      <c r="AG218" s="6">
        <v>22928</v>
      </c>
      <c r="AK218" t="s">
        <v>4675</v>
      </c>
      <c r="AL218" s="6">
        <v>22928</v>
      </c>
      <c r="AM218" s="7">
        <f>Table6[[#This Row],[Premium]]-Table6[[#This Row],[Tms Prem]]</f>
        <v>0</v>
      </c>
    </row>
    <row r="219" spans="1:39" x14ac:dyDescent="0.25">
      <c r="A219">
        <v>218</v>
      </c>
      <c r="B219" t="s">
        <v>36</v>
      </c>
      <c r="C219" t="s">
        <v>2792</v>
      </c>
      <c r="D219" t="s">
        <v>38</v>
      </c>
      <c r="E219" t="s">
        <v>39</v>
      </c>
      <c r="F219" t="s">
        <v>2793</v>
      </c>
      <c r="G219" t="s">
        <v>229</v>
      </c>
      <c r="H219" t="s">
        <v>2794</v>
      </c>
      <c r="I219" t="s">
        <v>2795</v>
      </c>
      <c r="J219" t="s">
        <v>2795</v>
      </c>
      <c r="K219" t="s">
        <v>2795</v>
      </c>
      <c r="L219" t="s">
        <v>2796</v>
      </c>
      <c r="M219">
        <v>1540000</v>
      </c>
      <c r="N219">
        <v>2200000</v>
      </c>
      <c r="O219" t="s">
        <v>2797</v>
      </c>
      <c r="P219" t="s">
        <v>2336</v>
      </c>
      <c r="Q219" t="s">
        <v>2798</v>
      </c>
      <c r="R219" t="s">
        <v>2799</v>
      </c>
      <c r="S219" t="s">
        <v>49</v>
      </c>
      <c r="T219" t="s">
        <v>2800</v>
      </c>
      <c r="U219" t="s">
        <v>2801</v>
      </c>
      <c r="V219" t="s">
        <v>829</v>
      </c>
      <c r="W219" s="1">
        <v>44775</v>
      </c>
      <c r="X219" t="s">
        <v>459</v>
      </c>
      <c r="Y219" t="s">
        <v>184</v>
      </c>
      <c r="Z219" t="s">
        <v>2802</v>
      </c>
      <c r="AA219">
        <v>3</v>
      </c>
      <c r="AB219" t="s">
        <v>110</v>
      </c>
      <c r="AC219" t="s">
        <v>2803</v>
      </c>
      <c r="AD219" t="s">
        <v>1346</v>
      </c>
      <c r="AE219" t="s">
        <v>266</v>
      </c>
      <c r="AF219">
        <v>1870000</v>
      </c>
      <c r="AG219" s="6">
        <v>28050</v>
      </c>
      <c r="AK219" t="s">
        <v>4676</v>
      </c>
      <c r="AL219" s="6">
        <v>28050</v>
      </c>
      <c r="AM219" s="7">
        <f>Table6[[#This Row],[Premium]]-Table6[[#This Row],[Tms Prem]]</f>
        <v>0</v>
      </c>
    </row>
    <row r="220" spans="1:39" x14ac:dyDescent="0.25">
      <c r="A220">
        <v>219</v>
      </c>
      <c r="B220" t="s">
        <v>36</v>
      </c>
      <c r="C220" t="s">
        <v>2804</v>
      </c>
      <c r="D220" t="s">
        <v>38</v>
      </c>
      <c r="E220" t="s">
        <v>39</v>
      </c>
      <c r="F220" t="s">
        <v>2805</v>
      </c>
      <c r="G220" t="s">
        <v>115</v>
      </c>
      <c r="H220" t="s">
        <v>2806</v>
      </c>
      <c r="I220" t="s">
        <v>2807</v>
      </c>
      <c r="J220" t="s">
        <v>2807</v>
      </c>
      <c r="K220" t="s">
        <v>176</v>
      </c>
      <c r="L220" t="s">
        <v>2808</v>
      </c>
      <c r="M220">
        <v>1836000</v>
      </c>
      <c r="N220">
        <v>2700000</v>
      </c>
      <c r="O220" t="s">
        <v>2809</v>
      </c>
      <c r="P220" t="s">
        <v>1118</v>
      </c>
      <c r="Q220" t="s">
        <v>2810</v>
      </c>
      <c r="R220" t="s">
        <v>2811</v>
      </c>
      <c r="S220" t="s">
        <v>49</v>
      </c>
      <c r="T220" t="s">
        <v>2812</v>
      </c>
      <c r="U220" t="s">
        <v>2813</v>
      </c>
      <c r="V220" t="s">
        <v>730</v>
      </c>
      <c r="W220" s="1">
        <v>44772</v>
      </c>
      <c r="X220" t="s">
        <v>459</v>
      </c>
      <c r="Y220" t="s">
        <v>184</v>
      </c>
      <c r="Z220" t="s">
        <v>2814</v>
      </c>
      <c r="AA220">
        <v>3</v>
      </c>
      <c r="AB220" t="s">
        <v>110</v>
      </c>
      <c r="AC220" t="s">
        <v>2815</v>
      </c>
      <c r="AD220" t="s">
        <v>1346</v>
      </c>
      <c r="AE220" t="s">
        <v>266</v>
      </c>
      <c r="AF220">
        <v>2295000</v>
      </c>
      <c r="AG220" s="6">
        <v>34425</v>
      </c>
      <c r="AK220" t="s">
        <v>4677</v>
      </c>
      <c r="AL220" s="6">
        <v>34425</v>
      </c>
      <c r="AM220" s="7">
        <f>Table6[[#This Row],[Premium]]-Table6[[#This Row],[Tms Prem]]</f>
        <v>0</v>
      </c>
    </row>
    <row r="221" spans="1:39" x14ac:dyDescent="0.25">
      <c r="A221">
        <v>220</v>
      </c>
      <c r="B221" t="s">
        <v>36</v>
      </c>
      <c r="C221" t="s">
        <v>2816</v>
      </c>
      <c r="D221" t="s">
        <v>38</v>
      </c>
      <c r="E221" t="s">
        <v>39</v>
      </c>
      <c r="F221" t="s">
        <v>2817</v>
      </c>
      <c r="G221" t="s">
        <v>2818</v>
      </c>
      <c r="H221" t="s">
        <v>2819</v>
      </c>
      <c r="I221" t="s">
        <v>2820</v>
      </c>
      <c r="J221" t="s">
        <v>73</v>
      </c>
      <c r="K221" t="s">
        <v>2821</v>
      </c>
      <c r="L221" t="s">
        <v>2822</v>
      </c>
      <c r="M221">
        <v>934440</v>
      </c>
      <c r="N221">
        <v>1198000</v>
      </c>
      <c r="O221" t="s">
        <v>2823</v>
      </c>
      <c r="P221" t="s">
        <v>1838</v>
      </c>
      <c r="Q221" t="s">
        <v>2824</v>
      </c>
      <c r="R221" t="s">
        <v>2825</v>
      </c>
      <c r="S221" t="s">
        <v>72</v>
      </c>
      <c r="T221" t="s">
        <v>73</v>
      </c>
      <c r="U221" t="s">
        <v>299</v>
      </c>
      <c r="V221" t="s">
        <v>75</v>
      </c>
      <c r="W221" s="1">
        <v>44316</v>
      </c>
      <c r="X221" t="s">
        <v>183</v>
      </c>
      <c r="Y221" t="s">
        <v>344</v>
      </c>
      <c r="Z221" t="s">
        <v>2826</v>
      </c>
      <c r="AA221">
        <v>6</v>
      </c>
      <c r="AB221" t="s">
        <v>56</v>
      </c>
      <c r="AC221" t="s">
        <v>2827</v>
      </c>
      <c r="AD221" t="s">
        <v>1069</v>
      </c>
      <c r="AE221" t="s">
        <v>59</v>
      </c>
      <c r="AF221">
        <v>958400</v>
      </c>
      <c r="AG221" s="6">
        <v>19168</v>
      </c>
      <c r="AK221" t="s">
        <v>4678</v>
      </c>
      <c r="AL221" s="6">
        <v>19168</v>
      </c>
      <c r="AM221" s="7">
        <f>Table6[[#This Row],[Premium]]-Table6[[#This Row],[Tms Prem]]</f>
        <v>0</v>
      </c>
    </row>
    <row r="222" spans="1:39" x14ac:dyDescent="0.25">
      <c r="A222">
        <v>221</v>
      </c>
      <c r="B222" t="s">
        <v>36</v>
      </c>
      <c r="C222" t="s">
        <v>2828</v>
      </c>
      <c r="D222" t="s">
        <v>38</v>
      </c>
      <c r="E222" t="s">
        <v>39</v>
      </c>
      <c r="F222" t="s">
        <v>2829</v>
      </c>
      <c r="G222" t="s">
        <v>291</v>
      </c>
      <c r="H222" t="s">
        <v>2830</v>
      </c>
      <c r="I222" t="s">
        <v>2831</v>
      </c>
      <c r="J222" t="s">
        <v>2831</v>
      </c>
      <c r="K222" t="s">
        <v>2831</v>
      </c>
      <c r="L222" t="s">
        <v>2832</v>
      </c>
      <c r="M222">
        <v>1300000</v>
      </c>
      <c r="N222">
        <v>2000000</v>
      </c>
      <c r="O222" t="s">
        <v>2833</v>
      </c>
      <c r="P222" t="s">
        <v>318</v>
      </c>
      <c r="Q222" t="s">
        <v>2834</v>
      </c>
      <c r="R222" t="s">
        <v>2835</v>
      </c>
      <c r="S222" t="s">
        <v>49</v>
      </c>
      <c r="T222" t="s">
        <v>2836</v>
      </c>
      <c r="U222" t="s">
        <v>2837</v>
      </c>
      <c r="V222" t="s">
        <v>829</v>
      </c>
      <c r="W222" s="1">
        <v>44408</v>
      </c>
      <c r="X222" t="s">
        <v>183</v>
      </c>
      <c r="Y222" t="s">
        <v>184</v>
      </c>
      <c r="Z222" t="s">
        <v>2838</v>
      </c>
      <c r="AA222">
        <v>4</v>
      </c>
      <c r="AB222" t="s">
        <v>199</v>
      </c>
      <c r="AC222" t="s">
        <v>2839</v>
      </c>
      <c r="AD222" t="s">
        <v>902</v>
      </c>
      <c r="AE222" t="s">
        <v>59</v>
      </c>
      <c r="AF222">
        <v>1600000</v>
      </c>
      <c r="AG222" s="6">
        <v>32000</v>
      </c>
      <c r="AK222" t="s">
        <v>4679</v>
      </c>
      <c r="AL222" s="6">
        <v>32000</v>
      </c>
      <c r="AM222" s="7">
        <f>Table6[[#This Row],[Premium]]-Table6[[#This Row],[Tms Prem]]</f>
        <v>0</v>
      </c>
    </row>
    <row r="223" spans="1:39" x14ac:dyDescent="0.25">
      <c r="A223">
        <v>222</v>
      </c>
      <c r="B223" t="s">
        <v>36</v>
      </c>
      <c r="C223" t="s">
        <v>2840</v>
      </c>
      <c r="D223" t="s">
        <v>38</v>
      </c>
      <c r="E223" t="s">
        <v>39</v>
      </c>
      <c r="F223" t="s">
        <v>2841</v>
      </c>
      <c r="G223" t="s">
        <v>115</v>
      </c>
      <c r="H223" t="s">
        <v>2842</v>
      </c>
      <c r="I223" t="s">
        <v>2843</v>
      </c>
      <c r="J223" t="s">
        <v>2843</v>
      </c>
      <c r="K223" t="s">
        <v>2844</v>
      </c>
      <c r="L223" t="s">
        <v>2845</v>
      </c>
      <c r="M223">
        <v>1100000</v>
      </c>
      <c r="N223">
        <v>2000000</v>
      </c>
      <c r="O223" t="s">
        <v>2846</v>
      </c>
      <c r="P223" t="s">
        <v>1620</v>
      </c>
      <c r="Q223" t="s">
        <v>2847</v>
      </c>
      <c r="R223" t="s">
        <v>2848</v>
      </c>
      <c r="S223" t="s">
        <v>49</v>
      </c>
      <c r="T223" t="s">
        <v>73</v>
      </c>
      <c r="U223" t="s">
        <v>2849</v>
      </c>
      <c r="V223" t="s">
        <v>617</v>
      </c>
      <c r="W223" s="1">
        <v>44763</v>
      </c>
      <c r="X223" t="s">
        <v>124</v>
      </c>
      <c r="Y223" t="s">
        <v>358</v>
      </c>
      <c r="Z223" t="s">
        <v>2850</v>
      </c>
      <c r="AA223">
        <v>3</v>
      </c>
      <c r="AB223" t="s">
        <v>110</v>
      </c>
      <c r="AC223" t="s">
        <v>2851</v>
      </c>
      <c r="AD223" t="s">
        <v>124</v>
      </c>
      <c r="AE223" t="s">
        <v>266</v>
      </c>
      <c r="AF223">
        <v>1700000</v>
      </c>
      <c r="AG223" s="6">
        <v>25500</v>
      </c>
      <c r="AK223" t="s">
        <v>4680</v>
      </c>
      <c r="AL223" s="6">
        <v>25500</v>
      </c>
      <c r="AM223" s="7">
        <f>Table6[[#This Row],[Premium]]-Table6[[#This Row],[Tms Prem]]</f>
        <v>0</v>
      </c>
    </row>
    <row r="224" spans="1:39" x14ac:dyDescent="0.25">
      <c r="A224">
        <v>223</v>
      </c>
      <c r="B224" t="s">
        <v>36</v>
      </c>
      <c r="C224" t="s">
        <v>2852</v>
      </c>
      <c r="D224" t="s">
        <v>38</v>
      </c>
      <c r="E224" t="s">
        <v>39</v>
      </c>
      <c r="F224" t="s">
        <v>2853</v>
      </c>
      <c r="G224" t="s">
        <v>115</v>
      </c>
      <c r="H224" t="s">
        <v>2854</v>
      </c>
      <c r="I224" t="s">
        <v>73</v>
      </c>
      <c r="J224" t="s">
        <v>2855</v>
      </c>
      <c r="K224" t="s">
        <v>73</v>
      </c>
      <c r="L224" t="s">
        <v>2856</v>
      </c>
      <c r="M224">
        <v>1701000</v>
      </c>
      <c r="N224">
        <v>2430000</v>
      </c>
      <c r="O224" t="s">
        <v>2857</v>
      </c>
      <c r="P224" t="s">
        <v>1620</v>
      </c>
      <c r="Q224" t="s">
        <v>2858</v>
      </c>
      <c r="R224" t="s">
        <v>2859</v>
      </c>
      <c r="S224" t="s">
        <v>49</v>
      </c>
      <c r="T224" t="s">
        <v>2860</v>
      </c>
      <c r="U224" t="s">
        <v>370</v>
      </c>
      <c r="V224" t="s">
        <v>52</v>
      </c>
      <c r="W224" s="1">
        <v>44768</v>
      </c>
      <c r="X224" t="s">
        <v>447</v>
      </c>
      <c r="Y224" t="s">
        <v>448</v>
      </c>
      <c r="Z224" t="s">
        <v>2861</v>
      </c>
      <c r="AA224">
        <v>5</v>
      </c>
      <c r="AB224" t="s">
        <v>110</v>
      </c>
      <c r="AC224" t="s">
        <v>2862</v>
      </c>
      <c r="AD224" t="s">
        <v>302</v>
      </c>
      <c r="AE224" t="s">
        <v>266</v>
      </c>
      <c r="AF224">
        <v>2065500</v>
      </c>
      <c r="AG224" s="6">
        <v>30983</v>
      </c>
      <c r="AK224" t="s">
        <v>4681</v>
      </c>
      <c r="AL224" s="6">
        <v>30983</v>
      </c>
      <c r="AM224" s="7">
        <f>Table6[[#This Row],[Premium]]-Table6[[#This Row],[Tms Prem]]</f>
        <v>0</v>
      </c>
    </row>
    <row r="225" spans="1:39" x14ac:dyDescent="0.25">
      <c r="A225">
        <v>224</v>
      </c>
      <c r="B225" t="s">
        <v>36</v>
      </c>
      <c r="C225" t="s">
        <v>2863</v>
      </c>
      <c r="D225" t="s">
        <v>38</v>
      </c>
      <c r="E225" t="s">
        <v>39</v>
      </c>
      <c r="F225" t="s">
        <v>2864</v>
      </c>
      <c r="G225" t="s">
        <v>62</v>
      </c>
      <c r="H225" t="s">
        <v>2865</v>
      </c>
      <c r="I225" t="s">
        <v>2866</v>
      </c>
      <c r="J225" t="s">
        <v>2866</v>
      </c>
      <c r="K225" t="s">
        <v>2866</v>
      </c>
      <c r="L225" t="s">
        <v>2867</v>
      </c>
      <c r="M225">
        <v>2964500</v>
      </c>
      <c r="N225">
        <v>6050000</v>
      </c>
      <c r="O225" t="s">
        <v>2868</v>
      </c>
      <c r="P225" t="s">
        <v>2739</v>
      </c>
      <c r="Q225" t="s">
        <v>2869</v>
      </c>
      <c r="R225" t="s">
        <v>2870</v>
      </c>
      <c r="S225" t="s">
        <v>49</v>
      </c>
      <c r="T225" t="s">
        <v>2871</v>
      </c>
      <c r="U225" t="s">
        <v>1031</v>
      </c>
      <c r="V225" t="s">
        <v>153</v>
      </c>
      <c r="W225" s="1">
        <v>44772</v>
      </c>
      <c r="X225" t="s">
        <v>459</v>
      </c>
      <c r="Y225" t="s">
        <v>184</v>
      </c>
      <c r="Z225" t="s">
        <v>2872</v>
      </c>
      <c r="AA225">
        <v>3</v>
      </c>
      <c r="AB225" t="s">
        <v>110</v>
      </c>
      <c r="AC225" t="s">
        <v>2873</v>
      </c>
      <c r="AD225" t="s">
        <v>1360</v>
      </c>
      <c r="AE225" t="s">
        <v>266</v>
      </c>
      <c r="AF225">
        <v>5142500</v>
      </c>
      <c r="AG225" s="6">
        <v>77138</v>
      </c>
      <c r="AK225" t="s">
        <v>4682</v>
      </c>
      <c r="AL225" s="6">
        <v>77138</v>
      </c>
      <c r="AM225" s="7">
        <f>Table6[[#This Row],[Premium]]-Table6[[#This Row],[Tms Prem]]</f>
        <v>0</v>
      </c>
    </row>
    <row r="226" spans="1:39" x14ac:dyDescent="0.25">
      <c r="A226">
        <v>225</v>
      </c>
      <c r="B226" t="s">
        <v>36</v>
      </c>
      <c r="C226" t="s">
        <v>2874</v>
      </c>
      <c r="D226" t="s">
        <v>38</v>
      </c>
      <c r="E226" t="s">
        <v>39</v>
      </c>
      <c r="F226" t="s">
        <v>2875</v>
      </c>
      <c r="G226" t="s">
        <v>189</v>
      </c>
      <c r="H226" t="s">
        <v>2876</v>
      </c>
      <c r="I226" t="s">
        <v>73</v>
      </c>
      <c r="J226" t="s">
        <v>2877</v>
      </c>
      <c r="K226" t="s">
        <v>73</v>
      </c>
      <c r="L226" t="s">
        <v>2878</v>
      </c>
      <c r="M226">
        <v>1365000</v>
      </c>
      <c r="N226">
        <v>1950000</v>
      </c>
      <c r="O226" t="s">
        <v>2879</v>
      </c>
      <c r="P226" t="s">
        <v>1620</v>
      </c>
      <c r="Q226" t="s">
        <v>2880</v>
      </c>
      <c r="R226" t="s">
        <v>2881</v>
      </c>
      <c r="S226" t="s">
        <v>49</v>
      </c>
      <c r="T226" t="s">
        <v>2882</v>
      </c>
      <c r="U226" t="s">
        <v>1298</v>
      </c>
      <c r="V226" t="s">
        <v>730</v>
      </c>
      <c r="W226" s="1">
        <v>45128</v>
      </c>
      <c r="X226" t="s">
        <v>945</v>
      </c>
      <c r="Y226" t="s">
        <v>383</v>
      </c>
      <c r="Z226" t="s">
        <v>2883</v>
      </c>
      <c r="AA226">
        <v>5</v>
      </c>
      <c r="AB226" t="s">
        <v>263</v>
      </c>
      <c r="AC226" t="s">
        <v>2884</v>
      </c>
      <c r="AD226" t="s">
        <v>945</v>
      </c>
      <c r="AE226" t="s">
        <v>319</v>
      </c>
      <c r="AF226">
        <v>1755000</v>
      </c>
      <c r="AG226" s="6">
        <v>30713</v>
      </c>
      <c r="AK226" t="s">
        <v>4683</v>
      </c>
      <c r="AL226" s="6">
        <v>30713</v>
      </c>
      <c r="AM226" s="7">
        <f>Table6[[#This Row],[Premium]]-Table6[[#This Row],[Tms Prem]]</f>
        <v>0</v>
      </c>
    </row>
    <row r="227" spans="1:39" x14ac:dyDescent="0.25">
      <c r="A227">
        <v>226</v>
      </c>
      <c r="B227" t="s">
        <v>36</v>
      </c>
      <c r="C227" t="s">
        <v>2885</v>
      </c>
      <c r="D227" t="s">
        <v>38</v>
      </c>
      <c r="E227" t="s">
        <v>39</v>
      </c>
      <c r="F227" t="s">
        <v>2886</v>
      </c>
      <c r="G227" t="s">
        <v>62</v>
      </c>
      <c r="H227" t="s">
        <v>2887</v>
      </c>
      <c r="I227" t="s">
        <v>2888</v>
      </c>
      <c r="J227" t="s">
        <v>2888</v>
      </c>
      <c r="K227" t="s">
        <v>2888</v>
      </c>
      <c r="L227" t="s">
        <v>2889</v>
      </c>
      <c r="M227">
        <v>1235000</v>
      </c>
      <c r="N227">
        <v>1900000</v>
      </c>
      <c r="O227" t="s">
        <v>2890</v>
      </c>
      <c r="P227" t="s">
        <v>318</v>
      </c>
      <c r="Q227" t="s">
        <v>2891</v>
      </c>
      <c r="R227" t="s">
        <v>2892</v>
      </c>
      <c r="S227" t="s">
        <v>49</v>
      </c>
      <c r="T227" t="s">
        <v>2893</v>
      </c>
      <c r="U227" t="s">
        <v>2894</v>
      </c>
      <c r="V227" t="s">
        <v>52</v>
      </c>
      <c r="W227" s="1">
        <v>44772</v>
      </c>
      <c r="X227" t="s">
        <v>459</v>
      </c>
      <c r="Y227" t="s">
        <v>344</v>
      </c>
      <c r="Z227" t="s">
        <v>2895</v>
      </c>
      <c r="AA227">
        <v>5</v>
      </c>
      <c r="AB227" t="s">
        <v>110</v>
      </c>
      <c r="AC227" t="s">
        <v>2896</v>
      </c>
      <c r="AD227" t="s">
        <v>1346</v>
      </c>
      <c r="AE227" t="s">
        <v>266</v>
      </c>
      <c r="AF227">
        <v>1615000</v>
      </c>
      <c r="AG227" s="6">
        <v>24225</v>
      </c>
      <c r="AK227" t="s">
        <v>4684</v>
      </c>
      <c r="AL227" s="6">
        <v>24225</v>
      </c>
      <c r="AM227" s="7">
        <f>Table6[[#This Row],[Premium]]-Table6[[#This Row],[Tms Prem]]</f>
        <v>0</v>
      </c>
    </row>
    <row r="228" spans="1:39" x14ac:dyDescent="0.25">
      <c r="A228">
        <v>227</v>
      </c>
      <c r="B228" t="s">
        <v>36</v>
      </c>
      <c r="C228" t="s">
        <v>2897</v>
      </c>
      <c r="D228" t="s">
        <v>38</v>
      </c>
      <c r="E228" t="s">
        <v>39</v>
      </c>
      <c r="F228" t="s">
        <v>374</v>
      </c>
      <c r="G228" t="s">
        <v>115</v>
      </c>
      <c r="H228" t="s">
        <v>2898</v>
      </c>
      <c r="I228" t="s">
        <v>2899</v>
      </c>
      <c r="J228" t="s">
        <v>2900</v>
      </c>
      <c r="K228" t="s">
        <v>2899</v>
      </c>
      <c r="L228" t="s">
        <v>2901</v>
      </c>
      <c r="M228">
        <v>2054500</v>
      </c>
      <c r="N228">
        <v>2935000</v>
      </c>
      <c r="O228" t="s">
        <v>2902</v>
      </c>
      <c r="P228" t="s">
        <v>589</v>
      </c>
      <c r="Q228" t="s">
        <v>2903</v>
      </c>
      <c r="R228" t="s">
        <v>2904</v>
      </c>
      <c r="S228" t="s">
        <v>72</v>
      </c>
      <c r="T228" t="s">
        <v>73</v>
      </c>
      <c r="U228" t="s">
        <v>495</v>
      </c>
      <c r="V228" t="s">
        <v>313</v>
      </c>
      <c r="W228" s="1">
        <v>45127</v>
      </c>
      <c r="X228" t="s">
        <v>945</v>
      </c>
      <c r="Y228" t="s">
        <v>358</v>
      </c>
      <c r="Z228" t="s">
        <v>2905</v>
      </c>
      <c r="AA228">
        <v>2</v>
      </c>
      <c r="AB228" t="s">
        <v>263</v>
      </c>
      <c r="AC228" t="s">
        <v>2906</v>
      </c>
      <c r="AD228" t="s">
        <v>2739</v>
      </c>
      <c r="AE228" t="s">
        <v>319</v>
      </c>
      <c r="AF228">
        <v>2641500</v>
      </c>
      <c r="AG228" s="6">
        <v>46226</v>
      </c>
      <c r="AK228" t="s">
        <v>4685</v>
      </c>
      <c r="AL228" s="6">
        <v>46226</v>
      </c>
      <c r="AM228" s="7">
        <f>Table6[[#This Row],[Premium]]-Table6[[#This Row],[Tms Prem]]</f>
        <v>0</v>
      </c>
    </row>
    <row r="229" spans="1:39" x14ac:dyDescent="0.25">
      <c r="A229">
        <v>228</v>
      </c>
      <c r="B229" t="s">
        <v>36</v>
      </c>
      <c r="C229" t="s">
        <v>2907</v>
      </c>
      <c r="D229" t="s">
        <v>38</v>
      </c>
      <c r="E229" t="s">
        <v>39</v>
      </c>
      <c r="F229" t="s">
        <v>2908</v>
      </c>
      <c r="G229" t="s">
        <v>115</v>
      </c>
      <c r="H229" t="s">
        <v>2909</v>
      </c>
      <c r="I229" t="s">
        <v>2910</v>
      </c>
      <c r="J229" t="s">
        <v>2911</v>
      </c>
      <c r="K229" t="s">
        <v>2910</v>
      </c>
      <c r="L229" t="s">
        <v>2912</v>
      </c>
      <c r="M229">
        <v>1960000</v>
      </c>
      <c r="N229">
        <v>4000000</v>
      </c>
      <c r="O229" t="s">
        <v>2913</v>
      </c>
      <c r="P229" t="s">
        <v>1620</v>
      </c>
      <c r="Q229" t="s">
        <v>2914</v>
      </c>
      <c r="R229" t="s">
        <v>2915</v>
      </c>
      <c r="S229" t="s">
        <v>49</v>
      </c>
      <c r="T229" t="s">
        <v>2916</v>
      </c>
      <c r="U229" t="s">
        <v>1806</v>
      </c>
      <c r="V229" t="s">
        <v>75</v>
      </c>
      <c r="W229" s="1">
        <v>45127</v>
      </c>
      <c r="X229" t="s">
        <v>945</v>
      </c>
      <c r="Y229" t="s">
        <v>358</v>
      </c>
      <c r="Z229" t="s">
        <v>2917</v>
      </c>
      <c r="AA229">
        <v>2</v>
      </c>
      <c r="AB229" t="s">
        <v>263</v>
      </c>
      <c r="AC229" t="s">
        <v>2918</v>
      </c>
      <c r="AD229" t="s">
        <v>2739</v>
      </c>
      <c r="AE229" t="s">
        <v>319</v>
      </c>
      <c r="AF229">
        <v>3600000</v>
      </c>
      <c r="AG229" s="6">
        <v>63000</v>
      </c>
      <c r="AK229" t="s">
        <v>4686</v>
      </c>
      <c r="AL229" s="6">
        <v>63000</v>
      </c>
      <c r="AM229" s="7">
        <f>Table6[[#This Row],[Premium]]-Table6[[#This Row],[Tms Prem]]</f>
        <v>0</v>
      </c>
    </row>
    <row r="230" spans="1:39" x14ac:dyDescent="0.25">
      <c r="A230">
        <v>229</v>
      </c>
      <c r="B230" t="s">
        <v>36</v>
      </c>
      <c r="C230" t="s">
        <v>2919</v>
      </c>
      <c r="D230" t="s">
        <v>38</v>
      </c>
      <c r="E230" t="s">
        <v>39</v>
      </c>
      <c r="F230" t="s">
        <v>2920</v>
      </c>
      <c r="G230" t="s">
        <v>62</v>
      </c>
      <c r="H230" t="s">
        <v>2921</v>
      </c>
      <c r="I230" t="s">
        <v>73</v>
      </c>
      <c r="J230" t="s">
        <v>2922</v>
      </c>
      <c r="K230" t="s">
        <v>73</v>
      </c>
      <c r="L230" t="s">
        <v>2923</v>
      </c>
      <c r="M230">
        <v>1238050</v>
      </c>
      <c r="N230">
        <v>2251000</v>
      </c>
      <c r="O230" t="s">
        <v>2924</v>
      </c>
      <c r="P230" t="s">
        <v>1620</v>
      </c>
      <c r="Q230" t="s">
        <v>2925</v>
      </c>
      <c r="R230" t="s">
        <v>2926</v>
      </c>
      <c r="S230" t="s">
        <v>72</v>
      </c>
      <c r="T230" t="s">
        <v>73</v>
      </c>
      <c r="U230" t="s">
        <v>105</v>
      </c>
      <c r="V230" t="s">
        <v>313</v>
      </c>
      <c r="W230" s="1">
        <v>45133</v>
      </c>
      <c r="X230" t="s">
        <v>756</v>
      </c>
      <c r="Y230" t="s">
        <v>2927</v>
      </c>
      <c r="Z230" t="s">
        <v>2928</v>
      </c>
      <c r="AA230">
        <v>5</v>
      </c>
      <c r="AB230" t="s">
        <v>263</v>
      </c>
      <c r="AC230" t="s">
        <v>2929</v>
      </c>
      <c r="AD230" t="s">
        <v>2739</v>
      </c>
      <c r="AE230" t="s">
        <v>266</v>
      </c>
      <c r="AF230">
        <v>2025900</v>
      </c>
      <c r="AG230" s="6">
        <v>30389</v>
      </c>
      <c r="AK230" t="s">
        <v>4687</v>
      </c>
      <c r="AL230" s="6">
        <v>30389</v>
      </c>
      <c r="AM230" s="7">
        <f>Table6[[#This Row],[Premium]]-Table6[[#This Row],[Tms Prem]]</f>
        <v>0</v>
      </c>
    </row>
    <row r="231" spans="1:39" x14ac:dyDescent="0.25">
      <c r="A231">
        <v>230</v>
      </c>
      <c r="B231" t="s">
        <v>36</v>
      </c>
      <c r="C231" t="s">
        <v>2930</v>
      </c>
      <c r="D231" t="s">
        <v>38</v>
      </c>
      <c r="E231" t="s">
        <v>39</v>
      </c>
      <c r="F231" t="s">
        <v>2931</v>
      </c>
      <c r="G231" t="s">
        <v>291</v>
      </c>
      <c r="H231" t="s">
        <v>2932</v>
      </c>
      <c r="I231" t="s">
        <v>2933</v>
      </c>
      <c r="J231" t="s">
        <v>2933</v>
      </c>
      <c r="K231" t="s">
        <v>2933</v>
      </c>
      <c r="L231" t="s">
        <v>2934</v>
      </c>
      <c r="M231">
        <v>2999750</v>
      </c>
      <c r="N231">
        <v>4615000</v>
      </c>
      <c r="O231" t="s">
        <v>2935</v>
      </c>
      <c r="P231" t="s">
        <v>1118</v>
      </c>
      <c r="Q231" t="s">
        <v>2936</v>
      </c>
      <c r="R231" t="s">
        <v>2937</v>
      </c>
      <c r="S231" t="s">
        <v>49</v>
      </c>
      <c r="T231" t="s">
        <v>2938</v>
      </c>
      <c r="U231" t="s">
        <v>2939</v>
      </c>
      <c r="V231" t="s">
        <v>153</v>
      </c>
      <c r="W231" s="1">
        <v>44772</v>
      </c>
      <c r="X231" t="s">
        <v>459</v>
      </c>
      <c r="Y231" t="s">
        <v>184</v>
      </c>
      <c r="Z231" t="s">
        <v>2940</v>
      </c>
      <c r="AA231">
        <v>3</v>
      </c>
      <c r="AB231" t="s">
        <v>110</v>
      </c>
      <c r="AC231" t="s">
        <v>2941</v>
      </c>
      <c r="AD231" t="s">
        <v>1346</v>
      </c>
      <c r="AE231" t="s">
        <v>266</v>
      </c>
      <c r="AF231">
        <v>3922750</v>
      </c>
      <c r="AG231" s="6">
        <v>58841</v>
      </c>
      <c r="AK231" t="s">
        <v>4688</v>
      </c>
      <c r="AL231" s="6">
        <v>58841</v>
      </c>
      <c r="AM231" s="7">
        <f>Table6[[#This Row],[Premium]]-Table6[[#This Row],[Tms Prem]]</f>
        <v>0</v>
      </c>
    </row>
    <row r="232" spans="1:39" x14ac:dyDescent="0.25">
      <c r="A232">
        <v>231</v>
      </c>
      <c r="B232" t="s">
        <v>36</v>
      </c>
      <c r="C232" t="s">
        <v>2942</v>
      </c>
      <c r="D232" t="s">
        <v>38</v>
      </c>
      <c r="E232" t="s">
        <v>39</v>
      </c>
      <c r="F232" t="s">
        <v>2943</v>
      </c>
      <c r="G232" t="s">
        <v>229</v>
      </c>
      <c r="H232" t="s">
        <v>2944</v>
      </c>
      <c r="I232" t="s">
        <v>2945</v>
      </c>
      <c r="J232" t="s">
        <v>2946</v>
      </c>
      <c r="K232" t="s">
        <v>2945</v>
      </c>
      <c r="L232" t="s">
        <v>2947</v>
      </c>
      <c r="M232">
        <v>1200000</v>
      </c>
      <c r="N232">
        <v>2000000</v>
      </c>
      <c r="O232" t="s">
        <v>2948</v>
      </c>
      <c r="P232" t="s">
        <v>1620</v>
      </c>
      <c r="Q232" t="s">
        <v>2949</v>
      </c>
      <c r="R232" t="s">
        <v>2950</v>
      </c>
      <c r="S232" t="s">
        <v>660</v>
      </c>
      <c r="T232" t="s">
        <v>73</v>
      </c>
      <c r="U232" t="s">
        <v>2951</v>
      </c>
      <c r="V232" t="s">
        <v>617</v>
      </c>
      <c r="W232" s="1">
        <v>44405</v>
      </c>
      <c r="X232" t="s">
        <v>183</v>
      </c>
      <c r="Y232" t="s">
        <v>760</v>
      </c>
      <c r="Z232" t="s">
        <v>2952</v>
      </c>
      <c r="AA232">
        <v>5</v>
      </c>
      <c r="AB232" t="s">
        <v>56</v>
      </c>
      <c r="AC232" t="s">
        <v>2953</v>
      </c>
      <c r="AD232" t="s">
        <v>744</v>
      </c>
      <c r="AE232" t="s">
        <v>319</v>
      </c>
      <c r="AF232">
        <v>1600000</v>
      </c>
      <c r="AG232" s="6">
        <v>28000</v>
      </c>
      <c r="AK232" t="s">
        <v>4689</v>
      </c>
      <c r="AL232" s="6">
        <v>28000</v>
      </c>
      <c r="AM232" s="7">
        <f>Table6[[#This Row],[Premium]]-Table6[[#This Row],[Tms Prem]]</f>
        <v>0</v>
      </c>
    </row>
    <row r="233" spans="1:39" x14ac:dyDescent="0.25">
      <c r="A233">
        <v>232</v>
      </c>
      <c r="B233" t="s">
        <v>36</v>
      </c>
      <c r="C233" t="s">
        <v>2954</v>
      </c>
      <c r="D233" t="s">
        <v>38</v>
      </c>
      <c r="E233" t="s">
        <v>39</v>
      </c>
      <c r="F233" t="s">
        <v>2955</v>
      </c>
      <c r="G233" t="s">
        <v>115</v>
      </c>
      <c r="H233" t="s">
        <v>2956</v>
      </c>
      <c r="I233" t="s">
        <v>73</v>
      </c>
      <c r="J233" t="s">
        <v>2957</v>
      </c>
      <c r="K233" t="s">
        <v>73</v>
      </c>
      <c r="L233" t="s">
        <v>2958</v>
      </c>
      <c r="M233">
        <v>2932500</v>
      </c>
      <c r="N233">
        <v>5750000</v>
      </c>
      <c r="O233" t="s">
        <v>2959</v>
      </c>
      <c r="P233" t="s">
        <v>1620</v>
      </c>
      <c r="Q233" t="s">
        <v>2960</v>
      </c>
      <c r="R233" t="s">
        <v>2961</v>
      </c>
      <c r="S233" t="s">
        <v>72</v>
      </c>
      <c r="T233" t="s">
        <v>73</v>
      </c>
      <c r="U233" t="s">
        <v>2962</v>
      </c>
      <c r="V233" t="s">
        <v>106</v>
      </c>
      <c r="W233" s="1">
        <v>44763</v>
      </c>
      <c r="X233" t="s">
        <v>124</v>
      </c>
      <c r="Y233" t="s">
        <v>358</v>
      </c>
      <c r="Z233" t="s">
        <v>2963</v>
      </c>
      <c r="AA233">
        <v>3</v>
      </c>
      <c r="AB233" t="s">
        <v>110</v>
      </c>
      <c r="AC233" t="s">
        <v>2964</v>
      </c>
      <c r="AD233" t="s">
        <v>124</v>
      </c>
      <c r="AE233" t="s">
        <v>319</v>
      </c>
      <c r="AF233">
        <v>4887500</v>
      </c>
      <c r="AG233" s="6">
        <v>85531</v>
      </c>
      <c r="AK233" t="s">
        <v>4690</v>
      </c>
      <c r="AL233" s="6">
        <v>85531</v>
      </c>
      <c r="AM233" s="7">
        <f>Table6[[#This Row],[Premium]]-Table6[[#This Row],[Tms Prem]]</f>
        <v>0</v>
      </c>
    </row>
    <row r="234" spans="1:39" x14ac:dyDescent="0.25">
      <c r="A234">
        <v>233</v>
      </c>
      <c r="B234" t="s">
        <v>36</v>
      </c>
      <c r="C234" t="s">
        <v>2965</v>
      </c>
      <c r="D234" t="s">
        <v>38</v>
      </c>
      <c r="E234" t="s">
        <v>39</v>
      </c>
      <c r="F234" t="s">
        <v>2966</v>
      </c>
      <c r="G234" t="s">
        <v>115</v>
      </c>
      <c r="H234" t="s">
        <v>2967</v>
      </c>
      <c r="I234" t="s">
        <v>2968</v>
      </c>
      <c r="J234" t="s">
        <v>2968</v>
      </c>
      <c r="K234" t="s">
        <v>176</v>
      </c>
      <c r="L234" t="s">
        <v>2969</v>
      </c>
      <c r="M234">
        <v>1451200</v>
      </c>
      <c r="N234">
        <v>1814000</v>
      </c>
      <c r="O234" t="s">
        <v>2970</v>
      </c>
      <c r="P234" t="s">
        <v>589</v>
      </c>
      <c r="Q234" t="s">
        <v>2971</v>
      </c>
      <c r="R234" t="s">
        <v>2972</v>
      </c>
      <c r="S234" t="s">
        <v>72</v>
      </c>
      <c r="T234" t="s">
        <v>73</v>
      </c>
      <c r="U234" t="s">
        <v>152</v>
      </c>
      <c r="V234" t="s">
        <v>106</v>
      </c>
      <c r="W234" s="1">
        <v>44531</v>
      </c>
      <c r="X234" t="s">
        <v>447</v>
      </c>
      <c r="Y234" t="s">
        <v>1216</v>
      </c>
      <c r="Z234" t="s">
        <v>2973</v>
      </c>
      <c r="AA234">
        <v>3</v>
      </c>
      <c r="AB234" t="s">
        <v>110</v>
      </c>
      <c r="AC234" t="s">
        <v>2974</v>
      </c>
      <c r="AD234" t="s">
        <v>1620</v>
      </c>
      <c r="AE234" t="s">
        <v>59</v>
      </c>
      <c r="AF234">
        <v>1541900</v>
      </c>
      <c r="AG234" s="6">
        <v>30838</v>
      </c>
      <c r="AK234" t="s">
        <v>4691</v>
      </c>
      <c r="AL234" s="6">
        <v>30838</v>
      </c>
      <c r="AM234" s="7">
        <f>Table6[[#This Row],[Premium]]-Table6[[#This Row],[Tms Prem]]</f>
        <v>0</v>
      </c>
    </row>
    <row r="235" spans="1:39" x14ac:dyDescent="0.25">
      <c r="A235">
        <v>234</v>
      </c>
      <c r="B235" t="s">
        <v>36</v>
      </c>
      <c r="C235" t="s">
        <v>2975</v>
      </c>
      <c r="D235" t="s">
        <v>38</v>
      </c>
      <c r="E235" t="s">
        <v>39</v>
      </c>
      <c r="F235" t="s">
        <v>2976</v>
      </c>
      <c r="G235" t="s">
        <v>62</v>
      </c>
      <c r="H235" t="s">
        <v>2977</v>
      </c>
      <c r="I235" t="s">
        <v>2978</v>
      </c>
      <c r="J235" t="s">
        <v>2978</v>
      </c>
      <c r="K235" t="s">
        <v>2978</v>
      </c>
      <c r="L235" t="s">
        <v>2979</v>
      </c>
      <c r="M235">
        <v>1312500</v>
      </c>
      <c r="N235">
        <v>2625000</v>
      </c>
      <c r="O235" t="s">
        <v>2980</v>
      </c>
      <c r="P235" t="s">
        <v>318</v>
      </c>
      <c r="Q235" t="s">
        <v>2981</v>
      </c>
      <c r="R235" t="s">
        <v>2982</v>
      </c>
      <c r="S235" t="s">
        <v>49</v>
      </c>
      <c r="T235" t="s">
        <v>2983</v>
      </c>
      <c r="U235" t="s">
        <v>1783</v>
      </c>
      <c r="V235" t="s">
        <v>730</v>
      </c>
      <c r="W235" s="1">
        <v>44772</v>
      </c>
      <c r="X235" t="s">
        <v>459</v>
      </c>
      <c r="Y235" t="s">
        <v>184</v>
      </c>
      <c r="Z235" t="s">
        <v>2984</v>
      </c>
      <c r="AA235">
        <v>3</v>
      </c>
      <c r="AB235" t="s">
        <v>110</v>
      </c>
      <c r="AC235" t="s">
        <v>2985</v>
      </c>
      <c r="AD235" t="s">
        <v>1360</v>
      </c>
      <c r="AE235" t="s">
        <v>266</v>
      </c>
      <c r="AF235">
        <v>2231250</v>
      </c>
      <c r="AG235" s="6">
        <v>33469</v>
      </c>
      <c r="AK235" t="s">
        <v>4692</v>
      </c>
      <c r="AL235" s="6">
        <v>33469</v>
      </c>
      <c r="AM235" s="7">
        <f>Table6[[#This Row],[Premium]]-Table6[[#This Row],[Tms Prem]]</f>
        <v>0</v>
      </c>
    </row>
    <row r="236" spans="1:39" x14ac:dyDescent="0.25">
      <c r="A236">
        <v>235</v>
      </c>
      <c r="B236" t="s">
        <v>36</v>
      </c>
      <c r="C236" t="s">
        <v>2986</v>
      </c>
      <c r="D236" t="s">
        <v>38</v>
      </c>
      <c r="E236" t="s">
        <v>39</v>
      </c>
      <c r="F236" t="s">
        <v>2987</v>
      </c>
      <c r="G236" t="s">
        <v>115</v>
      </c>
      <c r="H236" t="s">
        <v>2988</v>
      </c>
      <c r="I236" t="s">
        <v>73</v>
      </c>
      <c r="J236" t="s">
        <v>2989</v>
      </c>
      <c r="K236" t="s">
        <v>73</v>
      </c>
      <c r="L236" t="s">
        <v>2990</v>
      </c>
      <c r="M236">
        <v>2319800</v>
      </c>
      <c r="N236">
        <v>3314000</v>
      </c>
      <c r="O236" t="s">
        <v>2991</v>
      </c>
      <c r="P236" t="s">
        <v>1620</v>
      </c>
      <c r="Q236" t="s">
        <v>2992</v>
      </c>
      <c r="R236" t="s">
        <v>2993</v>
      </c>
      <c r="S236" t="s">
        <v>72</v>
      </c>
      <c r="T236" t="s">
        <v>73</v>
      </c>
      <c r="U236" t="s">
        <v>357</v>
      </c>
      <c r="V236" t="s">
        <v>106</v>
      </c>
      <c r="W236" s="1">
        <v>44742</v>
      </c>
      <c r="X236" t="s">
        <v>447</v>
      </c>
      <c r="Y236" t="s">
        <v>1216</v>
      </c>
      <c r="Z236" t="s">
        <v>2994</v>
      </c>
      <c r="AA236">
        <v>3</v>
      </c>
      <c r="AB236" t="s">
        <v>263</v>
      </c>
      <c r="AC236" t="s">
        <v>2995</v>
      </c>
      <c r="AD236" t="s">
        <v>462</v>
      </c>
      <c r="AE236" t="s">
        <v>59</v>
      </c>
      <c r="AF236">
        <v>2816900</v>
      </c>
      <c r="AG236" s="6">
        <v>56338</v>
      </c>
      <c r="AK236" t="s">
        <v>4693</v>
      </c>
      <c r="AL236" s="6">
        <v>56338</v>
      </c>
      <c r="AM236" s="7">
        <f>Table6[[#This Row],[Premium]]-Table6[[#This Row],[Tms Prem]]</f>
        <v>0</v>
      </c>
    </row>
    <row r="237" spans="1:39" x14ac:dyDescent="0.25">
      <c r="A237">
        <v>236</v>
      </c>
      <c r="B237" t="s">
        <v>36</v>
      </c>
      <c r="C237" t="s">
        <v>2996</v>
      </c>
      <c r="D237" t="s">
        <v>38</v>
      </c>
      <c r="E237" t="s">
        <v>39</v>
      </c>
      <c r="F237" t="s">
        <v>2997</v>
      </c>
      <c r="G237" t="s">
        <v>115</v>
      </c>
      <c r="H237" t="s">
        <v>2998</v>
      </c>
      <c r="I237" t="s">
        <v>73</v>
      </c>
      <c r="J237" t="s">
        <v>2999</v>
      </c>
      <c r="K237" t="s">
        <v>73</v>
      </c>
      <c r="L237" t="s">
        <v>3000</v>
      </c>
      <c r="M237">
        <v>2240000</v>
      </c>
      <c r="N237">
        <v>3500000</v>
      </c>
      <c r="O237" t="s">
        <v>3001</v>
      </c>
      <c r="P237" t="s">
        <v>474</v>
      </c>
      <c r="Q237" t="s">
        <v>3002</v>
      </c>
      <c r="R237" t="s">
        <v>3003</v>
      </c>
      <c r="S237" t="s">
        <v>49</v>
      </c>
      <c r="T237" t="s">
        <v>3004</v>
      </c>
      <c r="U237" t="s">
        <v>2801</v>
      </c>
      <c r="V237" t="s">
        <v>52</v>
      </c>
      <c r="W237" s="1">
        <v>44772</v>
      </c>
      <c r="X237" t="s">
        <v>459</v>
      </c>
      <c r="Y237" t="s">
        <v>184</v>
      </c>
      <c r="Z237" t="s">
        <v>3005</v>
      </c>
      <c r="AA237">
        <v>3</v>
      </c>
      <c r="AB237" t="s">
        <v>110</v>
      </c>
      <c r="AC237" t="s">
        <v>3006</v>
      </c>
      <c r="AD237" t="s">
        <v>1360</v>
      </c>
      <c r="AE237" t="s">
        <v>266</v>
      </c>
      <c r="AF237">
        <v>2975000</v>
      </c>
      <c r="AG237" s="6">
        <v>44625</v>
      </c>
      <c r="AK237" t="s">
        <v>4694</v>
      </c>
      <c r="AL237" s="6">
        <v>44625</v>
      </c>
      <c r="AM237" s="7">
        <f>Table6[[#This Row],[Premium]]-Table6[[#This Row],[Tms Prem]]</f>
        <v>0</v>
      </c>
    </row>
    <row r="238" spans="1:39" x14ac:dyDescent="0.25">
      <c r="A238">
        <v>237</v>
      </c>
      <c r="B238" t="s">
        <v>36</v>
      </c>
      <c r="C238" t="s">
        <v>3007</v>
      </c>
      <c r="D238" t="s">
        <v>38</v>
      </c>
      <c r="E238" t="s">
        <v>39</v>
      </c>
      <c r="F238" t="s">
        <v>3008</v>
      </c>
      <c r="G238" t="s">
        <v>62</v>
      </c>
      <c r="H238" t="s">
        <v>3009</v>
      </c>
      <c r="I238" t="s">
        <v>3010</v>
      </c>
      <c r="J238" t="s">
        <v>3010</v>
      </c>
      <c r="K238" t="s">
        <v>3011</v>
      </c>
      <c r="L238" t="s">
        <v>3012</v>
      </c>
      <c r="M238">
        <v>1260000</v>
      </c>
      <c r="N238">
        <v>1800000</v>
      </c>
      <c r="O238" t="s">
        <v>3013</v>
      </c>
      <c r="P238" t="s">
        <v>3014</v>
      </c>
      <c r="Q238" t="s">
        <v>3015</v>
      </c>
      <c r="R238" t="s">
        <v>3016</v>
      </c>
      <c r="S238" t="s">
        <v>49</v>
      </c>
      <c r="T238" t="s">
        <v>3017</v>
      </c>
      <c r="U238" t="s">
        <v>1298</v>
      </c>
      <c r="V238" t="s">
        <v>730</v>
      </c>
      <c r="W238" s="1">
        <v>44764</v>
      </c>
      <c r="X238" t="s">
        <v>447</v>
      </c>
      <c r="Y238" t="s">
        <v>1216</v>
      </c>
      <c r="Z238" t="s">
        <v>3018</v>
      </c>
      <c r="AA238">
        <v>3</v>
      </c>
      <c r="AB238" t="s">
        <v>263</v>
      </c>
      <c r="AC238" t="s">
        <v>3019</v>
      </c>
      <c r="AD238" t="s">
        <v>124</v>
      </c>
      <c r="AE238" t="s">
        <v>266</v>
      </c>
      <c r="AF238">
        <v>1530000</v>
      </c>
      <c r="AG238" s="6">
        <v>22950</v>
      </c>
      <c r="AK238" t="s">
        <v>4695</v>
      </c>
      <c r="AL238" s="6">
        <v>22950</v>
      </c>
      <c r="AM238" s="7">
        <f>Table6[[#This Row],[Premium]]-Table6[[#This Row],[Tms Prem]]</f>
        <v>0</v>
      </c>
    </row>
    <row r="239" spans="1:39" x14ac:dyDescent="0.25">
      <c r="A239">
        <v>238</v>
      </c>
      <c r="B239" t="s">
        <v>36</v>
      </c>
      <c r="C239" t="s">
        <v>3020</v>
      </c>
      <c r="D239" t="s">
        <v>38</v>
      </c>
      <c r="E239" t="s">
        <v>39</v>
      </c>
      <c r="F239" t="s">
        <v>3021</v>
      </c>
      <c r="G239" t="s">
        <v>62</v>
      </c>
      <c r="H239" t="s">
        <v>3022</v>
      </c>
      <c r="I239" t="s">
        <v>3023</v>
      </c>
      <c r="J239" t="s">
        <v>3023</v>
      </c>
      <c r="K239" t="s">
        <v>3023</v>
      </c>
      <c r="L239" t="s">
        <v>3024</v>
      </c>
      <c r="M239">
        <v>1785000</v>
      </c>
      <c r="N239">
        <v>2550000</v>
      </c>
      <c r="O239" t="s">
        <v>3025</v>
      </c>
      <c r="P239" t="s">
        <v>678</v>
      </c>
      <c r="Q239" t="s">
        <v>3026</v>
      </c>
      <c r="R239" t="s">
        <v>3027</v>
      </c>
      <c r="S239" t="s">
        <v>49</v>
      </c>
      <c r="T239" t="s">
        <v>3028</v>
      </c>
      <c r="U239" t="s">
        <v>3029</v>
      </c>
      <c r="V239" t="s">
        <v>153</v>
      </c>
      <c r="W239" s="1">
        <v>44775</v>
      </c>
      <c r="X239" t="s">
        <v>459</v>
      </c>
      <c r="Y239" t="s">
        <v>344</v>
      </c>
      <c r="Z239" t="s">
        <v>3030</v>
      </c>
      <c r="AA239">
        <v>5</v>
      </c>
      <c r="AB239" t="s">
        <v>110</v>
      </c>
      <c r="AC239" t="s">
        <v>3031</v>
      </c>
      <c r="AD239" t="s">
        <v>1360</v>
      </c>
      <c r="AE239" t="s">
        <v>266</v>
      </c>
      <c r="AF239">
        <v>2167500</v>
      </c>
      <c r="AG239" s="6">
        <v>32513</v>
      </c>
      <c r="AK239" t="s">
        <v>4696</v>
      </c>
      <c r="AL239" s="6">
        <v>32513</v>
      </c>
      <c r="AM239" s="7">
        <f>Table6[[#This Row],[Premium]]-Table6[[#This Row],[Tms Prem]]</f>
        <v>0</v>
      </c>
    </row>
    <row r="240" spans="1:39" x14ac:dyDescent="0.25">
      <c r="A240">
        <v>239</v>
      </c>
      <c r="B240" t="s">
        <v>36</v>
      </c>
      <c r="C240" t="s">
        <v>3032</v>
      </c>
      <c r="D240" t="s">
        <v>38</v>
      </c>
      <c r="E240" t="s">
        <v>39</v>
      </c>
      <c r="F240" t="s">
        <v>3033</v>
      </c>
      <c r="G240" t="s">
        <v>115</v>
      </c>
      <c r="H240" t="s">
        <v>3034</v>
      </c>
      <c r="I240" t="s">
        <v>3035</v>
      </c>
      <c r="J240" t="s">
        <v>3035</v>
      </c>
      <c r="K240" t="s">
        <v>3035</v>
      </c>
      <c r="L240" t="s">
        <v>3036</v>
      </c>
      <c r="M240">
        <v>875000</v>
      </c>
      <c r="N240">
        <v>1250000</v>
      </c>
      <c r="O240" t="s">
        <v>3037</v>
      </c>
      <c r="P240" t="s">
        <v>318</v>
      </c>
      <c r="Q240" t="s">
        <v>3038</v>
      </c>
      <c r="R240" t="s">
        <v>3039</v>
      </c>
      <c r="S240" t="s">
        <v>49</v>
      </c>
      <c r="T240" t="s">
        <v>3040</v>
      </c>
      <c r="U240" t="s">
        <v>1729</v>
      </c>
      <c r="V240" t="s">
        <v>3041</v>
      </c>
      <c r="W240" s="1">
        <v>44771</v>
      </c>
      <c r="X240" t="s">
        <v>459</v>
      </c>
      <c r="Y240" t="s">
        <v>344</v>
      </c>
      <c r="Z240" t="s">
        <v>3042</v>
      </c>
      <c r="AA240">
        <v>5</v>
      </c>
      <c r="AB240" t="s">
        <v>110</v>
      </c>
      <c r="AC240" t="s">
        <v>3043</v>
      </c>
      <c r="AD240" t="s">
        <v>1453</v>
      </c>
      <c r="AE240" t="s">
        <v>266</v>
      </c>
      <c r="AF240">
        <v>1062500</v>
      </c>
      <c r="AG240" s="6">
        <v>15938</v>
      </c>
      <c r="AK240" t="s">
        <v>4697</v>
      </c>
      <c r="AL240" s="6">
        <v>15938</v>
      </c>
      <c r="AM240" s="7">
        <f>Table6[[#This Row],[Premium]]-Table6[[#This Row],[Tms Prem]]</f>
        <v>0</v>
      </c>
    </row>
    <row r="241" spans="1:39" x14ac:dyDescent="0.25">
      <c r="A241">
        <v>240</v>
      </c>
      <c r="B241" t="s">
        <v>36</v>
      </c>
      <c r="C241" t="s">
        <v>3044</v>
      </c>
      <c r="D241" t="s">
        <v>38</v>
      </c>
      <c r="E241" t="s">
        <v>39</v>
      </c>
      <c r="F241" t="s">
        <v>1353</v>
      </c>
      <c r="G241" t="s">
        <v>62</v>
      </c>
      <c r="H241" t="s">
        <v>3045</v>
      </c>
      <c r="I241" t="s">
        <v>73</v>
      </c>
      <c r="J241" t="s">
        <v>3046</v>
      </c>
      <c r="K241" t="s">
        <v>73</v>
      </c>
      <c r="L241" t="s">
        <v>3047</v>
      </c>
      <c r="M241">
        <v>962000</v>
      </c>
      <c r="N241">
        <v>2600000</v>
      </c>
      <c r="O241" t="s">
        <v>3048</v>
      </c>
      <c r="P241" t="s">
        <v>2336</v>
      </c>
      <c r="Q241" t="s">
        <v>3049</v>
      </c>
      <c r="R241" t="s">
        <v>3050</v>
      </c>
      <c r="S241" t="s">
        <v>49</v>
      </c>
      <c r="T241" t="s">
        <v>3051</v>
      </c>
      <c r="U241" t="s">
        <v>3052</v>
      </c>
      <c r="V241" t="s">
        <v>106</v>
      </c>
      <c r="W241" s="1">
        <v>44771</v>
      </c>
      <c r="X241" t="s">
        <v>459</v>
      </c>
      <c r="Y241" t="s">
        <v>184</v>
      </c>
      <c r="Z241" t="s">
        <v>3053</v>
      </c>
      <c r="AA241">
        <v>3</v>
      </c>
      <c r="AB241" t="s">
        <v>110</v>
      </c>
      <c r="AC241" t="s">
        <v>3054</v>
      </c>
      <c r="AD241" t="s">
        <v>1360</v>
      </c>
      <c r="AE241" t="s">
        <v>266</v>
      </c>
      <c r="AF241">
        <v>2210000</v>
      </c>
      <c r="AG241" s="6">
        <v>33150</v>
      </c>
      <c r="AK241" t="s">
        <v>4698</v>
      </c>
      <c r="AL241" s="6">
        <v>33150</v>
      </c>
      <c r="AM241" s="7">
        <f>Table6[[#This Row],[Premium]]-Table6[[#This Row],[Tms Prem]]</f>
        <v>0</v>
      </c>
    </row>
    <row r="242" spans="1:39" x14ac:dyDescent="0.25">
      <c r="A242">
        <v>241</v>
      </c>
      <c r="B242" t="s">
        <v>36</v>
      </c>
      <c r="C242" t="s">
        <v>3055</v>
      </c>
      <c r="D242" t="s">
        <v>38</v>
      </c>
      <c r="E242" t="s">
        <v>39</v>
      </c>
      <c r="F242" t="s">
        <v>3056</v>
      </c>
      <c r="G242" t="s">
        <v>62</v>
      </c>
      <c r="H242" t="s">
        <v>3057</v>
      </c>
      <c r="I242" t="s">
        <v>3058</v>
      </c>
      <c r="J242" t="s">
        <v>3058</v>
      </c>
      <c r="K242" t="s">
        <v>3059</v>
      </c>
      <c r="L242" t="s">
        <v>3060</v>
      </c>
      <c r="M242">
        <v>1773000</v>
      </c>
      <c r="N242">
        <v>2955000</v>
      </c>
      <c r="O242" t="s">
        <v>3061</v>
      </c>
      <c r="P242" t="s">
        <v>318</v>
      </c>
      <c r="Q242" t="s">
        <v>3062</v>
      </c>
      <c r="R242" t="s">
        <v>3063</v>
      </c>
      <c r="S242" t="s">
        <v>72</v>
      </c>
      <c r="T242" t="s">
        <v>73</v>
      </c>
      <c r="U242" t="s">
        <v>357</v>
      </c>
      <c r="V242" t="s">
        <v>106</v>
      </c>
      <c r="W242" s="1">
        <v>44648</v>
      </c>
      <c r="X242" t="s">
        <v>459</v>
      </c>
      <c r="Y242" t="s">
        <v>184</v>
      </c>
      <c r="Z242" t="s">
        <v>3064</v>
      </c>
      <c r="AA242">
        <v>3</v>
      </c>
      <c r="AB242" t="s">
        <v>56</v>
      </c>
      <c r="AC242" t="s">
        <v>3065</v>
      </c>
      <c r="AD242" t="s">
        <v>1360</v>
      </c>
      <c r="AE242" t="s">
        <v>59</v>
      </c>
      <c r="AF242">
        <v>2511750</v>
      </c>
      <c r="AG242" s="6">
        <v>50235</v>
      </c>
      <c r="AK242" t="s">
        <v>4699</v>
      </c>
      <c r="AL242" s="6">
        <v>50235</v>
      </c>
      <c r="AM242" s="7">
        <f>Table6[[#This Row],[Premium]]-Table6[[#This Row],[Tms Prem]]</f>
        <v>0</v>
      </c>
    </row>
    <row r="243" spans="1:39" x14ac:dyDescent="0.25">
      <c r="A243">
        <v>242</v>
      </c>
      <c r="B243" t="s">
        <v>36</v>
      </c>
      <c r="C243" t="s">
        <v>3066</v>
      </c>
      <c r="D243" t="s">
        <v>38</v>
      </c>
      <c r="E243" t="s">
        <v>39</v>
      </c>
      <c r="F243" t="s">
        <v>3067</v>
      </c>
      <c r="G243" t="s">
        <v>62</v>
      </c>
      <c r="H243" t="s">
        <v>3068</v>
      </c>
      <c r="I243" t="s">
        <v>3069</v>
      </c>
      <c r="J243" t="s">
        <v>3069</v>
      </c>
      <c r="K243" t="s">
        <v>3069</v>
      </c>
      <c r="L243" t="s">
        <v>3070</v>
      </c>
      <c r="M243">
        <v>1365000</v>
      </c>
      <c r="N243">
        <v>2100000</v>
      </c>
      <c r="O243" t="s">
        <v>3071</v>
      </c>
      <c r="P243" t="s">
        <v>474</v>
      </c>
      <c r="Q243" t="s">
        <v>3072</v>
      </c>
      <c r="R243" t="s">
        <v>3073</v>
      </c>
      <c r="S243" t="s">
        <v>49</v>
      </c>
      <c r="T243" t="s">
        <v>3074</v>
      </c>
      <c r="U243" t="s">
        <v>1322</v>
      </c>
      <c r="V243" t="s">
        <v>330</v>
      </c>
      <c r="W243" s="1">
        <v>44775</v>
      </c>
      <c r="X243" t="s">
        <v>459</v>
      </c>
      <c r="Y243" t="s">
        <v>184</v>
      </c>
      <c r="Z243" t="s">
        <v>3075</v>
      </c>
      <c r="AA243">
        <v>3</v>
      </c>
      <c r="AB243" t="s">
        <v>110</v>
      </c>
      <c r="AC243" t="s">
        <v>3076</v>
      </c>
      <c r="AD243" t="s">
        <v>1360</v>
      </c>
      <c r="AE243" t="s">
        <v>266</v>
      </c>
      <c r="AF243">
        <v>1785000</v>
      </c>
      <c r="AG243" s="6">
        <v>26775</v>
      </c>
      <c r="AK243" t="s">
        <v>4700</v>
      </c>
      <c r="AL243" s="6">
        <v>26775</v>
      </c>
      <c r="AM243" s="7">
        <f>Table6[[#This Row],[Premium]]-Table6[[#This Row],[Tms Prem]]</f>
        <v>0</v>
      </c>
    </row>
    <row r="244" spans="1:39" x14ac:dyDescent="0.25">
      <c r="A244">
        <v>243</v>
      </c>
      <c r="B244" t="s">
        <v>36</v>
      </c>
      <c r="C244" t="s">
        <v>3077</v>
      </c>
      <c r="D244" t="s">
        <v>38</v>
      </c>
      <c r="E244" t="s">
        <v>39</v>
      </c>
      <c r="F244" t="s">
        <v>3078</v>
      </c>
      <c r="G244" t="s">
        <v>62</v>
      </c>
      <c r="H244" t="s">
        <v>3079</v>
      </c>
      <c r="I244" t="s">
        <v>73</v>
      </c>
      <c r="J244" t="s">
        <v>73</v>
      </c>
      <c r="K244" t="s">
        <v>3080</v>
      </c>
      <c r="L244" t="s">
        <v>3081</v>
      </c>
      <c r="M244">
        <v>3647670</v>
      </c>
      <c r="N244">
        <v>5611800</v>
      </c>
      <c r="O244" t="s">
        <v>3082</v>
      </c>
      <c r="P244" t="s">
        <v>1076</v>
      </c>
      <c r="Q244" t="s">
        <v>3083</v>
      </c>
      <c r="R244" t="s">
        <v>3084</v>
      </c>
      <c r="S244" t="s">
        <v>72</v>
      </c>
      <c r="T244" t="s">
        <v>73</v>
      </c>
      <c r="U244" t="s">
        <v>3085</v>
      </c>
      <c r="V244" t="s">
        <v>153</v>
      </c>
      <c r="W244" s="1">
        <v>44169</v>
      </c>
      <c r="X244" t="s">
        <v>183</v>
      </c>
      <c r="Y244" t="s">
        <v>184</v>
      </c>
      <c r="Z244" t="s">
        <v>3086</v>
      </c>
      <c r="AA244">
        <v>4</v>
      </c>
      <c r="AB244" t="s">
        <v>56</v>
      </c>
      <c r="AC244" t="s">
        <v>3087</v>
      </c>
      <c r="AD244" t="s">
        <v>744</v>
      </c>
      <c r="AE244" t="s">
        <v>266</v>
      </c>
      <c r="AF244">
        <v>4489440</v>
      </c>
      <c r="AG244" s="6">
        <v>67342</v>
      </c>
      <c r="AK244" t="s">
        <v>4701</v>
      </c>
      <c r="AL244" s="6">
        <v>67342</v>
      </c>
      <c r="AM244" s="7">
        <f>Table6[[#This Row],[Premium]]-Table6[[#This Row],[Tms Prem]]</f>
        <v>0</v>
      </c>
    </row>
    <row r="245" spans="1:39" x14ac:dyDescent="0.25">
      <c r="A245">
        <v>244</v>
      </c>
      <c r="B245" t="s">
        <v>36</v>
      </c>
      <c r="C245" t="s">
        <v>3088</v>
      </c>
      <c r="D245" t="s">
        <v>38</v>
      </c>
      <c r="E245" t="s">
        <v>39</v>
      </c>
      <c r="F245" t="s">
        <v>3089</v>
      </c>
      <c r="G245" t="s">
        <v>115</v>
      </c>
      <c r="H245" t="s">
        <v>3090</v>
      </c>
      <c r="I245" t="s">
        <v>73</v>
      </c>
      <c r="J245" t="s">
        <v>3091</v>
      </c>
      <c r="K245" t="s">
        <v>73</v>
      </c>
      <c r="L245" t="s">
        <v>3092</v>
      </c>
      <c r="M245">
        <v>1260000</v>
      </c>
      <c r="N245">
        <v>1800000</v>
      </c>
      <c r="O245" t="s">
        <v>3093</v>
      </c>
      <c r="P245" t="s">
        <v>1857</v>
      </c>
      <c r="Q245" t="s">
        <v>3094</v>
      </c>
      <c r="R245" t="s">
        <v>3095</v>
      </c>
      <c r="S245" t="s">
        <v>49</v>
      </c>
      <c r="T245" t="s">
        <v>3096</v>
      </c>
      <c r="U245" t="s">
        <v>276</v>
      </c>
      <c r="V245" t="s">
        <v>75</v>
      </c>
      <c r="W245" s="1">
        <v>44768</v>
      </c>
      <c r="X245" t="s">
        <v>447</v>
      </c>
      <c r="Y245" t="s">
        <v>448</v>
      </c>
      <c r="Z245" t="s">
        <v>3097</v>
      </c>
      <c r="AA245">
        <v>5</v>
      </c>
      <c r="AB245" t="s">
        <v>110</v>
      </c>
      <c r="AC245" t="s">
        <v>3098</v>
      </c>
      <c r="AD245" t="s">
        <v>1604</v>
      </c>
      <c r="AE245" t="s">
        <v>266</v>
      </c>
      <c r="AF245">
        <v>1530000</v>
      </c>
      <c r="AG245" s="6">
        <v>22950</v>
      </c>
      <c r="AK245" t="s">
        <v>4702</v>
      </c>
      <c r="AL245" s="6">
        <v>22950</v>
      </c>
      <c r="AM245" s="7">
        <f>Table6[[#This Row],[Premium]]-Table6[[#This Row],[Tms Prem]]</f>
        <v>0</v>
      </c>
    </row>
    <row r="246" spans="1:39" x14ac:dyDescent="0.25">
      <c r="A246">
        <v>245</v>
      </c>
      <c r="B246" t="s">
        <v>36</v>
      </c>
      <c r="C246" t="s">
        <v>3099</v>
      </c>
      <c r="D246" t="s">
        <v>38</v>
      </c>
      <c r="E246" t="s">
        <v>39</v>
      </c>
      <c r="F246" t="s">
        <v>3100</v>
      </c>
      <c r="G246" t="s">
        <v>115</v>
      </c>
      <c r="H246" t="s">
        <v>3101</v>
      </c>
      <c r="I246" t="s">
        <v>3102</v>
      </c>
      <c r="J246" t="s">
        <v>3102</v>
      </c>
      <c r="K246" t="s">
        <v>176</v>
      </c>
      <c r="L246" t="s">
        <v>3103</v>
      </c>
      <c r="M246">
        <v>1045000</v>
      </c>
      <c r="N246">
        <v>1900000</v>
      </c>
      <c r="O246" t="s">
        <v>3104</v>
      </c>
      <c r="P246" t="s">
        <v>1755</v>
      </c>
      <c r="Q246" t="s">
        <v>3105</v>
      </c>
      <c r="R246" t="s">
        <v>3106</v>
      </c>
      <c r="S246" t="s">
        <v>49</v>
      </c>
      <c r="T246" t="s">
        <v>3107</v>
      </c>
      <c r="U246" t="s">
        <v>224</v>
      </c>
      <c r="V246" t="s">
        <v>75</v>
      </c>
      <c r="W246" s="1">
        <v>44768</v>
      </c>
      <c r="X246" t="s">
        <v>447</v>
      </c>
      <c r="Y246" t="s">
        <v>448</v>
      </c>
      <c r="Z246" t="s">
        <v>3108</v>
      </c>
      <c r="AA246">
        <v>5</v>
      </c>
      <c r="AB246" t="s">
        <v>110</v>
      </c>
      <c r="AC246" t="s">
        <v>3109</v>
      </c>
      <c r="AD246" t="s">
        <v>1604</v>
      </c>
      <c r="AE246" t="s">
        <v>266</v>
      </c>
      <c r="AF246">
        <v>1615000</v>
      </c>
      <c r="AG246" s="6">
        <v>24225</v>
      </c>
      <c r="AK246" t="s">
        <v>4703</v>
      </c>
      <c r="AL246" s="6">
        <v>24225</v>
      </c>
      <c r="AM246" s="7">
        <f>Table6[[#This Row],[Premium]]-Table6[[#This Row],[Tms Prem]]</f>
        <v>0</v>
      </c>
    </row>
    <row r="247" spans="1:39" x14ac:dyDescent="0.25">
      <c r="A247">
        <v>246</v>
      </c>
      <c r="B247" t="s">
        <v>36</v>
      </c>
      <c r="C247" t="s">
        <v>3110</v>
      </c>
      <c r="D247" t="s">
        <v>38</v>
      </c>
      <c r="E247" t="s">
        <v>39</v>
      </c>
      <c r="F247" t="s">
        <v>3111</v>
      </c>
      <c r="G247" t="s">
        <v>62</v>
      </c>
      <c r="H247" t="s">
        <v>3112</v>
      </c>
      <c r="I247" t="s">
        <v>3113</v>
      </c>
      <c r="J247" t="s">
        <v>3113</v>
      </c>
      <c r="K247" t="s">
        <v>3114</v>
      </c>
      <c r="L247" t="s">
        <v>3115</v>
      </c>
      <c r="M247">
        <v>1023750</v>
      </c>
      <c r="N247">
        <v>1575000</v>
      </c>
      <c r="O247" t="s">
        <v>3116</v>
      </c>
      <c r="P247" t="s">
        <v>1857</v>
      </c>
      <c r="Q247" t="s">
        <v>3117</v>
      </c>
      <c r="R247" t="s">
        <v>3118</v>
      </c>
      <c r="S247" t="s">
        <v>49</v>
      </c>
      <c r="T247" t="s">
        <v>3119</v>
      </c>
      <c r="U247" t="s">
        <v>1298</v>
      </c>
      <c r="V247" t="s">
        <v>603</v>
      </c>
      <c r="W247" s="1">
        <v>44768</v>
      </c>
      <c r="X247" t="s">
        <v>447</v>
      </c>
      <c r="Y247" t="s">
        <v>448</v>
      </c>
      <c r="Z247" t="s">
        <v>3120</v>
      </c>
      <c r="AA247">
        <v>5</v>
      </c>
      <c r="AB247" t="s">
        <v>110</v>
      </c>
      <c r="AC247" t="s">
        <v>3121</v>
      </c>
      <c r="AD247" t="s">
        <v>1604</v>
      </c>
      <c r="AE247" t="s">
        <v>266</v>
      </c>
      <c r="AF247">
        <v>1338750</v>
      </c>
      <c r="AG247" s="6">
        <v>20081</v>
      </c>
      <c r="AK247" t="s">
        <v>4704</v>
      </c>
      <c r="AL247" s="6">
        <v>20081</v>
      </c>
      <c r="AM247" s="7">
        <f>Table6[[#This Row],[Premium]]-Table6[[#This Row],[Tms Prem]]</f>
        <v>0</v>
      </c>
    </row>
    <row r="248" spans="1:39" x14ac:dyDescent="0.25">
      <c r="A248">
        <v>247</v>
      </c>
      <c r="B248" t="s">
        <v>36</v>
      </c>
      <c r="C248" t="s">
        <v>3122</v>
      </c>
      <c r="D248" t="s">
        <v>38</v>
      </c>
      <c r="E248" t="s">
        <v>39</v>
      </c>
      <c r="F248" t="s">
        <v>3123</v>
      </c>
      <c r="G248" t="s">
        <v>62</v>
      </c>
      <c r="H248" t="s">
        <v>3124</v>
      </c>
      <c r="I248" t="s">
        <v>205</v>
      </c>
      <c r="J248" t="s">
        <v>3125</v>
      </c>
      <c r="K248" t="s">
        <v>3126</v>
      </c>
      <c r="L248" t="s">
        <v>3127</v>
      </c>
      <c r="M248">
        <v>728000</v>
      </c>
      <c r="N248">
        <v>2600000</v>
      </c>
      <c r="O248" t="s">
        <v>3128</v>
      </c>
      <c r="P248" t="s">
        <v>1417</v>
      </c>
      <c r="Q248" t="s">
        <v>3129</v>
      </c>
      <c r="R248" t="s">
        <v>3130</v>
      </c>
      <c r="S248" t="s">
        <v>49</v>
      </c>
      <c r="T248" t="s">
        <v>3131</v>
      </c>
      <c r="U248" t="s">
        <v>370</v>
      </c>
      <c r="V248" t="s">
        <v>153</v>
      </c>
      <c r="W248" s="1">
        <v>44768</v>
      </c>
      <c r="X248" t="s">
        <v>447</v>
      </c>
      <c r="Y248" t="s">
        <v>448</v>
      </c>
      <c r="Z248" t="s">
        <v>3132</v>
      </c>
      <c r="AA248">
        <v>5</v>
      </c>
      <c r="AB248" t="s">
        <v>110</v>
      </c>
      <c r="AC248" t="s">
        <v>3133</v>
      </c>
      <c r="AD248" t="s">
        <v>1417</v>
      </c>
      <c r="AE248" t="s">
        <v>266</v>
      </c>
      <c r="AF248">
        <v>2210000</v>
      </c>
      <c r="AG248" s="6">
        <v>33150</v>
      </c>
      <c r="AK248" t="s">
        <v>4705</v>
      </c>
      <c r="AL248" s="6">
        <v>33150</v>
      </c>
      <c r="AM248" s="7">
        <f>Table6[[#This Row],[Premium]]-Table6[[#This Row],[Tms Prem]]</f>
        <v>0</v>
      </c>
    </row>
    <row r="249" spans="1:39" x14ac:dyDescent="0.25">
      <c r="A249">
        <v>248</v>
      </c>
      <c r="B249" t="s">
        <v>36</v>
      </c>
      <c r="C249" t="s">
        <v>3134</v>
      </c>
      <c r="D249" t="s">
        <v>38</v>
      </c>
      <c r="E249" t="s">
        <v>39</v>
      </c>
      <c r="F249" t="s">
        <v>3135</v>
      </c>
      <c r="G249" t="s">
        <v>3136</v>
      </c>
      <c r="H249" t="s">
        <v>3137</v>
      </c>
      <c r="I249" t="s">
        <v>3138</v>
      </c>
      <c r="J249" t="s">
        <v>73</v>
      </c>
      <c r="K249" t="s">
        <v>176</v>
      </c>
      <c r="L249" t="s">
        <v>3139</v>
      </c>
      <c r="M249">
        <v>891800</v>
      </c>
      <c r="N249">
        <v>1274000</v>
      </c>
      <c r="O249" t="s">
        <v>3140</v>
      </c>
      <c r="P249" t="s">
        <v>318</v>
      </c>
      <c r="Q249" t="s">
        <v>3141</v>
      </c>
      <c r="R249" t="s">
        <v>3142</v>
      </c>
      <c r="S249" t="s">
        <v>72</v>
      </c>
      <c r="T249" t="s">
        <v>73</v>
      </c>
      <c r="U249" t="s">
        <v>299</v>
      </c>
      <c r="V249" t="s">
        <v>106</v>
      </c>
      <c r="W249" s="1">
        <v>44560</v>
      </c>
      <c r="X249" t="s">
        <v>459</v>
      </c>
      <c r="Y249" t="s">
        <v>1794</v>
      </c>
      <c r="Z249" t="s">
        <v>3143</v>
      </c>
      <c r="AA249">
        <v>6</v>
      </c>
      <c r="AB249" t="s">
        <v>110</v>
      </c>
      <c r="AC249" t="s">
        <v>3144</v>
      </c>
      <c r="AD249" t="s">
        <v>1453</v>
      </c>
      <c r="AE249" t="s">
        <v>59</v>
      </c>
      <c r="AF249">
        <v>1082900</v>
      </c>
      <c r="AG249" s="6">
        <v>21658</v>
      </c>
      <c r="AK249" t="s">
        <v>4706</v>
      </c>
      <c r="AL249" s="6">
        <v>21658</v>
      </c>
      <c r="AM249" s="7">
        <f>Table6[[#This Row],[Premium]]-Table6[[#This Row],[Tms Prem]]</f>
        <v>0</v>
      </c>
    </row>
    <row r="250" spans="1:39" x14ac:dyDescent="0.25">
      <c r="A250">
        <v>249</v>
      </c>
      <c r="B250" t="s">
        <v>36</v>
      </c>
      <c r="C250" t="s">
        <v>3145</v>
      </c>
      <c r="D250" t="s">
        <v>38</v>
      </c>
      <c r="E250" t="s">
        <v>39</v>
      </c>
      <c r="F250" t="s">
        <v>3146</v>
      </c>
      <c r="G250" t="s">
        <v>115</v>
      </c>
      <c r="H250" t="s">
        <v>3147</v>
      </c>
      <c r="I250" t="s">
        <v>73</v>
      </c>
      <c r="J250" t="s">
        <v>3148</v>
      </c>
      <c r="K250" t="s">
        <v>73</v>
      </c>
      <c r="L250" t="s">
        <v>3149</v>
      </c>
      <c r="M250">
        <v>2986200</v>
      </c>
      <c r="N250">
        <v>4740000</v>
      </c>
      <c r="O250" t="s">
        <v>3150</v>
      </c>
      <c r="P250" t="s">
        <v>1118</v>
      </c>
      <c r="Q250" t="s">
        <v>3151</v>
      </c>
      <c r="R250" t="s">
        <v>3152</v>
      </c>
      <c r="S250" t="s">
        <v>49</v>
      </c>
      <c r="T250" t="s">
        <v>3153</v>
      </c>
      <c r="U250" t="s">
        <v>3154</v>
      </c>
      <c r="V250" t="s">
        <v>730</v>
      </c>
      <c r="W250" s="1">
        <v>45138</v>
      </c>
      <c r="X250" t="s">
        <v>2333</v>
      </c>
      <c r="Y250" t="s">
        <v>760</v>
      </c>
      <c r="Z250" t="s">
        <v>3155</v>
      </c>
      <c r="AA250">
        <v>3</v>
      </c>
      <c r="AB250" t="s">
        <v>263</v>
      </c>
      <c r="AC250" t="s">
        <v>3156</v>
      </c>
      <c r="AD250" t="s">
        <v>756</v>
      </c>
      <c r="AE250" t="s">
        <v>319</v>
      </c>
      <c r="AF250">
        <v>4266000</v>
      </c>
      <c r="AG250" s="6">
        <v>74655</v>
      </c>
      <c r="AK250" t="s">
        <v>4707</v>
      </c>
      <c r="AL250" s="6">
        <v>74655</v>
      </c>
      <c r="AM250" s="7">
        <f>Table6[[#This Row],[Premium]]-Table6[[#This Row],[Tms Prem]]</f>
        <v>0</v>
      </c>
    </row>
    <row r="251" spans="1:39" x14ac:dyDescent="0.25">
      <c r="A251">
        <v>250</v>
      </c>
      <c r="B251" t="s">
        <v>36</v>
      </c>
      <c r="C251" t="s">
        <v>3157</v>
      </c>
      <c r="D251" t="s">
        <v>38</v>
      </c>
      <c r="E251" t="s">
        <v>39</v>
      </c>
      <c r="F251" t="s">
        <v>3158</v>
      </c>
      <c r="G251" t="s">
        <v>115</v>
      </c>
      <c r="H251" t="s">
        <v>3159</v>
      </c>
      <c r="I251" t="s">
        <v>3160</v>
      </c>
      <c r="J251" t="s">
        <v>3160</v>
      </c>
      <c r="K251" t="s">
        <v>176</v>
      </c>
      <c r="L251" t="s">
        <v>3161</v>
      </c>
      <c r="M251">
        <v>2990000</v>
      </c>
      <c r="N251">
        <v>4600000</v>
      </c>
      <c r="O251" t="s">
        <v>3162</v>
      </c>
      <c r="P251" t="s">
        <v>1944</v>
      </c>
      <c r="Q251" t="s">
        <v>3163</v>
      </c>
      <c r="R251" t="s">
        <v>3164</v>
      </c>
      <c r="S251" t="s">
        <v>49</v>
      </c>
      <c r="T251" t="s">
        <v>3165</v>
      </c>
      <c r="U251" t="s">
        <v>2939</v>
      </c>
      <c r="V251" t="s">
        <v>730</v>
      </c>
      <c r="W251" s="1">
        <v>45132</v>
      </c>
      <c r="X251" t="s">
        <v>756</v>
      </c>
      <c r="Y251" t="s">
        <v>1443</v>
      </c>
      <c r="Z251" t="s">
        <v>3166</v>
      </c>
      <c r="AA251">
        <v>3</v>
      </c>
      <c r="AB251" t="s">
        <v>263</v>
      </c>
      <c r="AC251" t="s">
        <v>3167</v>
      </c>
      <c r="AD251" t="s">
        <v>945</v>
      </c>
      <c r="AE251" t="s">
        <v>319</v>
      </c>
      <c r="AF251">
        <v>4140000</v>
      </c>
      <c r="AG251" s="6">
        <v>72450</v>
      </c>
      <c r="AK251" t="s">
        <v>4708</v>
      </c>
      <c r="AL251" s="6">
        <v>72450</v>
      </c>
      <c r="AM251" s="7">
        <f>Table6[[#This Row],[Premium]]-Table6[[#This Row],[Tms Prem]]</f>
        <v>0</v>
      </c>
    </row>
    <row r="252" spans="1:39" x14ac:dyDescent="0.25">
      <c r="A252">
        <v>251</v>
      </c>
      <c r="B252" t="s">
        <v>36</v>
      </c>
      <c r="C252" t="s">
        <v>3168</v>
      </c>
      <c r="D252" t="s">
        <v>38</v>
      </c>
      <c r="E252" t="s">
        <v>39</v>
      </c>
      <c r="F252" t="s">
        <v>3169</v>
      </c>
      <c r="G252" t="s">
        <v>115</v>
      </c>
      <c r="H252" t="s">
        <v>3170</v>
      </c>
      <c r="I252" t="s">
        <v>73</v>
      </c>
      <c r="J252" t="s">
        <v>3171</v>
      </c>
      <c r="K252" t="s">
        <v>73</v>
      </c>
      <c r="L252" t="s">
        <v>3172</v>
      </c>
      <c r="M252">
        <v>1668000</v>
      </c>
      <c r="N252">
        <v>2780000</v>
      </c>
      <c r="O252" t="s">
        <v>3173</v>
      </c>
      <c r="P252" t="s">
        <v>1417</v>
      </c>
      <c r="Q252" t="s">
        <v>3174</v>
      </c>
      <c r="R252" t="s">
        <v>3175</v>
      </c>
      <c r="S252" t="s">
        <v>49</v>
      </c>
      <c r="T252" t="s">
        <v>3176</v>
      </c>
      <c r="U252" t="s">
        <v>495</v>
      </c>
      <c r="V252" t="s">
        <v>75</v>
      </c>
      <c r="W252" s="1">
        <v>45131</v>
      </c>
      <c r="X252" t="s">
        <v>756</v>
      </c>
      <c r="Y252" t="s">
        <v>2927</v>
      </c>
      <c r="Z252" t="s">
        <v>3177</v>
      </c>
      <c r="AA252">
        <v>5</v>
      </c>
      <c r="AB252" t="s">
        <v>263</v>
      </c>
      <c r="AC252" t="s">
        <v>3178</v>
      </c>
      <c r="AD252" t="s">
        <v>966</v>
      </c>
      <c r="AE252" t="s">
        <v>266</v>
      </c>
      <c r="AF252">
        <v>2502000</v>
      </c>
      <c r="AG252" s="6">
        <v>37530</v>
      </c>
      <c r="AK252" t="s">
        <v>4709</v>
      </c>
      <c r="AL252" s="6">
        <v>37530</v>
      </c>
      <c r="AM252" s="7">
        <f>Table6[[#This Row],[Premium]]-Table6[[#This Row],[Tms Prem]]</f>
        <v>0</v>
      </c>
    </row>
    <row r="253" spans="1:39" x14ac:dyDescent="0.25">
      <c r="A253">
        <v>252</v>
      </c>
      <c r="B253" t="s">
        <v>36</v>
      </c>
      <c r="C253" t="s">
        <v>3179</v>
      </c>
      <c r="D253" t="s">
        <v>38</v>
      </c>
      <c r="E253" t="s">
        <v>39</v>
      </c>
      <c r="F253" t="s">
        <v>3180</v>
      </c>
      <c r="G253" t="s">
        <v>131</v>
      </c>
      <c r="H253" t="s">
        <v>3181</v>
      </c>
      <c r="I253" t="s">
        <v>3182</v>
      </c>
      <c r="J253" t="s">
        <v>73</v>
      </c>
      <c r="K253" t="s">
        <v>3183</v>
      </c>
      <c r="L253" t="s">
        <v>3184</v>
      </c>
      <c r="M253">
        <v>2994300</v>
      </c>
      <c r="N253">
        <v>5545000</v>
      </c>
      <c r="O253" t="s">
        <v>3185</v>
      </c>
      <c r="P253" t="s">
        <v>318</v>
      </c>
      <c r="Q253" t="s">
        <v>3186</v>
      </c>
      <c r="R253" t="s">
        <v>3187</v>
      </c>
      <c r="S253" t="s">
        <v>72</v>
      </c>
      <c r="T253" t="s">
        <v>73</v>
      </c>
      <c r="U253" t="s">
        <v>944</v>
      </c>
      <c r="V253" t="s">
        <v>106</v>
      </c>
      <c r="W253" s="1">
        <v>44648</v>
      </c>
      <c r="X253" t="s">
        <v>459</v>
      </c>
      <c r="Y253" t="s">
        <v>184</v>
      </c>
      <c r="Z253" t="s">
        <v>3188</v>
      </c>
      <c r="AA253">
        <v>3</v>
      </c>
      <c r="AB253" t="s">
        <v>73</v>
      </c>
      <c r="AC253" t="s">
        <v>73</v>
      </c>
      <c r="AD253" t="s">
        <v>73</v>
      </c>
      <c r="AE253" t="s">
        <v>59</v>
      </c>
      <c r="AF253">
        <v>4713250</v>
      </c>
      <c r="AG253" s="6">
        <v>94265</v>
      </c>
      <c r="AK253" t="s">
        <v>4710</v>
      </c>
      <c r="AL253" s="6">
        <v>94265</v>
      </c>
      <c r="AM253" s="7">
        <f>Table6[[#This Row],[Premium]]-Table6[[#This Row],[Tms Prem]]</f>
        <v>0</v>
      </c>
    </row>
    <row r="254" spans="1:39" x14ac:dyDescent="0.25">
      <c r="A254">
        <v>253</v>
      </c>
      <c r="B254" t="s">
        <v>36</v>
      </c>
      <c r="C254" t="s">
        <v>3189</v>
      </c>
      <c r="D254" t="s">
        <v>38</v>
      </c>
      <c r="E254" t="s">
        <v>39</v>
      </c>
      <c r="F254" t="s">
        <v>3190</v>
      </c>
      <c r="G254" t="s">
        <v>622</v>
      </c>
      <c r="H254" t="s">
        <v>3191</v>
      </c>
      <c r="I254" t="s">
        <v>3192</v>
      </c>
      <c r="J254" t="s">
        <v>3192</v>
      </c>
      <c r="K254" t="s">
        <v>3192</v>
      </c>
      <c r="L254" t="s">
        <v>3193</v>
      </c>
      <c r="M254">
        <v>2892300</v>
      </c>
      <c r="N254">
        <v>4665000</v>
      </c>
      <c r="O254" t="s">
        <v>3194</v>
      </c>
      <c r="P254" t="s">
        <v>1332</v>
      </c>
      <c r="Q254" t="s">
        <v>3195</v>
      </c>
      <c r="R254" t="s">
        <v>3196</v>
      </c>
      <c r="S254" t="s">
        <v>49</v>
      </c>
      <c r="T254" t="s">
        <v>3197</v>
      </c>
      <c r="U254" t="s">
        <v>3198</v>
      </c>
      <c r="V254" t="s">
        <v>106</v>
      </c>
      <c r="W254" s="1">
        <v>44772</v>
      </c>
      <c r="X254" t="s">
        <v>459</v>
      </c>
      <c r="Y254" t="s">
        <v>184</v>
      </c>
      <c r="Z254" t="s">
        <v>3199</v>
      </c>
      <c r="AA254">
        <v>3</v>
      </c>
      <c r="AB254" t="s">
        <v>110</v>
      </c>
      <c r="AC254" t="s">
        <v>3200</v>
      </c>
      <c r="AD254" t="s">
        <v>1453</v>
      </c>
      <c r="AE254" t="s">
        <v>266</v>
      </c>
      <c r="AF254">
        <v>3965250</v>
      </c>
      <c r="AG254" s="6">
        <v>59479</v>
      </c>
      <c r="AK254" t="s">
        <v>4711</v>
      </c>
      <c r="AL254" s="6">
        <v>59479</v>
      </c>
      <c r="AM254" s="7">
        <f>Table6[[#This Row],[Premium]]-Table6[[#This Row],[Tms Prem]]</f>
        <v>0</v>
      </c>
    </row>
    <row r="255" spans="1:39" x14ac:dyDescent="0.25">
      <c r="A255">
        <v>254</v>
      </c>
      <c r="B255" t="s">
        <v>36</v>
      </c>
      <c r="C255" t="s">
        <v>3201</v>
      </c>
      <c r="D255" t="s">
        <v>38</v>
      </c>
      <c r="E255" t="s">
        <v>39</v>
      </c>
      <c r="F255" t="s">
        <v>3202</v>
      </c>
      <c r="G255" t="s">
        <v>189</v>
      </c>
      <c r="H255" t="s">
        <v>3203</v>
      </c>
      <c r="I255" t="s">
        <v>3204</v>
      </c>
      <c r="J255" t="s">
        <v>3205</v>
      </c>
      <c r="K255" t="s">
        <v>3206</v>
      </c>
      <c r="L255" t="s">
        <v>3207</v>
      </c>
      <c r="M255">
        <v>1237000</v>
      </c>
      <c r="N255">
        <v>2474000</v>
      </c>
      <c r="O255" t="s">
        <v>3208</v>
      </c>
      <c r="P255" t="s">
        <v>3209</v>
      </c>
      <c r="Q255" t="s">
        <v>3210</v>
      </c>
      <c r="R255" t="s">
        <v>3211</v>
      </c>
      <c r="S255" t="s">
        <v>72</v>
      </c>
      <c r="T255" t="s">
        <v>73</v>
      </c>
      <c r="U255" t="s">
        <v>140</v>
      </c>
      <c r="V255" t="s">
        <v>106</v>
      </c>
      <c r="W255" s="1">
        <v>44680</v>
      </c>
      <c r="X255" t="s">
        <v>459</v>
      </c>
      <c r="Y255" t="s">
        <v>1794</v>
      </c>
      <c r="Z255" t="s">
        <v>3212</v>
      </c>
      <c r="AA255">
        <v>6</v>
      </c>
      <c r="AB255" t="s">
        <v>110</v>
      </c>
      <c r="AC255" t="s">
        <v>3213</v>
      </c>
      <c r="AD255" t="s">
        <v>447</v>
      </c>
      <c r="AE255" t="s">
        <v>266</v>
      </c>
      <c r="AF255">
        <v>2102900</v>
      </c>
      <c r="AG255" s="6">
        <v>31544</v>
      </c>
      <c r="AK255" t="s">
        <v>4712</v>
      </c>
      <c r="AL255" s="6">
        <v>31544</v>
      </c>
      <c r="AM255" s="7">
        <f>Table6[[#This Row],[Premium]]-Table6[[#This Row],[Tms Prem]]</f>
        <v>0</v>
      </c>
    </row>
    <row r="256" spans="1:39" x14ac:dyDescent="0.25">
      <c r="A256">
        <v>255</v>
      </c>
      <c r="B256" t="s">
        <v>36</v>
      </c>
      <c r="C256" t="s">
        <v>3214</v>
      </c>
      <c r="D256" t="s">
        <v>38</v>
      </c>
      <c r="E256" t="s">
        <v>39</v>
      </c>
      <c r="F256" t="s">
        <v>3215</v>
      </c>
      <c r="G256" t="s">
        <v>62</v>
      </c>
      <c r="H256" t="s">
        <v>3216</v>
      </c>
      <c r="I256" t="s">
        <v>73</v>
      </c>
      <c r="J256" t="s">
        <v>3217</v>
      </c>
      <c r="K256" t="s">
        <v>73</v>
      </c>
      <c r="L256" t="s">
        <v>3218</v>
      </c>
      <c r="M256">
        <v>1176050</v>
      </c>
      <c r="N256">
        <v>2735000</v>
      </c>
      <c r="O256" t="s">
        <v>3219</v>
      </c>
      <c r="P256" t="s">
        <v>3220</v>
      </c>
      <c r="Q256" t="s">
        <v>3221</v>
      </c>
      <c r="R256" t="s">
        <v>3222</v>
      </c>
      <c r="S256" t="s">
        <v>72</v>
      </c>
      <c r="T256" t="s">
        <v>73</v>
      </c>
      <c r="U256" t="s">
        <v>3223</v>
      </c>
      <c r="V256" t="s">
        <v>106</v>
      </c>
      <c r="W256" s="1">
        <v>44592</v>
      </c>
      <c r="X256" t="s">
        <v>459</v>
      </c>
      <c r="Y256" t="s">
        <v>344</v>
      </c>
      <c r="Z256" t="s">
        <v>3224</v>
      </c>
      <c r="AA256">
        <v>5</v>
      </c>
      <c r="AB256" t="s">
        <v>263</v>
      </c>
      <c r="AC256" t="s">
        <v>3225</v>
      </c>
      <c r="AD256" t="s">
        <v>447</v>
      </c>
      <c r="AE256" t="s">
        <v>59</v>
      </c>
      <c r="AF256">
        <v>2324750</v>
      </c>
      <c r="AG256" s="6">
        <v>46495</v>
      </c>
      <c r="AK256" t="s">
        <v>4713</v>
      </c>
      <c r="AL256" s="6">
        <v>46495</v>
      </c>
      <c r="AM256" s="7">
        <f>Table6[[#This Row],[Premium]]-Table6[[#This Row],[Tms Prem]]</f>
        <v>0</v>
      </c>
    </row>
    <row r="257" spans="1:39" x14ac:dyDescent="0.25">
      <c r="A257">
        <v>256</v>
      </c>
      <c r="B257" t="s">
        <v>36</v>
      </c>
      <c r="C257" t="s">
        <v>3226</v>
      </c>
      <c r="D257" t="s">
        <v>38</v>
      </c>
      <c r="E257" t="s">
        <v>39</v>
      </c>
      <c r="F257" t="s">
        <v>3227</v>
      </c>
      <c r="G257" t="s">
        <v>62</v>
      </c>
      <c r="H257" t="s">
        <v>3228</v>
      </c>
      <c r="I257" t="s">
        <v>73</v>
      </c>
      <c r="J257" t="s">
        <v>3229</v>
      </c>
      <c r="K257" t="s">
        <v>73</v>
      </c>
      <c r="L257" t="s">
        <v>3230</v>
      </c>
      <c r="M257">
        <v>5525000</v>
      </c>
      <c r="N257">
        <v>8500000</v>
      </c>
      <c r="O257" t="s">
        <v>3231</v>
      </c>
      <c r="P257" t="s">
        <v>1118</v>
      </c>
      <c r="Q257" t="s">
        <v>3232</v>
      </c>
      <c r="R257" t="s">
        <v>3233</v>
      </c>
      <c r="S257" t="s">
        <v>49</v>
      </c>
      <c r="T257" t="s">
        <v>3234</v>
      </c>
      <c r="U257" t="s">
        <v>3235</v>
      </c>
      <c r="V257" t="s">
        <v>730</v>
      </c>
      <c r="W257" s="1">
        <v>44405</v>
      </c>
      <c r="X257" t="s">
        <v>3236</v>
      </c>
      <c r="Y257" t="s">
        <v>1443</v>
      </c>
      <c r="Z257" t="s">
        <v>3237</v>
      </c>
      <c r="AA257">
        <v>5</v>
      </c>
      <c r="AB257" t="s">
        <v>73</v>
      </c>
      <c r="AC257" t="s">
        <v>73</v>
      </c>
      <c r="AD257" t="s">
        <v>73</v>
      </c>
      <c r="AE257" t="s">
        <v>319</v>
      </c>
      <c r="AF257">
        <v>6800000</v>
      </c>
      <c r="AG257" s="6">
        <v>119000</v>
      </c>
      <c r="AK257" t="s">
        <v>4714</v>
      </c>
      <c r="AL257" s="6">
        <v>119000</v>
      </c>
      <c r="AM257" s="7">
        <f>Table6[[#This Row],[Premium]]-Table6[[#This Row],[Tms Prem]]</f>
        <v>0</v>
      </c>
    </row>
    <row r="258" spans="1:39" x14ac:dyDescent="0.25">
      <c r="A258">
        <v>257</v>
      </c>
      <c r="B258" t="s">
        <v>36</v>
      </c>
      <c r="C258" t="s">
        <v>3238</v>
      </c>
      <c r="D258" t="s">
        <v>38</v>
      </c>
      <c r="E258" t="s">
        <v>39</v>
      </c>
      <c r="F258" t="s">
        <v>3239</v>
      </c>
      <c r="G258" t="s">
        <v>62</v>
      </c>
      <c r="H258" t="s">
        <v>3240</v>
      </c>
      <c r="I258" t="s">
        <v>73</v>
      </c>
      <c r="J258" t="s">
        <v>3241</v>
      </c>
      <c r="K258" t="s">
        <v>73</v>
      </c>
      <c r="L258" t="s">
        <v>3242</v>
      </c>
      <c r="M258">
        <v>3541850</v>
      </c>
      <c r="N258">
        <v>5449000</v>
      </c>
      <c r="O258" t="s">
        <v>3243</v>
      </c>
      <c r="P258" t="s">
        <v>1118</v>
      </c>
      <c r="Q258" t="s">
        <v>3244</v>
      </c>
      <c r="R258" t="s">
        <v>3245</v>
      </c>
      <c r="S258" t="s">
        <v>72</v>
      </c>
      <c r="T258" t="s">
        <v>73</v>
      </c>
      <c r="U258" t="s">
        <v>2684</v>
      </c>
      <c r="V258" t="s">
        <v>75</v>
      </c>
      <c r="W258" s="1">
        <v>44254</v>
      </c>
      <c r="X258" t="s">
        <v>645</v>
      </c>
      <c r="Y258" t="s">
        <v>646</v>
      </c>
      <c r="Z258" t="s">
        <v>3246</v>
      </c>
      <c r="AA258">
        <v>5</v>
      </c>
      <c r="AB258" t="s">
        <v>56</v>
      </c>
      <c r="AC258" t="s">
        <v>3247</v>
      </c>
      <c r="AD258" t="s">
        <v>3248</v>
      </c>
      <c r="AE258" t="s">
        <v>319</v>
      </c>
      <c r="AF258">
        <v>4359200</v>
      </c>
      <c r="AG258" s="6">
        <v>76286</v>
      </c>
      <c r="AK258" t="s">
        <v>4715</v>
      </c>
      <c r="AL258" s="6">
        <v>76286</v>
      </c>
      <c r="AM258" s="7">
        <f>Table6[[#This Row],[Premium]]-Table6[[#This Row],[Tms Prem]]</f>
        <v>0</v>
      </c>
    </row>
    <row r="259" spans="1:39" x14ac:dyDescent="0.25">
      <c r="A259">
        <v>258</v>
      </c>
      <c r="B259" t="s">
        <v>36</v>
      </c>
      <c r="C259" t="s">
        <v>3249</v>
      </c>
      <c r="D259" t="s">
        <v>38</v>
      </c>
      <c r="E259" t="s">
        <v>39</v>
      </c>
      <c r="F259" t="s">
        <v>3250</v>
      </c>
      <c r="G259" t="s">
        <v>62</v>
      </c>
      <c r="H259" t="s">
        <v>3251</v>
      </c>
      <c r="I259" t="s">
        <v>3252</v>
      </c>
      <c r="J259" t="s">
        <v>3253</v>
      </c>
      <c r="K259" t="s">
        <v>3254</v>
      </c>
      <c r="L259" t="s">
        <v>3255</v>
      </c>
      <c r="M259">
        <v>5907300</v>
      </c>
      <c r="N259">
        <v>8439000</v>
      </c>
      <c r="O259" t="s">
        <v>3256</v>
      </c>
      <c r="P259" t="s">
        <v>1857</v>
      </c>
      <c r="Q259" t="s">
        <v>3257</v>
      </c>
      <c r="R259" t="s">
        <v>3258</v>
      </c>
      <c r="S259" t="s">
        <v>72</v>
      </c>
      <c r="T259" t="s">
        <v>73</v>
      </c>
      <c r="U259" t="s">
        <v>774</v>
      </c>
      <c r="V259" t="s">
        <v>75</v>
      </c>
      <c r="W259" s="1">
        <v>44193</v>
      </c>
      <c r="X259" t="s">
        <v>183</v>
      </c>
      <c r="Y259" t="s">
        <v>760</v>
      </c>
      <c r="Z259" t="s">
        <v>3259</v>
      </c>
      <c r="AA259">
        <v>5</v>
      </c>
      <c r="AB259" t="s">
        <v>56</v>
      </c>
      <c r="AC259" t="s">
        <v>3260</v>
      </c>
      <c r="AD259" t="s">
        <v>3261</v>
      </c>
      <c r="AE259" t="s">
        <v>266</v>
      </c>
      <c r="AF259">
        <v>6751200</v>
      </c>
      <c r="AG259" s="6">
        <v>101268</v>
      </c>
      <c r="AK259" t="s">
        <v>4716</v>
      </c>
      <c r="AL259" s="6">
        <v>101268</v>
      </c>
      <c r="AM259" s="7">
        <f>Table6[[#This Row],[Premium]]-Table6[[#This Row],[Tms Prem]]</f>
        <v>0</v>
      </c>
    </row>
    <row r="260" spans="1:39" hidden="1" x14ac:dyDescent="0.25">
      <c r="A260">
        <v>259</v>
      </c>
      <c r="B260" t="s">
        <v>36</v>
      </c>
      <c r="C260" t="s">
        <v>3262</v>
      </c>
      <c r="D260" t="s">
        <v>38</v>
      </c>
      <c r="E260" t="s">
        <v>39</v>
      </c>
      <c r="F260" t="s">
        <v>3263</v>
      </c>
      <c r="G260" t="s">
        <v>62</v>
      </c>
      <c r="H260" t="s">
        <v>3264</v>
      </c>
      <c r="I260" t="s">
        <v>73</v>
      </c>
      <c r="J260" t="s">
        <v>3265</v>
      </c>
      <c r="K260" t="s">
        <v>73</v>
      </c>
      <c r="L260" t="s">
        <v>3266</v>
      </c>
      <c r="M260">
        <v>1064700</v>
      </c>
      <c r="N260">
        <v>1521000</v>
      </c>
      <c r="O260" t="s">
        <v>3267</v>
      </c>
      <c r="P260" t="s">
        <v>1118</v>
      </c>
      <c r="Q260" t="s">
        <v>3268</v>
      </c>
      <c r="R260" t="s">
        <v>3269</v>
      </c>
      <c r="S260" t="s">
        <v>72</v>
      </c>
      <c r="T260" t="s">
        <v>73</v>
      </c>
      <c r="U260" t="s">
        <v>931</v>
      </c>
      <c r="V260" t="s">
        <v>75</v>
      </c>
      <c r="W260" s="1">
        <v>44316</v>
      </c>
      <c r="X260" t="s">
        <v>3270</v>
      </c>
      <c r="Y260" t="s">
        <v>3271</v>
      </c>
      <c r="Z260" t="s">
        <v>3272</v>
      </c>
      <c r="AA260">
        <v>3</v>
      </c>
      <c r="AB260" t="s">
        <v>56</v>
      </c>
      <c r="AC260" t="s">
        <v>3273</v>
      </c>
      <c r="AD260" t="s">
        <v>3236</v>
      </c>
      <c r="AE260" t="s">
        <v>59</v>
      </c>
      <c r="AF260">
        <v>912600</v>
      </c>
      <c r="AG260" s="6">
        <v>0</v>
      </c>
      <c r="AK260" t="e">
        <v>#N/A</v>
      </c>
      <c r="AL260" s="6" t="e">
        <v>#N/A</v>
      </c>
      <c r="AM260" s="7" t="e">
        <f>Table6[[#This Row],[Premium]]-Table6[[#This Row],[Tms Prem]]</f>
        <v>#N/A</v>
      </c>
    </row>
    <row r="261" spans="1:39" x14ac:dyDescent="0.25">
      <c r="A261">
        <v>260</v>
      </c>
      <c r="B261" t="s">
        <v>36</v>
      </c>
      <c r="C261" t="s">
        <v>3274</v>
      </c>
      <c r="D261" t="s">
        <v>38</v>
      </c>
      <c r="E261" t="s">
        <v>39</v>
      </c>
      <c r="F261" t="s">
        <v>3275</v>
      </c>
      <c r="G261" t="s">
        <v>62</v>
      </c>
      <c r="H261" t="s">
        <v>3276</v>
      </c>
      <c r="I261" t="s">
        <v>3277</v>
      </c>
      <c r="J261" t="s">
        <v>3277</v>
      </c>
      <c r="K261" t="s">
        <v>3277</v>
      </c>
      <c r="L261" t="s">
        <v>3278</v>
      </c>
      <c r="M261">
        <v>2405000</v>
      </c>
      <c r="N261">
        <v>3700000</v>
      </c>
      <c r="O261" t="s">
        <v>3279</v>
      </c>
      <c r="P261" t="s">
        <v>744</v>
      </c>
      <c r="Q261" t="s">
        <v>3280</v>
      </c>
      <c r="R261" t="s">
        <v>3281</v>
      </c>
      <c r="S261" t="s">
        <v>49</v>
      </c>
      <c r="T261" t="s">
        <v>3282</v>
      </c>
      <c r="U261" t="s">
        <v>1096</v>
      </c>
      <c r="V261" t="s">
        <v>153</v>
      </c>
      <c r="W261" s="1">
        <v>44768</v>
      </c>
      <c r="X261" t="s">
        <v>447</v>
      </c>
      <c r="Y261" t="s">
        <v>1216</v>
      </c>
      <c r="Z261" t="s">
        <v>3283</v>
      </c>
      <c r="AA261">
        <v>3</v>
      </c>
      <c r="AB261" t="s">
        <v>263</v>
      </c>
      <c r="AC261" t="s">
        <v>3284</v>
      </c>
      <c r="AD261" t="s">
        <v>1604</v>
      </c>
      <c r="AE261" t="s">
        <v>266</v>
      </c>
      <c r="AF261">
        <v>3145000</v>
      </c>
      <c r="AG261" s="6">
        <v>47175</v>
      </c>
      <c r="AK261" t="s">
        <v>4717</v>
      </c>
      <c r="AL261" s="6">
        <v>47175</v>
      </c>
      <c r="AM261" s="7">
        <f>Table6[[#This Row],[Premium]]-Table6[[#This Row],[Tms Prem]]</f>
        <v>0</v>
      </c>
    </row>
    <row r="262" spans="1:39" x14ac:dyDescent="0.25">
      <c r="A262">
        <v>261</v>
      </c>
      <c r="B262" t="s">
        <v>36</v>
      </c>
      <c r="C262" t="s">
        <v>3285</v>
      </c>
      <c r="D262" t="s">
        <v>38</v>
      </c>
      <c r="E262" t="s">
        <v>39</v>
      </c>
      <c r="F262" t="s">
        <v>3286</v>
      </c>
      <c r="G262" t="s">
        <v>62</v>
      </c>
      <c r="H262" t="s">
        <v>3287</v>
      </c>
      <c r="I262" t="s">
        <v>73</v>
      </c>
      <c r="J262" t="s">
        <v>3288</v>
      </c>
      <c r="K262" t="s">
        <v>73</v>
      </c>
      <c r="L262" t="s">
        <v>3289</v>
      </c>
      <c r="M262">
        <v>3000000</v>
      </c>
      <c r="N262">
        <v>5000000</v>
      </c>
      <c r="O262" t="s">
        <v>3290</v>
      </c>
      <c r="P262" t="s">
        <v>1360</v>
      </c>
      <c r="Q262" t="s">
        <v>3291</v>
      </c>
      <c r="R262" t="s">
        <v>3292</v>
      </c>
      <c r="S262" t="s">
        <v>49</v>
      </c>
      <c r="T262" t="s">
        <v>3293</v>
      </c>
      <c r="U262" t="s">
        <v>3294</v>
      </c>
      <c r="V262" t="s">
        <v>75</v>
      </c>
      <c r="W262" s="1">
        <v>44768</v>
      </c>
      <c r="X262" t="s">
        <v>447</v>
      </c>
      <c r="Y262" t="s">
        <v>1216</v>
      </c>
      <c r="Z262" t="s">
        <v>3295</v>
      </c>
      <c r="AA262">
        <v>3</v>
      </c>
      <c r="AB262" t="s">
        <v>110</v>
      </c>
      <c r="AC262" t="s">
        <v>3296</v>
      </c>
      <c r="AD262" t="s">
        <v>1629</v>
      </c>
      <c r="AE262" t="s">
        <v>266</v>
      </c>
      <c r="AF262">
        <v>4250000</v>
      </c>
      <c r="AG262" s="6">
        <v>63750</v>
      </c>
      <c r="AK262" t="s">
        <v>4718</v>
      </c>
      <c r="AL262" s="6">
        <v>63750</v>
      </c>
      <c r="AM262" s="7">
        <f>Table6[[#This Row],[Premium]]-Table6[[#This Row],[Tms Prem]]</f>
        <v>0</v>
      </c>
    </row>
    <row r="263" spans="1:39" x14ac:dyDescent="0.25">
      <c r="A263">
        <v>262</v>
      </c>
      <c r="B263" t="s">
        <v>36</v>
      </c>
      <c r="C263" t="s">
        <v>3297</v>
      </c>
      <c r="D263" t="s">
        <v>38</v>
      </c>
      <c r="E263" t="s">
        <v>39</v>
      </c>
      <c r="F263" t="s">
        <v>3298</v>
      </c>
      <c r="G263" t="s">
        <v>115</v>
      </c>
      <c r="H263" t="s">
        <v>3299</v>
      </c>
      <c r="I263" t="s">
        <v>3300</v>
      </c>
      <c r="J263" t="s">
        <v>3300</v>
      </c>
      <c r="K263" t="s">
        <v>176</v>
      </c>
      <c r="L263" t="s">
        <v>3301</v>
      </c>
      <c r="M263">
        <v>1729000</v>
      </c>
      <c r="N263">
        <v>2660000</v>
      </c>
      <c r="O263" t="s">
        <v>3302</v>
      </c>
      <c r="P263" t="s">
        <v>1360</v>
      </c>
      <c r="Q263" t="s">
        <v>3303</v>
      </c>
      <c r="R263" t="s">
        <v>3304</v>
      </c>
      <c r="S263" t="s">
        <v>49</v>
      </c>
      <c r="T263" t="s">
        <v>3305</v>
      </c>
      <c r="U263" t="s">
        <v>495</v>
      </c>
      <c r="V263" t="s">
        <v>75</v>
      </c>
      <c r="W263" s="1">
        <v>45134</v>
      </c>
      <c r="X263" t="s">
        <v>756</v>
      </c>
      <c r="Y263" t="s">
        <v>2927</v>
      </c>
      <c r="Z263" t="s">
        <v>3306</v>
      </c>
      <c r="AA263">
        <v>5</v>
      </c>
      <c r="AB263" t="s">
        <v>263</v>
      </c>
      <c r="AC263" t="s">
        <v>3307</v>
      </c>
      <c r="AD263" t="s">
        <v>756</v>
      </c>
      <c r="AE263" t="s">
        <v>319</v>
      </c>
      <c r="AF263">
        <v>2394000</v>
      </c>
      <c r="AG263" s="6">
        <v>41895</v>
      </c>
      <c r="AK263" t="s">
        <v>4719</v>
      </c>
      <c r="AL263" s="6">
        <v>41895</v>
      </c>
      <c r="AM263" s="7">
        <f>Table6[[#This Row],[Premium]]-Table6[[#This Row],[Tms Prem]]</f>
        <v>0</v>
      </c>
    </row>
    <row r="264" spans="1:39" hidden="1" x14ac:dyDescent="0.25">
      <c r="A264">
        <v>263</v>
      </c>
      <c r="B264" t="s">
        <v>36</v>
      </c>
      <c r="C264" t="s">
        <v>3308</v>
      </c>
      <c r="D264" t="s">
        <v>38</v>
      </c>
      <c r="E264" t="s">
        <v>39</v>
      </c>
      <c r="F264" t="s">
        <v>3309</v>
      </c>
      <c r="G264" t="s">
        <v>2470</v>
      </c>
      <c r="H264" t="s">
        <v>3310</v>
      </c>
      <c r="I264" t="s">
        <v>73</v>
      </c>
      <c r="J264" t="s">
        <v>3311</v>
      </c>
      <c r="K264" t="s">
        <v>73</v>
      </c>
      <c r="L264" t="s">
        <v>3312</v>
      </c>
      <c r="M264">
        <v>2518000</v>
      </c>
      <c r="N264">
        <v>3147500</v>
      </c>
      <c r="O264" t="s">
        <v>3313</v>
      </c>
      <c r="P264" t="s">
        <v>318</v>
      </c>
      <c r="Q264" t="s">
        <v>3314</v>
      </c>
      <c r="R264" t="s">
        <v>3315</v>
      </c>
      <c r="S264" t="s">
        <v>471</v>
      </c>
      <c r="T264" t="s">
        <v>73</v>
      </c>
      <c r="U264" t="s">
        <v>3223</v>
      </c>
      <c r="V264" t="s">
        <v>106</v>
      </c>
      <c r="W264" s="1">
        <v>44699</v>
      </c>
      <c r="X264" t="s">
        <v>459</v>
      </c>
      <c r="Y264" t="s">
        <v>776</v>
      </c>
      <c r="Z264" t="s">
        <v>3316</v>
      </c>
      <c r="AA264">
        <v>2</v>
      </c>
      <c r="AB264" t="s">
        <v>56</v>
      </c>
      <c r="AC264" t="s">
        <v>3317</v>
      </c>
      <c r="AD264" t="s">
        <v>447</v>
      </c>
      <c r="AE264" t="s">
        <v>266</v>
      </c>
      <c r="AF264">
        <v>1888500</v>
      </c>
      <c r="AG264" s="6">
        <v>0</v>
      </c>
      <c r="AK264" t="e">
        <v>#N/A</v>
      </c>
      <c r="AL264" s="6" t="e">
        <v>#N/A</v>
      </c>
      <c r="AM264" s="7" t="e">
        <f>Table6[[#This Row],[Premium]]-Table6[[#This Row],[Tms Prem]]</f>
        <v>#N/A</v>
      </c>
    </row>
    <row r="265" spans="1:39" x14ac:dyDescent="0.25">
      <c r="A265">
        <v>264</v>
      </c>
      <c r="B265" t="s">
        <v>36</v>
      </c>
      <c r="C265" t="s">
        <v>3318</v>
      </c>
      <c r="D265" t="s">
        <v>38</v>
      </c>
      <c r="E265" t="s">
        <v>39</v>
      </c>
      <c r="F265" t="s">
        <v>3319</v>
      </c>
      <c r="G265" t="s">
        <v>189</v>
      </c>
      <c r="H265" t="s">
        <v>3320</v>
      </c>
      <c r="I265" t="s">
        <v>73</v>
      </c>
      <c r="J265" t="s">
        <v>73</v>
      </c>
      <c r="K265" t="s">
        <v>3321</v>
      </c>
      <c r="L265" t="s">
        <v>3322</v>
      </c>
      <c r="M265">
        <v>1154250</v>
      </c>
      <c r="N265">
        <v>1539000</v>
      </c>
      <c r="O265" t="s">
        <v>3323</v>
      </c>
      <c r="P265" t="s">
        <v>1142</v>
      </c>
      <c r="Q265" t="s">
        <v>3324</v>
      </c>
      <c r="R265" t="s">
        <v>3325</v>
      </c>
      <c r="S265" t="s">
        <v>72</v>
      </c>
      <c r="T265" t="s">
        <v>73</v>
      </c>
      <c r="U265" t="s">
        <v>197</v>
      </c>
      <c r="V265" t="s">
        <v>106</v>
      </c>
      <c r="W265" s="1">
        <v>44480</v>
      </c>
      <c r="X265" t="s">
        <v>459</v>
      </c>
      <c r="Y265" t="s">
        <v>344</v>
      </c>
      <c r="Z265" t="s">
        <v>3326</v>
      </c>
      <c r="AA265">
        <v>5</v>
      </c>
      <c r="AB265" t="s">
        <v>56</v>
      </c>
      <c r="AC265" t="s">
        <v>3327</v>
      </c>
      <c r="AD265" t="s">
        <v>1851</v>
      </c>
      <c r="AE265" t="s">
        <v>59</v>
      </c>
      <c r="AF265">
        <v>1308150</v>
      </c>
      <c r="AG265" s="6">
        <v>26163</v>
      </c>
      <c r="AK265" t="s">
        <v>4720</v>
      </c>
      <c r="AL265" s="6">
        <v>26163</v>
      </c>
      <c r="AM265" s="7">
        <f>Table6[[#This Row],[Premium]]-Table6[[#This Row],[Tms Prem]]</f>
        <v>0</v>
      </c>
    </row>
    <row r="266" spans="1:39" x14ac:dyDescent="0.25">
      <c r="A266">
        <v>265</v>
      </c>
      <c r="B266" t="s">
        <v>36</v>
      </c>
      <c r="C266" t="s">
        <v>3328</v>
      </c>
      <c r="D266" t="s">
        <v>38</v>
      </c>
      <c r="E266" t="s">
        <v>39</v>
      </c>
      <c r="F266" t="s">
        <v>3329</v>
      </c>
      <c r="G266" t="s">
        <v>115</v>
      </c>
      <c r="H266" t="s">
        <v>3330</v>
      </c>
      <c r="I266" t="s">
        <v>3331</v>
      </c>
      <c r="J266" t="s">
        <v>3331</v>
      </c>
      <c r="K266" t="s">
        <v>176</v>
      </c>
      <c r="L266" t="s">
        <v>3332</v>
      </c>
      <c r="M266">
        <v>1850000</v>
      </c>
      <c r="N266">
        <v>3700000</v>
      </c>
      <c r="O266" t="s">
        <v>3333</v>
      </c>
      <c r="P266" t="s">
        <v>1083</v>
      </c>
      <c r="Q266" t="s">
        <v>3334</v>
      </c>
      <c r="R266" t="s">
        <v>3335</v>
      </c>
      <c r="S266" t="s">
        <v>49</v>
      </c>
      <c r="T266" t="s">
        <v>3336</v>
      </c>
      <c r="U266" t="s">
        <v>3337</v>
      </c>
      <c r="V266" t="s">
        <v>75</v>
      </c>
      <c r="W266" s="1">
        <v>44769</v>
      </c>
      <c r="X266" t="s">
        <v>447</v>
      </c>
      <c r="Y266" t="s">
        <v>1216</v>
      </c>
      <c r="Z266" t="s">
        <v>3338</v>
      </c>
      <c r="AA266">
        <v>3</v>
      </c>
      <c r="AB266" t="s">
        <v>263</v>
      </c>
      <c r="AC266" t="s">
        <v>3339</v>
      </c>
      <c r="AD266" t="s">
        <v>1851</v>
      </c>
      <c r="AE266" t="s">
        <v>266</v>
      </c>
      <c r="AF266">
        <v>3145000</v>
      </c>
      <c r="AG266" s="6">
        <v>47175</v>
      </c>
      <c r="AK266" t="s">
        <v>4721</v>
      </c>
      <c r="AL266" s="6">
        <v>47175</v>
      </c>
      <c r="AM266" s="7">
        <f>Table6[[#This Row],[Premium]]-Table6[[#This Row],[Tms Prem]]</f>
        <v>0</v>
      </c>
    </row>
    <row r="267" spans="1:39" hidden="1" x14ac:dyDescent="0.25">
      <c r="A267">
        <v>266</v>
      </c>
      <c r="B267" t="s">
        <v>36</v>
      </c>
      <c r="C267" t="s">
        <v>3340</v>
      </c>
      <c r="D267" t="s">
        <v>38</v>
      </c>
      <c r="E267" t="s">
        <v>39</v>
      </c>
      <c r="F267" t="s">
        <v>3341</v>
      </c>
      <c r="G267" t="s">
        <v>62</v>
      </c>
      <c r="H267" t="s">
        <v>3342</v>
      </c>
      <c r="I267" t="s">
        <v>3343</v>
      </c>
      <c r="J267" t="s">
        <v>3344</v>
      </c>
      <c r="K267" t="s">
        <v>3345</v>
      </c>
      <c r="L267" t="s">
        <v>3346</v>
      </c>
      <c r="M267">
        <v>3529500</v>
      </c>
      <c r="N267">
        <v>5430000</v>
      </c>
      <c r="O267" t="s">
        <v>3347</v>
      </c>
      <c r="P267" t="s">
        <v>1346</v>
      </c>
      <c r="Q267" t="s">
        <v>3348</v>
      </c>
      <c r="R267" t="s">
        <v>3349</v>
      </c>
      <c r="S267" t="s">
        <v>72</v>
      </c>
      <c r="T267" t="s">
        <v>73</v>
      </c>
      <c r="U267" t="s">
        <v>2135</v>
      </c>
      <c r="V267" t="s">
        <v>75</v>
      </c>
      <c r="W267" s="1">
        <v>44406</v>
      </c>
      <c r="X267" t="s">
        <v>183</v>
      </c>
      <c r="Y267" t="s">
        <v>776</v>
      </c>
      <c r="Z267" t="s">
        <v>3350</v>
      </c>
      <c r="AA267">
        <v>3</v>
      </c>
      <c r="AB267" t="s">
        <v>199</v>
      </c>
      <c r="AC267" t="s">
        <v>3351</v>
      </c>
      <c r="AD267" t="s">
        <v>3261</v>
      </c>
      <c r="AE267" t="s">
        <v>59</v>
      </c>
      <c r="AF267">
        <v>3258000</v>
      </c>
      <c r="AG267" s="6">
        <v>0</v>
      </c>
      <c r="AK267" t="e">
        <v>#N/A</v>
      </c>
      <c r="AL267" s="6" t="e">
        <v>#N/A</v>
      </c>
      <c r="AM267" s="7" t="e">
        <f>Table6[[#This Row],[Premium]]-Table6[[#This Row],[Tms Prem]]</f>
        <v>#N/A</v>
      </c>
    </row>
    <row r="268" spans="1:39" x14ac:dyDescent="0.25">
      <c r="A268">
        <v>267</v>
      </c>
      <c r="B268" t="s">
        <v>36</v>
      </c>
      <c r="C268" t="s">
        <v>3352</v>
      </c>
      <c r="D268" t="s">
        <v>38</v>
      </c>
      <c r="E268" t="s">
        <v>39</v>
      </c>
      <c r="F268" t="s">
        <v>3353</v>
      </c>
      <c r="G268" t="s">
        <v>115</v>
      </c>
      <c r="H268" t="s">
        <v>3354</v>
      </c>
      <c r="I268" t="s">
        <v>3355</v>
      </c>
      <c r="J268" t="s">
        <v>3355</v>
      </c>
      <c r="K268" t="s">
        <v>176</v>
      </c>
      <c r="L268" t="s">
        <v>3356</v>
      </c>
      <c r="M268">
        <v>1174000</v>
      </c>
      <c r="N268">
        <v>2935000</v>
      </c>
      <c r="O268" t="s">
        <v>3357</v>
      </c>
      <c r="P268" t="s">
        <v>1346</v>
      </c>
      <c r="Q268" t="s">
        <v>3358</v>
      </c>
      <c r="R268" t="s">
        <v>3359</v>
      </c>
      <c r="S268" t="s">
        <v>72</v>
      </c>
      <c r="T268" t="s">
        <v>73</v>
      </c>
      <c r="U268" t="s">
        <v>495</v>
      </c>
      <c r="V268" t="s">
        <v>313</v>
      </c>
      <c r="W268" s="1">
        <v>45133</v>
      </c>
      <c r="X268" t="s">
        <v>756</v>
      </c>
      <c r="Y268" t="s">
        <v>2927</v>
      </c>
      <c r="Z268" t="s">
        <v>3360</v>
      </c>
      <c r="AA268">
        <v>5</v>
      </c>
      <c r="AB268" t="s">
        <v>263</v>
      </c>
      <c r="AC268" t="s">
        <v>3361</v>
      </c>
      <c r="AD268" t="s">
        <v>954</v>
      </c>
      <c r="AE268" t="s">
        <v>266</v>
      </c>
      <c r="AF268">
        <v>2641500</v>
      </c>
      <c r="AG268" s="6">
        <v>39623</v>
      </c>
      <c r="AK268" t="s">
        <v>4722</v>
      </c>
      <c r="AL268" s="6">
        <v>39623</v>
      </c>
      <c r="AM268" s="7">
        <f>Table6[[#This Row],[Premium]]-Table6[[#This Row],[Tms Prem]]</f>
        <v>0</v>
      </c>
    </row>
    <row r="269" spans="1:39" x14ac:dyDescent="0.25">
      <c r="A269">
        <v>268</v>
      </c>
      <c r="B269" t="s">
        <v>3362</v>
      </c>
      <c r="C269" t="s">
        <v>3363</v>
      </c>
      <c r="D269" t="s">
        <v>38</v>
      </c>
      <c r="E269" t="s">
        <v>39</v>
      </c>
      <c r="F269" t="s">
        <v>3364</v>
      </c>
      <c r="G269" t="s">
        <v>229</v>
      </c>
      <c r="H269" t="s">
        <v>3365</v>
      </c>
      <c r="I269" t="s">
        <v>3366</v>
      </c>
      <c r="J269" t="s">
        <v>3366</v>
      </c>
      <c r="K269" t="s">
        <v>3366</v>
      </c>
      <c r="L269" t="s">
        <v>3367</v>
      </c>
      <c r="M269">
        <v>1729000</v>
      </c>
      <c r="N269">
        <v>2660000</v>
      </c>
      <c r="O269" t="s">
        <v>3368</v>
      </c>
      <c r="P269" t="s">
        <v>839</v>
      </c>
      <c r="Q269" t="s">
        <v>3369</v>
      </c>
      <c r="R269" t="s">
        <v>3370</v>
      </c>
      <c r="S269" t="s">
        <v>49</v>
      </c>
      <c r="T269" t="s">
        <v>3371</v>
      </c>
      <c r="U269" t="s">
        <v>2197</v>
      </c>
      <c r="V269" t="s">
        <v>106</v>
      </c>
      <c r="W269" s="1">
        <v>44772</v>
      </c>
      <c r="X269" t="s">
        <v>459</v>
      </c>
      <c r="Y269" t="s">
        <v>344</v>
      </c>
      <c r="Z269" t="s">
        <v>3372</v>
      </c>
      <c r="AA269">
        <v>5</v>
      </c>
      <c r="AB269" t="s">
        <v>110</v>
      </c>
      <c r="AC269" t="s">
        <v>3373</v>
      </c>
      <c r="AD269" t="s">
        <v>1346</v>
      </c>
      <c r="AE269" t="s">
        <v>266</v>
      </c>
      <c r="AF269">
        <v>2261000</v>
      </c>
      <c r="AG269" s="6">
        <v>33915</v>
      </c>
      <c r="AK269" t="s">
        <v>4723</v>
      </c>
      <c r="AL269" s="6">
        <v>33915</v>
      </c>
      <c r="AM269" s="7">
        <f>Table6[[#This Row],[Premium]]-Table6[[#This Row],[Tms Prem]]</f>
        <v>0</v>
      </c>
    </row>
    <row r="270" spans="1:39" x14ac:dyDescent="0.25">
      <c r="A270">
        <v>269</v>
      </c>
      <c r="B270" t="s">
        <v>3374</v>
      </c>
      <c r="C270" t="s">
        <v>3375</v>
      </c>
      <c r="D270" t="s">
        <v>38</v>
      </c>
      <c r="E270" t="s">
        <v>39</v>
      </c>
      <c r="F270" t="s">
        <v>3376</v>
      </c>
      <c r="G270" t="s">
        <v>97</v>
      </c>
      <c r="H270" t="s">
        <v>3377</v>
      </c>
      <c r="I270" t="s">
        <v>2499</v>
      </c>
      <c r="J270" t="s">
        <v>3378</v>
      </c>
      <c r="K270" t="s">
        <v>2499</v>
      </c>
      <c r="L270" t="s">
        <v>3379</v>
      </c>
      <c r="M270">
        <v>587790</v>
      </c>
      <c r="N270">
        <v>923000</v>
      </c>
      <c r="O270" t="s">
        <v>3380</v>
      </c>
      <c r="P270" t="s">
        <v>941</v>
      </c>
      <c r="Q270" t="s">
        <v>3381</v>
      </c>
      <c r="R270" t="s">
        <v>3382</v>
      </c>
      <c r="S270" t="s">
        <v>72</v>
      </c>
      <c r="T270" t="s">
        <v>73</v>
      </c>
      <c r="U270" t="s">
        <v>3383</v>
      </c>
      <c r="V270" t="s">
        <v>52</v>
      </c>
      <c r="W270" s="1">
        <v>43980</v>
      </c>
      <c r="X270" t="s">
        <v>3384</v>
      </c>
      <c r="Y270" t="s">
        <v>184</v>
      </c>
      <c r="Z270" t="s">
        <v>3385</v>
      </c>
      <c r="AA270">
        <v>4</v>
      </c>
      <c r="AB270" t="s">
        <v>110</v>
      </c>
      <c r="AC270" t="s">
        <v>3386</v>
      </c>
      <c r="AD270" t="s">
        <v>2245</v>
      </c>
      <c r="AE270" t="s">
        <v>668</v>
      </c>
      <c r="AF270">
        <v>738400</v>
      </c>
      <c r="AG270" s="6">
        <v>18460</v>
      </c>
      <c r="AH270" t="s">
        <v>3387</v>
      </c>
      <c r="AI270" t="s">
        <v>670</v>
      </c>
      <c r="AK270" t="s">
        <v>4724</v>
      </c>
      <c r="AL270" s="6">
        <v>18460</v>
      </c>
      <c r="AM270" s="7">
        <f>Table6[[#This Row],[Premium]]-Table6[[#This Row],[Tms Prem]]</f>
        <v>0</v>
      </c>
    </row>
    <row r="271" spans="1:39" x14ac:dyDescent="0.25">
      <c r="A271">
        <v>270</v>
      </c>
      <c r="B271" t="s">
        <v>3374</v>
      </c>
      <c r="C271" t="s">
        <v>3388</v>
      </c>
      <c r="D271" t="s">
        <v>38</v>
      </c>
      <c r="E271" t="s">
        <v>39</v>
      </c>
      <c r="F271" t="s">
        <v>3389</v>
      </c>
      <c r="G271" t="s">
        <v>115</v>
      </c>
      <c r="H271" t="s">
        <v>3390</v>
      </c>
      <c r="I271" t="s">
        <v>3391</v>
      </c>
      <c r="J271" t="s">
        <v>3391</v>
      </c>
      <c r="K271" t="s">
        <v>176</v>
      </c>
      <c r="L271" t="s">
        <v>3392</v>
      </c>
      <c r="M271">
        <v>2593500</v>
      </c>
      <c r="N271">
        <v>3705000</v>
      </c>
      <c r="O271" t="s">
        <v>3393</v>
      </c>
      <c r="P271" t="s">
        <v>447</v>
      </c>
      <c r="Q271" t="s">
        <v>3394</v>
      </c>
      <c r="R271" t="s">
        <v>3395</v>
      </c>
      <c r="S271" t="s">
        <v>72</v>
      </c>
      <c r="T271" t="s">
        <v>73</v>
      </c>
      <c r="U271" t="s">
        <v>1397</v>
      </c>
      <c r="V271" t="s">
        <v>153</v>
      </c>
      <c r="W271" s="1">
        <v>44036</v>
      </c>
      <c r="X271" t="s">
        <v>1215</v>
      </c>
      <c r="Y271" t="s">
        <v>1216</v>
      </c>
      <c r="Z271" t="s">
        <v>3396</v>
      </c>
      <c r="AA271">
        <v>5</v>
      </c>
      <c r="AB271" t="s">
        <v>56</v>
      </c>
      <c r="AC271" t="s">
        <v>3397</v>
      </c>
      <c r="AD271" t="s">
        <v>393</v>
      </c>
      <c r="AE271" t="s">
        <v>668</v>
      </c>
      <c r="AF271">
        <v>2778750</v>
      </c>
      <c r="AG271" s="6">
        <v>69469</v>
      </c>
      <c r="AK271" t="s">
        <v>4725</v>
      </c>
      <c r="AL271" s="6">
        <v>69469</v>
      </c>
      <c r="AM271" s="7">
        <f>Table6[[#This Row],[Premium]]-Table6[[#This Row],[Tms Prem]]</f>
        <v>0</v>
      </c>
    </row>
    <row r="272" spans="1:39" hidden="1" x14ac:dyDescent="0.25">
      <c r="A272">
        <v>271</v>
      </c>
      <c r="B272" t="s">
        <v>3374</v>
      </c>
      <c r="C272" t="s">
        <v>3398</v>
      </c>
      <c r="D272" t="s">
        <v>38</v>
      </c>
      <c r="E272" t="s">
        <v>39</v>
      </c>
      <c r="F272" t="s">
        <v>3399</v>
      </c>
      <c r="G272" t="s">
        <v>115</v>
      </c>
      <c r="H272" t="s">
        <v>3400</v>
      </c>
      <c r="I272" t="s">
        <v>3401</v>
      </c>
      <c r="J272" t="s">
        <v>3402</v>
      </c>
      <c r="K272" t="s">
        <v>3402</v>
      </c>
      <c r="L272" t="s">
        <v>3403</v>
      </c>
      <c r="M272">
        <v>1020000</v>
      </c>
      <c r="N272">
        <v>1360000</v>
      </c>
      <c r="O272" t="s">
        <v>3404</v>
      </c>
      <c r="P272" t="s">
        <v>1620</v>
      </c>
      <c r="Q272" t="s">
        <v>3405</v>
      </c>
      <c r="R272" t="s">
        <v>3406</v>
      </c>
      <c r="S272" t="s">
        <v>660</v>
      </c>
      <c r="T272" t="s">
        <v>73</v>
      </c>
      <c r="U272" t="s">
        <v>3407</v>
      </c>
      <c r="V272" t="s">
        <v>330</v>
      </c>
      <c r="W272" s="1">
        <v>43665</v>
      </c>
      <c r="X272" t="s">
        <v>1744</v>
      </c>
      <c r="Y272" t="s">
        <v>700</v>
      </c>
      <c r="Z272" t="s">
        <v>3408</v>
      </c>
      <c r="AA272">
        <v>5</v>
      </c>
      <c r="AB272" t="s">
        <v>110</v>
      </c>
      <c r="AC272" t="s">
        <v>3409</v>
      </c>
      <c r="AD272" t="s">
        <v>1774</v>
      </c>
      <c r="AE272" t="s">
        <v>668</v>
      </c>
      <c r="AF272">
        <v>816000</v>
      </c>
      <c r="AG272" s="6">
        <v>0</v>
      </c>
      <c r="AK272" t="e">
        <v>#N/A</v>
      </c>
      <c r="AL272" s="6" t="e">
        <v>#N/A</v>
      </c>
      <c r="AM272" s="7" t="e">
        <f>Table6[[#This Row],[Premium]]-Table6[[#This Row],[Tms Prem]]</f>
        <v>#N/A</v>
      </c>
    </row>
    <row r="273" spans="1:39" hidden="1" x14ac:dyDescent="0.25">
      <c r="A273">
        <v>272</v>
      </c>
      <c r="B273" t="s">
        <v>3374</v>
      </c>
      <c r="C273" t="s">
        <v>3410</v>
      </c>
      <c r="D273" t="s">
        <v>38</v>
      </c>
      <c r="E273" t="s">
        <v>39</v>
      </c>
      <c r="F273" t="s">
        <v>3411</v>
      </c>
      <c r="G273" t="s">
        <v>97</v>
      </c>
      <c r="H273" t="s">
        <v>3412</v>
      </c>
      <c r="I273" t="s">
        <v>3413</v>
      </c>
      <c r="J273" t="s">
        <v>73</v>
      </c>
      <c r="K273" t="s">
        <v>3414</v>
      </c>
      <c r="L273" t="s">
        <v>3415</v>
      </c>
      <c r="M273">
        <v>1200000</v>
      </c>
      <c r="N273">
        <v>1600000</v>
      </c>
      <c r="O273" t="s">
        <v>3416</v>
      </c>
      <c r="P273" t="s">
        <v>201</v>
      </c>
      <c r="Q273" t="s">
        <v>3417</v>
      </c>
      <c r="R273" t="s">
        <v>3418</v>
      </c>
      <c r="S273" t="s">
        <v>660</v>
      </c>
      <c r="T273" t="s">
        <v>3419</v>
      </c>
      <c r="U273" t="s">
        <v>3420</v>
      </c>
      <c r="V273" t="s">
        <v>829</v>
      </c>
      <c r="W273" s="1">
        <v>43668</v>
      </c>
      <c r="X273" t="s">
        <v>1744</v>
      </c>
      <c r="Y273" t="s">
        <v>700</v>
      </c>
      <c r="Z273" t="s">
        <v>3421</v>
      </c>
      <c r="AA273">
        <v>5</v>
      </c>
      <c r="AB273" t="s">
        <v>56</v>
      </c>
      <c r="AC273" t="s">
        <v>3422</v>
      </c>
      <c r="AD273" t="s">
        <v>3423</v>
      </c>
      <c r="AE273" t="s">
        <v>668</v>
      </c>
      <c r="AF273">
        <v>960000</v>
      </c>
      <c r="AG273" s="6">
        <v>0</v>
      </c>
      <c r="AK273" t="e">
        <v>#N/A</v>
      </c>
      <c r="AL273" s="6" t="e">
        <v>#N/A</v>
      </c>
      <c r="AM273" s="7" t="e">
        <f>Table6[[#This Row],[Premium]]-Table6[[#This Row],[Tms Prem]]</f>
        <v>#N/A</v>
      </c>
    </row>
    <row r="274" spans="1:39" x14ac:dyDescent="0.25">
      <c r="A274">
        <v>273</v>
      </c>
      <c r="B274" t="s">
        <v>3374</v>
      </c>
      <c r="C274" t="s">
        <v>3424</v>
      </c>
      <c r="D274" t="s">
        <v>38</v>
      </c>
      <c r="E274" t="s">
        <v>39</v>
      </c>
      <c r="F274" t="s">
        <v>3425</v>
      </c>
      <c r="G274" t="s">
        <v>131</v>
      </c>
      <c r="H274" t="s">
        <v>3426</v>
      </c>
      <c r="I274" t="s">
        <v>3427</v>
      </c>
      <c r="J274" t="s">
        <v>3428</v>
      </c>
      <c r="K274" t="s">
        <v>73</v>
      </c>
      <c r="L274" t="s">
        <v>3429</v>
      </c>
      <c r="M274">
        <v>958750</v>
      </c>
      <c r="N274">
        <v>1475000</v>
      </c>
      <c r="O274" t="s">
        <v>3430</v>
      </c>
      <c r="P274" t="s">
        <v>1761</v>
      </c>
      <c r="Q274" t="s">
        <v>3431</v>
      </c>
      <c r="R274" t="s">
        <v>3432</v>
      </c>
      <c r="S274" t="s">
        <v>660</v>
      </c>
      <c r="T274" t="s">
        <v>73</v>
      </c>
      <c r="U274" t="s">
        <v>3433</v>
      </c>
      <c r="V274" t="s">
        <v>730</v>
      </c>
      <c r="W274" s="1">
        <v>43651</v>
      </c>
      <c r="X274" t="s">
        <v>2245</v>
      </c>
      <c r="Y274" t="s">
        <v>315</v>
      </c>
      <c r="Z274" t="s">
        <v>3434</v>
      </c>
      <c r="AA274">
        <v>7</v>
      </c>
      <c r="AB274" t="s">
        <v>110</v>
      </c>
      <c r="AC274" t="s">
        <v>3435</v>
      </c>
      <c r="AD274" t="s">
        <v>696</v>
      </c>
      <c r="AE274" t="s">
        <v>668</v>
      </c>
      <c r="AF274">
        <v>1032500</v>
      </c>
      <c r="AG274" s="6">
        <v>25813</v>
      </c>
      <c r="AK274" t="s">
        <v>4726</v>
      </c>
      <c r="AL274" s="6">
        <v>25813</v>
      </c>
      <c r="AM274" s="7">
        <f>Table6[[#This Row],[Premium]]-Table6[[#This Row],[Tms Prem]]</f>
        <v>0</v>
      </c>
    </row>
    <row r="275" spans="1:39" x14ac:dyDescent="0.25">
      <c r="A275">
        <v>274</v>
      </c>
      <c r="B275" t="s">
        <v>3374</v>
      </c>
      <c r="C275" t="s">
        <v>3436</v>
      </c>
      <c r="D275" t="s">
        <v>38</v>
      </c>
      <c r="E275" t="s">
        <v>39</v>
      </c>
      <c r="F275" t="s">
        <v>3437</v>
      </c>
      <c r="G275" t="s">
        <v>2044</v>
      </c>
      <c r="H275" t="s">
        <v>3438</v>
      </c>
      <c r="I275" t="s">
        <v>3439</v>
      </c>
      <c r="J275" t="s">
        <v>3440</v>
      </c>
      <c r="K275" t="s">
        <v>73</v>
      </c>
      <c r="L275" t="s">
        <v>3441</v>
      </c>
      <c r="M275">
        <v>865000</v>
      </c>
      <c r="N275">
        <v>1730000</v>
      </c>
      <c r="O275" t="s">
        <v>3442</v>
      </c>
      <c r="P275" t="s">
        <v>1118</v>
      </c>
      <c r="Q275" t="s">
        <v>3443</v>
      </c>
      <c r="R275" t="s">
        <v>3444</v>
      </c>
      <c r="S275" t="s">
        <v>72</v>
      </c>
      <c r="T275" t="s">
        <v>73</v>
      </c>
      <c r="U275" t="s">
        <v>1607</v>
      </c>
      <c r="V275" t="s">
        <v>75</v>
      </c>
      <c r="W275" s="1">
        <v>44358</v>
      </c>
      <c r="X275" t="s">
        <v>183</v>
      </c>
      <c r="Y275" t="s">
        <v>760</v>
      </c>
      <c r="Z275" t="s">
        <v>3445</v>
      </c>
      <c r="AA275">
        <v>5</v>
      </c>
      <c r="AB275" t="s">
        <v>947</v>
      </c>
      <c r="AC275" t="s">
        <v>3446</v>
      </c>
      <c r="AD275" t="s">
        <v>902</v>
      </c>
      <c r="AE275" t="s">
        <v>59</v>
      </c>
      <c r="AF275">
        <v>1384000</v>
      </c>
      <c r="AG275" s="6">
        <v>27680</v>
      </c>
      <c r="AK275" t="s">
        <v>4727</v>
      </c>
      <c r="AL275" s="6">
        <v>27680</v>
      </c>
      <c r="AM275" s="7">
        <f>Table6[[#This Row],[Premium]]-Table6[[#This Row],[Tms Prem]]</f>
        <v>0</v>
      </c>
    </row>
    <row r="276" spans="1:39" x14ac:dyDescent="0.25">
      <c r="A276">
        <v>275</v>
      </c>
      <c r="B276" t="s">
        <v>3374</v>
      </c>
      <c r="C276" t="s">
        <v>3447</v>
      </c>
      <c r="D276" t="s">
        <v>38</v>
      </c>
      <c r="E276" t="s">
        <v>39</v>
      </c>
      <c r="F276" t="s">
        <v>3448</v>
      </c>
      <c r="G276" t="s">
        <v>62</v>
      </c>
      <c r="H276" t="s">
        <v>3449</v>
      </c>
      <c r="I276" t="s">
        <v>73</v>
      </c>
      <c r="J276" t="s">
        <v>3450</v>
      </c>
      <c r="K276" t="s">
        <v>73</v>
      </c>
      <c r="L276" t="s">
        <v>3451</v>
      </c>
      <c r="M276">
        <v>2681250</v>
      </c>
      <c r="N276">
        <v>4125000</v>
      </c>
      <c r="O276" t="s">
        <v>3452</v>
      </c>
      <c r="P276" t="s">
        <v>3220</v>
      </c>
      <c r="Q276" t="s">
        <v>3453</v>
      </c>
      <c r="R276" t="s">
        <v>3454</v>
      </c>
      <c r="S276" t="s">
        <v>49</v>
      </c>
      <c r="T276" t="s">
        <v>3455</v>
      </c>
      <c r="U276" t="s">
        <v>602</v>
      </c>
      <c r="V276" t="s">
        <v>52</v>
      </c>
      <c r="W276" s="1">
        <v>44771</v>
      </c>
      <c r="X276" t="s">
        <v>459</v>
      </c>
      <c r="Y276" t="s">
        <v>184</v>
      </c>
      <c r="Z276" t="s">
        <v>3456</v>
      </c>
      <c r="AA276">
        <v>3</v>
      </c>
      <c r="AB276" t="s">
        <v>110</v>
      </c>
      <c r="AC276" t="s">
        <v>3457</v>
      </c>
      <c r="AD276" t="s">
        <v>1453</v>
      </c>
      <c r="AE276" t="s">
        <v>266</v>
      </c>
      <c r="AF276">
        <v>3506250</v>
      </c>
      <c r="AG276" s="6">
        <v>52594</v>
      </c>
      <c r="AK276" t="s">
        <v>4728</v>
      </c>
      <c r="AL276" s="6">
        <v>52594</v>
      </c>
      <c r="AM276" s="7">
        <f>Table6[[#This Row],[Premium]]-Table6[[#This Row],[Tms Prem]]</f>
        <v>0</v>
      </c>
    </row>
    <row r="277" spans="1:39" x14ac:dyDescent="0.25">
      <c r="A277">
        <v>276</v>
      </c>
      <c r="B277" t="s">
        <v>3374</v>
      </c>
      <c r="C277" t="s">
        <v>3458</v>
      </c>
      <c r="D277" t="s">
        <v>38</v>
      </c>
      <c r="E277" t="s">
        <v>39</v>
      </c>
      <c r="F277" t="s">
        <v>3459</v>
      </c>
      <c r="G277" t="s">
        <v>189</v>
      </c>
      <c r="H277" t="s">
        <v>3460</v>
      </c>
      <c r="I277" t="s">
        <v>3461</v>
      </c>
      <c r="J277" t="s">
        <v>3462</v>
      </c>
      <c r="K277" t="s">
        <v>3461</v>
      </c>
      <c r="L277" t="s">
        <v>3463</v>
      </c>
      <c r="M277">
        <v>1539300</v>
      </c>
      <c r="N277">
        <v>2199000</v>
      </c>
      <c r="O277" t="s">
        <v>3464</v>
      </c>
      <c r="P277" t="s">
        <v>1118</v>
      </c>
      <c r="Q277" t="s">
        <v>3465</v>
      </c>
      <c r="R277" t="s">
        <v>3466</v>
      </c>
      <c r="S277" t="s">
        <v>72</v>
      </c>
      <c r="T277" t="s">
        <v>73</v>
      </c>
      <c r="U277" t="s">
        <v>1298</v>
      </c>
      <c r="V277" t="s">
        <v>106</v>
      </c>
      <c r="W277" s="1">
        <v>44742</v>
      </c>
      <c r="X277" t="s">
        <v>459</v>
      </c>
      <c r="Y277" t="s">
        <v>760</v>
      </c>
      <c r="Z277" t="s">
        <v>3467</v>
      </c>
      <c r="AA277">
        <v>4</v>
      </c>
      <c r="AB277" t="s">
        <v>263</v>
      </c>
      <c r="AC277" t="s">
        <v>3468</v>
      </c>
      <c r="AD277" t="s">
        <v>1851</v>
      </c>
      <c r="AE277" t="s">
        <v>59</v>
      </c>
      <c r="AF277">
        <v>1869150</v>
      </c>
      <c r="AG277" s="6">
        <v>37383</v>
      </c>
      <c r="AK277" t="s">
        <v>4729</v>
      </c>
      <c r="AL277" s="6">
        <v>37383</v>
      </c>
      <c r="AM277" s="7">
        <f>Table6[[#This Row],[Premium]]-Table6[[#This Row],[Tms Prem]]</f>
        <v>0</v>
      </c>
    </row>
    <row r="278" spans="1:39" x14ac:dyDescent="0.25">
      <c r="W278" s="5"/>
      <c r="AG278" s="7">
        <f>SUBTOTAL(9,Table6[Premium])</f>
        <v>10270071</v>
      </c>
      <c r="AL278" s="7">
        <f>SUBTOTAL(109,Table6[Tms Prem])</f>
        <v>10270071</v>
      </c>
    </row>
    <row r="280" spans="1:39" x14ac:dyDescent="0.25">
      <c r="A280" s="2" t="s">
        <v>0</v>
      </c>
      <c r="B280" s="3" t="s">
        <v>1</v>
      </c>
      <c r="C280" s="3" t="s">
        <v>2</v>
      </c>
      <c r="D280" s="3" t="s">
        <v>3</v>
      </c>
      <c r="E280" s="3" t="s">
        <v>4</v>
      </c>
      <c r="F280" s="3" t="s">
        <v>5</v>
      </c>
      <c r="G280" s="3" t="s">
        <v>6</v>
      </c>
      <c r="H280" s="3" t="s">
        <v>7</v>
      </c>
      <c r="I280" s="3" t="s">
        <v>8</v>
      </c>
      <c r="J280" s="3" t="s">
        <v>9</v>
      </c>
      <c r="K280" s="3" t="s">
        <v>10</v>
      </c>
      <c r="L280" s="3" t="s">
        <v>11</v>
      </c>
      <c r="M280" s="3" t="s">
        <v>12</v>
      </c>
      <c r="N280" s="3" t="s">
        <v>13</v>
      </c>
      <c r="O280" s="3" t="s">
        <v>14</v>
      </c>
      <c r="P280" s="3" t="s">
        <v>15</v>
      </c>
      <c r="Q280" s="3" t="s">
        <v>16</v>
      </c>
      <c r="R280" s="3" t="s">
        <v>17</v>
      </c>
      <c r="S280" s="3" t="s">
        <v>18</v>
      </c>
      <c r="T280" s="3" t="s">
        <v>19</v>
      </c>
      <c r="U280" s="3" t="s">
        <v>20</v>
      </c>
      <c r="V280" s="3" t="s">
        <v>21</v>
      </c>
      <c r="W280" s="3" t="s">
        <v>22</v>
      </c>
      <c r="X280" s="3" t="s">
        <v>23</v>
      </c>
      <c r="Y280" s="3" t="s">
        <v>24</v>
      </c>
      <c r="Z280" s="3" t="s">
        <v>25</v>
      </c>
      <c r="AA280" s="3" t="s">
        <v>26</v>
      </c>
      <c r="AB280" s="3" t="s">
        <v>27</v>
      </c>
      <c r="AC280" s="3" t="s">
        <v>28</v>
      </c>
      <c r="AD280" s="3" t="s">
        <v>29</v>
      </c>
      <c r="AE280" s="3" t="s">
        <v>30</v>
      </c>
      <c r="AF280" s="3" t="s">
        <v>31</v>
      </c>
      <c r="AG280" s="3" t="s">
        <v>32</v>
      </c>
      <c r="AH280" s="3" t="s">
        <v>33</v>
      </c>
      <c r="AI280" s="3" t="s">
        <v>34</v>
      </c>
      <c r="AJ280" s="4" t="s">
        <v>35</v>
      </c>
    </row>
    <row r="281" spans="1:39" x14ac:dyDescent="0.25">
      <c r="A281">
        <v>1</v>
      </c>
      <c r="B281" t="s">
        <v>3469</v>
      </c>
      <c r="C281" t="s">
        <v>3470</v>
      </c>
      <c r="D281" t="s">
        <v>3471</v>
      </c>
      <c r="E281" t="s">
        <v>39</v>
      </c>
      <c r="F281" t="s">
        <v>3472</v>
      </c>
      <c r="G281" t="s">
        <v>62</v>
      </c>
      <c r="H281" t="s">
        <v>3473</v>
      </c>
      <c r="I281" t="s">
        <v>3474</v>
      </c>
      <c r="J281" t="s">
        <v>3474</v>
      </c>
      <c r="K281" t="s">
        <v>3475</v>
      </c>
      <c r="L281" t="s">
        <v>3476</v>
      </c>
      <c r="M281">
        <v>1797600</v>
      </c>
      <c r="N281">
        <v>2247000</v>
      </c>
      <c r="O281" t="s">
        <v>3477</v>
      </c>
      <c r="P281" s="1">
        <v>45237</v>
      </c>
      <c r="Q281" t="s">
        <v>3478</v>
      </c>
      <c r="R281" t="s">
        <v>3479</v>
      </c>
      <c r="S281" t="s">
        <v>72</v>
      </c>
      <c r="T281" t="s">
        <v>73</v>
      </c>
      <c r="U281" t="s">
        <v>1168</v>
      </c>
      <c r="V281" t="s">
        <v>617</v>
      </c>
      <c r="W281" s="1">
        <v>43417</v>
      </c>
      <c r="X281" t="s">
        <v>3480</v>
      </c>
      <c r="Y281" t="s">
        <v>3481</v>
      </c>
      <c r="Z281" t="s">
        <v>3482</v>
      </c>
      <c r="AA281">
        <v>5</v>
      </c>
      <c r="AB281" t="s">
        <v>56</v>
      </c>
      <c r="AC281" t="s">
        <v>3483</v>
      </c>
      <c r="AD281" t="s">
        <v>3484</v>
      </c>
      <c r="AE281" t="s">
        <v>736</v>
      </c>
      <c r="AF281">
        <v>1685250</v>
      </c>
      <c r="AG281">
        <v>52243</v>
      </c>
      <c r="AH281" t="s">
        <v>3485</v>
      </c>
      <c r="AI281" t="s">
        <v>670</v>
      </c>
    </row>
    <row r="282" spans="1:39" x14ac:dyDescent="0.25">
      <c r="A282">
        <v>2</v>
      </c>
      <c r="B282" t="s">
        <v>3469</v>
      </c>
      <c r="C282" t="s">
        <v>3486</v>
      </c>
      <c r="D282" t="s">
        <v>3471</v>
      </c>
      <c r="E282" t="s">
        <v>39</v>
      </c>
      <c r="F282" t="s">
        <v>3487</v>
      </c>
      <c r="G282" t="s">
        <v>62</v>
      </c>
      <c r="H282" t="s">
        <v>3488</v>
      </c>
      <c r="I282" t="s">
        <v>3489</v>
      </c>
      <c r="J282" t="s">
        <v>3490</v>
      </c>
      <c r="K282" t="s">
        <v>3491</v>
      </c>
      <c r="L282" t="s">
        <v>3492</v>
      </c>
      <c r="M282">
        <v>790500</v>
      </c>
      <c r="N282">
        <v>1054000</v>
      </c>
      <c r="O282" t="s">
        <v>3493</v>
      </c>
      <c r="P282" s="1">
        <v>45247</v>
      </c>
      <c r="Q282" t="s">
        <v>3494</v>
      </c>
      <c r="R282" t="s">
        <v>3495</v>
      </c>
      <c r="S282" t="s">
        <v>72</v>
      </c>
      <c r="T282" t="s">
        <v>73</v>
      </c>
      <c r="U282" t="s">
        <v>729</v>
      </c>
      <c r="V282" t="s">
        <v>603</v>
      </c>
      <c r="W282" s="1">
        <v>42696</v>
      </c>
      <c r="X282" t="s">
        <v>731</v>
      </c>
      <c r="Y282" t="s">
        <v>3496</v>
      </c>
      <c r="Z282" t="s">
        <v>3497</v>
      </c>
      <c r="AA282">
        <v>7</v>
      </c>
      <c r="AB282" t="s">
        <v>947</v>
      </c>
      <c r="AC282" t="s">
        <v>3498</v>
      </c>
      <c r="AD282" t="s">
        <v>3499</v>
      </c>
      <c r="AE282" t="s">
        <v>736</v>
      </c>
      <c r="AF282">
        <v>685100</v>
      </c>
      <c r="AG282">
        <v>21239</v>
      </c>
      <c r="AH282" t="s">
        <v>3500</v>
      </c>
      <c r="AI282" t="s">
        <v>670</v>
      </c>
    </row>
    <row r="283" spans="1:39" x14ac:dyDescent="0.25">
      <c r="A283">
        <v>3</v>
      </c>
      <c r="B283" t="s">
        <v>3469</v>
      </c>
      <c r="C283" t="s">
        <v>3501</v>
      </c>
      <c r="D283" t="s">
        <v>3471</v>
      </c>
      <c r="E283" t="s">
        <v>39</v>
      </c>
      <c r="F283" t="s">
        <v>3502</v>
      </c>
      <c r="G283" t="s">
        <v>97</v>
      </c>
      <c r="H283" t="s">
        <v>3503</v>
      </c>
      <c r="I283" t="s">
        <v>3504</v>
      </c>
      <c r="J283" t="s">
        <v>3505</v>
      </c>
      <c r="K283" t="s">
        <v>3506</v>
      </c>
      <c r="L283" t="s">
        <v>3507</v>
      </c>
      <c r="M283">
        <v>765800</v>
      </c>
      <c r="N283">
        <v>1094000</v>
      </c>
      <c r="O283" t="s">
        <v>3508</v>
      </c>
      <c r="P283" s="1">
        <v>45259</v>
      </c>
      <c r="Q283" t="s">
        <v>3509</v>
      </c>
      <c r="R283" t="s">
        <v>3510</v>
      </c>
      <c r="S283" t="s">
        <v>72</v>
      </c>
      <c r="T283" t="s">
        <v>73</v>
      </c>
      <c r="U283" t="s">
        <v>729</v>
      </c>
      <c r="V283" t="s">
        <v>730</v>
      </c>
      <c r="W283" s="1">
        <v>43069</v>
      </c>
      <c r="X283" t="s">
        <v>183</v>
      </c>
      <c r="Y283" t="s">
        <v>3511</v>
      </c>
      <c r="Z283" t="s">
        <v>3512</v>
      </c>
      <c r="AA283">
        <v>5</v>
      </c>
      <c r="AB283" t="s">
        <v>56</v>
      </c>
      <c r="AC283" t="s">
        <v>3513</v>
      </c>
      <c r="AD283" t="s">
        <v>3514</v>
      </c>
      <c r="AE283" t="s">
        <v>736</v>
      </c>
      <c r="AF283">
        <v>820500</v>
      </c>
      <c r="AG283">
        <v>25436</v>
      </c>
      <c r="AH283" t="s">
        <v>3515</v>
      </c>
      <c r="AI283" t="s">
        <v>670</v>
      </c>
    </row>
    <row r="284" spans="1:39" x14ac:dyDescent="0.25">
      <c r="A284">
        <v>4</v>
      </c>
      <c r="B284" t="s">
        <v>3469</v>
      </c>
      <c r="C284" t="s">
        <v>3516</v>
      </c>
      <c r="D284" t="s">
        <v>3471</v>
      </c>
      <c r="E284" t="s">
        <v>39</v>
      </c>
      <c r="F284" t="s">
        <v>3517</v>
      </c>
      <c r="G284" t="s">
        <v>62</v>
      </c>
      <c r="H284" t="s">
        <v>3518</v>
      </c>
      <c r="I284" t="s">
        <v>3519</v>
      </c>
      <c r="J284" t="s">
        <v>3520</v>
      </c>
      <c r="K284" t="s">
        <v>3519</v>
      </c>
      <c r="L284" t="s">
        <v>3521</v>
      </c>
      <c r="M284">
        <v>1019200</v>
      </c>
      <c r="N284">
        <v>1274000</v>
      </c>
      <c r="O284" t="s">
        <v>3522</v>
      </c>
      <c r="P284" s="1">
        <v>45244</v>
      </c>
      <c r="Q284" t="s">
        <v>3523</v>
      </c>
      <c r="R284" t="s">
        <v>3524</v>
      </c>
      <c r="S284" t="s">
        <v>72</v>
      </c>
      <c r="T284" t="s">
        <v>73</v>
      </c>
      <c r="U284" t="s">
        <v>1607</v>
      </c>
      <c r="V284" t="s">
        <v>617</v>
      </c>
      <c r="W284" s="1">
        <v>43426</v>
      </c>
      <c r="X284" t="s">
        <v>731</v>
      </c>
      <c r="Y284" t="s">
        <v>3525</v>
      </c>
      <c r="Z284" t="s">
        <v>3526</v>
      </c>
      <c r="AA284">
        <v>5</v>
      </c>
      <c r="AB284" t="s">
        <v>1991</v>
      </c>
      <c r="AC284" t="s">
        <v>3527</v>
      </c>
      <c r="AD284" t="s">
        <v>3528</v>
      </c>
      <c r="AE284" t="s">
        <v>736</v>
      </c>
      <c r="AF284">
        <v>955500</v>
      </c>
      <c r="AG284">
        <v>29621</v>
      </c>
      <c r="AH284" t="s">
        <v>3529</v>
      </c>
      <c r="AI284" t="s">
        <v>670</v>
      </c>
    </row>
    <row r="285" spans="1:39" x14ac:dyDescent="0.25">
      <c r="A285">
        <v>5</v>
      </c>
      <c r="B285" t="s">
        <v>3469</v>
      </c>
      <c r="C285" t="s">
        <v>3530</v>
      </c>
      <c r="D285" t="s">
        <v>3471</v>
      </c>
      <c r="E285" t="s">
        <v>39</v>
      </c>
      <c r="F285" t="s">
        <v>3531</v>
      </c>
      <c r="G285" t="s">
        <v>115</v>
      </c>
      <c r="H285" t="s">
        <v>3532</v>
      </c>
      <c r="I285" t="s">
        <v>3533</v>
      </c>
      <c r="J285" t="s">
        <v>3534</v>
      </c>
      <c r="K285" t="s">
        <v>3535</v>
      </c>
      <c r="L285" t="s">
        <v>3536</v>
      </c>
      <c r="M285">
        <v>637500</v>
      </c>
      <c r="N285">
        <v>850000</v>
      </c>
      <c r="O285" t="s">
        <v>3537</v>
      </c>
      <c r="P285" s="1">
        <v>45252</v>
      </c>
      <c r="Q285" t="s">
        <v>3538</v>
      </c>
      <c r="R285" t="s">
        <v>3539</v>
      </c>
      <c r="S285" t="s">
        <v>49</v>
      </c>
      <c r="T285" t="s">
        <v>3540</v>
      </c>
      <c r="U285" t="s">
        <v>3541</v>
      </c>
      <c r="V285" t="s">
        <v>3041</v>
      </c>
      <c r="W285" s="1">
        <v>43431</v>
      </c>
      <c r="X285" t="s">
        <v>663</v>
      </c>
      <c r="Y285" t="s">
        <v>3542</v>
      </c>
      <c r="Z285" t="s">
        <v>3543</v>
      </c>
      <c r="AA285">
        <v>5</v>
      </c>
      <c r="AB285" t="s">
        <v>56</v>
      </c>
      <c r="AC285" t="s">
        <v>3544</v>
      </c>
      <c r="AD285" t="s">
        <v>3545</v>
      </c>
      <c r="AE285" t="s">
        <v>736</v>
      </c>
      <c r="AF285">
        <v>637500</v>
      </c>
      <c r="AG285">
        <v>19763</v>
      </c>
      <c r="AH285" t="s">
        <v>3546</v>
      </c>
      <c r="AI285" t="s">
        <v>670</v>
      </c>
    </row>
    <row r="286" spans="1:39" x14ac:dyDescent="0.25">
      <c r="A286">
        <v>6</v>
      </c>
      <c r="B286" t="s">
        <v>3469</v>
      </c>
      <c r="C286" t="s">
        <v>3547</v>
      </c>
      <c r="D286" t="s">
        <v>3471</v>
      </c>
      <c r="E286" t="s">
        <v>39</v>
      </c>
      <c r="F286" t="s">
        <v>3548</v>
      </c>
      <c r="G286" t="s">
        <v>115</v>
      </c>
      <c r="H286" t="s">
        <v>3549</v>
      </c>
      <c r="I286" t="s">
        <v>3550</v>
      </c>
      <c r="J286" t="s">
        <v>3550</v>
      </c>
      <c r="K286" t="s">
        <v>176</v>
      </c>
      <c r="L286" t="s">
        <v>3551</v>
      </c>
      <c r="M286">
        <v>1425000</v>
      </c>
      <c r="N286">
        <v>1900000</v>
      </c>
      <c r="O286" t="s">
        <v>3552</v>
      </c>
      <c r="P286" s="1">
        <v>45228</v>
      </c>
      <c r="Q286" t="s">
        <v>3553</v>
      </c>
      <c r="R286" t="s">
        <v>3554</v>
      </c>
      <c r="S286" t="s">
        <v>49</v>
      </c>
      <c r="T286" t="s">
        <v>3555</v>
      </c>
      <c r="U286" t="s">
        <v>995</v>
      </c>
      <c r="V286" t="s">
        <v>603</v>
      </c>
      <c r="W286" s="1">
        <v>43404</v>
      </c>
      <c r="X286" t="s">
        <v>3480</v>
      </c>
      <c r="Y286" t="s">
        <v>3481</v>
      </c>
      <c r="Z286" t="s">
        <v>3556</v>
      </c>
      <c r="AA286">
        <v>5</v>
      </c>
      <c r="AB286" t="s">
        <v>3557</v>
      </c>
      <c r="AC286" t="s">
        <v>3558</v>
      </c>
      <c r="AD286" t="s">
        <v>3559</v>
      </c>
      <c r="AE286" t="s">
        <v>736</v>
      </c>
      <c r="AF286">
        <v>1425000</v>
      </c>
      <c r="AG286">
        <v>44175</v>
      </c>
      <c r="AH286" t="s">
        <v>3560</v>
      </c>
      <c r="AI286" t="s">
        <v>670</v>
      </c>
    </row>
    <row r="287" spans="1:39" x14ac:dyDescent="0.25">
      <c r="A287">
        <v>7</v>
      </c>
      <c r="B287" t="s">
        <v>3469</v>
      </c>
      <c r="C287" t="s">
        <v>3561</v>
      </c>
      <c r="D287" t="s">
        <v>3471</v>
      </c>
      <c r="E287" t="s">
        <v>39</v>
      </c>
      <c r="F287" t="s">
        <v>374</v>
      </c>
      <c r="G287" t="s">
        <v>62</v>
      </c>
      <c r="H287" t="s">
        <v>3562</v>
      </c>
      <c r="I287" t="s">
        <v>73</v>
      </c>
      <c r="J287" t="s">
        <v>3563</v>
      </c>
      <c r="K287" t="s">
        <v>73</v>
      </c>
      <c r="L287" t="s">
        <v>3564</v>
      </c>
      <c r="M287">
        <v>2020900</v>
      </c>
      <c r="N287">
        <v>2887000</v>
      </c>
      <c r="O287" t="s">
        <v>3565</v>
      </c>
      <c r="P287" s="1">
        <v>45229</v>
      </c>
      <c r="Q287" t="s">
        <v>3566</v>
      </c>
      <c r="R287" t="s">
        <v>3567</v>
      </c>
      <c r="S287" t="s">
        <v>72</v>
      </c>
      <c r="T287" t="s">
        <v>73</v>
      </c>
      <c r="U287" t="s">
        <v>957</v>
      </c>
      <c r="V287" t="s">
        <v>617</v>
      </c>
      <c r="W287" s="1">
        <v>43409</v>
      </c>
      <c r="X287" t="s">
        <v>663</v>
      </c>
      <c r="Y287" t="s">
        <v>3568</v>
      </c>
      <c r="Z287" t="s">
        <v>3569</v>
      </c>
      <c r="AA287">
        <v>5</v>
      </c>
      <c r="AB287" t="s">
        <v>3570</v>
      </c>
      <c r="AC287" t="s">
        <v>3571</v>
      </c>
      <c r="AD287" t="s">
        <v>3572</v>
      </c>
      <c r="AE287" t="s">
        <v>736</v>
      </c>
      <c r="AF287">
        <v>2165250</v>
      </c>
      <c r="AG287">
        <v>67123</v>
      </c>
      <c r="AH287" t="s">
        <v>3573</v>
      </c>
      <c r="AI287" t="s">
        <v>670</v>
      </c>
    </row>
    <row r="288" spans="1:39" x14ac:dyDescent="0.25">
      <c r="A288">
        <v>8</v>
      </c>
      <c r="B288" t="s">
        <v>3469</v>
      </c>
      <c r="C288" t="s">
        <v>3574</v>
      </c>
      <c r="D288" t="s">
        <v>3471</v>
      </c>
      <c r="E288" t="s">
        <v>39</v>
      </c>
      <c r="F288" t="s">
        <v>3575</v>
      </c>
      <c r="G288" t="s">
        <v>62</v>
      </c>
      <c r="H288" t="s">
        <v>3576</v>
      </c>
      <c r="I288" t="s">
        <v>2499</v>
      </c>
      <c r="J288" t="s">
        <v>3577</v>
      </c>
      <c r="K288" t="s">
        <v>3578</v>
      </c>
      <c r="L288" t="s">
        <v>3579</v>
      </c>
      <c r="M288">
        <v>2550400</v>
      </c>
      <c r="N288">
        <v>3985000</v>
      </c>
      <c r="O288" t="s">
        <v>3580</v>
      </c>
      <c r="P288" s="1">
        <v>45221</v>
      </c>
      <c r="Q288" t="s">
        <v>3581</v>
      </c>
      <c r="R288" t="s">
        <v>3582</v>
      </c>
      <c r="S288" t="s">
        <v>72</v>
      </c>
      <c r="T288" t="s">
        <v>73</v>
      </c>
      <c r="U288" t="s">
        <v>714</v>
      </c>
      <c r="V288" t="s">
        <v>153</v>
      </c>
      <c r="W288" s="1">
        <v>44146</v>
      </c>
      <c r="X288" t="s">
        <v>682</v>
      </c>
      <c r="Y288" t="s">
        <v>3583</v>
      </c>
      <c r="Z288" t="s">
        <v>3584</v>
      </c>
      <c r="AA288">
        <v>6</v>
      </c>
      <c r="AB288" t="s">
        <v>56</v>
      </c>
      <c r="AC288" t="s">
        <v>3585</v>
      </c>
      <c r="AD288" t="s">
        <v>3586</v>
      </c>
      <c r="AE288" t="s">
        <v>59</v>
      </c>
      <c r="AF288">
        <v>3188000</v>
      </c>
      <c r="AG288">
        <v>63760</v>
      </c>
    </row>
    <row r="289" spans="1:35" x14ac:dyDescent="0.25">
      <c r="A289">
        <v>9</v>
      </c>
      <c r="B289" t="s">
        <v>3469</v>
      </c>
      <c r="C289" t="s">
        <v>3587</v>
      </c>
      <c r="D289" t="s">
        <v>3471</v>
      </c>
      <c r="E289" t="s">
        <v>39</v>
      </c>
      <c r="F289" t="s">
        <v>3588</v>
      </c>
      <c r="G289" t="s">
        <v>62</v>
      </c>
      <c r="H289" t="s">
        <v>3589</v>
      </c>
      <c r="I289" t="s">
        <v>73</v>
      </c>
      <c r="J289" t="s">
        <v>3590</v>
      </c>
      <c r="K289" t="s">
        <v>3591</v>
      </c>
      <c r="L289" t="s">
        <v>3592</v>
      </c>
      <c r="M289">
        <v>8972400</v>
      </c>
      <c r="N289">
        <v>14954000</v>
      </c>
      <c r="O289" t="s">
        <v>3593</v>
      </c>
      <c r="P289" s="1">
        <v>45210</v>
      </c>
      <c r="Q289" t="s">
        <v>3594</v>
      </c>
      <c r="R289" t="s">
        <v>3595</v>
      </c>
      <c r="S289" t="s">
        <v>72</v>
      </c>
      <c r="T289" t="s">
        <v>73</v>
      </c>
      <c r="U289" t="s">
        <v>3596</v>
      </c>
      <c r="V289" t="s">
        <v>75</v>
      </c>
      <c r="W289" s="1">
        <v>44439</v>
      </c>
      <c r="X289" t="s">
        <v>3597</v>
      </c>
      <c r="Y289" t="s">
        <v>3598</v>
      </c>
      <c r="Z289" t="s">
        <v>3599</v>
      </c>
      <c r="AA289">
        <v>5</v>
      </c>
      <c r="AB289" t="s">
        <v>73</v>
      </c>
      <c r="AC289" t="s">
        <v>73</v>
      </c>
      <c r="AD289" t="s">
        <v>73</v>
      </c>
      <c r="AE289" t="s">
        <v>319</v>
      </c>
      <c r="AF289">
        <v>13458600</v>
      </c>
      <c r="AG289">
        <v>235526</v>
      </c>
    </row>
    <row r="290" spans="1:35" x14ac:dyDescent="0.25">
      <c r="A290">
        <v>10</v>
      </c>
      <c r="B290" t="s">
        <v>3469</v>
      </c>
      <c r="C290" t="s">
        <v>3600</v>
      </c>
      <c r="D290" t="s">
        <v>3471</v>
      </c>
      <c r="E290" t="s">
        <v>39</v>
      </c>
      <c r="F290" t="s">
        <v>3601</v>
      </c>
      <c r="G290" t="s">
        <v>131</v>
      </c>
      <c r="H290" t="s">
        <v>3602</v>
      </c>
      <c r="I290" t="s">
        <v>3603</v>
      </c>
      <c r="J290" t="s">
        <v>73</v>
      </c>
      <c r="K290" t="s">
        <v>3604</v>
      </c>
      <c r="L290" t="s">
        <v>3605</v>
      </c>
      <c r="M290">
        <v>867750</v>
      </c>
      <c r="N290">
        <v>1335000</v>
      </c>
      <c r="O290" t="s">
        <v>3606</v>
      </c>
      <c r="P290" s="1">
        <v>45230</v>
      </c>
      <c r="Q290" t="s">
        <v>3607</v>
      </c>
      <c r="R290" t="s">
        <v>3608</v>
      </c>
      <c r="S290" t="s">
        <v>72</v>
      </c>
      <c r="T290" t="s">
        <v>73</v>
      </c>
      <c r="U290" t="s">
        <v>382</v>
      </c>
      <c r="V290" t="s">
        <v>75</v>
      </c>
      <c r="W290" s="1">
        <v>44425</v>
      </c>
      <c r="X290" t="s">
        <v>3609</v>
      </c>
      <c r="Y290" t="s">
        <v>3583</v>
      </c>
      <c r="Z290" t="s">
        <v>3610</v>
      </c>
      <c r="AA290">
        <v>5</v>
      </c>
      <c r="AB290" t="s">
        <v>56</v>
      </c>
      <c r="AC290" t="s">
        <v>3611</v>
      </c>
      <c r="AD290" t="s">
        <v>3612</v>
      </c>
      <c r="AE290" t="s">
        <v>59</v>
      </c>
      <c r="AF290">
        <v>1134750</v>
      </c>
      <c r="AG290">
        <v>22695</v>
      </c>
    </row>
    <row r="291" spans="1:35" x14ac:dyDescent="0.25">
      <c r="A291">
        <v>11</v>
      </c>
      <c r="B291" t="s">
        <v>3469</v>
      </c>
      <c r="C291" t="s">
        <v>3613</v>
      </c>
      <c r="D291" t="s">
        <v>3471</v>
      </c>
      <c r="E291" t="s">
        <v>39</v>
      </c>
      <c r="F291" t="s">
        <v>3614</v>
      </c>
      <c r="G291" t="s">
        <v>62</v>
      </c>
      <c r="H291" t="s">
        <v>3615</v>
      </c>
      <c r="I291" t="s">
        <v>73</v>
      </c>
      <c r="J291" t="s">
        <v>3616</v>
      </c>
      <c r="K291" t="s">
        <v>73</v>
      </c>
      <c r="L291" t="s">
        <v>3617</v>
      </c>
      <c r="M291">
        <v>2869200</v>
      </c>
      <c r="N291">
        <v>4782000</v>
      </c>
      <c r="O291" t="s">
        <v>3618</v>
      </c>
      <c r="P291" s="1">
        <v>45220</v>
      </c>
      <c r="Q291" t="s">
        <v>3619</v>
      </c>
      <c r="R291" t="s">
        <v>3620</v>
      </c>
      <c r="S291" t="s">
        <v>72</v>
      </c>
      <c r="T291" t="s">
        <v>73</v>
      </c>
      <c r="U291" t="s">
        <v>944</v>
      </c>
      <c r="V291" t="s">
        <v>75</v>
      </c>
      <c r="W291" s="1">
        <v>44408</v>
      </c>
      <c r="X291" t="s">
        <v>3621</v>
      </c>
      <c r="Y291" t="s">
        <v>3622</v>
      </c>
      <c r="Z291" t="s">
        <v>3623</v>
      </c>
      <c r="AA291">
        <v>5</v>
      </c>
      <c r="AB291" t="s">
        <v>199</v>
      </c>
      <c r="AC291" t="s">
        <v>3624</v>
      </c>
      <c r="AD291" t="s">
        <v>3625</v>
      </c>
      <c r="AE291" t="s">
        <v>319</v>
      </c>
      <c r="AF291">
        <v>4303800</v>
      </c>
      <c r="AG291">
        <v>75317</v>
      </c>
    </row>
    <row r="292" spans="1:35" x14ac:dyDescent="0.25">
      <c r="A292">
        <v>12</v>
      </c>
      <c r="B292" t="s">
        <v>3469</v>
      </c>
      <c r="C292" t="s">
        <v>3626</v>
      </c>
      <c r="D292" t="s">
        <v>3471</v>
      </c>
      <c r="E292" t="s">
        <v>39</v>
      </c>
      <c r="F292" t="s">
        <v>3627</v>
      </c>
      <c r="G292" t="s">
        <v>73</v>
      </c>
      <c r="H292" t="s">
        <v>3628</v>
      </c>
      <c r="I292" t="s">
        <v>73</v>
      </c>
      <c r="J292" t="s">
        <v>3629</v>
      </c>
      <c r="K292" t="s">
        <v>73</v>
      </c>
      <c r="L292" t="s">
        <v>3630</v>
      </c>
      <c r="M292">
        <v>909176</v>
      </c>
      <c r="N292">
        <v>1610000</v>
      </c>
      <c r="O292" t="s">
        <v>3631</v>
      </c>
      <c r="P292" t="s">
        <v>2175</v>
      </c>
      <c r="Q292" t="s">
        <v>73</v>
      </c>
      <c r="R292" t="s">
        <v>73</v>
      </c>
      <c r="S292" t="s">
        <v>73</v>
      </c>
      <c r="T292" t="s">
        <v>73</v>
      </c>
      <c r="U292" t="s">
        <v>73</v>
      </c>
      <c r="V292" t="s">
        <v>73</v>
      </c>
      <c r="W292" s="1">
        <v>44001</v>
      </c>
      <c r="X292" t="s">
        <v>731</v>
      </c>
      <c r="Y292" t="s">
        <v>3632</v>
      </c>
      <c r="Z292" t="s">
        <v>73</v>
      </c>
      <c r="AA292">
        <v>3</v>
      </c>
      <c r="AB292" t="s">
        <v>73</v>
      </c>
      <c r="AC292" t="s">
        <v>73</v>
      </c>
      <c r="AD292" t="s">
        <v>73</v>
      </c>
      <c r="AE292" t="s">
        <v>736</v>
      </c>
      <c r="AF292">
        <v>966000</v>
      </c>
      <c r="AG292">
        <v>0</v>
      </c>
      <c r="AH292" t="s">
        <v>3633</v>
      </c>
      <c r="AI292" t="s">
        <v>670</v>
      </c>
    </row>
    <row r="293" spans="1:35" x14ac:dyDescent="0.25">
      <c r="A293">
        <v>13</v>
      </c>
      <c r="B293" t="s">
        <v>3469</v>
      </c>
      <c r="C293" t="s">
        <v>3634</v>
      </c>
      <c r="D293" t="s">
        <v>3471</v>
      </c>
      <c r="E293" t="s">
        <v>39</v>
      </c>
      <c r="F293" t="s">
        <v>3635</v>
      </c>
      <c r="G293" t="s">
        <v>97</v>
      </c>
      <c r="H293" t="s">
        <v>3636</v>
      </c>
      <c r="I293" t="s">
        <v>73</v>
      </c>
      <c r="J293" t="s">
        <v>3637</v>
      </c>
      <c r="K293" t="s">
        <v>3638</v>
      </c>
      <c r="L293" t="s">
        <v>3639</v>
      </c>
      <c r="M293">
        <v>2180500</v>
      </c>
      <c r="N293">
        <v>3115000</v>
      </c>
      <c r="O293" t="s">
        <v>3640</v>
      </c>
      <c r="P293" t="s">
        <v>824</v>
      </c>
      <c r="Q293" t="s">
        <v>3641</v>
      </c>
      <c r="R293" t="s">
        <v>3642</v>
      </c>
      <c r="S293" t="s">
        <v>72</v>
      </c>
      <c r="T293" t="s">
        <v>73</v>
      </c>
      <c r="U293" t="s">
        <v>2369</v>
      </c>
      <c r="V293" t="s">
        <v>52</v>
      </c>
      <c r="W293" s="1">
        <v>43677</v>
      </c>
      <c r="X293" t="s">
        <v>775</v>
      </c>
      <c r="Y293" t="s">
        <v>776</v>
      </c>
      <c r="Z293" t="s">
        <v>3643</v>
      </c>
      <c r="AA293">
        <v>5</v>
      </c>
      <c r="AB293" t="s">
        <v>110</v>
      </c>
      <c r="AC293" t="s">
        <v>3644</v>
      </c>
      <c r="AD293" t="s">
        <v>667</v>
      </c>
      <c r="AE293" t="s">
        <v>668</v>
      </c>
      <c r="AF293">
        <v>1869000</v>
      </c>
      <c r="AG293">
        <v>0</v>
      </c>
    </row>
    <row r="294" spans="1:35" x14ac:dyDescent="0.25">
      <c r="A294">
        <v>14</v>
      </c>
      <c r="B294" t="s">
        <v>3469</v>
      </c>
      <c r="C294" t="s">
        <v>3645</v>
      </c>
      <c r="D294" t="s">
        <v>3471</v>
      </c>
      <c r="E294" t="s">
        <v>39</v>
      </c>
      <c r="F294" t="s">
        <v>3646</v>
      </c>
      <c r="G294" t="s">
        <v>62</v>
      </c>
      <c r="H294" t="s">
        <v>3647</v>
      </c>
      <c r="I294" t="s">
        <v>73</v>
      </c>
      <c r="J294" t="s">
        <v>3648</v>
      </c>
      <c r="K294" t="s">
        <v>73</v>
      </c>
      <c r="L294" t="s">
        <v>3649</v>
      </c>
      <c r="M294">
        <v>1980000</v>
      </c>
      <c r="N294">
        <v>3600000</v>
      </c>
      <c r="O294" t="s">
        <v>3650</v>
      </c>
      <c r="P294" t="s">
        <v>824</v>
      </c>
      <c r="Q294" t="s">
        <v>3651</v>
      </c>
      <c r="R294" t="s">
        <v>3652</v>
      </c>
      <c r="S294" t="s">
        <v>660</v>
      </c>
      <c r="T294" t="s">
        <v>3653</v>
      </c>
      <c r="U294" t="s">
        <v>3654</v>
      </c>
      <c r="V294" t="s">
        <v>829</v>
      </c>
      <c r="W294" s="1">
        <v>43677</v>
      </c>
      <c r="X294" t="s">
        <v>775</v>
      </c>
      <c r="Y294" t="s">
        <v>776</v>
      </c>
      <c r="Z294" t="s">
        <v>3655</v>
      </c>
      <c r="AA294">
        <v>5</v>
      </c>
      <c r="AB294" t="s">
        <v>56</v>
      </c>
      <c r="AC294" t="s">
        <v>3656</v>
      </c>
      <c r="AD294" t="s">
        <v>667</v>
      </c>
      <c r="AE294" t="s">
        <v>668</v>
      </c>
      <c r="AF294">
        <v>2160000</v>
      </c>
      <c r="AG294">
        <v>0</v>
      </c>
    </row>
    <row r="295" spans="1:35" x14ac:dyDescent="0.25">
      <c r="A295">
        <v>15</v>
      </c>
      <c r="B295" t="s">
        <v>3469</v>
      </c>
      <c r="C295" t="s">
        <v>3657</v>
      </c>
      <c r="D295" t="s">
        <v>3471</v>
      </c>
      <c r="E295" t="s">
        <v>39</v>
      </c>
      <c r="F295" t="s">
        <v>2665</v>
      </c>
      <c r="G295" t="s">
        <v>229</v>
      </c>
      <c r="H295" t="s">
        <v>2666</v>
      </c>
      <c r="I295" t="s">
        <v>2667</v>
      </c>
      <c r="J295" t="s">
        <v>2667</v>
      </c>
      <c r="K295" t="s">
        <v>176</v>
      </c>
      <c r="L295" t="s">
        <v>2668</v>
      </c>
      <c r="M295">
        <v>1600000</v>
      </c>
      <c r="N295">
        <v>2000000</v>
      </c>
      <c r="O295" t="s">
        <v>3658</v>
      </c>
      <c r="P295" t="s">
        <v>3659</v>
      </c>
      <c r="Q295" t="s">
        <v>3660</v>
      </c>
      <c r="R295" t="s">
        <v>3661</v>
      </c>
      <c r="S295" t="s">
        <v>49</v>
      </c>
      <c r="T295" t="s">
        <v>3662</v>
      </c>
      <c r="U295" t="s">
        <v>2801</v>
      </c>
      <c r="V295" t="s">
        <v>330</v>
      </c>
      <c r="W295" s="1">
        <v>43677</v>
      </c>
      <c r="X295" t="s">
        <v>775</v>
      </c>
      <c r="Y295" t="s">
        <v>776</v>
      </c>
      <c r="Z295" t="s">
        <v>3663</v>
      </c>
      <c r="AA295">
        <v>5</v>
      </c>
      <c r="AB295" t="s">
        <v>56</v>
      </c>
      <c r="AC295" t="s">
        <v>3664</v>
      </c>
      <c r="AD295" t="s">
        <v>667</v>
      </c>
      <c r="AE295" t="s">
        <v>668</v>
      </c>
      <c r="AF295">
        <v>1200000</v>
      </c>
      <c r="AG295">
        <v>0</v>
      </c>
    </row>
    <row r="296" spans="1:35" x14ac:dyDescent="0.25">
      <c r="A296">
        <v>16</v>
      </c>
      <c r="B296" t="s">
        <v>3469</v>
      </c>
      <c r="C296" t="s">
        <v>3665</v>
      </c>
      <c r="D296" t="s">
        <v>3471</v>
      </c>
      <c r="E296" t="s">
        <v>39</v>
      </c>
      <c r="F296" t="s">
        <v>3666</v>
      </c>
      <c r="G296" t="s">
        <v>189</v>
      </c>
      <c r="H296" t="s">
        <v>3667</v>
      </c>
      <c r="I296" t="s">
        <v>3668</v>
      </c>
      <c r="J296" t="s">
        <v>3668</v>
      </c>
      <c r="K296" t="s">
        <v>3669</v>
      </c>
      <c r="L296" t="s">
        <v>3670</v>
      </c>
      <c r="M296">
        <v>840000</v>
      </c>
      <c r="N296">
        <v>1400000</v>
      </c>
      <c r="O296" t="s">
        <v>3671</v>
      </c>
      <c r="P296" t="s">
        <v>657</v>
      </c>
      <c r="Q296" t="s">
        <v>3672</v>
      </c>
      <c r="R296" t="s">
        <v>3673</v>
      </c>
      <c r="S296" t="s">
        <v>49</v>
      </c>
      <c r="T296" t="s">
        <v>3674</v>
      </c>
      <c r="U296" t="s">
        <v>1607</v>
      </c>
      <c r="V296" t="s">
        <v>617</v>
      </c>
      <c r="W296" s="1">
        <v>43677</v>
      </c>
      <c r="X296" t="s">
        <v>775</v>
      </c>
      <c r="Y296" t="s">
        <v>776</v>
      </c>
      <c r="Z296" t="s">
        <v>3675</v>
      </c>
      <c r="AA296">
        <v>5</v>
      </c>
      <c r="AB296" t="s">
        <v>56</v>
      </c>
      <c r="AC296" t="s">
        <v>3676</v>
      </c>
      <c r="AD296" t="s">
        <v>667</v>
      </c>
      <c r="AE296" t="s">
        <v>668</v>
      </c>
      <c r="AF296">
        <v>840000</v>
      </c>
      <c r="AG296">
        <v>0</v>
      </c>
    </row>
    <row r="297" spans="1:35" x14ac:dyDescent="0.25">
      <c r="A297">
        <v>17</v>
      </c>
      <c r="B297" t="s">
        <v>3469</v>
      </c>
      <c r="C297" t="s">
        <v>3677</v>
      </c>
      <c r="D297" t="s">
        <v>3471</v>
      </c>
      <c r="E297" t="s">
        <v>39</v>
      </c>
      <c r="F297" t="s">
        <v>3678</v>
      </c>
      <c r="G297" t="s">
        <v>62</v>
      </c>
      <c r="H297" t="s">
        <v>3679</v>
      </c>
      <c r="I297" t="s">
        <v>3680</v>
      </c>
      <c r="J297" t="s">
        <v>3680</v>
      </c>
      <c r="K297" t="s">
        <v>3681</v>
      </c>
      <c r="L297" t="s">
        <v>3682</v>
      </c>
      <c r="M297">
        <v>3453750</v>
      </c>
      <c r="N297">
        <v>4605000</v>
      </c>
      <c r="O297" t="s">
        <v>3683</v>
      </c>
      <c r="P297" t="s">
        <v>945</v>
      </c>
      <c r="Q297" t="s">
        <v>3684</v>
      </c>
      <c r="R297" t="s">
        <v>3685</v>
      </c>
      <c r="S297" t="s">
        <v>72</v>
      </c>
      <c r="T297" t="s">
        <v>73</v>
      </c>
      <c r="U297" t="s">
        <v>3686</v>
      </c>
      <c r="V297" t="s">
        <v>153</v>
      </c>
      <c r="W297" s="1">
        <v>44119</v>
      </c>
      <c r="X297" t="s">
        <v>892</v>
      </c>
      <c r="Y297" t="s">
        <v>184</v>
      </c>
      <c r="Z297" t="s">
        <v>3687</v>
      </c>
      <c r="AA297">
        <v>5</v>
      </c>
      <c r="AB297" t="s">
        <v>263</v>
      </c>
      <c r="AC297" t="s">
        <v>3688</v>
      </c>
      <c r="AD297" t="s">
        <v>456</v>
      </c>
      <c r="AE297" t="s">
        <v>266</v>
      </c>
      <c r="AF297">
        <v>3453750</v>
      </c>
      <c r="AG297">
        <v>51806</v>
      </c>
    </row>
    <row r="298" spans="1:35" x14ac:dyDescent="0.25">
      <c r="A298">
        <v>18</v>
      </c>
      <c r="B298" t="s">
        <v>3469</v>
      </c>
      <c r="C298" t="s">
        <v>3689</v>
      </c>
      <c r="D298" t="s">
        <v>3471</v>
      </c>
      <c r="E298" t="s">
        <v>39</v>
      </c>
      <c r="F298" t="s">
        <v>3690</v>
      </c>
      <c r="G298" t="s">
        <v>115</v>
      </c>
      <c r="H298" t="s">
        <v>3691</v>
      </c>
      <c r="I298" t="s">
        <v>3692</v>
      </c>
      <c r="J298" t="s">
        <v>3692</v>
      </c>
      <c r="K298" t="s">
        <v>3693</v>
      </c>
      <c r="L298" t="s">
        <v>3694</v>
      </c>
      <c r="M298">
        <v>2699500</v>
      </c>
      <c r="N298">
        <v>5399000</v>
      </c>
      <c r="O298" t="s">
        <v>3695</v>
      </c>
      <c r="P298" t="s">
        <v>966</v>
      </c>
      <c r="Q298" t="s">
        <v>3696</v>
      </c>
      <c r="R298" t="s">
        <v>3697</v>
      </c>
      <c r="S298" t="s">
        <v>72</v>
      </c>
      <c r="T298" t="s">
        <v>73</v>
      </c>
      <c r="U298" t="s">
        <v>2135</v>
      </c>
      <c r="V298" t="s">
        <v>153</v>
      </c>
      <c r="W298" s="1">
        <v>44011</v>
      </c>
      <c r="X298" t="s">
        <v>892</v>
      </c>
      <c r="Y298" t="s">
        <v>776</v>
      </c>
      <c r="Z298" t="s">
        <v>3698</v>
      </c>
      <c r="AA298">
        <v>4</v>
      </c>
      <c r="AB298" t="s">
        <v>73</v>
      </c>
      <c r="AC298" t="s">
        <v>73</v>
      </c>
      <c r="AD298" t="s">
        <v>73</v>
      </c>
      <c r="AE298" t="s">
        <v>59</v>
      </c>
      <c r="AF298">
        <v>3239400</v>
      </c>
      <c r="AG298">
        <v>0</v>
      </c>
    </row>
    <row r="299" spans="1:35" x14ac:dyDescent="0.25">
      <c r="A299">
        <v>19</v>
      </c>
      <c r="B299" t="s">
        <v>3469</v>
      </c>
      <c r="C299" t="s">
        <v>3699</v>
      </c>
      <c r="D299" t="s">
        <v>3471</v>
      </c>
      <c r="E299" t="s">
        <v>39</v>
      </c>
      <c r="F299" t="s">
        <v>3700</v>
      </c>
      <c r="G299" t="s">
        <v>115</v>
      </c>
      <c r="H299" t="s">
        <v>3701</v>
      </c>
      <c r="I299" t="s">
        <v>3702</v>
      </c>
      <c r="J299" t="s">
        <v>3702</v>
      </c>
      <c r="K299" t="s">
        <v>176</v>
      </c>
      <c r="L299" t="s">
        <v>3703</v>
      </c>
      <c r="M299">
        <v>990000</v>
      </c>
      <c r="N299">
        <v>2200000</v>
      </c>
      <c r="O299" t="s">
        <v>3704</v>
      </c>
      <c r="P299" t="s">
        <v>318</v>
      </c>
      <c r="Q299" t="s">
        <v>3705</v>
      </c>
      <c r="R299" t="s">
        <v>3706</v>
      </c>
      <c r="S299" t="s">
        <v>49</v>
      </c>
      <c r="T299" t="s">
        <v>3707</v>
      </c>
      <c r="U299" t="s">
        <v>602</v>
      </c>
      <c r="V299" t="s">
        <v>788</v>
      </c>
      <c r="W299" s="1">
        <v>44042</v>
      </c>
      <c r="X299" t="s">
        <v>892</v>
      </c>
      <c r="Y299" t="s">
        <v>776</v>
      </c>
      <c r="Z299" t="s">
        <v>3708</v>
      </c>
      <c r="AA299">
        <v>4</v>
      </c>
      <c r="AB299" t="s">
        <v>56</v>
      </c>
      <c r="AC299" t="s">
        <v>3709</v>
      </c>
      <c r="AD299" t="s">
        <v>456</v>
      </c>
      <c r="AE299" t="s">
        <v>668</v>
      </c>
      <c r="AF299">
        <v>1320000</v>
      </c>
      <c r="AG299">
        <v>0</v>
      </c>
    </row>
    <row r="300" spans="1:35" x14ac:dyDescent="0.25">
      <c r="A300">
        <v>20</v>
      </c>
      <c r="B300" t="s">
        <v>3469</v>
      </c>
      <c r="C300" t="s">
        <v>3710</v>
      </c>
      <c r="D300" t="s">
        <v>3471</v>
      </c>
      <c r="E300" t="s">
        <v>39</v>
      </c>
      <c r="F300" t="s">
        <v>3711</v>
      </c>
      <c r="G300" t="s">
        <v>97</v>
      </c>
      <c r="H300" t="s">
        <v>3712</v>
      </c>
      <c r="I300" t="s">
        <v>3713</v>
      </c>
      <c r="J300" t="s">
        <v>73</v>
      </c>
      <c r="K300" t="s">
        <v>3714</v>
      </c>
      <c r="L300" t="s">
        <v>3715</v>
      </c>
      <c r="M300">
        <v>660000</v>
      </c>
      <c r="N300">
        <v>1100000</v>
      </c>
      <c r="O300" t="s">
        <v>3716</v>
      </c>
      <c r="P300" t="s">
        <v>1083</v>
      </c>
      <c r="Q300" t="s">
        <v>3717</v>
      </c>
      <c r="R300" t="s">
        <v>3718</v>
      </c>
      <c r="S300" t="s">
        <v>660</v>
      </c>
      <c r="T300" t="s">
        <v>3719</v>
      </c>
      <c r="U300" t="s">
        <v>3720</v>
      </c>
      <c r="V300" t="s">
        <v>788</v>
      </c>
      <c r="W300" s="1">
        <v>43676</v>
      </c>
      <c r="X300" t="s">
        <v>775</v>
      </c>
      <c r="Y300" t="s">
        <v>776</v>
      </c>
      <c r="Z300" t="s">
        <v>3721</v>
      </c>
      <c r="AA300">
        <v>5</v>
      </c>
      <c r="AB300" t="s">
        <v>110</v>
      </c>
      <c r="AC300" t="s">
        <v>3722</v>
      </c>
      <c r="AD300" t="s">
        <v>686</v>
      </c>
      <c r="AE300" t="s">
        <v>668</v>
      </c>
      <c r="AF300">
        <v>660000</v>
      </c>
      <c r="AG300">
        <v>0</v>
      </c>
    </row>
    <row r="301" spans="1:35" x14ac:dyDescent="0.25">
      <c r="A301">
        <v>21</v>
      </c>
      <c r="B301" t="s">
        <v>3469</v>
      </c>
      <c r="C301" t="s">
        <v>3723</v>
      </c>
      <c r="D301" t="s">
        <v>3471</v>
      </c>
      <c r="E301" t="s">
        <v>39</v>
      </c>
      <c r="F301" t="s">
        <v>3724</v>
      </c>
      <c r="G301" t="s">
        <v>97</v>
      </c>
      <c r="H301" t="s">
        <v>3725</v>
      </c>
      <c r="I301" t="s">
        <v>3726</v>
      </c>
      <c r="J301" t="s">
        <v>73</v>
      </c>
      <c r="K301" t="s">
        <v>3727</v>
      </c>
      <c r="L301" t="s">
        <v>3728</v>
      </c>
      <c r="M301">
        <v>596250</v>
      </c>
      <c r="N301">
        <v>795000</v>
      </c>
      <c r="O301" t="s">
        <v>3729</v>
      </c>
      <c r="P301" t="s">
        <v>1346</v>
      </c>
      <c r="Q301" t="s">
        <v>3730</v>
      </c>
      <c r="R301" t="s">
        <v>3731</v>
      </c>
      <c r="S301" t="s">
        <v>72</v>
      </c>
      <c r="T301" t="s">
        <v>73</v>
      </c>
      <c r="U301" t="s">
        <v>869</v>
      </c>
      <c r="V301" t="s">
        <v>617</v>
      </c>
      <c r="W301" s="1">
        <v>43308</v>
      </c>
      <c r="X301" t="s">
        <v>3732</v>
      </c>
      <c r="Y301" t="s">
        <v>1273</v>
      </c>
      <c r="Z301" t="s">
        <v>3733</v>
      </c>
      <c r="AA301">
        <v>6</v>
      </c>
      <c r="AB301" t="s">
        <v>56</v>
      </c>
      <c r="AC301" t="s">
        <v>3734</v>
      </c>
      <c r="AD301" t="s">
        <v>3732</v>
      </c>
      <c r="AE301" t="s">
        <v>736</v>
      </c>
      <c r="AF301">
        <v>477000</v>
      </c>
      <c r="AG301">
        <v>0</v>
      </c>
    </row>
    <row r="302" spans="1:35" x14ac:dyDescent="0.25">
      <c r="A302">
        <v>22</v>
      </c>
      <c r="B302" t="s">
        <v>3469</v>
      </c>
      <c r="C302" t="s">
        <v>3735</v>
      </c>
      <c r="D302" t="s">
        <v>3471</v>
      </c>
      <c r="E302" t="s">
        <v>39</v>
      </c>
      <c r="F302" t="s">
        <v>3736</v>
      </c>
      <c r="G302" t="s">
        <v>62</v>
      </c>
      <c r="H302" t="s">
        <v>3737</v>
      </c>
      <c r="I302" t="s">
        <v>3738</v>
      </c>
      <c r="J302" t="s">
        <v>3738</v>
      </c>
      <c r="K302" t="s">
        <v>3739</v>
      </c>
      <c r="L302" t="s">
        <v>3740</v>
      </c>
      <c r="M302">
        <v>1260000</v>
      </c>
      <c r="N302">
        <v>1800000</v>
      </c>
      <c r="O302" t="s">
        <v>3741</v>
      </c>
      <c r="P302" t="s">
        <v>1346</v>
      </c>
      <c r="Q302" t="s">
        <v>3742</v>
      </c>
      <c r="R302" t="s">
        <v>3743</v>
      </c>
      <c r="S302" t="s">
        <v>49</v>
      </c>
      <c r="T302" t="s">
        <v>3744</v>
      </c>
      <c r="U302" t="s">
        <v>2222</v>
      </c>
      <c r="V302" t="s">
        <v>52</v>
      </c>
      <c r="W302" s="1">
        <v>44039</v>
      </c>
      <c r="X302" t="s">
        <v>1215</v>
      </c>
      <c r="Y302" t="s">
        <v>1273</v>
      </c>
      <c r="Z302" t="s">
        <v>3745</v>
      </c>
      <c r="AA302">
        <v>4</v>
      </c>
      <c r="AB302" t="s">
        <v>56</v>
      </c>
      <c r="AC302" t="s">
        <v>3746</v>
      </c>
      <c r="AD302" t="s">
        <v>1215</v>
      </c>
      <c r="AE302" t="s">
        <v>59</v>
      </c>
      <c r="AF302">
        <v>1080000</v>
      </c>
      <c r="AG302">
        <v>0</v>
      </c>
    </row>
    <row r="303" spans="1:35" x14ac:dyDescent="0.25">
      <c r="A303">
        <v>23</v>
      </c>
      <c r="B303" t="s">
        <v>3469</v>
      </c>
      <c r="C303" t="s">
        <v>3747</v>
      </c>
      <c r="D303" t="s">
        <v>3471</v>
      </c>
      <c r="E303" t="s">
        <v>39</v>
      </c>
      <c r="F303" t="s">
        <v>3748</v>
      </c>
      <c r="G303" t="s">
        <v>62</v>
      </c>
      <c r="H303" t="s">
        <v>3749</v>
      </c>
      <c r="I303" t="s">
        <v>3750</v>
      </c>
      <c r="J303" t="s">
        <v>3750</v>
      </c>
      <c r="K303" t="s">
        <v>3750</v>
      </c>
      <c r="L303" t="s">
        <v>3751</v>
      </c>
      <c r="M303">
        <v>430000</v>
      </c>
      <c r="N303">
        <v>1000000</v>
      </c>
      <c r="O303" t="s">
        <v>3752</v>
      </c>
      <c r="P303" t="s">
        <v>1346</v>
      </c>
      <c r="Q303" t="s">
        <v>3753</v>
      </c>
      <c r="R303" t="s">
        <v>3754</v>
      </c>
      <c r="S303" t="s">
        <v>660</v>
      </c>
      <c r="T303" t="s">
        <v>3755</v>
      </c>
      <c r="U303" t="s">
        <v>3756</v>
      </c>
      <c r="V303" t="s">
        <v>603</v>
      </c>
      <c r="W303" s="1">
        <v>43672</v>
      </c>
      <c r="X303" t="s">
        <v>1301</v>
      </c>
      <c r="Y303" t="s">
        <v>1273</v>
      </c>
      <c r="Z303" t="s">
        <v>3757</v>
      </c>
      <c r="AA303">
        <v>5</v>
      </c>
      <c r="AB303" t="s">
        <v>56</v>
      </c>
      <c r="AC303" t="s">
        <v>3758</v>
      </c>
      <c r="AD303" t="s">
        <v>221</v>
      </c>
      <c r="AE303" t="s">
        <v>668</v>
      </c>
      <c r="AF303">
        <v>600000</v>
      </c>
      <c r="AG303">
        <v>0</v>
      </c>
    </row>
    <row r="304" spans="1:35" x14ac:dyDescent="0.25">
      <c r="A304">
        <v>24</v>
      </c>
      <c r="B304" t="s">
        <v>3469</v>
      </c>
      <c r="C304" t="s">
        <v>3759</v>
      </c>
      <c r="D304" t="s">
        <v>3471</v>
      </c>
      <c r="E304" t="s">
        <v>39</v>
      </c>
      <c r="F304" t="s">
        <v>3760</v>
      </c>
      <c r="G304" t="s">
        <v>3761</v>
      </c>
      <c r="H304" t="s">
        <v>3762</v>
      </c>
      <c r="I304" t="s">
        <v>3763</v>
      </c>
      <c r="J304" t="s">
        <v>73</v>
      </c>
      <c r="K304" t="s">
        <v>3764</v>
      </c>
      <c r="L304" t="s">
        <v>3765</v>
      </c>
      <c r="M304">
        <v>1960000</v>
      </c>
      <c r="N304">
        <v>2800000</v>
      </c>
      <c r="O304" t="s">
        <v>3766</v>
      </c>
      <c r="P304" t="s">
        <v>1360</v>
      </c>
      <c r="Q304" t="s">
        <v>3767</v>
      </c>
      <c r="R304" t="s">
        <v>3768</v>
      </c>
      <c r="S304" t="s">
        <v>660</v>
      </c>
      <c r="T304" t="s">
        <v>73</v>
      </c>
      <c r="U304" t="s">
        <v>3769</v>
      </c>
      <c r="V304" t="s">
        <v>330</v>
      </c>
      <c r="W304" s="1">
        <v>43675</v>
      </c>
      <c r="X304" t="s">
        <v>775</v>
      </c>
      <c r="Y304" t="s">
        <v>776</v>
      </c>
      <c r="Z304" t="s">
        <v>3770</v>
      </c>
      <c r="AA304">
        <v>5</v>
      </c>
      <c r="AB304" t="s">
        <v>110</v>
      </c>
      <c r="AC304" t="s">
        <v>3771</v>
      </c>
      <c r="AD304" t="s">
        <v>1446</v>
      </c>
      <c r="AE304" t="s">
        <v>668</v>
      </c>
      <c r="AF304">
        <v>1680000</v>
      </c>
      <c r="AG304">
        <v>0</v>
      </c>
    </row>
    <row r="305" spans="1:33" x14ac:dyDescent="0.25">
      <c r="A305">
        <v>25</v>
      </c>
      <c r="B305" t="s">
        <v>3469</v>
      </c>
      <c r="C305" t="s">
        <v>3772</v>
      </c>
      <c r="D305" t="s">
        <v>3471</v>
      </c>
      <c r="E305" t="s">
        <v>39</v>
      </c>
      <c r="F305" t="s">
        <v>3773</v>
      </c>
      <c r="G305" t="s">
        <v>115</v>
      </c>
      <c r="H305" t="s">
        <v>3774</v>
      </c>
      <c r="I305" t="s">
        <v>3775</v>
      </c>
      <c r="J305" t="s">
        <v>3776</v>
      </c>
      <c r="K305" t="s">
        <v>3777</v>
      </c>
      <c r="L305" t="s">
        <v>3778</v>
      </c>
      <c r="M305">
        <v>1500000</v>
      </c>
      <c r="N305">
        <v>2000000</v>
      </c>
      <c r="O305" t="s">
        <v>3779</v>
      </c>
      <c r="P305" t="s">
        <v>1360</v>
      </c>
      <c r="Q305" t="s">
        <v>3780</v>
      </c>
      <c r="R305" t="s">
        <v>3781</v>
      </c>
      <c r="S305" t="s">
        <v>49</v>
      </c>
      <c r="T305" t="s">
        <v>3782</v>
      </c>
      <c r="U305" t="s">
        <v>3783</v>
      </c>
      <c r="V305" t="s">
        <v>730</v>
      </c>
      <c r="W305" s="1">
        <v>43672</v>
      </c>
      <c r="X305" t="s">
        <v>1301</v>
      </c>
      <c r="Y305" t="s">
        <v>1273</v>
      </c>
      <c r="Z305" t="s">
        <v>3784</v>
      </c>
      <c r="AA305">
        <v>5</v>
      </c>
      <c r="AB305" t="s">
        <v>110</v>
      </c>
      <c r="AC305" t="s">
        <v>3785</v>
      </c>
      <c r="AD305" t="s">
        <v>1446</v>
      </c>
      <c r="AE305" t="s">
        <v>668</v>
      </c>
      <c r="AF305">
        <v>1200000</v>
      </c>
      <c r="AG305">
        <v>0</v>
      </c>
    </row>
    <row r="306" spans="1:33" x14ac:dyDescent="0.25">
      <c r="A306">
        <v>26</v>
      </c>
      <c r="B306" t="s">
        <v>3469</v>
      </c>
      <c r="C306" t="s">
        <v>3786</v>
      </c>
      <c r="D306" t="s">
        <v>3471</v>
      </c>
      <c r="E306" t="s">
        <v>39</v>
      </c>
      <c r="F306" t="s">
        <v>3787</v>
      </c>
      <c r="G306" t="s">
        <v>97</v>
      </c>
      <c r="H306" t="s">
        <v>3788</v>
      </c>
      <c r="I306" t="s">
        <v>73</v>
      </c>
      <c r="J306" t="s">
        <v>3789</v>
      </c>
      <c r="K306" t="s">
        <v>73</v>
      </c>
      <c r="L306" t="s">
        <v>3790</v>
      </c>
      <c r="M306">
        <v>1359750</v>
      </c>
      <c r="N306">
        <v>1942500</v>
      </c>
      <c r="O306" t="s">
        <v>3791</v>
      </c>
      <c r="P306" t="s">
        <v>1346</v>
      </c>
      <c r="Q306" t="s">
        <v>3792</v>
      </c>
      <c r="R306" t="s">
        <v>3793</v>
      </c>
      <c r="S306" t="s">
        <v>49</v>
      </c>
      <c r="T306" t="s">
        <v>73</v>
      </c>
      <c r="U306" t="s">
        <v>1841</v>
      </c>
      <c r="V306" t="s">
        <v>617</v>
      </c>
      <c r="W306" s="1">
        <v>43671</v>
      </c>
      <c r="X306" t="s">
        <v>1301</v>
      </c>
      <c r="Y306" t="s">
        <v>1273</v>
      </c>
      <c r="Z306" t="s">
        <v>3794</v>
      </c>
      <c r="AA306">
        <v>5</v>
      </c>
      <c r="AB306" t="s">
        <v>110</v>
      </c>
      <c r="AC306" t="s">
        <v>3795</v>
      </c>
      <c r="AD306" t="s">
        <v>1446</v>
      </c>
      <c r="AE306" t="s">
        <v>668</v>
      </c>
      <c r="AF306">
        <v>1165500</v>
      </c>
      <c r="AG306">
        <v>0</v>
      </c>
    </row>
    <row r="307" spans="1:33" x14ac:dyDescent="0.25">
      <c r="A307">
        <v>27</v>
      </c>
      <c r="B307" t="s">
        <v>3469</v>
      </c>
      <c r="C307" t="s">
        <v>3796</v>
      </c>
      <c r="D307" t="s">
        <v>3471</v>
      </c>
      <c r="E307" t="s">
        <v>39</v>
      </c>
      <c r="F307" t="s">
        <v>3797</v>
      </c>
      <c r="G307" t="s">
        <v>189</v>
      </c>
      <c r="H307" t="s">
        <v>3798</v>
      </c>
      <c r="I307" t="s">
        <v>3799</v>
      </c>
      <c r="J307" t="s">
        <v>3800</v>
      </c>
      <c r="K307" t="s">
        <v>3799</v>
      </c>
      <c r="L307" t="s">
        <v>3801</v>
      </c>
      <c r="M307">
        <v>1186500</v>
      </c>
      <c r="N307">
        <v>1695000</v>
      </c>
      <c r="O307" t="s">
        <v>3802</v>
      </c>
      <c r="P307" t="s">
        <v>1894</v>
      </c>
      <c r="Q307" t="s">
        <v>3803</v>
      </c>
      <c r="R307" t="s">
        <v>3804</v>
      </c>
      <c r="S307" t="s">
        <v>72</v>
      </c>
      <c r="T307" t="s">
        <v>73</v>
      </c>
      <c r="U307" t="s">
        <v>1607</v>
      </c>
      <c r="V307" t="s">
        <v>153</v>
      </c>
      <c r="W307" s="1">
        <v>44034</v>
      </c>
      <c r="X307" t="s">
        <v>1682</v>
      </c>
      <c r="Y307" t="s">
        <v>700</v>
      </c>
      <c r="Z307" t="s">
        <v>3805</v>
      </c>
      <c r="AA307">
        <v>4</v>
      </c>
      <c r="AB307" t="s">
        <v>56</v>
      </c>
      <c r="AC307" t="s">
        <v>3806</v>
      </c>
      <c r="AD307" t="s">
        <v>1682</v>
      </c>
      <c r="AE307" t="s">
        <v>668</v>
      </c>
      <c r="AF307">
        <v>1017000</v>
      </c>
      <c r="AG307">
        <v>0</v>
      </c>
    </row>
    <row r="308" spans="1:33" x14ac:dyDescent="0.25">
      <c r="A308">
        <v>28</v>
      </c>
      <c r="B308" t="s">
        <v>3469</v>
      </c>
      <c r="C308" t="s">
        <v>3807</v>
      </c>
      <c r="D308" t="s">
        <v>3471</v>
      </c>
      <c r="E308" t="s">
        <v>39</v>
      </c>
      <c r="F308" t="s">
        <v>3808</v>
      </c>
      <c r="G308" t="s">
        <v>291</v>
      </c>
      <c r="H308" t="s">
        <v>3809</v>
      </c>
      <c r="I308" t="s">
        <v>3810</v>
      </c>
      <c r="J308" t="s">
        <v>3810</v>
      </c>
      <c r="K308" t="s">
        <v>3810</v>
      </c>
      <c r="L308" t="s">
        <v>3811</v>
      </c>
      <c r="M308">
        <v>1499250</v>
      </c>
      <c r="N308">
        <v>1999000</v>
      </c>
      <c r="O308" t="s">
        <v>3812</v>
      </c>
      <c r="P308" t="s">
        <v>462</v>
      </c>
      <c r="Q308" t="s">
        <v>3813</v>
      </c>
      <c r="R308" t="s">
        <v>3814</v>
      </c>
      <c r="S308" t="s">
        <v>72</v>
      </c>
      <c r="T308" t="s">
        <v>73</v>
      </c>
      <c r="U308" t="s">
        <v>74</v>
      </c>
      <c r="V308" t="s">
        <v>153</v>
      </c>
      <c r="W308" s="1">
        <v>44007</v>
      </c>
      <c r="X308" t="s">
        <v>1215</v>
      </c>
      <c r="Y308" t="s">
        <v>1216</v>
      </c>
      <c r="Z308" t="s">
        <v>3815</v>
      </c>
      <c r="AA308">
        <v>5</v>
      </c>
      <c r="AB308" t="s">
        <v>56</v>
      </c>
      <c r="AC308" t="s">
        <v>3816</v>
      </c>
      <c r="AD308" t="s">
        <v>1682</v>
      </c>
      <c r="AE308" t="s">
        <v>668</v>
      </c>
      <c r="AF308">
        <v>1499250</v>
      </c>
      <c r="AG308">
        <v>37481</v>
      </c>
    </row>
    <row r="309" spans="1:33" x14ac:dyDescent="0.25">
      <c r="A309">
        <v>29</v>
      </c>
      <c r="B309" t="s">
        <v>3469</v>
      </c>
      <c r="C309" t="s">
        <v>3817</v>
      </c>
      <c r="D309" t="s">
        <v>3471</v>
      </c>
      <c r="E309" t="s">
        <v>39</v>
      </c>
      <c r="F309" t="s">
        <v>3818</v>
      </c>
      <c r="G309" t="s">
        <v>62</v>
      </c>
      <c r="H309" t="s">
        <v>3819</v>
      </c>
      <c r="I309" t="s">
        <v>3820</v>
      </c>
      <c r="J309" t="s">
        <v>3820</v>
      </c>
      <c r="K309" t="s">
        <v>3820</v>
      </c>
      <c r="L309" t="s">
        <v>3821</v>
      </c>
      <c r="M309">
        <v>1977750</v>
      </c>
      <c r="N309">
        <v>2637000</v>
      </c>
      <c r="O309" t="s">
        <v>3822</v>
      </c>
      <c r="P309" t="s">
        <v>589</v>
      </c>
      <c r="Q309" t="s">
        <v>3823</v>
      </c>
      <c r="R309" t="s">
        <v>3824</v>
      </c>
      <c r="S309" t="s">
        <v>72</v>
      </c>
      <c r="T309" t="s">
        <v>73</v>
      </c>
      <c r="U309" t="s">
        <v>3825</v>
      </c>
      <c r="V309" t="s">
        <v>730</v>
      </c>
      <c r="W309" s="1">
        <v>42936</v>
      </c>
      <c r="X309" t="s">
        <v>1730</v>
      </c>
      <c r="Y309" t="s">
        <v>700</v>
      </c>
      <c r="Z309" t="s">
        <v>3826</v>
      </c>
      <c r="AA309">
        <v>7</v>
      </c>
      <c r="AB309" t="s">
        <v>56</v>
      </c>
      <c r="AC309" t="s">
        <v>3827</v>
      </c>
      <c r="AD309" t="s">
        <v>3828</v>
      </c>
      <c r="AE309" t="s">
        <v>736</v>
      </c>
      <c r="AF309">
        <v>1582200</v>
      </c>
      <c r="AG309">
        <v>0</v>
      </c>
    </row>
    <row r="310" spans="1:33" x14ac:dyDescent="0.25">
      <c r="A310">
        <v>30</v>
      </c>
      <c r="B310" t="s">
        <v>3469</v>
      </c>
      <c r="C310" t="s">
        <v>3829</v>
      </c>
      <c r="D310" t="s">
        <v>3471</v>
      </c>
      <c r="E310" t="s">
        <v>39</v>
      </c>
      <c r="F310" t="s">
        <v>3830</v>
      </c>
      <c r="G310" t="s">
        <v>131</v>
      </c>
      <c r="H310" t="s">
        <v>3831</v>
      </c>
      <c r="I310" t="s">
        <v>3832</v>
      </c>
      <c r="J310" t="s">
        <v>73</v>
      </c>
      <c r="K310" t="s">
        <v>3833</v>
      </c>
      <c r="L310" t="s">
        <v>3834</v>
      </c>
      <c r="M310">
        <v>975000</v>
      </c>
      <c r="N310">
        <v>1625000</v>
      </c>
      <c r="O310" t="s">
        <v>3835</v>
      </c>
      <c r="P310" t="s">
        <v>1417</v>
      </c>
      <c r="Q310" t="s">
        <v>3836</v>
      </c>
      <c r="R310" t="s">
        <v>3837</v>
      </c>
      <c r="S310" t="s">
        <v>72</v>
      </c>
      <c r="T310" t="s">
        <v>73</v>
      </c>
      <c r="U310" t="s">
        <v>1298</v>
      </c>
      <c r="V310" t="s">
        <v>52</v>
      </c>
      <c r="W310" s="1">
        <v>43669</v>
      </c>
      <c r="X310" t="s">
        <v>1744</v>
      </c>
      <c r="Y310" t="s">
        <v>700</v>
      </c>
      <c r="Z310" t="s">
        <v>3838</v>
      </c>
      <c r="AA310">
        <v>5</v>
      </c>
      <c r="AB310" t="s">
        <v>56</v>
      </c>
      <c r="AC310" t="s">
        <v>3839</v>
      </c>
      <c r="AD310" t="s">
        <v>1747</v>
      </c>
      <c r="AE310" t="s">
        <v>668</v>
      </c>
      <c r="AF310">
        <v>975000</v>
      </c>
      <c r="AG310">
        <v>0</v>
      </c>
    </row>
    <row r="311" spans="1:33" x14ac:dyDescent="0.25">
      <c r="A311">
        <v>31</v>
      </c>
      <c r="B311" t="s">
        <v>3469</v>
      </c>
      <c r="C311" t="s">
        <v>3840</v>
      </c>
      <c r="D311" t="s">
        <v>3471</v>
      </c>
      <c r="E311" t="s">
        <v>39</v>
      </c>
      <c r="F311" t="s">
        <v>3841</v>
      </c>
      <c r="G311" t="s">
        <v>189</v>
      </c>
      <c r="H311" t="s">
        <v>3842</v>
      </c>
      <c r="I311" t="s">
        <v>3843</v>
      </c>
      <c r="J311" t="s">
        <v>3844</v>
      </c>
      <c r="K311" t="s">
        <v>3845</v>
      </c>
      <c r="L311" t="s">
        <v>3846</v>
      </c>
      <c r="M311">
        <v>880800</v>
      </c>
      <c r="N311">
        <v>1101000</v>
      </c>
      <c r="O311" t="s">
        <v>3847</v>
      </c>
      <c r="P311" t="s">
        <v>1894</v>
      </c>
      <c r="Q311" t="s">
        <v>3848</v>
      </c>
      <c r="R311" t="s">
        <v>3849</v>
      </c>
      <c r="S311" t="s">
        <v>72</v>
      </c>
      <c r="T311" t="s">
        <v>73</v>
      </c>
      <c r="U311" t="s">
        <v>446</v>
      </c>
      <c r="V311" t="s">
        <v>52</v>
      </c>
      <c r="W311" s="1">
        <v>43663</v>
      </c>
      <c r="X311" t="s">
        <v>1744</v>
      </c>
      <c r="Y311" t="s">
        <v>700</v>
      </c>
      <c r="Z311" t="s">
        <v>3850</v>
      </c>
      <c r="AA311">
        <v>5</v>
      </c>
      <c r="AB311" t="s">
        <v>110</v>
      </c>
      <c r="AC311" t="s">
        <v>3851</v>
      </c>
      <c r="AD311" t="s">
        <v>165</v>
      </c>
      <c r="AE311" t="s">
        <v>668</v>
      </c>
      <c r="AF311">
        <v>660600</v>
      </c>
      <c r="AG311">
        <v>0</v>
      </c>
    </row>
    <row r="312" spans="1:33" x14ac:dyDescent="0.25">
      <c r="A312">
        <v>32</v>
      </c>
      <c r="B312" t="s">
        <v>3469</v>
      </c>
      <c r="C312" t="s">
        <v>3852</v>
      </c>
      <c r="D312" t="s">
        <v>3471</v>
      </c>
      <c r="E312" t="s">
        <v>39</v>
      </c>
      <c r="F312" t="s">
        <v>3853</v>
      </c>
      <c r="G312" t="s">
        <v>115</v>
      </c>
      <c r="H312" t="s">
        <v>3854</v>
      </c>
      <c r="I312" t="s">
        <v>3855</v>
      </c>
      <c r="J312" t="s">
        <v>3856</v>
      </c>
      <c r="K312" t="s">
        <v>3855</v>
      </c>
      <c r="L312" t="s">
        <v>3857</v>
      </c>
      <c r="M312">
        <v>1480000</v>
      </c>
      <c r="N312">
        <v>1850000</v>
      </c>
      <c r="O312" t="s">
        <v>3858</v>
      </c>
      <c r="P312" t="s">
        <v>902</v>
      </c>
      <c r="Q312" t="s">
        <v>3859</v>
      </c>
      <c r="R312" t="s">
        <v>3860</v>
      </c>
      <c r="S312" t="s">
        <v>49</v>
      </c>
      <c r="T312" t="s">
        <v>3861</v>
      </c>
      <c r="U312" t="s">
        <v>3862</v>
      </c>
      <c r="V312" t="s">
        <v>788</v>
      </c>
      <c r="W312" s="1">
        <v>43662</v>
      </c>
      <c r="X312" t="s">
        <v>1744</v>
      </c>
      <c r="Y312" t="s">
        <v>700</v>
      </c>
      <c r="Z312" t="s">
        <v>3863</v>
      </c>
      <c r="AA312">
        <v>5</v>
      </c>
      <c r="AB312" t="s">
        <v>56</v>
      </c>
      <c r="AC312" t="s">
        <v>3864</v>
      </c>
      <c r="AD312" t="s">
        <v>165</v>
      </c>
      <c r="AE312" t="s">
        <v>668</v>
      </c>
      <c r="AF312">
        <v>1110000</v>
      </c>
      <c r="AG312">
        <v>0</v>
      </c>
    </row>
    <row r="313" spans="1:33" x14ac:dyDescent="0.25">
      <c r="A313">
        <v>33</v>
      </c>
      <c r="B313" t="s">
        <v>3469</v>
      </c>
      <c r="C313" t="s">
        <v>3865</v>
      </c>
      <c r="D313" t="s">
        <v>3471</v>
      </c>
      <c r="E313" t="s">
        <v>39</v>
      </c>
      <c r="F313" t="s">
        <v>3866</v>
      </c>
      <c r="G313" t="s">
        <v>3867</v>
      </c>
      <c r="H313" t="s">
        <v>3868</v>
      </c>
      <c r="I313" t="s">
        <v>3869</v>
      </c>
      <c r="J313" t="s">
        <v>3869</v>
      </c>
      <c r="K313" t="s">
        <v>3869</v>
      </c>
      <c r="L313" t="s">
        <v>3870</v>
      </c>
      <c r="M313">
        <v>1391250</v>
      </c>
      <c r="N313">
        <v>1855000</v>
      </c>
      <c r="O313" t="s">
        <v>3871</v>
      </c>
      <c r="P313" t="s">
        <v>902</v>
      </c>
      <c r="Q313" t="s">
        <v>3872</v>
      </c>
      <c r="R313" t="s">
        <v>3873</v>
      </c>
      <c r="S313" t="s">
        <v>72</v>
      </c>
      <c r="T313" t="s">
        <v>73</v>
      </c>
      <c r="U313" t="s">
        <v>2158</v>
      </c>
      <c r="V313" t="s">
        <v>52</v>
      </c>
      <c r="W313" s="1">
        <v>43664</v>
      </c>
      <c r="X313" t="s">
        <v>1744</v>
      </c>
      <c r="Y313" t="s">
        <v>700</v>
      </c>
      <c r="Z313" t="s">
        <v>3874</v>
      </c>
      <c r="AA313">
        <v>5</v>
      </c>
      <c r="AB313" t="s">
        <v>56</v>
      </c>
      <c r="AC313" t="s">
        <v>3875</v>
      </c>
      <c r="AD313" t="s">
        <v>165</v>
      </c>
      <c r="AE313" t="s">
        <v>668</v>
      </c>
      <c r="AF313">
        <v>1113000</v>
      </c>
      <c r="AG313">
        <v>0</v>
      </c>
    </row>
    <row r="314" spans="1:33" x14ac:dyDescent="0.25">
      <c r="A314">
        <v>34</v>
      </c>
      <c r="B314" t="s">
        <v>3469</v>
      </c>
      <c r="C314" t="s">
        <v>3876</v>
      </c>
      <c r="D314" t="s">
        <v>3471</v>
      </c>
      <c r="E314" t="s">
        <v>39</v>
      </c>
      <c r="F314" t="s">
        <v>3877</v>
      </c>
      <c r="G314" t="s">
        <v>62</v>
      </c>
      <c r="H314" t="s">
        <v>3878</v>
      </c>
      <c r="I314" t="s">
        <v>3879</v>
      </c>
      <c r="J314" t="s">
        <v>3879</v>
      </c>
      <c r="K314" t="s">
        <v>3879</v>
      </c>
      <c r="L314" t="s">
        <v>3880</v>
      </c>
      <c r="M314">
        <v>597550</v>
      </c>
      <c r="N314">
        <v>703000</v>
      </c>
      <c r="O314" t="s">
        <v>3881</v>
      </c>
      <c r="P314" t="s">
        <v>612</v>
      </c>
      <c r="Q314" t="s">
        <v>3882</v>
      </c>
      <c r="R314" t="s">
        <v>3883</v>
      </c>
      <c r="S314" t="s">
        <v>72</v>
      </c>
      <c r="T314" t="s">
        <v>73</v>
      </c>
      <c r="U314" t="s">
        <v>3884</v>
      </c>
      <c r="V314" t="s">
        <v>730</v>
      </c>
      <c r="W314" s="1">
        <v>42818</v>
      </c>
      <c r="X314" t="s">
        <v>3885</v>
      </c>
      <c r="Y314" t="s">
        <v>1273</v>
      </c>
      <c r="Z314" t="s">
        <v>3886</v>
      </c>
      <c r="AA314">
        <v>7</v>
      </c>
      <c r="AB314" t="s">
        <v>56</v>
      </c>
      <c r="AC314" t="s">
        <v>3887</v>
      </c>
      <c r="AD314" t="s">
        <v>3888</v>
      </c>
      <c r="AE314" t="s">
        <v>736</v>
      </c>
      <c r="AF314">
        <v>421800</v>
      </c>
      <c r="AG314">
        <v>0</v>
      </c>
    </row>
    <row r="315" spans="1:33" x14ac:dyDescent="0.25">
      <c r="A315">
        <v>35</v>
      </c>
      <c r="B315" t="s">
        <v>3469</v>
      </c>
      <c r="C315" t="s">
        <v>3889</v>
      </c>
      <c r="D315" t="s">
        <v>3471</v>
      </c>
      <c r="E315" t="s">
        <v>39</v>
      </c>
      <c r="F315" t="s">
        <v>3890</v>
      </c>
      <c r="G315" t="s">
        <v>131</v>
      </c>
      <c r="H315" t="s">
        <v>3891</v>
      </c>
      <c r="I315" t="s">
        <v>3892</v>
      </c>
      <c r="J315" t="s">
        <v>3893</v>
      </c>
      <c r="K315" t="s">
        <v>73</v>
      </c>
      <c r="L315" t="s">
        <v>3894</v>
      </c>
      <c r="M315">
        <v>1860000</v>
      </c>
      <c r="N315">
        <v>2325000</v>
      </c>
      <c r="O315" t="s">
        <v>3895</v>
      </c>
      <c r="P315" t="s">
        <v>979</v>
      </c>
      <c r="Q315" t="s">
        <v>3896</v>
      </c>
      <c r="R315" t="s">
        <v>3897</v>
      </c>
      <c r="S315" t="s">
        <v>72</v>
      </c>
      <c r="T315" t="s">
        <v>73</v>
      </c>
      <c r="U315" t="s">
        <v>3898</v>
      </c>
      <c r="V315" t="s">
        <v>52</v>
      </c>
      <c r="W315" s="1">
        <v>43661</v>
      </c>
      <c r="X315" t="s">
        <v>1744</v>
      </c>
      <c r="Y315" t="s">
        <v>700</v>
      </c>
      <c r="Z315" t="s">
        <v>3899</v>
      </c>
      <c r="AA315">
        <v>5</v>
      </c>
      <c r="AB315" t="s">
        <v>110</v>
      </c>
      <c r="AC315" t="s">
        <v>3900</v>
      </c>
      <c r="AD315" t="s">
        <v>3901</v>
      </c>
      <c r="AE315" t="s">
        <v>668</v>
      </c>
      <c r="AF315">
        <v>1395000</v>
      </c>
      <c r="AG315">
        <v>0</v>
      </c>
    </row>
    <row r="316" spans="1:33" x14ac:dyDescent="0.25">
      <c r="A316">
        <v>36</v>
      </c>
      <c r="B316" t="s">
        <v>3469</v>
      </c>
      <c r="C316" t="s">
        <v>3902</v>
      </c>
      <c r="D316" t="s">
        <v>3471</v>
      </c>
      <c r="E316" t="s">
        <v>39</v>
      </c>
      <c r="F316" t="s">
        <v>3903</v>
      </c>
      <c r="G316" t="s">
        <v>41</v>
      </c>
      <c r="H316" t="s">
        <v>3904</v>
      </c>
      <c r="I316" t="s">
        <v>3905</v>
      </c>
      <c r="J316" t="s">
        <v>3905</v>
      </c>
      <c r="K316" t="s">
        <v>3905</v>
      </c>
      <c r="L316" t="s">
        <v>3906</v>
      </c>
      <c r="M316">
        <v>1025750</v>
      </c>
      <c r="N316">
        <v>1865000</v>
      </c>
      <c r="O316" t="s">
        <v>3907</v>
      </c>
      <c r="P316" t="s">
        <v>1028</v>
      </c>
      <c r="Q316" t="s">
        <v>3908</v>
      </c>
      <c r="R316" t="s">
        <v>3909</v>
      </c>
      <c r="S316" t="s">
        <v>72</v>
      </c>
      <c r="T316" t="s">
        <v>73</v>
      </c>
      <c r="U316" t="s">
        <v>3910</v>
      </c>
      <c r="V316" t="s">
        <v>153</v>
      </c>
      <c r="W316" s="1">
        <v>44026</v>
      </c>
      <c r="X316" t="s">
        <v>1682</v>
      </c>
      <c r="Y316" t="s">
        <v>700</v>
      </c>
      <c r="Z316" t="s">
        <v>3911</v>
      </c>
      <c r="AA316">
        <v>4</v>
      </c>
      <c r="AB316" t="s">
        <v>263</v>
      </c>
      <c r="AC316" t="s">
        <v>3912</v>
      </c>
      <c r="AD316" t="s">
        <v>2175</v>
      </c>
      <c r="AE316" t="s">
        <v>668</v>
      </c>
      <c r="AF316">
        <v>1119000</v>
      </c>
      <c r="AG316">
        <v>0</v>
      </c>
    </row>
    <row r="317" spans="1:33" x14ac:dyDescent="0.25">
      <c r="A317">
        <v>37</v>
      </c>
      <c r="B317" t="s">
        <v>3469</v>
      </c>
      <c r="C317" t="s">
        <v>3913</v>
      </c>
      <c r="D317" t="s">
        <v>3471</v>
      </c>
      <c r="E317" t="s">
        <v>39</v>
      </c>
      <c r="F317" t="s">
        <v>3914</v>
      </c>
      <c r="G317" t="s">
        <v>97</v>
      </c>
      <c r="H317" t="s">
        <v>3915</v>
      </c>
      <c r="I317" t="s">
        <v>3916</v>
      </c>
      <c r="J317" t="s">
        <v>73</v>
      </c>
      <c r="K317" t="s">
        <v>3917</v>
      </c>
      <c r="L317" t="s">
        <v>3918</v>
      </c>
      <c r="M317">
        <v>975000</v>
      </c>
      <c r="N317">
        <v>1300000</v>
      </c>
      <c r="O317" t="s">
        <v>3919</v>
      </c>
      <c r="P317" t="s">
        <v>979</v>
      </c>
      <c r="Q317" t="s">
        <v>3920</v>
      </c>
      <c r="R317" t="s">
        <v>3921</v>
      </c>
      <c r="S317" t="s">
        <v>660</v>
      </c>
      <c r="T317" t="s">
        <v>73</v>
      </c>
      <c r="U317" t="s">
        <v>3922</v>
      </c>
      <c r="V317" t="s">
        <v>330</v>
      </c>
      <c r="W317" s="1">
        <v>43658</v>
      </c>
      <c r="X317" t="s">
        <v>2245</v>
      </c>
      <c r="Y317" t="s">
        <v>3923</v>
      </c>
      <c r="Z317" t="s">
        <v>3924</v>
      </c>
      <c r="AA317">
        <v>5</v>
      </c>
      <c r="AB317" t="s">
        <v>110</v>
      </c>
      <c r="AC317" t="s">
        <v>3925</v>
      </c>
      <c r="AD317" t="s">
        <v>2245</v>
      </c>
      <c r="AE317" t="s">
        <v>668</v>
      </c>
      <c r="AF317">
        <v>780000</v>
      </c>
      <c r="AG317">
        <v>0</v>
      </c>
    </row>
    <row r="318" spans="1:33" x14ac:dyDescent="0.25">
      <c r="A318">
        <v>38</v>
      </c>
      <c r="B318" t="s">
        <v>3469</v>
      </c>
      <c r="C318" t="s">
        <v>3926</v>
      </c>
      <c r="D318" t="s">
        <v>3471</v>
      </c>
      <c r="E318" t="s">
        <v>39</v>
      </c>
      <c r="F318" t="s">
        <v>3927</v>
      </c>
      <c r="G318" t="s">
        <v>62</v>
      </c>
      <c r="H318" t="s">
        <v>3928</v>
      </c>
      <c r="I318" t="s">
        <v>3929</v>
      </c>
      <c r="J318" t="s">
        <v>3929</v>
      </c>
      <c r="K318" t="s">
        <v>3930</v>
      </c>
      <c r="L318" t="s">
        <v>3931</v>
      </c>
      <c r="M318">
        <v>1112800</v>
      </c>
      <c r="N318">
        <v>1391000</v>
      </c>
      <c r="O318" t="s">
        <v>3932</v>
      </c>
      <c r="P318" t="s">
        <v>612</v>
      </c>
      <c r="Q318" t="s">
        <v>3933</v>
      </c>
      <c r="R318" t="s">
        <v>3934</v>
      </c>
      <c r="S318" t="s">
        <v>72</v>
      </c>
      <c r="T318" t="s">
        <v>73</v>
      </c>
      <c r="U318" t="s">
        <v>168</v>
      </c>
      <c r="V318" t="s">
        <v>730</v>
      </c>
      <c r="W318" s="1">
        <v>42927</v>
      </c>
      <c r="X318" t="s">
        <v>3935</v>
      </c>
      <c r="Y318" t="s">
        <v>3923</v>
      </c>
      <c r="Z318" t="s">
        <v>3936</v>
      </c>
      <c r="AA318">
        <v>7</v>
      </c>
      <c r="AB318" t="s">
        <v>1991</v>
      </c>
      <c r="AC318" t="s">
        <v>3937</v>
      </c>
      <c r="AD318" t="s">
        <v>3938</v>
      </c>
      <c r="AE318" t="s">
        <v>736</v>
      </c>
      <c r="AF318">
        <v>834600</v>
      </c>
      <c r="AG318">
        <v>0</v>
      </c>
    </row>
    <row r="319" spans="1:33" x14ac:dyDescent="0.25">
      <c r="A319">
        <v>39</v>
      </c>
      <c r="B319" t="s">
        <v>3469</v>
      </c>
      <c r="C319" t="s">
        <v>3939</v>
      </c>
      <c r="D319" t="s">
        <v>3471</v>
      </c>
      <c r="E319" t="s">
        <v>39</v>
      </c>
      <c r="F319" t="s">
        <v>3940</v>
      </c>
      <c r="G319" t="s">
        <v>189</v>
      </c>
      <c r="H319" t="s">
        <v>3941</v>
      </c>
      <c r="I319" t="s">
        <v>3942</v>
      </c>
      <c r="J319" t="s">
        <v>3943</v>
      </c>
      <c r="K319" t="s">
        <v>3944</v>
      </c>
      <c r="L319" t="s">
        <v>3945</v>
      </c>
      <c r="M319">
        <v>1198500</v>
      </c>
      <c r="N319">
        <v>1598000</v>
      </c>
      <c r="O319" t="s">
        <v>3946</v>
      </c>
      <c r="P319" t="s">
        <v>456</v>
      </c>
      <c r="Q319" t="s">
        <v>3947</v>
      </c>
      <c r="R319" t="s">
        <v>3948</v>
      </c>
      <c r="S319" t="s">
        <v>72</v>
      </c>
      <c r="T319" t="s">
        <v>73</v>
      </c>
      <c r="U319" t="s">
        <v>3949</v>
      </c>
      <c r="V319" t="s">
        <v>153</v>
      </c>
      <c r="W319" s="1">
        <v>44027</v>
      </c>
      <c r="X319" t="s">
        <v>1682</v>
      </c>
      <c r="Y319" t="s">
        <v>700</v>
      </c>
      <c r="Z319" t="s">
        <v>3950</v>
      </c>
      <c r="AA319">
        <v>4</v>
      </c>
      <c r="AB319" t="s">
        <v>56</v>
      </c>
      <c r="AC319" t="s">
        <v>3951</v>
      </c>
      <c r="AD319" t="s">
        <v>2111</v>
      </c>
      <c r="AE319" t="s">
        <v>668</v>
      </c>
      <c r="AF319">
        <v>958800</v>
      </c>
      <c r="AG319">
        <v>0</v>
      </c>
    </row>
    <row r="320" spans="1:33" x14ac:dyDescent="0.25">
      <c r="A320">
        <v>40</v>
      </c>
      <c r="B320" t="s">
        <v>3469</v>
      </c>
      <c r="C320" t="s">
        <v>3952</v>
      </c>
      <c r="D320" t="s">
        <v>3471</v>
      </c>
      <c r="E320" t="s">
        <v>39</v>
      </c>
      <c r="F320" t="s">
        <v>3953</v>
      </c>
      <c r="G320" t="s">
        <v>97</v>
      </c>
      <c r="H320" t="s">
        <v>3954</v>
      </c>
      <c r="I320" t="s">
        <v>3955</v>
      </c>
      <c r="J320" t="s">
        <v>73</v>
      </c>
      <c r="K320" t="s">
        <v>3956</v>
      </c>
      <c r="L320" t="s">
        <v>3957</v>
      </c>
      <c r="M320">
        <v>722400</v>
      </c>
      <c r="N320">
        <v>1290000</v>
      </c>
      <c r="O320" t="s">
        <v>3958</v>
      </c>
      <c r="P320" t="s">
        <v>46</v>
      </c>
      <c r="Q320" t="s">
        <v>3959</v>
      </c>
      <c r="R320" t="s">
        <v>3960</v>
      </c>
      <c r="S320" t="s">
        <v>660</v>
      </c>
      <c r="T320" t="s">
        <v>3961</v>
      </c>
      <c r="U320" t="s">
        <v>2244</v>
      </c>
      <c r="V320" t="s">
        <v>330</v>
      </c>
      <c r="W320" s="1">
        <v>43657</v>
      </c>
      <c r="X320" t="s">
        <v>2245</v>
      </c>
      <c r="Y320" t="s">
        <v>3923</v>
      </c>
      <c r="Z320" t="s">
        <v>3962</v>
      </c>
      <c r="AA320">
        <v>5</v>
      </c>
      <c r="AB320" t="s">
        <v>110</v>
      </c>
      <c r="AC320" t="s">
        <v>3963</v>
      </c>
      <c r="AD320" t="s">
        <v>3964</v>
      </c>
      <c r="AE320" t="s">
        <v>668</v>
      </c>
      <c r="AF320">
        <v>774000</v>
      </c>
      <c r="AG320">
        <v>0</v>
      </c>
    </row>
    <row r="321" spans="1:33" x14ac:dyDescent="0.25">
      <c r="A321">
        <v>41</v>
      </c>
      <c r="B321" t="s">
        <v>3469</v>
      </c>
      <c r="C321" t="s">
        <v>3965</v>
      </c>
      <c r="D321" t="s">
        <v>3471</v>
      </c>
      <c r="E321" t="s">
        <v>39</v>
      </c>
      <c r="F321" t="s">
        <v>3966</v>
      </c>
      <c r="G321" t="s">
        <v>131</v>
      </c>
      <c r="H321" t="s">
        <v>3967</v>
      </c>
      <c r="I321" t="s">
        <v>3968</v>
      </c>
      <c r="J321" t="s">
        <v>73</v>
      </c>
      <c r="K321" t="s">
        <v>176</v>
      </c>
      <c r="L321" t="s">
        <v>3969</v>
      </c>
      <c r="M321">
        <v>1186250</v>
      </c>
      <c r="N321">
        <v>1625000</v>
      </c>
      <c r="O321" t="s">
        <v>73</v>
      </c>
      <c r="P321" t="s">
        <v>73</v>
      </c>
      <c r="Q321" t="s">
        <v>3970</v>
      </c>
      <c r="R321" t="s">
        <v>3971</v>
      </c>
      <c r="S321" t="s">
        <v>72</v>
      </c>
      <c r="T321" t="s">
        <v>73</v>
      </c>
      <c r="U321" t="s">
        <v>1607</v>
      </c>
      <c r="V321" t="s">
        <v>52</v>
      </c>
      <c r="W321" s="1">
        <v>43661</v>
      </c>
      <c r="X321" t="s">
        <v>1744</v>
      </c>
      <c r="Y321" t="s">
        <v>358</v>
      </c>
      <c r="Z321" t="s">
        <v>3972</v>
      </c>
      <c r="AA321">
        <v>6</v>
      </c>
      <c r="AB321" t="s">
        <v>199</v>
      </c>
      <c r="AC321" t="s">
        <v>3973</v>
      </c>
      <c r="AD321" t="s">
        <v>3974</v>
      </c>
      <c r="AE321" t="s">
        <v>668</v>
      </c>
      <c r="AF321">
        <v>1137500</v>
      </c>
      <c r="AG321">
        <v>28438</v>
      </c>
    </row>
    <row r="322" spans="1:33" x14ac:dyDescent="0.25">
      <c r="A322">
        <v>42</v>
      </c>
      <c r="B322" t="s">
        <v>3469</v>
      </c>
      <c r="C322" t="s">
        <v>3975</v>
      </c>
      <c r="D322" t="s">
        <v>3471</v>
      </c>
      <c r="E322" t="s">
        <v>39</v>
      </c>
      <c r="F322" t="s">
        <v>3976</v>
      </c>
      <c r="G322" t="s">
        <v>62</v>
      </c>
      <c r="H322" t="s">
        <v>3977</v>
      </c>
      <c r="I322" t="s">
        <v>3978</v>
      </c>
      <c r="J322" t="s">
        <v>3978</v>
      </c>
      <c r="K322" t="s">
        <v>73</v>
      </c>
      <c r="L322" t="s">
        <v>3979</v>
      </c>
      <c r="M322">
        <v>1145250</v>
      </c>
      <c r="N322">
        <v>1527000</v>
      </c>
      <c r="O322" t="s">
        <v>3980</v>
      </c>
      <c r="P322" t="s">
        <v>456</v>
      </c>
      <c r="Q322" t="s">
        <v>3981</v>
      </c>
      <c r="R322" t="s">
        <v>3982</v>
      </c>
      <c r="S322" t="s">
        <v>72</v>
      </c>
      <c r="T322" t="s">
        <v>73</v>
      </c>
      <c r="U322" t="s">
        <v>2306</v>
      </c>
      <c r="V322" t="s">
        <v>730</v>
      </c>
      <c r="W322" s="1">
        <v>42765</v>
      </c>
      <c r="X322" t="s">
        <v>3935</v>
      </c>
      <c r="Y322" t="s">
        <v>3923</v>
      </c>
      <c r="Z322" t="s">
        <v>3983</v>
      </c>
      <c r="AA322">
        <v>7</v>
      </c>
      <c r="AB322" t="s">
        <v>947</v>
      </c>
      <c r="AC322" t="s">
        <v>3984</v>
      </c>
      <c r="AD322" t="s">
        <v>3985</v>
      </c>
      <c r="AE322" t="s">
        <v>736</v>
      </c>
      <c r="AF322">
        <v>916200</v>
      </c>
      <c r="AG322">
        <v>0</v>
      </c>
    </row>
    <row r="323" spans="1:33" x14ac:dyDescent="0.25">
      <c r="A323">
        <v>43</v>
      </c>
      <c r="B323" t="s">
        <v>3469</v>
      </c>
      <c r="C323" t="s">
        <v>3986</v>
      </c>
      <c r="D323" t="s">
        <v>3471</v>
      </c>
      <c r="E323" t="s">
        <v>39</v>
      </c>
      <c r="F323" t="s">
        <v>3987</v>
      </c>
      <c r="G323" t="s">
        <v>115</v>
      </c>
      <c r="H323" t="s">
        <v>3988</v>
      </c>
      <c r="I323" t="s">
        <v>3989</v>
      </c>
      <c r="J323" t="s">
        <v>3989</v>
      </c>
      <c r="K323" t="s">
        <v>3990</v>
      </c>
      <c r="L323" t="s">
        <v>3991</v>
      </c>
      <c r="M323">
        <v>2040000</v>
      </c>
      <c r="N323">
        <v>3400000</v>
      </c>
      <c r="O323" t="s">
        <v>3992</v>
      </c>
      <c r="P323" t="s">
        <v>3993</v>
      </c>
      <c r="Q323" t="s">
        <v>3994</v>
      </c>
      <c r="R323" t="s">
        <v>3995</v>
      </c>
      <c r="S323" t="s">
        <v>49</v>
      </c>
      <c r="T323" t="s">
        <v>3996</v>
      </c>
      <c r="U323" t="s">
        <v>3997</v>
      </c>
      <c r="V323" t="s">
        <v>730</v>
      </c>
      <c r="W323" s="1">
        <v>44408</v>
      </c>
      <c r="X323" t="s">
        <v>183</v>
      </c>
      <c r="Y323" t="s">
        <v>776</v>
      </c>
      <c r="Z323" t="s">
        <v>3998</v>
      </c>
      <c r="AA323">
        <v>3</v>
      </c>
      <c r="AB323" t="s">
        <v>199</v>
      </c>
      <c r="AC323" t="s">
        <v>3999</v>
      </c>
      <c r="AD323" t="s">
        <v>2322</v>
      </c>
      <c r="AE323" t="s">
        <v>59</v>
      </c>
      <c r="AF323">
        <v>2040000</v>
      </c>
      <c r="AG323">
        <v>0</v>
      </c>
    </row>
    <row r="324" spans="1:33" x14ac:dyDescent="0.25">
      <c r="A324">
        <v>44</v>
      </c>
      <c r="B324" t="s">
        <v>3469</v>
      </c>
      <c r="C324" t="s">
        <v>4000</v>
      </c>
      <c r="D324" t="s">
        <v>3471</v>
      </c>
      <c r="E324" t="s">
        <v>39</v>
      </c>
      <c r="F324" t="s">
        <v>4001</v>
      </c>
      <c r="G324" t="s">
        <v>229</v>
      </c>
      <c r="H324" t="s">
        <v>4002</v>
      </c>
      <c r="I324" t="s">
        <v>73</v>
      </c>
      <c r="J324" t="s">
        <v>4003</v>
      </c>
      <c r="K324" t="s">
        <v>73</v>
      </c>
      <c r="L324" t="s">
        <v>4004</v>
      </c>
      <c r="M324">
        <v>34200000</v>
      </c>
      <c r="N324">
        <v>57000000</v>
      </c>
      <c r="O324" t="s">
        <v>4005</v>
      </c>
      <c r="P324" t="s">
        <v>678</v>
      </c>
      <c r="Q324" t="s">
        <v>4006</v>
      </c>
      <c r="R324" t="s">
        <v>4007</v>
      </c>
      <c r="S324" t="s">
        <v>660</v>
      </c>
      <c r="T324" t="s">
        <v>73</v>
      </c>
      <c r="U324" t="s">
        <v>4008</v>
      </c>
      <c r="V324" t="s">
        <v>603</v>
      </c>
      <c r="W324" s="1">
        <v>44407</v>
      </c>
      <c r="X324" t="s">
        <v>183</v>
      </c>
      <c r="Y324" t="s">
        <v>776</v>
      </c>
      <c r="Z324" t="s">
        <v>4009</v>
      </c>
      <c r="AA324">
        <v>3</v>
      </c>
      <c r="AB324" t="s">
        <v>73</v>
      </c>
      <c r="AC324" t="s">
        <v>73</v>
      </c>
      <c r="AD324" t="s">
        <v>73</v>
      </c>
      <c r="AE324" t="s">
        <v>266</v>
      </c>
      <c r="AF324">
        <v>34200000</v>
      </c>
      <c r="AG324">
        <v>0</v>
      </c>
    </row>
    <row r="325" spans="1:33" x14ac:dyDescent="0.25">
      <c r="A325">
        <v>45</v>
      </c>
      <c r="B325" t="s">
        <v>3469</v>
      </c>
      <c r="C325" t="s">
        <v>4010</v>
      </c>
      <c r="D325" t="s">
        <v>3471</v>
      </c>
      <c r="E325" t="s">
        <v>39</v>
      </c>
      <c r="F325" t="s">
        <v>4011</v>
      </c>
      <c r="G325" t="s">
        <v>62</v>
      </c>
      <c r="H325" t="s">
        <v>4012</v>
      </c>
      <c r="I325" t="s">
        <v>4013</v>
      </c>
      <c r="J325" t="s">
        <v>4013</v>
      </c>
      <c r="K325" t="s">
        <v>4014</v>
      </c>
      <c r="L325" t="s">
        <v>4015</v>
      </c>
      <c r="M325">
        <v>4969300</v>
      </c>
      <c r="N325">
        <v>7099000</v>
      </c>
      <c r="O325" t="s">
        <v>4016</v>
      </c>
      <c r="P325" t="s">
        <v>954</v>
      </c>
      <c r="Q325" t="s">
        <v>4017</v>
      </c>
      <c r="R325" t="s">
        <v>4018</v>
      </c>
      <c r="S325" t="s">
        <v>72</v>
      </c>
      <c r="T325" t="s">
        <v>73</v>
      </c>
      <c r="U325" t="s">
        <v>4019</v>
      </c>
      <c r="V325" t="s">
        <v>75</v>
      </c>
      <c r="W325" s="1">
        <v>44411</v>
      </c>
      <c r="X325" t="s">
        <v>183</v>
      </c>
      <c r="Y325" t="s">
        <v>776</v>
      </c>
      <c r="Z325" t="s">
        <v>4020</v>
      </c>
      <c r="AA325">
        <v>3</v>
      </c>
      <c r="AB325" t="s">
        <v>199</v>
      </c>
      <c r="AC325" t="s">
        <v>4021</v>
      </c>
      <c r="AD325" t="s">
        <v>763</v>
      </c>
      <c r="AE325" t="s">
        <v>266</v>
      </c>
      <c r="AF325">
        <v>4259400</v>
      </c>
      <c r="AG325">
        <v>0</v>
      </c>
    </row>
    <row r="326" spans="1:33" x14ac:dyDescent="0.25">
      <c r="A326">
        <v>46</v>
      </c>
      <c r="B326" t="s">
        <v>3469</v>
      </c>
      <c r="C326" t="s">
        <v>4022</v>
      </c>
      <c r="D326" t="s">
        <v>3471</v>
      </c>
      <c r="E326" t="s">
        <v>39</v>
      </c>
      <c r="F326" t="s">
        <v>4023</v>
      </c>
      <c r="G326" t="s">
        <v>115</v>
      </c>
      <c r="H326" t="s">
        <v>4024</v>
      </c>
      <c r="I326" t="s">
        <v>73</v>
      </c>
      <c r="J326" t="s">
        <v>4025</v>
      </c>
      <c r="K326" t="s">
        <v>73</v>
      </c>
      <c r="L326" t="s">
        <v>4026</v>
      </c>
      <c r="M326">
        <v>2483400</v>
      </c>
      <c r="N326">
        <v>4139000</v>
      </c>
      <c r="O326" t="s">
        <v>4027</v>
      </c>
      <c r="P326" t="s">
        <v>3209</v>
      </c>
      <c r="Q326" t="s">
        <v>4028</v>
      </c>
      <c r="R326" t="s">
        <v>4029</v>
      </c>
      <c r="S326" t="s">
        <v>72</v>
      </c>
      <c r="T326" t="s">
        <v>73</v>
      </c>
      <c r="U326" t="s">
        <v>4030</v>
      </c>
      <c r="V326" t="s">
        <v>75</v>
      </c>
      <c r="W326" s="1">
        <v>44287</v>
      </c>
      <c r="X326" t="s">
        <v>183</v>
      </c>
      <c r="Y326" t="s">
        <v>776</v>
      </c>
      <c r="Z326" t="s">
        <v>4031</v>
      </c>
      <c r="AA326">
        <v>3</v>
      </c>
      <c r="AB326" t="s">
        <v>947</v>
      </c>
      <c r="AC326" t="s">
        <v>4032</v>
      </c>
      <c r="AD326" t="s">
        <v>598</v>
      </c>
      <c r="AE326" t="s">
        <v>59</v>
      </c>
      <c r="AF326">
        <v>2483400</v>
      </c>
      <c r="AG326">
        <v>0</v>
      </c>
    </row>
    <row r="327" spans="1:33" x14ac:dyDescent="0.25">
      <c r="A327">
        <v>47</v>
      </c>
      <c r="B327" t="s">
        <v>3469</v>
      </c>
      <c r="C327" t="s">
        <v>4033</v>
      </c>
      <c r="D327" t="s">
        <v>3471</v>
      </c>
      <c r="E327" t="s">
        <v>39</v>
      </c>
      <c r="F327" t="s">
        <v>4034</v>
      </c>
      <c r="G327" t="s">
        <v>115</v>
      </c>
      <c r="H327" t="s">
        <v>4035</v>
      </c>
      <c r="I327" t="s">
        <v>4036</v>
      </c>
      <c r="J327" t="s">
        <v>4036</v>
      </c>
      <c r="K327" t="s">
        <v>4037</v>
      </c>
      <c r="L327" t="s">
        <v>4038</v>
      </c>
      <c r="M327">
        <v>1384000</v>
      </c>
      <c r="N327">
        <v>1730000</v>
      </c>
      <c r="O327" t="s">
        <v>4039</v>
      </c>
      <c r="P327" t="s">
        <v>2739</v>
      </c>
      <c r="Q327" t="s">
        <v>4040</v>
      </c>
      <c r="R327" t="s">
        <v>4041</v>
      </c>
      <c r="S327" t="s">
        <v>72</v>
      </c>
      <c r="T327" t="s">
        <v>73</v>
      </c>
      <c r="U327" t="s">
        <v>1298</v>
      </c>
      <c r="V327" t="s">
        <v>75</v>
      </c>
      <c r="W327" s="1">
        <v>44319</v>
      </c>
      <c r="X327" t="s">
        <v>183</v>
      </c>
      <c r="Y327" t="s">
        <v>776</v>
      </c>
      <c r="Z327" t="s">
        <v>4042</v>
      </c>
      <c r="AA327">
        <v>3</v>
      </c>
      <c r="AB327" t="s">
        <v>56</v>
      </c>
      <c r="AC327" t="s">
        <v>4043</v>
      </c>
      <c r="AD327" t="s">
        <v>902</v>
      </c>
      <c r="AE327" t="s">
        <v>59</v>
      </c>
      <c r="AF327">
        <v>1038000</v>
      </c>
      <c r="AG327">
        <v>0</v>
      </c>
    </row>
    <row r="328" spans="1:33" x14ac:dyDescent="0.25">
      <c r="A328">
        <v>48</v>
      </c>
      <c r="B328" t="s">
        <v>3469</v>
      </c>
      <c r="C328" t="s">
        <v>4044</v>
      </c>
      <c r="D328" t="s">
        <v>3471</v>
      </c>
      <c r="E328" t="s">
        <v>39</v>
      </c>
      <c r="F328" t="s">
        <v>4045</v>
      </c>
      <c r="G328" t="s">
        <v>115</v>
      </c>
      <c r="H328" t="s">
        <v>4046</v>
      </c>
      <c r="I328" t="s">
        <v>4047</v>
      </c>
      <c r="J328" t="s">
        <v>4047</v>
      </c>
      <c r="K328" t="s">
        <v>4048</v>
      </c>
      <c r="L328" t="s">
        <v>4049</v>
      </c>
      <c r="M328">
        <v>819000</v>
      </c>
      <c r="N328">
        <v>1170000</v>
      </c>
      <c r="O328" t="s">
        <v>4050</v>
      </c>
      <c r="P328" t="s">
        <v>318</v>
      </c>
      <c r="Q328" t="s">
        <v>4051</v>
      </c>
      <c r="R328" t="s">
        <v>4052</v>
      </c>
      <c r="S328" t="s">
        <v>49</v>
      </c>
      <c r="T328" t="s">
        <v>4053</v>
      </c>
      <c r="U328" t="s">
        <v>4054</v>
      </c>
      <c r="V328" t="s">
        <v>330</v>
      </c>
      <c r="W328" s="1">
        <v>44407</v>
      </c>
      <c r="X328" t="s">
        <v>183</v>
      </c>
      <c r="Y328" t="s">
        <v>776</v>
      </c>
      <c r="Z328" t="s">
        <v>4055</v>
      </c>
      <c r="AA328">
        <v>3</v>
      </c>
      <c r="AB328" t="s">
        <v>199</v>
      </c>
      <c r="AC328" t="s">
        <v>4056</v>
      </c>
      <c r="AD328" t="s">
        <v>902</v>
      </c>
      <c r="AE328" t="s">
        <v>59</v>
      </c>
      <c r="AF328">
        <v>702000</v>
      </c>
      <c r="AG328">
        <v>0</v>
      </c>
    </row>
    <row r="329" spans="1:33" x14ac:dyDescent="0.25">
      <c r="A329">
        <v>49</v>
      </c>
      <c r="B329" t="s">
        <v>3469</v>
      </c>
      <c r="C329" t="s">
        <v>4057</v>
      </c>
      <c r="D329" t="s">
        <v>3471</v>
      </c>
      <c r="E329" t="s">
        <v>39</v>
      </c>
      <c r="F329" t="s">
        <v>4058</v>
      </c>
      <c r="G329" t="s">
        <v>622</v>
      </c>
      <c r="H329" t="s">
        <v>4059</v>
      </c>
      <c r="I329" t="s">
        <v>4060</v>
      </c>
      <c r="J329" t="s">
        <v>4060</v>
      </c>
      <c r="K329" t="s">
        <v>4060</v>
      </c>
      <c r="L329" t="s">
        <v>4061</v>
      </c>
      <c r="M329">
        <v>1281000</v>
      </c>
      <c r="N329">
        <v>1830000</v>
      </c>
      <c r="O329" t="s">
        <v>4062</v>
      </c>
      <c r="P329" t="s">
        <v>657</v>
      </c>
      <c r="Q329" t="s">
        <v>4063</v>
      </c>
      <c r="R329" t="s">
        <v>4064</v>
      </c>
      <c r="S329" t="s">
        <v>72</v>
      </c>
      <c r="T329" t="s">
        <v>73</v>
      </c>
      <c r="U329" t="s">
        <v>4065</v>
      </c>
      <c r="V329" t="s">
        <v>75</v>
      </c>
      <c r="W329" s="1">
        <v>44408</v>
      </c>
      <c r="X329" t="s">
        <v>183</v>
      </c>
      <c r="Y329" t="s">
        <v>760</v>
      </c>
      <c r="Z329" t="s">
        <v>4066</v>
      </c>
      <c r="AA329">
        <v>5</v>
      </c>
      <c r="AB329" t="s">
        <v>199</v>
      </c>
      <c r="AC329" t="s">
        <v>4067</v>
      </c>
      <c r="AD329" t="s">
        <v>902</v>
      </c>
      <c r="AE329" t="s">
        <v>59</v>
      </c>
      <c r="AF329">
        <v>1464000</v>
      </c>
      <c r="AG329">
        <v>29280</v>
      </c>
    </row>
    <row r="330" spans="1:33" x14ac:dyDescent="0.25">
      <c r="A330">
        <v>50</v>
      </c>
      <c r="B330" t="s">
        <v>3469</v>
      </c>
      <c r="C330" t="s">
        <v>4068</v>
      </c>
      <c r="D330" t="s">
        <v>3471</v>
      </c>
      <c r="E330" t="s">
        <v>39</v>
      </c>
      <c r="F330" t="s">
        <v>4069</v>
      </c>
      <c r="G330" t="s">
        <v>2470</v>
      </c>
      <c r="H330" t="s">
        <v>4070</v>
      </c>
      <c r="I330" t="s">
        <v>4071</v>
      </c>
      <c r="J330" t="s">
        <v>4072</v>
      </c>
      <c r="K330" t="s">
        <v>4071</v>
      </c>
      <c r="L330" t="s">
        <v>4073</v>
      </c>
      <c r="M330">
        <v>934500</v>
      </c>
      <c r="N330">
        <v>1335000</v>
      </c>
      <c r="O330" t="s">
        <v>4074</v>
      </c>
      <c r="P330" t="s">
        <v>1755</v>
      </c>
      <c r="Q330" t="s">
        <v>4075</v>
      </c>
      <c r="R330" t="s">
        <v>4076</v>
      </c>
      <c r="S330" t="s">
        <v>72</v>
      </c>
      <c r="T330" t="s">
        <v>73</v>
      </c>
      <c r="U330" t="s">
        <v>1965</v>
      </c>
      <c r="V330" t="s">
        <v>75</v>
      </c>
      <c r="W330" s="1">
        <v>44408</v>
      </c>
      <c r="X330" t="s">
        <v>183</v>
      </c>
      <c r="Y330" t="s">
        <v>776</v>
      </c>
      <c r="Z330" t="s">
        <v>4077</v>
      </c>
      <c r="AA330">
        <v>3</v>
      </c>
      <c r="AB330" t="s">
        <v>947</v>
      </c>
      <c r="AC330" t="s">
        <v>4078</v>
      </c>
      <c r="AD330" t="s">
        <v>4079</v>
      </c>
      <c r="AE330" t="s">
        <v>59</v>
      </c>
      <c r="AF330">
        <v>801000</v>
      </c>
      <c r="AG330">
        <v>0</v>
      </c>
    </row>
    <row r="331" spans="1:33" x14ac:dyDescent="0.25">
      <c r="A331">
        <v>51</v>
      </c>
      <c r="B331" t="s">
        <v>3469</v>
      </c>
      <c r="C331" t="s">
        <v>4080</v>
      </c>
      <c r="D331" t="s">
        <v>3471</v>
      </c>
      <c r="E331" t="s">
        <v>39</v>
      </c>
      <c r="F331" t="s">
        <v>4081</v>
      </c>
      <c r="G331" t="s">
        <v>115</v>
      </c>
      <c r="H331" t="s">
        <v>4082</v>
      </c>
      <c r="I331" t="s">
        <v>4083</v>
      </c>
      <c r="J331" t="s">
        <v>4083</v>
      </c>
      <c r="K331" t="s">
        <v>176</v>
      </c>
      <c r="L331" t="s">
        <v>4084</v>
      </c>
      <c r="M331">
        <v>2996950</v>
      </c>
      <c r="N331">
        <v>5449000</v>
      </c>
      <c r="O331" t="s">
        <v>4085</v>
      </c>
      <c r="P331" t="s">
        <v>1346</v>
      </c>
      <c r="Q331" t="s">
        <v>4086</v>
      </c>
      <c r="R331" t="s">
        <v>4087</v>
      </c>
      <c r="S331" t="s">
        <v>72</v>
      </c>
      <c r="T331" t="s">
        <v>73</v>
      </c>
      <c r="U331" t="s">
        <v>4088</v>
      </c>
      <c r="V331" t="s">
        <v>75</v>
      </c>
      <c r="W331" s="1">
        <v>44404</v>
      </c>
      <c r="X331" t="s">
        <v>3236</v>
      </c>
      <c r="Y331" t="s">
        <v>1273</v>
      </c>
      <c r="Z331" t="s">
        <v>4089</v>
      </c>
      <c r="AA331">
        <v>3</v>
      </c>
      <c r="AB331" t="s">
        <v>199</v>
      </c>
      <c r="AC331" t="s">
        <v>4090</v>
      </c>
      <c r="AD331" t="s">
        <v>4079</v>
      </c>
      <c r="AE331" t="s">
        <v>59</v>
      </c>
      <c r="AF331">
        <v>3269400</v>
      </c>
      <c r="AG331">
        <v>0</v>
      </c>
    </row>
    <row r="332" spans="1:33" x14ac:dyDescent="0.25">
      <c r="A332">
        <v>52</v>
      </c>
      <c r="B332" t="s">
        <v>3469</v>
      </c>
      <c r="C332" t="s">
        <v>4091</v>
      </c>
      <c r="D332" t="s">
        <v>3471</v>
      </c>
      <c r="E332" t="s">
        <v>39</v>
      </c>
      <c r="F332" t="s">
        <v>4092</v>
      </c>
      <c r="G332" t="s">
        <v>189</v>
      </c>
      <c r="H332" t="s">
        <v>4093</v>
      </c>
      <c r="I332" t="s">
        <v>4094</v>
      </c>
      <c r="J332" t="s">
        <v>4095</v>
      </c>
      <c r="K332" t="s">
        <v>4094</v>
      </c>
      <c r="L332" t="s">
        <v>4096</v>
      </c>
      <c r="M332">
        <v>2943680</v>
      </c>
      <c r="N332">
        <v>9199000</v>
      </c>
      <c r="O332" t="s">
        <v>4097</v>
      </c>
      <c r="P332" t="s">
        <v>1857</v>
      </c>
      <c r="Q332" t="s">
        <v>4098</v>
      </c>
      <c r="R332" t="s">
        <v>4099</v>
      </c>
      <c r="S332" t="s">
        <v>72</v>
      </c>
      <c r="T332" t="s">
        <v>73</v>
      </c>
      <c r="U332" t="s">
        <v>4100</v>
      </c>
      <c r="V332" t="s">
        <v>313</v>
      </c>
      <c r="W332" s="1">
        <v>45131</v>
      </c>
      <c r="X332" t="s">
        <v>756</v>
      </c>
      <c r="Y332" t="s">
        <v>1273</v>
      </c>
      <c r="Z332" t="s">
        <v>4101</v>
      </c>
      <c r="AA332">
        <v>1</v>
      </c>
      <c r="AB332" t="s">
        <v>263</v>
      </c>
      <c r="AC332" t="s">
        <v>4102</v>
      </c>
      <c r="AD332" t="s">
        <v>945</v>
      </c>
      <c r="AE332" t="s">
        <v>319</v>
      </c>
      <c r="AF332">
        <v>5519400</v>
      </c>
      <c r="AG332">
        <v>0</v>
      </c>
    </row>
    <row r="333" spans="1:33" x14ac:dyDescent="0.25">
      <c r="A333">
        <v>53</v>
      </c>
      <c r="B333" t="s">
        <v>3469</v>
      </c>
      <c r="C333" t="s">
        <v>4103</v>
      </c>
      <c r="D333" t="s">
        <v>3471</v>
      </c>
      <c r="E333" t="s">
        <v>39</v>
      </c>
      <c r="F333" t="s">
        <v>4104</v>
      </c>
      <c r="G333" t="s">
        <v>115</v>
      </c>
      <c r="H333" t="s">
        <v>4105</v>
      </c>
      <c r="I333" t="s">
        <v>4106</v>
      </c>
      <c r="J333" t="s">
        <v>4106</v>
      </c>
      <c r="K333" t="s">
        <v>176</v>
      </c>
      <c r="L333" t="s">
        <v>4107</v>
      </c>
      <c r="M333">
        <v>1625000</v>
      </c>
      <c r="N333">
        <v>2500000</v>
      </c>
      <c r="O333" t="s">
        <v>4108</v>
      </c>
      <c r="P333" t="s">
        <v>1857</v>
      </c>
      <c r="Q333" t="s">
        <v>4109</v>
      </c>
      <c r="R333" t="s">
        <v>4110</v>
      </c>
      <c r="S333" t="s">
        <v>49</v>
      </c>
      <c r="T333" t="s">
        <v>73</v>
      </c>
      <c r="U333" t="s">
        <v>602</v>
      </c>
      <c r="V333" t="s">
        <v>330</v>
      </c>
      <c r="W333" s="1">
        <v>44764</v>
      </c>
      <c r="X333" t="s">
        <v>447</v>
      </c>
      <c r="Y333" t="s">
        <v>1216</v>
      </c>
      <c r="Z333" t="s">
        <v>4111</v>
      </c>
      <c r="AA333">
        <v>3</v>
      </c>
      <c r="AB333" t="s">
        <v>110</v>
      </c>
      <c r="AC333" t="s">
        <v>4112</v>
      </c>
      <c r="AD333" t="s">
        <v>124</v>
      </c>
      <c r="AE333" t="s">
        <v>266</v>
      </c>
      <c r="AF333">
        <v>2125000</v>
      </c>
      <c r="AG333">
        <v>31875</v>
      </c>
    </row>
    <row r="334" spans="1:33" x14ac:dyDescent="0.25">
      <c r="A334">
        <v>54</v>
      </c>
      <c r="B334" t="s">
        <v>3469</v>
      </c>
      <c r="C334" t="s">
        <v>4113</v>
      </c>
      <c r="D334" t="s">
        <v>3471</v>
      </c>
      <c r="E334" t="s">
        <v>39</v>
      </c>
      <c r="F334" t="s">
        <v>4114</v>
      </c>
      <c r="G334" t="s">
        <v>291</v>
      </c>
      <c r="H334" t="s">
        <v>4115</v>
      </c>
      <c r="I334" t="s">
        <v>4116</v>
      </c>
      <c r="J334" t="s">
        <v>4116</v>
      </c>
      <c r="K334" t="s">
        <v>4116</v>
      </c>
      <c r="L334" t="s">
        <v>4117</v>
      </c>
      <c r="M334">
        <v>2722400</v>
      </c>
      <c r="N334">
        <v>3403000</v>
      </c>
      <c r="O334" t="s">
        <v>4118</v>
      </c>
      <c r="P334" t="s">
        <v>456</v>
      </c>
      <c r="Q334" t="s">
        <v>4119</v>
      </c>
      <c r="R334" t="s">
        <v>4120</v>
      </c>
      <c r="S334" t="s">
        <v>72</v>
      </c>
      <c r="T334" t="s">
        <v>73</v>
      </c>
      <c r="U334" t="s">
        <v>4121</v>
      </c>
      <c r="V334" t="s">
        <v>75</v>
      </c>
      <c r="W334" s="1">
        <v>44390</v>
      </c>
      <c r="X334" t="s">
        <v>154</v>
      </c>
      <c r="Y334" t="s">
        <v>700</v>
      </c>
      <c r="Z334" t="s">
        <v>4122</v>
      </c>
      <c r="AA334">
        <v>3</v>
      </c>
      <c r="AB334" t="s">
        <v>263</v>
      </c>
      <c r="AC334" t="s">
        <v>4123</v>
      </c>
      <c r="AD334" t="s">
        <v>941</v>
      </c>
      <c r="AE334" t="s">
        <v>59</v>
      </c>
      <c r="AF334">
        <v>2041800</v>
      </c>
      <c r="AG334">
        <v>0</v>
      </c>
    </row>
    <row r="335" spans="1:33" x14ac:dyDescent="0.25">
      <c r="A335">
        <v>55</v>
      </c>
      <c r="B335" t="s">
        <v>3469</v>
      </c>
      <c r="C335" t="s">
        <v>4124</v>
      </c>
      <c r="D335" t="s">
        <v>3471</v>
      </c>
      <c r="E335" t="s">
        <v>39</v>
      </c>
      <c r="F335" t="s">
        <v>4125</v>
      </c>
      <c r="G335" t="s">
        <v>4126</v>
      </c>
      <c r="H335" t="s">
        <v>4127</v>
      </c>
      <c r="I335" t="s">
        <v>4128</v>
      </c>
      <c r="J335" t="s">
        <v>4128</v>
      </c>
      <c r="K335" t="s">
        <v>4128</v>
      </c>
      <c r="L335" t="s">
        <v>4129</v>
      </c>
      <c r="M335">
        <v>979500</v>
      </c>
      <c r="N335">
        <v>1306000</v>
      </c>
      <c r="O335" t="s">
        <v>4130</v>
      </c>
      <c r="P335" t="s">
        <v>2172</v>
      </c>
      <c r="Q335" t="s">
        <v>4131</v>
      </c>
      <c r="R335" t="s">
        <v>4132</v>
      </c>
      <c r="S335" t="s">
        <v>72</v>
      </c>
      <c r="T335" t="s">
        <v>73</v>
      </c>
      <c r="U335" t="s">
        <v>105</v>
      </c>
      <c r="V335" t="s">
        <v>106</v>
      </c>
      <c r="W335" s="1">
        <v>44590</v>
      </c>
      <c r="X335" t="s">
        <v>124</v>
      </c>
      <c r="Y335" t="s">
        <v>700</v>
      </c>
      <c r="Z335" t="s">
        <v>4133</v>
      </c>
      <c r="AA335">
        <v>2</v>
      </c>
      <c r="AB335" t="s">
        <v>56</v>
      </c>
      <c r="AC335" t="s">
        <v>4134</v>
      </c>
      <c r="AD335" t="s">
        <v>1620</v>
      </c>
      <c r="AE335" t="s">
        <v>59</v>
      </c>
      <c r="AF335">
        <v>783600</v>
      </c>
      <c r="AG335">
        <v>0</v>
      </c>
    </row>
    <row r="336" spans="1:33" x14ac:dyDescent="0.25">
      <c r="A336">
        <v>56</v>
      </c>
      <c r="B336" t="s">
        <v>3469</v>
      </c>
      <c r="C336" t="s">
        <v>4135</v>
      </c>
      <c r="D336" t="s">
        <v>3471</v>
      </c>
      <c r="E336" t="s">
        <v>39</v>
      </c>
      <c r="F336" t="s">
        <v>4136</v>
      </c>
      <c r="G336" t="s">
        <v>115</v>
      </c>
      <c r="H336" t="s">
        <v>4137</v>
      </c>
      <c r="I336" t="s">
        <v>73</v>
      </c>
      <c r="J336" t="s">
        <v>4138</v>
      </c>
      <c r="K336" t="s">
        <v>73</v>
      </c>
      <c r="L336" t="s">
        <v>4139</v>
      </c>
      <c r="M336">
        <v>2800000</v>
      </c>
      <c r="N336" t="e">
        <v>#N/A</v>
      </c>
      <c r="O336" t="s">
        <v>4140</v>
      </c>
      <c r="P336" s="1">
        <v>45503</v>
      </c>
      <c r="Q336" t="s">
        <v>4141</v>
      </c>
      <c r="R336" t="s">
        <v>4142</v>
      </c>
      <c r="S336" t="s">
        <v>72</v>
      </c>
      <c r="T336" t="s">
        <v>73</v>
      </c>
      <c r="U336" t="s">
        <v>2517</v>
      </c>
      <c r="V336" t="s">
        <v>617</v>
      </c>
      <c r="W336" t="s">
        <v>2322</v>
      </c>
      <c r="X336" t="s">
        <v>183</v>
      </c>
      <c r="Y336" t="s">
        <v>184</v>
      </c>
      <c r="Z336" t="s">
        <v>4143</v>
      </c>
      <c r="AA336">
        <v>4</v>
      </c>
      <c r="AB336" t="s">
        <v>56</v>
      </c>
      <c r="AC336" t="s">
        <v>4144</v>
      </c>
      <c r="AD336" t="s">
        <v>2322</v>
      </c>
      <c r="AE336" t="s">
        <v>59</v>
      </c>
      <c r="AF336">
        <v>2240000</v>
      </c>
      <c r="AG336">
        <v>44800</v>
      </c>
    </row>
    <row r="337" spans="1:33" x14ac:dyDescent="0.25">
      <c r="A337">
        <v>57</v>
      </c>
      <c r="B337" t="s">
        <v>3469</v>
      </c>
      <c r="C337" t="s">
        <v>4145</v>
      </c>
      <c r="D337" t="s">
        <v>3471</v>
      </c>
      <c r="E337" t="s">
        <v>39</v>
      </c>
      <c r="F337" t="s">
        <v>4146</v>
      </c>
      <c r="G337" t="s">
        <v>115</v>
      </c>
      <c r="H337" t="s">
        <v>4147</v>
      </c>
      <c r="I337" t="s">
        <v>4148</v>
      </c>
      <c r="J337" t="s">
        <v>4149</v>
      </c>
      <c r="K337" t="s">
        <v>4148</v>
      </c>
      <c r="L337" t="s">
        <v>4150</v>
      </c>
      <c r="M337">
        <v>2700000</v>
      </c>
      <c r="N337" t="e">
        <v>#N/A</v>
      </c>
      <c r="O337" t="s">
        <v>4151</v>
      </c>
      <c r="P337" s="1">
        <v>45503</v>
      </c>
      <c r="Q337" t="s">
        <v>4152</v>
      </c>
      <c r="R337" t="s">
        <v>4153</v>
      </c>
      <c r="S337" t="s">
        <v>72</v>
      </c>
      <c r="T337" t="s">
        <v>4154</v>
      </c>
      <c r="U337" t="s">
        <v>4155</v>
      </c>
      <c r="V337" t="s">
        <v>617</v>
      </c>
      <c r="W337" t="s">
        <v>4156</v>
      </c>
      <c r="X337" t="s">
        <v>183</v>
      </c>
      <c r="Y337" t="s">
        <v>344</v>
      </c>
      <c r="Z337" t="s">
        <v>4157</v>
      </c>
      <c r="AA337">
        <v>6</v>
      </c>
      <c r="AB337" t="s">
        <v>56</v>
      </c>
      <c r="AC337" t="s">
        <v>4158</v>
      </c>
      <c r="AD337" t="s">
        <v>2322</v>
      </c>
      <c r="AE337" t="s">
        <v>59</v>
      </c>
      <c r="AF337">
        <v>2160000</v>
      </c>
      <c r="AG337">
        <v>43200</v>
      </c>
    </row>
    <row r="338" spans="1:33" x14ac:dyDescent="0.25">
      <c r="A338">
        <v>58</v>
      </c>
      <c r="B338" t="s">
        <v>3469</v>
      </c>
      <c r="C338" t="s">
        <v>4159</v>
      </c>
      <c r="D338" t="s">
        <v>3471</v>
      </c>
      <c r="E338" t="s">
        <v>39</v>
      </c>
      <c r="F338" t="s">
        <v>4160</v>
      </c>
      <c r="G338" t="s">
        <v>62</v>
      </c>
      <c r="H338" t="s">
        <v>4161</v>
      </c>
      <c r="I338" t="s">
        <v>4162</v>
      </c>
      <c r="J338" t="s">
        <v>4162</v>
      </c>
      <c r="K338" t="s">
        <v>4162</v>
      </c>
      <c r="L338" t="s">
        <v>4163</v>
      </c>
      <c r="M338">
        <v>2885000</v>
      </c>
      <c r="N338" t="e">
        <v>#N/A</v>
      </c>
      <c r="O338" t="s">
        <v>4164</v>
      </c>
      <c r="P338" s="1">
        <v>45502</v>
      </c>
      <c r="Q338" t="s">
        <v>4165</v>
      </c>
      <c r="R338" t="s">
        <v>4166</v>
      </c>
      <c r="S338" t="s">
        <v>72</v>
      </c>
      <c r="T338" t="s">
        <v>4167</v>
      </c>
      <c r="U338" t="s">
        <v>140</v>
      </c>
      <c r="V338" t="s">
        <v>75</v>
      </c>
      <c r="W338" t="s">
        <v>1346</v>
      </c>
      <c r="X338" t="s">
        <v>459</v>
      </c>
      <c r="Y338" t="s">
        <v>344</v>
      </c>
      <c r="Z338" t="s">
        <v>4168</v>
      </c>
      <c r="AA338">
        <v>5</v>
      </c>
      <c r="AB338" t="s">
        <v>110</v>
      </c>
      <c r="AC338" t="s">
        <v>4169</v>
      </c>
      <c r="AD338" t="s">
        <v>1346</v>
      </c>
      <c r="AE338" t="s">
        <v>266</v>
      </c>
      <c r="AF338">
        <v>2452250</v>
      </c>
      <c r="AG338">
        <v>36784</v>
      </c>
    </row>
    <row r="339" spans="1:33" x14ac:dyDescent="0.25">
      <c r="A339">
        <v>59</v>
      </c>
      <c r="B339" t="s">
        <v>3469</v>
      </c>
      <c r="C339" t="s">
        <v>4170</v>
      </c>
      <c r="D339" t="s">
        <v>3471</v>
      </c>
      <c r="E339" t="s">
        <v>39</v>
      </c>
      <c r="F339" t="s">
        <v>4171</v>
      </c>
      <c r="G339" t="s">
        <v>291</v>
      </c>
      <c r="H339" t="s">
        <v>4172</v>
      </c>
      <c r="I339" t="s">
        <v>4173</v>
      </c>
      <c r="J339" t="s">
        <v>4173</v>
      </c>
      <c r="K339" t="s">
        <v>4173</v>
      </c>
      <c r="L339" t="s">
        <v>4174</v>
      </c>
      <c r="M339">
        <v>1900000</v>
      </c>
      <c r="N339">
        <v>1005838</v>
      </c>
      <c r="O339" t="s">
        <v>4175</v>
      </c>
      <c r="P339" s="1">
        <v>45502</v>
      </c>
      <c r="Q339" t="s">
        <v>4176</v>
      </c>
      <c r="R339" t="s">
        <v>4177</v>
      </c>
      <c r="S339" t="s">
        <v>72</v>
      </c>
      <c r="T339" t="s">
        <v>4178</v>
      </c>
      <c r="U339" t="s">
        <v>1298</v>
      </c>
      <c r="V339" t="s">
        <v>617</v>
      </c>
      <c r="W339" t="s">
        <v>1346</v>
      </c>
      <c r="X339" t="s">
        <v>459</v>
      </c>
      <c r="Y339" t="s">
        <v>344</v>
      </c>
      <c r="Z339" t="s">
        <v>4179</v>
      </c>
      <c r="AA339">
        <v>5</v>
      </c>
      <c r="AB339" t="s">
        <v>110</v>
      </c>
      <c r="AC339" t="s">
        <v>4180</v>
      </c>
      <c r="AD339" t="s">
        <v>1346</v>
      </c>
      <c r="AE339" t="s">
        <v>266</v>
      </c>
      <c r="AF339">
        <v>1615000</v>
      </c>
      <c r="AG339">
        <v>24225</v>
      </c>
    </row>
    <row r="340" spans="1:33" x14ac:dyDescent="0.25">
      <c r="A340">
        <v>60</v>
      </c>
      <c r="B340" t="s">
        <v>3469</v>
      </c>
      <c r="C340" t="s">
        <v>4181</v>
      </c>
      <c r="D340" t="s">
        <v>3471</v>
      </c>
      <c r="E340" t="s">
        <v>39</v>
      </c>
      <c r="F340" t="s">
        <v>4182</v>
      </c>
      <c r="G340" t="s">
        <v>97</v>
      </c>
      <c r="H340" t="s">
        <v>4183</v>
      </c>
      <c r="I340" t="s">
        <v>4184</v>
      </c>
      <c r="J340" t="s">
        <v>73</v>
      </c>
      <c r="K340" t="s">
        <v>4185</v>
      </c>
      <c r="L340" t="s">
        <v>4186</v>
      </c>
      <c r="M340">
        <v>1605000</v>
      </c>
      <c r="N340" t="e">
        <v>#N/A</v>
      </c>
      <c r="O340" t="s">
        <v>4187</v>
      </c>
      <c r="P340" s="1">
        <v>45502</v>
      </c>
      <c r="Q340" t="s">
        <v>4188</v>
      </c>
      <c r="R340" t="s">
        <v>4189</v>
      </c>
      <c r="S340" t="s">
        <v>72</v>
      </c>
      <c r="T340" t="s">
        <v>4190</v>
      </c>
      <c r="U340" t="s">
        <v>4191</v>
      </c>
      <c r="V340" t="s">
        <v>153</v>
      </c>
      <c r="W340" t="s">
        <v>456</v>
      </c>
      <c r="X340" t="s">
        <v>892</v>
      </c>
      <c r="Y340" t="s">
        <v>344</v>
      </c>
      <c r="Z340" t="s">
        <v>4192</v>
      </c>
      <c r="AA340">
        <v>7</v>
      </c>
      <c r="AB340" t="s">
        <v>56</v>
      </c>
      <c r="AC340" t="s">
        <v>4193</v>
      </c>
      <c r="AD340" t="s">
        <v>456</v>
      </c>
      <c r="AE340" t="s">
        <v>59</v>
      </c>
      <c r="AF340">
        <v>1203750</v>
      </c>
      <c r="AG340">
        <v>24075</v>
      </c>
    </row>
    <row r="341" spans="1:33" x14ac:dyDescent="0.25">
      <c r="A341">
        <v>61</v>
      </c>
      <c r="B341" t="s">
        <v>3469</v>
      </c>
      <c r="C341" t="s">
        <v>4194</v>
      </c>
      <c r="D341" t="s">
        <v>3471</v>
      </c>
      <c r="E341" t="s">
        <v>39</v>
      </c>
      <c r="F341" t="s">
        <v>4195</v>
      </c>
      <c r="G341" t="s">
        <v>62</v>
      </c>
      <c r="H341" t="s">
        <v>4196</v>
      </c>
      <c r="I341" t="s">
        <v>4197</v>
      </c>
      <c r="J341" t="s">
        <v>4197</v>
      </c>
      <c r="K341" t="s">
        <v>4198</v>
      </c>
      <c r="L341" t="s">
        <v>4199</v>
      </c>
      <c r="M341">
        <v>1700000</v>
      </c>
      <c r="N341" t="e">
        <v>#N/A</v>
      </c>
      <c r="O341" t="s">
        <v>4200</v>
      </c>
      <c r="P341" s="1">
        <v>45502</v>
      </c>
      <c r="Q341" t="s">
        <v>4201</v>
      </c>
      <c r="R341" t="s">
        <v>4202</v>
      </c>
      <c r="S341" t="s">
        <v>72</v>
      </c>
      <c r="T341" t="s">
        <v>4203</v>
      </c>
      <c r="U341" t="s">
        <v>4204</v>
      </c>
      <c r="V341" t="s">
        <v>730</v>
      </c>
      <c r="W341" t="s">
        <v>456</v>
      </c>
      <c r="X341" t="s">
        <v>892</v>
      </c>
      <c r="Y341" t="s">
        <v>184</v>
      </c>
      <c r="Z341" t="s">
        <v>4205</v>
      </c>
      <c r="AA341">
        <v>5</v>
      </c>
      <c r="AB341" t="s">
        <v>110</v>
      </c>
      <c r="AC341" t="s">
        <v>4206</v>
      </c>
      <c r="AD341" t="s">
        <v>456</v>
      </c>
      <c r="AE341" t="s">
        <v>59</v>
      </c>
      <c r="AF341">
        <v>1275000</v>
      </c>
      <c r="AG341">
        <v>25500</v>
      </c>
    </row>
    <row r="342" spans="1:33" x14ac:dyDescent="0.25">
      <c r="A342">
        <v>62</v>
      </c>
      <c r="B342" t="s">
        <v>3469</v>
      </c>
      <c r="C342" t="s">
        <v>4207</v>
      </c>
      <c r="D342" t="s">
        <v>3471</v>
      </c>
      <c r="E342" t="s">
        <v>39</v>
      </c>
      <c r="F342" t="s">
        <v>4208</v>
      </c>
      <c r="G342" t="s">
        <v>115</v>
      </c>
      <c r="H342" t="s">
        <v>4209</v>
      </c>
      <c r="I342" t="s">
        <v>4210</v>
      </c>
      <c r="J342" t="s">
        <v>4210</v>
      </c>
      <c r="K342" t="s">
        <v>176</v>
      </c>
      <c r="L342" t="s">
        <v>4211</v>
      </c>
      <c r="M342">
        <v>1430000</v>
      </c>
      <c r="N342" t="e">
        <v>#N/A</v>
      </c>
      <c r="O342" t="s">
        <v>4212</v>
      </c>
      <c r="P342" s="1">
        <v>45501</v>
      </c>
      <c r="Q342" t="s">
        <v>4213</v>
      </c>
      <c r="R342" t="s">
        <v>4214</v>
      </c>
      <c r="S342" t="s">
        <v>72</v>
      </c>
      <c r="T342" t="s">
        <v>4215</v>
      </c>
      <c r="U342" t="s">
        <v>4216</v>
      </c>
      <c r="V342" t="s">
        <v>330</v>
      </c>
      <c r="W342" t="s">
        <v>456</v>
      </c>
      <c r="X342" t="s">
        <v>892</v>
      </c>
      <c r="Y342" t="s">
        <v>776</v>
      </c>
      <c r="Z342" t="s">
        <v>4217</v>
      </c>
      <c r="AA342">
        <v>4</v>
      </c>
      <c r="AB342" t="s">
        <v>56</v>
      </c>
      <c r="AC342" t="s">
        <v>4218</v>
      </c>
      <c r="AD342" t="s">
        <v>1147</v>
      </c>
      <c r="AE342" t="s">
        <v>668</v>
      </c>
      <c r="AF342" t="s">
        <v>176</v>
      </c>
      <c r="AG342">
        <v>0</v>
      </c>
    </row>
    <row r="343" spans="1:33" x14ac:dyDescent="0.25">
      <c r="A343">
        <v>63</v>
      </c>
      <c r="B343" t="s">
        <v>3469</v>
      </c>
      <c r="C343" t="s">
        <v>4219</v>
      </c>
      <c r="D343" t="s">
        <v>3471</v>
      </c>
      <c r="E343" t="s">
        <v>39</v>
      </c>
      <c r="F343" t="s">
        <v>4220</v>
      </c>
      <c r="G343" t="s">
        <v>97</v>
      </c>
      <c r="H343" t="s">
        <v>4221</v>
      </c>
      <c r="I343" t="s">
        <v>205</v>
      </c>
      <c r="J343" t="s">
        <v>4222</v>
      </c>
      <c r="K343" t="s">
        <v>73</v>
      </c>
      <c r="L343" t="s">
        <v>4223</v>
      </c>
      <c r="M343">
        <v>3550000</v>
      </c>
      <c r="N343" t="e">
        <v>#N/A</v>
      </c>
      <c r="O343" t="s">
        <v>4224</v>
      </c>
      <c r="P343" s="1">
        <v>45501</v>
      </c>
      <c r="Q343" t="s">
        <v>4225</v>
      </c>
      <c r="R343" t="s">
        <v>4226</v>
      </c>
      <c r="S343" t="s">
        <v>72</v>
      </c>
      <c r="T343" t="s">
        <v>4227</v>
      </c>
      <c r="U343" t="s">
        <v>2673</v>
      </c>
      <c r="V343" t="s">
        <v>617</v>
      </c>
      <c r="W343" t="s">
        <v>1147</v>
      </c>
      <c r="X343" t="s">
        <v>892</v>
      </c>
      <c r="Y343" t="s">
        <v>184</v>
      </c>
      <c r="Z343" t="s">
        <v>4228</v>
      </c>
      <c r="AA343">
        <v>5</v>
      </c>
      <c r="AB343" t="s">
        <v>56</v>
      </c>
      <c r="AC343" t="s">
        <v>4229</v>
      </c>
      <c r="AD343" t="s">
        <v>420</v>
      </c>
      <c r="AE343" t="s">
        <v>59</v>
      </c>
      <c r="AF343">
        <v>2662500</v>
      </c>
      <c r="AG343">
        <v>53250</v>
      </c>
    </row>
    <row r="344" spans="1:33" x14ac:dyDescent="0.25">
      <c r="A344">
        <v>64</v>
      </c>
      <c r="B344" t="s">
        <v>3469</v>
      </c>
      <c r="C344" t="s">
        <v>4230</v>
      </c>
      <c r="D344" t="s">
        <v>3471</v>
      </c>
      <c r="E344" t="s">
        <v>39</v>
      </c>
      <c r="F344" t="s">
        <v>3353</v>
      </c>
      <c r="G344" t="s">
        <v>622</v>
      </c>
      <c r="H344" t="s">
        <v>4231</v>
      </c>
      <c r="I344" t="s">
        <v>4232</v>
      </c>
      <c r="J344" t="s">
        <v>4232</v>
      </c>
      <c r="K344" t="s">
        <v>4232</v>
      </c>
      <c r="L344" t="s">
        <v>4233</v>
      </c>
      <c r="M344">
        <v>1650000</v>
      </c>
      <c r="N344" t="e">
        <v>#N/A</v>
      </c>
      <c r="O344" t="s">
        <v>4234</v>
      </c>
      <c r="P344" s="1">
        <v>45500</v>
      </c>
      <c r="Q344" t="s">
        <v>4235</v>
      </c>
      <c r="R344" t="s">
        <v>4236</v>
      </c>
      <c r="S344" t="s">
        <v>72</v>
      </c>
      <c r="T344" t="s">
        <v>73</v>
      </c>
      <c r="U344" t="s">
        <v>4237</v>
      </c>
      <c r="V344" t="s">
        <v>603</v>
      </c>
      <c r="W344" t="s">
        <v>763</v>
      </c>
      <c r="X344" t="s">
        <v>183</v>
      </c>
      <c r="Y344" t="s">
        <v>760</v>
      </c>
      <c r="Z344" t="s">
        <v>4238</v>
      </c>
      <c r="AA344">
        <v>5</v>
      </c>
      <c r="AB344" t="s">
        <v>199</v>
      </c>
      <c r="AC344" t="s">
        <v>4239</v>
      </c>
      <c r="AD344" t="s">
        <v>902</v>
      </c>
      <c r="AE344" t="s">
        <v>59</v>
      </c>
      <c r="AF344">
        <v>1320000</v>
      </c>
      <c r="AG344">
        <v>26400</v>
      </c>
    </row>
    <row r="345" spans="1:33" x14ac:dyDescent="0.25">
      <c r="A345">
        <v>65</v>
      </c>
      <c r="B345" t="s">
        <v>3469</v>
      </c>
      <c r="C345" t="s">
        <v>4240</v>
      </c>
      <c r="D345" t="s">
        <v>3471</v>
      </c>
      <c r="E345" t="s">
        <v>39</v>
      </c>
      <c r="F345" t="s">
        <v>4241</v>
      </c>
      <c r="G345" t="s">
        <v>229</v>
      </c>
      <c r="H345" t="s">
        <v>4242</v>
      </c>
      <c r="I345" t="s">
        <v>73</v>
      </c>
      <c r="J345" t="s">
        <v>4243</v>
      </c>
      <c r="K345" t="s">
        <v>73</v>
      </c>
      <c r="L345" t="s">
        <v>4244</v>
      </c>
      <c r="M345">
        <v>2400000</v>
      </c>
      <c r="N345" t="e">
        <v>#N/A</v>
      </c>
      <c r="O345" t="s">
        <v>4245</v>
      </c>
      <c r="P345" s="1">
        <v>45499</v>
      </c>
      <c r="Q345" t="s">
        <v>4246</v>
      </c>
      <c r="R345" t="s">
        <v>4247</v>
      </c>
      <c r="S345" t="s">
        <v>72</v>
      </c>
      <c r="T345" t="s">
        <v>4248</v>
      </c>
      <c r="U345" t="s">
        <v>168</v>
      </c>
      <c r="V345" t="s">
        <v>153</v>
      </c>
      <c r="W345" t="s">
        <v>1453</v>
      </c>
      <c r="X345" t="s">
        <v>459</v>
      </c>
      <c r="Y345" t="s">
        <v>344</v>
      </c>
      <c r="Z345" t="s">
        <v>4249</v>
      </c>
      <c r="AA345">
        <v>5</v>
      </c>
      <c r="AB345" t="s">
        <v>110</v>
      </c>
      <c r="AC345" t="s">
        <v>4250</v>
      </c>
      <c r="AD345" t="s">
        <v>447</v>
      </c>
      <c r="AE345" t="s">
        <v>266</v>
      </c>
      <c r="AF345">
        <v>2040000</v>
      </c>
      <c r="AG345">
        <v>30600</v>
      </c>
    </row>
    <row r="346" spans="1:33" x14ac:dyDescent="0.25">
      <c r="A346">
        <v>66</v>
      </c>
      <c r="B346" t="s">
        <v>3469</v>
      </c>
      <c r="C346" t="s">
        <v>4251</v>
      </c>
      <c r="D346" t="s">
        <v>3471</v>
      </c>
      <c r="E346" t="s">
        <v>39</v>
      </c>
      <c r="F346" t="s">
        <v>4252</v>
      </c>
      <c r="G346" t="s">
        <v>115</v>
      </c>
      <c r="H346" t="s">
        <v>4253</v>
      </c>
      <c r="I346" t="s">
        <v>4254</v>
      </c>
      <c r="J346" t="s">
        <v>4254</v>
      </c>
      <c r="K346" t="s">
        <v>176</v>
      </c>
      <c r="L346" t="s">
        <v>4255</v>
      </c>
      <c r="M346">
        <v>1900000</v>
      </c>
      <c r="N346" t="e">
        <v>#N/A</v>
      </c>
      <c r="O346" t="s">
        <v>4256</v>
      </c>
      <c r="P346" s="1">
        <v>45498</v>
      </c>
      <c r="Q346" t="s">
        <v>4257</v>
      </c>
      <c r="R346" t="s">
        <v>4258</v>
      </c>
      <c r="S346" t="s">
        <v>72</v>
      </c>
      <c r="T346" t="s">
        <v>4259</v>
      </c>
      <c r="U346" t="s">
        <v>276</v>
      </c>
      <c r="V346" t="s">
        <v>52</v>
      </c>
      <c r="W346" t="s">
        <v>447</v>
      </c>
      <c r="X346" t="s">
        <v>447</v>
      </c>
      <c r="Y346" t="s">
        <v>448</v>
      </c>
      <c r="Z346" t="s">
        <v>4260</v>
      </c>
      <c r="AA346">
        <v>5</v>
      </c>
      <c r="AB346" t="s">
        <v>263</v>
      </c>
      <c r="AC346" t="s">
        <v>4261</v>
      </c>
      <c r="AD346" t="s">
        <v>1851</v>
      </c>
      <c r="AE346" t="s">
        <v>266</v>
      </c>
      <c r="AF346">
        <v>1615000</v>
      </c>
      <c r="AG346">
        <v>24225</v>
      </c>
    </row>
    <row r="347" spans="1:33" x14ac:dyDescent="0.25">
      <c r="A347">
        <v>67</v>
      </c>
      <c r="B347" t="s">
        <v>3469</v>
      </c>
      <c r="C347" t="s">
        <v>4262</v>
      </c>
      <c r="D347" t="s">
        <v>3471</v>
      </c>
      <c r="E347" t="s">
        <v>39</v>
      </c>
      <c r="F347" t="s">
        <v>4263</v>
      </c>
      <c r="G347" t="s">
        <v>62</v>
      </c>
      <c r="H347" t="s">
        <v>4264</v>
      </c>
      <c r="I347" t="s">
        <v>4265</v>
      </c>
      <c r="J347" t="s">
        <v>4265</v>
      </c>
      <c r="K347" t="s">
        <v>4265</v>
      </c>
      <c r="L347" t="s">
        <v>4266</v>
      </c>
      <c r="M347">
        <v>1550000</v>
      </c>
      <c r="N347" t="e">
        <v>#N/A</v>
      </c>
      <c r="O347" t="s">
        <v>73</v>
      </c>
      <c r="P347" s="1">
        <v>45497</v>
      </c>
      <c r="Q347" t="s">
        <v>4267</v>
      </c>
      <c r="R347" t="s">
        <v>4268</v>
      </c>
      <c r="S347" t="s">
        <v>72</v>
      </c>
      <c r="T347" t="s">
        <v>4269</v>
      </c>
      <c r="U347" t="s">
        <v>168</v>
      </c>
      <c r="V347" t="s">
        <v>730</v>
      </c>
      <c r="W347" t="s">
        <v>221</v>
      </c>
      <c r="X347" t="s">
        <v>1301</v>
      </c>
      <c r="Y347" t="s">
        <v>1216</v>
      </c>
      <c r="Z347" t="s">
        <v>4270</v>
      </c>
      <c r="AA347">
        <v>6</v>
      </c>
      <c r="AB347" t="s">
        <v>56</v>
      </c>
      <c r="AC347" t="s">
        <v>4271</v>
      </c>
      <c r="AD347" t="s">
        <v>221</v>
      </c>
      <c r="AE347" t="s">
        <v>668</v>
      </c>
      <c r="AF347">
        <v>1085000</v>
      </c>
      <c r="AG347">
        <v>27125</v>
      </c>
    </row>
    <row r="348" spans="1:33" x14ac:dyDescent="0.25">
      <c r="A348">
        <v>68</v>
      </c>
      <c r="B348" t="s">
        <v>3469</v>
      </c>
      <c r="C348" t="s">
        <v>4272</v>
      </c>
      <c r="D348" t="s">
        <v>3471</v>
      </c>
      <c r="E348" t="s">
        <v>39</v>
      </c>
      <c r="F348" t="s">
        <v>4273</v>
      </c>
      <c r="G348" t="s">
        <v>131</v>
      </c>
      <c r="H348" t="s">
        <v>4274</v>
      </c>
      <c r="I348" t="s">
        <v>4275</v>
      </c>
      <c r="J348" t="s">
        <v>73</v>
      </c>
      <c r="K348" t="s">
        <v>4276</v>
      </c>
      <c r="L348" t="s">
        <v>4277</v>
      </c>
      <c r="M348">
        <v>1598000</v>
      </c>
      <c r="N348" t="e">
        <v>#N/A</v>
      </c>
      <c r="O348" t="s">
        <v>4278</v>
      </c>
      <c r="P348" s="1">
        <v>45496</v>
      </c>
      <c r="Q348" t="s">
        <v>4279</v>
      </c>
      <c r="R348" t="s">
        <v>4280</v>
      </c>
      <c r="S348" t="s">
        <v>72</v>
      </c>
      <c r="T348" t="s">
        <v>4281</v>
      </c>
      <c r="U348" t="s">
        <v>931</v>
      </c>
      <c r="V348" t="s">
        <v>153</v>
      </c>
      <c r="W348" t="s">
        <v>1215</v>
      </c>
      <c r="X348" t="s">
        <v>1215</v>
      </c>
      <c r="Y348" t="s">
        <v>448</v>
      </c>
      <c r="Z348" t="s">
        <v>4282</v>
      </c>
      <c r="AA348">
        <v>7</v>
      </c>
      <c r="AB348" t="s">
        <v>56</v>
      </c>
      <c r="AC348" t="s">
        <v>4283</v>
      </c>
      <c r="AD348" t="s">
        <v>379</v>
      </c>
      <c r="AE348" t="s">
        <v>59</v>
      </c>
      <c r="AF348">
        <v>1198500</v>
      </c>
      <c r="AG348">
        <v>23970</v>
      </c>
    </row>
    <row r="349" spans="1:33" x14ac:dyDescent="0.25">
      <c r="A349">
        <v>69</v>
      </c>
      <c r="B349" t="s">
        <v>3469</v>
      </c>
      <c r="C349" t="s">
        <v>4284</v>
      </c>
      <c r="D349" t="s">
        <v>3471</v>
      </c>
      <c r="E349" t="s">
        <v>39</v>
      </c>
      <c r="F349" t="s">
        <v>4285</v>
      </c>
      <c r="G349" t="s">
        <v>4286</v>
      </c>
      <c r="H349" t="s">
        <v>4287</v>
      </c>
      <c r="I349" t="s">
        <v>4288</v>
      </c>
      <c r="J349" t="s">
        <v>4289</v>
      </c>
      <c r="K349" t="s">
        <v>4290</v>
      </c>
      <c r="L349" t="s">
        <v>4291</v>
      </c>
      <c r="M349">
        <v>4549000</v>
      </c>
      <c r="N349" t="e">
        <v>#N/A</v>
      </c>
      <c r="O349" t="s">
        <v>4292</v>
      </c>
      <c r="P349" s="1">
        <v>45491</v>
      </c>
      <c r="Q349" t="s">
        <v>4293</v>
      </c>
      <c r="R349" t="s">
        <v>4294</v>
      </c>
      <c r="S349" t="s">
        <v>72</v>
      </c>
      <c r="T349" t="s">
        <v>73</v>
      </c>
      <c r="U349" t="s">
        <v>4295</v>
      </c>
      <c r="V349" t="s">
        <v>75</v>
      </c>
      <c r="W349" t="s">
        <v>4296</v>
      </c>
      <c r="X349" t="s">
        <v>183</v>
      </c>
      <c r="Y349" t="s">
        <v>776</v>
      </c>
      <c r="Z349" t="s">
        <v>4297</v>
      </c>
      <c r="AA349">
        <v>3</v>
      </c>
      <c r="AB349" t="s">
        <v>263</v>
      </c>
      <c r="AC349" t="s">
        <v>4298</v>
      </c>
      <c r="AD349" t="s">
        <v>1069</v>
      </c>
      <c r="AE349" t="s">
        <v>319</v>
      </c>
      <c r="AF349" t="s">
        <v>176</v>
      </c>
      <c r="AG349">
        <v>0</v>
      </c>
    </row>
    <row r="350" spans="1:33" x14ac:dyDescent="0.25">
      <c r="A350">
        <v>70</v>
      </c>
      <c r="B350" t="s">
        <v>3469</v>
      </c>
      <c r="C350" t="s">
        <v>4299</v>
      </c>
      <c r="D350" t="s">
        <v>3471</v>
      </c>
      <c r="E350" t="s">
        <v>39</v>
      </c>
      <c r="F350" t="s">
        <v>4300</v>
      </c>
      <c r="G350" t="s">
        <v>115</v>
      </c>
      <c r="H350" t="s">
        <v>4301</v>
      </c>
      <c r="I350" t="s">
        <v>4302</v>
      </c>
      <c r="J350" t="s">
        <v>4303</v>
      </c>
      <c r="K350" t="s">
        <v>4302</v>
      </c>
      <c r="L350" t="s">
        <v>4304</v>
      </c>
      <c r="M350">
        <v>4960000</v>
      </c>
      <c r="N350" t="e">
        <v>#N/A</v>
      </c>
      <c r="O350" t="s">
        <v>4305</v>
      </c>
      <c r="P350" t="s">
        <v>2526</v>
      </c>
      <c r="Q350" t="s">
        <v>4306</v>
      </c>
      <c r="R350" t="s">
        <v>4307</v>
      </c>
      <c r="S350" t="s">
        <v>72</v>
      </c>
      <c r="T350" t="s">
        <v>73</v>
      </c>
      <c r="U350" t="s">
        <v>4308</v>
      </c>
      <c r="V350" t="s">
        <v>313</v>
      </c>
      <c r="W350" s="1">
        <v>45125</v>
      </c>
      <c r="X350" t="s">
        <v>945</v>
      </c>
      <c r="Y350" t="s">
        <v>155</v>
      </c>
      <c r="Z350" t="s">
        <v>4309</v>
      </c>
      <c r="AA350">
        <v>3</v>
      </c>
      <c r="AB350" t="s">
        <v>263</v>
      </c>
      <c r="AC350" t="s">
        <v>4310</v>
      </c>
      <c r="AD350" t="s">
        <v>1040</v>
      </c>
      <c r="AE350" t="s">
        <v>319</v>
      </c>
      <c r="AF350">
        <v>4464000</v>
      </c>
      <c r="AG350">
        <v>78120</v>
      </c>
    </row>
    <row r="351" spans="1:33" x14ac:dyDescent="0.25">
      <c r="A351">
        <v>71</v>
      </c>
      <c r="B351" t="s">
        <v>3469</v>
      </c>
      <c r="C351" t="s">
        <v>4311</v>
      </c>
      <c r="D351" t="s">
        <v>3471</v>
      </c>
      <c r="E351" t="s">
        <v>39</v>
      </c>
      <c r="F351" t="s">
        <v>4312</v>
      </c>
      <c r="G351" t="s">
        <v>4313</v>
      </c>
      <c r="H351" t="s">
        <v>4314</v>
      </c>
      <c r="I351" t="s">
        <v>4315</v>
      </c>
      <c r="J351" t="s">
        <v>4315</v>
      </c>
      <c r="K351" t="s">
        <v>4315</v>
      </c>
      <c r="L351" t="s">
        <v>4316</v>
      </c>
      <c r="M351">
        <v>2800000</v>
      </c>
      <c r="N351" t="e">
        <v>#N/A</v>
      </c>
      <c r="O351" t="s">
        <v>4317</v>
      </c>
      <c r="P351" s="1">
        <v>45487</v>
      </c>
      <c r="Q351" t="s">
        <v>4318</v>
      </c>
      <c r="R351" t="s">
        <v>4319</v>
      </c>
      <c r="S351" t="s">
        <v>72</v>
      </c>
      <c r="T351" t="s">
        <v>73</v>
      </c>
      <c r="U351" t="s">
        <v>2517</v>
      </c>
      <c r="V351" t="s">
        <v>617</v>
      </c>
      <c r="W351" t="s">
        <v>3236</v>
      </c>
      <c r="X351" t="s">
        <v>3236</v>
      </c>
      <c r="Y351" t="s">
        <v>1443</v>
      </c>
      <c r="Z351" t="s">
        <v>4320</v>
      </c>
      <c r="AA351">
        <v>5</v>
      </c>
      <c r="AB351" t="s">
        <v>56</v>
      </c>
      <c r="AC351" t="s">
        <v>4321</v>
      </c>
      <c r="AD351" t="s">
        <v>1069</v>
      </c>
      <c r="AE351" t="s">
        <v>59</v>
      </c>
      <c r="AF351">
        <v>2240000</v>
      </c>
      <c r="AG351">
        <v>44800</v>
      </c>
    </row>
    <row r="352" spans="1:33" x14ac:dyDescent="0.25">
      <c r="A352">
        <v>72</v>
      </c>
      <c r="B352" t="s">
        <v>3469</v>
      </c>
      <c r="C352" t="s">
        <v>4322</v>
      </c>
      <c r="D352" t="s">
        <v>3471</v>
      </c>
      <c r="E352" t="s">
        <v>39</v>
      </c>
      <c r="F352" t="s">
        <v>4323</v>
      </c>
      <c r="G352" t="s">
        <v>241</v>
      </c>
      <c r="H352" t="s">
        <v>4324</v>
      </c>
      <c r="I352" t="s">
        <v>4325</v>
      </c>
      <c r="J352" t="s">
        <v>4325</v>
      </c>
      <c r="K352" t="s">
        <v>176</v>
      </c>
      <c r="L352" t="s">
        <v>4326</v>
      </c>
      <c r="M352">
        <v>3380000</v>
      </c>
      <c r="N352" t="e">
        <v>#N/A</v>
      </c>
      <c r="O352" t="s">
        <v>4327</v>
      </c>
      <c r="P352" s="1">
        <v>45487</v>
      </c>
      <c r="Q352" t="s">
        <v>4328</v>
      </c>
      <c r="R352" t="s">
        <v>4329</v>
      </c>
      <c r="S352" t="s">
        <v>72</v>
      </c>
      <c r="T352" t="s">
        <v>73</v>
      </c>
      <c r="U352" t="s">
        <v>4330</v>
      </c>
      <c r="V352" t="s">
        <v>75</v>
      </c>
      <c r="W352" t="s">
        <v>4331</v>
      </c>
      <c r="X352" t="s">
        <v>3236</v>
      </c>
      <c r="Y352" t="s">
        <v>2927</v>
      </c>
      <c r="Z352" t="s">
        <v>4332</v>
      </c>
      <c r="AA352">
        <v>7</v>
      </c>
      <c r="AB352" t="s">
        <v>56</v>
      </c>
      <c r="AC352" t="s">
        <v>4333</v>
      </c>
      <c r="AD352" t="s">
        <v>598</v>
      </c>
      <c r="AE352" t="s">
        <v>266</v>
      </c>
      <c r="AF352">
        <v>2704000</v>
      </c>
      <c r="AG352">
        <v>40560</v>
      </c>
    </row>
    <row r="353" spans="1:33" x14ac:dyDescent="0.25">
      <c r="A353">
        <v>73</v>
      </c>
      <c r="B353" t="s">
        <v>3469</v>
      </c>
      <c r="C353" t="s">
        <v>4334</v>
      </c>
      <c r="D353" t="s">
        <v>3471</v>
      </c>
      <c r="E353" t="s">
        <v>39</v>
      </c>
      <c r="F353" t="s">
        <v>1183</v>
      </c>
      <c r="G353" t="s">
        <v>2818</v>
      </c>
      <c r="H353" t="s">
        <v>4335</v>
      </c>
      <c r="I353" t="s">
        <v>4336</v>
      </c>
      <c r="J353" t="s">
        <v>73</v>
      </c>
      <c r="K353" t="s">
        <v>176</v>
      </c>
      <c r="L353" t="s">
        <v>4337</v>
      </c>
      <c r="M353">
        <v>4715000</v>
      </c>
      <c r="N353">
        <v>2126748</v>
      </c>
      <c r="O353" t="s">
        <v>4338</v>
      </c>
      <c r="P353" s="1">
        <v>45486</v>
      </c>
      <c r="Q353" t="s">
        <v>4339</v>
      </c>
      <c r="R353" t="s">
        <v>4340</v>
      </c>
      <c r="S353" t="s">
        <v>72</v>
      </c>
      <c r="T353" t="s">
        <v>73</v>
      </c>
      <c r="U353" t="s">
        <v>4341</v>
      </c>
      <c r="V353" t="s">
        <v>75</v>
      </c>
      <c r="W353" t="s">
        <v>4342</v>
      </c>
      <c r="X353" t="s">
        <v>183</v>
      </c>
      <c r="Y353" t="s">
        <v>1794</v>
      </c>
      <c r="Z353" t="s">
        <v>4343</v>
      </c>
      <c r="AA353">
        <v>7</v>
      </c>
      <c r="AB353" t="s">
        <v>56</v>
      </c>
      <c r="AC353" t="s">
        <v>4344</v>
      </c>
      <c r="AD353" t="s">
        <v>598</v>
      </c>
      <c r="AE353" t="s">
        <v>59</v>
      </c>
      <c r="AF353">
        <v>3772000</v>
      </c>
      <c r="AG353">
        <v>75440</v>
      </c>
    </row>
    <row r="354" spans="1:33" x14ac:dyDescent="0.25">
      <c r="A354">
        <v>74</v>
      </c>
      <c r="B354" t="s">
        <v>3469</v>
      </c>
      <c r="C354" t="s">
        <v>4345</v>
      </c>
      <c r="D354" t="s">
        <v>3471</v>
      </c>
      <c r="E354" t="s">
        <v>39</v>
      </c>
      <c r="F354" t="s">
        <v>4346</v>
      </c>
      <c r="G354" t="s">
        <v>62</v>
      </c>
      <c r="H354" t="s">
        <v>4347</v>
      </c>
      <c r="I354" t="s">
        <v>4348</v>
      </c>
      <c r="J354" t="s">
        <v>73</v>
      </c>
      <c r="K354" t="s">
        <v>4348</v>
      </c>
      <c r="L354" t="s">
        <v>4349</v>
      </c>
      <c r="M354">
        <v>1882000</v>
      </c>
      <c r="N354" t="e">
        <v>#N/A</v>
      </c>
      <c r="O354" t="s">
        <v>4350</v>
      </c>
      <c r="P354" s="1">
        <v>45486</v>
      </c>
      <c r="Q354" t="s">
        <v>4351</v>
      </c>
      <c r="R354" t="s">
        <v>4352</v>
      </c>
      <c r="S354" t="s">
        <v>72</v>
      </c>
      <c r="T354" t="s">
        <v>4353</v>
      </c>
      <c r="U354" t="s">
        <v>1758</v>
      </c>
      <c r="V354" t="s">
        <v>730</v>
      </c>
      <c r="W354" t="s">
        <v>4354</v>
      </c>
      <c r="X354" t="s">
        <v>1730</v>
      </c>
      <c r="Y354" t="s">
        <v>700</v>
      </c>
      <c r="Z354" t="s">
        <v>4355</v>
      </c>
      <c r="AA354">
        <v>7</v>
      </c>
      <c r="AB354" t="s">
        <v>947</v>
      </c>
      <c r="AC354" t="s">
        <v>4356</v>
      </c>
      <c r="AD354" t="s">
        <v>4357</v>
      </c>
      <c r="AE354" t="s">
        <v>736</v>
      </c>
      <c r="AF354" t="s">
        <v>176</v>
      </c>
      <c r="AG354">
        <v>0</v>
      </c>
    </row>
    <row r="355" spans="1:33" x14ac:dyDescent="0.25">
      <c r="A355">
        <v>75</v>
      </c>
      <c r="B355" t="s">
        <v>3469</v>
      </c>
      <c r="C355" t="s">
        <v>4358</v>
      </c>
      <c r="D355" t="s">
        <v>3471</v>
      </c>
      <c r="E355" t="s">
        <v>39</v>
      </c>
      <c r="F355" t="s">
        <v>4359</v>
      </c>
      <c r="G355" t="s">
        <v>115</v>
      </c>
      <c r="H355" t="s">
        <v>4360</v>
      </c>
      <c r="I355" t="s">
        <v>4361</v>
      </c>
      <c r="J355" t="s">
        <v>4362</v>
      </c>
      <c r="K355" t="s">
        <v>4361</v>
      </c>
      <c r="L355" t="s">
        <v>4363</v>
      </c>
      <c r="M355">
        <v>1650000</v>
      </c>
      <c r="N355" t="e">
        <v>#N/A</v>
      </c>
      <c r="O355" t="s">
        <v>4364</v>
      </c>
      <c r="P355" s="1">
        <v>45485</v>
      </c>
      <c r="Q355" t="s">
        <v>4365</v>
      </c>
      <c r="R355" t="s">
        <v>4366</v>
      </c>
      <c r="S355" t="s">
        <v>72</v>
      </c>
      <c r="T355" t="s">
        <v>4367</v>
      </c>
      <c r="U355" t="s">
        <v>4368</v>
      </c>
      <c r="V355" t="s">
        <v>617</v>
      </c>
      <c r="W355" t="s">
        <v>340</v>
      </c>
      <c r="X355" t="s">
        <v>1682</v>
      </c>
      <c r="Y355" t="s">
        <v>358</v>
      </c>
      <c r="Z355" t="s">
        <v>4369</v>
      </c>
      <c r="AA355">
        <v>5</v>
      </c>
      <c r="AB355" t="s">
        <v>263</v>
      </c>
      <c r="AC355" t="s">
        <v>4370</v>
      </c>
      <c r="AD355" t="s">
        <v>340</v>
      </c>
      <c r="AE355" t="s">
        <v>668</v>
      </c>
      <c r="AF355">
        <v>1237500</v>
      </c>
      <c r="AG355">
        <v>30938</v>
      </c>
    </row>
    <row r="356" spans="1:33" x14ac:dyDescent="0.25">
      <c r="A356">
        <v>76</v>
      </c>
      <c r="B356" t="s">
        <v>3469</v>
      </c>
      <c r="C356" t="s">
        <v>4371</v>
      </c>
      <c r="D356" t="s">
        <v>3471</v>
      </c>
      <c r="E356" t="s">
        <v>39</v>
      </c>
      <c r="F356" t="s">
        <v>4372</v>
      </c>
      <c r="G356" t="s">
        <v>4126</v>
      </c>
      <c r="H356" t="s">
        <v>4373</v>
      </c>
      <c r="I356" t="s">
        <v>73</v>
      </c>
      <c r="J356" t="s">
        <v>4374</v>
      </c>
      <c r="K356" t="s">
        <v>73</v>
      </c>
      <c r="L356" t="s">
        <v>4375</v>
      </c>
      <c r="M356">
        <v>4000000</v>
      </c>
      <c r="N356" t="e">
        <v>#N/A</v>
      </c>
      <c r="O356" t="s">
        <v>4376</v>
      </c>
      <c r="P356" s="1">
        <v>45480</v>
      </c>
      <c r="Q356" t="s">
        <v>4377</v>
      </c>
      <c r="R356" t="s">
        <v>4378</v>
      </c>
      <c r="S356" t="s">
        <v>72</v>
      </c>
      <c r="T356" t="s">
        <v>4379</v>
      </c>
      <c r="U356" t="s">
        <v>2673</v>
      </c>
      <c r="V356" t="s">
        <v>52</v>
      </c>
      <c r="W356" t="s">
        <v>941</v>
      </c>
      <c r="X356" t="s">
        <v>76</v>
      </c>
      <c r="Y356" t="s">
        <v>315</v>
      </c>
      <c r="Z356" t="s">
        <v>4380</v>
      </c>
      <c r="AA356">
        <v>5</v>
      </c>
      <c r="AB356" t="s">
        <v>110</v>
      </c>
      <c r="AC356" t="s">
        <v>4381</v>
      </c>
      <c r="AD356" t="s">
        <v>703</v>
      </c>
      <c r="AE356" t="s">
        <v>59</v>
      </c>
      <c r="AF356">
        <v>3200000</v>
      </c>
      <c r="AG356">
        <v>64000</v>
      </c>
    </row>
    <row r="357" spans="1:33" x14ac:dyDescent="0.25">
      <c r="A357">
        <v>77</v>
      </c>
      <c r="B357" t="s">
        <v>3469</v>
      </c>
      <c r="C357" t="s">
        <v>4382</v>
      </c>
      <c r="D357" t="s">
        <v>3471</v>
      </c>
      <c r="E357" t="s">
        <v>39</v>
      </c>
      <c r="F357" t="s">
        <v>4383</v>
      </c>
      <c r="G357" t="s">
        <v>62</v>
      </c>
      <c r="H357" t="s">
        <v>4384</v>
      </c>
      <c r="I357" t="s">
        <v>4385</v>
      </c>
      <c r="J357" t="s">
        <v>4385</v>
      </c>
      <c r="K357" t="s">
        <v>4386</v>
      </c>
      <c r="L357" t="s">
        <v>4387</v>
      </c>
      <c r="M357">
        <v>1034000</v>
      </c>
      <c r="N357">
        <v>11663</v>
      </c>
      <c r="O357" t="s">
        <v>4388</v>
      </c>
      <c r="P357" s="1">
        <v>45479</v>
      </c>
      <c r="Q357" t="s">
        <v>4389</v>
      </c>
      <c r="R357" t="s">
        <v>4390</v>
      </c>
      <c r="S357" t="s">
        <v>72</v>
      </c>
      <c r="T357" t="s">
        <v>4391</v>
      </c>
      <c r="U357" t="s">
        <v>2894</v>
      </c>
      <c r="V357" t="s">
        <v>730</v>
      </c>
      <c r="W357" t="s">
        <v>4392</v>
      </c>
      <c r="X357" t="s">
        <v>3935</v>
      </c>
      <c r="Y357" t="s">
        <v>3923</v>
      </c>
      <c r="Z357" t="s">
        <v>4393</v>
      </c>
      <c r="AA357">
        <v>7</v>
      </c>
      <c r="AB357" t="s">
        <v>56</v>
      </c>
      <c r="AC357" t="s">
        <v>4394</v>
      </c>
      <c r="AD357" t="s">
        <v>4395</v>
      </c>
      <c r="AE357" t="s">
        <v>736</v>
      </c>
      <c r="AF357" t="s">
        <v>176</v>
      </c>
      <c r="AG357">
        <v>0</v>
      </c>
    </row>
    <row r="358" spans="1:33" x14ac:dyDescent="0.25">
      <c r="A358">
        <v>78</v>
      </c>
      <c r="B358" t="s">
        <v>3469</v>
      </c>
      <c r="C358" t="s">
        <v>4396</v>
      </c>
      <c r="D358" t="s">
        <v>3471</v>
      </c>
      <c r="E358" t="s">
        <v>39</v>
      </c>
      <c r="F358" t="s">
        <v>1289</v>
      </c>
      <c r="G358" t="s">
        <v>2470</v>
      </c>
      <c r="H358" t="s">
        <v>4397</v>
      </c>
      <c r="I358" t="s">
        <v>73</v>
      </c>
      <c r="J358" t="s">
        <v>4398</v>
      </c>
      <c r="K358" t="s">
        <v>73</v>
      </c>
      <c r="L358" t="s">
        <v>4399</v>
      </c>
      <c r="M358">
        <v>1546000</v>
      </c>
      <c r="N358" t="e">
        <v>#N/A</v>
      </c>
      <c r="O358" t="s">
        <v>4400</v>
      </c>
      <c r="P358" s="1">
        <v>45477</v>
      </c>
      <c r="Q358" t="s">
        <v>4401</v>
      </c>
      <c r="R358" t="s">
        <v>4402</v>
      </c>
      <c r="S358" t="s">
        <v>72</v>
      </c>
      <c r="T358" t="s">
        <v>73</v>
      </c>
      <c r="U358" t="s">
        <v>382</v>
      </c>
      <c r="V358" t="s">
        <v>106</v>
      </c>
      <c r="W358" t="s">
        <v>4403</v>
      </c>
      <c r="X358" t="s">
        <v>447</v>
      </c>
      <c r="Y358" t="s">
        <v>631</v>
      </c>
      <c r="Z358" t="s">
        <v>4404</v>
      </c>
      <c r="AA358">
        <v>7</v>
      </c>
      <c r="AB358" t="s">
        <v>110</v>
      </c>
      <c r="AC358" t="s">
        <v>4405</v>
      </c>
      <c r="AD358" t="s">
        <v>265</v>
      </c>
      <c r="AE358" t="s">
        <v>59</v>
      </c>
      <c r="AF358">
        <v>1314100</v>
      </c>
      <c r="AG358">
        <v>26282</v>
      </c>
    </row>
    <row r="359" spans="1:33" x14ac:dyDescent="0.25">
      <c r="A359">
        <v>79</v>
      </c>
      <c r="B359" t="s">
        <v>3469</v>
      </c>
      <c r="C359" t="s">
        <v>4406</v>
      </c>
      <c r="D359" t="s">
        <v>3471</v>
      </c>
      <c r="E359" t="s">
        <v>39</v>
      </c>
      <c r="F359" t="s">
        <v>4407</v>
      </c>
      <c r="G359" t="s">
        <v>62</v>
      </c>
      <c r="H359" t="s">
        <v>4408</v>
      </c>
      <c r="I359" t="s">
        <v>4409</v>
      </c>
      <c r="J359" t="s">
        <v>4409</v>
      </c>
      <c r="K359" t="s">
        <v>73</v>
      </c>
      <c r="L359" t="s">
        <v>4410</v>
      </c>
      <c r="M359">
        <v>1069000</v>
      </c>
      <c r="N359" t="e">
        <v>#N/A</v>
      </c>
      <c r="O359" t="s">
        <v>4411</v>
      </c>
      <c r="P359" s="1">
        <v>45476</v>
      </c>
      <c r="Q359" t="s">
        <v>4412</v>
      </c>
      <c r="R359" t="s">
        <v>4413</v>
      </c>
      <c r="S359" t="s">
        <v>72</v>
      </c>
      <c r="T359" t="s">
        <v>4414</v>
      </c>
      <c r="U359" t="s">
        <v>1298</v>
      </c>
      <c r="V359" t="s">
        <v>730</v>
      </c>
      <c r="W359" t="s">
        <v>4415</v>
      </c>
      <c r="X359" t="s">
        <v>3935</v>
      </c>
      <c r="Y359" t="s">
        <v>3923</v>
      </c>
      <c r="Z359" t="s">
        <v>4416</v>
      </c>
      <c r="AA359">
        <v>7</v>
      </c>
      <c r="AB359" t="s">
        <v>56</v>
      </c>
      <c r="AC359" t="s">
        <v>4417</v>
      </c>
      <c r="AD359" t="s">
        <v>4418</v>
      </c>
      <c r="AE359" t="s">
        <v>736</v>
      </c>
      <c r="AF359" t="s">
        <v>176</v>
      </c>
      <c r="AG359">
        <v>0</v>
      </c>
    </row>
    <row r="360" spans="1:33" x14ac:dyDescent="0.25">
      <c r="A360">
        <v>80</v>
      </c>
      <c r="B360" t="s">
        <v>3469</v>
      </c>
      <c r="C360" t="s">
        <v>4419</v>
      </c>
      <c r="D360" t="s">
        <v>3471</v>
      </c>
      <c r="E360" t="s">
        <v>39</v>
      </c>
      <c r="F360" t="s">
        <v>4420</v>
      </c>
      <c r="G360" t="s">
        <v>62</v>
      </c>
      <c r="H360" t="s">
        <v>4421</v>
      </c>
      <c r="I360" t="s">
        <v>4422</v>
      </c>
      <c r="J360" t="s">
        <v>4422</v>
      </c>
      <c r="K360" t="s">
        <v>4423</v>
      </c>
      <c r="L360" t="s">
        <v>4424</v>
      </c>
      <c r="M360">
        <v>1074000</v>
      </c>
      <c r="N360">
        <v>15139</v>
      </c>
      <c r="O360" t="s">
        <v>4425</v>
      </c>
      <c r="P360" s="1">
        <v>45476</v>
      </c>
      <c r="Q360" t="s">
        <v>4426</v>
      </c>
      <c r="R360" t="s">
        <v>4427</v>
      </c>
      <c r="S360" t="s">
        <v>72</v>
      </c>
      <c r="T360" t="s">
        <v>4428</v>
      </c>
      <c r="U360" t="s">
        <v>729</v>
      </c>
      <c r="V360" t="s">
        <v>730</v>
      </c>
      <c r="W360" t="s">
        <v>4429</v>
      </c>
      <c r="X360" t="s">
        <v>3935</v>
      </c>
      <c r="Y360" t="s">
        <v>3923</v>
      </c>
      <c r="Z360" t="s">
        <v>4430</v>
      </c>
      <c r="AA360">
        <v>7</v>
      </c>
      <c r="AB360" t="s">
        <v>947</v>
      </c>
      <c r="AC360" t="s">
        <v>4431</v>
      </c>
      <c r="AD360" t="s">
        <v>4432</v>
      </c>
      <c r="AE360" t="s">
        <v>736</v>
      </c>
      <c r="AF360" t="s">
        <v>176</v>
      </c>
      <c r="AG360">
        <v>0</v>
      </c>
    </row>
    <row r="361" spans="1:33" x14ac:dyDescent="0.25">
      <c r="A361">
        <v>81</v>
      </c>
      <c r="B361" t="s">
        <v>3469</v>
      </c>
      <c r="C361" t="s">
        <v>4433</v>
      </c>
      <c r="D361" t="s">
        <v>3471</v>
      </c>
      <c r="E361" t="s">
        <v>39</v>
      </c>
      <c r="F361" t="s">
        <v>4434</v>
      </c>
      <c r="G361" t="s">
        <v>62</v>
      </c>
      <c r="H361" t="s">
        <v>4435</v>
      </c>
      <c r="I361" t="s">
        <v>4436</v>
      </c>
      <c r="J361" t="s">
        <v>4437</v>
      </c>
      <c r="K361" t="s">
        <v>4438</v>
      </c>
      <c r="L361" t="s">
        <v>4439</v>
      </c>
      <c r="M361">
        <v>1074000</v>
      </c>
      <c r="N361">
        <v>12111</v>
      </c>
      <c r="O361" t="s">
        <v>4440</v>
      </c>
      <c r="P361" s="1">
        <v>45476</v>
      </c>
      <c r="Q361" t="s">
        <v>4441</v>
      </c>
      <c r="R361" t="s">
        <v>4442</v>
      </c>
      <c r="S361" t="s">
        <v>72</v>
      </c>
      <c r="T361" t="s">
        <v>4443</v>
      </c>
      <c r="U361" t="s">
        <v>1298</v>
      </c>
      <c r="V361" t="s">
        <v>730</v>
      </c>
      <c r="W361" t="s">
        <v>4444</v>
      </c>
      <c r="X361" t="s">
        <v>3935</v>
      </c>
      <c r="Y361" t="s">
        <v>3923</v>
      </c>
      <c r="Z361" t="s">
        <v>4445</v>
      </c>
      <c r="AA361">
        <v>7</v>
      </c>
      <c r="AB361" t="s">
        <v>56</v>
      </c>
      <c r="AC361" t="s">
        <v>4446</v>
      </c>
      <c r="AD361" t="s">
        <v>4418</v>
      </c>
      <c r="AE361" t="s">
        <v>736</v>
      </c>
      <c r="AF361" t="s">
        <v>176</v>
      </c>
      <c r="AG361">
        <v>0</v>
      </c>
    </row>
    <row r="362" spans="1:33" x14ac:dyDescent="0.25">
      <c r="A362">
        <v>82</v>
      </c>
      <c r="B362" t="s">
        <v>3469</v>
      </c>
      <c r="C362" t="s">
        <v>4447</v>
      </c>
      <c r="D362" t="s">
        <v>3471</v>
      </c>
      <c r="E362" t="s">
        <v>39</v>
      </c>
      <c r="F362" t="s">
        <v>4448</v>
      </c>
      <c r="G362" t="s">
        <v>189</v>
      </c>
      <c r="H362" t="s">
        <v>4449</v>
      </c>
      <c r="I362" t="s">
        <v>4450</v>
      </c>
      <c r="J362" t="s">
        <v>4451</v>
      </c>
      <c r="K362" t="s">
        <v>4450</v>
      </c>
      <c r="L362" t="s">
        <v>4452</v>
      </c>
      <c r="M362">
        <v>2586500</v>
      </c>
      <c r="N362" t="e">
        <v>#N/A</v>
      </c>
      <c r="O362" t="s">
        <v>4453</v>
      </c>
      <c r="P362" s="1">
        <v>45475</v>
      </c>
      <c r="Q362" t="s">
        <v>4454</v>
      </c>
      <c r="R362" t="s">
        <v>4455</v>
      </c>
      <c r="S362" t="s">
        <v>72</v>
      </c>
      <c r="T362" t="s">
        <v>4456</v>
      </c>
      <c r="U362" t="s">
        <v>1841</v>
      </c>
      <c r="V362" t="s">
        <v>153</v>
      </c>
      <c r="W362" t="s">
        <v>4457</v>
      </c>
      <c r="X362" t="s">
        <v>2172</v>
      </c>
      <c r="Y362" t="s">
        <v>108</v>
      </c>
      <c r="Z362" t="s">
        <v>4458</v>
      </c>
      <c r="AA362">
        <v>7</v>
      </c>
      <c r="AB362" t="s">
        <v>110</v>
      </c>
      <c r="AC362" t="s">
        <v>4459</v>
      </c>
      <c r="AD362" t="s">
        <v>4460</v>
      </c>
      <c r="AE362" t="s">
        <v>668</v>
      </c>
      <c r="AF362">
        <v>1939875</v>
      </c>
      <c r="AG362">
        <v>48497</v>
      </c>
    </row>
    <row r="363" spans="1:33" x14ac:dyDescent="0.25">
      <c r="A363">
        <v>83</v>
      </c>
      <c r="B363" t="s">
        <v>3469</v>
      </c>
      <c r="C363" t="s">
        <v>4461</v>
      </c>
      <c r="D363" t="s">
        <v>3471</v>
      </c>
      <c r="E363" t="s">
        <v>39</v>
      </c>
      <c r="F363" t="s">
        <v>4462</v>
      </c>
      <c r="G363" t="s">
        <v>189</v>
      </c>
      <c r="H363" t="s">
        <v>4463</v>
      </c>
      <c r="I363" t="s">
        <v>4464</v>
      </c>
      <c r="J363" t="s">
        <v>4465</v>
      </c>
      <c r="K363" t="s">
        <v>4464</v>
      </c>
      <c r="L363" t="s">
        <v>4466</v>
      </c>
      <c r="M363">
        <v>2576600</v>
      </c>
      <c r="N363">
        <v>33189</v>
      </c>
      <c r="O363" t="s">
        <v>4467</v>
      </c>
      <c r="P363" s="1">
        <v>45475</v>
      </c>
      <c r="Q363" t="s">
        <v>4468</v>
      </c>
      <c r="R363" t="s">
        <v>4469</v>
      </c>
      <c r="S363" t="s">
        <v>72</v>
      </c>
      <c r="T363" t="s">
        <v>4470</v>
      </c>
      <c r="U363" t="s">
        <v>4471</v>
      </c>
      <c r="V363" t="s">
        <v>52</v>
      </c>
      <c r="W363" t="s">
        <v>4472</v>
      </c>
      <c r="X363" t="s">
        <v>2245</v>
      </c>
      <c r="Y363" t="s">
        <v>3923</v>
      </c>
      <c r="Z363" t="s">
        <v>4473</v>
      </c>
      <c r="AA363">
        <v>5</v>
      </c>
      <c r="AB363" t="s">
        <v>199</v>
      </c>
      <c r="AC363" t="s">
        <v>4474</v>
      </c>
      <c r="AD363" t="s">
        <v>696</v>
      </c>
      <c r="AE363" t="s">
        <v>668</v>
      </c>
      <c r="AF363" t="s">
        <v>176</v>
      </c>
      <c r="AG363">
        <v>0</v>
      </c>
    </row>
    <row r="364" spans="1:33" x14ac:dyDescent="0.25">
      <c r="A364">
        <v>84</v>
      </c>
      <c r="B364" t="s">
        <v>3469</v>
      </c>
      <c r="C364" t="s">
        <v>4475</v>
      </c>
      <c r="D364" t="s">
        <v>3471</v>
      </c>
      <c r="E364" t="s">
        <v>39</v>
      </c>
      <c r="F364" t="s">
        <v>4476</v>
      </c>
      <c r="G364" t="s">
        <v>115</v>
      </c>
      <c r="H364" t="s">
        <v>4477</v>
      </c>
      <c r="I364" t="s">
        <v>4478</v>
      </c>
      <c r="J364" t="s">
        <v>4478</v>
      </c>
      <c r="K364" t="s">
        <v>4478</v>
      </c>
      <c r="L364" t="s">
        <v>4479</v>
      </c>
      <c r="M364">
        <v>4113000</v>
      </c>
      <c r="N364" t="e">
        <v>#N/A</v>
      </c>
      <c r="O364" t="s">
        <v>4480</v>
      </c>
      <c r="P364" s="1">
        <v>45474</v>
      </c>
      <c r="Q364" t="s">
        <v>4481</v>
      </c>
      <c r="R364" t="s">
        <v>4482</v>
      </c>
      <c r="S364" t="s">
        <v>72</v>
      </c>
      <c r="T364" t="s">
        <v>73</v>
      </c>
      <c r="U364" t="s">
        <v>4483</v>
      </c>
      <c r="V364" t="s">
        <v>75</v>
      </c>
      <c r="W364" t="s">
        <v>53</v>
      </c>
      <c r="X364" t="s">
        <v>53</v>
      </c>
      <c r="Y364" t="s">
        <v>92</v>
      </c>
      <c r="Z364" t="s">
        <v>4484</v>
      </c>
      <c r="AA364">
        <v>3</v>
      </c>
      <c r="AB364" t="s">
        <v>56</v>
      </c>
      <c r="AC364" t="s">
        <v>4485</v>
      </c>
      <c r="AD364" t="s">
        <v>58</v>
      </c>
      <c r="AE364" t="s">
        <v>319</v>
      </c>
      <c r="AF364" t="s">
        <v>176</v>
      </c>
      <c r="AG36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F3B6-26B3-45AC-8E87-5A912D7864ED}">
  <dimension ref="A1:H246"/>
  <sheetViews>
    <sheetView tabSelected="1" workbookViewId="0">
      <selection activeCell="B2" sqref="B2"/>
    </sheetView>
  </sheetViews>
  <sheetFormatPr defaultRowHeight="15" x14ac:dyDescent="0.25"/>
  <cols>
    <col min="1" max="1" width="39.85546875" bestFit="1" customWidth="1"/>
    <col min="2" max="2" width="13.140625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84.5703125" customWidth="1"/>
    <col min="7" max="7" width="77.28515625" customWidth="1"/>
    <col min="8" max="8" width="74.7109375" customWidth="1"/>
  </cols>
  <sheetData>
    <row r="1" spans="1:8" ht="84.75" customHeight="1" x14ac:dyDescent="0.25">
      <c r="A1" s="8" t="s">
        <v>4489</v>
      </c>
      <c r="B1" s="10" t="str">
        <f>VLOOKUP(A1,[1]Sheet1!$B$2:$C$247,2,0)</f>
        <v>070000162655</v>
      </c>
      <c r="C1" s="15">
        <v>32000</v>
      </c>
      <c r="D1" s="11">
        <f>ROUND(C1,0)</f>
        <v>32000</v>
      </c>
      <c r="E1" s="17" t="s">
        <v>4978</v>
      </c>
      <c r="F1" s="12" t="str">
        <f t="shared" ref="F1:F64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" s="13" t="str">
        <f>"('"&amp;E1&amp;"','"&amp;B1&amp;"','"&amp;D1&amp;"',(select max(to_number(i.premium_rcv_detail_code))+1
from ins_premium_det i),'"&amp;D1&amp;"','"&amp;D1&amp;"','02', '11000003','00','Request by Mr. Saqib Saleem 28-Aug-2024');"</f>
        <v>('28Aug240039','070000162655','32000',(select max(to_number(i.premium_rcv_detail_code))+1
from ins_premium_det i),'32000','32000','02', '11000003','00','Request by Mr. Saqib Saleem 28-Aug-2024');</v>
      </c>
      <c r="H1" s="14" t="str">
        <f>F1&amp;G1</f>
        <v>insert into ins_premium_det (premium_rcv_code,assorted_code, rec_amount,premium_rcv_detail_code,remaining_amt, payrec, mode_code,coinsurance_code,class_cd,it_remarks) values('28Aug240039','070000162655','32000',(select max(to_number(i.premium_rcv_detail_code))+1
from ins_premium_det i),'32000','32000','02', '11000003','00','Request by Mr. Saqib Saleem 28-Aug-2024');</v>
      </c>
    </row>
    <row r="2" spans="1:8" ht="105" x14ac:dyDescent="0.25">
      <c r="A2" s="9" t="s">
        <v>4490</v>
      </c>
      <c r="B2" s="10" t="str">
        <f>VLOOKUP(A2,[1]Sheet1!$B$2:$C$247,2,0)</f>
        <v>070000162656</v>
      </c>
      <c r="C2" s="16">
        <v>33152</v>
      </c>
      <c r="D2" s="11">
        <f t="shared" ref="D2:D65" si="1">ROUND(C2,0)</f>
        <v>33152</v>
      </c>
      <c r="E2" s="17" t="s">
        <v>4978</v>
      </c>
      <c r="F2" s="12" t="str">
        <f t="shared" si="0"/>
        <v>insert into ins_premium_det (premium_rcv_code,assorted_code, rec_amount,premium_rcv_detail_code,remaining_amt, payrec, mode_code,coinsurance_code,class_cd,it_remarks) values</v>
      </c>
      <c r="G2" s="13" t="str">
        <f t="shared" ref="G2:G65" si="2">"('"&amp;E2&amp;"','"&amp;B2&amp;"','"&amp;D2&amp;"',(select max(to_number(i.premium_rcv_detail_code))+1
from ins_premium_det i),'"&amp;D2&amp;"','"&amp;D2&amp;"','02', '11000003','00','Request by Mr. Saqib Saleem 28-Aug-2024');"</f>
        <v>('28Aug240039','070000162656','33152',(select max(to_number(i.premium_rcv_detail_code))+1
from ins_premium_det i),'33152','33152','02', '11000003','00','Request by Mr. Saqib Saleem 28-Aug-2024');</v>
      </c>
      <c r="H2" s="14" t="str">
        <f t="shared" ref="H2:H65" si="3">F2&amp;G2</f>
        <v>insert into ins_premium_det (premium_rcv_code,assorted_code, rec_amount,premium_rcv_detail_code,remaining_amt, payrec, mode_code,coinsurance_code,class_cd,it_remarks) values('28Aug240039','070000162656','33152',(select max(to_number(i.premium_rcv_detail_code))+1
from ins_premium_det i),'33152','33152','02', '11000003','00','Request by Mr. Saqib Saleem 28-Aug-2024');</v>
      </c>
    </row>
    <row r="3" spans="1:8" ht="105" x14ac:dyDescent="0.25">
      <c r="A3" s="8" t="s">
        <v>4491</v>
      </c>
      <c r="B3" s="10" t="str">
        <f>VLOOKUP(A3,[1]Sheet1!$B$2:$C$247,2,0)</f>
        <v>070000162662</v>
      </c>
      <c r="C3" s="15">
        <v>21658</v>
      </c>
      <c r="D3" s="11">
        <f t="shared" si="1"/>
        <v>21658</v>
      </c>
      <c r="E3" s="17" t="s">
        <v>4978</v>
      </c>
      <c r="F3" s="12" t="str">
        <f t="shared" si="0"/>
        <v>insert into ins_premium_det (premium_rcv_code,assorted_code, rec_amount,premium_rcv_detail_code,remaining_amt, payrec, mode_code,coinsurance_code,class_cd,it_remarks) values</v>
      </c>
      <c r="G3" s="13" t="str">
        <f t="shared" si="2"/>
        <v>('28Aug240039','070000162662','21658',(select max(to_number(i.premium_rcv_detail_code))+1
from ins_premium_det i),'21658','21658','02', '11000003','00','Request by Mr. Saqib Saleem 28-Aug-2024');</v>
      </c>
      <c r="H3" s="14" t="str">
        <f t="shared" si="3"/>
        <v>insert into ins_premium_det (premium_rcv_code,assorted_code, rec_amount,premium_rcv_detail_code,remaining_amt, payrec, mode_code,coinsurance_code,class_cd,it_remarks) values('28Aug240039','070000162662','21658',(select max(to_number(i.premium_rcv_detail_code))+1
from ins_premium_det i),'21658','21658','02', '11000003','00','Request by Mr. Saqib Saleem 28-Aug-2024');</v>
      </c>
    </row>
    <row r="4" spans="1:8" ht="105" x14ac:dyDescent="0.25">
      <c r="A4" s="9" t="s">
        <v>4492</v>
      </c>
      <c r="B4" s="10" t="str">
        <f>VLOOKUP(A4,[1]Sheet1!$B$2:$C$247,2,0)</f>
        <v>070000162663</v>
      </c>
      <c r="C4" s="16">
        <v>33048</v>
      </c>
      <c r="D4" s="11">
        <f t="shared" si="1"/>
        <v>33048</v>
      </c>
      <c r="E4" s="17" t="s">
        <v>4978</v>
      </c>
      <c r="F4" s="12" t="str">
        <f t="shared" si="0"/>
        <v>insert into ins_premium_det (premium_rcv_code,assorted_code, rec_amount,premium_rcv_detail_code,remaining_amt, payrec, mode_code,coinsurance_code,class_cd,it_remarks) values</v>
      </c>
      <c r="G4" s="13" t="str">
        <f t="shared" si="2"/>
        <v>('28Aug240039','070000162663','33048',(select max(to_number(i.premium_rcv_detail_code))+1
from ins_premium_det i),'33048','33048','02', '11000003','00','Request by Mr. Saqib Saleem 28-Aug-2024');</v>
      </c>
      <c r="H4" s="14" t="str">
        <f t="shared" si="3"/>
        <v>insert into ins_premium_det (premium_rcv_code,assorted_code, rec_amount,premium_rcv_detail_code,remaining_amt, payrec, mode_code,coinsurance_code,class_cd,it_remarks) values('28Aug240039','070000162663','33048',(select max(to_number(i.premium_rcv_detail_code))+1
from ins_premium_det i),'33048','33048','02', '11000003','00','Request by Mr. Saqib Saleem 28-Aug-2024');</v>
      </c>
    </row>
    <row r="5" spans="1:8" ht="105" x14ac:dyDescent="0.25">
      <c r="A5" s="8" t="s">
        <v>4493</v>
      </c>
      <c r="B5" s="10" t="str">
        <f>VLOOKUP(A5,[1]Sheet1!$B$2:$C$247,2,0)</f>
        <v>070000162664</v>
      </c>
      <c r="C5" s="15">
        <v>38148</v>
      </c>
      <c r="D5" s="11">
        <f t="shared" si="1"/>
        <v>38148</v>
      </c>
      <c r="E5" s="17" t="s">
        <v>4978</v>
      </c>
      <c r="F5" s="12" t="str">
        <f t="shared" si="0"/>
        <v>insert into ins_premium_det (premium_rcv_code,assorted_code, rec_amount,premium_rcv_detail_code,remaining_amt, payrec, mode_code,coinsurance_code,class_cd,it_remarks) values</v>
      </c>
      <c r="G5" s="13" t="str">
        <f t="shared" si="2"/>
        <v>('28Aug240039','070000162664','38148',(select max(to_number(i.premium_rcv_detail_code))+1
from ins_premium_det i),'38148','38148','02', '11000003','00','Request by Mr. Saqib Saleem 28-Aug-2024');</v>
      </c>
      <c r="H5" s="14" t="str">
        <f t="shared" si="3"/>
        <v>insert into ins_premium_det (premium_rcv_code,assorted_code, rec_amount,premium_rcv_detail_code,remaining_amt, payrec, mode_code,coinsurance_code,class_cd,it_remarks) values('28Aug240039','070000162664','38148',(select max(to_number(i.premium_rcv_detail_code))+1
from ins_premium_det i),'38148','38148','02', '11000003','00','Request by Mr. Saqib Saleem 28-Aug-2024');</v>
      </c>
    </row>
    <row r="6" spans="1:8" ht="105" x14ac:dyDescent="0.25">
      <c r="A6" s="9" t="s">
        <v>4494</v>
      </c>
      <c r="B6" s="10" t="str">
        <f>VLOOKUP(A6,[1]Sheet1!$B$2:$C$247,2,0)</f>
        <v>070000162668</v>
      </c>
      <c r="C6" s="16">
        <v>25360</v>
      </c>
      <c r="D6" s="11">
        <f t="shared" si="1"/>
        <v>25360</v>
      </c>
      <c r="E6" s="17" t="s">
        <v>4978</v>
      </c>
      <c r="F6" s="12" t="str">
        <f t="shared" si="0"/>
        <v>insert into ins_premium_det (premium_rcv_code,assorted_code, rec_amount,premium_rcv_detail_code,remaining_amt, payrec, mode_code,coinsurance_code,class_cd,it_remarks) values</v>
      </c>
      <c r="G6" s="13" t="str">
        <f t="shared" si="2"/>
        <v>('28Aug240039','070000162668','25360',(select max(to_number(i.premium_rcv_detail_code))+1
from ins_premium_det i),'25360','25360','02', '11000003','00','Request by Mr. Saqib Saleem 28-Aug-2024');</v>
      </c>
      <c r="H6" s="14" t="str">
        <f t="shared" si="3"/>
        <v>insert into ins_premium_det (premium_rcv_code,assorted_code, rec_amount,premium_rcv_detail_code,remaining_amt, payrec, mode_code,coinsurance_code,class_cd,it_remarks) values('28Aug240039','070000162668','25360',(select max(to_number(i.premium_rcv_detail_code))+1
from ins_premium_det i),'25360','25360','02', '11000003','00','Request by Mr. Saqib Saleem 28-Aug-2024');</v>
      </c>
    </row>
    <row r="7" spans="1:8" ht="105" x14ac:dyDescent="0.25">
      <c r="A7" s="8" t="s">
        <v>4495</v>
      </c>
      <c r="B7" s="10" t="str">
        <f>VLOOKUP(A7,[1]Sheet1!$B$2:$C$247,2,0)</f>
        <v>070000162669</v>
      </c>
      <c r="C7" s="15">
        <v>34080</v>
      </c>
      <c r="D7" s="11">
        <f t="shared" si="1"/>
        <v>34080</v>
      </c>
      <c r="E7" s="17" t="s">
        <v>4978</v>
      </c>
      <c r="F7" s="12" t="str">
        <f t="shared" si="0"/>
        <v>insert into ins_premium_det (premium_rcv_code,assorted_code, rec_amount,premium_rcv_detail_code,remaining_amt, payrec, mode_code,coinsurance_code,class_cd,it_remarks) values</v>
      </c>
      <c r="G7" s="13" t="str">
        <f t="shared" si="2"/>
        <v>('28Aug240039','070000162669','34080',(select max(to_number(i.premium_rcv_detail_code))+1
from ins_premium_det i),'34080','34080','02', '11000003','00','Request by Mr. Saqib Saleem 28-Aug-2024');</v>
      </c>
      <c r="H7" s="14" t="str">
        <f t="shared" si="3"/>
        <v>insert into ins_premium_det (premium_rcv_code,assorted_code, rec_amount,premium_rcv_detail_code,remaining_amt, payrec, mode_code,coinsurance_code,class_cd,it_remarks) values('28Aug240039','070000162669','34080',(select max(to_number(i.premium_rcv_detail_code))+1
from ins_premium_det i),'34080','34080','02', '11000003','00','Request by Mr. Saqib Saleem 28-Aug-2024');</v>
      </c>
    </row>
    <row r="8" spans="1:8" ht="105" x14ac:dyDescent="0.25">
      <c r="A8" s="9" t="s">
        <v>4496</v>
      </c>
      <c r="B8" s="10" t="str">
        <f>VLOOKUP(A8,[1]Sheet1!$B$2:$C$247,2,0)</f>
        <v>070000162672</v>
      </c>
      <c r="C8" s="16">
        <v>66224</v>
      </c>
      <c r="D8" s="11">
        <f t="shared" si="1"/>
        <v>66224</v>
      </c>
      <c r="E8" s="17" t="s">
        <v>4978</v>
      </c>
      <c r="F8" s="12" t="str">
        <f t="shared" si="0"/>
        <v>insert into ins_premium_det (premium_rcv_code,assorted_code, rec_amount,premium_rcv_detail_code,remaining_amt, payrec, mode_code,coinsurance_code,class_cd,it_remarks) values</v>
      </c>
      <c r="G8" s="13" t="str">
        <f t="shared" si="2"/>
        <v>('28Aug240039','070000162672','66224',(select max(to_number(i.premium_rcv_detail_code))+1
from ins_premium_det i),'66224','66224','02', '11000003','00','Request by Mr. Saqib Saleem 28-Aug-2024');</v>
      </c>
      <c r="H8" s="14" t="str">
        <f t="shared" si="3"/>
        <v>insert into ins_premium_det (premium_rcv_code,assorted_code, rec_amount,premium_rcv_detail_code,remaining_amt, payrec, mode_code,coinsurance_code,class_cd,it_remarks) values('28Aug240039','070000162672','66224',(select max(to_number(i.premium_rcv_detail_code))+1
from ins_premium_det i),'66224','66224','02', '11000003','00','Request by Mr. Saqib Saleem 28-Aug-2024');</v>
      </c>
    </row>
    <row r="9" spans="1:8" ht="105" x14ac:dyDescent="0.25">
      <c r="A9" s="8" t="s">
        <v>4497</v>
      </c>
      <c r="B9" s="10" t="str">
        <f>VLOOKUP(A9,[1]Sheet1!$B$2:$C$247,2,0)</f>
        <v>070000162675</v>
      </c>
      <c r="C9" s="15">
        <v>26163</v>
      </c>
      <c r="D9" s="11">
        <f t="shared" si="1"/>
        <v>26163</v>
      </c>
      <c r="E9" s="17" t="s">
        <v>4978</v>
      </c>
      <c r="F9" s="12" t="str">
        <f t="shared" si="0"/>
        <v>insert into ins_premium_det (premium_rcv_code,assorted_code, rec_amount,premium_rcv_detail_code,remaining_amt, payrec, mode_code,coinsurance_code,class_cd,it_remarks) values</v>
      </c>
      <c r="G9" s="13" t="str">
        <f t="shared" si="2"/>
        <v>('28Aug240039','070000162675','26163',(select max(to_number(i.premium_rcv_detail_code))+1
from ins_premium_det i),'26163','26163','02', '11000003','00','Request by Mr. Saqib Saleem 28-Aug-2024');</v>
      </c>
      <c r="H9" s="14" t="str">
        <f t="shared" si="3"/>
        <v>insert into ins_premium_det (premium_rcv_code,assorted_code, rec_amount,premium_rcv_detail_code,remaining_amt, payrec, mode_code,coinsurance_code,class_cd,it_remarks) values('28Aug240039','070000162675','26163',(select max(to_number(i.premium_rcv_detail_code))+1
from ins_premium_det i),'26163','26163','02', '11000003','00','Request by Mr. Saqib Saleem 28-Aug-2024');</v>
      </c>
    </row>
    <row r="10" spans="1:8" ht="105" x14ac:dyDescent="0.25">
      <c r="A10" s="9" t="s">
        <v>4498</v>
      </c>
      <c r="B10" s="10" t="str">
        <f>VLOOKUP(A10,[1]Sheet1!$B$2:$C$247,2,0)</f>
        <v>070000162676</v>
      </c>
      <c r="C10" s="16">
        <v>26163</v>
      </c>
      <c r="D10" s="11">
        <f t="shared" si="1"/>
        <v>26163</v>
      </c>
      <c r="E10" s="17" t="s">
        <v>4978</v>
      </c>
      <c r="F10" s="12" t="str">
        <f t="shared" si="0"/>
        <v>insert into ins_premium_det (premium_rcv_code,assorted_code, rec_amount,premium_rcv_detail_code,remaining_amt, payrec, mode_code,coinsurance_code,class_cd,it_remarks) values</v>
      </c>
      <c r="G10" s="13" t="str">
        <f t="shared" si="2"/>
        <v>('28Aug240039','070000162676','26163',(select max(to_number(i.premium_rcv_detail_code))+1
from ins_premium_det i),'26163','26163','02', '11000003','00','Request by Mr. Saqib Saleem 28-Aug-2024');</v>
      </c>
      <c r="H10" s="14" t="str">
        <f t="shared" si="3"/>
        <v>insert into ins_premium_det (premium_rcv_code,assorted_code, rec_amount,premium_rcv_detail_code,remaining_amt, payrec, mode_code,coinsurance_code,class_cd,it_remarks) values('28Aug240039','070000162676','26163',(select max(to_number(i.premium_rcv_detail_code))+1
from ins_premium_det i),'26163','26163','02', '11000003','00','Request by Mr. Saqib Saleem 28-Aug-2024');</v>
      </c>
    </row>
    <row r="11" spans="1:8" ht="105" x14ac:dyDescent="0.25">
      <c r="A11" s="8" t="s">
        <v>4499</v>
      </c>
      <c r="B11" s="10" t="str">
        <f>VLOOKUP(A11,[1]Sheet1!$B$2:$C$247,2,0)</f>
        <v>070000162678</v>
      </c>
      <c r="C11" s="15">
        <v>29461</v>
      </c>
      <c r="D11" s="11">
        <f t="shared" si="1"/>
        <v>29461</v>
      </c>
      <c r="E11" s="17" t="s">
        <v>4978</v>
      </c>
      <c r="F11" s="12" t="str">
        <f t="shared" si="0"/>
        <v>insert into ins_premium_det (premium_rcv_code,assorted_code, rec_amount,premium_rcv_detail_code,remaining_amt, payrec, mode_code,coinsurance_code,class_cd,it_remarks) values</v>
      </c>
      <c r="G11" s="13" t="str">
        <f t="shared" si="2"/>
        <v>('28Aug240039','070000162678','29461',(select max(to_number(i.premium_rcv_detail_code))+1
from ins_premium_det i),'29461','29461','02', '11000003','00','Request by Mr. Saqib Saleem 28-Aug-2024');</v>
      </c>
      <c r="H11" s="14" t="str">
        <f t="shared" si="3"/>
        <v>insert into ins_premium_det (premium_rcv_code,assorted_code, rec_amount,premium_rcv_detail_code,remaining_amt, payrec, mode_code,coinsurance_code,class_cd,it_remarks) values('28Aug240039','070000162678','29461',(select max(to_number(i.premium_rcv_detail_code))+1
from ins_premium_det i),'29461','29461','02', '11000003','00','Request by Mr. Saqib Saleem 28-Aug-2024');</v>
      </c>
    </row>
    <row r="12" spans="1:8" ht="105" x14ac:dyDescent="0.25">
      <c r="A12" s="9" t="s">
        <v>4500</v>
      </c>
      <c r="B12" s="10" t="str">
        <f>VLOOKUP(A12,[1]Sheet1!$B$2:$C$247,2,0)</f>
        <v>070000162680</v>
      </c>
      <c r="C12" s="16">
        <v>30838</v>
      </c>
      <c r="D12" s="11">
        <f t="shared" si="1"/>
        <v>30838</v>
      </c>
      <c r="E12" s="17" t="s">
        <v>4978</v>
      </c>
      <c r="F12" s="12" t="str">
        <f t="shared" si="0"/>
        <v>insert into ins_premium_det (premium_rcv_code,assorted_code, rec_amount,premium_rcv_detail_code,remaining_amt, payrec, mode_code,coinsurance_code,class_cd,it_remarks) values</v>
      </c>
      <c r="G12" s="13" t="str">
        <f t="shared" si="2"/>
        <v>('28Aug240039','070000162680','30838',(select max(to_number(i.premium_rcv_detail_code))+1
from ins_premium_det i),'30838','30838','02', '11000003','00','Request by Mr. Saqib Saleem 28-Aug-2024');</v>
      </c>
      <c r="H12" s="14" t="str">
        <f t="shared" si="3"/>
        <v>insert into ins_premium_det (premium_rcv_code,assorted_code, rec_amount,premium_rcv_detail_code,remaining_amt, payrec, mode_code,coinsurance_code,class_cd,it_remarks) values('28Aug240039','070000162680','30838',(select max(to_number(i.premium_rcv_detail_code))+1
from ins_premium_det i),'30838','30838','02', '11000003','00','Request by Mr. Saqib Saleem 28-Aug-2024');</v>
      </c>
    </row>
    <row r="13" spans="1:8" ht="105" x14ac:dyDescent="0.25">
      <c r="A13" s="8" t="s">
        <v>4501</v>
      </c>
      <c r="B13" s="10" t="str">
        <f>VLOOKUP(A13,[1]Sheet1!$B$2:$C$247,2,0)</f>
        <v>070000162684</v>
      </c>
      <c r="C13" s="15">
        <v>58820</v>
      </c>
      <c r="D13" s="11">
        <f t="shared" si="1"/>
        <v>58820</v>
      </c>
      <c r="E13" s="17" t="s">
        <v>4978</v>
      </c>
      <c r="F13" s="12" t="str">
        <f t="shared" si="0"/>
        <v>insert into ins_premium_det (premium_rcv_code,assorted_code, rec_amount,premium_rcv_detail_code,remaining_amt, payrec, mode_code,coinsurance_code,class_cd,it_remarks) values</v>
      </c>
      <c r="G13" s="13" t="str">
        <f t="shared" si="2"/>
        <v>('28Aug240039','070000162684','58820',(select max(to_number(i.premium_rcv_detail_code))+1
from ins_premium_det i),'58820','58820','02', '11000003','00','Request by Mr. Saqib Saleem 28-Aug-2024');</v>
      </c>
      <c r="H13" s="14" t="str">
        <f t="shared" si="3"/>
        <v>insert into ins_premium_det (premium_rcv_code,assorted_code, rec_amount,premium_rcv_detail_code,remaining_amt, payrec, mode_code,coinsurance_code,class_cd,it_remarks) values('28Aug240039','070000162684','58820',(select max(to_number(i.premium_rcv_detail_code))+1
from ins_premium_det i),'58820','58820','02', '11000003','00','Request by Mr. Saqib Saleem 28-Aug-2024');</v>
      </c>
    </row>
    <row r="14" spans="1:8" ht="105" x14ac:dyDescent="0.25">
      <c r="A14" s="9" t="s">
        <v>4502</v>
      </c>
      <c r="B14" s="10" t="str">
        <f>VLOOKUP(A14,[1]Sheet1!$B$2:$C$247,2,0)</f>
        <v>070000162687</v>
      </c>
      <c r="C14" s="16">
        <v>26775</v>
      </c>
      <c r="D14" s="11">
        <f t="shared" si="1"/>
        <v>26775</v>
      </c>
      <c r="E14" s="17" t="s">
        <v>4978</v>
      </c>
      <c r="F14" s="12" t="str">
        <f t="shared" si="0"/>
        <v>insert into ins_premium_det (premium_rcv_code,assorted_code, rec_amount,premium_rcv_detail_code,remaining_amt, payrec, mode_code,coinsurance_code,class_cd,it_remarks) values</v>
      </c>
      <c r="G14" s="13" t="str">
        <f t="shared" si="2"/>
        <v>('28Aug240039','070000162687','26775',(select max(to_number(i.premium_rcv_detail_code))+1
from ins_premium_det i),'26775','26775','02', '11000003','00','Request by Mr. Saqib Saleem 28-Aug-2024');</v>
      </c>
      <c r="H14" s="14" t="str">
        <f t="shared" si="3"/>
        <v>insert into ins_premium_det (premium_rcv_code,assorted_code, rec_amount,premium_rcv_detail_code,remaining_amt, payrec, mode_code,coinsurance_code,class_cd,it_remarks) values('28Aug240039','070000162687','26775',(select max(to_number(i.premium_rcv_detail_code))+1
from ins_premium_det i),'26775','26775','02', '11000003','00','Request by Mr. Saqib Saleem 28-Aug-2024');</v>
      </c>
    </row>
    <row r="15" spans="1:8" ht="105" x14ac:dyDescent="0.25">
      <c r="A15" s="8" t="s">
        <v>4503</v>
      </c>
      <c r="B15" s="10" t="str">
        <f>VLOOKUP(A15,[1]Sheet1!$B$2:$C$247,2,0)</f>
        <v>070000162688</v>
      </c>
      <c r="C15" s="15">
        <v>27094</v>
      </c>
      <c r="D15" s="11">
        <f t="shared" si="1"/>
        <v>27094</v>
      </c>
      <c r="E15" s="17" t="s">
        <v>4978</v>
      </c>
      <c r="F15" s="12" t="str">
        <f t="shared" si="0"/>
        <v>insert into ins_premium_det (premium_rcv_code,assorted_code, rec_amount,premium_rcv_detail_code,remaining_amt, payrec, mode_code,coinsurance_code,class_cd,it_remarks) values</v>
      </c>
      <c r="G15" s="13" t="str">
        <f t="shared" si="2"/>
        <v>('28Aug240039','070000162688','27094',(select max(to_number(i.premium_rcv_detail_code))+1
from ins_premium_det i),'27094','27094','02', '11000003','00','Request by Mr. Saqib Saleem 28-Aug-2024');</v>
      </c>
      <c r="H15" s="14" t="str">
        <f t="shared" si="3"/>
        <v>insert into ins_premium_det (premium_rcv_code,assorted_code, rec_amount,premium_rcv_detail_code,remaining_amt, payrec, mode_code,coinsurance_code,class_cd,it_remarks) values('28Aug240039','070000162688','27094',(select max(to_number(i.premium_rcv_detail_code))+1
from ins_premium_det i),'27094','27094','02', '11000003','00','Request by Mr. Saqib Saleem 28-Aug-2024');</v>
      </c>
    </row>
    <row r="16" spans="1:8" ht="105" x14ac:dyDescent="0.25">
      <c r="A16" s="9" t="s">
        <v>4504</v>
      </c>
      <c r="B16" s="10" t="str">
        <f>VLOOKUP(A16,[1]Sheet1!$B$2:$C$247,2,0)</f>
        <v>070000162689</v>
      </c>
      <c r="C16" s="16">
        <v>28369</v>
      </c>
      <c r="D16" s="11">
        <f t="shared" si="1"/>
        <v>28369</v>
      </c>
      <c r="E16" s="17" t="s">
        <v>4978</v>
      </c>
      <c r="F16" s="12" t="str">
        <f t="shared" si="0"/>
        <v>insert into ins_premium_det (premium_rcv_code,assorted_code, rec_amount,premium_rcv_detail_code,remaining_amt, payrec, mode_code,coinsurance_code,class_cd,it_remarks) values</v>
      </c>
      <c r="G16" s="13" t="str">
        <f t="shared" si="2"/>
        <v>('28Aug240039','070000162689','28369',(select max(to_number(i.premium_rcv_detail_code))+1
from ins_premium_det i),'28369','28369','02', '11000003','00','Request by Mr. Saqib Saleem 28-Aug-2024');</v>
      </c>
      <c r="H16" s="14" t="str">
        <f t="shared" si="3"/>
        <v>insert into ins_premium_det (premium_rcv_code,assorted_code, rec_amount,premium_rcv_detail_code,remaining_amt, payrec, mode_code,coinsurance_code,class_cd,it_remarks) values('28Aug240039','070000162689','28369',(select max(to_number(i.premium_rcv_detail_code))+1
from ins_premium_det i),'28369','28369','02', '11000003','00','Request by Mr. Saqib Saleem 28-Aug-2024');</v>
      </c>
    </row>
    <row r="17" spans="1:8" ht="105" x14ac:dyDescent="0.25">
      <c r="A17" s="8" t="s">
        <v>4505</v>
      </c>
      <c r="B17" s="10" t="str">
        <f>VLOOKUP(A17,[1]Sheet1!$B$2:$C$247,2,0)</f>
        <v>070000162690</v>
      </c>
      <c r="C17" s="15">
        <v>21658</v>
      </c>
      <c r="D17" s="11">
        <f t="shared" si="1"/>
        <v>21658</v>
      </c>
      <c r="E17" s="17" t="s">
        <v>4978</v>
      </c>
      <c r="F17" s="12" t="str">
        <f t="shared" si="0"/>
        <v>insert into ins_premium_det (premium_rcv_code,assorted_code, rec_amount,premium_rcv_detail_code,remaining_amt, payrec, mode_code,coinsurance_code,class_cd,it_remarks) values</v>
      </c>
      <c r="G17" s="13" t="str">
        <f t="shared" si="2"/>
        <v>('28Aug240039','070000162690','21658',(select max(to_number(i.premium_rcv_detail_code))+1
from ins_premium_det i),'21658','21658','02', '11000003','00','Request by Mr. Saqib Saleem 28-Aug-2024');</v>
      </c>
      <c r="H17" s="14" t="str">
        <f t="shared" si="3"/>
        <v>insert into ins_premium_det (premium_rcv_code,assorted_code, rec_amount,premium_rcv_detail_code,remaining_amt, payrec, mode_code,coinsurance_code,class_cd,it_remarks) values('28Aug240039','070000162690','21658',(select max(to_number(i.premium_rcv_detail_code))+1
from ins_premium_det i),'21658','21658','02', '11000003','00','Request by Mr. Saqib Saleem 28-Aug-2024');</v>
      </c>
    </row>
    <row r="18" spans="1:8" ht="105" x14ac:dyDescent="0.25">
      <c r="A18" s="9" t="s">
        <v>4506</v>
      </c>
      <c r="B18" s="10" t="str">
        <f>VLOOKUP(A18,[1]Sheet1!$B$2:$C$247,2,0)</f>
        <v>070000162695</v>
      </c>
      <c r="C18" s="16">
        <v>58921</v>
      </c>
      <c r="D18" s="11">
        <f t="shared" si="1"/>
        <v>58921</v>
      </c>
      <c r="E18" s="17" t="s">
        <v>4978</v>
      </c>
      <c r="F18" s="12" t="str">
        <f t="shared" si="0"/>
        <v>insert into ins_premium_det (premium_rcv_code,assorted_code, rec_amount,premium_rcv_detail_code,remaining_amt, payrec, mode_code,coinsurance_code,class_cd,it_remarks) values</v>
      </c>
      <c r="G18" s="13" t="str">
        <f t="shared" si="2"/>
        <v>('28Aug240039','070000162695','58921',(select max(to_number(i.premium_rcv_detail_code))+1
from ins_premium_det i),'58921','58921','02', '11000003','00','Request by Mr. Saqib Saleem 28-Aug-2024');</v>
      </c>
      <c r="H18" s="14" t="str">
        <f t="shared" si="3"/>
        <v>insert into ins_premium_det (premium_rcv_code,assorted_code, rec_amount,premium_rcv_detail_code,remaining_amt, payrec, mode_code,coinsurance_code,class_cd,it_remarks) values('28Aug240039','070000162695','58921',(select max(to_number(i.premium_rcv_detail_code))+1
from ins_premium_det i),'58921','58921','02', '11000003','00','Request by Mr. Saqib Saleem 28-Aug-2024');</v>
      </c>
    </row>
    <row r="19" spans="1:8" ht="105" x14ac:dyDescent="0.25">
      <c r="A19" s="8" t="s">
        <v>4507</v>
      </c>
      <c r="B19" s="10" t="str">
        <f>VLOOKUP(A19,[1]Sheet1!$B$2:$C$247,2,0)</f>
        <v>070000162697</v>
      </c>
      <c r="C19" s="15">
        <v>12000</v>
      </c>
      <c r="D19" s="11">
        <f t="shared" si="1"/>
        <v>12000</v>
      </c>
      <c r="E19" s="17" t="s">
        <v>4978</v>
      </c>
      <c r="F19" s="12" t="str">
        <f t="shared" si="0"/>
        <v>insert into ins_premium_det (premium_rcv_code,assorted_code, rec_amount,premium_rcv_detail_code,remaining_amt, payrec, mode_code,coinsurance_code,class_cd,it_remarks) values</v>
      </c>
      <c r="G19" s="13" t="str">
        <f t="shared" si="2"/>
        <v>('28Aug240039','070000162697','12000',(select max(to_number(i.premium_rcv_detail_code))+1
from ins_premium_det i),'12000','12000','02', '11000003','00','Request by Mr. Saqib Saleem 28-Aug-2024');</v>
      </c>
      <c r="H19" s="14" t="str">
        <f t="shared" si="3"/>
        <v>insert into ins_premium_det (premium_rcv_code,assorted_code, rec_amount,premium_rcv_detail_code,remaining_amt, payrec, mode_code,coinsurance_code,class_cd,it_remarks) values('28Aug240039','070000162697','12000',(select max(to_number(i.premium_rcv_detail_code))+1
from ins_premium_det i),'12000','12000','02', '11000003','00','Request by Mr. Saqib Saleem 28-Aug-2024');</v>
      </c>
    </row>
    <row r="20" spans="1:8" ht="105" x14ac:dyDescent="0.25">
      <c r="A20" s="9" t="s">
        <v>4508</v>
      </c>
      <c r="B20" s="10" t="str">
        <f>VLOOKUP(A20,[1]Sheet1!$B$2:$C$247,2,0)</f>
        <v>070000162698</v>
      </c>
      <c r="C20" s="16">
        <v>42512</v>
      </c>
      <c r="D20" s="11">
        <f t="shared" si="1"/>
        <v>42512</v>
      </c>
      <c r="E20" s="17" t="s">
        <v>4978</v>
      </c>
      <c r="F20" s="12" t="str">
        <f t="shared" si="0"/>
        <v>insert into ins_premium_det (premium_rcv_code,assorted_code, rec_amount,premium_rcv_detail_code,remaining_amt, payrec, mode_code,coinsurance_code,class_cd,it_remarks) values</v>
      </c>
      <c r="G20" s="13" t="str">
        <f t="shared" si="2"/>
        <v>('28Aug240039','070000162698','42512',(select max(to_number(i.premium_rcv_detail_code))+1
from ins_premium_det i),'42512','42512','02', '11000003','00','Request by Mr. Saqib Saleem 28-Aug-2024');</v>
      </c>
      <c r="H20" s="14" t="str">
        <f t="shared" si="3"/>
        <v>insert into ins_premium_det (premium_rcv_code,assorted_code, rec_amount,premium_rcv_detail_code,remaining_amt, payrec, mode_code,coinsurance_code,class_cd,it_remarks) values('28Aug240039','070000162698','42512',(select max(to_number(i.premium_rcv_detail_code))+1
from ins_premium_det i),'42512','42512','02', '11000003','00','Request by Mr. Saqib Saleem 28-Aug-2024');</v>
      </c>
    </row>
    <row r="21" spans="1:8" ht="105" x14ac:dyDescent="0.25">
      <c r="A21" s="8" t="s">
        <v>4509</v>
      </c>
      <c r="B21" s="10" t="str">
        <f>VLOOKUP(A21,[1]Sheet1!$B$2:$C$247,2,0)</f>
        <v>070000162705</v>
      </c>
      <c r="C21" s="15">
        <v>56338</v>
      </c>
      <c r="D21" s="11">
        <f t="shared" si="1"/>
        <v>56338</v>
      </c>
      <c r="E21" s="17" t="s">
        <v>4978</v>
      </c>
      <c r="F21" s="12" t="str">
        <f t="shared" si="0"/>
        <v>insert into ins_premium_det (premium_rcv_code,assorted_code, rec_amount,premium_rcv_detail_code,remaining_amt, payrec, mode_code,coinsurance_code,class_cd,it_remarks) values</v>
      </c>
      <c r="G21" s="13" t="str">
        <f t="shared" si="2"/>
        <v>('28Aug240039','070000162705','56338',(select max(to_number(i.premium_rcv_detail_code))+1
from ins_premium_det i),'56338','56338','02', '11000003','00','Request by Mr. Saqib Saleem 28-Aug-2024');</v>
      </c>
      <c r="H21" s="14" t="str">
        <f t="shared" si="3"/>
        <v>insert into ins_premium_det (premium_rcv_code,assorted_code, rec_amount,premium_rcv_detail_code,remaining_amt, payrec, mode_code,coinsurance_code,class_cd,it_remarks) values('28Aug240039','070000162705','56338',(select max(to_number(i.premium_rcv_detail_code))+1
from ins_premium_det i),'56338','56338','02', '11000003','00','Request by Mr. Saqib Saleem 28-Aug-2024');</v>
      </c>
    </row>
    <row r="22" spans="1:8" ht="105" x14ac:dyDescent="0.25">
      <c r="A22" s="9" t="s">
        <v>4510</v>
      </c>
      <c r="B22" s="10" t="str">
        <f>VLOOKUP(A22,[1]Sheet1!$B$2:$C$247,2,0)</f>
        <v>070000162708</v>
      </c>
      <c r="C22" s="16">
        <v>33941</v>
      </c>
      <c r="D22" s="11">
        <f t="shared" si="1"/>
        <v>33941</v>
      </c>
      <c r="E22" s="17" t="s">
        <v>4978</v>
      </c>
      <c r="F22" s="12" t="str">
        <f t="shared" si="0"/>
        <v>insert into ins_premium_det (premium_rcv_code,assorted_code, rec_amount,premium_rcv_detail_code,remaining_amt, payrec, mode_code,coinsurance_code,class_cd,it_remarks) values</v>
      </c>
      <c r="G22" s="13" t="str">
        <f t="shared" si="2"/>
        <v>('28Aug240039','070000162708','33941',(select max(to_number(i.premium_rcv_detail_code))+1
from ins_premium_det i),'33941','33941','02', '11000003','00','Request by Mr. Saqib Saleem 28-Aug-2024');</v>
      </c>
      <c r="H22" s="14" t="str">
        <f t="shared" si="3"/>
        <v>insert into ins_premium_det (premium_rcv_code,assorted_code, rec_amount,premium_rcv_detail_code,remaining_amt, payrec, mode_code,coinsurance_code,class_cd,it_remarks) values('28Aug240039','070000162708','33941',(select max(to_number(i.premium_rcv_detail_code))+1
from ins_premium_det i),'33941','33941','02', '11000003','00','Request by Mr. Saqib Saleem 28-Aug-2024');</v>
      </c>
    </row>
    <row r="23" spans="1:8" ht="105" x14ac:dyDescent="0.25">
      <c r="A23" s="8" t="s">
        <v>4511</v>
      </c>
      <c r="B23" s="10" t="str">
        <f>VLOOKUP(A23,[1]Sheet1!$B$2:$C$247,2,0)</f>
        <v>070000162711</v>
      </c>
      <c r="C23" s="15">
        <v>26282</v>
      </c>
      <c r="D23" s="11">
        <f t="shared" si="1"/>
        <v>26282</v>
      </c>
      <c r="E23" s="17" t="s">
        <v>4978</v>
      </c>
      <c r="F23" s="12" t="str">
        <f t="shared" si="0"/>
        <v>insert into ins_premium_det (premium_rcv_code,assorted_code, rec_amount,premium_rcv_detail_code,remaining_amt, payrec, mode_code,coinsurance_code,class_cd,it_remarks) values</v>
      </c>
      <c r="G23" s="13" t="str">
        <f t="shared" si="2"/>
        <v>('28Aug240039','070000162711','26282',(select max(to_number(i.premium_rcv_detail_code))+1
from ins_premium_det i),'26282','26282','02', '11000003','00','Request by Mr. Saqib Saleem 28-Aug-2024');</v>
      </c>
      <c r="H23" s="14" t="str">
        <f t="shared" si="3"/>
        <v>insert into ins_premium_det (premium_rcv_code,assorted_code, rec_amount,premium_rcv_detail_code,remaining_amt, payrec, mode_code,coinsurance_code,class_cd,it_remarks) values('28Aug240039','070000162711','26282',(select max(to_number(i.premium_rcv_detail_code))+1
from ins_premium_det i),'26282','26282','02', '11000003','00','Request by Mr. Saqib Saleem 28-Aug-2024');</v>
      </c>
    </row>
    <row r="24" spans="1:8" ht="105" x14ac:dyDescent="0.25">
      <c r="A24" s="9" t="s">
        <v>4512</v>
      </c>
      <c r="B24" s="10" t="str">
        <f>VLOOKUP(A24,[1]Sheet1!$B$2:$C$247,2,0)</f>
        <v>070000162714</v>
      </c>
      <c r="C24" s="16">
        <v>41174</v>
      </c>
      <c r="D24" s="11">
        <f t="shared" si="1"/>
        <v>41174</v>
      </c>
      <c r="E24" s="17" t="s">
        <v>4978</v>
      </c>
      <c r="F24" s="12" t="str">
        <f t="shared" si="0"/>
        <v>insert into ins_premium_det (premium_rcv_code,assorted_code, rec_amount,premium_rcv_detail_code,remaining_amt, payrec, mode_code,coinsurance_code,class_cd,it_remarks) values</v>
      </c>
      <c r="G24" s="13" t="str">
        <f t="shared" si="2"/>
        <v>('28Aug240039','070000162714','41174',(select max(to_number(i.premium_rcv_detail_code))+1
from ins_premium_det i),'41174','41174','02', '11000003','00','Request by Mr. Saqib Saleem 28-Aug-2024');</v>
      </c>
      <c r="H24" s="14" t="str">
        <f t="shared" si="3"/>
        <v>insert into ins_premium_det (premium_rcv_code,assorted_code, rec_amount,premium_rcv_detail_code,remaining_amt, payrec, mode_code,coinsurance_code,class_cd,it_remarks) values('28Aug240039','070000162714','41174',(select max(to_number(i.premium_rcv_detail_code))+1
from ins_premium_det i),'41174','41174','02', '11000003','00','Request by Mr. Saqib Saleem 28-Aug-2024');</v>
      </c>
    </row>
    <row r="25" spans="1:8" ht="105" x14ac:dyDescent="0.25">
      <c r="A25" s="8" t="s">
        <v>4513</v>
      </c>
      <c r="B25" s="10" t="str">
        <f>VLOOKUP(A25,[1]Sheet1!$B$2:$C$247,2,0)</f>
        <v>070000162716</v>
      </c>
      <c r="C25" s="15">
        <v>22202</v>
      </c>
      <c r="D25" s="11">
        <f t="shared" si="1"/>
        <v>22202</v>
      </c>
      <c r="E25" s="17" t="s">
        <v>4978</v>
      </c>
      <c r="F25" s="12" t="str">
        <f t="shared" si="0"/>
        <v>insert into ins_premium_det (premium_rcv_code,assorted_code, rec_amount,premium_rcv_detail_code,remaining_amt, payrec, mode_code,coinsurance_code,class_cd,it_remarks) values</v>
      </c>
      <c r="G25" s="13" t="str">
        <f t="shared" si="2"/>
        <v>('28Aug240039','070000162716','22202',(select max(to_number(i.premium_rcv_detail_code))+1
from ins_premium_det i),'22202','22202','02', '11000003','00','Request by Mr. Saqib Saleem 28-Aug-2024');</v>
      </c>
      <c r="H25" s="14" t="str">
        <f t="shared" si="3"/>
        <v>insert into ins_premium_det (premium_rcv_code,assorted_code, rec_amount,premium_rcv_detail_code,remaining_amt, payrec, mode_code,coinsurance_code,class_cd,it_remarks) values('28Aug240039','070000162716','22202',(select max(to_number(i.premium_rcv_detail_code))+1
from ins_premium_det i),'22202','22202','02', '11000003','00','Request by Mr. Saqib Saleem 28-Aug-2024');</v>
      </c>
    </row>
    <row r="26" spans="1:8" ht="105" x14ac:dyDescent="0.25">
      <c r="A26" s="9" t="s">
        <v>4514</v>
      </c>
      <c r="B26" s="10" t="str">
        <f>VLOOKUP(A26,[1]Sheet1!$B$2:$C$247,2,0)</f>
        <v>070000162719</v>
      </c>
      <c r="C26" s="16">
        <v>58820</v>
      </c>
      <c r="D26" s="11">
        <f t="shared" si="1"/>
        <v>58820</v>
      </c>
      <c r="E26" s="17" t="s">
        <v>4978</v>
      </c>
      <c r="F26" s="12" t="str">
        <f t="shared" si="0"/>
        <v>insert into ins_premium_det (premium_rcv_code,assorted_code, rec_amount,premium_rcv_detail_code,remaining_amt, payrec, mode_code,coinsurance_code,class_cd,it_remarks) values</v>
      </c>
      <c r="G26" s="13" t="str">
        <f t="shared" si="2"/>
        <v>('28Aug240039','070000162719','58820',(select max(to_number(i.premium_rcv_detail_code))+1
from ins_premium_det i),'58820','58820','02', '11000003','00','Request by Mr. Saqib Saleem 28-Aug-2024');</v>
      </c>
      <c r="H26" s="14" t="str">
        <f t="shared" si="3"/>
        <v>insert into ins_premium_det (premium_rcv_code,assorted_code, rec_amount,premium_rcv_detail_code,remaining_amt, payrec, mode_code,coinsurance_code,class_cd,it_remarks) values('28Aug240039','070000162719','58820',(select max(to_number(i.premium_rcv_detail_code))+1
from ins_premium_det i),'58820','58820','02', '11000003','00','Request by Mr. Saqib Saleem 28-Aug-2024');</v>
      </c>
    </row>
    <row r="27" spans="1:8" ht="105" x14ac:dyDescent="0.25">
      <c r="A27" s="8" t="s">
        <v>4515</v>
      </c>
      <c r="B27" s="10" t="str">
        <f>VLOOKUP(A27,[1]Sheet1!$B$2:$C$247,2,0)</f>
        <v>070000162720</v>
      </c>
      <c r="C27" s="15">
        <v>94470</v>
      </c>
      <c r="D27" s="11">
        <f t="shared" si="1"/>
        <v>94470</v>
      </c>
      <c r="E27" s="17" t="s">
        <v>4978</v>
      </c>
      <c r="F27" s="12" t="str">
        <f t="shared" si="0"/>
        <v>insert into ins_premium_det (premium_rcv_code,assorted_code, rec_amount,premium_rcv_detail_code,remaining_amt, payrec, mode_code,coinsurance_code,class_cd,it_remarks) values</v>
      </c>
      <c r="G27" s="13" t="str">
        <f t="shared" si="2"/>
        <v>('28Aug240039','070000162720','94470',(select max(to_number(i.premium_rcv_detail_code))+1
from ins_premium_det i),'94470','94470','02', '11000003','00','Request by Mr. Saqib Saleem 28-Aug-2024');</v>
      </c>
      <c r="H27" s="14" t="str">
        <f t="shared" si="3"/>
        <v>insert into ins_premium_det (premium_rcv_code,assorted_code, rec_amount,premium_rcv_detail_code,remaining_amt, payrec, mode_code,coinsurance_code,class_cd,it_remarks) values('28Aug240039','070000162720','94470',(select max(to_number(i.premium_rcv_detail_code))+1
from ins_premium_det i),'94470','94470','02', '11000003','00','Request by Mr. Saqib Saleem 28-Aug-2024');</v>
      </c>
    </row>
    <row r="28" spans="1:8" ht="105" x14ac:dyDescent="0.25">
      <c r="A28" s="9" t="s">
        <v>4516</v>
      </c>
      <c r="B28" s="10" t="str">
        <f>VLOOKUP(A28,[1]Sheet1!$B$2:$C$247,2,0)</f>
        <v>070000162723</v>
      </c>
      <c r="C28" s="16">
        <v>26282</v>
      </c>
      <c r="D28" s="11">
        <f t="shared" si="1"/>
        <v>26282</v>
      </c>
      <c r="E28" s="17" t="s">
        <v>4978</v>
      </c>
      <c r="F28" s="12" t="str">
        <f t="shared" si="0"/>
        <v>insert into ins_premium_det (premium_rcv_code,assorted_code, rec_amount,premium_rcv_detail_code,remaining_amt, payrec, mode_code,coinsurance_code,class_cd,it_remarks) values</v>
      </c>
      <c r="G28" s="13" t="str">
        <f t="shared" si="2"/>
        <v>('28Aug240039','070000162723','26282',(select max(to_number(i.premium_rcv_detail_code))+1
from ins_premium_det i),'26282','26282','02', '11000003','00','Request by Mr. Saqib Saleem 28-Aug-2024');</v>
      </c>
      <c r="H28" s="14" t="str">
        <f t="shared" si="3"/>
        <v>insert into ins_premium_det (premium_rcv_code,assorted_code, rec_amount,premium_rcv_detail_code,remaining_amt, payrec, mode_code,coinsurance_code,class_cd,it_remarks) values('28Aug240039','070000162723','26282',(select max(to_number(i.premium_rcv_detail_code))+1
from ins_premium_det i),'26282','26282','02', '11000003','00','Request by Mr. Saqib Saleem 28-Aug-2024');</v>
      </c>
    </row>
    <row r="29" spans="1:8" ht="105" x14ac:dyDescent="0.25">
      <c r="A29" s="8" t="s">
        <v>4517</v>
      </c>
      <c r="B29" s="10" t="str">
        <f>VLOOKUP(A29,[1]Sheet1!$B$2:$C$247,2,0)</f>
        <v>070000162726</v>
      </c>
      <c r="C29" s="15">
        <v>26282</v>
      </c>
      <c r="D29" s="11">
        <f t="shared" si="1"/>
        <v>26282</v>
      </c>
      <c r="E29" s="17" t="s">
        <v>4978</v>
      </c>
      <c r="F29" s="12" t="str">
        <f t="shared" si="0"/>
        <v>insert into ins_premium_det (premium_rcv_code,assorted_code, rec_amount,premium_rcv_detail_code,remaining_amt, payrec, mode_code,coinsurance_code,class_cd,it_remarks) values</v>
      </c>
      <c r="G29" s="13" t="str">
        <f t="shared" si="2"/>
        <v>('28Aug240039','070000162726','26282',(select max(to_number(i.premium_rcv_detail_code))+1
from ins_premium_det i),'26282','26282','02', '11000003','00','Request by Mr. Saqib Saleem 28-Aug-2024');</v>
      </c>
      <c r="H29" s="14" t="str">
        <f t="shared" si="3"/>
        <v>insert into ins_premium_det (premium_rcv_code,assorted_code, rec_amount,premium_rcv_detail_code,remaining_amt, payrec, mode_code,coinsurance_code,class_cd,it_remarks) values('28Aug240039','070000162726','26282',(select max(to_number(i.premium_rcv_detail_code))+1
from ins_premium_det i),'26282','26282','02', '11000003','00','Request by Mr. Saqib Saleem 28-Aug-2024');</v>
      </c>
    </row>
    <row r="30" spans="1:8" ht="105" x14ac:dyDescent="0.25">
      <c r="A30" s="9" t="s">
        <v>4518</v>
      </c>
      <c r="B30" s="10" t="str">
        <f>VLOOKUP(A30,[1]Sheet1!$B$2:$C$247,2,0)</f>
        <v>070000162729</v>
      </c>
      <c r="C30" s="16">
        <v>36981</v>
      </c>
      <c r="D30" s="11">
        <f t="shared" si="1"/>
        <v>36981</v>
      </c>
      <c r="E30" s="17" t="s">
        <v>4978</v>
      </c>
      <c r="F30" s="12" t="str">
        <f t="shared" si="0"/>
        <v>insert into ins_premium_det (premium_rcv_code,assorted_code, rec_amount,premium_rcv_detail_code,remaining_amt, payrec, mode_code,coinsurance_code,class_cd,it_remarks) values</v>
      </c>
      <c r="G30" s="13" t="str">
        <f t="shared" si="2"/>
        <v>('28Aug240039','070000162729','36981',(select max(to_number(i.premium_rcv_detail_code))+1
from ins_premium_det i),'36981','36981','02', '11000003','00','Request by Mr. Saqib Saleem 28-Aug-2024');</v>
      </c>
      <c r="H30" s="14" t="str">
        <f t="shared" si="3"/>
        <v>insert into ins_premium_det (premium_rcv_code,assorted_code, rec_amount,premium_rcv_detail_code,remaining_amt, payrec, mode_code,coinsurance_code,class_cd,it_remarks) values('28Aug240039','070000162729','36981',(select max(to_number(i.premium_rcv_detail_code))+1
from ins_premium_det i),'36981','36981','02', '11000003','00','Request by Mr. Saqib Saleem 28-Aug-2024');</v>
      </c>
    </row>
    <row r="31" spans="1:8" ht="105" x14ac:dyDescent="0.25">
      <c r="A31" s="8" t="s">
        <v>4519</v>
      </c>
      <c r="B31" s="10" t="str">
        <f>VLOOKUP(A31,[1]Sheet1!$B$2:$C$247,2,0)</f>
        <v>070000162740</v>
      </c>
      <c r="C31" s="15">
        <v>22202</v>
      </c>
      <c r="D31" s="11">
        <f t="shared" si="1"/>
        <v>22202</v>
      </c>
      <c r="E31" s="17" t="s">
        <v>4978</v>
      </c>
      <c r="F31" s="12" t="str">
        <f t="shared" si="0"/>
        <v>insert into ins_premium_det (premium_rcv_code,assorted_code, rec_amount,premium_rcv_detail_code,remaining_amt, payrec, mode_code,coinsurance_code,class_cd,it_remarks) values</v>
      </c>
      <c r="G31" s="13" t="str">
        <f t="shared" si="2"/>
        <v>('28Aug240039','070000162740','22202',(select max(to_number(i.premium_rcv_detail_code))+1
from ins_premium_det i),'22202','22202','02', '11000003','00','Request by Mr. Saqib Saleem 28-Aug-2024');</v>
      </c>
      <c r="H31" s="14" t="str">
        <f t="shared" si="3"/>
        <v>insert into ins_premium_det (premium_rcv_code,assorted_code, rec_amount,premium_rcv_detail_code,remaining_amt, payrec, mode_code,coinsurance_code,class_cd,it_remarks) values('28Aug240039','070000162740','22202',(select max(to_number(i.premium_rcv_detail_code))+1
from ins_premium_det i),'22202','22202','02', '11000003','00','Request by Mr. Saqib Saleem 28-Aug-2024');</v>
      </c>
    </row>
    <row r="32" spans="1:8" ht="105" x14ac:dyDescent="0.25">
      <c r="A32" s="9" t="s">
        <v>4520</v>
      </c>
      <c r="B32" s="10" t="str">
        <f>VLOOKUP(A32,[1]Sheet1!$B$2:$C$247,2,0)</f>
        <v>070000162741</v>
      </c>
      <c r="C32" s="16">
        <v>29699</v>
      </c>
      <c r="D32" s="11">
        <f t="shared" si="1"/>
        <v>29699</v>
      </c>
      <c r="E32" s="17" t="s">
        <v>4978</v>
      </c>
      <c r="F32" s="12" t="str">
        <f t="shared" si="0"/>
        <v>insert into ins_premium_det (premium_rcv_code,assorted_code, rec_amount,premium_rcv_detail_code,remaining_amt, payrec, mode_code,coinsurance_code,class_cd,it_remarks) values</v>
      </c>
      <c r="G32" s="13" t="str">
        <f t="shared" si="2"/>
        <v>('28Aug240039','070000162741','29699',(select max(to_number(i.premium_rcv_detail_code))+1
from ins_premium_det i),'29699','29699','02', '11000003','00','Request by Mr. Saqib Saleem 28-Aug-2024');</v>
      </c>
      <c r="H32" s="14" t="str">
        <f t="shared" si="3"/>
        <v>insert into ins_premium_det (premium_rcv_code,assorted_code, rec_amount,premium_rcv_detail_code,remaining_amt, payrec, mode_code,coinsurance_code,class_cd,it_remarks) values('28Aug240039','070000162741','29699',(select max(to_number(i.premium_rcv_detail_code))+1
from ins_premium_det i),'29699','29699','02', '11000003','00','Request by Mr. Saqib Saleem 28-Aug-2024');</v>
      </c>
    </row>
    <row r="33" spans="1:8" ht="105" x14ac:dyDescent="0.25">
      <c r="A33" s="8" t="s">
        <v>4521</v>
      </c>
      <c r="B33" s="10" t="str">
        <f>VLOOKUP(A33,[1]Sheet1!$B$2:$C$247,2,0)</f>
        <v>070000162742</v>
      </c>
      <c r="C33" s="15">
        <v>30838</v>
      </c>
      <c r="D33" s="11">
        <f t="shared" si="1"/>
        <v>30838</v>
      </c>
      <c r="E33" s="17" t="s">
        <v>4978</v>
      </c>
      <c r="F33" s="12" t="str">
        <f t="shared" si="0"/>
        <v>insert into ins_premium_det (premium_rcv_code,assorted_code, rec_amount,premium_rcv_detail_code,remaining_amt, payrec, mode_code,coinsurance_code,class_cd,it_remarks) values</v>
      </c>
      <c r="G33" s="13" t="str">
        <f t="shared" si="2"/>
        <v>('28Aug240039','070000162742','30838',(select max(to_number(i.premium_rcv_detail_code))+1
from ins_premium_det i),'30838','30838','02', '11000003','00','Request by Mr. Saqib Saleem 28-Aug-2024');</v>
      </c>
      <c r="H33" s="14" t="str">
        <f t="shared" si="3"/>
        <v>insert into ins_premium_det (premium_rcv_code,assorted_code, rec_amount,premium_rcv_detail_code,remaining_amt, payrec, mode_code,coinsurance_code,class_cd,it_remarks) values('28Aug240039','070000162742','30838',(select max(to_number(i.premium_rcv_detail_code))+1
from ins_premium_det i),'30838','30838','02', '11000003','00','Request by Mr. Saqib Saleem 28-Aug-2024');</v>
      </c>
    </row>
    <row r="34" spans="1:8" ht="105" x14ac:dyDescent="0.25">
      <c r="A34" s="9" t="s">
        <v>4522</v>
      </c>
      <c r="B34" s="10" t="str">
        <f>VLOOKUP(A34,[1]Sheet1!$B$2:$C$247,2,0)</f>
        <v>070000162744</v>
      </c>
      <c r="C34" s="16">
        <v>29699</v>
      </c>
      <c r="D34" s="11">
        <f t="shared" si="1"/>
        <v>29699</v>
      </c>
      <c r="E34" s="17" t="s">
        <v>4978</v>
      </c>
      <c r="F34" s="12" t="str">
        <f t="shared" si="0"/>
        <v>insert into ins_premium_det (premium_rcv_code,assorted_code, rec_amount,premium_rcv_detail_code,remaining_amt, payrec, mode_code,coinsurance_code,class_cd,it_remarks) values</v>
      </c>
      <c r="G34" s="13" t="str">
        <f t="shared" si="2"/>
        <v>('28Aug240039','070000162744','29699',(select max(to_number(i.premium_rcv_detail_code))+1
from ins_premium_det i),'29699','29699','02', '11000003','00','Request by Mr. Saqib Saleem 28-Aug-2024');</v>
      </c>
      <c r="H34" s="14" t="str">
        <f t="shared" si="3"/>
        <v>insert into ins_premium_det (premium_rcv_code,assorted_code, rec_amount,premium_rcv_detail_code,remaining_amt, payrec, mode_code,coinsurance_code,class_cd,it_remarks) values('28Aug240039','070000162744','29699',(select max(to_number(i.premium_rcv_detail_code))+1
from ins_premium_det i),'29699','29699','02', '11000003','00','Request by Mr. Saqib Saleem 28-Aug-2024');</v>
      </c>
    </row>
    <row r="35" spans="1:8" ht="105" x14ac:dyDescent="0.25">
      <c r="A35" s="8" t="s">
        <v>4730</v>
      </c>
      <c r="B35" s="10" t="str">
        <f>VLOOKUP(A35,[1]Sheet1!$B$2:$C$247,2,0)</f>
        <v>070000159435</v>
      </c>
      <c r="C35" s="15">
        <v>80313</v>
      </c>
      <c r="D35" s="11">
        <f t="shared" si="1"/>
        <v>80313</v>
      </c>
      <c r="E35" s="17" t="s">
        <v>4978</v>
      </c>
      <c r="F35" s="12" t="str">
        <f t="shared" si="0"/>
        <v>insert into ins_premium_det (premium_rcv_code,assorted_code, rec_amount,premium_rcv_detail_code,remaining_amt, payrec, mode_code,coinsurance_code,class_cd,it_remarks) values</v>
      </c>
      <c r="G35" s="13" t="str">
        <f t="shared" si="2"/>
        <v>('28Aug240039','070000159435','80313',(select max(to_number(i.premium_rcv_detail_code))+1
from ins_premium_det i),'80313','80313','02', '11000003','00','Request by Mr. Saqib Saleem 28-Aug-2024');</v>
      </c>
      <c r="H35" s="14" t="str">
        <f t="shared" si="3"/>
        <v>insert into ins_premium_det (premium_rcv_code,assorted_code, rec_amount,premium_rcv_detail_code,remaining_amt, payrec, mode_code,coinsurance_code,class_cd,it_remarks) values('28Aug240039','070000159435','80313',(select max(to_number(i.premium_rcv_detail_code))+1
from ins_premium_det i),'80313','80313','02', '11000003','00','Request by Mr. Saqib Saleem 28-Aug-2024');</v>
      </c>
    </row>
    <row r="36" spans="1:8" ht="105" x14ac:dyDescent="0.25">
      <c r="A36" s="9" t="s">
        <v>4731</v>
      </c>
      <c r="B36" s="10" t="str">
        <f>VLOOKUP(A36,[1]Sheet1!$B$2:$C$247,2,0)</f>
        <v>070000159457</v>
      </c>
      <c r="C36" s="16">
        <v>32480</v>
      </c>
      <c r="D36" s="11">
        <f t="shared" si="1"/>
        <v>32480</v>
      </c>
      <c r="E36" s="17" t="s">
        <v>4978</v>
      </c>
      <c r="F36" s="12" t="str">
        <f t="shared" si="0"/>
        <v>insert into ins_premium_det (premium_rcv_code,assorted_code, rec_amount,premium_rcv_detail_code,remaining_amt, payrec, mode_code,coinsurance_code,class_cd,it_remarks) values</v>
      </c>
      <c r="G36" s="13" t="str">
        <f t="shared" si="2"/>
        <v>('28Aug240039','070000159457','32480',(select max(to_number(i.premium_rcv_detail_code))+1
from ins_premium_det i),'32480','32480','02', '11000003','00','Request by Mr. Saqib Saleem 28-Aug-2024');</v>
      </c>
      <c r="H36" s="14" t="str">
        <f t="shared" si="3"/>
        <v>insert into ins_premium_det (premium_rcv_code,assorted_code, rec_amount,premium_rcv_detail_code,remaining_amt, payrec, mode_code,coinsurance_code,class_cd,it_remarks) values('28Aug240039','070000159457','32480',(select max(to_number(i.premium_rcv_detail_code))+1
from ins_premium_det i),'32480','32480','02', '11000003','00','Request by Mr. Saqib Saleem 28-Aug-2024');</v>
      </c>
    </row>
    <row r="37" spans="1:8" ht="105" x14ac:dyDescent="0.25">
      <c r="A37" s="8" t="s">
        <v>4732</v>
      </c>
      <c r="B37" s="10" t="str">
        <f>VLOOKUP(A37,[1]Sheet1!$B$2:$C$247,2,0)</f>
        <v>070000159311</v>
      </c>
      <c r="C37" s="15">
        <v>51600</v>
      </c>
      <c r="D37" s="11">
        <f t="shared" si="1"/>
        <v>51600</v>
      </c>
      <c r="E37" s="17" t="s">
        <v>4978</v>
      </c>
      <c r="F37" s="12" t="str">
        <f t="shared" si="0"/>
        <v>insert into ins_premium_det (premium_rcv_code,assorted_code, rec_amount,premium_rcv_detail_code,remaining_amt, payrec, mode_code,coinsurance_code,class_cd,it_remarks) values</v>
      </c>
      <c r="G37" s="13" t="str">
        <f t="shared" si="2"/>
        <v>('28Aug240039','070000159311','51600',(select max(to_number(i.premium_rcv_detail_code))+1
from ins_premium_det i),'51600','51600','02', '11000003','00','Request by Mr. Saqib Saleem 28-Aug-2024');</v>
      </c>
      <c r="H37" s="14" t="str">
        <f t="shared" si="3"/>
        <v>insert into ins_premium_det (premium_rcv_code,assorted_code, rec_amount,premium_rcv_detail_code,remaining_amt, payrec, mode_code,coinsurance_code,class_cd,it_remarks) values('28Aug240039','070000159311','51600',(select max(to_number(i.premium_rcv_detail_code))+1
from ins_premium_det i),'51600','51600','02', '11000003','00','Request by Mr. Saqib Saleem 28-Aug-2024');</v>
      </c>
    </row>
    <row r="38" spans="1:8" ht="105" x14ac:dyDescent="0.25">
      <c r="A38" s="9" t="s">
        <v>4523</v>
      </c>
      <c r="B38" s="10" t="str">
        <f>VLOOKUP(A38,[1]Sheet1!$B$2:$C$247,2,0)</f>
        <v>070000162747</v>
      </c>
      <c r="C38" s="16">
        <v>58820</v>
      </c>
      <c r="D38" s="11">
        <f t="shared" si="1"/>
        <v>58820</v>
      </c>
      <c r="E38" s="17" t="s">
        <v>4978</v>
      </c>
      <c r="F38" s="12" t="str">
        <f t="shared" si="0"/>
        <v>insert into ins_premium_det (premium_rcv_code,assorted_code, rec_amount,premium_rcv_detail_code,remaining_amt, payrec, mode_code,coinsurance_code,class_cd,it_remarks) values</v>
      </c>
      <c r="G38" s="13" t="str">
        <f t="shared" si="2"/>
        <v>('28Aug240039','070000162747','58820',(select max(to_number(i.premium_rcv_detail_code))+1
from ins_premium_det i),'58820','58820','02', '11000003','00','Request by Mr. Saqib Saleem 28-Aug-2024');</v>
      </c>
      <c r="H38" s="14" t="str">
        <f t="shared" si="3"/>
        <v>insert into ins_premium_det (premium_rcv_code,assorted_code, rec_amount,premium_rcv_detail_code,remaining_amt, payrec, mode_code,coinsurance_code,class_cd,it_remarks) values('28Aug240039','070000162747','58820',(select max(to_number(i.premium_rcv_detail_code))+1
from ins_premium_det i),'58820','58820','02', '11000003','00','Request by Mr. Saqib Saleem 28-Aug-2024');</v>
      </c>
    </row>
    <row r="39" spans="1:8" ht="105" x14ac:dyDescent="0.25">
      <c r="A39" s="8" t="s">
        <v>4524</v>
      </c>
      <c r="B39" s="10" t="str">
        <f>VLOOKUP(A39,[1]Sheet1!$B$2:$C$247,2,0)</f>
        <v>070000162748</v>
      </c>
      <c r="C39" s="15">
        <v>48450</v>
      </c>
      <c r="D39" s="11">
        <f t="shared" si="1"/>
        <v>48450</v>
      </c>
      <c r="E39" s="17" t="s">
        <v>4978</v>
      </c>
      <c r="F39" s="12" t="str">
        <f t="shared" si="0"/>
        <v>insert into ins_premium_det (premium_rcv_code,assorted_code, rec_amount,premium_rcv_detail_code,remaining_amt, payrec, mode_code,coinsurance_code,class_cd,it_remarks) values</v>
      </c>
      <c r="G39" s="13" t="str">
        <f t="shared" si="2"/>
        <v>('28Aug240039','070000162748','48450',(select max(to_number(i.premium_rcv_detail_code))+1
from ins_premium_det i),'48450','48450','02', '11000003','00','Request by Mr. Saqib Saleem 28-Aug-2024');</v>
      </c>
      <c r="H39" s="14" t="str">
        <f t="shared" si="3"/>
        <v>insert into ins_premium_det (premium_rcv_code,assorted_code, rec_amount,premium_rcv_detail_code,remaining_amt, payrec, mode_code,coinsurance_code,class_cd,it_remarks) values('28Aug240039','070000162748','48450',(select max(to_number(i.premium_rcv_detail_code))+1
from ins_premium_det i),'48450','48450','02', '11000003','00','Request by Mr. Saqib Saleem 28-Aug-2024');</v>
      </c>
    </row>
    <row r="40" spans="1:8" ht="105" x14ac:dyDescent="0.25">
      <c r="A40" s="9" t="s">
        <v>4525</v>
      </c>
      <c r="B40" s="10" t="str">
        <f>VLOOKUP(A40,[1]Sheet1!$B$2:$C$247,2,0)</f>
        <v>070000162749</v>
      </c>
      <c r="C40" s="16">
        <v>40800</v>
      </c>
      <c r="D40" s="11">
        <f t="shared" si="1"/>
        <v>40800</v>
      </c>
      <c r="E40" s="17" t="s">
        <v>4978</v>
      </c>
      <c r="F40" s="12" t="str">
        <f t="shared" si="0"/>
        <v>insert into ins_premium_det (premium_rcv_code,assorted_code, rec_amount,premium_rcv_detail_code,remaining_amt, payrec, mode_code,coinsurance_code,class_cd,it_remarks) values</v>
      </c>
      <c r="G40" s="13" t="str">
        <f t="shared" si="2"/>
        <v>('28Aug240039','070000162749','40800',(select max(to_number(i.premium_rcv_detail_code))+1
from ins_premium_det i),'40800','40800','02', '11000003','00','Request by Mr. Saqib Saleem 28-Aug-2024');</v>
      </c>
      <c r="H40" s="14" t="str">
        <f t="shared" si="3"/>
        <v>insert into ins_premium_det (premium_rcv_code,assorted_code, rec_amount,premium_rcv_detail_code,remaining_amt, payrec, mode_code,coinsurance_code,class_cd,it_remarks) values('28Aug240039','070000162749','40800',(select max(to_number(i.premium_rcv_detail_code))+1
from ins_premium_det i),'40800','40800','02', '11000003','00','Request by Mr. Saqib Saleem 28-Aug-2024');</v>
      </c>
    </row>
    <row r="41" spans="1:8" ht="105" x14ac:dyDescent="0.25">
      <c r="A41" s="8" t="s">
        <v>4526</v>
      </c>
      <c r="B41" s="10" t="str">
        <f>VLOOKUP(A41,[1]Sheet1!$B$2:$C$247,2,0)</f>
        <v>070000162750</v>
      </c>
      <c r="C41" s="15">
        <v>11858</v>
      </c>
      <c r="D41" s="11">
        <f t="shared" si="1"/>
        <v>11858</v>
      </c>
      <c r="E41" s="17" t="s">
        <v>4978</v>
      </c>
      <c r="F41" s="12" t="str">
        <f t="shared" si="0"/>
        <v>insert into ins_premium_det (premium_rcv_code,assorted_code, rec_amount,premium_rcv_detail_code,remaining_amt, payrec, mode_code,coinsurance_code,class_cd,it_remarks) values</v>
      </c>
      <c r="G41" s="13" t="str">
        <f t="shared" si="2"/>
        <v>('28Aug240039','070000162750','11858',(select max(to_number(i.premium_rcv_detail_code))+1
from ins_premium_det i),'11858','11858','02', '11000003','00','Request by Mr. Saqib Saleem 28-Aug-2024');</v>
      </c>
      <c r="H41" s="14" t="str">
        <f t="shared" si="3"/>
        <v>insert into ins_premium_det (premium_rcv_code,assorted_code, rec_amount,premium_rcv_detail_code,remaining_amt, payrec, mode_code,coinsurance_code,class_cd,it_remarks) values('28Aug240039','070000162750','11858',(select max(to_number(i.premium_rcv_detail_code))+1
from ins_premium_det i),'11858','11858','02', '11000003','00','Request by Mr. Saqib Saleem 28-Aug-2024');</v>
      </c>
    </row>
    <row r="42" spans="1:8" ht="105" x14ac:dyDescent="0.25">
      <c r="A42" s="9" t="s">
        <v>4733</v>
      </c>
      <c r="B42" s="10" t="str">
        <f>VLOOKUP(A42,[1]Sheet1!$B$2:$C$247,2,0)</f>
        <v>070000161775</v>
      </c>
      <c r="C42" s="16">
        <v>48623</v>
      </c>
      <c r="D42" s="11">
        <f t="shared" si="1"/>
        <v>48623</v>
      </c>
      <c r="E42" s="17" t="s">
        <v>4978</v>
      </c>
      <c r="F42" s="12" t="str">
        <f t="shared" si="0"/>
        <v>insert into ins_premium_det (premium_rcv_code,assorted_code, rec_amount,premium_rcv_detail_code,remaining_amt, payrec, mode_code,coinsurance_code,class_cd,it_remarks) values</v>
      </c>
      <c r="G42" s="13" t="str">
        <f t="shared" si="2"/>
        <v>('28Aug240039','070000161775','48623',(select max(to_number(i.premium_rcv_detail_code))+1
from ins_premium_det i),'48623','48623','02', '11000003','00','Request by Mr. Saqib Saleem 28-Aug-2024');</v>
      </c>
      <c r="H42" s="14" t="str">
        <f t="shared" si="3"/>
        <v>insert into ins_premium_det (premium_rcv_code,assorted_code, rec_amount,premium_rcv_detail_code,remaining_amt, payrec, mode_code,coinsurance_code,class_cd,it_remarks) values('28Aug240039','070000161775','48623',(select max(to_number(i.premium_rcv_detail_code))+1
from ins_premium_det i),'48623','48623','02', '11000003','00','Request by Mr. Saqib Saleem 28-Aug-2024');</v>
      </c>
    </row>
    <row r="43" spans="1:8" ht="105" x14ac:dyDescent="0.25">
      <c r="A43" s="8" t="s">
        <v>4734</v>
      </c>
      <c r="B43" s="10" t="str">
        <f>VLOOKUP(A43,[1]Sheet1!$B$2:$C$247,2,0)</f>
        <v>070000161913</v>
      </c>
      <c r="C43" s="15">
        <v>44848</v>
      </c>
      <c r="D43" s="11">
        <f t="shared" si="1"/>
        <v>44848</v>
      </c>
      <c r="E43" s="17" t="s">
        <v>4978</v>
      </c>
      <c r="F43" s="12" t="str">
        <f t="shared" si="0"/>
        <v>insert into ins_premium_det (premium_rcv_code,assorted_code, rec_amount,premium_rcv_detail_code,remaining_amt, payrec, mode_code,coinsurance_code,class_cd,it_remarks) values</v>
      </c>
      <c r="G43" s="13" t="str">
        <f t="shared" si="2"/>
        <v>('28Aug240039','070000161913','44848',(select max(to_number(i.premium_rcv_detail_code))+1
from ins_premium_det i),'44848','44848','02', '11000003','00','Request by Mr. Saqib Saleem 28-Aug-2024');</v>
      </c>
      <c r="H43" s="14" t="str">
        <f t="shared" si="3"/>
        <v>insert into ins_premium_det (premium_rcv_code,assorted_code, rec_amount,premium_rcv_detail_code,remaining_amt, payrec, mode_code,coinsurance_code,class_cd,it_remarks) values('28Aug240039','070000161913','44848',(select max(to_number(i.premium_rcv_detail_code))+1
from ins_premium_det i),'44848','44848','02', '11000003','00','Request by Mr. Saqib Saleem 28-Aug-2024');</v>
      </c>
    </row>
    <row r="44" spans="1:8" ht="105" x14ac:dyDescent="0.25">
      <c r="A44" s="9" t="s">
        <v>4527</v>
      </c>
      <c r="B44" s="10" t="str">
        <f>VLOOKUP(A44,[1]Sheet1!$B$2:$C$247,2,0)</f>
        <v>070000162653</v>
      </c>
      <c r="C44" s="16">
        <v>22000</v>
      </c>
      <c r="D44" s="11">
        <f t="shared" si="1"/>
        <v>22000</v>
      </c>
      <c r="E44" s="17" t="s">
        <v>4978</v>
      </c>
      <c r="F44" s="12" t="str">
        <f t="shared" si="0"/>
        <v>insert into ins_premium_det (premium_rcv_code,assorted_code, rec_amount,premium_rcv_detail_code,remaining_amt, payrec, mode_code,coinsurance_code,class_cd,it_remarks) values</v>
      </c>
      <c r="G44" s="13" t="str">
        <f t="shared" si="2"/>
        <v>('28Aug240039','070000162653','22000',(select max(to_number(i.premium_rcv_detail_code))+1
from ins_premium_det i),'22000','22000','02', '11000003','00','Request by Mr. Saqib Saleem 28-Aug-2024');</v>
      </c>
      <c r="H44" s="14" t="str">
        <f t="shared" si="3"/>
        <v>insert into ins_premium_det (premium_rcv_code,assorted_code, rec_amount,premium_rcv_detail_code,remaining_amt, payrec, mode_code,coinsurance_code,class_cd,it_remarks) values('28Aug240039','070000162653','22000',(select max(to_number(i.premium_rcv_detail_code))+1
from ins_premium_det i),'22000','22000','02', '11000003','00','Request by Mr. Saqib Saleem 28-Aug-2024');</v>
      </c>
    </row>
    <row r="45" spans="1:8" ht="105" x14ac:dyDescent="0.25">
      <c r="A45" s="8" t="s">
        <v>4528</v>
      </c>
      <c r="B45" s="10" t="str">
        <f>VLOOKUP(A45,[1]Sheet1!$B$2:$C$247,2,0)</f>
        <v>070000162654</v>
      </c>
      <c r="C45" s="15">
        <v>55300</v>
      </c>
      <c r="D45" s="11">
        <f t="shared" si="1"/>
        <v>55300</v>
      </c>
      <c r="E45" s="17" t="s">
        <v>4978</v>
      </c>
      <c r="F45" s="12" t="str">
        <f t="shared" si="0"/>
        <v>insert into ins_premium_det (premium_rcv_code,assorted_code, rec_amount,premium_rcv_detail_code,remaining_amt, payrec, mode_code,coinsurance_code,class_cd,it_remarks) values</v>
      </c>
      <c r="G45" s="13" t="str">
        <f t="shared" si="2"/>
        <v>('28Aug240039','070000162654','55300',(select max(to_number(i.premium_rcv_detail_code))+1
from ins_premium_det i),'55300','55300','02', '11000003','00','Request by Mr. Saqib Saleem 28-Aug-2024');</v>
      </c>
      <c r="H45" s="14" t="str">
        <f t="shared" si="3"/>
        <v>insert into ins_premium_det (premium_rcv_code,assorted_code, rec_amount,premium_rcv_detail_code,remaining_amt, payrec, mode_code,coinsurance_code,class_cd,it_remarks) values('28Aug240039','070000162654','55300',(select max(to_number(i.premium_rcv_detail_code))+1
from ins_premium_det i),'55300','55300','02', '11000003','00','Request by Mr. Saqib Saleem 28-Aug-2024');</v>
      </c>
    </row>
    <row r="46" spans="1:8" ht="105" x14ac:dyDescent="0.25">
      <c r="A46" s="9" t="s">
        <v>4529</v>
      </c>
      <c r="B46" s="10" t="str">
        <f>VLOOKUP(A46,[1]Sheet1!$B$2:$C$247,2,0)</f>
        <v>070000162658</v>
      </c>
      <c r="C46" s="16">
        <v>62000</v>
      </c>
      <c r="D46" s="11">
        <f t="shared" si="1"/>
        <v>62000</v>
      </c>
      <c r="E46" s="17" t="s">
        <v>4978</v>
      </c>
      <c r="F46" s="12" t="str">
        <f t="shared" si="0"/>
        <v>insert into ins_premium_det (premium_rcv_code,assorted_code, rec_amount,premium_rcv_detail_code,remaining_amt, payrec, mode_code,coinsurance_code,class_cd,it_remarks) values</v>
      </c>
      <c r="G46" s="13" t="str">
        <f t="shared" si="2"/>
        <v>('28Aug240039','070000162658','62000',(select max(to_number(i.premium_rcv_detail_code))+1
from ins_premium_det i),'62000','62000','02', '11000003','00','Request by Mr. Saqib Saleem 28-Aug-2024');</v>
      </c>
      <c r="H46" s="14" t="str">
        <f t="shared" si="3"/>
        <v>insert into ins_premium_det (premium_rcv_code,assorted_code, rec_amount,premium_rcv_detail_code,remaining_amt, payrec, mode_code,coinsurance_code,class_cd,it_remarks) values('28Aug240039','070000162658','62000',(select max(to_number(i.premium_rcv_detail_code))+1
from ins_premium_det i),'62000','62000','02', '11000003','00','Request by Mr. Saqib Saleem 28-Aug-2024');</v>
      </c>
    </row>
    <row r="47" spans="1:8" ht="105" x14ac:dyDescent="0.25">
      <c r="A47" s="8" t="s">
        <v>4530</v>
      </c>
      <c r="B47" s="10" t="str">
        <f>VLOOKUP(A47,[1]Sheet1!$B$2:$C$247,2,0)</f>
        <v>070000162760</v>
      </c>
      <c r="C47" s="15">
        <v>63760</v>
      </c>
      <c r="D47" s="11">
        <f t="shared" si="1"/>
        <v>63760</v>
      </c>
      <c r="E47" s="17" t="s">
        <v>4978</v>
      </c>
      <c r="F47" s="12" t="str">
        <f t="shared" si="0"/>
        <v>insert into ins_premium_det (premium_rcv_code,assorted_code, rec_amount,premium_rcv_detail_code,remaining_amt, payrec, mode_code,coinsurance_code,class_cd,it_remarks) values</v>
      </c>
      <c r="G47" s="13" t="str">
        <f t="shared" si="2"/>
        <v>('28Aug240039','070000162760','63760',(select max(to_number(i.premium_rcv_detail_code))+1
from ins_premium_det i),'63760','63760','02', '11000003','00','Request by Mr. Saqib Saleem 28-Aug-2024');</v>
      </c>
      <c r="H47" s="14" t="str">
        <f t="shared" si="3"/>
        <v>insert into ins_premium_det (premium_rcv_code,assorted_code, rec_amount,premium_rcv_detail_code,remaining_amt, payrec, mode_code,coinsurance_code,class_cd,it_remarks) values('28Aug240039','070000162760','63760',(select max(to_number(i.premium_rcv_detail_code))+1
from ins_premium_det i),'63760','63760','02', '11000003','00','Request by Mr. Saqib Saleem 28-Aug-2024');</v>
      </c>
    </row>
    <row r="48" spans="1:8" ht="105" x14ac:dyDescent="0.25">
      <c r="A48" s="9" t="s">
        <v>4531</v>
      </c>
      <c r="B48" s="10" t="str">
        <f>VLOOKUP(A48,[1]Sheet1!$B$2:$C$247,2,0)</f>
        <v>070000162661</v>
      </c>
      <c r="C48" s="16">
        <v>91896</v>
      </c>
      <c r="D48" s="11">
        <f t="shared" si="1"/>
        <v>91896</v>
      </c>
      <c r="E48" s="17" t="s">
        <v>4978</v>
      </c>
      <c r="F48" s="12" t="str">
        <f t="shared" si="0"/>
        <v>insert into ins_premium_det (premium_rcv_code,assorted_code, rec_amount,premium_rcv_detail_code,remaining_amt, payrec, mode_code,coinsurance_code,class_cd,it_remarks) values</v>
      </c>
      <c r="G48" s="13" t="str">
        <f t="shared" si="2"/>
        <v>('28Aug240039','070000162661','91896',(select max(to_number(i.premium_rcv_detail_code))+1
from ins_premium_det i),'91896','91896','02', '11000003','00','Request by Mr. Saqib Saleem 28-Aug-2024');</v>
      </c>
      <c r="H48" s="14" t="str">
        <f t="shared" si="3"/>
        <v>insert into ins_premium_det (premium_rcv_code,assorted_code, rec_amount,premium_rcv_detail_code,remaining_amt, payrec, mode_code,coinsurance_code,class_cd,it_remarks) values('28Aug240039','070000162661','91896',(select max(to_number(i.premium_rcv_detail_code))+1
from ins_premium_det i),'91896','91896','02', '11000003','00','Request by Mr. Saqib Saleem 28-Aug-2024');</v>
      </c>
    </row>
    <row r="49" spans="1:8" ht="105" x14ac:dyDescent="0.25">
      <c r="A49" s="8" t="s">
        <v>4532</v>
      </c>
      <c r="B49" s="10" t="str">
        <f>VLOOKUP(A49,[1]Sheet1!$B$2:$C$247,2,0)</f>
        <v>070000162665</v>
      </c>
      <c r="C49" s="15">
        <v>38150</v>
      </c>
      <c r="D49" s="11">
        <f t="shared" si="1"/>
        <v>38150</v>
      </c>
      <c r="E49" s="17" t="s">
        <v>4978</v>
      </c>
      <c r="F49" s="12" t="str">
        <f t="shared" si="0"/>
        <v>insert into ins_premium_det (premium_rcv_code,assorted_code, rec_amount,premium_rcv_detail_code,remaining_amt, payrec, mode_code,coinsurance_code,class_cd,it_remarks) values</v>
      </c>
      <c r="G49" s="13" t="str">
        <f t="shared" si="2"/>
        <v>('28Aug240039','070000162665','38150',(select max(to_number(i.premium_rcv_detail_code))+1
from ins_premium_det i),'38150','38150','02', '11000003','00','Request by Mr. Saqib Saleem 28-Aug-2024');</v>
      </c>
      <c r="H49" s="14" t="str">
        <f t="shared" si="3"/>
        <v>insert into ins_premium_det (premium_rcv_code,assorted_code, rec_amount,premium_rcv_detail_code,remaining_amt, payrec, mode_code,coinsurance_code,class_cd,it_remarks) values('28Aug240039','070000162665','38150',(select max(to_number(i.premium_rcv_detail_code))+1
from ins_premium_det i),'38150','38150','02', '11000003','00','Request by Mr. Saqib Saleem 28-Aug-2024');</v>
      </c>
    </row>
    <row r="50" spans="1:8" ht="105" x14ac:dyDescent="0.25">
      <c r="A50" s="9" t="s">
        <v>4533</v>
      </c>
      <c r="B50" s="10" t="str">
        <f>VLOOKUP(A50,[1]Sheet1!$B$2:$C$247,2,0)</f>
        <v>070000162666</v>
      </c>
      <c r="C50" s="16">
        <v>31325</v>
      </c>
      <c r="D50" s="11">
        <f t="shared" si="1"/>
        <v>31325</v>
      </c>
      <c r="E50" s="17" t="s">
        <v>4978</v>
      </c>
      <c r="F50" s="12" t="str">
        <f t="shared" si="0"/>
        <v>insert into ins_premium_det (premium_rcv_code,assorted_code, rec_amount,premium_rcv_detail_code,remaining_amt, payrec, mode_code,coinsurance_code,class_cd,it_remarks) values</v>
      </c>
      <c r="G50" s="13" t="str">
        <f t="shared" si="2"/>
        <v>('28Aug240039','070000162666','31325',(select max(to_number(i.premium_rcv_detail_code))+1
from ins_premium_det i),'31325','31325','02', '11000003','00','Request by Mr. Saqib Saleem 28-Aug-2024');</v>
      </c>
      <c r="H50" s="14" t="str">
        <f t="shared" si="3"/>
        <v>insert into ins_premium_det (premium_rcv_code,assorted_code, rec_amount,premium_rcv_detail_code,remaining_amt, payrec, mode_code,coinsurance_code,class_cd,it_remarks) values('28Aug240039','070000162666','31325',(select max(to_number(i.premium_rcv_detail_code))+1
from ins_premium_det i),'31325','31325','02', '11000003','00','Request by Mr. Saqib Saleem 28-Aug-2024');</v>
      </c>
    </row>
    <row r="51" spans="1:8" ht="105" x14ac:dyDescent="0.25">
      <c r="A51" s="8" t="s">
        <v>4534</v>
      </c>
      <c r="B51" s="10" t="str">
        <f>VLOOKUP(A51,[1]Sheet1!$B$2:$C$247,2,0)</f>
        <v>070000162667</v>
      </c>
      <c r="C51" s="15">
        <v>16019</v>
      </c>
      <c r="D51" s="11">
        <f t="shared" si="1"/>
        <v>16019</v>
      </c>
      <c r="E51" s="17" t="s">
        <v>4978</v>
      </c>
      <c r="F51" s="12" t="str">
        <f t="shared" si="0"/>
        <v>insert into ins_premium_det (premium_rcv_code,assorted_code, rec_amount,premium_rcv_detail_code,remaining_amt, payrec, mode_code,coinsurance_code,class_cd,it_remarks) values</v>
      </c>
      <c r="G51" s="13" t="str">
        <f t="shared" si="2"/>
        <v>('28Aug240039','070000162667','16019',(select max(to_number(i.premium_rcv_detail_code))+1
from ins_premium_det i),'16019','16019','02', '11000003','00','Request by Mr. Saqib Saleem 28-Aug-2024');</v>
      </c>
      <c r="H51" s="14" t="str">
        <f t="shared" si="3"/>
        <v>insert into ins_premium_det (premium_rcv_code,assorted_code, rec_amount,premium_rcv_detail_code,remaining_amt, payrec, mode_code,coinsurance_code,class_cd,it_remarks) values('28Aug240039','070000162667','16019',(select max(to_number(i.premium_rcv_detail_code))+1
from ins_premium_det i),'16019','16019','02', '11000003','00','Request by Mr. Saqib Saleem 28-Aug-2024');</v>
      </c>
    </row>
    <row r="52" spans="1:8" ht="105" x14ac:dyDescent="0.25">
      <c r="A52" s="9" t="s">
        <v>4535</v>
      </c>
      <c r="B52" s="10" t="str">
        <f>VLOOKUP(A52,[1]Sheet1!$B$2:$C$247,2,0)</f>
        <v>070000162670</v>
      </c>
      <c r="C52" s="16">
        <v>20970</v>
      </c>
      <c r="D52" s="11">
        <f t="shared" si="1"/>
        <v>20970</v>
      </c>
      <c r="E52" s="17" t="s">
        <v>4978</v>
      </c>
      <c r="F52" s="12" t="str">
        <f t="shared" si="0"/>
        <v>insert into ins_premium_det (premium_rcv_code,assorted_code, rec_amount,premium_rcv_detail_code,remaining_amt, payrec, mode_code,coinsurance_code,class_cd,it_remarks) values</v>
      </c>
      <c r="G52" s="13" t="str">
        <f t="shared" si="2"/>
        <v>('28Aug240039','070000162670','20970',(select max(to_number(i.premium_rcv_detail_code))+1
from ins_premium_det i),'20970','20970','02', '11000003','00','Request by Mr. Saqib Saleem 28-Aug-2024');</v>
      </c>
      <c r="H52" s="14" t="str">
        <f t="shared" si="3"/>
        <v>insert into ins_premium_det (premium_rcv_code,assorted_code, rec_amount,premium_rcv_detail_code,remaining_amt, payrec, mode_code,coinsurance_code,class_cd,it_remarks) values('28Aug240039','070000162670','20970',(select max(to_number(i.premium_rcv_detail_code))+1
from ins_premium_det i),'20970','20970','02', '11000003','00','Request by Mr. Saqib Saleem 28-Aug-2024');</v>
      </c>
    </row>
    <row r="53" spans="1:8" ht="105" x14ac:dyDescent="0.25">
      <c r="A53" s="8" t="s">
        <v>4536</v>
      </c>
      <c r="B53" s="10" t="str">
        <f>VLOOKUP(A53,[1]Sheet1!$B$2:$C$247,2,0)</f>
        <v>070000162768</v>
      </c>
      <c r="C53" s="15">
        <v>280000</v>
      </c>
      <c r="D53" s="11">
        <f t="shared" si="1"/>
        <v>280000</v>
      </c>
      <c r="E53" s="17" t="s">
        <v>4978</v>
      </c>
      <c r="F53" s="12" t="str">
        <f t="shared" si="0"/>
        <v>insert into ins_premium_det (premium_rcv_code,assorted_code, rec_amount,premium_rcv_detail_code,remaining_amt, payrec, mode_code,coinsurance_code,class_cd,it_remarks) values</v>
      </c>
      <c r="G53" s="13" t="str">
        <f t="shared" si="2"/>
        <v>('28Aug240039','070000162768','280000',(select max(to_number(i.premium_rcv_detail_code))+1
from ins_premium_det i),'280000','280000','02', '11000003','00','Request by Mr. Saqib Saleem 28-Aug-2024');</v>
      </c>
      <c r="H53" s="14" t="str">
        <f t="shared" si="3"/>
        <v>insert into ins_premium_det (premium_rcv_code,assorted_code, rec_amount,premium_rcv_detail_code,remaining_amt, payrec, mode_code,coinsurance_code,class_cd,it_remarks) values('28Aug240039','070000162768','280000',(select max(to_number(i.premium_rcv_detail_code))+1
from ins_premium_det i),'280000','280000','02', '11000003','00','Request by Mr. Saqib Saleem 28-Aug-2024');</v>
      </c>
    </row>
    <row r="54" spans="1:8" ht="105" x14ac:dyDescent="0.25">
      <c r="A54" s="9" t="s">
        <v>4537</v>
      </c>
      <c r="B54" s="10" t="str">
        <f>VLOOKUP(A54,[1]Sheet1!$B$2:$C$247,2,0)</f>
        <v>070000162671</v>
      </c>
      <c r="C54" s="16">
        <v>16485</v>
      </c>
      <c r="D54" s="11">
        <f t="shared" si="1"/>
        <v>16485</v>
      </c>
      <c r="E54" s="17" t="s">
        <v>4978</v>
      </c>
      <c r="F54" s="12" t="str">
        <f t="shared" si="0"/>
        <v>insert into ins_premium_det (premium_rcv_code,assorted_code, rec_amount,premium_rcv_detail_code,remaining_amt, payrec, mode_code,coinsurance_code,class_cd,it_remarks) values</v>
      </c>
      <c r="G54" s="13" t="str">
        <f t="shared" si="2"/>
        <v>('28Aug240039','070000162671','16485',(select max(to_number(i.premium_rcv_detail_code))+1
from ins_premium_det i),'16485','16485','02', '11000003','00','Request by Mr. Saqib Saleem 28-Aug-2024');</v>
      </c>
      <c r="H54" s="14" t="str">
        <f t="shared" si="3"/>
        <v>insert into ins_premium_det (premium_rcv_code,assorted_code, rec_amount,premium_rcv_detail_code,remaining_amt, payrec, mode_code,coinsurance_code,class_cd,it_remarks) values('28Aug240039','070000162671','16485',(select max(to_number(i.premium_rcv_detail_code))+1
from ins_premium_det i),'16485','16485','02', '11000003','00','Request by Mr. Saqib Saleem 28-Aug-2024');</v>
      </c>
    </row>
    <row r="55" spans="1:8" ht="105" x14ac:dyDescent="0.25">
      <c r="A55" s="8" t="s">
        <v>4538</v>
      </c>
      <c r="B55" s="10" t="str">
        <f>VLOOKUP(A55,[1]Sheet1!$B$2:$C$247,2,0)</f>
        <v>070000162673</v>
      </c>
      <c r="C55" s="15">
        <v>23970</v>
      </c>
      <c r="D55" s="11">
        <f t="shared" si="1"/>
        <v>23970</v>
      </c>
      <c r="E55" s="17" t="s">
        <v>4978</v>
      </c>
      <c r="F55" s="12" t="str">
        <f t="shared" si="0"/>
        <v>insert into ins_premium_det (premium_rcv_code,assorted_code, rec_amount,premium_rcv_detail_code,remaining_amt, payrec, mode_code,coinsurance_code,class_cd,it_remarks) values</v>
      </c>
      <c r="G55" s="13" t="str">
        <f t="shared" si="2"/>
        <v>('28Aug240039','070000162673','23970',(select max(to_number(i.premium_rcv_detail_code))+1
from ins_premium_det i),'23970','23970','02', '11000003','00','Request by Mr. Saqib Saleem 28-Aug-2024');</v>
      </c>
      <c r="H55" s="14" t="str">
        <f t="shared" si="3"/>
        <v>insert into ins_premium_det (premium_rcv_code,assorted_code, rec_amount,premium_rcv_detail_code,remaining_amt, payrec, mode_code,coinsurance_code,class_cd,it_remarks) values('28Aug240039','070000162673','23970',(select max(to_number(i.premium_rcv_detail_code))+1
from ins_premium_det i),'23970','23970','02', '11000003','00','Request by Mr. Saqib Saleem 28-Aug-2024');</v>
      </c>
    </row>
    <row r="56" spans="1:8" ht="105" x14ac:dyDescent="0.25">
      <c r="A56" s="9" t="s">
        <v>4539</v>
      </c>
      <c r="B56" s="10" t="str">
        <f>VLOOKUP(A56,[1]Sheet1!$B$2:$C$247,2,0)</f>
        <v>070000162771</v>
      </c>
      <c r="C56" s="16">
        <v>129985</v>
      </c>
      <c r="D56" s="11">
        <f t="shared" si="1"/>
        <v>129985</v>
      </c>
      <c r="E56" s="17" t="s">
        <v>4978</v>
      </c>
      <c r="F56" s="12" t="str">
        <f t="shared" si="0"/>
        <v>insert into ins_premium_det (premium_rcv_code,assorted_code, rec_amount,premium_rcv_detail_code,remaining_amt, payrec, mode_code,coinsurance_code,class_cd,it_remarks) values</v>
      </c>
      <c r="G56" s="13" t="str">
        <f t="shared" si="2"/>
        <v>('28Aug240039','070000162771','129985',(select max(to_number(i.premium_rcv_detail_code))+1
from ins_premium_det i),'129985','129985','02', '11000003','00','Request by Mr. Saqib Saleem 28-Aug-2024');</v>
      </c>
      <c r="H56" s="14" t="str">
        <f t="shared" si="3"/>
        <v>insert into ins_premium_det (premium_rcv_code,assorted_code, rec_amount,premium_rcv_detail_code,remaining_amt, payrec, mode_code,coinsurance_code,class_cd,it_remarks) values('28Aug240039','070000162771','129985',(select max(to_number(i.premium_rcv_detail_code))+1
from ins_premium_det i),'129985','129985','02', '11000003','00','Request by Mr. Saqib Saleem 28-Aug-2024');</v>
      </c>
    </row>
    <row r="57" spans="1:8" ht="105" x14ac:dyDescent="0.25">
      <c r="A57" s="8" t="s">
        <v>4540</v>
      </c>
      <c r="B57" s="10" t="str">
        <f>VLOOKUP(A57,[1]Sheet1!$B$2:$C$247,2,0)</f>
        <v>070000162674</v>
      </c>
      <c r="C57" s="15">
        <v>45529</v>
      </c>
      <c r="D57" s="11">
        <f t="shared" si="1"/>
        <v>45529</v>
      </c>
      <c r="E57" s="17" t="s">
        <v>4978</v>
      </c>
      <c r="F57" s="12" t="str">
        <f t="shared" si="0"/>
        <v>insert into ins_premium_det (premium_rcv_code,assorted_code, rec_amount,premium_rcv_detail_code,remaining_amt, payrec, mode_code,coinsurance_code,class_cd,it_remarks) values</v>
      </c>
      <c r="G57" s="13" t="str">
        <f t="shared" si="2"/>
        <v>('28Aug240039','070000162674','45529',(select max(to_number(i.premium_rcv_detail_code))+1
from ins_premium_det i),'45529','45529','02', '11000003','00','Request by Mr. Saqib Saleem 28-Aug-2024');</v>
      </c>
      <c r="H57" s="14" t="str">
        <f t="shared" si="3"/>
        <v>insert into ins_premium_det (premium_rcv_code,assorted_code, rec_amount,premium_rcv_detail_code,remaining_amt, payrec, mode_code,coinsurance_code,class_cd,it_remarks) values('28Aug240039','070000162674','45529',(select max(to_number(i.premium_rcv_detail_code))+1
from ins_premium_det i),'45529','45529','02', '11000003','00','Request by Mr. Saqib Saleem 28-Aug-2024');</v>
      </c>
    </row>
    <row r="58" spans="1:8" ht="105" x14ac:dyDescent="0.25">
      <c r="A58" s="9" t="s">
        <v>4541</v>
      </c>
      <c r="B58" s="10" t="str">
        <f>VLOOKUP(A58,[1]Sheet1!$B$2:$C$247,2,0)</f>
        <v>070000162679</v>
      </c>
      <c r="C58" s="16">
        <v>52500</v>
      </c>
      <c r="D58" s="11">
        <f t="shared" si="1"/>
        <v>52500</v>
      </c>
      <c r="E58" s="17" t="s">
        <v>4978</v>
      </c>
      <c r="F58" s="12" t="str">
        <f t="shared" si="0"/>
        <v>insert into ins_premium_det (premium_rcv_code,assorted_code, rec_amount,premium_rcv_detail_code,remaining_amt, payrec, mode_code,coinsurance_code,class_cd,it_remarks) values</v>
      </c>
      <c r="G58" s="13" t="str">
        <f t="shared" si="2"/>
        <v>('28Aug240039','070000162679','52500',(select max(to_number(i.premium_rcv_detail_code))+1
from ins_premium_det i),'52500','52500','02', '11000003','00','Request by Mr. Saqib Saleem 28-Aug-2024');</v>
      </c>
      <c r="H58" s="14" t="str">
        <f t="shared" si="3"/>
        <v>insert into ins_premium_det (premium_rcv_code,assorted_code, rec_amount,premium_rcv_detail_code,remaining_amt, payrec, mode_code,coinsurance_code,class_cd,it_remarks) values('28Aug240039','070000162679','52500',(select max(to_number(i.premium_rcv_detail_code))+1
from ins_premium_det i),'52500','52500','02', '11000003','00','Request by Mr. Saqib Saleem 28-Aug-2024');</v>
      </c>
    </row>
    <row r="59" spans="1:8" ht="105" x14ac:dyDescent="0.25">
      <c r="A59" s="8" t="s">
        <v>4542</v>
      </c>
      <c r="B59" s="10" t="str">
        <f>VLOOKUP(A59,[1]Sheet1!$B$2:$C$247,2,0)</f>
        <v>070000162775</v>
      </c>
      <c r="C59" s="15">
        <v>26128</v>
      </c>
      <c r="D59" s="11">
        <f t="shared" si="1"/>
        <v>26128</v>
      </c>
      <c r="E59" s="17" t="s">
        <v>4978</v>
      </c>
      <c r="F59" s="12" t="str">
        <f t="shared" si="0"/>
        <v>insert into ins_premium_det (premium_rcv_code,assorted_code, rec_amount,premium_rcv_detail_code,remaining_amt, payrec, mode_code,coinsurance_code,class_cd,it_remarks) values</v>
      </c>
      <c r="G59" s="13" t="str">
        <f t="shared" si="2"/>
        <v>('28Aug240039','070000162775','26128',(select max(to_number(i.premium_rcv_detail_code))+1
from ins_premium_det i),'26128','26128','02', '11000003','00','Request by Mr. Saqib Saleem 28-Aug-2024');</v>
      </c>
      <c r="H59" s="14" t="str">
        <f t="shared" si="3"/>
        <v>insert into ins_premium_det (premium_rcv_code,assorted_code, rec_amount,premium_rcv_detail_code,remaining_amt, payrec, mode_code,coinsurance_code,class_cd,it_remarks) values('28Aug240039','070000162775','26128',(select max(to_number(i.premium_rcv_detail_code))+1
from ins_premium_det i),'26128','26128','02', '11000003','00','Request by Mr. Saqib Saleem 28-Aug-2024');</v>
      </c>
    </row>
    <row r="60" spans="1:8" ht="105" x14ac:dyDescent="0.25">
      <c r="A60" s="9" t="s">
        <v>4543</v>
      </c>
      <c r="B60" s="10" t="str">
        <f>VLOOKUP(A60,[1]Sheet1!$B$2:$C$247,2,0)</f>
        <v>070000162681</v>
      </c>
      <c r="C60" s="16">
        <v>38250</v>
      </c>
      <c r="D60" s="11">
        <f t="shared" si="1"/>
        <v>38250</v>
      </c>
      <c r="E60" s="17" t="s">
        <v>4978</v>
      </c>
      <c r="F60" s="12" t="str">
        <f t="shared" si="0"/>
        <v>insert into ins_premium_det (premium_rcv_code,assorted_code, rec_amount,premium_rcv_detail_code,remaining_amt, payrec, mode_code,coinsurance_code,class_cd,it_remarks) values</v>
      </c>
      <c r="G60" s="13" t="str">
        <f t="shared" si="2"/>
        <v>('28Aug240039','070000162681','38250',(select max(to_number(i.premium_rcv_detail_code))+1
from ins_premium_det i),'38250','38250','02', '11000003','00','Request by Mr. Saqib Saleem 28-Aug-2024');</v>
      </c>
      <c r="H60" s="14" t="str">
        <f t="shared" si="3"/>
        <v>insert into ins_premium_det (premium_rcv_code,assorted_code, rec_amount,premium_rcv_detail_code,remaining_amt, payrec, mode_code,coinsurance_code,class_cd,it_remarks) values('28Aug240039','070000162681','38250',(select max(to_number(i.premium_rcv_detail_code))+1
from ins_premium_det i),'38250','38250','02', '11000003','00','Request by Mr. Saqib Saleem 28-Aug-2024');</v>
      </c>
    </row>
    <row r="61" spans="1:8" ht="105" x14ac:dyDescent="0.25">
      <c r="A61" s="8" t="s">
        <v>4544</v>
      </c>
      <c r="B61" s="10" t="str">
        <f>VLOOKUP(A61,[1]Sheet1!$B$2:$C$247,2,0)</f>
        <v>070000162777</v>
      </c>
      <c r="C61" s="15">
        <v>39088</v>
      </c>
      <c r="D61" s="11">
        <f t="shared" si="1"/>
        <v>39088</v>
      </c>
      <c r="E61" s="17" t="s">
        <v>4978</v>
      </c>
      <c r="F61" s="12" t="str">
        <f t="shared" si="0"/>
        <v>insert into ins_premium_det (premium_rcv_code,assorted_code, rec_amount,premium_rcv_detail_code,remaining_amt, payrec, mode_code,coinsurance_code,class_cd,it_remarks) values</v>
      </c>
      <c r="G61" s="13" t="str">
        <f t="shared" si="2"/>
        <v>('28Aug240039','070000162777','39088',(select max(to_number(i.premium_rcv_detail_code))+1
from ins_premium_det i),'39088','39088','02', '11000003','00','Request by Mr. Saqib Saleem 28-Aug-2024');</v>
      </c>
      <c r="H61" s="14" t="str">
        <f t="shared" si="3"/>
        <v>insert into ins_premium_det (premium_rcv_code,assorted_code, rec_amount,premium_rcv_detail_code,remaining_amt, payrec, mode_code,coinsurance_code,class_cd,it_remarks) values('28Aug240039','070000162777','39088',(select max(to_number(i.premium_rcv_detail_code))+1
from ins_premium_det i),'39088','39088','02', '11000003','00','Request by Mr. Saqib Saleem 28-Aug-2024');</v>
      </c>
    </row>
    <row r="62" spans="1:8" ht="105" x14ac:dyDescent="0.25">
      <c r="A62" s="9" t="s">
        <v>4545</v>
      </c>
      <c r="B62" s="10" t="str">
        <f>VLOOKUP(A62,[1]Sheet1!$B$2:$C$247,2,0)</f>
        <v>070000162682</v>
      </c>
      <c r="C62" s="16">
        <v>113902</v>
      </c>
      <c r="D62" s="11">
        <f t="shared" si="1"/>
        <v>113902</v>
      </c>
      <c r="E62" s="17" t="s">
        <v>4978</v>
      </c>
      <c r="F62" s="12" t="str">
        <f t="shared" si="0"/>
        <v>insert into ins_premium_det (premium_rcv_code,assorted_code, rec_amount,premium_rcv_detail_code,remaining_amt, payrec, mode_code,coinsurance_code,class_cd,it_remarks) values</v>
      </c>
      <c r="G62" s="13" t="str">
        <f t="shared" si="2"/>
        <v>('28Aug240039','070000162682','113902',(select max(to_number(i.premium_rcv_detail_code))+1
from ins_premium_det i),'113902','113902','02', '11000003','00','Request by Mr. Saqib Saleem 28-Aug-2024');</v>
      </c>
      <c r="H62" s="14" t="str">
        <f t="shared" si="3"/>
        <v>insert into ins_premium_det (premium_rcv_code,assorted_code, rec_amount,premium_rcv_detail_code,remaining_amt, payrec, mode_code,coinsurance_code,class_cd,it_remarks) values('28Aug240039','070000162682','113902',(select max(to_number(i.premium_rcv_detail_code))+1
from ins_premium_det i),'113902','113902','02', '11000003','00','Request by Mr. Saqib Saleem 28-Aug-2024');</v>
      </c>
    </row>
    <row r="63" spans="1:8" ht="105" x14ac:dyDescent="0.25">
      <c r="A63" s="8" t="s">
        <v>4546</v>
      </c>
      <c r="B63" s="10" t="str">
        <f>VLOOKUP(A63,[1]Sheet1!$B$2:$C$247,2,0)</f>
        <v>070000162779</v>
      </c>
      <c r="C63" s="15">
        <v>69020</v>
      </c>
      <c r="D63" s="11">
        <f t="shared" si="1"/>
        <v>69020</v>
      </c>
      <c r="E63" s="17" t="s">
        <v>4978</v>
      </c>
      <c r="F63" s="12" t="str">
        <f t="shared" si="0"/>
        <v>insert into ins_premium_det (premium_rcv_code,assorted_code, rec_amount,premium_rcv_detail_code,remaining_amt, payrec, mode_code,coinsurance_code,class_cd,it_remarks) values</v>
      </c>
      <c r="G63" s="13" t="str">
        <f t="shared" si="2"/>
        <v>('28Aug240039','070000162779','69020',(select max(to_number(i.premium_rcv_detail_code))+1
from ins_premium_det i),'69020','69020','02', '11000003','00','Request by Mr. Saqib Saleem 28-Aug-2024');</v>
      </c>
      <c r="H63" s="14" t="str">
        <f t="shared" si="3"/>
        <v>insert into ins_premium_det (premium_rcv_code,assorted_code, rec_amount,premium_rcv_detail_code,remaining_amt, payrec, mode_code,coinsurance_code,class_cd,it_remarks) values('28Aug240039','070000162779','69020',(select max(to_number(i.premium_rcv_detail_code))+1
from ins_premium_det i),'69020','69020','02', '11000003','00','Request by Mr. Saqib Saleem 28-Aug-2024');</v>
      </c>
    </row>
    <row r="64" spans="1:8" ht="105" x14ac:dyDescent="0.25">
      <c r="A64" s="9" t="s">
        <v>4547</v>
      </c>
      <c r="B64" s="10" t="str">
        <f>VLOOKUP(A64,[1]Sheet1!$B$2:$C$247,2,0)</f>
        <v>070000162683</v>
      </c>
      <c r="C64" s="16">
        <v>44250</v>
      </c>
      <c r="D64" s="11">
        <f t="shared" si="1"/>
        <v>44250</v>
      </c>
      <c r="E64" s="17" t="s">
        <v>4978</v>
      </c>
      <c r="F64" s="12" t="str">
        <f t="shared" si="0"/>
        <v>insert into ins_premium_det (premium_rcv_code,assorted_code, rec_amount,premium_rcv_detail_code,remaining_amt, payrec, mode_code,coinsurance_code,class_cd,it_remarks) values</v>
      </c>
      <c r="G64" s="13" t="str">
        <f t="shared" si="2"/>
        <v>('28Aug240039','070000162683','44250',(select max(to_number(i.premium_rcv_detail_code))+1
from ins_premium_det i),'44250','44250','02', '11000003','00','Request by Mr. Saqib Saleem 28-Aug-2024');</v>
      </c>
      <c r="H64" s="14" t="str">
        <f t="shared" si="3"/>
        <v>insert into ins_premium_det (premium_rcv_code,assorted_code, rec_amount,premium_rcv_detail_code,remaining_amt, payrec, mode_code,coinsurance_code,class_cd,it_remarks) values('28Aug240039','070000162683','44250',(select max(to_number(i.premium_rcv_detail_code))+1
from ins_premium_det i),'44250','44250','02', '11000003','00','Request by Mr. Saqib Saleem 28-Aug-2024');</v>
      </c>
    </row>
    <row r="65" spans="1:8" ht="105" x14ac:dyDescent="0.25">
      <c r="A65" s="8" t="s">
        <v>4548</v>
      </c>
      <c r="B65" s="10" t="str">
        <f>VLOOKUP(A65,[1]Sheet1!$B$2:$C$247,2,0)</f>
        <v>070000162685</v>
      </c>
      <c r="C65" s="15">
        <v>30625</v>
      </c>
      <c r="D65" s="11">
        <f t="shared" si="1"/>
        <v>30625</v>
      </c>
      <c r="E65" s="17" t="s">
        <v>4978</v>
      </c>
      <c r="F65" s="12" t="str">
        <f t="shared" ref="F65:F128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5" s="13" t="str">
        <f t="shared" si="2"/>
        <v>('28Aug240039','070000162685','30625',(select max(to_number(i.premium_rcv_detail_code))+1
from ins_premium_det i),'30625','30625','02', '11000003','00','Request by Mr. Saqib Saleem 28-Aug-2024');</v>
      </c>
      <c r="H65" s="14" t="str">
        <f t="shared" si="3"/>
        <v>insert into ins_premium_det (premium_rcv_code,assorted_code, rec_amount,premium_rcv_detail_code,remaining_amt, payrec, mode_code,coinsurance_code,class_cd,it_remarks) values('28Aug240039','070000162685','30625',(select max(to_number(i.premium_rcv_detail_code))+1
from ins_premium_det i),'30625','30625','02', '11000003','00','Request by Mr. Saqib Saleem 28-Aug-2024');</v>
      </c>
    </row>
    <row r="66" spans="1:8" ht="105" x14ac:dyDescent="0.25">
      <c r="A66" s="9" t="s">
        <v>4549</v>
      </c>
      <c r="B66" s="10" t="str">
        <f>VLOOKUP(A66,[1]Sheet1!$B$2:$C$247,2,0)</f>
        <v>070000162783</v>
      </c>
      <c r="C66" s="16">
        <v>67725</v>
      </c>
      <c r="D66" s="11">
        <f t="shared" ref="D66:D129" si="5">ROUND(C66,0)</f>
        <v>67725</v>
      </c>
      <c r="E66" s="17" t="s">
        <v>4978</v>
      </c>
      <c r="F66" s="12" t="str">
        <f t="shared" si="4"/>
        <v>insert into ins_premium_det (premium_rcv_code,assorted_code, rec_amount,premium_rcv_detail_code,remaining_amt, payrec, mode_code,coinsurance_code,class_cd,it_remarks) values</v>
      </c>
      <c r="G66" s="13" t="str">
        <f t="shared" ref="G66:G129" si="6">"('"&amp;E66&amp;"','"&amp;B66&amp;"','"&amp;D66&amp;"',(select max(to_number(i.premium_rcv_detail_code))+1
from ins_premium_det i),'"&amp;D66&amp;"','"&amp;D66&amp;"','02', '11000003','00','Request by Mr. Saqib Saleem 28-Aug-2024');"</f>
        <v>('28Aug240039','070000162783','67725',(select max(to_number(i.premium_rcv_detail_code))+1
from ins_premium_det i),'67725','67725','02', '11000003','00','Request by Mr. Saqib Saleem 28-Aug-2024');</v>
      </c>
      <c r="H66" s="14" t="str">
        <f t="shared" ref="H66:H129" si="7">F66&amp;G66</f>
        <v>insert into ins_premium_det (premium_rcv_code,assorted_code, rec_amount,premium_rcv_detail_code,remaining_amt, payrec, mode_code,coinsurance_code,class_cd,it_remarks) values('28Aug240039','070000162783','67725',(select max(to_number(i.premium_rcv_detail_code))+1
from ins_premium_det i),'67725','67725','02', '11000003','00','Request by Mr. Saqib Saleem 28-Aug-2024');</v>
      </c>
    </row>
    <row r="67" spans="1:8" ht="105" x14ac:dyDescent="0.25">
      <c r="A67" s="8" t="s">
        <v>4550</v>
      </c>
      <c r="B67" s="10" t="str">
        <f>VLOOKUP(A67,[1]Sheet1!$B$2:$C$247,2,0)</f>
        <v>070000162686</v>
      </c>
      <c r="C67" s="15">
        <v>91856</v>
      </c>
      <c r="D67" s="11">
        <f t="shared" si="5"/>
        <v>91856</v>
      </c>
      <c r="E67" s="17" t="s">
        <v>4978</v>
      </c>
      <c r="F67" s="12" t="str">
        <f t="shared" si="4"/>
        <v>insert into ins_premium_det (premium_rcv_code,assorted_code, rec_amount,premium_rcv_detail_code,remaining_amt, payrec, mode_code,coinsurance_code,class_cd,it_remarks) values</v>
      </c>
      <c r="G67" s="13" t="str">
        <f t="shared" si="6"/>
        <v>('28Aug240039','070000162686','91856',(select max(to_number(i.premium_rcv_detail_code))+1
from ins_premium_det i),'91856','91856','02', '11000003','00','Request by Mr. Saqib Saleem 28-Aug-2024');</v>
      </c>
      <c r="H67" s="14" t="str">
        <f t="shared" si="7"/>
        <v>insert into ins_premium_det (premium_rcv_code,assorted_code, rec_amount,premium_rcv_detail_code,remaining_amt, payrec, mode_code,coinsurance_code,class_cd,it_remarks) values('28Aug240039','070000162686','91856',(select max(to_number(i.premium_rcv_detail_code))+1
from ins_premium_det i),'91856','91856','02', '11000003','00','Request by Mr. Saqib Saleem 28-Aug-2024');</v>
      </c>
    </row>
    <row r="68" spans="1:8" ht="105" x14ac:dyDescent="0.25">
      <c r="A68" s="9" t="s">
        <v>4551</v>
      </c>
      <c r="B68" s="10" t="str">
        <f>VLOOKUP(A68,[1]Sheet1!$B$2:$C$247,2,0)</f>
        <v>070000162784</v>
      </c>
      <c r="C68" s="16">
        <v>70875</v>
      </c>
      <c r="D68" s="11">
        <f t="shared" si="5"/>
        <v>70875</v>
      </c>
      <c r="E68" s="17" t="s">
        <v>4978</v>
      </c>
      <c r="F68" s="12" t="str">
        <f t="shared" si="4"/>
        <v>insert into ins_premium_det (premium_rcv_code,assorted_code, rec_amount,premium_rcv_detail_code,remaining_amt, payrec, mode_code,coinsurance_code,class_cd,it_remarks) values</v>
      </c>
      <c r="G68" s="13" t="str">
        <f t="shared" si="6"/>
        <v>('28Aug240039','070000162784','70875',(select max(to_number(i.premium_rcv_detail_code))+1
from ins_premium_det i),'70875','70875','02', '11000003','00','Request by Mr. Saqib Saleem 28-Aug-2024');</v>
      </c>
      <c r="H68" s="14" t="str">
        <f t="shared" si="7"/>
        <v>insert into ins_premium_det (premium_rcv_code,assorted_code, rec_amount,premium_rcv_detail_code,remaining_amt, payrec, mode_code,coinsurance_code,class_cd,it_remarks) values('28Aug240039','070000162784','70875',(select max(to_number(i.premium_rcv_detail_code))+1
from ins_premium_det i),'70875','70875','02', '11000003','00','Request by Mr. Saqib Saleem 28-Aug-2024');</v>
      </c>
    </row>
    <row r="69" spans="1:8" ht="105" x14ac:dyDescent="0.25">
      <c r="A69" s="8" t="s">
        <v>4552</v>
      </c>
      <c r="B69" s="10" t="str">
        <f>VLOOKUP(A69,[1]Sheet1!$B$2:$C$247,2,0)</f>
        <v>070000162691</v>
      </c>
      <c r="C69" s="15">
        <v>19268</v>
      </c>
      <c r="D69" s="11">
        <f t="shared" si="5"/>
        <v>19268</v>
      </c>
      <c r="E69" s="17" t="s">
        <v>4978</v>
      </c>
      <c r="F69" s="12" t="str">
        <f t="shared" si="4"/>
        <v>insert into ins_premium_det (premium_rcv_code,assorted_code, rec_amount,premium_rcv_detail_code,remaining_amt, payrec, mode_code,coinsurance_code,class_cd,it_remarks) values</v>
      </c>
      <c r="G69" s="13" t="str">
        <f t="shared" si="6"/>
        <v>('28Aug240039','070000162691','19268',(select max(to_number(i.premium_rcv_detail_code))+1
from ins_premium_det i),'19268','19268','02', '11000003','00','Request by Mr. Saqib Saleem 28-Aug-2024');</v>
      </c>
      <c r="H69" s="14" t="str">
        <f t="shared" si="7"/>
        <v>insert into ins_premium_det (premium_rcv_code,assorted_code, rec_amount,premium_rcv_detail_code,remaining_amt, payrec, mode_code,coinsurance_code,class_cd,it_remarks) values('28Aug240039','070000162691','19268',(select max(to_number(i.premium_rcv_detail_code))+1
from ins_premium_det i),'19268','19268','02', '11000003','00','Request by Mr. Saqib Saleem 28-Aug-2024');</v>
      </c>
    </row>
    <row r="70" spans="1:8" ht="105" x14ac:dyDescent="0.25">
      <c r="A70" s="9" t="s">
        <v>4553</v>
      </c>
      <c r="B70" s="10" t="str">
        <f>VLOOKUP(A70,[1]Sheet1!$B$2:$C$247,2,0)</f>
        <v>070000162786</v>
      </c>
      <c r="C70" s="16">
        <v>51975</v>
      </c>
      <c r="D70" s="11">
        <f t="shared" si="5"/>
        <v>51975</v>
      </c>
      <c r="E70" s="17" t="s">
        <v>4978</v>
      </c>
      <c r="F70" s="12" t="str">
        <f t="shared" si="4"/>
        <v>insert into ins_premium_det (premium_rcv_code,assorted_code, rec_amount,premium_rcv_detail_code,remaining_amt, payrec, mode_code,coinsurance_code,class_cd,it_remarks) values</v>
      </c>
      <c r="G70" s="13" t="str">
        <f t="shared" si="6"/>
        <v>('28Aug240039','070000162786','51975',(select max(to_number(i.premium_rcv_detail_code))+1
from ins_premium_det i),'51975','51975','02', '11000003','00','Request by Mr. Saqib Saleem 28-Aug-2024');</v>
      </c>
      <c r="H70" s="14" t="str">
        <f t="shared" si="7"/>
        <v>insert into ins_premium_det (premium_rcv_code,assorted_code, rec_amount,premium_rcv_detail_code,remaining_amt, payrec, mode_code,coinsurance_code,class_cd,it_remarks) values('28Aug240039','070000162786','51975',(select max(to_number(i.premium_rcv_detail_code))+1
from ins_premium_det i),'51975','51975','02', '11000003','00','Request by Mr. Saqib Saleem 28-Aug-2024');</v>
      </c>
    </row>
    <row r="71" spans="1:8" ht="105" x14ac:dyDescent="0.25">
      <c r="A71" s="8" t="s">
        <v>4554</v>
      </c>
      <c r="B71" s="10" t="str">
        <f>VLOOKUP(A71,[1]Sheet1!$B$2:$C$247,2,0)</f>
        <v>070000162692</v>
      </c>
      <c r="C71" s="15">
        <v>76106</v>
      </c>
      <c r="D71" s="11">
        <f t="shared" si="5"/>
        <v>76106</v>
      </c>
      <c r="E71" s="17" t="s">
        <v>4978</v>
      </c>
      <c r="F71" s="12" t="str">
        <f t="shared" si="4"/>
        <v>insert into ins_premium_det (premium_rcv_code,assorted_code, rec_amount,premium_rcv_detail_code,remaining_amt, payrec, mode_code,coinsurance_code,class_cd,it_remarks) values</v>
      </c>
      <c r="G71" s="13" t="str">
        <f t="shared" si="6"/>
        <v>('28Aug240039','070000162692','76106',(select max(to_number(i.premium_rcv_detail_code))+1
from ins_premium_det i),'76106','76106','02', '11000003','00','Request by Mr. Saqib Saleem 28-Aug-2024');</v>
      </c>
      <c r="H71" s="14" t="str">
        <f t="shared" si="7"/>
        <v>insert into ins_premium_det (premium_rcv_code,assorted_code, rec_amount,premium_rcv_detail_code,remaining_amt, payrec, mode_code,coinsurance_code,class_cd,it_remarks) values('28Aug240039','070000162692','76106',(select max(to_number(i.premium_rcv_detail_code))+1
from ins_premium_det i),'76106','76106','02', '11000003','00','Request by Mr. Saqib Saleem 28-Aug-2024');</v>
      </c>
    </row>
    <row r="72" spans="1:8" ht="105" x14ac:dyDescent="0.25">
      <c r="A72" s="9" t="s">
        <v>4555</v>
      </c>
      <c r="B72" s="10" t="str">
        <f>VLOOKUP(A72,[1]Sheet1!$B$2:$C$247,2,0)</f>
        <v>070000162693</v>
      </c>
      <c r="C72" s="16">
        <v>42075</v>
      </c>
      <c r="D72" s="11">
        <f t="shared" si="5"/>
        <v>42075</v>
      </c>
      <c r="E72" s="17" t="s">
        <v>4978</v>
      </c>
      <c r="F72" s="12" t="str">
        <f t="shared" si="4"/>
        <v>insert into ins_premium_det (premium_rcv_code,assorted_code, rec_amount,premium_rcv_detail_code,remaining_amt, payrec, mode_code,coinsurance_code,class_cd,it_remarks) values</v>
      </c>
      <c r="G72" s="13" t="str">
        <f t="shared" si="6"/>
        <v>('28Aug240039','070000162693','42075',(select max(to_number(i.premium_rcv_detail_code))+1
from ins_premium_det i),'42075','42075','02', '11000003','00','Request by Mr. Saqib Saleem 28-Aug-2024');</v>
      </c>
      <c r="H72" s="14" t="str">
        <f t="shared" si="7"/>
        <v>insert into ins_premium_det (premium_rcv_code,assorted_code, rec_amount,premium_rcv_detail_code,remaining_amt, payrec, mode_code,coinsurance_code,class_cd,it_remarks) values('28Aug240039','070000162693','42075',(select max(to_number(i.premium_rcv_detail_code))+1
from ins_premium_det i),'42075','42075','02', '11000003','00','Request by Mr. Saqib Saleem 28-Aug-2024');</v>
      </c>
    </row>
    <row r="73" spans="1:8" ht="105" x14ac:dyDescent="0.25">
      <c r="A73" s="8" t="s">
        <v>4556</v>
      </c>
      <c r="B73" s="10" t="str">
        <f>VLOOKUP(A73,[1]Sheet1!$B$2:$C$247,2,0)</f>
        <v>070000162694</v>
      </c>
      <c r="C73" s="15">
        <v>50156</v>
      </c>
      <c r="D73" s="11">
        <f t="shared" si="5"/>
        <v>50156</v>
      </c>
      <c r="E73" s="17" t="s">
        <v>4978</v>
      </c>
      <c r="F73" s="12" t="str">
        <f t="shared" si="4"/>
        <v>insert into ins_premium_det (premium_rcv_code,assorted_code, rec_amount,premium_rcv_detail_code,remaining_amt, payrec, mode_code,coinsurance_code,class_cd,it_remarks) values</v>
      </c>
      <c r="G73" s="13" t="str">
        <f t="shared" si="6"/>
        <v>('28Aug240039','070000162694','50156',(select max(to_number(i.premium_rcv_detail_code))+1
from ins_premium_det i),'50156','50156','02', '11000003','00','Request by Mr. Saqib Saleem 28-Aug-2024');</v>
      </c>
      <c r="H73" s="14" t="str">
        <f t="shared" si="7"/>
        <v>insert into ins_premium_det (premium_rcv_code,assorted_code, rec_amount,premium_rcv_detail_code,remaining_amt, payrec, mode_code,coinsurance_code,class_cd,it_remarks) values('28Aug240039','070000162694','50156',(select max(to_number(i.premium_rcv_detail_code))+1
from ins_premium_det i),'50156','50156','02', '11000003','00','Request by Mr. Saqib Saleem 28-Aug-2024');</v>
      </c>
    </row>
    <row r="74" spans="1:8" ht="105" x14ac:dyDescent="0.25">
      <c r="A74" s="9" t="s">
        <v>4557</v>
      </c>
      <c r="B74" s="10" t="str">
        <f>VLOOKUP(A74,[1]Sheet1!$B$2:$C$247,2,0)</f>
        <v>070000162696</v>
      </c>
      <c r="C74" s="16">
        <v>13598</v>
      </c>
      <c r="D74" s="11">
        <f t="shared" si="5"/>
        <v>13598</v>
      </c>
      <c r="E74" s="17" t="s">
        <v>4978</v>
      </c>
      <c r="F74" s="12" t="str">
        <f t="shared" si="4"/>
        <v>insert into ins_premium_det (premium_rcv_code,assorted_code, rec_amount,premium_rcv_detail_code,remaining_amt, payrec, mode_code,coinsurance_code,class_cd,it_remarks) values</v>
      </c>
      <c r="G74" s="13" t="str">
        <f t="shared" si="6"/>
        <v>('28Aug240039','070000162696','13598',(select max(to_number(i.premium_rcv_detail_code))+1
from ins_premium_det i),'13598','13598','02', '11000003','00','Request by Mr. Saqib Saleem 28-Aug-2024');</v>
      </c>
      <c r="H74" s="14" t="str">
        <f t="shared" si="7"/>
        <v>insert into ins_premium_det (premium_rcv_code,assorted_code, rec_amount,premium_rcv_detail_code,remaining_amt, payrec, mode_code,coinsurance_code,class_cd,it_remarks) values('28Aug240039','070000162696','13598',(select max(to_number(i.premium_rcv_detail_code))+1
from ins_premium_det i),'13598','13598','02', '11000003','00','Request by Mr. Saqib Saleem 28-Aug-2024');</v>
      </c>
    </row>
    <row r="75" spans="1:8" ht="105" x14ac:dyDescent="0.25">
      <c r="A75" s="8" t="s">
        <v>4558</v>
      </c>
      <c r="B75" s="10" t="str">
        <f>VLOOKUP(A75,[1]Sheet1!$B$2:$C$247,2,0)</f>
        <v>070000162699</v>
      </c>
      <c r="C75" s="15">
        <v>38850</v>
      </c>
      <c r="D75" s="11">
        <f t="shared" si="5"/>
        <v>38850</v>
      </c>
      <c r="E75" s="17" t="s">
        <v>4978</v>
      </c>
      <c r="F75" s="12" t="str">
        <f t="shared" si="4"/>
        <v>insert into ins_premium_det (premium_rcv_code,assorted_code, rec_amount,premium_rcv_detail_code,remaining_amt, payrec, mode_code,coinsurance_code,class_cd,it_remarks) values</v>
      </c>
      <c r="G75" s="13" t="str">
        <f t="shared" si="6"/>
        <v>('28Aug240039','070000162699','38850',(select max(to_number(i.premium_rcv_detail_code))+1
from ins_premium_det i),'38850','38850','02', '11000003','00','Request by Mr. Saqib Saleem 28-Aug-2024');</v>
      </c>
      <c r="H75" s="14" t="str">
        <f t="shared" si="7"/>
        <v>insert into ins_premium_det (premium_rcv_code,assorted_code, rec_amount,premium_rcv_detail_code,remaining_amt, payrec, mode_code,coinsurance_code,class_cd,it_remarks) values('28Aug240039','070000162699','38850',(select max(to_number(i.premium_rcv_detail_code))+1
from ins_premium_det i),'38850','38850','02', '11000003','00','Request by Mr. Saqib Saleem 28-Aug-2024');</v>
      </c>
    </row>
    <row r="76" spans="1:8" ht="105" x14ac:dyDescent="0.25">
      <c r="A76" s="9" t="s">
        <v>4559</v>
      </c>
      <c r="B76" s="10" t="str">
        <f>VLOOKUP(A76,[1]Sheet1!$B$2:$C$247,2,0)</f>
        <v>070000162700</v>
      </c>
      <c r="C76" s="16">
        <v>20970</v>
      </c>
      <c r="D76" s="11">
        <f t="shared" si="5"/>
        <v>20970</v>
      </c>
      <c r="E76" s="17" t="s">
        <v>4978</v>
      </c>
      <c r="F76" s="12" t="str">
        <f t="shared" si="4"/>
        <v>insert into ins_premium_det (premium_rcv_code,assorted_code, rec_amount,premium_rcv_detail_code,remaining_amt, payrec, mode_code,coinsurance_code,class_cd,it_remarks) values</v>
      </c>
      <c r="G76" s="13" t="str">
        <f t="shared" si="6"/>
        <v>('28Aug240039','070000162700','20970',(select max(to_number(i.premium_rcv_detail_code))+1
from ins_premium_det i),'20970','20970','02', '11000003','00','Request by Mr. Saqib Saleem 28-Aug-2024');</v>
      </c>
      <c r="H76" s="14" t="str">
        <f t="shared" si="7"/>
        <v>insert into ins_premium_det (premium_rcv_code,assorted_code, rec_amount,premium_rcv_detail_code,remaining_amt, payrec, mode_code,coinsurance_code,class_cd,it_remarks) values('28Aug240039','070000162700','20970',(select max(to_number(i.premium_rcv_detail_code))+1
from ins_premium_det i),'20970','20970','02', '11000003','00','Request by Mr. Saqib Saleem 28-Aug-2024');</v>
      </c>
    </row>
    <row r="77" spans="1:8" ht="105" x14ac:dyDescent="0.25">
      <c r="A77" s="8" t="s">
        <v>4560</v>
      </c>
      <c r="B77" s="10" t="str">
        <f>VLOOKUP(A77,[1]Sheet1!$B$2:$C$247,2,0)</f>
        <v>070000162701</v>
      </c>
      <c r="C77" s="15">
        <v>44250</v>
      </c>
      <c r="D77" s="11">
        <f t="shared" si="5"/>
        <v>44250</v>
      </c>
      <c r="E77" s="17" t="s">
        <v>4978</v>
      </c>
      <c r="F77" s="12" t="str">
        <f t="shared" si="4"/>
        <v>insert into ins_premium_det (premium_rcv_code,assorted_code, rec_amount,premium_rcv_detail_code,remaining_amt, payrec, mode_code,coinsurance_code,class_cd,it_remarks) values</v>
      </c>
      <c r="G77" s="13" t="str">
        <f t="shared" si="6"/>
        <v>('28Aug240039','070000162701','44250',(select max(to_number(i.premium_rcv_detail_code))+1
from ins_premium_det i),'44250','44250','02', '11000003','00','Request by Mr. Saqib Saleem 28-Aug-2024');</v>
      </c>
      <c r="H77" s="14" t="str">
        <f t="shared" si="7"/>
        <v>insert into ins_premium_det (premium_rcv_code,assorted_code, rec_amount,premium_rcv_detail_code,remaining_amt, payrec, mode_code,coinsurance_code,class_cd,it_remarks) values('28Aug240039','070000162701','44250',(select max(to_number(i.premium_rcv_detail_code))+1
from ins_premium_det i),'44250','44250','02', '11000003','00','Request by Mr. Saqib Saleem 28-Aug-2024');</v>
      </c>
    </row>
    <row r="78" spans="1:8" ht="105" x14ac:dyDescent="0.25">
      <c r="A78" s="9" t="s">
        <v>4561</v>
      </c>
      <c r="B78" s="10" t="str">
        <f>VLOOKUP(A78,[1]Sheet1!$B$2:$C$247,2,0)</f>
        <v>070000162800</v>
      </c>
      <c r="C78" s="16">
        <v>88000</v>
      </c>
      <c r="D78" s="11">
        <f t="shared" si="5"/>
        <v>88000</v>
      </c>
      <c r="E78" s="17" t="s">
        <v>4978</v>
      </c>
      <c r="F78" s="12" t="str">
        <f t="shared" si="4"/>
        <v>insert into ins_premium_det (premium_rcv_code,assorted_code, rec_amount,premium_rcv_detail_code,remaining_amt, payrec, mode_code,coinsurance_code,class_cd,it_remarks) values</v>
      </c>
      <c r="G78" s="13" t="str">
        <f t="shared" si="6"/>
        <v>('28Aug240039','070000162800','88000',(select max(to_number(i.premium_rcv_detail_code))+1
from ins_premium_det i),'88000','88000','02', '11000003','00','Request by Mr. Saqib Saleem 28-Aug-2024');</v>
      </c>
      <c r="H78" s="14" t="str">
        <f t="shared" si="7"/>
        <v>insert into ins_premium_det (premium_rcv_code,assorted_code, rec_amount,premium_rcv_detail_code,remaining_amt, payrec, mode_code,coinsurance_code,class_cd,it_remarks) values('28Aug240039','070000162800','88000',(select max(to_number(i.premium_rcv_detail_code))+1
from ins_premium_det i),'88000','88000','02', '11000003','00','Request by Mr. Saqib Saleem 28-Aug-2024');</v>
      </c>
    </row>
    <row r="79" spans="1:8" ht="105" x14ac:dyDescent="0.25">
      <c r="A79" s="8" t="s">
        <v>4562</v>
      </c>
      <c r="B79" s="10" t="str">
        <f>VLOOKUP(A79,[1]Sheet1!$B$2:$C$247,2,0)</f>
        <v>070000162702</v>
      </c>
      <c r="C79" s="15">
        <v>29775</v>
      </c>
      <c r="D79" s="11">
        <f t="shared" si="5"/>
        <v>29775</v>
      </c>
      <c r="E79" s="17" t="s">
        <v>4978</v>
      </c>
      <c r="F79" s="12" t="str">
        <f t="shared" si="4"/>
        <v>insert into ins_premium_det (premium_rcv_code,assorted_code, rec_amount,premium_rcv_detail_code,remaining_amt, payrec, mode_code,coinsurance_code,class_cd,it_remarks) values</v>
      </c>
      <c r="G79" s="13" t="str">
        <f t="shared" si="6"/>
        <v>('28Aug240039','070000162702','29775',(select max(to_number(i.premium_rcv_detail_code))+1
from ins_premium_det i),'29775','29775','02', '11000003','00','Request by Mr. Saqib Saleem 28-Aug-2024');</v>
      </c>
      <c r="H79" s="14" t="str">
        <f t="shared" si="7"/>
        <v>insert into ins_premium_det (premium_rcv_code,assorted_code, rec_amount,premium_rcv_detail_code,remaining_amt, payrec, mode_code,coinsurance_code,class_cd,it_remarks) values('28Aug240039','070000162702','29775',(select max(to_number(i.premium_rcv_detail_code))+1
from ins_premium_det i),'29775','29775','02', '11000003','00','Request by Mr. Saqib Saleem 28-Aug-2024');</v>
      </c>
    </row>
    <row r="80" spans="1:8" ht="105" x14ac:dyDescent="0.25">
      <c r="A80" s="9" t="s">
        <v>4563</v>
      </c>
      <c r="B80" s="10" t="str">
        <f>VLOOKUP(A80,[1]Sheet1!$B$2:$C$247,2,0)</f>
        <v>070000162703</v>
      </c>
      <c r="C80" s="16">
        <v>28438</v>
      </c>
      <c r="D80" s="11">
        <f t="shared" si="5"/>
        <v>28438</v>
      </c>
      <c r="E80" s="17" t="s">
        <v>4978</v>
      </c>
      <c r="F80" s="12" t="str">
        <f t="shared" si="4"/>
        <v>insert into ins_premium_det (premium_rcv_code,assorted_code, rec_amount,premium_rcv_detail_code,remaining_amt, payrec, mode_code,coinsurance_code,class_cd,it_remarks) values</v>
      </c>
      <c r="G80" s="13" t="str">
        <f t="shared" si="6"/>
        <v>('28Aug240039','070000162703','28438',(select max(to_number(i.premium_rcv_detail_code))+1
from ins_premium_det i),'28438','28438','02', '11000003','00','Request by Mr. Saqib Saleem 28-Aug-2024');</v>
      </c>
      <c r="H80" s="14" t="str">
        <f t="shared" si="7"/>
        <v>insert into ins_premium_det (premium_rcv_code,assorted_code, rec_amount,premium_rcv_detail_code,remaining_amt, payrec, mode_code,coinsurance_code,class_cd,it_remarks) values('28Aug240039','070000162703','28438',(select max(to_number(i.premium_rcv_detail_code))+1
from ins_premium_det i),'28438','28438','02', '11000003','00','Request by Mr. Saqib Saleem 28-Aug-2024');</v>
      </c>
    </row>
    <row r="81" spans="1:8" ht="105" x14ac:dyDescent="0.25">
      <c r="A81" s="8" t="s">
        <v>4564</v>
      </c>
      <c r="B81" s="10" t="str">
        <f>VLOOKUP(A81,[1]Sheet1!$B$2:$C$247,2,0)</f>
        <v>070000162704</v>
      </c>
      <c r="C81" s="15">
        <v>43663</v>
      </c>
      <c r="D81" s="11">
        <f t="shared" si="5"/>
        <v>43663</v>
      </c>
      <c r="E81" s="17" t="s">
        <v>4978</v>
      </c>
      <c r="F81" s="12" t="str">
        <f t="shared" si="4"/>
        <v>insert into ins_premium_det (premium_rcv_code,assorted_code, rec_amount,premium_rcv_detail_code,remaining_amt, payrec, mode_code,coinsurance_code,class_cd,it_remarks) values</v>
      </c>
      <c r="G81" s="13" t="str">
        <f t="shared" si="6"/>
        <v>('28Aug240039','070000162704','43663',(select max(to_number(i.premium_rcv_detail_code))+1
from ins_premium_det i),'43663','43663','02', '11000003','00','Request by Mr. Saqib Saleem 28-Aug-2024');</v>
      </c>
      <c r="H81" s="14" t="str">
        <f t="shared" si="7"/>
        <v>insert into ins_premium_det (premium_rcv_code,assorted_code, rec_amount,premium_rcv_detail_code,remaining_amt, payrec, mode_code,coinsurance_code,class_cd,it_remarks) values('28Aug240039','070000162704','43663',(select max(to_number(i.premium_rcv_detail_code))+1
from ins_premium_det i),'43663','43663','02', '11000003','00','Request by Mr. Saqib Saleem 28-Aug-2024');</v>
      </c>
    </row>
    <row r="82" spans="1:8" ht="105" x14ac:dyDescent="0.25">
      <c r="A82" s="9" t="s">
        <v>4565</v>
      </c>
      <c r="B82" s="10" t="str">
        <f>VLOOKUP(A82,[1]Sheet1!$B$2:$C$247,2,0)</f>
        <v>070000162706</v>
      </c>
      <c r="C82" s="16">
        <v>25375</v>
      </c>
      <c r="D82" s="11">
        <f t="shared" si="5"/>
        <v>25375</v>
      </c>
      <c r="E82" s="17" t="s">
        <v>4978</v>
      </c>
      <c r="F82" s="12" t="str">
        <f t="shared" si="4"/>
        <v>insert into ins_premium_det (premium_rcv_code,assorted_code, rec_amount,premium_rcv_detail_code,remaining_amt, payrec, mode_code,coinsurance_code,class_cd,it_remarks) values</v>
      </c>
      <c r="G82" s="13" t="str">
        <f t="shared" si="6"/>
        <v>('28Aug240039','070000162706','25375',(select max(to_number(i.premium_rcv_detail_code))+1
from ins_premium_det i),'25375','25375','02', '11000003','00','Request by Mr. Saqib Saleem 28-Aug-2024');</v>
      </c>
      <c r="H82" s="14" t="str">
        <f t="shared" si="7"/>
        <v>insert into ins_premium_det (premium_rcv_code,assorted_code, rec_amount,premium_rcv_detail_code,remaining_amt, payrec, mode_code,coinsurance_code,class_cd,it_remarks) values('28Aug240039','070000162706','25375',(select max(to_number(i.premium_rcv_detail_code))+1
from ins_premium_det i),'25375','25375','02', '11000003','00','Request by Mr. Saqib Saleem 28-Aug-2024');</v>
      </c>
    </row>
    <row r="83" spans="1:8" ht="105" x14ac:dyDescent="0.25">
      <c r="A83" s="8" t="s">
        <v>4566</v>
      </c>
      <c r="B83" s="10" t="str">
        <f>VLOOKUP(A83,[1]Sheet1!$B$2:$C$247,2,0)</f>
        <v>070000162707</v>
      </c>
      <c r="C83" s="15">
        <v>38325</v>
      </c>
      <c r="D83" s="11">
        <f t="shared" si="5"/>
        <v>38325</v>
      </c>
      <c r="E83" s="17" t="s">
        <v>4978</v>
      </c>
      <c r="F83" s="12" t="str">
        <f t="shared" si="4"/>
        <v>insert into ins_premium_det (premium_rcv_code,assorted_code, rec_amount,premium_rcv_detail_code,remaining_amt, payrec, mode_code,coinsurance_code,class_cd,it_remarks) values</v>
      </c>
      <c r="G83" s="13" t="str">
        <f t="shared" si="6"/>
        <v>('28Aug240039','070000162707','38325',(select max(to_number(i.premium_rcv_detail_code))+1
from ins_premium_det i),'38325','38325','02', '11000003','00','Request by Mr. Saqib Saleem 28-Aug-2024');</v>
      </c>
      <c r="H83" s="14" t="str">
        <f t="shared" si="7"/>
        <v>insert into ins_premium_det (premium_rcv_code,assorted_code, rec_amount,premium_rcv_detail_code,remaining_amt, payrec, mode_code,coinsurance_code,class_cd,it_remarks) values('28Aug240039','070000162707','38325',(select max(to_number(i.premium_rcv_detail_code))+1
from ins_premium_det i),'38325','38325','02', '11000003','00','Request by Mr. Saqib Saleem 28-Aug-2024');</v>
      </c>
    </row>
    <row r="84" spans="1:8" ht="105" x14ac:dyDescent="0.25">
      <c r="A84" s="9" t="s">
        <v>4567</v>
      </c>
      <c r="B84" s="10" t="str">
        <f>VLOOKUP(A84,[1]Sheet1!$B$2:$C$247,2,0)</f>
        <v>070000162709</v>
      </c>
      <c r="C84" s="16">
        <v>39450</v>
      </c>
      <c r="D84" s="11">
        <f t="shared" si="5"/>
        <v>39450</v>
      </c>
      <c r="E84" s="17" t="s">
        <v>4978</v>
      </c>
      <c r="F84" s="12" t="str">
        <f t="shared" si="4"/>
        <v>insert into ins_premium_det (premium_rcv_code,assorted_code, rec_amount,premium_rcv_detail_code,remaining_amt, payrec, mode_code,coinsurance_code,class_cd,it_remarks) values</v>
      </c>
      <c r="G84" s="13" t="str">
        <f t="shared" si="6"/>
        <v>('28Aug240039','070000162709','39450',(select max(to_number(i.premium_rcv_detail_code))+1
from ins_premium_det i),'39450','39450','02', '11000003','00','Request by Mr. Saqib Saleem 28-Aug-2024');</v>
      </c>
      <c r="H84" s="14" t="str">
        <f t="shared" si="7"/>
        <v>insert into ins_premium_det (premium_rcv_code,assorted_code, rec_amount,premium_rcv_detail_code,remaining_amt, payrec, mode_code,coinsurance_code,class_cd,it_remarks) values('28Aug240039','070000162709','39450',(select max(to_number(i.premium_rcv_detail_code))+1
from ins_premium_det i),'39450','39450','02', '11000003','00','Request by Mr. Saqib Saleem 28-Aug-2024');</v>
      </c>
    </row>
    <row r="85" spans="1:8" ht="105" x14ac:dyDescent="0.25">
      <c r="A85" s="8" t="s">
        <v>4568</v>
      </c>
      <c r="B85" s="10" t="str">
        <f>VLOOKUP(A85,[1]Sheet1!$B$2:$C$247,2,0)</f>
        <v>070000162710</v>
      </c>
      <c r="C85" s="15">
        <v>30330</v>
      </c>
      <c r="D85" s="11">
        <f t="shared" si="5"/>
        <v>30330</v>
      </c>
      <c r="E85" s="17" t="s">
        <v>4978</v>
      </c>
      <c r="F85" s="12" t="str">
        <f t="shared" si="4"/>
        <v>insert into ins_premium_det (premium_rcv_code,assorted_code, rec_amount,premium_rcv_detail_code,remaining_amt, payrec, mode_code,coinsurance_code,class_cd,it_remarks) values</v>
      </c>
      <c r="G85" s="13" t="str">
        <f t="shared" si="6"/>
        <v>('28Aug240039','070000162710','30330',(select max(to_number(i.premium_rcv_detail_code))+1
from ins_premium_det i),'30330','30330','02', '11000003','00','Request by Mr. Saqib Saleem 28-Aug-2024');</v>
      </c>
      <c r="H85" s="14" t="str">
        <f t="shared" si="7"/>
        <v>insert into ins_premium_det (premium_rcv_code,assorted_code, rec_amount,premium_rcv_detail_code,remaining_amt, payrec, mode_code,coinsurance_code,class_cd,it_remarks) values('28Aug240039','070000162710','30330',(select max(to_number(i.premium_rcv_detail_code))+1
from ins_premium_det i),'30330','30330','02', '11000003','00','Request by Mr. Saqib Saleem 28-Aug-2024');</v>
      </c>
    </row>
    <row r="86" spans="1:8" ht="105" x14ac:dyDescent="0.25">
      <c r="A86" s="9" t="s">
        <v>4569</v>
      </c>
      <c r="B86" s="10" t="str">
        <f>VLOOKUP(A86,[1]Sheet1!$B$2:$C$247,2,0)</f>
        <v>070000162712</v>
      </c>
      <c r="C86" s="16">
        <v>42075</v>
      </c>
      <c r="D86" s="11">
        <f t="shared" si="5"/>
        <v>42075</v>
      </c>
      <c r="E86" s="17" t="s">
        <v>4978</v>
      </c>
      <c r="F86" s="12" t="str">
        <f t="shared" si="4"/>
        <v>insert into ins_premium_det (premium_rcv_code,assorted_code, rec_amount,premium_rcv_detail_code,remaining_amt, payrec, mode_code,coinsurance_code,class_cd,it_remarks) values</v>
      </c>
      <c r="G86" s="13" t="str">
        <f t="shared" si="6"/>
        <v>('28Aug240039','070000162712','42075',(select max(to_number(i.premium_rcv_detail_code))+1
from ins_premium_det i),'42075','42075','02', '11000003','00','Request by Mr. Saqib Saleem 28-Aug-2024');</v>
      </c>
      <c r="H86" s="14" t="str">
        <f t="shared" si="7"/>
        <v>insert into ins_premium_det (premium_rcv_code,assorted_code, rec_amount,premium_rcv_detail_code,remaining_amt, payrec, mode_code,coinsurance_code,class_cd,it_remarks) values('28Aug240039','070000162712','42075',(select max(to_number(i.premium_rcv_detail_code))+1
from ins_premium_det i),'42075','42075','02', '11000003','00','Request by Mr. Saqib Saleem 28-Aug-2024');</v>
      </c>
    </row>
    <row r="87" spans="1:8" ht="105" x14ac:dyDescent="0.25">
      <c r="A87" s="8" t="s">
        <v>4570</v>
      </c>
      <c r="B87" s="10" t="str">
        <f>VLOOKUP(A87,[1]Sheet1!$B$2:$C$247,2,0)</f>
        <v>070000162713</v>
      </c>
      <c r="C87" s="15">
        <v>60855</v>
      </c>
      <c r="D87" s="11">
        <f t="shared" si="5"/>
        <v>60855</v>
      </c>
      <c r="E87" s="17" t="s">
        <v>4978</v>
      </c>
      <c r="F87" s="12" t="str">
        <f t="shared" si="4"/>
        <v>insert into ins_premium_det (premium_rcv_code,assorted_code, rec_amount,premium_rcv_detail_code,remaining_amt, payrec, mode_code,coinsurance_code,class_cd,it_remarks) values</v>
      </c>
      <c r="G87" s="13" t="str">
        <f t="shared" si="6"/>
        <v>('28Aug240039','070000162713','60855',(select max(to_number(i.premium_rcv_detail_code))+1
from ins_premium_det i),'60855','60855','02', '11000003','00','Request by Mr. Saqib Saleem 28-Aug-2024');</v>
      </c>
      <c r="H87" s="14" t="str">
        <f t="shared" si="7"/>
        <v>insert into ins_premium_det (premium_rcv_code,assorted_code, rec_amount,premium_rcv_detail_code,remaining_amt, payrec, mode_code,coinsurance_code,class_cd,it_remarks) values('28Aug240039','070000162713','60855',(select max(to_number(i.premium_rcv_detail_code))+1
from ins_premium_det i),'60855','60855','02', '11000003','00','Request by Mr. Saqib Saleem 28-Aug-2024');</v>
      </c>
    </row>
    <row r="88" spans="1:8" ht="105" x14ac:dyDescent="0.25">
      <c r="A88" s="9" t="s">
        <v>4571</v>
      </c>
      <c r="B88" s="10" t="str">
        <f>VLOOKUP(A88,[1]Sheet1!$B$2:$C$247,2,0)</f>
        <v>070000162715</v>
      </c>
      <c r="C88" s="16">
        <v>37695</v>
      </c>
      <c r="D88" s="11">
        <f t="shared" si="5"/>
        <v>37695</v>
      </c>
      <c r="E88" s="17" t="s">
        <v>4978</v>
      </c>
      <c r="F88" s="12" t="str">
        <f t="shared" si="4"/>
        <v>insert into ins_premium_det (premium_rcv_code,assorted_code, rec_amount,premium_rcv_detail_code,remaining_amt, payrec, mode_code,coinsurance_code,class_cd,it_remarks) values</v>
      </c>
      <c r="G88" s="13" t="str">
        <f t="shared" si="6"/>
        <v>('28Aug240039','070000162715','37695',(select max(to_number(i.premium_rcv_detail_code))+1
from ins_premium_det i),'37695','37695','02', '11000003','00','Request by Mr. Saqib Saleem 28-Aug-2024');</v>
      </c>
      <c r="H88" s="14" t="str">
        <f t="shared" si="7"/>
        <v>insert into ins_premium_det (premium_rcv_code,assorted_code, rec_amount,premium_rcv_detail_code,remaining_amt, payrec, mode_code,coinsurance_code,class_cd,it_remarks) values('28Aug240039','070000162715','37695',(select max(to_number(i.premium_rcv_detail_code))+1
from ins_premium_det i),'37695','37695','02', '11000003','00','Request by Mr. Saqib Saleem 28-Aug-2024');</v>
      </c>
    </row>
    <row r="89" spans="1:8" ht="105" x14ac:dyDescent="0.25">
      <c r="A89" s="8" t="s">
        <v>4572</v>
      </c>
      <c r="B89" s="10" t="str">
        <f>VLOOKUP(A89,[1]Sheet1!$B$2:$C$247,2,0)</f>
        <v>070000162717</v>
      </c>
      <c r="C89" s="15">
        <v>39525</v>
      </c>
      <c r="D89" s="11">
        <f t="shared" si="5"/>
        <v>39525</v>
      </c>
      <c r="E89" s="17" t="s">
        <v>4978</v>
      </c>
      <c r="F89" s="12" t="str">
        <f t="shared" si="4"/>
        <v>insert into ins_premium_det (premium_rcv_code,assorted_code, rec_amount,premium_rcv_detail_code,remaining_amt, payrec, mode_code,coinsurance_code,class_cd,it_remarks) values</v>
      </c>
      <c r="G89" s="13" t="str">
        <f t="shared" si="6"/>
        <v>('28Aug240039','070000162717','39525',(select max(to_number(i.premium_rcv_detail_code))+1
from ins_premium_det i),'39525','39525','02', '11000003','00','Request by Mr. Saqib Saleem 28-Aug-2024');</v>
      </c>
      <c r="H89" s="14" t="str">
        <f t="shared" si="7"/>
        <v>insert into ins_premium_det (premium_rcv_code,assorted_code, rec_amount,premium_rcv_detail_code,remaining_amt, payrec, mode_code,coinsurance_code,class_cd,it_remarks) values('28Aug240039','070000162717','39525',(select max(to_number(i.premium_rcv_detail_code))+1
from ins_premium_det i),'39525','39525','02', '11000003','00','Request by Mr. Saqib Saleem 28-Aug-2024');</v>
      </c>
    </row>
    <row r="90" spans="1:8" ht="105" x14ac:dyDescent="0.25">
      <c r="A90" s="9" t="s">
        <v>4573</v>
      </c>
      <c r="B90" s="10" t="str">
        <f>VLOOKUP(A90,[1]Sheet1!$B$2:$C$247,2,0)</f>
        <v>070000162718</v>
      </c>
      <c r="C90" s="16">
        <v>48600</v>
      </c>
      <c r="D90" s="11">
        <f t="shared" si="5"/>
        <v>48600</v>
      </c>
      <c r="E90" s="17" t="s">
        <v>4978</v>
      </c>
      <c r="F90" s="12" t="str">
        <f t="shared" si="4"/>
        <v>insert into ins_premium_det (premium_rcv_code,assorted_code, rec_amount,premium_rcv_detail_code,remaining_amt, payrec, mode_code,coinsurance_code,class_cd,it_remarks) values</v>
      </c>
      <c r="G90" s="13" t="str">
        <f t="shared" si="6"/>
        <v>('28Aug240039','070000162718','48600',(select max(to_number(i.premium_rcv_detail_code))+1
from ins_premium_det i),'48600','48600','02', '11000003','00','Request by Mr. Saqib Saleem 28-Aug-2024');</v>
      </c>
      <c r="H90" s="14" t="str">
        <f t="shared" si="7"/>
        <v>insert into ins_premium_det (premium_rcv_code,assorted_code, rec_amount,premium_rcv_detail_code,remaining_amt, payrec, mode_code,coinsurance_code,class_cd,it_remarks) values('28Aug240039','070000162718','48600',(select max(to_number(i.premium_rcv_detail_code))+1
from ins_premium_det i),'48600','48600','02', '11000003','00','Request by Mr. Saqib Saleem 28-Aug-2024');</v>
      </c>
    </row>
    <row r="91" spans="1:8" ht="105" x14ac:dyDescent="0.25">
      <c r="A91" s="8" t="s">
        <v>4574</v>
      </c>
      <c r="B91" s="10" t="str">
        <f>VLOOKUP(A91,[1]Sheet1!$B$2:$C$247,2,0)</f>
        <v>070000162721</v>
      </c>
      <c r="C91" s="15">
        <v>34125</v>
      </c>
      <c r="D91" s="11">
        <f t="shared" si="5"/>
        <v>34125</v>
      </c>
      <c r="E91" s="17" t="s">
        <v>4978</v>
      </c>
      <c r="F91" s="12" t="str">
        <f t="shared" si="4"/>
        <v>insert into ins_premium_det (premium_rcv_code,assorted_code, rec_amount,premium_rcv_detail_code,remaining_amt, payrec, mode_code,coinsurance_code,class_cd,it_remarks) values</v>
      </c>
      <c r="G91" s="13" t="str">
        <f t="shared" si="6"/>
        <v>('28Aug240039','070000162721','34125',(select max(to_number(i.premium_rcv_detail_code))+1
from ins_premium_det i),'34125','34125','02', '11000003','00','Request by Mr. Saqib Saleem 28-Aug-2024');</v>
      </c>
      <c r="H91" s="14" t="str">
        <f t="shared" si="7"/>
        <v>insert into ins_premium_det (premium_rcv_code,assorted_code, rec_amount,premium_rcv_detail_code,remaining_amt, payrec, mode_code,coinsurance_code,class_cd,it_remarks) values('28Aug240039','070000162721','34125',(select max(to_number(i.premium_rcv_detail_code))+1
from ins_premium_det i),'34125','34125','02', '11000003','00','Request by Mr. Saqib Saleem 28-Aug-2024');</v>
      </c>
    </row>
    <row r="92" spans="1:8" ht="105" x14ac:dyDescent="0.25">
      <c r="A92" s="9" t="s">
        <v>4575</v>
      </c>
      <c r="B92" s="10" t="str">
        <f>VLOOKUP(A92,[1]Sheet1!$B$2:$C$247,2,0)</f>
        <v>070000162722</v>
      </c>
      <c r="C92" s="16">
        <v>36300</v>
      </c>
      <c r="D92" s="11">
        <f t="shared" si="5"/>
        <v>36300</v>
      </c>
      <c r="E92" s="17" t="s">
        <v>4978</v>
      </c>
      <c r="F92" s="12" t="str">
        <f t="shared" si="4"/>
        <v>insert into ins_premium_det (premium_rcv_code,assorted_code, rec_amount,premium_rcv_detail_code,remaining_amt, payrec, mode_code,coinsurance_code,class_cd,it_remarks) values</v>
      </c>
      <c r="G92" s="13" t="str">
        <f t="shared" si="6"/>
        <v>('28Aug240039','070000162722','36300',(select max(to_number(i.premium_rcv_detail_code))+1
from ins_premium_det i),'36300','36300','02', '11000003','00','Request by Mr. Saqib Saleem 28-Aug-2024');</v>
      </c>
      <c r="H92" s="14" t="str">
        <f t="shared" si="7"/>
        <v>insert into ins_premium_det (premium_rcv_code,assorted_code, rec_amount,premium_rcv_detail_code,remaining_amt, payrec, mode_code,coinsurance_code,class_cd,it_remarks) values('28Aug240039','070000162722','36300',(select max(to_number(i.premium_rcv_detail_code))+1
from ins_premium_det i),'36300','36300','02', '11000003','00','Request by Mr. Saqib Saleem 28-Aug-2024');</v>
      </c>
    </row>
    <row r="93" spans="1:8" ht="105" x14ac:dyDescent="0.25">
      <c r="A93" s="8" t="s">
        <v>4576</v>
      </c>
      <c r="B93" s="10" t="str">
        <f>VLOOKUP(A93,[1]Sheet1!$B$2:$C$247,2,0)</f>
        <v>070000162724</v>
      </c>
      <c r="C93" s="15">
        <v>37481</v>
      </c>
      <c r="D93" s="11">
        <f t="shared" si="5"/>
        <v>37481</v>
      </c>
      <c r="E93" s="17" t="s">
        <v>4978</v>
      </c>
      <c r="F93" s="12" t="str">
        <f t="shared" si="4"/>
        <v>insert into ins_premium_det (premium_rcv_code,assorted_code, rec_amount,premium_rcv_detail_code,remaining_amt, payrec, mode_code,coinsurance_code,class_cd,it_remarks) values</v>
      </c>
      <c r="G93" s="13" t="str">
        <f t="shared" si="6"/>
        <v>('28Aug240039','070000162724','37481',(select max(to_number(i.premium_rcv_detail_code))+1
from ins_premium_det i),'37481','37481','02', '11000003','00','Request by Mr. Saqib Saleem 28-Aug-2024');</v>
      </c>
      <c r="H93" s="14" t="str">
        <f t="shared" si="7"/>
        <v>insert into ins_premium_det (premium_rcv_code,assorted_code, rec_amount,premium_rcv_detail_code,remaining_amt, payrec, mode_code,coinsurance_code,class_cd,it_remarks) values('28Aug240039','070000162724','37481',(select max(to_number(i.premium_rcv_detail_code))+1
from ins_premium_det i),'37481','37481','02', '11000003','00','Request by Mr. Saqib Saleem 28-Aug-2024');</v>
      </c>
    </row>
    <row r="94" spans="1:8" ht="105" x14ac:dyDescent="0.25">
      <c r="A94" s="9" t="s">
        <v>4577</v>
      </c>
      <c r="B94" s="10" t="str">
        <f>VLOOKUP(A94,[1]Sheet1!$B$2:$C$247,2,0)</f>
        <v>070000162725</v>
      </c>
      <c r="C94" s="16">
        <v>23970</v>
      </c>
      <c r="D94" s="11">
        <f t="shared" si="5"/>
        <v>23970</v>
      </c>
      <c r="E94" s="17" t="s">
        <v>4978</v>
      </c>
      <c r="F94" s="12" t="str">
        <f t="shared" si="4"/>
        <v>insert into ins_premium_det (premium_rcv_code,assorted_code, rec_amount,premium_rcv_detail_code,remaining_amt, payrec, mode_code,coinsurance_code,class_cd,it_remarks) values</v>
      </c>
      <c r="G94" s="13" t="str">
        <f t="shared" si="6"/>
        <v>('28Aug240039','070000162725','23970',(select max(to_number(i.premium_rcv_detail_code))+1
from ins_premium_det i),'23970','23970','02', '11000003','00','Request by Mr. Saqib Saleem 28-Aug-2024');</v>
      </c>
      <c r="H94" s="14" t="str">
        <f t="shared" si="7"/>
        <v>insert into ins_premium_det (premium_rcv_code,assorted_code, rec_amount,premium_rcv_detail_code,remaining_amt, payrec, mode_code,coinsurance_code,class_cd,it_remarks) values('28Aug240039','070000162725','23970',(select max(to_number(i.premium_rcv_detail_code))+1
from ins_premium_det i),'23970','23970','02', '11000003','00','Request by Mr. Saqib Saleem 28-Aug-2024');</v>
      </c>
    </row>
    <row r="95" spans="1:8" ht="105" x14ac:dyDescent="0.25">
      <c r="A95" s="8" t="s">
        <v>4578</v>
      </c>
      <c r="B95" s="10" t="str">
        <f>VLOOKUP(A95,[1]Sheet1!$B$2:$C$247,2,0)</f>
        <v>070000162727</v>
      </c>
      <c r="C95" s="15">
        <v>35606</v>
      </c>
      <c r="D95" s="11">
        <f t="shared" si="5"/>
        <v>35606</v>
      </c>
      <c r="E95" s="17" t="s">
        <v>4978</v>
      </c>
      <c r="F95" s="12" t="str">
        <f t="shared" si="4"/>
        <v>insert into ins_premium_det (premium_rcv_code,assorted_code, rec_amount,premium_rcv_detail_code,remaining_amt, payrec, mode_code,coinsurance_code,class_cd,it_remarks) values</v>
      </c>
      <c r="G95" s="13" t="str">
        <f t="shared" si="6"/>
        <v>('28Aug240039','070000162727','35606',(select max(to_number(i.premium_rcv_detail_code))+1
from ins_premium_det i),'35606','35606','02', '11000003','00','Request by Mr. Saqib Saleem 28-Aug-2024');</v>
      </c>
      <c r="H95" s="14" t="str">
        <f t="shared" si="7"/>
        <v>insert into ins_premium_det (premium_rcv_code,assorted_code, rec_amount,premium_rcv_detail_code,remaining_amt, payrec, mode_code,coinsurance_code,class_cd,it_remarks) values('28Aug240039','070000162727','35606',(select max(to_number(i.premium_rcv_detail_code))+1
from ins_premium_det i),'35606','35606','02', '11000003','00','Request by Mr. Saqib Saleem 28-Aug-2024');</v>
      </c>
    </row>
    <row r="96" spans="1:8" ht="105" x14ac:dyDescent="0.25">
      <c r="A96" s="9" t="s">
        <v>4579</v>
      </c>
      <c r="B96" s="10" t="str">
        <f>VLOOKUP(A96,[1]Sheet1!$B$2:$C$247,2,0)</f>
        <v>070000162728</v>
      </c>
      <c r="C96" s="16">
        <v>23610</v>
      </c>
      <c r="D96" s="11">
        <f t="shared" si="5"/>
        <v>23610</v>
      </c>
      <c r="E96" s="17" t="s">
        <v>4978</v>
      </c>
      <c r="F96" s="12" t="str">
        <f t="shared" si="4"/>
        <v>insert into ins_premium_det (premium_rcv_code,assorted_code, rec_amount,premium_rcv_detail_code,remaining_amt, payrec, mode_code,coinsurance_code,class_cd,it_remarks) values</v>
      </c>
      <c r="G96" s="13" t="str">
        <f t="shared" si="6"/>
        <v>('28Aug240039','070000162728','23610',(select max(to_number(i.premium_rcv_detail_code))+1
from ins_premium_det i),'23610','23610','02', '11000003','00','Request by Mr. Saqib Saleem 28-Aug-2024');</v>
      </c>
      <c r="H96" s="14" t="str">
        <f t="shared" si="7"/>
        <v>insert into ins_premium_det (premium_rcv_code,assorted_code, rec_amount,premium_rcv_detail_code,remaining_amt, payrec, mode_code,coinsurance_code,class_cd,it_remarks) values('28Aug240039','070000162728','23610',(select max(to_number(i.premium_rcv_detail_code))+1
from ins_premium_det i),'23610','23610','02', '11000003','00','Request by Mr. Saqib Saleem 28-Aug-2024');</v>
      </c>
    </row>
    <row r="97" spans="1:8" ht="105" x14ac:dyDescent="0.25">
      <c r="A97" s="8" t="s">
        <v>4580</v>
      </c>
      <c r="B97" s="10" t="str">
        <f>VLOOKUP(A97,[1]Sheet1!$B$2:$C$247,2,0)</f>
        <v>070000162730</v>
      </c>
      <c r="C97" s="15">
        <v>23970</v>
      </c>
      <c r="D97" s="11">
        <f t="shared" si="5"/>
        <v>23970</v>
      </c>
      <c r="E97" s="17" t="s">
        <v>4978</v>
      </c>
      <c r="F97" s="12" t="str">
        <f t="shared" si="4"/>
        <v>insert into ins_premium_det (premium_rcv_code,assorted_code, rec_amount,premium_rcv_detail_code,remaining_amt, payrec, mode_code,coinsurance_code,class_cd,it_remarks) values</v>
      </c>
      <c r="G97" s="13" t="str">
        <f t="shared" si="6"/>
        <v>('28Aug240039','070000162730','23970',(select max(to_number(i.premium_rcv_detail_code))+1
from ins_premium_det i),'23970','23970','02', '11000003','00','Request by Mr. Saqib Saleem 28-Aug-2024');</v>
      </c>
      <c r="H97" s="14" t="str">
        <f t="shared" si="7"/>
        <v>insert into ins_premium_det (premium_rcv_code,assorted_code, rec_amount,premium_rcv_detail_code,remaining_amt, payrec, mode_code,coinsurance_code,class_cd,it_remarks) values('28Aug240039','070000162730','23970',(select max(to_number(i.premium_rcv_detail_code))+1
from ins_premium_det i),'23970','23970','02', '11000003','00','Request by Mr. Saqib Saleem 28-Aug-2024');</v>
      </c>
    </row>
    <row r="98" spans="1:8" ht="105" x14ac:dyDescent="0.25">
      <c r="A98" s="9" t="s">
        <v>4581</v>
      </c>
      <c r="B98" s="10" t="str">
        <f>VLOOKUP(A98,[1]Sheet1!$B$2:$C$247,2,0)</f>
        <v>070000162731</v>
      </c>
      <c r="C98" s="16">
        <v>67500</v>
      </c>
      <c r="D98" s="11">
        <f t="shared" si="5"/>
        <v>67500</v>
      </c>
      <c r="E98" s="17" t="s">
        <v>4978</v>
      </c>
      <c r="F98" s="12" t="str">
        <f t="shared" si="4"/>
        <v>insert into ins_premium_det (premium_rcv_code,assorted_code, rec_amount,premium_rcv_detail_code,remaining_amt, payrec, mode_code,coinsurance_code,class_cd,it_remarks) values</v>
      </c>
      <c r="G98" s="13" t="str">
        <f t="shared" si="6"/>
        <v>('28Aug240039','070000162731','67500',(select max(to_number(i.premium_rcv_detail_code))+1
from ins_premium_det i),'67500','67500','02', '11000003','00','Request by Mr. Saqib Saleem 28-Aug-2024');</v>
      </c>
      <c r="H98" s="14" t="str">
        <f t="shared" si="7"/>
        <v>insert into ins_premium_det (premium_rcv_code,assorted_code, rec_amount,premium_rcv_detail_code,remaining_amt, payrec, mode_code,coinsurance_code,class_cd,it_remarks) values('28Aug240039','070000162731','67500',(select max(to_number(i.premium_rcv_detail_code))+1
from ins_premium_det i),'67500','67500','02', '11000003','00','Request by Mr. Saqib Saleem 28-Aug-2024');</v>
      </c>
    </row>
    <row r="99" spans="1:8" ht="105" x14ac:dyDescent="0.25">
      <c r="A99" s="8" t="s">
        <v>4582</v>
      </c>
      <c r="B99" s="10" t="str">
        <f>VLOOKUP(A99,[1]Sheet1!$B$2:$C$247,2,0)</f>
        <v>070000162826</v>
      </c>
      <c r="C99" s="15">
        <v>23129</v>
      </c>
      <c r="D99" s="11">
        <f t="shared" si="5"/>
        <v>23129</v>
      </c>
      <c r="E99" s="17" t="s">
        <v>4978</v>
      </c>
      <c r="F99" s="12" t="str">
        <f t="shared" si="4"/>
        <v>insert into ins_premium_det (premium_rcv_code,assorted_code, rec_amount,premium_rcv_detail_code,remaining_amt, payrec, mode_code,coinsurance_code,class_cd,it_remarks) values</v>
      </c>
      <c r="G99" s="13" t="str">
        <f t="shared" si="6"/>
        <v>('28Aug240039','070000162826','23129',(select max(to_number(i.premium_rcv_detail_code))+1
from ins_premium_det i),'23129','23129','02', '11000003','00','Request by Mr. Saqib Saleem 28-Aug-2024');</v>
      </c>
      <c r="H99" s="14" t="str">
        <f t="shared" si="7"/>
        <v>insert into ins_premium_det (premium_rcv_code,assorted_code, rec_amount,premium_rcv_detail_code,remaining_amt, payrec, mode_code,coinsurance_code,class_cd,it_remarks) values('28Aug240039','070000162826','23129',(select max(to_number(i.premium_rcv_detail_code))+1
from ins_premium_det i),'23129','23129','02', '11000003','00','Request by Mr. Saqib Saleem 28-Aug-2024');</v>
      </c>
    </row>
    <row r="100" spans="1:8" ht="105" x14ac:dyDescent="0.25">
      <c r="A100" s="9" t="s">
        <v>4583</v>
      </c>
      <c r="B100" s="10" t="str">
        <f>VLOOKUP(A100,[1]Sheet1!$B$2:$C$247,2,0)</f>
        <v>070000162827</v>
      </c>
      <c r="C100" s="16">
        <v>26282</v>
      </c>
      <c r="D100" s="11">
        <f t="shared" si="5"/>
        <v>26282</v>
      </c>
      <c r="E100" s="17" t="s">
        <v>4978</v>
      </c>
      <c r="F100" s="12" t="str">
        <f t="shared" si="4"/>
        <v>insert into ins_premium_det (premium_rcv_code,assorted_code, rec_amount,premium_rcv_detail_code,remaining_amt, payrec, mode_code,coinsurance_code,class_cd,it_remarks) values</v>
      </c>
      <c r="G100" s="13" t="str">
        <f t="shared" si="6"/>
        <v>('28Aug240039','070000162827','26282',(select max(to_number(i.premium_rcv_detail_code))+1
from ins_premium_det i),'26282','26282','02', '11000003','00','Request by Mr. Saqib Saleem 28-Aug-2024');</v>
      </c>
      <c r="H100" s="14" t="str">
        <f t="shared" si="7"/>
        <v>insert into ins_premium_det (premium_rcv_code,assorted_code, rec_amount,premium_rcv_detail_code,remaining_amt, payrec, mode_code,coinsurance_code,class_cd,it_remarks) values('28Aug240039','070000162827','26282',(select max(to_number(i.premium_rcv_detail_code))+1
from ins_premium_det i),'26282','26282','02', '11000003','00','Request by Mr. Saqib Saleem 28-Aug-2024');</v>
      </c>
    </row>
    <row r="101" spans="1:8" ht="105" x14ac:dyDescent="0.25">
      <c r="A101" s="8" t="s">
        <v>4584</v>
      </c>
      <c r="B101" s="10" t="str">
        <f>VLOOKUP(A101,[1]Sheet1!$B$2:$C$247,2,0)</f>
        <v>070000162732</v>
      </c>
      <c r="C101" s="15">
        <v>58500</v>
      </c>
      <c r="D101" s="11">
        <f t="shared" si="5"/>
        <v>58500</v>
      </c>
      <c r="E101" s="17" t="s">
        <v>4978</v>
      </c>
      <c r="F101" s="12" t="str">
        <f t="shared" si="4"/>
        <v>insert into ins_premium_det (premium_rcv_code,assorted_code, rec_amount,premium_rcv_detail_code,remaining_amt, payrec, mode_code,coinsurance_code,class_cd,it_remarks) values</v>
      </c>
      <c r="G101" s="13" t="str">
        <f t="shared" si="6"/>
        <v>('28Aug240039','070000162732','58500',(select max(to_number(i.premium_rcv_detail_code))+1
from ins_premium_det i),'58500','58500','02', '11000003','00','Request by Mr. Saqib Saleem 28-Aug-2024');</v>
      </c>
      <c r="H101" s="14" t="str">
        <f t="shared" si="7"/>
        <v>insert into ins_premium_det (premium_rcv_code,assorted_code, rec_amount,premium_rcv_detail_code,remaining_amt, payrec, mode_code,coinsurance_code,class_cd,it_remarks) values('28Aug240039','070000162732','58500',(select max(to_number(i.premium_rcv_detail_code))+1
from ins_premium_det i),'58500','58500','02', '11000003','00','Request by Mr. Saqib Saleem 28-Aug-2024');</v>
      </c>
    </row>
    <row r="102" spans="1:8" ht="105" x14ac:dyDescent="0.25">
      <c r="A102" s="9" t="s">
        <v>4585</v>
      </c>
      <c r="B102" s="10" t="str">
        <f>VLOOKUP(A102,[1]Sheet1!$B$2:$C$247,2,0)</f>
        <v>070000162733</v>
      </c>
      <c r="C102" s="16">
        <v>25425</v>
      </c>
      <c r="D102" s="11">
        <f t="shared" si="5"/>
        <v>25425</v>
      </c>
      <c r="E102" s="17" t="s">
        <v>4978</v>
      </c>
      <c r="F102" s="12" t="str">
        <f t="shared" si="4"/>
        <v>insert into ins_premium_det (premium_rcv_code,assorted_code, rec_amount,premium_rcv_detail_code,remaining_amt, payrec, mode_code,coinsurance_code,class_cd,it_remarks) values</v>
      </c>
      <c r="G102" s="13" t="str">
        <f t="shared" si="6"/>
        <v>('28Aug240039','070000162733','25425',(select max(to_number(i.premium_rcv_detail_code))+1
from ins_premium_det i),'25425','25425','02', '11000003','00','Request by Mr. Saqib Saleem 28-Aug-2024');</v>
      </c>
      <c r="H102" s="14" t="str">
        <f t="shared" si="7"/>
        <v>insert into ins_premium_det (premium_rcv_code,assorted_code, rec_amount,premium_rcv_detail_code,remaining_amt, payrec, mode_code,coinsurance_code,class_cd,it_remarks) values('28Aug240039','070000162733','25425',(select max(to_number(i.premium_rcv_detail_code))+1
from ins_premium_det i),'25425','25425','02', '11000003','00','Request by Mr. Saqib Saleem 28-Aug-2024');</v>
      </c>
    </row>
    <row r="103" spans="1:8" ht="105" x14ac:dyDescent="0.25">
      <c r="A103" s="8" t="s">
        <v>4586</v>
      </c>
      <c r="B103" s="10" t="str">
        <f>VLOOKUP(A103,[1]Sheet1!$B$2:$C$247,2,0)</f>
        <v>070000162829</v>
      </c>
      <c r="C103" s="15">
        <v>31544</v>
      </c>
      <c r="D103" s="11">
        <f t="shared" si="5"/>
        <v>31544</v>
      </c>
      <c r="E103" s="17" t="s">
        <v>4978</v>
      </c>
      <c r="F103" s="12" t="str">
        <f t="shared" si="4"/>
        <v>insert into ins_premium_det (premium_rcv_code,assorted_code, rec_amount,premium_rcv_detail_code,remaining_amt, payrec, mode_code,coinsurance_code,class_cd,it_remarks) values</v>
      </c>
      <c r="G103" s="13" t="str">
        <f t="shared" si="6"/>
        <v>('28Aug240039','070000162829','31544',(select max(to_number(i.premium_rcv_detail_code))+1
from ins_premium_det i),'31544','31544','02', '11000003','00','Request by Mr. Saqib Saleem 28-Aug-2024');</v>
      </c>
      <c r="H103" s="14" t="str">
        <f t="shared" si="7"/>
        <v>insert into ins_premium_det (premium_rcv_code,assorted_code, rec_amount,premium_rcv_detail_code,remaining_amt, payrec, mode_code,coinsurance_code,class_cd,it_remarks) values('28Aug240039','070000162829','31544',(select max(to_number(i.premium_rcv_detail_code))+1
from ins_premium_det i),'31544','31544','02', '11000003','00','Request by Mr. Saqib Saleem 28-Aug-2024');</v>
      </c>
    </row>
    <row r="104" spans="1:8" ht="105" x14ac:dyDescent="0.25">
      <c r="A104" s="9" t="s">
        <v>4587</v>
      </c>
      <c r="B104" s="10" t="str">
        <f>VLOOKUP(A104,[1]Sheet1!$B$2:$C$247,2,0)</f>
        <v>070000162734</v>
      </c>
      <c r="C104" s="16">
        <v>29963</v>
      </c>
      <c r="D104" s="11">
        <f t="shared" si="5"/>
        <v>29963</v>
      </c>
      <c r="E104" s="17" t="s">
        <v>4978</v>
      </c>
      <c r="F104" s="12" t="str">
        <f t="shared" si="4"/>
        <v>insert into ins_premium_det (premium_rcv_code,assorted_code, rec_amount,premium_rcv_detail_code,remaining_amt, payrec, mode_code,coinsurance_code,class_cd,it_remarks) values</v>
      </c>
      <c r="G104" s="13" t="str">
        <f t="shared" si="6"/>
        <v>('28Aug240039','070000162734','29963',(select max(to_number(i.premium_rcv_detail_code))+1
from ins_premium_det i),'29963','29963','02', '11000003','00','Request by Mr. Saqib Saleem 28-Aug-2024');</v>
      </c>
      <c r="H104" s="14" t="str">
        <f t="shared" si="7"/>
        <v>insert into ins_premium_det (premium_rcv_code,assorted_code, rec_amount,premium_rcv_detail_code,remaining_amt, payrec, mode_code,coinsurance_code,class_cd,it_remarks) values('28Aug240039','070000162734','29963',(select max(to_number(i.premium_rcv_detail_code))+1
from ins_premium_det i),'29963','29963','02', '11000003','00','Request by Mr. Saqib Saleem 28-Aug-2024');</v>
      </c>
    </row>
    <row r="105" spans="1:8" ht="105" x14ac:dyDescent="0.25">
      <c r="A105" s="8" t="s">
        <v>4588</v>
      </c>
      <c r="B105" s="10" t="str">
        <f>VLOOKUP(A105,[1]Sheet1!$B$2:$C$247,2,0)</f>
        <v>070000162736</v>
      </c>
      <c r="C105" s="15">
        <v>23970</v>
      </c>
      <c r="D105" s="11">
        <f t="shared" si="5"/>
        <v>23970</v>
      </c>
      <c r="E105" s="17" t="s">
        <v>4978</v>
      </c>
      <c r="F105" s="12" t="str">
        <f t="shared" si="4"/>
        <v>insert into ins_premium_det (premium_rcv_code,assorted_code, rec_amount,premium_rcv_detail_code,remaining_amt, payrec, mode_code,coinsurance_code,class_cd,it_remarks) values</v>
      </c>
      <c r="G105" s="13" t="str">
        <f t="shared" si="6"/>
        <v>('28Aug240039','070000162736','23970',(select max(to_number(i.premium_rcv_detail_code))+1
from ins_premium_det i),'23970','23970','02', '11000003','00','Request by Mr. Saqib Saleem 28-Aug-2024');</v>
      </c>
      <c r="H105" s="14" t="str">
        <f t="shared" si="7"/>
        <v>insert into ins_premium_det (premium_rcv_code,assorted_code, rec_amount,premium_rcv_detail_code,remaining_amt, payrec, mode_code,coinsurance_code,class_cd,it_remarks) values('28Aug240039','070000162736','23970',(select max(to_number(i.premium_rcv_detail_code))+1
from ins_premium_det i),'23970','23970','02', '11000003','00','Request by Mr. Saqib Saleem 28-Aug-2024');</v>
      </c>
    </row>
    <row r="106" spans="1:8" ht="105" x14ac:dyDescent="0.25">
      <c r="A106" s="9" t="s">
        <v>4589</v>
      </c>
      <c r="B106" s="10" t="str">
        <f>VLOOKUP(A106,[1]Sheet1!$B$2:$C$247,2,0)</f>
        <v>070000162833</v>
      </c>
      <c r="C106" s="16">
        <v>37013</v>
      </c>
      <c r="D106" s="11">
        <f t="shared" si="5"/>
        <v>37013</v>
      </c>
      <c r="E106" s="17" t="s">
        <v>4978</v>
      </c>
      <c r="F106" s="12" t="str">
        <f t="shared" si="4"/>
        <v>insert into ins_premium_det (premium_rcv_code,assorted_code, rec_amount,premium_rcv_detail_code,remaining_amt, payrec, mode_code,coinsurance_code,class_cd,it_remarks) values</v>
      </c>
      <c r="G106" s="13" t="str">
        <f t="shared" si="6"/>
        <v>('28Aug240039','070000162833','37013',(select max(to_number(i.premium_rcv_detail_code))+1
from ins_premium_det i),'37013','37013','02', '11000003','00','Request by Mr. Saqib Saleem 28-Aug-2024');</v>
      </c>
      <c r="H106" s="14" t="str">
        <f t="shared" si="7"/>
        <v>insert into ins_premium_det (premium_rcv_code,assorted_code, rec_amount,premium_rcv_detail_code,remaining_amt, payrec, mode_code,coinsurance_code,class_cd,it_remarks) values('28Aug240039','070000162833','37013',(select max(to_number(i.premium_rcv_detail_code))+1
from ins_premium_det i),'37013','37013','02', '11000003','00','Request by Mr. Saqib Saleem 28-Aug-2024');</v>
      </c>
    </row>
    <row r="107" spans="1:8" ht="105" x14ac:dyDescent="0.25">
      <c r="A107" s="8" t="s">
        <v>4590</v>
      </c>
      <c r="B107" s="10" t="str">
        <f>VLOOKUP(A107,[1]Sheet1!$B$2:$C$247,2,0)</f>
        <v>070000162737</v>
      </c>
      <c r="C107" s="15">
        <v>23800</v>
      </c>
      <c r="D107" s="11">
        <f t="shared" si="5"/>
        <v>23800</v>
      </c>
      <c r="E107" s="17" t="s">
        <v>4978</v>
      </c>
      <c r="F107" s="12" t="str">
        <f t="shared" si="4"/>
        <v>insert into ins_premium_det (premium_rcv_code,assorted_code, rec_amount,premium_rcv_detail_code,remaining_amt, payrec, mode_code,coinsurance_code,class_cd,it_remarks) values</v>
      </c>
      <c r="G107" s="13" t="str">
        <f t="shared" si="6"/>
        <v>('28Aug240039','070000162737','23800',(select max(to_number(i.premium_rcv_detail_code))+1
from ins_premium_det i),'23800','23800','02', '11000003','00','Request by Mr. Saqib Saleem 28-Aug-2024');</v>
      </c>
      <c r="H107" s="14" t="str">
        <f t="shared" si="7"/>
        <v>insert into ins_premium_det (premium_rcv_code,assorted_code, rec_amount,premium_rcv_detail_code,remaining_amt, payrec, mode_code,coinsurance_code,class_cd,it_remarks) values('28Aug240039','070000162737','23800',(select max(to_number(i.premium_rcv_detail_code))+1
from ins_premium_det i),'23800','23800','02', '11000003','00','Request by Mr. Saqib Saleem 28-Aug-2024');</v>
      </c>
    </row>
    <row r="108" spans="1:8" ht="105" x14ac:dyDescent="0.25">
      <c r="A108" s="9" t="s">
        <v>4591</v>
      </c>
      <c r="B108" s="10" t="str">
        <f>VLOOKUP(A108,[1]Sheet1!$B$2:$C$247,2,0)</f>
        <v>070000162738</v>
      </c>
      <c r="C108" s="16">
        <v>40170</v>
      </c>
      <c r="D108" s="11">
        <f t="shared" si="5"/>
        <v>40170</v>
      </c>
      <c r="E108" s="17" t="s">
        <v>4978</v>
      </c>
      <c r="F108" s="12" t="str">
        <f t="shared" si="4"/>
        <v>insert into ins_premium_det (premium_rcv_code,assorted_code, rec_amount,premium_rcv_detail_code,remaining_amt, payrec, mode_code,coinsurance_code,class_cd,it_remarks) values</v>
      </c>
      <c r="G108" s="13" t="str">
        <f t="shared" si="6"/>
        <v>('28Aug240039','070000162738','40170',(select max(to_number(i.premium_rcv_detail_code))+1
from ins_premium_det i),'40170','40170','02', '11000003','00','Request by Mr. Saqib Saleem 28-Aug-2024');</v>
      </c>
      <c r="H108" s="14" t="str">
        <f t="shared" si="7"/>
        <v>insert into ins_premium_det (premium_rcv_code,assorted_code, rec_amount,premium_rcv_detail_code,remaining_amt, payrec, mode_code,coinsurance_code,class_cd,it_remarks) values('28Aug240039','070000162738','40170',(select max(to_number(i.premium_rcv_detail_code))+1
from ins_premium_det i),'40170','40170','02', '11000003','00','Request by Mr. Saqib Saleem 28-Aug-2024');</v>
      </c>
    </row>
    <row r="109" spans="1:8" ht="105" x14ac:dyDescent="0.25">
      <c r="A109" s="8" t="s">
        <v>4592</v>
      </c>
      <c r="B109" s="10" t="str">
        <f>VLOOKUP(A109,[1]Sheet1!$B$2:$C$247,2,0)</f>
        <v>070000162739</v>
      </c>
      <c r="C109" s="15">
        <v>35625</v>
      </c>
      <c r="D109" s="11">
        <f t="shared" si="5"/>
        <v>35625</v>
      </c>
      <c r="E109" s="17" t="s">
        <v>4978</v>
      </c>
      <c r="F109" s="12" t="str">
        <f t="shared" si="4"/>
        <v>insert into ins_premium_det (premium_rcv_code,assorted_code, rec_amount,premium_rcv_detail_code,remaining_amt, payrec, mode_code,coinsurance_code,class_cd,it_remarks) values</v>
      </c>
      <c r="G109" s="13" t="str">
        <f t="shared" si="6"/>
        <v>('28Aug240039','070000162739','35625',(select max(to_number(i.premium_rcv_detail_code))+1
from ins_premium_det i),'35625','35625','02', '11000003','00','Request by Mr. Saqib Saleem 28-Aug-2024');</v>
      </c>
      <c r="H109" s="14" t="str">
        <f t="shared" si="7"/>
        <v>insert into ins_premium_det (premium_rcv_code,assorted_code, rec_amount,premium_rcv_detail_code,remaining_amt, payrec, mode_code,coinsurance_code,class_cd,it_remarks) values('28Aug240039','070000162739','35625',(select max(to_number(i.premium_rcv_detail_code))+1
from ins_premium_det i),'35625','35625','02', '11000003','00','Request by Mr. Saqib Saleem 28-Aug-2024');</v>
      </c>
    </row>
    <row r="110" spans="1:8" ht="105" x14ac:dyDescent="0.25">
      <c r="A110" s="9" t="s">
        <v>4593</v>
      </c>
      <c r="B110" s="10" t="str">
        <f>VLOOKUP(A110,[1]Sheet1!$B$2:$C$247,2,0)</f>
        <v>070000162745</v>
      </c>
      <c r="C110" s="16">
        <v>25425</v>
      </c>
      <c r="D110" s="11">
        <f t="shared" si="5"/>
        <v>25425</v>
      </c>
      <c r="E110" s="17" t="s">
        <v>4978</v>
      </c>
      <c r="F110" s="12" t="str">
        <f t="shared" si="4"/>
        <v>insert into ins_premium_det (premium_rcv_code,assorted_code, rec_amount,premium_rcv_detail_code,remaining_amt, payrec, mode_code,coinsurance_code,class_cd,it_remarks) values</v>
      </c>
      <c r="G110" s="13" t="str">
        <f t="shared" si="6"/>
        <v>('28Aug240039','070000162745','25425',(select max(to_number(i.premium_rcv_detail_code))+1
from ins_premium_det i),'25425','25425','02', '11000003','00','Request by Mr. Saqib Saleem 28-Aug-2024');</v>
      </c>
      <c r="H110" s="14" t="str">
        <f t="shared" si="7"/>
        <v>insert into ins_premium_det (premium_rcv_code,assorted_code, rec_amount,premium_rcv_detail_code,remaining_amt, payrec, mode_code,coinsurance_code,class_cd,it_remarks) values('28Aug240039','070000162745','25425',(select max(to_number(i.premium_rcv_detail_code))+1
from ins_premium_det i),'25425','25425','02', '11000003','00','Request by Mr. Saqib Saleem 28-Aug-2024');</v>
      </c>
    </row>
    <row r="111" spans="1:8" ht="105" x14ac:dyDescent="0.25">
      <c r="A111" s="8" t="s">
        <v>4594</v>
      </c>
      <c r="B111" s="10" t="str">
        <f>VLOOKUP(A111,[1]Sheet1!$B$2:$C$247,2,0)</f>
        <v>070000162746</v>
      </c>
      <c r="C111" s="15">
        <v>20625</v>
      </c>
      <c r="D111" s="11">
        <f t="shared" si="5"/>
        <v>20625</v>
      </c>
      <c r="E111" s="17" t="s">
        <v>4978</v>
      </c>
      <c r="F111" s="12" t="str">
        <f t="shared" si="4"/>
        <v>insert into ins_premium_det (premium_rcv_code,assorted_code, rec_amount,premium_rcv_detail_code,remaining_amt, payrec, mode_code,coinsurance_code,class_cd,it_remarks) values</v>
      </c>
      <c r="G111" s="13" t="str">
        <f t="shared" si="6"/>
        <v>('28Aug240039','070000162746','20625',(select max(to_number(i.premium_rcv_detail_code))+1
from ins_premium_det i),'20625','20625','02', '11000003','00','Request by Mr. Saqib Saleem 28-Aug-2024');</v>
      </c>
      <c r="H111" s="14" t="str">
        <f t="shared" si="7"/>
        <v>insert into ins_premium_det (premium_rcv_code,assorted_code, rec_amount,premium_rcv_detail_code,remaining_amt, payrec, mode_code,coinsurance_code,class_cd,it_remarks) values('28Aug240039','070000162746','20625',(select max(to_number(i.premium_rcv_detail_code))+1
from ins_premium_det i),'20625','20625','02', '11000003','00','Request by Mr. Saqib Saleem 28-Aug-2024');</v>
      </c>
    </row>
    <row r="112" spans="1:8" ht="105" x14ac:dyDescent="0.25">
      <c r="A112" s="9" t="s">
        <v>4595</v>
      </c>
      <c r="B112" s="10" t="str">
        <f>VLOOKUP(A112,[1]Sheet1!$B$2:$C$247,2,0)</f>
        <v>070000162751</v>
      </c>
      <c r="C112" s="16">
        <v>33556</v>
      </c>
      <c r="D112" s="11">
        <f t="shared" si="5"/>
        <v>33556</v>
      </c>
      <c r="E112" s="17" t="s">
        <v>4978</v>
      </c>
      <c r="F112" s="12" t="str">
        <f t="shared" si="4"/>
        <v>insert into ins_premium_det (premium_rcv_code,assorted_code, rec_amount,premium_rcv_detail_code,remaining_amt, payrec, mode_code,coinsurance_code,class_cd,it_remarks) values</v>
      </c>
      <c r="G112" s="13" t="str">
        <f t="shared" si="6"/>
        <v>('28Aug240039','070000162751','33556',(select max(to_number(i.premium_rcv_detail_code))+1
from ins_premium_det i),'33556','33556','02', '11000003','00','Request by Mr. Saqib Saleem 28-Aug-2024');</v>
      </c>
      <c r="H112" s="14" t="str">
        <f t="shared" si="7"/>
        <v>insert into ins_premium_det (premium_rcv_code,assorted_code, rec_amount,premium_rcv_detail_code,remaining_amt, payrec, mode_code,coinsurance_code,class_cd,it_remarks) values('28Aug240039','070000162751','33556',(select max(to_number(i.premium_rcv_detail_code))+1
from ins_premium_det i),'33556','33556','02', '11000003','00','Request by Mr. Saqib Saleem 28-Aug-2024');</v>
      </c>
    </row>
    <row r="113" spans="1:8" ht="105" x14ac:dyDescent="0.25">
      <c r="A113" s="8" t="s">
        <v>4596</v>
      </c>
      <c r="B113" s="10" t="str">
        <f>VLOOKUP(A113,[1]Sheet1!$B$2:$C$247,2,0)</f>
        <v>070000162752</v>
      </c>
      <c r="C113" s="15">
        <v>16153</v>
      </c>
      <c r="D113" s="11">
        <f t="shared" si="5"/>
        <v>16153</v>
      </c>
      <c r="E113" s="17" t="s">
        <v>4978</v>
      </c>
      <c r="F113" s="12" t="str">
        <f t="shared" si="4"/>
        <v>insert into ins_premium_det (premium_rcv_code,assorted_code, rec_amount,premium_rcv_detail_code,remaining_amt, payrec, mode_code,coinsurance_code,class_cd,it_remarks) values</v>
      </c>
      <c r="G113" s="13" t="str">
        <f t="shared" si="6"/>
        <v>('28Aug240039','070000162752','16153',(select max(to_number(i.premium_rcv_detail_code))+1
from ins_premium_det i),'16153','16153','02', '11000003','00','Request by Mr. Saqib Saleem 28-Aug-2024');</v>
      </c>
      <c r="H113" s="14" t="str">
        <f t="shared" si="7"/>
        <v>insert into ins_premium_det (premium_rcv_code,assorted_code, rec_amount,premium_rcv_detail_code,remaining_amt, payrec, mode_code,coinsurance_code,class_cd,it_remarks) values('28Aug240039','070000162752','16153',(select max(to_number(i.premium_rcv_detail_code))+1
from ins_premium_det i),'16153','16153','02', '11000003','00','Request by Mr. Saqib Saleem 28-Aug-2024');</v>
      </c>
    </row>
    <row r="114" spans="1:8" ht="105" x14ac:dyDescent="0.25">
      <c r="A114" s="9" t="s">
        <v>4597</v>
      </c>
      <c r="B114" s="10" t="str">
        <f>VLOOKUP(A114,[1]Sheet1!$B$2:$C$247,2,0)</f>
        <v>070000162847</v>
      </c>
      <c r="C114" s="16">
        <v>42320</v>
      </c>
      <c r="D114" s="11">
        <f t="shared" si="5"/>
        <v>42320</v>
      </c>
      <c r="E114" s="17" t="s">
        <v>4978</v>
      </c>
      <c r="F114" s="12" t="str">
        <f t="shared" si="4"/>
        <v>insert into ins_premium_det (premium_rcv_code,assorted_code, rec_amount,premium_rcv_detail_code,remaining_amt, payrec, mode_code,coinsurance_code,class_cd,it_remarks) values</v>
      </c>
      <c r="G114" s="13" t="str">
        <f t="shared" si="6"/>
        <v>('28Aug240039','070000162847','42320',(select max(to_number(i.premium_rcv_detail_code))+1
from ins_premium_det i),'42320','42320','02', '11000003','00','Request by Mr. Saqib Saleem 28-Aug-2024');</v>
      </c>
      <c r="H114" s="14" t="str">
        <f t="shared" si="7"/>
        <v>insert into ins_premium_det (premium_rcv_code,assorted_code, rec_amount,premium_rcv_detail_code,remaining_amt, payrec, mode_code,coinsurance_code,class_cd,it_remarks) values('28Aug240039','070000162847','42320',(select max(to_number(i.premium_rcv_detail_code))+1
from ins_premium_det i),'42320','42320','02', '11000003','00','Request by Mr. Saqib Saleem 28-Aug-2024');</v>
      </c>
    </row>
    <row r="115" spans="1:8" ht="105" x14ac:dyDescent="0.25">
      <c r="A115" s="8" t="s">
        <v>4598</v>
      </c>
      <c r="B115" s="10" t="str">
        <f>VLOOKUP(A115,[1]Sheet1!$B$2:$C$247,2,0)</f>
        <v>070000162850</v>
      </c>
      <c r="C115" s="15">
        <v>44848</v>
      </c>
      <c r="D115" s="11">
        <f t="shared" si="5"/>
        <v>44848</v>
      </c>
      <c r="E115" s="17" t="s">
        <v>4978</v>
      </c>
      <c r="F115" s="12" t="str">
        <f t="shared" si="4"/>
        <v>insert into ins_premium_det (premium_rcv_code,assorted_code, rec_amount,premium_rcv_detail_code,remaining_amt, payrec, mode_code,coinsurance_code,class_cd,it_remarks) values</v>
      </c>
      <c r="G115" s="13" t="str">
        <f t="shared" si="6"/>
        <v>('28Aug240039','070000162850','44848',(select max(to_number(i.premium_rcv_detail_code))+1
from ins_premium_det i),'44848','44848','02', '11000003','00','Request by Mr. Saqib Saleem 28-Aug-2024');</v>
      </c>
      <c r="H115" s="14" t="str">
        <f t="shared" si="7"/>
        <v>insert into ins_premium_det (premium_rcv_code,assorted_code, rec_amount,premium_rcv_detail_code,remaining_amt, payrec, mode_code,coinsurance_code,class_cd,it_remarks) values('28Aug240039','070000162850','44848',(select max(to_number(i.premium_rcv_detail_code))+1
from ins_premium_det i),'44848','44848','02', '11000003','00','Request by Mr. Saqib Saleem 28-Aug-2024');</v>
      </c>
    </row>
    <row r="116" spans="1:8" ht="105" x14ac:dyDescent="0.25">
      <c r="A116" s="9" t="s">
        <v>4599</v>
      </c>
      <c r="B116" s="10" t="str">
        <f>VLOOKUP(A116,[1]Sheet1!$B$2:$C$247,2,0)</f>
        <v>070000162851</v>
      </c>
      <c r="C116" s="16">
        <v>44400</v>
      </c>
      <c r="D116" s="11">
        <f t="shared" si="5"/>
        <v>44400</v>
      </c>
      <c r="E116" s="17" t="s">
        <v>4978</v>
      </c>
      <c r="F116" s="12" t="str">
        <f t="shared" si="4"/>
        <v>insert into ins_premium_det (premium_rcv_code,assorted_code, rec_amount,premium_rcv_detail_code,remaining_amt, payrec, mode_code,coinsurance_code,class_cd,it_remarks) values</v>
      </c>
      <c r="G116" s="13" t="str">
        <f t="shared" si="6"/>
        <v>('28Aug240039','070000162851','44400',(select max(to_number(i.premium_rcv_detail_code))+1
from ins_premium_det i),'44400','44400','02', '11000003','00','Request by Mr. Saqib Saleem 28-Aug-2024');</v>
      </c>
      <c r="H116" s="14" t="str">
        <f t="shared" si="7"/>
        <v>insert into ins_premium_det (premium_rcv_code,assorted_code, rec_amount,premium_rcv_detail_code,remaining_amt, payrec, mode_code,coinsurance_code,class_cd,it_remarks) values('28Aug240039','070000162851','44400',(select max(to_number(i.premium_rcv_detail_code))+1
from ins_premium_det i),'44400','44400','02', '11000003','00','Request by Mr. Saqib Saleem 28-Aug-2024');</v>
      </c>
    </row>
    <row r="117" spans="1:8" ht="105" x14ac:dyDescent="0.25">
      <c r="A117" s="8" t="s">
        <v>4600</v>
      </c>
      <c r="B117" s="10" t="str">
        <f>VLOOKUP(A117,[1]Sheet1!$B$2:$C$247,2,0)</f>
        <v>070000162753</v>
      </c>
      <c r="C117" s="15">
        <v>45529</v>
      </c>
      <c r="D117" s="11">
        <f t="shared" si="5"/>
        <v>45529</v>
      </c>
      <c r="E117" s="17" t="s">
        <v>4978</v>
      </c>
      <c r="F117" s="12" t="str">
        <f t="shared" si="4"/>
        <v>insert into ins_premium_det (premium_rcv_code,assorted_code, rec_amount,premium_rcv_detail_code,remaining_amt, payrec, mode_code,coinsurance_code,class_cd,it_remarks) values</v>
      </c>
      <c r="G117" s="13" t="str">
        <f t="shared" si="6"/>
        <v>('28Aug240039','070000162753','45529',(select max(to_number(i.premium_rcv_detail_code))+1
from ins_premium_det i),'45529','45529','02', '11000003','00','Request by Mr. Saqib Saleem 28-Aug-2024');</v>
      </c>
      <c r="H117" s="14" t="str">
        <f t="shared" si="7"/>
        <v>insert into ins_premium_det (premium_rcv_code,assorted_code, rec_amount,premium_rcv_detail_code,remaining_amt, payrec, mode_code,coinsurance_code,class_cd,it_remarks) values('28Aug240039','070000162753','45529',(select max(to_number(i.premium_rcv_detail_code))+1
from ins_premium_det i),'45529','45529','02', '11000003','00','Request by Mr. Saqib Saleem 28-Aug-2024');</v>
      </c>
    </row>
    <row r="118" spans="1:8" ht="105" x14ac:dyDescent="0.25">
      <c r="A118" s="9" t="s">
        <v>4601</v>
      </c>
      <c r="B118" s="10" t="str">
        <f>VLOOKUP(A118,[1]Sheet1!$B$2:$C$247,2,0)</f>
        <v>070000162754</v>
      </c>
      <c r="C118" s="16">
        <v>48000</v>
      </c>
      <c r="D118" s="11">
        <f t="shared" si="5"/>
        <v>48000</v>
      </c>
      <c r="E118" s="17" t="s">
        <v>4978</v>
      </c>
      <c r="F118" s="12" t="str">
        <f t="shared" si="4"/>
        <v>insert into ins_premium_det (premium_rcv_code,assorted_code, rec_amount,premium_rcv_detail_code,remaining_amt, payrec, mode_code,coinsurance_code,class_cd,it_remarks) values</v>
      </c>
      <c r="G118" s="13" t="str">
        <f t="shared" si="6"/>
        <v>('28Aug240039','070000162754','48000',(select max(to_number(i.premium_rcv_detail_code))+1
from ins_premium_det i),'48000','48000','02', '11000003','00','Request by Mr. Saqib Saleem 28-Aug-2024');</v>
      </c>
      <c r="H118" s="14" t="str">
        <f t="shared" si="7"/>
        <v>insert into ins_premium_det (premium_rcv_code,assorted_code, rec_amount,premium_rcv_detail_code,remaining_amt, payrec, mode_code,coinsurance_code,class_cd,it_remarks) values('28Aug240039','070000162754','48000',(select max(to_number(i.premium_rcv_detail_code))+1
from ins_premium_det i),'48000','48000','02', '11000003','00','Request by Mr. Saqib Saleem 28-Aug-2024');</v>
      </c>
    </row>
    <row r="119" spans="1:8" ht="105" x14ac:dyDescent="0.25">
      <c r="A119" s="8" t="s">
        <v>4602</v>
      </c>
      <c r="B119" s="10" t="str">
        <f>VLOOKUP(A119,[1]Sheet1!$B$2:$C$247,2,0)</f>
        <v>070000162755</v>
      </c>
      <c r="C119" s="15">
        <v>38880</v>
      </c>
      <c r="D119" s="11">
        <f t="shared" si="5"/>
        <v>38880</v>
      </c>
      <c r="E119" s="17" t="s">
        <v>4978</v>
      </c>
      <c r="F119" s="12" t="str">
        <f t="shared" si="4"/>
        <v>insert into ins_premium_det (premium_rcv_code,assorted_code, rec_amount,premium_rcv_detail_code,remaining_amt, payrec, mode_code,coinsurance_code,class_cd,it_remarks) values</v>
      </c>
      <c r="G119" s="13" t="str">
        <f t="shared" si="6"/>
        <v>('28Aug240039','070000162755','38880',(select max(to_number(i.premium_rcv_detail_code))+1
from ins_premium_det i),'38880','38880','02', '11000003','00','Request by Mr. Saqib Saleem 28-Aug-2024');</v>
      </c>
      <c r="H119" s="14" t="str">
        <f t="shared" si="7"/>
        <v>insert into ins_premium_det (premium_rcv_code,assorted_code, rec_amount,premium_rcv_detail_code,remaining_amt, payrec, mode_code,coinsurance_code,class_cd,it_remarks) values('28Aug240039','070000162755','38880',(select max(to_number(i.premium_rcv_detail_code))+1
from ins_premium_det i),'38880','38880','02', '11000003','00','Request by Mr. Saqib Saleem 28-Aug-2024');</v>
      </c>
    </row>
    <row r="120" spans="1:8" ht="105" x14ac:dyDescent="0.25">
      <c r="A120" s="9" t="s">
        <v>4603</v>
      </c>
      <c r="B120" s="10" t="str">
        <f>VLOOKUP(A120,[1]Sheet1!$B$2:$C$247,2,0)</f>
        <v>070000162857</v>
      </c>
      <c r="C120" s="16">
        <v>26163</v>
      </c>
      <c r="D120" s="11">
        <f t="shared" si="5"/>
        <v>26163</v>
      </c>
      <c r="E120" s="17" t="s">
        <v>4978</v>
      </c>
      <c r="F120" s="12" t="str">
        <f t="shared" si="4"/>
        <v>insert into ins_premium_det (premium_rcv_code,assorted_code, rec_amount,premium_rcv_detail_code,remaining_amt, payrec, mode_code,coinsurance_code,class_cd,it_remarks) values</v>
      </c>
      <c r="G120" s="13" t="str">
        <f t="shared" si="6"/>
        <v>('28Aug240039','070000162857','26163',(select max(to_number(i.premium_rcv_detail_code))+1
from ins_premium_det i),'26163','26163','02', '11000003','00','Request by Mr. Saqib Saleem 28-Aug-2024');</v>
      </c>
      <c r="H120" s="14" t="str">
        <f t="shared" si="7"/>
        <v>insert into ins_premium_det (premium_rcv_code,assorted_code, rec_amount,premium_rcv_detail_code,remaining_amt, payrec, mode_code,coinsurance_code,class_cd,it_remarks) values('28Aug240039','070000162857','26163',(select max(to_number(i.premium_rcv_detail_code))+1
from ins_premium_det i),'26163','26163','02', '11000003','00','Request by Mr. Saqib Saleem 28-Aug-2024');</v>
      </c>
    </row>
    <row r="121" spans="1:8" ht="105" x14ac:dyDescent="0.25">
      <c r="A121" s="8" t="s">
        <v>4604</v>
      </c>
      <c r="B121" s="10" t="str">
        <f>VLOOKUP(A121,[1]Sheet1!$B$2:$C$247,2,0)</f>
        <v>070000162858</v>
      </c>
      <c r="C121" s="15">
        <v>69734</v>
      </c>
      <c r="D121" s="11">
        <f t="shared" si="5"/>
        <v>69734</v>
      </c>
      <c r="E121" s="17" t="s">
        <v>4978</v>
      </c>
      <c r="F121" s="12" t="str">
        <f t="shared" si="4"/>
        <v>insert into ins_premium_det (premium_rcv_code,assorted_code, rec_amount,premium_rcv_detail_code,remaining_amt, payrec, mode_code,coinsurance_code,class_cd,it_remarks) values</v>
      </c>
      <c r="G121" s="13" t="str">
        <f t="shared" si="6"/>
        <v>('28Aug240039','070000162858','69734',(select max(to_number(i.premium_rcv_detail_code))+1
from ins_premium_det i),'69734','69734','02', '11000003','00','Request by Mr. Saqib Saleem 28-Aug-2024');</v>
      </c>
      <c r="H121" s="14" t="str">
        <f t="shared" si="7"/>
        <v>insert into ins_premium_det (premium_rcv_code,assorted_code, rec_amount,premium_rcv_detail_code,remaining_amt, payrec, mode_code,coinsurance_code,class_cd,it_remarks) values('28Aug240039','070000162858','69734',(select max(to_number(i.premium_rcv_detail_code))+1
from ins_premium_det i),'69734','69734','02', '11000003','00','Request by Mr. Saqib Saleem 28-Aug-2024');</v>
      </c>
    </row>
    <row r="122" spans="1:8" ht="105" x14ac:dyDescent="0.25">
      <c r="A122" s="9" t="s">
        <v>4605</v>
      </c>
      <c r="B122" s="10" t="str">
        <f>VLOOKUP(A122,[1]Sheet1!$B$2:$C$247,2,0)</f>
        <v>070000162756</v>
      </c>
      <c r="C122" s="16">
        <v>56250</v>
      </c>
      <c r="D122" s="11">
        <f t="shared" si="5"/>
        <v>56250</v>
      </c>
      <c r="E122" s="17" t="s">
        <v>4978</v>
      </c>
      <c r="F122" s="12" t="str">
        <f t="shared" si="4"/>
        <v>insert into ins_premium_det (premium_rcv_code,assorted_code, rec_amount,premium_rcv_detail_code,remaining_amt, payrec, mode_code,coinsurance_code,class_cd,it_remarks) values</v>
      </c>
      <c r="G122" s="13" t="str">
        <f t="shared" si="6"/>
        <v>('28Aug240039','070000162756','56250',(select max(to_number(i.premium_rcv_detail_code))+1
from ins_premium_det i),'56250','56250','02', '11000003','00','Request by Mr. Saqib Saleem 28-Aug-2024');</v>
      </c>
      <c r="H122" s="14" t="str">
        <f t="shared" si="7"/>
        <v>insert into ins_premium_det (premium_rcv_code,assorted_code, rec_amount,premium_rcv_detail_code,remaining_amt, payrec, mode_code,coinsurance_code,class_cd,it_remarks) values('28Aug240039','070000162756','56250',(select max(to_number(i.premium_rcv_detail_code))+1
from ins_premium_det i),'56250','56250','02', '11000003','00','Request by Mr. Saqib Saleem 28-Aug-2024');</v>
      </c>
    </row>
    <row r="123" spans="1:8" ht="105" x14ac:dyDescent="0.25">
      <c r="A123" s="8" t="s">
        <v>4606</v>
      </c>
      <c r="B123" s="10" t="str">
        <f>VLOOKUP(A123,[1]Sheet1!$B$2:$C$247,2,0)</f>
        <v>070000162860</v>
      </c>
      <c r="C123" s="15">
        <v>38250</v>
      </c>
      <c r="D123" s="11">
        <f t="shared" si="5"/>
        <v>38250</v>
      </c>
      <c r="E123" s="17" t="s">
        <v>4978</v>
      </c>
      <c r="F123" s="12" t="str">
        <f t="shared" si="4"/>
        <v>insert into ins_premium_det (premium_rcv_code,assorted_code, rec_amount,premium_rcv_detail_code,remaining_amt, payrec, mode_code,coinsurance_code,class_cd,it_remarks) values</v>
      </c>
      <c r="G123" s="13" t="str">
        <f t="shared" si="6"/>
        <v>('28Aug240039','070000162860','38250',(select max(to_number(i.premium_rcv_detail_code))+1
from ins_premium_det i),'38250','38250','02', '11000003','00','Request by Mr. Saqib Saleem 28-Aug-2024');</v>
      </c>
      <c r="H123" s="14" t="str">
        <f t="shared" si="7"/>
        <v>insert into ins_premium_det (premium_rcv_code,assorted_code, rec_amount,premium_rcv_detail_code,remaining_amt, payrec, mode_code,coinsurance_code,class_cd,it_remarks) values('28Aug240039','070000162860','38250',(select max(to_number(i.premium_rcv_detail_code))+1
from ins_premium_det i),'38250','38250','02', '11000003','00','Request by Mr. Saqib Saleem 28-Aug-2024');</v>
      </c>
    </row>
    <row r="124" spans="1:8" ht="105" x14ac:dyDescent="0.25">
      <c r="A124" s="9" t="s">
        <v>4607</v>
      </c>
      <c r="B124" s="10" t="str">
        <f>VLOOKUP(A124,[1]Sheet1!$B$2:$C$247,2,0)</f>
        <v>070000162757</v>
      </c>
      <c r="C124" s="16">
        <v>38850</v>
      </c>
      <c r="D124" s="11">
        <f t="shared" si="5"/>
        <v>38850</v>
      </c>
      <c r="E124" s="17" t="s">
        <v>4978</v>
      </c>
      <c r="F124" s="12" t="str">
        <f t="shared" si="4"/>
        <v>insert into ins_premium_det (premium_rcv_code,assorted_code, rec_amount,premium_rcv_detail_code,remaining_amt, payrec, mode_code,coinsurance_code,class_cd,it_remarks) values</v>
      </c>
      <c r="G124" s="13" t="str">
        <f t="shared" si="6"/>
        <v>('28Aug240039','070000162757','38850',(select max(to_number(i.premium_rcv_detail_code))+1
from ins_premium_det i),'38850','38850','02', '11000003','00','Request by Mr. Saqib Saleem 28-Aug-2024');</v>
      </c>
      <c r="H124" s="14" t="str">
        <f t="shared" si="7"/>
        <v>insert into ins_premium_det (premium_rcv_code,assorted_code, rec_amount,premium_rcv_detail_code,remaining_amt, payrec, mode_code,coinsurance_code,class_cd,it_remarks) values('28Aug240039','070000162757','38850',(select max(to_number(i.premium_rcv_detail_code))+1
from ins_premium_det i),'38850','38850','02', '11000003','00','Request by Mr. Saqib Saleem 28-Aug-2024');</v>
      </c>
    </row>
    <row r="125" spans="1:8" ht="105" x14ac:dyDescent="0.25">
      <c r="A125" s="8" t="s">
        <v>4608</v>
      </c>
      <c r="B125" s="10" t="str">
        <f>VLOOKUP(A125,[1]Sheet1!$B$2:$C$247,2,0)</f>
        <v>070000162862</v>
      </c>
      <c r="C125" s="15">
        <v>11475</v>
      </c>
      <c r="D125" s="11">
        <f t="shared" si="5"/>
        <v>11475</v>
      </c>
      <c r="E125" s="17" t="s">
        <v>4978</v>
      </c>
      <c r="F125" s="12" t="str">
        <f t="shared" si="4"/>
        <v>insert into ins_premium_det (premium_rcv_code,assorted_code, rec_amount,premium_rcv_detail_code,remaining_amt, payrec, mode_code,coinsurance_code,class_cd,it_remarks) values</v>
      </c>
      <c r="G125" s="13" t="str">
        <f t="shared" si="6"/>
        <v>('28Aug240039','070000162862','11475',(select max(to_number(i.premium_rcv_detail_code))+1
from ins_premium_det i),'11475','11475','02', '11000003','00','Request by Mr. Saqib Saleem 28-Aug-2024');</v>
      </c>
      <c r="H125" s="14" t="str">
        <f t="shared" si="7"/>
        <v>insert into ins_premium_det (premium_rcv_code,assorted_code, rec_amount,premium_rcv_detail_code,remaining_amt, payrec, mode_code,coinsurance_code,class_cd,it_remarks) values('28Aug240039','070000162862','11475',(select max(to_number(i.premium_rcv_detail_code))+1
from ins_premium_det i),'11475','11475','02', '11000003','00','Request by Mr. Saqib Saleem 28-Aug-2024');</v>
      </c>
    </row>
    <row r="126" spans="1:8" ht="105" x14ac:dyDescent="0.25">
      <c r="A126" s="9" t="s">
        <v>4609</v>
      </c>
      <c r="B126" s="10" t="str">
        <f>VLOOKUP(A126,[1]Sheet1!$B$2:$C$247,2,0)</f>
        <v>070000162863</v>
      </c>
      <c r="C126" s="16">
        <v>89250</v>
      </c>
      <c r="D126" s="11">
        <f t="shared" si="5"/>
        <v>89250</v>
      </c>
      <c r="E126" s="17" t="s">
        <v>4978</v>
      </c>
      <c r="F126" s="12" t="str">
        <f t="shared" si="4"/>
        <v>insert into ins_premium_det (premium_rcv_code,assorted_code, rec_amount,premium_rcv_detail_code,remaining_amt, payrec, mode_code,coinsurance_code,class_cd,it_remarks) values</v>
      </c>
      <c r="G126" s="13" t="str">
        <f t="shared" si="6"/>
        <v>('28Aug240039','070000162863','89250',(select max(to_number(i.premium_rcv_detail_code))+1
from ins_premium_det i),'89250','89250','02', '11000003','00','Request by Mr. Saqib Saleem 28-Aug-2024');</v>
      </c>
      <c r="H126" s="14" t="str">
        <f t="shared" si="7"/>
        <v>insert into ins_premium_det (premium_rcv_code,assorted_code, rec_amount,premium_rcv_detail_code,remaining_amt, payrec, mode_code,coinsurance_code,class_cd,it_remarks) values('28Aug240039','070000162863','89250',(select max(to_number(i.premium_rcv_detail_code))+1
from ins_premium_det i),'89250','89250','02', '11000003','00','Request by Mr. Saqib Saleem 28-Aug-2024');</v>
      </c>
    </row>
    <row r="127" spans="1:8" ht="105" x14ac:dyDescent="0.25">
      <c r="A127" s="8" t="s">
        <v>4610</v>
      </c>
      <c r="B127" s="10" t="str">
        <f>VLOOKUP(A127,[1]Sheet1!$B$2:$C$247,2,0)</f>
        <v>070000162864</v>
      </c>
      <c r="C127" s="15">
        <v>29223</v>
      </c>
      <c r="D127" s="11">
        <f t="shared" si="5"/>
        <v>29223</v>
      </c>
      <c r="E127" s="17" t="s">
        <v>4978</v>
      </c>
      <c r="F127" s="12" t="str">
        <f t="shared" si="4"/>
        <v>insert into ins_premium_det (premium_rcv_code,assorted_code, rec_amount,premium_rcv_detail_code,remaining_amt, payrec, mode_code,coinsurance_code,class_cd,it_remarks) values</v>
      </c>
      <c r="G127" s="13" t="str">
        <f t="shared" si="6"/>
        <v>('28Aug240039','070000162864','29223',(select max(to_number(i.premium_rcv_detail_code))+1
from ins_premium_det i),'29223','29223','02', '11000003','00','Request by Mr. Saqib Saleem 28-Aug-2024');</v>
      </c>
      <c r="H127" s="14" t="str">
        <f t="shared" si="7"/>
        <v>insert into ins_premium_det (premium_rcv_code,assorted_code, rec_amount,premium_rcv_detail_code,remaining_amt, payrec, mode_code,coinsurance_code,class_cd,it_remarks) values('28Aug240039','070000162864','29223',(select max(to_number(i.premium_rcv_detail_code))+1
from ins_premium_det i),'29223','29223','02', '11000003','00','Request by Mr. Saqib Saleem 28-Aug-2024');</v>
      </c>
    </row>
    <row r="128" spans="1:8" ht="105" x14ac:dyDescent="0.25">
      <c r="A128" s="9" t="s">
        <v>4611</v>
      </c>
      <c r="B128" s="10" t="str">
        <f>VLOOKUP(A128,[1]Sheet1!$B$2:$C$247,2,0)</f>
        <v>070000162758</v>
      </c>
      <c r="C128" s="16">
        <v>34350</v>
      </c>
      <c r="D128" s="11">
        <f t="shared" si="5"/>
        <v>34350</v>
      </c>
      <c r="E128" s="17" t="s">
        <v>4978</v>
      </c>
      <c r="F128" s="12" t="str">
        <f t="shared" si="4"/>
        <v>insert into ins_premium_det (premium_rcv_code,assorted_code, rec_amount,premium_rcv_detail_code,remaining_amt, payrec, mode_code,coinsurance_code,class_cd,it_remarks) values</v>
      </c>
      <c r="G128" s="13" t="str">
        <f t="shared" si="6"/>
        <v>('28Aug240039','070000162758','34350',(select max(to_number(i.premium_rcv_detail_code))+1
from ins_premium_det i),'34350','34350','02', '11000003','00','Request by Mr. Saqib Saleem 28-Aug-2024');</v>
      </c>
      <c r="H128" s="14" t="str">
        <f t="shared" si="7"/>
        <v>insert into ins_premium_det (premium_rcv_code,assorted_code, rec_amount,premium_rcv_detail_code,remaining_amt, payrec, mode_code,coinsurance_code,class_cd,it_remarks) values('28Aug240039','070000162758','34350',(select max(to_number(i.premium_rcv_detail_code))+1
from ins_premium_det i),'34350','34350','02', '11000003','00','Request by Mr. Saqib Saleem 28-Aug-2024');</v>
      </c>
    </row>
    <row r="129" spans="1:8" ht="105" x14ac:dyDescent="0.25">
      <c r="A129" s="8" t="s">
        <v>4612</v>
      </c>
      <c r="B129" s="10" t="str">
        <f>VLOOKUP(A129,[1]Sheet1!$B$2:$C$247,2,0)</f>
        <v>070000162759</v>
      </c>
      <c r="C129" s="15">
        <v>20970</v>
      </c>
      <c r="D129" s="11">
        <f t="shared" si="5"/>
        <v>20970</v>
      </c>
      <c r="E129" s="17" t="s">
        <v>4978</v>
      </c>
      <c r="F129" s="12" t="str">
        <f t="shared" ref="F129:F192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29" s="13" t="str">
        <f t="shared" si="6"/>
        <v>('28Aug240039','070000162759','20970',(select max(to_number(i.premium_rcv_detail_code))+1
from ins_premium_det i),'20970','20970','02', '11000003','00','Request by Mr. Saqib Saleem 28-Aug-2024');</v>
      </c>
      <c r="H129" s="14" t="str">
        <f t="shared" si="7"/>
        <v>insert into ins_premium_det (premium_rcv_code,assorted_code, rec_amount,premium_rcv_detail_code,remaining_amt, payrec, mode_code,coinsurance_code,class_cd,it_remarks) values('28Aug240039','070000162759','20970',(select max(to_number(i.premium_rcv_detail_code))+1
from ins_premium_det i),'20970','20970','02', '11000003','00','Request by Mr. Saqib Saleem 28-Aug-2024');</v>
      </c>
    </row>
    <row r="130" spans="1:8" ht="105" x14ac:dyDescent="0.25">
      <c r="A130" s="9" t="s">
        <v>4613</v>
      </c>
      <c r="B130" s="10" t="str">
        <f>VLOOKUP(A130,[1]Sheet1!$B$2:$C$247,2,0)</f>
        <v>070000162869</v>
      </c>
      <c r="C130" s="16">
        <v>22400</v>
      </c>
      <c r="D130" s="11">
        <f t="shared" ref="D130:D193" si="9">ROUND(C130,0)</f>
        <v>22400</v>
      </c>
      <c r="E130" s="17" t="s">
        <v>4978</v>
      </c>
      <c r="F130" s="12" t="str">
        <f t="shared" si="8"/>
        <v>insert into ins_premium_det (premium_rcv_code,assorted_code, rec_amount,premium_rcv_detail_code,remaining_amt, payrec, mode_code,coinsurance_code,class_cd,it_remarks) values</v>
      </c>
      <c r="G130" s="13" t="str">
        <f t="shared" ref="G130:G193" si="10">"('"&amp;E130&amp;"','"&amp;B130&amp;"','"&amp;D130&amp;"',(select max(to_number(i.premium_rcv_detail_code))+1
from ins_premium_det i),'"&amp;D130&amp;"','"&amp;D130&amp;"','02', '11000003','00','Request by Mr. Saqib Saleem 28-Aug-2024');"</f>
        <v>('28Aug240039','070000162869','22400',(select max(to_number(i.premium_rcv_detail_code))+1
from ins_premium_det i),'22400','22400','02', '11000003','00','Request by Mr. Saqib Saleem 28-Aug-2024');</v>
      </c>
      <c r="H130" s="14" t="str">
        <f t="shared" ref="H130:H193" si="11">F130&amp;G130</f>
        <v>insert into ins_premium_det (premium_rcv_code,assorted_code, rec_amount,premium_rcv_detail_code,remaining_amt, payrec, mode_code,coinsurance_code,class_cd,it_remarks) values('28Aug240039','070000162869','22400',(select max(to_number(i.premium_rcv_detail_code))+1
from ins_premium_det i),'22400','22400','02', '11000003','00','Request by Mr. Saqib Saleem 28-Aug-2024');</v>
      </c>
    </row>
    <row r="131" spans="1:8" ht="105" x14ac:dyDescent="0.25">
      <c r="A131" s="8" t="s">
        <v>4614</v>
      </c>
      <c r="B131" s="10" t="str">
        <f>VLOOKUP(A131,[1]Sheet1!$B$2:$C$247,2,0)</f>
        <v>070000162761</v>
      </c>
      <c r="C131" s="15">
        <v>37219</v>
      </c>
      <c r="D131" s="11">
        <f t="shared" si="9"/>
        <v>37219</v>
      </c>
      <c r="E131" s="17" t="s">
        <v>4978</v>
      </c>
      <c r="F131" s="12" t="str">
        <f t="shared" si="8"/>
        <v>insert into ins_premium_det (premium_rcv_code,assorted_code, rec_amount,premium_rcv_detail_code,remaining_amt, payrec, mode_code,coinsurance_code,class_cd,it_remarks) values</v>
      </c>
      <c r="G131" s="13" t="str">
        <f t="shared" si="10"/>
        <v>('28Aug240039','070000162761','37219',(select max(to_number(i.premium_rcv_detail_code))+1
from ins_premium_det i),'37219','37219','02', '11000003','00','Request by Mr. Saqib Saleem 28-Aug-2024');</v>
      </c>
      <c r="H131" s="14" t="str">
        <f t="shared" si="11"/>
        <v>insert into ins_premium_det (premium_rcv_code,assorted_code, rec_amount,premium_rcv_detail_code,remaining_amt, payrec, mode_code,coinsurance_code,class_cd,it_remarks) values('28Aug240039','070000162761','37219',(select max(to_number(i.premium_rcv_detail_code))+1
from ins_premium_det i),'37219','37219','02', '11000003','00','Request by Mr. Saqib Saleem 28-Aug-2024');</v>
      </c>
    </row>
    <row r="132" spans="1:8" ht="105" x14ac:dyDescent="0.25">
      <c r="A132" s="9" t="s">
        <v>4615</v>
      </c>
      <c r="B132" s="10" t="str">
        <f>VLOOKUP(A132,[1]Sheet1!$B$2:$C$247,2,0)</f>
        <v>070000162762</v>
      </c>
      <c r="C132" s="16">
        <v>23188</v>
      </c>
      <c r="D132" s="11">
        <f t="shared" si="9"/>
        <v>23188</v>
      </c>
      <c r="E132" s="17" t="s">
        <v>4978</v>
      </c>
      <c r="F132" s="12" t="str">
        <f t="shared" si="8"/>
        <v>insert into ins_premium_det (premium_rcv_code,assorted_code, rec_amount,premium_rcv_detail_code,remaining_amt, payrec, mode_code,coinsurance_code,class_cd,it_remarks) values</v>
      </c>
      <c r="G132" s="13" t="str">
        <f t="shared" si="10"/>
        <v>('28Aug240039','070000162762','23188',(select max(to_number(i.premium_rcv_detail_code))+1
from ins_premium_det i),'23188','23188','02', '11000003','00','Request by Mr. Saqib Saleem 28-Aug-2024');</v>
      </c>
      <c r="H132" s="14" t="str">
        <f t="shared" si="11"/>
        <v>insert into ins_premium_det (premium_rcv_code,assorted_code, rec_amount,premium_rcv_detail_code,remaining_amt, payrec, mode_code,coinsurance_code,class_cd,it_remarks) values('28Aug240039','070000162762','23188',(select max(to_number(i.premium_rcv_detail_code))+1
from ins_premium_det i),'23188','23188','02', '11000003','00','Request by Mr. Saqib Saleem 28-Aug-2024');</v>
      </c>
    </row>
    <row r="133" spans="1:8" ht="105" x14ac:dyDescent="0.25">
      <c r="A133" s="8" t="s">
        <v>4616</v>
      </c>
      <c r="B133" s="10" t="str">
        <f>VLOOKUP(A133,[1]Sheet1!$B$2:$C$247,2,0)</f>
        <v>070000162763</v>
      </c>
      <c r="C133" s="15">
        <v>29985</v>
      </c>
      <c r="D133" s="11">
        <f t="shared" si="9"/>
        <v>29985</v>
      </c>
      <c r="E133" s="17" t="s">
        <v>4978</v>
      </c>
      <c r="F133" s="12" t="str">
        <f t="shared" si="8"/>
        <v>insert into ins_premium_det (premium_rcv_code,assorted_code, rec_amount,premium_rcv_detail_code,remaining_amt, payrec, mode_code,coinsurance_code,class_cd,it_remarks) values</v>
      </c>
      <c r="G133" s="13" t="str">
        <f t="shared" si="10"/>
        <v>('28Aug240039','070000162763','29985',(select max(to_number(i.premium_rcv_detail_code))+1
from ins_premium_det i),'29985','29985','02', '11000003','00','Request by Mr. Saqib Saleem 28-Aug-2024');</v>
      </c>
      <c r="H133" s="14" t="str">
        <f t="shared" si="11"/>
        <v>insert into ins_premium_det (premium_rcv_code,assorted_code, rec_amount,premium_rcv_detail_code,remaining_amt, payrec, mode_code,coinsurance_code,class_cd,it_remarks) values('28Aug240039','070000162763','29985',(select max(to_number(i.premium_rcv_detail_code))+1
from ins_premium_det i),'29985','29985','02', '11000003','00','Request by Mr. Saqib Saleem 28-Aug-2024');</v>
      </c>
    </row>
    <row r="134" spans="1:8" ht="105" x14ac:dyDescent="0.25">
      <c r="A134" s="9" t="s">
        <v>4617</v>
      </c>
      <c r="B134" s="10" t="str">
        <f>VLOOKUP(A134,[1]Sheet1!$B$2:$C$247,2,0)</f>
        <v>070000162764</v>
      </c>
      <c r="C134" s="16">
        <v>30656</v>
      </c>
      <c r="D134" s="11">
        <f t="shared" si="9"/>
        <v>30656</v>
      </c>
      <c r="E134" s="17" t="s">
        <v>4978</v>
      </c>
      <c r="F134" s="12" t="str">
        <f t="shared" si="8"/>
        <v>insert into ins_premium_det (premium_rcv_code,assorted_code, rec_amount,premium_rcv_detail_code,remaining_amt, payrec, mode_code,coinsurance_code,class_cd,it_remarks) values</v>
      </c>
      <c r="G134" s="13" t="str">
        <f t="shared" si="10"/>
        <v>('28Aug240039','070000162764','30656',(select max(to_number(i.premium_rcv_detail_code))+1
from ins_premium_det i),'30656','30656','02', '11000003','00','Request by Mr. Saqib Saleem 28-Aug-2024');</v>
      </c>
      <c r="H134" s="14" t="str">
        <f t="shared" si="11"/>
        <v>insert into ins_premium_det (premium_rcv_code,assorted_code, rec_amount,premium_rcv_detail_code,remaining_amt, payrec, mode_code,coinsurance_code,class_cd,it_remarks) values('28Aug240039','070000162764','30656',(select max(to_number(i.premium_rcv_detail_code))+1
from ins_premium_det i),'30656','30656','02', '11000003','00','Request by Mr. Saqib Saleem 28-Aug-2024');</v>
      </c>
    </row>
    <row r="135" spans="1:8" ht="105" x14ac:dyDescent="0.25">
      <c r="A135" s="8" t="s">
        <v>4618</v>
      </c>
      <c r="B135" s="10" t="str">
        <f>VLOOKUP(A135,[1]Sheet1!$B$2:$C$247,2,0)</f>
        <v>070000162765</v>
      </c>
      <c r="C135" s="15">
        <v>26175</v>
      </c>
      <c r="D135" s="11">
        <f t="shared" si="9"/>
        <v>26175</v>
      </c>
      <c r="E135" s="17" t="s">
        <v>4978</v>
      </c>
      <c r="F135" s="12" t="str">
        <f t="shared" si="8"/>
        <v>insert into ins_premium_det (premium_rcv_code,assorted_code, rec_amount,premium_rcv_detail_code,remaining_amt, payrec, mode_code,coinsurance_code,class_cd,it_remarks) values</v>
      </c>
      <c r="G135" s="13" t="str">
        <f t="shared" si="10"/>
        <v>('28Aug240039','070000162765','26175',(select max(to_number(i.premium_rcv_detail_code))+1
from ins_premium_det i),'26175','26175','02', '11000003','00','Request by Mr. Saqib Saleem 28-Aug-2024');</v>
      </c>
      <c r="H135" s="14" t="str">
        <f t="shared" si="11"/>
        <v>insert into ins_premium_det (premium_rcv_code,assorted_code, rec_amount,premium_rcv_detail_code,remaining_amt, payrec, mode_code,coinsurance_code,class_cd,it_remarks) values('28Aug240039','070000162765','26175',(select max(to_number(i.premium_rcv_detail_code))+1
from ins_premium_det i),'26175','26175','02', '11000003','00','Request by Mr. Saqib Saleem 28-Aug-2024');</v>
      </c>
    </row>
    <row r="136" spans="1:8" ht="105" x14ac:dyDescent="0.25">
      <c r="A136" s="9" t="s">
        <v>4619</v>
      </c>
      <c r="B136" s="10" t="str">
        <f>VLOOKUP(A136,[1]Sheet1!$B$2:$C$247,2,0)</f>
        <v>070000162766</v>
      </c>
      <c r="C136" s="16">
        <v>20970</v>
      </c>
      <c r="D136" s="11">
        <f t="shared" si="9"/>
        <v>20970</v>
      </c>
      <c r="E136" s="17" t="s">
        <v>4978</v>
      </c>
      <c r="F136" s="12" t="str">
        <f t="shared" si="8"/>
        <v>insert into ins_premium_det (premium_rcv_code,assorted_code, rec_amount,premium_rcv_detail_code,remaining_amt, payrec, mode_code,coinsurance_code,class_cd,it_remarks) values</v>
      </c>
      <c r="G136" s="13" t="str">
        <f t="shared" si="10"/>
        <v>('28Aug240039','070000162766','20970',(select max(to_number(i.premium_rcv_detail_code))+1
from ins_premium_det i),'20970','20970','02', '11000003','00','Request by Mr. Saqib Saleem 28-Aug-2024');</v>
      </c>
      <c r="H136" s="14" t="str">
        <f t="shared" si="11"/>
        <v>insert into ins_premium_det (premium_rcv_code,assorted_code, rec_amount,premium_rcv_detail_code,remaining_amt, payrec, mode_code,coinsurance_code,class_cd,it_remarks) values('28Aug240039','070000162766','20970',(select max(to_number(i.premium_rcv_detail_code))+1
from ins_premium_det i),'20970','20970','02', '11000003','00','Request by Mr. Saqib Saleem 28-Aug-2024');</v>
      </c>
    </row>
    <row r="137" spans="1:8" ht="105" x14ac:dyDescent="0.25">
      <c r="A137" s="8" t="s">
        <v>4620</v>
      </c>
      <c r="B137" s="10" t="str">
        <f>VLOOKUP(A137,[1]Sheet1!$B$2:$C$247,2,0)</f>
        <v>070000162767</v>
      </c>
      <c r="C137" s="15">
        <v>35606</v>
      </c>
      <c r="D137" s="11">
        <f t="shared" si="9"/>
        <v>35606</v>
      </c>
      <c r="E137" s="17" t="s">
        <v>4978</v>
      </c>
      <c r="F137" s="12" t="str">
        <f t="shared" si="8"/>
        <v>insert into ins_premium_det (premium_rcv_code,assorted_code, rec_amount,premium_rcv_detail_code,remaining_amt, payrec, mode_code,coinsurance_code,class_cd,it_remarks) values</v>
      </c>
      <c r="G137" s="13" t="str">
        <f t="shared" si="10"/>
        <v>('28Aug240039','070000162767','35606',(select max(to_number(i.premium_rcv_detail_code))+1
from ins_premium_det i),'35606','35606','02', '11000003','00','Request by Mr. Saqib Saleem 28-Aug-2024');</v>
      </c>
      <c r="H137" s="14" t="str">
        <f t="shared" si="11"/>
        <v>insert into ins_premium_det (premium_rcv_code,assorted_code, rec_amount,premium_rcv_detail_code,remaining_amt, payrec, mode_code,coinsurance_code,class_cd,it_remarks) values('28Aug240039','070000162767','35606',(select max(to_number(i.premium_rcv_detail_code))+1
from ins_premium_det i),'35606','35606','02', '11000003','00','Request by Mr. Saqib Saleem 28-Aug-2024');</v>
      </c>
    </row>
    <row r="138" spans="1:8" ht="105" x14ac:dyDescent="0.25">
      <c r="A138" s="9" t="s">
        <v>4621</v>
      </c>
      <c r="B138" s="10" t="str">
        <f>VLOOKUP(A138,[1]Sheet1!$B$2:$C$247,2,0)</f>
        <v>070000162769</v>
      </c>
      <c r="C138" s="16">
        <v>29531</v>
      </c>
      <c r="D138" s="11">
        <f t="shared" si="9"/>
        <v>29531</v>
      </c>
      <c r="E138" s="17" t="s">
        <v>4978</v>
      </c>
      <c r="F138" s="12" t="str">
        <f t="shared" si="8"/>
        <v>insert into ins_premium_det (premium_rcv_code,assorted_code, rec_amount,premium_rcv_detail_code,remaining_amt, payrec, mode_code,coinsurance_code,class_cd,it_remarks) values</v>
      </c>
      <c r="G138" s="13" t="str">
        <f t="shared" si="10"/>
        <v>('28Aug240039','070000162769','29531',(select max(to_number(i.premium_rcv_detail_code))+1
from ins_premium_det i),'29531','29531','02', '11000003','00','Request by Mr. Saqib Saleem 28-Aug-2024');</v>
      </c>
      <c r="H138" s="14" t="str">
        <f t="shared" si="11"/>
        <v>insert into ins_premium_det (premium_rcv_code,assorted_code, rec_amount,premium_rcv_detail_code,remaining_amt, payrec, mode_code,coinsurance_code,class_cd,it_remarks) values('28Aug240039','070000162769','29531',(select max(to_number(i.premium_rcv_detail_code))+1
from ins_premium_det i),'29531','29531','02', '11000003','00','Request by Mr. Saqib Saleem 28-Aug-2024');</v>
      </c>
    </row>
    <row r="139" spans="1:8" ht="105" x14ac:dyDescent="0.25">
      <c r="A139" s="8" t="s">
        <v>4622</v>
      </c>
      <c r="B139" s="10" t="str">
        <f>VLOOKUP(A139,[1]Sheet1!$B$2:$C$247,2,0)</f>
        <v>070000162881</v>
      </c>
      <c r="C139" s="15">
        <v>43192</v>
      </c>
      <c r="D139" s="11">
        <f t="shared" si="9"/>
        <v>43192</v>
      </c>
      <c r="E139" s="17" t="s">
        <v>4978</v>
      </c>
      <c r="F139" s="12" t="str">
        <f t="shared" si="8"/>
        <v>insert into ins_premium_det (premium_rcv_code,assorted_code, rec_amount,premium_rcv_detail_code,remaining_amt, payrec, mode_code,coinsurance_code,class_cd,it_remarks) values</v>
      </c>
      <c r="G139" s="13" t="str">
        <f t="shared" si="10"/>
        <v>('28Aug240039','070000162881','43192',(select max(to_number(i.premium_rcv_detail_code))+1
from ins_premium_det i),'43192','43192','02', '11000003','00','Request by Mr. Saqib Saleem 28-Aug-2024');</v>
      </c>
      <c r="H139" s="14" t="str">
        <f t="shared" si="11"/>
        <v>insert into ins_premium_det (premium_rcv_code,assorted_code, rec_amount,premium_rcv_detail_code,remaining_amt, payrec, mode_code,coinsurance_code,class_cd,it_remarks) values('28Aug240039','070000162881','43192',(select max(to_number(i.premium_rcv_detail_code))+1
from ins_premium_det i),'43192','43192','02', '11000003','00','Request by Mr. Saqib Saleem 28-Aug-2024');</v>
      </c>
    </row>
    <row r="140" spans="1:8" ht="105" x14ac:dyDescent="0.25">
      <c r="A140" s="9" t="s">
        <v>4623</v>
      </c>
      <c r="B140" s="10" t="str">
        <f>VLOOKUP(A140,[1]Sheet1!$B$2:$C$247,2,0)</f>
        <v>070000162770</v>
      </c>
      <c r="C140" s="16">
        <v>19688</v>
      </c>
      <c r="D140" s="11">
        <f t="shared" si="9"/>
        <v>19688</v>
      </c>
      <c r="E140" s="17" t="s">
        <v>4978</v>
      </c>
      <c r="F140" s="12" t="str">
        <f t="shared" si="8"/>
        <v>insert into ins_premium_det (premium_rcv_code,assorted_code, rec_amount,premium_rcv_detail_code,remaining_amt, payrec, mode_code,coinsurance_code,class_cd,it_remarks) values</v>
      </c>
      <c r="G140" s="13" t="str">
        <f t="shared" si="10"/>
        <v>('28Aug240039','070000162770','19688',(select max(to_number(i.premium_rcv_detail_code))+1
from ins_premium_det i),'19688','19688','02', '11000003','00','Request by Mr. Saqib Saleem 28-Aug-2024');</v>
      </c>
      <c r="H140" s="14" t="str">
        <f t="shared" si="11"/>
        <v>insert into ins_premium_det (premium_rcv_code,assorted_code, rec_amount,premium_rcv_detail_code,remaining_amt, payrec, mode_code,coinsurance_code,class_cd,it_remarks) values('28Aug240039','070000162770','19688',(select max(to_number(i.premium_rcv_detail_code))+1
from ins_premium_det i),'19688','19688','02', '11000003','00','Request by Mr. Saqib Saleem 28-Aug-2024');</v>
      </c>
    </row>
    <row r="141" spans="1:8" ht="105" x14ac:dyDescent="0.25">
      <c r="A141" s="8" t="s">
        <v>4624</v>
      </c>
      <c r="B141" s="10" t="str">
        <f>VLOOKUP(A141,[1]Sheet1!$B$2:$C$247,2,0)</f>
        <v>070000162772</v>
      </c>
      <c r="C141" s="15">
        <v>60885</v>
      </c>
      <c r="D141" s="11">
        <f t="shared" si="9"/>
        <v>60885</v>
      </c>
      <c r="E141" s="17" t="s">
        <v>4978</v>
      </c>
      <c r="F141" s="12" t="str">
        <f t="shared" si="8"/>
        <v>insert into ins_premium_det (premium_rcv_code,assorted_code, rec_amount,premium_rcv_detail_code,remaining_amt, payrec, mode_code,coinsurance_code,class_cd,it_remarks) values</v>
      </c>
      <c r="G141" s="13" t="str">
        <f t="shared" si="10"/>
        <v>('28Aug240039','070000162772','60885',(select max(to_number(i.premium_rcv_detail_code))+1
from ins_premium_det i),'60885','60885','02', '11000003','00','Request by Mr. Saqib Saleem 28-Aug-2024');</v>
      </c>
      <c r="H141" s="14" t="str">
        <f t="shared" si="11"/>
        <v>insert into ins_premium_det (premium_rcv_code,assorted_code, rec_amount,premium_rcv_detail_code,remaining_amt, payrec, mode_code,coinsurance_code,class_cd,it_remarks) values('28Aug240039','070000162772','60885',(select max(to_number(i.premium_rcv_detail_code))+1
from ins_premium_det i),'60885','60885','02', '11000003','00','Request by Mr. Saqib Saleem 28-Aug-2024');</v>
      </c>
    </row>
    <row r="142" spans="1:8" ht="105" x14ac:dyDescent="0.25">
      <c r="A142" s="9" t="s">
        <v>4625</v>
      </c>
      <c r="B142" s="10" t="str">
        <f>VLOOKUP(A142,[1]Sheet1!$B$2:$C$247,2,0)</f>
        <v>070000162776</v>
      </c>
      <c r="C142" s="16">
        <v>34969</v>
      </c>
      <c r="D142" s="11">
        <f t="shared" si="9"/>
        <v>34969</v>
      </c>
      <c r="E142" s="17" t="s">
        <v>4978</v>
      </c>
      <c r="F142" s="12" t="str">
        <f t="shared" si="8"/>
        <v>insert into ins_premium_det (premium_rcv_code,assorted_code, rec_amount,premium_rcv_detail_code,remaining_amt, payrec, mode_code,coinsurance_code,class_cd,it_remarks) values</v>
      </c>
      <c r="G142" s="13" t="str">
        <f t="shared" si="10"/>
        <v>('28Aug240039','070000162776','34969',(select max(to_number(i.premium_rcv_detail_code))+1
from ins_premium_det i),'34969','34969','02', '11000003','00','Request by Mr. Saqib Saleem 28-Aug-2024');</v>
      </c>
      <c r="H142" s="14" t="str">
        <f t="shared" si="11"/>
        <v>insert into ins_premium_det (premium_rcv_code,assorted_code, rec_amount,premium_rcv_detail_code,remaining_amt, payrec, mode_code,coinsurance_code,class_cd,it_remarks) values('28Aug240039','070000162776','34969',(select max(to_number(i.premium_rcv_detail_code))+1
from ins_premium_det i),'34969','34969','02', '11000003','00','Request by Mr. Saqib Saleem 28-Aug-2024');</v>
      </c>
    </row>
    <row r="143" spans="1:8" ht="105" x14ac:dyDescent="0.25">
      <c r="A143" s="8" t="s">
        <v>4626</v>
      </c>
      <c r="B143" s="10" t="str">
        <f>VLOOKUP(A143,[1]Sheet1!$B$2:$C$247,2,0)</f>
        <v>070000162778</v>
      </c>
      <c r="C143" s="15">
        <v>32719</v>
      </c>
      <c r="D143" s="11">
        <f t="shared" si="9"/>
        <v>32719</v>
      </c>
      <c r="E143" s="17" t="s">
        <v>4978</v>
      </c>
      <c r="F143" s="12" t="str">
        <f t="shared" si="8"/>
        <v>insert into ins_premium_det (premium_rcv_code,assorted_code, rec_amount,premium_rcv_detail_code,remaining_amt, payrec, mode_code,coinsurance_code,class_cd,it_remarks) values</v>
      </c>
      <c r="G143" s="13" t="str">
        <f t="shared" si="10"/>
        <v>('28Aug240039','070000162778','32719',(select max(to_number(i.premium_rcv_detail_code))+1
from ins_premium_det i),'32719','32719','02', '11000003','00','Request by Mr. Saqib Saleem 28-Aug-2024');</v>
      </c>
      <c r="H143" s="14" t="str">
        <f t="shared" si="11"/>
        <v>insert into ins_premium_det (premium_rcv_code,assorted_code, rec_amount,premium_rcv_detail_code,remaining_amt, payrec, mode_code,coinsurance_code,class_cd,it_remarks) values('28Aug240039','070000162778','32719',(select max(to_number(i.premium_rcv_detail_code))+1
from ins_premium_det i),'32719','32719','02', '11000003','00','Request by Mr. Saqib Saleem 28-Aug-2024');</v>
      </c>
    </row>
    <row r="144" spans="1:8" ht="105" x14ac:dyDescent="0.25">
      <c r="A144" s="9" t="s">
        <v>4627</v>
      </c>
      <c r="B144" s="10" t="str">
        <f>VLOOKUP(A144,[1]Sheet1!$B$2:$C$247,2,0)</f>
        <v>070000162780</v>
      </c>
      <c r="C144" s="16">
        <v>48497</v>
      </c>
      <c r="D144" s="11">
        <f t="shared" si="9"/>
        <v>48497</v>
      </c>
      <c r="E144" s="17" t="s">
        <v>4978</v>
      </c>
      <c r="F144" s="12" t="str">
        <f t="shared" si="8"/>
        <v>insert into ins_premium_det (premium_rcv_code,assorted_code, rec_amount,premium_rcv_detail_code,remaining_amt, payrec, mode_code,coinsurance_code,class_cd,it_remarks) values</v>
      </c>
      <c r="G144" s="13" t="str">
        <f t="shared" si="10"/>
        <v>('28Aug240039','070000162780','48497',(select max(to_number(i.premium_rcv_detail_code))+1
from ins_premium_det i),'48497','48497','02', '11000003','00','Request by Mr. Saqib Saleem 28-Aug-2024');</v>
      </c>
      <c r="H144" s="14" t="str">
        <f t="shared" si="11"/>
        <v>insert into ins_premium_det (premium_rcv_code,assorted_code, rec_amount,premium_rcv_detail_code,remaining_amt, payrec, mode_code,coinsurance_code,class_cd,it_remarks) values('28Aug240039','070000162780','48497',(select max(to_number(i.premium_rcv_detail_code))+1
from ins_premium_det i),'48497','48497','02', '11000003','00','Request by Mr. Saqib Saleem 28-Aug-2024');</v>
      </c>
    </row>
    <row r="145" spans="1:8" ht="105" x14ac:dyDescent="0.25">
      <c r="A145" s="8" t="s">
        <v>4628</v>
      </c>
      <c r="B145" s="10" t="str">
        <f>VLOOKUP(A145,[1]Sheet1!$B$2:$C$247,2,0)</f>
        <v>070000162781</v>
      </c>
      <c r="C145" s="15">
        <v>37219</v>
      </c>
      <c r="D145" s="11">
        <f t="shared" si="9"/>
        <v>37219</v>
      </c>
      <c r="E145" s="17" t="s">
        <v>4978</v>
      </c>
      <c r="F145" s="12" t="str">
        <f t="shared" si="8"/>
        <v>insert into ins_premium_det (premium_rcv_code,assorted_code, rec_amount,premium_rcv_detail_code,remaining_amt, payrec, mode_code,coinsurance_code,class_cd,it_remarks) values</v>
      </c>
      <c r="G145" s="13" t="str">
        <f t="shared" si="10"/>
        <v>('28Aug240039','070000162781','37219',(select max(to_number(i.premium_rcv_detail_code))+1
from ins_premium_det i),'37219','37219','02', '11000003','00','Request by Mr. Saqib Saleem 28-Aug-2024');</v>
      </c>
      <c r="H145" s="14" t="str">
        <f t="shared" si="11"/>
        <v>insert into ins_premium_det (premium_rcv_code,assorted_code, rec_amount,premium_rcv_detail_code,remaining_amt, payrec, mode_code,coinsurance_code,class_cd,it_remarks) values('28Aug240039','070000162781','37219',(select max(to_number(i.premium_rcv_detail_code))+1
from ins_premium_det i),'37219','37219','02', '11000003','00','Request by Mr. Saqib Saleem 28-Aug-2024');</v>
      </c>
    </row>
    <row r="146" spans="1:8" ht="105" x14ac:dyDescent="0.25">
      <c r="A146" s="9" t="s">
        <v>4629</v>
      </c>
      <c r="B146" s="10" t="str">
        <f>VLOOKUP(A146,[1]Sheet1!$B$2:$C$247,2,0)</f>
        <v>070000162782</v>
      </c>
      <c r="C146" s="16">
        <v>37219</v>
      </c>
      <c r="D146" s="11">
        <f t="shared" si="9"/>
        <v>37219</v>
      </c>
      <c r="E146" s="17" t="s">
        <v>4978</v>
      </c>
      <c r="F146" s="12" t="str">
        <f t="shared" si="8"/>
        <v>insert into ins_premium_det (premium_rcv_code,assorted_code, rec_amount,premium_rcv_detail_code,remaining_amt, payrec, mode_code,coinsurance_code,class_cd,it_remarks) values</v>
      </c>
      <c r="G146" s="13" t="str">
        <f t="shared" si="10"/>
        <v>('28Aug240039','070000162782','37219',(select max(to_number(i.premium_rcv_detail_code))+1
from ins_premium_det i),'37219','37219','02', '11000003','00','Request by Mr. Saqib Saleem 28-Aug-2024');</v>
      </c>
      <c r="H146" s="14" t="str">
        <f t="shared" si="11"/>
        <v>insert into ins_premium_det (premium_rcv_code,assorted_code, rec_amount,premium_rcv_detail_code,remaining_amt, payrec, mode_code,coinsurance_code,class_cd,it_remarks) values('28Aug240039','070000162782','37219',(select max(to_number(i.premium_rcv_detail_code))+1
from ins_premium_det i),'37219','37219','02', '11000003','00','Request by Mr. Saqib Saleem 28-Aug-2024');</v>
      </c>
    </row>
    <row r="147" spans="1:8" ht="105" x14ac:dyDescent="0.25">
      <c r="A147" s="8" t="s">
        <v>4630</v>
      </c>
      <c r="B147" s="10" t="str">
        <f>VLOOKUP(A147,[1]Sheet1!$B$2:$C$247,2,0)</f>
        <v>070000162785</v>
      </c>
      <c r="C147" s="15">
        <v>25638</v>
      </c>
      <c r="D147" s="11">
        <f t="shared" si="9"/>
        <v>25638</v>
      </c>
      <c r="E147" s="17" t="s">
        <v>4978</v>
      </c>
      <c r="F147" s="12" t="str">
        <f t="shared" si="8"/>
        <v>insert into ins_premium_det (premium_rcv_code,assorted_code, rec_amount,premium_rcv_detail_code,remaining_amt, payrec, mode_code,coinsurance_code,class_cd,it_remarks) values</v>
      </c>
      <c r="G147" s="13" t="str">
        <f t="shared" si="10"/>
        <v>('28Aug240039','070000162785','25638',(select max(to_number(i.premium_rcv_detail_code))+1
from ins_premium_det i),'25638','25638','02', '11000003','00','Request by Mr. Saqib Saleem 28-Aug-2024');</v>
      </c>
      <c r="H147" s="14" t="str">
        <f t="shared" si="11"/>
        <v>insert into ins_premium_det (premium_rcv_code,assorted_code, rec_amount,premium_rcv_detail_code,remaining_amt, payrec, mode_code,coinsurance_code,class_cd,it_remarks) values('28Aug240039','070000162785','25638',(select max(to_number(i.premium_rcv_detail_code))+1
from ins_premium_det i),'25638','25638','02', '11000003','00','Request by Mr. Saqib Saleem 28-Aug-2024');</v>
      </c>
    </row>
    <row r="148" spans="1:8" ht="105" x14ac:dyDescent="0.25">
      <c r="A148" s="9" t="s">
        <v>4631</v>
      </c>
      <c r="B148" s="10" t="str">
        <f>VLOOKUP(A148,[1]Sheet1!$B$2:$C$247,2,0)</f>
        <v>070000162787</v>
      </c>
      <c r="C148" s="16">
        <v>49688</v>
      </c>
      <c r="D148" s="11">
        <f t="shared" si="9"/>
        <v>49688</v>
      </c>
      <c r="E148" s="17" t="s">
        <v>4978</v>
      </c>
      <c r="F148" s="12" t="str">
        <f t="shared" si="8"/>
        <v>insert into ins_premium_det (premium_rcv_code,assorted_code, rec_amount,premium_rcv_detail_code,remaining_amt, payrec, mode_code,coinsurance_code,class_cd,it_remarks) values</v>
      </c>
      <c r="G148" s="13" t="str">
        <f t="shared" si="10"/>
        <v>('28Aug240039','070000162787','49688',(select max(to_number(i.premium_rcv_detail_code))+1
from ins_premium_det i),'49688','49688','02', '11000003','00','Request by Mr. Saqib Saleem 28-Aug-2024');</v>
      </c>
      <c r="H148" s="14" t="str">
        <f t="shared" si="11"/>
        <v>insert into ins_premium_det (premium_rcv_code,assorted_code, rec_amount,premium_rcv_detail_code,remaining_amt, payrec, mode_code,coinsurance_code,class_cd,it_remarks) values('28Aug240039','070000162787','49688',(select max(to_number(i.premium_rcv_detail_code))+1
from ins_premium_det i),'49688','49688','02', '11000003','00','Request by Mr. Saqib Saleem 28-Aug-2024');</v>
      </c>
    </row>
    <row r="149" spans="1:8" ht="105" x14ac:dyDescent="0.25">
      <c r="A149" s="8" t="s">
        <v>4632</v>
      </c>
      <c r="B149" s="10" t="str">
        <f>VLOOKUP(A149,[1]Sheet1!$B$2:$C$247,2,0)</f>
        <v>070000162788</v>
      </c>
      <c r="C149" s="15">
        <v>31781</v>
      </c>
      <c r="D149" s="11">
        <f t="shared" si="9"/>
        <v>31781</v>
      </c>
      <c r="E149" s="17" t="s">
        <v>4978</v>
      </c>
      <c r="F149" s="12" t="str">
        <f t="shared" si="8"/>
        <v>insert into ins_premium_det (premium_rcv_code,assorted_code, rec_amount,premium_rcv_detail_code,remaining_amt, payrec, mode_code,coinsurance_code,class_cd,it_remarks) values</v>
      </c>
      <c r="G149" s="13" t="str">
        <f t="shared" si="10"/>
        <v>('28Aug240039','070000162788','31781',(select max(to_number(i.premium_rcv_detail_code))+1
from ins_premium_det i),'31781','31781','02', '11000003','00','Request by Mr. Saqib Saleem 28-Aug-2024');</v>
      </c>
      <c r="H149" s="14" t="str">
        <f t="shared" si="11"/>
        <v>insert into ins_premium_det (premium_rcv_code,assorted_code, rec_amount,premium_rcv_detail_code,remaining_amt, payrec, mode_code,coinsurance_code,class_cd,it_remarks) values('28Aug240039','070000162788','31781',(select max(to_number(i.premium_rcv_detail_code))+1
from ins_premium_det i),'31781','31781','02', '11000003','00','Request by Mr. Saqib Saleem 28-Aug-2024');</v>
      </c>
    </row>
    <row r="150" spans="1:8" ht="105" x14ac:dyDescent="0.25">
      <c r="A150" s="9" t="s">
        <v>4633</v>
      </c>
      <c r="B150" s="10" t="str">
        <f>VLOOKUP(A150,[1]Sheet1!$B$2:$C$247,2,0)</f>
        <v>070000162790</v>
      </c>
      <c r="C150" s="16">
        <v>31781</v>
      </c>
      <c r="D150" s="11">
        <f t="shared" si="9"/>
        <v>31781</v>
      </c>
      <c r="E150" s="17" t="s">
        <v>4978</v>
      </c>
      <c r="F150" s="12" t="str">
        <f t="shared" si="8"/>
        <v>insert into ins_premium_det (premium_rcv_code,assorted_code, rec_amount,premium_rcv_detail_code,remaining_amt, payrec, mode_code,coinsurance_code,class_cd,it_remarks) values</v>
      </c>
      <c r="G150" s="13" t="str">
        <f t="shared" si="10"/>
        <v>('28Aug240039','070000162790','31781',(select max(to_number(i.premium_rcv_detail_code))+1
from ins_premium_det i),'31781','31781','02', '11000003','00','Request by Mr. Saqib Saleem 28-Aug-2024');</v>
      </c>
      <c r="H150" s="14" t="str">
        <f t="shared" si="11"/>
        <v>insert into ins_premium_det (premium_rcv_code,assorted_code, rec_amount,premium_rcv_detail_code,remaining_amt, payrec, mode_code,coinsurance_code,class_cd,it_remarks) values('28Aug240039','070000162790','31781',(select max(to_number(i.premium_rcv_detail_code))+1
from ins_premium_det i),'31781','31781','02', '11000003','00','Request by Mr. Saqib Saleem 28-Aug-2024');</v>
      </c>
    </row>
    <row r="151" spans="1:8" ht="105" x14ac:dyDescent="0.25">
      <c r="A151" s="8" t="s">
        <v>4634</v>
      </c>
      <c r="B151" s="10" t="str">
        <f>VLOOKUP(A151,[1]Sheet1!$B$2:$C$247,2,0)</f>
        <v>070000162791</v>
      </c>
      <c r="C151" s="15">
        <v>50625</v>
      </c>
      <c r="D151" s="11">
        <f t="shared" si="9"/>
        <v>50625</v>
      </c>
      <c r="E151" s="17" t="s">
        <v>4978</v>
      </c>
      <c r="F151" s="12" t="str">
        <f t="shared" si="8"/>
        <v>insert into ins_premium_det (premium_rcv_code,assorted_code, rec_amount,premium_rcv_detail_code,remaining_amt, payrec, mode_code,coinsurance_code,class_cd,it_remarks) values</v>
      </c>
      <c r="G151" s="13" t="str">
        <f t="shared" si="10"/>
        <v>('28Aug240039','070000162791','50625',(select max(to_number(i.premium_rcv_detail_code))+1
from ins_premium_det i),'50625','50625','02', '11000003','00','Request by Mr. Saqib Saleem 28-Aug-2024');</v>
      </c>
      <c r="H151" s="14" t="str">
        <f t="shared" si="11"/>
        <v>insert into ins_premium_det (premium_rcv_code,assorted_code, rec_amount,premium_rcv_detail_code,remaining_amt, payrec, mode_code,coinsurance_code,class_cd,it_remarks) values('28Aug240039','070000162791','50625',(select max(to_number(i.premium_rcv_detail_code))+1
from ins_premium_det i),'50625','50625','02', '11000003','00','Request by Mr. Saqib Saleem 28-Aug-2024');</v>
      </c>
    </row>
    <row r="152" spans="1:8" ht="105" x14ac:dyDescent="0.25">
      <c r="A152" s="9" t="s">
        <v>4635</v>
      </c>
      <c r="B152" s="10" t="str">
        <f>VLOOKUP(A152,[1]Sheet1!$B$2:$C$247,2,0)</f>
        <v>070000162792</v>
      </c>
      <c r="C152" s="16">
        <v>28657</v>
      </c>
      <c r="D152" s="11">
        <f t="shared" si="9"/>
        <v>28657</v>
      </c>
      <c r="E152" s="17" t="s">
        <v>4978</v>
      </c>
      <c r="F152" s="12" t="str">
        <f t="shared" si="8"/>
        <v>insert into ins_premium_det (premium_rcv_code,assorted_code, rec_amount,premium_rcv_detail_code,remaining_amt, payrec, mode_code,coinsurance_code,class_cd,it_remarks) values</v>
      </c>
      <c r="G152" s="13" t="str">
        <f t="shared" si="10"/>
        <v>('28Aug240039','070000162792','28657',(select max(to_number(i.premium_rcv_detail_code))+1
from ins_premium_det i),'28657','28657','02', '11000003','00','Request by Mr. Saqib Saleem 28-Aug-2024');</v>
      </c>
      <c r="H152" s="14" t="str">
        <f t="shared" si="11"/>
        <v>insert into ins_premium_det (premium_rcv_code,assorted_code, rec_amount,premium_rcv_detail_code,remaining_amt, payrec, mode_code,coinsurance_code,class_cd,it_remarks) values('28Aug240039','070000162792','28657',(select max(to_number(i.premium_rcv_detail_code))+1
from ins_premium_det i),'28657','28657','02', '11000003','00','Request by Mr. Saqib Saleem 28-Aug-2024');</v>
      </c>
    </row>
    <row r="153" spans="1:8" ht="105" x14ac:dyDescent="0.25">
      <c r="A153" s="8" t="s">
        <v>4636</v>
      </c>
      <c r="B153" s="10" t="str">
        <f>VLOOKUP(A153,[1]Sheet1!$B$2:$C$247,2,0)</f>
        <v>070000162795</v>
      </c>
      <c r="C153" s="15">
        <v>16000</v>
      </c>
      <c r="D153" s="11">
        <f t="shared" si="9"/>
        <v>16000</v>
      </c>
      <c r="E153" s="17" t="s">
        <v>4978</v>
      </c>
      <c r="F153" s="12" t="str">
        <f t="shared" si="8"/>
        <v>insert into ins_premium_det (premium_rcv_code,assorted_code, rec_amount,premium_rcv_detail_code,remaining_amt, payrec, mode_code,coinsurance_code,class_cd,it_remarks) values</v>
      </c>
      <c r="G153" s="13" t="str">
        <f t="shared" si="10"/>
        <v>('28Aug240039','070000162795','16000',(select max(to_number(i.premium_rcv_detail_code))+1
from ins_premium_det i),'16000','16000','02', '11000003','00','Request by Mr. Saqib Saleem 28-Aug-2024');</v>
      </c>
      <c r="H153" s="14" t="str">
        <f t="shared" si="11"/>
        <v>insert into ins_premium_det (premium_rcv_code,assorted_code, rec_amount,premium_rcv_detail_code,remaining_amt, payrec, mode_code,coinsurance_code,class_cd,it_remarks) values('28Aug240039','070000162795','16000',(select max(to_number(i.premium_rcv_detail_code))+1
from ins_premium_det i),'16000','16000','02', '11000003','00','Request by Mr. Saqib Saleem 28-Aug-2024');</v>
      </c>
    </row>
    <row r="154" spans="1:8" ht="105" x14ac:dyDescent="0.25">
      <c r="A154" s="9" t="s">
        <v>4637</v>
      </c>
      <c r="B154" s="10" t="str">
        <f>VLOOKUP(A154,[1]Sheet1!$B$2:$C$247,2,0)</f>
        <v>070000162796</v>
      </c>
      <c r="C154" s="16">
        <v>88200</v>
      </c>
      <c r="D154" s="11">
        <f t="shared" si="9"/>
        <v>88200</v>
      </c>
      <c r="E154" s="17" t="s">
        <v>4978</v>
      </c>
      <c r="F154" s="12" t="str">
        <f t="shared" si="8"/>
        <v>insert into ins_premium_det (premium_rcv_code,assorted_code, rec_amount,premium_rcv_detail_code,remaining_amt, payrec, mode_code,coinsurance_code,class_cd,it_remarks) values</v>
      </c>
      <c r="G154" s="13" t="str">
        <f t="shared" si="10"/>
        <v>('28Aug240039','070000162796','88200',(select max(to_number(i.premium_rcv_detail_code))+1
from ins_premium_det i),'88200','88200','02', '11000003','00','Request by Mr. Saqib Saleem 28-Aug-2024');</v>
      </c>
      <c r="H154" s="14" t="str">
        <f t="shared" si="11"/>
        <v>insert into ins_premium_det (premium_rcv_code,assorted_code, rec_amount,premium_rcv_detail_code,remaining_amt, payrec, mode_code,coinsurance_code,class_cd,it_remarks) values('28Aug240039','070000162796','88200',(select max(to_number(i.premium_rcv_detail_code))+1
from ins_premium_det i),'88200','88200','02', '11000003','00','Request by Mr. Saqib Saleem 28-Aug-2024');</v>
      </c>
    </row>
    <row r="155" spans="1:8" ht="105" x14ac:dyDescent="0.25">
      <c r="A155" s="8" t="s">
        <v>4638</v>
      </c>
      <c r="B155" s="10" t="str">
        <f>VLOOKUP(A155,[1]Sheet1!$B$2:$C$247,2,0)</f>
        <v>070000162797</v>
      </c>
      <c r="C155" s="15">
        <v>41139</v>
      </c>
      <c r="D155" s="11">
        <f t="shared" si="9"/>
        <v>41139</v>
      </c>
      <c r="E155" s="17" t="s">
        <v>4978</v>
      </c>
      <c r="F155" s="12" t="str">
        <f t="shared" si="8"/>
        <v>insert into ins_premium_det (premium_rcv_code,assorted_code, rec_amount,premium_rcv_detail_code,remaining_amt, payrec, mode_code,coinsurance_code,class_cd,it_remarks) values</v>
      </c>
      <c r="G155" s="13" t="str">
        <f t="shared" si="10"/>
        <v>('28Aug240039','070000162797','41139',(select max(to_number(i.premium_rcv_detail_code))+1
from ins_premium_det i),'41139','41139','02', '11000003','00','Request by Mr. Saqib Saleem 28-Aug-2024');</v>
      </c>
      <c r="H155" s="14" t="str">
        <f t="shared" si="11"/>
        <v>insert into ins_premium_det (premium_rcv_code,assorted_code, rec_amount,premium_rcv_detail_code,remaining_amt, payrec, mode_code,coinsurance_code,class_cd,it_remarks) values('28Aug240039','070000162797','41139',(select max(to_number(i.premium_rcv_detail_code))+1
from ins_premium_det i),'41139','41139','02', '11000003','00','Request by Mr. Saqib Saleem 28-Aug-2024');</v>
      </c>
    </row>
    <row r="156" spans="1:8" ht="105" x14ac:dyDescent="0.25">
      <c r="A156" s="9" t="s">
        <v>4639</v>
      </c>
      <c r="B156" s="10" t="str">
        <f>VLOOKUP(A156,[1]Sheet1!$B$2:$C$247,2,0)</f>
        <v>070000162902</v>
      </c>
      <c r="C156" s="16">
        <v>26775</v>
      </c>
      <c r="D156" s="11">
        <f t="shared" si="9"/>
        <v>26775</v>
      </c>
      <c r="E156" s="17" t="s">
        <v>4978</v>
      </c>
      <c r="F156" s="12" t="str">
        <f t="shared" si="8"/>
        <v>insert into ins_premium_det (premium_rcv_code,assorted_code, rec_amount,premium_rcv_detail_code,remaining_amt, payrec, mode_code,coinsurance_code,class_cd,it_remarks) values</v>
      </c>
      <c r="G156" s="13" t="str">
        <f t="shared" si="10"/>
        <v>('28Aug240039','070000162902','26775',(select max(to_number(i.premium_rcv_detail_code))+1
from ins_premium_det i),'26775','26775','02', '11000003','00','Request by Mr. Saqib Saleem 28-Aug-2024');</v>
      </c>
      <c r="H156" s="14" t="str">
        <f t="shared" si="11"/>
        <v>insert into ins_premium_det (premium_rcv_code,assorted_code, rec_amount,premium_rcv_detail_code,remaining_amt, payrec, mode_code,coinsurance_code,class_cd,it_remarks) values('28Aug240039','070000162902','26775',(select max(to_number(i.premium_rcv_detail_code))+1
from ins_premium_det i),'26775','26775','02', '11000003','00','Request by Mr. Saqib Saleem 28-Aug-2024');</v>
      </c>
    </row>
    <row r="157" spans="1:8" ht="105" x14ac:dyDescent="0.25">
      <c r="A157" s="8" t="s">
        <v>4640</v>
      </c>
      <c r="B157" s="10" t="str">
        <f>VLOOKUP(A157,[1]Sheet1!$B$2:$C$247,2,0)</f>
        <v>070000162903</v>
      </c>
      <c r="C157" s="15">
        <v>53550</v>
      </c>
      <c r="D157" s="11">
        <f t="shared" si="9"/>
        <v>53550</v>
      </c>
      <c r="E157" s="17" t="s">
        <v>4978</v>
      </c>
      <c r="F157" s="12" t="str">
        <f t="shared" si="8"/>
        <v>insert into ins_premium_det (premium_rcv_code,assorted_code, rec_amount,premium_rcv_detail_code,remaining_amt, payrec, mode_code,coinsurance_code,class_cd,it_remarks) values</v>
      </c>
      <c r="G157" s="13" t="str">
        <f t="shared" si="10"/>
        <v>('28Aug240039','070000162903','53550',(select max(to_number(i.premium_rcv_detail_code))+1
from ins_premium_det i),'53550','53550','02', '11000003','00','Request by Mr. Saqib Saleem 28-Aug-2024');</v>
      </c>
      <c r="H157" s="14" t="str">
        <f t="shared" si="11"/>
        <v>insert into ins_premium_det (premium_rcv_code,assorted_code, rec_amount,premium_rcv_detail_code,remaining_amt, payrec, mode_code,coinsurance_code,class_cd,it_remarks) values('28Aug240039','070000162903','53550',(select max(to_number(i.premium_rcv_detail_code))+1
from ins_premium_det i),'53550','53550','02', '11000003','00','Request by Mr. Saqib Saleem 28-Aug-2024');</v>
      </c>
    </row>
    <row r="158" spans="1:8" ht="105" x14ac:dyDescent="0.25">
      <c r="A158" s="9" t="s">
        <v>4641</v>
      </c>
      <c r="B158" s="10" t="str">
        <f>VLOOKUP(A158,[1]Sheet1!$B$2:$C$247,2,0)</f>
        <v>070000162798</v>
      </c>
      <c r="C158" s="16">
        <v>16538</v>
      </c>
      <c r="D158" s="11">
        <f t="shared" si="9"/>
        <v>16538</v>
      </c>
      <c r="E158" s="17" t="s">
        <v>4978</v>
      </c>
      <c r="F158" s="12" t="str">
        <f t="shared" si="8"/>
        <v>insert into ins_premium_det (premium_rcv_code,assorted_code, rec_amount,premium_rcv_detail_code,remaining_amt, payrec, mode_code,coinsurance_code,class_cd,it_remarks) values</v>
      </c>
      <c r="G158" s="13" t="str">
        <f t="shared" si="10"/>
        <v>('28Aug240039','070000162798','16538',(select max(to_number(i.premium_rcv_detail_code))+1
from ins_premium_det i),'16538','16538','02', '11000003','00','Request by Mr. Saqib Saleem 28-Aug-2024');</v>
      </c>
      <c r="H158" s="14" t="str">
        <f t="shared" si="11"/>
        <v>insert into ins_premium_det (premium_rcv_code,assorted_code, rec_amount,premium_rcv_detail_code,remaining_amt, payrec, mode_code,coinsurance_code,class_cd,it_remarks) values('28Aug240039','070000162798','16538',(select max(to_number(i.premium_rcv_detail_code))+1
from ins_premium_det i),'16538','16538','02', '11000003','00','Request by Mr. Saqib Saleem 28-Aug-2024');</v>
      </c>
    </row>
    <row r="159" spans="1:8" ht="105" x14ac:dyDescent="0.25">
      <c r="A159" s="8" t="s">
        <v>4642</v>
      </c>
      <c r="B159" s="10" t="str">
        <f>VLOOKUP(A159,[1]Sheet1!$B$2:$C$247,2,0)</f>
        <v>070000162799</v>
      </c>
      <c r="C159" s="15">
        <v>68513</v>
      </c>
      <c r="D159" s="11">
        <f t="shared" si="9"/>
        <v>68513</v>
      </c>
      <c r="E159" s="17" t="s">
        <v>4978</v>
      </c>
      <c r="F159" s="12" t="str">
        <f t="shared" si="8"/>
        <v>insert into ins_premium_det (premium_rcv_code,assorted_code, rec_amount,premium_rcv_detail_code,remaining_amt, payrec, mode_code,coinsurance_code,class_cd,it_remarks) values</v>
      </c>
      <c r="G159" s="13" t="str">
        <f t="shared" si="10"/>
        <v>('28Aug240039','070000162799','68513',(select max(to_number(i.premium_rcv_detail_code))+1
from ins_premium_det i),'68513','68513','02', '11000003','00','Request by Mr. Saqib Saleem 28-Aug-2024');</v>
      </c>
      <c r="H159" s="14" t="str">
        <f t="shared" si="11"/>
        <v>insert into ins_premium_det (premium_rcv_code,assorted_code, rec_amount,premium_rcv_detail_code,remaining_amt, payrec, mode_code,coinsurance_code,class_cd,it_remarks) values('28Aug240039','070000162799','68513',(select max(to_number(i.premium_rcv_detail_code))+1
from ins_premium_det i),'68513','68513','02', '11000003','00','Request by Mr. Saqib Saleem 28-Aug-2024');</v>
      </c>
    </row>
    <row r="160" spans="1:8" ht="105" x14ac:dyDescent="0.25">
      <c r="A160" s="9" t="s">
        <v>4643</v>
      </c>
      <c r="B160" s="10" t="str">
        <f>VLOOKUP(A160,[1]Sheet1!$B$2:$C$247,2,0)</f>
        <v>070000162901</v>
      </c>
      <c r="C160" s="16">
        <v>31782</v>
      </c>
      <c r="D160" s="11">
        <f t="shared" si="9"/>
        <v>31782</v>
      </c>
      <c r="E160" s="17" t="s">
        <v>4978</v>
      </c>
      <c r="F160" s="12" t="str">
        <f t="shared" si="8"/>
        <v>insert into ins_premium_det (premium_rcv_code,assorted_code, rec_amount,premium_rcv_detail_code,remaining_amt, payrec, mode_code,coinsurance_code,class_cd,it_remarks) values</v>
      </c>
      <c r="G160" s="13" t="str">
        <f t="shared" si="10"/>
        <v>('28Aug240039','070000162901','31782',(select max(to_number(i.premium_rcv_detail_code))+1
from ins_premium_det i),'31782','31782','02', '11000003','00','Request by Mr. Saqib Saleem 28-Aug-2024');</v>
      </c>
      <c r="H160" s="14" t="str">
        <f t="shared" si="11"/>
        <v>insert into ins_premium_det (premium_rcv_code,assorted_code, rec_amount,premium_rcv_detail_code,remaining_amt, payrec, mode_code,coinsurance_code,class_cd,it_remarks) values('28Aug240039','070000162901','31782',(select max(to_number(i.premium_rcv_detail_code))+1
from ins_premium_det i),'31782','31782','02', '11000003','00','Request by Mr. Saqib Saleem 28-Aug-2024');</v>
      </c>
    </row>
    <row r="161" spans="1:8" ht="105" x14ac:dyDescent="0.25">
      <c r="A161" s="8" t="s">
        <v>4644</v>
      </c>
      <c r="B161" s="10" t="str">
        <f>VLOOKUP(A161,[1]Sheet1!$B$2:$C$247,2,0)</f>
        <v>070000162900</v>
      </c>
      <c r="C161" s="15">
        <v>26163</v>
      </c>
      <c r="D161" s="11">
        <f t="shared" si="9"/>
        <v>26163</v>
      </c>
      <c r="E161" s="17" t="s">
        <v>4978</v>
      </c>
      <c r="F161" s="12" t="str">
        <f t="shared" si="8"/>
        <v>insert into ins_premium_det (premium_rcv_code,assorted_code, rec_amount,premium_rcv_detail_code,remaining_amt, payrec, mode_code,coinsurance_code,class_cd,it_remarks) values</v>
      </c>
      <c r="G161" s="13" t="str">
        <f t="shared" si="10"/>
        <v>('28Aug240039','070000162900','26163',(select max(to_number(i.premium_rcv_detail_code))+1
from ins_premium_det i),'26163','26163','02', '11000003','00','Request by Mr. Saqib Saleem 28-Aug-2024');</v>
      </c>
      <c r="H161" s="14" t="str">
        <f t="shared" si="11"/>
        <v>insert into ins_premium_det (premium_rcv_code,assorted_code, rec_amount,premium_rcv_detail_code,remaining_amt, payrec, mode_code,coinsurance_code,class_cd,it_remarks) values('28Aug240039','070000162900','26163',(select max(to_number(i.premium_rcv_detail_code))+1
from ins_premium_det i),'26163','26163','02', '11000003','00','Request by Mr. Saqib Saleem 28-Aug-2024');</v>
      </c>
    </row>
    <row r="162" spans="1:8" ht="105" x14ac:dyDescent="0.25">
      <c r="A162" s="9" t="s">
        <v>4645</v>
      </c>
      <c r="B162" s="10" t="str">
        <f>VLOOKUP(A162,[1]Sheet1!$B$2:$C$247,2,0)</f>
        <v>070000162801</v>
      </c>
      <c r="C162" s="16">
        <v>34650</v>
      </c>
      <c r="D162" s="11">
        <f t="shared" si="9"/>
        <v>34650</v>
      </c>
      <c r="E162" s="17" t="s">
        <v>4978</v>
      </c>
      <c r="F162" s="12" t="str">
        <f t="shared" si="8"/>
        <v>insert into ins_premium_det (premium_rcv_code,assorted_code, rec_amount,premium_rcv_detail_code,remaining_amt, payrec, mode_code,coinsurance_code,class_cd,it_remarks) values</v>
      </c>
      <c r="G162" s="13" t="str">
        <f t="shared" si="10"/>
        <v>('28Aug240039','070000162801','34650',(select max(to_number(i.premium_rcv_detail_code))+1
from ins_premium_det i),'34650','34650','02', '11000003','00','Request by Mr. Saqib Saleem 28-Aug-2024');</v>
      </c>
      <c r="H162" s="14" t="str">
        <f t="shared" si="11"/>
        <v>insert into ins_premium_det (premium_rcv_code,assorted_code, rec_amount,premium_rcv_detail_code,remaining_amt, payrec, mode_code,coinsurance_code,class_cd,it_remarks) values('28Aug240039','070000162801','34650',(select max(to_number(i.premium_rcv_detail_code))+1
from ins_premium_det i),'34650','34650','02', '11000003','00','Request by Mr. Saqib Saleem 28-Aug-2024');</v>
      </c>
    </row>
    <row r="163" spans="1:8" ht="105" x14ac:dyDescent="0.25">
      <c r="A163" s="8" t="s">
        <v>4646</v>
      </c>
      <c r="B163" s="10" t="str">
        <f>VLOOKUP(A163,[1]Sheet1!$B$2:$C$247,2,0)</f>
        <v>070000162899</v>
      </c>
      <c r="C163" s="15">
        <v>41738</v>
      </c>
      <c r="D163" s="11">
        <f t="shared" si="9"/>
        <v>41738</v>
      </c>
      <c r="E163" s="17" t="s">
        <v>4978</v>
      </c>
      <c r="F163" s="12" t="str">
        <f t="shared" si="8"/>
        <v>insert into ins_premium_det (premium_rcv_code,assorted_code, rec_amount,premium_rcv_detail_code,remaining_amt, payrec, mode_code,coinsurance_code,class_cd,it_remarks) values</v>
      </c>
      <c r="G163" s="13" t="str">
        <f t="shared" si="10"/>
        <v>('28Aug240039','070000162899','41738',(select max(to_number(i.premium_rcv_detail_code))+1
from ins_premium_det i),'41738','41738','02', '11000003','00','Request by Mr. Saqib Saleem 28-Aug-2024');</v>
      </c>
      <c r="H163" s="14" t="str">
        <f t="shared" si="11"/>
        <v>insert into ins_premium_det (premium_rcv_code,assorted_code, rec_amount,premium_rcv_detail_code,remaining_amt, payrec, mode_code,coinsurance_code,class_cd,it_remarks) values('28Aug240039','070000162899','41738',(select max(to_number(i.premium_rcv_detail_code))+1
from ins_premium_det i),'41738','41738','02', '11000003','00','Request by Mr. Saqib Saleem 28-Aug-2024');</v>
      </c>
    </row>
    <row r="164" spans="1:8" ht="105" x14ac:dyDescent="0.25">
      <c r="A164" s="9" t="s">
        <v>4647</v>
      </c>
      <c r="B164" s="10" t="str">
        <f>VLOOKUP(A164,[1]Sheet1!$B$2:$C$247,2,0)</f>
        <v>070000162802</v>
      </c>
      <c r="C164" s="16">
        <v>31500</v>
      </c>
      <c r="D164" s="11">
        <f t="shared" si="9"/>
        <v>31500</v>
      </c>
      <c r="E164" s="17" t="s">
        <v>4978</v>
      </c>
      <c r="F164" s="12" t="str">
        <f t="shared" si="8"/>
        <v>insert into ins_premium_det (premium_rcv_code,assorted_code, rec_amount,premium_rcv_detail_code,remaining_amt, payrec, mode_code,coinsurance_code,class_cd,it_remarks) values</v>
      </c>
      <c r="G164" s="13" t="str">
        <f t="shared" si="10"/>
        <v>('28Aug240039','070000162802','31500',(select max(to_number(i.premium_rcv_detail_code))+1
from ins_premium_det i),'31500','31500','02', '11000003','00','Request by Mr. Saqib Saleem 28-Aug-2024');</v>
      </c>
      <c r="H164" s="14" t="str">
        <f t="shared" si="11"/>
        <v>insert into ins_premium_det (premium_rcv_code,assorted_code, rec_amount,premium_rcv_detail_code,remaining_amt, payrec, mode_code,coinsurance_code,class_cd,it_remarks) values('28Aug240039','070000162802','31500',(select max(to_number(i.premium_rcv_detail_code))+1
from ins_premium_det i),'31500','31500','02', '11000003','00','Request by Mr. Saqib Saleem 28-Aug-2024');</v>
      </c>
    </row>
    <row r="165" spans="1:8" ht="105" x14ac:dyDescent="0.25">
      <c r="A165" s="8" t="s">
        <v>4648</v>
      </c>
      <c r="B165" s="10" t="str">
        <f>VLOOKUP(A165,[1]Sheet1!$B$2:$C$247,2,0)</f>
        <v>070000162803</v>
      </c>
      <c r="C165" s="15">
        <v>25988</v>
      </c>
      <c r="D165" s="11">
        <f t="shared" si="9"/>
        <v>25988</v>
      </c>
      <c r="E165" s="17" t="s">
        <v>4978</v>
      </c>
      <c r="F165" s="12" t="str">
        <f t="shared" si="8"/>
        <v>insert into ins_premium_det (premium_rcv_code,assorted_code, rec_amount,premium_rcv_detail_code,remaining_amt, payrec, mode_code,coinsurance_code,class_cd,it_remarks) values</v>
      </c>
      <c r="G165" s="13" t="str">
        <f t="shared" si="10"/>
        <v>('28Aug240039','070000162803','25988',(select max(to_number(i.premium_rcv_detail_code))+1
from ins_premium_det i),'25988','25988','02', '11000003','00','Request by Mr. Saqib Saleem 28-Aug-2024');</v>
      </c>
      <c r="H165" s="14" t="str">
        <f t="shared" si="11"/>
        <v>insert into ins_premium_det (premium_rcv_code,assorted_code, rec_amount,premium_rcv_detail_code,remaining_amt, payrec, mode_code,coinsurance_code,class_cd,it_remarks) values('28Aug240039','070000162803','25988',(select max(to_number(i.premium_rcv_detail_code))+1
from ins_premium_det i),'25988','25988','02', '11000003','00','Request by Mr. Saqib Saleem 28-Aug-2024');</v>
      </c>
    </row>
    <row r="166" spans="1:8" ht="105" x14ac:dyDescent="0.25">
      <c r="A166" s="9" t="s">
        <v>4649</v>
      </c>
      <c r="B166" s="10" t="str">
        <f>VLOOKUP(A166,[1]Sheet1!$B$2:$C$247,2,0)</f>
        <v>070000162898</v>
      </c>
      <c r="C166" s="16">
        <v>42336</v>
      </c>
      <c r="D166" s="11">
        <f t="shared" si="9"/>
        <v>42336</v>
      </c>
      <c r="E166" s="17" t="s">
        <v>4978</v>
      </c>
      <c r="F166" s="12" t="str">
        <f t="shared" si="8"/>
        <v>insert into ins_premium_det (premium_rcv_code,assorted_code, rec_amount,premium_rcv_detail_code,remaining_amt, payrec, mode_code,coinsurance_code,class_cd,it_remarks) values</v>
      </c>
      <c r="G166" s="13" t="str">
        <f t="shared" si="10"/>
        <v>('28Aug240039','070000162898','42336',(select max(to_number(i.premium_rcv_detail_code))+1
from ins_premium_det i),'42336','42336','02', '11000003','00','Request by Mr. Saqib Saleem 28-Aug-2024');</v>
      </c>
      <c r="H166" s="14" t="str">
        <f t="shared" si="11"/>
        <v>insert into ins_premium_det (premium_rcv_code,assorted_code, rec_amount,premium_rcv_detail_code,remaining_amt, payrec, mode_code,coinsurance_code,class_cd,it_remarks) values('28Aug240039','070000162898','42336',(select max(to_number(i.premium_rcv_detail_code))+1
from ins_premium_det i),'42336','42336','02', '11000003','00','Request by Mr. Saqib Saleem 28-Aug-2024');</v>
      </c>
    </row>
    <row r="167" spans="1:8" ht="105" x14ac:dyDescent="0.25">
      <c r="A167" s="8" t="s">
        <v>4650</v>
      </c>
      <c r="B167" s="10" t="str">
        <f>VLOOKUP(A167,[1]Sheet1!$B$2:$C$247,2,0)</f>
        <v>070000162804</v>
      </c>
      <c r="C167" s="15">
        <v>61600</v>
      </c>
      <c r="D167" s="11">
        <f t="shared" si="9"/>
        <v>61600</v>
      </c>
      <c r="E167" s="17" t="s">
        <v>4978</v>
      </c>
      <c r="F167" s="12" t="str">
        <f t="shared" si="8"/>
        <v>insert into ins_premium_det (premium_rcv_code,assorted_code, rec_amount,premium_rcv_detail_code,remaining_amt, payrec, mode_code,coinsurance_code,class_cd,it_remarks) values</v>
      </c>
      <c r="G167" s="13" t="str">
        <f t="shared" si="10"/>
        <v>('28Aug240039','070000162804','61600',(select max(to_number(i.premium_rcv_detail_code))+1
from ins_premium_det i),'61600','61600','02', '11000003','00','Request by Mr. Saqib Saleem 28-Aug-2024');</v>
      </c>
      <c r="H167" s="14" t="str">
        <f t="shared" si="11"/>
        <v>insert into ins_premium_det (premium_rcv_code,assorted_code, rec_amount,premium_rcv_detail_code,remaining_amt, payrec, mode_code,coinsurance_code,class_cd,it_remarks) values('28Aug240039','070000162804','61600',(select max(to_number(i.premium_rcv_detail_code))+1
from ins_premium_det i),'61600','61600','02', '11000003','00','Request by Mr. Saqib Saleem 28-Aug-2024');</v>
      </c>
    </row>
    <row r="168" spans="1:8" ht="105" x14ac:dyDescent="0.25">
      <c r="A168" s="9" t="s">
        <v>4651</v>
      </c>
      <c r="B168" s="10" t="str">
        <f>VLOOKUP(A168,[1]Sheet1!$B$2:$C$247,2,0)</f>
        <v>070000162805</v>
      </c>
      <c r="C168" s="16">
        <v>54400</v>
      </c>
      <c r="D168" s="11">
        <f t="shared" si="9"/>
        <v>54400</v>
      </c>
      <c r="E168" s="17" t="s">
        <v>4978</v>
      </c>
      <c r="F168" s="12" t="str">
        <f t="shared" si="8"/>
        <v>insert into ins_premium_det (premium_rcv_code,assorted_code, rec_amount,premium_rcv_detail_code,remaining_amt, payrec, mode_code,coinsurance_code,class_cd,it_remarks) values</v>
      </c>
      <c r="G168" s="13" t="str">
        <f t="shared" si="10"/>
        <v>('28Aug240039','070000162805','54400',(select max(to_number(i.premium_rcv_detail_code))+1
from ins_premium_det i),'54400','54400','02', '11000003','00','Request by Mr. Saqib Saleem 28-Aug-2024');</v>
      </c>
      <c r="H168" s="14" t="str">
        <f t="shared" si="11"/>
        <v>insert into ins_premium_det (premium_rcv_code,assorted_code, rec_amount,premium_rcv_detail_code,remaining_amt, payrec, mode_code,coinsurance_code,class_cd,it_remarks) values('28Aug240039','070000162805','54400',(select max(to_number(i.premium_rcv_detail_code))+1
from ins_premium_det i),'54400','54400','02', '11000003','00','Request by Mr. Saqib Saleem 28-Aug-2024');</v>
      </c>
    </row>
    <row r="169" spans="1:8" ht="105" x14ac:dyDescent="0.25">
      <c r="A169" s="8" t="s">
        <v>4652</v>
      </c>
      <c r="B169" s="10" t="str">
        <f>VLOOKUP(A169,[1]Sheet1!$B$2:$C$247,2,0)</f>
        <v>070000162806</v>
      </c>
      <c r="C169" s="15">
        <v>36000</v>
      </c>
      <c r="D169" s="11">
        <f t="shared" si="9"/>
        <v>36000</v>
      </c>
      <c r="E169" s="17" t="s">
        <v>4978</v>
      </c>
      <c r="F169" s="12" t="str">
        <f t="shared" si="8"/>
        <v>insert into ins_premium_det (premium_rcv_code,assorted_code, rec_amount,premium_rcv_detail_code,remaining_amt, payrec, mode_code,coinsurance_code,class_cd,it_remarks) values</v>
      </c>
      <c r="G169" s="13" t="str">
        <f t="shared" si="10"/>
        <v>('28Aug240039','070000162806','36000',(select max(to_number(i.premium_rcv_detail_code))+1
from ins_premium_det i),'36000','36000','02', '11000003','00','Request by Mr. Saqib Saleem 28-Aug-2024');</v>
      </c>
      <c r="H169" s="14" t="str">
        <f t="shared" si="11"/>
        <v>insert into ins_premium_det (premium_rcv_code,assorted_code, rec_amount,premium_rcv_detail_code,remaining_amt, payrec, mode_code,coinsurance_code,class_cd,it_remarks) values('28Aug240039','070000162806','36000',(select max(to_number(i.premium_rcv_detail_code))+1
from ins_premium_det i),'36000','36000','02', '11000003','00','Request by Mr. Saqib Saleem 28-Aug-2024');</v>
      </c>
    </row>
    <row r="170" spans="1:8" ht="105" x14ac:dyDescent="0.25">
      <c r="A170" s="9" t="s">
        <v>4653</v>
      </c>
      <c r="B170" s="10" t="str">
        <f>VLOOKUP(A170,[1]Sheet1!$B$2:$C$247,2,0)</f>
        <v>070000162807</v>
      </c>
      <c r="C170" s="16">
        <v>32800</v>
      </c>
      <c r="D170" s="11">
        <f t="shared" si="9"/>
        <v>32800</v>
      </c>
      <c r="E170" s="17" t="s">
        <v>4978</v>
      </c>
      <c r="F170" s="12" t="str">
        <f t="shared" si="8"/>
        <v>insert into ins_premium_det (premium_rcv_code,assorted_code, rec_amount,premium_rcv_detail_code,remaining_amt, payrec, mode_code,coinsurance_code,class_cd,it_remarks) values</v>
      </c>
      <c r="G170" s="13" t="str">
        <f t="shared" si="10"/>
        <v>('28Aug240039','070000162807','32800',(select max(to_number(i.premium_rcv_detail_code))+1
from ins_premium_det i),'32800','32800','02', '11000003','00','Request by Mr. Saqib Saleem 28-Aug-2024');</v>
      </c>
      <c r="H170" s="14" t="str">
        <f t="shared" si="11"/>
        <v>insert into ins_premium_det (premium_rcv_code,assorted_code, rec_amount,premium_rcv_detail_code,remaining_amt, payrec, mode_code,coinsurance_code,class_cd,it_remarks) values('28Aug240039','070000162807','32800',(select max(to_number(i.premium_rcv_detail_code))+1
from ins_premium_det i),'32800','32800','02', '11000003','00','Request by Mr. Saqib Saleem 28-Aug-2024');</v>
      </c>
    </row>
    <row r="171" spans="1:8" ht="105" x14ac:dyDescent="0.25">
      <c r="A171" s="8" t="s">
        <v>4654</v>
      </c>
      <c r="B171" s="10" t="str">
        <f>VLOOKUP(A171,[1]Sheet1!$B$2:$C$247,2,0)</f>
        <v>070000162808</v>
      </c>
      <c r="C171" s="15">
        <v>34202</v>
      </c>
      <c r="D171" s="11">
        <f t="shared" si="9"/>
        <v>34202</v>
      </c>
      <c r="E171" s="17" t="s">
        <v>4978</v>
      </c>
      <c r="F171" s="12" t="str">
        <f t="shared" si="8"/>
        <v>insert into ins_premium_det (premium_rcv_code,assorted_code, rec_amount,premium_rcv_detail_code,remaining_amt, payrec, mode_code,coinsurance_code,class_cd,it_remarks) values</v>
      </c>
      <c r="G171" s="13" t="str">
        <f t="shared" si="10"/>
        <v>('28Aug240039','070000162808','34202',(select max(to_number(i.premium_rcv_detail_code))+1
from ins_premium_det i),'34202','34202','02', '11000003','00','Request by Mr. Saqib Saleem 28-Aug-2024');</v>
      </c>
      <c r="H171" s="14" t="str">
        <f t="shared" si="11"/>
        <v>insert into ins_premium_det (premium_rcv_code,assorted_code, rec_amount,premium_rcv_detail_code,remaining_amt, payrec, mode_code,coinsurance_code,class_cd,it_remarks) values('28Aug240039','070000162808','34202',(select max(to_number(i.premium_rcv_detail_code))+1
from ins_premium_det i),'34202','34202','02', '11000003','00','Request by Mr. Saqib Saleem 28-Aug-2024');</v>
      </c>
    </row>
    <row r="172" spans="1:8" ht="105" x14ac:dyDescent="0.25">
      <c r="A172" s="9" t="s">
        <v>4655</v>
      </c>
      <c r="B172" s="10" t="str">
        <f>VLOOKUP(A172,[1]Sheet1!$B$2:$C$247,2,0)</f>
        <v>070000162810</v>
      </c>
      <c r="C172" s="16">
        <v>24863</v>
      </c>
      <c r="D172" s="11">
        <f t="shared" si="9"/>
        <v>24863</v>
      </c>
      <c r="E172" s="17" t="s">
        <v>4978</v>
      </c>
      <c r="F172" s="12" t="str">
        <f t="shared" si="8"/>
        <v>insert into ins_premium_det (premium_rcv_code,assorted_code, rec_amount,premium_rcv_detail_code,remaining_amt, payrec, mode_code,coinsurance_code,class_cd,it_remarks) values</v>
      </c>
      <c r="G172" s="13" t="str">
        <f t="shared" si="10"/>
        <v>('28Aug240039','070000162810','24863',(select max(to_number(i.premium_rcv_detail_code))+1
from ins_premium_det i),'24863','24863','02', '11000003','00','Request by Mr. Saqib Saleem 28-Aug-2024');</v>
      </c>
      <c r="H172" s="14" t="str">
        <f t="shared" si="11"/>
        <v>insert into ins_premium_det (premium_rcv_code,assorted_code, rec_amount,premium_rcv_detail_code,remaining_amt, payrec, mode_code,coinsurance_code,class_cd,it_remarks) values('28Aug240039','070000162810','24863',(select max(to_number(i.premium_rcv_detail_code))+1
from ins_premium_det i),'24863','24863','02', '11000003','00','Request by Mr. Saqib Saleem 28-Aug-2024');</v>
      </c>
    </row>
    <row r="173" spans="1:8" ht="105" x14ac:dyDescent="0.25">
      <c r="A173" s="8" t="s">
        <v>4656</v>
      </c>
      <c r="B173" s="10" t="str">
        <f>VLOOKUP(A173,[1]Sheet1!$B$2:$C$247,2,0)</f>
        <v>070000162811</v>
      </c>
      <c r="C173" s="15">
        <v>44498</v>
      </c>
      <c r="D173" s="11">
        <f t="shared" si="9"/>
        <v>44498</v>
      </c>
      <c r="E173" s="17" t="s">
        <v>4978</v>
      </c>
      <c r="F173" s="12" t="str">
        <f t="shared" si="8"/>
        <v>insert into ins_premium_det (premium_rcv_code,assorted_code, rec_amount,premium_rcv_detail_code,remaining_amt, payrec, mode_code,coinsurance_code,class_cd,it_remarks) values</v>
      </c>
      <c r="G173" s="13" t="str">
        <f t="shared" si="10"/>
        <v>('28Aug240039','070000162811','44498',(select max(to_number(i.premium_rcv_detail_code))+1
from ins_premium_det i),'44498','44498','02', '11000003','00','Request by Mr. Saqib Saleem 28-Aug-2024');</v>
      </c>
      <c r="H173" s="14" t="str">
        <f t="shared" si="11"/>
        <v>insert into ins_premium_det (premium_rcv_code,assorted_code, rec_amount,premium_rcv_detail_code,remaining_amt, payrec, mode_code,coinsurance_code,class_cd,it_remarks) values('28Aug240039','070000162811','44498',(select max(to_number(i.premium_rcv_detail_code))+1
from ins_premium_det i),'44498','44498','02', '11000003','00','Request by Mr. Saqib Saleem 28-Aug-2024');</v>
      </c>
    </row>
    <row r="174" spans="1:8" ht="105" x14ac:dyDescent="0.25">
      <c r="A174" s="9" t="s">
        <v>4657</v>
      </c>
      <c r="B174" s="10" t="str">
        <f>VLOOKUP(A174,[1]Sheet1!$B$2:$C$247,2,0)</f>
        <v>070000162812</v>
      </c>
      <c r="C174" s="16">
        <v>25500</v>
      </c>
      <c r="D174" s="11">
        <f t="shared" si="9"/>
        <v>25500</v>
      </c>
      <c r="E174" s="17" t="s">
        <v>4978</v>
      </c>
      <c r="F174" s="12" t="str">
        <f t="shared" si="8"/>
        <v>insert into ins_premium_det (premium_rcv_code,assorted_code, rec_amount,premium_rcv_detail_code,remaining_amt, payrec, mode_code,coinsurance_code,class_cd,it_remarks) values</v>
      </c>
      <c r="G174" s="13" t="str">
        <f t="shared" si="10"/>
        <v>('28Aug240039','070000162812','25500',(select max(to_number(i.premium_rcv_detail_code))+1
from ins_premium_det i),'25500','25500','02', '11000003','00','Request by Mr. Saqib Saleem 28-Aug-2024');</v>
      </c>
      <c r="H174" s="14" t="str">
        <f t="shared" si="11"/>
        <v>insert into ins_premium_det (premium_rcv_code,assorted_code, rec_amount,premium_rcv_detail_code,remaining_amt, payrec, mode_code,coinsurance_code,class_cd,it_remarks) values('28Aug240039','070000162812','25500',(select max(to_number(i.premium_rcv_detail_code))+1
from ins_premium_det i),'25500','25500','02', '11000003','00','Request by Mr. Saqib Saleem 28-Aug-2024');</v>
      </c>
    </row>
    <row r="175" spans="1:8" ht="105" x14ac:dyDescent="0.25">
      <c r="A175" s="8" t="s">
        <v>4658</v>
      </c>
      <c r="B175" s="10" t="str">
        <f>VLOOKUP(A175,[1]Sheet1!$B$2:$C$247,2,0)</f>
        <v>070000162813</v>
      </c>
      <c r="C175" s="15">
        <v>22058</v>
      </c>
      <c r="D175" s="11">
        <f t="shared" si="9"/>
        <v>22058</v>
      </c>
      <c r="E175" s="17" t="s">
        <v>4978</v>
      </c>
      <c r="F175" s="12" t="str">
        <f t="shared" si="8"/>
        <v>insert into ins_premium_det (premium_rcv_code,assorted_code, rec_amount,premium_rcv_detail_code,remaining_amt, payrec, mode_code,coinsurance_code,class_cd,it_remarks) values</v>
      </c>
      <c r="G175" s="13" t="str">
        <f t="shared" si="10"/>
        <v>('28Aug240039','070000162813','22058',(select max(to_number(i.premium_rcv_detail_code))+1
from ins_premium_det i),'22058','22058','02', '11000003','00','Request by Mr. Saqib Saleem 28-Aug-2024');</v>
      </c>
      <c r="H175" s="14" t="str">
        <f t="shared" si="11"/>
        <v>insert into ins_premium_det (premium_rcv_code,assorted_code, rec_amount,premium_rcv_detail_code,remaining_amt, payrec, mode_code,coinsurance_code,class_cd,it_remarks) values('28Aug240039','070000162813','22058',(select max(to_number(i.premium_rcv_detail_code))+1
from ins_premium_det i),'22058','22058','02', '11000003','00','Request by Mr. Saqib Saleem 28-Aug-2024');</v>
      </c>
    </row>
    <row r="176" spans="1:8" ht="105" x14ac:dyDescent="0.25">
      <c r="A176" s="9" t="s">
        <v>4659</v>
      </c>
      <c r="B176" s="10" t="str">
        <f>VLOOKUP(A176,[1]Sheet1!$B$2:$C$247,2,0)</f>
        <v>070000162814</v>
      </c>
      <c r="C176" s="16">
        <v>38888</v>
      </c>
      <c r="D176" s="11">
        <f t="shared" si="9"/>
        <v>38888</v>
      </c>
      <c r="E176" s="17" t="s">
        <v>4978</v>
      </c>
      <c r="F176" s="12" t="str">
        <f t="shared" si="8"/>
        <v>insert into ins_premium_det (premium_rcv_code,assorted_code, rec_amount,premium_rcv_detail_code,remaining_amt, payrec, mode_code,coinsurance_code,class_cd,it_remarks) values</v>
      </c>
      <c r="G176" s="13" t="str">
        <f t="shared" si="10"/>
        <v>('28Aug240039','070000162814','38888',(select max(to_number(i.premium_rcv_detail_code))+1
from ins_premium_det i),'38888','38888','02', '11000003','00','Request by Mr. Saqib Saleem 28-Aug-2024');</v>
      </c>
      <c r="H176" s="14" t="str">
        <f t="shared" si="11"/>
        <v>insert into ins_premium_det (premium_rcv_code,assorted_code, rec_amount,premium_rcv_detail_code,remaining_amt, payrec, mode_code,coinsurance_code,class_cd,it_remarks) values('28Aug240039','070000162814','38888',(select max(to_number(i.premium_rcv_detail_code))+1
from ins_premium_det i),'38888','38888','02', '11000003','00','Request by Mr. Saqib Saleem 28-Aug-2024');</v>
      </c>
    </row>
    <row r="177" spans="1:8" ht="105" x14ac:dyDescent="0.25">
      <c r="A177" s="8" t="s">
        <v>4660</v>
      </c>
      <c r="B177" s="10" t="str">
        <f>VLOOKUP(A177,[1]Sheet1!$B$2:$C$247,2,0)</f>
        <v>070000162815</v>
      </c>
      <c r="C177" s="15">
        <v>24863</v>
      </c>
      <c r="D177" s="11">
        <f t="shared" si="9"/>
        <v>24863</v>
      </c>
      <c r="E177" s="17" t="s">
        <v>4978</v>
      </c>
      <c r="F177" s="12" t="str">
        <f t="shared" si="8"/>
        <v>insert into ins_premium_det (premium_rcv_code,assorted_code, rec_amount,premium_rcv_detail_code,remaining_amt, payrec, mode_code,coinsurance_code,class_cd,it_remarks) values</v>
      </c>
      <c r="G177" s="13" t="str">
        <f t="shared" si="10"/>
        <v>('28Aug240039','070000162815','24863',(select max(to_number(i.premium_rcv_detail_code))+1
from ins_premium_det i),'24863','24863','02', '11000003','00','Request by Mr. Saqib Saleem 28-Aug-2024');</v>
      </c>
      <c r="H177" s="14" t="str">
        <f t="shared" si="11"/>
        <v>insert into ins_premium_det (premium_rcv_code,assorted_code, rec_amount,premium_rcv_detail_code,remaining_amt, payrec, mode_code,coinsurance_code,class_cd,it_remarks) values('28Aug240039','070000162815','24863',(select max(to_number(i.premium_rcv_detail_code))+1
from ins_premium_det i),'24863','24863','02', '11000003','00','Request by Mr. Saqib Saleem 28-Aug-2024');</v>
      </c>
    </row>
    <row r="178" spans="1:8" ht="105" x14ac:dyDescent="0.25">
      <c r="A178" s="9" t="s">
        <v>4661</v>
      </c>
      <c r="B178" s="10" t="str">
        <f>VLOOKUP(A178,[1]Sheet1!$B$2:$C$247,2,0)</f>
        <v>070000162816</v>
      </c>
      <c r="C178" s="16">
        <v>41438</v>
      </c>
      <c r="D178" s="11">
        <f t="shared" si="9"/>
        <v>41438</v>
      </c>
      <c r="E178" s="17" t="s">
        <v>4978</v>
      </c>
      <c r="F178" s="12" t="str">
        <f t="shared" si="8"/>
        <v>insert into ins_premium_det (premium_rcv_code,assorted_code, rec_amount,premium_rcv_detail_code,remaining_amt, payrec, mode_code,coinsurance_code,class_cd,it_remarks) values</v>
      </c>
      <c r="G178" s="13" t="str">
        <f t="shared" si="10"/>
        <v>('28Aug240039','070000162816','41438',(select max(to_number(i.premium_rcv_detail_code))+1
from ins_premium_det i),'41438','41438','02', '11000003','00','Request by Mr. Saqib Saleem 28-Aug-2024');</v>
      </c>
      <c r="H178" s="14" t="str">
        <f t="shared" si="11"/>
        <v>insert into ins_premium_det (premium_rcv_code,assorted_code, rec_amount,premium_rcv_detail_code,remaining_amt, payrec, mode_code,coinsurance_code,class_cd,it_remarks) values('28Aug240039','070000162816','41438',(select max(to_number(i.premium_rcv_detail_code))+1
from ins_premium_det i),'41438','41438','02', '11000003','00','Request by Mr. Saqib Saleem 28-Aug-2024');</v>
      </c>
    </row>
    <row r="179" spans="1:8" ht="105" x14ac:dyDescent="0.25">
      <c r="A179" s="8" t="s">
        <v>4662</v>
      </c>
      <c r="B179" s="10" t="str">
        <f>VLOOKUP(A179,[1]Sheet1!$B$2:$C$247,2,0)</f>
        <v>070000162817</v>
      </c>
      <c r="C179" s="15">
        <v>58013</v>
      </c>
      <c r="D179" s="11">
        <f t="shared" si="9"/>
        <v>58013</v>
      </c>
      <c r="E179" s="17" t="s">
        <v>4978</v>
      </c>
      <c r="F179" s="12" t="str">
        <f t="shared" si="8"/>
        <v>insert into ins_premium_det (premium_rcv_code,assorted_code, rec_amount,premium_rcv_detail_code,remaining_amt, payrec, mode_code,coinsurance_code,class_cd,it_remarks) values</v>
      </c>
      <c r="G179" s="13" t="str">
        <f t="shared" si="10"/>
        <v>('28Aug240039','070000162817','58013',(select max(to_number(i.premium_rcv_detail_code))+1
from ins_premium_det i),'58013','58013','02', '11000003','00','Request by Mr. Saqib Saleem 28-Aug-2024');</v>
      </c>
      <c r="H179" s="14" t="str">
        <f t="shared" si="11"/>
        <v>insert into ins_premium_det (premium_rcv_code,assorted_code, rec_amount,premium_rcv_detail_code,remaining_amt, payrec, mode_code,coinsurance_code,class_cd,it_remarks) values('28Aug240039','070000162817','58013',(select max(to_number(i.premium_rcv_detail_code))+1
from ins_premium_det i),'58013','58013','02', '11000003','00','Request by Mr. Saqib Saleem 28-Aug-2024');</v>
      </c>
    </row>
    <row r="180" spans="1:8" ht="105" x14ac:dyDescent="0.25">
      <c r="A180" s="9" t="s">
        <v>4663</v>
      </c>
      <c r="B180" s="10" t="str">
        <f>VLOOKUP(A180,[1]Sheet1!$B$2:$C$247,2,0)</f>
        <v>070000162818</v>
      </c>
      <c r="C180" s="16">
        <v>26074</v>
      </c>
      <c r="D180" s="11">
        <f t="shared" si="9"/>
        <v>26074</v>
      </c>
      <c r="E180" s="17" t="s">
        <v>4978</v>
      </c>
      <c r="F180" s="12" t="str">
        <f t="shared" si="8"/>
        <v>insert into ins_premium_det (premium_rcv_code,assorted_code, rec_amount,premium_rcv_detail_code,remaining_amt, payrec, mode_code,coinsurance_code,class_cd,it_remarks) values</v>
      </c>
      <c r="G180" s="13" t="str">
        <f t="shared" si="10"/>
        <v>('28Aug240039','070000162818','26074',(select max(to_number(i.premium_rcv_detail_code))+1
from ins_premium_det i),'26074','26074','02', '11000003','00','Request by Mr. Saqib Saleem 28-Aug-2024');</v>
      </c>
      <c r="H180" s="14" t="str">
        <f t="shared" si="11"/>
        <v>insert into ins_premium_det (premium_rcv_code,assorted_code, rec_amount,premium_rcv_detail_code,remaining_amt, payrec, mode_code,coinsurance_code,class_cd,it_remarks) values('28Aug240039','070000162818','26074',(select max(to_number(i.premium_rcv_detail_code))+1
from ins_premium_det i),'26074','26074','02', '11000003','00','Request by Mr. Saqib Saleem 28-Aug-2024');</v>
      </c>
    </row>
    <row r="181" spans="1:8" ht="105" x14ac:dyDescent="0.25">
      <c r="A181" s="8" t="s">
        <v>4664</v>
      </c>
      <c r="B181" s="10" t="str">
        <f>VLOOKUP(A181,[1]Sheet1!$B$2:$C$247,2,0)</f>
        <v>070000162819</v>
      </c>
      <c r="C181" s="15">
        <v>29963</v>
      </c>
      <c r="D181" s="11">
        <f t="shared" si="9"/>
        <v>29963</v>
      </c>
      <c r="E181" s="17" t="s">
        <v>4978</v>
      </c>
      <c r="F181" s="12" t="str">
        <f t="shared" si="8"/>
        <v>insert into ins_premium_det (premium_rcv_code,assorted_code, rec_amount,premium_rcv_detail_code,remaining_amt, payrec, mode_code,coinsurance_code,class_cd,it_remarks) values</v>
      </c>
      <c r="G181" s="13" t="str">
        <f t="shared" si="10"/>
        <v>('28Aug240039','070000162819','29963',(select max(to_number(i.premium_rcv_detail_code))+1
from ins_premium_det i),'29963','29963','02', '11000003','00','Request by Mr. Saqib Saleem 28-Aug-2024');</v>
      </c>
      <c r="H181" s="14" t="str">
        <f t="shared" si="11"/>
        <v>insert into ins_premium_det (premium_rcv_code,assorted_code, rec_amount,premium_rcv_detail_code,remaining_amt, payrec, mode_code,coinsurance_code,class_cd,it_remarks) values('28Aug240039','070000162819','29963',(select max(to_number(i.premium_rcv_detail_code))+1
from ins_premium_det i),'29963','29963','02', '11000003','00','Request by Mr. Saqib Saleem 28-Aug-2024');</v>
      </c>
    </row>
    <row r="182" spans="1:8" ht="105" x14ac:dyDescent="0.25">
      <c r="A182" s="9" t="s">
        <v>4665</v>
      </c>
      <c r="B182" s="10" t="str">
        <f>VLOOKUP(A182,[1]Sheet1!$B$2:$C$247,2,0)</f>
        <v>070000162820</v>
      </c>
      <c r="C182" s="16">
        <v>46920</v>
      </c>
      <c r="D182" s="11">
        <f t="shared" si="9"/>
        <v>46920</v>
      </c>
      <c r="E182" s="17" t="s">
        <v>4978</v>
      </c>
      <c r="F182" s="12" t="str">
        <f t="shared" si="8"/>
        <v>insert into ins_premium_det (premium_rcv_code,assorted_code, rec_amount,premium_rcv_detail_code,remaining_amt, payrec, mode_code,coinsurance_code,class_cd,it_remarks) values</v>
      </c>
      <c r="G182" s="13" t="str">
        <f t="shared" si="10"/>
        <v>('28Aug240039','070000162820','46920',(select max(to_number(i.premium_rcv_detail_code))+1
from ins_premium_det i),'46920','46920','02', '11000003','00','Request by Mr. Saqib Saleem 28-Aug-2024');</v>
      </c>
      <c r="H182" s="14" t="str">
        <f t="shared" si="11"/>
        <v>insert into ins_premium_det (premium_rcv_code,assorted_code, rec_amount,premium_rcv_detail_code,remaining_amt, payrec, mode_code,coinsurance_code,class_cd,it_remarks) values('28Aug240039','070000162820','46920',(select max(to_number(i.premium_rcv_detail_code))+1
from ins_premium_det i),'46920','46920','02', '11000003','00','Request by Mr. Saqib Saleem 28-Aug-2024');</v>
      </c>
    </row>
    <row r="183" spans="1:8" ht="105" x14ac:dyDescent="0.25">
      <c r="A183" s="8" t="s">
        <v>4666</v>
      </c>
      <c r="B183" s="10" t="str">
        <f>VLOOKUP(A183,[1]Sheet1!$B$2:$C$247,2,0)</f>
        <v>070000162821</v>
      </c>
      <c r="C183" s="15">
        <v>87760</v>
      </c>
      <c r="D183" s="11">
        <f t="shared" si="9"/>
        <v>87760</v>
      </c>
      <c r="E183" s="17" t="s">
        <v>4978</v>
      </c>
      <c r="F183" s="12" t="str">
        <f t="shared" si="8"/>
        <v>insert into ins_premium_det (premium_rcv_code,assorted_code, rec_amount,premium_rcv_detail_code,remaining_amt, payrec, mode_code,coinsurance_code,class_cd,it_remarks) values</v>
      </c>
      <c r="G183" s="13" t="str">
        <f t="shared" si="10"/>
        <v>('28Aug240039','070000162821','87760',(select max(to_number(i.premium_rcv_detail_code))+1
from ins_premium_det i),'87760','87760','02', '11000003','00','Request by Mr. Saqib Saleem 28-Aug-2024');</v>
      </c>
      <c r="H183" s="14" t="str">
        <f t="shared" si="11"/>
        <v>insert into ins_premium_det (premium_rcv_code,assorted_code, rec_amount,premium_rcv_detail_code,remaining_amt, payrec, mode_code,coinsurance_code,class_cd,it_remarks) values('28Aug240039','070000162821','87760',(select max(to_number(i.premium_rcv_detail_code))+1
from ins_premium_det i),'87760','87760','02', '11000003','00','Request by Mr. Saqib Saleem 28-Aug-2024');</v>
      </c>
    </row>
    <row r="184" spans="1:8" ht="105" x14ac:dyDescent="0.25">
      <c r="A184" s="9" t="s">
        <v>4667</v>
      </c>
      <c r="B184" s="10" t="str">
        <f>VLOOKUP(A184,[1]Sheet1!$B$2:$C$247,2,0)</f>
        <v>070000162822</v>
      </c>
      <c r="C184" s="16">
        <v>67440</v>
      </c>
      <c r="D184" s="11">
        <f t="shared" si="9"/>
        <v>67440</v>
      </c>
      <c r="E184" s="17" t="s">
        <v>4978</v>
      </c>
      <c r="F184" s="12" t="str">
        <f t="shared" si="8"/>
        <v>insert into ins_premium_det (premium_rcv_code,assorted_code, rec_amount,premium_rcv_detail_code,remaining_amt, payrec, mode_code,coinsurance_code,class_cd,it_remarks) values</v>
      </c>
      <c r="G184" s="13" t="str">
        <f t="shared" si="10"/>
        <v>('28Aug240039','070000162822','67440',(select max(to_number(i.premium_rcv_detail_code))+1
from ins_premium_det i),'67440','67440','02', '11000003','00','Request by Mr. Saqib Saleem 28-Aug-2024');</v>
      </c>
      <c r="H184" s="14" t="str">
        <f t="shared" si="11"/>
        <v>insert into ins_premium_det (premium_rcv_code,assorted_code, rec_amount,premium_rcv_detail_code,remaining_amt, payrec, mode_code,coinsurance_code,class_cd,it_remarks) values('28Aug240039','070000162822','67440',(select max(to_number(i.premium_rcv_detail_code))+1
from ins_premium_det i),'67440','67440','02', '11000003','00','Request by Mr. Saqib Saleem 28-Aug-2024');</v>
      </c>
    </row>
    <row r="185" spans="1:8" ht="105" x14ac:dyDescent="0.25">
      <c r="A185" s="8" t="s">
        <v>4668</v>
      </c>
      <c r="B185" s="10" t="str">
        <f>VLOOKUP(A185,[1]Sheet1!$B$2:$C$247,2,0)</f>
        <v>070000162823</v>
      </c>
      <c r="C185" s="15">
        <v>46788</v>
      </c>
      <c r="D185" s="11">
        <f t="shared" si="9"/>
        <v>46788</v>
      </c>
      <c r="E185" s="17" t="s">
        <v>4978</v>
      </c>
      <c r="F185" s="12" t="str">
        <f t="shared" si="8"/>
        <v>insert into ins_premium_det (premium_rcv_code,assorted_code, rec_amount,premium_rcv_detail_code,remaining_amt, payrec, mode_code,coinsurance_code,class_cd,it_remarks) values</v>
      </c>
      <c r="G185" s="13" t="str">
        <f t="shared" si="10"/>
        <v>('28Aug240039','070000162823','46788',(select max(to_number(i.premium_rcv_detail_code))+1
from ins_premium_det i),'46788','46788','02', '11000003','00','Request by Mr. Saqib Saleem 28-Aug-2024');</v>
      </c>
      <c r="H185" s="14" t="str">
        <f t="shared" si="11"/>
        <v>insert into ins_premium_det (premium_rcv_code,assorted_code, rec_amount,premium_rcv_detail_code,remaining_amt, payrec, mode_code,coinsurance_code,class_cd,it_remarks) values('28Aug240039','070000162823','46788',(select max(to_number(i.premium_rcv_detail_code))+1
from ins_premium_det i),'46788','46788','02', '11000003','00','Request by Mr. Saqib Saleem 28-Aug-2024');</v>
      </c>
    </row>
    <row r="186" spans="1:8" ht="105" x14ac:dyDescent="0.25">
      <c r="A186" s="9" t="s">
        <v>4669</v>
      </c>
      <c r="B186" s="10" t="str">
        <f>VLOOKUP(A186,[1]Sheet1!$B$2:$C$247,2,0)</f>
        <v>070000162824</v>
      </c>
      <c r="C186" s="16">
        <v>44000</v>
      </c>
      <c r="D186" s="11">
        <f t="shared" si="9"/>
        <v>44000</v>
      </c>
      <c r="E186" s="17" t="s">
        <v>4978</v>
      </c>
      <c r="F186" s="12" t="str">
        <f t="shared" si="8"/>
        <v>insert into ins_premium_det (premium_rcv_code,assorted_code, rec_amount,premium_rcv_detail_code,remaining_amt, payrec, mode_code,coinsurance_code,class_cd,it_remarks) values</v>
      </c>
      <c r="G186" s="13" t="str">
        <f t="shared" si="10"/>
        <v>('28Aug240039','070000162824','44000',(select max(to_number(i.premium_rcv_detail_code))+1
from ins_premium_det i),'44000','44000','02', '11000003','00','Request by Mr. Saqib Saleem 28-Aug-2024');</v>
      </c>
      <c r="H186" s="14" t="str">
        <f t="shared" si="11"/>
        <v>insert into ins_premium_det (premium_rcv_code,assorted_code, rec_amount,premium_rcv_detail_code,remaining_amt, payrec, mode_code,coinsurance_code,class_cd,it_remarks) values('28Aug240039','070000162824','44000',(select max(to_number(i.premium_rcv_detail_code))+1
from ins_premium_det i),'44000','44000','02', '11000003','00','Request by Mr. Saqib Saleem 28-Aug-2024');</v>
      </c>
    </row>
    <row r="187" spans="1:8" ht="105" x14ac:dyDescent="0.25">
      <c r="A187" s="8" t="s">
        <v>4670</v>
      </c>
      <c r="B187" s="10" t="str">
        <f>VLOOKUP(A187,[1]Sheet1!$B$2:$C$247,2,0)</f>
        <v>070000162825</v>
      </c>
      <c r="C187" s="15">
        <v>39600</v>
      </c>
      <c r="D187" s="11">
        <f t="shared" si="9"/>
        <v>39600</v>
      </c>
      <c r="E187" s="17" t="s">
        <v>4978</v>
      </c>
      <c r="F187" s="12" t="str">
        <f t="shared" si="8"/>
        <v>insert into ins_premium_det (premium_rcv_code,assorted_code, rec_amount,premium_rcv_detail_code,remaining_amt, payrec, mode_code,coinsurance_code,class_cd,it_remarks) values</v>
      </c>
      <c r="G187" s="13" t="str">
        <f t="shared" si="10"/>
        <v>('28Aug240039','070000162825','39600',(select max(to_number(i.premium_rcv_detail_code))+1
from ins_premium_det i),'39600','39600','02', '11000003','00','Request by Mr. Saqib Saleem 28-Aug-2024');</v>
      </c>
      <c r="H187" s="14" t="str">
        <f t="shared" si="11"/>
        <v>insert into ins_premium_det (premium_rcv_code,assorted_code, rec_amount,premium_rcv_detail_code,remaining_amt, payrec, mode_code,coinsurance_code,class_cd,it_remarks) values('28Aug240039','070000162825','39600',(select max(to_number(i.premium_rcv_detail_code))+1
from ins_premium_det i),'39600','39600','02', '11000003','00','Request by Mr. Saqib Saleem 28-Aug-2024');</v>
      </c>
    </row>
    <row r="188" spans="1:8" ht="105" x14ac:dyDescent="0.25">
      <c r="A188" s="9" t="s">
        <v>4671</v>
      </c>
      <c r="B188" s="10" t="str">
        <f>VLOOKUP(A188,[1]Sheet1!$B$2:$C$247,2,0)</f>
        <v>070000162828</v>
      </c>
      <c r="C188" s="16">
        <v>35200</v>
      </c>
      <c r="D188" s="11">
        <f t="shared" si="9"/>
        <v>35200</v>
      </c>
      <c r="E188" s="17" t="s">
        <v>4978</v>
      </c>
      <c r="F188" s="12" t="str">
        <f t="shared" si="8"/>
        <v>insert into ins_premium_det (premium_rcv_code,assorted_code, rec_amount,premium_rcv_detail_code,remaining_amt, payrec, mode_code,coinsurance_code,class_cd,it_remarks) values</v>
      </c>
      <c r="G188" s="13" t="str">
        <f t="shared" si="10"/>
        <v>('28Aug240039','070000162828','35200',(select max(to_number(i.premium_rcv_detail_code))+1
from ins_premium_det i),'35200','35200','02', '11000003','00','Request by Mr. Saqib Saleem 28-Aug-2024');</v>
      </c>
      <c r="H188" s="14" t="str">
        <f t="shared" si="11"/>
        <v>insert into ins_premium_det (premium_rcv_code,assorted_code, rec_amount,premium_rcv_detail_code,remaining_amt, payrec, mode_code,coinsurance_code,class_cd,it_remarks) values('28Aug240039','070000162828','35200',(select max(to_number(i.premium_rcv_detail_code))+1
from ins_premium_det i),'35200','35200','02', '11000003','00','Request by Mr. Saqib Saleem 28-Aug-2024');</v>
      </c>
    </row>
    <row r="189" spans="1:8" ht="105" x14ac:dyDescent="0.25">
      <c r="A189" s="8" t="s">
        <v>4672</v>
      </c>
      <c r="B189" s="10" t="str">
        <f>VLOOKUP(A189,[1]Sheet1!$B$2:$C$247,2,0)</f>
        <v>070000162897</v>
      </c>
      <c r="C189" s="15">
        <v>20081</v>
      </c>
      <c r="D189" s="11">
        <f t="shared" si="9"/>
        <v>20081</v>
      </c>
      <c r="E189" s="17" t="s">
        <v>4978</v>
      </c>
      <c r="F189" s="12" t="str">
        <f t="shared" si="8"/>
        <v>insert into ins_premium_det (premium_rcv_code,assorted_code, rec_amount,premium_rcv_detail_code,remaining_amt, payrec, mode_code,coinsurance_code,class_cd,it_remarks) values</v>
      </c>
      <c r="G189" s="13" t="str">
        <f t="shared" si="10"/>
        <v>('28Aug240039','070000162897','20081',(select max(to_number(i.premium_rcv_detail_code))+1
from ins_premium_det i),'20081','20081','02', '11000003','00','Request by Mr. Saqib Saleem 28-Aug-2024');</v>
      </c>
      <c r="H189" s="14" t="str">
        <f t="shared" si="11"/>
        <v>insert into ins_premium_det (premium_rcv_code,assorted_code, rec_amount,premium_rcv_detail_code,remaining_amt, payrec, mode_code,coinsurance_code,class_cd,it_remarks) values('28Aug240039','070000162897','20081',(select max(to_number(i.premium_rcv_detail_code))+1
from ins_premium_det i),'20081','20081','02', '11000003','00','Request by Mr. Saqib Saleem 28-Aug-2024');</v>
      </c>
    </row>
    <row r="190" spans="1:8" ht="105" x14ac:dyDescent="0.25">
      <c r="A190" s="9" t="s">
        <v>4673</v>
      </c>
      <c r="B190" s="10" t="str">
        <f>VLOOKUP(A190,[1]Sheet1!$B$2:$C$247,2,0)</f>
        <v>070000162896</v>
      </c>
      <c r="C190" s="16">
        <v>63019</v>
      </c>
      <c r="D190" s="11">
        <f t="shared" si="9"/>
        <v>63019</v>
      </c>
      <c r="E190" s="17" t="s">
        <v>4978</v>
      </c>
      <c r="F190" s="12" t="str">
        <f t="shared" si="8"/>
        <v>insert into ins_premium_det (premium_rcv_code,assorted_code, rec_amount,premium_rcv_detail_code,remaining_amt, payrec, mode_code,coinsurance_code,class_cd,it_remarks) values</v>
      </c>
      <c r="G190" s="13" t="str">
        <f t="shared" si="10"/>
        <v>('28Aug240039','070000162896','63019',(select max(to_number(i.premium_rcv_detail_code))+1
from ins_premium_det i),'63019','63019','02', '11000003','00','Request by Mr. Saqib Saleem 28-Aug-2024');</v>
      </c>
      <c r="H190" s="14" t="str">
        <f t="shared" si="11"/>
        <v>insert into ins_premium_det (premium_rcv_code,assorted_code, rec_amount,premium_rcv_detail_code,remaining_amt, payrec, mode_code,coinsurance_code,class_cd,it_remarks) values('28Aug240039','070000162896','63019',(select max(to_number(i.premium_rcv_detail_code))+1
from ins_premium_det i),'63019','63019','02', '11000003','00','Request by Mr. Saqib Saleem 28-Aug-2024');</v>
      </c>
    </row>
    <row r="191" spans="1:8" ht="105" x14ac:dyDescent="0.25">
      <c r="A191" s="8" t="s">
        <v>4674</v>
      </c>
      <c r="B191" s="10" t="str">
        <f>VLOOKUP(A191,[1]Sheet1!$B$2:$C$247,2,0)</f>
        <v>070000162830</v>
      </c>
      <c r="C191" s="15">
        <v>24880</v>
      </c>
      <c r="D191" s="11">
        <f t="shared" si="9"/>
        <v>24880</v>
      </c>
      <c r="E191" s="17" t="s">
        <v>4978</v>
      </c>
      <c r="F191" s="12" t="str">
        <f t="shared" si="8"/>
        <v>insert into ins_premium_det (premium_rcv_code,assorted_code, rec_amount,premium_rcv_detail_code,remaining_amt, payrec, mode_code,coinsurance_code,class_cd,it_remarks) values</v>
      </c>
      <c r="G191" s="13" t="str">
        <f t="shared" si="10"/>
        <v>('28Aug240039','070000162830','24880',(select max(to_number(i.premium_rcv_detail_code))+1
from ins_premium_det i),'24880','24880','02', '11000003','00','Request by Mr. Saqib Saleem 28-Aug-2024');</v>
      </c>
      <c r="H191" s="14" t="str">
        <f t="shared" si="11"/>
        <v>insert into ins_premium_det (premium_rcv_code,assorted_code, rec_amount,premium_rcv_detail_code,remaining_amt, payrec, mode_code,coinsurance_code,class_cd,it_remarks) values('28Aug240039','070000162830','24880',(select max(to_number(i.premium_rcv_detail_code))+1
from ins_premium_det i),'24880','24880','02', '11000003','00','Request by Mr. Saqib Saleem 28-Aug-2024');</v>
      </c>
    </row>
    <row r="192" spans="1:8" ht="105" x14ac:dyDescent="0.25">
      <c r="A192" s="9" t="s">
        <v>4675</v>
      </c>
      <c r="B192" s="10" t="str">
        <f>VLOOKUP(A192,[1]Sheet1!$B$2:$C$247,2,0)</f>
        <v>070000162831</v>
      </c>
      <c r="C192" s="16">
        <v>22928</v>
      </c>
      <c r="D192" s="11">
        <f t="shared" si="9"/>
        <v>22928</v>
      </c>
      <c r="E192" s="17" t="s">
        <v>4978</v>
      </c>
      <c r="F192" s="12" t="str">
        <f t="shared" si="8"/>
        <v>insert into ins_premium_det (premium_rcv_code,assorted_code, rec_amount,premium_rcv_detail_code,remaining_amt, payrec, mode_code,coinsurance_code,class_cd,it_remarks) values</v>
      </c>
      <c r="G192" s="13" t="str">
        <f t="shared" si="10"/>
        <v>('28Aug240039','070000162831','22928',(select max(to_number(i.premium_rcv_detail_code))+1
from ins_premium_det i),'22928','22928','02', '11000003','00','Request by Mr. Saqib Saleem 28-Aug-2024');</v>
      </c>
      <c r="H192" s="14" t="str">
        <f t="shared" si="11"/>
        <v>insert into ins_premium_det (premium_rcv_code,assorted_code, rec_amount,premium_rcv_detail_code,remaining_amt, payrec, mode_code,coinsurance_code,class_cd,it_remarks) values('28Aug240039','070000162831','22928',(select max(to_number(i.premium_rcv_detail_code))+1
from ins_premium_det i),'22928','22928','02', '11000003','00','Request by Mr. Saqib Saleem 28-Aug-2024');</v>
      </c>
    </row>
    <row r="193" spans="1:8" ht="105" x14ac:dyDescent="0.25">
      <c r="A193" s="8" t="s">
        <v>4676</v>
      </c>
      <c r="B193" s="10" t="str">
        <f>VLOOKUP(A193,[1]Sheet1!$B$2:$C$247,2,0)</f>
        <v>070000162834</v>
      </c>
      <c r="C193" s="15">
        <v>28050</v>
      </c>
      <c r="D193" s="11">
        <f t="shared" si="9"/>
        <v>28050</v>
      </c>
      <c r="E193" s="17" t="s">
        <v>4978</v>
      </c>
      <c r="F193" s="12" t="str">
        <f t="shared" ref="F193:F246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3" s="13" t="str">
        <f t="shared" si="10"/>
        <v>('28Aug240039','070000162834','28050',(select max(to_number(i.premium_rcv_detail_code))+1
from ins_premium_det i),'28050','28050','02', '11000003','00','Request by Mr. Saqib Saleem 28-Aug-2024');</v>
      </c>
      <c r="H193" s="14" t="str">
        <f t="shared" si="11"/>
        <v>insert into ins_premium_det (premium_rcv_code,assorted_code, rec_amount,premium_rcv_detail_code,remaining_amt, payrec, mode_code,coinsurance_code,class_cd,it_remarks) values('28Aug240039','070000162834','28050',(select max(to_number(i.premium_rcv_detail_code))+1
from ins_premium_det i),'28050','28050','02', '11000003','00','Request by Mr. Saqib Saleem 28-Aug-2024');</v>
      </c>
    </row>
    <row r="194" spans="1:8" ht="105" x14ac:dyDescent="0.25">
      <c r="A194" s="9" t="s">
        <v>4677</v>
      </c>
      <c r="B194" s="10" t="str">
        <f>VLOOKUP(A194,[1]Sheet1!$B$2:$C$247,2,0)</f>
        <v>070000162835</v>
      </c>
      <c r="C194" s="16">
        <v>34425</v>
      </c>
      <c r="D194" s="11">
        <f t="shared" ref="D194:D246" si="13">ROUND(C194,0)</f>
        <v>34425</v>
      </c>
      <c r="E194" s="17" t="s">
        <v>4978</v>
      </c>
      <c r="F194" s="12" t="str">
        <f t="shared" si="12"/>
        <v>insert into ins_premium_det (premium_rcv_code,assorted_code, rec_amount,premium_rcv_detail_code,remaining_amt, payrec, mode_code,coinsurance_code,class_cd,it_remarks) values</v>
      </c>
      <c r="G194" s="13" t="str">
        <f t="shared" ref="G194:G246" si="14">"('"&amp;E194&amp;"','"&amp;B194&amp;"','"&amp;D194&amp;"',(select max(to_number(i.premium_rcv_detail_code))+1
from ins_premium_det i),'"&amp;D194&amp;"','"&amp;D194&amp;"','02', '11000003','00','Request by Mr. Saqib Saleem 28-Aug-2024');"</f>
        <v>('28Aug240039','070000162835','34425',(select max(to_number(i.premium_rcv_detail_code))+1
from ins_premium_det i),'34425','34425','02', '11000003','00','Request by Mr. Saqib Saleem 28-Aug-2024');</v>
      </c>
      <c r="H194" s="14" t="str">
        <f t="shared" ref="H194:H246" si="15">F194&amp;G194</f>
        <v>insert into ins_premium_det (premium_rcv_code,assorted_code, rec_amount,premium_rcv_detail_code,remaining_amt, payrec, mode_code,coinsurance_code,class_cd,it_remarks) values('28Aug240039','070000162835','34425',(select max(to_number(i.premium_rcv_detail_code))+1
from ins_premium_det i),'34425','34425','02', '11000003','00','Request by Mr. Saqib Saleem 28-Aug-2024');</v>
      </c>
    </row>
    <row r="195" spans="1:8" ht="105" x14ac:dyDescent="0.25">
      <c r="A195" s="8" t="s">
        <v>4678</v>
      </c>
      <c r="B195" s="10" t="str">
        <f>VLOOKUP(A195,[1]Sheet1!$B$2:$C$247,2,0)</f>
        <v>070000162895</v>
      </c>
      <c r="C195" s="15">
        <v>19168</v>
      </c>
      <c r="D195" s="11">
        <f t="shared" si="13"/>
        <v>19168</v>
      </c>
      <c r="E195" s="17" t="s">
        <v>4978</v>
      </c>
      <c r="F195" s="12" t="str">
        <f t="shared" si="12"/>
        <v>insert into ins_premium_det (premium_rcv_code,assorted_code, rec_amount,premium_rcv_detail_code,remaining_amt, payrec, mode_code,coinsurance_code,class_cd,it_remarks) values</v>
      </c>
      <c r="G195" s="13" t="str">
        <f t="shared" si="14"/>
        <v>('28Aug240039','070000162895','19168',(select max(to_number(i.premium_rcv_detail_code))+1
from ins_premium_det i),'19168','19168','02', '11000003','00','Request by Mr. Saqib Saleem 28-Aug-2024');</v>
      </c>
      <c r="H195" s="14" t="str">
        <f t="shared" si="15"/>
        <v>insert into ins_premium_det (premium_rcv_code,assorted_code, rec_amount,premium_rcv_detail_code,remaining_amt, payrec, mode_code,coinsurance_code,class_cd,it_remarks) values('28Aug240039','070000162895','19168',(select max(to_number(i.premium_rcv_detail_code))+1
from ins_premium_det i),'19168','19168','02', '11000003','00','Request by Mr. Saqib Saleem 28-Aug-2024');</v>
      </c>
    </row>
    <row r="196" spans="1:8" ht="105" x14ac:dyDescent="0.25">
      <c r="A196" s="9" t="s">
        <v>4679</v>
      </c>
      <c r="B196" s="10" t="str">
        <f>VLOOKUP(A196,[1]Sheet1!$B$2:$C$247,2,0)</f>
        <v>070000162836</v>
      </c>
      <c r="C196" s="16">
        <v>32000</v>
      </c>
      <c r="D196" s="11">
        <f t="shared" si="13"/>
        <v>32000</v>
      </c>
      <c r="E196" s="17" t="s">
        <v>4978</v>
      </c>
      <c r="F196" s="12" t="str">
        <f t="shared" si="12"/>
        <v>insert into ins_premium_det (premium_rcv_code,assorted_code, rec_amount,premium_rcv_detail_code,remaining_amt, payrec, mode_code,coinsurance_code,class_cd,it_remarks) values</v>
      </c>
      <c r="G196" s="13" t="str">
        <f t="shared" si="14"/>
        <v>('28Aug240039','070000162836','32000',(select max(to_number(i.premium_rcv_detail_code))+1
from ins_premium_det i),'32000','32000','02', '11000003','00','Request by Mr. Saqib Saleem 28-Aug-2024');</v>
      </c>
      <c r="H196" s="14" t="str">
        <f t="shared" si="15"/>
        <v>insert into ins_premium_det (premium_rcv_code,assorted_code, rec_amount,premium_rcv_detail_code,remaining_amt, payrec, mode_code,coinsurance_code,class_cd,it_remarks) values('28Aug240039','070000162836','32000',(select max(to_number(i.premium_rcv_detail_code))+1
from ins_premium_det i),'32000','32000','02', '11000003','00','Request by Mr. Saqib Saleem 28-Aug-2024');</v>
      </c>
    </row>
    <row r="197" spans="1:8" ht="105" x14ac:dyDescent="0.25">
      <c r="A197" s="8" t="s">
        <v>4680</v>
      </c>
      <c r="B197" s="10" t="str">
        <f>VLOOKUP(A197,[1]Sheet1!$B$2:$C$247,2,0)</f>
        <v>070000162894</v>
      </c>
      <c r="C197" s="15">
        <v>25500</v>
      </c>
      <c r="D197" s="11">
        <f t="shared" si="13"/>
        <v>25500</v>
      </c>
      <c r="E197" s="17" t="s">
        <v>4978</v>
      </c>
      <c r="F197" s="12" t="str">
        <f t="shared" si="12"/>
        <v>insert into ins_premium_det (premium_rcv_code,assorted_code, rec_amount,premium_rcv_detail_code,remaining_amt, payrec, mode_code,coinsurance_code,class_cd,it_remarks) values</v>
      </c>
      <c r="G197" s="13" t="str">
        <f t="shared" si="14"/>
        <v>('28Aug240039','070000162894','25500',(select max(to_number(i.premium_rcv_detail_code))+1
from ins_premium_det i),'25500','25500','02', '11000003','00','Request by Mr. Saqib Saleem 28-Aug-2024');</v>
      </c>
      <c r="H197" s="14" t="str">
        <f t="shared" si="15"/>
        <v>insert into ins_premium_det (premium_rcv_code,assorted_code, rec_amount,premium_rcv_detail_code,remaining_amt, payrec, mode_code,coinsurance_code,class_cd,it_remarks) values('28Aug240039','070000162894','25500',(select max(to_number(i.premium_rcv_detail_code))+1
from ins_premium_det i),'25500','25500','02', '11000003','00','Request by Mr. Saqib Saleem 28-Aug-2024');</v>
      </c>
    </row>
    <row r="198" spans="1:8" ht="105" x14ac:dyDescent="0.25">
      <c r="A198" s="9" t="s">
        <v>4681</v>
      </c>
      <c r="B198" s="10" t="str">
        <f>VLOOKUP(A198,[1]Sheet1!$B$2:$C$247,2,0)</f>
        <v>070000162893</v>
      </c>
      <c r="C198" s="16">
        <v>30983</v>
      </c>
      <c r="D198" s="11">
        <f t="shared" si="13"/>
        <v>30983</v>
      </c>
      <c r="E198" s="17" t="s">
        <v>4978</v>
      </c>
      <c r="F198" s="12" t="str">
        <f t="shared" si="12"/>
        <v>insert into ins_premium_det (premium_rcv_code,assorted_code, rec_amount,premium_rcv_detail_code,remaining_amt, payrec, mode_code,coinsurance_code,class_cd,it_remarks) values</v>
      </c>
      <c r="G198" s="13" t="str">
        <f t="shared" si="14"/>
        <v>('28Aug240039','070000162893','30983',(select max(to_number(i.premium_rcv_detail_code))+1
from ins_premium_det i),'30983','30983','02', '11000003','00','Request by Mr. Saqib Saleem 28-Aug-2024');</v>
      </c>
      <c r="H198" s="14" t="str">
        <f t="shared" si="15"/>
        <v>insert into ins_premium_det (premium_rcv_code,assorted_code, rec_amount,premium_rcv_detail_code,remaining_amt, payrec, mode_code,coinsurance_code,class_cd,it_remarks) values('28Aug240039','070000162893','30983',(select max(to_number(i.premium_rcv_detail_code))+1
from ins_premium_det i),'30983','30983','02', '11000003','00','Request by Mr. Saqib Saleem 28-Aug-2024');</v>
      </c>
    </row>
    <row r="199" spans="1:8" ht="105" x14ac:dyDescent="0.25">
      <c r="A199" s="8" t="s">
        <v>4682</v>
      </c>
      <c r="B199" s="10" t="str">
        <f>VLOOKUP(A199,[1]Sheet1!$B$2:$C$247,2,0)</f>
        <v>070000162837</v>
      </c>
      <c r="C199" s="15">
        <v>77138</v>
      </c>
      <c r="D199" s="11">
        <f t="shared" si="13"/>
        <v>77138</v>
      </c>
      <c r="E199" s="17" t="s">
        <v>4978</v>
      </c>
      <c r="F199" s="12" t="str">
        <f t="shared" si="12"/>
        <v>insert into ins_premium_det (premium_rcv_code,assorted_code, rec_amount,premium_rcv_detail_code,remaining_amt, payrec, mode_code,coinsurance_code,class_cd,it_remarks) values</v>
      </c>
      <c r="G199" s="13" t="str">
        <f t="shared" si="14"/>
        <v>('28Aug240039','070000162837','77138',(select max(to_number(i.premium_rcv_detail_code))+1
from ins_premium_det i),'77138','77138','02', '11000003','00','Request by Mr. Saqib Saleem 28-Aug-2024');</v>
      </c>
      <c r="H199" s="14" t="str">
        <f t="shared" si="15"/>
        <v>insert into ins_premium_det (premium_rcv_code,assorted_code, rec_amount,premium_rcv_detail_code,remaining_amt, payrec, mode_code,coinsurance_code,class_cd,it_remarks) values('28Aug240039','070000162837','77138',(select max(to_number(i.premium_rcv_detail_code))+1
from ins_premium_det i),'77138','77138','02', '11000003','00','Request by Mr. Saqib Saleem 28-Aug-2024');</v>
      </c>
    </row>
    <row r="200" spans="1:8" ht="105" x14ac:dyDescent="0.25">
      <c r="A200" s="9" t="s">
        <v>4683</v>
      </c>
      <c r="B200" s="10" t="str">
        <f>VLOOKUP(A200,[1]Sheet1!$B$2:$C$247,2,0)</f>
        <v>070000162892</v>
      </c>
      <c r="C200" s="16">
        <v>30713</v>
      </c>
      <c r="D200" s="11">
        <f t="shared" si="13"/>
        <v>30713</v>
      </c>
      <c r="E200" s="17" t="s">
        <v>4978</v>
      </c>
      <c r="F200" s="12" t="str">
        <f t="shared" si="12"/>
        <v>insert into ins_premium_det (premium_rcv_code,assorted_code, rec_amount,premium_rcv_detail_code,remaining_amt, payrec, mode_code,coinsurance_code,class_cd,it_remarks) values</v>
      </c>
      <c r="G200" s="13" t="str">
        <f t="shared" si="14"/>
        <v>('28Aug240039','070000162892','30713',(select max(to_number(i.premium_rcv_detail_code))+1
from ins_premium_det i),'30713','30713','02', '11000003','00','Request by Mr. Saqib Saleem 28-Aug-2024');</v>
      </c>
      <c r="H200" s="14" t="str">
        <f t="shared" si="15"/>
        <v>insert into ins_premium_det (premium_rcv_code,assorted_code, rec_amount,premium_rcv_detail_code,remaining_amt, payrec, mode_code,coinsurance_code,class_cd,it_remarks) values('28Aug240039','070000162892','30713',(select max(to_number(i.premium_rcv_detail_code))+1
from ins_premium_det i),'30713','30713','02', '11000003','00','Request by Mr. Saqib Saleem 28-Aug-2024');</v>
      </c>
    </row>
    <row r="201" spans="1:8" ht="105" x14ac:dyDescent="0.25">
      <c r="A201" s="8" t="s">
        <v>4684</v>
      </c>
      <c r="B201" s="10" t="str">
        <f>VLOOKUP(A201,[1]Sheet1!$B$2:$C$247,2,0)</f>
        <v>070000162838</v>
      </c>
      <c r="C201" s="15">
        <v>24225</v>
      </c>
      <c r="D201" s="11">
        <f t="shared" si="13"/>
        <v>24225</v>
      </c>
      <c r="E201" s="17" t="s">
        <v>4978</v>
      </c>
      <c r="F201" s="12" t="str">
        <f t="shared" si="12"/>
        <v>insert into ins_premium_det (premium_rcv_code,assorted_code, rec_amount,premium_rcv_detail_code,remaining_amt, payrec, mode_code,coinsurance_code,class_cd,it_remarks) values</v>
      </c>
      <c r="G201" s="13" t="str">
        <f t="shared" si="14"/>
        <v>('28Aug240039','070000162838','24225',(select max(to_number(i.premium_rcv_detail_code))+1
from ins_premium_det i),'24225','24225','02', '11000003','00','Request by Mr. Saqib Saleem 28-Aug-2024');</v>
      </c>
      <c r="H201" s="14" t="str">
        <f t="shared" si="15"/>
        <v>insert into ins_premium_det (premium_rcv_code,assorted_code, rec_amount,premium_rcv_detail_code,remaining_amt, payrec, mode_code,coinsurance_code,class_cd,it_remarks) values('28Aug240039','070000162838','24225',(select max(to_number(i.premium_rcv_detail_code))+1
from ins_premium_det i),'24225','24225','02', '11000003','00','Request by Mr. Saqib Saleem 28-Aug-2024');</v>
      </c>
    </row>
    <row r="202" spans="1:8" ht="105" x14ac:dyDescent="0.25">
      <c r="A202" s="9" t="s">
        <v>4685</v>
      </c>
      <c r="B202" s="10" t="str">
        <f>VLOOKUP(A202,[1]Sheet1!$B$2:$C$247,2,0)</f>
        <v>070000162891</v>
      </c>
      <c r="C202" s="16">
        <v>46226</v>
      </c>
      <c r="D202" s="11">
        <f t="shared" si="13"/>
        <v>46226</v>
      </c>
      <c r="E202" s="17" t="s">
        <v>4978</v>
      </c>
      <c r="F202" s="12" t="str">
        <f t="shared" si="12"/>
        <v>insert into ins_premium_det (premium_rcv_code,assorted_code, rec_amount,premium_rcv_detail_code,remaining_amt, payrec, mode_code,coinsurance_code,class_cd,it_remarks) values</v>
      </c>
      <c r="G202" s="13" t="str">
        <f t="shared" si="14"/>
        <v>('28Aug240039','070000162891','46226',(select max(to_number(i.premium_rcv_detail_code))+1
from ins_premium_det i),'46226','46226','02', '11000003','00','Request by Mr. Saqib Saleem 28-Aug-2024');</v>
      </c>
      <c r="H202" s="14" t="str">
        <f t="shared" si="15"/>
        <v>insert into ins_premium_det (premium_rcv_code,assorted_code, rec_amount,premium_rcv_detail_code,remaining_amt, payrec, mode_code,coinsurance_code,class_cd,it_remarks) values('28Aug240039','070000162891','46226',(select max(to_number(i.premium_rcv_detail_code))+1
from ins_premium_det i),'46226','46226','02', '11000003','00','Request by Mr. Saqib Saleem 28-Aug-2024');</v>
      </c>
    </row>
    <row r="203" spans="1:8" ht="105" x14ac:dyDescent="0.25">
      <c r="A203" s="8" t="s">
        <v>4686</v>
      </c>
      <c r="B203" s="10" t="str">
        <f>VLOOKUP(A203,[1]Sheet1!$B$2:$C$247,2,0)</f>
        <v>070000162890</v>
      </c>
      <c r="C203" s="15">
        <v>63000</v>
      </c>
      <c r="D203" s="11">
        <f t="shared" si="13"/>
        <v>63000</v>
      </c>
      <c r="E203" s="17" t="s">
        <v>4978</v>
      </c>
      <c r="F203" s="12" t="str">
        <f t="shared" si="12"/>
        <v>insert into ins_premium_det (premium_rcv_code,assorted_code, rec_amount,premium_rcv_detail_code,remaining_amt, payrec, mode_code,coinsurance_code,class_cd,it_remarks) values</v>
      </c>
      <c r="G203" s="13" t="str">
        <f t="shared" si="14"/>
        <v>('28Aug240039','070000162890','63000',(select max(to_number(i.premium_rcv_detail_code))+1
from ins_premium_det i),'63000','63000','02', '11000003','00','Request by Mr. Saqib Saleem 28-Aug-2024');</v>
      </c>
      <c r="H203" s="14" t="str">
        <f t="shared" si="15"/>
        <v>insert into ins_premium_det (premium_rcv_code,assorted_code, rec_amount,premium_rcv_detail_code,remaining_amt, payrec, mode_code,coinsurance_code,class_cd,it_remarks) values('28Aug240039','070000162890','63000',(select max(to_number(i.premium_rcv_detail_code))+1
from ins_premium_det i),'63000','63000','02', '11000003','00','Request by Mr. Saqib Saleem 28-Aug-2024');</v>
      </c>
    </row>
    <row r="204" spans="1:8" ht="105" x14ac:dyDescent="0.25">
      <c r="A204" s="9" t="s">
        <v>4687</v>
      </c>
      <c r="B204" s="10" t="str">
        <f>VLOOKUP(A204,[1]Sheet1!$B$2:$C$247,2,0)</f>
        <v>070000162889</v>
      </c>
      <c r="C204" s="16">
        <v>30389</v>
      </c>
      <c r="D204" s="11">
        <f t="shared" si="13"/>
        <v>30389</v>
      </c>
      <c r="E204" s="17" t="s">
        <v>4978</v>
      </c>
      <c r="F204" s="12" t="str">
        <f t="shared" si="12"/>
        <v>insert into ins_premium_det (premium_rcv_code,assorted_code, rec_amount,premium_rcv_detail_code,remaining_amt, payrec, mode_code,coinsurance_code,class_cd,it_remarks) values</v>
      </c>
      <c r="G204" s="13" t="str">
        <f t="shared" si="14"/>
        <v>('28Aug240039','070000162889','30389',(select max(to_number(i.premium_rcv_detail_code))+1
from ins_premium_det i),'30389','30389','02', '11000003','00','Request by Mr. Saqib Saleem 28-Aug-2024');</v>
      </c>
      <c r="H204" s="14" t="str">
        <f t="shared" si="15"/>
        <v>insert into ins_premium_det (premium_rcv_code,assorted_code, rec_amount,premium_rcv_detail_code,remaining_amt, payrec, mode_code,coinsurance_code,class_cd,it_remarks) values('28Aug240039','070000162889','30389',(select max(to_number(i.premium_rcv_detail_code))+1
from ins_premium_det i),'30389','30389','02', '11000003','00','Request by Mr. Saqib Saleem 28-Aug-2024');</v>
      </c>
    </row>
    <row r="205" spans="1:8" ht="105" x14ac:dyDescent="0.25">
      <c r="A205" s="8" t="s">
        <v>4688</v>
      </c>
      <c r="B205" s="10" t="str">
        <f>VLOOKUP(A205,[1]Sheet1!$B$2:$C$247,2,0)</f>
        <v>070000162839</v>
      </c>
      <c r="C205" s="15">
        <v>58841</v>
      </c>
      <c r="D205" s="11">
        <f t="shared" si="13"/>
        <v>58841</v>
      </c>
      <c r="E205" s="17" t="s">
        <v>4978</v>
      </c>
      <c r="F205" s="12" t="str">
        <f t="shared" si="12"/>
        <v>insert into ins_premium_det (premium_rcv_code,assorted_code, rec_amount,premium_rcv_detail_code,remaining_amt, payrec, mode_code,coinsurance_code,class_cd,it_remarks) values</v>
      </c>
      <c r="G205" s="13" t="str">
        <f t="shared" si="14"/>
        <v>('28Aug240039','070000162839','58841',(select max(to_number(i.premium_rcv_detail_code))+1
from ins_premium_det i),'58841','58841','02', '11000003','00','Request by Mr. Saqib Saleem 28-Aug-2024');</v>
      </c>
      <c r="H205" s="14" t="str">
        <f t="shared" si="15"/>
        <v>insert into ins_premium_det (premium_rcv_code,assorted_code, rec_amount,premium_rcv_detail_code,remaining_amt, payrec, mode_code,coinsurance_code,class_cd,it_remarks) values('28Aug240039','070000162839','58841',(select max(to_number(i.premium_rcv_detail_code))+1
from ins_premium_det i),'58841','58841','02', '11000003','00','Request by Mr. Saqib Saleem 28-Aug-2024');</v>
      </c>
    </row>
    <row r="206" spans="1:8" ht="105" x14ac:dyDescent="0.25">
      <c r="A206" s="9" t="s">
        <v>4689</v>
      </c>
      <c r="B206" s="10" t="str">
        <f>VLOOKUP(A206,[1]Sheet1!$B$2:$C$247,2,0)</f>
        <v>070000162888</v>
      </c>
      <c r="C206" s="16">
        <v>28000</v>
      </c>
      <c r="D206" s="11">
        <f t="shared" si="13"/>
        <v>28000</v>
      </c>
      <c r="E206" s="17" t="s">
        <v>4978</v>
      </c>
      <c r="F206" s="12" t="str">
        <f t="shared" si="12"/>
        <v>insert into ins_premium_det (premium_rcv_code,assorted_code, rec_amount,premium_rcv_detail_code,remaining_amt, payrec, mode_code,coinsurance_code,class_cd,it_remarks) values</v>
      </c>
      <c r="G206" s="13" t="str">
        <f t="shared" si="14"/>
        <v>('28Aug240039','070000162888','28000',(select max(to_number(i.premium_rcv_detail_code))+1
from ins_premium_det i),'28000','28000','02', '11000003','00','Request by Mr. Saqib Saleem 28-Aug-2024');</v>
      </c>
      <c r="H206" s="14" t="str">
        <f t="shared" si="15"/>
        <v>insert into ins_premium_det (premium_rcv_code,assorted_code, rec_amount,premium_rcv_detail_code,remaining_amt, payrec, mode_code,coinsurance_code,class_cd,it_remarks) values('28Aug240039','070000162888','28000',(select max(to_number(i.premium_rcv_detail_code))+1
from ins_premium_det i),'28000','28000','02', '11000003','00','Request by Mr. Saqib Saleem 28-Aug-2024');</v>
      </c>
    </row>
    <row r="207" spans="1:8" ht="105" x14ac:dyDescent="0.25">
      <c r="A207" s="8" t="s">
        <v>4690</v>
      </c>
      <c r="B207" s="10" t="str">
        <f>VLOOKUP(A207,[1]Sheet1!$B$2:$C$247,2,0)</f>
        <v>070000162887</v>
      </c>
      <c r="C207" s="15">
        <v>85531</v>
      </c>
      <c r="D207" s="11">
        <f t="shared" si="13"/>
        <v>85531</v>
      </c>
      <c r="E207" s="17" t="s">
        <v>4978</v>
      </c>
      <c r="F207" s="12" t="str">
        <f t="shared" si="12"/>
        <v>insert into ins_premium_det (premium_rcv_code,assorted_code, rec_amount,premium_rcv_detail_code,remaining_amt, payrec, mode_code,coinsurance_code,class_cd,it_remarks) values</v>
      </c>
      <c r="G207" s="13" t="str">
        <f t="shared" si="14"/>
        <v>('28Aug240039','070000162887','85531',(select max(to_number(i.premium_rcv_detail_code))+1
from ins_premium_det i),'85531','85531','02', '11000003','00','Request by Mr. Saqib Saleem 28-Aug-2024');</v>
      </c>
      <c r="H207" s="14" t="str">
        <f t="shared" si="15"/>
        <v>insert into ins_premium_det (premium_rcv_code,assorted_code, rec_amount,premium_rcv_detail_code,remaining_amt, payrec, mode_code,coinsurance_code,class_cd,it_remarks) values('28Aug240039','070000162887','85531',(select max(to_number(i.premium_rcv_detail_code))+1
from ins_premium_det i),'85531','85531','02', '11000003','00','Request by Mr. Saqib Saleem 28-Aug-2024');</v>
      </c>
    </row>
    <row r="208" spans="1:8" ht="105" x14ac:dyDescent="0.25">
      <c r="A208" s="9" t="s">
        <v>4691</v>
      </c>
      <c r="B208" s="10" t="str">
        <f>VLOOKUP(A208,[1]Sheet1!$B$2:$C$247,2,0)</f>
        <v>070000162886</v>
      </c>
      <c r="C208" s="16">
        <v>30838</v>
      </c>
      <c r="D208" s="11">
        <f t="shared" si="13"/>
        <v>30838</v>
      </c>
      <c r="E208" s="17" t="s">
        <v>4978</v>
      </c>
      <c r="F208" s="12" t="str">
        <f t="shared" si="12"/>
        <v>insert into ins_premium_det (premium_rcv_code,assorted_code, rec_amount,premium_rcv_detail_code,remaining_amt, payrec, mode_code,coinsurance_code,class_cd,it_remarks) values</v>
      </c>
      <c r="G208" s="13" t="str">
        <f t="shared" si="14"/>
        <v>('28Aug240039','070000162886','30838',(select max(to_number(i.premium_rcv_detail_code))+1
from ins_premium_det i),'30838','30838','02', '11000003','00','Request by Mr. Saqib Saleem 28-Aug-2024');</v>
      </c>
      <c r="H208" s="14" t="str">
        <f t="shared" si="15"/>
        <v>insert into ins_premium_det (premium_rcv_code,assorted_code, rec_amount,premium_rcv_detail_code,remaining_amt, payrec, mode_code,coinsurance_code,class_cd,it_remarks) values('28Aug240039','070000162886','30838',(select max(to_number(i.premium_rcv_detail_code))+1
from ins_premium_det i),'30838','30838','02', '11000003','00','Request by Mr. Saqib Saleem 28-Aug-2024');</v>
      </c>
    </row>
    <row r="209" spans="1:8" ht="105" x14ac:dyDescent="0.25">
      <c r="A209" s="8" t="s">
        <v>4692</v>
      </c>
      <c r="B209" s="10" t="str">
        <f>VLOOKUP(A209,[1]Sheet1!$B$2:$C$247,2,0)</f>
        <v>070000162840</v>
      </c>
      <c r="C209" s="15">
        <v>33469</v>
      </c>
      <c r="D209" s="11">
        <f t="shared" si="13"/>
        <v>33469</v>
      </c>
      <c r="E209" s="17" t="s">
        <v>4978</v>
      </c>
      <c r="F209" s="12" t="str">
        <f t="shared" si="12"/>
        <v>insert into ins_premium_det (premium_rcv_code,assorted_code, rec_amount,premium_rcv_detail_code,remaining_amt, payrec, mode_code,coinsurance_code,class_cd,it_remarks) values</v>
      </c>
      <c r="G209" s="13" t="str">
        <f t="shared" si="14"/>
        <v>('28Aug240039','070000162840','33469',(select max(to_number(i.premium_rcv_detail_code))+1
from ins_premium_det i),'33469','33469','02', '11000003','00','Request by Mr. Saqib Saleem 28-Aug-2024');</v>
      </c>
      <c r="H209" s="14" t="str">
        <f t="shared" si="15"/>
        <v>insert into ins_premium_det (premium_rcv_code,assorted_code, rec_amount,premium_rcv_detail_code,remaining_amt, payrec, mode_code,coinsurance_code,class_cd,it_remarks) values('28Aug240039','070000162840','33469',(select max(to_number(i.premium_rcv_detail_code))+1
from ins_premium_det i),'33469','33469','02', '11000003','00','Request by Mr. Saqib Saleem 28-Aug-2024');</v>
      </c>
    </row>
    <row r="210" spans="1:8" ht="105" x14ac:dyDescent="0.25">
      <c r="A210" s="9" t="s">
        <v>4693</v>
      </c>
      <c r="B210" s="10" t="str">
        <f>VLOOKUP(A210,[1]Sheet1!$B$2:$C$247,2,0)</f>
        <v>070000162885</v>
      </c>
      <c r="C210" s="16">
        <v>56338</v>
      </c>
      <c r="D210" s="11">
        <f t="shared" si="13"/>
        <v>56338</v>
      </c>
      <c r="E210" s="17" t="s">
        <v>4978</v>
      </c>
      <c r="F210" s="12" t="str">
        <f t="shared" si="12"/>
        <v>insert into ins_premium_det (premium_rcv_code,assorted_code, rec_amount,premium_rcv_detail_code,remaining_amt, payrec, mode_code,coinsurance_code,class_cd,it_remarks) values</v>
      </c>
      <c r="G210" s="13" t="str">
        <f t="shared" si="14"/>
        <v>('28Aug240039','070000162885','56338',(select max(to_number(i.premium_rcv_detail_code))+1
from ins_premium_det i),'56338','56338','02', '11000003','00','Request by Mr. Saqib Saleem 28-Aug-2024');</v>
      </c>
      <c r="H210" s="14" t="str">
        <f t="shared" si="15"/>
        <v>insert into ins_premium_det (premium_rcv_code,assorted_code, rec_amount,premium_rcv_detail_code,remaining_amt, payrec, mode_code,coinsurance_code,class_cd,it_remarks) values('28Aug240039','070000162885','56338',(select max(to_number(i.premium_rcv_detail_code))+1
from ins_premium_det i),'56338','56338','02', '11000003','00','Request by Mr. Saqib Saleem 28-Aug-2024');</v>
      </c>
    </row>
    <row r="211" spans="1:8" ht="105" x14ac:dyDescent="0.25">
      <c r="A211" s="8" t="s">
        <v>4694</v>
      </c>
      <c r="B211" s="10" t="str">
        <f>VLOOKUP(A211,[1]Sheet1!$B$2:$C$247,2,0)</f>
        <v>070000162841</v>
      </c>
      <c r="C211" s="15">
        <v>44625</v>
      </c>
      <c r="D211" s="11">
        <f t="shared" si="13"/>
        <v>44625</v>
      </c>
      <c r="E211" s="17" t="s">
        <v>4978</v>
      </c>
      <c r="F211" s="12" t="str">
        <f t="shared" si="12"/>
        <v>insert into ins_premium_det (premium_rcv_code,assorted_code, rec_amount,premium_rcv_detail_code,remaining_amt, payrec, mode_code,coinsurance_code,class_cd,it_remarks) values</v>
      </c>
      <c r="G211" s="13" t="str">
        <f t="shared" si="14"/>
        <v>('28Aug240039','070000162841','44625',(select max(to_number(i.premium_rcv_detail_code))+1
from ins_premium_det i),'44625','44625','02', '11000003','00','Request by Mr. Saqib Saleem 28-Aug-2024');</v>
      </c>
      <c r="H211" s="14" t="str">
        <f t="shared" si="15"/>
        <v>insert into ins_premium_det (premium_rcv_code,assorted_code, rec_amount,premium_rcv_detail_code,remaining_amt, payrec, mode_code,coinsurance_code,class_cd,it_remarks) values('28Aug240039','070000162841','44625',(select max(to_number(i.premium_rcv_detail_code))+1
from ins_premium_det i),'44625','44625','02', '11000003','00','Request by Mr. Saqib Saleem 28-Aug-2024');</v>
      </c>
    </row>
    <row r="212" spans="1:8" ht="105" x14ac:dyDescent="0.25">
      <c r="A212" s="9" t="s">
        <v>4695</v>
      </c>
      <c r="B212" s="10" t="str">
        <f>VLOOKUP(A212,[1]Sheet1!$B$2:$C$247,2,0)</f>
        <v>070000162883</v>
      </c>
      <c r="C212" s="16">
        <v>22950</v>
      </c>
      <c r="D212" s="11">
        <f t="shared" si="13"/>
        <v>22950</v>
      </c>
      <c r="E212" s="17" t="s">
        <v>4978</v>
      </c>
      <c r="F212" s="12" t="str">
        <f t="shared" si="12"/>
        <v>insert into ins_premium_det (premium_rcv_code,assorted_code, rec_amount,premium_rcv_detail_code,remaining_amt, payrec, mode_code,coinsurance_code,class_cd,it_remarks) values</v>
      </c>
      <c r="G212" s="13" t="str">
        <f t="shared" si="14"/>
        <v>('28Aug240039','070000162883','22950',(select max(to_number(i.premium_rcv_detail_code))+1
from ins_premium_det i),'22950','22950','02', '11000003','00','Request by Mr. Saqib Saleem 28-Aug-2024');</v>
      </c>
      <c r="H212" s="14" t="str">
        <f t="shared" si="15"/>
        <v>insert into ins_premium_det (premium_rcv_code,assorted_code, rec_amount,premium_rcv_detail_code,remaining_amt, payrec, mode_code,coinsurance_code,class_cd,it_remarks) values('28Aug240039','070000162883','22950',(select max(to_number(i.premium_rcv_detail_code))+1
from ins_premium_det i),'22950','22950','02', '11000003','00','Request by Mr. Saqib Saleem 28-Aug-2024');</v>
      </c>
    </row>
    <row r="213" spans="1:8" ht="105" x14ac:dyDescent="0.25">
      <c r="A213" s="8" t="s">
        <v>4696</v>
      </c>
      <c r="B213" s="10" t="str">
        <f>VLOOKUP(A213,[1]Sheet1!$B$2:$C$247,2,0)</f>
        <v>070000162843</v>
      </c>
      <c r="C213" s="15">
        <v>32513</v>
      </c>
      <c r="D213" s="11">
        <f t="shared" si="13"/>
        <v>32513</v>
      </c>
      <c r="E213" s="17" t="s">
        <v>4978</v>
      </c>
      <c r="F213" s="12" t="str">
        <f t="shared" si="12"/>
        <v>insert into ins_premium_det (premium_rcv_code,assorted_code, rec_amount,premium_rcv_detail_code,remaining_amt, payrec, mode_code,coinsurance_code,class_cd,it_remarks) values</v>
      </c>
      <c r="G213" s="13" t="str">
        <f t="shared" si="14"/>
        <v>('28Aug240039','070000162843','32513',(select max(to_number(i.premium_rcv_detail_code))+1
from ins_premium_det i),'32513','32513','02', '11000003','00','Request by Mr. Saqib Saleem 28-Aug-2024');</v>
      </c>
      <c r="H213" s="14" t="str">
        <f t="shared" si="15"/>
        <v>insert into ins_premium_det (premium_rcv_code,assorted_code, rec_amount,premium_rcv_detail_code,remaining_amt, payrec, mode_code,coinsurance_code,class_cd,it_remarks) values('28Aug240039','070000162843','32513',(select max(to_number(i.premium_rcv_detail_code))+1
from ins_premium_det i),'32513','32513','02', '11000003','00','Request by Mr. Saqib Saleem 28-Aug-2024');</v>
      </c>
    </row>
    <row r="214" spans="1:8" ht="105" x14ac:dyDescent="0.25">
      <c r="A214" s="9" t="s">
        <v>4697</v>
      </c>
      <c r="B214" s="10" t="str">
        <f>VLOOKUP(A214,[1]Sheet1!$B$2:$C$247,2,0)</f>
        <v>070000162844</v>
      </c>
      <c r="C214" s="16">
        <v>15938</v>
      </c>
      <c r="D214" s="11">
        <f t="shared" si="13"/>
        <v>15938</v>
      </c>
      <c r="E214" s="17" t="s">
        <v>4978</v>
      </c>
      <c r="F214" s="12" t="str">
        <f t="shared" si="12"/>
        <v>insert into ins_premium_det (premium_rcv_code,assorted_code, rec_amount,premium_rcv_detail_code,remaining_amt, payrec, mode_code,coinsurance_code,class_cd,it_remarks) values</v>
      </c>
      <c r="G214" s="13" t="str">
        <f t="shared" si="14"/>
        <v>('28Aug240039','070000162844','15938',(select max(to_number(i.premium_rcv_detail_code))+1
from ins_premium_det i),'15938','15938','02', '11000003','00','Request by Mr. Saqib Saleem 28-Aug-2024');</v>
      </c>
      <c r="H214" s="14" t="str">
        <f t="shared" si="15"/>
        <v>insert into ins_premium_det (premium_rcv_code,assorted_code, rec_amount,premium_rcv_detail_code,remaining_amt, payrec, mode_code,coinsurance_code,class_cd,it_remarks) values('28Aug240039','070000162844','15938',(select max(to_number(i.premium_rcv_detail_code))+1
from ins_premium_det i),'15938','15938','02', '11000003','00','Request by Mr. Saqib Saleem 28-Aug-2024');</v>
      </c>
    </row>
    <row r="215" spans="1:8" ht="105" x14ac:dyDescent="0.25">
      <c r="A215" s="8" t="s">
        <v>4698</v>
      </c>
      <c r="B215" s="10" t="str">
        <f>VLOOKUP(A215,[1]Sheet1!$B$2:$C$247,2,0)</f>
        <v>070000162845</v>
      </c>
      <c r="C215" s="15">
        <v>33150</v>
      </c>
      <c r="D215" s="11">
        <f t="shared" si="13"/>
        <v>33150</v>
      </c>
      <c r="E215" s="17" t="s">
        <v>4978</v>
      </c>
      <c r="F215" s="12" t="str">
        <f t="shared" si="12"/>
        <v>insert into ins_premium_det (premium_rcv_code,assorted_code, rec_amount,premium_rcv_detail_code,remaining_amt, payrec, mode_code,coinsurance_code,class_cd,it_remarks) values</v>
      </c>
      <c r="G215" s="13" t="str">
        <f t="shared" si="14"/>
        <v>('28Aug240039','070000162845','33150',(select max(to_number(i.premium_rcv_detail_code))+1
from ins_premium_det i),'33150','33150','02', '11000003','00','Request by Mr. Saqib Saleem 28-Aug-2024');</v>
      </c>
      <c r="H215" s="14" t="str">
        <f t="shared" si="15"/>
        <v>insert into ins_premium_det (premium_rcv_code,assorted_code, rec_amount,premium_rcv_detail_code,remaining_amt, payrec, mode_code,coinsurance_code,class_cd,it_remarks) values('28Aug240039','070000162845','33150',(select max(to_number(i.premium_rcv_detail_code))+1
from ins_premium_det i),'33150','33150','02', '11000003','00','Request by Mr. Saqib Saleem 28-Aug-2024');</v>
      </c>
    </row>
    <row r="216" spans="1:8" ht="105" x14ac:dyDescent="0.25">
      <c r="A216" s="9" t="s">
        <v>4699</v>
      </c>
      <c r="B216" s="10" t="str">
        <f>VLOOKUP(A216,[1]Sheet1!$B$2:$C$247,2,0)</f>
        <v>070000162846</v>
      </c>
      <c r="C216" s="16">
        <v>50235</v>
      </c>
      <c r="D216" s="11">
        <f t="shared" si="13"/>
        <v>50235</v>
      </c>
      <c r="E216" s="17" t="s">
        <v>4978</v>
      </c>
      <c r="F216" s="12" t="str">
        <f t="shared" si="12"/>
        <v>insert into ins_premium_det (premium_rcv_code,assorted_code, rec_amount,premium_rcv_detail_code,remaining_amt, payrec, mode_code,coinsurance_code,class_cd,it_remarks) values</v>
      </c>
      <c r="G216" s="13" t="str">
        <f t="shared" si="14"/>
        <v>('28Aug240039','070000162846','50235',(select max(to_number(i.premium_rcv_detail_code))+1
from ins_premium_det i),'50235','50235','02', '11000003','00','Request by Mr. Saqib Saleem 28-Aug-2024');</v>
      </c>
      <c r="H216" s="14" t="str">
        <f t="shared" si="15"/>
        <v>insert into ins_premium_det (premium_rcv_code,assorted_code, rec_amount,premium_rcv_detail_code,remaining_amt, payrec, mode_code,coinsurance_code,class_cd,it_remarks) values('28Aug240039','070000162846','50235',(select max(to_number(i.premium_rcv_detail_code))+1
from ins_premium_det i),'50235','50235','02', '11000003','00','Request by Mr. Saqib Saleem 28-Aug-2024');</v>
      </c>
    </row>
    <row r="217" spans="1:8" ht="105" x14ac:dyDescent="0.25">
      <c r="A217" s="8" t="s">
        <v>4700</v>
      </c>
      <c r="B217" s="10" t="str">
        <f>VLOOKUP(A217,[1]Sheet1!$B$2:$C$247,2,0)</f>
        <v>070000162848</v>
      </c>
      <c r="C217" s="15">
        <v>26775</v>
      </c>
      <c r="D217" s="11">
        <f t="shared" si="13"/>
        <v>26775</v>
      </c>
      <c r="E217" s="17" t="s">
        <v>4978</v>
      </c>
      <c r="F217" s="12" t="str">
        <f t="shared" si="12"/>
        <v>insert into ins_premium_det (premium_rcv_code,assorted_code, rec_amount,premium_rcv_detail_code,remaining_amt, payrec, mode_code,coinsurance_code,class_cd,it_remarks) values</v>
      </c>
      <c r="G217" s="13" t="str">
        <f t="shared" si="14"/>
        <v>('28Aug240039','070000162848','26775',(select max(to_number(i.premium_rcv_detail_code))+1
from ins_premium_det i),'26775','26775','02', '11000003','00','Request by Mr. Saqib Saleem 28-Aug-2024');</v>
      </c>
      <c r="H217" s="14" t="str">
        <f t="shared" si="15"/>
        <v>insert into ins_premium_det (premium_rcv_code,assorted_code, rec_amount,premium_rcv_detail_code,remaining_amt, payrec, mode_code,coinsurance_code,class_cd,it_remarks) values('28Aug240039','070000162848','26775',(select max(to_number(i.premium_rcv_detail_code))+1
from ins_premium_det i),'26775','26775','02', '11000003','00','Request by Mr. Saqib Saleem 28-Aug-2024');</v>
      </c>
    </row>
    <row r="218" spans="1:8" ht="105" x14ac:dyDescent="0.25">
      <c r="A218" s="9" t="s">
        <v>4701</v>
      </c>
      <c r="B218" s="10" t="str">
        <f>VLOOKUP(A218,[1]Sheet1!$B$2:$C$247,2,0)</f>
        <v>070000162849</v>
      </c>
      <c r="C218" s="16">
        <v>67342</v>
      </c>
      <c r="D218" s="11">
        <f t="shared" si="13"/>
        <v>67342</v>
      </c>
      <c r="E218" s="17" t="s">
        <v>4978</v>
      </c>
      <c r="F218" s="12" t="str">
        <f t="shared" si="12"/>
        <v>insert into ins_premium_det (premium_rcv_code,assorted_code, rec_amount,premium_rcv_detail_code,remaining_amt, payrec, mode_code,coinsurance_code,class_cd,it_remarks) values</v>
      </c>
      <c r="G218" s="13" t="str">
        <f t="shared" si="14"/>
        <v>('28Aug240039','070000162849','67342',(select max(to_number(i.premium_rcv_detail_code))+1
from ins_premium_det i),'67342','67342','02', '11000003','00','Request by Mr. Saqib Saleem 28-Aug-2024');</v>
      </c>
      <c r="H218" s="14" t="str">
        <f t="shared" si="15"/>
        <v>insert into ins_premium_det (premium_rcv_code,assorted_code, rec_amount,premium_rcv_detail_code,remaining_amt, payrec, mode_code,coinsurance_code,class_cd,it_remarks) values('28Aug240039','070000162849','67342',(select max(to_number(i.premium_rcv_detail_code))+1
from ins_premium_det i),'67342','67342','02', '11000003','00','Request by Mr. Saqib Saleem 28-Aug-2024');</v>
      </c>
    </row>
    <row r="219" spans="1:8" ht="105" x14ac:dyDescent="0.25">
      <c r="A219" s="8" t="s">
        <v>4702</v>
      </c>
      <c r="B219" s="10" t="str">
        <f>VLOOKUP(A219,[1]Sheet1!$B$2:$C$247,2,0)</f>
        <v>070000162882</v>
      </c>
      <c r="C219" s="15">
        <v>22950</v>
      </c>
      <c r="D219" s="11">
        <f t="shared" si="13"/>
        <v>22950</v>
      </c>
      <c r="E219" s="17" t="s">
        <v>4978</v>
      </c>
      <c r="F219" s="12" t="str">
        <f t="shared" si="12"/>
        <v>insert into ins_premium_det (premium_rcv_code,assorted_code, rec_amount,premium_rcv_detail_code,remaining_amt, payrec, mode_code,coinsurance_code,class_cd,it_remarks) values</v>
      </c>
      <c r="G219" s="13" t="str">
        <f t="shared" si="14"/>
        <v>('28Aug240039','070000162882','22950',(select max(to_number(i.premium_rcv_detail_code))+1
from ins_premium_det i),'22950','22950','02', '11000003','00','Request by Mr. Saqib Saleem 28-Aug-2024');</v>
      </c>
      <c r="H219" s="14" t="str">
        <f t="shared" si="15"/>
        <v>insert into ins_premium_det (premium_rcv_code,assorted_code, rec_amount,premium_rcv_detail_code,remaining_amt, payrec, mode_code,coinsurance_code,class_cd,it_remarks) values('28Aug240039','070000162882','22950',(select max(to_number(i.premium_rcv_detail_code))+1
from ins_premium_det i),'22950','22950','02', '11000003','00','Request by Mr. Saqib Saleem 28-Aug-2024');</v>
      </c>
    </row>
    <row r="220" spans="1:8" ht="105" x14ac:dyDescent="0.25">
      <c r="A220" s="9" t="s">
        <v>4703</v>
      </c>
      <c r="B220" s="10" t="str">
        <f>VLOOKUP(A220,[1]Sheet1!$B$2:$C$247,2,0)</f>
        <v>070000162880</v>
      </c>
      <c r="C220" s="16">
        <v>24225</v>
      </c>
      <c r="D220" s="11">
        <f t="shared" si="13"/>
        <v>24225</v>
      </c>
      <c r="E220" s="17" t="s">
        <v>4978</v>
      </c>
      <c r="F220" s="12" t="str">
        <f t="shared" si="12"/>
        <v>insert into ins_premium_det (premium_rcv_code,assorted_code, rec_amount,premium_rcv_detail_code,remaining_amt, payrec, mode_code,coinsurance_code,class_cd,it_remarks) values</v>
      </c>
      <c r="G220" s="13" t="str">
        <f t="shared" si="14"/>
        <v>('28Aug240039','070000162880','24225',(select max(to_number(i.premium_rcv_detail_code))+1
from ins_premium_det i),'24225','24225','02', '11000003','00','Request by Mr. Saqib Saleem 28-Aug-2024');</v>
      </c>
      <c r="H220" s="14" t="str">
        <f t="shared" si="15"/>
        <v>insert into ins_premium_det (premium_rcv_code,assorted_code, rec_amount,premium_rcv_detail_code,remaining_amt, payrec, mode_code,coinsurance_code,class_cd,it_remarks) values('28Aug240039','070000162880','24225',(select max(to_number(i.premium_rcv_detail_code))+1
from ins_premium_det i),'24225','24225','02', '11000003','00','Request by Mr. Saqib Saleem 28-Aug-2024');</v>
      </c>
    </row>
    <row r="221" spans="1:8" ht="105" x14ac:dyDescent="0.25">
      <c r="A221" s="8" t="s">
        <v>4704</v>
      </c>
      <c r="B221" s="10" t="str">
        <f>VLOOKUP(A221,[1]Sheet1!$B$2:$C$247,2,0)</f>
        <v>070000162879</v>
      </c>
      <c r="C221" s="15">
        <v>20081</v>
      </c>
      <c r="D221" s="11">
        <f t="shared" si="13"/>
        <v>20081</v>
      </c>
      <c r="E221" s="17" t="s">
        <v>4978</v>
      </c>
      <c r="F221" s="12" t="str">
        <f t="shared" si="12"/>
        <v>insert into ins_premium_det (premium_rcv_code,assorted_code, rec_amount,premium_rcv_detail_code,remaining_amt, payrec, mode_code,coinsurance_code,class_cd,it_remarks) values</v>
      </c>
      <c r="G221" s="13" t="str">
        <f t="shared" si="14"/>
        <v>('28Aug240039','070000162879','20081',(select max(to_number(i.premium_rcv_detail_code))+1
from ins_premium_det i),'20081','20081','02', '11000003','00','Request by Mr. Saqib Saleem 28-Aug-2024');</v>
      </c>
      <c r="H221" s="14" t="str">
        <f t="shared" si="15"/>
        <v>insert into ins_premium_det (premium_rcv_code,assorted_code, rec_amount,premium_rcv_detail_code,remaining_amt, payrec, mode_code,coinsurance_code,class_cd,it_remarks) values('28Aug240039','070000162879','20081',(select max(to_number(i.premium_rcv_detail_code))+1
from ins_premium_det i),'20081','20081','02', '11000003','00','Request by Mr. Saqib Saleem 28-Aug-2024');</v>
      </c>
    </row>
    <row r="222" spans="1:8" ht="105" x14ac:dyDescent="0.25">
      <c r="A222" s="9" t="s">
        <v>4705</v>
      </c>
      <c r="B222" s="10" t="str">
        <f>VLOOKUP(A222,[1]Sheet1!$B$2:$C$247,2,0)</f>
        <v>070000162878</v>
      </c>
      <c r="C222" s="16">
        <v>33150</v>
      </c>
      <c r="D222" s="11">
        <f t="shared" si="13"/>
        <v>33150</v>
      </c>
      <c r="E222" s="17" t="s">
        <v>4978</v>
      </c>
      <c r="F222" s="12" t="str">
        <f t="shared" si="12"/>
        <v>insert into ins_premium_det (premium_rcv_code,assorted_code, rec_amount,premium_rcv_detail_code,remaining_amt, payrec, mode_code,coinsurance_code,class_cd,it_remarks) values</v>
      </c>
      <c r="G222" s="13" t="str">
        <f t="shared" si="14"/>
        <v>('28Aug240039','070000162878','33150',(select max(to_number(i.premium_rcv_detail_code))+1
from ins_premium_det i),'33150','33150','02', '11000003','00','Request by Mr. Saqib Saleem 28-Aug-2024');</v>
      </c>
      <c r="H222" s="14" t="str">
        <f t="shared" si="15"/>
        <v>insert into ins_premium_det (premium_rcv_code,assorted_code, rec_amount,premium_rcv_detail_code,remaining_amt, payrec, mode_code,coinsurance_code,class_cd,it_remarks) values('28Aug240039','070000162878','33150',(select max(to_number(i.premium_rcv_detail_code))+1
from ins_premium_det i),'33150','33150','02', '11000003','00','Request by Mr. Saqib Saleem 28-Aug-2024');</v>
      </c>
    </row>
    <row r="223" spans="1:8" ht="105" x14ac:dyDescent="0.25">
      <c r="A223" s="8" t="s">
        <v>4706</v>
      </c>
      <c r="B223" s="10" t="str">
        <f>VLOOKUP(A223,[1]Sheet1!$B$2:$C$247,2,0)</f>
        <v>070000162852</v>
      </c>
      <c r="C223" s="15">
        <v>21658</v>
      </c>
      <c r="D223" s="11">
        <f t="shared" si="13"/>
        <v>21658</v>
      </c>
      <c r="E223" s="17" t="s">
        <v>4978</v>
      </c>
      <c r="F223" s="12" t="str">
        <f t="shared" si="12"/>
        <v>insert into ins_premium_det (premium_rcv_code,assorted_code, rec_amount,premium_rcv_detail_code,remaining_amt, payrec, mode_code,coinsurance_code,class_cd,it_remarks) values</v>
      </c>
      <c r="G223" s="13" t="str">
        <f t="shared" si="14"/>
        <v>('28Aug240039','070000162852','21658',(select max(to_number(i.premium_rcv_detail_code))+1
from ins_premium_det i),'21658','21658','02', '11000003','00','Request by Mr. Saqib Saleem 28-Aug-2024');</v>
      </c>
      <c r="H223" s="14" t="str">
        <f t="shared" si="15"/>
        <v>insert into ins_premium_det (premium_rcv_code,assorted_code, rec_amount,premium_rcv_detail_code,remaining_amt, payrec, mode_code,coinsurance_code,class_cd,it_remarks) values('28Aug240039','070000162852','21658',(select max(to_number(i.premium_rcv_detail_code))+1
from ins_premium_det i),'21658','21658','02', '11000003','00','Request by Mr. Saqib Saleem 28-Aug-2024');</v>
      </c>
    </row>
    <row r="224" spans="1:8" ht="105" x14ac:dyDescent="0.25">
      <c r="A224" s="9" t="s">
        <v>4707</v>
      </c>
      <c r="B224" s="10" t="str">
        <f>VLOOKUP(A224,[1]Sheet1!$B$2:$C$247,2,0)</f>
        <v>070000162853</v>
      </c>
      <c r="C224" s="16">
        <v>74655</v>
      </c>
      <c r="D224" s="11">
        <f t="shared" si="13"/>
        <v>74655</v>
      </c>
      <c r="E224" s="17" t="s">
        <v>4978</v>
      </c>
      <c r="F224" s="12" t="str">
        <f t="shared" si="12"/>
        <v>insert into ins_premium_det (premium_rcv_code,assorted_code, rec_amount,premium_rcv_detail_code,remaining_amt, payrec, mode_code,coinsurance_code,class_cd,it_remarks) values</v>
      </c>
      <c r="G224" s="13" t="str">
        <f t="shared" si="14"/>
        <v>('28Aug240039','070000162853','74655',(select max(to_number(i.premium_rcv_detail_code))+1
from ins_premium_det i),'74655','74655','02', '11000003','00','Request by Mr. Saqib Saleem 28-Aug-2024');</v>
      </c>
      <c r="H224" s="14" t="str">
        <f t="shared" si="15"/>
        <v>insert into ins_premium_det (premium_rcv_code,assorted_code, rec_amount,premium_rcv_detail_code,remaining_amt, payrec, mode_code,coinsurance_code,class_cd,it_remarks) values('28Aug240039','070000162853','74655',(select max(to_number(i.premium_rcv_detail_code))+1
from ins_premium_det i),'74655','74655','02', '11000003','00','Request by Mr. Saqib Saleem 28-Aug-2024');</v>
      </c>
    </row>
    <row r="225" spans="1:8" ht="105" x14ac:dyDescent="0.25">
      <c r="A225" s="8" t="s">
        <v>4708</v>
      </c>
      <c r="B225" s="10" t="str">
        <f>VLOOKUP(A225,[1]Sheet1!$B$2:$C$247,2,0)</f>
        <v>070000162877</v>
      </c>
      <c r="C225" s="15">
        <v>72450</v>
      </c>
      <c r="D225" s="11">
        <f t="shared" si="13"/>
        <v>72450</v>
      </c>
      <c r="E225" s="17" t="s">
        <v>4978</v>
      </c>
      <c r="F225" s="12" t="str">
        <f t="shared" si="12"/>
        <v>insert into ins_premium_det (premium_rcv_code,assorted_code, rec_amount,premium_rcv_detail_code,remaining_amt, payrec, mode_code,coinsurance_code,class_cd,it_remarks) values</v>
      </c>
      <c r="G225" s="13" t="str">
        <f t="shared" si="14"/>
        <v>('28Aug240039','070000162877','72450',(select max(to_number(i.premium_rcv_detail_code))+1
from ins_premium_det i),'72450','72450','02', '11000003','00','Request by Mr. Saqib Saleem 28-Aug-2024');</v>
      </c>
      <c r="H225" s="14" t="str">
        <f t="shared" si="15"/>
        <v>insert into ins_premium_det (premium_rcv_code,assorted_code, rec_amount,premium_rcv_detail_code,remaining_amt, payrec, mode_code,coinsurance_code,class_cd,it_remarks) values('28Aug240039','070000162877','72450',(select max(to_number(i.premium_rcv_detail_code))+1
from ins_premium_det i),'72450','72450','02', '11000003','00','Request by Mr. Saqib Saleem 28-Aug-2024');</v>
      </c>
    </row>
    <row r="226" spans="1:8" ht="105" x14ac:dyDescent="0.25">
      <c r="A226" s="9" t="s">
        <v>4709</v>
      </c>
      <c r="B226" s="10" t="str">
        <f>VLOOKUP(A226,[1]Sheet1!$B$2:$C$247,2,0)</f>
        <v>070000162876</v>
      </c>
      <c r="C226" s="16">
        <v>37530</v>
      </c>
      <c r="D226" s="11">
        <f t="shared" si="13"/>
        <v>37530</v>
      </c>
      <c r="E226" s="17" t="s">
        <v>4978</v>
      </c>
      <c r="F226" s="12" t="str">
        <f t="shared" si="12"/>
        <v>insert into ins_premium_det (premium_rcv_code,assorted_code, rec_amount,premium_rcv_detail_code,remaining_amt, payrec, mode_code,coinsurance_code,class_cd,it_remarks) values</v>
      </c>
      <c r="G226" s="13" t="str">
        <f t="shared" si="14"/>
        <v>('28Aug240039','070000162876','37530',(select max(to_number(i.premium_rcv_detail_code))+1
from ins_premium_det i),'37530','37530','02', '11000003','00','Request by Mr. Saqib Saleem 28-Aug-2024');</v>
      </c>
      <c r="H226" s="14" t="str">
        <f t="shared" si="15"/>
        <v>insert into ins_premium_det (premium_rcv_code,assorted_code, rec_amount,premium_rcv_detail_code,remaining_amt, payrec, mode_code,coinsurance_code,class_cd,it_remarks) values('28Aug240039','070000162876','37530',(select max(to_number(i.premium_rcv_detail_code))+1
from ins_premium_det i),'37530','37530','02', '11000003','00','Request by Mr. Saqib Saleem 28-Aug-2024');</v>
      </c>
    </row>
    <row r="227" spans="1:8" ht="105" x14ac:dyDescent="0.25">
      <c r="A227" s="8" t="s">
        <v>4710</v>
      </c>
      <c r="B227" s="10" t="str">
        <f>VLOOKUP(A227,[1]Sheet1!$B$2:$C$247,2,0)</f>
        <v>070000162854</v>
      </c>
      <c r="C227" s="15">
        <v>94265</v>
      </c>
      <c r="D227" s="11">
        <f t="shared" si="13"/>
        <v>94265</v>
      </c>
      <c r="E227" s="17" t="s">
        <v>4978</v>
      </c>
      <c r="F227" s="12" t="str">
        <f t="shared" si="12"/>
        <v>insert into ins_premium_det (premium_rcv_code,assorted_code, rec_amount,premium_rcv_detail_code,remaining_amt, payrec, mode_code,coinsurance_code,class_cd,it_remarks) values</v>
      </c>
      <c r="G227" s="13" t="str">
        <f t="shared" si="14"/>
        <v>('28Aug240039','070000162854','94265',(select max(to_number(i.premium_rcv_detail_code))+1
from ins_premium_det i),'94265','94265','02', '11000003','00','Request by Mr. Saqib Saleem 28-Aug-2024');</v>
      </c>
      <c r="H227" s="14" t="str">
        <f t="shared" si="15"/>
        <v>insert into ins_premium_det (premium_rcv_code,assorted_code, rec_amount,premium_rcv_detail_code,remaining_amt, payrec, mode_code,coinsurance_code,class_cd,it_remarks) values('28Aug240039','070000162854','94265',(select max(to_number(i.premium_rcv_detail_code))+1
from ins_premium_det i),'94265','94265','02', '11000003','00','Request by Mr. Saqib Saleem 28-Aug-2024');</v>
      </c>
    </row>
    <row r="228" spans="1:8" ht="105" x14ac:dyDescent="0.25">
      <c r="A228" s="9" t="s">
        <v>4711</v>
      </c>
      <c r="B228" s="10" t="str">
        <f>VLOOKUP(A228,[1]Sheet1!$B$2:$C$247,2,0)</f>
        <v>070000162855</v>
      </c>
      <c r="C228" s="16">
        <v>59479</v>
      </c>
      <c r="D228" s="11">
        <f t="shared" si="13"/>
        <v>59479</v>
      </c>
      <c r="E228" s="17" t="s">
        <v>4978</v>
      </c>
      <c r="F228" s="12" t="str">
        <f t="shared" si="12"/>
        <v>insert into ins_premium_det (premium_rcv_code,assorted_code, rec_amount,premium_rcv_detail_code,remaining_amt, payrec, mode_code,coinsurance_code,class_cd,it_remarks) values</v>
      </c>
      <c r="G228" s="13" t="str">
        <f t="shared" si="14"/>
        <v>('28Aug240039','070000162855','59479',(select max(to_number(i.premium_rcv_detail_code))+1
from ins_premium_det i),'59479','59479','02', '11000003','00','Request by Mr. Saqib Saleem 28-Aug-2024');</v>
      </c>
      <c r="H228" s="14" t="str">
        <f t="shared" si="15"/>
        <v>insert into ins_premium_det (premium_rcv_code,assorted_code, rec_amount,premium_rcv_detail_code,remaining_amt, payrec, mode_code,coinsurance_code,class_cd,it_remarks) values('28Aug240039','070000162855','59479',(select max(to_number(i.premium_rcv_detail_code))+1
from ins_premium_det i),'59479','59479','02', '11000003','00','Request by Mr. Saqib Saleem 28-Aug-2024');</v>
      </c>
    </row>
    <row r="229" spans="1:8" ht="105" x14ac:dyDescent="0.25">
      <c r="A229" s="8" t="s">
        <v>4712</v>
      </c>
      <c r="B229" s="10" t="str">
        <f>VLOOKUP(A229,[1]Sheet1!$B$2:$C$247,2,0)</f>
        <v>070000162856</v>
      </c>
      <c r="C229" s="15">
        <v>31544</v>
      </c>
      <c r="D229" s="11">
        <f t="shared" si="13"/>
        <v>31544</v>
      </c>
      <c r="E229" s="17" t="s">
        <v>4978</v>
      </c>
      <c r="F229" s="12" t="str">
        <f t="shared" si="12"/>
        <v>insert into ins_premium_det (premium_rcv_code,assorted_code, rec_amount,premium_rcv_detail_code,remaining_amt, payrec, mode_code,coinsurance_code,class_cd,it_remarks) values</v>
      </c>
      <c r="G229" s="13" t="str">
        <f t="shared" si="14"/>
        <v>('28Aug240039','070000162856','31544',(select max(to_number(i.premium_rcv_detail_code))+1
from ins_premium_det i),'31544','31544','02', '11000003','00','Request by Mr. Saqib Saleem 28-Aug-2024');</v>
      </c>
      <c r="H229" s="14" t="str">
        <f t="shared" si="15"/>
        <v>insert into ins_premium_det (premium_rcv_code,assorted_code, rec_amount,premium_rcv_detail_code,remaining_amt, payrec, mode_code,coinsurance_code,class_cd,it_remarks) values('28Aug240039','070000162856','31544',(select max(to_number(i.premium_rcv_detail_code))+1
from ins_premium_det i),'31544','31544','02', '11000003','00','Request by Mr. Saqib Saleem 28-Aug-2024');</v>
      </c>
    </row>
    <row r="230" spans="1:8" ht="105" x14ac:dyDescent="0.25">
      <c r="A230" s="9" t="s">
        <v>4713</v>
      </c>
      <c r="B230" s="10" t="str">
        <f>VLOOKUP(A230,[1]Sheet1!$B$2:$C$247,2,0)</f>
        <v>070000162859</v>
      </c>
      <c r="C230" s="16">
        <v>46495</v>
      </c>
      <c r="D230" s="11">
        <f t="shared" si="13"/>
        <v>46495</v>
      </c>
      <c r="E230" s="17" t="s">
        <v>4978</v>
      </c>
      <c r="F230" s="12" t="str">
        <f t="shared" si="12"/>
        <v>insert into ins_premium_det (premium_rcv_code,assorted_code, rec_amount,premium_rcv_detail_code,remaining_amt, payrec, mode_code,coinsurance_code,class_cd,it_remarks) values</v>
      </c>
      <c r="G230" s="13" t="str">
        <f t="shared" si="14"/>
        <v>('28Aug240039','070000162859','46495',(select max(to_number(i.premium_rcv_detail_code))+1
from ins_premium_det i),'46495','46495','02', '11000003','00','Request by Mr. Saqib Saleem 28-Aug-2024');</v>
      </c>
      <c r="H230" s="14" t="str">
        <f t="shared" si="15"/>
        <v>insert into ins_premium_det (premium_rcv_code,assorted_code, rec_amount,premium_rcv_detail_code,remaining_amt, payrec, mode_code,coinsurance_code,class_cd,it_remarks) values('28Aug240039','070000162859','46495',(select max(to_number(i.premium_rcv_detail_code))+1
from ins_premium_det i),'46495','46495','02', '11000003','00','Request by Mr. Saqib Saleem 28-Aug-2024');</v>
      </c>
    </row>
    <row r="231" spans="1:8" ht="105" x14ac:dyDescent="0.25">
      <c r="A231" s="8" t="s">
        <v>4714</v>
      </c>
      <c r="B231" s="10" t="str">
        <f>VLOOKUP(A231,[1]Sheet1!$B$2:$C$247,2,0)</f>
        <v>070000162861</v>
      </c>
      <c r="C231" s="15">
        <v>119000</v>
      </c>
      <c r="D231" s="11">
        <f t="shared" si="13"/>
        <v>119000</v>
      </c>
      <c r="E231" s="17" t="s">
        <v>4978</v>
      </c>
      <c r="F231" s="12" t="str">
        <f t="shared" si="12"/>
        <v>insert into ins_premium_det (premium_rcv_code,assorted_code, rec_amount,premium_rcv_detail_code,remaining_amt, payrec, mode_code,coinsurance_code,class_cd,it_remarks) values</v>
      </c>
      <c r="G231" s="13" t="str">
        <f t="shared" si="14"/>
        <v>('28Aug240039','070000162861','119000',(select max(to_number(i.premium_rcv_detail_code))+1
from ins_premium_det i),'119000','119000','02', '11000003','00','Request by Mr. Saqib Saleem 28-Aug-2024');</v>
      </c>
      <c r="H231" s="14" t="str">
        <f t="shared" si="15"/>
        <v>insert into ins_premium_det (premium_rcv_code,assorted_code, rec_amount,premium_rcv_detail_code,remaining_amt, payrec, mode_code,coinsurance_code,class_cd,it_remarks) values('28Aug240039','070000162861','119000',(select max(to_number(i.premium_rcv_detail_code))+1
from ins_premium_det i),'119000','119000','02', '11000003','00','Request by Mr. Saqib Saleem 28-Aug-2024');</v>
      </c>
    </row>
    <row r="232" spans="1:8" ht="105" x14ac:dyDescent="0.25">
      <c r="A232" s="9" t="s">
        <v>4715</v>
      </c>
      <c r="B232" s="10" t="str">
        <f>VLOOKUP(A232,[1]Sheet1!$B$2:$C$247,2,0)</f>
        <v>070000162865</v>
      </c>
      <c r="C232" s="16">
        <v>76286</v>
      </c>
      <c r="D232" s="11">
        <f t="shared" si="13"/>
        <v>76286</v>
      </c>
      <c r="E232" s="17" t="s">
        <v>4978</v>
      </c>
      <c r="F232" s="12" t="str">
        <f t="shared" si="12"/>
        <v>insert into ins_premium_det (premium_rcv_code,assorted_code, rec_amount,premium_rcv_detail_code,remaining_amt, payrec, mode_code,coinsurance_code,class_cd,it_remarks) values</v>
      </c>
      <c r="G232" s="13" t="str">
        <f t="shared" si="14"/>
        <v>('28Aug240039','070000162865','76286',(select max(to_number(i.premium_rcv_detail_code))+1
from ins_premium_det i),'76286','76286','02', '11000003','00','Request by Mr. Saqib Saleem 28-Aug-2024');</v>
      </c>
      <c r="H232" s="14" t="str">
        <f t="shared" si="15"/>
        <v>insert into ins_premium_det (premium_rcv_code,assorted_code, rec_amount,premium_rcv_detail_code,remaining_amt, payrec, mode_code,coinsurance_code,class_cd,it_remarks) values('28Aug240039','070000162865','76286',(select max(to_number(i.premium_rcv_detail_code))+1
from ins_premium_det i),'76286','76286','02', '11000003','00','Request by Mr. Saqib Saleem 28-Aug-2024');</v>
      </c>
    </row>
    <row r="233" spans="1:8" ht="105" x14ac:dyDescent="0.25">
      <c r="A233" s="8" t="s">
        <v>4716</v>
      </c>
      <c r="B233" s="10" t="str">
        <f>VLOOKUP(A233,[1]Sheet1!$B$2:$C$247,2,0)</f>
        <v>070000162875</v>
      </c>
      <c r="C233" s="15">
        <v>101268</v>
      </c>
      <c r="D233" s="11">
        <f t="shared" si="13"/>
        <v>101268</v>
      </c>
      <c r="E233" s="17" t="s">
        <v>4978</v>
      </c>
      <c r="F233" s="12" t="str">
        <f t="shared" si="12"/>
        <v>insert into ins_premium_det (premium_rcv_code,assorted_code, rec_amount,premium_rcv_detail_code,remaining_amt, payrec, mode_code,coinsurance_code,class_cd,it_remarks) values</v>
      </c>
      <c r="G233" s="13" t="str">
        <f t="shared" si="14"/>
        <v>('28Aug240039','070000162875','101268',(select max(to_number(i.premium_rcv_detail_code))+1
from ins_premium_det i),'101268','101268','02', '11000003','00','Request by Mr. Saqib Saleem 28-Aug-2024');</v>
      </c>
      <c r="H233" s="14" t="str">
        <f t="shared" si="15"/>
        <v>insert into ins_premium_det (premium_rcv_code,assorted_code, rec_amount,premium_rcv_detail_code,remaining_amt, payrec, mode_code,coinsurance_code,class_cd,it_remarks) values('28Aug240039','070000162875','101268',(select max(to_number(i.premium_rcv_detail_code))+1
from ins_premium_det i),'101268','101268','02', '11000003','00','Request by Mr. Saqib Saleem 28-Aug-2024');</v>
      </c>
    </row>
    <row r="234" spans="1:8" ht="105" x14ac:dyDescent="0.25">
      <c r="A234" s="9" t="s">
        <v>4717</v>
      </c>
      <c r="B234" s="10" t="str">
        <f>VLOOKUP(A234,[1]Sheet1!$B$2:$C$247,2,0)</f>
        <v>070000162874</v>
      </c>
      <c r="C234" s="16">
        <v>47175</v>
      </c>
      <c r="D234" s="11">
        <f t="shared" si="13"/>
        <v>47175</v>
      </c>
      <c r="E234" s="17" t="s">
        <v>4978</v>
      </c>
      <c r="F234" s="12" t="str">
        <f t="shared" si="12"/>
        <v>insert into ins_premium_det (premium_rcv_code,assorted_code, rec_amount,premium_rcv_detail_code,remaining_amt, payrec, mode_code,coinsurance_code,class_cd,it_remarks) values</v>
      </c>
      <c r="G234" s="13" t="str">
        <f t="shared" si="14"/>
        <v>('28Aug240039','070000162874','47175',(select max(to_number(i.premium_rcv_detail_code))+1
from ins_premium_det i),'47175','47175','02', '11000003','00','Request by Mr. Saqib Saleem 28-Aug-2024');</v>
      </c>
      <c r="H234" s="14" t="str">
        <f t="shared" si="15"/>
        <v>insert into ins_premium_det (premium_rcv_code,assorted_code, rec_amount,premium_rcv_detail_code,remaining_amt, payrec, mode_code,coinsurance_code,class_cd,it_remarks) values('28Aug240039','070000162874','47175',(select max(to_number(i.premium_rcv_detail_code))+1
from ins_premium_det i),'47175','47175','02', '11000003','00','Request by Mr. Saqib Saleem 28-Aug-2024');</v>
      </c>
    </row>
    <row r="235" spans="1:8" ht="105" x14ac:dyDescent="0.25">
      <c r="A235" s="8" t="s">
        <v>4718</v>
      </c>
      <c r="B235" s="10" t="str">
        <f>VLOOKUP(A235,[1]Sheet1!$B$2:$C$247,2,0)</f>
        <v>070000162873</v>
      </c>
      <c r="C235" s="15">
        <v>63750</v>
      </c>
      <c r="D235" s="11">
        <f t="shared" si="13"/>
        <v>63750</v>
      </c>
      <c r="E235" s="17" t="s">
        <v>4978</v>
      </c>
      <c r="F235" s="12" t="str">
        <f t="shared" si="12"/>
        <v>insert into ins_premium_det (premium_rcv_code,assorted_code, rec_amount,premium_rcv_detail_code,remaining_amt, payrec, mode_code,coinsurance_code,class_cd,it_remarks) values</v>
      </c>
      <c r="G235" s="13" t="str">
        <f t="shared" si="14"/>
        <v>('28Aug240039','070000162873','63750',(select max(to_number(i.premium_rcv_detail_code))+1
from ins_premium_det i),'63750','63750','02', '11000003','00','Request by Mr. Saqib Saleem 28-Aug-2024');</v>
      </c>
      <c r="H235" s="14" t="str">
        <f t="shared" si="15"/>
        <v>insert into ins_premium_det (premium_rcv_code,assorted_code, rec_amount,premium_rcv_detail_code,remaining_amt, payrec, mode_code,coinsurance_code,class_cd,it_remarks) values('28Aug240039','070000162873','63750',(select max(to_number(i.premium_rcv_detail_code))+1
from ins_premium_det i),'63750','63750','02', '11000003','00','Request by Mr. Saqib Saleem 28-Aug-2024');</v>
      </c>
    </row>
    <row r="236" spans="1:8" ht="105" x14ac:dyDescent="0.25">
      <c r="A236" s="9" t="s">
        <v>4719</v>
      </c>
      <c r="B236" s="10" t="str">
        <f>VLOOKUP(A236,[1]Sheet1!$B$2:$C$247,2,0)</f>
        <v>070000162868</v>
      </c>
      <c r="C236" s="16">
        <v>41895</v>
      </c>
      <c r="D236" s="11">
        <f t="shared" si="13"/>
        <v>41895</v>
      </c>
      <c r="E236" s="17" t="s">
        <v>4978</v>
      </c>
      <c r="F236" s="12" t="str">
        <f t="shared" si="12"/>
        <v>insert into ins_premium_det (premium_rcv_code,assorted_code, rec_amount,premium_rcv_detail_code,remaining_amt, payrec, mode_code,coinsurance_code,class_cd,it_remarks) values</v>
      </c>
      <c r="G236" s="13" t="str">
        <f t="shared" si="14"/>
        <v>('28Aug240039','070000162868','41895',(select max(to_number(i.premium_rcv_detail_code))+1
from ins_premium_det i),'41895','41895','02', '11000003','00','Request by Mr. Saqib Saleem 28-Aug-2024');</v>
      </c>
      <c r="H236" s="14" t="str">
        <f t="shared" si="15"/>
        <v>insert into ins_premium_det (premium_rcv_code,assorted_code, rec_amount,premium_rcv_detail_code,remaining_amt, payrec, mode_code,coinsurance_code,class_cd,it_remarks) values('28Aug240039','070000162868','41895',(select max(to_number(i.premium_rcv_detail_code))+1
from ins_premium_det i),'41895','41895','02', '11000003','00','Request by Mr. Saqib Saleem 28-Aug-2024');</v>
      </c>
    </row>
    <row r="237" spans="1:8" ht="105" x14ac:dyDescent="0.25">
      <c r="A237" s="8" t="s">
        <v>4720</v>
      </c>
      <c r="B237" s="10" t="str">
        <f>VLOOKUP(A237,[1]Sheet1!$B$2:$C$247,2,0)</f>
        <v>070000162870</v>
      </c>
      <c r="C237" s="15">
        <v>26163</v>
      </c>
      <c r="D237" s="11">
        <f t="shared" si="13"/>
        <v>26163</v>
      </c>
      <c r="E237" s="17" t="s">
        <v>4978</v>
      </c>
      <c r="F237" s="12" t="str">
        <f t="shared" si="12"/>
        <v>insert into ins_premium_det (premium_rcv_code,assorted_code, rec_amount,premium_rcv_detail_code,remaining_amt, payrec, mode_code,coinsurance_code,class_cd,it_remarks) values</v>
      </c>
      <c r="G237" s="13" t="str">
        <f t="shared" si="14"/>
        <v>('28Aug240039','070000162870','26163',(select max(to_number(i.premium_rcv_detail_code))+1
from ins_premium_det i),'26163','26163','02', '11000003','00','Request by Mr. Saqib Saleem 28-Aug-2024');</v>
      </c>
      <c r="H237" s="14" t="str">
        <f t="shared" si="15"/>
        <v>insert into ins_premium_det (premium_rcv_code,assorted_code, rec_amount,premium_rcv_detail_code,remaining_amt, payrec, mode_code,coinsurance_code,class_cd,it_remarks) values('28Aug240039','070000162870','26163',(select max(to_number(i.premium_rcv_detail_code))+1
from ins_premium_det i),'26163','26163','02', '11000003','00','Request by Mr. Saqib Saleem 28-Aug-2024');</v>
      </c>
    </row>
    <row r="238" spans="1:8" ht="105" x14ac:dyDescent="0.25">
      <c r="A238" s="9" t="s">
        <v>4721</v>
      </c>
      <c r="B238" s="10" t="str">
        <f>VLOOKUP(A238,[1]Sheet1!$B$2:$C$247,2,0)</f>
        <v>070000162871</v>
      </c>
      <c r="C238" s="16">
        <v>47175</v>
      </c>
      <c r="D238" s="11">
        <f t="shared" si="13"/>
        <v>47175</v>
      </c>
      <c r="E238" s="17" t="s">
        <v>4978</v>
      </c>
      <c r="F238" s="12" t="str">
        <f t="shared" si="12"/>
        <v>insert into ins_premium_det (premium_rcv_code,assorted_code, rec_amount,premium_rcv_detail_code,remaining_amt, payrec, mode_code,coinsurance_code,class_cd,it_remarks) values</v>
      </c>
      <c r="G238" s="13" t="str">
        <f t="shared" si="14"/>
        <v>('28Aug240039','070000162871','47175',(select max(to_number(i.premium_rcv_detail_code))+1
from ins_premium_det i),'47175','47175','02', '11000003','00','Request by Mr. Saqib Saleem 28-Aug-2024');</v>
      </c>
      <c r="H238" s="14" t="str">
        <f t="shared" si="15"/>
        <v>insert into ins_premium_det (premium_rcv_code,assorted_code, rec_amount,premium_rcv_detail_code,remaining_amt, payrec, mode_code,coinsurance_code,class_cd,it_remarks) values('28Aug240039','070000162871','47175',(select max(to_number(i.premium_rcv_detail_code))+1
from ins_premium_det i),'47175','47175','02', '11000003','00','Request by Mr. Saqib Saleem 28-Aug-2024');</v>
      </c>
    </row>
    <row r="239" spans="1:8" ht="105" x14ac:dyDescent="0.25">
      <c r="A239" s="8" t="s">
        <v>4722</v>
      </c>
      <c r="B239" s="10" t="str">
        <f>VLOOKUP(A239,[1]Sheet1!$B$2:$C$247,2,0)</f>
        <v>070000162872</v>
      </c>
      <c r="C239" s="15">
        <v>39623</v>
      </c>
      <c r="D239" s="11">
        <f t="shared" si="13"/>
        <v>39623</v>
      </c>
      <c r="E239" s="17" t="s">
        <v>4978</v>
      </c>
      <c r="F239" s="12" t="str">
        <f t="shared" si="12"/>
        <v>insert into ins_premium_det (premium_rcv_code,assorted_code, rec_amount,premium_rcv_detail_code,remaining_amt, payrec, mode_code,coinsurance_code,class_cd,it_remarks) values</v>
      </c>
      <c r="G239" s="13" t="str">
        <f t="shared" si="14"/>
        <v>('28Aug240039','070000162872','39623',(select max(to_number(i.premium_rcv_detail_code))+1
from ins_premium_det i),'39623','39623','02', '11000003','00','Request by Mr. Saqib Saleem 28-Aug-2024');</v>
      </c>
      <c r="H239" s="14" t="str">
        <f t="shared" si="15"/>
        <v>insert into ins_premium_det (premium_rcv_code,assorted_code, rec_amount,premium_rcv_detail_code,remaining_amt, payrec, mode_code,coinsurance_code,class_cd,it_remarks) values('28Aug240039','070000162872','39623',(select max(to_number(i.premium_rcv_detail_code))+1
from ins_premium_det i),'39623','39623','02', '11000003','00','Request by Mr. Saqib Saleem 28-Aug-2024');</v>
      </c>
    </row>
    <row r="240" spans="1:8" ht="105" x14ac:dyDescent="0.25">
      <c r="A240" s="9" t="s">
        <v>4723</v>
      </c>
      <c r="B240" s="10" t="str">
        <f>VLOOKUP(A240,[1]Sheet1!$B$2:$C$247,2,0)</f>
        <v>070000162809</v>
      </c>
      <c r="C240" s="16">
        <v>33915</v>
      </c>
      <c r="D240" s="11">
        <f t="shared" si="13"/>
        <v>33915</v>
      </c>
      <c r="E240" s="17" t="s">
        <v>4978</v>
      </c>
      <c r="F240" s="12" t="str">
        <f t="shared" si="12"/>
        <v>insert into ins_premium_det (premium_rcv_code,assorted_code, rec_amount,premium_rcv_detail_code,remaining_amt, payrec, mode_code,coinsurance_code,class_cd,it_remarks) values</v>
      </c>
      <c r="G240" s="13" t="str">
        <f t="shared" si="14"/>
        <v>('28Aug240039','070000162809','33915',(select max(to_number(i.premium_rcv_detail_code))+1
from ins_premium_det i),'33915','33915','02', '11000003','00','Request by Mr. Saqib Saleem 28-Aug-2024');</v>
      </c>
      <c r="H240" s="14" t="str">
        <f t="shared" si="15"/>
        <v>insert into ins_premium_det (premium_rcv_code,assorted_code, rec_amount,premium_rcv_detail_code,remaining_amt, payrec, mode_code,coinsurance_code,class_cd,it_remarks) values('28Aug240039','070000162809','33915',(select max(to_number(i.premium_rcv_detail_code))+1
from ins_premium_det i),'33915','33915','02', '11000003','00','Request by Mr. Saqib Saleem 28-Aug-2024');</v>
      </c>
    </row>
    <row r="241" spans="1:8" ht="105" x14ac:dyDescent="0.25">
      <c r="A241" s="8" t="s">
        <v>4724</v>
      </c>
      <c r="B241" s="10" t="str">
        <f>VLOOKUP(A241,[1]Sheet1!$B$2:$C$247,2,0)</f>
        <v>070000162657</v>
      </c>
      <c r="C241" s="15">
        <v>18460</v>
      </c>
      <c r="D241" s="11">
        <f t="shared" si="13"/>
        <v>18460</v>
      </c>
      <c r="E241" s="17" t="s">
        <v>4978</v>
      </c>
      <c r="F241" s="12" t="str">
        <f t="shared" si="12"/>
        <v>insert into ins_premium_det (premium_rcv_code,assorted_code, rec_amount,premium_rcv_detail_code,remaining_amt, payrec, mode_code,coinsurance_code,class_cd,it_remarks) values</v>
      </c>
      <c r="G241" s="13" t="str">
        <f t="shared" si="14"/>
        <v>('28Aug240039','070000162657','18460',(select max(to_number(i.premium_rcv_detail_code))+1
from ins_premium_det i),'18460','18460','02', '11000003','00','Request by Mr. Saqib Saleem 28-Aug-2024');</v>
      </c>
      <c r="H241" s="14" t="str">
        <f t="shared" si="15"/>
        <v>insert into ins_premium_det (premium_rcv_code,assorted_code, rec_amount,premium_rcv_detail_code,remaining_amt, payrec, mode_code,coinsurance_code,class_cd,it_remarks) values('28Aug240039','070000162657','18460',(select max(to_number(i.premium_rcv_detail_code))+1
from ins_premium_det i),'18460','18460','02', '11000003','00','Request by Mr. Saqib Saleem 28-Aug-2024');</v>
      </c>
    </row>
    <row r="242" spans="1:8" ht="105" x14ac:dyDescent="0.25">
      <c r="A242" s="9" t="s">
        <v>4725</v>
      </c>
      <c r="B242" s="10" t="str">
        <f>VLOOKUP(A242,[1]Sheet1!$B$2:$C$247,2,0)</f>
        <v>070000162735</v>
      </c>
      <c r="C242" s="16">
        <v>69469</v>
      </c>
      <c r="D242" s="11">
        <f t="shared" si="13"/>
        <v>69469</v>
      </c>
      <c r="E242" s="17" t="s">
        <v>4978</v>
      </c>
      <c r="F242" s="12" t="str">
        <f t="shared" si="12"/>
        <v>insert into ins_premium_det (premium_rcv_code,assorted_code, rec_amount,premium_rcv_detail_code,remaining_amt, payrec, mode_code,coinsurance_code,class_cd,it_remarks) values</v>
      </c>
      <c r="G242" s="13" t="str">
        <f t="shared" si="14"/>
        <v>('28Aug240039','070000162735','69469',(select max(to_number(i.premium_rcv_detail_code))+1
from ins_premium_det i),'69469','69469','02', '11000003','00','Request by Mr. Saqib Saleem 28-Aug-2024');</v>
      </c>
      <c r="H242" s="14" t="str">
        <f t="shared" si="15"/>
        <v>insert into ins_premium_det (premium_rcv_code,assorted_code, rec_amount,premium_rcv_detail_code,remaining_amt, payrec, mode_code,coinsurance_code,class_cd,it_remarks) values('28Aug240039','070000162735','69469',(select max(to_number(i.premium_rcv_detail_code))+1
from ins_premium_det i),'69469','69469','02', '11000003','00','Request by Mr. Saqib Saleem 28-Aug-2024');</v>
      </c>
    </row>
    <row r="243" spans="1:8" ht="105" x14ac:dyDescent="0.25">
      <c r="A243" s="8" t="s">
        <v>4726</v>
      </c>
      <c r="B243" s="10" t="str">
        <f>VLOOKUP(A243,[1]Sheet1!$B$2:$C$247,2,0)</f>
        <v>070000162793</v>
      </c>
      <c r="C243" s="15">
        <v>25813</v>
      </c>
      <c r="D243" s="11">
        <f t="shared" si="13"/>
        <v>25813</v>
      </c>
      <c r="E243" s="17" t="s">
        <v>4978</v>
      </c>
      <c r="F243" s="12" t="str">
        <f t="shared" si="12"/>
        <v>insert into ins_premium_det (premium_rcv_code,assorted_code, rec_amount,premium_rcv_detail_code,remaining_amt, payrec, mode_code,coinsurance_code,class_cd,it_remarks) values</v>
      </c>
      <c r="G243" s="13" t="str">
        <f t="shared" si="14"/>
        <v>('28Aug240039','070000162793','25813',(select max(to_number(i.premium_rcv_detail_code))+1
from ins_premium_det i),'25813','25813','02', '11000003','00','Request by Mr. Saqib Saleem 28-Aug-2024');</v>
      </c>
      <c r="H243" s="14" t="str">
        <f t="shared" si="15"/>
        <v>insert into ins_premium_det (premium_rcv_code,assorted_code, rec_amount,premium_rcv_detail_code,remaining_amt, payrec, mode_code,coinsurance_code,class_cd,it_remarks) values('28Aug240039','070000162793','25813',(select max(to_number(i.premium_rcv_detail_code))+1
from ins_premium_det i),'25813','25813','02', '11000003','00','Request by Mr. Saqib Saleem 28-Aug-2024');</v>
      </c>
    </row>
    <row r="244" spans="1:8" ht="105" x14ac:dyDescent="0.25">
      <c r="A244" s="9" t="s">
        <v>4727</v>
      </c>
      <c r="B244" s="10" t="str">
        <f>VLOOKUP(A244,[1]Sheet1!$B$2:$C$247,2,0)</f>
        <v>070000162832</v>
      </c>
      <c r="C244" s="16">
        <v>27680</v>
      </c>
      <c r="D244" s="11">
        <f t="shared" si="13"/>
        <v>27680</v>
      </c>
      <c r="E244" s="17" t="s">
        <v>4978</v>
      </c>
      <c r="F244" s="12" t="str">
        <f t="shared" si="12"/>
        <v>insert into ins_premium_det (premium_rcv_code,assorted_code, rec_amount,premium_rcv_detail_code,remaining_amt, payrec, mode_code,coinsurance_code,class_cd,it_remarks) values</v>
      </c>
      <c r="G244" s="13" t="str">
        <f t="shared" si="14"/>
        <v>('28Aug240039','070000162832','27680',(select max(to_number(i.premium_rcv_detail_code))+1
from ins_premium_det i),'27680','27680','02', '11000003','00','Request by Mr. Saqib Saleem 28-Aug-2024');</v>
      </c>
      <c r="H244" s="14" t="str">
        <f t="shared" si="15"/>
        <v>insert into ins_premium_det (premium_rcv_code,assorted_code, rec_amount,premium_rcv_detail_code,remaining_amt, payrec, mode_code,coinsurance_code,class_cd,it_remarks) values('28Aug240039','070000162832','27680',(select max(to_number(i.premium_rcv_detail_code))+1
from ins_premium_det i),'27680','27680','02', '11000003','00','Request by Mr. Saqib Saleem 28-Aug-2024');</v>
      </c>
    </row>
    <row r="245" spans="1:8" ht="105" x14ac:dyDescent="0.25">
      <c r="A245" s="8" t="s">
        <v>4728</v>
      </c>
      <c r="B245" s="10" t="str">
        <f>VLOOKUP(A245,[1]Sheet1!$B$2:$C$247,2,0)</f>
        <v>070000162842</v>
      </c>
      <c r="C245" s="15">
        <v>52594</v>
      </c>
      <c r="D245" s="11">
        <f t="shared" si="13"/>
        <v>52594</v>
      </c>
      <c r="E245" s="17" t="s">
        <v>4978</v>
      </c>
      <c r="F245" s="12" t="str">
        <f t="shared" si="12"/>
        <v>insert into ins_premium_det (premium_rcv_code,assorted_code, rec_amount,premium_rcv_detail_code,remaining_amt, payrec, mode_code,coinsurance_code,class_cd,it_remarks) values</v>
      </c>
      <c r="G245" s="13" t="str">
        <f t="shared" si="14"/>
        <v>('28Aug240039','070000162842','52594',(select max(to_number(i.premium_rcv_detail_code))+1
from ins_premium_det i),'52594','52594','02', '11000003','00','Request by Mr. Saqib Saleem 28-Aug-2024');</v>
      </c>
      <c r="H245" s="14" t="str">
        <f t="shared" si="15"/>
        <v>insert into ins_premium_det (premium_rcv_code,assorted_code, rec_amount,premium_rcv_detail_code,remaining_amt, payrec, mode_code,coinsurance_code,class_cd,it_remarks) values('28Aug240039','070000162842','52594',(select max(to_number(i.premium_rcv_detail_code))+1
from ins_premium_det i),'52594','52594','02', '11000003','00','Request by Mr. Saqib Saleem 28-Aug-2024');</v>
      </c>
    </row>
    <row r="246" spans="1:8" ht="105" x14ac:dyDescent="0.25">
      <c r="A246" s="9" t="s">
        <v>4729</v>
      </c>
      <c r="B246" s="10" t="str">
        <f>VLOOKUP(A246,[1]Sheet1!$B$2:$C$247,2,0)</f>
        <v>070000162867</v>
      </c>
      <c r="C246" s="16">
        <v>37383</v>
      </c>
      <c r="D246" s="11">
        <f t="shared" si="13"/>
        <v>37383</v>
      </c>
      <c r="E246" s="17" t="s">
        <v>4978</v>
      </c>
      <c r="F246" s="12" t="str">
        <f t="shared" si="12"/>
        <v>insert into ins_premium_det (premium_rcv_code,assorted_code, rec_amount,premium_rcv_detail_code,remaining_amt, payrec, mode_code,coinsurance_code,class_cd,it_remarks) values</v>
      </c>
      <c r="G246" s="13" t="str">
        <f t="shared" si="14"/>
        <v>('28Aug240039','070000162867','37383',(select max(to_number(i.premium_rcv_detail_code))+1
from ins_premium_det i),'37383','37383','02', '11000003','00','Request by Mr. Saqib Saleem 28-Aug-2024');</v>
      </c>
      <c r="H246" s="14" t="str">
        <f t="shared" si="15"/>
        <v>insert into ins_premium_det (premium_rcv_code,assorted_code, rec_amount,premium_rcv_detail_code,remaining_amt, payrec, mode_code,coinsurance_code,class_cd,it_remarks) values('28Aug240039','070000162867','37383',(select max(to_number(i.premium_rcv_detail_code))+1
from ins_premium_det i),'37383','37383','02', '11000003','00','Request by Mr. Saqib Saleem 28-Aug-2024');</v>
      </c>
    </row>
  </sheetData>
  <conditionalFormatting sqref="A1:B1 B2:B24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1430-6E32-4881-B2F2-C75545EB5D8C}">
  <dimension ref="A1:J246"/>
  <sheetViews>
    <sheetView workbookViewId="0">
      <selection activeCell="E15" sqref="E15"/>
    </sheetView>
  </sheetViews>
  <sheetFormatPr defaultRowHeight="15" x14ac:dyDescent="0.25"/>
  <cols>
    <col min="1" max="1" width="43.28515625" bestFit="1" customWidth="1"/>
    <col min="10" max="10" width="46.5703125" bestFit="1" customWidth="1"/>
  </cols>
  <sheetData>
    <row r="1" spans="1:10" x14ac:dyDescent="0.25">
      <c r="A1" s="8" t="s">
        <v>4489</v>
      </c>
      <c r="B1" t="s">
        <v>4735</v>
      </c>
      <c r="H1">
        <v>93577</v>
      </c>
      <c r="I1" t="s">
        <v>4738</v>
      </c>
      <c r="J1" t="str">
        <f>"ia.assorted_string like '%"&amp;H1&amp;"-"&amp;I1&amp;B1&amp;"%' or"</f>
        <v>ia.assorted_string like '%93577-00003-07-2024%' or</v>
      </c>
    </row>
    <row r="2" spans="1:10" x14ac:dyDescent="0.25">
      <c r="A2" s="9" t="s">
        <v>4490</v>
      </c>
      <c r="B2" t="s">
        <v>4735</v>
      </c>
      <c r="H2">
        <v>93577</v>
      </c>
      <c r="I2" t="s">
        <v>4739</v>
      </c>
      <c r="J2" t="str">
        <f t="shared" ref="J2:J65" si="0">"ia.assorted_string like '%"&amp;H2&amp;"-"&amp;I2&amp;B2&amp;"%' or"</f>
        <v>ia.assorted_string like '%93577-00004-07-2024%' or</v>
      </c>
    </row>
    <row r="3" spans="1:10" x14ac:dyDescent="0.25">
      <c r="A3" s="8" t="s">
        <v>4491</v>
      </c>
      <c r="B3" t="s">
        <v>4735</v>
      </c>
      <c r="H3">
        <v>93577</v>
      </c>
      <c r="I3" t="s">
        <v>4740</v>
      </c>
      <c r="J3" t="str">
        <f t="shared" si="0"/>
        <v>ia.assorted_string like '%93577-00010-07-2024%' or</v>
      </c>
    </row>
    <row r="4" spans="1:10" x14ac:dyDescent="0.25">
      <c r="A4" s="9" t="s">
        <v>4492</v>
      </c>
      <c r="B4" t="s">
        <v>4735</v>
      </c>
      <c r="H4">
        <v>93577</v>
      </c>
      <c r="I4" t="s">
        <v>4741</v>
      </c>
      <c r="J4" t="str">
        <f t="shared" si="0"/>
        <v>ia.assorted_string like '%93577-00011-07-2024%' or</v>
      </c>
    </row>
    <row r="5" spans="1:10" x14ac:dyDescent="0.25">
      <c r="A5" s="8" t="s">
        <v>4493</v>
      </c>
      <c r="B5" t="s">
        <v>4735</v>
      </c>
      <c r="H5">
        <v>93577</v>
      </c>
      <c r="I5" t="s">
        <v>4742</v>
      </c>
      <c r="J5" t="str">
        <f t="shared" si="0"/>
        <v>ia.assorted_string like '%93577-00012-07-2024%' or</v>
      </c>
    </row>
    <row r="6" spans="1:10" x14ac:dyDescent="0.25">
      <c r="A6" s="9" t="s">
        <v>4494</v>
      </c>
      <c r="B6" t="s">
        <v>4735</v>
      </c>
      <c r="H6">
        <v>93577</v>
      </c>
      <c r="I6" t="s">
        <v>4743</v>
      </c>
      <c r="J6" t="str">
        <f t="shared" si="0"/>
        <v>ia.assorted_string like '%93577-00016-07-2024%' or</v>
      </c>
    </row>
    <row r="7" spans="1:10" x14ac:dyDescent="0.25">
      <c r="A7" s="8" t="s">
        <v>4495</v>
      </c>
      <c r="B7" t="s">
        <v>4735</v>
      </c>
      <c r="H7">
        <v>93577</v>
      </c>
      <c r="I7" t="s">
        <v>4744</v>
      </c>
      <c r="J7" t="str">
        <f t="shared" si="0"/>
        <v>ia.assorted_string like '%93577-00017-07-2024%' or</v>
      </c>
    </row>
    <row r="8" spans="1:10" x14ac:dyDescent="0.25">
      <c r="A8" s="9" t="s">
        <v>4496</v>
      </c>
      <c r="B8" t="s">
        <v>4735</v>
      </c>
      <c r="H8">
        <v>93577</v>
      </c>
      <c r="I8" t="s">
        <v>4745</v>
      </c>
      <c r="J8" t="str">
        <f t="shared" si="0"/>
        <v>ia.assorted_string like '%93577-00020-07-2024%' or</v>
      </c>
    </row>
    <row r="9" spans="1:10" x14ac:dyDescent="0.25">
      <c r="A9" s="8" t="s">
        <v>4497</v>
      </c>
      <c r="B9" t="s">
        <v>4735</v>
      </c>
      <c r="H9">
        <v>93577</v>
      </c>
      <c r="I9" t="s">
        <v>4746</v>
      </c>
      <c r="J9" t="str">
        <f t="shared" si="0"/>
        <v>ia.assorted_string like '%93577-00023-07-2024%' or</v>
      </c>
    </row>
    <row r="10" spans="1:10" x14ac:dyDescent="0.25">
      <c r="A10" s="9" t="s">
        <v>4498</v>
      </c>
      <c r="B10" t="s">
        <v>4735</v>
      </c>
      <c r="H10">
        <v>93577</v>
      </c>
      <c r="I10" t="s">
        <v>4747</v>
      </c>
      <c r="J10" t="str">
        <f t="shared" si="0"/>
        <v>ia.assorted_string like '%93577-00024-07-2024%' or</v>
      </c>
    </row>
    <row r="11" spans="1:10" x14ac:dyDescent="0.25">
      <c r="A11" s="8" t="s">
        <v>4499</v>
      </c>
      <c r="B11" t="s">
        <v>4735</v>
      </c>
      <c r="H11">
        <v>93577</v>
      </c>
      <c r="I11" t="s">
        <v>4748</v>
      </c>
      <c r="J11" t="str">
        <f t="shared" si="0"/>
        <v>ia.assorted_string like '%93577-00026-07-2024%' or</v>
      </c>
    </row>
    <row r="12" spans="1:10" x14ac:dyDescent="0.25">
      <c r="A12" s="9" t="s">
        <v>4500</v>
      </c>
      <c r="B12" t="s">
        <v>4735</v>
      </c>
      <c r="H12">
        <v>93577</v>
      </c>
      <c r="I12" t="s">
        <v>4749</v>
      </c>
      <c r="J12" t="str">
        <f t="shared" si="0"/>
        <v>ia.assorted_string like '%93577-00028-07-2024%' or</v>
      </c>
    </row>
    <row r="13" spans="1:10" x14ac:dyDescent="0.25">
      <c r="A13" s="8" t="s">
        <v>4501</v>
      </c>
      <c r="B13" t="s">
        <v>4735</v>
      </c>
      <c r="H13">
        <v>93577</v>
      </c>
      <c r="I13" t="s">
        <v>4750</v>
      </c>
      <c r="J13" t="str">
        <f t="shared" si="0"/>
        <v>ia.assorted_string like '%93577-00032-07-2024%' or</v>
      </c>
    </row>
    <row r="14" spans="1:10" x14ac:dyDescent="0.25">
      <c r="A14" s="9" t="s">
        <v>4502</v>
      </c>
      <c r="B14" t="s">
        <v>4735</v>
      </c>
      <c r="H14">
        <v>93577</v>
      </c>
      <c r="I14" t="s">
        <v>4751</v>
      </c>
      <c r="J14" t="str">
        <f t="shared" si="0"/>
        <v>ia.assorted_string like '%93577-00035-07-2024%' or</v>
      </c>
    </row>
    <row r="15" spans="1:10" x14ac:dyDescent="0.25">
      <c r="A15" s="8" t="s">
        <v>4503</v>
      </c>
      <c r="B15" t="s">
        <v>4735</v>
      </c>
      <c r="H15">
        <v>93577</v>
      </c>
      <c r="I15" t="s">
        <v>4752</v>
      </c>
      <c r="J15" t="str">
        <f t="shared" si="0"/>
        <v>ia.assorted_string like '%93577-00036-07-2024%' or</v>
      </c>
    </row>
    <row r="16" spans="1:10" x14ac:dyDescent="0.25">
      <c r="A16" s="9" t="s">
        <v>4504</v>
      </c>
      <c r="B16" t="s">
        <v>4735</v>
      </c>
      <c r="H16">
        <v>93577</v>
      </c>
      <c r="I16" t="s">
        <v>4753</v>
      </c>
      <c r="J16" t="str">
        <f t="shared" si="0"/>
        <v>ia.assorted_string like '%93577-00037-07-2024%' or</v>
      </c>
    </row>
    <row r="17" spans="1:10" x14ac:dyDescent="0.25">
      <c r="A17" s="8" t="s">
        <v>4505</v>
      </c>
      <c r="B17" t="s">
        <v>4735</v>
      </c>
      <c r="H17">
        <v>93577</v>
      </c>
      <c r="I17" t="s">
        <v>4754</v>
      </c>
      <c r="J17" t="str">
        <f t="shared" si="0"/>
        <v>ia.assorted_string like '%93577-00038-07-2024%' or</v>
      </c>
    </row>
    <row r="18" spans="1:10" x14ac:dyDescent="0.25">
      <c r="A18" s="9" t="s">
        <v>4506</v>
      </c>
      <c r="B18" t="s">
        <v>4735</v>
      </c>
      <c r="H18">
        <v>93577</v>
      </c>
      <c r="I18" t="s">
        <v>4755</v>
      </c>
      <c r="J18" t="str">
        <f t="shared" si="0"/>
        <v>ia.assorted_string like '%93577-00043-07-2024%' or</v>
      </c>
    </row>
    <row r="19" spans="1:10" x14ac:dyDescent="0.25">
      <c r="A19" s="8" t="s">
        <v>4507</v>
      </c>
      <c r="B19" t="s">
        <v>4735</v>
      </c>
      <c r="H19">
        <v>93577</v>
      </c>
      <c r="I19" t="s">
        <v>4756</v>
      </c>
      <c r="J19" t="str">
        <f t="shared" si="0"/>
        <v>ia.assorted_string like '%93577-00045-07-2024%' or</v>
      </c>
    </row>
    <row r="20" spans="1:10" x14ac:dyDescent="0.25">
      <c r="A20" s="9" t="s">
        <v>4508</v>
      </c>
      <c r="B20" t="s">
        <v>4735</v>
      </c>
      <c r="H20">
        <v>93577</v>
      </c>
      <c r="I20" t="s">
        <v>4757</v>
      </c>
      <c r="J20" t="str">
        <f t="shared" si="0"/>
        <v>ia.assorted_string like '%93577-00046-07-2024%' or</v>
      </c>
    </row>
    <row r="21" spans="1:10" x14ac:dyDescent="0.25">
      <c r="A21" s="8" t="s">
        <v>4509</v>
      </c>
      <c r="B21" t="s">
        <v>4735</v>
      </c>
      <c r="H21">
        <v>93577</v>
      </c>
      <c r="I21" t="s">
        <v>4758</v>
      </c>
      <c r="J21" t="str">
        <f t="shared" si="0"/>
        <v>ia.assorted_string like '%93577-00053-07-2024%' or</v>
      </c>
    </row>
    <row r="22" spans="1:10" x14ac:dyDescent="0.25">
      <c r="A22" s="9" t="s">
        <v>4510</v>
      </c>
      <c r="B22" t="s">
        <v>4735</v>
      </c>
      <c r="H22">
        <v>93577</v>
      </c>
      <c r="I22" t="s">
        <v>4759</v>
      </c>
      <c r="J22" t="str">
        <f t="shared" si="0"/>
        <v>ia.assorted_string like '%93577-00056-07-2024%' or</v>
      </c>
    </row>
    <row r="23" spans="1:10" x14ac:dyDescent="0.25">
      <c r="A23" s="8" t="s">
        <v>4511</v>
      </c>
      <c r="B23" t="s">
        <v>4735</v>
      </c>
      <c r="H23">
        <v>93577</v>
      </c>
      <c r="I23" t="s">
        <v>4760</v>
      </c>
      <c r="J23" t="str">
        <f t="shared" si="0"/>
        <v>ia.assorted_string like '%93577-00059-07-2024%' or</v>
      </c>
    </row>
    <row r="24" spans="1:10" x14ac:dyDescent="0.25">
      <c r="A24" s="9" t="s">
        <v>4512</v>
      </c>
      <c r="B24" t="s">
        <v>4735</v>
      </c>
      <c r="H24">
        <v>93577</v>
      </c>
      <c r="I24" t="s">
        <v>4761</v>
      </c>
      <c r="J24" t="str">
        <f t="shared" si="0"/>
        <v>ia.assorted_string like '%93577-00062-07-2024%' or</v>
      </c>
    </row>
    <row r="25" spans="1:10" x14ac:dyDescent="0.25">
      <c r="A25" s="8" t="s">
        <v>4513</v>
      </c>
      <c r="B25" t="s">
        <v>4735</v>
      </c>
      <c r="H25">
        <v>93577</v>
      </c>
      <c r="I25" t="s">
        <v>4762</v>
      </c>
      <c r="J25" t="str">
        <f t="shared" si="0"/>
        <v>ia.assorted_string like '%93577-00064-07-2024%' or</v>
      </c>
    </row>
    <row r="26" spans="1:10" x14ac:dyDescent="0.25">
      <c r="A26" s="9" t="s">
        <v>4514</v>
      </c>
      <c r="B26" t="s">
        <v>4735</v>
      </c>
      <c r="H26">
        <v>93577</v>
      </c>
      <c r="I26" t="s">
        <v>4763</v>
      </c>
      <c r="J26" t="str">
        <f t="shared" si="0"/>
        <v>ia.assorted_string like '%93577-00067-07-2024%' or</v>
      </c>
    </row>
    <row r="27" spans="1:10" x14ac:dyDescent="0.25">
      <c r="A27" s="8" t="s">
        <v>4515</v>
      </c>
      <c r="B27" t="s">
        <v>4735</v>
      </c>
      <c r="H27">
        <v>93577</v>
      </c>
      <c r="I27" t="s">
        <v>4764</v>
      </c>
      <c r="J27" t="str">
        <f t="shared" si="0"/>
        <v>ia.assorted_string like '%93577-00068-07-2024%' or</v>
      </c>
    </row>
    <row r="28" spans="1:10" x14ac:dyDescent="0.25">
      <c r="A28" s="9" t="s">
        <v>4516</v>
      </c>
      <c r="B28" t="s">
        <v>4735</v>
      </c>
      <c r="H28">
        <v>93577</v>
      </c>
      <c r="I28" t="s">
        <v>4765</v>
      </c>
      <c r="J28" t="str">
        <f t="shared" si="0"/>
        <v>ia.assorted_string like '%93577-00071-07-2024%' or</v>
      </c>
    </row>
    <row r="29" spans="1:10" x14ac:dyDescent="0.25">
      <c r="A29" s="8" t="s">
        <v>4517</v>
      </c>
      <c r="B29" t="s">
        <v>4735</v>
      </c>
      <c r="H29">
        <v>93577</v>
      </c>
      <c r="I29" t="s">
        <v>4766</v>
      </c>
      <c r="J29" t="str">
        <f t="shared" si="0"/>
        <v>ia.assorted_string like '%93577-00074-07-2024%' or</v>
      </c>
    </row>
    <row r="30" spans="1:10" x14ac:dyDescent="0.25">
      <c r="A30" s="9" t="s">
        <v>4518</v>
      </c>
      <c r="B30" t="s">
        <v>4735</v>
      </c>
      <c r="H30">
        <v>93577</v>
      </c>
      <c r="I30" t="s">
        <v>4767</v>
      </c>
      <c r="J30" t="str">
        <f t="shared" si="0"/>
        <v>ia.assorted_string like '%93577-00077-07-2024%' or</v>
      </c>
    </row>
    <row r="31" spans="1:10" x14ac:dyDescent="0.25">
      <c r="A31" s="8" t="s">
        <v>4519</v>
      </c>
      <c r="B31" t="s">
        <v>4735</v>
      </c>
      <c r="H31">
        <v>93577</v>
      </c>
      <c r="I31" t="s">
        <v>4768</v>
      </c>
      <c r="J31" t="str">
        <f t="shared" si="0"/>
        <v>ia.assorted_string like '%93577-00088-07-2024%' or</v>
      </c>
    </row>
    <row r="32" spans="1:10" x14ac:dyDescent="0.25">
      <c r="A32" s="9" t="s">
        <v>4520</v>
      </c>
      <c r="B32" t="s">
        <v>4735</v>
      </c>
      <c r="H32">
        <v>93577</v>
      </c>
      <c r="I32" t="s">
        <v>4769</v>
      </c>
      <c r="J32" t="str">
        <f t="shared" si="0"/>
        <v>ia.assorted_string like '%93577-00089-07-2024%' or</v>
      </c>
    </row>
    <row r="33" spans="1:10" x14ac:dyDescent="0.25">
      <c r="A33" s="8" t="s">
        <v>4521</v>
      </c>
      <c r="B33" t="s">
        <v>4735</v>
      </c>
      <c r="H33">
        <v>93577</v>
      </c>
      <c r="I33" t="s">
        <v>4770</v>
      </c>
      <c r="J33" t="str">
        <f t="shared" si="0"/>
        <v>ia.assorted_string like '%93577-00090-07-2024%' or</v>
      </c>
    </row>
    <row r="34" spans="1:10" x14ac:dyDescent="0.25">
      <c r="A34" s="9" t="s">
        <v>4522</v>
      </c>
      <c r="B34" t="s">
        <v>4735</v>
      </c>
      <c r="H34">
        <v>93577</v>
      </c>
      <c r="I34" t="s">
        <v>4771</v>
      </c>
      <c r="J34" t="str">
        <f t="shared" si="0"/>
        <v>ia.assorted_string like '%93577-00092-07-2024%' or</v>
      </c>
    </row>
    <row r="35" spans="1:10" x14ac:dyDescent="0.25">
      <c r="A35" s="8" t="s">
        <v>4730</v>
      </c>
      <c r="B35" t="s">
        <v>4736</v>
      </c>
      <c r="H35">
        <v>89429</v>
      </c>
      <c r="I35" t="s">
        <v>4772</v>
      </c>
      <c r="J35" t="str">
        <f t="shared" si="0"/>
        <v>ia.assorted_string like '%89429-00195-05-2024%' or</v>
      </c>
    </row>
    <row r="36" spans="1:10" x14ac:dyDescent="0.25">
      <c r="A36" s="9" t="s">
        <v>4731</v>
      </c>
      <c r="B36" t="s">
        <v>4736</v>
      </c>
      <c r="H36">
        <v>89429</v>
      </c>
      <c r="I36" t="s">
        <v>4773</v>
      </c>
      <c r="J36" t="str">
        <f t="shared" si="0"/>
        <v>ia.assorted_string like '%89429-00217-05-2024%' or</v>
      </c>
    </row>
    <row r="37" spans="1:10" x14ac:dyDescent="0.25">
      <c r="A37" s="8" t="s">
        <v>4732</v>
      </c>
      <c r="B37" t="s">
        <v>4736</v>
      </c>
      <c r="H37">
        <v>89429</v>
      </c>
      <c r="I37" t="s">
        <v>4765</v>
      </c>
      <c r="J37" t="str">
        <f t="shared" si="0"/>
        <v>ia.assorted_string like '%89429-00071-05-2024%' or</v>
      </c>
    </row>
    <row r="38" spans="1:10" x14ac:dyDescent="0.25">
      <c r="A38" s="9" t="s">
        <v>4523</v>
      </c>
      <c r="B38" t="s">
        <v>4735</v>
      </c>
      <c r="H38">
        <v>93577</v>
      </c>
      <c r="I38" t="s">
        <v>4774</v>
      </c>
      <c r="J38" t="str">
        <f t="shared" si="0"/>
        <v>ia.assorted_string like '%93577-00095-07-2024%' or</v>
      </c>
    </row>
    <row r="39" spans="1:10" x14ac:dyDescent="0.25">
      <c r="A39" s="8" t="s">
        <v>4524</v>
      </c>
      <c r="B39" t="s">
        <v>4735</v>
      </c>
      <c r="H39">
        <v>93577</v>
      </c>
      <c r="I39" t="s">
        <v>4775</v>
      </c>
      <c r="J39" t="str">
        <f t="shared" si="0"/>
        <v>ia.assorted_string like '%93577-00096-07-2024%' or</v>
      </c>
    </row>
    <row r="40" spans="1:10" x14ac:dyDescent="0.25">
      <c r="A40" s="9" t="s">
        <v>4525</v>
      </c>
      <c r="B40" t="s">
        <v>4735</v>
      </c>
      <c r="H40">
        <v>93577</v>
      </c>
      <c r="I40" t="s">
        <v>4776</v>
      </c>
      <c r="J40" t="str">
        <f t="shared" si="0"/>
        <v>ia.assorted_string like '%93577-00097-07-2024%' or</v>
      </c>
    </row>
    <row r="41" spans="1:10" x14ac:dyDescent="0.25">
      <c r="A41" s="8" t="s">
        <v>4526</v>
      </c>
      <c r="B41" t="s">
        <v>4735</v>
      </c>
      <c r="H41">
        <v>93577</v>
      </c>
      <c r="I41" t="s">
        <v>4777</v>
      </c>
      <c r="J41" t="str">
        <f t="shared" si="0"/>
        <v>ia.assorted_string like '%93577-00098-07-2024%' or</v>
      </c>
    </row>
    <row r="42" spans="1:10" x14ac:dyDescent="0.25">
      <c r="A42" s="9" t="s">
        <v>4733</v>
      </c>
      <c r="B42" t="s">
        <v>4737</v>
      </c>
      <c r="H42">
        <v>90833</v>
      </c>
      <c r="I42" t="s">
        <v>4778</v>
      </c>
      <c r="J42" t="str">
        <f t="shared" si="0"/>
        <v>ia.assorted_string like '%90833-00047-06-2024%' or</v>
      </c>
    </row>
    <row r="43" spans="1:10" x14ac:dyDescent="0.25">
      <c r="A43" s="8" t="s">
        <v>4734</v>
      </c>
      <c r="B43" t="s">
        <v>4737</v>
      </c>
      <c r="H43">
        <v>90833</v>
      </c>
      <c r="I43" t="s">
        <v>4779</v>
      </c>
      <c r="J43" t="str">
        <f t="shared" si="0"/>
        <v>ia.assorted_string like '%90833-00185-06-2024%' or</v>
      </c>
    </row>
    <row r="44" spans="1:10" x14ac:dyDescent="0.25">
      <c r="A44" s="9" t="s">
        <v>4527</v>
      </c>
      <c r="B44" t="s">
        <v>4735</v>
      </c>
      <c r="H44">
        <v>93577</v>
      </c>
      <c r="I44" t="s">
        <v>4780</v>
      </c>
      <c r="J44" t="str">
        <f t="shared" si="0"/>
        <v>ia.assorted_string like '%93577-00001-07-2024%' or</v>
      </c>
    </row>
    <row r="45" spans="1:10" x14ac:dyDescent="0.25">
      <c r="A45" s="8" t="s">
        <v>4528</v>
      </c>
      <c r="B45" t="s">
        <v>4735</v>
      </c>
      <c r="H45">
        <v>93577</v>
      </c>
      <c r="I45" t="s">
        <v>4781</v>
      </c>
      <c r="J45" t="str">
        <f t="shared" si="0"/>
        <v>ia.assorted_string like '%93577-00002-07-2024%' or</v>
      </c>
    </row>
    <row r="46" spans="1:10" x14ac:dyDescent="0.25">
      <c r="A46" s="9" t="s">
        <v>4529</v>
      </c>
      <c r="B46" t="s">
        <v>4735</v>
      </c>
      <c r="H46">
        <v>93577</v>
      </c>
      <c r="I46" t="s">
        <v>4782</v>
      </c>
      <c r="J46" t="str">
        <f t="shared" si="0"/>
        <v>ia.assorted_string like '%93577-00006-07-2024%' or</v>
      </c>
    </row>
    <row r="47" spans="1:10" x14ac:dyDescent="0.25">
      <c r="A47" s="8" t="s">
        <v>4530</v>
      </c>
      <c r="B47" t="s">
        <v>4735</v>
      </c>
      <c r="H47">
        <v>93577</v>
      </c>
      <c r="I47" t="s">
        <v>4783</v>
      </c>
      <c r="J47" t="str">
        <f t="shared" si="0"/>
        <v>ia.assorted_string like '%93577-00108-07-2024%' or</v>
      </c>
    </row>
    <row r="48" spans="1:10" x14ac:dyDescent="0.25">
      <c r="A48" s="9" t="s">
        <v>4531</v>
      </c>
      <c r="B48" t="s">
        <v>4735</v>
      </c>
      <c r="H48">
        <v>93577</v>
      </c>
      <c r="I48" t="s">
        <v>4784</v>
      </c>
      <c r="J48" t="str">
        <f t="shared" si="0"/>
        <v>ia.assorted_string like '%93577-00009-07-2024%' or</v>
      </c>
    </row>
    <row r="49" spans="1:10" x14ac:dyDescent="0.25">
      <c r="A49" s="8" t="s">
        <v>4532</v>
      </c>
      <c r="B49" t="s">
        <v>4735</v>
      </c>
      <c r="H49">
        <v>93577</v>
      </c>
      <c r="I49" t="s">
        <v>4785</v>
      </c>
      <c r="J49" t="str">
        <f t="shared" si="0"/>
        <v>ia.assorted_string like '%93577-00013-07-2024%' or</v>
      </c>
    </row>
    <row r="50" spans="1:10" x14ac:dyDescent="0.25">
      <c r="A50" s="9" t="s">
        <v>4533</v>
      </c>
      <c r="B50" t="s">
        <v>4735</v>
      </c>
      <c r="H50">
        <v>93577</v>
      </c>
      <c r="I50" t="s">
        <v>4786</v>
      </c>
      <c r="J50" t="str">
        <f t="shared" si="0"/>
        <v>ia.assorted_string like '%93577-00014-07-2024%' or</v>
      </c>
    </row>
    <row r="51" spans="1:10" x14ac:dyDescent="0.25">
      <c r="A51" s="8" t="s">
        <v>4534</v>
      </c>
      <c r="B51" t="s">
        <v>4735</v>
      </c>
      <c r="H51">
        <v>93577</v>
      </c>
      <c r="I51" t="s">
        <v>4787</v>
      </c>
      <c r="J51" t="str">
        <f t="shared" si="0"/>
        <v>ia.assorted_string like '%93577-00015-07-2024%' or</v>
      </c>
    </row>
    <row r="52" spans="1:10" x14ac:dyDescent="0.25">
      <c r="A52" s="9" t="s">
        <v>4535</v>
      </c>
      <c r="B52" t="s">
        <v>4735</v>
      </c>
      <c r="H52">
        <v>93577</v>
      </c>
      <c r="I52" t="s">
        <v>4788</v>
      </c>
      <c r="J52" t="str">
        <f t="shared" si="0"/>
        <v>ia.assorted_string like '%93577-00018-07-2024%' or</v>
      </c>
    </row>
    <row r="53" spans="1:10" x14ac:dyDescent="0.25">
      <c r="A53" s="8" t="s">
        <v>4536</v>
      </c>
      <c r="B53" t="s">
        <v>4735</v>
      </c>
      <c r="H53">
        <v>93577</v>
      </c>
      <c r="I53" t="s">
        <v>4789</v>
      </c>
      <c r="J53" t="str">
        <f t="shared" si="0"/>
        <v>ia.assorted_string like '%93577-00116-07-2024%' or</v>
      </c>
    </row>
    <row r="54" spans="1:10" x14ac:dyDescent="0.25">
      <c r="A54" s="9" t="s">
        <v>4537</v>
      </c>
      <c r="B54" t="s">
        <v>4735</v>
      </c>
      <c r="H54">
        <v>93577</v>
      </c>
      <c r="I54" t="s">
        <v>4790</v>
      </c>
      <c r="J54" t="str">
        <f t="shared" si="0"/>
        <v>ia.assorted_string like '%93577-00019-07-2024%' or</v>
      </c>
    </row>
    <row r="55" spans="1:10" x14ac:dyDescent="0.25">
      <c r="A55" s="8" t="s">
        <v>4538</v>
      </c>
      <c r="B55" t="s">
        <v>4735</v>
      </c>
      <c r="H55">
        <v>93577</v>
      </c>
      <c r="I55" t="s">
        <v>4791</v>
      </c>
      <c r="J55" t="str">
        <f t="shared" si="0"/>
        <v>ia.assorted_string like '%93577-00021-07-2024%' or</v>
      </c>
    </row>
    <row r="56" spans="1:10" x14ac:dyDescent="0.25">
      <c r="A56" s="9" t="s">
        <v>4539</v>
      </c>
      <c r="B56" t="s">
        <v>4735</v>
      </c>
      <c r="H56">
        <v>93577</v>
      </c>
      <c r="I56" t="s">
        <v>4792</v>
      </c>
      <c r="J56" t="str">
        <f t="shared" si="0"/>
        <v>ia.assorted_string like '%93577-00119-07-2024%' or</v>
      </c>
    </row>
    <row r="57" spans="1:10" x14ac:dyDescent="0.25">
      <c r="A57" s="8" t="s">
        <v>4540</v>
      </c>
      <c r="B57" t="s">
        <v>4735</v>
      </c>
      <c r="H57">
        <v>93577</v>
      </c>
      <c r="I57" t="s">
        <v>4793</v>
      </c>
      <c r="J57" t="str">
        <f t="shared" si="0"/>
        <v>ia.assorted_string like '%93577-00022-07-2024%' or</v>
      </c>
    </row>
    <row r="58" spans="1:10" x14ac:dyDescent="0.25">
      <c r="A58" s="9" t="s">
        <v>4541</v>
      </c>
      <c r="B58" t="s">
        <v>4735</v>
      </c>
      <c r="H58">
        <v>93577</v>
      </c>
      <c r="I58" t="s">
        <v>4794</v>
      </c>
      <c r="J58" t="str">
        <f t="shared" si="0"/>
        <v>ia.assorted_string like '%93577-00027-07-2024%' or</v>
      </c>
    </row>
    <row r="59" spans="1:10" x14ac:dyDescent="0.25">
      <c r="A59" s="8" t="s">
        <v>4542</v>
      </c>
      <c r="B59" t="s">
        <v>4735</v>
      </c>
      <c r="H59">
        <v>93577</v>
      </c>
      <c r="I59" t="s">
        <v>4795</v>
      </c>
      <c r="J59" t="str">
        <f t="shared" si="0"/>
        <v>ia.assorted_string like '%93577-00121-07-2024%' or</v>
      </c>
    </row>
    <row r="60" spans="1:10" x14ac:dyDescent="0.25">
      <c r="A60" s="9" t="s">
        <v>4543</v>
      </c>
      <c r="B60" t="s">
        <v>4735</v>
      </c>
      <c r="H60">
        <v>93577</v>
      </c>
      <c r="I60" t="s">
        <v>2960</v>
      </c>
      <c r="J60" t="str">
        <f t="shared" si="0"/>
        <v>ia.assorted_string like '%93577-00029-07-2024%' or</v>
      </c>
    </row>
    <row r="61" spans="1:10" x14ac:dyDescent="0.25">
      <c r="A61" s="8" t="s">
        <v>4544</v>
      </c>
      <c r="B61" t="s">
        <v>4735</v>
      </c>
      <c r="H61">
        <v>93577</v>
      </c>
      <c r="I61" t="s">
        <v>4796</v>
      </c>
      <c r="J61" t="str">
        <f t="shared" si="0"/>
        <v>ia.assorted_string like '%93577-00123-07-2024%' or</v>
      </c>
    </row>
    <row r="62" spans="1:10" x14ac:dyDescent="0.25">
      <c r="A62" s="9" t="s">
        <v>4545</v>
      </c>
      <c r="B62" t="s">
        <v>4735</v>
      </c>
      <c r="H62">
        <v>93577</v>
      </c>
      <c r="I62" t="s">
        <v>4797</v>
      </c>
      <c r="J62" t="str">
        <f t="shared" si="0"/>
        <v>ia.assorted_string like '%93577-00030-07-2024%' or</v>
      </c>
    </row>
    <row r="63" spans="1:10" x14ac:dyDescent="0.25">
      <c r="A63" s="8" t="s">
        <v>4546</v>
      </c>
      <c r="B63" t="s">
        <v>4735</v>
      </c>
      <c r="H63">
        <v>93577</v>
      </c>
      <c r="I63" t="s">
        <v>4798</v>
      </c>
      <c r="J63" t="str">
        <f t="shared" si="0"/>
        <v>ia.assorted_string like '%93577-00125-07-2024%' or</v>
      </c>
    </row>
    <row r="64" spans="1:10" x14ac:dyDescent="0.25">
      <c r="A64" s="9" t="s">
        <v>4547</v>
      </c>
      <c r="B64" t="s">
        <v>4735</v>
      </c>
      <c r="H64">
        <v>93577</v>
      </c>
      <c r="I64" t="s">
        <v>4799</v>
      </c>
      <c r="J64" t="str">
        <f t="shared" si="0"/>
        <v>ia.assorted_string like '%93577-00031-07-2024%' or</v>
      </c>
    </row>
    <row r="65" spans="1:10" x14ac:dyDescent="0.25">
      <c r="A65" s="8" t="s">
        <v>4548</v>
      </c>
      <c r="B65" t="s">
        <v>4735</v>
      </c>
      <c r="H65">
        <v>93577</v>
      </c>
      <c r="I65" t="s">
        <v>4800</v>
      </c>
      <c r="J65" t="str">
        <f t="shared" si="0"/>
        <v>ia.assorted_string like '%93577-00033-07-2024%' or</v>
      </c>
    </row>
    <row r="66" spans="1:10" x14ac:dyDescent="0.25">
      <c r="A66" s="9" t="s">
        <v>4549</v>
      </c>
      <c r="B66" t="s">
        <v>4735</v>
      </c>
      <c r="H66">
        <v>93577</v>
      </c>
      <c r="I66" t="s">
        <v>4801</v>
      </c>
      <c r="J66" t="str">
        <f t="shared" ref="J66:J129" si="1">"ia.assorted_string like '%"&amp;H66&amp;"-"&amp;I66&amp;B66&amp;"%' or"</f>
        <v>ia.assorted_string like '%93577-00129-07-2024%' or</v>
      </c>
    </row>
    <row r="67" spans="1:10" x14ac:dyDescent="0.25">
      <c r="A67" s="8" t="s">
        <v>4550</v>
      </c>
      <c r="B67" t="s">
        <v>4735</v>
      </c>
      <c r="H67">
        <v>93577</v>
      </c>
      <c r="I67" t="s">
        <v>4802</v>
      </c>
      <c r="J67" t="str">
        <f t="shared" si="1"/>
        <v>ia.assorted_string like '%93577-00034-07-2024%' or</v>
      </c>
    </row>
    <row r="68" spans="1:10" x14ac:dyDescent="0.25">
      <c r="A68" s="9" t="s">
        <v>4551</v>
      </c>
      <c r="B68" t="s">
        <v>4735</v>
      </c>
      <c r="H68">
        <v>93577</v>
      </c>
      <c r="I68" t="s">
        <v>4803</v>
      </c>
      <c r="J68" t="str">
        <f t="shared" si="1"/>
        <v>ia.assorted_string like '%93577-00130-07-2024%' or</v>
      </c>
    </row>
    <row r="69" spans="1:10" x14ac:dyDescent="0.25">
      <c r="A69" s="8" t="s">
        <v>4552</v>
      </c>
      <c r="B69" t="s">
        <v>4735</v>
      </c>
      <c r="H69">
        <v>93577</v>
      </c>
      <c r="I69" t="s">
        <v>4804</v>
      </c>
      <c r="J69" t="str">
        <f t="shared" si="1"/>
        <v>ia.assorted_string like '%93577-00039-07-2024%' or</v>
      </c>
    </row>
    <row r="70" spans="1:10" x14ac:dyDescent="0.25">
      <c r="A70" s="9" t="s">
        <v>4553</v>
      </c>
      <c r="B70" t="s">
        <v>4735</v>
      </c>
      <c r="H70">
        <v>93577</v>
      </c>
      <c r="I70" t="s">
        <v>4805</v>
      </c>
      <c r="J70" t="str">
        <f t="shared" si="1"/>
        <v>ia.assorted_string like '%93577-00132-07-2024%' or</v>
      </c>
    </row>
    <row r="71" spans="1:10" x14ac:dyDescent="0.25">
      <c r="A71" s="8" t="s">
        <v>4554</v>
      </c>
      <c r="B71" t="s">
        <v>4735</v>
      </c>
      <c r="H71">
        <v>93577</v>
      </c>
      <c r="I71" t="s">
        <v>4806</v>
      </c>
      <c r="J71" t="str">
        <f t="shared" si="1"/>
        <v>ia.assorted_string like '%93577-00040-07-2024%' or</v>
      </c>
    </row>
    <row r="72" spans="1:10" x14ac:dyDescent="0.25">
      <c r="A72" s="9" t="s">
        <v>4555</v>
      </c>
      <c r="B72" t="s">
        <v>4735</v>
      </c>
      <c r="H72">
        <v>93577</v>
      </c>
      <c r="I72" t="s">
        <v>4807</v>
      </c>
      <c r="J72" t="str">
        <f t="shared" si="1"/>
        <v>ia.assorted_string like '%93577-00041-07-2024%' or</v>
      </c>
    </row>
    <row r="73" spans="1:10" x14ac:dyDescent="0.25">
      <c r="A73" s="8" t="s">
        <v>4556</v>
      </c>
      <c r="B73" t="s">
        <v>4735</v>
      </c>
      <c r="H73">
        <v>93577</v>
      </c>
      <c r="I73" t="s">
        <v>4808</v>
      </c>
      <c r="J73" t="str">
        <f t="shared" si="1"/>
        <v>ia.assorted_string like '%93577-00042-07-2024%' or</v>
      </c>
    </row>
    <row r="74" spans="1:10" x14ac:dyDescent="0.25">
      <c r="A74" s="9" t="s">
        <v>4557</v>
      </c>
      <c r="B74" t="s">
        <v>4735</v>
      </c>
      <c r="H74">
        <v>93577</v>
      </c>
      <c r="I74" t="s">
        <v>4809</v>
      </c>
      <c r="J74" t="str">
        <f t="shared" si="1"/>
        <v>ia.assorted_string like '%93577-00044-07-2024%' or</v>
      </c>
    </row>
    <row r="75" spans="1:10" x14ac:dyDescent="0.25">
      <c r="A75" s="8" t="s">
        <v>4558</v>
      </c>
      <c r="B75" t="s">
        <v>4735</v>
      </c>
      <c r="H75">
        <v>93577</v>
      </c>
      <c r="I75" t="s">
        <v>4778</v>
      </c>
      <c r="J75" t="str">
        <f t="shared" si="1"/>
        <v>ia.assorted_string like '%93577-00047-07-2024%' or</v>
      </c>
    </row>
    <row r="76" spans="1:10" x14ac:dyDescent="0.25">
      <c r="A76" s="9" t="s">
        <v>4559</v>
      </c>
      <c r="B76" t="s">
        <v>4735</v>
      </c>
      <c r="H76">
        <v>93577</v>
      </c>
      <c r="I76" t="s">
        <v>4810</v>
      </c>
      <c r="J76" t="str">
        <f t="shared" si="1"/>
        <v>ia.assorted_string like '%93577-00048-07-2024%' or</v>
      </c>
    </row>
    <row r="77" spans="1:10" x14ac:dyDescent="0.25">
      <c r="A77" s="8" t="s">
        <v>4560</v>
      </c>
      <c r="B77" t="s">
        <v>4735</v>
      </c>
      <c r="H77">
        <v>93577</v>
      </c>
      <c r="I77" t="s">
        <v>4811</v>
      </c>
      <c r="J77" t="str">
        <f t="shared" si="1"/>
        <v>ia.assorted_string like '%93577-00049-07-2024%' or</v>
      </c>
    </row>
    <row r="78" spans="1:10" x14ac:dyDescent="0.25">
      <c r="A78" s="9" t="s">
        <v>4561</v>
      </c>
      <c r="B78" t="s">
        <v>4735</v>
      </c>
      <c r="H78">
        <v>93577</v>
      </c>
      <c r="I78" t="s">
        <v>4812</v>
      </c>
      <c r="J78" t="str">
        <f t="shared" si="1"/>
        <v>ia.assorted_string like '%93577-00145-07-2024%' or</v>
      </c>
    </row>
    <row r="79" spans="1:10" x14ac:dyDescent="0.25">
      <c r="A79" s="8" t="s">
        <v>4562</v>
      </c>
      <c r="B79" t="s">
        <v>4735</v>
      </c>
      <c r="H79">
        <v>93577</v>
      </c>
      <c r="I79" t="s">
        <v>4813</v>
      </c>
      <c r="J79" t="str">
        <f t="shared" si="1"/>
        <v>ia.assorted_string like '%93577-00050-07-2024%' or</v>
      </c>
    </row>
    <row r="80" spans="1:10" x14ac:dyDescent="0.25">
      <c r="A80" s="9" t="s">
        <v>4563</v>
      </c>
      <c r="B80" t="s">
        <v>4735</v>
      </c>
      <c r="H80">
        <v>93577</v>
      </c>
      <c r="I80" t="s">
        <v>4814</v>
      </c>
      <c r="J80" t="str">
        <f t="shared" si="1"/>
        <v>ia.assorted_string like '%93577-00051-07-2024%' or</v>
      </c>
    </row>
    <row r="81" spans="1:10" x14ac:dyDescent="0.25">
      <c r="A81" s="8" t="s">
        <v>4564</v>
      </c>
      <c r="B81" t="s">
        <v>4735</v>
      </c>
      <c r="H81">
        <v>93577</v>
      </c>
      <c r="I81" t="s">
        <v>4815</v>
      </c>
      <c r="J81" t="str">
        <f t="shared" si="1"/>
        <v>ia.assorted_string like '%93577-00052-07-2024%' or</v>
      </c>
    </row>
    <row r="82" spans="1:10" x14ac:dyDescent="0.25">
      <c r="A82" s="9" t="s">
        <v>4565</v>
      </c>
      <c r="B82" t="s">
        <v>4735</v>
      </c>
      <c r="H82">
        <v>93577</v>
      </c>
      <c r="I82" t="s">
        <v>4816</v>
      </c>
      <c r="J82" t="str">
        <f t="shared" si="1"/>
        <v>ia.assorted_string like '%93577-00054-07-2024%' or</v>
      </c>
    </row>
    <row r="83" spans="1:10" x14ac:dyDescent="0.25">
      <c r="A83" s="8" t="s">
        <v>4566</v>
      </c>
      <c r="B83" t="s">
        <v>4735</v>
      </c>
      <c r="H83">
        <v>93577</v>
      </c>
      <c r="I83" t="s">
        <v>4817</v>
      </c>
      <c r="J83" t="str">
        <f t="shared" si="1"/>
        <v>ia.assorted_string like '%93577-00055-07-2024%' or</v>
      </c>
    </row>
    <row r="84" spans="1:10" x14ac:dyDescent="0.25">
      <c r="A84" s="9" t="s">
        <v>4567</v>
      </c>
      <c r="B84" t="s">
        <v>4735</v>
      </c>
      <c r="H84">
        <v>93577</v>
      </c>
      <c r="I84" t="s">
        <v>4818</v>
      </c>
      <c r="J84" t="str">
        <f t="shared" si="1"/>
        <v>ia.assorted_string like '%93577-00057-07-2024%' or</v>
      </c>
    </row>
    <row r="85" spans="1:10" x14ac:dyDescent="0.25">
      <c r="A85" s="8" t="s">
        <v>4568</v>
      </c>
      <c r="B85" t="s">
        <v>4735</v>
      </c>
      <c r="H85">
        <v>93577</v>
      </c>
      <c r="I85" t="s">
        <v>4819</v>
      </c>
      <c r="J85" t="str">
        <f t="shared" si="1"/>
        <v>ia.assorted_string like '%93577-00058-07-2024%' or</v>
      </c>
    </row>
    <row r="86" spans="1:10" x14ac:dyDescent="0.25">
      <c r="A86" s="9" t="s">
        <v>4569</v>
      </c>
      <c r="B86" t="s">
        <v>4735</v>
      </c>
      <c r="H86">
        <v>93577</v>
      </c>
      <c r="I86" t="s">
        <v>4820</v>
      </c>
      <c r="J86" t="str">
        <f t="shared" si="1"/>
        <v>ia.assorted_string like '%93577-00060-07-2024%' or</v>
      </c>
    </row>
    <row r="87" spans="1:10" x14ac:dyDescent="0.25">
      <c r="A87" s="8" t="s">
        <v>4570</v>
      </c>
      <c r="B87" t="s">
        <v>4735</v>
      </c>
      <c r="H87">
        <v>93577</v>
      </c>
      <c r="I87" t="s">
        <v>4821</v>
      </c>
      <c r="J87" t="str">
        <f t="shared" si="1"/>
        <v>ia.assorted_string like '%93577-00061-07-2024%' or</v>
      </c>
    </row>
    <row r="88" spans="1:10" x14ac:dyDescent="0.25">
      <c r="A88" s="9" t="s">
        <v>4571</v>
      </c>
      <c r="B88" t="s">
        <v>4735</v>
      </c>
      <c r="H88">
        <v>93577</v>
      </c>
      <c r="I88" t="s">
        <v>4822</v>
      </c>
      <c r="J88" t="str">
        <f t="shared" si="1"/>
        <v>ia.assorted_string like '%93577-00063-07-2024%' or</v>
      </c>
    </row>
    <row r="89" spans="1:10" x14ac:dyDescent="0.25">
      <c r="A89" s="8" t="s">
        <v>4572</v>
      </c>
      <c r="B89" t="s">
        <v>4735</v>
      </c>
      <c r="H89">
        <v>93577</v>
      </c>
      <c r="I89" t="s">
        <v>4823</v>
      </c>
      <c r="J89" t="str">
        <f t="shared" si="1"/>
        <v>ia.assorted_string like '%93577-00065-07-2024%' or</v>
      </c>
    </row>
    <row r="90" spans="1:10" x14ac:dyDescent="0.25">
      <c r="A90" s="9" t="s">
        <v>4573</v>
      </c>
      <c r="B90" t="s">
        <v>4735</v>
      </c>
      <c r="H90">
        <v>93577</v>
      </c>
      <c r="I90" t="s">
        <v>4824</v>
      </c>
      <c r="J90" t="str">
        <f t="shared" si="1"/>
        <v>ia.assorted_string like '%93577-00066-07-2024%' or</v>
      </c>
    </row>
    <row r="91" spans="1:10" x14ac:dyDescent="0.25">
      <c r="A91" s="8" t="s">
        <v>4574</v>
      </c>
      <c r="B91" t="s">
        <v>4735</v>
      </c>
      <c r="H91">
        <v>93577</v>
      </c>
      <c r="I91" t="s">
        <v>4825</v>
      </c>
      <c r="J91" t="str">
        <f t="shared" si="1"/>
        <v>ia.assorted_string like '%93577-00069-07-2024%' or</v>
      </c>
    </row>
    <row r="92" spans="1:10" x14ac:dyDescent="0.25">
      <c r="A92" s="9" t="s">
        <v>4575</v>
      </c>
      <c r="B92" t="s">
        <v>4735</v>
      </c>
      <c r="H92">
        <v>93577</v>
      </c>
      <c r="I92" t="s">
        <v>4826</v>
      </c>
      <c r="J92" t="str">
        <f t="shared" si="1"/>
        <v>ia.assorted_string like '%93577-00070-07-2024%' or</v>
      </c>
    </row>
    <row r="93" spans="1:10" x14ac:dyDescent="0.25">
      <c r="A93" s="8" t="s">
        <v>4576</v>
      </c>
      <c r="B93" t="s">
        <v>4735</v>
      </c>
      <c r="H93">
        <v>93577</v>
      </c>
      <c r="I93" t="s">
        <v>4827</v>
      </c>
      <c r="J93" t="str">
        <f t="shared" si="1"/>
        <v>ia.assorted_string like '%93577-00072-07-2024%' or</v>
      </c>
    </row>
    <row r="94" spans="1:10" x14ac:dyDescent="0.25">
      <c r="A94" s="9" t="s">
        <v>4577</v>
      </c>
      <c r="B94" t="s">
        <v>4735</v>
      </c>
      <c r="H94">
        <v>93577</v>
      </c>
      <c r="I94" t="s">
        <v>4828</v>
      </c>
      <c r="J94" t="str">
        <f t="shared" si="1"/>
        <v>ia.assorted_string like '%93577-00073-07-2024%' or</v>
      </c>
    </row>
    <row r="95" spans="1:10" x14ac:dyDescent="0.25">
      <c r="A95" s="8" t="s">
        <v>4578</v>
      </c>
      <c r="B95" t="s">
        <v>4735</v>
      </c>
      <c r="H95">
        <v>93577</v>
      </c>
      <c r="I95" t="s">
        <v>4829</v>
      </c>
      <c r="J95" t="str">
        <f t="shared" si="1"/>
        <v>ia.assorted_string like '%93577-00075-07-2024%' or</v>
      </c>
    </row>
    <row r="96" spans="1:10" x14ac:dyDescent="0.25">
      <c r="A96" s="9" t="s">
        <v>4579</v>
      </c>
      <c r="B96" t="s">
        <v>4735</v>
      </c>
      <c r="H96">
        <v>93577</v>
      </c>
      <c r="I96" t="s">
        <v>4830</v>
      </c>
      <c r="J96" t="str">
        <f t="shared" si="1"/>
        <v>ia.assorted_string like '%93577-00076-07-2024%' or</v>
      </c>
    </row>
    <row r="97" spans="1:10" x14ac:dyDescent="0.25">
      <c r="A97" s="8" t="s">
        <v>4580</v>
      </c>
      <c r="B97" t="s">
        <v>4735</v>
      </c>
      <c r="H97">
        <v>93577</v>
      </c>
      <c r="I97" t="s">
        <v>4831</v>
      </c>
      <c r="J97" t="str">
        <f t="shared" si="1"/>
        <v>ia.assorted_string like '%93577-00078-07-2024%' or</v>
      </c>
    </row>
    <row r="98" spans="1:10" x14ac:dyDescent="0.25">
      <c r="A98" s="9" t="s">
        <v>4581</v>
      </c>
      <c r="B98" t="s">
        <v>4735</v>
      </c>
      <c r="H98">
        <v>93577</v>
      </c>
      <c r="I98" t="s">
        <v>4832</v>
      </c>
      <c r="J98" t="str">
        <f t="shared" si="1"/>
        <v>ia.assorted_string like '%93577-00079-07-2024%' or</v>
      </c>
    </row>
    <row r="99" spans="1:10" x14ac:dyDescent="0.25">
      <c r="A99" s="8" t="s">
        <v>4582</v>
      </c>
      <c r="B99" t="s">
        <v>4735</v>
      </c>
      <c r="H99">
        <v>93577</v>
      </c>
      <c r="I99" t="s">
        <v>4833</v>
      </c>
      <c r="J99" t="str">
        <f t="shared" si="1"/>
        <v>ia.assorted_string like '%93577-00171-07-2024%' or</v>
      </c>
    </row>
    <row r="100" spans="1:10" x14ac:dyDescent="0.25">
      <c r="A100" s="9" t="s">
        <v>4583</v>
      </c>
      <c r="B100" t="s">
        <v>4735</v>
      </c>
      <c r="H100">
        <v>93577</v>
      </c>
      <c r="I100" t="s">
        <v>4834</v>
      </c>
      <c r="J100" t="str">
        <f t="shared" si="1"/>
        <v>ia.assorted_string like '%93577-00172-07-2024%' or</v>
      </c>
    </row>
    <row r="101" spans="1:10" x14ac:dyDescent="0.25">
      <c r="A101" s="8" t="s">
        <v>4584</v>
      </c>
      <c r="B101" t="s">
        <v>4735</v>
      </c>
      <c r="H101">
        <v>93577</v>
      </c>
      <c r="I101" t="s">
        <v>4835</v>
      </c>
      <c r="J101" t="str">
        <f t="shared" si="1"/>
        <v>ia.assorted_string like '%93577-00080-07-2024%' or</v>
      </c>
    </row>
    <row r="102" spans="1:10" x14ac:dyDescent="0.25">
      <c r="A102" s="9" t="s">
        <v>4585</v>
      </c>
      <c r="B102" t="s">
        <v>4735</v>
      </c>
      <c r="H102">
        <v>93577</v>
      </c>
      <c r="I102" t="s">
        <v>4836</v>
      </c>
      <c r="J102" t="str">
        <f t="shared" si="1"/>
        <v>ia.assorted_string like '%93577-00081-07-2024%' or</v>
      </c>
    </row>
    <row r="103" spans="1:10" x14ac:dyDescent="0.25">
      <c r="A103" s="8" t="s">
        <v>4586</v>
      </c>
      <c r="B103" t="s">
        <v>4735</v>
      </c>
      <c r="H103">
        <v>93577</v>
      </c>
      <c r="I103" t="s">
        <v>4837</v>
      </c>
      <c r="J103" t="str">
        <f t="shared" si="1"/>
        <v>ia.assorted_string like '%93577-00174-07-2024%' or</v>
      </c>
    </row>
    <row r="104" spans="1:10" x14ac:dyDescent="0.25">
      <c r="A104" s="9" t="s">
        <v>4587</v>
      </c>
      <c r="B104" t="s">
        <v>4735</v>
      </c>
      <c r="H104">
        <v>93577</v>
      </c>
      <c r="I104" t="s">
        <v>4838</v>
      </c>
      <c r="J104" t="str">
        <f t="shared" si="1"/>
        <v>ia.assorted_string like '%93577-00082-07-2024%' or</v>
      </c>
    </row>
    <row r="105" spans="1:10" x14ac:dyDescent="0.25">
      <c r="A105" s="8" t="s">
        <v>4588</v>
      </c>
      <c r="B105" t="s">
        <v>4735</v>
      </c>
      <c r="H105">
        <v>93577</v>
      </c>
      <c r="I105" t="s">
        <v>4839</v>
      </c>
      <c r="J105" t="str">
        <f t="shared" si="1"/>
        <v>ia.assorted_string like '%93577-00084-07-2024%' or</v>
      </c>
    </row>
    <row r="106" spans="1:10" x14ac:dyDescent="0.25">
      <c r="A106" s="9" t="s">
        <v>4589</v>
      </c>
      <c r="B106" t="s">
        <v>4735</v>
      </c>
      <c r="H106">
        <v>93577</v>
      </c>
      <c r="I106" t="s">
        <v>4840</v>
      </c>
      <c r="J106" t="str">
        <f t="shared" si="1"/>
        <v>ia.assorted_string like '%93577-00178-07-2024%' or</v>
      </c>
    </row>
    <row r="107" spans="1:10" x14ac:dyDescent="0.25">
      <c r="A107" s="8" t="s">
        <v>4590</v>
      </c>
      <c r="B107" t="s">
        <v>4735</v>
      </c>
      <c r="H107">
        <v>93577</v>
      </c>
      <c r="I107" t="s">
        <v>4841</v>
      </c>
      <c r="J107" t="str">
        <f t="shared" si="1"/>
        <v>ia.assorted_string like '%93577-00085-07-2024%' or</v>
      </c>
    </row>
    <row r="108" spans="1:10" x14ac:dyDescent="0.25">
      <c r="A108" s="9" t="s">
        <v>4591</v>
      </c>
      <c r="B108" t="s">
        <v>4735</v>
      </c>
      <c r="H108">
        <v>93577</v>
      </c>
      <c r="I108" t="s">
        <v>4842</v>
      </c>
      <c r="J108" t="str">
        <f t="shared" si="1"/>
        <v>ia.assorted_string like '%93577-00086-07-2024%' or</v>
      </c>
    </row>
    <row r="109" spans="1:10" x14ac:dyDescent="0.25">
      <c r="A109" s="8" t="s">
        <v>4592</v>
      </c>
      <c r="B109" t="s">
        <v>4735</v>
      </c>
      <c r="H109">
        <v>93577</v>
      </c>
      <c r="I109" t="s">
        <v>4843</v>
      </c>
      <c r="J109" t="str">
        <f t="shared" si="1"/>
        <v>ia.assorted_string like '%93577-00087-07-2024%' or</v>
      </c>
    </row>
    <row r="110" spans="1:10" x14ac:dyDescent="0.25">
      <c r="A110" s="9" t="s">
        <v>4593</v>
      </c>
      <c r="B110" t="s">
        <v>4735</v>
      </c>
      <c r="H110">
        <v>93577</v>
      </c>
      <c r="I110" t="s">
        <v>4844</v>
      </c>
      <c r="J110" t="str">
        <f t="shared" si="1"/>
        <v>ia.assorted_string like '%93577-00093-07-2024%' or</v>
      </c>
    </row>
    <row r="111" spans="1:10" x14ac:dyDescent="0.25">
      <c r="A111" s="8" t="s">
        <v>4594</v>
      </c>
      <c r="B111" t="s">
        <v>4735</v>
      </c>
      <c r="H111">
        <v>93577</v>
      </c>
      <c r="I111" t="s">
        <v>4845</v>
      </c>
      <c r="J111" t="str">
        <f t="shared" si="1"/>
        <v>ia.assorted_string like '%93577-00094-07-2024%' or</v>
      </c>
    </row>
    <row r="112" spans="1:10" x14ac:dyDescent="0.25">
      <c r="A112" s="9" t="s">
        <v>4595</v>
      </c>
      <c r="B112" t="s">
        <v>4735</v>
      </c>
      <c r="H112">
        <v>93577</v>
      </c>
      <c r="I112" t="s">
        <v>4846</v>
      </c>
      <c r="J112" t="str">
        <f t="shared" si="1"/>
        <v>ia.assorted_string like '%93577-00099-07-2024%' or</v>
      </c>
    </row>
    <row r="113" spans="1:10" x14ac:dyDescent="0.25">
      <c r="A113" s="8" t="s">
        <v>4596</v>
      </c>
      <c r="B113" t="s">
        <v>4735</v>
      </c>
      <c r="H113">
        <v>93577</v>
      </c>
      <c r="I113" t="s">
        <v>4847</v>
      </c>
      <c r="J113" t="str">
        <f t="shared" si="1"/>
        <v>ia.assorted_string like '%93577-00100-07-2024%' or</v>
      </c>
    </row>
    <row r="114" spans="1:10" x14ac:dyDescent="0.25">
      <c r="A114" s="9" t="s">
        <v>4597</v>
      </c>
      <c r="B114" t="s">
        <v>4735</v>
      </c>
      <c r="H114">
        <v>93577</v>
      </c>
      <c r="I114" t="s">
        <v>4848</v>
      </c>
      <c r="J114" t="str">
        <f t="shared" si="1"/>
        <v>ia.assorted_string like '%93577-00192-07-2024%' or</v>
      </c>
    </row>
    <row r="115" spans="1:10" x14ac:dyDescent="0.25">
      <c r="A115" s="8" t="s">
        <v>4598</v>
      </c>
      <c r="B115" t="s">
        <v>4735</v>
      </c>
      <c r="H115">
        <v>93577</v>
      </c>
      <c r="I115" t="s">
        <v>4772</v>
      </c>
      <c r="J115" t="str">
        <f t="shared" si="1"/>
        <v>ia.assorted_string like '%93577-00195-07-2024%' or</v>
      </c>
    </row>
    <row r="116" spans="1:10" x14ac:dyDescent="0.25">
      <c r="A116" s="9" t="s">
        <v>4599</v>
      </c>
      <c r="B116" t="s">
        <v>4735</v>
      </c>
      <c r="H116">
        <v>93577</v>
      </c>
      <c r="I116" t="s">
        <v>4849</v>
      </c>
      <c r="J116" t="str">
        <f t="shared" si="1"/>
        <v>ia.assorted_string like '%93577-00196-07-2024%' or</v>
      </c>
    </row>
    <row r="117" spans="1:10" x14ac:dyDescent="0.25">
      <c r="A117" s="8" t="s">
        <v>4600</v>
      </c>
      <c r="B117" t="s">
        <v>4735</v>
      </c>
      <c r="H117">
        <v>93577</v>
      </c>
      <c r="I117" t="s">
        <v>4850</v>
      </c>
      <c r="J117" t="str">
        <f t="shared" si="1"/>
        <v>ia.assorted_string like '%93577-00101-07-2024%' or</v>
      </c>
    </row>
    <row r="118" spans="1:10" x14ac:dyDescent="0.25">
      <c r="A118" s="9" t="s">
        <v>4601</v>
      </c>
      <c r="B118" t="s">
        <v>4735</v>
      </c>
      <c r="H118">
        <v>93577</v>
      </c>
      <c r="I118" t="s">
        <v>4851</v>
      </c>
      <c r="J118" t="str">
        <f t="shared" si="1"/>
        <v>ia.assorted_string like '%93577-00102-07-2024%' or</v>
      </c>
    </row>
    <row r="119" spans="1:10" x14ac:dyDescent="0.25">
      <c r="A119" s="8" t="s">
        <v>4602</v>
      </c>
      <c r="B119" t="s">
        <v>4735</v>
      </c>
      <c r="H119">
        <v>93577</v>
      </c>
      <c r="I119" t="s">
        <v>4852</v>
      </c>
      <c r="J119" t="str">
        <f t="shared" si="1"/>
        <v>ia.assorted_string like '%93577-00103-07-2024%' or</v>
      </c>
    </row>
    <row r="120" spans="1:10" x14ac:dyDescent="0.25">
      <c r="A120" s="9" t="s">
        <v>4603</v>
      </c>
      <c r="B120" t="s">
        <v>4735</v>
      </c>
      <c r="H120">
        <v>93577</v>
      </c>
      <c r="I120" t="s">
        <v>4853</v>
      </c>
      <c r="J120" t="str">
        <f t="shared" si="1"/>
        <v>ia.assorted_string like '%93577-00202-07-2024%' or</v>
      </c>
    </row>
    <row r="121" spans="1:10" x14ac:dyDescent="0.25">
      <c r="A121" s="8" t="s">
        <v>4604</v>
      </c>
      <c r="B121" t="s">
        <v>4735</v>
      </c>
      <c r="H121">
        <v>93577</v>
      </c>
      <c r="I121" t="s">
        <v>4854</v>
      </c>
      <c r="J121" t="str">
        <f t="shared" si="1"/>
        <v>ia.assorted_string like '%93577-00203-07-2024%' or</v>
      </c>
    </row>
    <row r="122" spans="1:10" x14ac:dyDescent="0.25">
      <c r="A122" s="9" t="s">
        <v>4605</v>
      </c>
      <c r="B122" t="s">
        <v>4735</v>
      </c>
      <c r="H122">
        <v>93577</v>
      </c>
      <c r="I122" t="s">
        <v>4855</v>
      </c>
      <c r="J122" t="str">
        <f t="shared" si="1"/>
        <v>ia.assorted_string like '%93577-00104-07-2024%' or</v>
      </c>
    </row>
    <row r="123" spans="1:10" x14ac:dyDescent="0.25">
      <c r="A123" s="8" t="s">
        <v>4606</v>
      </c>
      <c r="B123" t="s">
        <v>4735</v>
      </c>
      <c r="H123">
        <v>93577</v>
      </c>
      <c r="I123" t="s">
        <v>4856</v>
      </c>
      <c r="J123" t="str">
        <f t="shared" si="1"/>
        <v>ia.assorted_string like '%93577-00205-07-2024%' or</v>
      </c>
    </row>
    <row r="124" spans="1:10" x14ac:dyDescent="0.25">
      <c r="A124" s="9" t="s">
        <v>4607</v>
      </c>
      <c r="B124" t="s">
        <v>4735</v>
      </c>
      <c r="H124">
        <v>93577</v>
      </c>
      <c r="I124" t="s">
        <v>4857</v>
      </c>
      <c r="J124" t="str">
        <f t="shared" si="1"/>
        <v>ia.assorted_string like '%93577-00105-07-2024%' or</v>
      </c>
    </row>
    <row r="125" spans="1:10" x14ac:dyDescent="0.25">
      <c r="A125" s="8" t="s">
        <v>4608</v>
      </c>
      <c r="B125" t="s">
        <v>4735</v>
      </c>
      <c r="H125">
        <v>93577</v>
      </c>
      <c r="I125" t="s">
        <v>4858</v>
      </c>
      <c r="J125" t="str">
        <f t="shared" si="1"/>
        <v>ia.assorted_string like '%93577-00207-07-2024%' or</v>
      </c>
    </row>
    <row r="126" spans="1:10" x14ac:dyDescent="0.25">
      <c r="A126" s="9" t="s">
        <v>4609</v>
      </c>
      <c r="B126" t="s">
        <v>4735</v>
      </c>
      <c r="H126">
        <v>93577</v>
      </c>
      <c r="I126" t="s">
        <v>4859</v>
      </c>
      <c r="J126" t="str">
        <f t="shared" si="1"/>
        <v>ia.assorted_string like '%93577-00208-07-2024%' or</v>
      </c>
    </row>
    <row r="127" spans="1:10" x14ac:dyDescent="0.25">
      <c r="A127" s="8" t="s">
        <v>4610</v>
      </c>
      <c r="B127" t="s">
        <v>4735</v>
      </c>
      <c r="H127">
        <v>93577</v>
      </c>
      <c r="I127" t="s">
        <v>4860</v>
      </c>
      <c r="J127" t="str">
        <f t="shared" si="1"/>
        <v>ia.assorted_string like '%93577-00209-07-2024%' or</v>
      </c>
    </row>
    <row r="128" spans="1:10" x14ac:dyDescent="0.25">
      <c r="A128" s="9" t="s">
        <v>4611</v>
      </c>
      <c r="B128" t="s">
        <v>4735</v>
      </c>
      <c r="H128">
        <v>93577</v>
      </c>
      <c r="I128" t="s">
        <v>4861</v>
      </c>
      <c r="J128" t="str">
        <f t="shared" si="1"/>
        <v>ia.assorted_string like '%93577-00106-07-2024%' or</v>
      </c>
    </row>
    <row r="129" spans="1:10" x14ac:dyDescent="0.25">
      <c r="A129" s="8" t="s">
        <v>4612</v>
      </c>
      <c r="B129" t="s">
        <v>4735</v>
      </c>
      <c r="H129">
        <v>93577</v>
      </c>
      <c r="I129" t="s">
        <v>4862</v>
      </c>
      <c r="J129" t="str">
        <f t="shared" si="1"/>
        <v>ia.assorted_string like '%93577-00107-07-2024%' or</v>
      </c>
    </row>
    <row r="130" spans="1:10" x14ac:dyDescent="0.25">
      <c r="A130" s="9" t="s">
        <v>4613</v>
      </c>
      <c r="B130" t="s">
        <v>4735</v>
      </c>
      <c r="H130">
        <v>93577</v>
      </c>
      <c r="I130" t="s">
        <v>4863</v>
      </c>
      <c r="J130" t="str">
        <f t="shared" ref="J130:J193" si="2">"ia.assorted_string like '%"&amp;H130&amp;"-"&amp;I130&amp;B130&amp;"%' or"</f>
        <v>ia.assorted_string like '%93577-00214-07-2024%' or</v>
      </c>
    </row>
    <row r="131" spans="1:10" x14ac:dyDescent="0.25">
      <c r="A131" s="8" t="s">
        <v>4614</v>
      </c>
      <c r="B131" t="s">
        <v>4735</v>
      </c>
      <c r="H131">
        <v>93577</v>
      </c>
      <c r="I131" t="s">
        <v>4864</v>
      </c>
      <c r="J131" t="str">
        <f t="shared" si="2"/>
        <v>ia.assorted_string like '%93577-00109-07-2024%' or</v>
      </c>
    </row>
    <row r="132" spans="1:10" x14ac:dyDescent="0.25">
      <c r="A132" s="9" t="s">
        <v>4615</v>
      </c>
      <c r="B132" t="s">
        <v>4735</v>
      </c>
      <c r="H132">
        <v>93577</v>
      </c>
      <c r="I132" t="s">
        <v>4865</v>
      </c>
      <c r="J132" t="str">
        <f t="shared" si="2"/>
        <v>ia.assorted_string like '%93577-00110-07-2024%' or</v>
      </c>
    </row>
    <row r="133" spans="1:10" x14ac:dyDescent="0.25">
      <c r="A133" s="8" t="s">
        <v>4616</v>
      </c>
      <c r="B133" t="s">
        <v>4735</v>
      </c>
      <c r="H133">
        <v>93577</v>
      </c>
      <c r="I133" t="s">
        <v>4866</v>
      </c>
      <c r="J133" t="str">
        <f t="shared" si="2"/>
        <v>ia.assorted_string like '%93577-00111-07-2024%' or</v>
      </c>
    </row>
    <row r="134" spans="1:10" x14ac:dyDescent="0.25">
      <c r="A134" s="9" t="s">
        <v>4617</v>
      </c>
      <c r="B134" t="s">
        <v>4735</v>
      </c>
      <c r="H134">
        <v>93577</v>
      </c>
      <c r="I134" t="s">
        <v>4867</v>
      </c>
      <c r="J134" t="str">
        <f t="shared" si="2"/>
        <v>ia.assorted_string like '%93577-00112-07-2024%' or</v>
      </c>
    </row>
    <row r="135" spans="1:10" x14ac:dyDescent="0.25">
      <c r="A135" s="8" t="s">
        <v>4618</v>
      </c>
      <c r="B135" t="s">
        <v>4735</v>
      </c>
      <c r="H135">
        <v>93577</v>
      </c>
      <c r="I135" t="s">
        <v>4868</v>
      </c>
      <c r="J135" t="str">
        <f t="shared" si="2"/>
        <v>ia.assorted_string like '%93577-00113-07-2024%' or</v>
      </c>
    </row>
    <row r="136" spans="1:10" x14ac:dyDescent="0.25">
      <c r="A136" s="9" t="s">
        <v>4619</v>
      </c>
      <c r="B136" t="s">
        <v>4735</v>
      </c>
      <c r="H136">
        <v>93577</v>
      </c>
      <c r="I136" t="s">
        <v>4869</v>
      </c>
      <c r="J136" t="str">
        <f t="shared" si="2"/>
        <v>ia.assorted_string like '%93577-00114-07-2024%' or</v>
      </c>
    </row>
    <row r="137" spans="1:10" x14ac:dyDescent="0.25">
      <c r="A137" s="8" t="s">
        <v>4620</v>
      </c>
      <c r="B137" t="s">
        <v>4735</v>
      </c>
      <c r="H137">
        <v>93577</v>
      </c>
      <c r="I137" t="s">
        <v>4870</v>
      </c>
      <c r="J137" t="str">
        <f t="shared" si="2"/>
        <v>ia.assorted_string like '%93577-00115-07-2024%' or</v>
      </c>
    </row>
    <row r="138" spans="1:10" x14ac:dyDescent="0.25">
      <c r="A138" s="9" t="s">
        <v>4621</v>
      </c>
      <c r="B138" t="s">
        <v>4735</v>
      </c>
      <c r="H138">
        <v>93577</v>
      </c>
      <c r="I138" t="s">
        <v>4871</v>
      </c>
      <c r="J138" t="str">
        <f t="shared" si="2"/>
        <v>ia.assorted_string like '%93577-00117-07-2024%' or</v>
      </c>
    </row>
    <row r="139" spans="1:10" x14ac:dyDescent="0.25">
      <c r="A139" s="8" t="s">
        <v>4622</v>
      </c>
      <c r="B139" t="s">
        <v>4735</v>
      </c>
      <c r="H139">
        <v>93577</v>
      </c>
      <c r="I139" t="s">
        <v>4872</v>
      </c>
      <c r="J139" t="str">
        <f t="shared" si="2"/>
        <v>ia.assorted_string like '%93577-00226-07-2024%' or</v>
      </c>
    </row>
    <row r="140" spans="1:10" x14ac:dyDescent="0.25">
      <c r="A140" s="9" t="s">
        <v>4623</v>
      </c>
      <c r="B140" t="s">
        <v>4735</v>
      </c>
      <c r="H140">
        <v>93577</v>
      </c>
      <c r="I140" t="s">
        <v>4873</v>
      </c>
      <c r="J140" t="str">
        <f t="shared" si="2"/>
        <v>ia.assorted_string like '%93577-00118-07-2024%' or</v>
      </c>
    </row>
    <row r="141" spans="1:10" x14ac:dyDescent="0.25">
      <c r="A141" s="8" t="s">
        <v>4624</v>
      </c>
      <c r="B141" t="s">
        <v>4735</v>
      </c>
      <c r="H141">
        <v>93577</v>
      </c>
      <c r="I141" t="s">
        <v>4874</v>
      </c>
      <c r="J141" t="str">
        <f t="shared" si="2"/>
        <v>ia.assorted_string like '%93577-00120-07-2024%' or</v>
      </c>
    </row>
    <row r="142" spans="1:10" x14ac:dyDescent="0.25">
      <c r="A142" s="9" t="s">
        <v>4625</v>
      </c>
      <c r="B142" t="s">
        <v>4735</v>
      </c>
      <c r="H142">
        <v>93577</v>
      </c>
      <c r="I142" t="s">
        <v>4875</v>
      </c>
      <c r="J142" t="str">
        <f t="shared" si="2"/>
        <v>ia.assorted_string like '%93577-00122-07-2024%' or</v>
      </c>
    </row>
    <row r="143" spans="1:10" x14ac:dyDescent="0.25">
      <c r="A143" s="8" t="s">
        <v>4626</v>
      </c>
      <c r="B143" t="s">
        <v>4735</v>
      </c>
      <c r="H143">
        <v>93577</v>
      </c>
      <c r="I143" t="s">
        <v>4876</v>
      </c>
      <c r="J143" t="str">
        <f t="shared" si="2"/>
        <v>ia.assorted_string like '%93577-00124-07-2024%' or</v>
      </c>
    </row>
    <row r="144" spans="1:10" x14ac:dyDescent="0.25">
      <c r="A144" s="9" t="s">
        <v>4627</v>
      </c>
      <c r="B144" t="s">
        <v>4735</v>
      </c>
      <c r="H144">
        <v>93577</v>
      </c>
      <c r="I144" t="s">
        <v>4877</v>
      </c>
      <c r="J144" t="str">
        <f t="shared" si="2"/>
        <v>ia.assorted_string like '%93577-00126-07-2024%' or</v>
      </c>
    </row>
    <row r="145" spans="1:10" x14ac:dyDescent="0.25">
      <c r="A145" s="8" t="s">
        <v>4628</v>
      </c>
      <c r="B145" t="s">
        <v>4735</v>
      </c>
      <c r="H145">
        <v>93577</v>
      </c>
      <c r="I145" t="s">
        <v>4878</v>
      </c>
      <c r="J145" t="str">
        <f t="shared" si="2"/>
        <v>ia.assorted_string like '%93577-00127-07-2024%' or</v>
      </c>
    </row>
    <row r="146" spans="1:10" x14ac:dyDescent="0.25">
      <c r="A146" s="9" t="s">
        <v>4629</v>
      </c>
      <c r="B146" t="s">
        <v>4735</v>
      </c>
      <c r="H146">
        <v>93577</v>
      </c>
      <c r="I146" t="s">
        <v>4879</v>
      </c>
      <c r="J146" t="str">
        <f t="shared" si="2"/>
        <v>ia.assorted_string like '%93577-00128-07-2024%' or</v>
      </c>
    </row>
    <row r="147" spans="1:10" x14ac:dyDescent="0.25">
      <c r="A147" s="8" t="s">
        <v>4630</v>
      </c>
      <c r="B147" t="s">
        <v>4735</v>
      </c>
      <c r="H147">
        <v>93577</v>
      </c>
      <c r="I147" t="s">
        <v>4880</v>
      </c>
      <c r="J147" t="str">
        <f t="shared" si="2"/>
        <v>ia.assorted_string like '%93577-00131-07-2024%' or</v>
      </c>
    </row>
    <row r="148" spans="1:10" x14ac:dyDescent="0.25">
      <c r="A148" s="9" t="s">
        <v>4631</v>
      </c>
      <c r="B148" t="s">
        <v>4735</v>
      </c>
      <c r="H148">
        <v>93577</v>
      </c>
      <c r="I148" t="s">
        <v>4881</v>
      </c>
      <c r="J148" t="str">
        <f t="shared" si="2"/>
        <v>ia.assorted_string like '%93577-00133-07-2024%' or</v>
      </c>
    </row>
    <row r="149" spans="1:10" x14ac:dyDescent="0.25">
      <c r="A149" s="8" t="s">
        <v>4632</v>
      </c>
      <c r="B149" t="s">
        <v>4735</v>
      </c>
      <c r="H149">
        <v>93577</v>
      </c>
      <c r="I149" t="s">
        <v>4882</v>
      </c>
      <c r="J149" t="str">
        <f t="shared" si="2"/>
        <v>ia.assorted_string like '%93577-00134-07-2024%' or</v>
      </c>
    </row>
    <row r="150" spans="1:10" x14ac:dyDescent="0.25">
      <c r="A150" s="9" t="s">
        <v>4633</v>
      </c>
      <c r="B150" t="s">
        <v>4735</v>
      </c>
      <c r="H150">
        <v>93577</v>
      </c>
      <c r="I150" t="s">
        <v>4883</v>
      </c>
      <c r="J150" t="str">
        <f t="shared" si="2"/>
        <v>ia.assorted_string like '%93577-00136-07-2024%' or</v>
      </c>
    </row>
    <row r="151" spans="1:10" x14ac:dyDescent="0.25">
      <c r="A151" s="8" t="s">
        <v>4634</v>
      </c>
      <c r="B151" t="s">
        <v>4735</v>
      </c>
      <c r="H151">
        <v>93577</v>
      </c>
      <c r="I151" t="s">
        <v>4884</v>
      </c>
      <c r="J151" t="str">
        <f t="shared" si="2"/>
        <v>ia.assorted_string like '%93577-00137-07-2024%' or</v>
      </c>
    </row>
    <row r="152" spans="1:10" x14ac:dyDescent="0.25">
      <c r="A152" s="9" t="s">
        <v>4635</v>
      </c>
      <c r="B152" t="s">
        <v>4735</v>
      </c>
      <c r="H152">
        <v>93577</v>
      </c>
      <c r="I152" t="s">
        <v>4885</v>
      </c>
      <c r="J152" t="str">
        <f t="shared" si="2"/>
        <v>ia.assorted_string like '%93577-00138-07-2024%' or</v>
      </c>
    </row>
    <row r="153" spans="1:10" x14ac:dyDescent="0.25">
      <c r="A153" s="8" t="s">
        <v>4636</v>
      </c>
      <c r="B153" t="s">
        <v>4735</v>
      </c>
      <c r="H153">
        <v>93577</v>
      </c>
      <c r="I153" t="s">
        <v>4886</v>
      </c>
      <c r="J153" t="str">
        <f t="shared" si="2"/>
        <v>ia.assorted_string like '%93577-00140-07-2024%' or</v>
      </c>
    </row>
    <row r="154" spans="1:10" x14ac:dyDescent="0.25">
      <c r="A154" s="9" t="s">
        <v>4637</v>
      </c>
      <c r="B154" t="s">
        <v>4735</v>
      </c>
      <c r="H154">
        <v>93577</v>
      </c>
      <c r="I154" t="s">
        <v>4887</v>
      </c>
      <c r="J154" t="str">
        <f t="shared" si="2"/>
        <v>ia.assorted_string like '%93577-00141-07-2024%' or</v>
      </c>
    </row>
    <row r="155" spans="1:10" x14ac:dyDescent="0.25">
      <c r="A155" s="8" t="s">
        <v>4638</v>
      </c>
      <c r="B155" t="s">
        <v>4735</v>
      </c>
      <c r="H155">
        <v>93577</v>
      </c>
      <c r="I155" t="s">
        <v>4888</v>
      </c>
      <c r="J155" t="str">
        <f t="shared" si="2"/>
        <v>ia.assorted_string like '%93577-00142-07-2024%' or</v>
      </c>
    </row>
    <row r="156" spans="1:10" x14ac:dyDescent="0.25">
      <c r="A156" s="9" t="s">
        <v>4639</v>
      </c>
      <c r="B156" t="s">
        <v>4735</v>
      </c>
      <c r="H156">
        <v>93577</v>
      </c>
      <c r="I156" t="s">
        <v>4889</v>
      </c>
      <c r="J156" t="str">
        <f t="shared" si="2"/>
        <v>ia.assorted_string like '%93577-00247-07-2024%' or</v>
      </c>
    </row>
    <row r="157" spans="1:10" x14ac:dyDescent="0.25">
      <c r="A157" s="8" t="s">
        <v>4640</v>
      </c>
      <c r="B157" t="s">
        <v>4735</v>
      </c>
      <c r="H157">
        <v>93577</v>
      </c>
      <c r="I157" t="s">
        <v>4890</v>
      </c>
      <c r="J157" t="str">
        <f t="shared" si="2"/>
        <v>ia.assorted_string like '%93577-00248-07-2024%' or</v>
      </c>
    </row>
    <row r="158" spans="1:10" x14ac:dyDescent="0.25">
      <c r="A158" s="9" t="s">
        <v>4641</v>
      </c>
      <c r="B158" t="s">
        <v>4735</v>
      </c>
      <c r="H158">
        <v>93577</v>
      </c>
      <c r="I158" t="s">
        <v>4891</v>
      </c>
      <c r="J158" t="str">
        <f t="shared" si="2"/>
        <v>ia.assorted_string like '%93577-00143-07-2024%' or</v>
      </c>
    </row>
    <row r="159" spans="1:10" x14ac:dyDescent="0.25">
      <c r="A159" s="8" t="s">
        <v>4642</v>
      </c>
      <c r="B159" t="s">
        <v>4735</v>
      </c>
      <c r="H159">
        <v>93577</v>
      </c>
      <c r="I159" t="s">
        <v>4892</v>
      </c>
      <c r="J159" t="str">
        <f t="shared" si="2"/>
        <v>ia.assorted_string like '%93577-00144-07-2024%' or</v>
      </c>
    </row>
    <row r="160" spans="1:10" x14ac:dyDescent="0.25">
      <c r="A160" s="9" t="s">
        <v>4643</v>
      </c>
      <c r="B160" t="s">
        <v>4735</v>
      </c>
      <c r="H160">
        <v>93577</v>
      </c>
      <c r="I160" t="s">
        <v>4893</v>
      </c>
      <c r="J160" t="str">
        <f t="shared" si="2"/>
        <v>ia.assorted_string like '%93577-00246-07-2024%' or</v>
      </c>
    </row>
    <row r="161" spans="1:10" x14ac:dyDescent="0.25">
      <c r="A161" s="8" t="s">
        <v>4644</v>
      </c>
      <c r="B161" t="s">
        <v>4735</v>
      </c>
      <c r="H161">
        <v>93577</v>
      </c>
      <c r="I161" t="s">
        <v>4894</v>
      </c>
      <c r="J161" t="str">
        <f t="shared" si="2"/>
        <v>ia.assorted_string like '%93577-00245-07-2024%' or</v>
      </c>
    </row>
    <row r="162" spans="1:10" x14ac:dyDescent="0.25">
      <c r="A162" s="9" t="s">
        <v>4645</v>
      </c>
      <c r="B162" t="s">
        <v>4735</v>
      </c>
      <c r="H162">
        <v>93577</v>
      </c>
      <c r="I162" t="s">
        <v>4895</v>
      </c>
      <c r="J162" t="str">
        <f t="shared" si="2"/>
        <v>ia.assorted_string like '%93577-00146-07-2024%' or</v>
      </c>
    </row>
    <row r="163" spans="1:10" x14ac:dyDescent="0.25">
      <c r="A163" s="8" t="s">
        <v>4646</v>
      </c>
      <c r="B163" t="s">
        <v>4735</v>
      </c>
      <c r="H163">
        <v>93577</v>
      </c>
      <c r="I163" t="s">
        <v>4896</v>
      </c>
      <c r="J163" t="str">
        <f t="shared" si="2"/>
        <v>ia.assorted_string like '%93577-00244-07-2024%' or</v>
      </c>
    </row>
    <row r="164" spans="1:10" x14ac:dyDescent="0.25">
      <c r="A164" s="9" t="s">
        <v>4647</v>
      </c>
      <c r="B164" t="s">
        <v>4735</v>
      </c>
      <c r="H164">
        <v>93577</v>
      </c>
      <c r="I164" t="s">
        <v>4897</v>
      </c>
      <c r="J164" t="str">
        <f t="shared" si="2"/>
        <v>ia.assorted_string like '%93577-00147-07-2024%' or</v>
      </c>
    </row>
    <row r="165" spans="1:10" x14ac:dyDescent="0.25">
      <c r="A165" s="8" t="s">
        <v>4648</v>
      </c>
      <c r="B165" t="s">
        <v>4735</v>
      </c>
      <c r="H165">
        <v>93577</v>
      </c>
      <c r="I165" t="s">
        <v>4898</v>
      </c>
      <c r="J165" t="str">
        <f t="shared" si="2"/>
        <v>ia.assorted_string like '%93577-00148-07-2024%' or</v>
      </c>
    </row>
    <row r="166" spans="1:10" x14ac:dyDescent="0.25">
      <c r="A166" s="9" t="s">
        <v>4649</v>
      </c>
      <c r="B166" t="s">
        <v>4735</v>
      </c>
      <c r="H166">
        <v>93577</v>
      </c>
      <c r="I166" t="s">
        <v>4899</v>
      </c>
      <c r="J166" t="str">
        <f t="shared" si="2"/>
        <v>ia.assorted_string like '%93577-00243-07-2024%' or</v>
      </c>
    </row>
    <row r="167" spans="1:10" x14ac:dyDescent="0.25">
      <c r="A167" s="8" t="s">
        <v>4650</v>
      </c>
      <c r="B167" t="s">
        <v>4735</v>
      </c>
      <c r="H167">
        <v>93577</v>
      </c>
      <c r="I167" t="s">
        <v>4900</v>
      </c>
      <c r="J167" t="str">
        <f t="shared" si="2"/>
        <v>ia.assorted_string like '%93577-00149-07-2024%' or</v>
      </c>
    </row>
    <row r="168" spans="1:10" x14ac:dyDescent="0.25">
      <c r="A168" s="9" t="s">
        <v>4651</v>
      </c>
      <c r="B168" t="s">
        <v>4735</v>
      </c>
      <c r="H168">
        <v>93577</v>
      </c>
      <c r="I168" t="s">
        <v>4901</v>
      </c>
      <c r="J168" t="str">
        <f t="shared" si="2"/>
        <v>ia.assorted_string like '%93577-00150-07-2024%' or</v>
      </c>
    </row>
    <row r="169" spans="1:10" x14ac:dyDescent="0.25">
      <c r="A169" s="8" t="s">
        <v>4652</v>
      </c>
      <c r="B169" t="s">
        <v>4735</v>
      </c>
      <c r="H169">
        <v>93577</v>
      </c>
      <c r="I169" t="s">
        <v>4902</v>
      </c>
      <c r="J169" t="str">
        <f t="shared" si="2"/>
        <v>ia.assorted_string like '%93577-00151-07-2024%' or</v>
      </c>
    </row>
    <row r="170" spans="1:10" x14ac:dyDescent="0.25">
      <c r="A170" s="9" t="s">
        <v>4653</v>
      </c>
      <c r="B170" t="s">
        <v>4735</v>
      </c>
      <c r="H170">
        <v>93577</v>
      </c>
      <c r="I170" t="s">
        <v>4903</v>
      </c>
      <c r="J170" t="str">
        <f t="shared" si="2"/>
        <v>ia.assorted_string like '%93577-00152-07-2024%' or</v>
      </c>
    </row>
    <row r="171" spans="1:10" x14ac:dyDescent="0.25">
      <c r="A171" s="8" t="s">
        <v>4654</v>
      </c>
      <c r="B171" t="s">
        <v>4735</v>
      </c>
      <c r="H171">
        <v>93577</v>
      </c>
      <c r="I171" t="s">
        <v>4904</v>
      </c>
      <c r="J171" t="str">
        <f t="shared" si="2"/>
        <v>ia.assorted_string like '%93577-00153-07-2024%' or</v>
      </c>
    </row>
    <row r="172" spans="1:10" x14ac:dyDescent="0.25">
      <c r="A172" s="9" t="s">
        <v>4655</v>
      </c>
      <c r="B172" t="s">
        <v>4735</v>
      </c>
      <c r="H172">
        <v>93577</v>
      </c>
      <c r="I172" t="s">
        <v>4905</v>
      </c>
      <c r="J172" t="str">
        <f t="shared" si="2"/>
        <v>ia.assorted_string like '%93577-00155-07-2024%' or</v>
      </c>
    </row>
    <row r="173" spans="1:10" x14ac:dyDescent="0.25">
      <c r="A173" s="8" t="s">
        <v>4656</v>
      </c>
      <c r="B173" t="s">
        <v>4735</v>
      </c>
      <c r="H173">
        <v>93577</v>
      </c>
      <c r="I173" t="s">
        <v>4906</v>
      </c>
      <c r="J173" t="str">
        <f t="shared" si="2"/>
        <v>ia.assorted_string like '%93577-00156-07-2024%' or</v>
      </c>
    </row>
    <row r="174" spans="1:10" x14ac:dyDescent="0.25">
      <c r="A174" s="9" t="s">
        <v>4657</v>
      </c>
      <c r="B174" t="s">
        <v>4735</v>
      </c>
      <c r="H174">
        <v>93577</v>
      </c>
      <c r="I174" t="s">
        <v>4907</v>
      </c>
      <c r="J174" t="str">
        <f t="shared" si="2"/>
        <v>ia.assorted_string like '%93577-00157-07-2024%' or</v>
      </c>
    </row>
    <row r="175" spans="1:10" x14ac:dyDescent="0.25">
      <c r="A175" s="8" t="s">
        <v>4658</v>
      </c>
      <c r="B175" t="s">
        <v>4735</v>
      </c>
      <c r="H175">
        <v>93577</v>
      </c>
      <c r="I175" t="s">
        <v>4908</v>
      </c>
      <c r="J175" t="str">
        <f t="shared" si="2"/>
        <v>ia.assorted_string like '%93577-00158-07-2024%' or</v>
      </c>
    </row>
    <row r="176" spans="1:10" x14ac:dyDescent="0.25">
      <c r="A176" s="9" t="s">
        <v>4659</v>
      </c>
      <c r="B176" t="s">
        <v>4735</v>
      </c>
      <c r="H176">
        <v>93577</v>
      </c>
      <c r="I176" t="s">
        <v>4909</v>
      </c>
      <c r="J176" t="str">
        <f t="shared" si="2"/>
        <v>ia.assorted_string like '%93577-00159-07-2024%' or</v>
      </c>
    </row>
    <row r="177" spans="1:10" x14ac:dyDescent="0.25">
      <c r="A177" s="8" t="s">
        <v>4660</v>
      </c>
      <c r="B177" t="s">
        <v>4735</v>
      </c>
      <c r="H177">
        <v>93577</v>
      </c>
      <c r="I177" t="s">
        <v>4910</v>
      </c>
      <c r="J177" t="str">
        <f t="shared" si="2"/>
        <v>ia.assorted_string like '%93577-00160-07-2024%' or</v>
      </c>
    </row>
    <row r="178" spans="1:10" x14ac:dyDescent="0.25">
      <c r="A178" s="9" t="s">
        <v>4661</v>
      </c>
      <c r="B178" t="s">
        <v>4735</v>
      </c>
      <c r="H178">
        <v>93577</v>
      </c>
      <c r="I178" t="s">
        <v>4911</v>
      </c>
      <c r="J178" t="str">
        <f t="shared" si="2"/>
        <v>ia.assorted_string like '%93577-00161-07-2024%' or</v>
      </c>
    </row>
    <row r="179" spans="1:10" x14ac:dyDescent="0.25">
      <c r="A179" s="8" t="s">
        <v>4662</v>
      </c>
      <c r="B179" t="s">
        <v>4735</v>
      </c>
      <c r="H179">
        <v>93577</v>
      </c>
      <c r="I179" t="s">
        <v>4912</v>
      </c>
      <c r="J179" t="str">
        <f t="shared" si="2"/>
        <v>ia.assorted_string like '%93577-00162-07-2024%' or</v>
      </c>
    </row>
    <row r="180" spans="1:10" x14ac:dyDescent="0.25">
      <c r="A180" s="9" t="s">
        <v>4663</v>
      </c>
      <c r="B180" t="s">
        <v>4735</v>
      </c>
      <c r="H180">
        <v>93577</v>
      </c>
      <c r="I180" t="s">
        <v>4913</v>
      </c>
      <c r="J180" t="str">
        <f t="shared" si="2"/>
        <v>ia.assorted_string like '%93577-00163-07-2024%' or</v>
      </c>
    </row>
    <row r="181" spans="1:10" x14ac:dyDescent="0.25">
      <c r="A181" s="8" t="s">
        <v>4664</v>
      </c>
      <c r="B181" t="s">
        <v>4735</v>
      </c>
      <c r="H181">
        <v>93577</v>
      </c>
      <c r="I181" t="s">
        <v>4914</v>
      </c>
      <c r="J181" t="str">
        <f t="shared" si="2"/>
        <v>ia.assorted_string like '%93577-00164-07-2024%' or</v>
      </c>
    </row>
    <row r="182" spans="1:10" x14ac:dyDescent="0.25">
      <c r="A182" s="9" t="s">
        <v>4665</v>
      </c>
      <c r="B182" t="s">
        <v>4735</v>
      </c>
      <c r="H182">
        <v>93577</v>
      </c>
      <c r="I182" t="s">
        <v>4915</v>
      </c>
      <c r="J182" t="str">
        <f t="shared" si="2"/>
        <v>ia.assorted_string like '%93577-00165-07-2024%' or</v>
      </c>
    </row>
    <row r="183" spans="1:10" x14ac:dyDescent="0.25">
      <c r="A183" s="8" t="s">
        <v>4666</v>
      </c>
      <c r="B183" t="s">
        <v>4735</v>
      </c>
      <c r="H183">
        <v>93577</v>
      </c>
      <c r="I183" t="s">
        <v>4916</v>
      </c>
      <c r="J183" t="str">
        <f t="shared" si="2"/>
        <v>ia.assorted_string like '%93577-00166-07-2024%' or</v>
      </c>
    </row>
    <row r="184" spans="1:10" x14ac:dyDescent="0.25">
      <c r="A184" s="9" t="s">
        <v>4667</v>
      </c>
      <c r="B184" t="s">
        <v>4735</v>
      </c>
      <c r="H184">
        <v>93577</v>
      </c>
      <c r="I184" t="s">
        <v>4917</v>
      </c>
      <c r="J184" t="str">
        <f t="shared" si="2"/>
        <v>ia.assorted_string like '%93577-00167-07-2024%' or</v>
      </c>
    </row>
    <row r="185" spans="1:10" x14ac:dyDescent="0.25">
      <c r="A185" s="8" t="s">
        <v>4668</v>
      </c>
      <c r="B185" t="s">
        <v>4735</v>
      </c>
      <c r="H185">
        <v>93577</v>
      </c>
      <c r="I185" t="s">
        <v>4918</v>
      </c>
      <c r="J185" t="str">
        <f t="shared" si="2"/>
        <v>ia.assorted_string like '%93577-00168-07-2024%' or</v>
      </c>
    </row>
    <row r="186" spans="1:10" x14ac:dyDescent="0.25">
      <c r="A186" s="9" t="s">
        <v>4669</v>
      </c>
      <c r="B186" t="s">
        <v>4735</v>
      </c>
      <c r="H186">
        <v>93577</v>
      </c>
      <c r="I186" t="s">
        <v>4919</v>
      </c>
      <c r="J186" t="str">
        <f t="shared" si="2"/>
        <v>ia.assorted_string like '%93577-00169-07-2024%' or</v>
      </c>
    </row>
    <row r="187" spans="1:10" x14ac:dyDescent="0.25">
      <c r="A187" s="8" t="s">
        <v>4670</v>
      </c>
      <c r="B187" t="s">
        <v>4735</v>
      </c>
      <c r="H187">
        <v>93577</v>
      </c>
      <c r="I187" t="s">
        <v>4920</v>
      </c>
      <c r="J187" t="str">
        <f t="shared" si="2"/>
        <v>ia.assorted_string like '%93577-00170-07-2024%' or</v>
      </c>
    </row>
    <row r="188" spans="1:10" x14ac:dyDescent="0.25">
      <c r="A188" s="9" t="s">
        <v>4671</v>
      </c>
      <c r="B188" t="s">
        <v>4735</v>
      </c>
      <c r="H188">
        <v>93577</v>
      </c>
      <c r="I188" t="s">
        <v>4921</v>
      </c>
      <c r="J188" t="str">
        <f t="shared" si="2"/>
        <v>ia.assorted_string like '%93577-00173-07-2024%' or</v>
      </c>
    </row>
    <row r="189" spans="1:10" x14ac:dyDescent="0.25">
      <c r="A189" s="8" t="s">
        <v>4672</v>
      </c>
      <c r="B189" t="s">
        <v>4735</v>
      </c>
      <c r="H189">
        <v>93577</v>
      </c>
      <c r="I189" t="s">
        <v>4922</v>
      </c>
      <c r="J189" t="str">
        <f t="shared" si="2"/>
        <v>ia.assorted_string like '%93577-00242-07-2024%' or</v>
      </c>
    </row>
    <row r="190" spans="1:10" x14ac:dyDescent="0.25">
      <c r="A190" s="9" t="s">
        <v>4673</v>
      </c>
      <c r="B190" t="s">
        <v>4735</v>
      </c>
      <c r="H190">
        <v>93577</v>
      </c>
      <c r="I190" t="s">
        <v>4923</v>
      </c>
      <c r="J190" t="str">
        <f t="shared" si="2"/>
        <v>ia.assorted_string like '%93577-00241-07-2024%' or</v>
      </c>
    </row>
    <row r="191" spans="1:10" x14ac:dyDescent="0.25">
      <c r="A191" s="8" t="s">
        <v>4674</v>
      </c>
      <c r="B191" t="s">
        <v>4735</v>
      </c>
      <c r="H191">
        <v>93577</v>
      </c>
      <c r="I191" t="s">
        <v>4924</v>
      </c>
      <c r="J191" t="str">
        <f t="shared" si="2"/>
        <v>ia.assorted_string like '%93577-00175-07-2024%' or</v>
      </c>
    </row>
    <row r="192" spans="1:10" x14ac:dyDescent="0.25">
      <c r="A192" s="9" t="s">
        <v>4675</v>
      </c>
      <c r="B192" t="s">
        <v>4735</v>
      </c>
      <c r="H192">
        <v>93577</v>
      </c>
      <c r="I192" t="s">
        <v>4925</v>
      </c>
      <c r="J192" t="str">
        <f t="shared" si="2"/>
        <v>ia.assorted_string like '%93577-00176-07-2024%' or</v>
      </c>
    </row>
    <row r="193" spans="1:10" x14ac:dyDescent="0.25">
      <c r="A193" s="8" t="s">
        <v>4676</v>
      </c>
      <c r="B193" t="s">
        <v>4735</v>
      </c>
      <c r="H193">
        <v>93577</v>
      </c>
      <c r="I193" t="s">
        <v>4926</v>
      </c>
      <c r="J193" t="str">
        <f t="shared" si="2"/>
        <v>ia.assorted_string like '%93577-00179-07-2024%' or</v>
      </c>
    </row>
    <row r="194" spans="1:10" x14ac:dyDescent="0.25">
      <c r="A194" s="9" t="s">
        <v>4677</v>
      </c>
      <c r="B194" t="s">
        <v>4735</v>
      </c>
      <c r="H194">
        <v>93577</v>
      </c>
      <c r="I194" t="s">
        <v>4927</v>
      </c>
      <c r="J194" t="str">
        <f t="shared" ref="J194:J246" si="3">"ia.assorted_string like '%"&amp;H194&amp;"-"&amp;I194&amp;B194&amp;"%' or"</f>
        <v>ia.assorted_string like '%93577-00180-07-2024%' or</v>
      </c>
    </row>
    <row r="195" spans="1:10" x14ac:dyDescent="0.25">
      <c r="A195" s="8" t="s">
        <v>4678</v>
      </c>
      <c r="B195" t="s">
        <v>4735</v>
      </c>
      <c r="H195">
        <v>93577</v>
      </c>
      <c r="I195" t="s">
        <v>4928</v>
      </c>
      <c r="J195" t="str">
        <f t="shared" si="3"/>
        <v>ia.assorted_string like '%93577-00240-07-2024%' or</v>
      </c>
    </row>
    <row r="196" spans="1:10" x14ac:dyDescent="0.25">
      <c r="A196" s="9" t="s">
        <v>4679</v>
      </c>
      <c r="B196" t="s">
        <v>4735</v>
      </c>
      <c r="H196">
        <v>93577</v>
      </c>
      <c r="I196" t="s">
        <v>4929</v>
      </c>
      <c r="J196" t="str">
        <f t="shared" si="3"/>
        <v>ia.assorted_string like '%93577-00181-07-2024%' or</v>
      </c>
    </row>
    <row r="197" spans="1:10" x14ac:dyDescent="0.25">
      <c r="A197" s="8" t="s">
        <v>4680</v>
      </c>
      <c r="B197" t="s">
        <v>4735</v>
      </c>
      <c r="H197">
        <v>93577</v>
      </c>
      <c r="I197" t="s">
        <v>4930</v>
      </c>
      <c r="J197" t="str">
        <f t="shared" si="3"/>
        <v>ia.assorted_string like '%93577-00239-07-2024%' or</v>
      </c>
    </row>
    <row r="198" spans="1:10" x14ac:dyDescent="0.25">
      <c r="A198" s="9" t="s">
        <v>4681</v>
      </c>
      <c r="B198" t="s">
        <v>4735</v>
      </c>
      <c r="H198">
        <v>93577</v>
      </c>
      <c r="I198" t="s">
        <v>4931</v>
      </c>
      <c r="J198" t="str">
        <f t="shared" si="3"/>
        <v>ia.assorted_string like '%93577-00238-07-2024%' or</v>
      </c>
    </row>
    <row r="199" spans="1:10" x14ac:dyDescent="0.25">
      <c r="A199" s="8" t="s">
        <v>4682</v>
      </c>
      <c r="B199" t="s">
        <v>4735</v>
      </c>
      <c r="H199">
        <v>93577</v>
      </c>
      <c r="I199" t="s">
        <v>4932</v>
      </c>
      <c r="J199" t="str">
        <f t="shared" si="3"/>
        <v>ia.assorted_string like '%93577-00182-07-2024%' or</v>
      </c>
    </row>
    <row r="200" spans="1:10" x14ac:dyDescent="0.25">
      <c r="A200" s="9" t="s">
        <v>4683</v>
      </c>
      <c r="B200" t="s">
        <v>4735</v>
      </c>
      <c r="H200">
        <v>93577</v>
      </c>
      <c r="I200" t="s">
        <v>4933</v>
      </c>
      <c r="J200" t="str">
        <f t="shared" si="3"/>
        <v>ia.assorted_string like '%93577-00237-07-2024%' or</v>
      </c>
    </row>
    <row r="201" spans="1:10" x14ac:dyDescent="0.25">
      <c r="A201" s="8" t="s">
        <v>4684</v>
      </c>
      <c r="B201" t="s">
        <v>4735</v>
      </c>
      <c r="H201">
        <v>93577</v>
      </c>
      <c r="I201" t="s">
        <v>4934</v>
      </c>
      <c r="J201" t="str">
        <f t="shared" si="3"/>
        <v>ia.assorted_string like '%93577-00183-07-2024%' or</v>
      </c>
    </row>
    <row r="202" spans="1:10" x14ac:dyDescent="0.25">
      <c r="A202" s="9" t="s">
        <v>4685</v>
      </c>
      <c r="B202" t="s">
        <v>4735</v>
      </c>
      <c r="H202">
        <v>93577</v>
      </c>
      <c r="I202" t="s">
        <v>4935</v>
      </c>
      <c r="J202" t="str">
        <f t="shared" si="3"/>
        <v>ia.assorted_string like '%93577-00236-07-2024%' or</v>
      </c>
    </row>
    <row r="203" spans="1:10" x14ac:dyDescent="0.25">
      <c r="A203" s="8" t="s">
        <v>4686</v>
      </c>
      <c r="B203" t="s">
        <v>4735</v>
      </c>
      <c r="H203">
        <v>93577</v>
      </c>
      <c r="I203" t="s">
        <v>4936</v>
      </c>
      <c r="J203" t="str">
        <f t="shared" si="3"/>
        <v>ia.assorted_string like '%93577-00235-07-2024%' or</v>
      </c>
    </row>
    <row r="204" spans="1:10" x14ac:dyDescent="0.25">
      <c r="A204" s="9" t="s">
        <v>4687</v>
      </c>
      <c r="B204" t="s">
        <v>4735</v>
      </c>
      <c r="H204">
        <v>93577</v>
      </c>
      <c r="I204" t="s">
        <v>4937</v>
      </c>
      <c r="J204" t="str">
        <f t="shared" si="3"/>
        <v>ia.assorted_string like '%93577-00234-07-2024%' or</v>
      </c>
    </row>
    <row r="205" spans="1:10" x14ac:dyDescent="0.25">
      <c r="A205" s="8" t="s">
        <v>4688</v>
      </c>
      <c r="B205" t="s">
        <v>4735</v>
      </c>
      <c r="H205">
        <v>93577</v>
      </c>
      <c r="I205" t="s">
        <v>4938</v>
      </c>
      <c r="J205" t="str">
        <f t="shared" si="3"/>
        <v>ia.assorted_string like '%93577-00184-07-2024%' or</v>
      </c>
    </row>
    <row r="206" spans="1:10" x14ac:dyDescent="0.25">
      <c r="A206" s="9" t="s">
        <v>4689</v>
      </c>
      <c r="B206" t="s">
        <v>4735</v>
      </c>
      <c r="H206">
        <v>93577</v>
      </c>
      <c r="I206" t="s">
        <v>4939</v>
      </c>
      <c r="J206" t="str">
        <f t="shared" si="3"/>
        <v>ia.assorted_string like '%93577-00233-07-2024%' or</v>
      </c>
    </row>
    <row r="207" spans="1:10" x14ac:dyDescent="0.25">
      <c r="A207" s="8" t="s">
        <v>4690</v>
      </c>
      <c r="B207" t="s">
        <v>4735</v>
      </c>
      <c r="H207">
        <v>93577</v>
      </c>
      <c r="I207" t="s">
        <v>4940</v>
      </c>
      <c r="J207" t="str">
        <f t="shared" si="3"/>
        <v>ia.assorted_string like '%93577-00232-07-2024%' or</v>
      </c>
    </row>
    <row r="208" spans="1:10" x14ac:dyDescent="0.25">
      <c r="A208" s="9" t="s">
        <v>4691</v>
      </c>
      <c r="B208" t="s">
        <v>4735</v>
      </c>
      <c r="H208">
        <v>93577</v>
      </c>
      <c r="I208" t="s">
        <v>4941</v>
      </c>
      <c r="J208" t="str">
        <f t="shared" si="3"/>
        <v>ia.assorted_string like '%93577-00231-07-2024%' or</v>
      </c>
    </row>
    <row r="209" spans="1:10" x14ac:dyDescent="0.25">
      <c r="A209" s="8" t="s">
        <v>4692</v>
      </c>
      <c r="B209" t="s">
        <v>4735</v>
      </c>
      <c r="H209">
        <v>93577</v>
      </c>
      <c r="I209" t="s">
        <v>4779</v>
      </c>
      <c r="J209" t="str">
        <f t="shared" si="3"/>
        <v>ia.assorted_string like '%93577-00185-07-2024%' or</v>
      </c>
    </row>
    <row r="210" spans="1:10" x14ac:dyDescent="0.25">
      <c r="A210" s="9" t="s">
        <v>4693</v>
      </c>
      <c r="B210" t="s">
        <v>4735</v>
      </c>
      <c r="H210">
        <v>93577</v>
      </c>
      <c r="I210" t="s">
        <v>4942</v>
      </c>
      <c r="J210" t="str">
        <f t="shared" si="3"/>
        <v>ia.assorted_string like '%93577-00230-07-2024%' or</v>
      </c>
    </row>
    <row r="211" spans="1:10" x14ac:dyDescent="0.25">
      <c r="A211" s="8" t="s">
        <v>4694</v>
      </c>
      <c r="B211" t="s">
        <v>4735</v>
      </c>
      <c r="H211">
        <v>93577</v>
      </c>
      <c r="I211" t="s">
        <v>4943</v>
      </c>
      <c r="J211" t="str">
        <f t="shared" si="3"/>
        <v>ia.assorted_string like '%93577-00186-07-2024%' or</v>
      </c>
    </row>
    <row r="212" spans="1:10" x14ac:dyDescent="0.25">
      <c r="A212" s="9" t="s">
        <v>4695</v>
      </c>
      <c r="B212" t="s">
        <v>4735</v>
      </c>
      <c r="H212">
        <v>93577</v>
      </c>
      <c r="I212" t="s">
        <v>4944</v>
      </c>
      <c r="J212" t="str">
        <f t="shared" si="3"/>
        <v>ia.assorted_string like '%93577-00228-07-2024%' or</v>
      </c>
    </row>
    <row r="213" spans="1:10" x14ac:dyDescent="0.25">
      <c r="A213" s="8" t="s">
        <v>4696</v>
      </c>
      <c r="B213" t="s">
        <v>4735</v>
      </c>
      <c r="H213">
        <v>93577</v>
      </c>
      <c r="I213" t="s">
        <v>4945</v>
      </c>
      <c r="J213" t="str">
        <f t="shared" si="3"/>
        <v>ia.assorted_string like '%93577-00188-07-2024%' or</v>
      </c>
    </row>
    <row r="214" spans="1:10" x14ac:dyDescent="0.25">
      <c r="A214" s="9" t="s">
        <v>4697</v>
      </c>
      <c r="B214" t="s">
        <v>4735</v>
      </c>
      <c r="H214">
        <v>93577</v>
      </c>
      <c r="I214" t="s">
        <v>4946</v>
      </c>
      <c r="J214" t="str">
        <f t="shared" si="3"/>
        <v>ia.assorted_string like '%93577-00189-07-2024%' or</v>
      </c>
    </row>
    <row r="215" spans="1:10" x14ac:dyDescent="0.25">
      <c r="A215" s="8" t="s">
        <v>4698</v>
      </c>
      <c r="B215" t="s">
        <v>4735</v>
      </c>
      <c r="H215">
        <v>93577</v>
      </c>
      <c r="I215" t="s">
        <v>4947</v>
      </c>
      <c r="J215" t="str">
        <f t="shared" si="3"/>
        <v>ia.assorted_string like '%93577-00190-07-2024%' or</v>
      </c>
    </row>
    <row r="216" spans="1:10" x14ac:dyDescent="0.25">
      <c r="A216" s="9" t="s">
        <v>4699</v>
      </c>
      <c r="B216" t="s">
        <v>4735</v>
      </c>
      <c r="H216">
        <v>93577</v>
      </c>
      <c r="I216" t="s">
        <v>4948</v>
      </c>
      <c r="J216" t="str">
        <f t="shared" si="3"/>
        <v>ia.assorted_string like '%93577-00191-07-2024%' or</v>
      </c>
    </row>
    <row r="217" spans="1:10" x14ac:dyDescent="0.25">
      <c r="A217" s="8" t="s">
        <v>4700</v>
      </c>
      <c r="B217" t="s">
        <v>4735</v>
      </c>
      <c r="H217">
        <v>93577</v>
      </c>
      <c r="I217" t="s">
        <v>4949</v>
      </c>
      <c r="J217" t="str">
        <f t="shared" si="3"/>
        <v>ia.assorted_string like '%93577-00193-07-2024%' or</v>
      </c>
    </row>
    <row r="218" spans="1:10" x14ac:dyDescent="0.25">
      <c r="A218" s="9" t="s">
        <v>4701</v>
      </c>
      <c r="B218" t="s">
        <v>4735</v>
      </c>
      <c r="H218">
        <v>93577</v>
      </c>
      <c r="I218" t="s">
        <v>4950</v>
      </c>
      <c r="J218" t="str">
        <f t="shared" si="3"/>
        <v>ia.assorted_string like '%93577-00194-07-2024%' or</v>
      </c>
    </row>
    <row r="219" spans="1:10" x14ac:dyDescent="0.25">
      <c r="A219" s="8" t="s">
        <v>4702</v>
      </c>
      <c r="B219" t="s">
        <v>4735</v>
      </c>
      <c r="H219">
        <v>93577</v>
      </c>
      <c r="I219" t="s">
        <v>4951</v>
      </c>
      <c r="J219" t="str">
        <f t="shared" si="3"/>
        <v>ia.assorted_string like '%93577-00227-07-2024%' or</v>
      </c>
    </row>
    <row r="220" spans="1:10" x14ac:dyDescent="0.25">
      <c r="A220" s="9" t="s">
        <v>4703</v>
      </c>
      <c r="B220" t="s">
        <v>4735</v>
      </c>
      <c r="H220">
        <v>93577</v>
      </c>
      <c r="I220" t="s">
        <v>4952</v>
      </c>
      <c r="J220" t="str">
        <f t="shared" si="3"/>
        <v>ia.assorted_string like '%93577-00225-07-2024%' or</v>
      </c>
    </row>
    <row r="221" spans="1:10" x14ac:dyDescent="0.25">
      <c r="A221" s="8" t="s">
        <v>4704</v>
      </c>
      <c r="B221" t="s">
        <v>4735</v>
      </c>
      <c r="H221">
        <v>93577</v>
      </c>
      <c r="I221" t="s">
        <v>4953</v>
      </c>
      <c r="J221" t="str">
        <f t="shared" si="3"/>
        <v>ia.assorted_string like '%93577-00224-07-2024%' or</v>
      </c>
    </row>
    <row r="222" spans="1:10" x14ac:dyDescent="0.25">
      <c r="A222" s="9" t="s">
        <v>4705</v>
      </c>
      <c r="B222" t="s">
        <v>4735</v>
      </c>
      <c r="H222">
        <v>93577</v>
      </c>
      <c r="I222" t="s">
        <v>4954</v>
      </c>
      <c r="J222" t="str">
        <f t="shared" si="3"/>
        <v>ia.assorted_string like '%93577-00223-07-2024%' or</v>
      </c>
    </row>
    <row r="223" spans="1:10" x14ac:dyDescent="0.25">
      <c r="A223" s="8" t="s">
        <v>4706</v>
      </c>
      <c r="B223" t="s">
        <v>4735</v>
      </c>
      <c r="H223">
        <v>93577</v>
      </c>
      <c r="I223" t="s">
        <v>4955</v>
      </c>
      <c r="J223" t="str">
        <f t="shared" si="3"/>
        <v>ia.assorted_string like '%93577-00197-07-2024%' or</v>
      </c>
    </row>
    <row r="224" spans="1:10" x14ac:dyDescent="0.25">
      <c r="A224" s="9" t="s">
        <v>4707</v>
      </c>
      <c r="B224" t="s">
        <v>4735</v>
      </c>
      <c r="H224">
        <v>93577</v>
      </c>
      <c r="I224" t="s">
        <v>4956</v>
      </c>
      <c r="J224" t="str">
        <f t="shared" si="3"/>
        <v>ia.assorted_string like '%93577-00198-07-2024%' or</v>
      </c>
    </row>
    <row r="225" spans="1:10" x14ac:dyDescent="0.25">
      <c r="A225" s="8" t="s">
        <v>4708</v>
      </c>
      <c r="B225" t="s">
        <v>4735</v>
      </c>
      <c r="H225">
        <v>93577</v>
      </c>
      <c r="I225" t="s">
        <v>4957</v>
      </c>
      <c r="J225" t="str">
        <f t="shared" si="3"/>
        <v>ia.assorted_string like '%93577-00222-07-2024%' or</v>
      </c>
    </row>
    <row r="226" spans="1:10" x14ac:dyDescent="0.25">
      <c r="A226" s="9" t="s">
        <v>4709</v>
      </c>
      <c r="B226" t="s">
        <v>4735</v>
      </c>
      <c r="H226">
        <v>93577</v>
      </c>
      <c r="I226" t="s">
        <v>4958</v>
      </c>
      <c r="J226" t="str">
        <f t="shared" si="3"/>
        <v>ia.assorted_string like '%93577-00221-07-2024%' or</v>
      </c>
    </row>
    <row r="227" spans="1:10" x14ac:dyDescent="0.25">
      <c r="A227" s="8" t="s">
        <v>4710</v>
      </c>
      <c r="B227" t="s">
        <v>4735</v>
      </c>
      <c r="H227">
        <v>93577</v>
      </c>
      <c r="I227" t="s">
        <v>4959</v>
      </c>
      <c r="J227" t="str">
        <f t="shared" si="3"/>
        <v>ia.assorted_string like '%93577-00199-07-2024%' or</v>
      </c>
    </row>
    <row r="228" spans="1:10" x14ac:dyDescent="0.25">
      <c r="A228" s="9" t="s">
        <v>4711</v>
      </c>
      <c r="B228" t="s">
        <v>4735</v>
      </c>
      <c r="H228">
        <v>93577</v>
      </c>
      <c r="I228" t="s">
        <v>4960</v>
      </c>
      <c r="J228" t="str">
        <f t="shared" si="3"/>
        <v>ia.assorted_string like '%93577-00200-07-2024%' or</v>
      </c>
    </row>
    <row r="229" spans="1:10" x14ac:dyDescent="0.25">
      <c r="A229" s="8" t="s">
        <v>4712</v>
      </c>
      <c r="B229" t="s">
        <v>4735</v>
      </c>
      <c r="H229">
        <v>93577</v>
      </c>
      <c r="I229" t="s">
        <v>4961</v>
      </c>
      <c r="J229" t="str">
        <f t="shared" si="3"/>
        <v>ia.assorted_string like '%93577-00201-07-2024%' or</v>
      </c>
    </row>
    <row r="230" spans="1:10" x14ac:dyDescent="0.25">
      <c r="A230" s="9" t="s">
        <v>4713</v>
      </c>
      <c r="B230" t="s">
        <v>4735</v>
      </c>
      <c r="H230">
        <v>93577</v>
      </c>
      <c r="I230" t="s">
        <v>4962</v>
      </c>
      <c r="J230" t="str">
        <f t="shared" si="3"/>
        <v>ia.assorted_string like '%93577-00204-07-2024%' or</v>
      </c>
    </row>
    <row r="231" spans="1:10" x14ac:dyDescent="0.25">
      <c r="A231" s="8" t="s">
        <v>4714</v>
      </c>
      <c r="B231" t="s">
        <v>4735</v>
      </c>
      <c r="H231">
        <v>93577</v>
      </c>
      <c r="I231" t="s">
        <v>4963</v>
      </c>
      <c r="J231" t="str">
        <f t="shared" si="3"/>
        <v>ia.assorted_string like '%93577-00206-07-2024%' or</v>
      </c>
    </row>
    <row r="232" spans="1:10" x14ac:dyDescent="0.25">
      <c r="A232" s="9" t="s">
        <v>4715</v>
      </c>
      <c r="B232" t="s">
        <v>4735</v>
      </c>
      <c r="H232">
        <v>93577</v>
      </c>
      <c r="I232" t="s">
        <v>4964</v>
      </c>
      <c r="J232" t="str">
        <f t="shared" si="3"/>
        <v>ia.assorted_string like '%93577-00210-07-2024%' or</v>
      </c>
    </row>
    <row r="233" spans="1:10" x14ac:dyDescent="0.25">
      <c r="A233" s="8" t="s">
        <v>4716</v>
      </c>
      <c r="B233" t="s">
        <v>4735</v>
      </c>
      <c r="H233">
        <v>93577</v>
      </c>
      <c r="I233" t="s">
        <v>4965</v>
      </c>
      <c r="J233" t="str">
        <f t="shared" si="3"/>
        <v>ia.assorted_string like '%93577-00220-07-2024%' or</v>
      </c>
    </row>
    <row r="234" spans="1:10" x14ac:dyDescent="0.25">
      <c r="A234" s="9" t="s">
        <v>4717</v>
      </c>
      <c r="B234" t="s">
        <v>4735</v>
      </c>
      <c r="H234">
        <v>93577</v>
      </c>
      <c r="I234" t="s">
        <v>4966</v>
      </c>
      <c r="J234" t="str">
        <f t="shared" si="3"/>
        <v>ia.assorted_string like '%93577-00219-07-2024%' or</v>
      </c>
    </row>
    <row r="235" spans="1:10" x14ac:dyDescent="0.25">
      <c r="A235" s="8" t="s">
        <v>4718</v>
      </c>
      <c r="B235" t="s">
        <v>4735</v>
      </c>
      <c r="H235">
        <v>93577</v>
      </c>
      <c r="I235" t="s">
        <v>4967</v>
      </c>
      <c r="J235" t="str">
        <f t="shared" si="3"/>
        <v>ia.assorted_string like '%93577-00218-07-2024%' or</v>
      </c>
    </row>
    <row r="236" spans="1:10" x14ac:dyDescent="0.25">
      <c r="A236" s="9" t="s">
        <v>4719</v>
      </c>
      <c r="B236" t="s">
        <v>4735</v>
      </c>
      <c r="H236">
        <v>93577</v>
      </c>
      <c r="I236" t="s">
        <v>4968</v>
      </c>
      <c r="J236" t="str">
        <f t="shared" si="3"/>
        <v>ia.assorted_string like '%93577-00213-07-2024%' or</v>
      </c>
    </row>
    <row r="237" spans="1:10" x14ac:dyDescent="0.25">
      <c r="A237" s="8" t="s">
        <v>4720</v>
      </c>
      <c r="B237" t="s">
        <v>4735</v>
      </c>
      <c r="H237">
        <v>93577</v>
      </c>
      <c r="I237" t="s">
        <v>4969</v>
      </c>
      <c r="J237" t="str">
        <f t="shared" si="3"/>
        <v>ia.assorted_string like '%93577-00215-07-2024%' or</v>
      </c>
    </row>
    <row r="238" spans="1:10" x14ac:dyDescent="0.25">
      <c r="A238" s="9" t="s">
        <v>4721</v>
      </c>
      <c r="B238" t="s">
        <v>4735</v>
      </c>
      <c r="H238">
        <v>93577</v>
      </c>
      <c r="I238" t="s">
        <v>4970</v>
      </c>
      <c r="J238" t="str">
        <f t="shared" si="3"/>
        <v>ia.assorted_string like '%93577-00216-07-2024%' or</v>
      </c>
    </row>
    <row r="239" spans="1:10" x14ac:dyDescent="0.25">
      <c r="A239" s="8" t="s">
        <v>4722</v>
      </c>
      <c r="B239" t="s">
        <v>4735</v>
      </c>
      <c r="H239">
        <v>93577</v>
      </c>
      <c r="I239" t="s">
        <v>4773</v>
      </c>
      <c r="J239" t="str">
        <f t="shared" si="3"/>
        <v>ia.assorted_string like '%93577-00217-07-2024%' or</v>
      </c>
    </row>
    <row r="240" spans="1:10" x14ac:dyDescent="0.25">
      <c r="A240" s="9" t="s">
        <v>4723</v>
      </c>
      <c r="B240" t="s">
        <v>4735</v>
      </c>
      <c r="H240">
        <v>93577</v>
      </c>
      <c r="I240" t="s">
        <v>4971</v>
      </c>
      <c r="J240" t="str">
        <f t="shared" si="3"/>
        <v>ia.assorted_string like '%93577-00154-07-2024%' or</v>
      </c>
    </row>
    <row r="241" spans="1:10" x14ac:dyDescent="0.25">
      <c r="A241" s="8" t="s">
        <v>4724</v>
      </c>
      <c r="B241" t="s">
        <v>4735</v>
      </c>
      <c r="H241">
        <v>93577</v>
      </c>
      <c r="I241" t="s">
        <v>4972</v>
      </c>
      <c r="J241" t="str">
        <f t="shared" si="3"/>
        <v>ia.assorted_string like '%93577-00005-07-2024%' or</v>
      </c>
    </row>
    <row r="242" spans="1:10" x14ac:dyDescent="0.25">
      <c r="A242" s="9" t="s">
        <v>4725</v>
      </c>
      <c r="B242" t="s">
        <v>4735</v>
      </c>
      <c r="H242">
        <v>93577</v>
      </c>
      <c r="I242" t="s">
        <v>4973</v>
      </c>
      <c r="J242" t="str">
        <f t="shared" si="3"/>
        <v>ia.assorted_string like '%93577-00083-07-2024%' or</v>
      </c>
    </row>
    <row r="243" spans="1:10" x14ac:dyDescent="0.25">
      <c r="A243" s="8" t="s">
        <v>4726</v>
      </c>
      <c r="B243" t="s">
        <v>4735</v>
      </c>
      <c r="H243">
        <v>93577</v>
      </c>
      <c r="I243" t="s">
        <v>4974</v>
      </c>
      <c r="J243" t="str">
        <f t="shared" si="3"/>
        <v>ia.assorted_string like '%93577-00139-07-2024%' or</v>
      </c>
    </row>
    <row r="244" spans="1:10" x14ac:dyDescent="0.25">
      <c r="A244" s="9" t="s">
        <v>4727</v>
      </c>
      <c r="B244" t="s">
        <v>4735</v>
      </c>
      <c r="H244">
        <v>93577</v>
      </c>
      <c r="I244" t="s">
        <v>4975</v>
      </c>
      <c r="J244" t="str">
        <f t="shared" si="3"/>
        <v>ia.assorted_string like '%93577-00177-07-2024%' or</v>
      </c>
    </row>
    <row r="245" spans="1:10" x14ac:dyDescent="0.25">
      <c r="A245" s="8" t="s">
        <v>4728</v>
      </c>
      <c r="B245" t="s">
        <v>4735</v>
      </c>
      <c r="H245">
        <v>93577</v>
      </c>
      <c r="I245" t="s">
        <v>4976</v>
      </c>
      <c r="J245" t="str">
        <f t="shared" si="3"/>
        <v>ia.assorted_string like '%93577-00187-07-2024%' or</v>
      </c>
    </row>
    <row r="246" spans="1:10" x14ac:dyDescent="0.25">
      <c r="A246" s="9" t="s">
        <v>4729</v>
      </c>
      <c r="B246" t="s">
        <v>4735</v>
      </c>
      <c r="H246">
        <v>93577</v>
      </c>
      <c r="I246" t="s">
        <v>4977</v>
      </c>
      <c r="J246" t="str">
        <f t="shared" si="3"/>
        <v>ia.assorted_string like '%93577-00212-07-2024%' 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T-PAK</vt:lpstr>
      <vt:lpstr>working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 Ul Islam</dc:creator>
  <cp:lastModifiedBy>IT User Software</cp:lastModifiedBy>
  <dcterms:created xsi:type="dcterms:W3CDTF">2024-08-27T13:34:45Z</dcterms:created>
  <dcterms:modified xsi:type="dcterms:W3CDTF">2024-08-28T09:25:36Z</dcterms:modified>
</cp:coreProperties>
</file>