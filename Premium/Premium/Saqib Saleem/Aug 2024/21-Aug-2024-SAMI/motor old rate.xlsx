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emium\Saqib\21-Aug-2024-SAMI\"/>
    </mc:Choice>
  </mc:AlternateContent>
  <xr:revisionPtr revIDLastSave="0" documentId="13_ncr:1_{E09C15F1-AA53-4D39-9906-A3FBF0C6AFB0}" xr6:coauthVersionLast="47" xr6:coauthVersionMax="47" xr10:uidLastSave="{00000000-0000-0000-0000-000000000000}"/>
  <bookViews>
    <workbookView xWindow="-120" yWindow="-120" windowWidth="20730" windowHeight="11040" tabRatio="843" firstSheet="1" activeTab="6" xr2:uid="{00000000-000D-0000-FFFF-FFFF00000000}"/>
  </bookViews>
  <sheets>
    <sheet name="03-04-2024" sheetId="1" r:id="rId1"/>
    <sheet name="working1" sheetId="5" r:id="rId2"/>
    <sheet name="Sheet1" sheetId="6" r:id="rId3"/>
    <sheet name="03-05-2024 (2)" sheetId="2" r:id="rId4"/>
    <sheet name="working2" sheetId="7" r:id="rId5"/>
    <sheet name="Sheet2" sheetId="8" r:id="rId6"/>
    <sheet name="03-06-2024 (3)" sheetId="3" r:id="rId7"/>
    <sheet name="working3" sheetId="9" r:id="rId8"/>
    <sheet name="Sheet3" sheetId="10" r:id="rId9"/>
    <sheet name="03-03-2024 " sheetId="4" r:id="rId10"/>
    <sheet name="working4" sheetId="11" r:id="rId11"/>
    <sheet name="Sheet4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9" hidden="1">'03-03-2024 '!$A$8:$E$86</definedName>
    <definedName name="_xlnm._FilterDatabase" localSheetId="0" hidden="1">'03-04-2024'!$A$8:$E$90</definedName>
    <definedName name="_xlnm._FilterDatabase" localSheetId="3" hidden="1">'03-05-2024 (2)'!$A$8:$E$91</definedName>
    <definedName name="_xlnm._FilterDatabase" localSheetId="6" hidden="1">'03-06-2024 (3)'!$A$8:$E$137</definedName>
    <definedName name="_xlnm.Print_Area" localSheetId="9">'03-03-2024 '!$A$2:$E$88</definedName>
    <definedName name="_xlnm.Print_Area" localSheetId="0">'03-04-2024'!$A$2:$E$92</definedName>
    <definedName name="_xlnm.Print_Area" localSheetId="3">'03-05-2024 (2)'!$A$2:$E$93</definedName>
    <definedName name="_xlnm.Print_Area" localSheetId="6">'03-06-2024 (3)'!$A$2:$E$139</definedName>
    <definedName name="_xlnm.Print_Titles" localSheetId="9">'03-03-2024 '!$2:$8</definedName>
    <definedName name="_xlnm.Print_Titles" localSheetId="0">'03-04-2024'!$2:$8</definedName>
    <definedName name="_xlnm.Print_Titles" localSheetId="3">'03-05-2024 (2)'!$2:$8</definedName>
    <definedName name="_xlnm.Print_Titles" localSheetId="6">'03-06-2024 (3)'!$2:$8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2" i="11"/>
  <c r="B2" i="12"/>
  <c r="B3" i="12"/>
  <c r="B4" i="12"/>
  <c r="B5" i="12"/>
  <c r="E5" i="12" s="1"/>
  <c r="B6" i="12"/>
  <c r="B7" i="12"/>
  <c r="B8" i="12"/>
  <c r="B9" i="12"/>
  <c r="E9" i="12" s="1"/>
  <c r="B10" i="12"/>
  <c r="B11" i="12"/>
  <c r="B12" i="12"/>
  <c r="B13" i="12"/>
  <c r="E13" i="12" s="1"/>
  <c r="B14" i="12"/>
  <c r="B15" i="12"/>
  <c r="B16" i="12"/>
  <c r="B17" i="12"/>
  <c r="E17" i="12" s="1"/>
  <c r="B18" i="12"/>
  <c r="B19" i="12"/>
  <c r="B20" i="12"/>
  <c r="B21" i="12"/>
  <c r="E21" i="12" s="1"/>
  <c r="B22" i="12"/>
  <c r="B23" i="12"/>
  <c r="B24" i="12"/>
  <c r="B25" i="12"/>
  <c r="E25" i="12" s="1"/>
  <c r="B26" i="12"/>
  <c r="B27" i="12"/>
  <c r="B28" i="12"/>
  <c r="B29" i="12"/>
  <c r="E29" i="12" s="1"/>
  <c r="B30" i="12"/>
  <c r="B31" i="12"/>
  <c r="B32" i="12"/>
  <c r="B33" i="12"/>
  <c r="E33" i="12" s="1"/>
  <c r="B34" i="12"/>
  <c r="B35" i="12"/>
  <c r="B36" i="12"/>
  <c r="B37" i="12"/>
  <c r="E37" i="12" s="1"/>
  <c r="B38" i="12"/>
  <c r="B39" i="12"/>
  <c r="B40" i="12"/>
  <c r="B41" i="12"/>
  <c r="E41" i="12" s="1"/>
  <c r="B42" i="12"/>
  <c r="B43" i="12"/>
  <c r="B44" i="12"/>
  <c r="B45" i="12"/>
  <c r="E45" i="12" s="1"/>
  <c r="B46" i="12"/>
  <c r="B47" i="12"/>
  <c r="B48" i="12"/>
  <c r="B49" i="12"/>
  <c r="E49" i="12" s="1"/>
  <c r="B50" i="12"/>
  <c r="B51" i="12"/>
  <c r="B52" i="12"/>
  <c r="B53" i="12"/>
  <c r="E53" i="12" s="1"/>
  <c r="B54" i="12"/>
  <c r="B55" i="12"/>
  <c r="B56" i="12"/>
  <c r="B57" i="12"/>
  <c r="E57" i="12" s="1"/>
  <c r="B58" i="12"/>
  <c r="B59" i="12"/>
  <c r="B60" i="12"/>
  <c r="B61" i="12"/>
  <c r="E61" i="12" s="1"/>
  <c r="B62" i="12"/>
  <c r="B63" i="12"/>
  <c r="B64" i="12"/>
  <c r="B65" i="12"/>
  <c r="E65" i="12" s="1"/>
  <c r="B66" i="12"/>
  <c r="B67" i="12"/>
  <c r="B68" i="12"/>
  <c r="B69" i="12"/>
  <c r="E69" i="12" s="1"/>
  <c r="B70" i="12"/>
  <c r="B71" i="12"/>
  <c r="B72" i="12"/>
  <c r="B73" i="12"/>
  <c r="E73" i="12" s="1"/>
  <c r="B74" i="12"/>
  <c r="B75" i="12"/>
  <c r="B76" i="12"/>
  <c r="B77" i="12"/>
  <c r="E77" i="12" s="1"/>
  <c r="B1" i="12"/>
  <c r="E2" i="12"/>
  <c r="E3" i="12"/>
  <c r="E4" i="12"/>
  <c r="E6" i="12"/>
  <c r="E7" i="12"/>
  <c r="E8" i="12"/>
  <c r="E10" i="12"/>
  <c r="E11" i="12"/>
  <c r="E12" i="12"/>
  <c r="E14" i="12"/>
  <c r="E15" i="12"/>
  <c r="E16" i="12"/>
  <c r="E18" i="12"/>
  <c r="E19" i="12"/>
  <c r="E20" i="12"/>
  <c r="E22" i="12"/>
  <c r="E23" i="12"/>
  <c r="E24" i="12"/>
  <c r="E26" i="12"/>
  <c r="E27" i="12"/>
  <c r="E28" i="12"/>
  <c r="E30" i="12"/>
  <c r="E31" i="12"/>
  <c r="E32" i="12"/>
  <c r="E34" i="12"/>
  <c r="E35" i="12"/>
  <c r="E36" i="12"/>
  <c r="E38" i="12"/>
  <c r="E39" i="12"/>
  <c r="E40" i="12"/>
  <c r="E42" i="12"/>
  <c r="E43" i="12"/>
  <c r="E44" i="12"/>
  <c r="E46" i="12"/>
  <c r="E47" i="12"/>
  <c r="E48" i="12"/>
  <c r="E50" i="12"/>
  <c r="E51" i="12"/>
  <c r="E52" i="12"/>
  <c r="E54" i="12"/>
  <c r="E55" i="12"/>
  <c r="E56" i="12"/>
  <c r="E58" i="12"/>
  <c r="E59" i="12"/>
  <c r="E60" i="12"/>
  <c r="E62" i="12"/>
  <c r="E63" i="12"/>
  <c r="E64" i="12"/>
  <c r="E66" i="12"/>
  <c r="E67" i="12"/>
  <c r="E68" i="12"/>
  <c r="E70" i="12"/>
  <c r="E71" i="12"/>
  <c r="E72" i="12"/>
  <c r="E74" i="12"/>
  <c r="E75" i="12"/>
  <c r="E76" i="12"/>
  <c r="E139" i="3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2" i="9"/>
  <c r="G2" i="9" s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2" i="7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1" i="8"/>
  <c r="G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1" i="6"/>
  <c r="E1" i="6" s="1"/>
  <c r="E1" i="12"/>
  <c r="E1" i="10"/>
  <c r="E1" i="8"/>
  <c r="F2" i="11"/>
  <c r="D2" i="11"/>
  <c r="F2" i="9"/>
  <c r="D2" i="9"/>
  <c r="F2" i="7"/>
  <c r="D2" i="7"/>
  <c r="F2" i="5"/>
  <c r="D2" i="5"/>
  <c r="H2" i="5" l="1"/>
  <c r="H2" i="11"/>
  <c r="H2" i="9"/>
  <c r="H2" i="7"/>
  <c r="E86" i="4" l="1"/>
  <c r="A6" i="4"/>
  <c r="A2" i="4"/>
  <c r="A6" i="3" l="1"/>
  <c r="E90" i="1"/>
  <c r="E91" i="2"/>
  <c r="E137" i="3"/>
  <c r="A6" i="2"/>
  <c r="A2" i="3"/>
  <c r="A2" i="2"/>
  <c r="A6" i="1"/>
  <c r="A2" i="1" l="1"/>
</calcChain>
</file>

<file path=xl/sharedStrings.xml><?xml version="1.0" encoding="utf-8"?>
<sst xmlns="http://schemas.openxmlformats.org/spreadsheetml/2006/main" count="4071" uniqueCount="1101">
  <si>
    <t>M/S. SALAAM TAKAFUL LIMITED</t>
  </si>
  <si>
    <t>S. NO.</t>
  </si>
  <si>
    <t>Policy No.</t>
  </si>
  <si>
    <t>Date</t>
  </si>
  <si>
    <t>Document No.</t>
  </si>
  <si>
    <t>Total Amount</t>
  </si>
  <si>
    <t>5100031077</t>
  </si>
  <si>
    <t>5100031096</t>
  </si>
  <si>
    <t>5100031098</t>
  </si>
  <si>
    <t>5100031097</t>
  </si>
  <si>
    <t>5100031099</t>
  </si>
  <si>
    <t>5100031100</t>
  </si>
  <si>
    <t>5100031093</t>
  </si>
  <si>
    <t>5100031112</t>
  </si>
  <si>
    <t>5100031102</t>
  </si>
  <si>
    <t>5100031109</t>
  </si>
  <si>
    <t>5100031107</t>
  </si>
  <si>
    <t>5100031104</t>
  </si>
  <si>
    <t>5100031079</t>
  </si>
  <si>
    <t>5100031132</t>
  </si>
  <si>
    <t>5100031124</t>
  </si>
  <si>
    <t>5100031138</t>
  </si>
  <si>
    <t>5100031134</t>
  </si>
  <si>
    <t>5100031115</t>
  </si>
  <si>
    <t>5100031123</t>
  </si>
  <si>
    <t>5100031120</t>
  </si>
  <si>
    <t>5100031118</t>
  </si>
  <si>
    <t>5100031116</t>
  </si>
  <si>
    <t>5100031146</t>
  </si>
  <si>
    <t>5100031143</t>
  </si>
  <si>
    <t>5100031145</t>
  </si>
  <si>
    <t>5100031147</t>
  </si>
  <si>
    <t>5100031148</t>
  </si>
  <si>
    <t>5100031149</t>
  </si>
  <si>
    <t>5100031150</t>
  </si>
  <si>
    <t>5100031151</t>
  </si>
  <si>
    <t>5100031152</t>
  </si>
  <si>
    <t>5100031153</t>
  </si>
  <si>
    <t>5100030977</t>
  </si>
  <si>
    <t>5100030976</t>
  </si>
  <si>
    <t>5100030974</t>
  </si>
  <si>
    <t>5100031184</t>
  </si>
  <si>
    <t>5100030973</t>
  </si>
  <si>
    <t>5100030955</t>
  </si>
  <si>
    <t>5100030954</t>
  </si>
  <si>
    <t>5100031155</t>
  </si>
  <si>
    <t>5100031154</t>
  </si>
  <si>
    <t>5100031173</t>
  </si>
  <si>
    <t>5100031165</t>
  </si>
  <si>
    <t>5100031163</t>
  </si>
  <si>
    <t>5100031164</t>
  </si>
  <si>
    <t>5100030953</t>
  </si>
  <si>
    <t>5100030950</t>
  </si>
  <si>
    <t>5100030947</t>
  </si>
  <si>
    <t>5100030945</t>
  </si>
  <si>
    <t>5100030943</t>
  </si>
  <si>
    <t>5100030941</t>
  </si>
  <si>
    <t>5100030940</t>
  </si>
  <si>
    <t>5100031175</t>
  </si>
  <si>
    <t>5100031174</t>
  </si>
  <si>
    <t>5100030937</t>
  </si>
  <si>
    <t>5100030938</t>
  </si>
  <si>
    <t>5100030936</t>
  </si>
  <si>
    <t>5100031193</t>
  </si>
  <si>
    <t>5100030933</t>
  </si>
  <si>
    <t>5100030931</t>
  </si>
  <si>
    <t>5100030918</t>
  </si>
  <si>
    <t>5100030929</t>
  </si>
  <si>
    <t>5100030927</t>
  </si>
  <si>
    <t>5100030921</t>
  </si>
  <si>
    <t>5100031178</t>
  </si>
  <si>
    <t>5100031177</t>
  </si>
  <si>
    <t>5100031176</t>
  </si>
  <si>
    <t>5100030917</t>
  </si>
  <si>
    <t>5100030915</t>
  </si>
  <si>
    <t>5100030914</t>
  </si>
  <si>
    <t>5100030907</t>
  </si>
  <si>
    <t>5100030904</t>
  </si>
  <si>
    <t>5100031188</t>
  </si>
  <si>
    <t>5100031179</t>
  </si>
  <si>
    <t>5100030902</t>
  </si>
  <si>
    <t>5100030899</t>
  </si>
  <si>
    <t>5100030881</t>
  </si>
  <si>
    <t>5100031181</t>
  </si>
  <si>
    <t>5100031180</t>
  </si>
  <si>
    <t>5100030892</t>
  </si>
  <si>
    <t>5100030889</t>
  </si>
  <si>
    <t>5100031692</t>
  </si>
  <si>
    <t>5100031696</t>
  </si>
  <si>
    <t>5100031727</t>
  </si>
  <si>
    <t>5100031701</t>
  </si>
  <si>
    <t>5100031715</t>
  </si>
  <si>
    <t>5100031702</t>
  </si>
  <si>
    <t>5100031704</t>
  </si>
  <si>
    <t>5100031708</t>
  </si>
  <si>
    <t>5100031710</t>
  </si>
  <si>
    <t>5100031714</t>
  </si>
  <si>
    <t>5100031718</t>
  </si>
  <si>
    <t>5100031720</t>
  </si>
  <si>
    <t>5100031722</t>
  </si>
  <si>
    <t>5100031723</t>
  </si>
  <si>
    <t>5100031724</t>
  </si>
  <si>
    <t>5100031725</t>
  </si>
  <si>
    <t>5100031726</t>
  </si>
  <si>
    <t>5100031735</t>
  </si>
  <si>
    <t>5100031733</t>
  </si>
  <si>
    <t>5100031728</t>
  </si>
  <si>
    <t>5100031729</t>
  </si>
  <si>
    <t>5100031730</t>
  </si>
  <si>
    <t>5100031731</t>
  </si>
  <si>
    <t>5100031741</t>
  </si>
  <si>
    <t>5100031747</t>
  </si>
  <si>
    <t>5100031736</t>
  </si>
  <si>
    <t>5100031737</t>
  </si>
  <si>
    <t>5100031739</t>
  </si>
  <si>
    <t>5100031743</t>
  </si>
  <si>
    <t>5100031744</t>
  </si>
  <si>
    <t>5100031746</t>
  </si>
  <si>
    <t>5100031785</t>
  </si>
  <si>
    <t>5100031804</t>
  </si>
  <si>
    <t>5100031809</t>
  </si>
  <si>
    <t>5100031805</t>
  </si>
  <si>
    <t>5100031786</t>
  </si>
  <si>
    <t>5100031787</t>
  </si>
  <si>
    <t>5100031788</t>
  </si>
  <si>
    <t>5100031789</t>
  </si>
  <si>
    <t>5100031795</t>
  </si>
  <si>
    <t>5100031790</t>
  </si>
  <si>
    <t>5100031792</t>
  </si>
  <si>
    <t>5100031793</t>
  </si>
  <si>
    <t>5100031806</t>
  </si>
  <si>
    <t>5100031801</t>
  </si>
  <si>
    <t>5100031802</t>
  </si>
  <si>
    <t>5100031796</t>
  </si>
  <si>
    <t>5100031803</t>
  </si>
  <si>
    <t>5100031797</t>
  </si>
  <si>
    <t>5100031798</t>
  </si>
  <si>
    <t>5100031799</t>
  </si>
  <si>
    <t>5100031800</t>
  </si>
  <si>
    <t>5100031822</t>
  </si>
  <si>
    <t>5100031814</t>
  </si>
  <si>
    <t>5100031815</t>
  </si>
  <si>
    <t>5100031824</t>
  </si>
  <si>
    <t>5100031821</t>
  </si>
  <si>
    <t>5100031825</t>
  </si>
  <si>
    <t>5100031826</t>
  </si>
  <si>
    <t>5100031827</t>
  </si>
  <si>
    <t>5100031828</t>
  </si>
  <si>
    <t>5100031837</t>
  </si>
  <si>
    <t>5100031838</t>
  </si>
  <si>
    <t>5100031839</t>
  </si>
  <si>
    <t>5100031840</t>
  </si>
  <si>
    <t>5100031841</t>
  </si>
  <si>
    <t>5100031842</t>
  </si>
  <si>
    <t>5100031843</t>
  </si>
  <si>
    <t>5100031844</t>
  </si>
  <si>
    <t>5100031865</t>
  </si>
  <si>
    <t>5100031845</t>
  </si>
  <si>
    <t>5100031846</t>
  </si>
  <si>
    <t>5100031847</t>
  </si>
  <si>
    <t>5100031849</t>
  </si>
  <si>
    <t>5100031852</t>
  </si>
  <si>
    <t>5100031853</t>
  </si>
  <si>
    <t>5100031858</t>
  </si>
  <si>
    <t>5100031860</t>
  </si>
  <si>
    <t>5100031863</t>
  </si>
  <si>
    <t>5100031861</t>
  </si>
  <si>
    <t>5100032374</t>
  </si>
  <si>
    <t>5100032409</t>
  </si>
  <si>
    <t>5100031884</t>
  </si>
  <si>
    <t>5100031885</t>
  </si>
  <si>
    <t>5100031886</t>
  </si>
  <si>
    <t>5100031887</t>
  </si>
  <si>
    <t>5100031890</t>
  </si>
  <si>
    <t>5100031891</t>
  </si>
  <si>
    <t>5100031892</t>
  </si>
  <si>
    <t>5100031894</t>
  </si>
  <si>
    <t>5100031895</t>
  </si>
  <si>
    <t>5100031897</t>
  </si>
  <si>
    <t>5100031900</t>
  </si>
  <si>
    <t>5100031903</t>
  </si>
  <si>
    <t>5100031904</t>
  </si>
  <si>
    <t>5100031910</t>
  </si>
  <si>
    <t>5100031907</t>
  </si>
  <si>
    <t>5100031908</t>
  </si>
  <si>
    <t>5100031909</t>
  </si>
  <si>
    <t>5100031911</t>
  </si>
  <si>
    <t>5100031912</t>
  </si>
  <si>
    <t>5100031913</t>
  </si>
  <si>
    <t>5100031914</t>
  </si>
  <si>
    <t>5100031915</t>
  </si>
  <si>
    <t>5100031916</t>
  </si>
  <si>
    <t>5100031927</t>
  </si>
  <si>
    <t>5100031917</t>
  </si>
  <si>
    <t>5100031928</t>
  </si>
  <si>
    <t>5100031929</t>
  </si>
  <si>
    <t>5100031930</t>
  </si>
  <si>
    <t>5100031931</t>
  </si>
  <si>
    <t>5100031932</t>
  </si>
  <si>
    <t>5100031919</t>
  </si>
  <si>
    <t>5100031918</t>
  </si>
  <si>
    <t>5100031920</t>
  </si>
  <si>
    <t>5100031922</t>
  </si>
  <si>
    <t>5100031923</t>
  </si>
  <si>
    <t>5100031924</t>
  </si>
  <si>
    <t>5100031925</t>
  </si>
  <si>
    <t>5100031926</t>
  </si>
  <si>
    <t>5100031944</t>
  </si>
  <si>
    <t>5100031952</t>
  </si>
  <si>
    <t>5100031938</t>
  </si>
  <si>
    <t>5100032107</t>
  </si>
  <si>
    <t>5100031933</t>
  </si>
  <si>
    <t>5100031934</t>
  </si>
  <si>
    <t>5100031935</t>
  </si>
  <si>
    <t>5100031957</t>
  </si>
  <si>
    <t>5100031961</t>
  </si>
  <si>
    <t>5100031962</t>
  </si>
  <si>
    <t>5100031971</t>
  </si>
  <si>
    <t>5100031973</t>
  </si>
  <si>
    <t>5100031975</t>
  </si>
  <si>
    <t>5100031976</t>
  </si>
  <si>
    <t>5100031959</t>
  </si>
  <si>
    <t>5100032094</t>
  </si>
  <si>
    <t>5100031980</t>
  </si>
  <si>
    <t>5100031983</t>
  </si>
  <si>
    <t>5100031985</t>
  </si>
  <si>
    <t>5100031986</t>
  </si>
  <si>
    <t>5100031988</t>
  </si>
  <si>
    <t>5100031990</t>
  </si>
  <si>
    <t>5100031991</t>
  </si>
  <si>
    <t>5100031992</t>
  </si>
  <si>
    <t>5100032108</t>
  </si>
  <si>
    <t>5100031999</t>
  </si>
  <si>
    <t>5100032106</t>
  </si>
  <si>
    <t>5100032026</t>
  </si>
  <si>
    <t>5100032032</t>
  </si>
  <si>
    <t>5100032020</t>
  </si>
  <si>
    <t>5100032338</t>
  </si>
  <si>
    <t>5100032017</t>
  </si>
  <si>
    <t>5100032015</t>
  </si>
  <si>
    <t>5100032014</t>
  </si>
  <si>
    <t>5100032098</t>
  </si>
  <si>
    <t>5100032010</t>
  </si>
  <si>
    <t>5100032011</t>
  </si>
  <si>
    <t>5100032012</t>
  </si>
  <si>
    <t>5100032333</t>
  </si>
  <si>
    <t>5100032013</t>
  </si>
  <si>
    <t>5100032097</t>
  </si>
  <si>
    <t>5100032035</t>
  </si>
  <si>
    <t>5100032037</t>
  </si>
  <si>
    <t>5100032038</t>
  </si>
  <si>
    <t>5100032040</t>
  </si>
  <si>
    <t>5100032041</t>
  </si>
  <si>
    <t>5100032044</t>
  </si>
  <si>
    <t>5100032056</t>
  </si>
  <si>
    <t>5100032057</t>
  </si>
  <si>
    <t>5100032060</t>
  </si>
  <si>
    <t>5100032062</t>
  </si>
  <si>
    <t>5100032064</t>
  </si>
  <si>
    <t>5100032065</t>
  </si>
  <si>
    <t>5100032068</t>
  </si>
  <si>
    <t>5100032069</t>
  </si>
  <si>
    <t>5100032100</t>
  </si>
  <si>
    <t>5100032071</t>
  </si>
  <si>
    <t>5100032072</t>
  </si>
  <si>
    <t>5100032073</t>
  </si>
  <si>
    <t>5100032074</t>
  </si>
  <si>
    <t>5100032075</t>
  </si>
  <si>
    <t>5100032096</t>
  </si>
  <si>
    <t>5100032076</t>
  </si>
  <si>
    <t>5100032077</t>
  </si>
  <si>
    <t>5100032091</t>
  </si>
  <si>
    <t>5100032078</t>
  </si>
  <si>
    <t>5100032079</t>
  </si>
  <si>
    <t>5100032080</t>
  </si>
  <si>
    <t>5100032093</t>
  </si>
  <si>
    <t>TOTAL</t>
  </si>
  <si>
    <t>Prepared by: Owais Ahmed Khan</t>
  </si>
  <si>
    <t>5100030891</t>
  </si>
  <si>
    <t>5100030887</t>
  </si>
  <si>
    <t>5100030885</t>
  </si>
  <si>
    <t>5100030903</t>
  </si>
  <si>
    <t>5100030893</t>
  </si>
  <si>
    <t>5100030896</t>
  </si>
  <si>
    <t>5100030909</t>
  </si>
  <si>
    <t>5100030913</t>
  </si>
  <si>
    <t>5100030916</t>
  </si>
  <si>
    <t>5100030919</t>
  </si>
  <si>
    <t>5100030922</t>
  </si>
  <si>
    <t>5100030920</t>
  </si>
  <si>
    <t>5100030926</t>
  </si>
  <si>
    <t>5100030924</t>
  </si>
  <si>
    <t>5100030935</t>
  </si>
  <si>
    <t>5100030932</t>
  </si>
  <si>
    <t>5100030930</t>
  </si>
  <si>
    <t>5100030928</t>
  </si>
  <si>
    <t>5100030939</t>
  </si>
  <si>
    <t>5100030944</t>
  </si>
  <si>
    <t>5100030946</t>
  </si>
  <si>
    <t>5100030942</t>
  </si>
  <si>
    <t>5100030948</t>
  </si>
  <si>
    <t>5100030951</t>
  </si>
  <si>
    <t>5100030952</t>
  </si>
  <si>
    <t>5100030956</t>
  </si>
  <si>
    <t>5100030958</t>
  </si>
  <si>
    <t>5100030957</t>
  </si>
  <si>
    <t>5100030964</t>
  </si>
  <si>
    <t>5100030963</t>
  </si>
  <si>
    <t>5100030961</t>
  </si>
  <si>
    <t>5100030959</t>
  </si>
  <si>
    <t>5100030962</t>
  </si>
  <si>
    <t>5100031066</t>
  </si>
  <si>
    <t>5100030960</t>
  </si>
  <si>
    <t>5100030965</t>
  </si>
  <si>
    <t>5100031587</t>
  </si>
  <si>
    <t>5100030978</t>
  </si>
  <si>
    <t>5100030975</t>
  </si>
  <si>
    <t>5100030972</t>
  </si>
  <si>
    <t>5100030971</t>
  </si>
  <si>
    <t>5100030970</t>
  </si>
  <si>
    <t>5100030982</t>
  </si>
  <si>
    <t>5100030969</t>
  </si>
  <si>
    <t>5100030968</t>
  </si>
  <si>
    <t>5100030967</t>
  </si>
  <si>
    <t>5100030966</t>
  </si>
  <si>
    <t>5100030979</t>
  </si>
  <si>
    <t>5100030980</t>
  </si>
  <si>
    <t>5100030983</t>
  </si>
  <si>
    <t>5100030981</t>
  </si>
  <si>
    <t>5100030985</t>
  </si>
  <si>
    <t>5100030984</t>
  </si>
  <si>
    <t>5100032606</t>
  </si>
  <si>
    <t>5100030987</t>
  </si>
  <si>
    <t>5100030988</t>
  </si>
  <si>
    <t>5100030989</t>
  </si>
  <si>
    <t>5100030991</t>
  </si>
  <si>
    <t>5100031001</t>
  </si>
  <si>
    <t>5100031003</t>
  </si>
  <si>
    <t>5100031005</t>
  </si>
  <si>
    <t>5100031009</t>
  </si>
  <si>
    <t>5100031011</t>
  </si>
  <si>
    <t>5100031012</t>
  </si>
  <si>
    <t>5100031019</t>
  </si>
  <si>
    <t>5100031018</t>
  </si>
  <si>
    <t>5100031037</t>
  </si>
  <si>
    <t>5100031021</t>
  </si>
  <si>
    <t>5100031024</t>
  </si>
  <si>
    <t>5100031027</t>
  </si>
  <si>
    <t>5100031030</t>
  </si>
  <si>
    <t>5100031035</t>
  </si>
  <si>
    <t>5100031038</t>
  </si>
  <si>
    <t>5100031043</t>
  </si>
  <si>
    <t>5100031052</t>
  </si>
  <si>
    <t>5100031049</t>
  </si>
  <si>
    <t>5100031050</t>
  </si>
  <si>
    <t>KHI/HO/D/MR/IMPORTS/C/19408/03/2024</t>
  </si>
  <si>
    <t>KHI/HO/D/MR/IMPORTS/C/19409/03/2024</t>
  </si>
  <si>
    <t>KHI/HO/D/MR/IMPORTS/C/19410/03/2024</t>
  </si>
  <si>
    <t>KHI/HO/D/MR/IMPORTS/C/19411/03/2024</t>
  </si>
  <si>
    <t>KHI/HO/D/MR/IMPORTS/C/19412/03/2024</t>
  </si>
  <si>
    <t>KHI/HO/D/MR/IMPORTS/C/19413/03/2024</t>
  </si>
  <si>
    <t>KHI/HO/D/MR/IMPORTS/C/19414/03/2024</t>
  </si>
  <si>
    <t>KHI/HO/D/MR/IMPORTS/C/19415/03/2024</t>
  </si>
  <si>
    <t>KHI/HO/D/MR/IMPORTS/C/19416/03/2024</t>
  </si>
  <si>
    <t>KHI/HO/D/MR/IMPORTS/C/19417/03/2024</t>
  </si>
  <si>
    <t>KHI/HO/D/MR/IMPORTS/C/19418/03/2024</t>
  </si>
  <si>
    <t>KHI/HO/D/MR/IMPORTS/C/19419/03/2024</t>
  </si>
  <si>
    <t>KHI/HO/D/MR/IMPORTS/C/19420/03/2024</t>
  </si>
  <si>
    <t>KHI/HO/D/MR/IMPORTS/C/19422/03/2024</t>
  </si>
  <si>
    <t>KHI/HO/D/MR/IMPORTS/C/19423/03/2024</t>
  </si>
  <si>
    <t>KHI/HO/D/MR/IMPORTS/C/19424/03/2024</t>
  </si>
  <si>
    <t>KHI/HO/D/MR/IMPORTS/C/19425/03/2024</t>
  </si>
  <si>
    <t>KHI/HO/D/MR/IMPORTS/C/19426/03/2024</t>
  </si>
  <si>
    <t>KHI/HO/D/MR/IMPORTS/C/19427/03/2024</t>
  </si>
  <si>
    <t>KHI/HO/D/MR/IMPORTS/C/19428/03/2024</t>
  </si>
  <si>
    <t>KHI/HO/D/MR/IMPORTS/C/19429/03/2024</t>
  </si>
  <si>
    <t>KHI/HO/D/MR/IMPORTS/C/19430/03/2024</t>
  </si>
  <si>
    <t>KHI/HO/D/MR/IMPORTS/C/19431/03/2024</t>
  </si>
  <si>
    <t>KHI/HO/D/MR/IMPORTS/C/19432/03/2024</t>
  </si>
  <si>
    <t>KHI/HO/D/MR/IMPORTS/C/19434/03/2024</t>
  </si>
  <si>
    <t>KHI/HO/D/MR/IMPORTS/C/19436/03/2024</t>
  </si>
  <si>
    <t>KHI/HO/D/MR/IMPORTS/C/19438/03/2024</t>
  </si>
  <si>
    <t>KHI/HO/D/MR/IMPORTS/C/19439/03/2024</t>
  </si>
  <si>
    <t>KHI/HO/D/MR/IMPORTS/C/19440/03/2024</t>
  </si>
  <si>
    <t>KHI/HO/D/MR/IMPORTS/C/19441/03/2024</t>
  </si>
  <si>
    <t>KHI/HO/D/MR/IMPORTS/C/19442/03/2024</t>
  </si>
  <si>
    <t>KHI/HO/D/MR/IMPORTS/C/19443/03/2024</t>
  </si>
  <si>
    <t>KHI/HO/D/MR/IMPORTS/C/19444/03/2024</t>
  </si>
  <si>
    <t>KHI/HO/D/MR/IMPORTS/C/19445/03/2024</t>
  </si>
  <si>
    <t>KHI/HO/D/MR/IMPORTS/C/19447/03/2024</t>
  </si>
  <si>
    <t>KHI/HO/D/MR/IMPORTS/C/19449/03/2024</t>
  </si>
  <si>
    <t>KHI/HO/D/MR/IMPORTS/C/19450/03/2024</t>
  </si>
  <si>
    <t>KHI/HO/D/MR/IMPORTS/C/19451/03/2024</t>
  </si>
  <si>
    <t>KHI/HO/D/MR/IMPORTS/C/19452/03/2024</t>
  </si>
  <si>
    <t>KHI/HO/D/MR/IMPORTS/C/19453/03/2024</t>
  </si>
  <si>
    <t>KHI/HO/D/MR/IMPORTS/C/19454/03/2024</t>
  </si>
  <si>
    <t>KHI/HO/D/MR/IMPORTS/C/19455/03/2024</t>
  </si>
  <si>
    <t>KHI/HO/D/MR/IMPORTS/C/19456/03/2024</t>
  </si>
  <si>
    <t>KHI/HO/D/MR/IMPORTS/C/19457/03/2024</t>
  </si>
  <si>
    <t>KHI/HO/D/MR/IMPORTS/C/19459/03/2024</t>
  </si>
  <si>
    <t>KHI/HO/D/MR/IMPORTS/C/19460/03/2024</t>
  </si>
  <si>
    <t>KHI/HO/D/MR/IMPORTS/C/19461/03/2024</t>
  </si>
  <si>
    <t>KHI/HO/D/MR/IMPORTS/C/19462/03/2024</t>
  </si>
  <si>
    <t>KHI/HO/D/MR/IMPORTS/C/19463/03/2024</t>
  </si>
  <si>
    <t>KHI/HO/D/MR/IMPORTS/C/19464/03/2024</t>
  </si>
  <si>
    <t>KHI/HO/D/MR/IMPORTS/C/19465/03/2024</t>
  </si>
  <si>
    <t>KHI/HO/D/MR/IMPORTS/C/19466/03/2024</t>
  </si>
  <si>
    <t>KHI/HO/D/MR/IMPORTS/C/19467/03/2024</t>
  </si>
  <si>
    <t>KHI/HO/D/MR/IMPORTS/C/19468/03/2024</t>
  </si>
  <si>
    <t>KHI/HO/D/MR/IMPORTS/C/19469/03/2024</t>
  </si>
  <si>
    <t>KHI/HO/D/MR/IMPORTS/C/19470/03/2024</t>
  </si>
  <si>
    <t>KHI/HO/D/MR/IMPORTS/C/19471/03/2024</t>
  </si>
  <si>
    <t>KHI/HO/D/MR/IMPORTS/C/19489/03/2024</t>
  </si>
  <si>
    <t>KHI/HO/D/MR/IMPORTS/C/19490/03/2024</t>
  </si>
  <si>
    <t>KHI/HO/D/MR/IMPORTS/C/19493/03/2024</t>
  </si>
  <si>
    <t>KHI/HO/D/MR/IMPORTS/C/19494/03/2024</t>
  </si>
  <si>
    <t>KHI/HO/D/MR/IMPORTS/C/19495/03/2024</t>
  </si>
  <si>
    <t>KHI/HO/D/MR/IMPORTS/C/19496/03/2024</t>
  </si>
  <si>
    <t>KHI/HO/D/MR/IMPORTS/C/19497/03/2024</t>
  </si>
  <si>
    <t>KHI/HO/D/MR/IMPORTS/C/19498/03/2024</t>
  </si>
  <si>
    <t>KHI/HO/D/MR/IMPORTS/C/19499/03/2024</t>
  </si>
  <si>
    <t>KHI/HO/D/MR/IMPORTS/C/19500/03/2024</t>
  </si>
  <si>
    <t>KHI/HO/D/MR/IMPORTS/C/19501/03/2024</t>
  </si>
  <si>
    <t>KHI/HO/D/MR/IMPORTS/C/19502/03/2024</t>
  </si>
  <si>
    <t>KHI/HO/D/MR/IMPORTS/C/19503/03/2024</t>
  </si>
  <si>
    <t>KHI/HO/D/MR/IMPORTS/C/19504/03/2024</t>
  </si>
  <si>
    <t>KHI/HO/D/MR/IMPORTS/C/19505/03/2024</t>
  </si>
  <si>
    <t>KHI/HO/D/MR/IMPORTS/C/19506/03/2024</t>
  </si>
  <si>
    <t>KHI/HO/D/MR/IMPORTS/C/19507/03/2024</t>
  </si>
  <si>
    <t>KHI/HO/D/MR/IMPORTS/C/19508/03/2024</t>
  </si>
  <si>
    <t>KHI/HO/D/MR/IMPORTS/C/19515/04/2024</t>
  </si>
  <si>
    <t>KHI/HO/D/MR/IMPORTS/C/19407/03/2024</t>
  </si>
  <si>
    <t>KHI/HO/D/MR/IMPORTS/C/19492/03/2024</t>
  </si>
  <si>
    <t>KHI/HO/D/MR/IMPORTS/C/19520/04/2024</t>
  </si>
  <si>
    <t>KHI/HO/D/MR/IMPORTS/C/19521/04/2024</t>
  </si>
  <si>
    <t>KHI/HO/D/MR/IMPORTS/C/19522/04/2024</t>
  </si>
  <si>
    <t>KHI/HO/D/MR/IMPORTS/C/19523/04/2024</t>
  </si>
  <si>
    <t>KHI/HO/D/MR/IMPORTS/C/19524/04/2024</t>
  </si>
  <si>
    <t>KHI/HO/D/MR/IMPORTS/C/19525/04/2024</t>
  </si>
  <si>
    <t>KHI/HO/D/MR/IMPORTS/C/19526/04/2024</t>
  </si>
  <si>
    <t>KHI/HO/D/MR/IMPORTS/C/19527/04/2024</t>
  </si>
  <si>
    <t>KHI/HO/D/MR/IMPORTS/C/19528/04/2024</t>
  </si>
  <si>
    <t>KHI/HO/D/MR/IMPORTS/C/19529/04/2024</t>
  </si>
  <si>
    <t>KHI/HO/D/MR/IMPORTS/C/19530/04/2024</t>
  </si>
  <si>
    <t>KHI/HO/D/MR/IMPORTS/C/19531/04/2024</t>
  </si>
  <si>
    <t>KHI/HO/D/MR/IMPORTS/C/19533/04/2024</t>
  </si>
  <si>
    <t>KHI/HO/D/MR/IMPORTS/C/19534/04/2024</t>
  </si>
  <si>
    <t>KHI/HO/D/MR/IMPORTS/C/19535/04/2024</t>
  </si>
  <si>
    <t>KHI/HO/D/MR/IMPORTS/C/19536/04/2024</t>
  </si>
  <si>
    <t>KHI/HO/D/MR/IMPORTS/C/19537/04/2024</t>
  </si>
  <si>
    <t>KHI/HO/D/MR/IMPORTS/C/19538/04/2024</t>
  </si>
  <si>
    <t>KHI/HO/D/MR/IMPORTS/C/19539/04/2024</t>
  </si>
  <si>
    <t>KHI/HO/D/MR/IMPORTS/C/19540/04/2024</t>
  </si>
  <si>
    <t>KHI/HO/D/MR/IMPORTS/C/19541/04/2024</t>
  </si>
  <si>
    <t>KHI/HO/D/MR/IMPORTS/C/19542/04/2024</t>
  </si>
  <si>
    <t>KHI/HO/D/MR/IMPORTS/C/19543/04/2024</t>
  </si>
  <si>
    <t>KHI/HO/D/MR/IMPORTS/C/19544/04/2024</t>
  </si>
  <si>
    <t>KHI/HO/D/MR/IMPORTS/C/19554/04/2024</t>
  </si>
  <si>
    <t>KHI/HO/D/MR/IMPORTS/C/19555/04/2024</t>
  </si>
  <si>
    <t>KHI/HO/D/MR/IMPORTS/C/19556/04/2024</t>
  </si>
  <si>
    <t>KHI/HO/D/MR/IMPORTS/C/19559/04/2024</t>
  </si>
  <si>
    <t>KHI/HO/D/MR/IMPORTS/C/19560/04/2024</t>
  </si>
  <si>
    <t>KHI/HO/D/MR/IMPORTS/C/19561/04/2024</t>
  </si>
  <si>
    <t>KHI/HO/D/MR/IMPORTS/C/19562/04/2024</t>
  </si>
  <si>
    <t>KHI/HO/D/MR/IMPORTS/C/19563/04/2024</t>
  </si>
  <si>
    <t>KHI/HO/D/MR/IMPORTS/C/19564/04/2024</t>
  </si>
  <si>
    <t>KHI/HO/D/MR/IMPORTS/C/19565/04/2024</t>
  </si>
  <si>
    <t>KHI/HO/D/MR/IMPORTS/C/19566/04/2024</t>
  </si>
  <si>
    <t>KHI/HO/D/MR/IMPORTS/C/19568/04/2024</t>
  </si>
  <si>
    <t>KHI/HO/D/MR/IMPORTS/C/19569/04/2024</t>
  </si>
  <si>
    <t>KHI/HO/D/MR/IMPORTS/C/19570/04/2024</t>
  </si>
  <si>
    <t>KHI/HO/D/MR/IMPORTS/C/19571/04/2024</t>
  </si>
  <si>
    <t>KHI/HO/D/MR/IMPORTS/C/19572/04/2024</t>
  </si>
  <si>
    <t>KHI/HO/D/MR/IMPORTS/C/19586/04/2024</t>
  </si>
  <si>
    <t>KHI/HO/D/MR/IMPORTS/C/19587/04/2024</t>
  </si>
  <si>
    <t>KHI/HO/D/MR/IMPORTS/C/19588/04/2024</t>
  </si>
  <si>
    <t>KHI/HO/D/MR/IMPORTS/C/19589/04/2024</t>
  </si>
  <si>
    <t>KHI/HO/D/MR/IMPORTS/C/19590/04/2024</t>
  </si>
  <si>
    <t>KHI/HO/D/MR/IMPORTS/C/19591/04/2024</t>
  </si>
  <si>
    <t>KHI/HO/D/MR/IMPORTS/C/19592/04/2024</t>
  </si>
  <si>
    <t>KHI/HO/D/MR/IMPORTS/C/19593/04/2024</t>
  </si>
  <si>
    <t>KHI/HO/D/MR/IMPORTS/C/19594/04/2024</t>
  </si>
  <si>
    <t>KHI/HO/D/MR/IMPORTS/C/19595/04/2024</t>
  </si>
  <si>
    <t>KHI/HO/D/MR/IMPORTS/C/19597/04/2024</t>
  </si>
  <si>
    <t>KHI/HO/D/MR/IMPORTS/C/19598/04/2024</t>
  </si>
  <si>
    <t>KHI/HO/D/MR/IMPORTS/C/19599/04/2024</t>
  </si>
  <si>
    <t>KHI/HO/D/MR/IMPORTS/C/19600/04/2024</t>
  </si>
  <si>
    <t>KHI/HO/D/MR/IMPORTS/C/19601/04/2024</t>
  </si>
  <si>
    <t>KHI/HO/D/MR/IMPORTS/C/19602/04/2024</t>
  </si>
  <si>
    <t>KHI/HO/D/MR/IMPORTS/C/19603/04/2024</t>
  </si>
  <si>
    <t>KHI/HO/D/MR/IMPORTS/C/19604/04/2024</t>
  </si>
  <si>
    <t>KHI/HO/D/MR/IMPORTS/C/19605/04/2024</t>
  </si>
  <si>
    <t>KHI/HO/D/MR/IMPORTS/C/19611/04/2024</t>
  </si>
  <si>
    <t>KHI/HO/D/MR/IMPORTS/C/19612/04/2024</t>
  </si>
  <si>
    <t>KHI/HO/D/MR/IMPORTS/C/19613/04/2024</t>
  </si>
  <si>
    <t>KHI/HO/D/MR/IMPORTS/C/19614/04/2024</t>
  </si>
  <si>
    <t>KHI/HO/D/MR/IMPORTS/C/19616/04/2024</t>
  </si>
  <si>
    <t>KHI/HO/D/MR/IMPORTS/C/19617/04/2024</t>
  </si>
  <si>
    <t>KHI/HO/D/MR/IMPORTS/C/19618/04/2024</t>
  </si>
  <si>
    <t>KHI/HO/D/MR/IMPORTS/C/19627/04/2024</t>
  </si>
  <si>
    <t>KHI/HO/D/MR/IMPORTS/C/19628/04/2024</t>
  </si>
  <si>
    <t>KHI/HO/D/MR/IMPORTS/C/19629/04/2024</t>
  </si>
  <si>
    <t>KHI/HO/D/MR/IMPORTS/C/19630/04/2024</t>
  </si>
  <si>
    <t>KHI/HO/D/MR/IMPORTS/C/19631/04/2024</t>
  </si>
  <si>
    <t>KHI/HO/D/MR/IMPORTS/C/19632/04/2024</t>
  </si>
  <si>
    <t>KHI/HO/D/MR/IMPORTS/C/19633/04/2024</t>
  </si>
  <si>
    <t>KHI/HO/D/MR/IMPORTS/C/19634/04/2024</t>
  </si>
  <si>
    <t>KHI/HO/D/MR/IMPORTS/C/19635/04/2024</t>
  </si>
  <si>
    <t>KHI/HO/D/MR/IMPORTS/C/19651/04/2024</t>
  </si>
  <si>
    <t>KHI/HO/D/MR/IMPORTS/C/19652/04/2024</t>
  </si>
  <si>
    <t>KHI/HO/D/MR/IMPORTS/C/19653/04/2024</t>
  </si>
  <si>
    <t>KHI/HO/D/MR/IMPORTS/C/19654/04/2024</t>
  </si>
  <si>
    <t>KHI/HO/D/MR/IMPORTS/C/19655/04/2024</t>
  </si>
  <si>
    <t>KHI/HO/D/MR/IMPORTS/C/19670/05/2024</t>
  </si>
  <si>
    <t>KHI/HO/D/MR/IMPORTS/C/19659/05/2024</t>
  </si>
  <si>
    <t>KHI/HO/D/MR/IMPORTS/C/19660/05/2024</t>
  </si>
  <si>
    <t>KHI/HO/D/MR/IMPORTS/C/19661/05/2024</t>
  </si>
  <si>
    <t>KHI/HO/D/MR/IMPORTS/C/19662/05/2024</t>
  </si>
  <si>
    <t>KHI/HO/D/MR/IMPORTS/C/19664/05/2024</t>
  </si>
  <si>
    <t>KHI/HO/D/MR/IMPORTS/C/19665/05/2024</t>
  </si>
  <si>
    <t>KHI/HO/D/MR/IMPORTS/C/19666/05/2024</t>
  </si>
  <si>
    <t>KHI/HO/D/MR/IMPORTS/C/19667/05/2024</t>
  </si>
  <si>
    <t>KHI/HO/D/MR/IMPORTS/C/19668/05/2024</t>
  </si>
  <si>
    <t>KHI/HO/D/MR/IMPORTS/C/19669/05/2024</t>
  </si>
  <si>
    <t>KHI/HO/D/MR/IMPORTS/C/19673/05/2024</t>
  </si>
  <si>
    <t>KHI/HO/D/MR/IMPORTS/C/19674/05/2024</t>
  </si>
  <si>
    <t>KHI/HO/D/MR/IMPORTS/C/19675/05/2024</t>
  </si>
  <si>
    <t>KHI/HO/D/MR/IMPORTS/C/19676/05/2024</t>
  </si>
  <si>
    <t>KHI/HO/D/MR/IMPORTS/C/19677/05/2024</t>
  </si>
  <si>
    <t>KHI/HO/D/MR/IMPORTS/C/19678/05/2024</t>
  </si>
  <si>
    <t>KHI/HO/D/MR/IMPORTS/C/19679/05/2024</t>
  </si>
  <si>
    <t>KHI/HO/D/MR/IMPORTS/C/19680/05/2024</t>
  </si>
  <si>
    <t>KHI/HO/D/MR/IMPORTS/C/19681/05/2024</t>
  </si>
  <si>
    <t>KHI/HO/D/MR/IMPORTS/C/19682/05/2024</t>
  </si>
  <si>
    <t>KHI/HO/D/MR/IMPORTS/C/19683/05/2024</t>
  </si>
  <si>
    <t>KHI/HO/D/MR/IMPORTS/C/19684/05/2024</t>
  </si>
  <si>
    <t>KHI/HO/D/MR/IMPORTS/C/19685/05/2024</t>
  </si>
  <si>
    <t>KHI/HO/D/MR/IMPORTS/C/19687/05/2024</t>
  </si>
  <si>
    <t>KHI/HO/D/MR/IMPORTS/C/19689/05/2024</t>
  </si>
  <si>
    <t>KHI/HO/D/MR/IMPORTS/C/19690/05/2024</t>
  </si>
  <si>
    <t>KHI/HO/D/MR/IMPORTS/C/19692/05/2024</t>
  </si>
  <si>
    <t>KHI/HO/D/MR/IMPORTS/C/19693/05/2024</t>
  </si>
  <si>
    <t>KHI/HO/D/MR/IMPORTS/C/19694/05/2024</t>
  </si>
  <si>
    <t>KHI/HO/D/MR/IMPORTS/C/19695/05/2024</t>
  </si>
  <si>
    <t>KHI/HO/D/MR/IMPORTS/C/19696/05/2024</t>
  </si>
  <si>
    <t>KHI/HO/D/MR/IMPORTS/C/19697/05/2024</t>
  </si>
  <si>
    <t>KHI/HO/D/MR/IMPORTS/C/19701/05/2024</t>
  </si>
  <si>
    <t>KHI/HO/D/MR/IMPORTS/C/19706/05/2024</t>
  </si>
  <si>
    <t>KHI/HO/D/MR/IMPORTS/C/19708/05/2024</t>
  </si>
  <si>
    <t>KHI/HO/D/MR/IMPORTS/C/19709/05/2024</t>
  </si>
  <si>
    <t>KHI/HO/D/MR/IMPORTS/C/19710/05/2024</t>
  </si>
  <si>
    <t>KHI/HO/D/MR/IMPORTS/C/19711/05/2024</t>
  </si>
  <si>
    <t>KHI/HO/D/MR/IMPORTS/C/19712/05/2024</t>
  </si>
  <si>
    <t>KHI/HO/D/MR/IMPORTS/C/19713/05/2024</t>
  </si>
  <si>
    <t>KHI/HO/D/MR/IMPORTS/C/19714/05/2024</t>
  </si>
  <si>
    <t>KHI/HO/D/MR/IMPORTS/C/19715/05/2024</t>
  </si>
  <si>
    <t>KHI/HO/D/MR/IMPORTS/C/19716/05/2024</t>
  </si>
  <si>
    <t>KHI/HO/D/MR/IMPORTS/C/19717/05/2024</t>
  </si>
  <si>
    <t>KHI/HO/D/MR/IMPORTS/C/19718/05/2024</t>
  </si>
  <si>
    <t>KHI/HO/D/MR/IMPORTS/C/19719/05/2024</t>
  </si>
  <si>
    <t>KHI/HO/D/MR/IMPORTS/C/19720/05/2024</t>
  </si>
  <si>
    <t>KHI/HO/D/MR/IMPORTS/C/19721/05/2024</t>
  </si>
  <si>
    <t>KHI/HO/D/MR/IMPORTS/C/19722/05/2024</t>
  </si>
  <si>
    <t>KHI/HO/D/MR/IMPORTS/C/19723/05/2024</t>
  </si>
  <si>
    <t>KHI/HO/D/MR/IMPORTS/C/19724/05/2024</t>
  </si>
  <si>
    <t>KHI/HO/D/MR/IMPORTS/C/19725/05/2024</t>
  </si>
  <si>
    <t>KHI/HO/D/MR/IMPORTS/C/19726/05/2024</t>
  </si>
  <si>
    <t>KHI/HO/D/MR/IMPORTS/C/19730/05/2024</t>
  </si>
  <si>
    <t>KHI/HO/D/MR/IMPORTS/C/19731/05/2024</t>
  </si>
  <si>
    <t>KHI/HO/D/MR/IMPORTS/C/19732/05/2024</t>
  </si>
  <si>
    <t>KHI/HO/D/MR/IMPORTS/C/19733/05/2024</t>
  </si>
  <si>
    <t>KHI/HO/D/MR/IMPORTS/C/19734/05/2024</t>
  </si>
  <si>
    <t>KHI/HO/D/MR/IMPORTS/C/19737/05/2024</t>
  </si>
  <si>
    <t>KHI/HO/D/MR/IMPORTS/C/19738/05/2024</t>
  </si>
  <si>
    <t>KHI/HO/D/MR/IMPORTS/C/19739/05/2024</t>
  </si>
  <si>
    <t>KHI/HO/D/MR/IMPORTS/C/19740/05/2024</t>
  </si>
  <si>
    <t>KHI/HO/D/MR/IMPORTS/C/19741/05/2024</t>
  </si>
  <si>
    <t>KHI/HO/D/MR/IMPORTS/C/19742/05/2024</t>
  </si>
  <si>
    <t>KHI/HO/D/MR/IMPORTS/C/19744/05/2024</t>
  </si>
  <si>
    <t>KHI/HO/D/MR/IMPORTS/C/19745/05/2024</t>
  </si>
  <si>
    <t>KHI/HO/D/MR/IMPORTS/C/19746/05/2024</t>
  </si>
  <si>
    <t>KHI/HO/D/MR/IMPORTS/C/19748/05/2024</t>
  </si>
  <si>
    <t>KHI/HO/D/MR/IMPORTS/C/19749/05/2024</t>
  </si>
  <si>
    <t>KHI/HO/D/MR/IMPORTS/C/19750/05/2024</t>
  </si>
  <si>
    <t>KHI/HO/D/MR/IMPORTS/C/19751/05/2024</t>
  </si>
  <si>
    <t>KHI/HO/D/MR/IMPORTS/C/19752/05/2024</t>
  </si>
  <si>
    <t>KHI/HO/D/MR/IMPORTS/C/19753/05/2024</t>
  </si>
  <si>
    <t>KHI/HO/D/MR/IMPORTS/C/19754/05/2024</t>
  </si>
  <si>
    <t>KHI/HO/D/MR/IMPORTS/C/19775/05/2024</t>
  </si>
  <si>
    <t>KHI/HO/D/MR/IMPORTS/C/19776/05/2024</t>
  </si>
  <si>
    <t>KHI/HO/D/MR/IMPORTS/C/19777/05/2024</t>
  </si>
  <si>
    <t>KHI/HO/D/MR/IMPORTS/C/19778/05/2024</t>
  </si>
  <si>
    <t>KHI/HO/D/MR/IMPORTS/C/19779/05/2024</t>
  </si>
  <si>
    <t>KHI/HO/D/MR/IMPORTS/C/19780/05/2024</t>
  </si>
  <si>
    <t>KHI/HO/D/MR/IMPORTS/C/19781/05/2024</t>
  </si>
  <si>
    <t>KHI/HO/D/MR/IMPORTS/C/19782/05/2024</t>
  </si>
  <si>
    <t>KHI/HO/D/MR/IMPORTS/C/19783/06/2024</t>
  </si>
  <si>
    <t>KHI/HO/D/MR/IMPORTS/C/19784/06/2024</t>
  </si>
  <si>
    <t>KHI/HO/D/MR/IMPORTS/C/19785/06/2024</t>
  </si>
  <si>
    <t>KHI/HO/D/MR/IMPORTS/C/19786/06/2024</t>
  </si>
  <si>
    <t>KHI/HO/D/MR/IMPORTS/C/19787/06/2024</t>
  </si>
  <si>
    <t>KHI/HO/D/MR/IMPORTS/C/19788/06/2024</t>
  </si>
  <si>
    <t>KHI/HO/D/MR/IMPORTS/C/19789/06/2024</t>
  </si>
  <si>
    <t>KHI/HO/D/MR/IMPORTS/C/19790/06/2024</t>
  </si>
  <si>
    <t>KHI/HO/D/MR/IMPORTS/C/19791/06/2024</t>
  </si>
  <si>
    <t>KHI/HO/D/MR/IMPORTS/C/19793/06/2024</t>
  </si>
  <si>
    <t>KHI/HO/D/MR/IMPORTS/C/19794/06/2024</t>
  </si>
  <si>
    <t>KHI/HO/D/MR/IMPORTS/C/19795/06/2024</t>
  </si>
  <si>
    <t>KHI/HO/D/MR/IMPORTS/C/19796/06/2024</t>
  </si>
  <si>
    <t>KHI/HO/D/MR/IMPORTS/C/19797/06/2024</t>
  </si>
  <si>
    <t>KHI/HO/D/MR/IMPORTS/C/19799/06/2024</t>
  </si>
  <si>
    <t>KHI/HO/D/MR/IMPORTS/C/19800/06/2024</t>
  </si>
  <si>
    <t>KHI/HO/D/MR/IMPORTS/C/19801/06/2024</t>
  </si>
  <si>
    <t>KHI/HO/D/MR/IMPORTS/C/19802/06/2024</t>
  </si>
  <si>
    <t>KHI/HO/D/MR/IMPORTS/C/19803/06/2024</t>
  </si>
  <si>
    <t>KHI/HO/D/MR/IMPORTS/C/19804/06/2024</t>
  </si>
  <si>
    <t>KHI/HO/D/MR/IMPORTS/C/19805/06/2024</t>
  </si>
  <si>
    <t>KHI/HO/D/MR/IMPORTS/C/19806/06/2024</t>
  </si>
  <si>
    <t>KHI/HO/D/MR/IMPORTS/C/19807/06/2024</t>
  </si>
  <si>
    <t>KHI/HO/D/MR/IMPORTS/C/19808/06/2024</t>
  </si>
  <si>
    <t>KHI/HO/D/MR/IMPORTS/C/19809/06/2024</t>
  </si>
  <si>
    <t>KHI/HO/D/MR/IMPORTS/C/19812/06/2024</t>
  </si>
  <si>
    <t>KHI/HO/D/MR/IMPORTS/C/19813/06/2024</t>
  </si>
  <si>
    <t>KHI/HO/D/MR/IMPORTS/C/19815/06/2024</t>
  </si>
  <si>
    <t>KHI/HO/D/MR/IMPORTS/C/19816/06/2024</t>
  </si>
  <si>
    <t>KHI/HO/D/MR/IMPORTS/C/19817/06/2024</t>
  </si>
  <si>
    <t>KHI/HO/D/MR/IMPORTS/C/19818/06/2024</t>
  </si>
  <si>
    <t>KHI/HO/D/MR/IMPORTS/C/19819/06/2024</t>
  </si>
  <si>
    <t>KHI/HO/D/MR/IMPORTS/C/19820/06/2024</t>
  </si>
  <si>
    <t>KHI/HO/D/MR/IMPORTS/C/19821/06/2024</t>
  </si>
  <si>
    <t>KHI/HO/D/MR/IMPORTS/C/19822/06/2024</t>
  </si>
  <si>
    <t>KHI/HO/D/MR/IMPORTS/C/19823/06/2024</t>
  </si>
  <si>
    <t>KHI/HO/D/MR/IMPORTS/C/19824/06/2024</t>
  </si>
  <si>
    <t>KHI/HO/D/MR/IMPORTS/C/19825/06/2024</t>
  </si>
  <si>
    <t>KHI/HO/D/MR/IMPORTS/C/19826/06/2024</t>
  </si>
  <si>
    <t>KHI/HO/D/MR/IMPORTS/C/19827/06/2024</t>
  </si>
  <si>
    <t>KHI/HO/D/MR/IMPORTS/C/19828/06/2024</t>
  </si>
  <si>
    <t>KHI/HO/D/MR/IMPORTS/C/19829/06/2024</t>
  </si>
  <si>
    <t>KHI/HO/D/MR/IMPORTS/C/19830/06/2024</t>
  </si>
  <si>
    <t>KHI/HO/D/MR/IMPORTS/C/19831/06/2024</t>
  </si>
  <si>
    <t>KHI/HO/D/MR/IMPORTS/C/19832/06/2024</t>
  </si>
  <si>
    <t>KHI/HO/D/MR/IMPORTS/C/19833/06/2024</t>
  </si>
  <si>
    <t>KHI/HO/D/MR/IMPORTS/C/19834/06/2024</t>
  </si>
  <si>
    <t>KHI/HO/D/MR/IMPORTS/C/19835/06/2024</t>
  </si>
  <si>
    <t>KHI/HO/D/MR/IMPORTS/C/19836/06/2024</t>
  </si>
  <si>
    <t>KHI/HO/D/MR/IMPORTS/C/19838/06/2024</t>
  </si>
  <si>
    <t>KHI/HO/D/MR/IMPORTS/C/19839/06/2024</t>
  </si>
  <si>
    <t>KHI/HO/D/MR/IMPORTS/C/19840/06/2024</t>
  </si>
  <si>
    <t>KHI/HO/D/MR/IMPORTS/C/19841/06/2024</t>
  </si>
  <si>
    <t>KHI/HO/D/MR/IMPORTS/C/19842/06/2024</t>
  </si>
  <si>
    <t>KHI/HO/D/MR/IMPORTS/C/19844/06/2024</t>
  </si>
  <si>
    <t>KHI/HO/D/MR/IMPORTS/C/19846/06/2024</t>
  </si>
  <si>
    <t>KHI/HO/D/MR/IMPORTS/C/19847/06/2024</t>
  </si>
  <si>
    <t>KHI/HO/D/MR/IMPORTS/C/19849/06/2024</t>
  </si>
  <si>
    <t>KHI/HO/D/MR/IMPORTS/C/19850/06/2024</t>
  </si>
  <si>
    <t>KHI/HO/D/MR/IMPORTS/C/19851/06/2024</t>
  </si>
  <si>
    <t>KHI/HO/D/MR/IMPORTS/C/19852/06/2024</t>
  </si>
  <si>
    <t>KHI/HO/D/MR/IMPORTS/C/19853/06/2024</t>
  </si>
  <si>
    <t>KHI/HO/D/MR/IMPORTS/C/19854/06/2024</t>
  </si>
  <si>
    <t>KHI/HO/D/MR/IMPORTS/C/19856/06/2024</t>
  </si>
  <si>
    <t>KHI/HO/D/MR/IMPORTS/C/19862/06/2024</t>
  </si>
  <si>
    <t>KHI/HO/D/MR/IMPORTS/C/19863/06/2024</t>
  </si>
  <si>
    <t>KHI/HO/D/MR/IMPORTS/C/19864/06/2024</t>
  </si>
  <si>
    <t>KHI/HO/D/MR/IMPORTS/C/19865/06/2024</t>
  </si>
  <si>
    <t>KHI/HO/D/MR/IMPORTS/C/19866/06/2024</t>
  </si>
  <si>
    <t>KHI/HO/D/MR/IMPORTS/C/19867/06/2024</t>
  </si>
  <si>
    <t>KHI/HO/D/MR/IMPORTS/C/19868/06/2024</t>
  </si>
  <si>
    <t>KHI/HO/D/MR/IMPORTS/C/19869/06/2024</t>
  </si>
  <si>
    <t>KHI/HO/D/MR/IMPORTS/C/19870/06/2024</t>
  </si>
  <si>
    <t>KHI/HO/D/MR/IMPORTS/C/19871/06/2024</t>
  </si>
  <si>
    <t>KHI/HO/D/MR/IMPORTS/C/19872/06/2024</t>
  </si>
  <si>
    <t>KHI/HO/D/MR/IMPORTS/C/19873/06/2024</t>
  </si>
  <si>
    <t>KHI/HO/D/MR/IMPORTS/C/19874/06/2024</t>
  </si>
  <si>
    <t>KHI/HO/D/MR/IMPORTS/C/19875/06/2024</t>
  </si>
  <si>
    <t>KHI/HO/D/MR/IMPORTS/C/19876/06/2024</t>
  </si>
  <si>
    <t>KHI/HO/D/MR/IMPORTS/C/19877/06/2024</t>
  </si>
  <si>
    <t>KHI/HO/D/MR/IMPORTS/C/19878/06/2024</t>
  </si>
  <si>
    <t>KHI/HO/D/MR/IMPORTS/C/19879/06/2024</t>
  </si>
  <si>
    <t>KHI/HO/D/MR/IMPORTS/C/19880/06/2024</t>
  </si>
  <si>
    <t>KHI/HO/D/MR/IMPORTS/C/19881/06/2024</t>
  </si>
  <si>
    <t>KHI/HO/D/MR/IMPORTS/C/19882/06/2024</t>
  </si>
  <si>
    <t>KHI/HO/D/MR/IMPORTS/C/19884/06/2024</t>
  </si>
  <si>
    <t>KHI/HO/D/MR/IMPORTS/C/19887/06/2024</t>
  </si>
  <si>
    <t>KHI/HO/D/MR/IMPORTS/C/19888/06/2024</t>
  </si>
  <si>
    <t>KHI/HO/D/MR/IMPORTS/C/19890/06/2024</t>
  </si>
  <si>
    <t>KHI/HO/D/MR/IMPORTS/C/19891/06/2024</t>
  </si>
  <si>
    <t>KHI/HO/D/MR/IMPORTS/C/19892/06/2024</t>
  </si>
  <si>
    <t>KHI/HO/D/MR/IMPORTS/C/19893/06/2024</t>
  </si>
  <si>
    <t>KHI/HO/D/MR/IMPORTS/C/19894/06/2024</t>
  </si>
  <si>
    <t>KHI/HO/D/MR/IMPORTS/C/19895/06/2024</t>
  </si>
  <si>
    <t>KHI/HO/D/MR/IMPORTS/C/19898/06/2024</t>
  </si>
  <si>
    <t>KHI/HO/D/MR/IMPORTS/C/19899/06/2024</t>
  </si>
  <si>
    <t>KHI/HO/D/MR/IMPORTS/C/19900/06/2024</t>
  </si>
  <si>
    <t>KHI/HO/D/MR/IMPORTS/C/19901/06/2024</t>
  </si>
  <si>
    <t>KHI/HO/D/MR/IMPORTS/C/19902/06/2024</t>
  </si>
  <si>
    <t>KHI/HO/D/MR/IMPORTS/C/19903/06/2024</t>
  </si>
  <si>
    <t>KHI/HO/D/MR/IMPORTS/C/19904/06/2024</t>
  </si>
  <si>
    <t>KHI/HO/D/MR/IMPORTS/C/19905/06/2024</t>
  </si>
  <si>
    <t>KHI/HO/D/MR/IMPORTS/C/19906/06/2024</t>
  </si>
  <si>
    <t>KHI/HO/D/MR/IMPORTS/C/19907/06/2024</t>
  </si>
  <si>
    <t>KHI/HO/D/MR/IMPORTS/C/19908/06/2024</t>
  </si>
  <si>
    <t>KHI/HO/D/MR/IMPORTS/C/19909/06/2024</t>
  </si>
  <si>
    <t>KHI/HO/D/MR/IMPORTS/C/19910/06/2024</t>
  </si>
  <si>
    <t>KHI/HO/D/MR/IMPORTS/C/19911/06/2024</t>
  </si>
  <si>
    <t>KHI/HO/D/MR/IMPORTS/C/19914/06/2024</t>
  </si>
  <si>
    <t>KHI/HO/D/MR/IMPORTS/C/19916/06/2024</t>
  </si>
  <si>
    <t>KHI/HO/D/MR/IMPORTS/C/19937/06/2024</t>
  </si>
  <si>
    <t>KHI/HO/D/MR/IMPORTS/C/19938/06/2024</t>
  </si>
  <si>
    <t>KHI/HO/D/MR/IMPORTS/C/19939/06/2024</t>
  </si>
  <si>
    <t>KHI/HO/D/MR/IMPORTS/C/19941/06/2024</t>
  </si>
  <si>
    <t>KHI/HO/D/MR/IMPORTS/C/19942/06/2024</t>
  </si>
  <si>
    <t>KHI/HO/D/MR/IMPORTS/C/19943/06/2024</t>
  </si>
  <si>
    <t>KHI/HO/D/MR/IMPORTS/C/19944/06/2024</t>
  </si>
  <si>
    <t>KHI/HO/D/MR/IMPORTS/C/19945/06/2024</t>
  </si>
  <si>
    <t>KHI/HO/D/MR/IMPORTS/C/19946/06/2024</t>
  </si>
  <si>
    <t>KHI/HO/D/MR/IMPORTS/C/19947/06/2024</t>
  </si>
  <si>
    <t>KHI/HO/D/MR/IMPORTS/C/19948/06/2024</t>
  </si>
  <si>
    <t>KHI/HO/D/MR/IMPORTS/C/19951/06/2024</t>
  </si>
  <si>
    <t>KHI/HO/D/MR/IMPORTS/C/19953/06/2024</t>
  </si>
  <si>
    <t>KHI/HO/D/MR/IMPORTS/C/19955/06/2024</t>
  </si>
  <si>
    <t>KHI/HO/D/MR/IMPORTS/C/19957/06/2024</t>
  </si>
  <si>
    <t>KHI/HO/D/MR/IMPORTS/C/19959/06/2024</t>
  </si>
  <si>
    <t>KHI/HO/D/MR/IMPORTS/E/3486/05/2024/KHI/HO/D/MR/IMPORTS/C/19587/04/2024</t>
  </si>
  <si>
    <t>POLICY NO.</t>
  </si>
  <si>
    <t>Assorted_code</t>
  </si>
  <si>
    <t>Premium</t>
  </si>
  <si>
    <t>20Aug240117</t>
  </si>
  <si>
    <t>KHI</t>
  </si>
  <si>
    <t>HO</t>
  </si>
  <si>
    <t>D</t>
  </si>
  <si>
    <t>MR</t>
  </si>
  <si>
    <t>IMPORTS</t>
  </si>
  <si>
    <t>C</t>
  </si>
  <si>
    <t>KHI-HO-D-MR-IMPORTS-C-19515-04-2024</t>
  </si>
  <si>
    <t>KHI-HO-D-MR-IMPORTS-C-19520-04-2024</t>
  </si>
  <si>
    <t>KHI-HO-D-MR-IMPORTS-C-19521-04-2024</t>
  </si>
  <si>
    <t>KHI-HO-D-MR-IMPORTS-C-19522-04-2024</t>
  </si>
  <si>
    <t>KHI-HO-D-MR-IMPORTS-C-19523-04-2024</t>
  </si>
  <si>
    <t>KHI-HO-D-MR-IMPORTS-C-19524-04-2024</t>
  </si>
  <si>
    <t>KHI-HO-D-MR-IMPORTS-C-19525-04-2024</t>
  </si>
  <si>
    <t>KHI-HO-D-MR-IMPORTS-C-19526-04-2024</t>
  </si>
  <si>
    <t>KHI-HO-D-MR-IMPORTS-C-19527-04-2024</t>
  </si>
  <si>
    <t>KHI-HO-D-MR-IMPORTS-C-19528-04-2024</t>
  </si>
  <si>
    <t>KHI-HO-D-MR-IMPORTS-C-19529-04-2024</t>
  </si>
  <si>
    <t>KHI-HO-D-MR-IMPORTS-C-19530-04-2024</t>
  </si>
  <si>
    <t>KHI-HO-D-MR-IMPORTS-C-19531-04-2024</t>
  </si>
  <si>
    <t>KHI-HO-D-MR-IMPORTS-C-19533-04-2024</t>
  </si>
  <si>
    <t>KHI-HO-D-MR-IMPORTS-C-19534-04-2024</t>
  </si>
  <si>
    <t>KHI-HO-D-MR-IMPORTS-C-19535-04-2024</t>
  </si>
  <si>
    <t>KHI-HO-D-MR-IMPORTS-C-19536-04-2024</t>
  </si>
  <si>
    <t>KHI-HO-D-MR-IMPORTS-C-19537-04-2024</t>
  </si>
  <si>
    <t>KHI-HO-D-MR-IMPORTS-C-19538-04-2024</t>
  </si>
  <si>
    <t>KHI-HO-D-MR-IMPORTS-C-19539-04-2024</t>
  </si>
  <si>
    <t>KHI-HO-D-MR-IMPORTS-C-19540-04-2024</t>
  </si>
  <si>
    <t>KHI-HO-D-MR-IMPORTS-C-19541-04-2024</t>
  </si>
  <si>
    <t>KHI-HO-D-MR-IMPORTS-C-19542-04-2024</t>
  </si>
  <si>
    <t>KHI-HO-D-MR-IMPORTS-C-19543-04-2024</t>
  </si>
  <si>
    <t>KHI-HO-D-MR-IMPORTS-C-19544-04-2024</t>
  </si>
  <si>
    <t>KHI-HO-D-MR-IMPORTS-C-19554-04-2024</t>
  </si>
  <si>
    <t>KHI-HO-D-MR-IMPORTS-C-19555-04-2024</t>
  </si>
  <si>
    <t>KHI-HO-D-MR-IMPORTS-C-19556-04-2024</t>
  </si>
  <si>
    <t>KHI-HO-D-MR-IMPORTS-C-19559-04-2024</t>
  </si>
  <si>
    <t>KHI-HO-D-MR-IMPORTS-C-19560-04-2024</t>
  </si>
  <si>
    <t>KHI-HO-D-MR-IMPORTS-C-19561-04-2024</t>
  </si>
  <si>
    <t>KHI-HO-D-MR-IMPORTS-C-19562-04-2024</t>
  </si>
  <si>
    <t>KHI-HO-D-MR-IMPORTS-C-19563-04-2024</t>
  </si>
  <si>
    <t>KHI-HO-D-MR-IMPORTS-C-19564-04-2024</t>
  </si>
  <si>
    <t>KHI-HO-D-MR-IMPORTS-C-19565-04-2024</t>
  </si>
  <si>
    <t>KHI-HO-D-MR-IMPORTS-C-19566-04-2024</t>
  </si>
  <si>
    <t>KHI-HO-D-MR-IMPORTS-C-19568-04-2024</t>
  </si>
  <si>
    <t>KHI-HO-D-MR-IMPORTS-C-19569-04-2024</t>
  </si>
  <si>
    <t>KHI-HO-D-MR-IMPORTS-C-19570-04-2024</t>
  </si>
  <si>
    <t>KHI-HO-D-MR-IMPORTS-C-19571-04-2024</t>
  </si>
  <si>
    <t>KHI-HO-D-MR-IMPORTS-C-19572-04-2024</t>
  </si>
  <si>
    <t>KHI-HO-D-MR-IMPORTS-C-19586-04-2024</t>
  </si>
  <si>
    <t>KHI-HO-D-MR-IMPORTS-C-19587-04-2024</t>
  </si>
  <si>
    <t>KHI-HO-D-MR-IMPORTS-C-19588-04-2024</t>
  </si>
  <si>
    <t>KHI-HO-D-MR-IMPORTS-C-19589-04-2024</t>
  </si>
  <si>
    <t>KHI-HO-D-MR-IMPORTS-C-19590-04-2024</t>
  </si>
  <si>
    <t>KHI-HO-D-MR-IMPORTS-C-19591-04-2024</t>
  </si>
  <si>
    <t>KHI-HO-D-MR-IMPORTS-C-19592-04-2024</t>
  </si>
  <si>
    <t>KHI-HO-D-MR-IMPORTS-C-19593-04-2024</t>
  </si>
  <si>
    <t>KHI-HO-D-MR-IMPORTS-C-19594-04-2024</t>
  </si>
  <si>
    <t>KHI-HO-D-MR-IMPORTS-C-19595-04-2024</t>
  </si>
  <si>
    <t>KHI-HO-D-MR-IMPORTS-C-19597-04-2024</t>
  </si>
  <si>
    <t>KHI-HO-D-MR-IMPORTS-C-19598-04-2024</t>
  </si>
  <si>
    <t>KHI-HO-D-MR-IMPORTS-C-19599-04-2024</t>
  </si>
  <si>
    <t>KHI-HO-D-MR-IMPORTS-C-19600-04-2024</t>
  </si>
  <si>
    <t>KHI-HO-D-MR-IMPORTS-C-19601-04-2024</t>
  </si>
  <si>
    <t>KHI-HO-D-MR-IMPORTS-C-19602-04-2024</t>
  </si>
  <si>
    <t>KHI-HO-D-MR-IMPORTS-C-19603-04-2024</t>
  </si>
  <si>
    <t>KHI-HO-D-MR-IMPORTS-C-19604-04-2024</t>
  </si>
  <si>
    <t>KHI-HO-D-MR-IMPORTS-C-19605-04-2024</t>
  </si>
  <si>
    <t>KHI-HO-D-MR-IMPORTS-C-19611-04-2024</t>
  </si>
  <si>
    <t>KHI-HO-D-MR-IMPORTS-C-19612-04-2024</t>
  </si>
  <si>
    <t>KHI-HO-D-MR-IMPORTS-C-19613-04-2024</t>
  </si>
  <si>
    <t>KHI-HO-D-MR-IMPORTS-C-19614-04-2024</t>
  </si>
  <si>
    <t>KHI-HO-D-MR-IMPORTS-C-19616-04-2024</t>
  </si>
  <si>
    <t>KHI-HO-D-MR-IMPORTS-C-19617-04-2024</t>
  </si>
  <si>
    <t>KHI-HO-D-MR-IMPORTS-C-19618-04-2024</t>
  </si>
  <si>
    <t>KHI-HO-D-MR-IMPORTS-C-19627-04-2024</t>
  </si>
  <si>
    <t>KHI-HO-D-MR-IMPORTS-C-19628-04-2024</t>
  </si>
  <si>
    <t>KHI-HO-D-MR-IMPORTS-C-19629-04-2024</t>
  </si>
  <si>
    <t>KHI-HO-D-MR-IMPORTS-C-19630-04-2024</t>
  </si>
  <si>
    <t>KHI-HO-D-MR-IMPORTS-C-19631-04-2024</t>
  </si>
  <si>
    <t>KHI-HO-D-MR-IMPORTS-C-19632-04-2024</t>
  </si>
  <si>
    <t>KHI-HO-D-MR-IMPORTS-C-19633-04-2024</t>
  </si>
  <si>
    <t>KHI-HO-D-MR-IMPORTS-C-19634-04-2024</t>
  </si>
  <si>
    <t>KHI-HO-D-MR-IMPORTS-C-19635-04-2024</t>
  </si>
  <si>
    <t>KHI-HO-D-MR-IMPORTS-C-19651-04-2024</t>
  </si>
  <si>
    <t>KHI-HO-D-MR-IMPORTS-C-19652-04-2024</t>
  </si>
  <si>
    <t>KHI-HO-D-MR-IMPORTS-C-19653-04-2024</t>
  </si>
  <si>
    <t>KHI-HO-D-MR-IMPORTS-C-19654-04-2024</t>
  </si>
  <si>
    <t>KHI-HO-D-MR-IMPORTS-C-19655-04-2024</t>
  </si>
  <si>
    <t>KHI-HO-D-MR-IMPORTS-C-19659-05-2024</t>
  </si>
  <si>
    <t>KHI-HO-D-MR-IMPORTS-C-19660-05-2024</t>
  </si>
  <si>
    <t>KHI-HO-D-MR-IMPORTS-C-19661-05-2024</t>
  </si>
  <si>
    <t>KHI-HO-D-MR-IMPORTS-C-19662-05-2024</t>
  </si>
  <si>
    <t>KHI-HO-D-MR-IMPORTS-C-19664-05-2024</t>
  </si>
  <si>
    <t>KHI-HO-D-MR-IMPORTS-C-19665-05-2024</t>
  </si>
  <si>
    <t>KHI-HO-D-MR-IMPORTS-C-19666-05-2024</t>
  </si>
  <si>
    <t>KHI-HO-D-MR-IMPORTS-C-19667-05-2024</t>
  </si>
  <si>
    <t>KHI-HO-D-MR-IMPORTS-C-19668-05-2024</t>
  </si>
  <si>
    <t>KHI-HO-D-MR-IMPORTS-C-19669-05-2024</t>
  </si>
  <si>
    <t>KHI-HO-D-MR-IMPORTS-C-19673-05-2024</t>
  </si>
  <si>
    <t>KHI-HO-D-MR-IMPORTS-C-19674-05-2024</t>
  </si>
  <si>
    <t>KHI-HO-D-MR-IMPORTS-C-19675-05-2024</t>
  </si>
  <si>
    <t>KHI-HO-D-MR-IMPORTS-C-19676-05-2024</t>
  </si>
  <si>
    <t>KHI-HO-D-MR-IMPORTS-C-19677-05-2024</t>
  </si>
  <si>
    <t>KHI-HO-D-MR-IMPORTS-C-19678-05-2024</t>
  </si>
  <si>
    <t>KHI-HO-D-MR-IMPORTS-C-19679-05-2024</t>
  </si>
  <si>
    <t>KHI-HO-D-MR-IMPORTS-C-19680-05-2024</t>
  </si>
  <si>
    <t>KHI-HO-D-MR-IMPORTS-C-19681-05-2024</t>
  </si>
  <si>
    <t>KHI-HO-D-MR-IMPORTS-C-19682-05-2024</t>
  </si>
  <si>
    <t>KHI-HO-D-MR-IMPORTS-C-19683-05-2024</t>
  </si>
  <si>
    <t>KHI-HO-D-MR-IMPORTS-C-19684-05-2024</t>
  </si>
  <si>
    <t>KHI-HO-D-MR-IMPORTS-C-19685-05-2024</t>
  </si>
  <si>
    <t>KHI-HO-D-MR-IMPORTS-C-19687-05-2024</t>
  </si>
  <si>
    <t>KHI-HO-D-MR-IMPORTS-C-19689-05-2024</t>
  </si>
  <si>
    <t>KHI-HO-D-MR-IMPORTS-C-19690-05-2024</t>
  </si>
  <si>
    <t>KHI-HO-D-MR-IMPORTS-C-19692-05-2024</t>
  </si>
  <si>
    <t>KHI-HO-D-MR-IMPORTS-C-19693-05-2024</t>
  </si>
  <si>
    <t>KHI-HO-D-MR-IMPORTS-C-19694-05-2024</t>
  </si>
  <si>
    <t>KHI-HO-D-MR-IMPORTS-C-19695-05-2024</t>
  </si>
  <si>
    <t>KHI-HO-D-MR-IMPORTS-C-19696-05-2024</t>
  </si>
  <si>
    <t>KHI-HO-D-MR-IMPORTS-C-19697-05-2024</t>
  </si>
  <si>
    <t>KHI-HO-D-MR-IMPORTS-C-19701-05-2024</t>
  </si>
  <si>
    <t>KHI-HO-D-MR-IMPORTS-C-19706-05-2024</t>
  </si>
  <si>
    <t>KHI-HO-D-MR-IMPORTS-C-19708-05-2024</t>
  </si>
  <si>
    <t>KHI-HO-D-MR-IMPORTS-C-19709-05-2024</t>
  </si>
  <si>
    <t>KHI-HO-D-MR-IMPORTS-C-19710-05-2024</t>
  </si>
  <si>
    <t>KHI-HO-D-MR-IMPORTS-C-19711-05-2024</t>
  </si>
  <si>
    <t>KHI-HO-D-MR-IMPORTS-C-19712-05-2024</t>
  </si>
  <si>
    <t>KHI-HO-D-MR-IMPORTS-C-19713-05-2024</t>
  </si>
  <si>
    <t>KHI-HO-D-MR-IMPORTS-C-19714-05-2024</t>
  </si>
  <si>
    <t>KHI-HO-D-MR-IMPORTS-C-19715-05-2024</t>
  </si>
  <si>
    <t>KHI-HO-D-MR-IMPORTS-C-19716-05-2024</t>
  </si>
  <si>
    <t>KHI-HO-D-MR-IMPORTS-C-19717-05-2024</t>
  </si>
  <si>
    <t>KHI-HO-D-MR-IMPORTS-C-19718-05-2024</t>
  </si>
  <si>
    <t>KHI-HO-D-MR-IMPORTS-C-19719-05-2024</t>
  </si>
  <si>
    <t>KHI-HO-D-MR-IMPORTS-C-19720-05-2024</t>
  </si>
  <si>
    <t>KHI-HO-D-MR-IMPORTS-C-19721-05-2024</t>
  </si>
  <si>
    <t>KHI-HO-D-MR-IMPORTS-C-19722-05-2024</t>
  </si>
  <si>
    <t>KHI-HO-D-MR-IMPORTS-C-19723-05-2024</t>
  </si>
  <si>
    <t>KHI-HO-D-MR-IMPORTS-C-19724-05-2024</t>
  </si>
  <si>
    <t>KHI-HO-D-MR-IMPORTS-C-19725-05-2024</t>
  </si>
  <si>
    <t>KHI-HO-D-MR-IMPORTS-C-19726-05-2024</t>
  </si>
  <si>
    <t>KHI-HO-D-MR-IMPORTS-C-19730-05-2024</t>
  </si>
  <si>
    <t>KHI-HO-D-MR-IMPORTS-C-19731-05-2024</t>
  </si>
  <si>
    <t>KHI-HO-D-MR-IMPORTS-C-19732-05-2024</t>
  </si>
  <si>
    <t>KHI-HO-D-MR-IMPORTS-C-19733-05-2024</t>
  </si>
  <si>
    <t>KHI-HO-D-MR-IMPORTS-C-19734-05-2024</t>
  </si>
  <si>
    <t>KHI-HO-D-MR-IMPORTS-C-19737-05-2024</t>
  </si>
  <si>
    <t>KHI-HO-D-MR-IMPORTS-C-19738-05-2024</t>
  </si>
  <si>
    <t>KHI-HO-D-MR-IMPORTS-C-19739-05-2024</t>
  </si>
  <si>
    <t>KHI-HO-D-MR-IMPORTS-C-19740-05-2024</t>
  </si>
  <si>
    <t>KHI-HO-D-MR-IMPORTS-C-19741-05-2024</t>
  </si>
  <si>
    <t>KHI-HO-D-MR-IMPORTS-C-19742-05-2024</t>
  </si>
  <si>
    <t>KHI-HO-D-MR-IMPORTS-C-19744-05-2024</t>
  </si>
  <si>
    <t>KHI-HO-D-MR-IMPORTS-C-19745-05-2024</t>
  </si>
  <si>
    <t>KHI-HO-D-MR-IMPORTS-C-19746-05-2024</t>
  </si>
  <si>
    <t>KHI-HO-D-MR-IMPORTS-C-19748-05-2024</t>
  </si>
  <si>
    <t>KHI-HO-D-MR-IMPORTS-C-19749-05-2024</t>
  </si>
  <si>
    <t>KHI-HO-D-MR-IMPORTS-C-19750-05-2024</t>
  </si>
  <si>
    <t>KHI-HO-D-MR-IMPORTS-C-19751-05-2024</t>
  </si>
  <si>
    <t>KHI-HO-D-MR-IMPORTS-C-19752-05-2024</t>
  </si>
  <si>
    <t>KHI-HO-D-MR-IMPORTS-C-19753-05-2024</t>
  </si>
  <si>
    <t>KHI-HO-D-MR-IMPORTS-C-19754-05-2024</t>
  </si>
  <si>
    <t>KHI-HO-D-MR-IMPORTS-C-19775-05-2024</t>
  </si>
  <si>
    <t>KHI-HO-D-MR-IMPORTS-C-19776-05-2024</t>
  </si>
  <si>
    <t>KHI-HO-D-MR-IMPORTS-C-19777-05-2024</t>
  </si>
  <si>
    <t>KHI-HO-D-MR-IMPORTS-C-19778-05-2024</t>
  </si>
  <si>
    <t>KHI-HO-D-MR-IMPORTS-C-19779-05-2024</t>
  </si>
  <si>
    <t>KHI-HO-D-MR-IMPORTS-C-19780-05-2024</t>
  </si>
  <si>
    <t>KHI-HO-D-MR-IMPORTS-C-19781-05-2024</t>
  </si>
  <si>
    <t>KHI-HO-D-MR-IMPORTS-C-19782-05-2024</t>
  </si>
  <si>
    <t>KHI-HO-D-MR-IMPORTS-C-19670-05-2024</t>
  </si>
  <si>
    <t>KHI-HO-D-MR-IMPORTS-C-19783-06-2024</t>
  </si>
  <si>
    <t>KHI-HO-D-MR-IMPORTS-C-19784-06-2024</t>
  </si>
  <si>
    <t>KHI-HO-D-MR-IMPORTS-C-19785-06-2024</t>
  </si>
  <si>
    <t>KHI-HO-D-MR-IMPORTS-C-19786-06-2024</t>
  </si>
  <si>
    <t>KHI-HO-D-MR-IMPORTS-C-19787-06-2024</t>
  </si>
  <si>
    <t>KHI-HO-D-MR-IMPORTS-C-19788-06-2024</t>
  </si>
  <si>
    <t>KHI-HO-D-MR-IMPORTS-C-19789-06-2024</t>
  </si>
  <si>
    <t>KHI-HO-D-MR-IMPORTS-C-19790-06-2024</t>
  </si>
  <si>
    <t>KHI-HO-D-MR-IMPORTS-C-19791-06-2024</t>
  </si>
  <si>
    <t>KHI-HO-D-MR-IMPORTS-C-19793-06-2024</t>
  </si>
  <si>
    <t>KHI-HO-D-MR-IMPORTS-C-19794-06-2024</t>
  </si>
  <si>
    <t>KHI-HO-D-MR-IMPORTS-C-19795-06-2024</t>
  </si>
  <si>
    <t>KHI-HO-D-MR-IMPORTS-C-19796-06-2024</t>
  </si>
  <si>
    <t>KHI-HO-D-MR-IMPORTS-C-19797-06-2024</t>
  </si>
  <si>
    <t>KHI-HO-D-MR-IMPORTS-C-19799-06-2024</t>
  </si>
  <si>
    <t>KHI-HO-D-MR-IMPORTS-C-19800-06-2024</t>
  </si>
  <si>
    <t>KHI-HO-D-MR-IMPORTS-C-19801-06-2024</t>
  </si>
  <si>
    <t>KHI-HO-D-MR-IMPORTS-C-19802-06-2024</t>
  </si>
  <si>
    <t>KHI-HO-D-MR-IMPORTS-C-19803-06-2024</t>
  </si>
  <si>
    <t>KHI-HO-D-MR-IMPORTS-C-19804-06-2024</t>
  </si>
  <si>
    <t>KHI-HO-D-MR-IMPORTS-C-19805-06-2024</t>
  </si>
  <si>
    <t>KHI-HO-D-MR-IMPORTS-C-19806-06-2024</t>
  </si>
  <si>
    <t>KHI-HO-D-MR-IMPORTS-C-19807-06-2024</t>
  </si>
  <si>
    <t>KHI-HO-D-MR-IMPORTS-C-19808-06-2024</t>
  </si>
  <si>
    <t>KHI-HO-D-MR-IMPORTS-C-19809-06-2024</t>
  </si>
  <si>
    <t>KHI-HO-D-MR-IMPORTS-C-19812-06-2024</t>
  </si>
  <si>
    <t>KHI-HO-D-MR-IMPORTS-C-19813-06-2024</t>
  </si>
  <si>
    <t>KHI-HO-D-MR-IMPORTS-C-19815-06-2024</t>
  </si>
  <si>
    <t>KHI-HO-D-MR-IMPORTS-C-19816-06-2024</t>
  </si>
  <si>
    <t>KHI-HO-D-MR-IMPORTS-C-19817-06-2024</t>
  </si>
  <si>
    <t>KHI-HO-D-MR-IMPORTS-C-19818-06-2024</t>
  </si>
  <si>
    <t>KHI-HO-D-MR-IMPORTS-C-19819-06-2024</t>
  </si>
  <si>
    <t>KHI-HO-D-MR-IMPORTS-C-19820-06-2024</t>
  </si>
  <si>
    <t>KHI-HO-D-MR-IMPORTS-C-19821-06-2024</t>
  </si>
  <si>
    <t>KHI-HO-D-MR-IMPORTS-C-19822-06-2024</t>
  </si>
  <si>
    <t>KHI-HO-D-MR-IMPORTS-C-19823-06-2024</t>
  </si>
  <si>
    <t>KHI-HO-D-MR-IMPORTS-C-19824-06-2024</t>
  </si>
  <si>
    <t>KHI-HO-D-MR-IMPORTS-C-19825-06-2024</t>
  </si>
  <si>
    <t>KHI-HO-D-MR-IMPORTS-C-19826-06-2024</t>
  </si>
  <si>
    <t>KHI-HO-D-MR-IMPORTS-C-19827-06-2024</t>
  </si>
  <si>
    <t>KHI-HO-D-MR-IMPORTS-C-19828-06-2024</t>
  </si>
  <si>
    <t>KHI-HO-D-MR-IMPORTS-C-19829-06-2024</t>
  </si>
  <si>
    <t>KHI-HO-D-MR-IMPORTS-C-19830-06-2024</t>
  </si>
  <si>
    <t>KHI-HO-D-MR-IMPORTS-C-19831-06-2024</t>
  </si>
  <si>
    <t>KHI-HO-D-MR-IMPORTS-C-19832-06-2024</t>
  </si>
  <si>
    <t>KHI-HO-D-MR-IMPORTS-C-19833-06-2024</t>
  </si>
  <si>
    <t>KHI-HO-D-MR-IMPORTS-C-19834-06-2024</t>
  </si>
  <si>
    <t>KHI-HO-D-MR-IMPORTS-C-19835-06-2024</t>
  </si>
  <si>
    <t>KHI-HO-D-MR-IMPORTS-C-19836-06-2024</t>
  </si>
  <si>
    <t>KHI-HO-D-MR-IMPORTS-C-19838-06-2024</t>
  </si>
  <si>
    <t>KHI-HO-D-MR-IMPORTS-C-19839-06-2024</t>
  </si>
  <si>
    <t>KHI-HO-D-MR-IMPORTS-C-19840-06-2024</t>
  </si>
  <si>
    <t>KHI-HO-D-MR-IMPORTS-C-19841-06-2024</t>
  </si>
  <si>
    <t>KHI-HO-D-MR-IMPORTS-C-19842-06-2024</t>
  </si>
  <si>
    <t>KHI-HO-D-MR-IMPORTS-C-19844-06-2024</t>
  </si>
  <si>
    <t>KHI-HO-D-MR-IMPORTS-C-19846-06-2024</t>
  </si>
  <si>
    <t>KHI-HO-D-MR-IMPORTS-C-19847-06-2024</t>
  </si>
  <si>
    <t>KHI-HO-D-MR-IMPORTS-C-19849-06-2024</t>
  </si>
  <si>
    <t>KHI-HO-D-MR-IMPORTS-C-19850-06-2024</t>
  </si>
  <si>
    <t>KHI-HO-D-MR-IMPORTS-C-19851-06-2024</t>
  </si>
  <si>
    <t>KHI-HO-D-MR-IMPORTS-C-19852-06-2024</t>
  </si>
  <si>
    <t>KHI-HO-D-MR-IMPORTS-C-19853-06-2024</t>
  </si>
  <si>
    <t>KHI-HO-D-MR-IMPORTS-C-19854-06-2024</t>
  </si>
  <si>
    <t>KHI-HO-D-MR-IMPORTS-C-19856-06-2024</t>
  </si>
  <si>
    <t>KHI-HO-D-MR-IMPORTS-C-19862-06-2024</t>
  </si>
  <si>
    <t>KHI-HO-D-MR-IMPORTS-C-19863-06-2024</t>
  </si>
  <si>
    <t>KHI-HO-D-MR-IMPORTS-C-19864-06-2024</t>
  </si>
  <si>
    <t>KHI-HO-D-MR-IMPORTS-C-19865-06-2024</t>
  </si>
  <si>
    <t>KHI-HO-D-MR-IMPORTS-C-19866-06-2024</t>
  </si>
  <si>
    <t>KHI-HO-D-MR-IMPORTS-C-19867-06-2024</t>
  </si>
  <si>
    <t>KHI-HO-D-MR-IMPORTS-C-19868-06-2024</t>
  </si>
  <si>
    <t>KHI-HO-D-MR-IMPORTS-C-19869-06-2024</t>
  </si>
  <si>
    <t>KHI-HO-D-MR-IMPORTS-C-19870-06-2024</t>
  </si>
  <si>
    <t>KHI-HO-D-MR-IMPORTS-C-19871-06-2024</t>
  </si>
  <si>
    <t>KHI-HO-D-MR-IMPORTS-C-19872-06-2024</t>
  </si>
  <si>
    <t>KHI-HO-D-MR-IMPORTS-C-19873-06-2024</t>
  </si>
  <si>
    <t>KHI-HO-D-MR-IMPORTS-C-19874-06-2024</t>
  </si>
  <si>
    <t>KHI-HO-D-MR-IMPORTS-C-19875-06-2024</t>
  </si>
  <si>
    <t>KHI-HO-D-MR-IMPORTS-C-19876-06-2024</t>
  </si>
  <si>
    <t>KHI-HO-D-MR-IMPORTS-C-19877-06-2024</t>
  </si>
  <si>
    <t>KHI-HO-D-MR-IMPORTS-C-19878-06-2024</t>
  </si>
  <si>
    <t>KHI-HO-D-MR-IMPORTS-C-19879-06-2024</t>
  </si>
  <si>
    <t>KHI-HO-D-MR-IMPORTS-C-19880-06-2024</t>
  </si>
  <si>
    <t>KHI-HO-D-MR-IMPORTS-C-19881-06-2024</t>
  </si>
  <si>
    <t>KHI-HO-D-MR-IMPORTS-C-19882-06-2024</t>
  </si>
  <si>
    <t>KHI-HO-D-MR-IMPORTS-C-19884-06-2024</t>
  </si>
  <si>
    <t>KHI-HO-D-MR-IMPORTS-C-19887-06-2024</t>
  </si>
  <si>
    <t>KHI-HO-D-MR-IMPORTS-C-19888-06-2024</t>
  </si>
  <si>
    <t>KHI-HO-D-MR-IMPORTS-C-19890-06-2024</t>
  </si>
  <si>
    <t>KHI-HO-D-MR-IMPORTS-C-19891-06-2024</t>
  </si>
  <si>
    <t>KHI-HO-D-MR-IMPORTS-C-19892-06-2024</t>
  </si>
  <si>
    <t>KHI-HO-D-MR-IMPORTS-C-19893-06-2024</t>
  </si>
  <si>
    <t>KHI-HO-D-MR-IMPORTS-C-19894-06-2024</t>
  </si>
  <si>
    <t>KHI-HO-D-MR-IMPORTS-C-19895-06-2024</t>
  </si>
  <si>
    <t>KHI-HO-D-MR-IMPORTS-C-19898-06-2024</t>
  </si>
  <si>
    <t>KHI-HO-D-MR-IMPORTS-C-19899-06-2024</t>
  </si>
  <si>
    <t>KHI-HO-D-MR-IMPORTS-C-19900-06-2024</t>
  </si>
  <si>
    <t>KHI-HO-D-MR-IMPORTS-C-19901-06-2024</t>
  </si>
  <si>
    <t>KHI-HO-D-MR-IMPORTS-C-19902-06-2024</t>
  </si>
  <si>
    <t>KHI-HO-D-MR-IMPORTS-C-19903-06-2024</t>
  </si>
  <si>
    <t>KHI-HO-D-MR-IMPORTS-C-19904-06-2024</t>
  </si>
  <si>
    <t>KHI-HO-D-MR-IMPORTS-C-19905-06-2024</t>
  </si>
  <si>
    <t>KHI-HO-D-MR-IMPORTS-C-19906-06-2024</t>
  </si>
  <si>
    <t>KHI-HO-D-MR-IMPORTS-C-19907-06-2024</t>
  </si>
  <si>
    <t>KHI-HO-D-MR-IMPORTS-C-19908-06-2024</t>
  </si>
  <si>
    <t>KHI-HO-D-MR-IMPORTS-C-19909-06-2024</t>
  </si>
  <si>
    <t>KHI-HO-D-MR-IMPORTS-C-19910-06-2024</t>
  </si>
  <si>
    <t>KHI-HO-D-MR-IMPORTS-C-19911-06-2024</t>
  </si>
  <si>
    <t>KHI-HO-D-MR-IMPORTS-C-19914-06-2024</t>
  </si>
  <si>
    <t>KHI-HO-D-MR-IMPORTS-C-19916-06-2024</t>
  </si>
  <si>
    <t>KHI-HO-D-MR-IMPORTS-C-19937-06-2024</t>
  </si>
  <si>
    <t>KHI-HO-D-MR-IMPORTS-C-19938-06-2024</t>
  </si>
  <si>
    <t>KHI-HO-D-MR-IMPORTS-C-19939-06-2024</t>
  </si>
  <si>
    <t>KHI-HO-D-MR-IMPORTS-C-19941-06-2024</t>
  </si>
  <si>
    <t>KHI-HO-D-MR-IMPORTS-C-19942-06-2024</t>
  </si>
  <si>
    <t>KHI-HO-D-MR-IMPORTS-C-19943-06-2024</t>
  </si>
  <si>
    <t>KHI-HO-D-MR-IMPORTS-C-19944-06-2024</t>
  </si>
  <si>
    <t>KHI-HO-D-MR-IMPORTS-C-19945-06-2024</t>
  </si>
  <si>
    <t>KHI-HO-D-MR-IMPORTS-C-19946-06-2024</t>
  </si>
  <si>
    <t>KHI-HO-D-MR-IMPORTS-C-19947-06-2024</t>
  </si>
  <si>
    <t>KHI-HO-D-MR-IMPORTS-C-19948-06-2024</t>
  </si>
  <si>
    <t>KHI-HO-D-MR-IMPORTS-C-19951-06-2024</t>
  </si>
  <si>
    <t>KHI-HO-D-MR-IMPORTS-C-19953-06-2024</t>
  </si>
  <si>
    <t>KHI-HO-D-MR-IMPORTS-C-19955-06-2024</t>
  </si>
  <si>
    <t>KHI-HO-D-MR-IMPORTS-C-19957-06-2024</t>
  </si>
  <si>
    <t>KHI-HO-D-MR-IMPORTS-C-19959-06-2024</t>
  </si>
  <si>
    <t>KHI-HO-D-MR-IMPORTS-C-19407-03-2024</t>
  </si>
  <si>
    <t>KHI-HO-D-MR-IMPORTS-C-19408-03-2024</t>
  </si>
  <si>
    <t>KHI-HO-D-MR-IMPORTS-C-19409-03-2024</t>
  </si>
  <si>
    <t>KHI-HO-D-MR-IMPORTS-C-19410-03-2024</t>
  </si>
  <si>
    <t>KHI-HO-D-MR-IMPORTS-C-19411-03-2024</t>
  </si>
  <si>
    <t>KHI-HO-D-MR-IMPORTS-C-19412-03-2024</t>
  </si>
  <si>
    <t>KHI-HO-D-MR-IMPORTS-C-19413-03-2024</t>
  </si>
  <si>
    <t>KHI-HO-D-MR-IMPORTS-C-19414-03-2024</t>
  </si>
  <si>
    <t>KHI-HO-D-MR-IMPORTS-C-19415-03-2024</t>
  </si>
  <si>
    <t>KHI-HO-D-MR-IMPORTS-C-19416-03-2024</t>
  </si>
  <si>
    <t>KHI-HO-D-MR-IMPORTS-C-19417-03-2024</t>
  </si>
  <si>
    <t>KHI-HO-D-MR-IMPORTS-C-19418-03-2024</t>
  </si>
  <si>
    <t>KHI-HO-D-MR-IMPORTS-C-19419-03-2024</t>
  </si>
  <si>
    <t>KHI-HO-D-MR-IMPORTS-C-19420-03-2024</t>
  </si>
  <si>
    <t>KHI-HO-D-MR-IMPORTS-C-19422-03-2024</t>
  </si>
  <si>
    <t>KHI-HO-D-MR-IMPORTS-C-19423-03-2024</t>
  </si>
  <si>
    <t>KHI-HO-D-MR-IMPORTS-C-19424-03-2024</t>
  </si>
  <si>
    <t>KHI-HO-D-MR-IMPORTS-C-19425-03-2024</t>
  </si>
  <si>
    <t>KHI-HO-D-MR-IMPORTS-C-19426-03-2024</t>
  </si>
  <si>
    <t>KHI-HO-D-MR-IMPORTS-C-19427-03-2024</t>
  </si>
  <si>
    <t>KHI-HO-D-MR-IMPORTS-C-19428-03-2024</t>
  </si>
  <si>
    <t>KHI-HO-D-MR-IMPORTS-C-19429-03-2024</t>
  </si>
  <si>
    <t>KHI-HO-D-MR-IMPORTS-C-19430-03-2024</t>
  </si>
  <si>
    <t>KHI-HO-D-MR-IMPORTS-C-19431-03-2024</t>
  </si>
  <si>
    <t>KHI-HO-D-MR-IMPORTS-C-19432-03-2024</t>
  </si>
  <si>
    <t>KHI-HO-D-MR-IMPORTS-C-19434-03-2024</t>
  </si>
  <si>
    <t>KHI-HO-D-MR-IMPORTS-C-19436-03-2024</t>
  </si>
  <si>
    <t>KHI-HO-D-MR-IMPORTS-C-19438-03-2024</t>
  </si>
  <si>
    <t>KHI-HO-D-MR-IMPORTS-C-19439-03-2024</t>
  </si>
  <si>
    <t>KHI-HO-D-MR-IMPORTS-C-19440-03-2024</t>
  </si>
  <si>
    <t>KHI-HO-D-MR-IMPORTS-C-19441-03-2024</t>
  </si>
  <si>
    <t>KHI-HO-D-MR-IMPORTS-C-19442-03-2024</t>
  </si>
  <si>
    <t>KHI-HO-D-MR-IMPORTS-C-19443-03-2024</t>
  </si>
  <si>
    <t>KHI-HO-D-MR-IMPORTS-C-19444-03-2024</t>
  </si>
  <si>
    <t>KHI-HO-D-MR-IMPORTS-C-19445-03-2024</t>
  </si>
  <si>
    <t>KHI-HO-D-MR-IMPORTS-C-19447-03-2024</t>
  </si>
  <si>
    <t>KHI-HO-D-MR-IMPORTS-C-19449-03-2024</t>
  </si>
  <si>
    <t>KHI-HO-D-MR-IMPORTS-C-19450-03-2024</t>
  </si>
  <si>
    <t>KHI-HO-D-MR-IMPORTS-C-19451-03-2024</t>
  </si>
  <si>
    <t>KHI-HO-D-MR-IMPORTS-C-19452-03-2024</t>
  </si>
  <si>
    <t>KHI-HO-D-MR-IMPORTS-C-19453-03-2024</t>
  </si>
  <si>
    <t>KHI-HO-D-MR-IMPORTS-C-19454-03-2024</t>
  </si>
  <si>
    <t>KHI-HO-D-MR-IMPORTS-C-19455-03-2024</t>
  </si>
  <si>
    <t>KHI-HO-D-MR-IMPORTS-C-19456-03-2024</t>
  </si>
  <si>
    <t>KHI-HO-D-MR-IMPORTS-C-19457-03-2024</t>
  </si>
  <si>
    <t>KHI-HO-D-MR-IMPORTS-C-19459-03-2024</t>
  </si>
  <si>
    <t>KHI-HO-D-MR-IMPORTS-C-19460-03-2024</t>
  </si>
  <si>
    <t>KHI-HO-D-MR-IMPORTS-C-19461-03-2024</t>
  </si>
  <si>
    <t>KHI-HO-D-MR-IMPORTS-C-19462-03-2024</t>
  </si>
  <si>
    <t>KHI-HO-D-MR-IMPORTS-C-19463-03-2024</t>
  </si>
  <si>
    <t>KHI-HO-D-MR-IMPORTS-C-19464-03-2024</t>
  </si>
  <si>
    <t>KHI-HO-D-MR-IMPORTS-C-19465-03-2024</t>
  </si>
  <si>
    <t>KHI-HO-D-MR-IMPORTS-C-19466-03-2024</t>
  </si>
  <si>
    <t>KHI-HO-D-MR-IMPORTS-C-19467-03-2024</t>
  </si>
  <si>
    <t>KHI-HO-D-MR-IMPORTS-C-19468-03-2024</t>
  </si>
  <si>
    <t>KHI-HO-D-MR-IMPORTS-C-19469-03-2024</t>
  </si>
  <si>
    <t>KHI-HO-D-MR-IMPORTS-C-19470-03-2024</t>
  </si>
  <si>
    <t>KHI-HO-D-MR-IMPORTS-C-19471-03-2024</t>
  </si>
  <si>
    <t>KHI-HO-D-MR-IMPORTS-C-19489-03-2024</t>
  </si>
  <si>
    <t>KHI-HO-D-MR-IMPORTS-C-19490-03-2024</t>
  </si>
  <si>
    <t>KHI-HO-D-MR-IMPORTS-C-19492-03-2024</t>
  </si>
  <si>
    <t>KHI-HO-D-MR-IMPORTS-C-19493-03-2024</t>
  </si>
  <si>
    <t>KHI-HO-D-MR-IMPORTS-C-19494-03-2024</t>
  </si>
  <si>
    <t>KHI-HO-D-MR-IMPORTS-C-19495-03-2024</t>
  </si>
  <si>
    <t>KHI-HO-D-MR-IMPORTS-C-19496-03-2024</t>
  </si>
  <si>
    <t>KHI-HO-D-MR-IMPORTS-C-19497-03-2024</t>
  </si>
  <si>
    <t>KHI-HO-D-MR-IMPORTS-C-19498-03-2024</t>
  </si>
  <si>
    <t>KHI-HO-D-MR-IMPORTS-C-19499-03-2024</t>
  </si>
  <si>
    <t>KHI-HO-D-MR-IMPORTS-C-19500-03-2024</t>
  </si>
  <si>
    <t>KHI-HO-D-MR-IMPORTS-C-19501-03-2024</t>
  </si>
  <si>
    <t>KHI-HO-D-MR-IMPORTS-C-19502-03-2024</t>
  </si>
  <si>
    <t>KHI-HO-D-MR-IMPORTS-C-19503-03-2024</t>
  </si>
  <si>
    <t>KHI-HO-D-MR-IMPORTS-C-19504-03-2024</t>
  </si>
  <si>
    <t>KHI-HO-D-MR-IMPORTS-C-19505-03-2024</t>
  </si>
  <si>
    <t>KHI-HO-D-MR-IMPORTS-C-19506-03-2024</t>
  </si>
  <si>
    <t>KHI-HO-D-MR-IMPORTS-C-19507-03-2024</t>
  </si>
  <si>
    <t>KHI-HO-D-MR-IMPORTS-C-19508-03-2024</t>
  </si>
  <si>
    <t>except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</si>
</sst>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/mmm/yyyy;@"/>
    <numFmt numFmtId="166" formatCode="_(* #,##0_);_(* \(#,##0\);_(* &quot;-&quot;??_);_(@_)"/>
    <numFmt numFmtId="167" formatCode="dd\-mm\-yyyy"/>
    <numFmt numFmtId="168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165" fontId="5" fillId="0" borderId="0" xfId="0" applyNumberFormat="1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1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1" applyNumberFormat="1" applyFont="1" applyBorder="1" applyAlignment="1">
      <alignment vertical="top"/>
    </xf>
    <xf numFmtId="0" fontId="4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top"/>
    </xf>
    <xf numFmtId="0" fontId="4" fillId="0" borderId="0" xfId="0" applyFont="1" applyAlignment="1">
      <alignment horizontal="center"/>
    </xf>
    <xf numFmtId="167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166" fontId="8" fillId="3" borderId="2" xfId="1" applyNumberFormat="1" applyFont="1" applyFill="1" applyBorder="1"/>
    <xf numFmtId="168" fontId="9" fillId="0" borderId="0" xfId="1" applyNumberFormat="1" applyFont="1" applyFill="1"/>
    <xf numFmtId="168" fontId="10" fillId="0" borderId="0" xfId="1" applyNumberFormat="1" applyFont="1" applyFill="1"/>
    <xf numFmtId="0" fontId="9" fillId="0" borderId="0" xfId="0" applyFont="1" applyAlignment="1">
      <alignment horizontal="center"/>
    </xf>
    <xf numFmtId="168" fontId="9" fillId="0" borderId="0" xfId="1" applyNumberFormat="1" applyFont="1" applyFill="1" applyBorder="1"/>
    <xf numFmtId="168" fontId="10" fillId="0" borderId="0" xfId="1" applyNumberFormat="1" applyFont="1"/>
    <xf numFmtId="0" fontId="10" fillId="0" borderId="0" xfId="0" applyFont="1"/>
    <xf numFmtId="0" fontId="0" fillId="0" borderId="4" xfId="0" applyBorder="1" applyAlignment="1">
      <alignment horizontal="center" vertical="top"/>
    </xf>
    <xf numFmtId="0" fontId="0" fillId="0" borderId="5" xfId="0" quotePrefix="1" applyBorder="1" applyAlignment="1">
      <alignment horizontal="center" vertical="top"/>
    </xf>
    <xf numFmtId="165" fontId="3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11" fillId="0" borderId="0" xfId="0" applyFont="1"/>
    <xf numFmtId="0" fontId="0" fillId="0" borderId="0" xfId="0" applyAlignment="1">
      <alignment vertical="top"/>
    </xf>
    <xf numFmtId="166" fontId="12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6" fontId="4" fillId="0" borderId="0" xfId="0" applyNumberFormat="1" applyFont="1"/>
  </cellXfs>
  <cellStyles count="2">
    <cellStyle name="Comma" xfId="1" builtinId="3"/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6.xlsx" TargetMode="External"/><Relationship Id="rId1" Type="http://schemas.openxmlformats.org/officeDocument/2006/relationships/externalLinkPath" Target="file:///C:\Users\adil.hassan\Downloads\SHEET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23.xlsx" TargetMode="External"/><Relationship Id="rId1" Type="http://schemas.openxmlformats.org/officeDocument/2006/relationships/externalLinkPath" Target="file:///C:\Users\adil.hassan\Downloads\1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122.xlsx" TargetMode="External"/><Relationship Id="rId1" Type="http://schemas.openxmlformats.org/officeDocument/2006/relationships/externalLinkPath" Target="file:///C:\Users\adil.hassan\Downloads\11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12233.xlsx" TargetMode="External"/><Relationship Id="rId1" Type="http://schemas.openxmlformats.org/officeDocument/2006/relationships/externalLinkPath" Target="file:///C:\Users\adil.hassan\Downloads\1122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KHI/HO/D/MR/IMPORTS/C/19566/04/2024</v>
          </cell>
          <cell r="C2" t="str">
            <v>070000157056</v>
          </cell>
        </row>
        <row r="3">
          <cell r="B3" t="str">
            <v>KHI/HO/D/MR/IMPORTS/C/19536/04/2024</v>
          </cell>
          <cell r="C3" t="str">
            <v>070000157005</v>
          </cell>
        </row>
        <row r="4">
          <cell r="B4" t="str">
            <v>KHI/HO/D/MR/IMPORTS/C/19529/04/2024</v>
          </cell>
          <cell r="C4" t="str">
            <v>070000156991</v>
          </cell>
        </row>
        <row r="5">
          <cell r="B5" t="str">
            <v>KHI/HO/D/MR/IMPORTS/C/19530/04/2024</v>
          </cell>
          <cell r="C5" t="str">
            <v>070000156992</v>
          </cell>
        </row>
        <row r="6">
          <cell r="B6" t="str">
            <v>KHI/HO/D/MR/IMPORTS/C/19531/04/2024</v>
          </cell>
          <cell r="C6" t="str">
            <v>070000156993</v>
          </cell>
        </row>
        <row r="7">
          <cell r="B7" t="str">
            <v>KHI/HO/D/MR/IMPORTS/C/19599/04/2024</v>
          </cell>
          <cell r="C7" t="str">
            <v>070000157151</v>
          </cell>
        </row>
        <row r="8">
          <cell r="B8" t="str">
            <v>KHI/HO/D/MR/IMPORTS/C/19559/04/2024</v>
          </cell>
          <cell r="C8" t="str">
            <v>070000157047</v>
          </cell>
        </row>
        <row r="9">
          <cell r="B9" t="str">
            <v>KHI/HO/D/MR/IMPORTS/C/19586/04/2024</v>
          </cell>
          <cell r="C9" t="str">
            <v>070000157085</v>
          </cell>
        </row>
        <row r="10">
          <cell r="B10" t="str">
            <v>KHI/HO/D/MR/IMPORTS/C/19588/04/2024</v>
          </cell>
          <cell r="C10" t="str">
            <v>070000157087</v>
          </cell>
        </row>
        <row r="11">
          <cell r="B11" t="str">
            <v>KHI/HO/D/MR/IMPORTS/C/19589/04/2024</v>
          </cell>
          <cell r="C11" t="str">
            <v>070000157088</v>
          </cell>
        </row>
        <row r="12">
          <cell r="B12" t="str">
            <v>KHI/HO/D/MR/IMPORTS/C/19590/04/2024</v>
          </cell>
          <cell r="C12" t="str">
            <v>070000157089</v>
          </cell>
        </row>
        <row r="13">
          <cell r="B13" t="str">
            <v>KHI/HO/D/MR/IMPORTS/C/19600/04/2024</v>
          </cell>
          <cell r="C13" t="str">
            <v>070000157152</v>
          </cell>
        </row>
        <row r="14">
          <cell r="B14" t="str">
            <v>KHI/HO/D/MR/IMPORTS/C/19594/04/2024</v>
          </cell>
          <cell r="C14" t="str">
            <v>070000157105</v>
          </cell>
        </row>
        <row r="15">
          <cell r="B15" t="str">
            <v>KHI/HO/D/MR/IMPORTS/C/19595/04/2024</v>
          </cell>
          <cell r="C15" t="str">
            <v>070000157106</v>
          </cell>
        </row>
        <row r="16">
          <cell r="B16" t="str">
            <v>KHI/HO/D/MR/IMPORTS/C/19613/04/2024</v>
          </cell>
          <cell r="C16" t="str">
            <v>070000157360</v>
          </cell>
        </row>
        <row r="17">
          <cell r="B17" t="str">
            <v>KHI/HO/D/MR/IMPORTS/C/19562/04/2024</v>
          </cell>
          <cell r="C17" t="str">
            <v>070000157051</v>
          </cell>
        </row>
        <row r="18">
          <cell r="B18" t="str">
            <v>KHI/HO/D/MR/IMPORTS/C/19539/04/2024</v>
          </cell>
          <cell r="C18" t="str">
            <v>070000157009</v>
          </cell>
        </row>
        <row r="19">
          <cell r="B19" t="str">
            <v>KHI/HO/D/MR/IMPORTS/C/19533/04/2024</v>
          </cell>
          <cell r="C19" t="str">
            <v>070000157002</v>
          </cell>
        </row>
        <row r="20">
          <cell r="B20" t="str">
            <v>KHI/HO/D/MR/IMPORTS/C/19537/04/2024</v>
          </cell>
          <cell r="C20" t="str">
            <v>070000157007</v>
          </cell>
        </row>
        <row r="21">
          <cell r="B21" t="str">
            <v>KHI/HO/D/MR/IMPORTS/C/19538/04/2024</v>
          </cell>
          <cell r="C21" t="str">
            <v>070000157008</v>
          </cell>
        </row>
        <row r="22">
          <cell r="B22" t="str">
            <v>KHI/HO/D/MR/IMPORTS/C/19542/04/2024</v>
          </cell>
          <cell r="C22" t="str">
            <v>070000157018</v>
          </cell>
        </row>
        <row r="23">
          <cell r="B23" t="str">
            <v>KHI/HO/D/MR/IMPORTS/C/19535/04/2024</v>
          </cell>
          <cell r="C23" t="str">
            <v>070000157004</v>
          </cell>
        </row>
        <row r="24">
          <cell r="B24" t="str">
            <v>KHI/HO/D/MR/IMPORTS/C/19556/04/2024</v>
          </cell>
          <cell r="C24" t="str">
            <v>070000157044</v>
          </cell>
        </row>
        <row r="25">
          <cell r="B25" t="str">
            <v>KHI/HO/D/MR/IMPORTS/C/19555/04/2024</v>
          </cell>
          <cell r="C25" t="str">
            <v>070000157043</v>
          </cell>
        </row>
        <row r="26">
          <cell r="B26" t="str">
            <v>KHI/HO/D/MR/IMPORTS/C/19515/04/2024</v>
          </cell>
          <cell r="C26" t="str">
            <v>070000156956</v>
          </cell>
        </row>
        <row r="27">
          <cell r="B27" t="str">
            <v>KHI/HO/D/MR/IMPORTS/C/19569/04/2024</v>
          </cell>
          <cell r="C27" t="str">
            <v>070000157060</v>
          </cell>
        </row>
        <row r="28">
          <cell r="B28" t="str">
            <v>KHI/HO/D/MR/IMPORTS/C/19604/04/2024</v>
          </cell>
          <cell r="C28" t="str">
            <v>070000157158</v>
          </cell>
        </row>
        <row r="29">
          <cell r="B29" t="str">
            <v>KHI/HO/D/MR/IMPORTS/C/19635/04/2024</v>
          </cell>
          <cell r="C29" t="str">
            <v>070000157937</v>
          </cell>
        </row>
        <row r="30">
          <cell r="B30" t="str">
            <v>KHI/HO/D/MR/IMPORTS/C/19632/04/2024</v>
          </cell>
          <cell r="C30" t="str">
            <v>070000157934</v>
          </cell>
        </row>
        <row r="31">
          <cell r="B31" t="str">
            <v>KHI/HO/D/MR/IMPORTS/C/19634/04/2024</v>
          </cell>
          <cell r="C31" t="str">
            <v>070000157936</v>
          </cell>
        </row>
        <row r="32">
          <cell r="B32" t="str">
            <v>KHI/HO/D/MR/IMPORTS/C/19524/04/2024</v>
          </cell>
          <cell r="C32" t="str">
            <v>070000156979</v>
          </cell>
        </row>
        <row r="33">
          <cell r="B33" t="str">
            <v>KHI/HO/D/MR/IMPORTS/C/19652/04/2024</v>
          </cell>
          <cell r="C33" t="str">
            <v>070000157994</v>
          </cell>
        </row>
        <row r="34">
          <cell r="B34" t="str">
            <v>KHI/HO/D/MR/IMPORTS/C/19654/04/2024</v>
          </cell>
          <cell r="C34" t="str">
            <v>070000157997</v>
          </cell>
        </row>
        <row r="35">
          <cell r="B35" t="str">
            <v>KHI/HO/D/MR/IMPORTS/C/19593/04/2024</v>
          </cell>
          <cell r="C35" t="str">
            <v>070000157103</v>
          </cell>
        </row>
        <row r="36">
          <cell r="B36" t="str">
            <v>KHI/HO/D/MR/IMPORTS/C/19526/04/2024</v>
          </cell>
          <cell r="C36" t="str">
            <v>070000156986</v>
          </cell>
        </row>
        <row r="37">
          <cell r="B37" t="str">
            <v>KHI/HO/D/MR/IMPORTS/C/19527/04/2024</v>
          </cell>
          <cell r="C37" t="str">
            <v>070000156988</v>
          </cell>
        </row>
        <row r="38">
          <cell r="B38" t="str">
            <v>KHI/HO/D/MR/IMPORTS/C/19534/04/2024</v>
          </cell>
          <cell r="C38" t="str">
            <v>070000157003</v>
          </cell>
        </row>
        <row r="39">
          <cell r="B39" t="str">
            <v>KHI/HO/D/MR/IMPORTS/C/19525/04/2024</v>
          </cell>
          <cell r="C39" t="str">
            <v>070000156980</v>
          </cell>
        </row>
        <row r="40">
          <cell r="B40" t="str">
            <v>KHI/HO/D/MR/IMPORTS/C/19543/04/2024</v>
          </cell>
          <cell r="C40" t="str">
            <v>070000157019</v>
          </cell>
        </row>
        <row r="41">
          <cell r="B41" t="str">
            <v>KHI/HO/D/MR/IMPORTS/C/19561/04/2024</v>
          </cell>
          <cell r="C41" t="str">
            <v>070000157049</v>
          </cell>
        </row>
        <row r="42">
          <cell r="B42" t="str">
            <v>KHI/HO/D/MR/IMPORTS/C/19603/04/2024</v>
          </cell>
          <cell r="C42" t="str">
            <v>070000157157</v>
          </cell>
        </row>
        <row r="43">
          <cell r="B43" t="str">
            <v>KHI/HO/D/MR/IMPORTS/C/19630/04/2024</v>
          </cell>
          <cell r="C43" t="str">
            <v>070000157930</v>
          </cell>
        </row>
        <row r="44">
          <cell r="B44" t="str">
            <v>KHI/HO/D/MR/IMPORTS/C/19631/04/2024</v>
          </cell>
          <cell r="C44" t="str">
            <v>070000157931</v>
          </cell>
        </row>
        <row r="45">
          <cell r="B45" t="str">
            <v>KHI/HO/D/MR/IMPORTS/C/19597/04/2024</v>
          </cell>
          <cell r="C45" t="str">
            <v>070000157108</v>
          </cell>
        </row>
        <row r="46">
          <cell r="B46" t="str">
            <v>KHI/HO/D/MR/IMPORTS/C/19540/04/2024</v>
          </cell>
          <cell r="C46" t="str">
            <v>070000157010</v>
          </cell>
        </row>
        <row r="47">
          <cell r="B47" t="str">
            <v>KHI/HO/D/MR/IMPORTS/C/19541/04/2024</v>
          </cell>
          <cell r="C47" t="str">
            <v>070000157011</v>
          </cell>
        </row>
        <row r="48">
          <cell r="B48" t="str">
            <v>KHI/HO/D/MR/IMPORTS/C/19570/04/2024</v>
          </cell>
          <cell r="C48" t="str">
            <v>070000157061</v>
          </cell>
        </row>
        <row r="49">
          <cell r="B49" t="str">
            <v>KHI/HO/D/MR/IMPORTS/C/19592/04/2024</v>
          </cell>
          <cell r="C49" t="str">
            <v>070000157101</v>
          </cell>
        </row>
        <row r="50">
          <cell r="B50" t="str">
            <v>KHI/HO/D/MR/IMPORTS/C/19614/04/2024</v>
          </cell>
          <cell r="C50" t="str">
            <v>070000157361</v>
          </cell>
        </row>
        <row r="51">
          <cell r="B51" t="str">
            <v>KHI/HO/D/MR/IMPORTS/C/19587/04/2024</v>
          </cell>
          <cell r="C51" t="str">
            <v>070000157086</v>
          </cell>
        </row>
        <row r="52">
          <cell r="B52" t="str">
            <v>KHI/HO/D/MR/IMPORTS/C/19591/04/2024</v>
          </cell>
          <cell r="C52" t="str">
            <v>070000157090</v>
          </cell>
        </row>
        <row r="53">
          <cell r="B53" t="str">
            <v>KHI/HO/D/MR/IMPORTS/C/19611/04/2024</v>
          </cell>
          <cell r="C53" t="str">
            <v>070000157356</v>
          </cell>
        </row>
        <row r="54">
          <cell r="B54" t="str">
            <v>KHI/HO/D/MR/IMPORTS/C/19598/04/2024</v>
          </cell>
          <cell r="C54" t="str">
            <v>070000157150</v>
          </cell>
        </row>
        <row r="55">
          <cell r="B55" t="str">
            <v>KHI/HO/D/MR/IMPORTS/C/19616/04/2024</v>
          </cell>
          <cell r="C55" t="str">
            <v>070000157363</v>
          </cell>
        </row>
        <row r="56">
          <cell r="B56" t="str">
            <v>KHI/HO/D/MR/IMPORTS/C/19605/04/2024</v>
          </cell>
          <cell r="C56" t="str">
            <v>070000157159</v>
          </cell>
        </row>
        <row r="57">
          <cell r="B57" t="str">
            <v>KHI/HO/D/MR/IMPORTS/C/19560/04/2024</v>
          </cell>
          <cell r="C57" t="str">
            <v>070000157048</v>
          </cell>
        </row>
        <row r="58">
          <cell r="B58" t="str">
            <v>KHI/HO/D/MR/IMPORTS/C/19612/04/2024</v>
          </cell>
          <cell r="C58" t="str">
            <v>070000157359</v>
          </cell>
        </row>
        <row r="59">
          <cell r="B59" t="str">
            <v>KHI/HO/D/MR/IMPORTS/C/19520/04/2024</v>
          </cell>
          <cell r="C59" t="str">
            <v>070000156975</v>
          </cell>
        </row>
        <row r="60">
          <cell r="B60" t="str">
            <v>KHI/HO/D/MR/IMPORTS/C/19523/04/2024</v>
          </cell>
          <cell r="C60" t="str">
            <v>070000156978</v>
          </cell>
        </row>
        <row r="61">
          <cell r="B61" t="str">
            <v>KHI/HO/D/MR/IMPORTS/C/19528/04/2024</v>
          </cell>
          <cell r="C61" t="str">
            <v>070000156989</v>
          </cell>
        </row>
        <row r="62">
          <cell r="B62" t="str">
            <v>KHI/HO/D/MR/IMPORTS/C/19563/04/2024</v>
          </cell>
          <cell r="C62" t="str">
            <v>070000157052</v>
          </cell>
        </row>
        <row r="63">
          <cell r="B63" t="str">
            <v>KHI/HO/D/MR/IMPORTS/C/19633/04/2024</v>
          </cell>
          <cell r="C63" t="str">
            <v>070000157935</v>
          </cell>
        </row>
        <row r="64">
          <cell r="B64" t="str">
            <v>KHI/HO/D/MR/IMPORTS/C/19522/04/2024</v>
          </cell>
          <cell r="C64" t="str">
            <v>070000156977</v>
          </cell>
        </row>
        <row r="65">
          <cell r="B65" t="str">
            <v>KHI/HO/D/MR/IMPORTS/C/19554/04/2024</v>
          </cell>
          <cell r="C65" t="str">
            <v>070000157042</v>
          </cell>
        </row>
        <row r="66">
          <cell r="B66" t="str">
            <v>KHI/HO/D/MR/IMPORTS/C/19629/04/2024</v>
          </cell>
          <cell r="C66" t="str">
            <v>070000157929</v>
          </cell>
        </row>
        <row r="67">
          <cell r="B67" t="str">
            <v>KHI/HO/D/MR/IMPORTS/C/19521/04/2024</v>
          </cell>
          <cell r="C67" t="str">
            <v>070000156976</v>
          </cell>
        </row>
        <row r="68">
          <cell r="B68" t="str">
            <v>KHI/HO/D/MR/IMPORTS/C/19571/04/2024</v>
          </cell>
          <cell r="C68" t="str">
            <v>070000157063</v>
          </cell>
        </row>
        <row r="69">
          <cell r="B69" t="str">
            <v>KHI/HO/D/MR/IMPORTS/C/19572/04/2024</v>
          </cell>
          <cell r="C69" t="str">
            <v>070000157064</v>
          </cell>
        </row>
        <row r="70">
          <cell r="B70" t="str">
            <v>KHI/HO/D/MR/IMPORTS/C/19564/04/2024</v>
          </cell>
          <cell r="C70" t="str">
            <v>070000157054</v>
          </cell>
        </row>
        <row r="71">
          <cell r="B71" t="str">
            <v>KHI/HO/D/MR/IMPORTS/C/19565/04/2024</v>
          </cell>
          <cell r="C71" t="str">
            <v>070000157055</v>
          </cell>
        </row>
        <row r="72">
          <cell r="B72" t="str">
            <v>KHI/HO/D/MR/IMPORTS/C/19617/04/2024</v>
          </cell>
          <cell r="C72" t="str">
            <v>070000157364</v>
          </cell>
        </row>
        <row r="73">
          <cell r="B73" t="str">
            <v>KHI/HO/D/MR/IMPORTS/C/19618/04/2024</v>
          </cell>
          <cell r="C73" t="str">
            <v>070000157365</v>
          </cell>
        </row>
        <row r="74">
          <cell r="B74" t="str">
            <v>KHI/HO/D/MR/IMPORTS/C/19628/04/2024</v>
          </cell>
          <cell r="C74" t="str">
            <v>070000157928</v>
          </cell>
        </row>
        <row r="75">
          <cell r="B75" t="str">
            <v>KHI/HO/D/MR/IMPORTS/C/19655/04/2024</v>
          </cell>
          <cell r="C75" t="str">
            <v>070000157998</v>
          </cell>
        </row>
        <row r="76">
          <cell r="B76" t="str">
            <v>KHI/HO/D/MR/IMPORTS/C/19627/04/2024</v>
          </cell>
          <cell r="C76" t="str">
            <v>070000157926</v>
          </cell>
        </row>
        <row r="77">
          <cell r="B77" t="str">
            <v>KHI/HO/D/MR/IMPORTS/C/19601/04/2024</v>
          </cell>
          <cell r="C77" t="str">
            <v>070000157153</v>
          </cell>
        </row>
        <row r="78">
          <cell r="B78" t="str">
            <v>KHI/HO/D/MR/IMPORTS/C/19602/04/2024</v>
          </cell>
          <cell r="C78" t="str">
            <v>070000157154</v>
          </cell>
        </row>
        <row r="79">
          <cell r="B79" t="str">
            <v>KHI/HO/D/MR/IMPORTS/C/19651/04/2024</v>
          </cell>
          <cell r="C79" t="str">
            <v>070000157992</v>
          </cell>
        </row>
        <row r="80">
          <cell r="B80" t="str">
            <v>KHI/HO/D/MR/IMPORTS/C/19568/04/2024</v>
          </cell>
          <cell r="C80" t="str">
            <v>070000157059</v>
          </cell>
        </row>
        <row r="81">
          <cell r="B81" t="str">
            <v>KHI/HO/D/MR/IMPORTS/C/19544/04/2024</v>
          </cell>
          <cell r="C81" t="str">
            <v>070000157020</v>
          </cell>
        </row>
        <row r="82">
          <cell r="B82" t="str">
            <v>KHI/HO/D/MR/IMPORTS/C/19653/04/2024</v>
          </cell>
          <cell r="C82" t="str">
            <v>070000157995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KHI/HO/D/MR/IMPORTS/C/19660/05/2024</v>
          </cell>
          <cell r="C2" t="str">
            <v>070000158609</v>
          </cell>
        </row>
        <row r="3">
          <cell r="B3" t="str">
            <v>KHI/HO/D/MR/IMPORTS/C/19662/05/2024</v>
          </cell>
          <cell r="C3" t="str">
            <v>070000158612</v>
          </cell>
        </row>
        <row r="4">
          <cell r="B4" t="str">
            <v>KHI/HO/D/MR/IMPORTS/C/19751/05/2024</v>
          </cell>
          <cell r="C4" t="str">
            <v>070000159954</v>
          </cell>
        </row>
        <row r="5">
          <cell r="B5" t="str">
            <v>KHI/HO/D/MR/IMPORTS/C/19752/05/2024</v>
          </cell>
          <cell r="C5" t="str">
            <v>070000159956</v>
          </cell>
        </row>
        <row r="6">
          <cell r="B6" t="str">
            <v>KHI/HO/D/MR/IMPORTS/C/19694/05/2024</v>
          </cell>
          <cell r="C6" t="str">
            <v>070000158735</v>
          </cell>
        </row>
        <row r="7">
          <cell r="B7" t="str">
            <v>KHI/HO/D/MR/IMPORTS/C/19717/05/2024</v>
          </cell>
          <cell r="C7" t="str">
            <v>070000158832</v>
          </cell>
        </row>
        <row r="8">
          <cell r="B8" t="str">
            <v>KHI/HO/D/MR/IMPORTS/C/19661/05/2024</v>
          </cell>
          <cell r="C8" t="str">
            <v>070000158610</v>
          </cell>
        </row>
        <row r="9">
          <cell r="B9" t="str">
            <v>KHI/HO/D/MR/IMPORTS/C/19659/05/2024</v>
          </cell>
          <cell r="C9" t="str">
            <v>070000158608</v>
          </cell>
        </row>
        <row r="10">
          <cell r="B10" t="str">
            <v>KHI/HO/D/MR/IMPORTS/C/19740/05/2024</v>
          </cell>
          <cell r="C10" t="str">
            <v>070000159088</v>
          </cell>
        </row>
        <row r="11">
          <cell r="B11" t="str">
            <v>KHI/HO/D/MR/IMPORTS/C/19744/05/2024</v>
          </cell>
          <cell r="C11" t="str">
            <v>070000159466</v>
          </cell>
        </row>
        <row r="12">
          <cell r="B12" t="str">
            <v>KHI/HO/D/MR/IMPORTS/C/19745/05/2024</v>
          </cell>
          <cell r="C12" t="str">
            <v>070000159467</v>
          </cell>
        </row>
        <row r="13">
          <cell r="B13" t="str">
            <v>KHI/HO/D/MR/IMPORTS/C/19775/05/2024</v>
          </cell>
          <cell r="C13" t="str">
            <v>070000160030</v>
          </cell>
        </row>
        <row r="14">
          <cell r="B14" t="str">
            <v>KHI/HO/D/MR/IMPORTS/C/19677/05/2024</v>
          </cell>
          <cell r="C14" t="str">
            <v>070000158656</v>
          </cell>
        </row>
        <row r="15">
          <cell r="B15" t="str">
            <v>KHI/HO/D/MR/IMPORTS/C/19709/05/2024</v>
          </cell>
          <cell r="C15" t="str">
            <v>070000158792</v>
          </cell>
        </row>
        <row r="16">
          <cell r="B16" t="str">
            <v>KHI/HO/D/MR/IMPORTS/C/19710/05/2024</v>
          </cell>
          <cell r="C16" t="str">
            <v>070000158793</v>
          </cell>
        </row>
        <row r="17">
          <cell r="B17" t="str">
            <v>KHI/HO/D/MR/IMPORTS/C/19711/05/2024</v>
          </cell>
          <cell r="C17" t="str">
            <v>070000158794</v>
          </cell>
        </row>
        <row r="18">
          <cell r="B18" t="str">
            <v>KHI/HO/D/MR/IMPORTS/C/19678/05/2024</v>
          </cell>
          <cell r="C18" t="str">
            <v>070000158657</v>
          </cell>
        </row>
        <row r="19">
          <cell r="B19" t="str">
            <v>KHI/HO/D/MR/IMPORTS/C/19681/05/2024</v>
          </cell>
          <cell r="C19" t="str">
            <v>070000158709</v>
          </cell>
        </row>
        <row r="20">
          <cell r="B20" t="str">
            <v>KHI/HO/D/MR/IMPORTS/C/19666/05/2024</v>
          </cell>
          <cell r="C20" t="str">
            <v>070000158636</v>
          </cell>
        </row>
        <row r="21">
          <cell r="B21" t="str">
            <v>KHI/HO/D/MR/IMPORTS/C/19753/05/2024</v>
          </cell>
          <cell r="C21" t="str">
            <v>070000159961</v>
          </cell>
        </row>
        <row r="22">
          <cell r="B22" t="str">
            <v>KHI/HO/D/MR/IMPORTS/C/19746/05/2024</v>
          </cell>
          <cell r="C22" t="str">
            <v>070000159468</v>
          </cell>
        </row>
        <row r="23">
          <cell r="B23" t="str">
            <v>KHI/HO/D/MR/IMPORTS/C/19779/05/2024</v>
          </cell>
          <cell r="C23" t="str">
            <v>070000160282</v>
          </cell>
        </row>
        <row r="24">
          <cell r="B24" t="str">
            <v>KHI/HO/D/MR/IMPORTS/C/19715/05/2024</v>
          </cell>
          <cell r="C24" t="str">
            <v>070000158829</v>
          </cell>
        </row>
        <row r="25">
          <cell r="B25" t="str">
            <v>KHI/HO/D/MR/IMPORTS/C/19690/05/2024</v>
          </cell>
          <cell r="C25" t="str">
            <v>070000158731</v>
          </cell>
        </row>
        <row r="26">
          <cell r="B26" t="str">
            <v>KHI/HO/D/MR/IMPORTS/C/19749/05/2024</v>
          </cell>
          <cell r="C26" t="str">
            <v>070000159635</v>
          </cell>
        </row>
        <row r="27">
          <cell r="B27" t="str">
            <v>KHI/HO/D/MR/IMPORTS/C/19720/05/2024</v>
          </cell>
          <cell r="C27" t="str">
            <v>070000159012</v>
          </cell>
        </row>
        <row r="28">
          <cell r="B28" t="str">
            <v>KHI/HO/D/MR/IMPORTS/C/19684/05/2024</v>
          </cell>
          <cell r="C28" t="str">
            <v>070000158720</v>
          </cell>
        </row>
        <row r="29">
          <cell r="B29" t="str">
            <v>KHI/HO/D/MR/IMPORTS/C/19776/05/2024</v>
          </cell>
          <cell r="C29" t="str">
            <v>070000160033</v>
          </cell>
        </row>
        <row r="30">
          <cell r="B30" t="str">
            <v>KHI/HO/D/MR/IMPORTS/C/19724/05/2024</v>
          </cell>
          <cell r="C30" t="str">
            <v>070000159020</v>
          </cell>
        </row>
        <row r="31">
          <cell r="B31" t="str">
            <v>KHI/HO/D/MR/IMPORTS/C/19781/05/2024</v>
          </cell>
          <cell r="C31" t="str">
            <v>070000160300</v>
          </cell>
        </row>
        <row r="32">
          <cell r="B32" t="str">
            <v>KHI/HO/D/MR/IMPORTS/C/19742/05/2024</v>
          </cell>
          <cell r="C32" t="str">
            <v>070000159464</v>
          </cell>
        </row>
        <row r="33">
          <cell r="B33" t="str">
            <v>KHI/HO/D/MR/IMPORTS/C/19716/05/2024</v>
          </cell>
          <cell r="C33" t="str">
            <v>070000158830</v>
          </cell>
        </row>
        <row r="34">
          <cell r="B34" t="str">
            <v>KHI/HO/D/MR/IMPORTS/C/19665/05/2024</v>
          </cell>
          <cell r="C34" t="str">
            <v>070000158635</v>
          </cell>
        </row>
        <row r="35">
          <cell r="B35" t="str">
            <v>KHI/HO/D/MR/IMPORTS/C/19726/05/2024</v>
          </cell>
          <cell r="C35" t="str">
            <v>070000159026</v>
          </cell>
        </row>
        <row r="36">
          <cell r="B36" t="str">
            <v>KHI/HO/D/MR/IMPORTS/C/19689/05/2024</v>
          </cell>
          <cell r="C36" t="str">
            <v>070000158730</v>
          </cell>
        </row>
        <row r="37">
          <cell r="B37" t="str">
            <v>KHI/HO/D/MR/IMPORTS/C/19692/05/2024</v>
          </cell>
          <cell r="C37" t="str">
            <v>070000158733</v>
          </cell>
        </row>
        <row r="38">
          <cell r="B38" t="str">
            <v>KHI/HO/D/MR/IMPORTS/C/19778/05/2024</v>
          </cell>
          <cell r="C38" t="str">
            <v>070000160041</v>
          </cell>
        </row>
        <row r="39">
          <cell r="B39" t="str">
            <v>KHI/HO/D/MR/IMPORTS/C/19721/05/2024</v>
          </cell>
          <cell r="C39" t="str">
            <v>070000159013</v>
          </cell>
        </row>
        <row r="40">
          <cell r="B40" t="str">
            <v>KHI/HO/D/MR/IMPORTS/C/19723/05/2024</v>
          </cell>
          <cell r="C40" t="str">
            <v>070000159016</v>
          </cell>
        </row>
        <row r="41">
          <cell r="B41" t="str">
            <v>KHI/HO/D/MR/IMPORTS/C/19725/05/2024</v>
          </cell>
          <cell r="C41" t="str">
            <v>070000159025</v>
          </cell>
        </row>
        <row r="42">
          <cell r="B42" t="str">
            <v>KHI/HO/D/MR/IMPORTS/C/19664/05/2024</v>
          </cell>
          <cell r="C42" t="str">
            <v>070000158614</v>
          </cell>
        </row>
        <row r="43">
          <cell r="B43" t="str">
            <v>KHI/HO/D/MR/IMPORTS/C/19673/05/2024</v>
          </cell>
          <cell r="C43" t="str">
            <v>070000158644</v>
          </cell>
        </row>
        <row r="44">
          <cell r="B44" t="str">
            <v>KHI/HO/D/MR/IMPORTS/C/19682/05/2024</v>
          </cell>
          <cell r="C44" t="str">
            <v>070000158710</v>
          </cell>
        </row>
        <row r="45">
          <cell r="B45" t="str">
            <v>KHI/HO/D/MR/IMPORTS/C/19750/05/2024</v>
          </cell>
          <cell r="C45" t="str">
            <v>070000159636</v>
          </cell>
        </row>
        <row r="46">
          <cell r="B46" t="str">
            <v>KHI/HO/D/MR/IMPORTS/C/19754/05/2024</v>
          </cell>
          <cell r="C46" t="str">
            <v>070000159964</v>
          </cell>
        </row>
        <row r="47">
          <cell r="B47" t="str">
            <v>KHI/HO/D/MR/IMPORTS/C/19676/05/2024</v>
          </cell>
          <cell r="C47" t="str">
            <v>070000158654</v>
          </cell>
        </row>
        <row r="48">
          <cell r="B48" t="str">
            <v>KHI/HO/D/MR/IMPORTS/C/19701/05/2024</v>
          </cell>
          <cell r="C48" t="str">
            <v>070000158749</v>
          </cell>
        </row>
        <row r="49">
          <cell r="B49" t="str">
            <v>KHI/HO/D/MR/IMPORTS/C/19696/05/2024</v>
          </cell>
          <cell r="C49" t="str">
            <v>070000158739</v>
          </cell>
        </row>
        <row r="50">
          <cell r="B50" t="str">
            <v>KHI/HO/D/MR/IMPORTS/C/19685/05/2024</v>
          </cell>
          <cell r="C50" t="str">
            <v>070000158721</v>
          </cell>
        </row>
        <row r="51">
          <cell r="B51" t="str">
            <v>KHI/HO/D/MR/IMPORTS/C/19695/05/2024</v>
          </cell>
          <cell r="C51" t="str">
            <v>070000158738</v>
          </cell>
        </row>
        <row r="52">
          <cell r="B52" t="str">
            <v>KHI/HO/D/MR/IMPORTS/C/19697/05/2024</v>
          </cell>
          <cell r="C52" t="str">
            <v>070000158740</v>
          </cell>
        </row>
        <row r="53">
          <cell r="B53" t="str">
            <v>KHI/HO/D/MR/IMPORTS/C/19687/05/2024</v>
          </cell>
          <cell r="C53" t="str">
            <v>070000158724</v>
          </cell>
        </row>
        <row r="54">
          <cell r="B54" t="str">
            <v>KHI/HO/D/MR/IMPORTS/C/19737/05/2024</v>
          </cell>
          <cell r="C54" t="str">
            <v>070000159083</v>
          </cell>
        </row>
        <row r="55">
          <cell r="B55" t="str">
            <v>KHI/HO/D/MR/IMPORTS/C/19782/05/2024</v>
          </cell>
          <cell r="C55" t="str">
            <v>070000160303</v>
          </cell>
        </row>
        <row r="56">
          <cell r="B56" t="str">
            <v>KHI/HO/D/MR/IMPORTS/C/19675/05/2024</v>
          </cell>
          <cell r="C56" t="str">
            <v>070000158652</v>
          </cell>
        </row>
        <row r="57">
          <cell r="B57" t="str">
            <v>KHI/HO/D/MR/IMPORTS/C/19693/05/2024</v>
          </cell>
          <cell r="C57" t="str">
            <v>070000158734</v>
          </cell>
        </row>
        <row r="58">
          <cell r="B58" t="str">
            <v>KHI/HO/D/MR/IMPORTS/C/19680/05/2024</v>
          </cell>
          <cell r="C58" t="str">
            <v>070000158659</v>
          </cell>
        </row>
        <row r="59">
          <cell r="B59" t="str">
            <v>KHI/HO/D/MR/IMPORTS/C/19683/05/2024</v>
          </cell>
          <cell r="C59" t="str">
            <v>070000158711</v>
          </cell>
        </row>
        <row r="60">
          <cell r="B60" t="str">
            <v>KHI/HO/D/MR/IMPORTS/C/19718/05/2024</v>
          </cell>
          <cell r="C60" t="str">
            <v>070000158833</v>
          </cell>
        </row>
        <row r="61">
          <cell r="B61" t="str">
            <v>KHI/HO/D/MR/IMPORTS/C/19738/05/2024</v>
          </cell>
          <cell r="C61" t="str">
            <v>070000159084</v>
          </cell>
        </row>
        <row r="62">
          <cell r="B62" t="str">
            <v>KHI/HO/D/MR/IMPORTS/C/19777/05/2024</v>
          </cell>
          <cell r="C62" t="str">
            <v>070000160036</v>
          </cell>
        </row>
        <row r="63">
          <cell r="B63" t="str">
            <v>KHI/HO/D/MR/IMPORTS/C/19730/05/2024</v>
          </cell>
          <cell r="C63" t="str">
            <v>070000159047</v>
          </cell>
        </row>
        <row r="64">
          <cell r="B64" t="str">
            <v>KHI/HO/D/MR/IMPORTS/C/19714/05/2024</v>
          </cell>
          <cell r="C64" t="str">
            <v>070000158828</v>
          </cell>
        </row>
        <row r="65">
          <cell r="B65" t="str">
            <v>KHI/HO/D/MR/IMPORTS/C/19748/05/2024</v>
          </cell>
          <cell r="C65" t="str">
            <v>070000159634</v>
          </cell>
        </row>
        <row r="66">
          <cell r="B66" t="str">
            <v>KHI/HO/D/MR/IMPORTS/C/19780/05/2024</v>
          </cell>
          <cell r="C66" t="str">
            <v>070000160286</v>
          </cell>
        </row>
        <row r="67">
          <cell r="B67" t="str">
            <v>KHI/HO/D/MR/IMPORTS/C/19713/05/2024</v>
          </cell>
          <cell r="C67" t="str">
            <v>070000158796</v>
          </cell>
        </row>
        <row r="68">
          <cell r="B68" t="str">
            <v>KHI/HO/D/MR/IMPORTS/C/19669/05/2024</v>
          </cell>
          <cell r="C68" t="str">
            <v>070000158639</v>
          </cell>
        </row>
        <row r="69">
          <cell r="B69" t="str">
            <v>KHI/HO/D/MR/IMPORTS/C/19731/05/2024</v>
          </cell>
          <cell r="C69" t="str">
            <v>070000159049</v>
          </cell>
        </row>
        <row r="70">
          <cell r="B70" t="str">
            <v>KHI/HO/D/MR/IMPORTS/C/19719/05/2024</v>
          </cell>
          <cell r="C70" t="str">
            <v>070000159011</v>
          </cell>
        </row>
        <row r="71">
          <cell r="B71" t="str">
            <v>KHI/HO/D/MR/IMPORTS/C/19739/05/2024</v>
          </cell>
          <cell r="C71" t="str">
            <v>070000159087</v>
          </cell>
        </row>
        <row r="72">
          <cell r="B72" t="str">
            <v>KHI/HO/D/MR/IMPORTS/C/19706/05/2024</v>
          </cell>
          <cell r="C72" t="str">
            <v>070000158787</v>
          </cell>
        </row>
        <row r="73">
          <cell r="B73" t="str">
            <v>KHI/HO/D/MR/IMPORTS/C/19708/05/2024</v>
          </cell>
          <cell r="C73" t="str">
            <v>070000158791</v>
          </cell>
        </row>
        <row r="74">
          <cell r="B74" t="str">
            <v>KHI/HO/D/MR/IMPORTS/C/19712/05/2024</v>
          </cell>
          <cell r="C74" t="str">
            <v>070000158795</v>
          </cell>
        </row>
        <row r="75">
          <cell r="B75" t="str">
            <v>KHI/HO/D/MR/IMPORTS/C/19679/05/2024</v>
          </cell>
          <cell r="C75" t="str">
            <v>070000158658</v>
          </cell>
        </row>
        <row r="76">
          <cell r="B76" t="str">
            <v>KHI/HO/D/MR/IMPORTS/C/19674/05/2024</v>
          </cell>
          <cell r="C76" t="str">
            <v>070000158651</v>
          </cell>
        </row>
        <row r="77">
          <cell r="B77" t="str">
            <v>KHI/HO/D/MR/IMPORTS/C/19732/05/2024</v>
          </cell>
          <cell r="C77" t="str">
            <v>070000159052</v>
          </cell>
        </row>
        <row r="78">
          <cell r="B78" t="str">
            <v>KHI/HO/D/MR/IMPORTS/C/19741/05/2024</v>
          </cell>
          <cell r="C78" t="str">
            <v>070000159089</v>
          </cell>
        </row>
        <row r="79">
          <cell r="B79" t="str">
            <v>KHI/HO/D/MR/IMPORTS/C/19722/05/2024</v>
          </cell>
          <cell r="C79" t="str">
            <v>070000159014</v>
          </cell>
        </row>
        <row r="80">
          <cell r="B80" t="str">
            <v>KHI/HO/D/MR/IMPORTS/C/19733/05/2024</v>
          </cell>
          <cell r="C80" t="str">
            <v>070000159054</v>
          </cell>
        </row>
        <row r="81">
          <cell r="B81" t="str">
            <v>KHI/HO/D/MR/IMPORTS/C/19667/05/2024</v>
          </cell>
          <cell r="C81" t="str">
            <v>070000158637</v>
          </cell>
        </row>
        <row r="82">
          <cell r="B82" t="str">
            <v>KHI/HO/D/MR/IMPORTS/C/19668/05/2024</v>
          </cell>
          <cell r="C82" t="str">
            <v>070000158638</v>
          </cell>
        </row>
        <row r="83">
          <cell r="B83" t="str">
            <v>KHI/HO/D/MR/IMPORTS/C/19734/05/2024</v>
          </cell>
          <cell r="C83" t="str">
            <v>070000159056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KHI/HO/D/MR/IMPORTS/C/19899/06/2024</v>
          </cell>
          <cell r="C2" t="str">
            <v>070000160702</v>
          </cell>
        </row>
        <row r="3">
          <cell r="B3" t="str">
            <v>KHI/HO/D/MR/IMPORTS/C/19903/06/2024</v>
          </cell>
          <cell r="C3" t="str">
            <v>070000160707</v>
          </cell>
        </row>
        <row r="4">
          <cell r="B4" t="str">
            <v>KHI/HO/D/MR/IMPORTS/C/19904/06/2024</v>
          </cell>
          <cell r="C4" t="str">
            <v>070000160708</v>
          </cell>
        </row>
        <row r="5">
          <cell r="B5" t="str">
            <v>KHI/HO/D/MR/IMPORTS/C/19829/06/2024</v>
          </cell>
          <cell r="C5" t="str">
            <v>070000160513</v>
          </cell>
        </row>
        <row r="6">
          <cell r="B6" t="str">
            <v>KHI/HO/D/MR/IMPORTS/C/19898/06/2024</v>
          </cell>
          <cell r="C6" t="str">
            <v>070000160701</v>
          </cell>
        </row>
        <row r="7">
          <cell r="B7" t="str">
            <v>KHI/HO/D/MR/IMPORTS/C/19793/06/2024</v>
          </cell>
          <cell r="C7" t="str">
            <v>070000160379</v>
          </cell>
        </row>
        <row r="8">
          <cell r="B8" t="str">
            <v>KHI/HO/D/MR/IMPORTS/C/19916/06/2024</v>
          </cell>
          <cell r="C8" t="str">
            <v>070000160725</v>
          </cell>
        </row>
        <row r="9">
          <cell r="B9" t="str">
            <v>KHI/HO/D/MR/IMPORTS/C/19821/06/2024</v>
          </cell>
          <cell r="C9" t="str">
            <v>070000160504</v>
          </cell>
        </row>
        <row r="10">
          <cell r="B10" t="str">
            <v>KHI/HO/D/MR/IMPORTS/C/19824/06/2024</v>
          </cell>
          <cell r="C10" t="str">
            <v>070000160507</v>
          </cell>
        </row>
        <row r="11">
          <cell r="B11" t="str">
            <v>KHI/HO/D/MR/IMPORTS/C/19827/06/2024</v>
          </cell>
          <cell r="C11" t="str">
            <v>070000160510</v>
          </cell>
        </row>
        <row r="12">
          <cell r="B12" t="str">
            <v>KHI/HO/D/MR/IMPORTS/C/19828/06/2024</v>
          </cell>
          <cell r="C12" t="str">
            <v>070000160512</v>
          </cell>
        </row>
        <row r="13">
          <cell r="B13" t="str">
            <v>KHI/HO/D/MR/IMPORTS/C/19826/06/2024</v>
          </cell>
          <cell r="C13" t="str">
            <v>070000160509</v>
          </cell>
        </row>
        <row r="14">
          <cell r="B14" t="str">
            <v>KHI/HO/D/MR/IMPORTS/C/19939/06/2024</v>
          </cell>
          <cell r="C14" t="str">
            <v>070000161515</v>
          </cell>
        </row>
        <row r="15">
          <cell r="B15" t="str">
            <v>KHI/HO/D/MR/IMPORTS/C/19888/06/2024</v>
          </cell>
          <cell r="C15" t="str">
            <v>070000160688</v>
          </cell>
        </row>
        <row r="16">
          <cell r="B16" t="str">
            <v>KHI/HO/D/MR/IMPORTS/C/19842/06/2024</v>
          </cell>
          <cell r="C16" t="str">
            <v>070000160582</v>
          </cell>
        </row>
        <row r="17">
          <cell r="B17" t="str">
            <v>KHI/HO/D/MR/IMPORTS/C/19907/06/2024</v>
          </cell>
          <cell r="C17" t="str">
            <v>070000160712</v>
          </cell>
        </row>
        <row r="18">
          <cell r="B18" t="str">
            <v>KHI/HO/D/MR/IMPORTS/C/19862/06/2024</v>
          </cell>
          <cell r="C18" t="str">
            <v>070000160654</v>
          </cell>
        </row>
        <row r="19">
          <cell r="B19" t="str">
            <v>KHI/HO/D/MR/IMPORTS/C/19864/06/2024</v>
          </cell>
          <cell r="C19" t="str">
            <v>070000160656</v>
          </cell>
        </row>
        <row r="20">
          <cell r="B20" t="str">
            <v>KHI/HO/D/MR/IMPORTS/C/19868/06/2024</v>
          </cell>
          <cell r="C20" t="str">
            <v>070000160660</v>
          </cell>
        </row>
        <row r="21">
          <cell r="B21" t="str">
            <v>KHI/HO/D/MR/IMPORTS/C/19795/06/2024</v>
          </cell>
          <cell r="C21" t="str">
            <v>070000160382</v>
          </cell>
        </row>
        <row r="22">
          <cell r="B22" t="str">
            <v>KHI/HO/D/MR/IMPORTS/C/19806/06/2024</v>
          </cell>
          <cell r="C22" t="str">
            <v>070000160455</v>
          </cell>
        </row>
        <row r="23">
          <cell r="B23" t="str">
            <v>KHI/HO/D/MR/IMPORTS/C/19808/06/2024</v>
          </cell>
          <cell r="C23" t="str">
            <v>070000160458</v>
          </cell>
        </row>
        <row r="24">
          <cell r="B24" t="str">
            <v>KHI/HO/D/MR/IMPORTS/C/19900/06/2024</v>
          </cell>
          <cell r="C24" t="str">
            <v>070000160704</v>
          </cell>
        </row>
        <row r="25">
          <cell r="B25" t="str">
            <v>KHI/HO/D/MR/IMPORTS/C/19807/06/2024</v>
          </cell>
          <cell r="C25" t="str">
            <v>070000160456</v>
          </cell>
        </row>
        <row r="26">
          <cell r="B26" t="str">
            <v>KHI/HO/D/MR/IMPORTS/C/19785/06/2024</v>
          </cell>
          <cell r="C26" t="str">
            <v>070000160365</v>
          </cell>
        </row>
        <row r="27">
          <cell r="B27" t="str">
            <v>KHI/HO/D/MR/IMPORTS/C/19865/06/2024</v>
          </cell>
          <cell r="C27" t="str">
            <v>070000160657</v>
          </cell>
        </row>
        <row r="28">
          <cell r="B28" t="str">
            <v>KHI/HO/D/MR/IMPORTS/C/19951/06/2024</v>
          </cell>
          <cell r="C28" t="str">
            <v>070000161529</v>
          </cell>
        </row>
        <row r="29">
          <cell r="B29" t="str">
            <v>KHI/HO/D/MR/IMPORTS/C/19787/06/2024</v>
          </cell>
          <cell r="C29" t="str">
            <v>070000160367</v>
          </cell>
        </row>
        <row r="30">
          <cell r="B30" t="str">
            <v>KHI/HO/D/MR/IMPORTS/C/19838/06/2024</v>
          </cell>
          <cell r="C30" t="str">
            <v>070000160578</v>
          </cell>
        </row>
        <row r="31">
          <cell r="B31" t="str">
            <v>KHI/HO/D/MR/IMPORTS/C/19892/06/2024</v>
          </cell>
          <cell r="C31" t="str">
            <v>070000160692</v>
          </cell>
        </row>
        <row r="32">
          <cell r="B32" t="str">
            <v>KHI/HO/D/MR/IMPORTS/C/19809/06/2024</v>
          </cell>
          <cell r="C32" t="str">
            <v>070000160461</v>
          </cell>
        </row>
        <row r="33">
          <cell r="B33" t="str">
            <v>KHI/HO/D/MR/IMPORTS/C/19882/06/2024</v>
          </cell>
          <cell r="C33" t="str">
            <v>070000160682</v>
          </cell>
        </row>
        <row r="34">
          <cell r="B34" t="str">
            <v>KHI/HO/D/MR/IMPORTS/C/19878/06/2024</v>
          </cell>
          <cell r="C34" t="str">
            <v>070000160671</v>
          </cell>
        </row>
        <row r="35">
          <cell r="B35" t="str">
            <v>KHI/HO/D/MR/IMPORTS/C/19856/06/2024</v>
          </cell>
          <cell r="C35" t="str">
            <v>070000160639</v>
          </cell>
        </row>
        <row r="36">
          <cell r="B36" t="str">
            <v>KHI/HO/D/MR/IMPORTS/C/19937/06/2024</v>
          </cell>
          <cell r="C36" t="str">
            <v>070000161508</v>
          </cell>
        </row>
        <row r="37">
          <cell r="B37" t="str">
            <v>KHI/HO/D/MR/IMPORTS/C/19947/06/2024</v>
          </cell>
          <cell r="C37" t="str">
            <v>070000161524</v>
          </cell>
        </row>
        <row r="38">
          <cell r="B38" t="str">
            <v>KHI/HO/D/MR/IMPORTS/C/19850/06/2024</v>
          </cell>
          <cell r="C38" t="str">
            <v>070000160592</v>
          </cell>
        </row>
        <row r="39">
          <cell r="B39" t="str">
            <v>KHI/HO/D/MR/IMPORTS/C/19851/06/2024</v>
          </cell>
          <cell r="C39" t="str">
            <v>070000160594</v>
          </cell>
        </row>
        <row r="40">
          <cell r="B40" t="str">
            <v>KHI/HO/D/MR/IMPORTS/C/19786/06/2024</v>
          </cell>
          <cell r="C40" t="str">
            <v>070000160366</v>
          </cell>
        </row>
        <row r="41">
          <cell r="B41" t="str">
            <v>KHI/HO/D/MR/IMPORTS/C/19955/06/2024</v>
          </cell>
          <cell r="C41" t="str">
            <v>070000161533</v>
          </cell>
        </row>
        <row r="42">
          <cell r="B42" t="str">
            <v>KHI/HO/D/MR/IMPORTS/C/19849/06/2024</v>
          </cell>
          <cell r="C42" t="str">
            <v>070000160591</v>
          </cell>
        </row>
        <row r="43">
          <cell r="B43" t="str">
            <v>KHI/HO/D/MR/IMPORTS/C/19890/06/2024</v>
          </cell>
          <cell r="C43" t="str">
            <v>070000160690</v>
          </cell>
        </row>
        <row r="44">
          <cell r="B44" t="str">
            <v>KHI/HO/D/MR/IMPORTS/C/19953/06/2024</v>
          </cell>
          <cell r="C44" t="str">
            <v>070000161531</v>
          </cell>
        </row>
        <row r="45">
          <cell r="B45" t="str">
            <v>KHI/HO/D/MR/IMPORTS/C/19846/06/2024</v>
          </cell>
          <cell r="C45" t="str">
            <v>070000160588</v>
          </cell>
        </row>
        <row r="46">
          <cell r="B46" t="str">
            <v>KHI/HO/D/MR/IMPORTS/C/19884/06/2024</v>
          </cell>
          <cell r="C46" t="str">
            <v>070000160684</v>
          </cell>
        </row>
        <row r="47">
          <cell r="B47" t="str">
            <v>KHI/HO/D/MR/IMPORTS/C/19957/06/2024</v>
          </cell>
          <cell r="C47" t="str">
            <v>070000161536</v>
          </cell>
        </row>
        <row r="48">
          <cell r="B48" t="str">
            <v>KHI/HO/D/MR/IMPORTS/C/19948/06/2024</v>
          </cell>
          <cell r="C48" t="str">
            <v>070000161525</v>
          </cell>
        </row>
        <row r="49">
          <cell r="B49" t="str">
            <v>KHI/HO/D/MR/IMPORTS/C/19894/06/2024</v>
          </cell>
          <cell r="C49" t="str">
            <v>070000160694</v>
          </cell>
        </row>
        <row r="50">
          <cell r="B50" t="str">
            <v>KHI/HO/D/MR/IMPORTS/C/19895/06/2024</v>
          </cell>
          <cell r="C50" t="str">
            <v>070000160695</v>
          </cell>
        </row>
        <row r="51">
          <cell r="B51" t="str">
            <v>KHI/HO/D/MR/IMPORTS/C/19818/06/2024</v>
          </cell>
          <cell r="C51" t="str">
            <v>070000160494</v>
          </cell>
        </row>
        <row r="52">
          <cell r="B52" t="str">
            <v>KHI/HO/D/MR/IMPORTS/C/19852/06/2024</v>
          </cell>
          <cell r="C52" t="str">
            <v>070000160596</v>
          </cell>
        </row>
        <row r="53">
          <cell r="B53" t="str">
            <v>KHI/HO/D/MR/IMPORTS/C/19813/06/2024</v>
          </cell>
          <cell r="C53" t="str">
            <v>070000160489</v>
          </cell>
        </row>
        <row r="54">
          <cell r="B54" t="str">
            <v>KHI/HO/D/MR/IMPORTS/C/19881/06/2024</v>
          </cell>
          <cell r="C54" t="str">
            <v>070000160681</v>
          </cell>
        </row>
        <row r="55">
          <cell r="B55" t="str">
            <v>KHI/HO/D/MR/IMPORTS/C/19943/06/2024</v>
          </cell>
          <cell r="C55" t="str">
            <v>070000161520</v>
          </cell>
        </row>
        <row r="56">
          <cell r="B56" t="str">
            <v>KHI/HO/D/MR/IMPORTS/C/19944/06/2024</v>
          </cell>
          <cell r="C56" t="str">
            <v>070000161521</v>
          </cell>
        </row>
        <row r="57">
          <cell r="B57" t="str">
            <v>KHI/HO/D/MR/IMPORTS/C/19905/06/2024</v>
          </cell>
          <cell r="C57" t="str">
            <v>070000160709</v>
          </cell>
        </row>
        <row r="58">
          <cell r="B58" t="str">
            <v>KHI/HO/D/MR/IMPORTS/C/19784/06/2024</v>
          </cell>
          <cell r="C58" t="str">
            <v>070000160364</v>
          </cell>
        </row>
        <row r="59">
          <cell r="B59" t="str">
            <v>KHI/HO/D/MR/IMPORTS/C/19817/06/2024</v>
          </cell>
          <cell r="C59" t="str">
            <v>070000160493</v>
          </cell>
        </row>
        <row r="60">
          <cell r="B60" t="str">
            <v>KHI/HO/D/MR/IMPORTS/C/19819/06/2024</v>
          </cell>
          <cell r="C60" t="str">
            <v>070000160495</v>
          </cell>
        </row>
        <row r="61">
          <cell r="B61" t="str">
            <v>KHI/HO/D/MR/IMPORTS/C/19959/06/2024</v>
          </cell>
          <cell r="C61" t="str">
            <v>070000161538</v>
          </cell>
        </row>
        <row r="62">
          <cell r="B62" t="str">
            <v>KHI/HO/D/MR/IMPORTS/C/19870/06/2024</v>
          </cell>
          <cell r="C62" t="str">
            <v>070000160662</v>
          </cell>
        </row>
        <row r="63">
          <cell r="B63" t="str">
            <v>KHI/HO/D/MR/IMPORTS/C/19815/06/2024</v>
          </cell>
          <cell r="C63" t="str">
            <v>070000160491</v>
          </cell>
        </row>
        <row r="64">
          <cell r="B64" t="str">
            <v>KHI/HO/D/MR/IMPORTS/C/19835/06/2024</v>
          </cell>
          <cell r="C64" t="str">
            <v>070000160569</v>
          </cell>
        </row>
        <row r="65">
          <cell r="B65" t="str">
            <v>KHI/HO/D/MR/IMPORTS/C/19820/06/2024</v>
          </cell>
          <cell r="C65" t="str">
            <v>070000160496</v>
          </cell>
        </row>
        <row r="66">
          <cell r="B66" t="str">
            <v>KHI/HO/D/MR/IMPORTS/C/19797/06/2024</v>
          </cell>
          <cell r="C66" t="str">
            <v>070000160385</v>
          </cell>
        </row>
        <row r="67">
          <cell r="B67" t="str">
            <v>KHI/HO/D/MR/IMPORTS/C/19866/06/2024</v>
          </cell>
          <cell r="C67" t="str">
            <v>070000160658</v>
          </cell>
        </row>
        <row r="68">
          <cell r="B68" t="str">
            <v>KHI/HO/D/MR/IMPORTS/C/19869/06/2024</v>
          </cell>
          <cell r="C68" t="str">
            <v>070000160661</v>
          </cell>
        </row>
        <row r="69">
          <cell r="B69" t="str">
            <v>KHI/HO/D/MR/IMPORTS/C/19872/06/2024</v>
          </cell>
          <cell r="C69" t="str">
            <v>070000160664</v>
          </cell>
        </row>
        <row r="70">
          <cell r="B70" t="str">
            <v>KHI/HO/D/MR/IMPORTS/C/19873/06/2024</v>
          </cell>
          <cell r="C70" t="str">
            <v>070000160665</v>
          </cell>
        </row>
        <row r="71">
          <cell r="B71" t="str">
            <v>KHI/HO/D/MR/IMPORTS/C/19874/06/2024</v>
          </cell>
          <cell r="C71" t="str">
            <v>070000160666</v>
          </cell>
        </row>
        <row r="72">
          <cell r="B72" t="str">
            <v>KHI/HO/D/MR/IMPORTS/C/19887/06/2024</v>
          </cell>
          <cell r="C72" t="str">
            <v>070000160687</v>
          </cell>
        </row>
        <row r="73">
          <cell r="B73" t="str">
            <v>KHI/HO/D/MR/IMPORTS/C/19867/06/2024</v>
          </cell>
          <cell r="C73" t="str">
            <v>070000160659</v>
          </cell>
        </row>
        <row r="74">
          <cell r="B74" t="str">
            <v>KHI/HO/D/MR/IMPORTS/C/19880/06/2024</v>
          </cell>
          <cell r="C74" t="str">
            <v>070000160680</v>
          </cell>
        </row>
        <row r="75">
          <cell r="B75" t="str">
            <v>KHI/HO/D/MR/IMPORTS/C/19938/06/2024</v>
          </cell>
          <cell r="C75" t="str">
            <v>070000161509</v>
          </cell>
        </row>
        <row r="76">
          <cell r="B76" t="str">
            <v>KHI/HO/D/MR/IMPORTS/C/19946/06/2024</v>
          </cell>
          <cell r="C76" t="str">
            <v>070000161523</v>
          </cell>
        </row>
        <row r="77">
          <cell r="B77" t="str">
            <v>KHI/HO/D/MR/IMPORTS/C/19816/06/2024</v>
          </cell>
          <cell r="C77" t="str">
            <v>070000160492</v>
          </cell>
        </row>
        <row r="78">
          <cell r="B78" t="str">
            <v>KHI/HO/D/MR/IMPORTS/C/19841/06/2024</v>
          </cell>
          <cell r="C78" t="str">
            <v>070000160581</v>
          </cell>
        </row>
        <row r="79">
          <cell r="B79" t="str">
            <v>KHI/HO/D/MR/IMPORTS/C/19871/06/2024</v>
          </cell>
          <cell r="C79" t="str">
            <v>070000160663</v>
          </cell>
        </row>
        <row r="80">
          <cell r="B80" t="str">
            <v>KHI/HO/D/MR/IMPORTS/C/19875/06/2024</v>
          </cell>
          <cell r="C80" t="str">
            <v>070000160667</v>
          </cell>
        </row>
        <row r="81">
          <cell r="B81" t="str">
            <v>KHI/HO/D/MR/IMPORTS/C/19783/06/2024</v>
          </cell>
          <cell r="C81" t="str">
            <v>070000160363</v>
          </cell>
        </row>
        <row r="82">
          <cell r="B82" t="str">
            <v>KHI/HO/D/MR/IMPORTS/C/19831/06/2024</v>
          </cell>
          <cell r="C82" t="str">
            <v>070000160562</v>
          </cell>
        </row>
        <row r="83">
          <cell r="B83" t="str">
            <v>KHI/HO/D/MR/IMPORTS/C/19836/06/2024</v>
          </cell>
          <cell r="C83" t="str">
            <v>070000160571</v>
          </cell>
        </row>
        <row r="84">
          <cell r="B84" t="str">
            <v>KHI/HO/D/MR/IMPORTS/C/19911/06/2024</v>
          </cell>
          <cell r="C84" t="str">
            <v>070000160717</v>
          </cell>
        </row>
        <row r="85">
          <cell r="B85" t="str">
            <v>KHI/HO/D/MR/IMPORTS/C/19908/06/2024</v>
          </cell>
          <cell r="C85" t="str">
            <v>070000160714</v>
          </cell>
        </row>
        <row r="86">
          <cell r="B86" t="str">
            <v>KHI/HO/D/MR/IMPORTS/C/19839/06/2024</v>
          </cell>
          <cell r="C86" t="str">
            <v>070000160579</v>
          </cell>
        </row>
        <row r="87">
          <cell r="B87" t="str">
            <v>KHI/HO/D/MR/IMPORTS/C/19802/06/2024</v>
          </cell>
          <cell r="C87" t="str">
            <v>070000160407</v>
          </cell>
        </row>
        <row r="88">
          <cell r="B88" t="str">
            <v>KHI/HO/D/MR/IMPORTS/C/19789/06/2024</v>
          </cell>
          <cell r="C88" t="str">
            <v>070000160370</v>
          </cell>
        </row>
        <row r="89">
          <cell r="B89" t="str">
            <v>KHI/HO/D/MR/IMPORTS/C/19822/06/2024</v>
          </cell>
          <cell r="C89" t="str">
            <v>070000160505</v>
          </cell>
        </row>
        <row r="90">
          <cell r="B90" t="str">
            <v>KHI/HO/D/MR/IMPORTS/C/19893/06/2024</v>
          </cell>
          <cell r="C90" t="str">
            <v>070000160693</v>
          </cell>
        </row>
        <row r="91">
          <cell r="B91" t="str">
            <v>KHI/HO/D/MR/IMPORTS/C/19902/06/2024</v>
          </cell>
          <cell r="C91" t="str">
            <v>070000160706</v>
          </cell>
        </row>
        <row r="92">
          <cell r="B92" t="str">
            <v>KHI/HO/D/MR/IMPORTS/C/19879/06/2024</v>
          </cell>
          <cell r="C92" t="str">
            <v>070000160679</v>
          </cell>
        </row>
        <row r="93">
          <cell r="B93" t="str">
            <v>KHI/HO/D/MR/IMPORTS/C/19891/06/2024</v>
          </cell>
          <cell r="C93" t="str">
            <v>070000160691</v>
          </cell>
        </row>
        <row r="94">
          <cell r="B94" t="str">
            <v>KHI/HO/D/MR/IMPORTS/C/19945/06/2024</v>
          </cell>
          <cell r="C94" t="str">
            <v>070000161522</v>
          </cell>
        </row>
        <row r="95">
          <cell r="B95" t="str">
            <v>KHI/HO/D/MR/IMPORTS/C/19788/06/2024</v>
          </cell>
          <cell r="C95" t="str">
            <v>070000160368</v>
          </cell>
        </row>
        <row r="96">
          <cell r="B96" t="str">
            <v>KHI/HO/D/MR/IMPORTS/C/19909/06/2024</v>
          </cell>
          <cell r="C96" t="str">
            <v>070000160715</v>
          </cell>
        </row>
        <row r="97">
          <cell r="B97" t="str">
            <v>KHI/HO/D/MR/IMPORTS/C/19844/06/2024</v>
          </cell>
          <cell r="C97" t="str">
            <v>070000160585</v>
          </cell>
        </row>
        <row r="98">
          <cell r="B98" t="str">
            <v>KHI/HO/D/MR/IMPORTS/C/19670/05/2024</v>
          </cell>
          <cell r="C98" t="str">
            <v>070000158641</v>
          </cell>
        </row>
        <row r="99">
          <cell r="B99" t="str">
            <v>KHI/HO/D/MR/IMPORTS/C/19803/06/2024</v>
          </cell>
          <cell r="C99" t="str">
            <v>070000160409</v>
          </cell>
        </row>
        <row r="100">
          <cell r="B100" t="str">
            <v>KHI/HO/D/MR/IMPORTS/C/19804/06/2024</v>
          </cell>
          <cell r="C100" t="str">
            <v>070000160410</v>
          </cell>
        </row>
        <row r="101">
          <cell r="B101" t="str">
            <v>KHI/HO/D/MR/IMPORTS/C/19876/06/2024</v>
          </cell>
          <cell r="C101" t="str">
            <v>070000160668</v>
          </cell>
        </row>
        <row r="102">
          <cell r="B102" t="str">
            <v>KHI/HO/D/MR/IMPORTS/C/19791/06/2024</v>
          </cell>
          <cell r="C102" t="str">
            <v>070000160372</v>
          </cell>
        </row>
        <row r="103">
          <cell r="B103" t="str">
            <v>KHI/HO/D/MR/IMPORTS/C/19840/06/2024</v>
          </cell>
          <cell r="C103" t="str">
            <v>070000160580</v>
          </cell>
        </row>
        <row r="104">
          <cell r="B104" t="str">
            <v>KHI/HO/D/MR/IMPORTS/C/19847/06/2024</v>
          </cell>
          <cell r="C104" t="str">
            <v>070000160589</v>
          </cell>
        </row>
        <row r="105">
          <cell r="B105" t="str">
            <v>KHI/HO/D/MR/IMPORTS/C/19823/06/2024</v>
          </cell>
          <cell r="C105" t="str">
            <v>070000160506</v>
          </cell>
        </row>
        <row r="106">
          <cell r="B106" t="str">
            <v>KHI/HO/D/MR/IMPORTS/C/19825/06/2024</v>
          </cell>
          <cell r="C106" t="str">
            <v>070000160508</v>
          </cell>
        </row>
        <row r="107">
          <cell r="B107" t="str">
            <v>KHI/HO/D/MR/IMPORTS/C/19830/06/2024</v>
          </cell>
          <cell r="C107" t="str">
            <v>070000160561</v>
          </cell>
        </row>
        <row r="108">
          <cell r="B108" t="str">
            <v>KHI/HO/D/MR/IMPORTS/C/19832/06/2024</v>
          </cell>
          <cell r="C108" t="str">
            <v>070000160566</v>
          </cell>
        </row>
        <row r="109">
          <cell r="B109" t="str">
            <v>KHI/HO/D/MR/IMPORTS/C/19833/06/2024</v>
          </cell>
          <cell r="C109" t="str">
            <v>070000160567</v>
          </cell>
        </row>
        <row r="110">
          <cell r="B110" t="str">
            <v>KHI/HO/D/MR/IMPORTS/C/19834/06/2024</v>
          </cell>
          <cell r="C110" t="str">
            <v>070000160568</v>
          </cell>
        </row>
        <row r="111">
          <cell r="B111" t="str">
            <v>KHI/HO/D/MR/IMPORTS/C/19863/06/2024</v>
          </cell>
          <cell r="C111" t="str">
            <v>070000160655</v>
          </cell>
        </row>
        <row r="112">
          <cell r="B112" t="str">
            <v>KHI/HO/D/MR/IMPORTS/C/19942/06/2024</v>
          </cell>
          <cell r="C112" t="str">
            <v>070000161519</v>
          </cell>
        </row>
        <row r="113">
          <cell r="B113" t="str">
            <v>KHI/HO/D/MR/IMPORTS/C/19796/06/2024</v>
          </cell>
          <cell r="C113" t="str">
            <v>070000160383</v>
          </cell>
        </row>
        <row r="114">
          <cell r="B114" t="str">
            <v>KHI/HO/D/MR/IMPORTS/C/19906/06/2024</v>
          </cell>
          <cell r="C114" t="str">
            <v>070000160711</v>
          </cell>
        </row>
        <row r="115">
          <cell r="B115" t="str">
            <v>KHI/HO/D/MR/IMPORTS/C/19910/06/2024</v>
          </cell>
          <cell r="C115" t="str">
            <v>070000160716</v>
          </cell>
        </row>
        <row r="116">
          <cell r="B116" t="str">
            <v>KHI/HO/D/MR/IMPORTS/C/19853/06/2024</v>
          </cell>
          <cell r="C116" t="str">
            <v>070000160597</v>
          </cell>
        </row>
        <row r="117">
          <cell r="B117" t="str">
            <v>KHI/HO/D/MR/IMPORTS/C/19854/06/2024</v>
          </cell>
          <cell r="C117" t="str">
            <v>070000160599</v>
          </cell>
        </row>
        <row r="118">
          <cell r="B118" t="str">
            <v>KHI/HO/D/MR/IMPORTS/C/19941/06/2024</v>
          </cell>
          <cell r="C118" t="str">
            <v>070000161518</v>
          </cell>
        </row>
        <row r="119">
          <cell r="B119" t="str">
            <v>KHI/HO/D/MR/IMPORTS/C/19877/06/2024</v>
          </cell>
          <cell r="C119" t="str">
            <v>070000160670</v>
          </cell>
        </row>
        <row r="120">
          <cell r="B120" t="str">
            <v>KHI/HO/D/MR/IMPORTS/C/19799/06/2024</v>
          </cell>
          <cell r="C120" t="str">
            <v>070000160404</v>
          </cell>
        </row>
        <row r="121">
          <cell r="B121" t="str">
            <v>KHI/HO/D/MR/IMPORTS/C/19800/06/2024</v>
          </cell>
          <cell r="C121" t="str">
            <v>070000160405</v>
          </cell>
        </row>
        <row r="122">
          <cell r="B122" t="str">
            <v>KHI/HO/D/MR/IMPORTS/C/19801/06/2024</v>
          </cell>
          <cell r="C122" t="str">
            <v>070000160406</v>
          </cell>
        </row>
        <row r="123">
          <cell r="B123" t="str">
            <v>KHI/HO/D/MR/IMPORTS/C/19914/06/2024</v>
          </cell>
          <cell r="C123" t="str">
            <v>070000160722</v>
          </cell>
        </row>
        <row r="124">
          <cell r="B124" t="str">
            <v>KHI/HO/D/MR/IMPORTS/C/19805/06/2024</v>
          </cell>
          <cell r="C124" t="str">
            <v>070000160454</v>
          </cell>
        </row>
        <row r="125">
          <cell r="B125" t="str">
            <v>KHI/HO/D/MR/IMPORTS/C/19812/06/2024</v>
          </cell>
          <cell r="C125" t="str">
            <v>070000160488</v>
          </cell>
        </row>
        <row r="126">
          <cell r="B126" t="str">
            <v>KHI/HO/D/MR/IMPORTS/C/19901/06/2024</v>
          </cell>
          <cell r="C126" t="str">
            <v>070000160705</v>
          </cell>
        </row>
        <row r="127">
          <cell r="B127" t="str">
            <v>KHI/HO/D/MR/IMPORTS/C/19790/06/2024</v>
          </cell>
          <cell r="C127" t="str">
            <v>070000160371</v>
          </cell>
        </row>
        <row r="128">
          <cell r="B128" t="str">
            <v>KHI/HO/D/MR/IMPORTS/C/19794/06/2024</v>
          </cell>
          <cell r="C128" t="str">
            <v>070000160380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KHI/AR/AR/D/MO/MC COMP/C/19466/03/2024</v>
          </cell>
          <cell r="C2" t="str">
            <v>020000042287</v>
          </cell>
        </row>
        <row r="3">
          <cell r="B3" t="str">
            <v>KHI/AR/AR/D/MO/MC TTT/C/19426/03/2024</v>
          </cell>
          <cell r="C3" t="str">
            <v>020000042234</v>
          </cell>
        </row>
        <row r="4">
          <cell r="B4" t="str">
            <v>KHI/AR/AR/D/MO/MC TTT/C/19461/03/2024</v>
          </cell>
          <cell r="C4" t="str">
            <v>020000042282</v>
          </cell>
        </row>
        <row r="5">
          <cell r="B5" t="str">
            <v>KHI/AR/AR/D/MO/MC TTT/C/19462/03/2024</v>
          </cell>
          <cell r="C5" t="str">
            <v>020000042283</v>
          </cell>
        </row>
        <row r="6">
          <cell r="B6" t="str">
            <v>KHI/AR/AR/D/MO/MC TTT/C/19467/03/2024</v>
          </cell>
          <cell r="C6" t="str">
            <v>020000042288</v>
          </cell>
        </row>
        <row r="7">
          <cell r="B7" t="str">
            <v>KHI/AR/AR/D/MO/MC TTT/C/19469/03/2024</v>
          </cell>
          <cell r="C7" t="str">
            <v>020000042291</v>
          </cell>
        </row>
        <row r="8">
          <cell r="B8" t="str">
            <v>KHI/AR/AR/D/MO/MC TTT/C/19490/03/2024</v>
          </cell>
          <cell r="C8" t="str">
            <v>020000042313</v>
          </cell>
        </row>
        <row r="9">
          <cell r="B9" t="str">
            <v>KHI/HO/D/MO/CV/C/19492/03/2024</v>
          </cell>
          <cell r="C9" t="str">
            <v>020000042315</v>
          </cell>
        </row>
        <row r="10">
          <cell r="B10" t="str">
            <v>KHI/HO/D/MO/MC COMP/C/19419/03/2024</v>
          </cell>
          <cell r="C10" t="str">
            <v>020000042227</v>
          </cell>
        </row>
        <row r="11">
          <cell r="B11" t="str">
            <v>KHI/HO/D/MO/MC COMP/C/19439/03/2024</v>
          </cell>
          <cell r="C11" t="str">
            <v>020000042253</v>
          </cell>
        </row>
        <row r="12">
          <cell r="B12" t="str">
            <v>KHI/HO/D/MO/MC COMP/C/19459/03/2024</v>
          </cell>
          <cell r="C12" t="str">
            <v>020000042280</v>
          </cell>
        </row>
        <row r="13">
          <cell r="B13" t="str">
            <v>KHI/HO/D/MO/MC COMP/C/19506/03/2024</v>
          </cell>
          <cell r="C13" t="str">
            <v>020000042334</v>
          </cell>
        </row>
        <row r="14">
          <cell r="B14" t="str">
            <v>KHI/HO/D/MO/MC TTT/C/19409/03/2024</v>
          </cell>
          <cell r="C14" t="str">
            <v>020000042214</v>
          </cell>
        </row>
        <row r="15">
          <cell r="B15" t="str">
            <v>KHI/HO/D/MO/MC TTT/C/19427/03/2024</v>
          </cell>
          <cell r="C15" t="str">
            <v>020000042235</v>
          </cell>
        </row>
        <row r="16">
          <cell r="B16" t="str">
            <v>KHI/HO/D/MO/PC COMP/C/19408/03/2024</v>
          </cell>
          <cell r="C16" t="str">
            <v>020000042213</v>
          </cell>
        </row>
        <row r="17">
          <cell r="B17" t="str">
            <v>KHI/HO/D/MO/PC COMP/C/19416/03/2024</v>
          </cell>
          <cell r="C17" t="str">
            <v>020000042223</v>
          </cell>
        </row>
        <row r="18">
          <cell r="B18" t="str">
            <v>KHI/HO/D/MO/PC COMP/C/19418/03/2024</v>
          </cell>
          <cell r="C18" t="str">
            <v>020000042225</v>
          </cell>
        </row>
        <row r="19">
          <cell r="B19" t="str">
            <v>KHI/HO/D/MO/PC COMP/C/19420/03/2024</v>
          </cell>
          <cell r="C19" t="str">
            <v>020000042228</v>
          </cell>
        </row>
        <row r="20">
          <cell r="B20" t="str">
            <v>KHI/HO/D/MO/PC COMP/C/19422/03/2024</v>
          </cell>
          <cell r="C20" t="str">
            <v>020000042230</v>
          </cell>
        </row>
        <row r="21">
          <cell r="B21" t="str">
            <v>KHI/HO/D/MO/PC COMP/C/19425/03/2024</v>
          </cell>
          <cell r="C21" t="str">
            <v>020000042233</v>
          </cell>
        </row>
        <row r="22">
          <cell r="B22" t="str">
            <v>KHI/HO/D/MO/PC COMP/C/19434/03/2024</v>
          </cell>
          <cell r="C22" t="str">
            <v>020000042247</v>
          </cell>
        </row>
        <row r="23">
          <cell r="B23" t="str">
            <v>KHI/HO/D/MO/PC COMP/C/19436/03/2024</v>
          </cell>
          <cell r="C23" t="str">
            <v>020000042249</v>
          </cell>
        </row>
        <row r="24">
          <cell r="B24" t="str">
            <v>KHI/HO/D/MO/PC COMP/C/19442/03/2024</v>
          </cell>
          <cell r="C24" t="str">
            <v>020000042257</v>
          </cell>
        </row>
        <row r="25">
          <cell r="B25" t="str">
            <v>KHI/HO/D/MO/PC COMP/C/19443/03/2024</v>
          </cell>
          <cell r="C25" t="str">
            <v>020000042258</v>
          </cell>
        </row>
        <row r="26">
          <cell r="B26" t="str">
            <v>KHI/HO/D/MO/PC COMP/C/19445/03/2024</v>
          </cell>
          <cell r="C26" t="str">
            <v>020000042260</v>
          </cell>
        </row>
        <row r="27">
          <cell r="B27" t="str">
            <v>KHI/HO/D/MO/PC COMP/C/19447/03/2024</v>
          </cell>
          <cell r="C27" t="str">
            <v>020000042264</v>
          </cell>
        </row>
        <row r="28">
          <cell r="B28" t="str">
            <v>KHI/HO/D/MO/PC COMP/C/19450/03/2024</v>
          </cell>
          <cell r="C28" t="str">
            <v>020000042268</v>
          </cell>
        </row>
        <row r="29">
          <cell r="B29" t="str">
            <v>KHI/HO/D/MO/PC COMP/C/19451/03/2024</v>
          </cell>
          <cell r="C29" t="str">
            <v>020000042269</v>
          </cell>
        </row>
        <row r="30">
          <cell r="B30" t="str">
            <v>KHI/HO/D/MO/PC COMP/C/19465/03/2024</v>
          </cell>
          <cell r="C30" t="str">
            <v>020000042286</v>
          </cell>
        </row>
        <row r="31">
          <cell r="B31" t="str">
            <v>KHI/HO/D/MO/PC COMP/C/19493/03/2024</v>
          </cell>
          <cell r="C31" t="str">
            <v>020000042316</v>
          </cell>
        </row>
        <row r="32">
          <cell r="B32" t="str">
            <v>KHI/HO/D/MO/PC COMP/C/19494/03/2024</v>
          </cell>
          <cell r="C32" t="str">
            <v>020000042317</v>
          </cell>
        </row>
        <row r="33">
          <cell r="B33" t="str">
            <v>KHI/HO/D/MO/PC COMP/C/19498/03/2024</v>
          </cell>
          <cell r="C33" t="str">
            <v>020000042321</v>
          </cell>
        </row>
        <row r="34">
          <cell r="B34" t="str">
            <v>KHI/HO/D/MO/PC COMP/C/19504/03/2024</v>
          </cell>
          <cell r="C34" t="str">
            <v>020000042331</v>
          </cell>
        </row>
        <row r="35">
          <cell r="B35" t="str">
            <v>KHI/HO/D/MO/PC COMP/C/19507/03/2024</v>
          </cell>
          <cell r="C35" t="str">
            <v>020000042335</v>
          </cell>
        </row>
        <row r="36">
          <cell r="B36" t="str">
            <v>KHI/HO/D/MO/PC TPP/C/19412/03/2024</v>
          </cell>
          <cell r="C36" t="str">
            <v>020000042218</v>
          </cell>
        </row>
        <row r="37">
          <cell r="B37" t="str">
            <v>KHI/HO/D/MO/PC TPP/C/19415/03/2024</v>
          </cell>
          <cell r="C37" t="str">
            <v>020000042222</v>
          </cell>
        </row>
        <row r="38">
          <cell r="B38" t="str">
            <v>KHI/HO/D/MO/PC TPP/C/19424/03/2024</v>
          </cell>
          <cell r="C38" t="str">
            <v>020000042232</v>
          </cell>
        </row>
        <row r="39">
          <cell r="B39" t="str">
            <v>KHI/HO/D/MO/PC TPP/C/19432/03/2024</v>
          </cell>
          <cell r="C39" t="str">
            <v>020000042242</v>
          </cell>
        </row>
        <row r="40">
          <cell r="B40" t="str">
            <v>KHI/HO/D/MO/PC TPP/C/19454/03/2024</v>
          </cell>
          <cell r="C40" t="str">
            <v>020000042274</v>
          </cell>
        </row>
        <row r="41">
          <cell r="B41" t="str">
            <v>KHI/HO/D/MO/PC TPP/C/19456/03/2024</v>
          </cell>
          <cell r="C41" t="str">
            <v>020000042277</v>
          </cell>
        </row>
        <row r="42">
          <cell r="B42" t="str">
            <v>KHI/HO/D/MO/PC TPP/C/19463/03/2024</v>
          </cell>
          <cell r="C42" t="str">
            <v>020000042284</v>
          </cell>
        </row>
        <row r="43">
          <cell r="B43" t="str">
            <v>KHI/HO/D/MO/PC TPP/C/19468/03/2024</v>
          </cell>
          <cell r="C43" t="str">
            <v>020000042290</v>
          </cell>
        </row>
        <row r="44">
          <cell r="B44" t="str">
            <v>KHI/HO/D/MO/PC TPP/C/19471/03/2024</v>
          </cell>
          <cell r="C44" t="str">
            <v>020000042293</v>
          </cell>
        </row>
        <row r="45">
          <cell r="B45" t="str">
            <v>KHI/HO/D/MO/PC TPP/C/19489/03/2024</v>
          </cell>
          <cell r="C45" t="str">
            <v>020000042312</v>
          </cell>
        </row>
        <row r="46">
          <cell r="B46" t="str">
            <v>KHI/HO/D/MO/PC TPP/C/19503/03/2024</v>
          </cell>
          <cell r="C46" t="str">
            <v>020000042330</v>
          </cell>
        </row>
        <row r="47">
          <cell r="B47" t="str">
            <v>KHI/HO/D/MO/PD COMP/C/19407/03/2024</v>
          </cell>
          <cell r="C47" t="str">
            <v>020000042211</v>
          </cell>
        </row>
        <row r="48">
          <cell r="B48" t="str">
            <v>KHI/HO/D/MO/PD COMP/C/19413/03/2024</v>
          </cell>
          <cell r="C48" t="str">
            <v>020000042220</v>
          </cell>
        </row>
        <row r="49">
          <cell r="B49" t="str">
            <v>KHI/HO/D/MO/PD COMP/C/19428/03/2024</v>
          </cell>
          <cell r="C49" t="str">
            <v>020000042236</v>
          </cell>
        </row>
        <row r="50">
          <cell r="B50" t="str">
            <v>KHI/HO/D/MO/PD COMP/C/19470/03/2024</v>
          </cell>
          <cell r="C50" t="str">
            <v>020000042292</v>
          </cell>
        </row>
        <row r="51">
          <cell r="B51" t="str">
            <v>KHI/HO/D/MO/PD COMP/C/19496/03/2024</v>
          </cell>
          <cell r="C51" t="str">
            <v>020000042319</v>
          </cell>
        </row>
        <row r="52">
          <cell r="B52" t="str">
            <v>KHI/HO/D/MO/PD COMP/C/19497/03/2024</v>
          </cell>
          <cell r="C52" t="str">
            <v>020000042320</v>
          </cell>
        </row>
        <row r="53">
          <cell r="B53" t="str">
            <v>KHI/HO/D/MR/IMPORTS/C/19407/03/2024</v>
          </cell>
          <cell r="C53" t="str">
            <v>070000155184</v>
          </cell>
        </row>
        <row r="54">
          <cell r="B54" t="str">
            <v>KHI/HO/D/MR/IMPORTS/C/19408/03/2024</v>
          </cell>
          <cell r="C54" t="str">
            <v>070000155185</v>
          </cell>
        </row>
        <row r="55">
          <cell r="B55" t="str">
            <v>KHI/HO/D/MR/IMPORTS/C/19409/03/2024</v>
          </cell>
          <cell r="C55" t="str">
            <v>070000155186</v>
          </cell>
        </row>
        <row r="56">
          <cell r="B56" t="str">
            <v>KHI/HO/D/MR/IMPORTS/C/19410/03/2024</v>
          </cell>
          <cell r="C56" t="str">
            <v>070000155187</v>
          </cell>
        </row>
        <row r="57">
          <cell r="B57" t="str">
            <v>KHI/HO/D/MR/IMPORTS/C/19411/03/2024</v>
          </cell>
          <cell r="C57" t="str">
            <v>070000155188</v>
          </cell>
        </row>
        <row r="58">
          <cell r="B58" t="str">
            <v>KHI/HO/D/MR/IMPORTS/C/19412/03/2024</v>
          </cell>
          <cell r="C58" t="str">
            <v>070000155189</v>
          </cell>
        </row>
        <row r="59">
          <cell r="B59" t="str">
            <v>KHI/HO/D/MR/IMPORTS/C/19413/03/2024</v>
          </cell>
          <cell r="C59" t="str">
            <v>070000155190</v>
          </cell>
        </row>
        <row r="60">
          <cell r="B60" t="str">
            <v>KHI/HO/D/MR/IMPORTS/C/19414/03/2024</v>
          </cell>
          <cell r="C60" t="str">
            <v>070000155206</v>
          </cell>
        </row>
        <row r="61">
          <cell r="B61" t="str">
            <v>KHI/HO/D/MR/IMPORTS/C/19415/03/2024</v>
          </cell>
          <cell r="C61" t="str">
            <v>070000155207</v>
          </cell>
        </row>
        <row r="62">
          <cell r="B62" t="str">
            <v>KHI/HO/D/MR/IMPORTS/C/19416/03/2024</v>
          </cell>
          <cell r="C62" t="str">
            <v>070000155214</v>
          </cell>
        </row>
        <row r="63">
          <cell r="B63" t="str">
            <v>KHI/HO/D/MR/IMPORTS/C/19417/03/2024</v>
          </cell>
          <cell r="C63" t="str">
            <v>070000155215</v>
          </cell>
        </row>
        <row r="64">
          <cell r="B64" t="str">
            <v>KHI/HO/D/MR/IMPORTS/C/19418/03/2024</v>
          </cell>
          <cell r="C64" t="str">
            <v>070000155216</v>
          </cell>
        </row>
        <row r="65">
          <cell r="B65" t="str">
            <v>KHI/HO/D/MR/IMPORTS/C/19419/03/2024</v>
          </cell>
          <cell r="C65" t="str">
            <v>070000155226</v>
          </cell>
        </row>
        <row r="66">
          <cell r="B66" t="str">
            <v>KHI/HO/D/MR/IMPORTS/C/19420/03/2024</v>
          </cell>
          <cell r="C66" t="str">
            <v>070000155227</v>
          </cell>
        </row>
        <row r="67">
          <cell r="B67" t="str">
            <v>KHI/HO/D/MR/IMPORTS/C/19422/03/2024</v>
          </cell>
          <cell r="C67" t="str">
            <v>070000155486</v>
          </cell>
        </row>
        <row r="68">
          <cell r="B68" t="str">
            <v>KHI/HO/D/MR/IMPORTS/C/19423/03/2024</v>
          </cell>
          <cell r="C68" t="str">
            <v>070000155487</v>
          </cell>
        </row>
        <row r="69">
          <cell r="B69" t="str">
            <v>KHI/HO/D/MR/IMPORTS/C/19424/03/2024</v>
          </cell>
          <cell r="C69" t="str">
            <v>070000155489</v>
          </cell>
        </row>
        <row r="70">
          <cell r="B70" t="str">
            <v>KHI/HO/D/MR/IMPORTS/C/19425/03/2024</v>
          </cell>
          <cell r="C70" t="str">
            <v>070000155493</v>
          </cell>
        </row>
        <row r="71">
          <cell r="B71" t="str">
            <v>KHI/HO/D/MR/IMPORTS/C/19426/03/2024</v>
          </cell>
          <cell r="C71" t="str">
            <v>070000155494</v>
          </cell>
        </row>
        <row r="72">
          <cell r="B72" t="str">
            <v>KHI/HO/D/MR/IMPORTS/C/19427/03/2024</v>
          </cell>
          <cell r="C72" t="str">
            <v>070000155495</v>
          </cell>
        </row>
        <row r="73">
          <cell r="B73" t="str">
            <v>KHI/HO/D/MR/IMPORTS/C/19428/03/2024</v>
          </cell>
          <cell r="C73" t="str">
            <v>070000155496</v>
          </cell>
        </row>
        <row r="74">
          <cell r="B74" t="str">
            <v>KHI/HO/D/MR/IMPORTS/C/19429/03/2024</v>
          </cell>
          <cell r="C74" t="str">
            <v>070000155498</v>
          </cell>
        </row>
        <row r="75">
          <cell r="B75" t="str">
            <v>KHI/HO/D/MR/IMPORTS/C/19430/03/2024</v>
          </cell>
          <cell r="C75" t="str">
            <v>070000155499</v>
          </cell>
        </row>
        <row r="76">
          <cell r="B76" t="str">
            <v>KHI/HO/D/MR/IMPORTS/C/19431/03/2024</v>
          </cell>
          <cell r="C76" t="str">
            <v>070000155509</v>
          </cell>
        </row>
        <row r="77">
          <cell r="B77" t="str">
            <v>KHI/HO/D/MR/IMPORTS/C/19432/03/2024</v>
          </cell>
          <cell r="C77" t="str">
            <v>070000155510</v>
          </cell>
        </row>
        <row r="78">
          <cell r="B78" t="str">
            <v>KHI/HO/D/MR/IMPORTS/C/19434/03/2024</v>
          </cell>
          <cell r="C78" t="str">
            <v>070000155512</v>
          </cell>
        </row>
        <row r="79">
          <cell r="B79" t="str">
            <v>KHI/HO/D/MR/IMPORTS/C/19436/03/2024</v>
          </cell>
          <cell r="C79" t="str">
            <v>070000155527</v>
          </cell>
        </row>
        <row r="80">
          <cell r="B80" t="str">
            <v>KHI/HO/D/MR/IMPORTS/C/19438/03/2024</v>
          </cell>
          <cell r="C80" t="str">
            <v>070000155529</v>
          </cell>
        </row>
        <row r="81">
          <cell r="B81" t="str">
            <v>KHI/HO/D/MR/IMPORTS/C/19439/03/2024</v>
          </cell>
          <cell r="C81" t="str">
            <v>070000155629</v>
          </cell>
        </row>
        <row r="82">
          <cell r="B82" t="str">
            <v>KHI/HO/D/MR/IMPORTS/C/19440/03/2024</v>
          </cell>
          <cell r="C82" t="str">
            <v>070000155630</v>
          </cell>
        </row>
        <row r="83">
          <cell r="B83" t="str">
            <v>KHI/HO/D/MR/IMPORTS/C/19441/03/2024</v>
          </cell>
          <cell r="C83" t="str">
            <v>070000155631</v>
          </cell>
        </row>
        <row r="84">
          <cell r="B84" t="str">
            <v>KHI/HO/D/MR/IMPORTS/C/19442/03/2024</v>
          </cell>
          <cell r="C84" t="str">
            <v>070000155632</v>
          </cell>
        </row>
        <row r="85">
          <cell r="B85" t="str">
            <v>KHI/HO/D/MR/IMPORTS/C/19443/03/2024</v>
          </cell>
          <cell r="C85" t="str">
            <v>070000155633</v>
          </cell>
        </row>
        <row r="86">
          <cell r="B86" t="str">
            <v>KHI/HO/D/MR/IMPORTS/C/19444/03/2024</v>
          </cell>
          <cell r="C86" t="str">
            <v>070000155634</v>
          </cell>
        </row>
        <row r="87">
          <cell r="B87" t="str">
            <v>KHI/HO/D/MR/IMPORTS/C/19445/03/2024</v>
          </cell>
          <cell r="C87" t="str">
            <v>070000155636</v>
          </cell>
        </row>
        <row r="88">
          <cell r="B88" t="str">
            <v>KHI/HO/D/MR/IMPORTS/C/19447/03/2024</v>
          </cell>
          <cell r="C88" t="str">
            <v>070000155650</v>
          </cell>
        </row>
        <row r="89">
          <cell r="B89" t="str">
            <v>KHI/HO/D/MR/IMPORTS/C/19449/03/2024</v>
          </cell>
          <cell r="C89" t="str">
            <v>070000155753</v>
          </cell>
        </row>
        <row r="90">
          <cell r="B90" t="str">
            <v>KHI/HO/D/MR/IMPORTS/C/19450/03/2024</v>
          </cell>
          <cell r="C90" t="str">
            <v>070000155754</v>
          </cell>
        </row>
        <row r="91">
          <cell r="B91" t="str">
            <v>KHI/HO/D/MR/IMPORTS/C/19451/03/2024</v>
          </cell>
          <cell r="C91" t="str">
            <v>070000155763</v>
          </cell>
        </row>
        <row r="92">
          <cell r="B92" t="str">
            <v>KHI/HO/D/MR/IMPORTS/C/19452/03/2024</v>
          </cell>
          <cell r="C92" t="str">
            <v>070000155764</v>
          </cell>
        </row>
        <row r="93">
          <cell r="B93" t="str">
            <v>KHI/HO/D/MR/IMPORTS/C/19453/03/2024</v>
          </cell>
          <cell r="C93" t="str">
            <v>070000155765</v>
          </cell>
        </row>
        <row r="94">
          <cell r="B94" t="str">
            <v>KHI/HO/D/MR/IMPORTS/C/19454/03/2024</v>
          </cell>
          <cell r="C94" t="str">
            <v>070000155766</v>
          </cell>
        </row>
        <row r="95">
          <cell r="B95" t="str">
            <v>KHI/HO/D/MR/IMPORTS/C/19455/03/2024</v>
          </cell>
          <cell r="C95" t="str">
            <v>070000155774</v>
          </cell>
        </row>
        <row r="96">
          <cell r="B96" t="str">
            <v>KHI/HO/D/MR/IMPORTS/C/19456/03/2024</v>
          </cell>
          <cell r="C96" t="str">
            <v>070000155793</v>
          </cell>
        </row>
        <row r="97">
          <cell r="B97" t="str">
            <v>KHI/HO/D/MR/IMPORTS/C/19457/03/2024</v>
          </cell>
          <cell r="C97" t="str">
            <v>070000155796</v>
          </cell>
        </row>
        <row r="98">
          <cell r="B98" t="str">
            <v>KHI/HO/D/MR/IMPORTS/C/19459/03/2024</v>
          </cell>
          <cell r="C98" t="str">
            <v>070000155815</v>
          </cell>
        </row>
        <row r="99">
          <cell r="B99" t="str">
            <v>KHI/HO/D/MR/IMPORTS/C/19460/03/2024</v>
          </cell>
          <cell r="C99" t="str">
            <v>070000155819</v>
          </cell>
        </row>
        <row r="100">
          <cell r="B100" t="str">
            <v>KHI/HO/D/MR/IMPORTS/C/19461/03/2024</v>
          </cell>
          <cell r="C100" t="str">
            <v>070000155826</v>
          </cell>
        </row>
        <row r="101">
          <cell r="B101" t="str">
            <v>KHI/HO/D/MR/IMPORTS/C/19462/03/2024</v>
          </cell>
          <cell r="C101" t="str">
            <v>070000155838</v>
          </cell>
        </row>
        <row r="102">
          <cell r="B102" t="str">
            <v>KHI/HO/D/MR/IMPORTS/C/19463/03/2024</v>
          </cell>
          <cell r="C102" t="str">
            <v>070000155839</v>
          </cell>
        </row>
        <row r="103">
          <cell r="B103" t="str">
            <v>KHI/HO/D/MR/IMPORTS/C/19464/03/2024</v>
          </cell>
          <cell r="C103" t="str">
            <v>070000155841</v>
          </cell>
        </row>
        <row r="104">
          <cell r="B104" t="str">
            <v>KHI/HO/D/MR/IMPORTS/C/19465/03/2024</v>
          </cell>
          <cell r="C104" t="str">
            <v>070000156179</v>
          </cell>
        </row>
        <row r="105">
          <cell r="B105" t="str">
            <v>KHI/HO/D/MR/IMPORTS/C/19466/03/2024</v>
          </cell>
          <cell r="C105" t="str">
            <v>070000156180</v>
          </cell>
        </row>
        <row r="106">
          <cell r="B106" t="str">
            <v>KHI/HO/D/MR/IMPORTS/C/19467/03/2024</v>
          </cell>
          <cell r="C106" t="str">
            <v>070000156181</v>
          </cell>
        </row>
        <row r="107">
          <cell r="B107" t="str">
            <v>KHI/HO/D/MR/IMPORTS/C/19468/03/2024</v>
          </cell>
          <cell r="C107" t="str">
            <v>070000156182</v>
          </cell>
        </row>
        <row r="108">
          <cell r="B108" t="str">
            <v>KHI/HO/D/MR/IMPORTS/C/19469/03/2024</v>
          </cell>
          <cell r="C108" t="str">
            <v>070000156183</v>
          </cell>
        </row>
        <row r="109">
          <cell r="B109" t="str">
            <v>KHI/HO/D/MR/IMPORTS/C/19470/03/2024</v>
          </cell>
          <cell r="C109" t="str">
            <v>070000156184</v>
          </cell>
        </row>
        <row r="110">
          <cell r="B110" t="str">
            <v>KHI/HO/D/MR/IMPORTS/C/19471/03/2024</v>
          </cell>
          <cell r="C110" t="str">
            <v>070000156185</v>
          </cell>
        </row>
        <row r="111">
          <cell r="B111" t="str">
            <v>KHI/HO/D/MR/IMPORTS/C/19489/03/2024</v>
          </cell>
          <cell r="C111" t="str">
            <v>070000156575</v>
          </cell>
        </row>
        <row r="112">
          <cell r="B112" t="str">
            <v>KHI/HO/D/MR/IMPORTS/C/19490/03/2024</v>
          </cell>
          <cell r="C112" t="str">
            <v>070000156577</v>
          </cell>
        </row>
        <row r="113">
          <cell r="B113" t="str">
            <v>KHI/HO/D/MR/IMPORTS/C/19492/03/2024</v>
          </cell>
          <cell r="C113" t="str">
            <v>070000156579</v>
          </cell>
        </row>
        <row r="114">
          <cell r="B114" t="str">
            <v>KHI/HO/D/MR/IMPORTS/C/19493/03/2024</v>
          </cell>
          <cell r="C114" t="str">
            <v>070000156580</v>
          </cell>
        </row>
        <row r="115">
          <cell r="B115" t="str">
            <v>KHI/HO/D/MR/IMPORTS/C/19494/03/2024</v>
          </cell>
          <cell r="C115" t="str">
            <v>070000156581</v>
          </cell>
        </row>
        <row r="116">
          <cell r="B116" t="str">
            <v>KHI/HO/D/MR/IMPORTS/C/19495/03/2024</v>
          </cell>
          <cell r="C116" t="str">
            <v>070000156582</v>
          </cell>
        </row>
        <row r="117">
          <cell r="B117" t="str">
            <v>KHI/HO/D/MR/IMPORTS/C/19496/03/2024</v>
          </cell>
          <cell r="C117" t="str">
            <v>070000156584</v>
          </cell>
        </row>
        <row r="118">
          <cell r="B118" t="str">
            <v>KHI/HO/D/MR/IMPORTS/C/19497/03/2024</v>
          </cell>
          <cell r="C118" t="str">
            <v>070000156585</v>
          </cell>
        </row>
        <row r="119">
          <cell r="B119" t="str">
            <v>KHI/HO/D/MR/IMPORTS/C/19498/03/2024</v>
          </cell>
          <cell r="C119" t="str">
            <v>070000156631</v>
          </cell>
        </row>
        <row r="120">
          <cell r="B120" t="str">
            <v>KHI/HO/D/MR/IMPORTS/C/19499/03/2024</v>
          </cell>
          <cell r="C120" t="str">
            <v>070000156633</v>
          </cell>
        </row>
        <row r="121">
          <cell r="B121" t="str">
            <v>KHI/HO/D/MR/IMPORTS/C/19500/03/2024</v>
          </cell>
          <cell r="C121" t="str">
            <v>070000156634</v>
          </cell>
        </row>
        <row r="122">
          <cell r="B122" t="str">
            <v>KHI/HO/D/MR/IMPORTS/C/19501/03/2024</v>
          </cell>
          <cell r="C122" t="str">
            <v>070000156635</v>
          </cell>
        </row>
        <row r="123">
          <cell r="B123" t="str">
            <v>KHI/HO/D/MR/IMPORTS/C/19502/03/2024</v>
          </cell>
          <cell r="C123" t="str">
            <v>070000156636</v>
          </cell>
        </row>
        <row r="124">
          <cell r="B124" t="str">
            <v>KHI/HO/D/MR/IMPORTS/C/19503/03/2024</v>
          </cell>
          <cell r="C124" t="str">
            <v>070000156637</v>
          </cell>
        </row>
        <row r="125">
          <cell r="B125" t="str">
            <v>KHI/HO/D/MR/IMPORTS/C/19504/03/2024</v>
          </cell>
          <cell r="C125" t="str">
            <v>070000156639</v>
          </cell>
        </row>
        <row r="126">
          <cell r="B126" t="str">
            <v>KHI/HO/D/MR/IMPORTS/C/19505/03/2024</v>
          </cell>
          <cell r="C126" t="str">
            <v>070000156641</v>
          </cell>
        </row>
        <row r="127">
          <cell r="B127" t="str">
            <v>KHI/HO/D/MR/IMPORTS/C/19506/03/2024</v>
          </cell>
          <cell r="C127" t="str">
            <v>070000156642</v>
          </cell>
        </row>
        <row r="128">
          <cell r="B128" t="str">
            <v>KHI/HO/D/MR/IMPORTS/C/19507/03/2024</v>
          </cell>
          <cell r="C128" t="str">
            <v>070000156643</v>
          </cell>
        </row>
        <row r="129">
          <cell r="B129" t="str">
            <v>KHI/HO/D/MR/IMPORTS/C/19508/03/2024</v>
          </cell>
          <cell r="C129" t="str">
            <v>070000156644</v>
          </cell>
        </row>
        <row r="130">
          <cell r="B130" t="str">
            <v>LHR/LHR/D/MO/MC COMP/C/19460/03/2024</v>
          </cell>
          <cell r="C130" t="str">
            <v>020000042281</v>
          </cell>
        </row>
        <row r="131">
          <cell r="B131" t="str">
            <v>LHR/LHR/D/MO/PC COMP/C/19410/03/2024</v>
          </cell>
          <cell r="C131" t="str">
            <v>020000042215</v>
          </cell>
        </row>
        <row r="132">
          <cell r="B132" t="str">
            <v>LHR/LHR/D/MO/PC COMP/C/19414/03/2024</v>
          </cell>
          <cell r="C132" t="str">
            <v>020000042221</v>
          </cell>
        </row>
        <row r="133">
          <cell r="B133" t="str">
            <v>LHR/LHR/D/MO/PC COMP/C/19423/03/2024</v>
          </cell>
          <cell r="C133" t="str">
            <v>020000042231</v>
          </cell>
        </row>
        <row r="134">
          <cell r="B134" t="str">
            <v>LHR/LHR/D/MO/PC COMP/C/19430/03/2024</v>
          </cell>
          <cell r="C134" t="str">
            <v>020000042240</v>
          </cell>
        </row>
        <row r="135">
          <cell r="B135" t="str">
            <v>LHR/LHR/D/MO/PC COMP/C/19438/03/2024</v>
          </cell>
          <cell r="C135" t="str">
            <v>020000042252</v>
          </cell>
        </row>
        <row r="136">
          <cell r="B136" t="str">
            <v>LHR/LHR/D/MO/PC COMP/C/19440/03/2024</v>
          </cell>
          <cell r="C136" t="str">
            <v>020000042254</v>
          </cell>
        </row>
        <row r="137">
          <cell r="B137" t="str">
            <v>LHR/LHR/D/MO/PC COMP/C/19441/03/2024</v>
          </cell>
          <cell r="C137" t="str">
            <v>020000042255</v>
          </cell>
        </row>
        <row r="138">
          <cell r="B138" t="str">
            <v>LHR/LHR/D/MO/PC COMP/C/19444/03/2024</v>
          </cell>
          <cell r="C138" t="str">
            <v>020000042259</v>
          </cell>
        </row>
        <row r="139">
          <cell r="B139" t="str">
            <v>LHR/LHR/D/MO/PC COMP/C/19452/03/2024</v>
          </cell>
          <cell r="C139" t="str">
            <v>020000042270</v>
          </cell>
        </row>
        <row r="140">
          <cell r="B140" t="str">
            <v>LHR/LHR/D/MO/PC COMP/C/19453/03/2024</v>
          </cell>
          <cell r="C140" t="str">
            <v>020000042273</v>
          </cell>
        </row>
        <row r="141">
          <cell r="B141" t="str">
            <v>LHR/LHR/D/MO/PC COMP/C/19464/03/2024</v>
          </cell>
          <cell r="C141" t="str">
            <v>020000042285</v>
          </cell>
        </row>
        <row r="142">
          <cell r="B142" t="str">
            <v>LHR/LHR/D/MO/PC COMP/C/19495/03/2024</v>
          </cell>
          <cell r="C142" t="str">
            <v>020000042318</v>
          </cell>
        </row>
        <row r="143">
          <cell r="B143" t="str">
            <v>LHR/LHR/D/MO/PC COMP/C/19499/03/2024</v>
          </cell>
          <cell r="C143" t="str">
            <v>020000042322</v>
          </cell>
        </row>
        <row r="144">
          <cell r="B144" t="str">
            <v>LHR/LHR/D/MO/PC COMP/C/19500/03/2024</v>
          </cell>
          <cell r="C144" t="str">
            <v>020000042323</v>
          </cell>
        </row>
        <row r="145">
          <cell r="B145" t="str">
            <v>LHR/LHR/D/MO/PC COMP/C/19508/03/2024</v>
          </cell>
          <cell r="C145" t="str">
            <v>020000042337</v>
          </cell>
        </row>
        <row r="146">
          <cell r="B146" t="str">
            <v>LHR/LHR/D/MO/PC TPP/C/19411/03/2024</v>
          </cell>
          <cell r="C146" t="str">
            <v>020000042216</v>
          </cell>
        </row>
        <row r="147">
          <cell r="B147" t="str">
            <v>LHR/LHR/D/MO/PC TPP/C/19417/03/2024</v>
          </cell>
          <cell r="C147" t="str">
            <v>020000042224</v>
          </cell>
        </row>
        <row r="148">
          <cell r="B148" t="str">
            <v>LHR/LHR/D/MO/PC TPP/C/19429/03/2024</v>
          </cell>
          <cell r="C148" t="str">
            <v>020000042239</v>
          </cell>
        </row>
        <row r="149">
          <cell r="B149" t="str">
            <v>LHR/LHR/D/MO/PC TPP/C/19431/03/2024</v>
          </cell>
          <cell r="C149" t="str">
            <v>020000042241</v>
          </cell>
        </row>
        <row r="150">
          <cell r="B150" t="str">
            <v>LHR/LHR/D/MO/PC TPP/C/19449/03/2024</v>
          </cell>
          <cell r="C150" t="str">
            <v>020000042266</v>
          </cell>
        </row>
        <row r="151">
          <cell r="B151" t="str">
            <v>LHR/LHR/D/MO/PC TPP/C/19455/03/2024</v>
          </cell>
          <cell r="C151" t="str">
            <v>020000042275</v>
          </cell>
        </row>
        <row r="152">
          <cell r="B152" t="str">
            <v>LHR/LHR/D/MO/PC TPP/C/19457/03/2024</v>
          </cell>
          <cell r="C152" t="str">
            <v>020000042278</v>
          </cell>
        </row>
        <row r="153">
          <cell r="B153" t="str">
            <v>LHR/LHR/D/MO/PC TPP/C/19501/03/2024</v>
          </cell>
          <cell r="C153" t="str">
            <v>020000042326</v>
          </cell>
        </row>
        <row r="154">
          <cell r="B154" t="str">
            <v>LHR/LHR/D/MO/PC TPP/C/19502/03/2024</v>
          </cell>
          <cell r="C154" t="str">
            <v>020000042329</v>
          </cell>
        </row>
        <row r="155">
          <cell r="B155" t="str">
            <v>LHR/LHR/D/MO/PC TPP/C/19505/03/2024</v>
          </cell>
          <cell r="C155" t="str">
            <v>020000042333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opLeftCell="A84" zoomScaleNormal="100" zoomScaleSheetLayoutView="85" workbookViewId="0">
      <selection activeCell="E96" sqref="E96"/>
    </sheetView>
  </sheetViews>
  <sheetFormatPr defaultColWidth="9.140625" defaultRowHeight="15.75" x14ac:dyDescent="0.25"/>
  <cols>
    <col min="1" max="1" width="11.85546875" style="1" bestFit="1" customWidth="1"/>
    <col min="2" max="2" width="13.28515625" style="1" customWidth="1"/>
    <col min="3" max="3" width="13.5703125" style="1" customWidth="1"/>
    <col min="4" max="4" width="17" style="1" bestFit="1" customWidth="1"/>
    <col min="5" max="5" width="15.28515625" style="1" customWidth="1"/>
    <col min="6" max="6" width="40.85546875" style="1" bestFit="1" customWidth="1"/>
    <col min="7" max="7" width="12.140625" style="1" customWidth="1"/>
    <col min="8" max="8" width="13.28515625" style="1" customWidth="1"/>
    <col min="9" max="16384" width="9.140625" style="1"/>
  </cols>
  <sheetData>
    <row r="1" spans="1:8" x14ac:dyDescent="0.25">
      <c r="A1" s="32"/>
      <c r="B1" s="32"/>
    </row>
    <row r="2" spans="1:8" x14ac:dyDescent="0.25">
      <c r="A2" s="33">
        <f ca="1">TODAY()</f>
        <v>45525</v>
      </c>
      <c r="B2" s="33"/>
    </row>
    <row r="3" spans="1:8" ht="3" customHeight="1" x14ac:dyDescent="0.25">
      <c r="A3" s="2"/>
      <c r="B3" s="2"/>
    </row>
    <row r="4" spans="1:8" s="4" customFormat="1" x14ac:dyDescent="0.25">
      <c r="A4" s="3" t="s">
        <v>0</v>
      </c>
      <c r="B4" s="3"/>
      <c r="C4" s="3"/>
      <c r="D4" s="3"/>
      <c r="E4" s="3"/>
    </row>
    <row r="5" spans="1:8" s="4" customFormat="1" ht="3" customHeight="1" x14ac:dyDescent="0.25">
      <c r="A5" s="3"/>
      <c r="B5" s="3"/>
      <c r="C5" s="3"/>
      <c r="D5" s="3"/>
      <c r="E5" s="3"/>
    </row>
    <row r="6" spans="1:8" ht="13.5" customHeight="1" x14ac:dyDescent="0.25">
      <c r="A6" s="5" t="str">
        <f>"List of Bills for" &amp; " " &amp;TEXT(C9,"MMM-YY")</f>
        <v>List of Bills for Apr-24</v>
      </c>
      <c r="B6" s="6"/>
      <c r="C6" s="7"/>
      <c r="D6" s="7"/>
      <c r="E6" s="7"/>
    </row>
    <row r="7" spans="1:8" ht="3" customHeight="1" thickBot="1" x14ac:dyDescent="0.3">
      <c r="A7" s="7"/>
      <c r="B7" s="7"/>
      <c r="C7" s="7"/>
      <c r="D7" s="7"/>
      <c r="E7" s="7"/>
    </row>
    <row r="8" spans="1:8" ht="32.25" customHeight="1" thickBot="1" x14ac:dyDescent="0.3">
      <c r="A8" s="8" t="s">
        <v>1</v>
      </c>
      <c r="B8" s="9" t="s">
        <v>2</v>
      </c>
      <c r="C8" s="8" t="s">
        <v>3</v>
      </c>
      <c r="D8" s="10" t="s">
        <v>4</v>
      </c>
      <c r="E8" s="8" t="s">
        <v>5</v>
      </c>
      <c r="F8" s="9" t="s">
        <v>2</v>
      </c>
    </row>
    <row r="9" spans="1:8" x14ac:dyDescent="0.25">
      <c r="A9" s="11">
        <v>1</v>
      </c>
      <c r="B9" s="30">
        <v>19515</v>
      </c>
      <c r="C9" s="12">
        <v>45386</v>
      </c>
      <c r="D9" s="13" t="s">
        <v>6</v>
      </c>
      <c r="E9" s="14">
        <v>1194</v>
      </c>
      <c r="F9" s="1" t="s">
        <v>430</v>
      </c>
    </row>
    <row r="10" spans="1:8" s="17" customFormat="1" ht="18.75" customHeight="1" x14ac:dyDescent="0.25">
      <c r="A10" s="15">
        <v>2</v>
      </c>
      <c r="B10" s="16">
        <v>19520</v>
      </c>
      <c r="C10" s="12">
        <v>45390</v>
      </c>
      <c r="D10" s="13" t="s">
        <v>7</v>
      </c>
      <c r="E10" s="14">
        <v>856</v>
      </c>
      <c r="F10" s="1" t="s">
        <v>433</v>
      </c>
      <c r="G10" s="18"/>
      <c r="H10" s="18"/>
    </row>
    <row r="11" spans="1:8" s="17" customFormat="1" ht="18.75" customHeight="1" x14ac:dyDescent="0.25">
      <c r="A11" s="15">
        <v>3</v>
      </c>
      <c r="B11" s="16">
        <v>19521</v>
      </c>
      <c r="C11" s="12">
        <v>45390</v>
      </c>
      <c r="D11" s="13" t="s">
        <v>8</v>
      </c>
      <c r="E11" s="14">
        <v>1823</v>
      </c>
      <c r="F11" s="1" t="s">
        <v>434</v>
      </c>
      <c r="G11" s="18"/>
      <c r="H11" s="18"/>
    </row>
    <row r="12" spans="1:8" s="17" customFormat="1" ht="18.75" customHeight="1" x14ac:dyDescent="0.25">
      <c r="A12" s="11">
        <v>4</v>
      </c>
      <c r="B12" s="16">
        <v>19522</v>
      </c>
      <c r="C12" s="12">
        <v>45390</v>
      </c>
      <c r="D12" s="13" t="s">
        <v>9</v>
      </c>
      <c r="E12" s="14">
        <v>12959</v>
      </c>
      <c r="F12" s="1" t="s">
        <v>435</v>
      </c>
      <c r="G12" s="18"/>
      <c r="H12" s="18"/>
    </row>
    <row r="13" spans="1:8" s="17" customFormat="1" ht="18.75" customHeight="1" x14ac:dyDescent="0.25">
      <c r="A13" s="11">
        <v>5</v>
      </c>
      <c r="B13" s="16">
        <v>19523</v>
      </c>
      <c r="C13" s="12">
        <v>45390</v>
      </c>
      <c r="D13" s="13" t="s">
        <v>10</v>
      </c>
      <c r="E13" s="14">
        <v>216</v>
      </c>
      <c r="F13" s="1" t="s">
        <v>436</v>
      </c>
      <c r="G13" s="18"/>
      <c r="H13" s="18"/>
    </row>
    <row r="14" spans="1:8" s="17" customFormat="1" ht="18.75" customHeight="1" x14ac:dyDescent="0.25">
      <c r="A14" s="15">
        <v>6</v>
      </c>
      <c r="B14" s="16">
        <v>19524</v>
      </c>
      <c r="C14" s="12">
        <v>45390</v>
      </c>
      <c r="D14" s="13" t="s">
        <v>11</v>
      </c>
      <c r="E14" s="14">
        <v>316</v>
      </c>
      <c r="F14" s="1" t="s">
        <v>437</v>
      </c>
      <c r="G14" s="18"/>
      <c r="H14" s="18"/>
    </row>
    <row r="15" spans="1:8" s="17" customFormat="1" ht="18.75" customHeight="1" x14ac:dyDescent="0.25">
      <c r="A15" s="15">
        <v>7</v>
      </c>
      <c r="B15" s="16">
        <v>19525</v>
      </c>
      <c r="C15" s="12">
        <v>45390</v>
      </c>
      <c r="D15" s="13" t="s">
        <v>12</v>
      </c>
      <c r="E15" s="14">
        <v>1919</v>
      </c>
      <c r="F15" s="1" t="s">
        <v>438</v>
      </c>
      <c r="G15" s="18"/>
      <c r="H15" s="18"/>
    </row>
    <row r="16" spans="1:8" s="17" customFormat="1" ht="18.75" customHeight="1" x14ac:dyDescent="0.25">
      <c r="A16" s="11">
        <v>8</v>
      </c>
      <c r="B16" s="16">
        <v>19526</v>
      </c>
      <c r="C16" s="12">
        <v>45390</v>
      </c>
      <c r="D16" s="13" t="s">
        <v>13</v>
      </c>
      <c r="E16" s="14">
        <v>1945</v>
      </c>
      <c r="F16" s="1" t="s">
        <v>439</v>
      </c>
      <c r="G16" s="18"/>
      <c r="H16" s="18"/>
    </row>
    <row r="17" spans="1:8" s="17" customFormat="1" ht="18.75" customHeight="1" x14ac:dyDescent="0.25">
      <c r="A17" s="11">
        <v>9</v>
      </c>
      <c r="B17" s="16">
        <v>19527</v>
      </c>
      <c r="C17" s="12">
        <v>45390</v>
      </c>
      <c r="D17" s="13" t="s">
        <v>14</v>
      </c>
      <c r="E17" s="14">
        <v>319</v>
      </c>
      <c r="F17" s="1" t="s">
        <v>440</v>
      </c>
      <c r="G17" s="18"/>
      <c r="H17" s="18"/>
    </row>
    <row r="18" spans="1:8" s="17" customFormat="1" ht="18.75" customHeight="1" x14ac:dyDescent="0.25">
      <c r="A18" s="15">
        <v>10</v>
      </c>
      <c r="B18" s="16">
        <v>19528</v>
      </c>
      <c r="C18" s="12">
        <v>45390</v>
      </c>
      <c r="D18" s="13" t="s">
        <v>15</v>
      </c>
      <c r="E18" s="14">
        <v>253</v>
      </c>
      <c r="F18" s="1" t="s">
        <v>441</v>
      </c>
      <c r="G18" s="18"/>
      <c r="H18" s="18"/>
    </row>
    <row r="19" spans="1:8" s="17" customFormat="1" ht="18.75" customHeight="1" x14ac:dyDescent="0.25">
      <c r="A19" s="15">
        <v>11</v>
      </c>
      <c r="B19" s="16">
        <v>19529</v>
      </c>
      <c r="C19" s="12">
        <v>45390</v>
      </c>
      <c r="D19" s="13" t="s">
        <v>16</v>
      </c>
      <c r="E19" s="14">
        <v>475</v>
      </c>
      <c r="F19" s="1" t="s">
        <v>442</v>
      </c>
      <c r="G19" s="18"/>
      <c r="H19" s="19"/>
    </row>
    <row r="20" spans="1:8" s="17" customFormat="1" ht="18.75" customHeight="1" x14ac:dyDescent="0.25">
      <c r="A20" s="11">
        <v>12</v>
      </c>
      <c r="B20" s="16">
        <v>19530</v>
      </c>
      <c r="C20" s="12">
        <v>45390</v>
      </c>
      <c r="D20" s="13" t="s">
        <v>17</v>
      </c>
      <c r="E20" s="14">
        <v>5989</v>
      </c>
      <c r="F20" s="1" t="s">
        <v>443</v>
      </c>
      <c r="G20" s="18"/>
      <c r="H20" s="19"/>
    </row>
    <row r="21" spans="1:8" s="17" customFormat="1" ht="18.75" customHeight="1" x14ac:dyDescent="0.25">
      <c r="A21" s="11">
        <v>13</v>
      </c>
      <c r="B21" s="16">
        <v>19531</v>
      </c>
      <c r="C21" s="12">
        <v>45390</v>
      </c>
      <c r="D21" s="13" t="s">
        <v>18</v>
      </c>
      <c r="E21" s="14">
        <v>6069</v>
      </c>
      <c r="F21" s="1" t="s">
        <v>444</v>
      </c>
      <c r="G21" s="18"/>
      <c r="H21" s="19"/>
    </row>
    <row r="22" spans="1:8" s="17" customFormat="1" ht="18.75" customHeight="1" x14ac:dyDescent="0.25">
      <c r="A22" s="15">
        <v>14</v>
      </c>
      <c r="B22" s="16">
        <v>19533</v>
      </c>
      <c r="C22" s="12">
        <v>45391</v>
      </c>
      <c r="D22" s="13" t="s">
        <v>19</v>
      </c>
      <c r="E22" s="14">
        <v>199</v>
      </c>
      <c r="F22" s="1" t="s">
        <v>445</v>
      </c>
      <c r="G22" s="18"/>
      <c r="H22" s="19"/>
    </row>
    <row r="23" spans="1:8" s="17" customFormat="1" ht="18.75" customHeight="1" x14ac:dyDescent="0.25">
      <c r="A23" s="15">
        <v>15</v>
      </c>
      <c r="B23" s="16">
        <v>19534</v>
      </c>
      <c r="C23" s="12">
        <v>45391</v>
      </c>
      <c r="D23" s="13" t="s">
        <v>20</v>
      </c>
      <c r="E23" s="14">
        <v>1945</v>
      </c>
      <c r="F23" s="1" t="s">
        <v>446</v>
      </c>
      <c r="G23" s="18"/>
      <c r="H23" s="19"/>
    </row>
    <row r="24" spans="1:8" s="17" customFormat="1" ht="18.75" customHeight="1" x14ac:dyDescent="0.25">
      <c r="A24" s="11">
        <v>16</v>
      </c>
      <c r="B24" s="16">
        <v>19535</v>
      </c>
      <c r="C24" s="12">
        <v>45391</v>
      </c>
      <c r="D24" s="13" t="s">
        <v>21</v>
      </c>
      <c r="E24" s="14">
        <v>3874</v>
      </c>
      <c r="F24" s="1" t="s">
        <v>447</v>
      </c>
      <c r="G24" s="18"/>
      <c r="H24" s="19"/>
    </row>
    <row r="25" spans="1:8" s="17" customFormat="1" ht="18.75" customHeight="1" x14ac:dyDescent="0.25">
      <c r="A25" s="11">
        <v>17</v>
      </c>
      <c r="B25" s="16">
        <v>19536</v>
      </c>
      <c r="C25" s="12">
        <v>45391</v>
      </c>
      <c r="D25" s="13" t="s">
        <v>22</v>
      </c>
      <c r="E25" s="14">
        <v>909</v>
      </c>
      <c r="F25" s="1" t="s">
        <v>448</v>
      </c>
      <c r="G25" s="18"/>
      <c r="H25" s="19"/>
    </row>
    <row r="26" spans="1:8" s="17" customFormat="1" ht="18.75" customHeight="1" x14ac:dyDescent="0.25">
      <c r="A26" s="15">
        <v>18</v>
      </c>
      <c r="B26" s="16">
        <v>19537</v>
      </c>
      <c r="C26" s="12">
        <v>45391</v>
      </c>
      <c r="D26" s="13" t="s">
        <v>23</v>
      </c>
      <c r="E26" s="14">
        <v>635</v>
      </c>
      <c r="F26" s="1" t="s">
        <v>449</v>
      </c>
      <c r="G26" s="18"/>
      <c r="H26" s="19"/>
    </row>
    <row r="27" spans="1:8" s="17" customFormat="1" ht="18.75" customHeight="1" x14ac:dyDescent="0.25">
      <c r="A27" s="15">
        <v>19</v>
      </c>
      <c r="B27" s="16">
        <v>19538</v>
      </c>
      <c r="C27" s="12">
        <v>45391</v>
      </c>
      <c r="D27" s="13" t="s">
        <v>24</v>
      </c>
      <c r="E27" s="14">
        <v>1764</v>
      </c>
      <c r="F27" s="1" t="s">
        <v>450</v>
      </c>
      <c r="G27" s="18"/>
      <c r="H27" s="19"/>
    </row>
    <row r="28" spans="1:8" s="17" customFormat="1" ht="18.75" customHeight="1" x14ac:dyDescent="0.25">
      <c r="A28" s="11">
        <v>20</v>
      </c>
      <c r="B28" s="16">
        <v>19539</v>
      </c>
      <c r="C28" s="12">
        <v>45391</v>
      </c>
      <c r="D28" s="13" t="s">
        <v>25</v>
      </c>
      <c r="E28" s="14">
        <v>457</v>
      </c>
      <c r="F28" s="1" t="s">
        <v>451</v>
      </c>
      <c r="G28" s="18"/>
      <c r="H28" s="19"/>
    </row>
    <row r="29" spans="1:8" s="17" customFormat="1" ht="18.75" customHeight="1" x14ac:dyDescent="0.25">
      <c r="A29" s="11">
        <v>21</v>
      </c>
      <c r="B29" s="16">
        <v>19540</v>
      </c>
      <c r="C29" s="12">
        <v>45391</v>
      </c>
      <c r="D29" s="13" t="s">
        <v>26</v>
      </c>
      <c r="E29" s="14">
        <v>743</v>
      </c>
      <c r="F29" s="1" t="s">
        <v>452</v>
      </c>
      <c r="G29" s="18"/>
      <c r="H29" s="19"/>
    </row>
    <row r="30" spans="1:8" s="17" customFormat="1" ht="18.75" customHeight="1" x14ac:dyDescent="0.25">
      <c r="A30" s="15">
        <v>22</v>
      </c>
      <c r="B30" s="16">
        <v>19541</v>
      </c>
      <c r="C30" s="12">
        <v>45391</v>
      </c>
      <c r="D30" s="13" t="s">
        <v>27</v>
      </c>
      <c r="E30" s="14">
        <v>1358</v>
      </c>
      <c r="F30" s="1" t="s">
        <v>453</v>
      </c>
      <c r="G30" s="18"/>
      <c r="H30" s="19"/>
    </row>
    <row r="31" spans="1:8" s="17" customFormat="1" ht="18.75" customHeight="1" x14ac:dyDescent="0.25">
      <c r="A31" s="15">
        <v>23</v>
      </c>
      <c r="B31" s="16">
        <v>19542</v>
      </c>
      <c r="C31" s="12">
        <v>45397</v>
      </c>
      <c r="D31" s="13" t="s">
        <v>28</v>
      </c>
      <c r="E31" s="14">
        <v>7148</v>
      </c>
      <c r="F31" s="1" t="s">
        <v>454</v>
      </c>
      <c r="G31" s="18"/>
      <c r="H31" s="19"/>
    </row>
    <row r="32" spans="1:8" s="17" customFormat="1" ht="18.75" customHeight="1" x14ac:dyDescent="0.25">
      <c r="A32" s="11">
        <v>24</v>
      </c>
      <c r="B32" s="16">
        <v>19543</v>
      </c>
      <c r="C32" s="12">
        <v>45397</v>
      </c>
      <c r="D32" s="13" t="s">
        <v>29</v>
      </c>
      <c r="E32" s="14">
        <v>1255</v>
      </c>
      <c r="F32" s="1" t="s">
        <v>455</v>
      </c>
      <c r="G32" s="18"/>
      <c r="H32" s="19"/>
    </row>
    <row r="33" spans="1:8" s="17" customFormat="1" ht="18.75" customHeight="1" x14ac:dyDescent="0.25">
      <c r="A33" s="11">
        <v>25</v>
      </c>
      <c r="B33" s="16">
        <v>19544</v>
      </c>
      <c r="C33" s="12">
        <v>45397</v>
      </c>
      <c r="D33" s="13" t="s">
        <v>30</v>
      </c>
      <c r="E33" s="14">
        <v>1119</v>
      </c>
      <c r="F33" s="1" t="s">
        <v>456</v>
      </c>
      <c r="G33" s="18"/>
      <c r="H33" s="19"/>
    </row>
    <row r="34" spans="1:8" s="17" customFormat="1" ht="18.75" customHeight="1" x14ac:dyDescent="0.25">
      <c r="A34" s="15">
        <v>26</v>
      </c>
      <c r="B34" s="16">
        <v>19554</v>
      </c>
      <c r="C34" s="12">
        <v>45399</v>
      </c>
      <c r="D34" s="13" t="s">
        <v>31</v>
      </c>
      <c r="E34" s="14">
        <v>24018</v>
      </c>
      <c r="F34" s="1" t="s">
        <v>457</v>
      </c>
      <c r="G34" s="18"/>
      <c r="H34" s="19"/>
    </row>
    <row r="35" spans="1:8" s="17" customFormat="1" ht="18.75" customHeight="1" x14ac:dyDescent="0.25">
      <c r="A35" s="15">
        <v>27</v>
      </c>
      <c r="B35" s="16">
        <v>19555</v>
      </c>
      <c r="C35" s="12">
        <v>45399</v>
      </c>
      <c r="D35" s="13" t="s">
        <v>32</v>
      </c>
      <c r="E35" s="14">
        <v>5085</v>
      </c>
      <c r="F35" s="1" t="s">
        <v>458</v>
      </c>
      <c r="G35" s="18"/>
      <c r="H35" s="19"/>
    </row>
    <row r="36" spans="1:8" s="17" customFormat="1" ht="18.75" customHeight="1" x14ac:dyDescent="0.25">
      <c r="A36" s="11">
        <v>28</v>
      </c>
      <c r="B36" s="16">
        <v>19556</v>
      </c>
      <c r="C36" s="12">
        <v>45399</v>
      </c>
      <c r="D36" s="13" t="s">
        <v>33</v>
      </c>
      <c r="E36" s="14">
        <v>199</v>
      </c>
      <c r="F36" s="1" t="s">
        <v>459</v>
      </c>
      <c r="G36" s="18"/>
      <c r="H36" s="19"/>
    </row>
    <row r="37" spans="1:8" s="17" customFormat="1" ht="18.75" customHeight="1" x14ac:dyDescent="0.25">
      <c r="A37" s="11">
        <v>29</v>
      </c>
      <c r="B37" s="16">
        <v>19559</v>
      </c>
      <c r="C37" s="12">
        <v>45399</v>
      </c>
      <c r="D37" s="13" t="s">
        <v>34</v>
      </c>
      <c r="E37" s="14">
        <v>540</v>
      </c>
      <c r="F37" s="1" t="s">
        <v>460</v>
      </c>
      <c r="G37" s="18"/>
      <c r="H37" s="19"/>
    </row>
    <row r="38" spans="1:8" s="17" customFormat="1" ht="18.75" customHeight="1" x14ac:dyDescent="0.25">
      <c r="A38" s="15">
        <v>30</v>
      </c>
      <c r="B38" s="16">
        <v>19560</v>
      </c>
      <c r="C38" s="12">
        <v>45399</v>
      </c>
      <c r="D38" s="13" t="s">
        <v>35</v>
      </c>
      <c r="E38" s="14">
        <v>4845</v>
      </c>
      <c r="F38" s="1" t="s">
        <v>461</v>
      </c>
      <c r="G38" s="18"/>
      <c r="H38" s="19"/>
    </row>
    <row r="39" spans="1:8" s="17" customFormat="1" ht="18.75" customHeight="1" x14ac:dyDescent="0.25">
      <c r="A39" s="15">
        <v>31</v>
      </c>
      <c r="B39" s="16">
        <v>19561</v>
      </c>
      <c r="C39" s="12">
        <v>45399</v>
      </c>
      <c r="D39" s="13" t="s">
        <v>36</v>
      </c>
      <c r="E39" s="14">
        <v>2317</v>
      </c>
      <c r="F39" s="1" t="s">
        <v>462</v>
      </c>
      <c r="G39" s="18"/>
      <c r="H39" s="19"/>
    </row>
    <row r="40" spans="1:8" s="17" customFormat="1" ht="18.75" customHeight="1" x14ac:dyDescent="0.25">
      <c r="A40" s="11">
        <v>32</v>
      </c>
      <c r="B40" s="16">
        <v>19562</v>
      </c>
      <c r="C40" s="12">
        <v>45399</v>
      </c>
      <c r="D40" s="13" t="s">
        <v>37</v>
      </c>
      <c r="E40" s="14">
        <v>3708</v>
      </c>
      <c r="F40" s="1" t="s">
        <v>463</v>
      </c>
      <c r="G40" s="18"/>
      <c r="H40" s="19"/>
    </row>
    <row r="41" spans="1:8" s="17" customFormat="1" ht="18.75" customHeight="1" x14ac:dyDescent="0.25">
      <c r="A41" s="11">
        <v>33</v>
      </c>
      <c r="B41" s="16">
        <v>19563</v>
      </c>
      <c r="C41" s="12">
        <v>45399</v>
      </c>
      <c r="D41" s="13" t="s">
        <v>38</v>
      </c>
      <c r="E41" s="14">
        <v>763</v>
      </c>
      <c r="F41" s="1" t="s">
        <v>464</v>
      </c>
      <c r="G41" s="18"/>
      <c r="H41" s="19"/>
    </row>
    <row r="42" spans="1:8" s="17" customFormat="1" ht="18.75" customHeight="1" x14ac:dyDescent="0.25">
      <c r="A42" s="15">
        <v>34</v>
      </c>
      <c r="B42" s="16">
        <v>19564</v>
      </c>
      <c r="C42" s="12">
        <v>45399</v>
      </c>
      <c r="D42" s="13" t="s">
        <v>39</v>
      </c>
      <c r="E42" s="14">
        <v>2431</v>
      </c>
      <c r="F42" s="1" t="s">
        <v>465</v>
      </c>
      <c r="G42" s="18"/>
      <c r="H42" s="19"/>
    </row>
    <row r="43" spans="1:8" s="17" customFormat="1" ht="18.75" customHeight="1" x14ac:dyDescent="0.25">
      <c r="A43" s="15">
        <v>35</v>
      </c>
      <c r="B43" s="16">
        <v>19565</v>
      </c>
      <c r="C43" s="12">
        <v>45399</v>
      </c>
      <c r="D43" s="13" t="s">
        <v>40</v>
      </c>
      <c r="E43" s="14">
        <v>556</v>
      </c>
      <c r="F43" s="1" t="s">
        <v>466</v>
      </c>
      <c r="G43" s="18"/>
      <c r="H43" s="19"/>
    </row>
    <row r="44" spans="1:8" s="17" customFormat="1" ht="18.75" customHeight="1" x14ac:dyDescent="0.25">
      <c r="A44" s="11">
        <v>36</v>
      </c>
      <c r="B44" s="16">
        <v>19566</v>
      </c>
      <c r="C44" s="12">
        <v>45399</v>
      </c>
      <c r="D44" s="13" t="s">
        <v>41</v>
      </c>
      <c r="E44" s="14">
        <v>6908</v>
      </c>
      <c r="F44" s="1" t="s">
        <v>467</v>
      </c>
      <c r="G44" s="18"/>
      <c r="H44" s="19"/>
    </row>
    <row r="45" spans="1:8" s="17" customFormat="1" ht="18.75" customHeight="1" x14ac:dyDescent="0.25">
      <c r="A45" s="11">
        <v>37</v>
      </c>
      <c r="B45" s="16">
        <v>19568</v>
      </c>
      <c r="C45" s="12">
        <v>45400</v>
      </c>
      <c r="D45" s="13" t="s">
        <v>42</v>
      </c>
      <c r="E45" s="14">
        <v>634</v>
      </c>
      <c r="F45" s="1" t="s">
        <v>468</v>
      </c>
      <c r="G45" s="18"/>
      <c r="H45" s="19"/>
    </row>
    <row r="46" spans="1:8" s="17" customFormat="1" ht="18.75" customHeight="1" x14ac:dyDescent="0.25">
      <c r="A46" s="15">
        <v>38</v>
      </c>
      <c r="B46" s="16">
        <v>19569</v>
      </c>
      <c r="C46" s="12">
        <v>45400</v>
      </c>
      <c r="D46" s="13" t="s">
        <v>43</v>
      </c>
      <c r="E46" s="14">
        <v>1966</v>
      </c>
      <c r="F46" s="1" t="s">
        <v>469</v>
      </c>
      <c r="G46" s="18"/>
      <c r="H46" s="19"/>
    </row>
    <row r="47" spans="1:8" s="17" customFormat="1" ht="18.75" customHeight="1" x14ac:dyDescent="0.25">
      <c r="A47" s="15">
        <v>39</v>
      </c>
      <c r="B47" s="16">
        <v>19570</v>
      </c>
      <c r="C47" s="12">
        <v>45400</v>
      </c>
      <c r="D47" s="13" t="s">
        <v>44</v>
      </c>
      <c r="E47" s="14">
        <v>12954</v>
      </c>
      <c r="F47" s="1" t="s">
        <v>470</v>
      </c>
      <c r="G47" s="18"/>
      <c r="H47" s="19"/>
    </row>
    <row r="48" spans="1:8" s="17" customFormat="1" ht="18.75" customHeight="1" x14ac:dyDescent="0.25">
      <c r="A48" s="11">
        <v>40</v>
      </c>
      <c r="B48" s="16">
        <v>19571</v>
      </c>
      <c r="C48" s="12">
        <v>45400</v>
      </c>
      <c r="D48" s="13" t="s">
        <v>45</v>
      </c>
      <c r="E48" s="14">
        <v>1999</v>
      </c>
      <c r="F48" s="1" t="s">
        <v>471</v>
      </c>
      <c r="G48" s="18"/>
      <c r="H48" s="19"/>
    </row>
    <row r="49" spans="1:8" s="17" customFormat="1" ht="18.75" customHeight="1" x14ac:dyDescent="0.25">
      <c r="A49" s="11">
        <v>41</v>
      </c>
      <c r="B49" s="16">
        <v>19572</v>
      </c>
      <c r="C49" s="12">
        <v>45400</v>
      </c>
      <c r="D49" s="13" t="s">
        <v>46</v>
      </c>
      <c r="E49" s="14">
        <v>1431</v>
      </c>
      <c r="F49" s="1" t="s">
        <v>472</v>
      </c>
      <c r="G49" s="18"/>
      <c r="H49" s="19"/>
    </row>
    <row r="50" spans="1:8" s="17" customFormat="1" ht="18.75" customHeight="1" x14ac:dyDescent="0.25">
      <c r="A50" s="15">
        <v>42</v>
      </c>
      <c r="B50" s="16">
        <v>19586</v>
      </c>
      <c r="C50" s="12">
        <v>45401</v>
      </c>
      <c r="D50" s="13" t="s">
        <v>47</v>
      </c>
      <c r="E50" s="14">
        <v>5159</v>
      </c>
      <c r="F50" s="1" t="s">
        <v>473</v>
      </c>
      <c r="G50" s="18"/>
      <c r="H50" s="19"/>
    </row>
    <row r="51" spans="1:8" s="17" customFormat="1" ht="18.75" customHeight="1" x14ac:dyDescent="0.25">
      <c r="A51" s="15">
        <v>43</v>
      </c>
      <c r="B51" s="16">
        <v>19587</v>
      </c>
      <c r="C51" s="12">
        <v>45401</v>
      </c>
      <c r="D51" s="13" t="s">
        <v>48</v>
      </c>
      <c r="E51" s="14">
        <v>1649</v>
      </c>
      <c r="F51" s="1" t="s">
        <v>474</v>
      </c>
      <c r="G51" s="18"/>
      <c r="H51" s="19"/>
    </row>
    <row r="52" spans="1:8" s="17" customFormat="1" ht="18.75" customHeight="1" x14ac:dyDescent="0.25">
      <c r="A52" s="11">
        <v>44</v>
      </c>
      <c r="B52" s="16">
        <v>19588</v>
      </c>
      <c r="C52" s="12">
        <v>45401</v>
      </c>
      <c r="D52" s="13" t="s">
        <v>49</v>
      </c>
      <c r="E52" s="14">
        <v>24416</v>
      </c>
      <c r="F52" s="1" t="s">
        <v>475</v>
      </c>
      <c r="G52" s="18"/>
      <c r="H52" s="19"/>
    </row>
    <row r="53" spans="1:8" s="17" customFormat="1" ht="18.75" customHeight="1" x14ac:dyDescent="0.25">
      <c r="A53" s="11">
        <v>45</v>
      </c>
      <c r="B53" s="16">
        <v>19589</v>
      </c>
      <c r="C53" s="12">
        <v>45401</v>
      </c>
      <c r="D53" s="13" t="s">
        <v>50</v>
      </c>
      <c r="E53" s="14">
        <v>201</v>
      </c>
      <c r="F53" s="1" t="s">
        <v>476</v>
      </c>
      <c r="G53" s="18"/>
      <c r="H53" s="19"/>
    </row>
    <row r="54" spans="1:8" s="17" customFormat="1" ht="18.75" customHeight="1" x14ac:dyDescent="0.25">
      <c r="A54" s="15">
        <v>46</v>
      </c>
      <c r="B54" s="16">
        <v>19590</v>
      </c>
      <c r="C54" s="12">
        <v>45401</v>
      </c>
      <c r="D54" s="13" t="s">
        <v>51</v>
      </c>
      <c r="E54" s="14">
        <v>2364</v>
      </c>
      <c r="F54" s="1" t="s">
        <v>477</v>
      </c>
      <c r="G54" s="18"/>
      <c r="H54" s="19"/>
    </row>
    <row r="55" spans="1:8" s="17" customFormat="1" ht="18.75" customHeight="1" x14ac:dyDescent="0.25">
      <c r="A55" s="15">
        <v>47</v>
      </c>
      <c r="B55" s="16">
        <v>19591</v>
      </c>
      <c r="C55" s="12">
        <v>45401</v>
      </c>
      <c r="D55" s="13" t="s">
        <v>52</v>
      </c>
      <c r="E55" s="14">
        <v>1849</v>
      </c>
      <c r="F55" s="1" t="s">
        <v>478</v>
      </c>
      <c r="G55" s="18"/>
      <c r="H55" s="19"/>
    </row>
    <row r="56" spans="1:8" s="17" customFormat="1" ht="18.75" customHeight="1" x14ac:dyDescent="0.25">
      <c r="A56" s="11">
        <v>48</v>
      </c>
      <c r="B56" s="16">
        <v>19592</v>
      </c>
      <c r="C56" s="12">
        <v>45401</v>
      </c>
      <c r="D56" s="13" t="s">
        <v>53</v>
      </c>
      <c r="E56" s="14">
        <v>7137</v>
      </c>
      <c r="F56" s="1" t="s">
        <v>479</v>
      </c>
      <c r="G56" s="18"/>
      <c r="H56" s="19"/>
    </row>
    <row r="57" spans="1:8" s="17" customFormat="1" ht="18.75" customHeight="1" x14ac:dyDescent="0.25">
      <c r="A57" s="11">
        <v>49</v>
      </c>
      <c r="B57" s="16">
        <v>19593</v>
      </c>
      <c r="C57" s="12">
        <v>45401</v>
      </c>
      <c r="D57" s="13" t="s">
        <v>54</v>
      </c>
      <c r="E57" s="14">
        <v>5394</v>
      </c>
      <c r="F57" s="1" t="s">
        <v>480</v>
      </c>
      <c r="G57" s="18"/>
      <c r="H57" s="19"/>
    </row>
    <row r="58" spans="1:8" s="17" customFormat="1" ht="18.75" customHeight="1" x14ac:dyDescent="0.25">
      <c r="A58" s="15">
        <v>50</v>
      </c>
      <c r="B58" s="16">
        <v>19594</v>
      </c>
      <c r="C58" s="12">
        <v>45401</v>
      </c>
      <c r="D58" s="13" t="s">
        <v>55</v>
      </c>
      <c r="E58" s="14">
        <v>247</v>
      </c>
      <c r="F58" s="1" t="s">
        <v>481</v>
      </c>
      <c r="G58" s="18"/>
      <c r="H58" s="19"/>
    </row>
    <row r="59" spans="1:8" s="17" customFormat="1" ht="18.75" customHeight="1" x14ac:dyDescent="0.25">
      <c r="A59" s="15">
        <v>51</v>
      </c>
      <c r="B59" s="16">
        <v>19595</v>
      </c>
      <c r="C59" s="12">
        <v>45401</v>
      </c>
      <c r="D59" s="13" t="s">
        <v>56</v>
      </c>
      <c r="E59" s="14">
        <v>200</v>
      </c>
      <c r="F59" s="1" t="s">
        <v>482</v>
      </c>
      <c r="G59" s="18"/>
      <c r="H59" s="19"/>
    </row>
    <row r="60" spans="1:8" s="17" customFormat="1" ht="18.75" customHeight="1" x14ac:dyDescent="0.25">
      <c r="A60" s="11">
        <v>52</v>
      </c>
      <c r="B60" s="16">
        <v>19597</v>
      </c>
      <c r="C60" s="12">
        <v>45401</v>
      </c>
      <c r="D60" s="13" t="s">
        <v>57</v>
      </c>
      <c r="E60" s="14">
        <v>999</v>
      </c>
      <c r="F60" s="1" t="s">
        <v>483</v>
      </c>
      <c r="G60" s="18"/>
      <c r="H60" s="19"/>
    </row>
    <row r="61" spans="1:8" s="17" customFormat="1" ht="18.75" customHeight="1" x14ac:dyDescent="0.25">
      <c r="A61" s="11">
        <v>53</v>
      </c>
      <c r="B61" s="16">
        <v>19598</v>
      </c>
      <c r="C61" s="12">
        <v>45404</v>
      </c>
      <c r="D61" s="13" t="s">
        <v>58</v>
      </c>
      <c r="E61" s="14">
        <v>5284</v>
      </c>
      <c r="F61" s="1" t="s">
        <v>484</v>
      </c>
      <c r="G61" s="18"/>
      <c r="H61" s="19"/>
    </row>
    <row r="62" spans="1:8" s="17" customFormat="1" ht="18.75" customHeight="1" x14ac:dyDescent="0.25">
      <c r="A62" s="15">
        <v>54</v>
      </c>
      <c r="B62" s="16">
        <v>19599</v>
      </c>
      <c r="C62" s="12">
        <v>45404</v>
      </c>
      <c r="D62" s="13" t="s">
        <v>59</v>
      </c>
      <c r="E62" s="14">
        <v>691</v>
      </c>
      <c r="F62" s="1" t="s">
        <v>485</v>
      </c>
      <c r="G62" s="18"/>
      <c r="H62" s="19"/>
    </row>
    <row r="63" spans="1:8" s="17" customFormat="1" ht="18.75" customHeight="1" x14ac:dyDescent="0.25">
      <c r="A63" s="15">
        <v>55</v>
      </c>
      <c r="B63" s="16">
        <v>19600</v>
      </c>
      <c r="C63" s="12">
        <v>45404</v>
      </c>
      <c r="D63" s="13" t="s">
        <v>60</v>
      </c>
      <c r="E63" s="14">
        <v>1508</v>
      </c>
      <c r="F63" s="1" t="s">
        <v>486</v>
      </c>
      <c r="G63" s="18"/>
      <c r="H63" s="19"/>
    </row>
    <row r="64" spans="1:8" s="17" customFormat="1" ht="18.75" customHeight="1" x14ac:dyDescent="0.25">
      <c r="A64" s="11">
        <v>56</v>
      </c>
      <c r="B64" s="16">
        <v>19601</v>
      </c>
      <c r="C64" s="12">
        <v>45404</v>
      </c>
      <c r="D64" s="13" t="s">
        <v>61</v>
      </c>
      <c r="E64" s="14">
        <v>1553</v>
      </c>
      <c r="F64" s="1" t="s">
        <v>487</v>
      </c>
      <c r="G64" s="18"/>
      <c r="H64" s="19"/>
    </row>
    <row r="65" spans="1:8" s="17" customFormat="1" ht="18.75" customHeight="1" x14ac:dyDescent="0.25">
      <c r="A65" s="11">
        <v>57</v>
      </c>
      <c r="B65" s="16">
        <v>19602</v>
      </c>
      <c r="C65" s="12">
        <v>45404</v>
      </c>
      <c r="D65" s="13" t="s">
        <v>62</v>
      </c>
      <c r="E65" s="14">
        <v>3266</v>
      </c>
      <c r="F65" s="1" t="s">
        <v>488</v>
      </c>
      <c r="G65" s="18"/>
      <c r="H65" s="19"/>
    </row>
    <row r="66" spans="1:8" s="17" customFormat="1" ht="18.75" customHeight="1" x14ac:dyDescent="0.25">
      <c r="A66" s="15">
        <v>58</v>
      </c>
      <c r="B66" s="16">
        <v>19603</v>
      </c>
      <c r="C66" s="12">
        <v>45404</v>
      </c>
      <c r="D66" s="13" t="s">
        <v>63</v>
      </c>
      <c r="E66" s="14">
        <v>14124</v>
      </c>
      <c r="F66" s="1" t="s">
        <v>489</v>
      </c>
      <c r="G66" s="18"/>
      <c r="H66" s="19"/>
    </row>
    <row r="67" spans="1:8" s="17" customFormat="1" ht="18.75" customHeight="1" x14ac:dyDescent="0.25">
      <c r="A67" s="15">
        <v>59</v>
      </c>
      <c r="B67" s="16">
        <v>19604</v>
      </c>
      <c r="C67" s="12">
        <v>45404</v>
      </c>
      <c r="D67" s="13" t="s">
        <v>64</v>
      </c>
      <c r="E67" s="14">
        <v>4784</v>
      </c>
      <c r="F67" s="1" t="s">
        <v>490</v>
      </c>
      <c r="G67" s="18"/>
      <c r="H67" s="19"/>
    </row>
    <row r="68" spans="1:8" s="17" customFormat="1" ht="18.75" customHeight="1" x14ac:dyDescent="0.25">
      <c r="A68" s="11">
        <v>60</v>
      </c>
      <c r="B68" s="16">
        <v>19605</v>
      </c>
      <c r="C68" s="12">
        <v>45404</v>
      </c>
      <c r="D68" s="13" t="s">
        <v>65</v>
      </c>
      <c r="E68" s="14">
        <v>3600</v>
      </c>
      <c r="F68" s="1" t="s">
        <v>491</v>
      </c>
      <c r="G68" s="18"/>
      <c r="H68" s="19"/>
    </row>
    <row r="69" spans="1:8" s="17" customFormat="1" ht="18.75" customHeight="1" x14ac:dyDescent="0.25">
      <c r="A69" s="11">
        <v>61</v>
      </c>
      <c r="B69" s="16">
        <v>19611</v>
      </c>
      <c r="C69" s="12">
        <v>45407</v>
      </c>
      <c r="D69" s="13" t="s">
        <v>66</v>
      </c>
      <c r="E69" s="14">
        <v>7601</v>
      </c>
      <c r="F69" s="1" t="s">
        <v>492</v>
      </c>
      <c r="G69" s="18"/>
      <c r="H69" s="19"/>
    </row>
    <row r="70" spans="1:8" s="17" customFormat="1" ht="18.75" customHeight="1" x14ac:dyDescent="0.25">
      <c r="A70" s="15">
        <v>62</v>
      </c>
      <c r="B70" s="16">
        <v>19612</v>
      </c>
      <c r="C70" s="12">
        <v>45407</v>
      </c>
      <c r="D70" s="13" t="s">
        <v>67</v>
      </c>
      <c r="E70" s="14">
        <v>3153</v>
      </c>
      <c r="F70" s="1" t="s">
        <v>493</v>
      </c>
      <c r="G70" s="18"/>
      <c r="H70" s="19"/>
    </row>
    <row r="71" spans="1:8" s="17" customFormat="1" ht="18.75" customHeight="1" x14ac:dyDescent="0.25">
      <c r="A71" s="15">
        <v>63</v>
      </c>
      <c r="B71" s="16">
        <v>19613</v>
      </c>
      <c r="C71" s="12">
        <v>45407</v>
      </c>
      <c r="D71" s="13" t="s">
        <v>68</v>
      </c>
      <c r="E71" s="14">
        <v>1067</v>
      </c>
      <c r="F71" s="1" t="s">
        <v>494</v>
      </c>
      <c r="G71" s="18"/>
      <c r="H71" s="19"/>
    </row>
    <row r="72" spans="1:8" s="17" customFormat="1" ht="18.75" customHeight="1" x14ac:dyDescent="0.25">
      <c r="A72" s="11">
        <v>64</v>
      </c>
      <c r="B72" s="16">
        <v>19614</v>
      </c>
      <c r="C72" s="12">
        <v>45407</v>
      </c>
      <c r="D72" s="13" t="s">
        <v>69</v>
      </c>
      <c r="E72" s="14">
        <v>1704</v>
      </c>
      <c r="F72" s="1" t="s">
        <v>495</v>
      </c>
      <c r="G72" s="18"/>
      <c r="H72" s="19"/>
    </row>
    <row r="73" spans="1:8" s="17" customFormat="1" ht="18.75" customHeight="1" x14ac:dyDescent="0.25">
      <c r="A73" s="11">
        <v>65</v>
      </c>
      <c r="B73" s="16">
        <v>19616</v>
      </c>
      <c r="C73" s="12">
        <v>45407</v>
      </c>
      <c r="D73" s="13" t="s">
        <v>70</v>
      </c>
      <c r="E73" s="14">
        <v>39292</v>
      </c>
      <c r="F73" s="1" t="s">
        <v>496</v>
      </c>
      <c r="G73" s="18"/>
      <c r="H73" s="19"/>
    </row>
    <row r="74" spans="1:8" s="17" customFormat="1" ht="18.75" customHeight="1" x14ac:dyDescent="0.25">
      <c r="A74" s="15">
        <v>66</v>
      </c>
      <c r="B74" s="16">
        <v>19617</v>
      </c>
      <c r="C74" s="12">
        <v>45407</v>
      </c>
      <c r="D74" s="13" t="s">
        <v>71</v>
      </c>
      <c r="E74" s="14">
        <v>1807</v>
      </c>
      <c r="F74" s="1" t="s">
        <v>497</v>
      </c>
      <c r="G74" s="18"/>
      <c r="H74" s="19"/>
    </row>
    <row r="75" spans="1:8" s="17" customFormat="1" ht="18.75" customHeight="1" x14ac:dyDescent="0.25">
      <c r="A75" s="15">
        <v>67</v>
      </c>
      <c r="B75" s="16">
        <v>19618</v>
      </c>
      <c r="C75" s="12">
        <v>45407</v>
      </c>
      <c r="D75" s="13" t="s">
        <v>72</v>
      </c>
      <c r="E75" s="14">
        <v>209</v>
      </c>
      <c r="F75" s="1" t="s">
        <v>498</v>
      </c>
      <c r="G75" s="18"/>
      <c r="H75" s="19"/>
    </row>
    <row r="76" spans="1:8" s="17" customFormat="1" ht="18.75" customHeight="1" x14ac:dyDescent="0.25">
      <c r="A76" s="11">
        <v>68</v>
      </c>
      <c r="B76" s="16">
        <v>19627</v>
      </c>
      <c r="C76" s="12">
        <v>45409</v>
      </c>
      <c r="D76" s="13" t="s">
        <v>73</v>
      </c>
      <c r="E76" s="14">
        <v>373</v>
      </c>
      <c r="F76" s="1" t="s">
        <v>499</v>
      </c>
      <c r="G76" s="18"/>
      <c r="H76" s="19"/>
    </row>
    <row r="77" spans="1:8" s="17" customFormat="1" ht="18.75" customHeight="1" x14ac:dyDescent="0.25">
      <c r="A77" s="11">
        <v>69</v>
      </c>
      <c r="B77" s="16">
        <v>19628</v>
      </c>
      <c r="C77" s="12">
        <v>45409</v>
      </c>
      <c r="D77" s="13" t="s">
        <v>74</v>
      </c>
      <c r="E77" s="14">
        <v>5991</v>
      </c>
      <c r="F77" s="1" t="s">
        <v>500</v>
      </c>
      <c r="G77" s="18"/>
      <c r="H77" s="19"/>
    </row>
    <row r="78" spans="1:8" s="17" customFormat="1" ht="18.75" customHeight="1" x14ac:dyDescent="0.25">
      <c r="A78" s="15">
        <v>70</v>
      </c>
      <c r="B78" s="16">
        <v>19629</v>
      </c>
      <c r="C78" s="12">
        <v>45409</v>
      </c>
      <c r="D78" s="13" t="s">
        <v>75</v>
      </c>
      <c r="E78" s="14">
        <v>5382</v>
      </c>
      <c r="F78" s="1" t="s">
        <v>501</v>
      </c>
      <c r="G78" s="18"/>
      <c r="H78" s="19"/>
    </row>
    <row r="79" spans="1:8" s="17" customFormat="1" ht="18.75" customHeight="1" x14ac:dyDescent="0.25">
      <c r="A79" s="15">
        <v>71</v>
      </c>
      <c r="B79" s="16">
        <v>19630</v>
      </c>
      <c r="C79" s="12">
        <v>45409</v>
      </c>
      <c r="D79" s="13" t="s">
        <v>76</v>
      </c>
      <c r="E79" s="14">
        <v>1127</v>
      </c>
      <c r="F79" s="1" t="s">
        <v>502</v>
      </c>
      <c r="G79" s="18"/>
      <c r="H79" s="19"/>
    </row>
    <row r="80" spans="1:8" s="17" customFormat="1" ht="18.75" customHeight="1" x14ac:dyDescent="0.25">
      <c r="A80" s="11">
        <v>72</v>
      </c>
      <c r="B80" s="16">
        <v>19631</v>
      </c>
      <c r="C80" s="12">
        <v>45409</v>
      </c>
      <c r="D80" s="13" t="s">
        <v>77</v>
      </c>
      <c r="E80" s="14">
        <v>6487</v>
      </c>
      <c r="F80" s="1" t="s">
        <v>503</v>
      </c>
      <c r="G80" s="18"/>
      <c r="H80" s="19"/>
    </row>
    <row r="81" spans="1:11" s="17" customFormat="1" ht="18.75" customHeight="1" x14ac:dyDescent="0.25">
      <c r="A81" s="11">
        <v>73</v>
      </c>
      <c r="B81" s="16">
        <v>19632</v>
      </c>
      <c r="C81" s="12">
        <v>45410</v>
      </c>
      <c r="D81" s="13" t="s">
        <v>78</v>
      </c>
      <c r="E81" s="14">
        <v>1526</v>
      </c>
      <c r="F81" s="1" t="s">
        <v>504</v>
      </c>
      <c r="G81" s="18"/>
      <c r="H81" s="19"/>
    </row>
    <row r="82" spans="1:11" s="17" customFormat="1" ht="18.75" customHeight="1" x14ac:dyDescent="0.25">
      <c r="A82" s="15">
        <v>74</v>
      </c>
      <c r="B82" s="16">
        <v>19633</v>
      </c>
      <c r="C82" s="12">
        <v>45410</v>
      </c>
      <c r="D82" s="13" t="s">
        <v>79</v>
      </c>
      <c r="E82" s="14">
        <v>3342</v>
      </c>
      <c r="F82" s="1" t="s">
        <v>505</v>
      </c>
      <c r="G82" s="18"/>
      <c r="H82" s="19"/>
    </row>
    <row r="83" spans="1:11" s="17" customFormat="1" ht="18.75" customHeight="1" x14ac:dyDescent="0.25">
      <c r="A83" s="15">
        <v>75</v>
      </c>
      <c r="B83" s="16">
        <v>19634</v>
      </c>
      <c r="C83" s="12">
        <v>45410</v>
      </c>
      <c r="D83" s="13" t="s">
        <v>80</v>
      </c>
      <c r="E83" s="14">
        <v>2320</v>
      </c>
      <c r="F83" s="1" t="s">
        <v>506</v>
      </c>
      <c r="G83" s="18"/>
      <c r="H83" s="19"/>
    </row>
    <row r="84" spans="1:11" s="17" customFormat="1" ht="18.75" customHeight="1" x14ac:dyDescent="0.25">
      <c r="A84" s="11">
        <v>76</v>
      </c>
      <c r="B84" s="16">
        <v>19635</v>
      </c>
      <c r="C84" s="12">
        <v>45410</v>
      </c>
      <c r="D84" s="13" t="s">
        <v>81</v>
      </c>
      <c r="E84" s="14">
        <v>1684</v>
      </c>
      <c r="F84" s="1" t="s">
        <v>507</v>
      </c>
      <c r="G84" s="18"/>
      <c r="H84" s="19"/>
    </row>
    <row r="85" spans="1:11" s="17" customFormat="1" ht="18.75" customHeight="1" x14ac:dyDescent="0.25">
      <c r="A85" s="11">
        <v>77</v>
      </c>
      <c r="B85" s="16">
        <v>19651</v>
      </c>
      <c r="C85" s="12">
        <v>45412</v>
      </c>
      <c r="D85" s="13" t="s">
        <v>82</v>
      </c>
      <c r="E85" s="14">
        <v>5380</v>
      </c>
      <c r="F85" s="1" t="s">
        <v>508</v>
      </c>
      <c r="G85" s="18"/>
      <c r="H85" s="19"/>
    </row>
    <row r="86" spans="1:11" s="17" customFormat="1" ht="18.75" customHeight="1" x14ac:dyDescent="0.25">
      <c r="A86" s="15">
        <v>78</v>
      </c>
      <c r="B86" s="16">
        <v>19652</v>
      </c>
      <c r="C86" s="12">
        <v>45412</v>
      </c>
      <c r="D86" s="13" t="s">
        <v>83</v>
      </c>
      <c r="E86" s="14">
        <v>753</v>
      </c>
      <c r="F86" s="1" t="s">
        <v>509</v>
      </c>
      <c r="G86" s="18"/>
      <c r="H86" s="19"/>
    </row>
    <row r="87" spans="1:11" s="17" customFormat="1" ht="18.75" customHeight="1" x14ac:dyDescent="0.25">
      <c r="A87" s="15">
        <v>79</v>
      </c>
      <c r="B87" s="16">
        <v>19653</v>
      </c>
      <c r="C87" s="12">
        <v>45412</v>
      </c>
      <c r="D87" s="13" t="s">
        <v>84</v>
      </c>
      <c r="E87" s="14">
        <v>8608</v>
      </c>
      <c r="F87" s="1" t="s">
        <v>510</v>
      </c>
      <c r="G87" s="18"/>
      <c r="H87" s="19"/>
    </row>
    <row r="88" spans="1:11" s="17" customFormat="1" ht="18.75" customHeight="1" x14ac:dyDescent="0.25">
      <c r="A88" s="11">
        <v>80</v>
      </c>
      <c r="B88" s="16">
        <v>19654</v>
      </c>
      <c r="C88" s="12">
        <v>45412</v>
      </c>
      <c r="D88" s="13" t="s">
        <v>85</v>
      </c>
      <c r="E88" s="14">
        <v>5072</v>
      </c>
      <c r="F88" s="1" t="s">
        <v>511</v>
      </c>
      <c r="G88" s="18"/>
      <c r="H88" s="19"/>
    </row>
    <row r="89" spans="1:11" s="17" customFormat="1" ht="18.75" customHeight="1" thickBot="1" x14ac:dyDescent="0.3">
      <c r="A89" s="11">
        <v>81</v>
      </c>
      <c r="B89" s="16">
        <v>19655</v>
      </c>
      <c r="C89" s="12">
        <v>45412</v>
      </c>
      <c r="D89" s="13" t="s">
        <v>86</v>
      </c>
      <c r="E89" s="14">
        <v>2176</v>
      </c>
      <c r="F89" s="1" t="s">
        <v>512</v>
      </c>
      <c r="G89" s="18"/>
      <c r="H89" s="19"/>
    </row>
    <row r="90" spans="1:11" ht="16.5" thickBot="1" x14ac:dyDescent="0.3">
      <c r="A90" s="20" t="s">
        <v>276</v>
      </c>
      <c r="B90" s="21"/>
      <c r="C90" s="21"/>
      <c r="D90" s="22"/>
      <c r="E90" s="23">
        <f>SUM(E9:E89)</f>
        <v>315572</v>
      </c>
    </row>
    <row r="91" spans="1:11" x14ac:dyDescent="0.25">
      <c r="A91" s="4"/>
      <c r="B91" s="24"/>
      <c r="C91" s="25"/>
      <c r="D91" s="26"/>
      <c r="E91" s="27"/>
      <c r="F91" s="28"/>
      <c r="G91" s="28"/>
      <c r="H91" s="29"/>
      <c r="I91" s="25"/>
      <c r="J91" s="25"/>
      <c r="K91" s="28"/>
    </row>
    <row r="92" spans="1:11" x14ac:dyDescent="0.25">
      <c r="A92" s="4" t="s">
        <v>277</v>
      </c>
      <c r="B92" s="4"/>
    </row>
  </sheetData>
  <mergeCells count="2">
    <mergeCell ref="A1:B1"/>
    <mergeCell ref="A2:B2"/>
  </mergeCells>
  <conditionalFormatting sqref="B9:B89">
    <cfRule type="duplicateValues" dxfId="52" priority="22"/>
  </conditionalFormatting>
  <printOptions horizontalCentered="1"/>
  <pageMargins left="0.25" right="0.25" top="0.74" bottom="0.28000000000000003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A5AA-D015-4C13-BBAA-BF27FE318651}">
  <dimension ref="A1:H82"/>
  <sheetViews>
    <sheetView topLeftCell="F1" workbookViewId="0">
      <selection activeCell="G3" sqref="G3"/>
    </sheetView>
  </sheetViews>
  <sheetFormatPr defaultRowHeight="15" x14ac:dyDescent="0.25"/>
  <cols>
    <col min="1" max="1" width="42.14062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4.85546875" customWidth="1"/>
    <col min="6" max="6" width="87.85546875" customWidth="1"/>
    <col min="7" max="7" width="72" customWidth="1"/>
    <col min="8" max="8" width="74.5703125" customWidth="1"/>
  </cols>
  <sheetData>
    <row r="1" spans="1:8" x14ac:dyDescent="0.25">
      <c r="A1" s="34" t="s">
        <v>723</v>
      </c>
      <c r="B1" t="s">
        <v>724</v>
      </c>
      <c r="D1" s="35" t="s">
        <v>725</v>
      </c>
      <c r="E1" s="36" t="s">
        <v>726</v>
      </c>
    </row>
    <row r="2" spans="1:8" ht="60.75" customHeight="1" x14ac:dyDescent="0.25">
      <c r="A2" s="1" t="s">
        <v>430</v>
      </c>
      <c r="B2" s="37" t="str">
        <f>VLOOKUP(A2,[1]Sheet1!$B$2:$C$82,2,0)</f>
        <v>070000156956</v>
      </c>
      <c r="C2" s="14">
        <v>1194</v>
      </c>
      <c r="D2" s="38">
        <f>ROUND(C2,0)</f>
        <v>1194</v>
      </c>
      <c r="E2" s="36" t="s">
        <v>726</v>
      </c>
      <c r="F2" s="3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0" t="str">
        <f>"('"&amp;E2&amp;"','"&amp;B2&amp;"','"&amp;D2&amp;"',(select max(to_number(i.premium_rcv_detail_code))+1
from ins_premium_det i),'"&amp;D2&amp;"','"&amp;D2&amp;"','02', '11000003','00','Request by Mr. Saqib Saleem 21-Aug-2024 sheet1');"</f>
        <v>('20Aug240117','070000156956','1194',(select max(to_number(i.premium_rcv_detail_code))+1
from ins_premium_det i),'1194','1194','02', '11000003','00','Request by Mr. Saqib Saleem 21-Aug-2024 sheet1');</v>
      </c>
      <c r="H2" s="41" t="str">
        <f>F2&amp;G2</f>
        <v>insert into ins_premium_det (premium_rcv_code,assorted_code, rec_amount,premium_rcv_detail_code,remaining_amt, payrec, mode_code,coinsurance_code,class_cd,it_remarks) values('20Aug240117','070000156956','1194',(select max(to_number(i.premium_rcv_detail_code))+1
from ins_premium_det i),'1194','1194','02', '11000003','00','Request by Mr. Saqib Saleem 21-Aug-2024 sheet1');</v>
      </c>
    </row>
    <row r="3" spans="1:8" ht="105" x14ac:dyDescent="0.25">
      <c r="A3" s="1" t="s">
        <v>433</v>
      </c>
      <c r="B3" s="37" t="str">
        <f>VLOOKUP(A3,[1]Sheet1!$B$2:$C$82,2,0)</f>
        <v>070000156975</v>
      </c>
      <c r="C3" s="14">
        <v>856</v>
      </c>
      <c r="D3" s="38">
        <f t="shared" ref="D3:D66" si="1">ROUND(C3,0)</f>
        <v>856</v>
      </c>
      <c r="E3" s="36" t="s">
        <v>726</v>
      </c>
      <c r="F3" s="39" t="str">
        <f t="shared" si="0"/>
        <v>insert into ins_premium_det (premium_rcv_code,assorted_code, rec_amount,premium_rcv_detail_code,remaining_amt, payrec, mode_code,coinsurance_code,class_cd,it_remarks) values</v>
      </c>
      <c r="G3" s="40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sheet1');"</f>
        <v>('20Aug240117','070000156975','856',(select max(to_number(i.premium_rcv_detail_code))+1
from ins_premium_det i),'856','856','02', '11000003','00','Request by Mr. Saqib Saleem 21-Aug-2024 sheet1');</v>
      </c>
      <c r="H3" s="41" t="str">
        <f t="shared" ref="H3:H66" si="3">F3&amp;G3</f>
        <v>insert into ins_premium_det (premium_rcv_code,assorted_code, rec_amount,premium_rcv_detail_code,remaining_amt, payrec, mode_code,coinsurance_code,class_cd,it_remarks) values('20Aug240117','070000156975','856',(select max(to_number(i.premium_rcv_detail_code))+1
from ins_premium_det i),'856','856','02', '11000003','00','Request by Mr. Saqib Saleem 21-Aug-2024 sheet1');</v>
      </c>
    </row>
    <row r="4" spans="1:8" ht="105" x14ac:dyDescent="0.25">
      <c r="A4" s="1" t="s">
        <v>434</v>
      </c>
      <c r="B4" s="37" t="str">
        <f>VLOOKUP(A4,[1]Sheet1!$B$2:$C$82,2,0)</f>
        <v>070000156976</v>
      </c>
      <c r="C4" s="14">
        <v>1823</v>
      </c>
      <c r="D4" s="38">
        <f t="shared" si="1"/>
        <v>1823</v>
      </c>
      <c r="E4" s="36" t="s">
        <v>726</v>
      </c>
      <c r="F4" s="39" t="str">
        <f t="shared" si="0"/>
        <v>insert into ins_premium_det (premium_rcv_code,assorted_code, rec_amount,premium_rcv_detail_code,remaining_amt, payrec, mode_code,coinsurance_code,class_cd,it_remarks) values</v>
      </c>
      <c r="G4" s="40" t="str">
        <f t="shared" si="2"/>
        <v>('20Aug240117','070000156976','1823',(select max(to_number(i.premium_rcv_detail_code))+1
from ins_premium_det i),'1823','1823','02', '11000003','00','Request by Mr. Saqib Saleem 21-Aug-2024 sheet1');</v>
      </c>
      <c r="H4" s="41" t="str">
        <f t="shared" si="3"/>
        <v>insert into ins_premium_det (premium_rcv_code,assorted_code, rec_amount,premium_rcv_detail_code,remaining_amt, payrec, mode_code,coinsurance_code,class_cd,it_remarks) values('20Aug240117','070000156976','1823',(select max(to_number(i.premium_rcv_detail_code))+1
from ins_premium_det i),'1823','1823','02', '11000003','00','Request by Mr. Saqib Saleem 21-Aug-2024 sheet1');</v>
      </c>
    </row>
    <row r="5" spans="1:8" ht="105" x14ac:dyDescent="0.25">
      <c r="A5" s="1" t="s">
        <v>435</v>
      </c>
      <c r="B5" s="37" t="str">
        <f>VLOOKUP(A5,[1]Sheet1!$B$2:$C$82,2,0)</f>
        <v>070000156977</v>
      </c>
      <c r="C5" s="14">
        <v>12959</v>
      </c>
      <c r="D5" s="38">
        <f t="shared" si="1"/>
        <v>12959</v>
      </c>
      <c r="E5" s="36" t="s">
        <v>726</v>
      </c>
      <c r="F5" s="39" t="str">
        <f t="shared" si="0"/>
        <v>insert into ins_premium_det (premium_rcv_code,assorted_code, rec_amount,premium_rcv_detail_code,remaining_amt, payrec, mode_code,coinsurance_code,class_cd,it_remarks) values</v>
      </c>
      <c r="G5" s="40" t="str">
        <f t="shared" si="2"/>
        <v>('20Aug240117','070000156977','12959',(select max(to_number(i.premium_rcv_detail_code))+1
from ins_premium_det i),'12959','12959','02', '11000003','00','Request by Mr. Saqib Saleem 21-Aug-2024 sheet1');</v>
      </c>
      <c r="H5" s="41" t="str">
        <f t="shared" si="3"/>
        <v>insert into ins_premium_det (premium_rcv_code,assorted_code, rec_amount,premium_rcv_detail_code,remaining_amt, payrec, mode_code,coinsurance_code,class_cd,it_remarks) values('20Aug240117','070000156977','12959',(select max(to_number(i.premium_rcv_detail_code))+1
from ins_premium_det i),'12959','12959','02', '11000003','00','Request by Mr. Saqib Saleem 21-Aug-2024 sheet1');</v>
      </c>
    </row>
    <row r="6" spans="1:8" ht="105" x14ac:dyDescent="0.25">
      <c r="A6" s="1" t="s">
        <v>436</v>
      </c>
      <c r="B6" s="37" t="str">
        <f>VLOOKUP(A6,[1]Sheet1!$B$2:$C$82,2,0)</f>
        <v>070000156978</v>
      </c>
      <c r="C6" s="14">
        <v>216</v>
      </c>
      <c r="D6" s="38">
        <f t="shared" si="1"/>
        <v>216</v>
      </c>
      <c r="E6" s="36" t="s">
        <v>726</v>
      </c>
      <c r="F6" s="39" t="str">
        <f t="shared" si="0"/>
        <v>insert into ins_premium_det (premium_rcv_code,assorted_code, rec_amount,premium_rcv_detail_code,remaining_amt, payrec, mode_code,coinsurance_code,class_cd,it_remarks) values</v>
      </c>
      <c r="G6" s="40" t="str">
        <f t="shared" si="2"/>
        <v>('20Aug240117','070000156978','216',(select max(to_number(i.premium_rcv_detail_code))+1
from ins_premium_det i),'216','216','02', '11000003','00','Request by Mr. Saqib Saleem 21-Aug-2024 sheet1');</v>
      </c>
      <c r="H6" s="41" t="str">
        <f t="shared" si="3"/>
        <v>insert into ins_premium_det (premium_rcv_code,assorted_code, rec_amount,premium_rcv_detail_code,remaining_amt, payrec, mode_code,coinsurance_code,class_cd,it_remarks) values('20Aug240117','070000156978','216',(select max(to_number(i.premium_rcv_detail_code))+1
from ins_premium_det i),'216','216','02', '11000003','00','Request by Mr. Saqib Saleem 21-Aug-2024 sheet1');</v>
      </c>
    </row>
    <row r="7" spans="1:8" ht="105" x14ac:dyDescent="0.25">
      <c r="A7" s="1" t="s">
        <v>437</v>
      </c>
      <c r="B7" s="37" t="str">
        <f>VLOOKUP(A7,[1]Sheet1!$B$2:$C$82,2,0)</f>
        <v>070000156979</v>
      </c>
      <c r="C7" s="14">
        <v>316</v>
      </c>
      <c r="D7" s="38">
        <f t="shared" si="1"/>
        <v>316</v>
      </c>
      <c r="E7" s="36" t="s">
        <v>726</v>
      </c>
      <c r="F7" s="39" t="str">
        <f t="shared" si="0"/>
        <v>insert into ins_premium_det (premium_rcv_code,assorted_code, rec_amount,premium_rcv_detail_code,remaining_amt, payrec, mode_code,coinsurance_code,class_cd,it_remarks) values</v>
      </c>
      <c r="G7" s="40" t="str">
        <f t="shared" si="2"/>
        <v>('20Aug240117','070000156979','316',(select max(to_number(i.premium_rcv_detail_code))+1
from ins_premium_det i),'316','316','02', '11000003','00','Request by Mr. Saqib Saleem 21-Aug-2024 sheet1');</v>
      </c>
      <c r="H7" s="41" t="str">
        <f t="shared" si="3"/>
        <v>insert into ins_premium_det (premium_rcv_code,assorted_code, rec_amount,premium_rcv_detail_code,remaining_amt, payrec, mode_code,coinsurance_code,class_cd,it_remarks) values('20Aug240117','070000156979','316',(select max(to_number(i.premium_rcv_detail_code))+1
from ins_premium_det i),'316','316','02', '11000003','00','Request by Mr. Saqib Saleem 21-Aug-2024 sheet1');</v>
      </c>
    </row>
    <row r="8" spans="1:8" ht="105" x14ac:dyDescent="0.25">
      <c r="A8" s="1" t="s">
        <v>438</v>
      </c>
      <c r="B8" s="37" t="str">
        <f>VLOOKUP(A8,[1]Sheet1!$B$2:$C$82,2,0)</f>
        <v>070000156980</v>
      </c>
      <c r="C8" s="14">
        <v>1919</v>
      </c>
      <c r="D8" s="38">
        <f t="shared" si="1"/>
        <v>1919</v>
      </c>
      <c r="E8" s="36" t="s">
        <v>726</v>
      </c>
      <c r="F8" s="39" t="str">
        <f t="shared" si="0"/>
        <v>insert into ins_premium_det (premium_rcv_code,assorted_code, rec_amount,premium_rcv_detail_code,remaining_amt, payrec, mode_code,coinsurance_code,class_cd,it_remarks) values</v>
      </c>
      <c r="G8" s="40" t="str">
        <f t="shared" si="2"/>
        <v>('20Aug240117','070000156980','1919',(select max(to_number(i.premium_rcv_detail_code))+1
from ins_premium_det i),'1919','1919','02', '11000003','00','Request by Mr. Saqib Saleem 21-Aug-2024 sheet1');</v>
      </c>
      <c r="H8" s="41" t="str">
        <f t="shared" si="3"/>
        <v>insert into ins_premium_det (premium_rcv_code,assorted_code, rec_amount,premium_rcv_detail_code,remaining_amt, payrec, mode_code,coinsurance_code,class_cd,it_remarks) values('20Aug240117','070000156980','1919',(select max(to_number(i.premium_rcv_detail_code))+1
from ins_premium_det i),'1919','1919','02', '11000003','00','Request by Mr. Saqib Saleem 21-Aug-2024 sheet1');</v>
      </c>
    </row>
    <row r="9" spans="1:8" ht="105" x14ac:dyDescent="0.25">
      <c r="A9" s="1" t="s">
        <v>439</v>
      </c>
      <c r="B9" s="37" t="str">
        <f>VLOOKUP(A9,[1]Sheet1!$B$2:$C$82,2,0)</f>
        <v>070000156986</v>
      </c>
      <c r="C9" s="14">
        <v>1945</v>
      </c>
      <c r="D9" s="38">
        <f t="shared" si="1"/>
        <v>1945</v>
      </c>
      <c r="E9" s="36" t="s">
        <v>726</v>
      </c>
      <c r="F9" s="39" t="str">
        <f t="shared" si="0"/>
        <v>insert into ins_premium_det (premium_rcv_code,assorted_code, rec_amount,premium_rcv_detail_code,remaining_amt, payrec, mode_code,coinsurance_code,class_cd,it_remarks) values</v>
      </c>
      <c r="G9" s="40" t="str">
        <f t="shared" si="2"/>
        <v>('20Aug240117','070000156986','1945',(select max(to_number(i.premium_rcv_detail_code))+1
from ins_premium_det i),'1945','1945','02', '11000003','00','Request by Mr. Saqib Saleem 21-Aug-2024 sheet1');</v>
      </c>
      <c r="H9" s="41" t="str">
        <f t="shared" si="3"/>
        <v>insert into ins_premium_det (premium_rcv_code,assorted_code, rec_amount,premium_rcv_detail_code,remaining_amt, payrec, mode_code,coinsurance_code,class_cd,it_remarks) values('20Aug240117','070000156986','1945',(select max(to_number(i.premium_rcv_detail_code))+1
from ins_premium_det i),'1945','1945','02', '11000003','00','Request by Mr. Saqib Saleem 21-Aug-2024 sheet1');</v>
      </c>
    </row>
    <row r="10" spans="1:8" ht="105" x14ac:dyDescent="0.25">
      <c r="A10" s="1" t="s">
        <v>440</v>
      </c>
      <c r="B10" s="37" t="str">
        <f>VLOOKUP(A10,[1]Sheet1!$B$2:$C$82,2,0)</f>
        <v>070000156988</v>
      </c>
      <c r="C10" s="14">
        <v>319</v>
      </c>
      <c r="D10" s="38">
        <f t="shared" si="1"/>
        <v>319</v>
      </c>
      <c r="E10" s="36" t="s">
        <v>726</v>
      </c>
      <c r="F10" s="39" t="str">
        <f t="shared" si="0"/>
        <v>insert into ins_premium_det (premium_rcv_code,assorted_code, rec_amount,premium_rcv_detail_code,remaining_amt, payrec, mode_code,coinsurance_code,class_cd,it_remarks) values</v>
      </c>
      <c r="G10" s="40" t="str">
        <f t="shared" si="2"/>
        <v>('20Aug240117','070000156988','319',(select max(to_number(i.premium_rcv_detail_code))+1
from ins_premium_det i),'319','319','02', '11000003','00','Request by Mr. Saqib Saleem 21-Aug-2024 sheet1');</v>
      </c>
      <c r="H10" s="41" t="str">
        <f t="shared" si="3"/>
        <v>insert into ins_premium_det (premium_rcv_code,assorted_code, rec_amount,premium_rcv_detail_code,remaining_amt, payrec, mode_code,coinsurance_code,class_cd,it_remarks) values('20Aug240117','070000156988','319',(select max(to_number(i.premium_rcv_detail_code))+1
from ins_premium_det i),'319','319','02', '11000003','00','Request by Mr. Saqib Saleem 21-Aug-2024 sheet1');</v>
      </c>
    </row>
    <row r="11" spans="1:8" ht="105" x14ac:dyDescent="0.25">
      <c r="A11" s="1" t="s">
        <v>441</v>
      </c>
      <c r="B11" s="37" t="str">
        <f>VLOOKUP(A11,[1]Sheet1!$B$2:$C$82,2,0)</f>
        <v>070000156989</v>
      </c>
      <c r="C11" s="14">
        <v>253</v>
      </c>
      <c r="D11" s="38">
        <f t="shared" si="1"/>
        <v>253</v>
      </c>
      <c r="E11" s="36" t="s">
        <v>726</v>
      </c>
      <c r="F11" s="39" t="str">
        <f t="shared" si="0"/>
        <v>insert into ins_premium_det (premium_rcv_code,assorted_code, rec_amount,premium_rcv_detail_code,remaining_amt, payrec, mode_code,coinsurance_code,class_cd,it_remarks) values</v>
      </c>
      <c r="G11" s="40" t="str">
        <f t="shared" si="2"/>
        <v>('20Aug240117','070000156989','253',(select max(to_number(i.premium_rcv_detail_code))+1
from ins_premium_det i),'253','253','02', '11000003','00','Request by Mr. Saqib Saleem 21-Aug-2024 sheet1');</v>
      </c>
      <c r="H11" s="41" t="str">
        <f t="shared" si="3"/>
        <v>insert into ins_premium_det (premium_rcv_code,assorted_code, rec_amount,premium_rcv_detail_code,remaining_amt, payrec, mode_code,coinsurance_code,class_cd,it_remarks) values('20Aug240117','070000156989','253',(select max(to_number(i.premium_rcv_detail_code))+1
from ins_premium_det i),'253','253','02', '11000003','00','Request by Mr. Saqib Saleem 21-Aug-2024 sheet1');</v>
      </c>
    </row>
    <row r="12" spans="1:8" ht="105" x14ac:dyDescent="0.25">
      <c r="A12" s="1" t="s">
        <v>442</v>
      </c>
      <c r="B12" s="37" t="str">
        <f>VLOOKUP(A12,[1]Sheet1!$B$2:$C$82,2,0)</f>
        <v>070000156991</v>
      </c>
      <c r="C12" s="14">
        <v>475</v>
      </c>
      <c r="D12" s="38">
        <f t="shared" si="1"/>
        <v>475</v>
      </c>
      <c r="E12" s="36" t="s">
        <v>726</v>
      </c>
      <c r="F12" s="39" t="str">
        <f t="shared" si="0"/>
        <v>insert into ins_premium_det (premium_rcv_code,assorted_code, rec_amount,premium_rcv_detail_code,remaining_amt, payrec, mode_code,coinsurance_code,class_cd,it_remarks) values</v>
      </c>
      <c r="G12" s="40" t="str">
        <f t="shared" si="2"/>
        <v>('20Aug240117','070000156991','475',(select max(to_number(i.premium_rcv_detail_code))+1
from ins_premium_det i),'475','475','02', '11000003','00','Request by Mr. Saqib Saleem 21-Aug-2024 sheet1');</v>
      </c>
      <c r="H12" s="41" t="str">
        <f t="shared" si="3"/>
        <v>insert into ins_premium_det (premium_rcv_code,assorted_code, rec_amount,premium_rcv_detail_code,remaining_amt, payrec, mode_code,coinsurance_code,class_cd,it_remarks) values('20Aug240117','070000156991','475',(select max(to_number(i.premium_rcv_detail_code))+1
from ins_premium_det i),'475','475','02', '11000003','00','Request by Mr. Saqib Saleem 21-Aug-2024 sheet1');</v>
      </c>
    </row>
    <row r="13" spans="1:8" ht="105" x14ac:dyDescent="0.25">
      <c r="A13" s="1" t="s">
        <v>443</v>
      </c>
      <c r="B13" s="37" t="str">
        <f>VLOOKUP(A13,[1]Sheet1!$B$2:$C$82,2,0)</f>
        <v>070000156992</v>
      </c>
      <c r="C13" s="14">
        <v>5989</v>
      </c>
      <c r="D13" s="38">
        <f t="shared" si="1"/>
        <v>5989</v>
      </c>
      <c r="E13" s="36" t="s">
        <v>726</v>
      </c>
      <c r="F13" s="39" t="str">
        <f t="shared" si="0"/>
        <v>insert into ins_premium_det (premium_rcv_code,assorted_code, rec_amount,premium_rcv_detail_code,remaining_amt, payrec, mode_code,coinsurance_code,class_cd,it_remarks) values</v>
      </c>
      <c r="G13" s="40" t="str">
        <f t="shared" si="2"/>
        <v>('20Aug240117','070000156992','5989',(select max(to_number(i.premium_rcv_detail_code))+1
from ins_premium_det i),'5989','5989','02', '11000003','00','Request by Mr. Saqib Saleem 21-Aug-2024 sheet1');</v>
      </c>
      <c r="H13" s="41" t="str">
        <f t="shared" si="3"/>
        <v>insert into ins_premium_det (premium_rcv_code,assorted_code, rec_amount,premium_rcv_detail_code,remaining_amt, payrec, mode_code,coinsurance_code,class_cd,it_remarks) values('20Aug240117','070000156992','5989',(select max(to_number(i.premium_rcv_detail_code))+1
from ins_premium_det i),'5989','5989','02', '11000003','00','Request by Mr. Saqib Saleem 21-Aug-2024 sheet1');</v>
      </c>
    </row>
    <row r="14" spans="1:8" ht="105" x14ac:dyDescent="0.25">
      <c r="A14" s="1" t="s">
        <v>444</v>
      </c>
      <c r="B14" s="37" t="str">
        <f>VLOOKUP(A14,[1]Sheet1!$B$2:$C$82,2,0)</f>
        <v>070000156993</v>
      </c>
      <c r="C14" s="14">
        <v>6069</v>
      </c>
      <c r="D14" s="38">
        <f t="shared" si="1"/>
        <v>6069</v>
      </c>
      <c r="E14" s="36" t="s">
        <v>726</v>
      </c>
      <c r="F14" s="39" t="str">
        <f t="shared" si="0"/>
        <v>insert into ins_premium_det (premium_rcv_code,assorted_code, rec_amount,premium_rcv_detail_code,remaining_amt, payrec, mode_code,coinsurance_code,class_cd,it_remarks) values</v>
      </c>
      <c r="G14" s="40" t="str">
        <f t="shared" si="2"/>
        <v>('20Aug240117','070000156993','6069',(select max(to_number(i.premium_rcv_detail_code))+1
from ins_premium_det i),'6069','6069','02', '11000003','00','Request by Mr. Saqib Saleem 21-Aug-2024 sheet1');</v>
      </c>
      <c r="H14" s="41" t="str">
        <f t="shared" si="3"/>
        <v>insert into ins_premium_det (premium_rcv_code,assorted_code, rec_amount,premium_rcv_detail_code,remaining_amt, payrec, mode_code,coinsurance_code,class_cd,it_remarks) values('20Aug240117','070000156993','6069',(select max(to_number(i.premium_rcv_detail_code))+1
from ins_premium_det i),'6069','6069','02', '11000003','00','Request by Mr. Saqib Saleem 21-Aug-2024 sheet1');</v>
      </c>
    </row>
    <row r="15" spans="1:8" ht="105" x14ac:dyDescent="0.25">
      <c r="A15" s="1" t="s">
        <v>445</v>
      </c>
      <c r="B15" s="37" t="str">
        <f>VLOOKUP(A15,[1]Sheet1!$B$2:$C$82,2,0)</f>
        <v>070000157002</v>
      </c>
      <c r="C15" s="14">
        <v>199</v>
      </c>
      <c r="D15" s="38">
        <f t="shared" si="1"/>
        <v>199</v>
      </c>
      <c r="E15" s="36" t="s">
        <v>726</v>
      </c>
      <c r="F15" s="39" t="str">
        <f t="shared" si="0"/>
        <v>insert into ins_premium_det (premium_rcv_code,assorted_code, rec_amount,premium_rcv_detail_code,remaining_amt, payrec, mode_code,coinsurance_code,class_cd,it_remarks) values</v>
      </c>
      <c r="G15" s="40" t="str">
        <f t="shared" si="2"/>
        <v>('20Aug240117','070000157002','199',(select max(to_number(i.premium_rcv_detail_code))+1
from ins_premium_det i),'199','199','02', '11000003','00','Request by Mr. Saqib Saleem 21-Aug-2024 sheet1');</v>
      </c>
      <c r="H15" s="41" t="str">
        <f t="shared" si="3"/>
        <v>insert into ins_premium_det (premium_rcv_code,assorted_code, rec_amount,premium_rcv_detail_code,remaining_amt, payrec, mode_code,coinsurance_code,class_cd,it_remarks) values('20Aug240117','070000157002','199',(select max(to_number(i.premium_rcv_detail_code))+1
from ins_premium_det i),'199','199','02', '11000003','00','Request by Mr. Saqib Saleem 21-Aug-2024 sheet1');</v>
      </c>
    </row>
    <row r="16" spans="1:8" ht="105" x14ac:dyDescent="0.25">
      <c r="A16" s="1" t="s">
        <v>446</v>
      </c>
      <c r="B16" s="37" t="str">
        <f>VLOOKUP(A16,[1]Sheet1!$B$2:$C$82,2,0)</f>
        <v>070000157003</v>
      </c>
      <c r="C16" s="14">
        <v>1945</v>
      </c>
      <c r="D16" s="38">
        <f t="shared" si="1"/>
        <v>1945</v>
      </c>
      <c r="E16" s="36" t="s">
        <v>726</v>
      </c>
      <c r="F16" s="39" t="str">
        <f t="shared" si="0"/>
        <v>insert into ins_premium_det (premium_rcv_code,assorted_code, rec_amount,premium_rcv_detail_code,remaining_amt, payrec, mode_code,coinsurance_code,class_cd,it_remarks) values</v>
      </c>
      <c r="G16" s="40" t="str">
        <f t="shared" si="2"/>
        <v>('20Aug240117','070000157003','1945',(select max(to_number(i.premium_rcv_detail_code))+1
from ins_premium_det i),'1945','1945','02', '11000003','00','Request by Mr. Saqib Saleem 21-Aug-2024 sheet1');</v>
      </c>
      <c r="H16" s="41" t="str">
        <f t="shared" si="3"/>
        <v>insert into ins_premium_det (premium_rcv_code,assorted_code, rec_amount,premium_rcv_detail_code,remaining_amt, payrec, mode_code,coinsurance_code,class_cd,it_remarks) values('20Aug240117','070000157003','1945',(select max(to_number(i.premium_rcv_detail_code))+1
from ins_premium_det i),'1945','1945','02', '11000003','00','Request by Mr. Saqib Saleem 21-Aug-2024 sheet1');</v>
      </c>
    </row>
    <row r="17" spans="1:8" ht="105" x14ac:dyDescent="0.25">
      <c r="A17" s="1" t="s">
        <v>447</v>
      </c>
      <c r="B17" s="37" t="str">
        <f>VLOOKUP(A17,[1]Sheet1!$B$2:$C$82,2,0)</f>
        <v>070000157004</v>
      </c>
      <c r="C17" s="14">
        <v>3874</v>
      </c>
      <c r="D17" s="38">
        <f t="shared" si="1"/>
        <v>3874</v>
      </c>
      <c r="E17" s="36" t="s">
        <v>726</v>
      </c>
      <c r="F17" s="39" t="str">
        <f t="shared" si="0"/>
        <v>insert into ins_premium_det (premium_rcv_code,assorted_code, rec_amount,premium_rcv_detail_code,remaining_amt, payrec, mode_code,coinsurance_code,class_cd,it_remarks) values</v>
      </c>
      <c r="G17" s="40" t="str">
        <f t="shared" si="2"/>
        <v>('20Aug240117','070000157004','3874',(select max(to_number(i.premium_rcv_detail_code))+1
from ins_premium_det i),'3874','3874','02', '11000003','00','Request by Mr. Saqib Saleem 21-Aug-2024 sheet1');</v>
      </c>
      <c r="H17" s="41" t="str">
        <f t="shared" si="3"/>
        <v>insert into ins_premium_det (premium_rcv_code,assorted_code, rec_amount,premium_rcv_detail_code,remaining_amt, payrec, mode_code,coinsurance_code,class_cd,it_remarks) values('20Aug240117','070000157004','3874',(select max(to_number(i.premium_rcv_detail_code))+1
from ins_premium_det i),'3874','3874','02', '11000003','00','Request by Mr. Saqib Saleem 21-Aug-2024 sheet1');</v>
      </c>
    </row>
    <row r="18" spans="1:8" ht="105" x14ac:dyDescent="0.25">
      <c r="A18" s="1" t="s">
        <v>448</v>
      </c>
      <c r="B18" s="37" t="str">
        <f>VLOOKUP(A18,[1]Sheet1!$B$2:$C$82,2,0)</f>
        <v>070000157005</v>
      </c>
      <c r="C18" s="14">
        <v>909</v>
      </c>
      <c r="D18" s="38">
        <f t="shared" si="1"/>
        <v>909</v>
      </c>
      <c r="E18" s="36" t="s">
        <v>726</v>
      </c>
      <c r="F18" s="39" t="str">
        <f t="shared" si="0"/>
        <v>insert into ins_premium_det (premium_rcv_code,assorted_code, rec_amount,premium_rcv_detail_code,remaining_amt, payrec, mode_code,coinsurance_code,class_cd,it_remarks) values</v>
      </c>
      <c r="G18" s="40" t="str">
        <f t="shared" si="2"/>
        <v>('20Aug240117','070000157005','909',(select max(to_number(i.premium_rcv_detail_code))+1
from ins_premium_det i),'909','909','02', '11000003','00','Request by Mr. Saqib Saleem 21-Aug-2024 sheet1');</v>
      </c>
      <c r="H18" s="41" t="str">
        <f t="shared" si="3"/>
        <v>insert into ins_premium_det (premium_rcv_code,assorted_code, rec_amount,premium_rcv_detail_code,remaining_amt, payrec, mode_code,coinsurance_code,class_cd,it_remarks) values('20Aug240117','070000157005','909',(select max(to_number(i.premium_rcv_detail_code))+1
from ins_premium_det i),'909','909','02', '11000003','00','Request by Mr. Saqib Saleem 21-Aug-2024 sheet1');</v>
      </c>
    </row>
    <row r="19" spans="1:8" ht="105" x14ac:dyDescent="0.25">
      <c r="A19" s="1" t="s">
        <v>449</v>
      </c>
      <c r="B19" s="37" t="str">
        <f>VLOOKUP(A19,[1]Sheet1!$B$2:$C$82,2,0)</f>
        <v>070000157007</v>
      </c>
      <c r="C19" s="14">
        <v>635</v>
      </c>
      <c r="D19" s="38">
        <f t="shared" si="1"/>
        <v>635</v>
      </c>
      <c r="E19" s="36" t="s">
        <v>726</v>
      </c>
      <c r="F19" s="39" t="str">
        <f t="shared" si="0"/>
        <v>insert into ins_premium_det (premium_rcv_code,assorted_code, rec_amount,premium_rcv_detail_code,remaining_amt, payrec, mode_code,coinsurance_code,class_cd,it_remarks) values</v>
      </c>
      <c r="G19" s="40" t="str">
        <f t="shared" si="2"/>
        <v>('20Aug240117','070000157007','635',(select max(to_number(i.premium_rcv_detail_code))+1
from ins_premium_det i),'635','635','02', '11000003','00','Request by Mr. Saqib Saleem 21-Aug-2024 sheet1');</v>
      </c>
      <c r="H19" s="41" t="str">
        <f t="shared" si="3"/>
        <v>insert into ins_premium_det (premium_rcv_code,assorted_code, rec_amount,premium_rcv_detail_code,remaining_amt, payrec, mode_code,coinsurance_code,class_cd,it_remarks) values('20Aug240117','070000157007','635',(select max(to_number(i.premium_rcv_detail_code))+1
from ins_premium_det i),'635','635','02', '11000003','00','Request by Mr. Saqib Saleem 21-Aug-2024 sheet1');</v>
      </c>
    </row>
    <row r="20" spans="1:8" ht="105" x14ac:dyDescent="0.25">
      <c r="A20" s="1" t="s">
        <v>450</v>
      </c>
      <c r="B20" s="37" t="str">
        <f>VLOOKUP(A20,[1]Sheet1!$B$2:$C$82,2,0)</f>
        <v>070000157008</v>
      </c>
      <c r="C20" s="14">
        <v>1764</v>
      </c>
      <c r="D20" s="38">
        <f t="shared" si="1"/>
        <v>1764</v>
      </c>
      <c r="E20" s="36" t="s">
        <v>726</v>
      </c>
      <c r="F20" s="39" t="str">
        <f t="shared" si="0"/>
        <v>insert into ins_premium_det (premium_rcv_code,assorted_code, rec_amount,premium_rcv_detail_code,remaining_amt, payrec, mode_code,coinsurance_code,class_cd,it_remarks) values</v>
      </c>
      <c r="G20" s="40" t="str">
        <f t="shared" si="2"/>
        <v>('20Aug240117','070000157008','1764',(select max(to_number(i.premium_rcv_detail_code))+1
from ins_premium_det i),'1764','1764','02', '11000003','00','Request by Mr. Saqib Saleem 21-Aug-2024 sheet1');</v>
      </c>
      <c r="H20" s="41" t="str">
        <f t="shared" si="3"/>
        <v>insert into ins_premium_det (premium_rcv_code,assorted_code, rec_amount,premium_rcv_detail_code,remaining_amt, payrec, mode_code,coinsurance_code,class_cd,it_remarks) values('20Aug240117','070000157008','1764',(select max(to_number(i.premium_rcv_detail_code))+1
from ins_premium_det i),'1764','1764','02', '11000003','00','Request by Mr. Saqib Saleem 21-Aug-2024 sheet1');</v>
      </c>
    </row>
    <row r="21" spans="1:8" ht="105" x14ac:dyDescent="0.25">
      <c r="A21" s="1" t="s">
        <v>451</v>
      </c>
      <c r="B21" s="37" t="str">
        <f>VLOOKUP(A21,[1]Sheet1!$B$2:$C$82,2,0)</f>
        <v>070000157009</v>
      </c>
      <c r="C21" s="14">
        <v>457</v>
      </c>
      <c r="D21" s="38">
        <f t="shared" si="1"/>
        <v>457</v>
      </c>
      <c r="E21" s="36" t="s">
        <v>726</v>
      </c>
      <c r="F21" s="39" t="str">
        <f t="shared" si="0"/>
        <v>insert into ins_premium_det (premium_rcv_code,assorted_code, rec_amount,premium_rcv_detail_code,remaining_amt, payrec, mode_code,coinsurance_code,class_cd,it_remarks) values</v>
      </c>
      <c r="G21" s="40" t="str">
        <f t="shared" si="2"/>
        <v>('20Aug240117','070000157009','457',(select max(to_number(i.premium_rcv_detail_code))+1
from ins_premium_det i),'457','457','02', '11000003','00','Request by Mr. Saqib Saleem 21-Aug-2024 sheet1');</v>
      </c>
      <c r="H21" s="41" t="str">
        <f t="shared" si="3"/>
        <v>insert into ins_premium_det (premium_rcv_code,assorted_code, rec_amount,premium_rcv_detail_code,remaining_amt, payrec, mode_code,coinsurance_code,class_cd,it_remarks) values('20Aug240117','070000157009','457',(select max(to_number(i.premium_rcv_detail_code))+1
from ins_premium_det i),'457','457','02', '11000003','00','Request by Mr. Saqib Saleem 21-Aug-2024 sheet1');</v>
      </c>
    </row>
    <row r="22" spans="1:8" ht="105" x14ac:dyDescent="0.25">
      <c r="A22" s="1" t="s">
        <v>452</v>
      </c>
      <c r="B22" s="37" t="str">
        <f>VLOOKUP(A22,[1]Sheet1!$B$2:$C$82,2,0)</f>
        <v>070000157010</v>
      </c>
      <c r="C22" s="14">
        <v>743</v>
      </c>
      <c r="D22" s="38">
        <f t="shared" si="1"/>
        <v>743</v>
      </c>
      <c r="E22" s="36" t="s">
        <v>726</v>
      </c>
      <c r="F22" s="39" t="str">
        <f t="shared" si="0"/>
        <v>insert into ins_premium_det (premium_rcv_code,assorted_code, rec_amount,premium_rcv_detail_code,remaining_amt, payrec, mode_code,coinsurance_code,class_cd,it_remarks) values</v>
      </c>
      <c r="G22" s="40" t="str">
        <f t="shared" si="2"/>
        <v>('20Aug240117','070000157010','743',(select max(to_number(i.premium_rcv_detail_code))+1
from ins_premium_det i),'743','743','02', '11000003','00','Request by Mr. Saqib Saleem 21-Aug-2024 sheet1');</v>
      </c>
      <c r="H22" s="41" t="str">
        <f t="shared" si="3"/>
        <v>insert into ins_premium_det (premium_rcv_code,assorted_code, rec_amount,premium_rcv_detail_code,remaining_amt, payrec, mode_code,coinsurance_code,class_cd,it_remarks) values('20Aug240117','070000157010','743',(select max(to_number(i.premium_rcv_detail_code))+1
from ins_premium_det i),'743','743','02', '11000003','00','Request by Mr. Saqib Saleem 21-Aug-2024 sheet1');</v>
      </c>
    </row>
    <row r="23" spans="1:8" ht="105" x14ac:dyDescent="0.25">
      <c r="A23" s="1" t="s">
        <v>453</v>
      </c>
      <c r="B23" s="37" t="str">
        <f>VLOOKUP(A23,[1]Sheet1!$B$2:$C$82,2,0)</f>
        <v>070000157011</v>
      </c>
      <c r="C23" s="14">
        <v>1358</v>
      </c>
      <c r="D23" s="38">
        <f t="shared" si="1"/>
        <v>1358</v>
      </c>
      <c r="E23" s="36" t="s">
        <v>726</v>
      </c>
      <c r="F23" s="39" t="str">
        <f t="shared" si="0"/>
        <v>insert into ins_premium_det (premium_rcv_code,assorted_code, rec_amount,premium_rcv_detail_code,remaining_amt, payrec, mode_code,coinsurance_code,class_cd,it_remarks) values</v>
      </c>
      <c r="G23" s="40" t="str">
        <f t="shared" si="2"/>
        <v>('20Aug240117','070000157011','1358',(select max(to_number(i.premium_rcv_detail_code))+1
from ins_premium_det i),'1358','1358','02', '11000003','00','Request by Mr. Saqib Saleem 21-Aug-2024 sheet1');</v>
      </c>
      <c r="H23" s="41" t="str">
        <f t="shared" si="3"/>
        <v>insert into ins_premium_det (premium_rcv_code,assorted_code, rec_amount,premium_rcv_detail_code,remaining_amt, payrec, mode_code,coinsurance_code,class_cd,it_remarks) values('20Aug240117','070000157011','1358',(select max(to_number(i.premium_rcv_detail_code))+1
from ins_premium_det i),'1358','1358','02', '11000003','00','Request by Mr. Saqib Saleem 21-Aug-2024 sheet1');</v>
      </c>
    </row>
    <row r="24" spans="1:8" ht="105" x14ac:dyDescent="0.25">
      <c r="A24" s="1" t="s">
        <v>454</v>
      </c>
      <c r="B24" s="37" t="str">
        <f>VLOOKUP(A24,[1]Sheet1!$B$2:$C$82,2,0)</f>
        <v>070000157018</v>
      </c>
      <c r="C24" s="14">
        <v>7148</v>
      </c>
      <c r="D24" s="38">
        <f t="shared" si="1"/>
        <v>7148</v>
      </c>
      <c r="E24" s="36" t="s">
        <v>726</v>
      </c>
      <c r="F24" s="39" t="str">
        <f t="shared" si="0"/>
        <v>insert into ins_premium_det (premium_rcv_code,assorted_code, rec_amount,premium_rcv_detail_code,remaining_amt, payrec, mode_code,coinsurance_code,class_cd,it_remarks) values</v>
      </c>
      <c r="G24" s="40" t="str">
        <f t="shared" si="2"/>
        <v>('20Aug240117','070000157018','7148',(select max(to_number(i.premium_rcv_detail_code))+1
from ins_premium_det i),'7148','7148','02', '11000003','00','Request by Mr. Saqib Saleem 21-Aug-2024 sheet1');</v>
      </c>
      <c r="H24" s="41" t="str">
        <f t="shared" si="3"/>
        <v>insert into ins_premium_det (premium_rcv_code,assorted_code, rec_amount,premium_rcv_detail_code,remaining_amt, payrec, mode_code,coinsurance_code,class_cd,it_remarks) values('20Aug240117','070000157018','7148',(select max(to_number(i.premium_rcv_detail_code))+1
from ins_premium_det i),'7148','7148','02', '11000003','00','Request by Mr. Saqib Saleem 21-Aug-2024 sheet1');</v>
      </c>
    </row>
    <row r="25" spans="1:8" ht="105" x14ac:dyDescent="0.25">
      <c r="A25" s="1" t="s">
        <v>455</v>
      </c>
      <c r="B25" s="37" t="str">
        <f>VLOOKUP(A25,[1]Sheet1!$B$2:$C$82,2,0)</f>
        <v>070000157019</v>
      </c>
      <c r="C25" s="14">
        <v>1255</v>
      </c>
      <c r="D25" s="38">
        <f t="shared" si="1"/>
        <v>1255</v>
      </c>
      <c r="E25" s="36" t="s">
        <v>726</v>
      </c>
      <c r="F25" s="39" t="str">
        <f t="shared" si="0"/>
        <v>insert into ins_premium_det (premium_rcv_code,assorted_code, rec_amount,premium_rcv_detail_code,remaining_amt, payrec, mode_code,coinsurance_code,class_cd,it_remarks) values</v>
      </c>
      <c r="G25" s="40" t="str">
        <f t="shared" si="2"/>
        <v>('20Aug240117','070000157019','1255',(select max(to_number(i.premium_rcv_detail_code))+1
from ins_premium_det i),'1255','1255','02', '11000003','00','Request by Mr. Saqib Saleem 21-Aug-2024 sheet1');</v>
      </c>
      <c r="H25" s="41" t="str">
        <f t="shared" si="3"/>
        <v>insert into ins_premium_det (premium_rcv_code,assorted_code, rec_amount,premium_rcv_detail_code,remaining_amt, payrec, mode_code,coinsurance_code,class_cd,it_remarks) values('20Aug240117','070000157019','1255',(select max(to_number(i.premium_rcv_detail_code))+1
from ins_premium_det i),'1255','1255','02', '11000003','00','Request by Mr. Saqib Saleem 21-Aug-2024 sheet1');</v>
      </c>
    </row>
    <row r="26" spans="1:8" ht="105" x14ac:dyDescent="0.25">
      <c r="A26" s="1" t="s">
        <v>456</v>
      </c>
      <c r="B26" s="37" t="str">
        <f>VLOOKUP(A26,[1]Sheet1!$B$2:$C$82,2,0)</f>
        <v>070000157020</v>
      </c>
      <c r="C26" s="14">
        <v>1119</v>
      </c>
      <c r="D26" s="38">
        <f t="shared" si="1"/>
        <v>1119</v>
      </c>
      <c r="E26" s="36" t="s">
        <v>726</v>
      </c>
      <c r="F26" s="39" t="str">
        <f t="shared" si="0"/>
        <v>insert into ins_premium_det (premium_rcv_code,assorted_code, rec_amount,premium_rcv_detail_code,remaining_amt, payrec, mode_code,coinsurance_code,class_cd,it_remarks) values</v>
      </c>
      <c r="G26" s="40" t="str">
        <f t="shared" si="2"/>
        <v>('20Aug240117','070000157020','1119',(select max(to_number(i.premium_rcv_detail_code))+1
from ins_premium_det i),'1119','1119','02', '11000003','00','Request by Mr. Saqib Saleem 21-Aug-2024 sheet1');</v>
      </c>
      <c r="H26" s="41" t="str">
        <f t="shared" si="3"/>
        <v>insert into ins_premium_det (premium_rcv_code,assorted_code, rec_amount,premium_rcv_detail_code,remaining_amt, payrec, mode_code,coinsurance_code,class_cd,it_remarks) values('20Aug240117','070000157020','1119',(select max(to_number(i.premium_rcv_detail_code))+1
from ins_premium_det i),'1119','1119','02', '11000003','00','Request by Mr. Saqib Saleem 21-Aug-2024 sheet1');</v>
      </c>
    </row>
    <row r="27" spans="1:8" ht="105" x14ac:dyDescent="0.25">
      <c r="A27" s="1" t="s">
        <v>457</v>
      </c>
      <c r="B27" s="37" t="str">
        <f>VLOOKUP(A27,[1]Sheet1!$B$2:$C$82,2,0)</f>
        <v>070000157042</v>
      </c>
      <c r="C27" s="14">
        <v>24018</v>
      </c>
      <c r="D27" s="38">
        <f t="shared" si="1"/>
        <v>24018</v>
      </c>
      <c r="E27" s="36" t="s">
        <v>726</v>
      </c>
      <c r="F27" s="39" t="str">
        <f t="shared" si="0"/>
        <v>insert into ins_premium_det (premium_rcv_code,assorted_code, rec_amount,premium_rcv_detail_code,remaining_amt, payrec, mode_code,coinsurance_code,class_cd,it_remarks) values</v>
      </c>
      <c r="G27" s="40" t="str">
        <f t="shared" si="2"/>
        <v>('20Aug240117','070000157042','24018',(select max(to_number(i.premium_rcv_detail_code))+1
from ins_premium_det i),'24018','24018','02', '11000003','00','Request by Mr. Saqib Saleem 21-Aug-2024 sheet1');</v>
      </c>
      <c r="H27" s="41" t="str">
        <f t="shared" si="3"/>
        <v>insert into ins_premium_det (premium_rcv_code,assorted_code, rec_amount,premium_rcv_detail_code,remaining_amt, payrec, mode_code,coinsurance_code,class_cd,it_remarks) values('20Aug240117','070000157042','24018',(select max(to_number(i.premium_rcv_detail_code))+1
from ins_premium_det i),'24018','24018','02', '11000003','00','Request by Mr. Saqib Saleem 21-Aug-2024 sheet1');</v>
      </c>
    </row>
    <row r="28" spans="1:8" ht="105" x14ac:dyDescent="0.25">
      <c r="A28" s="1" t="s">
        <v>458</v>
      </c>
      <c r="B28" s="37" t="str">
        <f>VLOOKUP(A28,[1]Sheet1!$B$2:$C$82,2,0)</f>
        <v>070000157043</v>
      </c>
      <c r="C28" s="14">
        <v>5085</v>
      </c>
      <c r="D28" s="38">
        <f t="shared" si="1"/>
        <v>5085</v>
      </c>
      <c r="E28" s="36" t="s">
        <v>726</v>
      </c>
      <c r="F28" s="39" t="str">
        <f t="shared" si="0"/>
        <v>insert into ins_premium_det (premium_rcv_code,assorted_code, rec_amount,premium_rcv_detail_code,remaining_amt, payrec, mode_code,coinsurance_code,class_cd,it_remarks) values</v>
      </c>
      <c r="G28" s="40" t="str">
        <f t="shared" si="2"/>
        <v>('20Aug240117','070000157043','5085',(select max(to_number(i.premium_rcv_detail_code))+1
from ins_premium_det i),'5085','5085','02', '11000003','00','Request by Mr. Saqib Saleem 21-Aug-2024 sheet1');</v>
      </c>
      <c r="H28" s="41" t="str">
        <f t="shared" si="3"/>
        <v>insert into ins_premium_det (premium_rcv_code,assorted_code, rec_amount,premium_rcv_detail_code,remaining_amt, payrec, mode_code,coinsurance_code,class_cd,it_remarks) values('20Aug240117','070000157043','5085',(select max(to_number(i.premium_rcv_detail_code))+1
from ins_premium_det i),'5085','5085','02', '11000003','00','Request by Mr. Saqib Saleem 21-Aug-2024 sheet1');</v>
      </c>
    </row>
    <row r="29" spans="1:8" ht="105" x14ac:dyDescent="0.25">
      <c r="A29" s="1" t="s">
        <v>459</v>
      </c>
      <c r="B29" s="37" t="str">
        <f>VLOOKUP(A29,[1]Sheet1!$B$2:$C$82,2,0)</f>
        <v>070000157044</v>
      </c>
      <c r="C29" s="14">
        <v>199</v>
      </c>
      <c r="D29" s="38">
        <f t="shared" si="1"/>
        <v>199</v>
      </c>
      <c r="E29" s="36" t="s">
        <v>726</v>
      </c>
      <c r="F29" s="39" t="str">
        <f t="shared" si="0"/>
        <v>insert into ins_premium_det (premium_rcv_code,assorted_code, rec_amount,premium_rcv_detail_code,remaining_amt, payrec, mode_code,coinsurance_code,class_cd,it_remarks) values</v>
      </c>
      <c r="G29" s="40" t="str">
        <f t="shared" si="2"/>
        <v>('20Aug240117','070000157044','199',(select max(to_number(i.premium_rcv_detail_code))+1
from ins_premium_det i),'199','199','02', '11000003','00','Request by Mr. Saqib Saleem 21-Aug-2024 sheet1');</v>
      </c>
      <c r="H29" s="41" t="str">
        <f t="shared" si="3"/>
        <v>insert into ins_premium_det (premium_rcv_code,assorted_code, rec_amount,premium_rcv_detail_code,remaining_amt, payrec, mode_code,coinsurance_code,class_cd,it_remarks) values('20Aug240117','070000157044','199',(select max(to_number(i.premium_rcv_detail_code))+1
from ins_premium_det i),'199','199','02', '11000003','00','Request by Mr. Saqib Saleem 21-Aug-2024 sheet1');</v>
      </c>
    </row>
    <row r="30" spans="1:8" ht="105" x14ac:dyDescent="0.25">
      <c r="A30" s="1" t="s">
        <v>460</v>
      </c>
      <c r="B30" s="37" t="str">
        <f>VLOOKUP(A30,[1]Sheet1!$B$2:$C$82,2,0)</f>
        <v>070000157047</v>
      </c>
      <c r="C30" s="14">
        <v>540</v>
      </c>
      <c r="D30" s="38">
        <f t="shared" si="1"/>
        <v>540</v>
      </c>
      <c r="E30" s="36" t="s">
        <v>726</v>
      </c>
      <c r="F30" s="39" t="str">
        <f t="shared" si="0"/>
        <v>insert into ins_premium_det (premium_rcv_code,assorted_code, rec_amount,premium_rcv_detail_code,remaining_amt, payrec, mode_code,coinsurance_code,class_cd,it_remarks) values</v>
      </c>
      <c r="G30" s="40" t="str">
        <f t="shared" si="2"/>
        <v>('20Aug240117','070000157047','540',(select max(to_number(i.premium_rcv_detail_code))+1
from ins_premium_det i),'540','540','02', '11000003','00','Request by Mr. Saqib Saleem 21-Aug-2024 sheet1');</v>
      </c>
      <c r="H30" s="41" t="str">
        <f t="shared" si="3"/>
        <v>insert into ins_premium_det (premium_rcv_code,assorted_code, rec_amount,premium_rcv_detail_code,remaining_amt, payrec, mode_code,coinsurance_code,class_cd,it_remarks) values('20Aug240117','070000157047','540',(select max(to_number(i.premium_rcv_detail_code))+1
from ins_premium_det i),'540','540','02', '11000003','00','Request by Mr. Saqib Saleem 21-Aug-2024 sheet1');</v>
      </c>
    </row>
    <row r="31" spans="1:8" ht="105" x14ac:dyDescent="0.25">
      <c r="A31" s="1" t="s">
        <v>461</v>
      </c>
      <c r="B31" s="37" t="str">
        <f>VLOOKUP(A31,[1]Sheet1!$B$2:$C$82,2,0)</f>
        <v>070000157048</v>
      </c>
      <c r="C31" s="14">
        <v>4845</v>
      </c>
      <c r="D31" s="38">
        <f t="shared" si="1"/>
        <v>4845</v>
      </c>
      <c r="E31" s="36" t="s">
        <v>726</v>
      </c>
      <c r="F31" s="39" t="str">
        <f t="shared" si="0"/>
        <v>insert into ins_premium_det (premium_rcv_code,assorted_code, rec_amount,premium_rcv_detail_code,remaining_amt, payrec, mode_code,coinsurance_code,class_cd,it_remarks) values</v>
      </c>
      <c r="G31" s="40" t="str">
        <f t="shared" si="2"/>
        <v>('20Aug240117','070000157048','4845',(select max(to_number(i.premium_rcv_detail_code))+1
from ins_premium_det i),'4845','4845','02', '11000003','00','Request by Mr. Saqib Saleem 21-Aug-2024 sheet1');</v>
      </c>
      <c r="H31" s="41" t="str">
        <f t="shared" si="3"/>
        <v>insert into ins_premium_det (premium_rcv_code,assorted_code, rec_amount,premium_rcv_detail_code,remaining_amt, payrec, mode_code,coinsurance_code,class_cd,it_remarks) values('20Aug240117','070000157048','4845',(select max(to_number(i.premium_rcv_detail_code))+1
from ins_premium_det i),'4845','4845','02', '11000003','00','Request by Mr. Saqib Saleem 21-Aug-2024 sheet1');</v>
      </c>
    </row>
    <row r="32" spans="1:8" ht="105" x14ac:dyDescent="0.25">
      <c r="A32" s="1" t="s">
        <v>462</v>
      </c>
      <c r="B32" s="37" t="str">
        <f>VLOOKUP(A32,[1]Sheet1!$B$2:$C$82,2,0)</f>
        <v>070000157049</v>
      </c>
      <c r="C32" s="14">
        <v>2317</v>
      </c>
      <c r="D32" s="38">
        <f t="shared" si="1"/>
        <v>2317</v>
      </c>
      <c r="E32" s="36" t="s">
        <v>726</v>
      </c>
      <c r="F32" s="39" t="str">
        <f t="shared" si="0"/>
        <v>insert into ins_premium_det (premium_rcv_code,assorted_code, rec_amount,premium_rcv_detail_code,remaining_amt, payrec, mode_code,coinsurance_code,class_cd,it_remarks) values</v>
      </c>
      <c r="G32" s="40" t="str">
        <f t="shared" si="2"/>
        <v>('20Aug240117','070000157049','2317',(select max(to_number(i.premium_rcv_detail_code))+1
from ins_premium_det i),'2317','2317','02', '11000003','00','Request by Mr. Saqib Saleem 21-Aug-2024 sheet1');</v>
      </c>
      <c r="H32" s="41" t="str">
        <f t="shared" si="3"/>
        <v>insert into ins_premium_det (premium_rcv_code,assorted_code, rec_amount,premium_rcv_detail_code,remaining_amt, payrec, mode_code,coinsurance_code,class_cd,it_remarks) values('20Aug240117','070000157049','2317',(select max(to_number(i.premium_rcv_detail_code))+1
from ins_premium_det i),'2317','2317','02', '11000003','00','Request by Mr. Saqib Saleem 21-Aug-2024 sheet1');</v>
      </c>
    </row>
    <row r="33" spans="1:8" ht="105" x14ac:dyDescent="0.25">
      <c r="A33" s="1" t="s">
        <v>463</v>
      </c>
      <c r="B33" s="37" t="str">
        <f>VLOOKUP(A33,[1]Sheet1!$B$2:$C$82,2,0)</f>
        <v>070000157051</v>
      </c>
      <c r="C33" s="14">
        <v>3708</v>
      </c>
      <c r="D33" s="38">
        <f t="shared" si="1"/>
        <v>3708</v>
      </c>
      <c r="E33" s="36" t="s">
        <v>726</v>
      </c>
      <c r="F33" s="39" t="str">
        <f t="shared" si="0"/>
        <v>insert into ins_premium_det (premium_rcv_code,assorted_code, rec_amount,premium_rcv_detail_code,remaining_amt, payrec, mode_code,coinsurance_code,class_cd,it_remarks) values</v>
      </c>
      <c r="G33" s="40" t="str">
        <f t="shared" si="2"/>
        <v>('20Aug240117','070000157051','3708',(select max(to_number(i.premium_rcv_detail_code))+1
from ins_premium_det i),'3708','3708','02', '11000003','00','Request by Mr. Saqib Saleem 21-Aug-2024 sheet1');</v>
      </c>
      <c r="H33" s="41" t="str">
        <f t="shared" si="3"/>
        <v>insert into ins_premium_det (premium_rcv_code,assorted_code, rec_amount,premium_rcv_detail_code,remaining_amt, payrec, mode_code,coinsurance_code,class_cd,it_remarks) values('20Aug240117','070000157051','3708',(select max(to_number(i.premium_rcv_detail_code))+1
from ins_premium_det i),'3708','3708','02', '11000003','00','Request by Mr. Saqib Saleem 21-Aug-2024 sheet1');</v>
      </c>
    </row>
    <row r="34" spans="1:8" ht="105" x14ac:dyDescent="0.25">
      <c r="A34" s="1" t="s">
        <v>464</v>
      </c>
      <c r="B34" s="37" t="str">
        <f>VLOOKUP(A34,[1]Sheet1!$B$2:$C$82,2,0)</f>
        <v>070000157052</v>
      </c>
      <c r="C34" s="14">
        <v>763</v>
      </c>
      <c r="D34" s="38">
        <f t="shared" si="1"/>
        <v>763</v>
      </c>
      <c r="E34" s="36" t="s">
        <v>726</v>
      </c>
      <c r="F34" s="39" t="str">
        <f t="shared" si="0"/>
        <v>insert into ins_premium_det (premium_rcv_code,assorted_code, rec_amount,premium_rcv_detail_code,remaining_amt, payrec, mode_code,coinsurance_code,class_cd,it_remarks) values</v>
      </c>
      <c r="G34" s="40" t="str">
        <f t="shared" si="2"/>
        <v>('20Aug240117','070000157052','763',(select max(to_number(i.premium_rcv_detail_code))+1
from ins_premium_det i),'763','763','02', '11000003','00','Request by Mr. Saqib Saleem 21-Aug-2024 sheet1');</v>
      </c>
      <c r="H34" s="41" t="str">
        <f t="shared" si="3"/>
        <v>insert into ins_premium_det (premium_rcv_code,assorted_code, rec_amount,premium_rcv_detail_code,remaining_amt, payrec, mode_code,coinsurance_code,class_cd,it_remarks) values('20Aug240117','070000157052','763',(select max(to_number(i.premium_rcv_detail_code))+1
from ins_premium_det i),'763','763','02', '11000003','00','Request by Mr. Saqib Saleem 21-Aug-2024 sheet1');</v>
      </c>
    </row>
    <row r="35" spans="1:8" ht="105" x14ac:dyDescent="0.25">
      <c r="A35" s="1" t="s">
        <v>465</v>
      </c>
      <c r="B35" s="37" t="str">
        <f>VLOOKUP(A35,[1]Sheet1!$B$2:$C$82,2,0)</f>
        <v>070000157054</v>
      </c>
      <c r="C35" s="14">
        <v>2431</v>
      </c>
      <c r="D35" s="38">
        <f t="shared" si="1"/>
        <v>2431</v>
      </c>
      <c r="E35" s="36" t="s">
        <v>726</v>
      </c>
      <c r="F35" s="39" t="str">
        <f t="shared" si="0"/>
        <v>insert into ins_premium_det (premium_rcv_code,assorted_code, rec_amount,premium_rcv_detail_code,remaining_amt, payrec, mode_code,coinsurance_code,class_cd,it_remarks) values</v>
      </c>
      <c r="G35" s="40" t="str">
        <f t="shared" si="2"/>
        <v>('20Aug240117','070000157054','2431',(select max(to_number(i.premium_rcv_detail_code))+1
from ins_premium_det i),'2431','2431','02', '11000003','00','Request by Mr. Saqib Saleem 21-Aug-2024 sheet1');</v>
      </c>
      <c r="H35" s="41" t="str">
        <f t="shared" si="3"/>
        <v>insert into ins_premium_det (premium_rcv_code,assorted_code, rec_amount,premium_rcv_detail_code,remaining_amt, payrec, mode_code,coinsurance_code,class_cd,it_remarks) values('20Aug240117','070000157054','2431',(select max(to_number(i.premium_rcv_detail_code))+1
from ins_premium_det i),'2431','2431','02', '11000003','00','Request by Mr. Saqib Saleem 21-Aug-2024 sheet1');</v>
      </c>
    </row>
    <row r="36" spans="1:8" ht="105" x14ac:dyDescent="0.25">
      <c r="A36" s="1" t="s">
        <v>466</v>
      </c>
      <c r="B36" s="37" t="str">
        <f>VLOOKUP(A36,[1]Sheet1!$B$2:$C$82,2,0)</f>
        <v>070000157055</v>
      </c>
      <c r="C36" s="14">
        <v>556</v>
      </c>
      <c r="D36" s="38">
        <f t="shared" si="1"/>
        <v>556</v>
      </c>
      <c r="E36" s="36" t="s">
        <v>726</v>
      </c>
      <c r="F36" s="39" t="str">
        <f t="shared" si="0"/>
        <v>insert into ins_premium_det (premium_rcv_code,assorted_code, rec_amount,premium_rcv_detail_code,remaining_amt, payrec, mode_code,coinsurance_code,class_cd,it_remarks) values</v>
      </c>
      <c r="G36" s="40" t="str">
        <f t="shared" si="2"/>
        <v>('20Aug240117','070000157055','556',(select max(to_number(i.premium_rcv_detail_code))+1
from ins_premium_det i),'556','556','02', '11000003','00','Request by Mr. Saqib Saleem 21-Aug-2024 sheet1');</v>
      </c>
      <c r="H36" s="41" t="str">
        <f t="shared" si="3"/>
        <v>insert into ins_premium_det (premium_rcv_code,assorted_code, rec_amount,premium_rcv_detail_code,remaining_amt, payrec, mode_code,coinsurance_code,class_cd,it_remarks) values('20Aug240117','070000157055','556',(select max(to_number(i.premium_rcv_detail_code))+1
from ins_premium_det i),'556','556','02', '11000003','00','Request by Mr. Saqib Saleem 21-Aug-2024 sheet1');</v>
      </c>
    </row>
    <row r="37" spans="1:8" ht="105" x14ac:dyDescent="0.25">
      <c r="A37" s="1" t="s">
        <v>467</v>
      </c>
      <c r="B37" s="37" t="str">
        <f>VLOOKUP(A37,[1]Sheet1!$B$2:$C$82,2,0)</f>
        <v>070000157056</v>
      </c>
      <c r="C37" s="14">
        <v>6908</v>
      </c>
      <c r="D37" s="38">
        <f t="shared" si="1"/>
        <v>6908</v>
      </c>
      <c r="E37" s="36" t="s">
        <v>726</v>
      </c>
      <c r="F37" s="39" t="str">
        <f t="shared" si="0"/>
        <v>insert into ins_premium_det (premium_rcv_code,assorted_code, rec_amount,premium_rcv_detail_code,remaining_amt, payrec, mode_code,coinsurance_code,class_cd,it_remarks) values</v>
      </c>
      <c r="G37" s="40" t="str">
        <f t="shared" si="2"/>
        <v>('20Aug240117','070000157056','6908',(select max(to_number(i.premium_rcv_detail_code))+1
from ins_premium_det i),'6908','6908','02', '11000003','00','Request by Mr. Saqib Saleem 21-Aug-2024 sheet1');</v>
      </c>
      <c r="H37" s="41" t="str">
        <f t="shared" si="3"/>
        <v>insert into ins_premium_det (premium_rcv_code,assorted_code, rec_amount,premium_rcv_detail_code,remaining_amt, payrec, mode_code,coinsurance_code,class_cd,it_remarks) values('20Aug240117','070000157056','6908',(select max(to_number(i.premium_rcv_detail_code))+1
from ins_premium_det i),'6908','6908','02', '11000003','00','Request by Mr. Saqib Saleem 21-Aug-2024 sheet1');</v>
      </c>
    </row>
    <row r="38" spans="1:8" ht="105" x14ac:dyDescent="0.25">
      <c r="A38" s="1" t="s">
        <v>468</v>
      </c>
      <c r="B38" s="37" t="str">
        <f>VLOOKUP(A38,[1]Sheet1!$B$2:$C$82,2,0)</f>
        <v>070000157059</v>
      </c>
      <c r="C38" s="14">
        <v>634</v>
      </c>
      <c r="D38" s="38">
        <f t="shared" si="1"/>
        <v>634</v>
      </c>
      <c r="E38" s="36" t="s">
        <v>726</v>
      </c>
      <c r="F38" s="39" t="str">
        <f t="shared" si="0"/>
        <v>insert into ins_premium_det (premium_rcv_code,assorted_code, rec_amount,premium_rcv_detail_code,remaining_amt, payrec, mode_code,coinsurance_code,class_cd,it_remarks) values</v>
      </c>
      <c r="G38" s="40" t="str">
        <f t="shared" si="2"/>
        <v>('20Aug240117','070000157059','634',(select max(to_number(i.premium_rcv_detail_code))+1
from ins_premium_det i),'634','634','02', '11000003','00','Request by Mr. Saqib Saleem 21-Aug-2024 sheet1');</v>
      </c>
      <c r="H38" s="41" t="str">
        <f t="shared" si="3"/>
        <v>insert into ins_premium_det (premium_rcv_code,assorted_code, rec_amount,premium_rcv_detail_code,remaining_amt, payrec, mode_code,coinsurance_code,class_cd,it_remarks) values('20Aug240117','070000157059','634',(select max(to_number(i.premium_rcv_detail_code))+1
from ins_premium_det i),'634','634','02', '11000003','00','Request by Mr. Saqib Saleem 21-Aug-2024 sheet1');</v>
      </c>
    </row>
    <row r="39" spans="1:8" ht="105" x14ac:dyDescent="0.25">
      <c r="A39" s="1" t="s">
        <v>469</v>
      </c>
      <c r="B39" s="37" t="str">
        <f>VLOOKUP(A39,[1]Sheet1!$B$2:$C$82,2,0)</f>
        <v>070000157060</v>
      </c>
      <c r="C39" s="14">
        <v>1966</v>
      </c>
      <c r="D39" s="38">
        <f t="shared" si="1"/>
        <v>1966</v>
      </c>
      <c r="E39" s="36" t="s">
        <v>726</v>
      </c>
      <c r="F39" s="39" t="str">
        <f t="shared" si="0"/>
        <v>insert into ins_premium_det (premium_rcv_code,assorted_code, rec_amount,premium_rcv_detail_code,remaining_amt, payrec, mode_code,coinsurance_code,class_cd,it_remarks) values</v>
      </c>
      <c r="G39" s="40" t="str">
        <f t="shared" si="2"/>
        <v>('20Aug240117','070000157060','1966',(select max(to_number(i.premium_rcv_detail_code))+1
from ins_premium_det i),'1966','1966','02', '11000003','00','Request by Mr. Saqib Saleem 21-Aug-2024 sheet1');</v>
      </c>
      <c r="H39" s="41" t="str">
        <f t="shared" si="3"/>
        <v>insert into ins_premium_det (premium_rcv_code,assorted_code, rec_amount,premium_rcv_detail_code,remaining_amt, payrec, mode_code,coinsurance_code,class_cd,it_remarks) values('20Aug240117','070000157060','1966',(select max(to_number(i.premium_rcv_detail_code))+1
from ins_premium_det i),'1966','1966','02', '11000003','00','Request by Mr. Saqib Saleem 21-Aug-2024 sheet1');</v>
      </c>
    </row>
    <row r="40" spans="1:8" ht="105" x14ac:dyDescent="0.25">
      <c r="A40" s="1" t="s">
        <v>470</v>
      </c>
      <c r="B40" s="37" t="str">
        <f>VLOOKUP(A40,[1]Sheet1!$B$2:$C$82,2,0)</f>
        <v>070000157061</v>
      </c>
      <c r="C40" s="14">
        <v>12954</v>
      </c>
      <c r="D40" s="38">
        <f t="shared" si="1"/>
        <v>12954</v>
      </c>
      <c r="E40" s="36" t="s">
        <v>726</v>
      </c>
      <c r="F40" s="39" t="str">
        <f t="shared" si="0"/>
        <v>insert into ins_premium_det (premium_rcv_code,assorted_code, rec_amount,premium_rcv_detail_code,remaining_amt, payrec, mode_code,coinsurance_code,class_cd,it_remarks) values</v>
      </c>
      <c r="G40" s="40" t="str">
        <f t="shared" si="2"/>
        <v>('20Aug240117','070000157061','12954',(select max(to_number(i.premium_rcv_detail_code))+1
from ins_premium_det i),'12954','12954','02', '11000003','00','Request by Mr. Saqib Saleem 21-Aug-2024 sheet1');</v>
      </c>
      <c r="H40" s="41" t="str">
        <f t="shared" si="3"/>
        <v>insert into ins_premium_det (premium_rcv_code,assorted_code, rec_amount,premium_rcv_detail_code,remaining_amt, payrec, mode_code,coinsurance_code,class_cd,it_remarks) values('20Aug240117','070000157061','12954',(select max(to_number(i.premium_rcv_detail_code))+1
from ins_premium_det i),'12954','12954','02', '11000003','00','Request by Mr. Saqib Saleem 21-Aug-2024 sheet1');</v>
      </c>
    </row>
    <row r="41" spans="1:8" ht="105" x14ac:dyDescent="0.25">
      <c r="A41" s="1" t="s">
        <v>471</v>
      </c>
      <c r="B41" s="37" t="str">
        <f>VLOOKUP(A41,[1]Sheet1!$B$2:$C$82,2,0)</f>
        <v>070000157063</v>
      </c>
      <c r="C41" s="14">
        <v>1999</v>
      </c>
      <c r="D41" s="38">
        <f t="shared" si="1"/>
        <v>1999</v>
      </c>
      <c r="E41" s="36" t="s">
        <v>726</v>
      </c>
      <c r="F41" s="39" t="str">
        <f t="shared" si="0"/>
        <v>insert into ins_premium_det (premium_rcv_code,assorted_code, rec_amount,premium_rcv_detail_code,remaining_amt, payrec, mode_code,coinsurance_code,class_cd,it_remarks) values</v>
      </c>
      <c r="G41" s="40" t="str">
        <f t="shared" si="2"/>
        <v>('20Aug240117','070000157063','1999',(select max(to_number(i.premium_rcv_detail_code))+1
from ins_premium_det i),'1999','1999','02', '11000003','00','Request by Mr. Saqib Saleem 21-Aug-2024 sheet1');</v>
      </c>
      <c r="H41" s="41" t="str">
        <f t="shared" si="3"/>
        <v>insert into ins_premium_det (premium_rcv_code,assorted_code, rec_amount,premium_rcv_detail_code,remaining_amt, payrec, mode_code,coinsurance_code,class_cd,it_remarks) values('20Aug240117','070000157063','1999',(select max(to_number(i.premium_rcv_detail_code))+1
from ins_premium_det i),'1999','1999','02', '11000003','00','Request by Mr. Saqib Saleem 21-Aug-2024 sheet1');</v>
      </c>
    </row>
    <row r="42" spans="1:8" ht="105" x14ac:dyDescent="0.25">
      <c r="A42" s="1" t="s">
        <v>472</v>
      </c>
      <c r="B42" s="37" t="str">
        <f>VLOOKUP(A42,[1]Sheet1!$B$2:$C$82,2,0)</f>
        <v>070000157064</v>
      </c>
      <c r="C42" s="14">
        <v>1431</v>
      </c>
      <c r="D42" s="38">
        <f t="shared" si="1"/>
        <v>1431</v>
      </c>
      <c r="E42" s="36" t="s">
        <v>726</v>
      </c>
      <c r="F42" s="39" t="str">
        <f t="shared" si="0"/>
        <v>insert into ins_premium_det (premium_rcv_code,assorted_code, rec_amount,premium_rcv_detail_code,remaining_amt, payrec, mode_code,coinsurance_code,class_cd,it_remarks) values</v>
      </c>
      <c r="G42" s="40" t="str">
        <f t="shared" si="2"/>
        <v>('20Aug240117','070000157064','1431',(select max(to_number(i.premium_rcv_detail_code))+1
from ins_premium_det i),'1431','1431','02', '11000003','00','Request by Mr. Saqib Saleem 21-Aug-2024 sheet1');</v>
      </c>
      <c r="H42" s="41" t="str">
        <f t="shared" si="3"/>
        <v>insert into ins_premium_det (premium_rcv_code,assorted_code, rec_amount,premium_rcv_detail_code,remaining_amt, payrec, mode_code,coinsurance_code,class_cd,it_remarks) values('20Aug240117','070000157064','1431',(select max(to_number(i.premium_rcv_detail_code))+1
from ins_premium_det i),'1431','1431','02', '11000003','00','Request by Mr. Saqib Saleem 21-Aug-2024 sheet1');</v>
      </c>
    </row>
    <row r="43" spans="1:8" ht="105" x14ac:dyDescent="0.25">
      <c r="A43" s="1" t="s">
        <v>473</v>
      </c>
      <c r="B43" s="37" t="str">
        <f>VLOOKUP(A43,[1]Sheet1!$B$2:$C$82,2,0)</f>
        <v>070000157085</v>
      </c>
      <c r="C43" s="14">
        <v>5159</v>
      </c>
      <c r="D43" s="38">
        <f t="shared" si="1"/>
        <v>5159</v>
      </c>
      <c r="E43" s="36" t="s">
        <v>726</v>
      </c>
      <c r="F43" s="39" t="str">
        <f t="shared" si="0"/>
        <v>insert into ins_premium_det (premium_rcv_code,assorted_code, rec_amount,premium_rcv_detail_code,remaining_amt, payrec, mode_code,coinsurance_code,class_cd,it_remarks) values</v>
      </c>
      <c r="G43" s="40" t="str">
        <f t="shared" si="2"/>
        <v>('20Aug240117','070000157085','5159',(select max(to_number(i.premium_rcv_detail_code))+1
from ins_premium_det i),'5159','5159','02', '11000003','00','Request by Mr. Saqib Saleem 21-Aug-2024 sheet1');</v>
      </c>
      <c r="H43" s="41" t="str">
        <f t="shared" si="3"/>
        <v>insert into ins_premium_det (premium_rcv_code,assorted_code, rec_amount,premium_rcv_detail_code,remaining_amt, payrec, mode_code,coinsurance_code,class_cd,it_remarks) values('20Aug240117','070000157085','5159',(select max(to_number(i.premium_rcv_detail_code))+1
from ins_premium_det i),'5159','5159','02', '11000003','00','Request by Mr. Saqib Saleem 21-Aug-2024 sheet1');</v>
      </c>
    </row>
    <row r="44" spans="1:8" ht="105" x14ac:dyDescent="0.25">
      <c r="A44" s="1" t="s">
        <v>474</v>
      </c>
      <c r="B44" s="37" t="str">
        <f>VLOOKUP(A44,[1]Sheet1!$B$2:$C$82,2,0)</f>
        <v>070000157086</v>
      </c>
      <c r="C44" s="14">
        <v>1649</v>
      </c>
      <c r="D44" s="38">
        <f t="shared" si="1"/>
        <v>1649</v>
      </c>
      <c r="E44" s="36" t="s">
        <v>726</v>
      </c>
      <c r="F44" s="39" t="str">
        <f t="shared" si="0"/>
        <v>insert into ins_premium_det (premium_rcv_code,assorted_code, rec_amount,premium_rcv_detail_code,remaining_amt, payrec, mode_code,coinsurance_code,class_cd,it_remarks) values</v>
      </c>
      <c r="G44" s="40" t="str">
        <f t="shared" si="2"/>
        <v>('20Aug240117','070000157086','1649',(select max(to_number(i.premium_rcv_detail_code))+1
from ins_premium_det i),'1649','1649','02', '11000003','00','Request by Mr. Saqib Saleem 21-Aug-2024 sheet1');</v>
      </c>
      <c r="H44" s="41" t="str">
        <f t="shared" si="3"/>
        <v>insert into ins_premium_det (premium_rcv_code,assorted_code, rec_amount,premium_rcv_detail_code,remaining_amt, payrec, mode_code,coinsurance_code,class_cd,it_remarks) values('20Aug240117','070000157086','1649',(select max(to_number(i.premium_rcv_detail_code))+1
from ins_premium_det i),'1649','1649','02', '11000003','00','Request by Mr. Saqib Saleem 21-Aug-2024 sheet1');</v>
      </c>
    </row>
    <row r="45" spans="1:8" ht="105" x14ac:dyDescent="0.25">
      <c r="A45" s="1" t="s">
        <v>475</v>
      </c>
      <c r="B45" s="37" t="str">
        <f>VLOOKUP(A45,[1]Sheet1!$B$2:$C$82,2,0)</f>
        <v>070000157087</v>
      </c>
      <c r="C45" s="14">
        <v>24416</v>
      </c>
      <c r="D45" s="38">
        <f t="shared" si="1"/>
        <v>24416</v>
      </c>
      <c r="E45" s="36" t="s">
        <v>726</v>
      </c>
      <c r="F45" s="39" t="str">
        <f t="shared" si="0"/>
        <v>insert into ins_premium_det (premium_rcv_code,assorted_code, rec_amount,premium_rcv_detail_code,remaining_amt, payrec, mode_code,coinsurance_code,class_cd,it_remarks) values</v>
      </c>
      <c r="G45" s="40" t="str">
        <f t="shared" si="2"/>
        <v>('20Aug240117','070000157087','24416',(select max(to_number(i.premium_rcv_detail_code))+1
from ins_premium_det i),'24416','24416','02', '11000003','00','Request by Mr. Saqib Saleem 21-Aug-2024 sheet1');</v>
      </c>
      <c r="H45" s="41" t="str">
        <f t="shared" si="3"/>
        <v>insert into ins_premium_det (premium_rcv_code,assorted_code, rec_amount,premium_rcv_detail_code,remaining_amt, payrec, mode_code,coinsurance_code,class_cd,it_remarks) values('20Aug240117','070000157087','24416',(select max(to_number(i.premium_rcv_detail_code))+1
from ins_premium_det i),'24416','24416','02', '11000003','00','Request by Mr. Saqib Saleem 21-Aug-2024 sheet1');</v>
      </c>
    </row>
    <row r="46" spans="1:8" ht="105" x14ac:dyDescent="0.25">
      <c r="A46" s="1" t="s">
        <v>476</v>
      </c>
      <c r="B46" s="37" t="str">
        <f>VLOOKUP(A46,[1]Sheet1!$B$2:$C$82,2,0)</f>
        <v>070000157088</v>
      </c>
      <c r="C46" s="14">
        <v>201</v>
      </c>
      <c r="D46" s="38">
        <f t="shared" si="1"/>
        <v>201</v>
      </c>
      <c r="E46" s="36" t="s">
        <v>726</v>
      </c>
      <c r="F46" s="39" t="str">
        <f t="shared" si="0"/>
        <v>insert into ins_premium_det (premium_rcv_code,assorted_code, rec_amount,premium_rcv_detail_code,remaining_amt, payrec, mode_code,coinsurance_code,class_cd,it_remarks) values</v>
      </c>
      <c r="G46" s="40" t="str">
        <f t="shared" si="2"/>
        <v>('20Aug240117','070000157088','201',(select max(to_number(i.premium_rcv_detail_code))+1
from ins_premium_det i),'201','201','02', '11000003','00','Request by Mr. Saqib Saleem 21-Aug-2024 sheet1');</v>
      </c>
      <c r="H46" s="41" t="str">
        <f t="shared" si="3"/>
        <v>insert into ins_premium_det (premium_rcv_code,assorted_code, rec_amount,premium_rcv_detail_code,remaining_amt, payrec, mode_code,coinsurance_code,class_cd,it_remarks) values('20Aug240117','070000157088','201',(select max(to_number(i.premium_rcv_detail_code))+1
from ins_premium_det i),'201','201','02', '11000003','00','Request by Mr. Saqib Saleem 21-Aug-2024 sheet1');</v>
      </c>
    </row>
    <row r="47" spans="1:8" ht="105" x14ac:dyDescent="0.25">
      <c r="A47" s="1" t="s">
        <v>477</v>
      </c>
      <c r="B47" s="37" t="str">
        <f>VLOOKUP(A47,[1]Sheet1!$B$2:$C$82,2,0)</f>
        <v>070000157089</v>
      </c>
      <c r="C47" s="14">
        <v>2364</v>
      </c>
      <c r="D47" s="38">
        <f t="shared" si="1"/>
        <v>2364</v>
      </c>
      <c r="E47" s="36" t="s">
        <v>726</v>
      </c>
      <c r="F47" s="39" t="str">
        <f t="shared" si="0"/>
        <v>insert into ins_premium_det (premium_rcv_code,assorted_code, rec_amount,premium_rcv_detail_code,remaining_amt, payrec, mode_code,coinsurance_code,class_cd,it_remarks) values</v>
      </c>
      <c r="G47" s="40" t="str">
        <f t="shared" si="2"/>
        <v>('20Aug240117','070000157089','2364',(select max(to_number(i.premium_rcv_detail_code))+1
from ins_premium_det i),'2364','2364','02', '11000003','00','Request by Mr. Saqib Saleem 21-Aug-2024 sheet1');</v>
      </c>
      <c r="H47" s="41" t="str">
        <f t="shared" si="3"/>
        <v>insert into ins_premium_det (premium_rcv_code,assorted_code, rec_amount,premium_rcv_detail_code,remaining_amt, payrec, mode_code,coinsurance_code,class_cd,it_remarks) values('20Aug240117','070000157089','2364',(select max(to_number(i.premium_rcv_detail_code))+1
from ins_premium_det i),'2364','2364','02', '11000003','00','Request by Mr. Saqib Saleem 21-Aug-2024 sheet1');</v>
      </c>
    </row>
    <row r="48" spans="1:8" ht="105" x14ac:dyDescent="0.25">
      <c r="A48" s="1" t="s">
        <v>478</v>
      </c>
      <c r="B48" s="37" t="str">
        <f>VLOOKUP(A48,[1]Sheet1!$B$2:$C$82,2,0)</f>
        <v>070000157090</v>
      </c>
      <c r="C48" s="14">
        <v>1849</v>
      </c>
      <c r="D48" s="38">
        <f t="shared" si="1"/>
        <v>1849</v>
      </c>
      <c r="E48" s="36" t="s">
        <v>726</v>
      </c>
      <c r="F48" s="39" t="str">
        <f t="shared" si="0"/>
        <v>insert into ins_premium_det (premium_rcv_code,assorted_code, rec_amount,premium_rcv_detail_code,remaining_amt, payrec, mode_code,coinsurance_code,class_cd,it_remarks) values</v>
      </c>
      <c r="G48" s="40" t="str">
        <f t="shared" si="2"/>
        <v>('20Aug240117','070000157090','1849',(select max(to_number(i.premium_rcv_detail_code))+1
from ins_premium_det i),'1849','1849','02', '11000003','00','Request by Mr. Saqib Saleem 21-Aug-2024 sheet1');</v>
      </c>
      <c r="H48" s="41" t="str">
        <f t="shared" si="3"/>
        <v>insert into ins_premium_det (premium_rcv_code,assorted_code, rec_amount,premium_rcv_detail_code,remaining_amt, payrec, mode_code,coinsurance_code,class_cd,it_remarks) values('20Aug240117','070000157090','1849',(select max(to_number(i.premium_rcv_detail_code))+1
from ins_premium_det i),'1849','1849','02', '11000003','00','Request by Mr. Saqib Saleem 21-Aug-2024 sheet1');</v>
      </c>
    </row>
    <row r="49" spans="1:8" ht="105" x14ac:dyDescent="0.25">
      <c r="A49" s="1" t="s">
        <v>479</v>
      </c>
      <c r="B49" s="37" t="str">
        <f>VLOOKUP(A49,[1]Sheet1!$B$2:$C$82,2,0)</f>
        <v>070000157101</v>
      </c>
      <c r="C49" s="14">
        <v>7137</v>
      </c>
      <c r="D49" s="38">
        <f t="shared" si="1"/>
        <v>7137</v>
      </c>
      <c r="E49" s="36" t="s">
        <v>726</v>
      </c>
      <c r="F49" s="39" t="str">
        <f t="shared" si="0"/>
        <v>insert into ins_premium_det (premium_rcv_code,assorted_code, rec_amount,premium_rcv_detail_code,remaining_amt, payrec, mode_code,coinsurance_code,class_cd,it_remarks) values</v>
      </c>
      <c r="G49" s="40" t="str">
        <f t="shared" si="2"/>
        <v>('20Aug240117','070000157101','7137',(select max(to_number(i.premium_rcv_detail_code))+1
from ins_premium_det i),'7137','7137','02', '11000003','00','Request by Mr. Saqib Saleem 21-Aug-2024 sheet1');</v>
      </c>
      <c r="H49" s="41" t="str">
        <f t="shared" si="3"/>
        <v>insert into ins_premium_det (premium_rcv_code,assorted_code, rec_amount,premium_rcv_detail_code,remaining_amt, payrec, mode_code,coinsurance_code,class_cd,it_remarks) values('20Aug240117','070000157101','7137',(select max(to_number(i.premium_rcv_detail_code))+1
from ins_premium_det i),'7137','7137','02', '11000003','00','Request by Mr. Saqib Saleem 21-Aug-2024 sheet1');</v>
      </c>
    </row>
    <row r="50" spans="1:8" ht="105" x14ac:dyDescent="0.25">
      <c r="A50" s="1" t="s">
        <v>480</v>
      </c>
      <c r="B50" s="37" t="str">
        <f>VLOOKUP(A50,[1]Sheet1!$B$2:$C$82,2,0)</f>
        <v>070000157103</v>
      </c>
      <c r="C50" s="14">
        <v>5394</v>
      </c>
      <c r="D50" s="38">
        <f t="shared" si="1"/>
        <v>5394</v>
      </c>
      <c r="E50" s="36" t="s">
        <v>726</v>
      </c>
      <c r="F50" s="39" t="str">
        <f t="shared" si="0"/>
        <v>insert into ins_premium_det (premium_rcv_code,assorted_code, rec_amount,premium_rcv_detail_code,remaining_amt, payrec, mode_code,coinsurance_code,class_cd,it_remarks) values</v>
      </c>
      <c r="G50" s="40" t="str">
        <f t="shared" si="2"/>
        <v>('20Aug240117','070000157103','5394',(select max(to_number(i.premium_rcv_detail_code))+1
from ins_premium_det i),'5394','5394','02', '11000003','00','Request by Mr. Saqib Saleem 21-Aug-2024 sheet1');</v>
      </c>
      <c r="H50" s="41" t="str">
        <f t="shared" si="3"/>
        <v>insert into ins_premium_det (premium_rcv_code,assorted_code, rec_amount,premium_rcv_detail_code,remaining_amt, payrec, mode_code,coinsurance_code,class_cd,it_remarks) values('20Aug240117','070000157103','5394',(select max(to_number(i.premium_rcv_detail_code))+1
from ins_premium_det i),'5394','5394','02', '11000003','00','Request by Mr. Saqib Saleem 21-Aug-2024 sheet1');</v>
      </c>
    </row>
    <row r="51" spans="1:8" ht="105" x14ac:dyDescent="0.25">
      <c r="A51" s="1" t="s">
        <v>481</v>
      </c>
      <c r="B51" s="37" t="str">
        <f>VLOOKUP(A51,[1]Sheet1!$B$2:$C$82,2,0)</f>
        <v>070000157105</v>
      </c>
      <c r="C51" s="14">
        <v>247</v>
      </c>
      <c r="D51" s="38">
        <f t="shared" si="1"/>
        <v>247</v>
      </c>
      <c r="E51" s="36" t="s">
        <v>726</v>
      </c>
      <c r="F51" s="39" t="str">
        <f t="shared" si="0"/>
        <v>insert into ins_premium_det (premium_rcv_code,assorted_code, rec_amount,premium_rcv_detail_code,remaining_amt, payrec, mode_code,coinsurance_code,class_cd,it_remarks) values</v>
      </c>
      <c r="G51" s="40" t="str">
        <f t="shared" si="2"/>
        <v>('20Aug240117','070000157105','247',(select max(to_number(i.premium_rcv_detail_code))+1
from ins_premium_det i),'247','247','02', '11000003','00','Request by Mr. Saqib Saleem 21-Aug-2024 sheet1');</v>
      </c>
      <c r="H51" s="41" t="str">
        <f t="shared" si="3"/>
        <v>insert into ins_premium_det (premium_rcv_code,assorted_code, rec_amount,premium_rcv_detail_code,remaining_amt, payrec, mode_code,coinsurance_code,class_cd,it_remarks) values('20Aug240117','070000157105','247',(select max(to_number(i.premium_rcv_detail_code))+1
from ins_premium_det i),'247','247','02', '11000003','00','Request by Mr. Saqib Saleem 21-Aug-2024 sheet1');</v>
      </c>
    </row>
    <row r="52" spans="1:8" ht="105" x14ac:dyDescent="0.25">
      <c r="A52" s="1" t="s">
        <v>482</v>
      </c>
      <c r="B52" s="37" t="str">
        <f>VLOOKUP(A52,[1]Sheet1!$B$2:$C$82,2,0)</f>
        <v>070000157106</v>
      </c>
      <c r="C52" s="14">
        <v>200</v>
      </c>
      <c r="D52" s="38">
        <f t="shared" si="1"/>
        <v>200</v>
      </c>
      <c r="E52" s="36" t="s">
        <v>726</v>
      </c>
      <c r="F52" s="39" t="str">
        <f t="shared" si="0"/>
        <v>insert into ins_premium_det (premium_rcv_code,assorted_code, rec_amount,premium_rcv_detail_code,remaining_amt, payrec, mode_code,coinsurance_code,class_cd,it_remarks) values</v>
      </c>
      <c r="G52" s="40" t="str">
        <f t="shared" si="2"/>
        <v>('20Aug240117','070000157106','200',(select max(to_number(i.premium_rcv_detail_code))+1
from ins_premium_det i),'200','200','02', '11000003','00','Request by Mr. Saqib Saleem 21-Aug-2024 sheet1');</v>
      </c>
      <c r="H52" s="41" t="str">
        <f t="shared" si="3"/>
        <v>insert into ins_premium_det (premium_rcv_code,assorted_code, rec_amount,premium_rcv_detail_code,remaining_amt, payrec, mode_code,coinsurance_code,class_cd,it_remarks) values('20Aug240117','070000157106','200',(select max(to_number(i.premium_rcv_detail_code))+1
from ins_premium_det i),'200','200','02', '11000003','00','Request by Mr. Saqib Saleem 21-Aug-2024 sheet1');</v>
      </c>
    </row>
    <row r="53" spans="1:8" ht="105" x14ac:dyDescent="0.25">
      <c r="A53" s="1" t="s">
        <v>483</v>
      </c>
      <c r="B53" s="37" t="str">
        <f>VLOOKUP(A53,[1]Sheet1!$B$2:$C$82,2,0)</f>
        <v>070000157108</v>
      </c>
      <c r="C53" s="14">
        <v>999</v>
      </c>
      <c r="D53" s="38">
        <f t="shared" si="1"/>
        <v>999</v>
      </c>
      <c r="E53" s="36" t="s">
        <v>726</v>
      </c>
      <c r="F53" s="39" t="str">
        <f t="shared" si="0"/>
        <v>insert into ins_premium_det (premium_rcv_code,assorted_code, rec_amount,premium_rcv_detail_code,remaining_amt, payrec, mode_code,coinsurance_code,class_cd,it_remarks) values</v>
      </c>
      <c r="G53" s="40" t="str">
        <f t="shared" si="2"/>
        <v>('20Aug240117','070000157108','999',(select max(to_number(i.premium_rcv_detail_code))+1
from ins_premium_det i),'999','999','02', '11000003','00','Request by Mr. Saqib Saleem 21-Aug-2024 sheet1');</v>
      </c>
      <c r="H53" s="41" t="str">
        <f t="shared" si="3"/>
        <v>insert into ins_premium_det (premium_rcv_code,assorted_code, rec_amount,premium_rcv_detail_code,remaining_amt, payrec, mode_code,coinsurance_code,class_cd,it_remarks) values('20Aug240117','070000157108','999',(select max(to_number(i.premium_rcv_detail_code))+1
from ins_premium_det i),'999','999','02', '11000003','00','Request by Mr. Saqib Saleem 21-Aug-2024 sheet1');</v>
      </c>
    </row>
    <row r="54" spans="1:8" ht="105" x14ac:dyDescent="0.25">
      <c r="A54" s="1" t="s">
        <v>484</v>
      </c>
      <c r="B54" s="37" t="str">
        <f>VLOOKUP(A54,[1]Sheet1!$B$2:$C$82,2,0)</f>
        <v>070000157150</v>
      </c>
      <c r="C54" s="14">
        <v>5284</v>
      </c>
      <c r="D54" s="38">
        <f t="shared" si="1"/>
        <v>5284</v>
      </c>
      <c r="E54" s="36" t="s">
        <v>726</v>
      </c>
      <c r="F54" s="39" t="str">
        <f t="shared" si="0"/>
        <v>insert into ins_premium_det (premium_rcv_code,assorted_code, rec_amount,premium_rcv_detail_code,remaining_amt, payrec, mode_code,coinsurance_code,class_cd,it_remarks) values</v>
      </c>
      <c r="G54" s="40" t="str">
        <f t="shared" si="2"/>
        <v>('20Aug240117','070000157150','5284',(select max(to_number(i.premium_rcv_detail_code))+1
from ins_premium_det i),'5284','5284','02', '11000003','00','Request by Mr. Saqib Saleem 21-Aug-2024 sheet1');</v>
      </c>
      <c r="H54" s="41" t="str">
        <f t="shared" si="3"/>
        <v>insert into ins_premium_det (premium_rcv_code,assorted_code, rec_amount,premium_rcv_detail_code,remaining_amt, payrec, mode_code,coinsurance_code,class_cd,it_remarks) values('20Aug240117','070000157150','5284',(select max(to_number(i.premium_rcv_detail_code))+1
from ins_premium_det i),'5284','5284','02', '11000003','00','Request by Mr. Saqib Saleem 21-Aug-2024 sheet1');</v>
      </c>
    </row>
    <row r="55" spans="1:8" ht="105" x14ac:dyDescent="0.25">
      <c r="A55" s="1" t="s">
        <v>485</v>
      </c>
      <c r="B55" s="37" t="str">
        <f>VLOOKUP(A55,[1]Sheet1!$B$2:$C$82,2,0)</f>
        <v>070000157151</v>
      </c>
      <c r="C55" s="14">
        <v>691</v>
      </c>
      <c r="D55" s="38">
        <f t="shared" si="1"/>
        <v>691</v>
      </c>
      <c r="E55" s="36" t="s">
        <v>726</v>
      </c>
      <c r="F55" s="39" t="str">
        <f t="shared" si="0"/>
        <v>insert into ins_premium_det (premium_rcv_code,assorted_code, rec_amount,premium_rcv_detail_code,remaining_amt, payrec, mode_code,coinsurance_code,class_cd,it_remarks) values</v>
      </c>
      <c r="G55" s="40" t="str">
        <f t="shared" si="2"/>
        <v>('20Aug240117','070000157151','691',(select max(to_number(i.premium_rcv_detail_code))+1
from ins_premium_det i),'691','691','02', '11000003','00','Request by Mr. Saqib Saleem 21-Aug-2024 sheet1');</v>
      </c>
      <c r="H55" s="41" t="str">
        <f t="shared" si="3"/>
        <v>insert into ins_premium_det (premium_rcv_code,assorted_code, rec_amount,premium_rcv_detail_code,remaining_amt, payrec, mode_code,coinsurance_code,class_cd,it_remarks) values('20Aug240117','070000157151','691',(select max(to_number(i.premium_rcv_detail_code))+1
from ins_premium_det i),'691','691','02', '11000003','00','Request by Mr. Saqib Saleem 21-Aug-2024 sheet1');</v>
      </c>
    </row>
    <row r="56" spans="1:8" ht="105" x14ac:dyDescent="0.25">
      <c r="A56" s="1" t="s">
        <v>486</v>
      </c>
      <c r="B56" s="37" t="str">
        <f>VLOOKUP(A56,[1]Sheet1!$B$2:$C$82,2,0)</f>
        <v>070000157152</v>
      </c>
      <c r="C56" s="14">
        <v>1508</v>
      </c>
      <c r="D56" s="38">
        <f t="shared" si="1"/>
        <v>1508</v>
      </c>
      <c r="E56" s="36" t="s">
        <v>726</v>
      </c>
      <c r="F56" s="39" t="str">
        <f t="shared" si="0"/>
        <v>insert into ins_premium_det (premium_rcv_code,assorted_code, rec_amount,premium_rcv_detail_code,remaining_amt, payrec, mode_code,coinsurance_code,class_cd,it_remarks) values</v>
      </c>
      <c r="G56" s="40" t="str">
        <f t="shared" si="2"/>
        <v>('20Aug240117','070000157152','1508',(select max(to_number(i.premium_rcv_detail_code))+1
from ins_premium_det i),'1508','1508','02', '11000003','00','Request by Mr. Saqib Saleem 21-Aug-2024 sheet1');</v>
      </c>
      <c r="H56" s="41" t="str">
        <f t="shared" si="3"/>
        <v>insert into ins_premium_det (premium_rcv_code,assorted_code, rec_amount,premium_rcv_detail_code,remaining_amt, payrec, mode_code,coinsurance_code,class_cd,it_remarks) values('20Aug240117','070000157152','1508',(select max(to_number(i.premium_rcv_detail_code))+1
from ins_premium_det i),'1508','1508','02', '11000003','00','Request by Mr. Saqib Saleem 21-Aug-2024 sheet1');</v>
      </c>
    </row>
    <row r="57" spans="1:8" ht="105" x14ac:dyDescent="0.25">
      <c r="A57" s="1" t="s">
        <v>487</v>
      </c>
      <c r="B57" s="37" t="str">
        <f>VLOOKUP(A57,[1]Sheet1!$B$2:$C$82,2,0)</f>
        <v>070000157153</v>
      </c>
      <c r="C57" s="14">
        <v>1553</v>
      </c>
      <c r="D57" s="38">
        <f t="shared" si="1"/>
        <v>1553</v>
      </c>
      <c r="E57" s="36" t="s">
        <v>726</v>
      </c>
      <c r="F57" s="39" t="str">
        <f t="shared" si="0"/>
        <v>insert into ins_premium_det (premium_rcv_code,assorted_code, rec_amount,premium_rcv_detail_code,remaining_amt, payrec, mode_code,coinsurance_code,class_cd,it_remarks) values</v>
      </c>
      <c r="G57" s="40" t="str">
        <f t="shared" si="2"/>
        <v>('20Aug240117','070000157153','1553',(select max(to_number(i.premium_rcv_detail_code))+1
from ins_premium_det i),'1553','1553','02', '11000003','00','Request by Mr. Saqib Saleem 21-Aug-2024 sheet1');</v>
      </c>
      <c r="H57" s="41" t="str">
        <f t="shared" si="3"/>
        <v>insert into ins_premium_det (premium_rcv_code,assorted_code, rec_amount,premium_rcv_detail_code,remaining_amt, payrec, mode_code,coinsurance_code,class_cd,it_remarks) values('20Aug240117','070000157153','1553',(select max(to_number(i.premium_rcv_detail_code))+1
from ins_premium_det i),'1553','1553','02', '11000003','00','Request by Mr. Saqib Saleem 21-Aug-2024 sheet1');</v>
      </c>
    </row>
    <row r="58" spans="1:8" ht="105" x14ac:dyDescent="0.25">
      <c r="A58" s="1" t="s">
        <v>488</v>
      </c>
      <c r="B58" s="37" t="str">
        <f>VLOOKUP(A58,[1]Sheet1!$B$2:$C$82,2,0)</f>
        <v>070000157154</v>
      </c>
      <c r="C58" s="14">
        <v>3266</v>
      </c>
      <c r="D58" s="38">
        <f t="shared" si="1"/>
        <v>3266</v>
      </c>
      <c r="E58" s="36" t="s">
        <v>726</v>
      </c>
      <c r="F58" s="39" t="str">
        <f t="shared" si="0"/>
        <v>insert into ins_premium_det (premium_rcv_code,assorted_code, rec_amount,premium_rcv_detail_code,remaining_amt, payrec, mode_code,coinsurance_code,class_cd,it_remarks) values</v>
      </c>
      <c r="G58" s="40" t="str">
        <f t="shared" si="2"/>
        <v>('20Aug240117','070000157154','3266',(select max(to_number(i.premium_rcv_detail_code))+1
from ins_premium_det i),'3266','3266','02', '11000003','00','Request by Mr. Saqib Saleem 21-Aug-2024 sheet1');</v>
      </c>
      <c r="H58" s="41" t="str">
        <f t="shared" si="3"/>
        <v>insert into ins_premium_det (premium_rcv_code,assorted_code, rec_amount,premium_rcv_detail_code,remaining_amt, payrec, mode_code,coinsurance_code,class_cd,it_remarks) values('20Aug240117','070000157154','3266',(select max(to_number(i.premium_rcv_detail_code))+1
from ins_premium_det i),'3266','3266','02', '11000003','00','Request by Mr. Saqib Saleem 21-Aug-2024 sheet1');</v>
      </c>
    </row>
    <row r="59" spans="1:8" ht="105" x14ac:dyDescent="0.25">
      <c r="A59" s="1" t="s">
        <v>489</v>
      </c>
      <c r="B59" s="37" t="str">
        <f>VLOOKUP(A59,[1]Sheet1!$B$2:$C$82,2,0)</f>
        <v>070000157157</v>
      </c>
      <c r="C59" s="14">
        <v>14124</v>
      </c>
      <c r="D59" s="38">
        <f t="shared" si="1"/>
        <v>14124</v>
      </c>
      <c r="E59" s="36" t="s">
        <v>726</v>
      </c>
      <c r="F59" s="39" t="str">
        <f t="shared" si="0"/>
        <v>insert into ins_premium_det (premium_rcv_code,assorted_code, rec_amount,premium_rcv_detail_code,remaining_amt, payrec, mode_code,coinsurance_code,class_cd,it_remarks) values</v>
      </c>
      <c r="G59" s="40" t="str">
        <f t="shared" si="2"/>
        <v>('20Aug240117','070000157157','14124',(select max(to_number(i.premium_rcv_detail_code))+1
from ins_premium_det i),'14124','14124','02', '11000003','00','Request by Mr. Saqib Saleem 21-Aug-2024 sheet1');</v>
      </c>
      <c r="H59" s="41" t="str">
        <f t="shared" si="3"/>
        <v>insert into ins_premium_det (premium_rcv_code,assorted_code, rec_amount,premium_rcv_detail_code,remaining_amt, payrec, mode_code,coinsurance_code,class_cd,it_remarks) values('20Aug240117','070000157157','14124',(select max(to_number(i.premium_rcv_detail_code))+1
from ins_premium_det i),'14124','14124','02', '11000003','00','Request by Mr. Saqib Saleem 21-Aug-2024 sheet1');</v>
      </c>
    </row>
    <row r="60" spans="1:8" ht="105" x14ac:dyDescent="0.25">
      <c r="A60" s="1" t="s">
        <v>490</v>
      </c>
      <c r="B60" s="37" t="str">
        <f>VLOOKUP(A60,[1]Sheet1!$B$2:$C$82,2,0)</f>
        <v>070000157158</v>
      </c>
      <c r="C60" s="14">
        <v>4784</v>
      </c>
      <c r="D60" s="38">
        <f t="shared" si="1"/>
        <v>4784</v>
      </c>
      <c r="E60" s="36" t="s">
        <v>726</v>
      </c>
      <c r="F60" s="39" t="str">
        <f t="shared" si="0"/>
        <v>insert into ins_premium_det (premium_rcv_code,assorted_code, rec_amount,premium_rcv_detail_code,remaining_amt, payrec, mode_code,coinsurance_code,class_cd,it_remarks) values</v>
      </c>
      <c r="G60" s="40" t="str">
        <f t="shared" si="2"/>
        <v>('20Aug240117','070000157158','4784',(select max(to_number(i.premium_rcv_detail_code))+1
from ins_premium_det i),'4784','4784','02', '11000003','00','Request by Mr. Saqib Saleem 21-Aug-2024 sheet1');</v>
      </c>
      <c r="H60" s="41" t="str">
        <f t="shared" si="3"/>
        <v>insert into ins_premium_det (premium_rcv_code,assorted_code, rec_amount,premium_rcv_detail_code,remaining_amt, payrec, mode_code,coinsurance_code,class_cd,it_remarks) values('20Aug240117','070000157158','4784',(select max(to_number(i.premium_rcv_detail_code))+1
from ins_premium_det i),'4784','4784','02', '11000003','00','Request by Mr. Saqib Saleem 21-Aug-2024 sheet1');</v>
      </c>
    </row>
    <row r="61" spans="1:8" ht="105" x14ac:dyDescent="0.25">
      <c r="A61" s="1" t="s">
        <v>491</v>
      </c>
      <c r="B61" s="37" t="str">
        <f>VLOOKUP(A61,[1]Sheet1!$B$2:$C$82,2,0)</f>
        <v>070000157159</v>
      </c>
      <c r="C61" s="14">
        <v>3600</v>
      </c>
      <c r="D61" s="38">
        <f t="shared" si="1"/>
        <v>3600</v>
      </c>
      <c r="E61" s="36" t="s">
        <v>726</v>
      </c>
      <c r="F61" s="39" t="str">
        <f t="shared" si="0"/>
        <v>insert into ins_premium_det (premium_rcv_code,assorted_code, rec_amount,premium_rcv_detail_code,remaining_amt, payrec, mode_code,coinsurance_code,class_cd,it_remarks) values</v>
      </c>
      <c r="G61" s="40" t="str">
        <f t="shared" si="2"/>
        <v>('20Aug240117','070000157159','3600',(select max(to_number(i.premium_rcv_detail_code))+1
from ins_premium_det i),'3600','3600','02', '11000003','00','Request by Mr. Saqib Saleem 21-Aug-2024 sheet1');</v>
      </c>
      <c r="H61" s="41" t="str">
        <f t="shared" si="3"/>
        <v>insert into ins_premium_det (premium_rcv_code,assorted_code, rec_amount,premium_rcv_detail_code,remaining_amt, payrec, mode_code,coinsurance_code,class_cd,it_remarks) values('20Aug240117','070000157159','3600',(select max(to_number(i.premium_rcv_detail_code))+1
from ins_premium_det i),'3600','3600','02', '11000003','00','Request by Mr. Saqib Saleem 21-Aug-2024 sheet1');</v>
      </c>
    </row>
    <row r="62" spans="1:8" ht="105" x14ac:dyDescent="0.25">
      <c r="A62" s="1" t="s">
        <v>492</v>
      </c>
      <c r="B62" s="37" t="str">
        <f>VLOOKUP(A62,[1]Sheet1!$B$2:$C$82,2,0)</f>
        <v>070000157356</v>
      </c>
      <c r="C62" s="14">
        <v>7601</v>
      </c>
      <c r="D62" s="38">
        <f t="shared" si="1"/>
        <v>7601</v>
      </c>
      <c r="E62" s="36" t="s">
        <v>726</v>
      </c>
      <c r="F62" s="39" t="str">
        <f t="shared" si="0"/>
        <v>insert into ins_premium_det (premium_rcv_code,assorted_code, rec_amount,premium_rcv_detail_code,remaining_amt, payrec, mode_code,coinsurance_code,class_cd,it_remarks) values</v>
      </c>
      <c r="G62" s="40" t="str">
        <f t="shared" si="2"/>
        <v>('20Aug240117','070000157356','7601',(select max(to_number(i.premium_rcv_detail_code))+1
from ins_premium_det i),'7601','7601','02', '11000003','00','Request by Mr. Saqib Saleem 21-Aug-2024 sheet1');</v>
      </c>
      <c r="H62" s="41" t="str">
        <f t="shared" si="3"/>
        <v>insert into ins_premium_det (premium_rcv_code,assorted_code, rec_amount,premium_rcv_detail_code,remaining_amt, payrec, mode_code,coinsurance_code,class_cd,it_remarks) values('20Aug240117','070000157356','7601',(select max(to_number(i.premium_rcv_detail_code))+1
from ins_premium_det i),'7601','7601','02', '11000003','00','Request by Mr. Saqib Saleem 21-Aug-2024 sheet1');</v>
      </c>
    </row>
    <row r="63" spans="1:8" ht="105" x14ac:dyDescent="0.25">
      <c r="A63" s="1" t="s">
        <v>493</v>
      </c>
      <c r="B63" s="37" t="str">
        <f>VLOOKUP(A63,[1]Sheet1!$B$2:$C$82,2,0)</f>
        <v>070000157359</v>
      </c>
      <c r="C63" s="14">
        <v>3153</v>
      </c>
      <c r="D63" s="38">
        <f t="shared" si="1"/>
        <v>3153</v>
      </c>
      <c r="E63" s="36" t="s">
        <v>726</v>
      </c>
      <c r="F63" s="39" t="str">
        <f t="shared" si="0"/>
        <v>insert into ins_premium_det (premium_rcv_code,assorted_code, rec_amount,premium_rcv_detail_code,remaining_amt, payrec, mode_code,coinsurance_code,class_cd,it_remarks) values</v>
      </c>
      <c r="G63" s="40" t="str">
        <f t="shared" si="2"/>
        <v>('20Aug240117','070000157359','3153',(select max(to_number(i.premium_rcv_detail_code))+1
from ins_premium_det i),'3153','3153','02', '11000003','00','Request by Mr. Saqib Saleem 21-Aug-2024 sheet1');</v>
      </c>
      <c r="H63" s="41" t="str">
        <f t="shared" si="3"/>
        <v>insert into ins_premium_det (premium_rcv_code,assorted_code, rec_amount,premium_rcv_detail_code,remaining_amt, payrec, mode_code,coinsurance_code,class_cd,it_remarks) values('20Aug240117','070000157359','3153',(select max(to_number(i.premium_rcv_detail_code))+1
from ins_premium_det i),'3153','3153','02', '11000003','00','Request by Mr. Saqib Saleem 21-Aug-2024 sheet1');</v>
      </c>
    </row>
    <row r="64" spans="1:8" ht="105" x14ac:dyDescent="0.25">
      <c r="A64" s="1" t="s">
        <v>494</v>
      </c>
      <c r="B64" s="37" t="str">
        <f>VLOOKUP(A64,[1]Sheet1!$B$2:$C$82,2,0)</f>
        <v>070000157360</v>
      </c>
      <c r="C64" s="14">
        <v>1067</v>
      </c>
      <c r="D64" s="38">
        <f t="shared" si="1"/>
        <v>1067</v>
      </c>
      <c r="E64" s="36" t="s">
        <v>726</v>
      </c>
      <c r="F64" s="39" t="str">
        <f t="shared" si="0"/>
        <v>insert into ins_premium_det (premium_rcv_code,assorted_code, rec_amount,premium_rcv_detail_code,remaining_amt, payrec, mode_code,coinsurance_code,class_cd,it_remarks) values</v>
      </c>
      <c r="G64" s="40" t="str">
        <f t="shared" si="2"/>
        <v>('20Aug240117','070000157360','1067',(select max(to_number(i.premium_rcv_detail_code))+1
from ins_premium_det i),'1067','1067','02', '11000003','00','Request by Mr. Saqib Saleem 21-Aug-2024 sheet1');</v>
      </c>
      <c r="H64" s="41" t="str">
        <f t="shared" si="3"/>
        <v>insert into ins_premium_det (premium_rcv_code,assorted_code, rec_amount,premium_rcv_detail_code,remaining_amt, payrec, mode_code,coinsurance_code,class_cd,it_remarks) values('20Aug240117','070000157360','1067',(select max(to_number(i.premium_rcv_detail_code))+1
from ins_premium_det i),'1067','1067','02', '11000003','00','Request by Mr. Saqib Saleem 21-Aug-2024 sheet1');</v>
      </c>
    </row>
    <row r="65" spans="1:8" ht="105" x14ac:dyDescent="0.25">
      <c r="A65" s="1" t="s">
        <v>495</v>
      </c>
      <c r="B65" s="37" t="str">
        <f>VLOOKUP(A65,[1]Sheet1!$B$2:$C$82,2,0)</f>
        <v>070000157361</v>
      </c>
      <c r="C65" s="14">
        <v>1704</v>
      </c>
      <c r="D65" s="38">
        <f t="shared" si="1"/>
        <v>1704</v>
      </c>
      <c r="E65" s="36" t="s">
        <v>726</v>
      </c>
      <c r="F65" s="39" t="str">
        <f t="shared" si="0"/>
        <v>insert into ins_premium_det (premium_rcv_code,assorted_code, rec_amount,premium_rcv_detail_code,remaining_amt, payrec, mode_code,coinsurance_code,class_cd,it_remarks) values</v>
      </c>
      <c r="G65" s="40" t="str">
        <f t="shared" si="2"/>
        <v>('20Aug240117','070000157361','1704',(select max(to_number(i.premium_rcv_detail_code))+1
from ins_premium_det i),'1704','1704','02', '11000003','00','Request by Mr. Saqib Saleem 21-Aug-2024 sheet1');</v>
      </c>
      <c r="H65" s="41" t="str">
        <f t="shared" si="3"/>
        <v>insert into ins_premium_det (premium_rcv_code,assorted_code, rec_amount,premium_rcv_detail_code,remaining_amt, payrec, mode_code,coinsurance_code,class_cd,it_remarks) values('20Aug240117','070000157361','1704',(select max(to_number(i.premium_rcv_detail_code))+1
from ins_premium_det i),'1704','1704','02', '11000003','00','Request by Mr. Saqib Saleem 21-Aug-2024 sheet1');</v>
      </c>
    </row>
    <row r="66" spans="1:8" ht="105" x14ac:dyDescent="0.25">
      <c r="A66" s="1" t="s">
        <v>496</v>
      </c>
      <c r="B66" s="37" t="str">
        <f>VLOOKUP(A66,[1]Sheet1!$B$2:$C$82,2,0)</f>
        <v>070000157363</v>
      </c>
      <c r="C66" s="14">
        <v>39292</v>
      </c>
      <c r="D66" s="38">
        <f t="shared" si="1"/>
        <v>39292</v>
      </c>
      <c r="E66" s="36" t="s">
        <v>726</v>
      </c>
      <c r="F66" s="39" t="str">
        <f t="shared" ref="F66:F82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0" t="str">
        <f t="shared" si="2"/>
        <v>('20Aug240117','070000157363','39292',(select max(to_number(i.premium_rcv_detail_code))+1
from ins_premium_det i),'39292','39292','02', '11000003','00','Request by Mr. Saqib Saleem 21-Aug-2024 sheet1');</v>
      </c>
      <c r="H66" s="41" t="str">
        <f t="shared" si="3"/>
        <v>insert into ins_premium_det (premium_rcv_code,assorted_code, rec_amount,premium_rcv_detail_code,remaining_amt, payrec, mode_code,coinsurance_code,class_cd,it_remarks) values('20Aug240117','070000157363','39292',(select max(to_number(i.premium_rcv_detail_code))+1
from ins_premium_det i),'39292','39292','02', '11000003','00','Request by Mr. Saqib Saleem 21-Aug-2024 sheet1');</v>
      </c>
    </row>
    <row r="67" spans="1:8" ht="105" x14ac:dyDescent="0.25">
      <c r="A67" s="1" t="s">
        <v>497</v>
      </c>
      <c r="B67" s="37" t="str">
        <f>VLOOKUP(A67,[1]Sheet1!$B$2:$C$82,2,0)</f>
        <v>070000157364</v>
      </c>
      <c r="C67" s="14">
        <v>1807</v>
      </c>
      <c r="D67" s="38">
        <f t="shared" ref="D67:D82" si="5">ROUND(C67,0)</f>
        <v>1807</v>
      </c>
      <c r="E67" s="36" t="s">
        <v>726</v>
      </c>
      <c r="F67" s="39" t="str">
        <f t="shared" si="4"/>
        <v>insert into ins_premium_det (premium_rcv_code,assorted_code, rec_amount,premium_rcv_detail_code,remaining_amt, payrec, mode_code,coinsurance_code,class_cd,it_remarks) values</v>
      </c>
      <c r="G67" s="40" t="str">
        <f t="shared" ref="G67:G82" si="6">"('"&amp;E67&amp;"','"&amp;B67&amp;"','"&amp;D67&amp;"',(select max(to_number(i.premium_rcv_detail_code))+1
from ins_premium_det i),'"&amp;D67&amp;"','"&amp;D67&amp;"','02', '11000003','00','Request by Mr. Saqib Saleem 21-Aug-2024 sheet1');"</f>
        <v>('20Aug240117','070000157364','1807',(select max(to_number(i.premium_rcv_detail_code))+1
from ins_premium_det i),'1807','1807','02', '11000003','00','Request by Mr. Saqib Saleem 21-Aug-2024 sheet1');</v>
      </c>
      <c r="H67" s="41" t="str">
        <f t="shared" ref="H67:H82" si="7">F67&amp;G67</f>
        <v>insert into ins_premium_det (premium_rcv_code,assorted_code, rec_amount,premium_rcv_detail_code,remaining_amt, payrec, mode_code,coinsurance_code,class_cd,it_remarks) values('20Aug240117','070000157364','1807',(select max(to_number(i.premium_rcv_detail_code))+1
from ins_premium_det i),'1807','1807','02', '11000003','00','Request by Mr. Saqib Saleem 21-Aug-2024 sheet1');</v>
      </c>
    </row>
    <row r="68" spans="1:8" ht="105" x14ac:dyDescent="0.25">
      <c r="A68" s="1" t="s">
        <v>498</v>
      </c>
      <c r="B68" s="37" t="str">
        <f>VLOOKUP(A68,[1]Sheet1!$B$2:$C$82,2,0)</f>
        <v>070000157365</v>
      </c>
      <c r="C68" s="14">
        <v>209</v>
      </c>
      <c r="D68" s="38">
        <f t="shared" si="5"/>
        <v>209</v>
      </c>
      <c r="E68" s="36" t="s">
        <v>726</v>
      </c>
      <c r="F68" s="39" t="str">
        <f t="shared" si="4"/>
        <v>insert into ins_premium_det (premium_rcv_code,assorted_code, rec_amount,premium_rcv_detail_code,remaining_amt, payrec, mode_code,coinsurance_code,class_cd,it_remarks) values</v>
      </c>
      <c r="G68" s="40" t="str">
        <f t="shared" si="6"/>
        <v>('20Aug240117','070000157365','209',(select max(to_number(i.premium_rcv_detail_code))+1
from ins_premium_det i),'209','209','02', '11000003','00','Request by Mr. Saqib Saleem 21-Aug-2024 sheet1');</v>
      </c>
      <c r="H68" s="41" t="str">
        <f t="shared" si="7"/>
        <v>insert into ins_premium_det (premium_rcv_code,assorted_code, rec_amount,premium_rcv_detail_code,remaining_amt, payrec, mode_code,coinsurance_code,class_cd,it_remarks) values('20Aug240117','070000157365','209',(select max(to_number(i.premium_rcv_detail_code))+1
from ins_premium_det i),'209','209','02', '11000003','00','Request by Mr. Saqib Saleem 21-Aug-2024 sheet1');</v>
      </c>
    </row>
    <row r="69" spans="1:8" ht="105" x14ac:dyDescent="0.25">
      <c r="A69" s="1" t="s">
        <v>499</v>
      </c>
      <c r="B69" s="37" t="str">
        <f>VLOOKUP(A69,[1]Sheet1!$B$2:$C$82,2,0)</f>
        <v>070000157926</v>
      </c>
      <c r="C69" s="14">
        <v>373</v>
      </c>
      <c r="D69" s="38">
        <f t="shared" si="5"/>
        <v>373</v>
      </c>
      <c r="E69" s="36" t="s">
        <v>726</v>
      </c>
      <c r="F69" s="39" t="str">
        <f t="shared" si="4"/>
        <v>insert into ins_premium_det (premium_rcv_code,assorted_code, rec_amount,premium_rcv_detail_code,remaining_amt, payrec, mode_code,coinsurance_code,class_cd,it_remarks) values</v>
      </c>
      <c r="G69" s="40" t="str">
        <f t="shared" si="6"/>
        <v>('20Aug240117','070000157926','373',(select max(to_number(i.premium_rcv_detail_code))+1
from ins_premium_det i),'373','373','02', '11000003','00','Request by Mr. Saqib Saleem 21-Aug-2024 sheet1');</v>
      </c>
      <c r="H69" s="41" t="str">
        <f t="shared" si="7"/>
        <v>insert into ins_premium_det (premium_rcv_code,assorted_code, rec_amount,premium_rcv_detail_code,remaining_amt, payrec, mode_code,coinsurance_code,class_cd,it_remarks) values('20Aug240117','070000157926','373',(select max(to_number(i.premium_rcv_detail_code))+1
from ins_premium_det i),'373','373','02', '11000003','00','Request by Mr. Saqib Saleem 21-Aug-2024 sheet1');</v>
      </c>
    </row>
    <row r="70" spans="1:8" ht="105" x14ac:dyDescent="0.25">
      <c r="A70" s="1" t="s">
        <v>500</v>
      </c>
      <c r="B70" s="37" t="str">
        <f>VLOOKUP(A70,[1]Sheet1!$B$2:$C$82,2,0)</f>
        <v>070000157928</v>
      </c>
      <c r="C70" s="14">
        <v>5991</v>
      </c>
      <c r="D70" s="38">
        <f t="shared" si="5"/>
        <v>5991</v>
      </c>
      <c r="E70" s="36" t="s">
        <v>726</v>
      </c>
      <c r="F70" s="39" t="str">
        <f t="shared" si="4"/>
        <v>insert into ins_premium_det (premium_rcv_code,assorted_code, rec_amount,premium_rcv_detail_code,remaining_amt, payrec, mode_code,coinsurance_code,class_cd,it_remarks) values</v>
      </c>
      <c r="G70" s="40" t="str">
        <f t="shared" si="6"/>
        <v>('20Aug240117','070000157928','5991',(select max(to_number(i.premium_rcv_detail_code))+1
from ins_premium_det i),'5991','5991','02', '11000003','00','Request by Mr. Saqib Saleem 21-Aug-2024 sheet1');</v>
      </c>
      <c r="H70" s="41" t="str">
        <f t="shared" si="7"/>
        <v>insert into ins_premium_det (premium_rcv_code,assorted_code, rec_amount,premium_rcv_detail_code,remaining_amt, payrec, mode_code,coinsurance_code,class_cd,it_remarks) values('20Aug240117','070000157928','5991',(select max(to_number(i.premium_rcv_detail_code))+1
from ins_premium_det i),'5991','5991','02', '11000003','00','Request by Mr. Saqib Saleem 21-Aug-2024 sheet1');</v>
      </c>
    </row>
    <row r="71" spans="1:8" ht="105" x14ac:dyDescent="0.25">
      <c r="A71" s="1" t="s">
        <v>501</v>
      </c>
      <c r="B71" s="37" t="str">
        <f>VLOOKUP(A71,[1]Sheet1!$B$2:$C$82,2,0)</f>
        <v>070000157929</v>
      </c>
      <c r="C71" s="14">
        <v>5382</v>
      </c>
      <c r="D71" s="38">
        <f t="shared" si="5"/>
        <v>5382</v>
      </c>
      <c r="E71" s="36" t="s">
        <v>726</v>
      </c>
      <c r="F71" s="39" t="str">
        <f t="shared" si="4"/>
        <v>insert into ins_premium_det (premium_rcv_code,assorted_code, rec_amount,premium_rcv_detail_code,remaining_amt, payrec, mode_code,coinsurance_code,class_cd,it_remarks) values</v>
      </c>
      <c r="G71" s="40" t="str">
        <f t="shared" si="6"/>
        <v>('20Aug240117','070000157929','5382',(select max(to_number(i.premium_rcv_detail_code))+1
from ins_premium_det i),'5382','5382','02', '11000003','00','Request by Mr. Saqib Saleem 21-Aug-2024 sheet1');</v>
      </c>
      <c r="H71" s="41" t="str">
        <f t="shared" si="7"/>
        <v>insert into ins_premium_det (premium_rcv_code,assorted_code, rec_amount,premium_rcv_detail_code,remaining_amt, payrec, mode_code,coinsurance_code,class_cd,it_remarks) values('20Aug240117','070000157929','5382',(select max(to_number(i.premium_rcv_detail_code))+1
from ins_premium_det i),'5382','5382','02', '11000003','00','Request by Mr. Saqib Saleem 21-Aug-2024 sheet1');</v>
      </c>
    </row>
    <row r="72" spans="1:8" ht="105" x14ac:dyDescent="0.25">
      <c r="A72" s="1" t="s">
        <v>502</v>
      </c>
      <c r="B72" s="37" t="str">
        <f>VLOOKUP(A72,[1]Sheet1!$B$2:$C$82,2,0)</f>
        <v>070000157930</v>
      </c>
      <c r="C72" s="14">
        <v>1127</v>
      </c>
      <c r="D72" s="38">
        <f t="shared" si="5"/>
        <v>1127</v>
      </c>
      <c r="E72" s="36" t="s">
        <v>726</v>
      </c>
      <c r="F72" s="39" t="str">
        <f t="shared" si="4"/>
        <v>insert into ins_premium_det (premium_rcv_code,assorted_code, rec_amount,premium_rcv_detail_code,remaining_amt, payrec, mode_code,coinsurance_code,class_cd,it_remarks) values</v>
      </c>
      <c r="G72" s="40" t="str">
        <f t="shared" si="6"/>
        <v>('20Aug240117','070000157930','1127',(select max(to_number(i.premium_rcv_detail_code))+1
from ins_premium_det i),'1127','1127','02', '11000003','00','Request by Mr. Saqib Saleem 21-Aug-2024 sheet1');</v>
      </c>
      <c r="H72" s="41" t="str">
        <f t="shared" si="7"/>
        <v>insert into ins_premium_det (premium_rcv_code,assorted_code, rec_amount,premium_rcv_detail_code,remaining_amt, payrec, mode_code,coinsurance_code,class_cd,it_remarks) values('20Aug240117','070000157930','1127',(select max(to_number(i.premium_rcv_detail_code))+1
from ins_premium_det i),'1127','1127','02', '11000003','00','Request by Mr. Saqib Saleem 21-Aug-2024 sheet1');</v>
      </c>
    </row>
    <row r="73" spans="1:8" ht="105" x14ac:dyDescent="0.25">
      <c r="A73" s="1" t="s">
        <v>503</v>
      </c>
      <c r="B73" s="37" t="str">
        <f>VLOOKUP(A73,[1]Sheet1!$B$2:$C$82,2,0)</f>
        <v>070000157931</v>
      </c>
      <c r="C73" s="14">
        <v>6487</v>
      </c>
      <c r="D73" s="38">
        <f t="shared" si="5"/>
        <v>6487</v>
      </c>
      <c r="E73" s="36" t="s">
        <v>726</v>
      </c>
      <c r="F73" s="39" t="str">
        <f t="shared" si="4"/>
        <v>insert into ins_premium_det (premium_rcv_code,assorted_code, rec_amount,premium_rcv_detail_code,remaining_amt, payrec, mode_code,coinsurance_code,class_cd,it_remarks) values</v>
      </c>
      <c r="G73" s="40" t="str">
        <f t="shared" si="6"/>
        <v>('20Aug240117','070000157931','6487',(select max(to_number(i.premium_rcv_detail_code))+1
from ins_premium_det i),'6487','6487','02', '11000003','00','Request by Mr. Saqib Saleem 21-Aug-2024 sheet1');</v>
      </c>
      <c r="H73" s="41" t="str">
        <f t="shared" si="7"/>
        <v>insert into ins_premium_det (premium_rcv_code,assorted_code, rec_amount,premium_rcv_detail_code,remaining_amt, payrec, mode_code,coinsurance_code,class_cd,it_remarks) values('20Aug240117','070000157931','6487',(select max(to_number(i.premium_rcv_detail_code))+1
from ins_premium_det i),'6487','6487','02', '11000003','00','Request by Mr. Saqib Saleem 21-Aug-2024 sheet1');</v>
      </c>
    </row>
    <row r="74" spans="1:8" ht="105" x14ac:dyDescent="0.25">
      <c r="A74" s="1" t="s">
        <v>504</v>
      </c>
      <c r="B74" s="37" t="str">
        <f>VLOOKUP(A74,[1]Sheet1!$B$2:$C$82,2,0)</f>
        <v>070000157934</v>
      </c>
      <c r="C74" s="14">
        <v>1526</v>
      </c>
      <c r="D74" s="38">
        <f t="shared" si="5"/>
        <v>1526</v>
      </c>
      <c r="E74" s="36" t="s">
        <v>726</v>
      </c>
      <c r="F74" s="39" t="str">
        <f t="shared" si="4"/>
        <v>insert into ins_premium_det (premium_rcv_code,assorted_code, rec_amount,premium_rcv_detail_code,remaining_amt, payrec, mode_code,coinsurance_code,class_cd,it_remarks) values</v>
      </c>
      <c r="G74" s="40" t="str">
        <f t="shared" si="6"/>
        <v>('20Aug240117','070000157934','1526',(select max(to_number(i.premium_rcv_detail_code))+1
from ins_premium_det i),'1526','1526','02', '11000003','00','Request by Mr. Saqib Saleem 21-Aug-2024 sheet1');</v>
      </c>
      <c r="H74" s="41" t="str">
        <f t="shared" si="7"/>
        <v>insert into ins_premium_det (premium_rcv_code,assorted_code, rec_amount,premium_rcv_detail_code,remaining_amt, payrec, mode_code,coinsurance_code,class_cd,it_remarks) values('20Aug240117','070000157934','1526',(select max(to_number(i.premium_rcv_detail_code))+1
from ins_premium_det i),'1526','1526','02', '11000003','00','Request by Mr. Saqib Saleem 21-Aug-2024 sheet1');</v>
      </c>
    </row>
    <row r="75" spans="1:8" ht="105" x14ac:dyDescent="0.25">
      <c r="A75" s="1" t="s">
        <v>505</v>
      </c>
      <c r="B75" s="37" t="str">
        <f>VLOOKUP(A75,[1]Sheet1!$B$2:$C$82,2,0)</f>
        <v>070000157935</v>
      </c>
      <c r="C75" s="14">
        <v>3342</v>
      </c>
      <c r="D75" s="38">
        <f t="shared" si="5"/>
        <v>3342</v>
      </c>
      <c r="E75" s="36" t="s">
        <v>726</v>
      </c>
      <c r="F75" s="39" t="str">
        <f t="shared" si="4"/>
        <v>insert into ins_premium_det (premium_rcv_code,assorted_code, rec_amount,premium_rcv_detail_code,remaining_amt, payrec, mode_code,coinsurance_code,class_cd,it_remarks) values</v>
      </c>
      <c r="G75" s="40" t="str">
        <f t="shared" si="6"/>
        <v>('20Aug240117','070000157935','3342',(select max(to_number(i.premium_rcv_detail_code))+1
from ins_premium_det i),'3342','3342','02', '11000003','00','Request by Mr. Saqib Saleem 21-Aug-2024 sheet1');</v>
      </c>
      <c r="H75" s="41" t="str">
        <f t="shared" si="7"/>
        <v>insert into ins_premium_det (premium_rcv_code,assorted_code, rec_amount,premium_rcv_detail_code,remaining_amt, payrec, mode_code,coinsurance_code,class_cd,it_remarks) values('20Aug240117','070000157935','3342',(select max(to_number(i.premium_rcv_detail_code))+1
from ins_premium_det i),'3342','3342','02', '11000003','00','Request by Mr. Saqib Saleem 21-Aug-2024 sheet1');</v>
      </c>
    </row>
    <row r="76" spans="1:8" ht="105" x14ac:dyDescent="0.25">
      <c r="A76" s="1" t="s">
        <v>506</v>
      </c>
      <c r="B76" s="37" t="str">
        <f>VLOOKUP(A76,[1]Sheet1!$B$2:$C$82,2,0)</f>
        <v>070000157936</v>
      </c>
      <c r="C76" s="14">
        <v>2320</v>
      </c>
      <c r="D76" s="38">
        <f t="shared" si="5"/>
        <v>2320</v>
      </c>
      <c r="E76" s="36" t="s">
        <v>726</v>
      </c>
      <c r="F76" s="39" t="str">
        <f t="shared" si="4"/>
        <v>insert into ins_premium_det (premium_rcv_code,assorted_code, rec_amount,premium_rcv_detail_code,remaining_amt, payrec, mode_code,coinsurance_code,class_cd,it_remarks) values</v>
      </c>
      <c r="G76" s="40" t="str">
        <f t="shared" si="6"/>
        <v>('20Aug240117','070000157936','2320',(select max(to_number(i.premium_rcv_detail_code))+1
from ins_premium_det i),'2320','2320','02', '11000003','00','Request by Mr. Saqib Saleem 21-Aug-2024 sheet1');</v>
      </c>
      <c r="H76" s="41" t="str">
        <f t="shared" si="7"/>
        <v>insert into ins_premium_det (premium_rcv_code,assorted_code, rec_amount,premium_rcv_detail_code,remaining_amt, payrec, mode_code,coinsurance_code,class_cd,it_remarks) values('20Aug240117','070000157936','2320',(select max(to_number(i.premium_rcv_detail_code))+1
from ins_premium_det i),'2320','2320','02', '11000003','00','Request by Mr. Saqib Saleem 21-Aug-2024 sheet1');</v>
      </c>
    </row>
    <row r="77" spans="1:8" ht="105" x14ac:dyDescent="0.25">
      <c r="A77" s="1" t="s">
        <v>507</v>
      </c>
      <c r="B77" s="37" t="str">
        <f>VLOOKUP(A77,[1]Sheet1!$B$2:$C$82,2,0)</f>
        <v>070000157937</v>
      </c>
      <c r="C77" s="14">
        <v>1684</v>
      </c>
      <c r="D77" s="38">
        <f t="shared" si="5"/>
        <v>1684</v>
      </c>
      <c r="E77" s="36" t="s">
        <v>726</v>
      </c>
      <c r="F77" s="39" t="str">
        <f t="shared" si="4"/>
        <v>insert into ins_premium_det (premium_rcv_code,assorted_code, rec_amount,premium_rcv_detail_code,remaining_amt, payrec, mode_code,coinsurance_code,class_cd,it_remarks) values</v>
      </c>
      <c r="G77" s="40" t="str">
        <f t="shared" si="6"/>
        <v>('20Aug240117','070000157937','1684',(select max(to_number(i.premium_rcv_detail_code))+1
from ins_premium_det i),'1684','1684','02', '11000003','00','Request by Mr. Saqib Saleem 21-Aug-2024 sheet1');</v>
      </c>
      <c r="H77" s="41" t="str">
        <f t="shared" si="7"/>
        <v>insert into ins_premium_det (premium_rcv_code,assorted_code, rec_amount,premium_rcv_detail_code,remaining_amt, payrec, mode_code,coinsurance_code,class_cd,it_remarks) values('20Aug240117','070000157937','1684',(select max(to_number(i.premium_rcv_detail_code))+1
from ins_premium_det i),'1684','1684','02', '11000003','00','Request by Mr. Saqib Saleem 21-Aug-2024 sheet1');</v>
      </c>
    </row>
    <row r="78" spans="1:8" ht="105" x14ac:dyDescent="0.25">
      <c r="A78" s="1" t="s">
        <v>508</v>
      </c>
      <c r="B78" s="37" t="str">
        <f>VLOOKUP(A78,[1]Sheet1!$B$2:$C$82,2,0)</f>
        <v>070000157992</v>
      </c>
      <c r="C78" s="14">
        <v>5380</v>
      </c>
      <c r="D78" s="38">
        <f t="shared" si="5"/>
        <v>5380</v>
      </c>
      <c r="E78" s="36" t="s">
        <v>726</v>
      </c>
      <c r="F78" s="39" t="str">
        <f t="shared" si="4"/>
        <v>insert into ins_premium_det (premium_rcv_code,assorted_code, rec_amount,premium_rcv_detail_code,remaining_amt, payrec, mode_code,coinsurance_code,class_cd,it_remarks) values</v>
      </c>
      <c r="G78" s="40" t="str">
        <f t="shared" si="6"/>
        <v>('20Aug240117','070000157992','5380',(select max(to_number(i.premium_rcv_detail_code))+1
from ins_premium_det i),'5380','5380','02', '11000003','00','Request by Mr. Saqib Saleem 21-Aug-2024 sheet1');</v>
      </c>
      <c r="H78" s="41" t="str">
        <f t="shared" si="7"/>
        <v>insert into ins_premium_det (premium_rcv_code,assorted_code, rec_amount,premium_rcv_detail_code,remaining_amt, payrec, mode_code,coinsurance_code,class_cd,it_remarks) values('20Aug240117','070000157992','5380',(select max(to_number(i.premium_rcv_detail_code))+1
from ins_premium_det i),'5380','5380','02', '11000003','00','Request by Mr. Saqib Saleem 21-Aug-2024 sheet1');</v>
      </c>
    </row>
    <row r="79" spans="1:8" ht="105" x14ac:dyDescent="0.25">
      <c r="A79" s="1" t="s">
        <v>509</v>
      </c>
      <c r="B79" s="37" t="str">
        <f>VLOOKUP(A79,[1]Sheet1!$B$2:$C$82,2,0)</f>
        <v>070000157994</v>
      </c>
      <c r="C79" s="14">
        <v>753</v>
      </c>
      <c r="D79" s="38">
        <f t="shared" si="5"/>
        <v>753</v>
      </c>
      <c r="E79" s="36" t="s">
        <v>726</v>
      </c>
      <c r="F79" s="39" t="str">
        <f t="shared" si="4"/>
        <v>insert into ins_premium_det (premium_rcv_code,assorted_code, rec_amount,premium_rcv_detail_code,remaining_amt, payrec, mode_code,coinsurance_code,class_cd,it_remarks) values</v>
      </c>
      <c r="G79" s="40" t="str">
        <f t="shared" si="6"/>
        <v>('20Aug240117','070000157994','753',(select max(to_number(i.premium_rcv_detail_code))+1
from ins_premium_det i),'753','753','02', '11000003','00','Request by Mr. Saqib Saleem 21-Aug-2024 sheet1');</v>
      </c>
      <c r="H79" s="41" t="str">
        <f t="shared" si="7"/>
        <v>insert into ins_premium_det (premium_rcv_code,assorted_code, rec_amount,premium_rcv_detail_code,remaining_amt, payrec, mode_code,coinsurance_code,class_cd,it_remarks) values('20Aug240117','070000157994','753',(select max(to_number(i.premium_rcv_detail_code))+1
from ins_premium_det i),'753','753','02', '11000003','00','Request by Mr. Saqib Saleem 21-Aug-2024 sheet1');</v>
      </c>
    </row>
    <row r="80" spans="1:8" ht="105" x14ac:dyDescent="0.25">
      <c r="A80" s="1" t="s">
        <v>510</v>
      </c>
      <c r="B80" s="37" t="str">
        <f>VLOOKUP(A80,[1]Sheet1!$B$2:$C$82,2,0)</f>
        <v>070000157995</v>
      </c>
      <c r="C80" s="14">
        <v>8608</v>
      </c>
      <c r="D80" s="38">
        <f t="shared" si="5"/>
        <v>8608</v>
      </c>
      <c r="E80" s="36" t="s">
        <v>726</v>
      </c>
      <c r="F80" s="39" t="str">
        <f t="shared" si="4"/>
        <v>insert into ins_premium_det (premium_rcv_code,assorted_code, rec_amount,premium_rcv_detail_code,remaining_amt, payrec, mode_code,coinsurance_code,class_cd,it_remarks) values</v>
      </c>
      <c r="G80" s="40" t="str">
        <f t="shared" si="6"/>
        <v>('20Aug240117','070000157995','8608',(select max(to_number(i.premium_rcv_detail_code))+1
from ins_premium_det i),'8608','8608','02', '11000003','00','Request by Mr. Saqib Saleem 21-Aug-2024 sheet1');</v>
      </c>
      <c r="H80" s="41" t="str">
        <f t="shared" si="7"/>
        <v>insert into ins_premium_det (premium_rcv_code,assorted_code, rec_amount,premium_rcv_detail_code,remaining_amt, payrec, mode_code,coinsurance_code,class_cd,it_remarks) values('20Aug240117','070000157995','8608',(select max(to_number(i.premium_rcv_detail_code))+1
from ins_premium_det i),'8608','8608','02', '11000003','00','Request by Mr. Saqib Saleem 21-Aug-2024 sheet1');</v>
      </c>
    </row>
    <row r="81" spans="1:8" ht="105" x14ac:dyDescent="0.25">
      <c r="A81" s="1" t="s">
        <v>511</v>
      </c>
      <c r="B81" s="37" t="str">
        <f>VLOOKUP(A81,[1]Sheet1!$B$2:$C$82,2,0)</f>
        <v>070000157997</v>
      </c>
      <c r="C81" s="14">
        <v>5072</v>
      </c>
      <c r="D81" s="38">
        <f t="shared" si="5"/>
        <v>5072</v>
      </c>
      <c r="E81" s="36" t="s">
        <v>726</v>
      </c>
      <c r="F81" s="39" t="str">
        <f t="shared" si="4"/>
        <v>insert into ins_premium_det (premium_rcv_code,assorted_code, rec_amount,premium_rcv_detail_code,remaining_amt, payrec, mode_code,coinsurance_code,class_cd,it_remarks) values</v>
      </c>
      <c r="G81" s="40" t="str">
        <f t="shared" si="6"/>
        <v>('20Aug240117','070000157997','5072',(select max(to_number(i.premium_rcv_detail_code))+1
from ins_premium_det i),'5072','5072','02', '11000003','00','Request by Mr. Saqib Saleem 21-Aug-2024 sheet1');</v>
      </c>
      <c r="H81" s="41" t="str">
        <f t="shared" si="7"/>
        <v>insert into ins_premium_det (premium_rcv_code,assorted_code, rec_amount,premium_rcv_detail_code,remaining_amt, payrec, mode_code,coinsurance_code,class_cd,it_remarks) values('20Aug240117','070000157997','5072',(select max(to_number(i.premium_rcv_detail_code))+1
from ins_premium_det i),'5072','5072','02', '11000003','00','Request by Mr. Saqib Saleem 21-Aug-2024 sheet1');</v>
      </c>
    </row>
    <row r="82" spans="1:8" ht="105" x14ac:dyDescent="0.25">
      <c r="A82" s="1" t="s">
        <v>512</v>
      </c>
      <c r="B82" s="37" t="str">
        <f>VLOOKUP(A82,[1]Sheet1!$B$2:$C$82,2,0)</f>
        <v>070000157998</v>
      </c>
      <c r="C82" s="14">
        <v>2176</v>
      </c>
      <c r="D82" s="38">
        <f t="shared" si="5"/>
        <v>2176</v>
      </c>
      <c r="E82" s="36" t="s">
        <v>726</v>
      </c>
      <c r="F82" s="39" t="str">
        <f t="shared" si="4"/>
        <v>insert into ins_premium_det (premium_rcv_code,assorted_code, rec_amount,premium_rcv_detail_code,remaining_amt, payrec, mode_code,coinsurance_code,class_cd,it_remarks) values</v>
      </c>
      <c r="G82" s="40" t="str">
        <f t="shared" si="6"/>
        <v>('20Aug240117','070000157998','2176',(select max(to_number(i.premium_rcv_detail_code))+1
from ins_premium_det i),'2176','2176','02', '11000003','00','Request by Mr. Saqib Saleem 21-Aug-2024 sheet1');</v>
      </c>
      <c r="H82" s="41" t="str">
        <f t="shared" si="7"/>
        <v>insert into ins_premium_det (premium_rcv_code,assorted_code, rec_amount,premium_rcv_detail_code,remaining_amt, payrec, mode_code,coinsurance_code,class_cd,it_remarks) values('20Aug240117','070000157998','2176',(select max(to_number(i.premium_rcv_detail_code))+1
from ins_premium_det i),'2176','2176','02', '11000003','00','Request by Mr. Saqib Saleem 21-Aug-2024 sheet1');</v>
      </c>
    </row>
  </sheetData>
  <conditionalFormatting sqref="A1">
    <cfRule type="duplicateValues" dxfId="27" priority="1"/>
  </conditionalFormatting>
  <conditionalFormatting sqref="B2:B82">
    <cfRule type="duplicateValues" dxfId="26" priority="2"/>
    <cfRule type="duplicateValues" dxfId="25" priority="3"/>
    <cfRule type="duplicateValues" dxfId="2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8F4F-3B57-4102-A1EE-55B0DA7277DA}">
  <dimension ref="A1:P81"/>
  <sheetViews>
    <sheetView workbookViewId="0">
      <selection activeCell="E7" sqref="E7"/>
    </sheetView>
  </sheetViews>
  <sheetFormatPr defaultRowHeight="15" x14ac:dyDescent="0.25"/>
  <cols>
    <col min="1" max="1" width="47.140625" customWidth="1"/>
    <col min="2" max="2" width="8.42578125" bestFit="1" customWidth="1"/>
    <col min="5" max="5" width="40.5703125" bestFit="1" customWidth="1"/>
    <col min="8" max="8" width="42.140625" bestFit="1" customWidth="1"/>
  </cols>
  <sheetData>
    <row r="1" spans="1:16" ht="15.75" x14ac:dyDescent="0.25">
      <c r="A1" s="1" t="s">
        <v>733</v>
      </c>
      <c r="B1" t="str">
        <f>RIGHT(A1,8)</f>
        <v>-04-2024</v>
      </c>
      <c r="D1">
        <v>19515</v>
      </c>
      <c r="E1" t="str">
        <f>"ia.assorted_string like '%"&amp;D1&amp;B1&amp;"%' or"</f>
        <v>ia.assorted_string like '%19515-04-2024%' or</v>
      </c>
      <c r="H1" s="1" t="s">
        <v>727</v>
      </c>
      <c r="I1" t="s">
        <v>728</v>
      </c>
      <c r="J1" t="s">
        <v>729</v>
      </c>
      <c r="K1" t="s">
        <v>730</v>
      </c>
      <c r="L1" t="s">
        <v>731</v>
      </c>
      <c r="M1" t="s">
        <v>732</v>
      </c>
      <c r="N1">
        <v>19515</v>
      </c>
      <c r="O1">
        <v>4</v>
      </c>
      <c r="P1">
        <v>2024</v>
      </c>
    </row>
    <row r="2" spans="1:16" ht="15.75" x14ac:dyDescent="0.25">
      <c r="A2" s="1" t="s">
        <v>734</v>
      </c>
      <c r="B2" t="str">
        <f t="shared" ref="B2:B65" si="0">RIGHT(A2,8)</f>
        <v>-04-2024</v>
      </c>
      <c r="D2">
        <v>19520</v>
      </c>
      <c r="E2" t="str">
        <f t="shared" ref="E2:E65" si="1">"ia.assorted_string like '%"&amp;D2&amp;B2&amp;"%' or"</f>
        <v>ia.assorted_string like '%19520-04-2024%' or</v>
      </c>
      <c r="H2" s="1" t="s">
        <v>727</v>
      </c>
      <c r="I2" t="s">
        <v>728</v>
      </c>
      <c r="J2" t="s">
        <v>729</v>
      </c>
      <c r="K2" t="s">
        <v>730</v>
      </c>
      <c r="L2" t="s">
        <v>731</v>
      </c>
      <c r="M2" t="s">
        <v>732</v>
      </c>
      <c r="N2">
        <v>19520</v>
      </c>
      <c r="O2">
        <v>4</v>
      </c>
      <c r="P2">
        <v>2024</v>
      </c>
    </row>
    <row r="3" spans="1:16" ht="15.75" x14ac:dyDescent="0.25">
      <c r="A3" s="1" t="s">
        <v>735</v>
      </c>
      <c r="B3" t="str">
        <f t="shared" si="0"/>
        <v>-04-2024</v>
      </c>
      <c r="D3">
        <v>19521</v>
      </c>
      <c r="E3" t="str">
        <f t="shared" si="1"/>
        <v>ia.assorted_string like '%19521-04-2024%' or</v>
      </c>
      <c r="H3" s="1" t="s">
        <v>727</v>
      </c>
      <c r="I3" t="s">
        <v>728</v>
      </c>
      <c r="J3" t="s">
        <v>729</v>
      </c>
      <c r="K3" t="s">
        <v>730</v>
      </c>
      <c r="L3" t="s">
        <v>731</v>
      </c>
      <c r="M3" t="s">
        <v>732</v>
      </c>
      <c r="N3">
        <v>19521</v>
      </c>
      <c r="O3">
        <v>4</v>
      </c>
      <c r="P3">
        <v>2024</v>
      </c>
    </row>
    <row r="4" spans="1:16" ht="15.75" x14ac:dyDescent="0.25">
      <c r="A4" s="1" t="s">
        <v>736</v>
      </c>
      <c r="B4" t="str">
        <f t="shared" si="0"/>
        <v>-04-2024</v>
      </c>
      <c r="D4">
        <v>19522</v>
      </c>
      <c r="E4" t="str">
        <f t="shared" si="1"/>
        <v>ia.assorted_string like '%19522-04-2024%' or</v>
      </c>
      <c r="H4" s="1" t="s">
        <v>727</v>
      </c>
      <c r="I4" t="s">
        <v>728</v>
      </c>
      <c r="J4" t="s">
        <v>729</v>
      </c>
      <c r="K4" t="s">
        <v>730</v>
      </c>
      <c r="L4" t="s">
        <v>731</v>
      </c>
      <c r="M4" t="s">
        <v>732</v>
      </c>
      <c r="N4">
        <v>19522</v>
      </c>
      <c r="O4">
        <v>4</v>
      </c>
      <c r="P4">
        <v>2024</v>
      </c>
    </row>
    <row r="5" spans="1:16" ht="15.75" x14ac:dyDescent="0.25">
      <c r="A5" s="1" t="s">
        <v>737</v>
      </c>
      <c r="B5" t="str">
        <f t="shared" si="0"/>
        <v>-04-2024</v>
      </c>
      <c r="D5">
        <v>19523</v>
      </c>
      <c r="E5" t="str">
        <f t="shared" si="1"/>
        <v>ia.assorted_string like '%19523-04-2024%' or</v>
      </c>
      <c r="H5" s="1" t="s">
        <v>727</v>
      </c>
      <c r="I5" t="s">
        <v>728</v>
      </c>
      <c r="J5" t="s">
        <v>729</v>
      </c>
      <c r="K5" t="s">
        <v>730</v>
      </c>
      <c r="L5" t="s">
        <v>731</v>
      </c>
      <c r="M5" t="s">
        <v>732</v>
      </c>
      <c r="N5">
        <v>19523</v>
      </c>
      <c r="O5">
        <v>4</v>
      </c>
      <c r="P5">
        <v>2024</v>
      </c>
    </row>
    <row r="6" spans="1:16" ht="15.75" x14ac:dyDescent="0.25">
      <c r="A6" s="1" t="s">
        <v>738</v>
      </c>
      <c r="B6" t="str">
        <f t="shared" si="0"/>
        <v>-04-2024</v>
      </c>
      <c r="D6">
        <v>19524</v>
      </c>
      <c r="E6" t="str">
        <f t="shared" si="1"/>
        <v>ia.assorted_string like '%19524-04-2024%' or</v>
      </c>
      <c r="H6" s="1" t="s">
        <v>727</v>
      </c>
      <c r="I6" t="s">
        <v>728</v>
      </c>
      <c r="J6" t="s">
        <v>729</v>
      </c>
      <c r="K6" t="s">
        <v>730</v>
      </c>
      <c r="L6" t="s">
        <v>731</v>
      </c>
      <c r="M6" t="s">
        <v>732</v>
      </c>
      <c r="N6">
        <v>19524</v>
      </c>
      <c r="O6">
        <v>4</v>
      </c>
      <c r="P6">
        <v>2024</v>
      </c>
    </row>
    <row r="7" spans="1:16" ht="15.75" x14ac:dyDescent="0.25">
      <c r="A7" s="1" t="s">
        <v>739</v>
      </c>
      <c r="B7" t="str">
        <f t="shared" si="0"/>
        <v>-04-2024</v>
      </c>
      <c r="D7">
        <v>19525</v>
      </c>
      <c r="E7" t="str">
        <f t="shared" si="1"/>
        <v>ia.assorted_string like '%19525-04-2024%' or</v>
      </c>
      <c r="H7" s="1" t="s">
        <v>727</v>
      </c>
      <c r="I7" t="s">
        <v>728</v>
      </c>
      <c r="J7" t="s">
        <v>729</v>
      </c>
      <c r="K7" t="s">
        <v>730</v>
      </c>
      <c r="L7" t="s">
        <v>731</v>
      </c>
      <c r="M7" t="s">
        <v>732</v>
      </c>
      <c r="N7">
        <v>19525</v>
      </c>
      <c r="O7">
        <v>4</v>
      </c>
      <c r="P7">
        <v>2024</v>
      </c>
    </row>
    <row r="8" spans="1:16" ht="15.75" x14ac:dyDescent="0.25">
      <c r="A8" s="1" t="s">
        <v>740</v>
      </c>
      <c r="B8" t="str">
        <f t="shared" si="0"/>
        <v>-04-2024</v>
      </c>
      <c r="D8">
        <v>19526</v>
      </c>
      <c r="E8" t="str">
        <f t="shared" si="1"/>
        <v>ia.assorted_string like '%19526-04-2024%' or</v>
      </c>
      <c r="H8" s="1" t="s">
        <v>727</v>
      </c>
      <c r="I8" t="s">
        <v>728</v>
      </c>
      <c r="J8" t="s">
        <v>729</v>
      </c>
      <c r="K8" t="s">
        <v>730</v>
      </c>
      <c r="L8" t="s">
        <v>731</v>
      </c>
      <c r="M8" t="s">
        <v>732</v>
      </c>
      <c r="N8">
        <v>19526</v>
      </c>
      <c r="O8">
        <v>4</v>
      </c>
      <c r="P8">
        <v>2024</v>
      </c>
    </row>
    <row r="9" spans="1:16" ht="15.75" x14ac:dyDescent="0.25">
      <c r="A9" s="1" t="s">
        <v>741</v>
      </c>
      <c r="B9" t="str">
        <f t="shared" si="0"/>
        <v>-04-2024</v>
      </c>
      <c r="D9">
        <v>19527</v>
      </c>
      <c r="E9" t="str">
        <f t="shared" si="1"/>
        <v>ia.assorted_string like '%19527-04-2024%' or</v>
      </c>
      <c r="H9" s="1" t="s">
        <v>727</v>
      </c>
      <c r="I9" t="s">
        <v>728</v>
      </c>
      <c r="J9" t="s">
        <v>729</v>
      </c>
      <c r="K9" t="s">
        <v>730</v>
      </c>
      <c r="L9" t="s">
        <v>731</v>
      </c>
      <c r="M9" t="s">
        <v>732</v>
      </c>
      <c r="N9">
        <v>19527</v>
      </c>
      <c r="O9">
        <v>4</v>
      </c>
      <c r="P9">
        <v>2024</v>
      </c>
    </row>
    <row r="10" spans="1:16" ht="15.75" x14ac:dyDescent="0.25">
      <c r="A10" s="1" t="s">
        <v>742</v>
      </c>
      <c r="B10" t="str">
        <f t="shared" si="0"/>
        <v>-04-2024</v>
      </c>
      <c r="D10">
        <v>19528</v>
      </c>
      <c r="E10" t="str">
        <f t="shared" si="1"/>
        <v>ia.assorted_string like '%19528-04-2024%' or</v>
      </c>
      <c r="H10" s="1" t="s">
        <v>727</v>
      </c>
      <c r="I10" t="s">
        <v>728</v>
      </c>
      <c r="J10" t="s">
        <v>729</v>
      </c>
      <c r="K10" t="s">
        <v>730</v>
      </c>
      <c r="L10" t="s">
        <v>731</v>
      </c>
      <c r="M10" t="s">
        <v>732</v>
      </c>
      <c r="N10">
        <v>19528</v>
      </c>
      <c r="O10">
        <v>4</v>
      </c>
      <c r="P10">
        <v>2024</v>
      </c>
    </row>
    <row r="11" spans="1:16" ht="15.75" x14ac:dyDescent="0.25">
      <c r="A11" s="1" t="s">
        <v>743</v>
      </c>
      <c r="B11" t="str">
        <f t="shared" si="0"/>
        <v>-04-2024</v>
      </c>
      <c r="D11">
        <v>19529</v>
      </c>
      <c r="E11" t="str">
        <f t="shared" si="1"/>
        <v>ia.assorted_string like '%19529-04-2024%' or</v>
      </c>
      <c r="H11" s="1" t="s">
        <v>727</v>
      </c>
      <c r="I11" t="s">
        <v>728</v>
      </c>
      <c r="J11" t="s">
        <v>729</v>
      </c>
      <c r="K11" t="s">
        <v>730</v>
      </c>
      <c r="L11" t="s">
        <v>731</v>
      </c>
      <c r="M11" t="s">
        <v>732</v>
      </c>
      <c r="N11">
        <v>19529</v>
      </c>
      <c r="O11">
        <v>4</v>
      </c>
      <c r="P11">
        <v>2024</v>
      </c>
    </row>
    <row r="12" spans="1:16" ht="15.75" x14ac:dyDescent="0.25">
      <c r="A12" s="1" t="s">
        <v>744</v>
      </c>
      <c r="B12" t="str">
        <f t="shared" si="0"/>
        <v>-04-2024</v>
      </c>
      <c r="D12">
        <v>19530</v>
      </c>
      <c r="E12" t="str">
        <f t="shared" si="1"/>
        <v>ia.assorted_string like '%19530-04-2024%' or</v>
      </c>
      <c r="H12" s="1" t="s">
        <v>727</v>
      </c>
      <c r="I12" t="s">
        <v>728</v>
      </c>
      <c r="J12" t="s">
        <v>729</v>
      </c>
      <c r="K12" t="s">
        <v>730</v>
      </c>
      <c r="L12" t="s">
        <v>731</v>
      </c>
      <c r="M12" t="s">
        <v>732</v>
      </c>
      <c r="N12">
        <v>19530</v>
      </c>
      <c r="O12">
        <v>4</v>
      </c>
      <c r="P12">
        <v>2024</v>
      </c>
    </row>
    <row r="13" spans="1:16" ht="15.75" x14ac:dyDescent="0.25">
      <c r="A13" s="1" t="s">
        <v>745</v>
      </c>
      <c r="B13" t="str">
        <f t="shared" si="0"/>
        <v>-04-2024</v>
      </c>
      <c r="D13">
        <v>19531</v>
      </c>
      <c r="E13" t="str">
        <f t="shared" si="1"/>
        <v>ia.assorted_string like '%19531-04-2024%' or</v>
      </c>
      <c r="H13" s="1" t="s">
        <v>727</v>
      </c>
      <c r="I13" t="s">
        <v>728</v>
      </c>
      <c r="J13" t="s">
        <v>729</v>
      </c>
      <c r="K13" t="s">
        <v>730</v>
      </c>
      <c r="L13" t="s">
        <v>731</v>
      </c>
      <c r="M13" t="s">
        <v>732</v>
      </c>
      <c r="N13">
        <v>19531</v>
      </c>
      <c r="O13">
        <v>4</v>
      </c>
      <c r="P13">
        <v>2024</v>
      </c>
    </row>
    <row r="14" spans="1:16" ht="15.75" x14ac:dyDescent="0.25">
      <c r="A14" s="1" t="s">
        <v>746</v>
      </c>
      <c r="B14" t="str">
        <f t="shared" si="0"/>
        <v>-04-2024</v>
      </c>
      <c r="D14">
        <v>19533</v>
      </c>
      <c r="E14" t="str">
        <f t="shared" si="1"/>
        <v>ia.assorted_string like '%19533-04-2024%' or</v>
      </c>
      <c r="H14" s="1" t="s">
        <v>727</v>
      </c>
      <c r="I14" t="s">
        <v>728</v>
      </c>
      <c r="J14" t="s">
        <v>729</v>
      </c>
      <c r="K14" t="s">
        <v>730</v>
      </c>
      <c r="L14" t="s">
        <v>731</v>
      </c>
      <c r="M14" t="s">
        <v>732</v>
      </c>
      <c r="N14">
        <v>19533</v>
      </c>
      <c r="O14">
        <v>4</v>
      </c>
      <c r="P14">
        <v>2024</v>
      </c>
    </row>
    <row r="15" spans="1:16" ht="15.75" x14ac:dyDescent="0.25">
      <c r="A15" s="1" t="s">
        <v>747</v>
      </c>
      <c r="B15" t="str">
        <f t="shared" si="0"/>
        <v>-04-2024</v>
      </c>
      <c r="D15">
        <v>19534</v>
      </c>
      <c r="E15" t="str">
        <f t="shared" si="1"/>
        <v>ia.assorted_string like '%19534-04-2024%' or</v>
      </c>
      <c r="H15" s="1" t="s">
        <v>727</v>
      </c>
      <c r="I15" t="s">
        <v>728</v>
      </c>
      <c r="J15" t="s">
        <v>729</v>
      </c>
      <c r="K15" t="s">
        <v>730</v>
      </c>
      <c r="L15" t="s">
        <v>731</v>
      </c>
      <c r="M15" t="s">
        <v>732</v>
      </c>
      <c r="N15">
        <v>19534</v>
      </c>
      <c r="O15">
        <v>4</v>
      </c>
      <c r="P15">
        <v>2024</v>
      </c>
    </row>
    <row r="16" spans="1:16" ht="15.75" x14ac:dyDescent="0.25">
      <c r="A16" s="1" t="s">
        <v>748</v>
      </c>
      <c r="B16" t="str">
        <f t="shared" si="0"/>
        <v>-04-2024</v>
      </c>
      <c r="D16">
        <v>19535</v>
      </c>
      <c r="E16" t="str">
        <f t="shared" si="1"/>
        <v>ia.assorted_string like '%19535-04-2024%' or</v>
      </c>
      <c r="H16" s="1" t="s">
        <v>727</v>
      </c>
      <c r="I16" t="s">
        <v>728</v>
      </c>
      <c r="J16" t="s">
        <v>729</v>
      </c>
      <c r="K16" t="s">
        <v>730</v>
      </c>
      <c r="L16" t="s">
        <v>731</v>
      </c>
      <c r="M16" t="s">
        <v>732</v>
      </c>
      <c r="N16">
        <v>19535</v>
      </c>
      <c r="O16">
        <v>4</v>
      </c>
      <c r="P16">
        <v>2024</v>
      </c>
    </row>
    <row r="17" spans="1:16" ht="15.75" x14ac:dyDescent="0.25">
      <c r="A17" s="1" t="s">
        <v>749</v>
      </c>
      <c r="B17" t="str">
        <f t="shared" si="0"/>
        <v>-04-2024</v>
      </c>
      <c r="D17">
        <v>19536</v>
      </c>
      <c r="E17" t="str">
        <f t="shared" si="1"/>
        <v>ia.assorted_string like '%19536-04-2024%' or</v>
      </c>
      <c r="H17" s="1" t="s">
        <v>727</v>
      </c>
      <c r="I17" t="s">
        <v>728</v>
      </c>
      <c r="J17" t="s">
        <v>729</v>
      </c>
      <c r="K17" t="s">
        <v>730</v>
      </c>
      <c r="L17" t="s">
        <v>731</v>
      </c>
      <c r="M17" t="s">
        <v>732</v>
      </c>
      <c r="N17">
        <v>19536</v>
      </c>
      <c r="O17">
        <v>4</v>
      </c>
      <c r="P17">
        <v>2024</v>
      </c>
    </row>
    <row r="18" spans="1:16" ht="15.75" x14ac:dyDescent="0.25">
      <c r="A18" s="1" t="s">
        <v>750</v>
      </c>
      <c r="B18" t="str">
        <f t="shared" si="0"/>
        <v>-04-2024</v>
      </c>
      <c r="D18">
        <v>19537</v>
      </c>
      <c r="E18" t="str">
        <f t="shared" si="1"/>
        <v>ia.assorted_string like '%19537-04-2024%' or</v>
      </c>
      <c r="H18" s="1" t="s">
        <v>727</v>
      </c>
      <c r="I18" t="s">
        <v>728</v>
      </c>
      <c r="J18" t="s">
        <v>729</v>
      </c>
      <c r="K18" t="s">
        <v>730</v>
      </c>
      <c r="L18" t="s">
        <v>731</v>
      </c>
      <c r="M18" t="s">
        <v>732</v>
      </c>
      <c r="N18">
        <v>19537</v>
      </c>
      <c r="O18">
        <v>4</v>
      </c>
      <c r="P18">
        <v>2024</v>
      </c>
    </row>
    <row r="19" spans="1:16" ht="15.75" x14ac:dyDescent="0.25">
      <c r="A19" s="1" t="s">
        <v>751</v>
      </c>
      <c r="B19" t="str">
        <f t="shared" si="0"/>
        <v>-04-2024</v>
      </c>
      <c r="D19">
        <v>19538</v>
      </c>
      <c r="E19" t="str">
        <f t="shared" si="1"/>
        <v>ia.assorted_string like '%19538-04-2024%' or</v>
      </c>
      <c r="H19" s="1" t="s">
        <v>727</v>
      </c>
      <c r="I19" t="s">
        <v>728</v>
      </c>
      <c r="J19" t="s">
        <v>729</v>
      </c>
      <c r="K19" t="s">
        <v>730</v>
      </c>
      <c r="L19" t="s">
        <v>731</v>
      </c>
      <c r="M19" t="s">
        <v>732</v>
      </c>
      <c r="N19">
        <v>19538</v>
      </c>
      <c r="O19">
        <v>4</v>
      </c>
      <c r="P19">
        <v>2024</v>
      </c>
    </row>
    <row r="20" spans="1:16" ht="15.75" x14ac:dyDescent="0.25">
      <c r="A20" s="1" t="s">
        <v>752</v>
      </c>
      <c r="B20" t="str">
        <f t="shared" si="0"/>
        <v>-04-2024</v>
      </c>
      <c r="D20">
        <v>19539</v>
      </c>
      <c r="E20" t="str">
        <f t="shared" si="1"/>
        <v>ia.assorted_string like '%19539-04-2024%' or</v>
      </c>
      <c r="H20" s="1" t="s">
        <v>727</v>
      </c>
      <c r="I20" t="s">
        <v>728</v>
      </c>
      <c r="J20" t="s">
        <v>729</v>
      </c>
      <c r="K20" t="s">
        <v>730</v>
      </c>
      <c r="L20" t="s">
        <v>731</v>
      </c>
      <c r="M20" t="s">
        <v>732</v>
      </c>
      <c r="N20">
        <v>19539</v>
      </c>
      <c r="O20">
        <v>4</v>
      </c>
      <c r="P20">
        <v>2024</v>
      </c>
    </row>
    <row r="21" spans="1:16" ht="15.75" x14ac:dyDescent="0.25">
      <c r="A21" s="1" t="s">
        <v>753</v>
      </c>
      <c r="B21" t="str">
        <f t="shared" si="0"/>
        <v>-04-2024</v>
      </c>
      <c r="D21">
        <v>19540</v>
      </c>
      <c r="E21" t="str">
        <f t="shared" si="1"/>
        <v>ia.assorted_string like '%19540-04-2024%' or</v>
      </c>
      <c r="H21" s="1" t="s">
        <v>727</v>
      </c>
      <c r="I21" t="s">
        <v>728</v>
      </c>
      <c r="J21" t="s">
        <v>729</v>
      </c>
      <c r="K21" t="s">
        <v>730</v>
      </c>
      <c r="L21" t="s">
        <v>731</v>
      </c>
      <c r="M21" t="s">
        <v>732</v>
      </c>
      <c r="N21">
        <v>19540</v>
      </c>
      <c r="O21">
        <v>4</v>
      </c>
      <c r="P21">
        <v>2024</v>
      </c>
    </row>
    <row r="22" spans="1:16" ht="15.75" x14ac:dyDescent="0.25">
      <c r="A22" s="1" t="s">
        <v>754</v>
      </c>
      <c r="B22" t="str">
        <f t="shared" si="0"/>
        <v>-04-2024</v>
      </c>
      <c r="D22">
        <v>19541</v>
      </c>
      <c r="E22" t="str">
        <f t="shared" si="1"/>
        <v>ia.assorted_string like '%19541-04-2024%' or</v>
      </c>
      <c r="H22" s="1" t="s">
        <v>727</v>
      </c>
      <c r="I22" t="s">
        <v>728</v>
      </c>
      <c r="J22" t="s">
        <v>729</v>
      </c>
      <c r="K22" t="s">
        <v>730</v>
      </c>
      <c r="L22" t="s">
        <v>731</v>
      </c>
      <c r="M22" t="s">
        <v>732</v>
      </c>
      <c r="N22">
        <v>19541</v>
      </c>
      <c r="O22">
        <v>4</v>
      </c>
      <c r="P22">
        <v>2024</v>
      </c>
    </row>
    <row r="23" spans="1:16" ht="15.75" x14ac:dyDescent="0.25">
      <c r="A23" s="1" t="s">
        <v>755</v>
      </c>
      <c r="B23" t="str">
        <f t="shared" si="0"/>
        <v>-04-2024</v>
      </c>
      <c r="D23">
        <v>19542</v>
      </c>
      <c r="E23" t="str">
        <f t="shared" si="1"/>
        <v>ia.assorted_string like '%19542-04-2024%' or</v>
      </c>
      <c r="H23" s="1" t="s">
        <v>727</v>
      </c>
      <c r="I23" t="s">
        <v>728</v>
      </c>
      <c r="J23" t="s">
        <v>729</v>
      </c>
      <c r="K23" t="s">
        <v>730</v>
      </c>
      <c r="L23" t="s">
        <v>731</v>
      </c>
      <c r="M23" t="s">
        <v>732</v>
      </c>
      <c r="N23">
        <v>19542</v>
      </c>
      <c r="O23">
        <v>4</v>
      </c>
      <c r="P23">
        <v>2024</v>
      </c>
    </row>
    <row r="24" spans="1:16" ht="15.75" x14ac:dyDescent="0.25">
      <c r="A24" s="1" t="s">
        <v>756</v>
      </c>
      <c r="B24" t="str">
        <f t="shared" si="0"/>
        <v>-04-2024</v>
      </c>
      <c r="D24">
        <v>19543</v>
      </c>
      <c r="E24" t="str">
        <f t="shared" si="1"/>
        <v>ia.assorted_string like '%19543-04-2024%' or</v>
      </c>
      <c r="H24" s="1" t="s">
        <v>727</v>
      </c>
      <c r="I24" t="s">
        <v>728</v>
      </c>
      <c r="J24" t="s">
        <v>729</v>
      </c>
      <c r="K24" t="s">
        <v>730</v>
      </c>
      <c r="L24" t="s">
        <v>731</v>
      </c>
      <c r="M24" t="s">
        <v>732</v>
      </c>
      <c r="N24">
        <v>19543</v>
      </c>
      <c r="O24">
        <v>4</v>
      </c>
      <c r="P24">
        <v>2024</v>
      </c>
    </row>
    <row r="25" spans="1:16" ht="15.75" x14ac:dyDescent="0.25">
      <c r="A25" s="1" t="s">
        <v>757</v>
      </c>
      <c r="B25" t="str">
        <f t="shared" si="0"/>
        <v>-04-2024</v>
      </c>
      <c r="D25">
        <v>19544</v>
      </c>
      <c r="E25" t="str">
        <f t="shared" si="1"/>
        <v>ia.assorted_string like '%19544-04-2024%' or</v>
      </c>
      <c r="H25" s="1" t="s">
        <v>727</v>
      </c>
      <c r="I25" t="s">
        <v>728</v>
      </c>
      <c r="J25" t="s">
        <v>729</v>
      </c>
      <c r="K25" t="s">
        <v>730</v>
      </c>
      <c r="L25" t="s">
        <v>731</v>
      </c>
      <c r="M25" t="s">
        <v>732</v>
      </c>
      <c r="N25">
        <v>19544</v>
      </c>
      <c r="O25">
        <v>4</v>
      </c>
      <c r="P25">
        <v>2024</v>
      </c>
    </row>
    <row r="26" spans="1:16" ht="15.75" x14ac:dyDescent="0.25">
      <c r="A26" s="1" t="s">
        <v>758</v>
      </c>
      <c r="B26" t="str">
        <f t="shared" si="0"/>
        <v>-04-2024</v>
      </c>
      <c r="D26">
        <v>19554</v>
      </c>
      <c r="E26" t="str">
        <f t="shared" si="1"/>
        <v>ia.assorted_string like '%19554-04-2024%' or</v>
      </c>
      <c r="H26" s="1" t="s">
        <v>727</v>
      </c>
      <c r="I26" t="s">
        <v>728</v>
      </c>
      <c r="J26" t="s">
        <v>729</v>
      </c>
      <c r="K26" t="s">
        <v>730</v>
      </c>
      <c r="L26" t="s">
        <v>731</v>
      </c>
      <c r="M26" t="s">
        <v>732</v>
      </c>
      <c r="N26">
        <v>19554</v>
      </c>
      <c r="O26">
        <v>4</v>
      </c>
      <c r="P26">
        <v>2024</v>
      </c>
    </row>
    <row r="27" spans="1:16" ht="15.75" x14ac:dyDescent="0.25">
      <c r="A27" s="1" t="s">
        <v>759</v>
      </c>
      <c r="B27" t="str">
        <f t="shared" si="0"/>
        <v>-04-2024</v>
      </c>
      <c r="D27">
        <v>19555</v>
      </c>
      <c r="E27" t="str">
        <f t="shared" si="1"/>
        <v>ia.assorted_string like '%19555-04-2024%' or</v>
      </c>
      <c r="H27" s="1" t="s">
        <v>727</v>
      </c>
      <c r="I27" t="s">
        <v>728</v>
      </c>
      <c r="J27" t="s">
        <v>729</v>
      </c>
      <c r="K27" t="s">
        <v>730</v>
      </c>
      <c r="L27" t="s">
        <v>731</v>
      </c>
      <c r="M27" t="s">
        <v>732</v>
      </c>
      <c r="N27">
        <v>19555</v>
      </c>
      <c r="O27">
        <v>4</v>
      </c>
      <c r="P27">
        <v>2024</v>
      </c>
    </row>
    <row r="28" spans="1:16" ht="15.75" x14ac:dyDescent="0.25">
      <c r="A28" s="1" t="s">
        <v>760</v>
      </c>
      <c r="B28" t="str">
        <f t="shared" si="0"/>
        <v>-04-2024</v>
      </c>
      <c r="D28">
        <v>19556</v>
      </c>
      <c r="E28" t="str">
        <f t="shared" si="1"/>
        <v>ia.assorted_string like '%19556-04-2024%' or</v>
      </c>
      <c r="H28" s="1" t="s">
        <v>727</v>
      </c>
      <c r="I28" t="s">
        <v>728</v>
      </c>
      <c r="J28" t="s">
        <v>729</v>
      </c>
      <c r="K28" t="s">
        <v>730</v>
      </c>
      <c r="L28" t="s">
        <v>731</v>
      </c>
      <c r="M28" t="s">
        <v>732</v>
      </c>
      <c r="N28">
        <v>19556</v>
      </c>
      <c r="O28">
        <v>4</v>
      </c>
      <c r="P28">
        <v>2024</v>
      </c>
    </row>
    <row r="29" spans="1:16" ht="15.75" x14ac:dyDescent="0.25">
      <c r="A29" s="1" t="s">
        <v>761</v>
      </c>
      <c r="B29" t="str">
        <f t="shared" si="0"/>
        <v>-04-2024</v>
      </c>
      <c r="D29">
        <v>19559</v>
      </c>
      <c r="E29" t="str">
        <f t="shared" si="1"/>
        <v>ia.assorted_string like '%19559-04-2024%' or</v>
      </c>
      <c r="H29" s="1" t="s">
        <v>727</v>
      </c>
      <c r="I29" t="s">
        <v>728</v>
      </c>
      <c r="J29" t="s">
        <v>729</v>
      </c>
      <c r="K29" t="s">
        <v>730</v>
      </c>
      <c r="L29" t="s">
        <v>731</v>
      </c>
      <c r="M29" t="s">
        <v>732</v>
      </c>
      <c r="N29">
        <v>19559</v>
      </c>
      <c r="O29">
        <v>4</v>
      </c>
      <c r="P29">
        <v>2024</v>
      </c>
    </row>
    <row r="30" spans="1:16" ht="15.75" x14ac:dyDescent="0.25">
      <c r="A30" s="1" t="s">
        <v>762</v>
      </c>
      <c r="B30" t="str">
        <f t="shared" si="0"/>
        <v>-04-2024</v>
      </c>
      <c r="D30">
        <v>19560</v>
      </c>
      <c r="E30" t="str">
        <f t="shared" si="1"/>
        <v>ia.assorted_string like '%19560-04-2024%' or</v>
      </c>
      <c r="H30" s="1" t="s">
        <v>727</v>
      </c>
      <c r="I30" t="s">
        <v>728</v>
      </c>
      <c r="J30" t="s">
        <v>729</v>
      </c>
      <c r="K30" t="s">
        <v>730</v>
      </c>
      <c r="L30" t="s">
        <v>731</v>
      </c>
      <c r="M30" t="s">
        <v>732</v>
      </c>
      <c r="N30">
        <v>19560</v>
      </c>
      <c r="O30">
        <v>4</v>
      </c>
      <c r="P30">
        <v>2024</v>
      </c>
    </row>
    <row r="31" spans="1:16" ht="15.75" x14ac:dyDescent="0.25">
      <c r="A31" s="1" t="s">
        <v>763</v>
      </c>
      <c r="B31" t="str">
        <f t="shared" si="0"/>
        <v>-04-2024</v>
      </c>
      <c r="D31">
        <v>19561</v>
      </c>
      <c r="E31" t="str">
        <f t="shared" si="1"/>
        <v>ia.assorted_string like '%19561-04-2024%' or</v>
      </c>
      <c r="H31" s="1" t="s">
        <v>727</v>
      </c>
      <c r="I31" t="s">
        <v>728</v>
      </c>
      <c r="J31" t="s">
        <v>729</v>
      </c>
      <c r="K31" t="s">
        <v>730</v>
      </c>
      <c r="L31" t="s">
        <v>731</v>
      </c>
      <c r="M31" t="s">
        <v>732</v>
      </c>
      <c r="N31">
        <v>19561</v>
      </c>
      <c r="O31">
        <v>4</v>
      </c>
      <c r="P31">
        <v>2024</v>
      </c>
    </row>
    <row r="32" spans="1:16" ht="15.75" x14ac:dyDescent="0.25">
      <c r="A32" s="1" t="s">
        <v>764</v>
      </c>
      <c r="B32" t="str">
        <f t="shared" si="0"/>
        <v>-04-2024</v>
      </c>
      <c r="D32">
        <v>19562</v>
      </c>
      <c r="E32" t="str">
        <f t="shared" si="1"/>
        <v>ia.assorted_string like '%19562-04-2024%' or</v>
      </c>
      <c r="H32" s="1" t="s">
        <v>727</v>
      </c>
      <c r="I32" t="s">
        <v>728</v>
      </c>
      <c r="J32" t="s">
        <v>729</v>
      </c>
      <c r="K32" t="s">
        <v>730</v>
      </c>
      <c r="L32" t="s">
        <v>731</v>
      </c>
      <c r="M32" t="s">
        <v>732</v>
      </c>
      <c r="N32">
        <v>19562</v>
      </c>
      <c r="O32">
        <v>4</v>
      </c>
      <c r="P32">
        <v>2024</v>
      </c>
    </row>
    <row r="33" spans="1:16" ht="15.75" x14ac:dyDescent="0.25">
      <c r="A33" s="1" t="s">
        <v>765</v>
      </c>
      <c r="B33" t="str">
        <f t="shared" si="0"/>
        <v>-04-2024</v>
      </c>
      <c r="D33">
        <v>19563</v>
      </c>
      <c r="E33" t="str">
        <f t="shared" si="1"/>
        <v>ia.assorted_string like '%19563-04-2024%' or</v>
      </c>
      <c r="H33" s="1" t="s">
        <v>727</v>
      </c>
      <c r="I33" t="s">
        <v>728</v>
      </c>
      <c r="J33" t="s">
        <v>729</v>
      </c>
      <c r="K33" t="s">
        <v>730</v>
      </c>
      <c r="L33" t="s">
        <v>731</v>
      </c>
      <c r="M33" t="s">
        <v>732</v>
      </c>
      <c r="N33">
        <v>19563</v>
      </c>
      <c r="O33">
        <v>4</v>
      </c>
      <c r="P33">
        <v>2024</v>
      </c>
    </row>
    <row r="34" spans="1:16" ht="15.75" x14ac:dyDescent="0.25">
      <c r="A34" s="1" t="s">
        <v>766</v>
      </c>
      <c r="B34" t="str">
        <f t="shared" si="0"/>
        <v>-04-2024</v>
      </c>
      <c r="D34">
        <v>19564</v>
      </c>
      <c r="E34" t="str">
        <f t="shared" si="1"/>
        <v>ia.assorted_string like '%19564-04-2024%' or</v>
      </c>
      <c r="H34" s="1" t="s">
        <v>727</v>
      </c>
      <c r="I34" t="s">
        <v>728</v>
      </c>
      <c r="J34" t="s">
        <v>729</v>
      </c>
      <c r="K34" t="s">
        <v>730</v>
      </c>
      <c r="L34" t="s">
        <v>731</v>
      </c>
      <c r="M34" t="s">
        <v>732</v>
      </c>
      <c r="N34">
        <v>19564</v>
      </c>
      <c r="O34">
        <v>4</v>
      </c>
      <c r="P34">
        <v>2024</v>
      </c>
    </row>
    <row r="35" spans="1:16" ht="15.75" x14ac:dyDescent="0.25">
      <c r="A35" s="1" t="s">
        <v>767</v>
      </c>
      <c r="B35" t="str">
        <f t="shared" si="0"/>
        <v>-04-2024</v>
      </c>
      <c r="D35">
        <v>19565</v>
      </c>
      <c r="E35" t="str">
        <f t="shared" si="1"/>
        <v>ia.assorted_string like '%19565-04-2024%' or</v>
      </c>
      <c r="H35" s="1" t="s">
        <v>727</v>
      </c>
      <c r="I35" t="s">
        <v>728</v>
      </c>
      <c r="J35" t="s">
        <v>729</v>
      </c>
      <c r="K35" t="s">
        <v>730</v>
      </c>
      <c r="L35" t="s">
        <v>731</v>
      </c>
      <c r="M35" t="s">
        <v>732</v>
      </c>
      <c r="N35">
        <v>19565</v>
      </c>
      <c r="O35">
        <v>4</v>
      </c>
      <c r="P35">
        <v>2024</v>
      </c>
    </row>
    <row r="36" spans="1:16" ht="15.75" x14ac:dyDescent="0.25">
      <c r="A36" s="1" t="s">
        <v>768</v>
      </c>
      <c r="B36" t="str">
        <f t="shared" si="0"/>
        <v>-04-2024</v>
      </c>
      <c r="D36">
        <v>19566</v>
      </c>
      <c r="E36" t="str">
        <f t="shared" si="1"/>
        <v>ia.assorted_string like '%19566-04-2024%' or</v>
      </c>
      <c r="H36" s="1" t="s">
        <v>727</v>
      </c>
      <c r="I36" t="s">
        <v>728</v>
      </c>
      <c r="J36" t="s">
        <v>729</v>
      </c>
      <c r="K36" t="s">
        <v>730</v>
      </c>
      <c r="L36" t="s">
        <v>731</v>
      </c>
      <c r="M36" t="s">
        <v>732</v>
      </c>
      <c r="N36">
        <v>19566</v>
      </c>
      <c r="O36">
        <v>4</v>
      </c>
      <c r="P36">
        <v>2024</v>
      </c>
    </row>
    <row r="37" spans="1:16" ht="15.75" x14ac:dyDescent="0.25">
      <c r="A37" s="1" t="s">
        <v>769</v>
      </c>
      <c r="B37" t="str">
        <f t="shared" si="0"/>
        <v>-04-2024</v>
      </c>
      <c r="D37">
        <v>19568</v>
      </c>
      <c r="E37" t="str">
        <f t="shared" si="1"/>
        <v>ia.assorted_string like '%19568-04-2024%' or</v>
      </c>
      <c r="H37" s="1" t="s">
        <v>727</v>
      </c>
      <c r="I37" t="s">
        <v>728</v>
      </c>
      <c r="J37" t="s">
        <v>729</v>
      </c>
      <c r="K37" t="s">
        <v>730</v>
      </c>
      <c r="L37" t="s">
        <v>731</v>
      </c>
      <c r="M37" t="s">
        <v>732</v>
      </c>
      <c r="N37">
        <v>19568</v>
      </c>
      <c r="O37">
        <v>4</v>
      </c>
      <c r="P37">
        <v>2024</v>
      </c>
    </row>
    <row r="38" spans="1:16" ht="15.75" x14ac:dyDescent="0.25">
      <c r="A38" s="1" t="s">
        <v>770</v>
      </c>
      <c r="B38" t="str">
        <f t="shared" si="0"/>
        <v>-04-2024</v>
      </c>
      <c r="D38">
        <v>19569</v>
      </c>
      <c r="E38" t="str">
        <f t="shared" si="1"/>
        <v>ia.assorted_string like '%19569-04-2024%' or</v>
      </c>
      <c r="H38" s="1" t="s">
        <v>727</v>
      </c>
      <c r="I38" t="s">
        <v>728</v>
      </c>
      <c r="J38" t="s">
        <v>729</v>
      </c>
      <c r="K38" t="s">
        <v>730</v>
      </c>
      <c r="L38" t="s">
        <v>731</v>
      </c>
      <c r="M38" t="s">
        <v>732</v>
      </c>
      <c r="N38">
        <v>19569</v>
      </c>
      <c r="O38">
        <v>4</v>
      </c>
      <c r="P38">
        <v>2024</v>
      </c>
    </row>
    <row r="39" spans="1:16" ht="15.75" x14ac:dyDescent="0.25">
      <c r="A39" s="1" t="s">
        <v>771</v>
      </c>
      <c r="B39" t="str">
        <f t="shared" si="0"/>
        <v>-04-2024</v>
      </c>
      <c r="D39">
        <v>19570</v>
      </c>
      <c r="E39" t="str">
        <f t="shared" si="1"/>
        <v>ia.assorted_string like '%19570-04-2024%' or</v>
      </c>
      <c r="H39" s="1" t="s">
        <v>727</v>
      </c>
      <c r="I39" t="s">
        <v>728</v>
      </c>
      <c r="J39" t="s">
        <v>729</v>
      </c>
      <c r="K39" t="s">
        <v>730</v>
      </c>
      <c r="L39" t="s">
        <v>731</v>
      </c>
      <c r="M39" t="s">
        <v>732</v>
      </c>
      <c r="N39">
        <v>19570</v>
      </c>
      <c r="O39">
        <v>4</v>
      </c>
      <c r="P39">
        <v>2024</v>
      </c>
    </row>
    <row r="40" spans="1:16" ht="15.75" x14ac:dyDescent="0.25">
      <c r="A40" s="1" t="s">
        <v>772</v>
      </c>
      <c r="B40" t="str">
        <f t="shared" si="0"/>
        <v>-04-2024</v>
      </c>
      <c r="D40">
        <v>19571</v>
      </c>
      <c r="E40" t="str">
        <f t="shared" si="1"/>
        <v>ia.assorted_string like '%19571-04-2024%' or</v>
      </c>
      <c r="H40" s="1" t="s">
        <v>727</v>
      </c>
      <c r="I40" t="s">
        <v>728</v>
      </c>
      <c r="J40" t="s">
        <v>729</v>
      </c>
      <c r="K40" t="s">
        <v>730</v>
      </c>
      <c r="L40" t="s">
        <v>731</v>
      </c>
      <c r="M40" t="s">
        <v>732</v>
      </c>
      <c r="N40">
        <v>19571</v>
      </c>
      <c r="O40">
        <v>4</v>
      </c>
      <c r="P40">
        <v>2024</v>
      </c>
    </row>
    <row r="41" spans="1:16" ht="15.75" x14ac:dyDescent="0.25">
      <c r="A41" s="1" t="s">
        <v>773</v>
      </c>
      <c r="B41" t="str">
        <f t="shared" si="0"/>
        <v>-04-2024</v>
      </c>
      <c r="D41">
        <v>19572</v>
      </c>
      <c r="E41" t="str">
        <f t="shared" si="1"/>
        <v>ia.assorted_string like '%19572-04-2024%' or</v>
      </c>
      <c r="H41" s="1" t="s">
        <v>727</v>
      </c>
      <c r="I41" t="s">
        <v>728</v>
      </c>
      <c r="J41" t="s">
        <v>729</v>
      </c>
      <c r="K41" t="s">
        <v>730</v>
      </c>
      <c r="L41" t="s">
        <v>731</v>
      </c>
      <c r="M41" t="s">
        <v>732</v>
      </c>
      <c r="N41">
        <v>19572</v>
      </c>
      <c r="O41">
        <v>4</v>
      </c>
      <c r="P41">
        <v>2024</v>
      </c>
    </row>
    <row r="42" spans="1:16" ht="15.75" x14ac:dyDescent="0.25">
      <c r="A42" s="1" t="s">
        <v>774</v>
      </c>
      <c r="B42" t="str">
        <f t="shared" si="0"/>
        <v>-04-2024</v>
      </c>
      <c r="D42">
        <v>19586</v>
      </c>
      <c r="E42" t="str">
        <f t="shared" si="1"/>
        <v>ia.assorted_string like '%19586-04-2024%' or</v>
      </c>
      <c r="H42" s="1" t="s">
        <v>727</v>
      </c>
      <c r="I42" t="s">
        <v>728</v>
      </c>
      <c r="J42" t="s">
        <v>729</v>
      </c>
      <c r="K42" t="s">
        <v>730</v>
      </c>
      <c r="L42" t="s">
        <v>731</v>
      </c>
      <c r="M42" t="s">
        <v>732</v>
      </c>
      <c r="N42">
        <v>19586</v>
      </c>
      <c r="O42">
        <v>4</v>
      </c>
      <c r="P42">
        <v>2024</v>
      </c>
    </row>
    <row r="43" spans="1:16" ht="15.75" x14ac:dyDescent="0.25">
      <c r="A43" s="1" t="s">
        <v>775</v>
      </c>
      <c r="B43" t="str">
        <f t="shared" si="0"/>
        <v>-04-2024</v>
      </c>
      <c r="D43">
        <v>19587</v>
      </c>
      <c r="E43" t="str">
        <f t="shared" si="1"/>
        <v>ia.assorted_string like '%19587-04-2024%' or</v>
      </c>
      <c r="H43" s="1" t="s">
        <v>727</v>
      </c>
      <c r="I43" t="s">
        <v>728</v>
      </c>
      <c r="J43" t="s">
        <v>729</v>
      </c>
      <c r="K43" t="s">
        <v>730</v>
      </c>
      <c r="L43" t="s">
        <v>731</v>
      </c>
      <c r="M43" t="s">
        <v>732</v>
      </c>
      <c r="N43">
        <v>19587</v>
      </c>
      <c r="O43">
        <v>4</v>
      </c>
      <c r="P43">
        <v>2024</v>
      </c>
    </row>
    <row r="44" spans="1:16" ht="15.75" x14ac:dyDescent="0.25">
      <c r="A44" s="1" t="s">
        <v>776</v>
      </c>
      <c r="B44" t="str">
        <f t="shared" si="0"/>
        <v>-04-2024</v>
      </c>
      <c r="D44">
        <v>19588</v>
      </c>
      <c r="E44" t="str">
        <f t="shared" si="1"/>
        <v>ia.assorted_string like '%19588-04-2024%' or</v>
      </c>
      <c r="H44" s="1" t="s">
        <v>727</v>
      </c>
      <c r="I44" t="s">
        <v>728</v>
      </c>
      <c r="J44" t="s">
        <v>729</v>
      </c>
      <c r="K44" t="s">
        <v>730</v>
      </c>
      <c r="L44" t="s">
        <v>731</v>
      </c>
      <c r="M44" t="s">
        <v>732</v>
      </c>
      <c r="N44">
        <v>19588</v>
      </c>
      <c r="O44">
        <v>4</v>
      </c>
      <c r="P44">
        <v>2024</v>
      </c>
    </row>
    <row r="45" spans="1:16" ht="15.75" x14ac:dyDescent="0.25">
      <c r="A45" s="1" t="s">
        <v>777</v>
      </c>
      <c r="B45" t="str">
        <f t="shared" si="0"/>
        <v>-04-2024</v>
      </c>
      <c r="D45">
        <v>19589</v>
      </c>
      <c r="E45" t="str">
        <f t="shared" si="1"/>
        <v>ia.assorted_string like '%19589-04-2024%' or</v>
      </c>
      <c r="H45" s="1" t="s">
        <v>727</v>
      </c>
      <c r="I45" t="s">
        <v>728</v>
      </c>
      <c r="J45" t="s">
        <v>729</v>
      </c>
      <c r="K45" t="s">
        <v>730</v>
      </c>
      <c r="L45" t="s">
        <v>731</v>
      </c>
      <c r="M45" t="s">
        <v>732</v>
      </c>
      <c r="N45">
        <v>19589</v>
      </c>
      <c r="O45">
        <v>4</v>
      </c>
      <c r="P45">
        <v>2024</v>
      </c>
    </row>
    <row r="46" spans="1:16" ht="15.75" x14ac:dyDescent="0.25">
      <c r="A46" s="1" t="s">
        <v>778</v>
      </c>
      <c r="B46" t="str">
        <f t="shared" si="0"/>
        <v>-04-2024</v>
      </c>
      <c r="D46">
        <v>19590</v>
      </c>
      <c r="E46" t="str">
        <f t="shared" si="1"/>
        <v>ia.assorted_string like '%19590-04-2024%' or</v>
      </c>
      <c r="H46" s="1" t="s">
        <v>727</v>
      </c>
      <c r="I46" t="s">
        <v>728</v>
      </c>
      <c r="J46" t="s">
        <v>729</v>
      </c>
      <c r="K46" t="s">
        <v>730</v>
      </c>
      <c r="L46" t="s">
        <v>731</v>
      </c>
      <c r="M46" t="s">
        <v>732</v>
      </c>
      <c r="N46">
        <v>19590</v>
      </c>
      <c r="O46">
        <v>4</v>
      </c>
      <c r="P46">
        <v>2024</v>
      </c>
    </row>
    <row r="47" spans="1:16" ht="15.75" x14ac:dyDescent="0.25">
      <c r="A47" s="1" t="s">
        <v>779</v>
      </c>
      <c r="B47" t="str">
        <f t="shared" si="0"/>
        <v>-04-2024</v>
      </c>
      <c r="D47">
        <v>19591</v>
      </c>
      <c r="E47" t="str">
        <f t="shared" si="1"/>
        <v>ia.assorted_string like '%19591-04-2024%' or</v>
      </c>
      <c r="H47" s="1" t="s">
        <v>727</v>
      </c>
      <c r="I47" t="s">
        <v>728</v>
      </c>
      <c r="J47" t="s">
        <v>729</v>
      </c>
      <c r="K47" t="s">
        <v>730</v>
      </c>
      <c r="L47" t="s">
        <v>731</v>
      </c>
      <c r="M47" t="s">
        <v>732</v>
      </c>
      <c r="N47">
        <v>19591</v>
      </c>
      <c r="O47">
        <v>4</v>
      </c>
      <c r="P47">
        <v>2024</v>
      </c>
    </row>
    <row r="48" spans="1:16" ht="15.75" x14ac:dyDescent="0.25">
      <c r="A48" s="1" t="s">
        <v>780</v>
      </c>
      <c r="B48" t="str">
        <f t="shared" si="0"/>
        <v>-04-2024</v>
      </c>
      <c r="D48">
        <v>19592</v>
      </c>
      <c r="E48" t="str">
        <f t="shared" si="1"/>
        <v>ia.assorted_string like '%19592-04-2024%' or</v>
      </c>
      <c r="H48" s="1" t="s">
        <v>727</v>
      </c>
      <c r="I48" t="s">
        <v>728</v>
      </c>
      <c r="J48" t="s">
        <v>729</v>
      </c>
      <c r="K48" t="s">
        <v>730</v>
      </c>
      <c r="L48" t="s">
        <v>731</v>
      </c>
      <c r="M48" t="s">
        <v>732</v>
      </c>
      <c r="N48">
        <v>19592</v>
      </c>
      <c r="O48">
        <v>4</v>
      </c>
      <c r="P48">
        <v>2024</v>
      </c>
    </row>
    <row r="49" spans="1:16" ht="15.75" x14ac:dyDescent="0.25">
      <c r="A49" s="1" t="s">
        <v>781</v>
      </c>
      <c r="B49" t="str">
        <f t="shared" si="0"/>
        <v>-04-2024</v>
      </c>
      <c r="D49">
        <v>19593</v>
      </c>
      <c r="E49" t="str">
        <f t="shared" si="1"/>
        <v>ia.assorted_string like '%19593-04-2024%' or</v>
      </c>
      <c r="H49" s="1" t="s">
        <v>727</v>
      </c>
      <c r="I49" t="s">
        <v>728</v>
      </c>
      <c r="J49" t="s">
        <v>729</v>
      </c>
      <c r="K49" t="s">
        <v>730</v>
      </c>
      <c r="L49" t="s">
        <v>731</v>
      </c>
      <c r="M49" t="s">
        <v>732</v>
      </c>
      <c r="N49">
        <v>19593</v>
      </c>
      <c r="O49">
        <v>4</v>
      </c>
      <c r="P49">
        <v>2024</v>
      </c>
    </row>
    <row r="50" spans="1:16" ht="15.75" x14ac:dyDescent="0.25">
      <c r="A50" s="1" t="s">
        <v>782</v>
      </c>
      <c r="B50" t="str">
        <f t="shared" si="0"/>
        <v>-04-2024</v>
      </c>
      <c r="D50">
        <v>19594</v>
      </c>
      <c r="E50" t="str">
        <f t="shared" si="1"/>
        <v>ia.assorted_string like '%19594-04-2024%' or</v>
      </c>
      <c r="H50" s="1" t="s">
        <v>727</v>
      </c>
      <c r="I50" t="s">
        <v>728</v>
      </c>
      <c r="J50" t="s">
        <v>729</v>
      </c>
      <c r="K50" t="s">
        <v>730</v>
      </c>
      <c r="L50" t="s">
        <v>731</v>
      </c>
      <c r="M50" t="s">
        <v>732</v>
      </c>
      <c r="N50">
        <v>19594</v>
      </c>
      <c r="O50">
        <v>4</v>
      </c>
      <c r="P50">
        <v>2024</v>
      </c>
    </row>
    <row r="51" spans="1:16" ht="15.75" x14ac:dyDescent="0.25">
      <c r="A51" s="1" t="s">
        <v>783</v>
      </c>
      <c r="B51" t="str">
        <f t="shared" si="0"/>
        <v>-04-2024</v>
      </c>
      <c r="D51">
        <v>19595</v>
      </c>
      <c r="E51" t="str">
        <f t="shared" si="1"/>
        <v>ia.assorted_string like '%19595-04-2024%' or</v>
      </c>
      <c r="H51" s="1" t="s">
        <v>727</v>
      </c>
      <c r="I51" t="s">
        <v>728</v>
      </c>
      <c r="J51" t="s">
        <v>729</v>
      </c>
      <c r="K51" t="s">
        <v>730</v>
      </c>
      <c r="L51" t="s">
        <v>731</v>
      </c>
      <c r="M51" t="s">
        <v>732</v>
      </c>
      <c r="N51">
        <v>19595</v>
      </c>
      <c r="O51">
        <v>4</v>
      </c>
      <c r="P51">
        <v>2024</v>
      </c>
    </row>
    <row r="52" spans="1:16" ht="15.75" x14ac:dyDescent="0.25">
      <c r="A52" s="1" t="s">
        <v>784</v>
      </c>
      <c r="B52" t="str">
        <f t="shared" si="0"/>
        <v>-04-2024</v>
      </c>
      <c r="D52">
        <v>19597</v>
      </c>
      <c r="E52" t="str">
        <f t="shared" si="1"/>
        <v>ia.assorted_string like '%19597-04-2024%' or</v>
      </c>
      <c r="H52" s="1" t="s">
        <v>727</v>
      </c>
      <c r="I52" t="s">
        <v>728</v>
      </c>
      <c r="J52" t="s">
        <v>729</v>
      </c>
      <c r="K52" t="s">
        <v>730</v>
      </c>
      <c r="L52" t="s">
        <v>731</v>
      </c>
      <c r="M52" t="s">
        <v>732</v>
      </c>
      <c r="N52">
        <v>19597</v>
      </c>
      <c r="O52">
        <v>4</v>
      </c>
      <c r="P52">
        <v>2024</v>
      </c>
    </row>
    <row r="53" spans="1:16" ht="15.75" x14ac:dyDescent="0.25">
      <c r="A53" s="1" t="s">
        <v>785</v>
      </c>
      <c r="B53" t="str">
        <f t="shared" si="0"/>
        <v>-04-2024</v>
      </c>
      <c r="D53">
        <v>19598</v>
      </c>
      <c r="E53" t="str">
        <f t="shared" si="1"/>
        <v>ia.assorted_string like '%19598-04-2024%' or</v>
      </c>
      <c r="H53" s="1" t="s">
        <v>727</v>
      </c>
      <c r="I53" t="s">
        <v>728</v>
      </c>
      <c r="J53" t="s">
        <v>729</v>
      </c>
      <c r="K53" t="s">
        <v>730</v>
      </c>
      <c r="L53" t="s">
        <v>731</v>
      </c>
      <c r="M53" t="s">
        <v>732</v>
      </c>
      <c r="N53">
        <v>19598</v>
      </c>
      <c r="O53">
        <v>4</v>
      </c>
      <c r="P53">
        <v>2024</v>
      </c>
    </row>
    <row r="54" spans="1:16" ht="15.75" x14ac:dyDescent="0.25">
      <c r="A54" s="1" t="s">
        <v>786</v>
      </c>
      <c r="B54" t="str">
        <f t="shared" si="0"/>
        <v>-04-2024</v>
      </c>
      <c r="D54">
        <v>19599</v>
      </c>
      <c r="E54" t="str">
        <f t="shared" si="1"/>
        <v>ia.assorted_string like '%19599-04-2024%' or</v>
      </c>
      <c r="H54" s="1" t="s">
        <v>727</v>
      </c>
      <c r="I54" t="s">
        <v>728</v>
      </c>
      <c r="J54" t="s">
        <v>729</v>
      </c>
      <c r="K54" t="s">
        <v>730</v>
      </c>
      <c r="L54" t="s">
        <v>731</v>
      </c>
      <c r="M54" t="s">
        <v>732</v>
      </c>
      <c r="N54">
        <v>19599</v>
      </c>
      <c r="O54">
        <v>4</v>
      </c>
      <c r="P54">
        <v>2024</v>
      </c>
    </row>
    <row r="55" spans="1:16" ht="15.75" x14ac:dyDescent="0.25">
      <c r="A55" s="1" t="s">
        <v>787</v>
      </c>
      <c r="B55" t="str">
        <f t="shared" si="0"/>
        <v>-04-2024</v>
      </c>
      <c r="D55">
        <v>19600</v>
      </c>
      <c r="E55" t="str">
        <f t="shared" si="1"/>
        <v>ia.assorted_string like '%19600-04-2024%' or</v>
      </c>
      <c r="H55" s="1" t="s">
        <v>727</v>
      </c>
      <c r="I55" t="s">
        <v>728</v>
      </c>
      <c r="J55" t="s">
        <v>729</v>
      </c>
      <c r="K55" t="s">
        <v>730</v>
      </c>
      <c r="L55" t="s">
        <v>731</v>
      </c>
      <c r="M55" t="s">
        <v>732</v>
      </c>
      <c r="N55">
        <v>19600</v>
      </c>
      <c r="O55">
        <v>4</v>
      </c>
      <c r="P55">
        <v>2024</v>
      </c>
    </row>
    <row r="56" spans="1:16" ht="15.75" x14ac:dyDescent="0.25">
      <c r="A56" s="1" t="s">
        <v>788</v>
      </c>
      <c r="B56" t="str">
        <f t="shared" si="0"/>
        <v>-04-2024</v>
      </c>
      <c r="D56">
        <v>19601</v>
      </c>
      <c r="E56" t="str">
        <f t="shared" si="1"/>
        <v>ia.assorted_string like '%19601-04-2024%' or</v>
      </c>
      <c r="H56" s="1" t="s">
        <v>727</v>
      </c>
      <c r="I56" t="s">
        <v>728</v>
      </c>
      <c r="J56" t="s">
        <v>729</v>
      </c>
      <c r="K56" t="s">
        <v>730</v>
      </c>
      <c r="L56" t="s">
        <v>731</v>
      </c>
      <c r="M56" t="s">
        <v>732</v>
      </c>
      <c r="N56">
        <v>19601</v>
      </c>
      <c r="O56">
        <v>4</v>
      </c>
      <c r="P56">
        <v>2024</v>
      </c>
    </row>
    <row r="57" spans="1:16" ht="15.75" x14ac:dyDescent="0.25">
      <c r="A57" s="1" t="s">
        <v>789</v>
      </c>
      <c r="B57" t="str">
        <f t="shared" si="0"/>
        <v>-04-2024</v>
      </c>
      <c r="D57">
        <v>19602</v>
      </c>
      <c r="E57" t="str">
        <f t="shared" si="1"/>
        <v>ia.assorted_string like '%19602-04-2024%' or</v>
      </c>
      <c r="H57" s="1" t="s">
        <v>727</v>
      </c>
      <c r="I57" t="s">
        <v>728</v>
      </c>
      <c r="J57" t="s">
        <v>729</v>
      </c>
      <c r="K57" t="s">
        <v>730</v>
      </c>
      <c r="L57" t="s">
        <v>731</v>
      </c>
      <c r="M57" t="s">
        <v>732</v>
      </c>
      <c r="N57">
        <v>19602</v>
      </c>
      <c r="O57">
        <v>4</v>
      </c>
      <c r="P57">
        <v>2024</v>
      </c>
    </row>
    <row r="58" spans="1:16" ht="15.75" x14ac:dyDescent="0.25">
      <c r="A58" s="1" t="s">
        <v>790</v>
      </c>
      <c r="B58" t="str">
        <f t="shared" si="0"/>
        <v>-04-2024</v>
      </c>
      <c r="D58">
        <v>19603</v>
      </c>
      <c r="E58" t="str">
        <f t="shared" si="1"/>
        <v>ia.assorted_string like '%19603-04-2024%' or</v>
      </c>
      <c r="H58" s="1" t="s">
        <v>727</v>
      </c>
      <c r="I58" t="s">
        <v>728</v>
      </c>
      <c r="J58" t="s">
        <v>729</v>
      </c>
      <c r="K58" t="s">
        <v>730</v>
      </c>
      <c r="L58" t="s">
        <v>731</v>
      </c>
      <c r="M58" t="s">
        <v>732</v>
      </c>
      <c r="N58">
        <v>19603</v>
      </c>
      <c r="O58">
        <v>4</v>
      </c>
      <c r="P58">
        <v>2024</v>
      </c>
    </row>
    <row r="59" spans="1:16" ht="15.75" x14ac:dyDescent="0.25">
      <c r="A59" s="1" t="s">
        <v>791</v>
      </c>
      <c r="B59" t="str">
        <f t="shared" si="0"/>
        <v>-04-2024</v>
      </c>
      <c r="D59">
        <v>19604</v>
      </c>
      <c r="E59" t="str">
        <f t="shared" si="1"/>
        <v>ia.assorted_string like '%19604-04-2024%' or</v>
      </c>
      <c r="H59" s="1" t="s">
        <v>727</v>
      </c>
      <c r="I59" t="s">
        <v>728</v>
      </c>
      <c r="J59" t="s">
        <v>729</v>
      </c>
      <c r="K59" t="s">
        <v>730</v>
      </c>
      <c r="L59" t="s">
        <v>731</v>
      </c>
      <c r="M59" t="s">
        <v>732</v>
      </c>
      <c r="N59">
        <v>19604</v>
      </c>
      <c r="O59">
        <v>4</v>
      </c>
      <c r="P59">
        <v>2024</v>
      </c>
    </row>
    <row r="60" spans="1:16" ht="15.75" x14ac:dyDescent="0.25">
      <c r="A60" s="1" t="s">
        <v>792</v>
      </c>
      <c r="B60" t="str">
        <f t="shared" si="0"/>
        <v>-04-2024</v>
      </c>
      <c r="D60">
        <v>19605</v>
      </c>
      <c r="E60" t="str">
        <f t="shared" si="1"/>
        <v>ia.assorted_string like '%19605-04-2024%' or</v>
      </c>
      <c r="H60" s="1" t="s">
        <v>727</v>
      </c>
      <c r="I60" t="s">
        <v>728</v>
      </c>
      <c r="J60" t="s">
        <v>729</v>
      </c>
      <c r="K60" t="s">
        <v>730</v>
      </c>
      <c r="L60" t="s">
        <v>731</v>
      </c>
      <c r="M60" t="s">
        <v>732</v>
      </c>
      <c r="N60">
        <v>19605</v>
      </c>
      <c r="O60">
        <v>4</v>
      </c>
      <c r="P60">
        <v>2024</v>
      </c>
    </row>
    <row r="61" spans="1:16" ht="15.75" x14ac:dyDescent="0.25">
      <c r="A61" s="1" t="s">
        <v>793</v>
      </c>
      <c r="B61" t="str">
        <f t="shared" si="0"/>
        <v>-04-2024</v>
      </c>
      <c r="D61">
        <v>19611</v>
      </c>
      <c r="E61" t="str">
        <f t="shared" si="1"/>
        <v>ia.assorted_string like '%19611-04-2024%' or</v>
      </c>
      <c r="H61" s="1" t="s">
        <v>727</v>
      </c>
      <c r="I61" t="s">
        <v>728</v>
      </c>
      <c r="J61" t="s">
        <v>729</v>
      </c>
      <c r="K61" t="s">
        <v>730</v>
      </c>
      <c r="L61" t="s">
        <v>731</v>
      </c>
      <c r="M61" t="s">
        <v>732</v>
      </c>
      <c r="N61">
        <v>19611</v>
      </c>
      <c r="O61">
        <v>4</v>
      </c>
      <c r="P61">
        <v>2024</v>
      </c>
    </row>
    <row r="62" spans="1:16" ht="15.75" x14ac:dyDescent="0.25">
      <c r="A62" s="1" t="s">
        <v>794</v>
      </c>
      <c r="B62" t="str">
        <f t="shared" si="0"/>
        <v>-04-2024</v>
      </c>
      <c r="D62">
        <v>19612</v>
      </c>
      <c r="E62" t="str">
        <f t="shared" si="1"/>
        <v>ia.assorted_string like '%19612-04-2024%' or</v>
      </c>
      <c r="H62" s="1" t="s">
        <v>727</v>
      </c>
      <c r="I62" t="s">
        <v>728</v>
      </c>
      <c r="J62" t="s">
        <v>729</v>
      </c>
      <c r="K62" t="s">
        <v>730</v>
      </c>
      <c r="L62" t="s">
        <v>731</v>
      </c>
      <c r="M62" t="s">
        <v>732</v>
      </c>
      <c r="N62">
        <v>19612</v>
      </c>
      <c r="O62">
        <v>4</v>
      </c>
      <c r="P62">
        <v>2024</v>
      </c>
    </row>
    <row r="63" spans="1:16" ht="15.75" x14ac:dyDescent="0.25">
      <c r="A63" s="1" t="s">
        <v>795</v>
      </c>
      <c r="B63" t="str">
        <f t="shared" si="0"/>
        <v>-04-2024</v>
      </c>
      <c r="D63">
        <v>19613</v>
      </c>
      <c r="E63" t="str">
        <f t="shared" si="1"/>
        <v>ia.assorted_string like '%19613-04-2024%' or</v>
      </c>
      <c r="H63" s="1" t="s">
        <v>727</v>
      </c>
      <c r="I63" t="s">
        <v>728</v>
      </c>
      <c r="J63" t="s">
        <v>729</v>
      </c>
      <c r="K63" t="s">
        <v>730</v>
      </c>
      <c r="L63" t="s">
        <v>731</v>
      </c>
      <c r="M63" t="s">
        <v>732</v>
      </c>
      <c r="N63">
        <v>19613</v>
      </c>
      <c r="O63">
        <v>4</v>
      </c>
      <c r="P63">
        <v>2024</v>
      </c>
    </row>
    <row r="64" spans="1:16" ht="15.75" x14ac:dyDescent="0.25">
      <c r="A64" s="1" t="s">
        <v>796</v>
      </c>
      <c r="B64" t="str">
        <f t="shared" si="0"/>
        <v>-04-2024</v>
      </c>
      <c r="D64">
        <v>19614</v>
      </c>
      <c r="E64" t="str">
        <f t="shared" si="1"/>
        <v>ia.assorted_string like '%19614-04-2024%' or</v>
      </c>
      <c r="H64" s="1" t="s">
        <v>727</v>
      </c>
      <c r="I64" t="s">
        <v>728</v>
      </c>
      <c r="J64" t="s">
        <v>729</v>
      </c>
      <c r="K64" t="s">
        <v>730</v>
      </c>
      <c r="L64" t="s">
        <v>731</v>
      </c>
      <c r="M64" t="s">
        <v>732</v>
      </c>
      <c r="N64">
        <v>19614</v>
      </c>
      <c r="O64">
        <v>4</v>
      </c>
      <c r="P64">
        <v>2024</v>
      </c>
    </row>
    <row r="65" spans="1:16" ht="15.75" x14ac:dyDescent="0.25">
      <c r="A65" s="1" t="s">
        <v>797</v>
      </c>
      <c r="B65" t="str">
        <f t="shared" si="0"/>
        <v>-04-2024</v>
      </c>
      <c r="D65">
        <v>19616</v>
      </c>
      <c r="E65" t="str">
        <f t="shared" si="1"/>
        <v>ia.assorted_string like '%19616-04-2024%' or</v>
      </c>
      <c r="H65" s="1" t="s">
        <v>727</v>
      </c>
      <c r="I65" t="s">
        <v>728</v>
      </c>
      <c r="J65" t="s">
        <v>729</v>
      </c>
      <c r="K65" t="s">
        <v>730</v>
      </c>
      <c r="L65" t="s">
        <v>731</v>
      </c>
      <c r="M65" t="s">
        <v>732</v>
      </c>
      <c r="N65">
        <v>19616</v>
      </c>
      <c r="O65">
        <v>4</v>
      </c>
      <c r="P65">
        <v>2024</v>
      </c>
    </row>
    <row r="66" spans="1:16" ht="15.75" x14ac:dyDescent="0.25">
      <c r="A66" s="1" t="s">
        <v>798</v>
      </c>
      <c r="B66" t="str">
        <f t="shared" ref="B66:B81" si="2">RIGHT(A66,8)</f>
        <v>-04-2024</v>
      </c>
      <c r="D66">
        <v>19617</v>
      </c>
      <c r="E66" t="str">
        <f t="shared" ref="E66:E81" si="3">"ia.assorted_string like '%"&amp;D66&amp;B66&amp;"%' or"</f>
        <v>ia.assorted_string like '%19617-04-2024%' or</v>
      </c>
      <c r="H66" s="1" t="s">
        <v>727</v>
      </c>
      <c r="I66" t="s">
        <v>728</v>
      </c>
      <c r="J66" t="s">
        <v>729</v>
      </c>
      <c r="K66" t="s">
        <v>730</v>
      </c>
      <c r="L66" t="s">
        <v>731</v>
      </c>
      <c r="M66" t="s">
        <v>732</v>
      </c>
      <c r="N66">
        <v>19617</v>
      </c>
      <c r="O66">
        <v>4</v>
      </c>
      <c r="P66">
        <v>2024</v>
      </c>
    </row>
    <row r="67" spans="1:16" ht="15.75" x14ac:dyDescent="0.25">
      <c r="A67" s="1" t="s">
        <v>799</v>
      </c>
      <c r="B67" t="str">
        <f t="shared" si="2"/>
        <v>-04-2024</v>
      </c>
      <c r="D67">
        <v>19618</v>
      </c>
      <c r="E67" t="str">
        <f t="shared" si="3"/>
        <v>ia.assorted_string like '%19618-04-2024%' or</v>
      </c>
      <c r="H67" s="1" t="s">
        <v>727</v>
      </c>
      <c r="I67" t="s">
        <v>728</v>
      </c>
      <c r="J67" t="s">
        <v>729</v>
      </c>
      <c r="K67" t="s">
        <v>730</v>
      </c>
      <c r="L67" t="s">
        <v>731</v>
      </c>
      <c r="M67" t="s">
        <v>732</v>
      </c>
      <c r="N67">
        <v>19618</v>
      </c>
      <c r="O67">
        <v>4</v>
      </c>
      <c r="P67">
        <v>2024</v>
      </c>
    </row>
    <row r="68" spans="1:16" ht="15.75" x14ac:dyDescent="0.25">
      <c r="A68" s="1" t="s">
        <v>800</v>
      </c>
      <c r="B68" t="str">
        <f t="shared" si="2"/>
        <v>-04-2024</v>
      </c>
      <c r="D68">
        <v>19627</v>
      </c>
      <c r="E68" t="str">
        <f t="shared" si="3"/>
        <v>ia.assorted_string like '%19627-04-2024%' or</v>
      </c>
      <c r="H68" s="1" t="s">
        <v>727</v>
      </c>
      <c r="I68" t="s">
        <v>728</v>
      </c>
      <c r="J68" t="s">
        <v>729</v>
      </c>
      <c r="K68" t="s">
        <v>730</v>
      </c>
      <c r="L68" t="s">
        <v>731</v>
      </c>
      <c r="M68" t="s">
        <v>732</v>
      </c>
      <c r="N68">
        <v>19627</v>
      </c>
      <c r="O68">
        <v>4</v>
      </c>
      <c r="P68">
        <v>2024</v>
      </c>
    </row>
    <row r="69" spans="1:16" ht="15.75" x14ac:dyDescent="0.25">
      <c r="A69" s="1" t="s">
        <v>801</v>
      </c>
      <c r="B69" t="str">
        <f t="shared" si="2"/>
        <v>-04-2024</v>
      </c>
      <c r="D69">
        <v>19628</v>
      </c>
      <c r="E69" t="str">
        <f t="shared" si="3"/>
        <v>ia.assorted_string like '%19628-04-2024%' or</v>
      </c>
      <c r="H69" s="1" t="s">
        <v>727</v>
      </c>
      <c r="I69" t="s">
        <v>728</v>
      </c>
      <c r="J69" t="s">
        <v>729</v>
      </c>
      <c r="K69" t="s">
        <v>730</v>
      </c>
      <c r="L69" t="s">
        <v>731</v>
      </c>
      <c r="M69" t="s">
        <v>732</v>
      </c>
      <c r="N69">
        <v>19628</v>
      </c>
      <c r="O69">
        <v>4</v>
      </c>
      <c r="P69">
        <v>2024</v>
      </c>
    </row>
    <row r="70" spans="1:16" ht="15.75" x14ac:dyDescent="0.25">
      <c r="A70" s="1" t="s">
        <v>802</v>
      </c>
      <c r="B70" t="str">
        <f t="shared" si="2"/>
        <v>-04-2024</v>
      </c>
      <c r="D70">
        <v>19629</v>
      </c>
      <c r="E70" t="str">
        <f t="shared" si="3"/>
        <v>ia.assorted_string like '%19629-04-2024%' or</v>
      </c>
      <c r="H70" s="1" t="s">
        <v>727</v>
      </c>
      <c r="I70" t="s">
        <v>728</v>
      </c>
      <c r="J70" t="s">
        <v>729</v>
      </c>
      <c r="K70" t="s">
        <v>730</v>
      </c>
      <c r="L70" t="s">
        <v>731</v>
      </c>
      <c r="M70" t="s">
        <v>732</v>
      </c>
      <c r="N70">
        <v>19629</v>
      </c>
      <c r="O70">
        <v>4</v>
      </c>
      <c r="P70">
        <v>2024</v>
      </c>
    </row>
    <row r="71" spans="1:16" ht="15.75" x14ac:dyDescent="0.25">
      <c r="A71" s="1" t="s">
        <v>803</v>
      </c>
      <c r="B71" t="str">
        <f t="shared" si="2"/>
        <v>-04-2024</v>
      </c>
      <c r="D71">
        <v>19630</v>
      </c>
      <c r="E71" t="str">
        <f t="shared" si="3"/>
        <v>ia.assorted_string like '%19630-04-2024%' or</v>
      </c>
      <c r="H71" s="1" t="s">
        <v>727</v>
      </c>
      <c r="I71" t="s">
        <v>728</v>
      </c>
      <c r="J71" t="s">
        <v>729</v>
      </c>
      <c r="K71" t="s">
        <v>730</v>
      </c>
      <c r="L71" t="s">
        <v>731</v>
      </c>
      <c r="M71" t="s">
        <v>732</v>
      </c>
      <c r="N71">
        <v>19630</v>
      </c>
      <c r="O71">
        <v>4</v>
      </c>
      <c r="P71">
        <v>2024</v>
      </c>
    </row>
    <row r="72" spans="1:16" ht="15.75" x14ac:dyDescent="0.25">
      <c r="A72" s="1" t="s">
        <v>804</v>
      </c>
      <c r="B72" t="str">
        <f t="shared" si="2"/>
        <v>-04-2024</v>
      </c>
      <c r="D72">
        <v>19631</v>
      </c>
      <c r="E72" t="str">
        <f t="shared" si="3"/>
        <v>ia.assorted_string like '%19631-04-2024%' or</v>
      </c>
      <c r="H72" s="1" t="s">
        <v>727</v>
      </c>
      <c r="I72" t="s">
        <v>728</v>
      </c>
      <c r="J72" t="s">
        <v>729</v>
      </c>
      <c r="K72" t="s">
        <v>730</v>
      </c>
      <c r="L72" t="s">
        <v>731</v>
      </c>
      <c r="M72" t="s">
        <v>732</v>
      </c>
      <c r="N72">
        <v>19631</v>
      </c>
      <c r="O72">
        <v>4</v>
      </c>
      <c r="P72">
        <v>2024</v>
      </c>
    </row>
    <row r="73" spans="1:16" ht="15.75" x14ac:dyDescent="0.25">
      <c r="A73" s="1" t="s">
        <v>805</v>
      </c>
      <c r="B73" t="str">
        <f t="shared" si="2"/>
        <v>-04-2024</v>
      </c>
      <c r="D73">
        <v>19632</v>
      </c>
      <c r="E73" t="str">
        <f t="shared" si="3"/>
        <v>ia.assorted_string like '%19632-04-2024%' or</v>
      </c>
      <c r="H73" s="1" t="s">
        <v>727</v>
      </c>
      <c r="I73" t="s">
        <v>728</v>
      </c>
      <c r="J73" t="s">
        <v>729</v>
      </c>
      <c r="K73" t="s">
        <v>730</v>
      </c>
      <c r="L73" t="s">
        <v>731</v>
      </c>
      <c r="M73" t="s">
        <v>732</v>
      </c>
      <c r="N73">
        <v>19632</v>
      </c>
      <c r="O73">
        <v>4</v>
      </c>
      <c r="P73">
        <v>2024</v>
      </c>
    </row>
    <row r="74" spans="1:16" ht="15.75" x14ac:dyDescent="0.25">
      <c r="A74" s="1" t="s">
        <v>806</v>
      </c>
      <c r="B74" t="str">
        <f t="shared" si="2"/>
        <v>-04-2024</v>
      </c>
      <c r="D74">
        <v>19633</v>
      </c>
      <c r="E74" t="str">
        <f t="shared" si="3"/>
        <v>ia.assorted_string like '%19633-04-2024%' or</v>
      </c>
      <c r="H74" s="1" t="s">
        <v>727</v>
      </c>
      <c r="I74" t="s">
        <v>728</v>
      </c>
      <c r="J74" t="s">
        <v>729</v>
      </c>
      <c r="K74" t="s">
        <v>730</v>
      </c>
      <c r="L74" t="s">
        <v>731</v>
      </c>
      <c r="M74" t="s">
        <v>732</v>
      </c>
      <c r="N74">
        <v>19633</v>
      </c>
      <c r="O74">
        <v>4</v>
      </c>
      <c r="P74">
        <v>2024</v>
      </c>
    </row>
    <row r="75" spans="1:16" ht="15.75" x14ac:dyDescent="0.25">
      <c r="A75" s="1" t="s">
        <v>807</v>
      </c>
      <c r="B75" t="str">
        <f t="shared" si="2"/>
        <v>-04-2024</v>
      </c>
      <c r="D75">
        <v>19634</v>
      </c>
      <c r="E75" t="str">
        <f t="shared" si="3"/>
        <v>ia.assorted_string like '%19634-04-2024%' or</v>
      </c>
      <c r="H75" s="1" t="s">
        <v>727</v>
      </c>
      <c r="I75" t="s">
        <v>728</v>
      </c>
      <c r="J75" t="s">
        <v>729</v>
      </c>
      <c r="K75" t="s">
        <v>730</v>
      </c>
      <c r="L75" t="s">
        <v>731</v>
      </c>
      <c r="M75" t="s">
        <v>732</v>
      </c>
      <c r="N75">
        <v>19634</v>
      </c>
      <c r="O75">
        <v>4</v>
      </c>
      <c r="P75">
        <v>2024</v>
      </c>
    </row>
    <row r="76" spans="1:16" ht="15.75" x14ac:dyDescent="0.25">
      <c r="A76" s="1" t="s">
        <v>808</v>
      </c>
      <c r="B76" t="str">
        <f t="shared" si="2"/>
        <v>-04-2024</v>
      </c>
      <c r="D76">
        <v>19635</v>
      </c>
      <c r="E76" t="str">
        <f t="shared" si="3"/>
        <v>ia.assorted_string like '%19635-04-2024%' or</v>
      </c>
      <c r="H76" s="1" t="s">
        <v>727</v>
      </c>
      <c r="I76" t="s">
        <v>728</v>
      </c>
      <c r="J76" t="s">
        <v>729</v>
      </c>
      <c r="K76" t="s">
        <v>730</v>
      </c>
      <c r="L76" t="s">
        <v>731</v>
      </c>
      <c r="M76" t="s">
        <v>732</v>
      </c>
      <c r="N76">
        <v>19635</v>
      </c>
      <c r="O76">
        <v>4</v>
      </c>
      <c r="P76">
        <v>2024</v>
      </c>
    </row>
    <row r="77" spans="1:16" ht="15.75" x14ac:dyDescent="0.25">
      <c r="A77" s="1" t="s">
        <v>809</v>
      </c>
      <c r="B77" t="str">
        <f t="shared" si="2"/>
        <v>-04-2024</v>
      </c>
      <c r="D77">
        <v>19651</v>
      </c>
      <c r="E77" t="str">
        <f t="shared" si="3"/>
        <v>ia.assorted_string like '%19651-04-2024%' or</v>
      </c>
      <c r="H77" s="1" t="s">
        <v>727</v>
      </c>
      <c r="I77" t="s">
        <v>728</v>
      </c>
      <c r="J77" t="s">
        <v>729</v>
      </c>
      <c r="K77" t="s">
        <v>730</v>
      </c>
      <c r="L77" t="s">
        <v>731</v>
      </c>
      <c r="M77" t="s">
        <v>732</v>
      </c>
      <c r="N77">
        <v>19651</v>
      </c>
      <c r="O77">
        <v>4</v>
      </c>
      <c r="P77">
        <v>2024</v>
      </c>
    </row>
    <row r="78" spans="1:16" ht="15.75" x14ac:dyDescent="0.25">
      <c r="A78" s="1" t="s">
        <v>810</v>
      </c>
      <c r="B78" t="str">
        <f t="shared" si="2"/>
        <v>-04-2024</v>
      </c>
      <c r="D78">
        <v>19652</v>
      </c>
      <c r="E78" t="str">
        <f t="shared" si="3"/>
        <v>ia.assorted_string like '%19652-04-2024%' or</v>
      </c>
      <c r="H78" s="1" t="s">
        <v>727</v>
      </c>
      <c r="I78" t="s">
        <v>728</v>
      </c>
      <c r="J78" t="s">
        <v>729</v>
      </c>
      <c r="K78" t="s">
        <v>730</v>
      </c>
      <c r="L78" t="s">
        <v>731</v>
      </c>
      <c r="M78" t="s">
        <v>732</v>
      </c>
      <c r="N78">
        <v>19652</v>
      </c>
      <c r="O78">
        <v>4</v>
      </c>
      <c r="P78">
        <v>2024</v>
      </c>
    </row>
    <row r="79" spans="1:16" ht="15.75" x14ac:dyDescent="0.25">
      <c r="A79" s="1" t="s">
        <v>811</v>
      </c>
      <c r="B79" t="str">
        <f t="shared" si="2"/>
        <v>-04-2024</v>
      </c>
      <c r="D79">
        <v>19653</v>
      </c>
      <c r="E79" t="str">
        <f t="shared" si="3"/>
        <v>ia.assorted_string like '%19653-04-2024%' or</v>
      </c>
      <c r="H79" s="1" t="s">
        <v>727</v>
      </c>
      <c r="I79" t="s">
        <v>728</v>
      </c>
      <c r="J79" t="s">
        <v>729</v>
      </c>
      <c r="K79" t="s">
        <v>730</v>
      </c>
      <c r="L79" t="s">
        <v>731</v>
      </c>
      <c r="M79" t="s">
        <v>732</v>
      </c>
      <c r="N79">
        <v>19653</v>
      </c>
      <c r="O79">
        <v>4</v>
      </c>
      <c r="P79">
        <v>2024</v>
      </c>
    </row>
    <row r="80" spans="1:16" ht="15.75" x14ac:dyDescent="0.25">
      <c r="A80" s="1" t="s">
        <v>812</v>
      </c>
      <c r="B80" t="str">
        <f t="shared" si="2"/>
        <v>-04-2024</v>
      </c>
      <c r="D80">
        <v>19654</v>
      </c>
      <c r="E80" t="str">
        <f t="shared" si="3"/>
        <v>ia.assorted_string like '%19654-04-2024%' or</v>
      </c>
      <c r="H80" s="1" t="s">
        <v>727</v>
      </c>
      <c r="I80" t="s">
        <v>728</v>
      </c>
      <c r="J80" t="s">
        <v>729</v>
      </c>
      <c r="K80" t="s">
        <v>730</v>
      </c>
      <c r="L80" t="s">
        <v>731</v>
      </c>
      <c r="M80" t="s">
        <v>732</v>
      </c>
      <c r="N80">
        <v>19654</v>
      </c>
      <c r="O80">
        <v>4</v>
      </c>
      <c r="P80">
        <v>2024</v>
      </c>
    </row>
    <row r="81" spans="1:16" ht="15.75" x14ac:dyDescent="0.25">
      <c r="A81" s="1" t="s">
        <v>813</v>
      </c>
      <c r="B81" t="str">
        <f t="shared" si="2"/>
        <v>-04-2024</v>
      </c>
      <c r="D81">
        <v>19655</v>
      </c>
      <c r="E81" t="str">
        <f t="shared" si="3"/>
        <v>ia.assorted_string like '%19655-04-2024%' or</v>
      </c>
      <c r="H81" s="1" t="s">
        <v>727</v>
      </c>
      <c r="I81" t="s">
        <v>728</v>
      </c>
      <c r="J81" t="s">
        <v>729</v>
      </c>
      <c r="K81" t="s">
        <v>730</v>
      </c>
      <c r="L81" t="s">
        <v>731</v>
      </c>
      <c r="M81" t="s">
        <v>732</v>
      </c>
      <c r="N81">
        <v>19655</v>
      </c>
      <c r="O81">
        <v>4</v>
      </c>
      <c r="P8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topLeftCell="A80" zoomScaleNormal="100" zoomScaleSheetLayoutView="85" workbookViewId="0">
      <selection activeCell="F90" sqref="F9:F90"/>
    </sheetView>
  </sheetViews>
  <sheetFormatPr defaultColWidth="9.140625" defaultRowHeight="15.75" x14ac:dyDescent="0.25"/>
  <cols>
    <col min="1" max="1" width="11.85546875" style="1" bestFit="1" customWidth="1"/>
    <col min="2" max="2" width="13.28515625" style="1" customWidth="1"/>
    <col min="3" max="3" width="13.5703125" style="1" customWidth="1"/>
    <col min="4" max="4" width="17" style="1" bestFit="1" customWidth="1"/>
    <col min="5" max="5" width="15.28515625" style="1" customWidth="1"/>
    <col min="6" max="6" width="40.85546875" style="1" bestFit="1" customWidth="1"/>
    <col min="7" max="7" width="12.140625" style="1" customWidth="1"/>
    <col min="8" max="8" width="13.28515625" style="1" customWidth="1"/>
    <col min="9" max="16384" width="9.140625" style="1"/>
  </cols>
  <sheetData>
    <row r="1" spans="1:8" x14ac:dyDescent="0.25">
      <c r="A1" s="32"/>
      <c r="B1" s="32"/>
    </row>
    <row r="2" spans="1:8" x14ac:dyDescent="0.25">
      <c r="A2" s="33">
        <f ca="1">TODAY()</f>
        <v>45525</v>
      </c>
      <c r="B2" s="33"/>
    </row>
    <row r="3" spans="1:8" ht="3" customHeight="1" x14ac:dyDescent="0.25">
      <c r="A3" s="2"/>
      <c r="B3" s="2"/>
    </row>
    <row r="4" spans="1:8" s="4" customFormat="1" x14ac:dyDescent="0.25">
      <c r="A4" s="3" t="s">
        <v>0</v>
      </c>
      <c r="B4" s="3"/>
      <c r="C4" s="3"/>
      <c r="D4" s="3"/>
      <c r="E4" s="3"/>
    </row>
    <row r="5" spans="1:8" s="4" customFormat="1" ht="3" customHeight="1" x14ac:dyDescent="0.25">
      <c r="A5" s="3"/>
      <c r="B5" s="3"/>
      <c r="C5" s="3"/>
      <c r="D5" s="3"/>
      <c r="E5" s="3"/>
    </row>
    <row r="6" spans="1:8" ht="13.5" customHeight="1" x14ac:dyDescent="0.25">
      <c r="A6" s="5" t="str">
        <f>"List of Bills for" &amp; " " &amp;TEXT(C9,"MMM-YY")</f>
        <v>List of Bills for May-24</v>
      </c>
      <c r="B6" s="6"/>
      <c r="C6" s="7"/>
      <c r="D6" s="7"/>
      <c r="E6" s="7"/>
    </row>
    <row r="7" spans="1:8" ht="3" customHeight="1" thickBot="1" x14ac:dyDescent="0.3">
      <c r="A7" s="7"/>
      <c r="B7" s="7"/>
      <c r="C7" s="7"/>
      <c r="D7" s="7"/>
      <c r="E7" s="7"/>
    </row>
    <row r="8" spans="1:8" ht="32.25" customHeight="1" thickBot="1" x14ac:dyDescent="0.3">
      <c r="A8" s="8" t="s">
        <v>1</v>
      </c>
      <c r="B8" s="9" t="s">
        <v>2</v>
      </c>
      <c r="C8" s="8" t="s">
        <v>3</v>
      </c>
      <c r="D8" s="10" t="s">
        <v>4</v>
      </c>
      <c r="E8" s="8" t="s">
        <v>5</v>
      </c>
      <c r="F8" s="9" t="s">
        <v>2</v>
      </c>
    </row>
    <row r="9" spans="1:8" s="17" customFormat="1" ht="18.75" customHeight="1" x14ac:dyDescent="0.25">
      <c r="A9" s="15">
        <v>1</v>
      </c>
      <c r="B9" s="16">
        <v>19659</v>
      </c>
      <c r="C9" s="12">
        <v>45414</v>
      </c>
      <c r="D9" s="13">
        <v>5100000008</v>
      </c>
      <c r="E9" s="14">
        <v>1127</v>
      </c>
      <c r="F9" s="17" t="s">
        <v>514</v>
      </c>
      <c r="G9" s="18"/>
      <c r="H9" s="19"/>
    </row>
    <row r="10" spans="1:8" s="17" customFormat="1" ht="18.75" customHeight="1" x14ac:dyDescent="0.25">
      <c r="A10" s="15">
        <v>2</v>
      </c>
      <c r="B10" s="16">
        <v>19660</v>
      </c>
      <c r="C10" s="12">
        <v>45414</v>
      </c>
      <c r="D10" s="13" t="s">
        <v>87</v>
      </c>
      <c r="E10" s="14">
        <v>370</v>
      </c>
      <c r="F10" s="17" t="s">
        <v>515</v>
      </c>
      <c r="G10" s="18"/>
      <c r="H10" s="19"/>
    </row>
    <row r="11" spans="1:8" s="17" customFormat="1" ht="18.75" customHeight="1" x14ac:dyDescent="0.25">
      <c r="A11" s="11">
        <v>3</v>
      </c>
      <c r="B11" s="16">
        <v>19661</v>
      </c>
      <c r="C11" s="12">
        <v>45414</v>
      </c>
      <c r="D11" s="13" t="s">
        <v>88</v>
      </c>
      <c r="E11" s="14">
        <v>5720</v>
      </c>
      <c r="F11" s="17" t="s">
        <v>516</v>
      </c>
      <c r="G11" s="18"/>
      <c r="H11" s="19"/>
    </row>
    <row r="12" spans="1:8" s="17" customFormat="1" ht="18.75" customHeight="1" x14ac:dyDescent="0.25">
      <c r="A12" s="15">
        <v>4</v>
      </c>
      <c r="B12" s="16">
        <v>19662</v>
      </c>
      <c r="C12" s="12">
        <v>45414</v>
      </c>
      <c r="D12" s="13" t="s">
        <v>89</v>
      </c>
      <c r="E12" s="14">
        <v>28013</v>
      </c>
      <c r="F12" s="17" t="s">
        <v>517</v>
      </c>
      <c r="G12" s="18"/>
      <c r="H12" s="19"/>
    </row>
    <row r="13" spans="1:8" s="17" customFormat="1" ht="18.75" customHeight="1" x14ac:dyDescent="0.25">
      <c r="A13" s="15">
        <v>5</v>
      </c>
      <c r="B13" s="16">
        <v>19664</v>
      </c>
      <c r="C13" s="12">
        <v>45414</v>
      </c>
      <c r="D13" s="13" t="s">
        <v>90</v>
      </c>
      <c r="E13" s="14">
        <v>199</v>
      </c>
      <c r="F13" s="17" t="s">
        <v>518</v>
      </c>
      <c r="G13" s="18"/>
      <c r="H13" s="19"/>
    </row>
    <row r="14" spans="1:8" s="17" customFormat="1" ht="18.75" customHeight="1" x14ac:dyDescent="0.25">
      <c r="A14" s="11">
        <v>6</v>
      </c>
      <c r="B14" s="16">
        <v>19665</v>
      </c>
      <c r="C14" s="12">
        <v>45419</v>
      </c>
      <c r="D14" s="13" t="s">
        <v>91</v>
      </c>
      <c r="E14" s="14">
        <v>4181</v>
      </c>
      <c r="F14" s="17" t="s">
        <v>519</v>
      </c>
      <c r="G14" s="18"/>
      <c r="H14" s="19"/>
    </row>
    <row r="15" spans="1:8" s="17" customFormat="1" ht="18.75" customHeight="1" x14ac:dyDescent="0.25">
      <c r="A15" s="15">
        <v>7</v>
      </c>
      <c r="B15" s="16">
        <v>19666</v>
      </c>
      <c r="C15" s="12">
        <v>45419</v>
      </c>
      <c r="D15" s="13" t="s">
        <v>92</v>
      </c>
      <c r="E15" s="14">
        <v>3649</v>
      </c>
      <c r="F15" s="17" t="s">
        <v>520</v>
      </c>
      <c r="G15" s="18"/>
      <c r="H15" s="19"/>
    </row>
    <row r="16" spans="1:8" s="17" customFormat="1" ht="18.75" customHeight="1" x14ac:dyDescent="0.25">
      <c r="A16" s="15">
        <v>8</v>
      </c>
      <c r="B16" s="16">
        <v>19667</v>
      </c>
      <c r="C16" s="12">
        <v>45419</v>
      </c>
      <c r="D16" s="13" t="s">
        <v>93</v>
      </c>
      <c r="E16" s="14">
        <v>1853</v>
      </c>
      <c r="F16" s="17" t="s">
        <v>521</v>
      </c>
      <c r="G16" s="18"/>
      <c r="H16" s="19"/>
    </row>
    <row r="17" spans="1:8" s="17" customFormat="1" ht="18.75" customHeight="1" x14ac:dyDescent="0.25">
      <c r="A17" s="11">
        <v>9</v>
      </c>
      <c r="B17" s="16">
        <v>19668</v>
      </c>
      <c r="C17" s="12">
        <v>45419</v>
      </c>
      <c r="D17" s="13" t="s">
        <v>94</v>
      </c>
      <c r="E17" s="14">
        <v>5908</v>
      </c>
      <c r="F17" s="17" t="s">
        <v>522</v>
      </c>
      <c r="G17" s="18"/>
      <c r="H17" s="19"/>
    </row>
    <row r="18" spans="1:8" s="17" customFormat="1" ht="18.75" customHeight="1" x14ac:dyDescent="0.25">
      <c r="A18" s="15">
        <v>10</v>
      </c>
      <c r="B18" s="16">
        <v>19669</v>
      </c>
      <c r="C18" s="12">
        <v>45419</v>
      </c>
      <c r="D18" s="13" t="s">
        <v>95</v>
      </c>
      <c r="E18" s="14">
        <v>2306</v>
      </c>
      <c r="F18" s="17" t="s">
        <v>523</v>
      </c>
      <c r="G18" s="18"/>
      <c r="H18" s="19"/>
    </row>
    <row r="19" spans="1:8" s="17" customFormat="1" ht="18.75" customHeight="1" x14ac:dyDescent="0.25">
      <c r="A19" s="15">
        <v>11</v>
      </c>
      <c r="B19" s="16">
        <v>19673</v>
      </c>
      <c r="C19" s="12">
        <v>45419</v>
      </c>
      <c r="D19" s="13" t="s">
        <v>96</v>
      </c>
      <c r="E19" s="14">
        <v>452</v>
      </c>
      <c r="F19" s="17" t="s">
        <v>524</v>
      </c>
      <c r="G19" s="18"/>
      <c r="H19" s="19"/>
    </row>
    <row r="20" spans="1:8" s="17" customFormat="1" ht="18.75" customHeight="1" x14ac:dyDescent="0.25">
      <c r="A20" s="11">
        <v>12</v>
      </c>
      <c r="B20" s="16">
        <v>19674</v>
      </c>
      <c r="C20" s="12">
        <v>45419</v>
      </c>
      <c r="D20" s="13" t="s">
        <v>97</v>
      </c>
      <c r="E20" s="14">
        <v>558</v>
      </c>
      <c r="F20" s="17" t="s">
        <v>525</v>
      </c>
      <c r="G20" s="18"/>
      <c r="H20" s="19"/>
    </row>
    <row r="21" spans="1:8" s="17" customFormat="1" ht="18.75" customHeight="1" x14ac:dyDescent="0.25">
      <c r="A21" s="15">
        <v>13</v>
      </c>
      <c r="B21" s="16">
        <v>19675</v>
      </c>
      <c r="C21" s="12">
        <v>45419</v>
      </c>
      <c r="D21" s="13" t="s">
        <v>98</v>
      </c>
      <c r="E21" s="14">
        <v>1664</v>
      </c>
      <c r="F21" s="17" t="s">
        <v>526</v>
      </c>
      <c r="G21" s="18"/>
      <c r="H21" s="19"/>
    </row>
    <row r="22" spans="1:8" s="17" customFormat="1" ht="18.75" customHeight="1" x14ac:dyDescent="0.25">
      <c r="A22" s="15">
        <v>14</v>
      </c>
      <c r="B22" s="16">
        <v>19676</v>
      </c>
      <c r="C22" s="12">
        <v>45419</v>
      </c>
      <c r="D22" s="13" t="s">
        <v>99</v>
      </c>
      <c r="E22" s="14">
        <v>3300</v>
      </c>
      <c r="F22" s="17" t="s">
        <v>527</v>
      </c>
      <c r="G22" s="18"/>
      <c r="H22" s="19"/>
    </row>
    <row r="23" spans="1:8" s="17" customFormat="1" ht="18.75" customHeight="1" x14ac:dyDescent="0.25">
      <c r="A23" s="11">
        <v>15</v>
      </c>
      <c r="B23" s="16">
        <v>19677</v>
      </c>
      <c r="C23" s="12">
        <v>45419</v>
      </c>
      <c r="D23" s="13" t="s">
        <v>100</v>
      </c>
      <c r="E23" s="14">
        <v>4477</v>
      </c>
      <c r="F23" s="17" t="s">
        <v>528</v>
      </c>
      <c r="G23" s="18"/>
      <c r="H23" s="19"/>
    </row>
    <row r="24" spans="1:8" s="17" customFormat="1" ht="18.75" customHeight="1" x14ac:dyDescent="0.25">
      <c r="A24" s="15">
        <v>16</v>
      </c>
      <c r="B24" s="16">
        <v>19678</v>
      </c>
      <c r="C24" s="12">
        <v>45419</v>
      </c>
      <c r="D24" s="13" t="s">
        <v>101</v>
      </c>
      <c r="E24" s="14">
        <v>2046</v>
      </c>
      <c r="F24" s="17" t="s">
        <v>529</v>
      </c>
      <c r="G24" s="18"/>
      <c r="H24" s="19"/>
    </row>
    <row r="25" spans="1:8" s="17" customFormat="1" ht="18.75" customHeight="1" x14ac:dyDescent="0.25">
      <c r="A25" s="15">
        <v>17</v>
      </c>
      <c r="B25" s="16">
        <v>19679</v>
      </c>
      <c r="C25" s="12">
        <v>45419</v>
      </c>
      <c r="D25" s="13" t="s">
        <v>102</v>
      </c>
      <c r="E25" s="14">
        <v>10361</v>
      </c>
      <c r="F25" s="17" t="s">
        <v>530</v>
      </c>
      <c r="G25" s="18"/>
      <c r="H25" s="19"/>
    </row>
    <row r="26" spans="1:8" s="17" customFormat="1" ht="18.75" customHeight="1" x14ac:dyDescent="0.25">
      <c r="A26" s="11">
        <v>18</v>
      </c>
      <c r="B26" s="16">
        <v>19680</v>
      </c>
      <c r="C26" s="12">
        <v>45419</v>
      </c>
      <c r="D26" s="13" t="s">
        <v>103</v>
      </c>
      <c r="E26" s="14">
        <v>3495</v>
      </c>
      <c r="F26" s="17" t="s">
        <v>531</v>
      </c>
      <c r="G26" s="18"/>
      <c r="H26" s="19"/>
    </row>
    <row r="27" spans="1:8" s="17" customFormat="1" ht="18.75" customHeight="1" x14ac:dyDescent="0.25">
      <c r="A27" s="15">
        <v>19</v>
      </c>
      <c r="B27" s="16">
        <v>19681</v>
      </c>
      <c r="C27" s="12">
        <v>45421</v>
      </c>
      <c r="D27" s="13" t="s">
        <v>104</v>
      </c>
      <c r="E27" s="14">
        <v>1569</v>
      </c>
      <c r="F27" s="17" t="s">
        <v>532</v>
      </c>
      <c r="G27" s="18"/>
      <c r="H27" s="19"/>
    </row>
    <row r="28" spans="1:8" s="17" customFormat="1" ht="18.75" customHeight="1" x14ac:dyDescent="0.25">
      <c r="A28" s="15">
        <v>20</v>
      </c>
      <c r="B28" s="16">
        <v>19682</v>
      </c>
      <c r="C28" s="12">
        <v>45421</v>
      </c>
      <c r="D28" s="13" t="s">
        <v>105</v>
      </c>
      <c r="E28" s="14">
        <v>4692</v>
      </c>
      <c r="F28" s="17" t="s">
        <v>533</v>
      </c>
      <c r="G28" s="18"/>
      <c r="H28" s="19"/>
    </row>
    <row r="29" spans="1:8" s="17" customFormat="1" ht="18.75" customHeight="1" x14ac:dyDescent="0.25">
      <c r="A29" s="11">
        <v>21</v>
      </c>
      <c r="B29" s="16">
        <v>19683</v>
      </c>
      <c r="C29" s="12">
        <v>45421</v>
      </c>
      <c r="D29" s="13" t="s">
        <v>106</v>
      </c>
      <c r="E29" s="14">
        <v>13288</v>
      </c>
      <c r="F29" s="17" t="s">
        <v>534</v>
      </c>
      <c r="G29" s="18"/>
      <c r="H29" s="19"/>
    </row>
    <row r="30" spans="1:8" s="17" customFormat="1" ht="18.75" customHeight="1" x14ac:dyDescent="0.25">
      <c r="A30" s="15">
        <v>22</v>
      </c>
      <c r="B30" s="16">
        <v>19684</v>
      </c>
      <c r="C30" s="12">
        <v>45421</v>
      </c>
      <c r="D30" s="13" t="s">
        <v>107</v>
      </c>
      <c r="E30" s="14">
        <v>460</v>
      </c>
      <c r="F30" s="17" t="s">
        <v>535</v>
      </c>
      <c r="G30" s="18"/>
      <c r="H30" s="19"/>
    </row>
    <row r="31" spans="1:8" s="17" customFormat="1" ht="18.75" customHeight="1" x14ac:dyDescent="0.25">
      <c r="A31" s="15">
        <v>23</v>
      </c>
      <c r="B31" s="16">
        <v>19685</v>
      </c>
      <c r="C31" s="12">
        <v>45421</v>
      </c>
      <c r="D31" s="13" t="s">
        <v>108</v>
      </c>
      <c r="E31" s="14">
        <v>1893</v>
      </c>
      <c r="F31" s="17" t="s">
        <v>536</v>
      </c>
      <c r="G31" s="18"/>
      <c r="H31" s="19"/>
    </row>
    <row r="32" spans="1:8" s="17" customFormat="1" ht="18.75" customHeight="1" x14ac:dyDescent="0.25">
      <c r="A32" s="11">
        <v>24</v>
      </c>
      <c r="B32" s="16">
        <v>19687</v>
      </c>
      <c r="C32" s="12">
        <v>45421</v>
      </c>
      <c r="D32" s="13" t="s">
        <v>109</v>
      </c>
      <c r="E32" s="14">
        <v>214</v>
      </c>
      <c r="F32" s="17" t="s">
        <v>537</v>
      </c>
      <c r="G32" s="18"/>
      <c r="H32" s="19"/>
    </row>
    <row r="33" spans="1:8" s="17" customFormat="1" ht="18.75" customHeight="1" x14ac:dyDescent="0.25">
      <c r="A33" s="15">
        <v>25</v>
      </c>
      <c r="B33" s="16">
        <v>19689</v>
      </c>
      <c r="C33" s="12">
        <v>45422</v>
      </c>
      <c r="D33" s="13" t="s">
        <v>110</v>
      </c>
      <c r="E33" s="14">
        <v>702</v>
      </c>
      <c r="F33" s="17" t="s">
        <v>538</v>
      </c>
      <c r="G33" s="18"/>
      <c r="H33" s="19"/>
    </row>
    <row r="34" spans="1:8" s="17" customFormat="1" ht="18.75" customHeight="1" x14ac:dyDescent="0.25">
      <c r="A34" s="15">
        <v>26</v>
      </c>
      <c r="B34" s="16">
        <v>19690</v>
      </c>
      <c r="C34" s="12">
        <v>45422</v>
      </c>
      <c r="D34" s="13" t="s">
        <v>111</v>
      </c>
      <c r="E34" s="14">
        <v>2646</v>
      </c>
      <c r="F34" s="17" t="s">
        <v>539</v>
      </c>
      <c r="G34" s="18"/>
      <c r="H34" s="19"/>
    </row>
    <row r="35" spans="1:8" s="17" customFormat="1" ht="18.75" customHeight="1" x14ac:dyDescent="0.25">
      <c r="A35" s="11">
        <v>27</v>
      </c>
      <c r="B35" s="16">
        <v>19692</v>
      </c>
      <c r="C35" s="12">
        <v>45422</v>
      </c>
      <c r="D35" s="13" t="s">
        <v>112</v>
      </c>
      <c r="E35" s="14">
        <v>3204</v>
      </c>
      <c r="F35" s="17" t="s">
        <v>540</v>
      </c>
      <c r="G35" s="18"/>
      <c r="H35" s="19"/>
    </row>
    <row r="36" spans="1:8" s="17" customFormat="1" ht="18.75" customHeight="1" x14ac:dyDescent="0.25">
      <c r="A36" s="15">
        <v>28</v>
      </c>
      <c r="B36" s="16">
        <v>19693</v>
      </c>
      <c r="C36" s="12">
        <v>45422</v>
      </c>
      <c r="D36" s="13" t="s">
        <v>113</v>
      </c>
      <c r="E36" s="14">
        <v>960</v>
      </c>
      <c r="F36" s="17" t="s">
        <v>541</v>
      </c>
      <c r="G36" s="18"/>
      <c r="H36" s="19"/>
    </row>
    <row r="37" spans="1:8" s="17" customFormat="1" ht="18.75" customHeight="1" x14ac:dyDescent="0.25">
      <c r="A37" s="15">
        <v>29</v>
      </c>
      <c r="B37" s="16">
        <v>19694</v>
      </c>
      <c r="C37" s="12">
        <v>45422</v>
      </c>
      <c r="D37" s="13" t="s">
        <v>114</v>
      </c>
      <c r="E37" s="14">
        <v>12938</v>
      </c>
      <c r="F37" s="17" t="s">
        <v>542</v>
      </c>
      <c r="G37" s="18"/>
      <c r="H37" s="19"/>
    </row>
    <row r="38" spans="1:8" s="17" customFormat="1" ht="18.75" customHeight="1" x14ac:dyDescent="0.25">
      <c r="A38" s="11">
        <v>30</v>
      </c>
      <c r="B38" s="16">
        <v>19695</v>
      </c>
      <c r="C38" s="12">
        <v>45422</v>
      </c>
      <c r="D38" s="13" t="s">
        <v>115</v>
      </c>
      <c r="E38" s="14">
        <v>2632</v>
      </c>
      <c r="F38" s="17" t="s">
        <v>543</v>
      </c>
      <c r="G38" s="18"/>
      <c r="H38" s="19"/>
    </row>
    <row r="39" spans="1:8" s="17" customFormat="1" ht="18.75" customHeight="1" x14ac:dyDescent="0.25">
      <c r="A39" s="15">
        <v>31</v>
      </c>
      <c r="B39" s="16">
        <v>19696</v>
      </c>
      <c r="C39" s="12">
        <v>45422</v>
      </c>
      <c r="D39" s="13" t="s">
        <v>116</v>
      </c>
      <c r="E39" s="14">
        <v>1731</v>
      </c>
      <c r="F39" s="17" t="s">
        <v>544</v>
      </c>
      <c r="G39" s="18"/>
      <c r="H39" s="19"/>
    </row>
    <row r="40" spans="1:8" s="17" customFormat="1" ht="18.75" customHeight="1" x14ac:dyDescent="0.25">
      <c r="A40" s="15">
        <v>32</v>
      </c>
      <c r="B40" s="16">
        <v>19697</v>
      </c>
      <c r="C40" s="12">
        <v>45422</v>
      </c>
      <c r="D40" s="13" t="s">
        <v>117</v>
      </c>
      <c r="E40" s="14">
        <v>2499</v>
      </c>
      <c r="F40" s="17" t="s">
        <v>545</v>
      </c>
      <c r="G40" s="18"/>
      <c r="H40" s="19"/>
    </row>
    <row r="41" spans="1:8" s="17" customFormat="1" ht="18.75" customHeight="1" x14ac:dyDescent="0.25">
      <c r="A41" s="11">
        <v>33</v>
      </c>
      <c r="B41" s="16">
        <v>19701</v>
      </c>
      <c r="C41" s="12">
        <v>45423</v>
      </c>
      <c r="D41" s="13" t="s">
        <v>118</v>
      </c>
      <c r="E41" s="14">
        <v>2979</v>
      </c>
      <c r="F41" s="17" t="s">
        <v>546</v>
      </c>
      <c r="G41" s="18"/>
      <c r="H41" s="19"/>
    </row>
    <row r="42" spans="1:8" s="17" customFormat="1" ht="18.75" customHeight="1" x14ac:dyDescent="0.25">
      <c r="A42" s="15">
        <v>34</v>
      </c>
      <c r="B42" s="16">
        <v>19706</v>
      </c>
      <c r="C42" s="12">
        <v>45427</v>
      </c>
      <c r="D42" s="13" t="s">
        <v>119</v>
      </c>
      <c r="E42" s="14">
        <v>836</v>
      </c>
      <c r="F42" s="17" t="s">
        <v>547</v>
      </c>
      <c r="G42" s="18"/>
      <c r="H42" s="19"/>
    </row>
    <row r="43" spans="1:8" s="17" customFormat="1" ht="18.75" customHeight="1" x14ac:dyDescent="0.25">
      <c r="A43" s="15">
        <v>35</v>
      </c>
      <c r="B43" s="16">
        <v>19708</v>
      </c>
      <c r="C43" s="12">
        <v>45427</v>
      </c>
      <c r="D43" s="13" t="s">
        <v>120</v>
      </c>
      <c r="E43" s="14">
        <v>8988</v>
      </c>
      <c r="F43" s="17" t="s">
        <v>548</v>
      </c>
      <c r="G43" s="18"/>
      <c r="H43" s="19"/>
    </row>
    <row r="44" spans="1:8" s="17" customFormat="1" ht="18.75" customHeight="1" x14ac:dyDescent="0.25">
      <c r="A44" s="11">
        <v>36</v>
      </c>
      <c r="B44" s="16">
        <v>19709</v>
      </c>
      <c r="C44" s="12">
        <v>45427</v>
      </c>
      <c r="D44" s="13" t="s">
        <v>121</v>
      </c>
      <c r="E44" s="14">
        <v>3032</v>
      </c>
      <c r="F44" s="17" t="s">
        <v>549</v>
      </c>
      <c r="G44" s="18"/>
      <c r="H44" s="19"/>
    </row>
    <row r="45" spans="1:8" s="17" customFormat="1" ht="18.75" customHeight="1" x14ac:dyDescent="0.25">
      <c r="A45" s="15">
        <v>37</v>
      </c>
      <c r="B45" s="16">
        <v>19710</v>
      </c>
      <c r="C45" s="12">
        <v>45427</v>
      </c>
      <c r="D45" s="13" t="s">
        <v>122</v>
      </c>
      <c r="E45" s="14">
        <v>5704</v>
      </c>
      <c r="F45" s="17" t="s">
        <v>550</v>
      </c>
      <c r="G45" s="18"/>
      <c r="H45" s="19"/>
    </row>
    <row r="46" spans="1:8" s="17" customFormat="1" ht="18.75" customHeight="1" x14ac:dyDescent="0.25">
      <c r="A46" s="15">
        <v>38</v>
      </c>
      <c r="B46" s="16">
        <v>19711</v>
      </c>
      <c r="C46" s="12">
        <v>45427</v>
      </c>
      <c r="D46" s="13" t="s">
        <v>123</v>
      </c>
      <c r="E46" s="14">
        <v>4416</v>
      </c>
      <c r="F46" s="17" t="s">
        <v>551</v>
      </c>
      <c r="G46" s="18"/>
      <c r="H46" s="19"/>
    </row>
    <row r="47" spans="1:8" s="17" customFormat="1" ht="18.75" customHeight="1" x14ac:dyDescent="0.25">
      <c r="A47" s="11">
        <v>39</v>
      </c>
      <c r="B47" s="16">
        <v>19712</v>
      </c>
      <c r="C47" s="12">
        <v>45427</v>
      </c>
      <c r="D47" s="13" t="s">
        <v>124</v>
      </c>
      <c r="E47" s="14">
        <v>442</v>
      </c>
      <c r="F47" s="17" t="s">
        <v>552</v>
      </c>
      <c r="G47" s="18"/>
      <c r="H47" s="19"/>
    </row>
    <row r="48" spans="1:8" s="17" customFormat="1" ht="18.75" customHeight="1" x14ac:dyDescent="0.25">
      <c r="A48" s="15">
        <v>40</v>
      </c>
      <c r="B48" s="16">
        <v>19713</v>
      </c>
      <c r="C48" s="12">
        <v>45427</v>
      </c>
      <c r="D48" s="13" t="s">
        <v>125</v>
      </c>
      <c r="E48" s="14">
        <v>1559</v>
      </c>
      <c r="F48" s="17" t="s">
        <v>553</v>
      </c>
      <c r="G48" s="18"/>
      <c r="H48" s="19"/>
    </row>
    <row r="49" spans="1:8" s="17" customFormat="1" ht="18.75" customHeight="1" x14ac:dyDescent="0.25">
      <c r="A49" s="15">
        <v>41</v>
      </c>
      <c r="B49" s="16">
        <v>19714</v>
      </c>
      <c r="C49" s="12">
        <v>45427</v>
      </c>
      <c r="D49" s="13" t="s">
        <v>126</v>
      </c>
      <c r="E49" s="14">
        <v>856</v>
      </c>
      <c r="F49" s="17" t="s">
        <v>554</v>
      </c>
      <c r="G49" s="18"/>
      <c r="H49" s="19"/>
    </row>
    <row r="50" spans="1:8" s="17" customFormat="1" ht="18.75" customHeight="1" x14ac:dyDescent="0.25">
      <c r="A50" s="11">
        <v>42</v>
      </c>
      <c r="B50" s="16">
        <v>19715</v>
      </c>
      <c r="C50" s="12">
        <v>45427</v>
      </c>
      <c r="D50" s="13" t="s">
        <v>127</v>
      </c>
      <c r="E50" s="14">
        <v>3143</v>
      </c>
      <c r="F50" s="17" t="s">
        <v>555</v>
      </c>
      <c r="G50" s="18"/>
      <c r="H50" s="19"/>
    </row>
    <row r="51" spans="1:8" s="17" customFormat="1" ht="18.75" customHeight="1" x14ac:dyDescent="0.25">
      <c r="A51" s="15">
        <v>43</v>
      </c>
      <c r="B51" s="16">
        <v>19716</v>
      </c>
      <c r="C51" s="12">
        <v>45427</v>
      </c>
      <c r="D51" s="13" t="s">
        <v>128</v>
      </c>
      <c r="E51" s="14">
        <v>445</v>
      </c>
      <c r="F51" s="17" t="s">
        <v>556</v>
      </c>
      <c r="G51" s="18"/>
      <c r="H51" s="19"/>
    </row>
    <row r="52" spans="1:8" s="17" customFormat="1" ht="18.75" customHeight="1" x14ac:dyDescent="0.25">
      <c r="A52" s="15">
        <v>44</v>
      </c>
      <c r="B52" s="16">
        <v>19717</v>
      </c>
      <c r="C52" s="12">
        <v>45427</v>
      </c>
      <c r="D52" s="13" t="s">
        <v>129</v>
      </c>
      <c r="E52" s="14">
        <v>818</v>
      </c>
      <c r="F52" s="17" t="s">
        <v>557</v>
      </c>
      <c r="G52" s="18"/>
      <c r="H52" s="19"/>
    </row>
    <row r="53" spans="1:8" s="17" customFormat="1" ht="18.75" customHeight="1" x14ac:dyDescent="0.25">
      <c r="A53" s="11">
        <v>45</v>
      </c>
      <c r="B53" s="16">
        <v>19718</v>
      </c>
      <c r="C53" s="12">
        <v>45427</v>
      </c>
      <c r="D53" s="13" t="s">
        <v>130</v>
      </c>
      <c r="E53" s="14">
        <v>502</v>
      </c>
      <c r="F53" s="17" t="s">
        <v>558</v>
      </c>
      <c r="G53" s="18"/>
      <c r="H53" s="19"/>
    </row>
    <row r="54" spans="1:8" s="17" customFormat="1" ht="18.75" customHeight="1" x14ac:dyDescent="0.25">
      <c r="A54" s="15">
        <v>46</v>
      </c>
      <c r="B54" s="16">
        <v>19719</v>
      </c>
      <c r="C54" s="12">
        <v>45432</v>
      </c>
      <c r="D54" s="13" t="s">
        <v>131</v>
      </c>
      <c r="E54" s="14">
        <v>540</v>
      </c>
      <c r="F54" s="17" t="s">
        <v>559</v>
      </c>
      <c r="G54" s="18"/>
      <c r="H54" s="19"/>
    </row>
    <row r="55" spans="1:8" s="17" customFormat="1" ht="18.75" customHeight="1" x14ac:dyDescent="0.25">
      <c r="A55" s="15">
        <v>47</v>
      </c>
      <c r="B55" s="16">
        <v>19720</v>
      </c>
      <c r="C55" s="12">
        <v>45432</v>
      </c>
      <c r="D55" s="13" t="s">
        <v>132</v>
      </c>
      <c r="E55" s="14">
        <v>5066</v>
      </c>
      <c r="F55" s="17" t="s">
        <v>560</v>
      </c>
      <c r="G55" s="18"/>
      <c r="H55" s="19"/>
    </row>
    <row r="56" spans="1:8" s="17" customFormat="1" ht="18.75" customHeight="1" x14ac:dyDescent="0.25">
      <c r="A56" s="11">
        <v>48</v>
      </c>
      <c r="B56" s="16">
        <v>19721</v>
      </c>
      <c r="C56" s="12">
        <v>45432</v>
      </c>
      <c r="D56" s="13" t="s">
        <v>133</v>
      </c>
      <c r="E56" s="14">
        <v>1842</v>
      </c>
      <c r="F56" s="17" t="s">
        <v>561</v>
      </c>
      <c r="G56" s="18"/>
      <c r="H56" s="19"/>
    </row>
    <row r="57" spans="1:8" s="17" customFormat="1" ht="18.75" customHeight="1" x14ac:dyDescent="0.25">
      <c r="A57" s="15">
        <v>49</v>
      </c>
      <c r="B57" s="16">
        <v>19722</v>
      </c>
      <c r="C57" s="12">
        <v>45432</v>
      </c>
      <c r="D57" s="13" t="s">
        <v>134</v>
      </c>
      <c r="E57" s="14">
        <v>200</v>
      </c>
      <c r="F57" s="17" t="s">
        <v>562</v>
      </c>
      <c r="G57" s="18"/>
      <c r="H57" s="19"/>
    </row>
    <row r="58" spans="1:8" s="17" customFormat="1" ht="18.75" customHeight="1" x14ac:dyDescent="0.25">
      <c r="A58" s="15">
        <v>50</v>
      </c>
      <c r="B58" s="16">
        <v>19723</v>
      </c>
      <c r="C58" s="12">
        <v>45432</v>
      </c>
      <c r="D58" s="13" t="s">
        <v>135</v>
      </c>
      <c r="E58" s="14">
        <v>1032</v>
      </c>
      <c r="F58" s="17" t="s">
        <v>563</v>
      </c>
      <c r="G58" s="18"/>
      <c r="H58" s="19"/>
    </row>
    <row r="59" spans="1:8" s="17" customFormat="1" ht="18.75" customHeight="1" x14ac:dyDescent="0.25">
      <c r="A59" s="11">
        <v>51</v>
      </c>
      <c r="B59" s="16">
        <v>19724</v>
      </c>
      <c r="C59" s="12">
        <v>45432</v>
      </c>
      <c r="D59" s="13" t="s">
        <v>136</v>
      </c>
      <c r="E59" s="14">
        <v>11571</v>
      </c>
      <c r="F59" s="17" t="s">
        <v>564</v>
      </c>
      <c r="G59" s="18"/>
      <c r="H59" s="19"/>
    </row>
    <row r="60" spans="1:8" s="17" customFormat="1" ht="18.75" customHeight="1" x14ac:dyDescent="0.25">
      <c r="A60" s="15">
        <v>52</v>
      </c>
      <c r="B60" s="16">
        <v>19725</v>
      </c>
      <c r="C60" s="12">
        <v>45432</v>
      </c>
      <c r="D60" s="13" t="s">
        <v>137</v>
      </c>
      <c r="E60" s="14">
        <v>636</v>
      </c>
      <c r="F60" s="17" t="s">
        <v>565</v>
      </c>
      <c r="G60" s="18"/>
      <c r="H60" s="19"/>
    </row>
    <row r="61" spans="1:8" s="17" customFormat="1" ht="18.75" customHeight="1" x14ac:dyDescent="0.25">
      <c r="A61" s="15">
        <v>53</v>
      </c>
      <c r="B61" s="16">
        <v>19726</v>
      </c>
      <c r="C61" s="12">
        <v>45432</v>
      </c>
      <c r="D61" s="13" t="s">
        <v>138</v>
      </c>
      <c r="E61" s="14">
        <v>4072</v>
      </c>
      <c r="F61" s="17" t="s">
        <v>566</v>
      </c>
      <c r="G61" s="18"/>
      <c r="H61" s="19"/>
    </row>
    <row r="62" spans="1:8" s="17" customFormat="1" ht="18.75" customHeight="1" x14ac:dyDescent="0.25">
      <c r="A62" s="11">
        <v>54</v>
      </c>
      <c r="B62" s="16">
        <v>19730</v>
      </c>
      <c r="C62" s="12">
        <v>45433</v>
      </c>
      <c r="D62" s="13" t="s">
        <v>139</v>
      </c>
      <c r="E62" s="14">
        <v>488</v>
      </c>
      <c r="F62" s="17" t="s">
        <v>567</v>
      </c>
      <c r="G62" s="18"/>
      <c r="H62" s="19"/>
    </row>
    <row r="63" spans="1:8" s="17" customFormat="1" ht="18.75" customHeight="1" x14ac:dyDescent="0.25">
      <c r="A63" s="15">
        <v>55</v>
      </c>
      <c r="B63" s="16">
        <v>19731</v>
      </c>
      <c r="C63" s="12">
        <v>45433</v>
      </c>
      <c r="D63" s="13" t="s">
        <v>140</v>
      </c>
      <c r="E63" s="14">
        <v>2456</v>
      </c>
      <c r="F63" s="17" t="s">
        <v>568</v>
      </c>
      <c r="G63" s="18"/>
      <c r="H63" s="19"/>
    </row>
    <row r="64" spans="1:8" s="17" customFormat="1" ht="18.75" customHeight="1" x14ac:dyDescent="0.25">
      <c r="A64" s="15">
        <v>56</v>
      </c>
      <c r="B64" s="16">
        <v>19732</v>
      </c>
      <c r="C64" s="12">
        <v>45433</v>
      </c>
      <c r="D64" s="13" t="s">
        <v>141</v>
      </c>
      <c r="E64" s="14">
        <v>3279</v>
      </c>
      <c r="F64" s="17" t="s">
        <v>569</v>
      </c>
      <c r="G64" s="18"/>
      <c r="H64" s="19"/>
    </row>
    <row r="65" spans="1:8" s="17" customFormat="1" ht="18.75" customHeight="1" x14ac:dyDescent="0.25">
      <c r="A65" s="11">
        <v>57</v>
      </c>
      <c r="B65" s="16">
        <v>19733</v>
      </c>
      <c r="C65" s="12">
        <v>45434</v>
      </c>
      <c r="D65" s="13">
        <v>5100001713</v>
      </c>
      <c r="E65" s="14">
        <v>2904</v>
      </c>
      <c r="F65" s="17" t="s">
        <v>570</v>
      </c>
      <c r="G65" s="18"/>
      <c r="H65" s="19"/>
    </row>
    <row r="66" spans="1:8" s="17" customFormat="1" ht="18.75" customHeight="1" x14ac:dyDescent="0.25">
      <c r="A66" s="15">
        <v>58</v>
      </c>
      <c r="B66" s="16">
        <v>19734</v>
      </c>
      <c r="C66" s="12">
        <v>45434</v>
      </c>
      <c r="D66" s="13" t="s">
        <v>142</v>
      </c>
      <c r="E66" s="14">
        <v>2394</v>
      </c>
      <c r="F66" s="17" t="s">
        <v>571</v>
      </c>
      <c r="G66" s="18"/>
      <c r="H66" s="19"/>
    </row>
    <row r="67" spans="1:8" s="17" customFormat="1" ht="18.75" customHeight="1" x14ac:dyDescent="0.25">
      <c r="A67" s="15">
        <v>59</v>
      </c>
      <c r="B67" s="16">
        <v>19737</v>
      </c>
      <c r="C67" s="12">
        <v>45435</v>
      </c>
      <c r="D67" s="13" t="s">
        <v>143</v>
      </c>
      <c r="E67" s="14">
        <v>10895</v>
      </c>
      <c r="F67" s="17" t="s">
        <v>572</v>
      </c>
      <c r="G67" s="18"/>
      <c r="H67" s="19"/>
    </row>
    <row r="68" spans="1:8" s="17" customFormat="1" ht="18.75" customHeight="1" x14ac:dyDescent="0.25">
      <c r="A68" s="11">
        <v>60</v>
      </c>
      <c r="B68" s="16">
        <v>19738</v>
      </c>
      <c r="C68" s="12">
        <v>45435</v>
      </c>
      <c r="D68" s="13" t="s">
        <v>144</v>
      </c>
      <c r="E68" s="14">
        <v>4188</v>
      </c>
      <c r="F68" s="17" t="s">
        <v>573</v>
      </c>
      <c r="G68" s="18"/>
      <c r="H68" s="19"/>
    </row>
    <row r="69" spans="1:8" s="17" customFormat="1" ht="18.75" customHeight="1" x14ac:dyDescent="0.25">
      <c r="A69" s="15">
        <v>61</v>
      </c>
      <c r="B69" s="16">
        <v>19739</v>
      </c>
      <c r="C69" s="12">
        <v>45435</v>
      </c>
      <c r="D69" s="13" t="s">
        <v>145</v>
      </c>
      <c r="E69" s="14">
        <v>5766</v>
      </c>
      <c r="F69" s="17" t="s">
        <v>574</v>
      </c>
      <c r="G69" s="18"/>
      <c r="H69" s="19"/>
    </row>
    <row r="70" spans="1:8" s="17" customFormat="1" ht="18.75" customHeight="1" x14ac:dyDescent="0.25">
      <c r="A70" s="15">
        <v>62</v>
      </c>
      <c r="B70" s="16">
        <v>19740</v>
      </c>
      <c r="C70" s="12">
        <v>45435</v>
      </c>
      <c r="D70" s="13" t="s">
        <v>146</v>
      </c>
      <c r="E70" s="14">
        <v>452</v>
      </c>
      <c r="F70" s="17" t="s">
        <v>575</v>
      </c>
      <c r="G70" s="18"/>
      <c r="H70" s="19"/>
    </row>
    <row r="71" spans="1:8" s="17" customFormat="1" ht="18.75" customHeight="1" x14ac:dyDescent="0.25">
      <c r="A71" s="11">
        <v>63</v>
      </c>
      <c r="B71" s="16">
        <v>19741</v>
      </c>
      <c r="C71" s="12">
        <v>45435</v>
      </c>
      <c r="D71" s="13" t="s">
        <v>147</v>
      </c>
      <c r="E71" s="14">
        <v>1045</v>
      </c>
      <c r="F71" s="17" t="s">
        <v>576</v>
      </c>
      <c r="G71" s="18"/>
      <c r="H71" s="19"/>
    </row>
    <row r="72" spans="1:8" s="17" customFormat="1" ht="18.75" customHeight="1" x14ac:dyDescent="0.25">
      <c r="A72" s="15">
        <v>64</v>
      </c>
      <c r="B72" s="16">
        <v>19742</v>
      </c>
      <c r="C72" s="12">
        <v>45436</v>
      </c>
      <c r="D72" s="13" t="s">
        <v>148</v>
      </c>
      <c r="E72" s="14">
        <v>720</v>
      </c>
      <c r="F72" s="17" t="s">
        <v>577</v>
      </c>
      <c r="G72" s="18"/>
      <c r="H72" s="19"/>
    </row>
    <row r="73" spans="1:8" s="17" customFormat="1" ht="18.75" customHeight="1" x14ac:dyDescent="0.25">
      <c r="A73" s="15">
        <v>65</v>
      </c>
      <c r="B73" s="16">
        <v>19744</v>
      </c>
      <c r="C73" s="12">
        <v>45436</v>
      </c>
      <c r="D73" s="13" t="s">
        <v>149</v>
      </c>
      <c r="E73" s="14">
        <v>1191</v>
      </c>
      <c r="F73" s="17" t="s">
        <v>578</v>
      </c>
      <c r="G73" s="18"/>
      <c r="H73" s="19"/>
    </row>
    <row r="74" spans="1:8" s="17" customFormat="1" ht="18.75" customHeight="1" x14ac:dyDescent="0.25">
      <c r="A74" s="11">
        <v>66</v>
      </c>
      <c r="B74" s="16">
        <v>19745</v>
      </c>
      <c r="C74" s="12">
        <v>45436</v>
      </c>
      <c r="D74" s="13" t="s">
        <v>150</v>
      </c>
      <c r="E74" s="14">
        <v>200</v>
      </c>
      <c r="F74" s="17" t="s">
        <v>579</v>
      </c>
      <c r="G74" s="18"/>
      <c r="H74" s="19"/>
    </row>
    <row r="75" spans="1:8" s="17" customFormat="1" ht="18.75" customHeight="1" x14ac:dyDescent="0.25">
      <c r="A75" s="15">
        <v>67</v>
      </c>
      <c r="B75" s="16">
        <v>19746</v>
      </c>
      <c r="C75" s="12">
        <v>45436</v>
      </c>
      <c r="D75" s="13" t="s">
        <v>151</v>
      </c>
      <c r="E75" s="14">
        <v>1818</v>
      </c>
      <c r="F75" s="17" t="s">
        <v>580</v>
      </c>
      <c r="G75" s="18"/>
      <c r="H75" s="19"/>
    </row>
    <row r="76" spans="1:8" s="17" customFormat="1" ht="18.75" customHeight="1" x14ac:dyDescent="0.25">
      <c r="A76" s="15">
        <v>68</v>
      </c>
      <c r="B76" s="16">
        <v>19748</v>
      </c>
      <c r="C76" s="12">
        <v>45438</v>
      </c>
      <c r="D76" s="13" t="s">
        <v>152</v>
      </c>
      <c r="E76" s="14">
        <v>287</v>
      </c>
      <c r="F76" s="17" t="s">
        <v>581</v>
      </c>
      <c r="G76" s="18"/>
      <c r="H76" s="19"/>
    </row>
    <row r="77" spans="1:8" s="17" customFormat="1" ht="18.75" customHeight="1" x14ac:dyDescent="0.25">
      <c r="A77" s="11">
        <v>69</v>
      </c>
      <c r="B77" s="16">
        <v>19749</v>
      </c>
      <c r="C77" s="12">
        <v>45438</v>
      </c>
      <c r="D77" s="13" t="s">
        <v>153</v>
      </c>
      <c r="E77" s="14">
        <v>711</v>
      </c>
      <c r="F77" s="17" t="s">
        <v>582</v>
      </c>
      <c r="G77" s="18"/>
      <c r="H77" s="19"/>
    </row>
    <row r="78" spans="1:8" s="17" customFormat="1" ht="18.75" customHeight="1" x14ac:dyDescent="0.25">
      <c r="A78" s="15">
        <v>70</v>
      </c>
      <c r="B78" s="16">
        <v>19750</v>
      </c>
      <c r="C78" s="12">
        <v>45438</v>
      </c>
      <c r="D78" s="13" t="s">
        <v>154</v>
      </c>
      <c r="E78" s="14">
        <v>444</v>
      </c>
      <c r="F78" s="17" t="s">
        <v>583</v>
      </c>
      <c r="G78" s="18"/>
      <c r="H78" s="19"/>
    </row>
    <row r="79" spans="1:8" s="17" customFormat="1" ht="18.75" customHeight="1" x14ac:dyDescent="0.25">
      <c r="A79" s="15">
        <v>71</v>
      </c>
      <c r="B79" s="16">
        <v>19751</v>
      </c>
      <c r="C79" s="12">
        <v>45439</v>
      </c>
      <c r="D79" s="13" t="s">
        <v>155</v>
      </c>
      <c r="E79" s="14">
        <v>300</v>
      </c>
      <c r="F79" s="17" t="s">
        <v>584</v>
      </c>
      <c r="G79" s="18"/>
      <c r="H79" s="19"/>
    </row>
    <row r="80" spans="1:8" s="17" customFormat="1" ht="18.75" customHeight="1" x14ac:dyDescent="0.25">
      <c r="A80" s="11">
        <v>72</v>
      </c>
      <c r="B80" s="16">
        <v>19752</v>
      </c>
      <c r="C80" s="12">
        <v>45439</v>
      </c>
      <c r="D80" s="13" t="s">
        <v>156</v>
      </c>
      <c r="E80" s="14">
        <v>1268</v>
      </c>
      <c r="F80" s="17" t="s">
        <v>585</v>
      </c>
      <c r="G80" s="18"/>
      <c r="H80" s="19"/>
    </row>
    <row r="81" spans="1:11" s="17" customFormat="1" ht="18.75" customHeight="1" x14ac:dyDescent="0.25">
      <c r="A81" s="15">
        <v>73</v>
      </c>
      <c r="B81" s="16">
        <v>19753</v>
      </c>
      <c r="C81" s="12">
        <v>45439</v>
      </c>
      <c r="D81" s="13" t="s">
        <v>157</v>
      </c>
      <c r="E81" s="14">
        <v>2815</v>
      </c>
      <c r="F81" s="17" t="s">
        <v>586</v>
      </c>
      <c r="G81" s="18"/>
      <c r="H81" s="19"/>
    </row>
    <row r="82" spans="1:11" s="17" customFormat="1" ht="18.75" customHeight="1" x14ac:dyDescent="0.25">
      <c r="A82" s="15">
        <v>74</v>
      </c>
      <c r="B82" s="16">
        <v>19754</v>
      </c>
      <c r="C82" s="12">
        <v>45439</v>
      </c>
      <c r="D82" s="13" t="s">
        <v>158</v>
      </c>
      <c r="E82" s="14">
        <v>2402</v>
      </c>
      <c r="F82" s="17" t="s">
        <v>587</v>
      </c>
      <c r="G82" s="18"/>
      <c r="H82" s="19"/>
    </row>
    <row r="83" spans="1:11" s="17" customFormat="1" ht="18.75" customHeight="1" x14ac:dyDescent="0.25">
      <c r="A83" s="11">
        <v>75</v>
      </c>
      <c r="B83" s="16">
        <v>19775</v>
      </c>
      <c r="C83" s="12">
        <v>45442</v>
      </c>
      <c r="D83" s="13" t="s">
        <v>159</v>
      </c>
      <c r="E83" s="14">
        <v>596</v>
      </c>
      <c r="F83" s="17" t="s">
        <v>588</v>
      </c>
      <c r="G83" s="18"/>
      <c r="H83" s="19"/>
    </row>
    <row r="84" spans="1:11" s="17" customFormat="1" ht="18.75" customHeight="1" x14ac:dyDescent="0.25">
      <c r="A84" s="15">
        <v>76</v>
      </c>
      <c r="B84" s="16">
        <v>19776</v>
      </c>
      <c r="C84" s="12">
        <v>45442</v>
      </c>
      <c r="D84" s="13" t="s">
        <v>160</v>
      </c>
      <c r="E84" s="14">
        <v>1005</v>
      </c>
      <c r="F84" s="17" t="s">
        <v>589</v>
      </c>
      <c r="G84" s="18"/>
      <c r="H84" s="19"/>
    </row>
    <row r="85" spans="1:11" s="17" customFormat="1" ht="18.75" customHeight="1" x14ac:dyDescent="0.25">
      <c r="A85" s="15">
        <v>77</v>
      </c>
      <c r="B85" s="16">
        <v>19777</v>
      </c>
      <c r="C85" s="12">
        <v>45442</v>
      </c>
      <c r="D85" s="13" t="s">
        <v>161</v>
      </c>
      <c r="E85" s="14">
        <v>1011</v>
      </c>
      <c r="F85" s="17" t="s">
        <v>590</v>
      </c>
      <c r="G85" s="18"/>
      <c r="H85" s="19"/>
    </row>
    <row r="86" spans="1:11" s="17" customFormat="1" ht="18.75" customHeight="1" x14ac:dyDescent="0.25">
      <c r="A86" s="11">
        <v>78</v>
      </c>
      <c r="B86" s="16">
        <v>19778</v>
      </c>
      <c r="C86" s="12">
        <v>45442</v>
      </c>
      <c r="D86" s="13" t="s">
        <v>162</v>
      </c>
      <c r="E86" s="14">
        <v>1820</v>
      </c>
      <c r="F86" s="17" t="s">
        <v>591</v>
      </c>
      <c r="G86" s="18"/>
      <c r="H86" s="19"/>
    </row>
    <row r="87" spans="1:11" s="17" customFormat="1" ht="18.75" customHeight="1" x14ac:dyDescent="0.25">
      <c r="A87" s="15">
        <v>79</v>
      </c>
      <c r="B87" s="16">
        <v>19779</v>
      </c>
      <c r="C87" s="12">
        <v>45443</v>
      </c>
      <c r="D87" s="13" t="s">
        <v>163</v>
      </c>
      <c r="E87" s="14">
        <v>966</v>
      </c>
      <c r="F87" s="17" t="s">
        <v>592</v>
      </c>
      <c r="G87" s="18"/>
      <c r="H87" s="19"/>
    </row>
    <row r="88" spans="1:11" s="17" customFormat="1" ht="18.75" customHeight="1" x14ac:dyDescent="0.25">
      <c r="A88" s="15">
        <v>80</v>
      </c>
      <c r="B88" s="16">
        <v>19780</v>
      </c>
      <c r="C88" s="12">
        <v>45443</v>
      </c>
      <c r="D88" s="13" t="s">
        <v>164</v>
      </c>
      <c r="E88" s="14">
        <v>5383</v>
      </c>
      <c r="F88" s="17" t="s">
        <v>593</v>
      </c>
      <c r="G88" s="18"/>
      <c r="H88" s="19"/>
    </row>
    <row r="89" spans="1:11" s="17" customFormat="1" ht="18.75" customHeight="1" x14ac:dyDescent="0.25">
      <c r="A89" s="11">
        <v>81</v>
      </c>
      <c r="B89" s="16">
        <v>19781</v>
      </c>
      <c r="C89" s="12">
        <v>45443</v>
      </c>
      <c r="D89" s="13" t="s">
        <v>165</v>
      </c>
      <c r="E89" s="14">
        <v>922</v>
      </c>
      <c r="F89" s="17" t="s">
        <v>594</v>
      </c>
      <c r="G89" s="18"/>
      <c r="H89" s="19"/>
    </row>
    <row r="90" spans="1:11" s="17" customFormat="1" ht="18.75" customHeight="1" thickBot="1" x14ac:dyDescent="0.3">
      <c r="A90" s="15">
        <v>82</v>
      </c>
      <c r="B90" s="16">
        <v>19782</v>
      </c>
      <c r="C90" s="12">
        <v>45443</v>
      </c>
      <c r="D90" s="13" t="s">
        <v>166</v>
      </c>
      <c r="E90" s="14">
        <v>310</v>
      </c>
      <c r="F90" s="17" t="s">
        <v>595</v>
      </c>
      <c r="G90" s="18"/>
      <c r="H90" s="19"/>
    </row>
    <row r="91" spans="1:11" ht="16.5" thickBot="1" x14ac:dyDescent="0.3">
      <c r="A91" s="20" t="s">
        <v>276</v>
      </c>
      <c r="B91" s="21"/>
      <c r="C91" s="21"/>
      <c r="D91" s="22"/>
      <c r="E91" s="23">
        <f>SUM(E9:E90)</f>
        <v>245822</v>
      </c>
    </row>
    <row r="92" spans="1:11" x14ac:dyDescent="0.25">
      <c r="A92" s="4"/>
      <c r="B92" s="24"/>
      <c r="C92" s="25"/>
      <c r="D92" s="26"/>
      <c r="E92" s="27"/>
      <c r="F92" s="28"/>
      <c r="G92" s="28"/>
      <c r="H92" s="29"/>
      <c r="I92" s="25"/>
      <c r="J92" s="25"/>
      <c r="K92" s="28"/>
    </row>
    <row r="93" spans="1:11" x14ac:dyDescent="0.25">
      <c r="A93" s="4" t="s">
        <v>277</v>
      </c>
      <c r="B93" s="4"/>
    </row>
  </sheetData>
  <mergeCells count="2">
    <mergeCell ref="A1:B1"/>
    <mergeCell ref="A2:B2"/>
  </mergeCells>
  <conditionalFormatting sqref="B9">
    <cfRule type="duplicateValues" dxfId="51" priority="20"/>
  </conditionalFormatting>
  <conditionalFormatting sqref="B10:B90">
    <cfRule type="duplicateValues" dxfId="50" priority="23"/>
  </conditionalFormatting>
  <printOptions horizontalCentered="1"/>
  <pageMargins left="0.25" right="0.25" top="0.74" bottom="0.28000000000000003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14E4-A8AE-46C2-97E3-1ACA4685BFFA}">
  <dimension ref="A1:H83"/>
  <sheetViews>
    <sheetView topLeftCell="F1" workbookViewId="0">
      <selection activeCell="H2" sqref="H2:H83"/>
    </sheetView>
  </sheetViews>
  <sheetFormatPr defaultRowHeight="15" x14ac:dyDescent="0.25"/>
  <cols>
    <col min="1" max="1" width="43.5703125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3.42578125" customWidth="1"/>
    <col min="7" max="7" width="85" customWidth="1"/>
    <col min="8" max="8" width="76.42578125" customWidth="1"/>
  </cols>
  <sheetData>
    <row r="1" spans="1:8" x14ac:dyDescent="0.25">
      <c r="A1" s="34" t="s">
        <v>723</v>
      </c>
      <c r="B1" t="s">
        <v>724</v>
      </c>
      <c r="D1" s="35" t="s">
        <v>725</v>
      </c>
      <c r="E1" s="36" t="s">
        <v>726</v>
      </c>
    </row>
    <row r="2" spans="1:8" ht="96.75" customHeight="1" x14ac:dyDescent="0.25">
      <c r="A2" s="17" t="s">
        <v>514</v>
      </c>
      <c r="B2" s="37" t="str">
        <f>VLOOKUP(A2,[2]Sheet1!$B$2:$C$83,2,0)</f>
        <v>070000158608</v>
      </c>
      <c r="C2" s="14">
        <v>1127</v>
      </c>
      <c r="D2" s="38">
        <f>ROUND(C2,0)</f>
        <v>1127</v>
      </c>
      <c r="E2" s="36" t="s">
        <v>726</v>
      </c>
      <c r="F2" s="3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0" t="str">
        <f>"('"&amp;E2&amp;"','"&amp;B2&amp;"','"&amp;D2&amp;"',(select max(to_number(i.premium_rcv_detail_code))+1
from ins_premium_det i),'"&amp;D2&amp;"','"&amp;D2&amp;"','02', '11000003','00','Request by Mr. Saqib Saleem 21-Aug-2024 sheet2');"</f>
        <v>('20Aug240117','070000158608','1127',(select max(to_number(i.premium_rcv_detail_code))+1
from ins_premium_det i),'1127','1127','02', '11000003','00','Request by Mr. Saqib Saleem 21-Aug-2024 sheet2');</v>
      </c>
      <c r="H2" s="41" t="str">
        <f>F2&amp;G2</f>
        <v>insert into ins_premium_det (premium_rcv_code,assorted_code, rec_amount,premium_rcv_detail_code,remaining_amt, payrec, mode_code,coinsurance_code,class_cd,it_remarks) values('20Aug240117','070000158608','1127',(select max(to_number(i.premium_rcv_detail_code))+1
from ins_premium_det i),'1127','1127','02', '11000003','00','Request by Mr. Saqib Saleem 21-Aug-2024 sheet2');</v>
      </c>
    </row>
    <row r="3" spans="1:8" ht="105" x14ac:dyDescent="0.25">
      <c r="A3" s="17" t="s">
        <v>515</v>
      </c>
      <c r="B3" s="37" t="str">
        <f>VLOOKUP(A3,[2]Sheet1!$B$2:$C$83,2,0)</f>
        <v>070000158609</v>
      </c>
      <c r="C3" s="14">
        <v>370</v>
      </c>
      <c r="D3" s="38">
        <f t="shared" ref="D3:D66" si="1">ROUND(C3,0)</f>
        <v>370</v>
      </c>
      <c r="E3" s="36" t="s">
        <v>726</v>
      </c>
      <c r="F3" s="39" t="str">
        <f t="shared" si="0"/>
        <v>insert into ins_premium_det (premium_rcv_code,assorted_code, rec_amount,premium_rcv_detail_code,remaining_amt, payrec, mode_code,coinsurance_code,class_cd,it_remarks) values</v>
      </c>
      <c r="G3" s="40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sheet2');"</f>
        <v>('20Aug240117','070000158609','370',(select max(to_number(i.premium_rcv_detail_code))+1
from ins_premium_det i),'370','370','02', '11000003','00','Request by Mr. Saqib Saleem 21-Aug-2024 sheet2');</v>
      </c>
      <c r="H3" s="41" t="str">
        <f t="shared" ref="H3:H66" si="3">F3&amp;G3</f>
        <v>insert into ins_premium_det (premium_rcv_code,assorted_code, rec_amount,premium_rcv_detail_code,remaining_amt, payrec, mode_code,coinsurance_code,class_cd,it_remarks) values('20Aug240117','070000158609','370',(select max(to_number(i.premium_rcv_detail_code))+1
from ins_premium_det i),'370','370','02', '11000003','00','Request by Mr. Saqib Saleem 21-Aug-2024 sheet2');</v>
      </c>
    </row>
    <row r="4" spans="1:8" ht="105" x14ac:dyDescent="0.25">
      <c r="A4" s="17" t="s">
        <v>516</v>
      </c>
      <c r="B4" s="37" t="str">
        <f>VLOOKUP(A4,[2]Sheet1!$B$2:$C$83,2,0)</f>
        <v>070000158610</v>
      </c>
      <c r="C4" s="14">
        <v>5720</v>
      </c>
      <c r="D4" s="38">
        <f t="shared" si="1"/>
        <v>5720</v>
      </c>
      <c r="E4" s="36" t="s">
        <v>726</v>
      </c>
      <c r="F4" s="39" t="str">
        <f t="shared" si="0"/>
        <v>insert into ins_premium_det (premium_rcv_code,assorted_code, rec_amount,premium_rcv_detail_code,remaining_amt, payrec, mode_code,coinsurance_code,class_cd,it_remarks) values</v>
      </c>
      <c r="G4" s="40" t="str">
        <f t="shared" si="2"/>
        <v>('20Aug240117','070000158610','5720',(select max(to_number(i.premium_rcv_detail_code))+1
from ins_premium_det i),'5720','5720','02', '11000003','00','Request by Mr. Saqib Saleem 21-Aug-2024 sheet2');</v>
      </c>
      <c r="H4" s="41" t="str">
        <f t="shared" si="3"/>
        <v>insert into ins_premium_det (premium_rcv_code,assorted_code, rec_amount,premium_rcv_detail_code,remaining_amt, payrec, mode_code,coinsurance_code,class_cd,it_remarks) values('20Aug240117','070000158610','5720',(select max(to_number(i.premium_rcv_detail_code))+1
from ins_premium_det i),'5720','5720','02', '11000003','00','Request by Mr. Saqib Saleem 21-Aug-2024 sheet2');</v>
      </c>
    </row>
    <row r="5" spans="1:8" ht="105" x14ac:dyDescent="0.25">
      <c r="A5" s="17" t="s">
        <v>517</v>
      </c>
      <c r="B5" s="37" t="str">
        <f>VLOOKUP(A5,[2]Sheet1!$B$2:$C$83,2,0)</f>
        <v>070000158612</v>
      </c>
      <c r="C5" s="14">
        <v>28013</v>
      </c>
      <c r="D5" s="38">
        <f t="shared" si="1"/>
        <v>28013</v>
      </c>
      <c r="E5" s="36" t="s">
        <v>726</v>
      </c>
      <c r="F5" s="39" t="str">
        <f t="shared" si="0"/>
        <v>insert into ins_premium_det (premium_rcv_code,assorted_code, rec_amount,premium_rcv_detail_code,remaining_amt, payrec, mode_code,coinsurance_code,class_cd,it_remarks) values</v>
      </c>
      <c r="G5" s="40" t="str">
        <f t="shared" si="2"/>
        <v>('20Aug240117','070000158612','28013',(select max(to_number(i.premium_rcv_detail_code))+1
from ins_premium_det i),'28013','28013','02', '11000003','00','Request by Mr. Saqib Saleem 21-Aug-2024 sheet2');</v>
      </c>
      <c r="H5" s="41" t="str">
        <f t="shared" si="3"/>
        <v>insert into ins_premium_det (premium_rcv_code,assorted_code, rec_amount,premium_rcv_detail_code,remaining_amt, payrec, mode_code,coinsurance_code,class_cd,it_remarks) values('20Aug240117','070000158612','28013',(select max(to_number(i.premium_rcv_detail_code))+1
from ins_premium_det i),'28013','28013','02', '11000003','00','Request by Mr. Saqib Saleem 21-Aug-2024 sheet2');</v>
      </c>
    </row>
    <row r="6" spans="1:8" ht="105" x14ac:dyDescent="0.25">
      <c r="A6" s="17" t="s">
        <v>518</v>
      </c>
      <c r="B6" s="37" t="str">
        <f>VLOOKUP(A6,[2]Sheet1!$B$2:$C$83,2,0)</f>
        <v>070000158614</v>
      </c>
      <c r="C6" s="14">
        <v>199</v>
      </c>
      <c r="D6" s="38">
        <f t="shared" si="1"/>
        <v>199</v>
      </c>
      <c r="E6" s="36" t="s">
        <v>726</v>
      </c>
      <c r="F6" s="39" t="str">
        <f t="shared" si="0"/>
        <v>insert into ins_premium_det (premium_rcv_code,assorted_code, rec_amount,premium_rcv_detail_code,remaining_amt, payrec, mode_code,coinsurance_code,class_cd,it_remarks) values</v>
      </c>
      <c r="G6" s="40" t="str">
        <f t="shared" si="2"/>
        <v>('20Aug240117','070000158614','199',(select max(to_number(i.premium_rcv_detail_code))+1
from ins_premium_det i),'199','199','02', '11000003','00','Request by Mr. Saqib Saleem 21-Aug-2024 sheet2');</v>
      </c>
      <c r="H6" s="41" t="str">
        <f t="shared" si="3"/>
        <v>insert into ins_premium_det (premium_rcv_code,assorted_code, rec_amount,premium_rcv_detail_code,remaining_amt, payrec, mode_code,coinsurance_code,class_cd,it_remarks) values('20Aug240117','070000158614','199',(select max(to_number(i.premium_rcv_detail_code))+1
from ins_premium_det i),'199','199','02', '11000003','00','Request by Mr. Saqib Saleem 21-Aug-2024 sheet2');</v>
      </c>
    </row>
    <row r="7" spans="1:8" ht="105" x14ac:dyDescent="0.25">
      <c r="A7" s="17" t="s">
        <v>519</v>
      </c>
      <c r="B7" s="37" t="str">
        <f>VLOOKUP(A7,[2]Sheet1!$B$2:$C$83,2,0)</f>
        <v>070000158635</v>
      </c>
      <c r="C7" s="14">
        <v>4181</v>
      </c>
      <c r="D7" s="38">
        <f t="shared" si="1"/>
        <v>4181</v>
      </c>
      <c r="E7" s="36" t="s">
        <v>726</v>
      </c>
      <c r="F7" s="39" t="str">
        <f t="shared" si="0"/>
        <v>insert into ins_premium_det (premium_rcv_code,assorted_code, rec_amount,premium_rcv_detail_code,remaining_amt, payrec, mode_code,coinsurance_code,class_cd,it_remarks) values</v>
      </c>
      <c r="G7" s="40" t="str">
        <f t="shared" si="2"/>
        <v>('20Aug240117','070000158635','4181',(select max(to_number(i.premium_rcv_detail_code))+1
from ins_premium_det i),'4181','4181','02', '11000003','00','Request by Mr. Saqib Saleem 21-Aug-2024 sheet2');</v>
      </c>
      <c r="H7" s="41" t="str">
        <f t="shared" si="3"/>
        <v>insert into ins_premium_det (premium_rcv_code,assorted_code, rec_amount,premium_rcv_detail_code,remaining_amt, payrec, mode_code,coinsurance_code,class_cd,it_remarks) values('20Aug240117','070000158635','4181',(select max(to_number(i.premium_rcv_detail_code))+1
from ins_premium_det i),'4181','4181','02', '11000003','00','Request by Mr. Saqib Saleem 21-Aug-2024 sheet2');</v>
      </c>
    </row>
    <row r="8" spans="1:8" ht="105" x14ac:dyDescent="0.25">
      <c r="A8" s="17" t="s">
        <v>520</v>
      </c>
      <c r="B8" s="37" t="str">
        <f>VLOOKUP(A8,[2]Sheet1!$B$2:$C$83,2,0)</f>
        <v>070000158636</v>
      </c>
      <c r="C8" s="14">
        <v>3649</v>
      </c>
      <c r="D8" s="38">
        <f t="shared" si="1"/>
        <v>3649</v>
      </c>
      <c r="E8" s="36" t="s">
        <v>726</v>
      </c>
      <c r="F8" s="39" t="str">
        <f t="shared" si="0"/>
        <v>insert into ins_premium_det (premium_rcv_code,assorted_code, rec_amount,premium_rcv_detail_code,remaining_amt, payrec, mode_code,coinsurance_code,class_cd,it_remarks) values</v>
      </c>
      <c r="G8" s="40" t="str">
        <f t="shared" si="2"/>
        <v>('20Aug240117','070000158636','3649',(select max(to_number(i.premium_rcv_detail_code))+1
from ins_premium_det i),'3649','3649','02', '11000003','00','Request by Mr. Saqib Saleem 21-Aug-2024 sheet2');</v>
      </c>
      <c r="H8" s="41" t="str">
        <f t="shared" si="3"/>
        <v>insert into ins_premium_det (premium_rcv_code,assorted_code, rec_amount,premium_rcv_detail_code,remaining_amt, payrec, mode_code,coinsurance_code,class_cd,it_remarks) values('20Aug240117','070000158636','3649',(select max(to_number(i.premium_rcv_detail_code))+1
from ins_premium_det i),'3649','3649','02', '11000003','00','Request by Mr. Saqib Saleem 21-Aug-2024 sheet2');</v>
      </c>
    </row>
    <row r="9" spans="1:8" ht="105" x14ac:dyDescent="0.25">
      <c r="A9" s="17" t="s">
        <v>521</v>
      </c>
      <c r="B9" s="37" t="str">
        <f>VLOOKUP(A9,[2]Sheet1!$B$2:$C$83,2,0)</f>
        <v>070000158637</v>
      </c>
      <c r="C9" s="14">
        <v>1853</v>
      </c>
      <c r="D9" s="38">
        <f t="shared" si="1"/>
        <v>1853</v>
      </c>
      <c r="E9" s="36" t="s">
        <v>726</v>
      </c>
      <c r="F9" s="39" t="str">
        <f t="shared" si="0"/>
        <v>insert into ins_premium_det (premium_rcv_code,assorted_code, rec_amount,premium_rcv_detail_code,remaining_amt, payrec, mode_code,coinsurance_code,class_cd,it_remarks) values</v>
      </c>
      <c r="G9" s="40" t="str">
        <f t="shared" si="2"/>
        <v>('20Aug240117','070000158637','1853',(select max(to_number(i.premium_rcv_detail_code))+1
from ins_premium_det i),'1853','1853','02', '11000003','00','Request by Mr. Saqib Saleem 21-Aug-2024 sheet2');</v>
      </c>
      <c r="H9" s="41" t="str">
        <f t="shared" si="3"/>
        <v>insert into ins_premium_det (premium_rcv_code,assorted_code, rec_amount,premium_rcv_detail_code,remaining_amt, payrec, mode_code,coinsurance_code,class_cd,it_remarks) values('20Aug240117','070000158637','1853',(select max(to_number(i.premium_rcv_detail_code))+1
from ins_premium_det i),'1853','1853','02', '11000003','00','Request by Mr. Saqib Saleem 21-Aug-2024 sheet2');</v>
      </c>
    </row>
    <row r="10" spans="1:8" ht="105" x14ac:dyDescent="0.25">
      <c r="A10" s="17" t="s">
        <v>522</v>
      </c>
      <c r="B10" s="37" t="str">
        <f>VLOOKUP(A10,[2]Sheet1!$B$2:$C$83,2,0)</f>
        <v>070000158638</v>
      </c>
      <c r="C10" s="14">
        <v>5908</v>
      </c>
      <c r="D10" s="38">
        <f t="shared" si="1"/>
        <v>5908</v>
      </c>
      <c r="E10" s="36" t="s">
        <v>726</v>
      </c>
      <c r="F10" s="39" t="str">
        <f t="shared" si="0"/>
        <v>insert into ins_premium_det (premium_rcv_code,assorted_code, rec_amount,premium_rcv_detail_code,remaining_amt, payrec, mode_code,coinsurance_code,class_cd,it_remarks) values</v>
      </c>
      <c r="G10" s="40" t="str">
        <f t="shared" si="2"/>
        <v>('20Aug240117','070000158638','5908',(select max(to_number(i.premium_rcv_detail_code))+1
from ins_premium_det i),'5908','5908','02', '11000003','00','Request by Mr. Saqib Saleem 21-Aug-2024 sheet2');</v>
      </c>
      <c r="H10" s="41" t="str">
        <f t="shared" si="3"/>
        <v>insert into ins_premium_det (premium_rcv_code,assorted_code, rec_amount,premium_rcv_detail_code,remaining_amt, payrec, mode_code,coinsurance_code,class_cd,it_remarks) values('20Aug240117','070000158638','5908',(select max(to_number(i.premium_rcv_detail_code))+1
from ins_premium_det i),'5908','5908','02', '11000003','00','Request by Mr. Saqib Saleem 21-Aug-2024 sheet2');</v>
      </c>
    </row>
    <row r="11" spans="1:8" ht="105" x14ac:dyDescent="0.25">
      <c r="A11" s="17" t="s">
        <v>523</v>
      </c>
      <c r="B11" s="37" t="str">
        <f>VLOOKUP(A11,[2]Sheet1!$B$2:$C$83,2,0)</f>
        <v>070000158639</v>
      </c>
      <c r="C11" s="14">
        <v>2306</v>
      </c>
      <c r="D11" s="38">
        <f t="shared" si="1"/>
        <v>2306</v>
      </c>
      <c r="E11" s="36" t="s">
        <v>726</v>
      </c>
      <c r="F11" s="39" t="str">
        <f t="shared" si="0"/>
        <v>insert into ins_premium_det (premium_rcv_code,assorted_code, rec_amount,premium_rcv_detail_code,remaining_amt, payrec, mode_code,coinsurance_code,class_cd,it_remarks) values</v>
      </c>
      <c r="G11" s="40" t="str">
        <f t="shared" si="2"/>
        <v>('20Aug240117','070000158639','2306',(select max(to_number(i.premium_rcv_detail_code))+1
from ins_premium_det i),'2306','2306','02', '11000003','00','Request by Mr. Saqib Saleem 21-Aug-2024 sheet2');</v>
      </c>
      <c r="H11" s="41" t="str">
        <f t="shared" si="3"/>
        <v>insert into ins_premium_det (premium_rcv_code,assorted_code, rec_amount,premium_rcv_detail_code,remaining_amt, payrec, mode_code,coinsurance_code,class_cd,it_remarks) values('20Aug240117','070000158639','2306',(select max(to_number(i.premium_rcv_detail_code))+1
from ins_premium_det i),'2306','2306','02', '11000003','00','Request by Mr. Saqib Saleem 21-Aug-2024 sheet2');</v>
      </c>
    </row>
    <row r="12" spans="1:8" ht="105" x14ac:dyDescent="0.25">
      <c r="A12" s="17" t="s">
        <v>524</v>
      </c>
      <c r="B12" s="37" t="str">
        <f>VLOOKUP(A12,[2]Sheet1!$B$2:$C$83,2,0)</f>
        <v>070000158644</v>
      </c>
      <c r="C12" s="14">
        <v>452</v>
      </c>
      <c r="D12" s="38">
        <f t="shared" si="1"/>
        <v>452</v>
      </c>
      <c r="E12" s="36" t="s">
        <v>726</v>
      </c>
      <c r="F12" s="39" t="str">
        <f t="shared" si="0"/>
        <v>insert into ins_premium_det (premium_rcv_code,assorted_code, rec_amount,premium_rcv_detail_code,remaining_amt, payrec, mode_code,coinsurance_code,class_cd,it_remarks) values</v>
      </c>
      <c r="G12" s="40" t="str">
        <f t="shared" si="2"/>
        <v>('20Aug240117','070000158644','452',(select max(to_number(i.premium_rcv_detail_code))+1
from ins_premium_det i),'452','452','02', '11000003','00','Request by Mr. Saqib Saleem 21-Aug-2024 sheet2');</v>
      </c>
      <c r="H12" s="41" t="str">
        <f t="shared" si="3"/>
        <v>insert into ins_premium_det (premium_rcv_code,assorted_code, rec_amount,premium_rcv_detail_code,remaining_amt, payrec, mode_code,coinsurance_code,class_cd,it_remarks) values('20Aug240117','070000158644','452',(select max(to_number(i.premium_rcv_detail_code))+1
from ins_premium_det i),'452','452','02', '11000003','00','Request by Mr. Saqib Saleem 21-Aug-2024 sheet2');</v>
      </c>
    </row>
    <row r="13" spans="1:8" ht="105" x14ac:dyDescent="0.25">
      <c r="A13" s="17" t="s">
        <v>525</v>
      </c>
      <c r="B13" s="37" t="str">
        <f>VLOOKUP(A13,[2]Sheet1!$B$2:$C$83,2,0)</f>
        <v>070000158651</v>
      </c>
      <c r="C13" s="14">
        <v>558</v>
      </c>
      <c r="D13" s="38">
        <f t="shared" si="1"/>
        <v>558</v>
      </c>
      <c r="E13" s="36" t="s">
        <v>726</v>
      </c>
      <c r="F13" s="39" t="str">
        <f t="shared" si="0"/>
        <v>insert into ins_premium_det (premium_rcv_code,assorted_code, rec_amount,premium_rcv_detail_code,remaining_amt, payrec, mode_code,coinsurance_code,class_cd,it_remarks) values</v>
      </c>
      <c r="G13" s="40" t="str">
        <f t="shared" si="2"/>
        <v>('20Aug240117','070000158651','558',(select max(to_number(i.premium_rcv_detail_code))+1
from ins_premium_det i),'558','558','02', '11000003','00','Request by Mr. Saqib Saleem 21-Aug-2024 sheet2');</v>
      </c>
      <c r="H13" s="41" t="str">
        <f t="shared" si="3"/>
        <v>insert into ins_premium_det (premium_rcv_code,assorted_code, rec_amount,premium_rcv_detail_code,remaining_amt, payrec, mode_code,coinsurance_code,class_cd,it_remarks) values('20Aug240117','070000158651','558',(select max(to_number(i.premium_rcv_detail_code))+1
from ins_premium_det i),'558','558','02', '11000003','00','Request by Mr. Saqib Saleem 21-Aug-2024 sheet2');</v>
      </c>
    </row>
    <row r="14" spans="1:8" ht="105" x14ac:dyDescent="0.25">
      <c r="A14" s="17" t="s">
        <v>526</v>
      </c>
      <c r="B14" s="37" t="str">
        <f>VLOOKUP(A14,[2]Sheet1!$B$2:$C$83,2,0)</f>
        <v>070000158652</v>
      </c>
      <c r="C14" s="14">
        <v>1664</v>
      </c>
      <c r="D14" s="38">
        <f t="shared" si="1"/>
        <v>1664</v>
      </c>
      <c r="E14" s="36" t="s">
        <v>726</v>
      </c>
      <c r="F14" s="39" t="str">
        <f t="shared" si="0"/>
        <v>insert into ins_premium_det (premium_rcv_code,assorted_code, rec_amount,premium_rcv_detail_code,remaining_amt, payrec, mode_code,coinsurance_code,class_cd,it_remarks) values</v>
      </c>
      <c r="G14" s="40" t="str">
        <f t="shared" si="2"/>
        <v>('20Aug240117','070000158652','1664',(select max(to_number(i.premium_rcv_detail_code))+1
from ins_premium_det i),'1664','1664','02', '11000003','00','Request by Mr. Saqib Saleem 21-Aug-2024 sheet2');</v>
      </c>
      <c r="H14" s="41" t="str">
        <f t="shared" si="3"/>
        <v>insert into ins_premium_det (premium_rcv_code,assorted_code, rec_amount,premium_rcv_detail_code,remaining_amt, payrec, mode_code,coinsurance_code,class_cd,it_remarks) values('20Aug240117','070000158652','1664',(select max(to_number(i.premium_rcv_detail_code))+1
from ins_premium_det i),'1664','1664','02', '11000003','00','Request by Mr. Saqib Saleem 21-Aug-2024 sheet2');</v>
      </c>
    </row>
    <row r="15" spans="1:8" ht="105" x14ac:dyDescent="0.25">
      <c r="A15" s="17" t="s">
        <v>527</v>
      </c>
      <c r="B15" s="37" t="str">
        <f>VLOOKUP(A15,[2]Sheet1!$B$2:$C$83,2,0)</f>
        <v>070000158654</v>
      </c>
      <c r="C15" s="14">
        <v>3300</v>
      </c>
      <c r="D15" s="38">
        <f t="shared" si="1"/>
        <v>3300</v>
      </c>
      <c r="E15" s="36" t="s">
        <v>726</v>
      </c>
      <c r="F15" s="39" t="str">
        <f t="shared" si="0"/>
        <v>insert into ins_premium_det (premium_rcv_code,assorted_code, rec_amount,premium_rcv_detail_code,remaining_amt, payrec, mode_code,coinsurance_code,class_cd,it_remarks) values</v>
      </c>
      <c r="G15" s="40" t="str">
        <f t="shared" si="2"/>
        <v>('20Aug240117','070000158654','3300',(select max(to_number(i.premium_rcv_detail_code))+1
from ins_premium_det i),'3300','3300','02', '11000003','00','Request by Mr. Saqib Saleem 21-Aug-2024 sheet2');</v>
      </c>
      <c r="H15" s="41" t="str">
        <f t="shared" si="3"/>
        <v>insert into ins_premium_det (premium_rcv_code,assorted_code, rec_amount,premium_rcv_detail_code,remaining_amt, payrec, mode_code,coinsurance_code,class_cd,it_remarks) values('20Aug240117','070000158654','3300',(select max(to_number(i.premium_rcv_detail_code))+1
from ins_premium_det i),'3300','3300','02', '11000003','00','Request by Mr. Saqib Saleem 21-Aug-2024 sheet2');</v>
      </c>
    </row>
    <row r="16" spans="1:8" ht="105" x14ac:dyDescent="0.25">
      <c r="A16" s="17" t="s">
        <v>528</v>
      </c>
      <c r="B16" s="37" t="str">
        <f>VLOOKUP(A16,[2]Sheet1!$B$2:$C$83,2,0)</f>
        <v>070000158656</v>
      </c>
      <c r="C16" s="14">
        <v>4477</v>
      </c>
      <c r="D16" s="38">
        <f t="shared" si="1"/>
        <v>4477</v>
      </c>
      <c r="E16" s="36" t="s">
        <v>726</v>
      </c>
      <c r="F16" s="39" t="str">
        <f t="shared" si="0"/>
        <v>insert into ins_premium_det (premium_rcv_code,assorted_code, rec_amount,premium_rcv_detail_code,remaining_amt, payrec, mode_code,coinsurance_code,class_cd,it_remarks) values</v>
      </c>
      <c r="G16" s="40" t="str">
        <f t="shared" si="2"/>
        <v>('20Aug240117','070000158656','4477',(select max(to_number(i.premium_rcv_detail_code))+1
from ins_premium_det i),'4477','4477','02', '11000003','00','Request by Mr. Saqib Saleem 21-Aug-2024 sheet2');</v>
      </c>
      <c r="H16" s="41" t="str">
        <f t="shared" si="3"/>
        <v>insert into ins_premium_det (premium_rcv_code,assorted_code, rec_amount,premium_rcv_detail_code,remaining_amt, payrec, mode_code,coinsurance_code,class_cd,it_remarks) values('20Aug240117','070000158656','4477',(select max(to_number(i.premium_rcv_detail_code))+1
from ins_premium_det i),'4477','4477','02', '11000003','00','Request by Mr. Saqib Saleem 21-Aug-2024 sheet2');</v>
      </c>
    </row>
    <row r="17" spans="1:8" ht="105" x14ac:dyDescent="0.25">
      <c r="A17" s="17" t="s">
        <v>529</v>
      </c>
      <c r="B17" s="37" t="str">
        <f>VLOOKUP(A17,[2]Sheet1!$B$2:$C$83,2,0)</f>
        <v>070000158657</v>
      </c>
      <c r="C17" s="14">
        <v>2046</v>
      </c>
      <c r="D17" s="38">
        <f t="shared" si="1"/>
        <v>2046</v>
      </c>
      <c r="E17" s="36" t="s">
        <v>726</v>
      </c>
      <c r="F17" s="39" t="str">
        <f t="shared" si="0"/>
        <v>insert into ins_premium_det (premium_rcv_code,assorted_code, rec_amount,premium_rcv_detail_code,remaining_amt, payrec, mode_code,coinsurance_code,class_cd,it_remarks) values</v>
      </c>
      <c r="G17" s="40" t="str">
        <f t="shared" si="2"/>
        <v>('20Aug240117','070000158657','2046',(select max(to_number(i.premium_rcv_detail_code))+1
from ins_premium_det i),'2046','2046','02', '11000003','00','Request by Mr. Saqib Saleem 21-Aug-2024 sheet2');</v>
      </c>
      <c r="H17" s="41" t="str">
        <f t="shared" si="3"/>
        <v>insert into ins_premium_det (premium_rcv_code,assorted_code, rec_amount,premium_rcv_detail_code,remaining_amt, payrec, mode_code,coinsurance_code,class_cd,it_remarks) values('20Aug240117','070000158657','2046',(select max(to_number(i.premium_rcv_detail_code))+1
from ins_premium_det i),'2046','2046','02', '11000003','00','Request by Mr. Saqib Saleem 21-Aug-2024 sheet2');</v>
      </c>
    </row>
    <row r="18" spans="1:8" ht="105" x14ac:dyDescent="0.25">
      <c r="A18" s="17" t="s">
        <v>530</v>
      </c>
      <c r="B18" s="37" t="str">
        <f>VLOOKUP(A18,[2]Sheet1!$B$2:$C$83,2,0)</f>
        <v>070000158658</v>
      </c>
      <c r="C18" s="14">
        <v>10361</v>
      </c>
      <c r="D18" s="38">
        <f t="shared" si="1"/>
        <v>10361</v>
      </c>
      <c r="E18" s="36" t="s">
        <v>726</v>
      </c>
      <c r="F18" s="39" t="str">
        <f t="shared" si="0"/>
        <v>insert into ins_premium_det (premium_rcv_code,assorted_code, rec_amount,premium_rcv_detail_code,remaining_amt, payrec, mode_code,coinsurance_code,class_cd,it_remarks) values</v>
      </c>
      <c r="G18" s="40" t="str">
        <f t="shared" si="2"/>
        <v>('20Aug240117','070000158658','10361',(select max(to_number(i.premium_rcv_detail_code))+1
from ins_premium_det i),'10361','10361','02', '11000003','00','Request by Mr. Saqib Saleem 21-Aug-2024 sheet2');</v>
      </c>
      <c r="H18" s="41" t="str">
        <f t="shared" si="3"/>
        <v>insert into ins_premium_det (premium_rcv_code,assorted_code, rec_amount,premium_rcv_detail_code,remaining_amt, payrec, mode_code,coinsurance_code,class_cd,it_remarks) values('20Aug240117','070000158658','10361',(select max(to_number(i.premium_rcv_detail_code))+1
from ins_premium_det i),'10361','10361','02', '11000003','00','Request by Mr. Saqib Saleem 21-Aug-2024 sheet2');</v>
      </c>
    </row>
    <row r="19" spans="1:8" ht="105" x14ac:dyDescent="0.25">
      <c r="A19" s="17" t="s">
        <v>531</v>
      </c>
      <c r="B19" s="37" t="str">
        <f>VLOOKUP(A19,[2]Sheet1!$B$2:$C$83,2,0)</f>
        <v>070000158659</v>
      </c>
      <c r="C19" s="14">
        <v>3495</v>
      </c>
      <c r="D19" s="38">
        <f t="shared" si="1"/>
        <v>3495</v>
      </c>
      <c r="E19" s="36" t="s">
        <v>726</v>
      </c>
      <c r="F19" s="39" t="str">
        <f t="shared" si="0"/>
        <v>insert into ins_premium_det (premium_rcv_code,assorted_code, rec_amount,premium_rcv_detail_code,remaining_amt, payrec, mode_code,coinsurance_code,class_cd,it_remarks) values</v>
      </c>
      <c r="G19" s="40" t="str">
        <f t="shared" si="2"/>
        <v>('20Aug240117','070000158659','3495',(select max(to_number(i.premium_rcv_detail_code))+1
from ins_premium_det i),'3495','3495','02', '11000003','00','Request by Mr. Saqib Saleem 21-Aug-2024 sheet2');</v>
      </c>
      <c r="H19" s="41" t="str">
        <f t="shared" si="3"/>
        <v>insert into ins_premium_det (premium_rcv_code,assorted_code, rec_amount,premium_rcv_detail_code,remaining_amt, payrec, mode_code,coinsurance_code,class_cd,it_remarks) values('20Aug240117','070000158659','3495',(select max(to_number(i.premium_rcv_detail_code))+1
from ins_premium_det i),'3495','3495','02', '11000003','00','Request by Mr. Saqib Saleem 21-Aug-2024 sheet2');</v>
      </c>
    </row>
    <row r="20" spans="1:8" ht="105" x14ac:dyDescent="0.25">
      <c r="A20" s="17" t="s">
        <v>532</v>
      </c>
      <c r="B20" s="37" t="str">
        <f>VLOOKUP(A20,[2]Sheet1!$B$2:$C$83,2,0)</f>
        <v>070000158709</v>
      </c>
      <c r="C20" s="14">
        <v>1569</v>
      </c>
      <c r="D20" s="38">
        <f t="shared" si="1"/>
        <v>1569</v>
      </c>
      <c r="E20" s="36" t="s">
        <v>726</v>
      </c>
      <c r="F20" s="39" t="str">
        <f t="shared" si="0"/>
        <v>insert into ins_premium_det (premium_rcv_code,assorted_code, rec_amount,premium_rcv_detail_code,remaining_amt, payrec, mode_code,coinsurance_code,class_cd,it_remarks) values</v>
      </c>
      <c r="G20" s="40" t="str">
        <f t="shared" si="2"/>
        <v>('20Aug240117','070000158709','1569',(select max(to_number(i.premium_rcv_detail_code))+1
from ins_premium_det i),'1569','1569','02', '11000003','00','Request by Mr. Saqib Saleem 21-Aug-2024 sheet2');</v>
      </c>
      <c r="H20" s="41" t="str">
        <f t="shared" si="3"/>
        <v>insert into ins_premium_det (premium_rcv_code,assorted_code, rec_amount,premium_rcv_detail_code,remaining_amt, payrec, mode_code,coinsurance_code,class_cd,it_remarks) values('20Aug240117','070000158709','1569',(select max(to_number(i.premium_rcv_detail_code))+1
from ins_premium_det i),'1569','1569','02', '11000003','00','Request by Mr. Saqib Saleem 21-Aug-2024 sheet2');</v>
      </c>
    </row>
    <row r="21" spans="1:8" ht="105" x14ac:dyDescent="0.25">
      <c r="A21" s="17" t="s">
        <v>533</v>
      </c>
      <c r="B21" s="37" t="str">
        <f>VLOOKUP(A21,[2]Sheet1!$B$2:$C$83,2,0)</f>
        <v>070000158710</v>
      </c>
      <c r="C21" s="14">
        <v>4692</v>
      </c>
      <c r="D21" s="38">
        <f t="shared" si="1"/>
        <v>4692</v>
      </c>
      <c r="E21" s="36" t="s">
        <v>726</v>
      </c>
      <c r="F21" s="39" t="str">
        <f t="shared" si="0"/>
        <v>insert into ins_premium_det (premium_rcv_code,assorted_code, rec_amount,premium_rcv_detail_code,remaining_amt, payrec, mode_code,coinsurance_code,class_cd,it_remarks) values</v>
      </c>
      <c r="G21" s="40" t="str">
        <f t="shared" si="2"/>
        <v>('20Aug240117','070000158710','4692',(select max(to_number(i.premium_rcv_detail_code))+1
from ins_premium_det i),'4692','4692','02', '11000003','00','Request by Mr. Saqib Saleem 21-Aug-2024 sheet2');</v>
      </c>
      <c r="H21" s="41" t="str">
        <f t="shared" si="3"/>
        <v>insert into ins_premium_det (premium_rcv_code,assorted_code, rec_amount,premium_rcv_detail_code,remaining_amt, payrec, mode_code,coinsurance_code,class_cd,it_remarks) values('20Aug240117','070000158710','4692',(select max(to_number(i.premium_rcv_detail_code))+1
from ins_premium_det i),'4692','4692','02', '11000003','00','Request by Mr. Saqib Saleem 21-Aug-2024 sheet2');</v>
      </c>
    </row>
    <row r="22" spans="1:8" ht="105" x14ac:dyDescent="0.25">
      <c r="A22" s="17" t="s">
        <v>534</v>
      </c>
      <c r="B22" s="37" t="str">
        <f>VLOOKUP(A22,[2]Sheet1!$B$2:$C$83,2,0)</f>
        <v>070000158711</v>
      </c>
      <c r="C22" s="14">
        <v>13288</v>
      </c>
      <c r="D22" s="38">
        <f t="shared" si="1"/>
        <v>13288</v>
      </c>
      <c r="E22" s="36" t="s">
        <v>726</v>
      </c>
      <c r="F22" s="39" t="str">
        <f t="shared" si="0"/>
        <v>insert into ins_premium_det (premium_rcv_code,assorted_code, rec_amount,premium_rcv_detail_code,remaining_amt, payrec, mode_code,coinsurance_code,class_cd,it_remarks) values</v>
      </c>
      <c r="G22" s="40" t="str">
        <f t="shared" si="2"/>
        <v>('20Aug240117','070000158711','13288',(select max(to_number(i.premium_rcv_detail_code))+1
from ins_premium_det i),'13288','13288','02', '11000003','00','Request by Mr. Saqib Saleem 21-Aug-2024 sheet2');</v>
      </c>
      <c r="H22" s="41" t="str">
        <f t="shared" si="3"/>
        <v>insert into ins_premium_det (premium_rcv_code,assorted_code, rec_amount,premium_rcv_detail_code,remaining_amt, payrec, mode_code,coinsurance_code,class_cd,it_remarks) values('20Aug240117','070000158711','13288',(select max(to_number(i.premium_rcv_detail_code))+1
from ins_premium_det i),'13288','13288','02', '11000003','00','Request by Mr. Saqib Saleem 21-Aug-2024 sheet2');</v>
      </c>
    </row>
    <row r="23" spans="1:8" ht="105" x14ac:dyDescent="0.25">
      <c r="A23" s="17" t="s">
        <v>535</v>
      </c>
      <c r="B23" s="37" t="str">
        <f>VLOOKUP(A23,[2]Sheet1!$B$2:$C$83,2,0)</f>
        <v>070000158720</v>
      </c>
      <c r="C23" s="14">
        <v>460</v>
      </c>
      <c r="D23" s="38">
        <f t="shared" si="1"/>
        <v>460</v>
      </c>
      <c r="E23" s="36" t="s">
        <v>726</v>
      </c>
      <c r="F23" s="39" t="str">
        <f t="shared" si="0"/>
        <v>insert into ins_premium_det (premium_rcv_code,assorted_code, rec_amount,premium_rcv_detail_code,remaining_amt, payrec, mode_code,coinsurance_code,class_cd,it_remarks) values</v>
      </c>
      <c r="G23" s="40" t="str">
        <f t="shared" si="2"/>
        <v>('20Aug240117','070000158720','460',(select max(to_number(i.premium_rcv_detail_code))+1
from ins_premium_det i),'460','460','02', '11000003','00','Request by Mr. Saqib Saleem 21-Aug-2024 sheet2');</v>
      </c>
      <c r="H23" s="41" t="str">
        <f t="shared" si="3"/>
        <v>insert into ins_premium_det (premium_rcv_code,assorted_code, rec_amount,premium_rcv_detail_code,remaining_amt, payrec, mode_code,coinsurance_code,class_cd,it_remarks) values('20Aug240117','070000158720','460',(select max(to_number(i.premium_rcv_detail_code))+1
from ins_premium_det i),'460','460','02', '11000003','00','Request by Mr. Saqib Saleem 21-Aug-2024 sheet2');</v>
      </c>
    </row>
    <row r="24" spans="1:8" ht="105" x14ac:dyDescent="0.25">
      <c r="A24" s="17" t="s">
        <v>536</v>
      </c>
      <c r="B24" s="37" t="str">
        <f>VLOOKUP(A24,[2]Sheet1!$B$2:$C$83,2,0)</f>
        <v>070000158721</v>
      </c>
      <c r="C24" s="14">
        <v>1893</v>
      </c>
      <c r="D24" s="38">
        <f t="shared" si="1"/>
        <v>1893</v>
      </c>
      <c r="E24" s="36" t="s">
        <v>726</v>
      </c>
      <c r="F24" s="39" t="str">
        <f t="shared" si="0"/>
        <v>insert into ins_premium_det (premium_rcv_code,assorted_code, rec_amount,premium_rcv_detail_code,remaining_amt, payrec, mode_code,coinsurance_code,class_cd,it_remarks) values</v>
      </c>
      <c r="G24" s="40" t="str">
        <f t="shared" si="2"/>
        <v>('20Aug240117','070000158721','1893',(select max(to_number(i.premium_rcv_detail_code))+1
from ins_premium_det i),'1893','1893','02', '11000003','00','Request by Mr. Saqib Saleem 21-Aug-2024 sheet2');</v>
      </c>
      <c r="H24" s="41" t="str">
        <f t="shared" si="3"/>
        <v>insert into ins_premium_det (premium_rcv_code,assorted_code, rec_amount,premium_rcv_detail_code,remaining_amt, payrec, mode_code,coinsurance_code,class_cd,it_remarks) values('20Aug240117','070000158721','1893',(select max(to_number(i.premium_rcv_detail_code))+1
from ins_premium_det i),'1893','1893','02', '11000003','00','Request by Mr. Saqib Saleem 21-Aug-2024 sheet2');</v>
      </c>
    </row>
    <row r="25" spans="1:8" ht="105" x14ac:dyDescent="0.25">
      <c r="A25" s="17" t="s">
        <v>537</v>
      </c>
      <c r="B25" s="37" t="str">
        <f>VLOOKUP(A25,[2]Sheet1!$B$2:$C$83,2,0)</f>
        <v>070000158724</v>
      </c>
      <c r="C25" s="14">
        <v>214</v>
      </c>
      <c r="D25" s="38">
        <f t="shared" si="1"/>
        <v>214</v>
      </c>
      <c r="E25" s="36" t="s">
        <v>726</v>
      </c>
      <c r="F25" s="39" t="str">
        <f t="shared" si="0"/>
        <v>insert into ins_premium_det (premium_rcv_code,assorted_code, rec_amount,premium_rcv_detail_code,remaining_amt, payrec, mode_code,coinsurance_code,class_cd,it_remarks) values</v>
      </c>
      <c r="G25" s="40" t="str">
        <f t="shared" si="2"/>
        <v>('20Aug240117','070000158724','214',(select max(to_number(i.premium_rcv_detail_code))+1
from ins_premium_det i),'214','214','02', '11000003','00','Request by Mr. Saqib Saleem 21-Aug-2024 sheet2');</v>
      </c>
      <c r="H25" s="41" t="str">
        <f t="shared" si="3"/>
        <v>insert into ins_premium_det (premium_rcv_code,assorted_code, rec_amount,premium_rcv_detail_code,remaining_amt, payrec, mode_code,coinsurance_code,class_cd,it_remarks) values('20Aug240117','070000158724','214',(select max(to_number(i.premium_rcv_detail_code))+1
from ins_premium_det i),'214','214','02', '11000003','00','Request by Mr. Saqib Saleem 21-Aug-2024 sheet2');</v>
      </c>
    </row>
    <row r="26" spans="1:8" ht="105" x14ac:dyDescent="0.25">
      <c r="A26" s="17" t="s">
        <v>538</v>
      </c>
      <c r="B26" s="37" t="str">
        <f>VLOOKUP(A26,[2]Sheet1!$B$2:$C$83,2,0)</f>
        <v>070000158730</v>
      </c>
      <c r="C26" s="14">
        <v>702</v>
      </c>
      <c r="D26" s="38">
        <f t="shared" si="1"/>
        <v>702</v>
      </c>
      <c r="E26" s="36" t="s">
        <v>726</v>
      </c>
      <c r="F26" s="39" t="str">
        <f t="shared" si="0"/>
        <v>insert into ins_premium_det (premium_rcv_code,assorted_code, rec_amount,premium_rcv_detail_code,remaining_amt, payrec, mode_code,coinsurance_code,class_cd,it_remarks) values</v>
      </c>
      <c r="G26" s="40" t="str">
        <f t="shared" si="2"/>
        <v>('20Aug240117','070000158730','702',(select max(to_number(i.premium_rcv_detail_code))+1
from ins_premium_det i),'702','702','02', '11000003','00','Request by Mr. Saqib Saleem 21-Aug-2024 sheet2');</v>
      </c>
      <c r="H26" s="41" t="str">
        <f t="shared" si="3"/>
        <v>insert into ins_premium_det (premium_rcv_code,assorted_code, rec_amount,premium_rcv_detail_code,remaining_amt, payrec, mode_code,coinsurance_code,class_cd,it_remarks) values('20Aug240117','070000158730','702',(select max(to_number(i.premium_rcv_detail_code))+1
from ins_premium_det i),'702','702','02', '11000003','00','Request by Mr. Saqib Saleem 21-Aug-2024 sheet2');</v>
      </c>
    </row>
    <row r="27" spans="1:8" ht="105" x14ac:dyDescent="0.25">
      <c r="A27" s="17" t="s">
        <v>539</v>
      </c>
      <c r="B27" s="37" t="str">
        <f>VLOOKUP(A27,[2]Sheet1!$B$2:$C$83,2,0)</f>
        <v>070000158731</v>
      </c>
      <c r="C27" s="14">
        <v>2646</v>
      </c>
      <c r="D27" s="38">
        <f t="shared" si="1"/>
        <v>2646</v>
      </c>
      <c r="E27" s="36" t="s">
        <v>726</v>
      </c>
      <c r="F27" s="39" t="str">
        <f t="shared" si="0"/>
        <v>insert into ins_premium_det (premium_rcv_code,assorted_code, rec_amount,premium_rcv_detail_code,remaining_amt, payrec, mode_code,coinsurance_code,class_cd,it_remarks) values</v>
      </c>
      <c r="G27" s="40" t="str">
        <f t="shared" si="2"/>
        <v>('20Aug240117','070000158731','2646',(select max(to_number(i.premium_rcv_detail_code))+1
from ins_premium_det i),'2646','2646','02', '11000003','00','Request by Mr. Saqib Saleem 21-Aug-2024 sheet2');</v>
      </c>
      <c r="H27" s="41" t="str">
        <f t="shared" si="3"/>
        <v>insert into ins_premium_det (premium_rcv_code,assorted_code, rec_amount,premium_rcv_detail_code,remaining_amt, payrec, mode_code,coinsurance_code,class_cd,it_remarks) values('20Aug240117','070000158731','2646',(select max(to_number(i.premium_rcv_detail_code))+1
from ins_premium_det i),'2646','2646','02', '11000003','00','Request by Mr. Saqib Saleem 21-Aug-2024 sheet2');</v>
      </c>
    </row>
    <row r="28" spans="1:8" ht="105" x14ac:dyDescent="0.25">
      <c r="A28" s="17" t="s">
        <v>540</v>
      </c>
      <c r="B28" s="37" t="str">
        <f>VLOOKUP(A28,[2]Sheet1!$B$2:$C$83,2,0)</f>
        <v>070000158733</v>
      </c>
      <c r="C28" s="14">
        <v>3204</v>
      </c>
      <c r="D28" s="38">
        <f t="shared" si="1"/>
        <v>3204</v>
      </c>
      <c r="E28" s="36" t="s">
        <v>726</v>
      </c>
      <c r="F28" s="39" t="str">
        <f t="shared" si="0"/>
        <v>insert into ins_premium_det (premium_rcv_code,assorted_code, rec_amount,premium_rcv_detail_code,remaining_amt, payrec, mode_code,coinsurance_code,class_cd,it_remarks) values</v>
      </c>
      <c r="G28" s="40" t="str">
        <f t="shared" si="2"/>
        <v>('20Aug240117','070000158733','3204',(select max(to_number(i.premium_rcv_detail_code))+1
from ins_premium_det i),'3204','3204','02', '11000003','00','Request by Mr. Saqib Saleem 21-Aug-2024 sheet2');</v>
      </c>
      <c r="H28" s="41" t="str">
        <f t="shared" si="3"/>
        <v>insert into ins_premium_det (premium_rcv_code,assorted_code, rec_amount,premium_rcv_detail_code,remaining_amt, payrec, mode_code,coinsurance_code,class_cd,it_remarks) values('20Aug240117','070000158733','3204',(select max(to_number(i.premium_rcv_detail_code))+1
from ins_premium_det i),'3204','3204','02', '11000003','00','Request by Mr. Saqib Saleem 21-Aug-2024 sheet2');</v>
      </c>
    </row>
    <row r="29" spans="1:8" ht="105" x14ac:dyDescent="0.25">
      <c r="A29" s="17" t="s">
        <v>541</v>
      </c>
      <c r="B29" s="37" t="str">
        <f>VLOOKUP(A29,[2]Sheet1!$B$2:$C$83,2,0)</f>
        <v>070000158734</v>
      </c>
      <c r="C29" s="14">
        <v>960</v>
      </c>
      <c r="D29" s="38">
        <f t="shared" si="1"/>
        <v>960</v>
      </c>
      <c r="E29" s="36" t="s">
        <v>726</v>
      </c>
      <c r="F29" s="39" t="str">
        <f t="shared" si="0"/>
        <v>insert into ins_premium_det (premium_rcv_code,assorted_code, rec_amount,premium_rcv_detail_code,remaining_amt, payrec, mode_code,coinsurance_code,class_cd,it_remarks) values</v>
      </c>
      <c r="G29" s="40" t="str">
        <f t="shared" si="2"/>
        <v>('20Aug240117','070000158734','960',(select max(to_number(i.premium_rcv_detail_code))+1
from ins_premium_det i),'960','960','02', '11000003','00','Request by Mr. Saqib Saleem 21-Aug-2024 sheet2');</v>
      </c>
      <c r="H29" s="41" t="str">
        <f t="shared" si="3"/>
        <v>insert into ins_premium_det (premium_rcv_code,assorted_code, rec_amount,premium_rcv_detail_code,remaining_amt, payrec, mode_code,coinsurance_code,class_cd,it_remarks) values('20Aug240117','070000158734','960',(select max(to_number(i.premium_rcv_detail_code))+1
from ins_premium_det i),'960','960','02', '11000003','00','Request by Mr. Saqib Saleem 21-Aug-2024 sheet2');</v>
      </c>
    </row>
    <row r="30" spans="1:8" ht="105" x14ac:dyDescent="0.25">
      <c r="A30" s="17" t="s">
        <v>542</v>
      </c>
      <c r="B30" s="37" t="str">
        <f>VLOOKUP(A30,[2]Sheet1!$B$2:$C$83,2,0)</f>
        <v>070000158735</v>
      </c>
      <c r="C30" s="14">
        <v>12938</v>
      </c>
      <c r="D30" s="38">
        <f t="shared" si="1"/>
        <v>12938</v>
      </c>
      <c r="E30" s="36" t="s">
        <v>726</v>
      </c>
      <c r="F30" s="39" t="str">
        <f t="shared" si="0"/>
        <v>insert into ins_premium_det (premium_rcv_code,assorted_code, rec_amount,premium_rcv_detail_code,remaining_amt, payrec, mode_code,coinsurance_code,class_cd,it_remarks) values</v>
      </c>
      <c r="G30" s="40" t="str">
        <f t="shared" si="2"/>
        <v>('20Aug240117','070000158735','12938',(select max(to_number(i.premium_rcv_detail_code))+1
from ins_premium_det i),'12938','12938','02', '11000003','00','Request by Mr. Saqib Saleem 21-Aug-2024 sheet2');</v>
      </c>
      <c r="H30" s="41" t="str">
        <f t="shared" si="3"/>
        <v>insert into ins_premium_det (premium_rcv_code,assorted_code, rec_amount,premium_rcv_detail_code,remaining_amt, payrec, mode_code,coinsurance_code,class_cd,it_remarks) values('20Aug240117','070000158735','12938',(select max(to_number(i.premium_rcv_detail_code))+1
from ins_premium_det i),'12938','12938','02', '11000003','00','Request by Mr. Saqib Saleem 21-Aug-2024 sheet2');</v>
      </c>
    </row>
    <row r="31" spans="1:8" ht="105" x14ac:dyDescent="0.25">
      <c r="A31" s="17" t="s">
        <v>543</v>
      </c>
      <c r="B31" s="37" t="str">
        <f>VLOOKUP(A31,[2]Sheet1!$B$2:$C$83,2,0)</f>
        <v>070000158738</v>
      </c>
      <c r="C31" s="14">
        <v>2632</v>
      </c>
      <c r="D31" s="38">
        <f t="shared" si="1"/>
        <v>2632</v>
      </c>
      <c r="E31" s="36" t="s">
        <v>726</v>
      </c>
      <c r="F31" s="39" t="str">
        <f t="shared" si="0"/>
        <v>insert into ins_premium_det (premium_rcv_code,assorted_code, rec_amount,premium_rcv_detail_code,remaining_amt, payrec, mode_code,coinsurance_code,class_cd,it_remarks) values</v>
      </c>
      <c r="G31" s="40" t="str">
        <f t="shared" si="2"/>
        <v>('20Aug240117','070000158738','2632',(select max(to_number(i.premium_rcv_detail_code))+1
from ins_premium_det i),'2632','2632','02', '11000003','00','Request by Mr. Saqib Saleem 21-Aug-2024 sheet2');</v>
      </c>
      <c r="H31" s="41" t="str">
        <f t="shared" si="3"/>
        <v>insert into ins_premium_det (premium_rcv_code,assorted_code, rec_amount,premium_rcv_detail_code,remaining_amt, payrec, mode_code,coinsurance_code,class_cd,it_remarks) values('20Aug240117','070000158738','2632',(select max(to_number(i.premium_rcv_detail_code))+1
from ins_premium_det i),'2632','2632','02', '11000003','00','Request by Mr. Saqib Saleem 21-Aug-2024 sheet2');</v>
      </c>
    </row>
    <row r="32" spans="1:8" ht="105" x14ac:dyDescent="0.25">
      <c r="A32" s="17" t="s">
        <v>544</v>
      </c>
      <c r="B32" s="37" t="str">
        <f>VLOOKUP(A32,[2]Sheet1!$B$2:$C$83,2,0)</f>
        <v>070000158739</v>
      </c>
      <c r="C32" s="14">
        <v>1731</v>
      </c>
      <c r="D32" s="38">
        <f t="shared" si="1"/>
        <v>1731</v>
      </c>
      <c r="E32" s="36" t="s">
        <v>726</v>
      </c>
      <c r="F32" s="39" t="str">
        <f t="shared" si="0"/>
        <v>insert into ins_premium_det (premium_rcv_code,assorted_code, rec_amount,premium_rcv_detail_code,remaining_amt, payrec, mode_code,coinsurance_code,class_cd,it_remarks) values</v>
      </c>
      <c r="G32" s="40" t="str">
        <f t="shared" si="2"/>
        <v>('20Aug240117','070000158739','1731',(select max(to_number(i.premium_rcv_detail_code))+1
from ins_premium_det i),'1731','1731','02', '11000003','00','Request by Mr. Saqib Saleem 21-Aug-2024 sheet2');</v>
      </c>
      <c r="H32" s="41" t="str">
        <f t="shared" si="3"/>
        <v>insert into ins_premium_det (premium_rcv_code,assorted_code, rec_amount,premium_rcv_detail_code,remaining_amt, payrec, mode_code,coinsurance_code,class_cd,it_remarks) values('20Aug240117','070000158739','1731',(select max(to_number(i.premium_rcv_detail_code))+1
from ins_premium_det i),'1731','1731','02', '11000003','00','Request by Mr. Saqib Saleem 21-Aug-2024 sheet2');</v>
      </c>
    </row>
    <row r="33" spans="1:8" ht="105" x14ac:dyDescent="0.25">
      <c r="A33" s="17" t="s">
        <v>545</v>
      </c>
      <c r="B33" s="37" t="str">
        <f>VLOOKUP(A33,[2]Sheet1!$B$2:$C$83,2,0)</f>
        <v>070000158740</v>
      </c>
      <c r="C33" s="14">
        <v>2499</v>
      </c>
      <c r="D33" s="38">
        <f t="shared" si="1"/>
        <v>2499</v>
      </c>
      <c r="E33" s="36" t="s">
        <v>726</v>
      </c>
      <c r="F33" s="39" t="str">
        <f t="shared" si="0"/>
        <v>insert into ins_premium_det (premium_rcv_code,assorted_code, rec_amount,premium_rcv_detail_code,remaining_amt, payrec, mode_code,coinsurance_code,class_cd,it_remarks) values</v>
      </c>
      <c r="G33" s="40" t="str">
        <f t="shared" si="2"/>
        <v>('20Aug240117','070000158740','2499',(select max(to_number(i.premium_rcv_detail_code))+1
from ins_premium_det i),'2499','2499','02', '11000003','00','Request by Mr. Saqib Saleem 21-Aug-2024 sheet2');</v>
      </c>
      <c r="H33" s="41" t="str">
        <f t="shared" si="3"/>
        <v>insert into ins_premium_det (premium_rcv_code,assorted_code, rec_amount,premium_rcv_detail_code,remaining_amt, payrec, mode_code,coinsurance_code,class_cd,it_remarks) values('20Aug240117','070000158740','2499',(select max(to_number(i.premium_rcv_detail_code))+1
from ins_premium_det i),'2499','2499','02', '11000003','00','Request by Mr. Saqib Saleem 21-Aug-2024 sheet2');</v>
      </c>
    </row>
    <row r="34" spans="1:8" ht="105" x14ac:dyDescent="0.25">
      <c r="A34" s="17" t="s">
        <v>546</v>
      </c>
      <c r="B34" s="37" t="str">
        <f>VLOOKUP(A34,[2]Sheet1!$B$2:$C$83,2,0)</f>
        <v>070000158749</v>
      </c>
      <c r="C34" s="14">
        <v>2979</v>
      </c>
      <c r="D34" s="38">
        <f t="shared" si="1"/>
        <v>2979</v>
      </c>
      <c r="E34" s="36" t="s">
        <v>726</v>
      </c>
      <c r="F34" s="39" t="str">
        <f t="shared" si="0"/>
        <v>insert into ins_premium_det (premium_rcv_code,assorted_code, rec_amount,premium_rcv_detail_code,remaining_amt, payrec, mode_code,coinsurance_code,class_cd,it_remarks) values</v>
      </c>
      <c r="G34" s="40" t="str">
        <f t="shared" si="2"/>
        <v>('20Aug240117','070000158749','2979',(select max(to_number(i.premium_rcv_detail_code))+1
from ins_premium_det i),'2979','2979','02', '11000003','00','Request by Mr. Saqib Saleem 21-Aug-2024 sheet2');</v>
      </c>
      <c r="H34" s="41" t="str">
        <f t="shared" si="3"/>
        <v>insert into ins_premium_det (premium_rcv_code,assorted_code, rec_amount,premium_rcv_detail_code,remaining_amt, payrec, mode_code,coinsurance_code,class_cd,it_remarks) values('20Aug240117','070000158749','2979',(select max(to_number(i.premium_rcv_detail_code))+1
from ins_premium_det i),'2979','2979','02', '11000003','00','Request by Mr. Saqib Saleem 21-Aug-2024 sheet2');</v>
      </c>
    </row>
    <row r="35" spans="1:8" ht="105" x14ac:dyDescent="0.25">
      <c r="A35" s="17" t="s">
        <v>547</v>
      </c>
      <c r="B35" s="37" t="str">
        <f>VLOOKUP(A35,[2]Sheet1!$B$2:$C$83,2,0)</f>
        <v>070000158787</v>
      </c>
      <c r="C35" s="14">
        <v>836</v>
      </c>
      <c r="D35" s="38">
        <f t="shared" si="1"/>
        <v>836</v>
      </c>
      <c r="E35" s="36" t="s">
        <v>726</v>
      </c>
      <c r="F35" s="39" t="str">
        <f t="shared" si="0"/>
        <v>insert into ins_premium_det (premium_rcv_code,assorted_code, rec_amount,premium_rcv_detail_code,remaining_amt, payrec, mode_code,coinsurance_code,class_cd,it_remarks) values</v>
      </c>
      <c r="G35" s="40" t="str">
        <f t="shared" si="2"/>
        <v>('20Aug240117','070000158787','836',(select max(to_number(i.premium_rcv_detail_code))+1
from ins_premium_det i),'836','836','02', '11000003','00','Request by Mr. Saqib Saleem 21-Aug-2024 sheet2');</v>
      </c>
      <c r="H35" s="41" t="str">
        <f t="shared" si="3"/>
        <v>insert into ins_premium_det (premium_rcv_code,assorted_code, rec_amount,premium_rcv_detail_code,remaining_amt, payrec, mode_code,coinsurance_code,class_cd,it_remarks) values('20Aug240117','070000158787','836',(select max(to_number(i.premium_rcv_detail_code))+1
from ins_premium_det i),'836','836','02', '11000003','00','Request by Mr. Saqib Saleem 21-Aug-2024 sheet2');</v>
      </c>
    </row>
    <row r="36" spans="1:8" ht="105" x14ac:dyDescent="0.25">
      <c r="A36" s="17" t="s">
        <v>548</v>
      </c>
      <c r="B36" s="37" t="str">
        <f>VLOOKUP(A36,[2]Sheet1!$B$2:$C$83,2,0)</f>
        <v>070000158791</v>
      </c>
      <c r="C36" s="14">
        <v>8988</v>
      </c>
      <c r="D36" s="38">
        <f t="shared" si="1"/>
        <v>8988</v>
      </c>
      <c r="E36" s="36" t="s">
        <v>726</v>
      </c>
      <c r="F36" s="39" t="str">
        <f t="shared" si="0"/>
        <v>insert into ins_premium_det (premium_rcv_code,assorted_code, rec_amount,premium_rcv_detail_code,remaining_amt, payrec, mode_code,coinsurance_code,class_cd,it_remarks) values</v>
      </c>
      <c r="G36" s="40" t="str">
        <f t="shared" si="2"/>
        <v>('20Aug240117','070000158791','8988',(select max(to_number(i.premium_rcv_detail_code))+1
from ins_premium_det i),'8988','8988','02', '11000003','00','Request by Mr. Saqib Saleem 21-Aug-2024 sheet2');</v>
      </c>
      <c r="H36" s="41" t="str">
        <f t="shared" si="3"/>
        <v>insert into ins_premium_det (premium_rcv_code,assorted_code, rec_amount,premium_rcv_detail_code,remaining_amt, payrec, mode_code,coinsurance_code,class_cd,it_remarks) values('20Aug240117','070000158791','8988',(select max(to_number(i.premium_rcv_detail_code))+1
from ins_premium_det i),'8988','8988','02', '11000003','00','Request by Mr. Saqib Saleem 21-Aug-2024 sheet2');</v>
      </c>
    </row>
    <row r="37" spans="1:8" ht="105" x14ac:dyDescent="0.25">
      <c r="A37" s="17" t="s">
        <v>549</v>
      </c>
      <c r="B37" s="37" t="str">
        <f>VLOOKUP(A37,[2]Sheet1!$B$2:$C$83,2,0)</f>
        <v>070000158792</v>
      </c>
      <c r="C37" s="14">
        <v>3032</v>
      </c>
      <c r="D37" s="38">
        <f t="shared" si="1"/>
        <v>3032</v>
      </c>
      <c r="E37" s="36" t="s">
        <v>726</v>
      </c>
      <c r="F37" s="39" t="str">
        <f t="shared" si="0"/>
        <v>insert into ins_premium_det (premium_rcv_code,assorted_code, rec_amount,premium_rcv_detail_code,remaining_amt, payrec, mode_code,coinsurance_code,class_cd,it_remarks) values</v>
      </c>
      <c r="G37" s="40" t="str">
        <f t="shared" si="2"/>
        <v>('20Aug240117','070000158792','3032',(select max(to_number(i.premium_rcv_detail_code))+1
from ins_premium_det i),'3032','3032','02', '11000003','00','Request by Mr. Saqib Saleem 21-Aug-2024 sheet2');</v>
      </c>
      <c r="H37" s="41" t="str">
        <f t="shared" si="3"/>
        <v>insert into ins_premium_det (premium_rcv_code,assorted_code, rec_amount,premium_rcv_detail_code,remaining_amt, payrec, mode_code,coinsurance_code,class_cd,it_remarks) values('20Aug240117','070000158792','3032',(select max(to_number(i.premium_rcv_detail_code))+1
from ins_premium_det i),'3032','3032','02', '11000003','00','Request by Mr. Saqib Saleem 21-Aug-2024 sheet2');</v>
      </c>
    </row>
    <row r="38" spans="1:8" ht="105" x14ac:dyDescent="0.25">
      <c r="A38" s="17" t="s">
        <v>550</v>
      </c>
      <c r="B38" s="37" t="str">
        <f>VLOOKUP(A38,[2]Sheet1!$B$2:$C$83,2,0)</f>
        <v>070000158793</v>
      </c>
      <c r="C38" s="14">
        <v>5704</v>
      </c>
      <c r="D38" s="38">
        <f t="shared" si="1"/>
        <v>5704</v>
      </c>
      <c r="E38" s="36" t="s">
        <v>726</v>
      </c>
      <c r="F38" s="39" t="str">
        <f t="shared" si="0"/>
        <v>insert into ins_premium_det (premium_rcv_code,assorted_code, rec_amount,premium_rcv_detail_code,remaining_amt, payrec, mode_code,coinsurance_code,class_cd,it_remarks) values</v>
      </c>
      <c r="G38" s="40" t="str">
        <f t="shared" si="2"/>
        <v>('20Aug240117','070000158793','5704',(select max(to_number(i.premium_rcv_detail_code))+1
from ins_premium_det i),'5704','5704','02', '11000003','00','Request by Mr. Saqib Saleem 21-Aug-2024 sheet2');</v>
      </c>
      <c r="H38" s="41" t="str">
        <f t="shared" si="3"/>
        <v>insert into ins_premium_det (premium_rcv_code,assorted_code, rec_amount,premium_rcv_detail_code,remaining_amt, payrec, mode_code,coinsurance_code,class_cd,it_remarks) values('20Aug240117','070000158793','5704',(select max(to_number(i.premium_rcv_detail_code))+1
from ins_premium_det i),'5704','5704','02', '11000003','00','Request by Mr. Saqib Saleem 21-Aug-2024 sheet2');</v>
      </c>
    </row>
    <row r="39" spans="1:8" ht="105" x14ac:dyDescent="0.25">
      <c r="A39" s="17" t="s">
        <v>551</v>
      </c>
      <c r="B39" s="37" t="str">
        <f>VLOOKUP(A39,[2]Sheet1!$B$2:$C$83,2,0)</f>
        <v>070000158794</v>
      </c>
      <c r="C39" s="14">
        <v>4416</v>
      </c>
      <c r="D39" s="38">
        <f t="shared" si="1"/>
        <v>4416</v>
      </c>
      <c r="E39" s="36" t="s">
        <v>726</v>
      </c>
      <c r="F39" s="39" t="str">
        <f t="shared" si="0"/>
        <v>insert into ins_premium_det (premium_rcv_code,assorted_code, rec_amount,premium_rcv_detail_code,remaining_amt, payrec, mode_code,coinsurance_code,class_cd,it_remarks) values</v>
      </c>
      <c r="G39" s="40" t="str">
        <f t="shared" si="2"/>
        <v>('20Aug240117','070000158794','4416',(select max(to_number(i.premium_rcv_detail_code))+1
from ins_premium_det i),'4416','4416','02', '11000003','00','Request by Mr. Saqib Saleem 21-Aug-2024 sheet2');</v>
      </c>
      <c r="H39" s="41" t="str">
        <f t="shared" si="3"/>
        <v>insert into ins_premium_det (premium_rcv_code,assorted_code, rec_amount,premium_rcv_detail_code,remaining_amt, payrec, mode_code,coinsurance_code,class_cd,it_remarks) values('20Aug240117','070000158794','4416',(select max(to_number(i.premium_rcv_detail_code))+1
from ins_premium_det i),'4416','4416','02', '11000003','00','Request by Mr. Saqib Saleem 21-Aug-2024 sheet2');</v>
      </c>
    </row>
    <row r="40" spans="1:8" ht="105" x14ac:dyDescent="0.25">
      <c r="A40" s="17" t="s">
        <v>552</v>
      </c>
      <c r="B40" s="37" t="str">
        <f>VLOOKUP(A40,[2]Sheet1!$B$2:$C$83,2,0)</f>
        <v>070000158795</v>
      </c>
      <c r="C40" s="14">
        <v>442</v>
      </c>
      <c r="D40" s="38">
        <f t="shared" si="1"/>
        <v>442</v>
      </c>
      <c r="E40" s="36" t="s">
        <v>726</v>
      </c>
      <c r="F40" s="39" t="str">
        <f t="shared" si="0"/>
        <v>insert into ins_premium_det (premium_rcv_code,assorted_code, rec_amount,premium_rcv_detail_code,remaining_amt, payrec, mode_code,coinsurance_code,class_cd,it_remarks) values</v>
      </c>
      <c r="G40" s="40" t="str">
        <f t="shared" si="2"/>
        <v>('20Aug240117','070000158795','442',(select max(to_number(i.premium_rcv_detail_code))+1
from ins_premium_det i),'442','442','02', '11000003','00','Request by Mr. Saqib Saleem 21-Aug-2024 sheet2');</v>
      </c>
      <c r="H40" s="41" t="str">
        <f t="shared" si="3"/>
        <v>insert into ins_premium_det (premium_rcv_code,assorted_code, rec_amount,premium_rcv_detail_code,remaining_amt, payrec, mode_code,coinsurance_code,class_cd,it_remarks) values('20Aug240117','070000158795','442',(select max(to_number(i.premium_rcv_detail_code))+1
from ins_premium_det i),'442','442','02', '11000003','00','Request by Mr. Saqib Saleem 21-Aug-2024 sheet2');</v>
      </c>
    </row>
    <row r="41" spans="1:8" ht="105" x14ac:dyDescent="0.25">
      <c r="A41" s="17" t="s">
        <v>553</v>
      </c>
      <c r="B41" s="37" t="str">
        <f>VLOOKUP(A41,[2]Sheet1!$B$2:$C$83,2,0)</f>
        <v>070000158796</v>
      </c>
      <c r="C41" s="14">
        <v>1559</v>
      </c>
      <c r="D41" s="38">
        <f t="shared" si="1"/>
        <v>1559</v>
      </c>
      <c r="E41" s="36" t="s">
        <v>726</v>
      </c>
      <c r="F41" s="39" t="str">
        <f t="shared" si="0"/>
        <v>insert into ins_premium_det (premium_rcv_code,assorted_code, rec_amount,premium_rcv_detail_code,remaining_amt, payrec, mode_code,coinsurance_code,class_cd,it_remarks) values</v>
      </c>
      <c r="G41" s="40" t="str">
        <f t="shared" si="2"/>
        <v>('20Aug240117','070000158796','1559',(select max(to_number(i.premium_rcv_detail_code))+1
from ins_premium_det i),'1559','1559','02', '11000003','00','Request by Mr. Saqib Saleem 21-Aug-2024 sheet2');</v>
      </c>
      <c r="H41" s="41" t="str">
        <f t="shared" si="3"/>
        <v>insert into ins_premium_det (premium_rcv_code,assorted_code, rec_amount,premium_rcv_detail_code,remaining_amt, payrec, mode_code,coinsurance_code,class_cd,it_remarks) values('20Aug240117','070000158796','1559',(select max(to_number(i.premium_rcv_detail_code))+1
from ins_premium_det i),'1559','1559','02', '11000003','00','Request by Mr. Saqib Saleem 21-Aug-2024 sheet2');</v>
      </c>
    </row>
    <row r="42" spans="1:8" ht="105" x14ac:dyDescent="0.25">
      <c r="A42" s="17" t="s">
        <v>554</v>
      </c>
      <c r="B42" s="37" t="str">
        <f>VLOOKUP(A42,[2]Sheet1!$B$2:$C$83,2,0)</f>
        <v>070000158828</v>
      </c>
      <c r="C42" s="14">
        <v>856</v>
      </c>
      <c r="D42" s="38">
        <f t="shared" si="1"/>
        <v>856</v>
      </c>
      <c r="E42" s="36" t="s">
        <v>726</v>
      </c>
      <c r="F42" s="39" t="str">
        <f t="shared" si="0"/>
        <v>insert into ins_premium_det (premium_rcv_code,assorted_code, rec_amount,premium_rcv_detail_code,remaining_amt, payrec, mode_code,coinsurance_code,class_cd,it_remarks) values</v>
      </c>
      <c r="G42" s="40" t="str">
        <f t="shared" si="2"/>
        <v>('20Aug240117','070000158828','856',(select max(to_number(i.premium_rcv_detail_code))+1
from ins_premium_det i),'856','856','02', '11000003','00','Request by Mr. Saqib Saleem 21-Aug-2024 sheet2');</v>
      </c>
      <c r="H42" s="41" t="str">
        <f t="shared" si="3"/>
        <v>insert into ins_premium_det (premium_rcv_code,assorted_code, rec_amount,premium_rcv_detail_code,remaining_amt, payrec, mode_code,coinsurance_code,class_cd,it_remarks) values('20Aug240117','070000158828','856',(select max(to_number(i.premium_rcv_detail_code))+1
from ins_premium_det i),'856','856','02', '11000003','00','Request by Mr. Saqib Saleem 21-Aug-2024 sheet2');</v>
      </c>
    </row>
    <row r="43" spans="1:8" ht="105" x14ac:dyDescent="0.25">
      <c r="A43" s="17" t="s">
        <v>555</v>
      </c>
      <c r="B43" s="37" t="str">
        <f>VLOOKUP(A43,[2]Sheet1!$B$2:$C$83,2,0)</f>
        <v>070000158829</v>
      </c>
      <c r="C43" s="14">
        <v>3143</v>
      </c>
      <c r="D43" s="38">
        <f t="shared" si="1"/>
        <v>3143</v>
      </c>
      <c r="E43" s="36" t="s">
        <v>726</v>
      </c>
      <c r="F43" s="39" t="str">
        <f t="shared" si="0"/>
        <v>insert into ins_premium_det (premium_rcv_code,assorted_code, rec_amount,premium_rcv_detail_code,remaining_amt, payrec, mode_code,coinsurance_code,class_cd,it_remarks) values</v>
      </c>
      <c r="G43" s="40" t="str">
        <f t="shared" si="2"/>
        <v>('20Aug240117','070000158829','3143',(select max(to_number(i.premium_rcv_detail_code))+1
from ins_premium_det i),'3143','3143','02', '11000003','00','Request by Mr. Saqib Saleem 21-Aug-2024 sheet2');</v>
      </c>
      <c r="H43" s="41" t="str">
        <f t="shared" si="3"/>
        <v>insert into ins_premium_det (premium_rcv_code,assorted_code, rec_amount,premium_rcv_detail_code,remaining_amt, payrec, mode_code,coinsurance_code,class_cd,it_remarks) values('20Aug240117','070000158829','3143',(select max(to_number(i.premium_rcv_detail_code))+1
from ins_premium_det i),'3143','3143','02', '11000003','00','Request by Mr. Saqib Saleem 21-Aug-2024 sheet2');</v>
      </c>
    </row>
    <row r="44" spans="1:8" ht="105" x14ac:dyDescent="0.25">
      <c r="A44" s="17" t="s">
        <v>556</v>
      </c>
      <c r="B44" s="37" t="str">
        <f>VLOOKUP(A44,[2]Sheet1!$B$2:$C$83,2,0)</f>
        <v>070000158830</v>
      </c>
      <c r="C44" s="14">
        <v>445</v>
      </c>
      <c r="D44" s="38">
        <f t="shared" si="1"/>
        <v>445</v>
      </c>
      <c r="E44" s="36" t="s">
        <v>726</v>
      </c>
      <c r="F44" s="39" t="str">
        <f t="shared" si="0"/>
        <v>insert into ins_premium_det (premium_rcv_code,assorted_code, rec_amount,premium_rcv_detail_code,remaining_amt, payrec, mode_code,coinsurance_code,class_cd,it_remarks) values</v>
      </c>
      <c r="G44" s="40" t="str">
        <f t="shared" si="2"/>
        <v>('20Aug240117','070000158830','445',(select max(to_number(i.premium_rcv_detail_code))+1
from ins_premium_det i),'445','445','02', '11000003','00','Request by Mr. Saqib Saleem 21-Aug-2024 sheet2');</v>
      </c>
      <c r="H44" s="41" t="str">
        <f t="shared" si="3"/>
        <v>insert into ins_premium_det (premium_rcv_code,assorted_code, rec_amount,premium_rcv_detail_code,remaining_amt, payrec, mode_code,coinsurance_code,class_cd,it_remarks) values('20Aug240117','070000158830','445',(select max(to_number(i.premium_rcv_detail_code))+1
from ins_premium_det i),'445','445','02', '11000003','00','Request by Mr. Saqib Saleem 21-Aug-2024 sheet2');</v>
      </c>
    </row>
    <row r="45" spans="1:8" ht="105" x14ac:dyDescent="0.25">
      <c r="A45" s="17" t="s">
        <v>557</v>
      </c>
      <c r="B45" s="37" t="str">
        <f>VLOOKUP(A45,[2]Sheet1!$B$2:$C$83,2,0)</f>
        <v>070000158832</v>
      </c>
      <c r="C45" s="14">
        <v>818</v>
      </c>
      <c r="D45" s="38">
        <f t="shared" si="1"/>
        <v>818</v>
      </c>
      <c r="E45" s="36" t="s">
        <v>726</v>
      </c>
      <c r="F45" s="39" t="str">
        <f t="shared" si="0"/>
        <v>insert into ins_premium_det (premium_rcv_code,assorted_code, rec_amount,premium_rcv_detail_code,remaining_amt, payrec, mode_code,coinsurance_code,class_cd,it_remarks) values</v>
      </c>
      <c r="G45" s="40" t="str">
        <f t="shared" si="2"/>
        <v>('20Aug240117','070000158832','818',(select max(to_number(i.premium_rcv_detail_code))+1
from ins_premium_det i),'818','818','02', '11000003','00','Request by Mr. Saqib Saleem 21-Aug-2024 sheet2');</v>
      </c>
      <c r="H45" s="41" t="str">
        <f t="shared" si="3"/>
        <v>insert into ins_premium_det (premium_rcv_code,assorted_code, rec_amount,premium_rcv_detail_code,remaining_amt, payrec, mode_code,coinsurance_code,class_cd,it_remarks) values('20Aug240117','070000158832','818',(select max(to_number(i.premium_rcv_detail_code))+1
from ins_premium_det i),'818','818','02', '11000003','00','Request by Mr. Saqib Saleem 21-Aug-2024 sheet2');</v>
      </c>
    </row>
    <row r="46" spans="1:8" ht="105" x14ac:dyDescent="0.25">
      <c r="A46" s="17" t="s">
        <v>558</v>
      </c>
      <c r="B46" s="37" t="str">
        <f>VLOOKUP(A46,[2]Sheet1!$B$2:$C$83,2,0)</f>
        <v>070000158833</v>
      </c>
      <c r="C46" s="14">
        <v>502</v>
      </c>
      <c r="D46" s="38">
        <f t="shared" si="1"/>
        <v>502</v>
      </c>
      <c r="E46" s="36" t="s">
        <v>726</v>
      </c>
      <c r="F46" s="39" t="str">
        <f t="shared" si="0"/>
        <v>insert into ins_premium_det (premium_rcv_code,assorted_code, rec_amount,premium_rcv_detail_code,remaining_amt, payrec, mode_code,coinsurance_code,class_cd,it_remarks) values</v>
      </c>
      <c r="G46" s="40" t="str">
        <f t="shared" si="2"/>
        <v>('20Aug240117','070000158833','502',(select max(to_number(i.premium_rcv_detail_code))+1
from ins_premium_det i),'502','502','02', '11000003','00','Request by Mr. Saqib Saleem 21-Aug-2024 sheet2');</v>
      </c>
      <c r="H46" s="41" t="str">
        <f t="shared" si="3"/>
        <v>insert into ins_premium_det (premium_rcv_code,assorted_code, rec_amount,premium_rcv_detail_code,remaining_amt, payrec, mode_code,coinsurance_code,class_cd,it_remarks) values('20Aug240117','070000158833','502',(select max(to_number(i.premium_rcv_detail_code))+1
from ins_premium_det i),'502','502','02', '11000003','00','Request by Mr. Saqib Saleem 21-Aug-2024 sheet2');</v>
      </c>
    </row>
    <row r="47" spans="1:8" ht="105" x14ac:dyDescent="0.25">
      <c r="A47" s="17" t="s">
        <v>559</v>
      </c>
      <c r="B47" s="37" t="str">
        <f>VLOOKUP(A47,[2]Sheet1!$B$2:$C$83,2,0)</f>
        <v>070000159011</v>
      </c>
      <c r="C47" s="14">
        <v>540</v>
      </c>
      <c r="D47" s="38">
        <f t="shared" si="1"/>
        <v>540</v>
      </c>
      <c r="E47" s="36" t="s">
        <v>726</v>
      </c>
      <c r="F47" s="39" t="str">
        <f t="shared" si="0"/>
        <v>insert into ins_premium_det (premium_rcv_code,assorted_code, rec_amount,premium_rcv_detail_code,remaining_amt, payrec, mode_code,coinsurance_code,class_cd,it_remarks) values</v>
      </c>
      <c r="G47" s="40" t="str">
        <f t="shared" si="2"/>
        <v>('20Aug240117','070000159011','540',(select max(to_number(i.premium_rcv_detail_code))+1
from ins_premium_det i),'540','540','02', '11000003','00','Request by Mr. Saqib Saleem 21-Aug-2024 sheet2');</v>
      </c>
      <c r="H47" s="41" t="str">
        <f t="shared" si="3"/>
        <v>insert into ins_premium_det (premium_rcv_code,assorted_code, rec_amount,premium_rcv_detail_code,remaining_amt, payrec, mode_code,coinsurance_code,class_cd,it_remarks) values('20Aug240117','070000159011','540',(select max(to_number(i.premium_rcv_detail_code))+1
from ins_premium_det i),'540','540','02', '11000003','00','Request by Mr. Saqib Saleem 21-Aug-2024 sheet2');</v>
      </c>
    </row>
    <row r="48" spans="1:8" ht="105" x14ac:dyDescent="0.25">
      <c r="A48" s="17" t="s">
        <v>560</v>
      </c>
      <c r="B48" s="37" t="str">
        <f>VLOOKUP(A48,[2]Sheet1!$B$2:$C$83,2,0)</f>
        <v>070000159012</v>
      </c>
      <c r="C48" s="14">
        <v>5066</v>
      </c>
      <c r="D48" s="38">
        <f t="shared" si="1"/>
        <v>5066</v>
      </c>
      <c r="E48" s="36" t="s">
        <v>726</v>
      </c>
      <c r="F48" s="39" t="str">
        <f t="shared" si="0"/>
        <v>insert into ins_premium_det (premium_rcv_code,assorted_code, rec_amount,premium_rcv_detail_code,remaining_amt, payrec, mode_code,coinsurance_code,class_cd,it_remarks) values</v>
      </c>
      <c r="G48" s="40" t="str">
        <f t="shared" si="2"/>
        <v>('20Aug240117','070000159012','5066',(select max(to_number(i.premium_rcv_detail_code))+1
from ins_premium_det i),'5066','5066','02', '11000003','00','Request by Mr. Saqib Saleem 21-Aug-2024 sheet2');</v>
      </c>
      <c r="H48" s="41" t="str">
        <f t="shared" si="3"/>
        <v>insert into ins_premium_det (premium_rcv_code,assorted_code, rec_amount,premium_rcv_detail_code,remaining_amt, payrec, mode_code,coinsurance_code,class_cd,it_remarks) values('20Aug240117','070000159012','5066',(select max(to_number(i.premium_rcv_detail_code))+1
from ins_premium_det i),'5066','5066','02', '11000003','00','Request by Mr. Saqib Saleem 21-Aug-2024 sheet2');</v>
      </c>
    </row>
    <row r="49" spans="1:8" ht="105" x14ac:dyDescent="0.25">
      <c r="A49" s="17" t="s">
        <v>561</v>
      </c>
      <c r="B49" s="37" t="str">
        <f>VLOOKUP(A49,[2]Sheet1!$B$2:$C$83,2,0)</f>
        <v>070000159013</v>
      </c>
      <c r="C49" s="14">
        <v>1842</v>
      </c>
      <c r="D49" s="38">
        <f t="shared" si="1"/>
        <v>1842</v>
      </c>
      <c r="E49" s="36" t="s">
        <v>726</v>
      </c>
      <c r="F49" s="39" t="str">
        <f t="shared" si="0"/>
        <v>insert into ins_premium_det (premium_rcv_code,assorted_code, rec_amount,premium_rcv_detail_code,remaining_amt, payrec, mode_code,coinsurance_code,class_cd,it_remarks) values</v>
      </c>
      <c r="G49" s="40" t="str">
        <f t="shared" si="2"/>
        <v>('20Aug240117','070000159013','1842',(select max(to_number(i.premium_rcv_detail_code))+1
from ins_premium_det i),'1842','1842','02', '11000003','00','Request by Mr. Saqib Saleem 21-Aug-2024 sheet2');</v>
      </c>
      <c r="H49" s="41" t="str">
        <f t="shared" si="3"/>
        <v>insert into ins_premium_det (premium_rcv_code,assorted_code, rec_amount,premium_rcv_detail_code,remaining_amt, payrec, mode_code,coinsurance_code,class_cd,it_remarks) values('20Aug240117','070000159013','1842',(select max(to_number(i.premium_rcv_detail_code))+1
from ins_premium_det i),'1842','1842','02', '11000003','00','Request by Mr. Saqib Saleem 21-Aug-2024 sheet2');</v>
      </c>
    </row>
    <row r="50" spans="1:8" ht="105" x14ac:dyDescent="0.25">
      <c r="A50" s="17" t="s">
        <v>562</v>
      </c>
      <c r="B50" s="37" t="str">
        <f>VLOOKUP(A50,[2]Sheet1!$B$2:$C$83,2,0)</f>
        <v>070000159014</v>
      </c>
      <c r="C50" s="14">
        <v>200</v>
      </c>
      <c r="D50" s="38">
        <f t="shared" si="1"/>
        <v>200</v>
      </c>
      <c r="E50" s="36" t="s">
        <v>726</v>
      </c>
      <c r="F50" s="39" t="str">
        <f t="shared" si="0"/>
        <v>insert into ins_premium_det (premium_rcv_code,assorted_code, rec_amount,premium_rcv_detail_code,remaining_amt, payrec, mode_code,coinsurance_code,class_cd,it_remarks) values</v>
      </c>
      <c r="G50" s="40" t="str">
        <f t="shared" si="2"/>
        <v>('20Aug240117','070000159014','200',(select max(to_number(i.premium_rcv_detail_code))+1
from ins_premium_det i),'200','200','02', '11000003','00','Request by Mr. Saqib Saleem 21-Aug-2024 sheet2');</v>
      </c>
      <c r="H50" s="41" t="str">
        <f t="shared" si="3"/>
        <v>insert into ins_premium_det (premium_rcv_code,assorted_code, rec_amount,premium_rcv_detail_code,remaining_amt, payrec, mode_code,coinsurance_code,class_cd,it_remarks) values('20Aug240117','070000159014','200',(select max(to_number(i.premium_rcv_detail_code))+1
from ins_premium_det i),'200','200','02', '11000003','00','Request by Mr. Saqib Saleem 21-Aug-2024 sheet2');</v>
      </c>
    </row>
    <row r="51" spans="1:8" ht="105" x14ac:dyDescent="0.25">
      <c r="A51" s="17" t="s">
        <v>563</v>
      </c>
      <c r="B51" s="37" t="str">
        <f>VLOOKUP(A51,[2]Sheet1!$B$2:$C$83,2,0)</f>
        <v>070000159016</v>
      </c>
      <c r="C51" s="14">
        <v>1032</v>
      </c>
      <c r="D51" s="38">
        <f t="shared" si="1"/>
        <v>1032</v>
      </c>
      <c r="E51" s="36" t="s">
        <v>726</v>
      </c>
      <c r="F51" s="39" t="str">
        <f t="shared" si="0"/>
        <v>insert into ins_premium_det (premium_rcv_code,assorted_code, rec_amount,premium_rcv_detail_code,remaining_amt, payrec, mode_code,coinsurance_code,class_cd,it_remarks) values</v>
      </c>
      <c r="G51" s="40" t="str">
        <f t="shared" si="2"/>
        <v>('20Aug240117','070000159016','1032',(select max(to_number(i.premium_rcv_detail_code))+1
from ins_premium_det i),'1032','1032','02', '11000003','00','Request by Mr. Saqib Saleem 21-Aug-2024 sheet2');</v>
      </c>
      <c r="H51" s="41" t="str">
        <f t="shared" si="3"/>
        <v>insert into ins_premium_det (premium_rcv_code,assorted_code, rec_amount,premium_rcv_detail_code,remaining_amt, payrec, mode_code,coinsurance_code,class_cd,it_remarks) values('20Aug240117','070000159016','1032',(select max(to_number(i.premium_rcv_detail_code))+1
from ins_premium_det i),'1032','1032','02', '11000003','00','Request by Mr. Saqib Saleem 21-Aug-2024 sheet2');</v>
      </c>
    </row>
    <row r="52" spans="1:8" ht="105" x14ac:dyDescent="0.25">
      <c r="A52" s="17" t="s">
        <v>564</v>
      </c>
      <c r="B52" s="37" t="str">
        <f>VLOOKUP(A52,[2]Sheet1!$B$2:$C$83,2,0)</f>
        <v>070000159020</v>
      </c>
      <c r="C52" s="14">
        <v>11571</v>
      </c>
      <c r="D52" s="38">
        <f t="shared" si="1"/>
        <v>11571</v>
      </c>
      <c r="E52" s="36" t="s">
        <v>726</v>
      </c>
      <c r="F52" s="39" t="str">
        <f t="shared" si="0"/>
        <v>insert into ins_premium_det (premium_rcv_code,assorted_code, rec_amount,premium_rcv_detail_code,remaining_amt, payrec, mode_code,coinsurance_code,class_cd,it_remarks) values</v>
      </c>
      <c r="G52" s="40" t="str">
        <f t="shared" si="2"/>
        <v>('20Aug240117','070000159020','11571',(select max(to_number(i.premium_rcv_detail_code))+1
from ins_premium_det i),'11571','11571','02', '11000003','00','Request by Mr. Saqib Saleem 21-Aug-2024 sheet2');</v>
      </c>
      <c r="H52" s="41" t="str">
        <f t="shared" si="3"/>
        <v>insert into ins_premium_det (premium_rcv_code,assorted_code, rec_amount,premium_rcv_detail_code,remaining_amt, payrec, mode_code,coinsurance_code,class_cd,it_remarks) values('20Aug240117','070000159020','11571',(select max(to_number(i.premium_rcv_detail_code))+1
from ins_premium_det i),'11571','11571','02', '11000003','00','Request by Mr. Saqib Saleem 21-Aug-2024 sheet2');</v>
      </c>
    </row>
    <row r="53" spans="1:8" ht="105" x14ac:dyDescent="0.25">
      <c r="A53" s="17" t="s">
        <v>565</v>
      </c>
      <c r="B53" s="37" t="str">
        <f>VLOOKUP(A53,[2]Sheet1!$B$2:$C$83,2,0)</f>
        <v>070000159025</v>
      </c>
      <c r="C53" s="14">
        <v>636</v>
      </c>
      <c r="D53" s="38">
        <f t="shared" si="1"/>
        <v>636</v>
      </c>
      <c r="E53" s="36" t="s">
        <v>726</v>
      </c>
      <c r="F53" s="39" t="str">
        <f t="shared" si="0"/>
        <v>insert into ins_premium_det (premium_rcv_code,assorted_code, rec_amount,premium_rcv_detail_code,remaining_amt, payrec, mode_code,coinsurance_code,class_cd,it_remarks) values</v>
      </c>
      <c r="G53" s="40" t="str">
        <f t="shared" si="2"/>
        <v>('20Aug240117','070000159025','636',(select max(to_number(i.premium_rcv_detail_code))+1
from ins_premium_det i),'636','636','02', '11000003','00','Request by Mr. Saqib Saleem 21-Aug-2024 sheet2');</v>
      </c>
      <c r="H53" s="41" t="str">
        <f t="shared" si="3"/>
        <v>insert into ins_premium_det (premium_rcv_code,assorted_code, rec_amount,premium_rcv_detail_code,remaining_amt, payrec, mode_code,coinsurance_code,class_cd,it_remarks) values('20Aug240117','070000159025','636',(select max(to_number(i.premium_rcv_detail_code))+1
from ins_premium_det i),'636','636','02', '11000003','00','Request by Mr. Saqib Saleem 21-Aug-2024 sheet2');</v>
      </c>
    </row>
    <row r="54" spans="1:8" ht="105" x14ac:dyDescent="0.25">
      <c r="A54" s="17" t="s">
        <v>566</v>
      </c>
      <c r="B54" s="37" t="str">
        <f>VLOOKUP(A54,[2]Sheet1!$B$2:$C$83,2,0)</f>
        <v>070000159026</v>
      </c>
      <c r="C54" s="14">
        <v>4072</v>
      </c>
      <c r="D54" s="38">
        <f t="shared" si="1"/>
        <v>4072</v>
      </c>
      <c r="E54" s="36" t="s">
        <v>726</v>
      </c>
      <c r="F54" s="39" t="str">
        <f t="shared" si="0"/>
        <v>insert into ins_premium_det (premium_rcv_code,assorted_code, rec_amount,premium_rcv_detail_code,remaining_amt, payrec, mode_code,coinsurance_code,class_cd,it_remarks) values</v>
      </c>
      <c r="G54" s="40" t="str">
        <f t="shared" si="2"/>
        <v>('20Aug240117','070000159026','4072',(select max(to_number(i.premium_rcv_detail_code))+1
from ins_premium_det i),'4072','4072','02', '11000003','00','Request by Mr. Saqib Saleem 21-Aug-2024 sheet2');</v>
      </c>
      <c r="H54" s="41" t="str">
        <f t="shared" si="3"/>
        <v>insert into ins_premium_det (premium_rcv_code,assorted_code, rec_amount,premium_rcv_detail_code,remaining_amt, payrec, mode_code,coinsurance_code,class_cd,it_remarks) values('20Aug240117','070000159026','4072',(select max(to_number(i.premium_rcv_detail_code))+1
from ins_premium_det i),'4072','4072','02', '11000003','00','Request by Mr. Saqib Saleem 21-Aug-2024 sheet2');</v>
      </c>
    </row>
    <row r="55" spans="1:8" ht="105" x14ac:dyDescent="0.25">
      <c r="A55" s="17" t="s">
        <v>567</v>
      </c>
      <c r="B55" s="37" t="str">
        <f>VLOOKUP(A55,[2]Sheet1!$B$2:$C$83,2,0)</f>
        <v>070000159047</v>
      </c>
      <c r="C55" s="14">
        <v>488</v>
      </c>
      <c r="D55" s="38">
        <f t="shared" si="1"/>
        <v>488</v>
      </c>
      <c r="E55" s="36" t="s">
        <v>726</v>
      </c>
      <c r="F55" s="39" t="str">
        <f t="shared" si="0"/>
        <v>insert into ins_premium_det (premium_rcv_code,assorted_code, rec_amount,premium_rcv_detail_code,remaining_amt, payrec, mode_code,coinsurance_code,class_cd,it_remarks) values</v>
      </c>
      <c r="G55" s="40" t="str">
        <f t="shared" si="2"/>
        <v>('20Aug240117','070000159047','488',(select max(to_number(i.premium_rcv_detail_code))+1
from ins_premium_det i),'488','488','02', '11000003','00','Request by Mr. Saqib Saleem 21-Aug-2024 sheet2');</v>
      </c>
      <c r="H55" s="41" t="str">
        <f t="shared" si="3"/>
        <v>insert into ins_premium_det (premium_rcv_code,assorted_code, rec_amount,premium_rcv_detail_code,remaining_amt, payrec, mode_code,coinsurance_code,class_cd,it_remarks) values('20Aug240117','070000159047','488',(select max(to_number(i.premium_rcv_detail_code))+1
from ins_premium_det i),'488','488','02', '11000003','00','Request by Mr. Saqib Saleem 21-Aug-2024 sheet2');</v>
      </c>
    </row>
    <row r="56" spans="1:8" ht="105" x14ac:dyDescent="0.25">
      <c r="A56" s="17" t="s">
        <v>568</v>
      </c>
      <c r="B56" s="37" t="str">
        <f>VLOOKUP(A56,[2]Sheet1!$B$2:$C$83,2,0)</f>
        <v>070000159049</v>
      </c>
      <c r="C56" s="14">
        <v>2456</v>
      </c>
      <c r="D56" s="38">
        <f t="shared" si="1"/>
        <v>2456</v>
      </c>
      <c r="E56" s="36" t="s">
        <v>726</v>
      </c>
      <c r="F56" s="39" t="str">
        <f t="shared" si="0"/>
        <v>insert into ins_premium_det (premium_rcv_code,assorted_code, rec_amount,premium_rcv_detail_code,remaining_amt, payrec, mode_code,coinsurance_code,class_cd,it_remarks) values</v>
      </c>
      <c r="G56" s="40" t="str">
        <f t="shared" si="2"/>
        <v>('20Aug240117','070000159049','2456',(select max(to_number(i.premium_rcv_detail_code))+1
from ins_premium_det i),'2456','2456','02', '11000003','00','Request by Mr. Saqib Saleem 21-Aug-2024 sheet2');</v>
      </c>
      <c r="H56" s="41" t="str">
        <f t="shared" si="3"/>
        <v>insert into ins_premium_det (premium_rcv_code,assorted_code, rec_amount,premium_rcv_detail_code,remaining_amt, payrec, mode_code,coinsurance_code,class_cd,it_remarks) values('20Aug240117','070000159049','2456',(select max(to_number(i.premium_rcv_detail_code))+1
from ins_premium_det i),'2456','2456','02', '11000003','00','Request by Mr. Saqib Saleem 21-Aug-2024 sheet2');</v>
      </c>
    </row>
    <row r="57" spans="1:8" ht="105" x14ac:dyDescent="0.25">
      <c r="A57" s="17" t="s">
        <v>569</v>
      </c>
      <c r="B57" s="37" t="str">
        <f>VLOOKUP(A57,[2]Sheet1!$B$2:$C$83,2,0)</f>
        <v>070000159052</v>
      </c>
      <c r="C57" s="14">
        <v>3279</v>
      </c>
      <c r="D57" s="38">
        <f t="shared" si="1"/>
        <v>3279</v>
      </c>
      <c r="E57" s="36" t="s">
        <v>726</v>
      </c>
      <c r="F57" s="39" t="str">
        <f t="shared" si="0"/>
        <v>insert into ins_premium_det (premium_rcv_code,assorted_code, rec_amount,premium_rcv_detail_code,remaining_amt, payrec, mode_code,coinsurance_code,class_cd,it_remarks) values</v>
      </c>
      <c r="G57" s="40" t="str">
        <f t="shared" si="2"/>
        <v>('20Aug240117','070000159052','3279',(select max(to_number(i.premium_rcv_detail_code))+1
from ins_premium_det i),'3279','3279','02', '11000003','00','Request by Mr. Saqib Saleem 21-Aug-2024 sheet2');</v>
      </c>
      <c r="H57" s="41" t="str">
        <f t="shared" si="3"/>
        <v>insert into ins_premium_det (premium_rcv_code,assorted_code, rec_amount,premium_rcv_detail_code,remaining_amt, payrec, mode_code,coinsurance_code,class_cd,it_remarks) values('20Aug240117','070000159052','3279',(select max(to_number(i.premium_rcv_detail_code))+1
from ins_premium_det i),'3279','3279','02', '11000003','00','Request by Mr. Saqib Saleem 21-Aug-2024 sheet2');</v>
      </c>
    </row>
    <row r="58" spans="1:8" ht="105" x14ac:dyDescent="0.25">
      <c r="A58" s="17" t="s">
        <v>570</v>
      </c>
      <c r="B58" s="37" t="str">
        <f>VLOOKUP(A58,[2]Sheet1!$B$2:$C$83,2,0)</f>
        <v>070000159054</v>
      </c>
      <c r="C58" s="14">
        <v>2904</v>
      </c>
      <c r="D58" s="38">
        <f t="shared" si="1"/>
        <v>2904</v>
      </c>
      <c r="E58" s="36" t="s">
        <v>726</v>
      </c>
      <c r="F58" s="39" t="str">
        <f t="shared" si="0"/>
        <v>insert into ins_premium_det (premium_rcv_code,assorted_code, rec_amount,premium_rcv_detail_code,remaining_amt, payrec, mode_code,coinsurance_code,class_cd,it_remarks) values</v>
      </c>
      <c r="G58" s="40" t="str">
        <f t="shared" si="2"/>
        <v>('20Aug240117','070000159054','2904',(select max(to_number(i.premium_rcv_detail_code))+1
from ins_premium_det i),'2904','2904','02', '11000003','00','Request by Mr. Saqib Saleem 21-Aug-2024 sheet2');</v>
      </c>
      <c r="H58" s="41" t="str">
        <f t="shared" si="3"/>
        <v>insert into ins_premium_det (premium_rcv_code,assorted_code, rec_amount,premium_rcv_detail_code,remaining_amt, payrec, mode_code,coinsurance_code,class_cd,it_remarks) values('20Aug240117','070000159054','2904',(select max(to_number(i.premium_rcv_detail_code))+1
from ins_premium_det i),'2904','2904','02', '11000003','00','Request by Mr. Saqib Saleem 21-Aug-2024 sheet2');</v>
      </c>
    </row>
    <row r="59" spans="1:8" ht="105" x14ac:dyDescent="0.25">
      <c r="A59" s="17" t="s">
        <v>571</v>
      </c>
      <c r="B59" s="37" t="str">
        <f>VLOOKUP(A59,[2]Sheet1!$B$2:$C$83,2,0)</f>
        <v>070000159056</v>
      </c>
      <c r="C59" s="14">
        <v>2394</v>
      </c>
      <c r="D59" s="38">
        <f t="shared" si="1"/>
        <v>2394</v>
      </c>
      <c r="E59" s="36" t="s">
        <v>726</v>
      </c>
      <c r="F59" s="39" t="str">
        <f t="shared" si="0"/>
        <v>insert into ins_premium_det (premium_rcv_code,assorted_code, rec_amount,premium_rcv_detail_code,remaining_amt, payrec, mode_code,coinsurance_code,class_cd,it_remarks) values</v>
      </c>
      <c r="G59" s="40" t="str">
        <f t="shared" si="2"/>
        <v>('20Aug240117','070000159056','2394',(select max(to_number(i.premium_rcv_detail_code))+1
from ins_premium_det i),'2394','2394','02', '11000003','00','Request by Mr. Saqib Saleem 21-Aug-2024 sheet2');</v>
      </c>
      <c r="H59" s="41" t="str">
        <f t="shared" si="3"/>
        <v>insert into ins_premium_det (premium_rcv_code,assorted_code, rec_amount,premium_rcv_detail_code,remaining_amt, payrec, mode_code,coinsurance_code,class_cd,it_remarks) values('20Aug240117','070000159056','2394',(select max(to_number(i.premium_rcv_detail_code))+1
from ins_premium_det i),'2394','2394','02', '11000003','00','Request by Mr. Saqib Saleem 21-Aug-2024 sheet2');</v>
      </c>
    </row>
    <row r="60" spans="1:8" ht="105" x14ac:dyDescent="0.25">
      <c r="A60" s="17" t="s">
        <v>572</v>
      </c>
      <c r="B60" s="37" t="str">
        <f>VLOOKUP(A60,[2]Sheet1!$B$2:$C$83,2,0)</f>
        <v>070000159083</v>
      </c>
      <c r="C60" s="14">
        <v>10895</v>
      </c>
      <c r="D60" s="38">
        <f t="shared" si="1"/>
        <v>10895</v>
      </c>
      <c r="E60" s="36" t="s">
        <v>726</v>
      </c>
      <c r="F60" s="39" t="str">
        <f t="shared" si="0"/>
        <v>insert into ins_premium_det (premium_rcv_code,assorted_code, rec_amount,premium_rcv_detail_code,remaining_amt, payrec, mode_code,coinsurance_code,class_cd,it_remarks) values</v>
      </c>
      <c r="G60" s="40" t="str">
        <f t="shared" si="2"/>
        <v>('20Aug240117','070000159083','10895',(select max(to_number(i.premium_rcv_detail_code))+1
from ins_premium_det i),'10895','10895','02', '11000003','00','Request by Mr. Saqib Saleem 21-Aug-2024 sheet2');</v>
      </c>
      <c r="H60" s="41" t="str">
        <f t="shared" si="3"/>
        <v>insert into ins_premium_det (premium_rcv_code,assorted_code, rec_amount,premium_rcv_detail_code,remaining_amt, payrec, mode_code,coinsurance_code,class_cd,it_remarks) values('20Aug240117','070000159083','10895',(select max(to_number(i.premium_rcv_detail_code))+1
from ins_premium_det i),'10895','10895','02', '11000003','00','Request by Mr. Saqib Saleem 21-Aug-2024 sheet2');</v>
      </c>
    </row>
    <row r="61" spans="1:8" ht="105" x14ac:dyDescent="0.25">
      <c r="A61" s="17" t="s">
        <v>573</v>
      </c>
      <c r="B61" s="37" t="str">
        <f>VLOOKUP(A61,[2]Sheet1!$B$2:$C$83,2,0)</f>
        <v>070000159084</v>
      </c>
      <c r="C61" s="14">
        <v>4188</v>
      </c>
      <c r="D61" s="38">
        <f t="shared" si="1"/>
        <v>4188</v>
      </c>
      <c r="E61" s="36" t="s">
        <v>726</v>
      </c>
      <c r="F61" s="39" t="str">
        <f t="shared" si="0"/>
        <v>insert into ins_premium_det (premium_rcv_code,assorted_code, rec_amount,premium_rcv_detail_code,remaining_amt, payrec, mode_code,coinsurance_code,class_cd,it_remarks) values</v>
      </c>
      <c r="G61" s="40" t="str">
        <f t="shared" si="2"/>
        <v>('20Aug240117','070000159084','4188',(select max(to_number(i.premium_rcv_detail_code))+1
from ins_premium_det i),'4188','4188','02', '11000003','00','Request by Mr. Saqib Saleem 21-Aug-2024 sheet2');</v>
      </c>
      <c r="H61" s="41" t="str">
        <f t="shared" si="3"/>
        <v>insert into ins_premium_det (premium_rcv_code,assorted_code, rec_amount,premium_rcv_detail_code,remaining_amt, payrec, mode_code,coinsurance_code,class_cd,it_remarks) values('20Aug240117','070000159084','4188',(select max(to_number(i.premium_rcv_detail_code))+1
from ins_premium_det i),'4188','4188','02', '11000003','00','Request by Mr. Saqib Saleem 21-Aug-2024 sheet2');</v>
      </c>
    </row>
    <row r="62" spans="1:8" ht="105" x14ac:dyDescent="0.25">
      <c r="A62" s="17" t="s">
        <v>574</v>
      </c>
      <c r="B62" s="37" t="str">
        <f>VLOOKUP(A62,[2]Sheet1!$B$2:$C$83,2,0)</f>
        <v>070000159087</v>
      </c>
      <c r="C62" s="14">
        <v>5766</v>
      </c>
      <c r="D62" s="38">
        <f t="shared" si="1"/>
        <v>5766</v>
      </c>
      <c r="E62" s="36" t="s">
        <v>726</v>
      </c>
      <c r="F62" s="39" t="str">
        <f t="shared" si="0"/>
        <v>insert into ins_premium_det (premium_rcv_code,assorted_code, rec_amount,premium_rcv_detail_code,remaining_amt, payrec, mode_code,coinsurance_code,class_cd,it_remarks) values</v>
      </c>
      <c r="G62" s="40" t="str">
        <f t="shared" si="2"/>
        <v>('20Aug240117','070000159087','5766',(select max(to_number(i.premium_rcv_detail_code))+1
from ins_premium_det i),'5766','5766','02', '11000003','00','Request by Mr. Saqib Saleem 21-Aug-2024 sheet2');</v>
      </c>
      <c r="H62" s="41" t="str">
        <f t="shared" si="3"/>
        <v>insert into ins_premium_det (premium_rcv_code,assorted_code, rec_amount,premium_rcv_detail_code,remaining_amt, payrec, mode_code,coinsurance_code,class_cd,it_remarks) values('20Aug240117','070000159087','5766',(select max(to_number(i.premium_rcv_detail_code))+1
from ins_premium_det i),'5766','5766','02', '11000003','00','Request by Mr. Saqib Saleem 21-Aug-2024 sheet2');</v>
      </c>
    </row>
    <row r="63" spans="1:8" ht="105" x14ac:dyDescent="0.25">
      <c r="A63" s="17" t="s">
        <v>575</v>
      </c>
      <c r="B63" s="37" t="str">
        <f>VLOOKUP(A63,[2]Sheet1!$B$2:$C$83,2,0)</f>
        <v>070000159088</v>
      </c>
      <c r="C63" s="14">
        <v>452</v>
      </c>
      <c r="D63" s="38">
        <f t="shared" si="1"/>
        <v>452</v>
      </c>
      <c r="E63" s="36" t="s">
        <v>726</v>
      </c>
      <c r="F63" s="39" t="str">
        <f t="shared" si="0"/>
        <v>insert into ins_premium_det (premium_rcv_code,assorted_code, rec_amount,premium_rcv_detail_code,remaining_amt, payrec, mode_code,coinsurance_code,class_cd,it_remarks) values</v>
      </c>
      <c r="G63" s="40" t="str">
        <f t="shared" si="2"/>
        <v>('20Aug240117','070000159088','452',(select max(to_number(i.premium_rcv_detail_code))+1
from ins_premium_det i),'452','452','02', '11000003','00','Request by Mr. Saqib Saleem 21-Aug-2024 sheet2');</v>
      </c>
      <c r="H63" s="41" t="str">
        <f t="shared" si="3"/>
        <v>insert into ins_premium_det (premium_rcv_code,assorted_code, rec_amount,premium_rcv_detail_code,remaining_amt, payrec, mode_code,coinsurance_code,class_cd,it_remarks) values('20Aug240117','070000159088','452',(select max(to_number(i.premium_rcv_detail_code))+1
from ins_premium_det i),'452','452','02', '11000003','00','Request by Mr. Saqib Saleem 21-Aug-2024 sheet2');</v>
      </c>
    </row>
    <row r="64" spans="1:8" ht="105" x14ac:dyDescent="0.25">
      <c r="A64" s="17" t="s">
        <v>576</v>
      </c>
      <c r="B64" s="37" t="str">
        <f>VLOOKUP(A64,[2]Sheet1!$B$2:$C$83,2,0)</f>
        <v>070000159089</v>
      </c>
      <c r="C64" s="14">
        <v>1045</v>
      </c>
      <c r="D64" s="38">
        <f t="shared" si="1"/>
        <v>1045</v>
      </c>
      <c r="E64" s="36" t="s">
        <v>726</v>
      </c>
      <c r="F64" s="39" t="str">
        <f t="shared" si="0"/>
        <v>insert into ins_premium_det (premium_rcv_code,assorted_code, rec_amount,premium_rcv_detail_code,remaining_amt, payrec, mode_code,coinsurance_code,class_cd,it_remarks) values</v>
      </c>
      <c r="G64" s="40" t="str">
        <f t="shared" si="2"/>
        <v>('20Aug240117','070000159089','1045',(select max(to_number(i.premium_rcv_detail_code))+1
from ins_premium_det i),'1045','1045','02', '11000003','00','Request by Mr. Saqib Saleem 21-Aug-2024 sheet2');</v>
      </c>
      <c r="H64" s="41" t="str">
        <f t="shared" si="3"/>
        <v>insert into ins_premium_det (premium_rcv_code,assorted_code, rec_amount,premium_rcv_detail_code,remaining_amt, payrec, mode_code,coinsurance_code,class_cd,it_remarks) values('20Aug240117','070000159089','1045',(select max(to_number(i.premium_rcv_detail_code))+1
from ins_premium_det i),'1045','1045','02', '11000003','00','Request by Mr. Saqib Saleem 21-Aug-2024 sheet2');</v>
      </c>
    </row>
    <row r="65" spans="1:8" ht="105" x14ac:dyDescent="0.25">
      <c r="A65" s="17" t="s">
        <v>577</v>
      </c>
      <c r="B65" s="37" t="str">
        <f>VLOOKUP(A65,[2]Sheet1!$B$2:$C$83,2,0)</f>
        <v>070000159464</v>
      </c>
      <c r="C65" s="14">
        <v>720</v>
      </c>
      <c r="D65" s="38">
        <f t="shared" si="1"/>
        <v>720</v>
      </c>
      <c r="E65" s="36" t="s">
        <v>726</v>
      </c>
      <c r="F65" s="39" t="str">
        <f t="shared" si="0"/>
        <v>insert into ins_premium_det (premium_rcv_code,assorted_code, rec_amount,premium_rcv_detail_code,remaining_amt, payrec, mode_code,coinsurance_code,class_cd,it_remarks) values</v>
      </c>
      <c r="G65" s="40" t="str">
        <f t="shared" si="2"/>
        <v>('20Aug240117','070000159464','720',(select max(to_number(i.premium_rcv_detail_code))+1
from ins_premium_det i),'720','720','02', '11000003','00','Request by Mr. Saqib Saleem 21-Aug-2024 sheet2');</v>
      </c>
      <c r="H65" s="41" t="str">
        <f t="shared" si="3"/>
        <v>insert into ins_premium_det (premium_rcv_code,assorted_code, rec_amount,premium_rcv_detail_code,remaining_amt, payrec, mode_code,coinsurance_code,class_cd,it_remarks) values('20Aug240117','070000159464','720',(select max(to_number(i.premium_rcv_detail_code))+1
from ins_premium_det i),'720','720','02', '11000003','00','Request by Mr. Saqib Saleem 21-Aug-2024 sheet2');</v>
      </c>
    </row>
    <row r="66" spans="1:8" ht="105" x14ac:dyDescent="0.25">
      <c r="A66" s="17" t="s">
        <v>578</v>
      </c>
      <c r="B66" s="37" t="str">
        <f>VLOOKUP(A66,[2]Sheet1!$B$2:$C$83,2,0)</f>
        <v>070000159466</v>
      </c>
      <c r="C66" s="14">
        <v>1191</v>
      </c>
      <c r="D66" s="38">
        <f t="shared" si="1"/>
        <v>1191</v>
      </c>
      <c r="E66" s="36" t="s">
        <v>726</v>
      </c>
      <c r="F66" s="39" t="str">
        <f t="shared" ref="F66:F83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0" t="str">
        <f t="shared" si="2"/>
        <v>('20Aug240117','070000159466','1191',(select max(to_number(i.premium_rcv_detail_code))+1
from ins_premium_det i),'1191','1191','02', '11000003','00','Request by Mr. Saqib Saleem 21-Aug-2024 sheet2');</v>
      </c>
      <c r="H66" s="41" t="str">
        <f t="shared" si="3"/>
        <v>insert into ins_premium_det (premium_rcv_code,assorted_code, rec_amount,premium_rcv_detail_code,remaining_amt, payrec, mode_code,coinsurance_code,class_cd,it_remarks) values('20Aug240117','070000159466','1191',(select max(to_number(i.premium_rcv_detail_code))+1
from ins_premium_det i),'1191','1191','02', '11000003','00','Request by Mr. Saqib Saleem 21-Aug-2024 sheet2');</v>
      </c>
    </row>
    <row r="67" spans="1:8" ht="105" x14ac:dyDescent="0.25">
      <c r="A67" s="17" t="s">
        <v>579</v>
      </c>
      <c r="B67" s="37" t="str">
        <f>VLOOKUP(A67,[2]Sheet1!$B$2:$C$83,2,0)</f>
        <v>070000159467</v>
      </c>
      <c r="C67" s="14">
        <v>200</v>
      </c>
      <c r="D67" s="38">
        <f t="shared" ref="D67:D83" si="5">ROUND(C67,0)</f>
        <v>200</v>
      </c>
      <c r="E67" s="36" t="s">
        <v>726</v>
      </c>
      <c r="F67" s="39" t="str">
        <f t="shared" si="4"/>
        <v>insert into ins_premium_det (premium_rcv_code,assorted_code, rec_amount,premium_rcv_detail_code,remaining_amt, payrec, mode_code,coinsurance_code,class_cd,it_remarks) values</v>
      </c>
      <c r="G67" s="40" t="str">
        <f t="shared" ref="G67:G83" si="6">"('"&amp;E67&amp;"','"&amp;B67&amp;"','"&amp;D67&amp;"',(select max(to_number(i.premium_rcv_detail_code))+1
from ins_premium_det i),'"&amp;D67&amp;"','"&amp;D67&amp;"','02', '11000003','00','Request by Mr. Saqib Saleem 21-Aug-2024 sheet2');"</f>
        <v>('20Aug240117','070000159467','200',(select max(to_number(i.premium_rcv_detail_code))+1
from ins_premium_det i),'200','200','02', '11000003','00','Request by Mr. Saqib Saleem 21-Aug-2024 sheet2');</v>
      </c>
      <c r="H67" s="41" t="str">
        <f t="shared" ref="H67:H83" si="7">F67&amp;G67</f>
        <v>insert into ins_premium_det (premium_rcv_code,assorted_code, rec_amount,premium_rcv_detail_code,remaining_amt, payrec, mode_code,coinsurance_code,class_cd,it_remarks) values('20Aug240117','070000159467','200',(select max(to_number(i.premium_rcv_detail_code))+1
from ins_premium_det i),'200','200','02', '11000003','00','Request by Mr. Saqib Saleem 21-Aug-2024 sheet2');</v>
      </c>
    </row>
    <row r="68" spans="1:8" ht="105" x14ac:dyDescent="0.25">
      <c r="A68" s="17" t="s">
        <v>580</v>
      </c>
      <c r="B68" s="37" t="str">
        <f>VLOOKUP(A68,[2]Sheet1!$B$2:$C$83,2,0)</f>
        <v>070000159468</v>
      </c>
      <c r="C68" s="14">
        <v>1818</v>
      </c>
      <c r="D68" s="38">
        <f t="shared" si="5"/>
        <v>1818</v>
      </c>
      <c r="E68" s="36" t="s">
        <v>726</v>
      </c>
      <c r="F68" s="39" t="str">
        <f t="shared" si="4"/>
        <v>insert into ins_premium_det (premium_rcv_code,assorted_code, rec_amount,premium_rcv_detail_code,remaining_amt, payrec, mode_code,coinsurance_code,class_cd,it_remarks) values</v>
      </c>
      <c r="G68" s="40" t="str">
        <f t="shared" si="6"/>
        <v>('20Aug240117','070000159468','1818',(select max(to_number(i.premium_rcv_detail_code))+1
from ins_premium_det i),'1818','1818','02', '11000003','00','Request by Mr. Saqib Saleem 21-Aug-2024 sheet2');</v>
      </c>
      <c r="H68" s="41" t="str">
        <f t="shared" si="7"/>
        <v>insert into ins_premium_det (premium_rcv_code,assorted_code, rec_amount,premium_rcv_detail_code,remaining_amt, payrec, mode_code,coinsurance_code,class_cd,it_remarks) values('20Aug240117','070000159468','1818',(select max(to_number(i.premium_rcv_detail_code))+1
from ins_premium_det i),'1818','1818','02', '11000003','00','Request by Mr. Saqib Saleem 21-Aug-2024 sheet2');</v>
      </c>
    </row>
    <row r="69" spans="1:8" ht="105" x14ac:dyDescent="0.25">
      <c r="A69" s="17" t="s">
        <v>581</v>
      </c>
      <c r="B69" s="37" t="str">
        <f>VLOOKUP(A69,[2]Sheet1!$B$2:$C$83,2,0)</f>
        <v>070000159634</v>
      </c>
      <c r="C69" s="14">
        <v>287</v>
      </c>
      <c r="D69" s="38">
        <f t="shared" si="5"/>
        <v>287</v>
      </c>
      <c r="E69" s="36" t="s">
        <v>726</v>
      </c>
      <c r="F69" s="39" t="str">
        <f t="shared" si="4"/>
        <v>insert into ins_premium_det (premium_rcv_code,assorted_code, rec_amount,premium_rcv_detail_code,remaining_amt, payrec, mode_code,coinsurance_code,class_cd,it_remarks) values</v>
      </c>
      <c r="G69" s="40" t="str">
        <f t="shared" si="6"/>
        <v>('20Aug240117','070000159634','287',(select max(to_number(i.premium_rcv_detail_code))+1
from ins_premium_det i),'287','287','02', '11000003','00','Request by Mr. Saqib Saleem 21-Aug-2024 sheet2');</v>
      </c>
      <c r="H69" s="41" t="str">
        <f t="shared" si="7"/>
        <v>insert into ins_premium_det (premium_rcv_code,assorted_code, rec_amount,premium_rcv_detail_code,remaining_amt, payrec, mode_code,coinsurance_code,class_cd,it_remarks) values('20Aug240117','070000159634','287',(select max(to_number(i.premium_rcv_detail_code))+1
from ins_premium_det i),'287','287','02', '11000003','00','Request by Mr. Saqib Saleem 21-Aug-2024 sheet2');</v>
      </c>
    </row>
    <row r="70" spans="1:8" ht="105" x14ac:dyDescent="0.25">
      <c r="A70" s="17" t="s">
        <v>582</v>
      </c>
      <c r="B70" s="37" t="str">
        <f>VLOOKUP(A70,[2]Sheet1!$B$2:$C$83,2,0)</f>
        <v>070000159635</v>
      </c>
      <c r="C70" s="14">
        <v>711</v>
      </c>
      <c r="D70" s="38">
        <f t="shared" si="5"/>
        <v>711</v>
      </c>
      <c r="E70" s="36" t="s">
        <v>726</v>
      </c>
      <c r="F70" s="39" t="str">
        <f t="shared" si="4"/>
        <v>insert into ins_premium_det (premium_rcv_code,assorted_code, rec_amount,premium_rcv_detail_code,remaining_amt, payrec, mode_code,coinsurance_code,class_cd,it_remarks) values</v>
      </c>
      <c r="G70" s="40" t="str">
        <f t="shared" si="6"/>
        <v>('20Aug240117','070000159635','711',(select max(to_number(i.premium_rcv_detail_code))+1
from ins_premium_det i),'711','711','02', '11000003','00','Request by Mr. Saqib Saleem 21-Aug-2024 sheet2');</v>
      </c>
      <c r="H70" s="41" t="str">
        <f t="shared" si="7"/>
        <v>insert into ins_premium_det (premium_rcv_code,assorted_code, rec_amount,premium_rcv_detail_code,remaining_amt, payrec, mode_code,coinsurance_code,class_cd,it_remarks) values('20Aug240117','070000159635','711',(select max(to_number(i.premium_rcv_detail_code))+1
from ins_premium_det i),'711','711','02', '11000003','00','Request by Mr. Saqib Saleem 21-Aug-2024 sheet2');</v>
      </c>
    </row>
    <row r="71" spans="1:8" ht="105" x14ac:dyDescent="0.25">
      <c r="A71" s="17" t="s">
        <v>583</v>
      </c>
      <c r="B71" s="37" t="str">
        <f>VLOOKUP(A71,[2]Sheet1!$B$2:$C$83,2,0)</f>
        <v>070000159636</v>
      </c>
      <c r="C71" s="14">
        <v>444</v>
      </c>
      <c r="D71" s="38">
        <f t="shared" si="5"/>
        <v>444</v>
      </c>
      <c r="E71" s="36" t="s">
        <v>726</v>
      </c>
      <c r="F71" s="39" t="str">
        <f t="shared" si="4"/>
        <v>insert into ins_premium_det (premium_rcv_code,assorted_code, rec_amount,premium_rcv_detail_code,remaining_amt, payrec, mode_code,coinsurance_code,class_cd,it_remarks) values</v>
      </c>
      <c r="G71" s="40" t="str">
        <f t="shared" si="6"/>
        <v>('20Aug240117','070000159636','444',(select max(to_number(i.premium_rcv_detail_code))+1
from ins_premium_det i),'444','444','02', '11000003','00','Request by Mr. Saqib Saleem 21-Aug-2024 sheet2');</v>
      </c>
      <c r="H71" s="41" t="str">
        <f t="shared" si="7"/>
        <v>insert into ins_premium_det (premium_rcv_code,assorted_code, rec_amount,premium_rcv_detail_code,remaining_amt, payrec, mode_code,coinsurance_code,class_cd,it_remarks) values('20Aug240117','070000159636','444',(select max(to_number(i.premium_rcv_detail_code))+1
from ins_premium_det i),'444','444','02', '11000003','00','Request by Mr. Saqib Saleem 21-Aug-2024 sheet2');</v>
      </c>
    </row>
    <row r="72" spans="1:8" ht="105" x14ac:dyDescent="0.25">
      <c r="A72" s="17" t="s">
        <v>584</v>
      </c>
      <c r="B72" s="37" t="str">
        <f>VLOOKUP(A72,[2]Sheet1!$B$2:$C$83,2,0)</f>
        <v>070000159954</v>
      </c>
      <c r="C72" s="14">
        <v>300</v>
      </c>
      <c r="D72" s="38">
        <f t="shared" si="5"/>
        <v>300</v>
      </c>
      <c r="E72" s="36" t="s">
        <v>726</v>
      </c>
      <c r="F72" s="39" t="str">
        <f t="shared" si="4"/>
        <v>insert into ins_premium_det (premium_rcv_code,assorted_code, rec_amount,premium_rcv_detail_code,remaining_amt, payrec, mode_code,coinsurance_code,class_cd,it_remarks) values</v>
      </c>
      <c r="G72" s="40" t="str">
        <f t="shared" si="6"/>
        <v>('20Aug240117','070000159954','300',(select max(to_number(i.premium_rcv_detail_code))+1
from ins_premium_det i),'300','300','02', '11000003','00','Request by Mr. Saqib Saleem 21-Aug-2024 sheet2');</v>
      </c>
      <c r="H72" s="41" t="str">
        <f t="shared" si="7"/>
        <v>insert into ins_premium_det (premium_rcv_code,assorted_code, rec_amount,premium_rcv_detail_code,remaining_amt, payrec, mode_code,coinsurance_code,class_cd,it_remarks) values('20Aug240117','070000159954','300',(select max(to_number(i.premium_rcv_detail_code))+1
from ins_premium_det i),'300','300','02', '11000003','00','Request by Mr. Saqib Saleem 21-Aug-2024 sheet2');</v>
      </c>
    </row>
    <row r="73" spans="1:8" ht="105" x14ac:dyDescent="0.25">
      <c r="A73" s="17" t="s">
        <v>585</v>
      </c>
      <c r="B73" s="37" t="str">
        <f>VLOOKUP(A73,[2]Sheet1!$B$2:$C$83,2,0)</f>
        <v>070000159956</v>
      </c>
      <c r="C73" s="14">
        <v>1268</v>
      </c>
      <c r="D73" s="38">
        <f t="shared" si="5"/>
        <v>1268</v>
      </c>
      <c r="E73" s="36" t="s">
        <v>726</v>
      </c>
      <c r="F73" s="39" t="str">
        <f t="shared" si="4"/>
        <v>insert into ins_premium_det (premium_rcv_code,assorted_code, rec_amount,premium_rcv_detail_code,remaining_amt, payrec, mode_code,coinsurance_code,class_cd,it_remarks) values</v>
      </c>
      <c r="G73" s="40" t="str">
        <f t="shared" si="6"/>
        <v>('20Aug240117','070000159956','1268',(select max(to_number(i.premium_rcv_detail_code))+1
from ins_premium_det i),'1268','1268','02', '11000003','00','Request by Mr. Saqib Saleem 21-Aug-2024 sheet2');</v>
      </c>
      <c r="H73" s="41" t="str">
        <f t="shared" si="7"/>
        <v>insert into ins_premium_det (premium_rcv_code,assorted_code, rec_amount,premium_rcv_detail_code,remaining_amt, payrec, mode_code,coinsurance_code,class_cd,it_remarks) values('20Aug240117','070000159956','1268',(select max(to_number(i.premium_rcv_detail_code))+1
from ins_premium_det i),'1268','1268','02', '11000003','00','Request by Mr. Saqib Saleem 21-Aug-2024 sheet2');</v>
      </c>
    </row>
    <row r="74" spans="1:8" ht="105" x14ac:dyDescent="0.25">
      <c r="A74" s="17" t="s">
        <v>586</v>
      </c>
      <c r="B74" s="37" t="str">
        <f>VLOOKUP(A74,[2]Sheet1!$B$2:$C$83,2,0)</f>
        <v>070000159961</v>
      </c>
      <c r="C74" s="14">
        <v>2815</v>
      </c>
      <c r="D74" s="38">
        <f t="shared" si="5"/>
        <v>2815</v>
      </c>
      <c r="E74" s="36" t="s">
        <v>726</v>
      </c>
      <c r="F74" s="39" t="str">
        <f t="shared" si="4"/>
        <v>insert into ins_premium_det (premium_rcv_code,assorted_code, rec_amount,premium_rcv_detail_code,remaining_amt, payrec, mode_code,coinsurance_code,class_cd,it_remarks) values</v>
      </c>
      <c r="G74" s="40" t="str">
        <f t="shared" si="6"/>
        <v>('20Aug240117','070000159961','2815',(select max(to_number(i.premium_rcv_detail_code))+1
from ins_premium_det i),'2815','2815','02', '11000003','00','Request by Mr. Saqib Saleem 21-Aug-2024 sheet2');</v>
      </c>
      <c r="H74" s="41" t="str">
        <f t="shared" si="7"/>
        <v>insert into ins_premium_det (premium_rcv_code,assorted_code, rec_amount,premium_rcv_detail_code,remaining_amt, payrec, mode_code,coinsurance_code,class_cd,it_remarks) values('20Aug240117','070000159961','2815',(select max(to_number(i.premium_rcv_detail_code))+1
from ins_premium_det i),'2815','2815','02', '11000003','00','Request by Mr. Saqib Saleem 21-Aug-2024 sheet2');</v>
      </c>
    </row>
    <row r="75" spans="1:8" ht="105" x14ac:dyDescent="0.25">
      <c r="A75" s="17" t="s">
        <v>587</v>
      </c>
      <c r="B75" s="37" t="str">
        <f>VLOOKUP(A75,[2]Sheet1!$B$2:$C$83,2,0)</f>
        <v>070000159964</v>
      </c>
      <c r="C75" s="14">
        <v>2402</v>
      </c>
      <c r="D75" s="38">
        <f t="shared" si="5"/>
        <v>2402</v>
      </c>
      <c r="E75" s="36" t="s">
        <v>726</v>
      </c>
      <c r="F75" s="39" t="str">
        <f t="shared" si="4"/>
        <v>insert into ins_premium_det (premium_rcv_code,assorted_code, rec_amount,premium_rcv_detail_code,remaining_amt, payrec, mode_code,coinsurance_code,class_cd,it_remarks) values</v>
      </c>
      <c r="G75" s="40" t="str">
        <f t="shared" si="6"/>
        <v>('20Aug240117','070000159964','2402',(select max(to_number(i.premium_rcv_detail_code))+1
from ins_premium_det i),'2402','2402','02', '11000003','00','Request by Mr. Saqib Saleem 21-Aug-2024 sheet2');</v>
      </c>
      <c r="H75" s="41" t="str">
        <f t="shared" si="7"/>
        <v>insert into ins_premium_det (premium_rcv_code,assorted_code, rec_amount,premium_rcv_detail_code,remaining_amt, payrec, mode_code,coinsurance_code,class_cd,it_remarks) values('20Aug240117','070000159964','2402',(select max(to_number(i.premium_rcv_detail_code))+1
from ins_premium_det i),'2402','2402','02', '11000003','00','Request by Mr. Saqib Saleem 21-Aug-2024 sheet2');</v>
      </c>
    </row>
    <row r="76" spans="1:8" ht="105" x14ac:dyDescent="0.25">
      <c r="A76" s="17" t="s">
        <v>588</v>
      </c>
      <c r="B76" s="37" t="str">
        <f>VLOOKUP(A76,[2]Sheet1!$B$2:$C$83,2,0)</f>
        <v>070000160030</v>
      </c>
      <c r="C76" s="14">
        <v>596</v>
      </c>
      <c r="D76" s="38">
        <f t="shared" si="5"/>
        <v>596</v>
      </c>
      <c r="E76" s="36" t="s">
        <v>726</v>
      </c>
      <c r="F76" s="39" t="str">
        <f t="shared" si="4"/>
        <v>insert into ins_premium_det (premium_rcv_code,assorted_code, rec_amount,premium_rcv_detail_code,remaining_amt, payrec, mode_code,coinsurance_code,class_cd,it_remarks) values</v>
      </c>
      <c r="G76" s="40" t="str">
        <f t="shared" si="6"/>
        <v>('20Aug240117','070000160030','596',(select max(to_number(i.premium_rcv_detail_code))+1
from ins_premium_det i),'596','596','02', '11000003','00','Request by Mr. Saqib Saleem 21-Aug-2024 sheet2');</v>
      </c>
      <c r="H76" s="41" t="str">
        <f t="shared" si="7"/>
        <v>insert into ins_premium_det (premium_rcv_code,assorted_code, rec_amount,premium_rcv_detail_code,remaining_amt, payrec, mode_code,coinsurance_code,class_cd,it_remarks) values('20Aug240117','070000160030','596',(select max(to_number(i.premium_rcv_detail_code))+1
from ins_premium_det i),'596','596','02', '11000003','00','Request by Mr. Saqib Saleem 21-Aug-2024 sheet2');</v>
      </c>
    </row>
    <row r="77" spans="1:8" ht="105" x14ac:dyDescent="0.25">
      <c r="A77" s="17" t="s">
        <v>589</v>
      </c>
      <c r="B77" s="37" t="str">
        <f>VLOOKUP(A77,[2]Sheet1!$B$2:$C$83,2,0)</f>
        <v>070000160033</v>
      </c>
      <c r="C77" s="14">
        <v>1005</v>
      </c>
      <c r="D77" s="38">
        <f t="shared" si="5"/>
        <v>1005</v>
      </c>
      <c r="E77" s="36" t="s">
        <v>726</v>
      </c>
      <c r="F77" s="39" t="str">
        <f t="shared" si="4"/>
        <v>insert into ins_premium_det (premium_rcv_code,assorted_code, rec_amount,premium_rcv_detail_code,remaining_amt, payrec, mode_code,coinsurance_code,class_cd,it_remarks) values</v>
      </c>
      <c r="G77" s="40" t="str">
        <f t="shared" si="6"/>
        <v>('20Aug240117','070000160033','1005',(select max(to_number(i.premium_rcv_detail_code))+1
from ins_premium_det i),'1005','1005','02', '11000003','00','Request by Mr. Saqib Saleem 21-Aug-2024 sheet2');</v>
      </c>
      <c r="H77" s="41" t="str">
        <f t="shared" si="7"/>
        <v>insert into ins_premium_det (premium_rcv_code,assorted_code, rec_amount,premium_rcv_detail_code,remaining_amt, payrec, mode_code,coinsurance_code,class_cd,it_remarks) values('20Aug240117','070000160033','1005',(select max(to_number(i.premium_rcv_detail_code))+1
from ins_premium_det i),'1005','1005','02', '11000003','00','Request by Mr. Saqib Saleem 21-Aug-2024 sheet2');</v>
      </c>
    </row>
    <row r="78" spans="1:8" ht="105" x14ac:dyDescent="0.25">
      <c r="A78" s="17" t="s">
        <v>590</v>
      </c>
      <c r="B78" s="37" t="str">
        <f>VLOOKUP(A78,[2]Sheet1!$B$2:$C$83,2,0)</f>
        <v>070000160036</v>
      </c>
      <c r="C78" s="14">
        <v>1011</v>
      </c>
      <c r="D78" s="38">
        <f t="shared" si="5"/>
        <v>1011</v>
      </c>
      <c r="E78" s="36" t="s">
        <v>726</v>
      </c>
      <c r="F78" s="39" t="str">
        <f t="shared" si="4"/>
        <v>insert into ins_premium_det (premium_rcv_code,assorted_code, rec_amount,premium_rcv_detail_code,remaining_amt, payrec, mode_code,coinsurance_code,class_cd,it_remarks) values</v>
      </c>
      <c r="G78" s="40" t="str">
        <f t="shared" si="6"/>
        <v>('20Aug240117','070000160036','1011',(select max(to_number(i.premium_rcv_detail_code))+1
from ins_premium_det i),'1011','1011','02', '11000003','00','Request by Mr. Saqib Saleem 21-Aug-2024 sheet2');</v>
      </c>
      <c r="H78" s="41" t="str">
        <f t="shared" si="7"/>
        <v>insert into ins_premium_det (premium_rcv_code,assorted_code, rec_amount,premium_rcv_detail_code,remaining_amt, payrec, mode_code,coinsurance_code,class_cd,it_remarks) values('20Aug240117','070000160036','1011',(select max(to_number(i.premium_rcv_detail_code))+1
from ins_premium_det i),'1011','1011','02', '11000003','00','Request by Mr. Saqib Saleem 21-Aug-2024 sheet2');</v>
      </c>
    </row>
    <row r="79" spans="1:8" ht="105" x14ac:dyDescent="0.25">
      <c r="A79" s="17" t="s">
        <v>591</v>
      </c>
      <c r="B79" s="37" t="str">
        <f>VLOOKUP(A79,[2]Sheet1!$B$2:$C$83,2,0)</f>
        <v>070000160041</v>
      </c>
      <c r="C79" s="14">
        <v>1820</v>
      </c>
      <c r="D79" s="38">
        <f t="shared" si="5"/>
        <v>1820</v>
      </c>
      <c r="E79" s="36" t="s">
        <v>726</v>
      </c>
      <c r="F79" s="39" t="str">
        <f t="shared" si="4"/>
        <v>insert into ins_premium_det (premium_rcv_code,assorted_code, rec_amount,premium_rcv_detail_code,remaining_amt, payrec, mode_code,coinsurance_code,class_cd,it_remarks) values</v>
      </c>
      <c r="G79" s="40" t="str">
        <f t="shared" si="6"/>
        <v>('20Aug240117','070000160041','1820',(select max(to_number(i.premium_rcv_detail_code))+1
from ins_premium_det i),'1820','1820','02', '11000003','00','Request by Mr. Saqib Saleem 21-Aug-2024 sheet2');</v>
      </c>
      <c r="H79" s="41" t="str">
        <f t="shared" si="7"/>
        <v>insert into ins_premium_det (premium_rcv_code,assorted_code, rec_amount,premium_rcv_detail_code,remaining_amt, payrec, mode_code,coinsurance_code,class_cd,it_remarks) values('20Aug240117','070000160041','1820',(select max(to_number(i.premium_rcv_detail_code))+1
from ins_premium_det i),'1820','1820','02', '11000003','00','Request by Mr. Saqib Saleem 21-Aug-2024 sheet2');</v>
      </c>
    </row>
    <row r="80" spans="1:8" ht="105" x14ac:dyDescent="0.25">
      <c r="A80" s="17" t="s">
        <v>592</v>
      </c>
      <c r="B80" s="37" t="str">
        <f>VLOOKUP(A80,[2]Sheet1!$B$2:$C$83,2,0)</f>
        <v>070000160282</v>
      </c>
      <c r="C80" s="14">
        <v>966</v>
      </c>
      <c r="D80" s="38">
        <f t="shared" si="5"/>
        <v>966</v>
      </c>
      <c r="E80" s="36" t="s">
        <v>726</v>
      </c>
      <c r="F80" s="39" t="str">
        <f t="shared" si="4"/>
        <v>insert into ins_premium_det (premium_rcv_code,assorted_code, rec_amount,premium_rcv_detail_code,remaining_amt, payrec, mode_code,coinsurance_code,class_cd,it_remarks) values</v>
      </c>
      <c r="G80" s="40" t="str">
        <f t="shared" si="6"/>
        <v>('20Aug240117','070000160282','966',(select max(to_number(i.premium_rcv_detail_code))+1
from ins_premium_det i),'966','966','02', '11000003','00','Request by Mr. Saqib Saleem 21-Aug-2024 sheet2');</v>
      </c>
      <c r="H80" s="41" t="str">
        <f t="shared" si="7"/>
        <v>insert into ins_premium_det (premium_rcv_code,assorted_code, rec_amount,premium_rcv_detail_code,remaining_amt, payrec, mode_code,coinsurance_code,class_cd,it_remarks) values('20Aug240117','070000160282','966',(select max(to_number(i.premium_rcv_detail_code))+1
from ins_premium_det i),'966','966','02', '11000003','00','Request by Mr. Saqib Saleem 21-Aug-2024 sheet2');</v>
      </c>
    </row>
    <row r="81" spans="1:8" ht="105" x14ac:dyDescent="0.25">
      <c r="A81" s="17" t="s">
        <v>593</v>
      </c>
      <c r="B81" s="37" t="str">
        <f>VLOOKUP(A81,[2]Sheet1!$B$2:$C$83,2,0)</f>
        <v>070000160286</v>
      </c>
      <c r="C81" s="14">
        <v>5383</v>
      </c>
      <c r="D81" s="38">
        <f t="shared" si="5"/>
        <v>5383</v>
      </c>
      <c r="E81" s="36" t="s">
        <v>726</v>
      </c>
      <c r="F81" s="39" t="str">
        <f t="shared" si="4"/>
        <v>insert into ins_premium_det (premium_rcv_code,assorted_code, rec_amount,premium_rcv_detail_code,remaining_amt, payrec, mode_code,coinsurance_code,class_cd,it_remarks) values</v>
      </c>
      <c r="G81" s="40" t="str">
        <f t="shared" si="6"/>
        <v>('20Aug240117','070000160286','5383',(select max(to_number(i.premium_rcv_detail_code))+1
from ins_premium_det i),'5383','5383','02', '11000003','00','Request by Mr. Saqib Saleem 21-Aug-2024 sheet2');</v>
      </c>
      <c r="H81" s="41" t="str">
        <f t="shared" si="7"/>
        <v>insert into ins_premium_det (premium_rcv_code,assorted_code, rec_amount,premium_rcv_detail_code,remaining_amt, payrec, mode_code,coinsurance_code,class_cd,it_remarks) values('20Aug240117','070000160286','5383',(select max(to_number(i.premium_rcv_detail_code))+1
from ins_premium_det i),'5383','5383','02', '11000003','00','Request by Mr. Saqib Saleem 21-Aug-2024 sheet2');</v>
      </c>
    </row>
    <row r="82" spans="1:8" ht="105" x14ac:dyDescent="0.25">
      <c r="A82" s="17" t="s">
        <v>594</v>
      </c>
      <c r="B82" s="37" t="str">
        <f>VLOOKUP(A82,[2]Sheet1!$B$2:$C$83,2,0)</f>
        <v>070000160300</v>
      </c>
      <c r="C82" s="14">
        <v>922</v>
      </c>
      <c r="D82" s="38">
        <f t="shared" si="5"/>
        <v>922</v>
      </c>
      <c r="E82" s="36" t="s">
        <v>726</v>
      </c>
      <c r="F82" s="39" t="str">
        <f t="shared" si="4"/>
        <v>insert into ins_premium_det (premium_rcv_code,assorted_code, rec_amount,premium_rcv_detail_code,remaining_amt, payrec, mode_code,coinsurance_code,class_cd,it_remarks) values</v>
      </c>
      <c r="G82" s="40" t="str">
        <f t="shared" si="6"/>
        <v>('20Aug240117','070000160300','922',(select max(to_number(i.premium_rcv_detail_code))+1
from ins_premium_det i),'922','922','02', '11000003','00','Request by Mr. Saqib Saleem 21-Aug-2024 sheet2');</v>
      </c>
      <c r="H82" s="41" t="str">
        <f t="shared" si="7"/>
        <v>insert into ins_premium_det (premium_rcv_code,assorted_code, rec_amount,premium_rcv_detail_code,remaining_amt, payrec, mode_code,coinsurance_code,class_cd,it_remarks) values('20Aug240117','070000160300','922',(select max(to_number(i.premium_rcv_detail_code))+1
from ins_premium_det i),'922','922','02', '11000003','00','Request by Mr. Saqib Saleem 21-Aug-2024 sheet2');</v>
      </c>
    </row>
    <row r="83" spans="1:8" ht="105" x14ac:dyDescent="0.25">
      <c r="A83" s="17" t="s">
        <v>595</v>
      </c>
      <c r="B83" s="37" t="str">
        <f>VLOOKUP(A83,[2]Sheet1!$B$2:$C$83,2,0)</f>
        <v>070000160303</v>
      </c>
      <c r="C83" s="14">
        <v>310</v>
      </c>
      <c r="D83" s="38">
        <f t="shared" si="5"/>
        <v>310</v>
      </c>
      <c r="E83" s="36" t="s">
        <v>726</v>
      </c>
      <c r="F83" s="39" t="str">
        <f t="shared" si="4"/>
        <v>insert into ins_premium_det (premium_rcv_code,assorted_code, rec_amount,premium_rcv_detail_code,remaining_amt, payrec, mode_code,coinsurance_code,class_cd,it_remarks) values</v>
      </c>
      <c r="G83" s="40" t="str">
        <f t="shared" si="6"/>
        <v>('20Aug240117','070000160303','310',(select max(to_number(i.premium_rcv_detail_code))+1
from ins_premium_det i),'310','310','02', '11000003','00','Request by Mr. Saqib Saleem 21-Aug-2024 sheet2');</v>
      </c>
      <c r="H83" s="41" t="str">
        <f t="shared" si="7"/>
        <v>insert into ins_premium_det (premium_rcv_code,assorted_code, rec_amount,premium_rcv_detail_code,remaining_amt, payrec, mode_code,coinsurance_code,class_cd,it_remarks) values('20Aug240117','070000160303','310',(select max(to_number(i.premium_rcv_detail_code))+1
from ins_premium_det i),'310','310','02', '11000003','00','Request by Mr. Saqib Saleem 21-Aug-2024 sheet2');</v>
      </c>
    </row>
  </sheetData>
  <conditionalFormatting sqref="A1">
    <cfRule type="duplicateValues" dxfId="23" priority="1"/>
  </conditionalFormatting>
  <conditionalFormatting sqref="B2:B83">
    <cfRule type="duplicateValues" dxfId="22" priority="2"/>
    <cfRule type="duplicateValues" dxfId="21" priority="3"/>
    <cfRule type="duplicateValues" dxfId="20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C7D9-6898-42AB-A17D-AD91054FF483}">
  <dimension ref="A1:U82"/>
  <sheetViews>
    <sheetView topLeftCell="A69" workbookViewId="0">
      <selection activeCell="D14" sqref="D14"/>
    </sheetView>
  </sheetViews>
  <sheetFormatPr defaultRowHeight="15" x14ac:dyDescent="0.25"/>
  <cols>
    <col min="1" max="1" width="42.140625" bestFit="1" customWidth="1"/>
    <col min="2" max="2" width="8.42578125" bestFit="1" customWidth="1"/>
    <col min="5" max="5" width="40.5703125" bestFit="1" customWidth="1"/>
    <col min="13" max="13" width="42.140625" bestFit="1" customWidth="1"/>
  </cols>
  <sheetData>
    <row r="1" spans="1:21" ht="15.75" x14ac:dyDescent="0.25">
      <c r="A1" s="17" t="s">
        <v>814</v>
      </c>
      <c r="B1" t="str">
        <f>RIGHT(A1,8)</f>
        <v>-05-2024</v>
      </c>
      <c r="D1">
        <v>19659</v>
      </c>
      <c r="E1" t="str">
        <f>"ia.assorted_string like '%"&amp;D1&amp;B1&amp;"%' or"</f>
        <v>ia.assorted_string like '%19659-05-2024%' or</v>
      </c>
      <c r="M1" s="17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>
        <v>19659</v>
      </c>
      <c r="T1">
        <v>5</v>
      </c>
      <c r="U1">
        <v>2024</v>
      </c>
    </row>
    <row r="2" spans="1:21" ht="15.75" x14ac:dyDescent="0.25">
      <c r="A2" s="17" t="s">
        <v>815</v>
      </c>
      <c r="B2" t="str">
        <f t="shared" ref="B2:B65" si="0">RIGHT(A2,8)</f>
        <v>-05-2024</v>
      </c>
      <c r="D2">
        <v>19660</v>
      </c>
      <c r="E2" t="str">
        <f t="shared" ref="E2:E65" si="1">"ia.assorted_string like '%"&amp;D2&amp;B2&amp;"%' or"</f>
        <v>ia.assorted_string like '%19660-05-2024%' or</v>
      </c>
      <c r="M2" s="17" t="s">
        <v>727</v>
      </c>
      <c r="N2" t="s">
        <v>728</v>
      </c>
      <c r="O2" t="s">
        <v>729</v>
      </c>
      <c r="P2" t="s">
        <v>730</v>
      </c>
      <c r="Q2" t="s">
        <v>731</v>
      </c>
      <c r="R2" t="s">
        <v>732</v>
      </c>
      <c r="S2">
        <v>19660</v>
      </c>
      <c r="T2">
        <v>5</v>
      </c>
      <c r="U2">
        <v>2024</v>
      </c>
    </row>
    <row r="3" spans="1:21" ht="15.75" x14ac:dyDescent="0.25">
      <c r="A3" s="17" t="s">
        <v>816</v>
      </c>
      <c r="B3" t="str">
        <f t="shared" si="0"/>
        <v>-05-2024</v>
      </c>
      <c r="D3">
        <v>19661</v>
      </c>
      <c r="E3" t="str">
        <f t="shared" si="1"/>
        <v>ia.assorted_string like '%19661-05-2024%' or</v>
      </c>
      <c r="M3" s="17" t="s">
        <v>727</v>
      </c>
      <c r="N3" t="s">
        <v>728</v>
      </c>
      <c r="O3" t="s">
        <v>729</v>
      </c>
      <c r="P3" t="s">
        <v>730</v>
      </c>
      <c r="Q3" t="s">
        <v>731</v>
      </c>
      <c r="R3" t="s">
        <v>732</v>
      </c>
      <c r="S3">
        <v>19661</v>
      </c>
      <c r="T3">
        <v>5</v>
      </c>
      <c r="U3">
        <v>2024</v>
      </c>
    </row>
    <row r="4" spans="1:21" ht="15.75" x14ac:dyDescent="0.25">
      <c r="A4" s="17" t="s">
        <v>817</v>
      </c>
      <c r="B4" t="str">
        <f t="shared" si="0"/>
        <v>-05-2024</v>
      </c>
      <c r="D4">
        <v>19662</v>
      </c>
      <c r="E4" t="str">
        <f t="shared" si="1"/>
        <v>ia.assorted_string like '%19662-05-2024%' or</v>
      </c>
      <c r="M4" s="17" t="s">
        <v>727</v>
      </c>
      <c r="N4" t="s">
        <v>728</v>
      </c>
      <c r="O4" t="s">
        <v>729</v>
      </c>
      <c r="P4" t="s">
        <v>730</v>
      </c>
      <c r="Q4" t="s">
        <v>731</v>
      </c>
      <c r="R4" t="s">
        <v>732</v>
      </c>
      <c r="S4">
        <v>19662</v>
      </c>
      <c r="T4">
        <v>5</v>
      </c>
      <c r="U4">
        <v>2024</v>
      </c>
    </row>
    <row r="5" spans="1:21" ht="15.75" x14ac:dyDescent="0.25">
      <c r="A5" s="17" t="s">
        <v>818</v>
      </c>
      <c r="B5" t="str">
        <f t="shared" si="0"/>
        <v>-05-2024</v>
      </c>
      <c r="D5">
        <v>19664</v>
      </c>
      <c r="E5" t="str">
        <f t="shared" si="1"/>
        <v>ia.assorted_string like '%19664-05-2024%' or</v>
      </c>
      <c r="M5" s="17" t="s">
        <v>727</v>
      </c>
      <c r="N5" t="s">
        <v>728</v>
      </c>
      <c r="O5" t="s">
        <v>729</v>
      </c>
      <c r="P5" t="s">
        <v>730</v>
      </c>
      <c r="Q5" t="s">
        <v>731</v>
      </c>
      <c r="R5" t="s">
        <v>732</v>
      </c>
      <c r="S5">
        <v>19664</v>
      </c>
      <c r="T5">
        <v>5</v>
      </c>
      <c r="U5">
        <v>2024</v>
      </c>
    </row>
    <row r="6" spans="1:21" ht="15.75" x14ac:dyDescent="0.25">
      <c r="A6" s="17" t="s">
        <v>819</v>
      </c>
      <c r="B6" t="str">
        <f t="shared" si="0"/>
        <v>-05-2024</v>
      </c>
      <c r="D6">
        <v>19665</v>
      </c>
      <c r="E6" t="str">
        <f t="shared" si="1"/>
        <v>ia.assorted_string like '%19665-05-2024%' or</v>
      </c>
      <c r="M6" s="17" t="s">
        <v>727</v>
      </c>
      <c r="N6" t="s">
        <v>728</v>
      </c>
      <c r="O6" t="s">
        <v>729</v>
      </c>
      <c r="P6" t="s">
        <v>730</v>
      </c>
      <c r="Q6" t="s">
        <v>731</v>
      </c>
      <c r="R6" t="s">
        <v>732</v>
      </c>
      <c r="S6">
        <v>19665</v>
      </c>
      <c r="T6">
        <v>5</v>
      </c>
      <c r="U6">
        <v>2024</v>
      </c>
    </row>
    <row r="7" spans="1:21" ht="15.75" x14ac:dyDescent="0.25">
      <c r="A7" s="17" t="s">
        <v>820</v>
      </c>
      <c r="B7" t="str">
        <f t="shared" si="0"/>
        <v>-05-2024</v>
      </c>
      <c r="D7">
        <v>19666</v>
      </c>
      <c r="E7" t="str">
        <f t="shared" si="1"/>
        <v>ia.assorted_string like '%19666-05-2024%' or</v>
      </c>
      <c r="M7" s="17" t="s">
        <v>727</v>
      </c>
      <c r="N7" t="s">
        <v>728</v>
      </c>
      <c r="O7" t="s">
        <v>729</v>
      </c>
      <c r="P7" t="s">
        <v>730</v>
      </c>
      <c r="Q7" t="s">
        <v>731</v>
      </c>
      <c r="R7" t="s">
        <v>732</v>
      </c>
      <c r="S7">
        <v>19666</v>
      </c>
      <c r="T7">
        <v>5</v>
      </c>
      <c r="U7">
        <v>2024</v>
      </c>
    </row>
    <row r="8" spans="1:21" ht="15.75" x14ac:dyDescent="0.25">
      <c r="A8" s="17" t="s">
        <v>821</v>
      </c>
      <c r="B8" t="str">
        <f t="shared" si="0"/>
        <v>-05-2024</v>
      </c>
      <c r="D8">
        <v>19667</v>
      </c>
      <c r="E8" t="str">
        <f t="shared" si="1"/>
        <v>ia.assorted_string like '%19667-05-2024%' or</v>
      </c>
      <c r="M8" s="17" t="s">
        <v>727</v>
      </c>
      <c r="N8" t="s">
        <v>728</v>
      </c>
      <c r="O8" t="s">
        <v>729</v>
      </c>
      <c r="P8" t="s">
        <v>730</v>
      </c>
      <c r="Q8" t="s">
        <v>731</v>
      </c>
      <c r="R8" t="s">
        <v>732</v>
      </c>
      <c r="S8">
        <v>19667</v>
      </c>
      <c r="T8">
        <v>5</v>
      </c>
      <c r="U8">
        <v>2024</v>
      </c>
    </row>
    <row r="9" spans="1:21" ht="15.75" x14ac:dyDescent="0.25">
      <c r="A9" s="17" t="s">
        <v>822</v>
      </c>
      <c r="B9" t="str">
        <f t="shared" si="0"/>
        <v>-05-2024</v>
      </c>
      <c r="D9">
        <v>19668</v>
      </c>
      <c r="E9" t="str">
        <f t="shared" si="1"/>
        <v>ia.assorted_string like '%19668-05-2024%' or</v>
      </c>
      <c r="M9" s="17" t="s">
        <v>727</v>
      </c>
      <c r="N9" t="s">
        <v>728</v>
      </c>
      <c r="O9" t="s">
        <v>729</v>
      </c>
      <c r="P9" t="s">
        <v>730</v>
      </c>
      <c r="Q9" t="s">
        <v>731</v>
      </c>
      <c r="R9" t="s">
        <v>732</v>
      </c>
      <c r="S9">
        <v>19668</v>
      </c>
      <c r="T9">
        <v>5</v>
      </c>
      <c r="U9">
        <v>2024</v>
      </c>
    </row>
    <row r="10" spans="1:21" ht="15.75" x14ac:dyDescent="0.25">
      <c r="A10" s="17" t="s">
        <v>823</v>
      </c>
      <c r="B10" t="str">
        <f t="shared" si="0"/>
        <v>-05-2024</v>
      </c>
      <c r="D10">
        <v>19669</v>
      </c>
      <c r="E10" t="str">
        <f t="shared" si="1"/>
        <v>ia.assorted_string like '%19669-05-2024%' or</v>
      </c>
      <c r="M10" s="17" t="s">
        <v>727</v>
      </c>
      <c r="N10" t="s">
        <v>728</v>
      </c>
      <c r="O10" t="s">
        <v>729</v>
      </c>
      <c r="P10" t="s">
        <v>730</v>
      </c>
      <c r="Q10" t="s">
        <v>731</v>
      </c>
      <c r="R10" t="s">
        <v>732</v>
      </c>
      <c r="S10">
        <v>19669</v>
      </c>
      <c r="T10">
        <v>5</v>
      </c>
      <c r="U10">
        <v>2024</v>
      </c>
    </row>
    <row r="11" spans="1:21" ht="15.75" x14ac:dyDescent="0.25">
      <c r="A11" s="17" t="s">
        <v>824</v>
      </c>
      <c r="B11" t="str">
        <f t="shared" si="0"/>
        <v>-05-2024</v>
      </c>
      <c r="D11">
        <v>19673</v>
      </c>
      <c r="E11" t="str">
        <f t="shared" si="1"/>
        <v>ia.assorted_string like '%19673-05-2024%' or</v>
      </c>
      <c r="M11" s="17" t="s">
        <v>727</v>
      </c>
      <c r="N11" t="s">
        <v>728</v>
      </c>
      <c r="O11" t="s">
        <v>729</v>
      </c>
      <c r="P11" t="s">
        <v>730</v>
      </c>
      <c r="Q11" t="s">
        <v>731</v>
      </c>
      <c r="R11" t="s">
        <v>732</v>
      </c>
      <c r="S11">
        <v>19673</v>
      </c>
      <c r="T11">
        <v>5</v>
      </c>
      <c r="U11">
        <v>2024</v>
      </c>
    </row>
    <row r="12" spans="1:21" ht="15.75" x14ac:dyDescent="0.25">
      <c r="A12" s="17" t="s">
        <v>825</v>
      </c>
      <c r="B12" t="str">
        <f t="shared" si="0"/>
        <v>-05-2024</v>
      </c>
      <c r="D12">
        <v>19674</v>
      </c>
      <c r="E12" t="str">
        <f t="shared" si="1"/>
        <v>ia.assorted_string like '%19674-05-2024%' or</v>
      </c>
      <c r="M12" s="17" t="s">
        <v>727</v>
      </c>
      <c r="N12" t="s">
        <v>728</v>
      </c>
      <c r="O12" t="s">
        <v>729</v>
      </c>
      <c r="P12" t="s">
        <v>730</v>
      </c>
      <c r="Q12" t="s">
        <v>731</v>
      </c>
      <c r="R12" t="s">
        <v>732</v>
      </c>
      <c r="S12">
        <v>19674</v>
      </c>
      <c r="T12">
        <v>5</v>
      </c>
      <c r="U12">
        <v>2024</v>
      </c>
    </row>
    <row r="13" spans="1:21" ht="15.75" x14ac:dyDescent="0.25">
      <c r="A13" s="17" t="s">
        <v>826</v>
      </c>
      <c r="B13" t="str">
        <f t="shared" si="0"/>
        <v>-05-2024</v>
      </c>
      <c r="D13">
        <v>19675</v>
      </c>
      <c r="E13" t="str">
        <f t="shared" si="1"/>
        <v>ia.assorted_string like '%19675-05-2024%' or</v>
      </c>
      <c r="M13" s="17" t="s">
        <v>727</v>
      </c>
      <c r="N13" t="s">
        <v>728</v>
      </c>
      <c r="O13" t="s">
        <v>729</v>
      </c>
      <c r="P13" t="s">
        <v>730</v>
      </c>
      <c r="Q13" t="s">
        <v>731</v>
      </c>
      <c r="R13" t="s">
        <v>732</v>
      </c>
      <c r="S13">
        <v>19675</v>
      </c>
      <c r="T13">
        <v>5</v>
      </c>
      <c r="U13">
        <v>2024</v>
      </c>
    </row>
    <row r="14" spans="1:21" ht="15.75" x14ac:dyDescent="0.25">
      <c r="A14" s="17" t="s">
        <v>827</v>
      </c>
      <c r="B14" t="str">
        <f t="shared" si="0"/>
        <v>-05-2024</v>
      </c>
      <c r="D14">
        <v>19676</v>
      </c>
      <c r="E14" t="str">
        <f t="shared" si="1"/>
        <v>ia.assorted_string like '%19676-05-2024%' or</v>
      </c>
      <c r="M14" s="17" t="s">
        <v>727</v>
      </c>
      <c r="N14" t="s">
        <v>728</v>
      </c>
      <c r="O14" t="s">
        <v>729</v>
      </c>
      <c r="P14" t="s">
        <v>730</v>
      </c>
      <c r="Q14" t="s">
        <v>731</v>
      </c>
      <c r="R14" t="s">
        <v>732</v>
      </c>
      <c r="S14">
        <v>19676</v>
      </c>
      <c r="T14">
        <v>5</v>
      </c>
      <c r="U14">
        <v>2024</v>
      </c>
    </row>
    <row r="15" spans="1:21" ht="15.75" x14ac:dyDescent="0.25">
      <c r="A15" s="17" t="s">
        <v>828</v>
      </c>
      <c r="B15" t="str">
        <f t="shared" si="0"/>
        <v>-05-2024</v>
      </c>
      <c r="D15">
        <v>19677</v>
      </c>
      <c r="E15" t="str">
        <f t="shared" si="1"/>
        <v>ia.assorted_string like '%19677-05-2024%' or</v>
      </c>
      <c r="M15" s="17" t="s">
        <v>727</v>
      </c>
      <c r="N15" t="s">
        <v>728</v>
      </c>
      <c r="O15" t="s">
        <v>729</v>
      </c>
      <c r="P15" t="s">
        <v>730</v>
      </c>
      <c r="Q15" t="s">
        <v>731</v>
      </c>
      <c r="R15" t="s">
        <v>732</v>
      </c>
      <c r="S15">
        <v>19677</v>
      </c>
      <c r="T15">
        <v>5</v>
      </c>
      <c r="U15">
        <v>2024</v>
      </c>
    </row>
    <row r="16" spans="1:21" ht="15.75" x14ac:dyDescent="0.25">
      <c r="A16" s="17" t="s">
        <v>829</v>
      </c>
      <c r="B16" t="str">
        <f t="shared" si="0"/>
        <v>-05-2024</v>
      </c>
      <c r="D16">
        <v>19678</v>
      </c>
      <c r="E16" t="str">
        <f t="shared" si="1"/>
        <v>ia.assorted_string like '%19678-05-2024%' or</v>
      </c>
      <c r="M16" s="17" t="s">
        <v>727</v>
      </c>
      <c r="N16" t="s">
        <v>728</v>
      </c>
      <c r="O16" t="s">
        <v>729</v>
      </c>
      <c r="P16" t="s">
        <v>730</v>
      </c>
      <c r="Q16" t="s">
        <v>731</v>
      </c>
      <c r="R16" t="s">
        <v>732</v>
      </c>
      <c r="S16">
        <v>19678</v>
      </c>
      <c r="T16">
        <v>5</v>
      </c>
      <c r="U16">
        <v>2024</v>
      </c>
    </row>
    <row r="17" spans="1:21" ht="15.75" x14ac:dyDescent="0.25">
      <c r="A17" s="17" t="s">
        <v>830</v>
      </c>
      <c r="B17" t="str">
        <f t="shared" si="0"/>
        <v>-05-2024</v>
      </c>
      <c r="D17">
        <v>19679</v>
      </c>
      <c r="E17" t="str">
        <f t="shared" si="1"/>
        <v>ia.assorted_string like '%19679-05-2024%' or</v>
      </c>
      <c r="M17" s="17" t="s">
        <v>727</v>
      </c>
      <c r="N17" t="s">
        <v>728</v>
      </c>
      <c r="O17" t="s">
        <v>729</v>
      </c>
      <c r="P17" t="s">
        <v>730</v>
      </c>
      <c r="Q17" t="s">
        <v>731</v>
      </c>
      <c r="R17" t="s">
        <v>732</v>
      </c>
      <c r="S17">
        <v>19679</v>
      </c>
      <c r="T17">
        <v>5</v>
      </c>
      <c r="U17">
        <v>2024</v>
      </c>
    </row>
    <row r="18" spans="1:21" ht="15.75" x14ac:dyDescent="0.25">
      <c r="A18" s="17" t="s">
        <v>831</v>
      </c>
      <c r="B18" t="str">
        <f t="shared" si="0"/>
        <v>-05-2024</v>
      </c>
      <c r="D18">
        <v>19680</v>
      </c>
      <c r="E18" t="str">
        <f t="shared" si="1"/>
        <v>ia.assorted_string like '%19680-05-2024%' or</v>
      </c>
      <c r="M18" s="17" t="s">
        <v>727</v>
      </c>
      <c r="N18" t="s">
        <v>728</v>
      </c>
      <c r="O18" t="s">
        <v>729</v>
      </c>
      <c r="P18" t="s">
        <v>730</v>
      </c>
      <c r="Q18" t="s">
        <v>731</v>
      </c>
      <c r="R18" t="s">
        <v>732</v>
      </c>
      <c r="S18">
        <v>19680</v>
      </c>
      <c r="T18">
        <v>5</v>
      </c>
      <c r="U18">
        <v>2024</v>
      </c>
    </row>
    <row r="19" spans="1:21" ht="15.75" x14ac:dyDescent="0.25">
      <c r="A19" s="17" t="s">
        <v>832</v>
      </c>
      <c r="B19" t="str">
        <f t="shared" si="0"/>
        <v>-05-2024</v>
      </c>
      <c r="D19">
        <v>19681</v>
      </c>
      <c r="E19" t="str">
        <f t="shared" si="1"/>
        <v>ia.assorted_string like '%19681-05-2024%' or</v>
      </c>
      <c r="M19" s="17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>
        <v>19681</v>
      </c>
      <c r="T19">
        <v>5</v>
      </c>
      <c r="U19">
        <v>2024</v>
      </c>
    </row>
    <row r="20" spans="1:21" ht="15.75" x14ac:dyDescent="0.25">
      <c r="A20" s="17" t="s">
        <v>833</v>
      </c>
      <c r="B20" t="str">
        <f t="shared" si="0"/>
        <v>-05-2024</v>
      </c>
      <c r="D20">
        <v>19682</v>
      </c>
      <c r="E20" t="str">
        <f t="shared" si="1"/>
        <v>ia.assorted_string like '%19682-05-2024%' or</v>
      </c>
      <c r="M20" s="17" t="s">
        <v>727</v>
      </c>
      <c r="N20" t="s">
        <v>728</v>
      </c>
      <c r="O20" t="s">
        <v>729</v>
      </c>
      <c r="P20" t="s">
        <v>730</v>
      </c>
      <c r="Q20" t="s">
        <v>731</v>
      </c>
      <c r="R20" t="s">
        <v>732</v>
      </c>
      <c r="S20">
        <v>19682</v>
      </c>
      <c r="T20">
        <v>5</v>
      </c>
      <c r="U20">
        <v>2024</v>
      </c>
    </row>
    <row r="21" spans="1:21" ht="15.75" x14ac:dyDescent="0.25">
      <c r="A21" s="17" t="s">
        <v>834</v>
      </c>
      <c r="B21" t="str">
        <f t="shared" si="0"/>
        <v>-05-2024</v>
      </c>
      <c r="D21">
        <v>19683</v>
      </c>
      <c r="E21" t="str">
        <f t="shared" si="1"/>
        <v>ia.assorted_string like '%19683-05-2024%' or</v>
      </c>
      <c r="M21" s="17" t="s">
        <v>727</v>
      </c>
      <c r="N21" t="s">
        <v>728</v>
      </c>
      <c r="O21" t="s">
        <v>729</v>
      </c>
      <c r="P21" t="s">
        <v>730</v>
      </c>
      <c r="Q21" t="s">
        <v>731</v>
      </c>
      <c r="R21" t="s">
        <v>732</v>
      </c>
      <c r="S21">
        <v>19683</v>
      </c>
      <c r="T21">
        <v>5</v>
      </c>
      <c r="U21">
        <v>2024</v>
      </c>
    </row>
    <row r="22" spans="1:21" ht="15.75" x14ac:dyDescent="0.25">
      <c r="A22" s="17" t="s">
        <v>835</v>
      </c>
      <c r="B22" t="str">
        <f t="shared" si="0"/>
        <v>-05-2024</v>
      </c>
      <c r="D22">
        <v>19684</v>
      </c>
      <c r="E22" t="str">
        <f t="shared" si="1"/>
        <v>ia.assorted_string like '%19684-05-2024%' or</v>
      </c>
      <c r="M22" s="17" t="s">
        <v>727</v>
      </c>
      <c r="N22" t="s">
        <v>728</v>
      </c>
      <c r="O22" t="s">
        <v>729</v>
      </c>
      <c r="P22" t="s">
        <v>730</v>
      </c>
      <c r="Q22" t="s">
        <v>731</v>
      </c>
      <c r="R22" t="s">
        <v>732</v>
      </c>
      <c r="S22">
        <v>19684</v>
      </c>
      <c r="T22">
        <v>5</v>
      </c>
      <c r="U22">
        <v>2024</v>
      </c>
    </row>
    <row r="23" spans="1:21" ht="15.75" x14ac:dyDescent="0.25">
      <c r="A23" s="17" t="s">
        <v>836</v>
      </c>
      <c r="B23" t="str">
        <f t="shared" si="0"/>
        <v>-05-2024</v>
      </c>
      <c r="D23">
        <v>19685</v>
      </c>
      <c r="E23" t="str">
        <f t="shared" si="1"/>
        <v>ia.assorted_string like '%19685-05-2024%' or</v>
      </c>
      <c r="M23" s="17" t="s">
        <v>727</v>
      </c>
      <c r="N23" t="s">
        <v>728</v>
      </c>
      <c r="O23" t="s">
        <v>729</v>
      </c>
      <c r="P23" t="s">
        <v>730</v>
      </c>
      <c r="Q23" t="s">
        <v>731</v>
      </c>
      <c r="R23" t="s">
        <v>732</v>
      </c>
      <c r="S23">
        <v>19685</v>
      </c>
      <c r="T23">
        <v>5</v>
      </c>
      <c r="U23">
        <v>2024</v>
      </c>
    </row>
    <row r="24" spans="1:21" ht="15.75" x14ac:dyDescent="0.25">
      <c r="A24" s="17" t="s">
        <v>837</v>
      </c>
      <c r="B24" t="str">
        <f t="shared" si="0"/>
        <v>-05-2024</v>
      </c>
      <c r="D24">
        <v>19687</v>
      </c>
      <c r="E24" t="str">
        <f t="shared" si="1"/>
        <v>ia.assorted_string like '%19687-05-2024%' or</v>
      </c>
      <c r="M24" s="17" t="s">
        <v>727</v>
      </c>
      <c r="N24" t="s">
        <v>728</v>
      </c>
      <c r="O24" t="s">
        <v>729</v>
      </c>
      <c r="P24" t="s">
        <v>730</v>
      </c>
      <c r="Q24" t="s">
        <v>731</v>
      </c>
      <c r="R24" t="s">
        <v>732</v>
      </c>
      <c r="S24">
        <v>19687</v>
      </c>
      <c r="T24">
        <v>5</v>
      </c>
      <c r="U24">
        <v>2024</v>
      </c>
    </row>
    <row r="25" spans="1:21" ht="15.75" x14ac:dyDescent="0.25">
      <c r="A25" s="17" t="s">
        <v>838</v>
      </c>
      <c r="B25" t="str">
        <f t="shared" si="0"/>
        <v>-05-2024</v>
      </c>
      <c r="D25">
        <v>19689</v>
      </c>
      <c r="E25" t="str">
        <f t="shared" si="1"/>
        <v>ia.assorted_string like '%19689-05-2024%' or</v>
      </c>
      <c r="M25" s="17" t="s">
        <v>727</v>
      </c>
      <c r="N25" t="s">
        <v>728</v>
      </c>
      <c r="O25" t="s">
        <v>729</v>
      </c>
      <c r="P25" t="s">
        <v>730</v>
      </c>
      <c r="Q25" t="s">
        <v>731</v>
      </c>
      <c r="R25" t="s">
        <v>732</v>
      </c>
      <c r="S25">
        <v>19689</v>
      </c>
      <c r="T25">
        <v>5</v>
      </c>
      <c r="U25">
        <v>2024</v>
      </c>
    </row>
    <row r="26" spans="1:21" ht="15.75" x14ac:dyDescent="0.25">
      <c r="A26" s="17" t="s">
        <v>839</v>
      </c>
      <c r="B26" t="str">
        <f t="shared" si="0"/>
        <v>-05-2024</v>
      </c>
      <c r="D26">
        <v>19690</v>
      </c>
      <c r="E26" t="str">
        <f t="shared" si="1"/>
        <v>ia.assorted_string like '%19690-05-2024%' or</v>
      </c>
      <c r="M26" s="17" t="s">
        <v>727</v>
      </c>
      <c r="N26" t="s">
        <v>728</v>
      </c>
      <c r="O26" t="s">
        <v>729</v>
      </c>
      <c r="P26" t="s">
        <v>730</v>
      </c>
      <c r="Q26" t="s">
        <v>731</v>
      </c>
      <c r="R26" t="s">
        <v>732</v>
      </c>
      <c r="S26">
        <v>19690</v>
      </c>
      <c r="T26">
        <v>5</v>
      </c>
      <c r="U26">
        <v>2024</v>
      </c>
    </row>
    <row r="27" spans="1:21" ht="15.75" x14ac:dyDescent="0.25">
      <c r="A27" s="17" t="s">
        <v>840</v>
      </c>
      <c r="B27" t="str">
        <f t="shared" si="0"/>
        <v>-05-2024</v>
      </c>
      <c r="D27">
        <v>19692</v>
      </c>
      <c r="E27" t="str">
        <f t="shared" si="1"/>
        <v>ia.assorted_string like '%19692-05-2024%' or</v>
      </c>
      <c r="M27" s="17" t="s">
        <v>727</v>
      </c>
      <c r="N27" t="s">
        <v>728</v>
      </c>
      <c r="O27" t="s">
        <v>729</v>
      </c>
      <c r="P27" t="s">
        <v>730</v>
      </c>
      <c r="Q27" t="s">
        <v>731</v>
      </c>
      <c r="R27" t="s">
        <v>732</v>
      </c>
      <c r="S27">
        <v>19692</v>
      </c>
      <c r="T27">
        <v>5</v>
      </c>
      <c r="U27">
        <v>2024</v>
      </c>
    </row>
    <row r="28" spans="1:21" ht="15.75" x14ac:dyDescent="0.25">
      <c r="A28" s="17" t="s">
        <v>841</v>
      </c>
      <c r="B28" t="str">
        <f t="shared" si="0"/>
        <v>-05-2024</v>
      </c>
      <c r="D28">
        <v>19693</v>
      </c>
      <c r="E28" t="str">
        <f t="shared" si="1"/>
        <v>ia.assorted_string like '%19693-05-2024%' or</v>
      </c>
      <c r="M28" s="17" t="s">
        <v>727</v>
      </c>
      <c r="N28" t="s">
        <v>728</v>
      </c>
      <c r="O28" t="s">
        <v>729</v>
      </c>
      <c r="P28" t="s">
        <v>730</v>
      </c>
      <c r="Q28" t="s">
        <v>731</v>
      </c>
      <c r="R28" t="s">
        <v>732</v>
      </c>
      <c r="S28">
        <v>19693</v>
      </c>
      <c r="T28">
        <v>5</v>
      </c>
      <c r="U28">
        <v>2024</v>
      </c>
    </row>
    <row r="29" spans="1:21" ht="15.75" x14ac:dyDescent="0.25">
      <c r="A29" s="17" t="s">
        <v>842</v>
      </c>
      <c r="B29" t="str">
        <f t="shared" si="0"/>
        <v>-05-2024</v>
      </c>
      <c r="D29">
        <v>19694</v>
      </c>
      <c r="E29" t="str">
        <f t="shared" si="1"/>
        <v>ia.assorted_string like '%19694-05-2024%' or</v>
      </c>
      <c r="M29" s="17" t="s">
        <v>727</v>
      </c>
      <c r="N29" t="s">
        <v>728</v>
      </c>
      <c r="O29" t="s">
        <v>729</v>
      </c>
      <c r="P29" t="s">
        <v>730</v>
      </c>
      <c r="Q29" t="s">
        <v>731</v>
      </c>
      <c r="R29" t="s">
        <v>732</v>
      </c>
      <c r="S29">
        <v>19694</v>
      </c>
      <c r="T29">
        <v>5</v>
      </c>
      <c r="U29">
        <v>2024</v>
      </c>
    </row>
    <row r="30" spans="1:21" ht="15.75" x14ac:dyDescent="0.25">
      <c r="A30" s="17" t="s">
        <v>843</v>
      </c>
      <c r="B30" t="str">
        <f t="shared" si="0"/>
        <v>-05-2024</v>
      </c>
      <c r="D30">
        <v>19695</v>
      </c>
      <c r="E30" t="str">
        <f t="shared" si="1"/>
        <v>ia.assorted_string like '%19695-05-2024%' or</v>
      </c>
      <c r="M30" s="17" t="s">
        <v>727</v>
      </c>
      <c r="N30" t="s">
        <v>728</v>
      </c>
      <c r="O30" t="s">
        <v>729</v>
      </c>
      <c r="P30" t="s">
        <v>730</v>
      </c>
      <c r="Q30" t="s">
        <v>731</v>
      </c>
      <c r="R30" t="s">
        <v>732</v>
      </c>
      <c r="S30">
        <v>19695</v>
      </c>
      <c r="T30">
        <v>5</v>
      </c>
      <c r="U30">
        <v>2024</v>
      </c>
    </row>
    <row r="31" spans="1:21" ht="15.75" x14ac:dyDescent="0.25">
      <c r="A31" s="17" t="s">
        <v>844</v>
      </c>
      <c r="B31" t="str">
        <f t="shared" si="0"/>
        <v>-05-2024</v>
      </c>
      <c r="D31">
        <v>19696</v>
      </c>
      <c r="E31" t="str">
        <f t="shared" si="1"/>
        <v>ia.assorted_string like '%19696-05-2024%' or</v>
      </c>
      <c r="M31" s="17" t="s">
        <v>727</v>
      </c>
      <c r="N31" t="s">
        <v>728</v>
      </c>
      <c r="O31" t="s">
        <v>729</v>
      </c>
      <c r="P31" t="s">
        <v>730</v>
      </c>
      <c r="Q31" t="s">
        <v>731</v>
      </c>
      <c r="R31" t="s">
        <v>732</v>
      </c>
      <c r="S31">
        <v>19696</v>
      </c>
      <c r="T31">
        <v>5</v>
      </c>
      <c r="U31">
        <v>2024</v>
      </c>
    </row>
    <row r="32" spans="1:21" ht="15.75" x14ac:dyDescent="0.25">
      <c r="A32" s="17" t="s">
        <v>845</v>
      </c>
      <c r="B32" t="str">
        <f t="shared" si="0"/>
        <v>-05-2024</v>
      </c>
      <c r="D32">
        <v>19697</v>
      </c>
      <c r="E32" t="str">
        <f t="shared" si="1"/>
        <v>ia.assorted_string like '%19697-05-2024%' or</v>
      </c>
      <c r="M32" s="17" t="s">
        <v>727</v>
      </c>
      <c r="N32" t="s">
        <v>728</v>
      </c>
      <c r="O32" t="s">
        <v>729</v>
      </c>
      <c r="P32" t="s">
        <v>730</v>
      </c>
      <c r="Q32" t="s">
        <v>731</v>
      </c>
      <c r="R32" t="s">
        <v>732</v>
      </c>
      <c r="S32">
        <v>19697</v>
      </c>
      <c r="T32">
        <v>5</v>
      </c>
      <c r="U32">
        <v>2024</v>
      </c>
    </row>
    <row r="33" spans="1:21" ht="15.75" x14ac:dyDescent="0.25">
      <c r="A33" s="17" t="s">
        <v>846</v>
      </c>
      <c r="B33" t="str">
        <f t="shared" si="0"/>
        <v>-05-2024</v>
      </c>
      <c r="D33">
        <v>19701</v>
      </c>
      <c r="E33" t="str">
        <f t="shared" si="1"/>
        <v>ia.assorted_string like '%19701-05-2024%' or</v>
      </c>
      <c r="M33" s="17" t="s">
        <v>727</v>
      </c>
      <c r="N33" t="s">
        <v>728</v>
      </c>
      <c r="O33" t="s">
        <v>729</v>
      </c>
      <c r="P33" t="s">
        <v>730</v>
      </c>
      <c r="Q33" t="s">
        <v>731</v>
      </c>
      <c r="R33" t="s">
        <v>732</v>
      </c>
      <c r="S33">
        <v>19701</v>
      </c>
      <c r="T33">
        <v>5</v>
      </c>
      <c r="U33">
        <v>2024</v>
      </c>
    </row>
    <row r="34" spans="1:21" ht="15.75" x14ac:dyDescent="0.25">
      <c r="A34" s="17" t="s">
        <v>847</v>
      </c>
      <c r="B34" t="str">
        <f t="shared" si="0"/>
        <v>-05-2024</v>
      </c>
      <c r="D34">
        <v>19706</v>
      </c>
      <c r="E34" t="str">
        <f t="shared" si="1"/>
        <v>ia.assorted_string like '%19706-05-2024%' or</v>
      </c>
      <c r="M34" s="17" t="s">
        <v>727</v>
      </c>
      <c r="N34" t="s">
        <v>728</v>
      </c>
      <c r="O34" t="s">
        <v>729</v>
      </c>
      <c r="P34" t="s">
        <v>730</v>
      </c>
      <c r="Q34" t="s">
        <v>731</v>
      </c>
      <c r="R34" t="s">
        <v>732</v>
      </c>
      <c r="S34">
        <v>19706</v>
      </c>
      <c r="T34">
        <v>5</v>
      </c>
      <c r="U34">
        <v>2024</v>
      </c>
    </row>
    <row r="35" spans="1:21" ht="15.75" x14ac:dyDescent="0.25">
      <c r="A35" s="17" t="s">
        <v>848</v>
      </c>
      <c r="B35" t="str">
        <f t="shared" si="0"/>
        <v>-05-2024</v>
      </c>
      <c r="D35">
        <v>19708</v>
      </c>
      <c r="E35" t="str">
        <f t="shared" si="1"/>
        <v>ia.assorted_string like '%19708-05-2024%' or</v>
      </c>
      <c r="M35" s="17" t="s">
        <v>727</v>
      </c>
      <c r="N35" t="s">
        <v>728</v>
      </c>
      <c r="O35" t="s">
        <v>729</v>
      </c>
      <c r="P35" t="s">
        <v>730</v>
      </c>
      <c r="Q35" t="s">
        <v>731</v>
      </c>
      <c r="R35" t="s">
        <v>732</v>
      </c>
      <c r="S35">
        <v>19708</v>
      </c>
      <c r="T35">
        <v>5</v>
      </c>
      <c r="U35">
        <v>2024</v>
      </c>
    </row>
    <row r="36" spans="1:21" ht="15.75" x14ac:dyDescent="0.25">
      <c r="A36" s="17" t="s">
        <v>849</v>
      </c>
      <c r="B36" t="str">
        <f t="shared" si="0"/>
        <v>-05-2024</v>
      </c>
      <c r="D36">
        <v>19709</v>
      </c>
      <c r="E36" t="str">
        <f t="shared" si="1"/>
        <v>ia.assorted_string like '%19709-05-2024%' or</v>
      </c>
      <c r="M36" s="17" t="s">
        <v>727</v>
      </c>
      <c r="N36" t="s">
        <v>728</v>
      </c>
      <c r="O36" t="s">
        <v>729</v>
      </c>
      <c r="P36" t="s">
        <v>730</v>
      </c>
      <c r="Q36" t="s">
        <v>731</v>
      </c>
      <c r="R36" t="s">
        <v>732</v>
      </c>
      <c r="S36">
        <v>19709</v>
      </c>
      <c r="T36">
        <v>5</v>
      </c>
      <c r="U36">
        <v>2024</v>
      </c>
    </row>
    <row r="37" spans="1:21" ht="15.75" x14ac:dyDescent="0.25">
      <c r="A37" s="17" t="s">
        <v>850</v>
      </c>
      <c r="B37" t="str">
        <f t="shared" si="0"/>
        <v>-05-2024</v>
      </c>
      <c r="D37">
        <v>19710</v>
      </c>
      <c r="E37" t="str">
        <f t="shared" si="1"/>
        <v>ia.assorted_string like '%19710-05-2024%' or</v>
      </c>
      <c r="M37" s="17" t="s">
        <v>727</v>
      </c>
      <c r="N37" t="s">
        <v>728</v>
      </c>
      <c r="O37" t="s">
        <v>729</v>
      </c>
      <c r="P37" t="s">
        <v>730</v>
      </c>
      <c r="Q37" t="s">
        <v>731</v>
      </c>
      <c r="R37" t="s">
        <v>732</v>
      </c>
      <c r="S37">
        <v>19710</v>
      </c>
      <c r="T37">
        <v>5</v>
      </c>
      <c r="U37">
        <v>2024</v>
      </c>
    </row>
    <row r="38" spans="1:21" ht="15.75" x14ac:dyDescent="0.25">
      <c r="A38" s="17" t="s">
        <v>851</v>
      </c>
      <c r="B38" t="str">
        <f t="shared" si="0"/>
        <v>-05-2024</v>
      </c>
      <c r="D38">
        <v>19711</v>
      </c>
      <c r="E38" t="str">
        <f t="shared" si="1"/>
        <v>ia.assorted_string like '%19711-05-2024%' or</v>
      </c>
      <c r="M38" s="17" t="s">
        <v>727</v>
      </c>
      <c r="N38" t="s">
        <v>728</v>
      </c>
      <c r="O38" t="s">
        <v>729</v>
      </c>
      <c r="P38" t="s">
        <v>730</v>
      </c>
      <c r="Q38" t="s">
        <v>731</v>
      </c>
      <c r="R38" t="s">
        <v>732</v>
      </c>
      <c r="S38">
        <v>19711</v>
      </c>
      <c r="T38">
        <v>5</v>
      </c>
      <c r="U38">
        <v>2024</v>
      </c>
    </row>
    <row r="39" spans="1:21" ht="15.75" x14ac:dyDescent="0.25">
      <c r="A39" s="17" t="s">
        <v>852</v>
      </c>
      <c r="B39" t="str">
        <f t="shared" si="0"/>
        <v>-05-2024</v>
      </c>
      <c r="D39">
        <v>19712</v>
      </c>
      <c r="E39" t="str">
        <f t="shared" si="1"/>
        <v>ia.assorted_string like '%19712-05-2024%' or</v>
      </c>
      <c r="M39" s="17" t="s">
        <v>727</v>
      </c>
      <c r="N39" t="s">
        <v>728</v>
      </c>
      <c r="O39" t="s">
        <v>729</v>
      </c>
      <c r="P39" t="s">
        <v>730</v>
      </c>
      <c r="Q39" t="s">
        <v>731</v>
      </c>
      <c r="R39" t="s">
        <v>732</v>
      </c>
      <c r="S39">
        <v>19712</v>
      </c>
      <c r="T39">
        <v>5</v>
      </c>
      <c r="U39">
        <v>2024</v>
      </c>
    </row>
    <row r="40" spans="1:21" ht="15.75" x14ac:dyDescent="0.25">
      <c r="A40" s="17" t="s">
        <v>853</v>
      </c>
      <c r="B40" t="str">
        <f t="shared" si="0"/>
        <v>-05-2024</v>
      </c>
      <c r="D40">
        <v>19713</v>
      </c>
      <c r="E40" t="str">
        <f t="shared" si="1"/>
        <v>ia.assorted_string like '%19713-05-2024%' or</v>
      </c>
      <c r="M40" s="17" t="s">
        <v>727</v>
      </c>
      <c r="N40" t="s">
        <v>728</v>
      </c>
      <c r="O40" t="s">
        <v>729</v>
      </c>
      <c r="P40" t="s">
        <v>730</v>
      </c>
      <c r="Q40" t="s">
        <v>731</v>
      </c>
      <c r="R40" t="s">
        <v>732</v>
      </c>
      <c r="S40">
        <v>19713</v>
      </c>
      <c r="T40">
        <v>5</v>
      </c>
      <c r="U40">
        <v>2024</v>
      </c>
    </row>
    <row r="41" spans="1:21" ht="15.75" x14ac:dyDescent="0.25">
      <c r="A41" s="17" t="s">
        <v>854</v>
      </c>
      <c r="B41" t="str">
        <f t="shared" si="0"/>
        <v>-05-2024</v>
      </c>
      <c r="D41">
        <v>19714</v>
      </c>
      <c r="E41" t="str">
        <f t="shared" si="1"/>
        <v>ia.assorted_string like '%19714-05-2024%' or</v>
      </c>
      <c r="M41" s="17" t="s">
        <v>727</v>
      </c>
      <c r="N41" t="s">
        <v>728</v>
      </c>
      <c r="O41" t="s">
        <v>729</v>
      </c>
      <c r="P41" t="s">
        <v>730</v>
      </c>
      <c r="Q41" t="s">
        <v>731</v>
      </c>
      <c r="R41" t="s">
        <v>732</v>
      </c>
      <c r="S41">
        <v>19714</v>
      </c>
      <c r="T41">
        <v>5</v>
      </c>
      <c r="U41">
        <v>2024</v>
      </c>
    </row>
    <row r="42" spans="1:21" ht="15.75" x14ac:dyDescent="0.25">
      <c r="A42" s="17" t="s">
        <v>855</v>
      </c>
      <c r="B42" t="str">
        <f t="shared" si="0"/>
        <v>-05-2024</v>
      </c>
      <c r="D42">
        <v>19715</v>
      </c>
      <c r="E42" t="str">
        <f t="shared" si="1"/>
        <v>ia.assorted_string like '%19715-05-2024%' or</v>
      </c>
      <c r="M42" s="17" t="s">
        <v>727</v>
      </c>
      <c r="N42" t="s">
        <v>728</v>
      </c>
      <c r="O42" t="s">
        <v>729</v>
      </c>
      <c r="P42" t="s">
        <v>730</v>
      </c>
      <c r="Q42" t="s">
        <v>731</v>
      </c>
      <c r="R42" t="s">
        <v>732</v>
      </c>
      <c r="S42">
        <v>19715</v>
      </c>
      <c r="T42">
        <v>5</v>
      </c>
      <c r="U42">
        <v>2024</v>
      </c>
    </row>
    <row r="43" spans="1:21" ht="15.75" x14ac:dyDescent="0.25">
      <c r="A43" s="17" t="s">
        <v>856</v>
      </c>
      <c r="B43" t="str">
        <f t="shared" si="0"/>
        <v>-05-2024</v>
      </c>
      <c r="D43">
        <v>19716</v>
      </c>
      <c r="E43" t="str">
        <f t="shared" si="1"/>
        <v>ia.assorted_string like '%19716-05-2024%' or</v>
      </c>
      <c r="M43" s="17" t="s">
        <v>727</v>
      </c>
      <c r="N43" t="s">
        <v>728</v>
      </c>
      <c r="O43" t="s">
        <v>729</v>
      </c>
      <c r="P43" t="s">
        <v>730</v>
      </c>
      <c r="Q43" t="s">
        <v>731</v>
      </c>
      <c r="R43" t="s">
        <v>732</v>
      </c>
      <c r="S43">
        <v>19716</v>
      </c>
      <c r="T43">
        <v>5</v>
      </c>
      <c r="U43">
        <v>2024</v>
      </c>
    </row>
    <row r="44" spans="1:21" ht="15.75" x14ac:dyDescent="0.25">
      <c r="A44" s="17" t="s">
        <v>857</v>
      </c>
      <c r="B44" t="str">
        <f t="shared" si="0"/>
        <v>-05-2024</v>
      </c>
      <c r="D44">
        <v>19717</v>
      </c>
      <c r="E44" t="str">
        <f t="shared" si="1"/>
        <v>ia.assorted_string like '%19717-05-2024%' or</v>
      </c>
      <c r="M44" s="17" t="s">
        <v>727</v>
      </c>
      <c r="N44" t="s">
        <v>728</v>
      </c>
      <c r="O44" t="s">
        <v>729</v>
      </c>
      <c r="P44" t="s">
        <v>730</v>
      </c>
      <c r="Q44" t="s">
        <v>731</v>
      </c>
      <c r="R44" t="s">
        <v>732</v>
      </c>
      <c r="S44">
        <v>19717</v>
      </c>
      <c r="T44">
        <v>5</v>
      </c>
      <c r="U44">
        <v>2024</v>
      </c>
    </row>
    <row r="45" spans="1:21" ht="15.75" x14ac:dyDescent="0.25">
      <c r="A45" s="17" t="s">
        <v>858</v>
      </c>
      <c r="B45" t="str">
        <f t="shared" si="0"/>
        <v>-05-2024</v>
      </c>
      <c r="D45">
        <v>19718</v>
      </c>
      <c r="E45" t="str">
        <f t="shared" si="1"/>
        <v>ia.assorted_string like '%19718-05-2024%' or</v>
      </c>
      <c r="M45" s="17" t="s">
        <v>727</v>
      </c>
      <c r="N45" t="s">
        <v>728</v>
      </c>
      <c r="O45" t="s">
        <v>729</v>
      </c>
      <c r="P45" t="s">
        <v>730</v>
      </c>
      <c r="Q45" t="s">
        <v>731</v>
      </c>
      <c r="R45" t="s">
        <v>732</v>
      </c>
      <c r="S45">
        <v>19718</v>
      </c>
      <c r="T45">
        <v>5</v>
      </c>
      <c r="U45">
        <v>2024</v>
      </c>
    </row>
    <row r="46" spans="1:21" ht="15.75" x14ac:dyDescent="0.25">
      <c r="A46" s="17" t="s">
        <v>859</v>
      </c>
      <c r="B46" t="str">
        <f t="shared" si="0"/>
        <v>-05-2024</v>
      </c>
      <c r="D46">
        <v>19719</v>
      </c>
      <c r="E46" t="str">
        <f t="shared" si="1"/>
        <v>ia.assorted_string like '%19719-05-2024%' or</v>
      </c>
      <c r="M46" s="17" t="s">
        <v>727</v>
      </c>
      <c r="N46" t="s">
        <v>728</v>
      </c>
      <c r="O46" t="s">
        <v>729</v>
      </c>
      <c r="P46" t="s">
        <v>730</v>
      </c>
      <c r="Q46" t="s">
        <v>731</v>
      </c>
      <c r="R46" t="s">
        <v>732</v>
      </c>
      <c r="S46">
        <v>19719</v>
      </c>
      <c r="T46">
        <v>5</v>
      </c>
      <c r="U46">
        <v>2024</v>
      </c>
    </row>
    <row r="47" spans="1:21" ht="15.75" x14ac:dyDescent="0.25">
      <c r="A47" s="17" t="s">
        <v>860</v>
      </c>
      <c r="B47" t="str">
        <f t="shared" si="0"/>
        <v>-05-2024</v>
      </c>
      <c r="D47">
        <v>19720</v>
      </c>
      <c r="E47" t="str">
        <f t="shared" si="1"/>
        <v>ia.assorted_string like '%19720-05-2024%' or</v>
      </c>
      <c r="M47" s="17" t="s">
        <v>727</v>
      </c>
      <c r="N47" t="s">
        <v>728</v>
      </c>
      <c r="O47" t="s">
        <v>729</v>
      </c>
      <c r="P47" t="s">
        <v>730</v>
      </c>
      <c r="Q47" t="s">
        <v>731</v>
      </c>
      <c r="R47" t="s">
        <v>732</v>
      </c>
      <c r="S47">
        <v>19720</v>
      </c>
      <c r="T47">
        <v>5</v>
      </c>
      <c r="U47">
        <v>2024</v>
      </c>
    </row>
    <row r="48" spans="1:21" ht="15.75" x14ac:dyDescent="0.25">
      <c r="A48" s="17" t="s">
        <v>861</v>
      </c>
      <c r="B48" t="str">
        <f t="shared" si="0"/>
        <v>-05-2024</v>
      </c>
      <c r="D48">
        <v>19721</v>
      </c>
      <c r="E48" t="str">
        <f t="shared" si="1"/>
        <v>ia.assorted_string like '%19721-05-2024%' or</v>
      </c>
      <c r="M48" s="17" t="s">
        <v>727</v>
      </c>
      <c r="N48" t="s">
        <v>728</v>
      </c>
      <c r="O48" t="s">
        <v>729</v>
      </c>
      <c r="P48" t="s">
        <v>730</v>
      </c>
      <c r="Q48" t="s">
        <v>731</v>
      </c>
      <c r="R48" t="s">
        <v>732</v>
      </c>
      <c r="S48">
        <v>19721</v>
      </c>
      <c r="T48">
        <v>5</v>
      </c>
      <c r="U48">
        <v>2024</v>
      </c>
    </row>
    <row r="49" spans="1:21" ht="15.75" x14ac:dyDescent="0.25">
      <c r="A49" s="17" t="s">
        <v>862</v>
      </c>
      <c r="B49" t="str">
        <f t="shared" si="0"/>
        <v>-05-2024</v>
      </c>
      <c r="D49">
        <v>19722</v>
      </c>
      <c r="E49" t="str">
        <f t="shared" si="1"/>
        <v>ia.assorted_string like '%19722-05-2024%' or</v>
      </c>
      <c r="M49" s="17" t="s">
        <v>727</v>
      </c>
      <c r="N49" t="s">
        <v>728</v>
      </c>
      <c r="O49" t="s">
        <v>729</v>
      </c>
      <c r="P49" t="s">
        <v>730</v>
      </c>
      <c r="Q49" t="s">
        <v>731</v>
      </c>
      <c r="R49" t="s">
        <v>732</v>
      </c>
      <c r="S49">
        <v>19722</v>
      </c>
      <c r="T49">
        <v>5</v>
      </c>
      <c r="U49">
        <v>2024</v>
      </c>
    </row>
    <row r="50" spans="1:21" ht="15.75" x14ac:dyDescent="0.25">
      <c r="A50" s="17" t="s">
        <v>863</v>
      </c>
      <c r="B50" t="str">
        <f t="shared" si="0"/>
        <v>-05-2024</v>
      </c>
      <c r="D50">
        <v>19723</v>
      </c>
      <c r="E50" t="str">
        <f t="shared" si="1"/>
        <v>ia.assorted_string like '%19723-05-2024%' or</v>
      </c>
      <c r="M50" s="17" t="s">
        <v>727</v>
      </c>
      <c r="N50" t="s">
        <v>728</v>
      </c>
      <c r="O50" t="s">
        <v>729</v>
      </c>
      <c r="P50" t="s">
        <v>730</v>
      </c>
      <c r="Q50" t="s">
        <v>731</v>
      </c>
      <c r="R50" t="s">
        <v>732</v>
      </c>
      <c r="S50">
        <v>19723</v>
      </c>
      <c r="T50">
        <v>5</v>
      </c>
      <c r="U50">
        <v>2024</v>
      </c>
    </row>
    <row r="51" spans="1:21" ht="15.75" x14ac:dyDescent="0.25">
      <c r="A51" s="17" t="s">
        <v>864</v>
      </c>
      <c r="B51" t="str">
        <f t="shared" si="0"/>
        <v>-05-2024</v>
      </c>
      <c r="D51">
        <v>19724</v>
      </c>
      <c r="E51" t="str">
        <f t="shared" si="1"/>
        <v>ia.assorted_string like '%19724-05-2024%' or</v>
      </c>
      <c r="M51" s="17" t="s">
        <v>727</v>
      </c>
      <c r="N51" t="s">
        <v>728</v>
      </c>
      <c r="O51" t="s">
        <v>729</v>
      </c>
      <c r="P51" t="s">
        <v>730</v>
      </c>
      <c r="Q51" t="s">
        <v>731</v>
      </c>
      <c r="R51" t="s">
        <v>732</v>
      </c>
      <c r="S51">
        <v>19724</v>
      </c>
      <c r="T51">
        <v>5</v>
      </c>
      <c r="U51">
        <v>2024</v>
      </c>
    </row>
    <row r="52" spans="1:21" ht="15.75" x14ac:dyDescent="0.25">
      <c r="A52" s="17" t="s">
        <v>865</v>
      </c>
      <c r="B52" t="str">
        <f t="shared" si="0"/>
        <v>-05-2024</v>
      </c>
      <c r="D52">
        <v>19725</v>
      </c>
      <c r="E52" t="str">
        <f t="shared" si="1"/>
        <v>ia.assorted_string like '%19725-05-2024%' or</v>
      </c>
      <c r="M52" s="17" t="s">
        <v>727</v>
      </c>
      <c r="N52" t="s">
        <v>728</v>
      </c>
      <c r="O52" t="s">
        <v>729</v>
      </c>
      <c r="P52" t="s">
        <v>730</v>
      </c>
      <c r="Q52" t="s">
        <v>731</v>
      </c>
      <c r="R52" t="s">
        <v>732</v>
      </c>
      <c r="S52">
        <v>19725</v>
      </c>
      <c r="T52">
        <v>5</v>
      </c>
      <c r="U52">
        <v>2024</v>
      </c>
    </row>
    <row r="53" spans="1:21" ht="15.75" x14ac:dyDescent="0.25">
      <c r="A53" s="17" t="s">
        <v>866</v>
      </c>
      <c r="B53" t="str">
        <f t="shared" si="0"/>
        <v>-05-2024</v>
      </c>
      <c r="D53">
        <v>19726</v>
      </c>
      <c r="E53" t="str">
        <f t="shared" si="1"/>
        <v>ia.assorted_string like '%19726-05-2024%' or</v>
      </c>
      <c r="M53" s="17" t="s">
        <v>727</v>
      </c>
      <c r="N53" t="s">
        <v>728</v>
      </c>
      <c r="O53" t="s">
        <v>729</v>
      </c>
      <c r="P53" t="s">
        <v>730</v>
      </c>
      <c r="Q53" t="s">
        <v>731</v>
      </c>
      <c r="R53" t="s">
        <v>732</v>
      </c>
      <c r="S53">
        <v>19726</v>
      </c>
      <c r="T53">
        <v>5</v>
      </c>
      <c r="U53">
        <v>2024</v>
      </c>
    </row>
    <row r="54" spans="1:21" ht="15.75" x14ac:dyDescent="0.25">
      <c r="A54" s="17" t="s">
        <v>867</v>
      </c>
      <c r="B54" t="str">
        <f t="shared" si="0"/>
        <v>-05-2024</v>
      </c>
      <c r="D54">
        <v>19730</v>
      </c>
      <c r="E54" t="str">
        <f t="shared" si="1"/>
        <v>ia.assorted_string like '%19730-05-2024%' or</v>
      </c>
      <c r="M54" s="17" t="s">
        <v>727</v>
      </c>
      <c r="N54" t="s">
        <v>728</v>
      </c>
      <c r="O54" t="s">
        <v>729</v>
      </c>
      <c r="P54" t="s">
        <v>730</v>
      </c>
      <c r="Q54" t="s">
        <v>731</v>
      </c>
      <c r="R54" t="s">
        <v>732</v>
      </c>
      <c r="S54">
        <v>19730</v>
      </c>
      <c r="T54">
        <v>5</v>
      </c>
      <c r="U54">
        <v>2024</v>
      </c>
    </row>
    <row r="55" spans="1:21" ht="15.75" x14ac:dyDescent="0.25">
      <c r="A55" s="17" t="s">
        <v>868</v>
      </c>
      <c r="B55" t="str">
        <f t="shared" si="0"/>
        <v>-05-2024</v>
      </c>
      <c r="D55">
        <v>19731</v>
      </c>
      <c r="E55" t="str">
        <f t="shared" si="1"/>
        <v>ia.assorted_string like '%19731-05-2024%' or</v>
      </c>
      <c r="M55" s="17" t="s">
        <v>727</v>
      </c>
      <c r="N55" t="s">
        <v>728</v>
      </c>
      <c r="O55" t="s">
        <v>729</v>
      </c>
      <c r="P55" t="s">
        <v>730</v>
      </c>
      <c r="Q55" t="s">
        <v>731</v>
      </c>
      <c r="R55" t="s">
        <v>732</v>
      </c>
      <c r="S55">
        <v>19731</v>
      </c>
      <c r="T55">
        <v>5</v>
      </c>
      <c r="U55">
        <v>2024</v>
      </c>
    </row>
    <row r="56" spans="1:21" ht="15.75" x14ac:dyDescent="0.25">
      <c r="A56" s="17" t="s">
        <v>869</v>
      </c>
      <c r="B56" t="str">
        <f t="shared" si="0"/>
        <v>-05-2024</v>
      </c>
      <c r="D56">
        <v>19732</v>
      </c>
      <c r="E56" t="str">
        <f t="shared" si="1"/>
        <v>ia.assorted_string like '%19732-05-2024%' or</v>
      </c>
      <c r="M56" s="17" t="s">
        <v>727</v>
      </c>
      <c r="N56" t="s">
        <v>728</v>
      </c>
      <c r="O56" t="s">
        <v>729</v>
      </c>
      <c r="P56" t="s">
        <v>730</v>
      </c>
      <c r="Q56" t="s">
        <v>731</v>
      </c>
      <c r="R56" t="s">
        <v>732</v>
      </c>
      <c r="S56">
        <v>19732</v>
      </c>
      <c r="T56">
        <v>5</v>
      </c>
      <c r="U56">
        <v>2024</v>
      </c>
    </row>
    <row r="57" spans="1:21" ht="15.75" x14ac:dyDescent="0.25">
      <c r="A57" s="17" t="s">
        <v>870</v>
      </c>
      <c r="B57" t="str">
        <f t="shared" si="0"/>
        <v>-05-2024</v>
      </c>
      <c r="D57">
        <v>19733</v>
      </c>
      <c r="E57" t="str">
        <f t="shared" si="1"/>
        <v>ia.assorted_string like '%19733-05-2024%' or</v>
      </c>
      <c r="M57" s="17" t="s">
        <v>727</v>
      </c>
      <c r="N57" t="s">
        <v>728</v>
      </c>
      <c r="O57" t="s">
        <v>729</v>
      </c>
      <c r="P57" t="s">
        <v>730</v>
      </c>
      <c r="Q57" t="s">
        <v>731</v>
      </c>
      <c r="R57" t="s">
        <v>732</v>
      </c>
      <c r="S57">
        <v>19733</v>
      </c>
      <c r="T57">
        <v>5</v>
      </c>
      <c r="U57">
        <v>2024</v>
      </c>
    </row>
    <row r="58" spans="1:21" ht="15.75" x14ac:dyDescent="0.25">
      <c r="A58" s="17" t="s">
        <v>871</v>
      </c>
      <c r="B58" t="str">
        <f t="shared" si="0"/>
        <v>-05-2024</v>
      </c>
      <c r="D58">
        <v>19734</v>
      </c>
      <c r="E58" t="str">
        <f t="shared" si="1"/>
        <v>ia.assorted_string like '%19734-05-2024%' or</v>
      </c>
      <c r="M58" s="17" t="s">
        <v>727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>
        <v>19734</v>
      </c>
      <c r="T58">
        <v>5</v>
      </c>
      <c r="U58">
        <v>2024</v>
      </c>
    </row>
    <row r="59" spans="1:21" ht="15.75" x14ac:dyDescent="0.25">
      <c r="A59" s="17" t="s">
        <v>872</v>
      </c>
      <c r="B59" t="str">
        <f t="shared" si="0"/>
        <v>-05-2024</v>
      </c>
      <c r="D59">
        <v>19737</v>
      </c>
      <c r="E59" t="str">
        <f t="shared" si="1"/>
        <v>ia.assorted_string like '%19737-05-2024%' or</v>
      </c>
      <c r="M59" s="17" t="s">
        <v>727</v>
      </c>
      <c r="N59" t="s">
        <v>728</v>
      </c>
      <c r="O59" t="s">
        <v>729</v>
      </c>
      <c r="P59" t="s">
        <v>730</v>
      </c>
      <c r="Q59" t="s">
        <v>731</v>
      </c>
      <c r="R59" t="s">
        <v>732</v>
      </c>
      <c r="S59">
        <v>19737</v>
      </c>
      <c r="T59">
        <v>5</v>
      </c>
      <c r="U59">
        <v>2024</v>
      </c>
    </row>
    <row r="60" spans="1:21" ht="15.75" x14ac:dyDescent="0.25">
      <c r="A60" s="17" t="s">
        <v>873</v>
      </c>
      <c r="B60" t="str">
        <f t="shared" si="0"/>
        <v>-05-2024</v>
      </c>
      <c r="D60">
        <v>19738</v>
      </c>
      <c r="E60" t="str">
        <f t="shared" si="1"/>
        <v>ia.assorted_string like '%19738-05-2024%' or</v>
      </c>
      <c r="M60" s="17" t="s">
        <v>727</v>
      </c>
      <c r="N60" t="s">
        <v>728</v>
      </c>
      <c r="O60" t="s">
        <v>729</v>
      </c>
      <c r="P60" t="s">
        <v>730</v>
      </c>
      <c r="Q60" t="s">
        <v>731</v>
      </c>
      <c r="R60" t="s">
        <v>732</v>
      </c>
      <c r="S60">
        <v>19738</v>
      </c>
      <c r="T60">
        <v>5</v>
      </c>
      <c r="U60">
        <v>2024</v>
      </c>
    </row>
    <row r="61" spans="1:21" ht="15.75" x14ac:dyDescent="0.25">
      <c r="A61" s="17" t="s">
        <v>874</v>
      </c>
      <c r="B61" t="str">
        <f t="shared" si="0"/>
        <v>-05-2024</v>
      </c>
      <c r="D61">
        <v>19739</v>
      </c>
      <c r="E61" t="str">
        <f t="shared" si="1"/>
        <v>ia.assorted_string like '%19739-05-2024%' or</v>
      </c>
      <c r="M61" s="17" t="s">
        <v>727</v>
      </c>
      <c r="N61" t="s">
        <v>728</v>
      </c>
      <c r="O61" t="s">
        <v>729</v>
      </c>
      <c r="P61" t="s">
        <v>730</v>
      </c>
      <c r="Q61" t="s">
        <v>731</v>
      </c>
      <c r="R61" t="s">
        <v>732</v>
      </c>
      <c r="S61">
        <v>19739</v>
      </c>
      <c r="T61">
        <v>5</v>
      </c>
      <c r="U61">
        <v>2024</v>
      </c>
    </row>
    <row r="62" spans="1:21" ht="15.75" x14ac:dyDescent="0.25">
      <c r="A62" s="17" t="s">
        <v>875</v>
      </c>
      <c r="B62" t="str">
        <f t="shared" si="0"/>
        <v>-05-2024</v>
      </c>
      <c r="D62">
        <v>19740</v>
      </c>
      <c r="E62" t="str">
        <f t="shared" si="1"/>
        <v>ia.assorted_string like '%19740-05-2024%' or</v>
      </c>
      <c r="M62" s="17" t="s">
        <v>727</v>
      </c>
      <c r="N62" t="s">
        <v>728</v>
      </c>
      <c r="O62" t="s">
        <v>729</v>
      </c>
      <c r="P62" t="s">
        <v>730</v>
      </c>
      <c r="Q62" t="s">
        <v>731</v>
      </c>
      <c r="R62" t="s">
        <v>732</v>
      </c>
      <c r="S62">
        <v>19740</v>
      </c>
      <c r="T62">
        <v>5</v>
      </c>
      <c r="U62">
        <v>2024</v>
      </c>
    </row>
    <row r="63" spans="1:21" ht="15.75" x14ac:dyDescent="0.25">
      <c r="A63" s="17" t="s">
        <v>876</v>
      </c>
      <c r="B63" t="str">
        <f t="shared" si="0"/>
        <v>-05-2024</v>
      </c>
      <c r="D63">
        <v>19741</v>
      </c>
      <c r="E63" t="str">
        <f t="shared" si="1"/>
        <v>ia.assorted_string like '%19741-05-2024%' or</v>
      </c>
      <c r="M63" s="17" t="s">
        <v>727</v>
      </c>
      <c r="N63" t="s">
        <v>728</v>
      </c>
      <c r="O63" t="s">
        <v>729</v>
      </c>
      <c r="P63" t="s">
        <v>730</v>
      </c>
      <c r="Q63" t="s">
        <v>731</v>
      </c>
      <c r="R63" t="s">
        <v>732</v>
      </c>
      <c r="S63">
        <v>19741</v>
      </c>
      <c r="T63">
        <v>5</v>
      </c>
      <c r="U63">
        <v>2024</v>
      </c>
    </row>
    <row r="64" spans="1:21" ht="15.75" x14ac:dyDescent="0.25">
      <c r="A64" s="17" t="s">
        <v>877</v>
      </c>
      <c r="B64" t="str">
        <f t="shared" si="0"/>
        <v>-05-2024</v>
      </c>
      <c r="D64">
        <v>19742</v>
      </c>
      <c r="E64" t="str">
        <f t="shared" si="1"/>
        <v>ia.assorted_string like '%19742-05-2024%' or</v>
      </c>
      <c r="M64" s="17" t="s">
        <v>727</v>
      </c>
      <c r="N64" t="s">
        <v>728</v>
      </c>
      <c r="O64" t="s">
        <v>729</v>
      </c>
      <c r="P64" t="s">
        <v>730</v>
      </c>
      <c r="Q64" t="s">
        <v>731</v>
      </c>
      <c r="R64" t="s">
        <v>732</v>
      </c>
      <c r="S64">
        <v>19742</v>
      </c>
      <c r="T64">
        <v>5</v>
      </c>
      <c r="U64">
        <v>2024</v>
      </c>
    </row>
    <row r="65" spans="1:21" ht="15.75" x14ac:dyDescent="0.25">
      <c r="A65" s="17" t="s">
        <v>878</v>
      </c>
      <c r="B65" t="str">
        <f t="shared" si="0"/>
        <v>-05-2024</v>
      </c>
      <c r="D65">
        <v>19744</v>
      </c>
      <c r="E65" t="str">
        <f t="shared" si="1"/>
        <v>ia.assorted_string like '%19744-05-2024%' or</v>
      </c>
      <c r="M65" s="17" t="s">
        <v>727</v>
      </c>
      <c r="N65" t="s">
        <v>728</v>
      </c>
      <c r="O65" t="s">
        <v>729</v>
      </c>
      <c r="P65" t="s">
        <v>730</v>
      </c>
      <c r="Q65" t="s">
        <v>731</v>
      </c>
      <c r="R65" t="s">
        <v>732</v>
      </c>
      <c r="S65">
        <v>19744</v>
      </c>
      <c r="T65">
        <v>5</v>
      </c>
      <c r="U65">
        <v>2024</v>
      </c>
    </row>
    <row r="66" spans="1:21" ht="15.75" x14ac:dyDescent="0.25">
      <c r="A66" s="17" t="s">
        <v>879</v>
      </c>
      <c r="B66" t="str">
        <f t="shared" ref="B66:B82" si="2">RIGHT(A66,8)</f>
        <v>-05-2024</v>
      </c>
      <c r="D66">
        <v>19745</v>
      </c>
      <c r="E66" t="str">
        <f t="shared" ref="E66:E82" si="3">"ia.assorted_string like '%"&amp;D66&amp;B66&amp;"%' or"</f>
        <v>ia.assorted_string like '%19745-05-2024%' or</v>
      </c>
      <c r="M66" s="17" t="s">
        <v>727</v>
      </c>
      <c r="N66" t="s">
        <v>728</v>
      </c>
      <c r="O66" t="s">
        <v>729</v>
      </c>
      <c r="P66" t="s">
        <v>730</v>
      </c>
      <c r="Q66" t="s">
        <v>731</v>
      </c>
      <c r="R66" t="s">
        <v>732</v>
      </c>
      <c r="S66">
        <v>19745</v>
      </c>
      <c r="T66">
        <v>5</v>
      </c>
      <c r="U66">
        <v>2024</v>
      </c>
    </row>
    <row r="67" spans="1:21" ht="15.75" x14ac:dyDescent="0.25">
      <c r="A67" s="17" t="s">
        <v>880</v>
      </c>
      <c r="B67" t="str">
        <f t="shared" si="2"/>
        <v>-05-2024</v>
      </c>
      <c r="D67">
        <v>19746</v>
      </c>
      <c r="E67" t="str">
        <f t="shared" si="3"/>
        <v>ia.assorted_string like '%19746-05-2024%' or</v>
      </c>
      <c r="M67" s="17" t="s">
        <v>727</v>
      </c>
      <c r="N67" t="s">
        <v>728</v>
      </c>
      <c r="O67" t="s">
        <v>729</v>
      </c>
      <c r="P67" t="s">
        <v>730</v>
      </c>
      <c r="Q67" t="s">
        <v>731</v>
      </c>
      <c r="R67" t="s">
        <v>732</v>
      </c>
      <c r="S67">
        <v>19746</v>
      </c>
      <c r="T67">
        <v>5</v>
      </c>
      <c r="U67">
        <v>2024</v>
      </c>
    </row>
    <row r="68" spans="1:21" ht="15.75" x14ac:dyDescent="0.25">
      <c r="A68" s="17" t="s">
        <v>881</v>
      </c>
      <c r="B68" t="str">
        <f t="shared" si="2"/>
        <v>-05-2024</v>
      </c>
      <c r="D68">
        <v>19748</v>
      </c>
      <c r="E68" t="str">
        <f t="shared" si="3"/>
        <v>ia.assorted_string like '%19748-05-2024%' or</v>
      </c>
      <c r="M68" s="17" t="s">
        <v>727</v>
      </c>
      <c r="N68" t="s">
        <v>728</v>
      </c>
      <c r="O68" t="s">
        <v>729</v>
      </c>
      <c r="P68" t="s">
        <v>730</v>
      </c>
      <c r="Q68" t="s">
        <v>731</v>
      </c>
      <c r="R68" t="s">
        <v>732</v>
      </c>
      <c r="S68">
        <v>19748</v>
      </c>
      <c r="T68">
        <v>5</v>
      </c>
      <c r="U68">
        <v>2024</v>
      </c>
    </row>
    <row r="69" spans="1:21" ht="15.75" x14ac:dyDescent="0.25">
      <c r="A69" s="17" t="s">
        <v>882</v>
      </c>
      <c r="B69" t="str">
        <f t="shared" si="2"/>
        <v>-05-2024</v>
      </c>
      <c r="D69">
        <v>19749</v>
      </c>
      <c r="E69" t="str">
        <f t="shared" si="3"/>
        <v>ia.assorted_string like '%19749-05-2024%' or</v>
      </c>
      <c r="M69" s="17" t="s">
        <v>727</v>
      </c>
      <c r="N69" t="s">
        <v>728</v>
      </c>
      <c r="O69" t="s">
        <v>729</v>
      </c>
      <c r="P69" t="s">
        <v>730</v>
      </c>
      <c r="Q69" t="s">
        <v>731</v>
      </c>
      <c r="R69" t="s">
        <v>732</v>
      </c>
      <c r="S69">
        <v>19749</v>
      </c>
      <c r="T69">
        <v>5</v>
      </c>
      <c r="U69">
        <v>2024</v>
      </c>
    </row>
    <row r="70" spans="1:21" ht="15.75" x14ac:dyDescent="0.25">
      <c r="A70" s="17" t="s">
        <v>883</v>
      </c>
      <c r="B70" t="str">
        <f t="shared" si="2"/>
        <v>-05-2024</v>
      </c>
      <c r="D70">
        <v>19750</v>
      </c>
      <c r="E70" t="str">
        <f t="shared" si="3"/>
        <v>ia.assorted_string like '%19750-05-2024%' or</v>
      </c>
      <c r="M70" s="17" t="s">
        <v>727</v>
      </c>
      <c r="N70" t="s">
        <v>728</v>
      </c>
      <c r="O70" t="s">
        <v>729</v>
      </c>
      <c r="P70" t="s">
        <v>730</v>
      </c>
      <c r="Q70" t="s">
        <v>731</v>
      </c>
      <c r="R70" t="s">
        <v>732</v>
      </c>
      <c r="S70">
        <v>19750</v>
      </c>
      <c r="T70">
        <v>5</v>
      </c>
      <c r="U70">
        <v>2024</v>
      </c>
    </row>
    <row r="71" spans="1:21" ht="15.75" x14ac:dyDescent="0.25">
      <c r="A71" s="17" t="s">
        <v>884</v>
      </c>
      <c r="B71" t="str">
        <f t="shared" si="2"/>
        <v>-05-2024</v>
      </c>
      <c r="D71">
        <v>19751</v>
      </c>
      <c r="E71" t="str">
        <f t="shared" si="3"/>
        <v>ia.assorted_string like '%19751-05-2024%' or</v>
      </c>
      <c r="M71" s="17" t="s">
        <v>727</v>
      </c>
      <c r="N71" t="s">
        <v>728</v>
      </c>
      <c r="O71" t="s">
        <v>729</v>
      </c>
      <c r="P71" t="s">
        <v>730</v>
      </c>
      <c r="Q71" t="s">
        <v>731</v>
      </c>
      <c r="R71" t="s">
        <v>732</v>
      </c>
      <c r="S71">
        <v>19751</v>
      </c>
      <c r="T71">
        <v>5</v>
      </c>
      <c r="U71">
        <v>2024</v>
      </c>
    </row>
    <row r="72" spans="1:21" ht="15.75" x14ac:dyDescent="0.25">
      <c r="A72" s="17" t="s">
        <v>885</v>
      </c>
      <c r="B72" t="str">
        <f t="shared" si="2"/>
        <v>-05-2024</v>
      </c>
      <c r="D72">
        <v>19752</v>
      </c>
      <c r="E72" t="str">
        <f t="shared" si="3"/>
        <v>ia.assorted_string like '%19752-05-2024%' or</v>
      </c>
      <c r="M72" s="17" t="s">
        <v>727</v>
      </c>
      <c r="N72" t="s">
        <v>728</v>
      </c>
      <c r="O72" t="s">
        <v>729</v>
      </c>
      <c r="P72" t="s">
        <v>730</v>
      </c>
      <c r="Q72" t="s">
        <v>731</v>
      </c>
      <c r="R72" t="s">
        <v>732</v>
      </c>
      <c r="S72">
        <v>19752</v>
      </c>
      <c r="T72">
        <v>5</v>
      </c>
      <c r="U72">
        <v>2024</v>
      </c>
    </row>
    <row r="73" spans="1:21" ht="15.75" x14ac:dyDescent="0.25">
      <c r="A73" s="17" t="s">
        <v>886</v>
      </c>
      <c r="B73" t="str">
        <f t="shared" si="2"/>
        <v>-05-2024</v>
      </c>
      <c r="D73">
        <v>19753</v>
      </c>
      <c r="E73" t="str">
        <f t="shared" si="3"/>
        <v>ia.assorted_string like '%19753-05-2024%' or</v>
      </c>
      <c r="M73" s="17" t="s">
        <v>727</v>
      </c>
      <c r="N73" t="s">
        <v>728</v>
      </c>
      <c r="O73" t="s">
        <v>729</v>
      </c>
      <c r="P73" t="s">
        <v>730</v>
      </c>
      <c r="Q73" t="s">
        <v>731</v>
      </c>
      <c r="R73" t="s">
        <v>732</v>
      </c>
      <c r="S73">
        <v>19753</v>
      </c>
      <c r="T73">
        <v>5</v>
      </c>
      <c r="U73">
        <v>2024</v>
      </c>
    </row>
    <row r="74" spans="1:21" ht="15.75" x14ac:dyDescent="0.25">
      <c r="A74" s="17" t="s">
        <v>887</v>
      </c>
      <c r="B74" t="str">
        <f t="shared" si="2"/>
        <v>-05-2024</v>
      </c>
      <c r="D74">
        <v>19754</v>
      </c>
      <c r="E74" t="str">
        <f t="shared" si="3"/>
        <v>ia.assorted_string like '%19754-05-2024%' or</v>
      </c>
      <c r="M74" s="17" t="s">
        <v>727</v>
      </c>
      <c r="N74" t="s">
        <v>728</v>
      </c>
      <c r="O74" t="s">
        <v>729</v>
      </c>
      <c r="P74" t="s">
        <v>730</v>
      </c>
      <c r="Q74" t="s">
        <v>731</v>
      </c>
      <c r="R74" t="s">
        <v>732</v>
      </c>
      <c r="S74">
        <v>19754</v>
      </c>
      <c r="T74">
        <v>5</v>
      </c>
      <c r="U74">
        <v>2024</v>
      </c>
    </row>
    <row r="75" spans="1:21" ht="15.75" x14ac:dyDescent="0.25">
      <c r="A75" s="17" t="s">
        <v>888</v>
      </c>
      <c r="B75" t="str">
        <f t="shared" si="2"/>
        <v>-05-2024</v>
      </c>
      <c r="D75">
        <v>19775</v>
      </c>
      <c r="E75" t="str">
        <f t="shared" si="3"/>
        <v>ia.assorted_string like '%19775-05-2024%' or</v>
      </c>
      <c r="M75" s="17" t="s">
        <v>727</v>
      </c>
      <c r="N75" t="s">
        <v>728</v>
      </c>
      <c r="O75" t="s">
        <v>729</v>
      </c>
      <c r="P75" t="s">
        <v>730</v>
      </c>
      <c r="Q75" t="s">
        <v>731</v>
      </c>
      <c r="R75" t="s">
        <v>732</v>
      </c>
      <c r="S75">
        <v>19775</v>
      </c>
      <c r="T75">
        <v>5</v>
      </c>
      <c r="U75">
        <v>2024</v>
      </c>
    </row>
    <row r="76" spans="1:21" ht="15.75" x14ac:dyDescent="0.25">
      <c r="A76" s="17" t="s">
        <v>889</v>
      </c>
      <c r="B76" t="str">
        <f t="shared" si="2"/>
        <v>-05-2024</v>
      </c>
      <c r="D76">
        <v>19776</v>
      </c>
      <c r="E76" t="str">
        <f t="shared" si="3"/>
        <v>ia.assorted_string like '%19776-05-2024%' or</v>
      </c>
      <c r="M76" s="17" t="s">
        <v>727</v>
      </c>
      <c r="N76" t="s">
        <v>728</v>
      </c>
      <c r="O76" t="s">
        <v>729</v>
      </c>
      <c r="P76" t="s">
        <v>730</v>
      </c>
      <c r="Q76" t="s">
        <v>731</v>
      </c>
      <c r="R76" t="s">
        <v>732</v>
      </c>
      <c r="S76">
        <v>19776</v>
      </c>
      <c r="T76">
        <v>5</v>
      </c>
      <c r="U76">
        <v>2024</v>
      </c>
    </row>
    <row r="77" spans="1:21" ht="15.75" x14ac:dyDescent="0.25">
      <c r="A77" s="17" t="s">
        <v>890</v>
      </c>
      <c r="B77" t="str">
        <f t="shared" si="2"/>
        <v>-05-2024</v>
      </c>
      <c r="D77">
        <v>19777</v>
      </c>
      <c r="E77" t="str">
        <f t="shared" si="3"/>
        <v>ia.assorted_string like '%19777-05-2024%' or</v>
      </c>
      <c r="M77" s="17" t="s">
        <v>727</v>
      </c>
      <c r="N77" t="s">
        <v>728</v>
      </c>
      <c r="O77" t="s">
        <v>729</v>
      </c>
      <c r="P77" t="s">
        <v>730</v>
      </c>
      <c r="Q77" t="s">
        <v>731</v>
      </c>
      <c r="R77" t="s">
        <v>732</v>
      </c>
      <c r="S77">
        <v>19777</v>
      </c>
      <c r="T77">
        <v>5</v>
      </c>
      <c r="U77">
        <v>2024</v>
      </c>
    </row>
    <row r="78" spans="1:21" ht="15.75" x14ac:dyDescent="0.25">
      <c r="A78" s="17" t="s">
        <v>891</v>
      </c>
      <c r="B78" t="str">
        <f t="shared" si="2"/>
        <v>-05-2024</v>
      </c>
      <c r="D78">
        <v>19778</v>
      </c>
      <c r="E78" t="str">
        <f t="shared" si="3"/>
        <v>ia.assorted_string like '%19778-05-2024%' or</v>
      </c>
      <c r="M78" s="17" t="s">
        <v>727</v>
      </c>
      <c r="N78" t="s">
        <v>728</v>
      </c>
      <c r="O78" t="s">
        <v>729</v>
      </c>
      <c r="P78" t="s">
        <v>730</v>
      </c>
      <c r="Q78" t="s">
        <v>731</v>
      </c>
      <c r="R78" t="s">
        <v>732</v>
      </c>
      <c r="S78">
        <v>19778</v>
      </c>
      <c r="T78">
        <v>5</v>
      </c>
      <c r="U78">
        <v>2024</v>
      </c>
    </row>
    <row r="79" spans="1:21" ht="15.75" x14ac:dyDescent="0.25">
      <c r="A79" s="17" t="s">
        <v>892</v>
      </c>
      <c r="B79" t="str">
        <f t="shared" si="2"/>
        <v>-05-2024</v>
      </c>
      <c r="D79">
        <v>19779</v>
      </c>
      <c r="E79" t="str">
        <f t="shared" si="3"/>
        <v>ia.assorted_string like '%19779-05-2024%' or</v>
      </c>
      <c r="M79" s="17" t="s">
        <v>727</v>
      </c>
      <c r="N79" t="s">
        <v>728</v>
      </c>
      <c r="O79" t="s">
        <v>729</v>
      </c>
      <c r="P79" t="s">
        <v>730</v>
      </c>
      <c r="Q79" t="s">
        <v>731</v>
      </c>
      <c r="R79" t="s">
        <v>732</v>
      </c>
      <c r="S79">
        <v>19779</v>
      </c>
      <c r="T79">
        <v>5</v>
      </c>
      <c r="U79">
        <v>2024</v>
      </c>
    </row>
    <row r="80" spans="1:21" ht="15.75" x14ac:dyDescent="0.25">
      <c r="A80" s="17" t="s">
        <v>893</v>
      </c>
      <c r="B80" t="str">
        <f t="shared" si="2"/>
        <v>-05-2024</v>
      </c>
      <c r="D80">
        <v>19780</v>
      </c>
      <c r="E80" t="str">
        <f t="shared" si="3"/>
        <v>ia.assorted_string like '%19780-05-2024%' or</v>
      </c>
      <c r="M80" s="17" t="s">
        <v>727</v>
      </c>
      <c r="N80" t="s">
        <v>728</v>
      </c>
      <c r="O80" t="s">
        <v>729</v>
      </c>
      <c r="P80" t="s">
        <v>730</v>
      </c>
      <c r="Q80" t="s">
        <v>731</v>
      </c>
      <c r="R80" t="s">
        <v>732</v>
      </c>
      <c r="S80">
        <v>19780</v>
      </c>
      <c r="T80">
        <v>5</v>
      </c>
      <c r="U80">
        <v>2024</v>
      </c>
    </row>
    <row r="81" spans="1:21" ht="15.75" x14ac:dyDescent="0.25">
      <c r="A81" s="17" t="s">
        <v>894</v>
      </c>
      <c r="B81" t="str">
        <f t="shared" si="2"/>
        <v>-05-2024</v>
      </c>
      <c r="D81">
        <v>19781</v>
      </c>
      <c r="E81" t="str">
        <f t="shared" si="3"/>
        <v>ia.assorted_string like '%19781-05-2024%' or</v>
      </c>
      <c r="M81" s="17" t="s">
        <v>727</v>
      </c>
      <c r="N81" t="s">
        <v>728</v>
      </c>
      <c r="O81" t="s">
        <v>729</v>
      </c>
      <c r="P81" t="s">
        <v>730</v>
      </c>
      <c r="Q81" t="s">
        <v>731</v>
      </c>
      <c r="R81" t="s">
        <v>732</v>
      </c>
      <c r="S81">
        <v>19781</v>
      </c>
      <c r="T81">
        <v>5</v>
      </c>
      <c r="U81">
        <v>2024</v>
      </c>
    </row>
    <row r="82" spans="1:21" ht="15.75" x14ac:dyDescent="0.25">
      <c r="A82" s="17" t="s">
        <v>895</v>
      </c>
      <c r="B82" t="str">
        <f t="shared" si="2"/>
        <v>-05-2024</v>
      </c>
      <c r="D82">
        <v>19782</v>
      </c>
      <c r="E82" t="str">
        <f t="shared" si="3"/>
        <v>ia.assorted_string like '%19782-05-2024%' or</v>
      </c>
      <c r="M82" s="17" t="s">
        <v>727</v>
      </c>
      <c r="N82" t="s">
        <v>728</v>
      </c>
      <c r="O82" t="s">
        <v>729</v>
      </c>
      <c r="P82" t="s">
        <v>730</v>
      </c>
      <c r="Q82" t="s">
        <v>731</v>
      </c>
      <c r="R82" t="s">
        <v>732</v>
      </c>
      <c r="S82">
        <v>19782</v>
      </c>
      <c r="T82">
        <v>5</v>
      </c>
      <c r="U82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9"/>
  <sheetViews>
    <sheetView tabSelected="1" zoomScaleNormal="100" zoomScaleSheetLayoutView="85" workbookViewId="0">
      <selection activeCell="G10" sqref="G10"/>
    </sheetView>
  </sheetViews>
  <sheetFormatPr defaultColWidth="9.140625" defaultRowHeight="15.75" x14ac:dyDescent="0.25"/>
  <cols>
    <col min="1" max="1" width="11.85546875" style="1" bestFit="1" customWidth="1"/>
    <col min="2" max="2" width="13.28515625" style="1" customWidth="1"/>
    <col min="3" max="3" width="13.5703125" style="1" customWidth="1"/>
    <col min="4" max="4" width="17" style="1" bestFit="1" customWidth="1"/>
    <col min="5" max="5" width="14.7109375" style="1" bestFit="1" customWidth="1"/>
    <col min="6" max="6" width="83" style="1" bestFit="1" customWidth="1"/>
    <col min="7" max="7" width="12.140625" style="1" customWidth="1"/>
    <col min="8" max="8" width="13.28515625" style="1" customWidth="1"/>
    <col min="9" max="16384" width="9.140625" style="1"/>
  </cols>
  <sheetData>
    <row r="1" spans="1:8" x14ac:dyDescent="0.25">
      <c r="A1" s="32"/>
      <c r="B1" s="32"/>
    </row>
    <row r="2" spans="1:8" x14ac:dyDescent="0.25">
      <c r="A2" s="33">
        <f ca="1">TODAY()</f>
        <v>45525</v>
      </c>
      <c r="B2" s="33"/>
    </row>
    <row r="3" spans="1:8" ht="3" customHeight="1" x14ac:dyDescent="0.25">
      <c r="A3" s="2"/>
      <c r="B3" s="2"/>
    </row>
    <row r="4" spans="1:8" s="4" customFormat="1" x14ac:dyDescent="0.25">
      <c r="A4" s="3" t="s">
        <v>0</v>
      </c>
      <c r="B4" s="3"/>
      <c r="C4" s="3"/>
      <c r="D4" s="3"/>
      <c r="E4" s="3"/>
    </row>
    <row r="5" spans="1:8" s="4" customFormat="1" ht="3" customHeight="1" x14ac:dyDescent="0.25">
      <c r="A5" s="3"/>
      <c r="B5" s="3"/>
      <c r="C5" s="3"/>
      <c r="D5" s="3"/>
      <c r="E5" s="3"/>
    </row>
    <row r="6" spans="1:8" ht="13.5" customHeight="1" x14ac:dyDescent="0.25">
      <c r="A6" s="5" t="str">
        <f>"List of Bills for" &amp; " " &amp;TEXT(C9,"MMM-YY")</f>
        <v>List of Bills for Jun-24</v>
      </c>
      <c r="B6" s="6"/>
      <c r="C6" s="7"/>
      <c r="D6" s="7"/>
      <c r="E6" s="7"/>
    </row>
    <row r="7" spans="1:8" ht="3" customHeight="1" thickBot="1" x14ac:dyDescent="0.3">
      <c r="A7" s="7"/>
      <c r="B7" s="7"/>
      <c r="C7" s="7"/>
      <c r="D7" s="7"/>
      <c r="E7" s="7"/>
    </row>
    <row r="8" spans="1:8" ht="32.25" customHeight="1" thickBot="1" x14ac:dyDescent="0.3">
      <c r="A8" s="8" t="s">
        <v>1</v>
      </c>
      <c r="B8" s="9" t="s">
        <v>2</v>
      </c>
      <c r="C8" s="8" t="s">
        <v>3</v>
      </c>
      <c r="D8" s="10" t="s">
        <v>4</v>
      </c>
      <c r="E8" s="8" t="s">
        <v>5</v>
      </c>
      <c r="F8" s="9" t="s">
        <v>2</v>
      </c>
    </row>
    <row r="9" spans="1:8" s="17" customFormat="1" ht="18.75" customHeight="1" x14ac:dyDescent="0.25">
      <c r="A9" s="11">
        <v>1</v>
      </c>
      <c r="B9" s="16">
        <v>3486</v>
      </c>
      <c r="C9" s="12">
        <v>45451</v>
      </c>
      <c r="D9" s="13" t="s">
        <v>167</v>
      </c>
      <c r="E9" s="14">
        <v>1697</v>
      </c>
      <c r="F9" s="17" t="s">
        <v>722</v>
      </c>
      <c r="G9" s="18" t="s">
        <v>1100</v>
      </c>
      <c r="H9" s="19"/>
    </row>
    <row r="10" spans="1:8" s="17" customFormat="1" ht="18.75" customHeight="1" x14ac:dyDescent="0.25">
      <c r="A10" s="11">
        <v>2</v>
      </c>
      <c r="B10" s="16">
        <v>19670</v>
      </c>
      <c r="C10" s="12">
        <v>45448</v>
      </c>
      <c r="D10" s="13" t="s">
        <v>168</v>
      </c>
      <c r="E10" s="14">
        <v>2038</v>
      </c>
      <c r="F10" s="17" t="s">
        <v>513</v>
      </c>
      <c r="G10" s="18"/>
      <c r="H10" s="19"/>
    </row>
    <row r="11" spans="1:8" s="17" customFormat="1" ht="18.75" customHeight="1" x14ac:dyDescent="0.25">
      <c r="A11" s="15">
        <v>3</v>
      </c>
      <c r="B11" s="16">
        <v>19783</v>
      </c>
      <c r="C11" s="12">
        <v>45444</v>
      </c>
      <c r="D11" s="13">
        <v>5100031882</v>
      </c>
      <c r="E11" s="14">
        <v>31551</v>
      </c>
      <c r="F11" s="17" t="s">
        <v>596</v>
      </c>
      <c r="G11" s="18"/>
      <c r="H11" s="19"/>
    </row>
    <row r="12" spans="1:8" s="17" customFormat="1" ht="18.75" customHeight="1" x14ac:dyDescent="0.25">
      <c r="A12" s="15">
        <v>4</v>
      </c>
      <c r="B12" s="16">
        <v>19784</v>
      </c>
      <c r="C12" s="12">
        <v>45444</v>
      </c>
      <c r="D12" s="13">
        <v>5100031883</v>
      </c>
      <c r="E12" s="14">
        <v>200</v>
      </c>
      <c r="F12" s="17" t="s">
        <v>597</v>
      </c>
      <c r="G12" s="18"/>
      <c r="H12" s="19"/>
    </row>
    <row r="13" spans="1:8" s="17" customFormat="1" ht="18.75" customHeight="1" x14ac:dyDescent="0.25">
      <c r="A13" s="11">
        <v>5</v>
      </c>
      <c r="B13" s="16">
        <v>19785</v>
      </c>
      <c r="C13" s="12">
        <v>45444</v>
      </c>
      <c r="D13" s="13" t="s">
        <v>169</v>
      </c>
      <c r="E13" s="14">
        <v>453</v>
      </c>
      <c r="F13" s="17" t="s">
        <v>598</v>
      </c>
      <c r="G13" s="18"/>
      <c r="H13" s="19"/>
    </row>
    <row r="14" spans="1:8" s="17" customFormat="1" ht="18.75" customHeight="1" x14ac:dyDescent="0.25">
      <c r="A14" s="11">
        <v>6</v>
      </c>
      <c r="B14" s="16">
        <v>19786</v>
      </c>
      <c r="C14" s="12">
        <v>45444</v>
      </c>
      <c r="D14" s="13" t="s">
        <v>170</v>
      </c>
      <c r="E14" s="14">
        <v>2465</v>
      </c>
      <c r="F14" s="17" t="s">
        <v>599</v>
      </c>
      <c r="G14" s="18"/>
      <c r="H14" s="19"/>
    </row>
    <row r="15" spans="1:8" s="17" customFormat="1" ht="18.75" customHeight="1" x14ac:dyDescent="0.25">
      <c r="A15" s="15">
        <v>7</v>
      </c>
      <c r="B15" s="16">
        <v>19787</v>
      </c>
      <c r="C15" s="12">
        <v>45446</v>
      </c>
      <c r="D15" s="13" t="s">
        <v>171</v>
      </c>
      <c r="E15" s="14">
        <v>863</v>
      </c>
      <c r="F15" s="17" t="s">
        <v>600</v>
      </c>
      <c r="G15" s="18"/>
      <c r="H15" s="19"/>
    </row>
    <row r="16" spans="1:8" s="17" customFormat="1" ht="18.75" customHeight="1" x14ac:dyDescent="0.25">
      <c r="A16" s="15">
        <v>8</v>
      </c>
      <c r="B16" s="16">
        <v>19788</v>
      </c>
      <c r="C16" s="12">
        <v>45446</v>
      </c>
      <c r="D16" s="13" t="s">
        <v>172</v>
      </c>
      <c r="E16" s="14">
        <v>10656</v>
      </c>
      <c r="F16" s="17" t="s">
        <v>601</v>
      </c>
      <c r="G16" s="18"/>
      <c r="H16" s="19"/>
    </row>
    <row r="17" spans="1:8" s="17" customFormat="1" ht="18.75" customHeight="1" x14ac:dyDescent="0.25">
      <c r="A17" s="11">
        <v>9</v>
      </c>
      <c r="B17" s="16">
        <v>19789</v>
      </c>
      <c r="C17" s="12">
        <v>45446</v>
      </c>
      <c r="D17" s="13" t="s">
        <v>173</v>
      </c>
      <c r="E17" s="14">
        <v>1200</v>
      </c>
      <c r="F17" s="17" t="s">
        <v>602</v>
      </c>
      <c r="G17" s="18"/>
      <c r="H17" s="19"/>
    </row>
    <row r="18" spans="1:8" s="17" customFormat="1" ht="18.75" customHeight="1" x14ac:dyDescent="0.25">
      <c r="A18" s="11">
        <v>10</v>
      </c>
      <c r="B18" s="16">
        <v>19790</v>
      </c>
      <c r="C18" s="12">
        <v>45446</v>
      </c>
      <c r="D18" s="13" t="s">
        <v>174</v>
      </c>
      <c r="E18" s="14">
        <v>2737</v>
      </c>
      <c r="F18" s="17" t="s">
        <v>603</v>
      </c>
      <c r="G18" s="18"/>
      <c r="H18" s="19"/>
    </row>
    <row r="19" spans="1:8" s="17" customFormat="1" ht="18.75" customHeight="1" x14ac:dyDescent="0.25">
      <c r="A19" s="15">
        <v>11</v>
      </c>
      <c r="B19" s="16">
        <v>19791</v>
      </c>
      <c r="C19" s="12">
        <v>45446</v>
      </c>
      <c r="D19" s="13" t="s">
        <v>175</v>
      </c>
      <c r="E19" s="14">
        <v>453</v>
      </c>
      <c r="F19" s="17" t="s">
        <v>604</v>
      </c>
      <c r="G19" s="18"/>
      <c r="H19" s="19"/>
    </row>
    <row r="20" spans="1:8" s="17" customFormat="1" ht="18.75" customHeight="1" x14ac:dyDescent="0.25">
      <c r="A20" s="15">
        <v>12</v>
      </c>
      <c r="B20" s="16">
        <v>19793</v>
      </c>
      <c r="C20" s="12">
        <v>45446</v>
      </c>
      <c r="D20" s="13">
        <v>5100031893</v>
      </c>
      <c r="E20" s="14">
        <v>200</v>
      </c>
      <c r="F20" s="17" t="s">
        <v>605</v>
      </c>
      <c r="G20" s="18"/>
      <c r="H20" s="19"/>
    </row>
    <row r="21" spans="1:8" s="17" customFormat="1" ht="18.75" customHeight="1" x14ac:dyDescent="0.25">
      <c r="A21" s="11">
        <v>13</v>
      </c>
      <c r="B21" s="16">
        <v>19794</v>
      </c>
      <c r="C21" s="12">
        <v>45447</v>
      </c>
      <c r="D21" s="13" t="s">
        <v>176</v>
      </c>
      <c r="E21" s="14">
        <v>386</v>
      </c>
      <c r="F21" s="17" t="s">
        <v>606</v>
      </c>
      <c r="G21" s="18"/>
      <c r="H21" s="19"/>
    </row>
    <row r="22" spans="1:8" s="17" customFormat="1" ht="18.75" customHeight="1" x14ac:dyDescent="0.25">
      <c r="A22" s="11">
        <v>14</v>
      </c>
      <c r="B22" s="16">
        <v>19795</v>
      </c>
      <c r="C22" s="12">
        <v>45447</v>
      </c>
      <c r="D22" s="13" t="s">
        <v>177</v>
      </c>
      <c r="E22" s="14">
        <v>2147</v>
      </c>
      <c r="F22" s="17" t="s">
        <v>607</v>
      </c>
      <c r="G22" s="18"/>
      <c r="H22" s="19"/>
    </row>
    <row r="23" spans="1:8" s="17" customFormat="1" ht="18.75" customHeight="1" x14ac:dyDescent="0.25">
      <c r="A23" s="15">
        <v>15</v>
      </c>
      <c r="B23" s="16">
        <v>19796</v>
      </c>
      <c r="C23" s="12">
        <v>45447</v>
      </c>
      <c r="D23" s="13" t="s">
        <v>178</v>
      </c>
      <c r="E23" s="14">
        <v>201</v>
      </c>
      <c r="F23" s="17" t="s">
        <v>608</v>
      </c>
      <c r="G23" s="18"/>
      <c r="H23" s="19"/>
    </row>
    <row r="24" spans="1:8" s="17" customFormat="1" ht="18.75" customHeight="1" x14ac:dyDescent="0.25">
      <c r="A24" s="15">
        <v>16</v>
      </c>
      <c r="B24" s="16">
        <v>19797</v>
      </c>
      <c r="C24" s="12">
        <v>45447</v>
      </c>
      <c r="D24" s="13" t="s">
        <v>179</v>
      </c>
      <c r="E24" s="14">
        <v>965</v>
      </c>
      <c r="F24" s="17" t="s">
        <v>609</v>
      </c>
      <c r="G24" s="18"/>
      <c r="H24" s="19"/>
    </row>
    <row r="25" spans="1:8" s="17" customFormat="1" ht="18.75" customHeight="1" x14ac:dyDescent="0.25">
      <c r="A25" s="11">
        <v>17</v>
      </c>
      <c r="B25" s="16">
        <v>19799</v>
      </c>
      <c r="C25" s="12">
        <v>45448</v>
      </c>
      <c r="D25" s="13" t="s">
        <v>180</v>
      </c>
      <c r="E25" s="14">
        <v>7384</v>
      </c>
      <c r="F25" s="17" t="s">
        <v>610</v>
      </c>
      <c r="G25" s="18"/>
      <c r="H25" s="19"/>
    </row>
    <row r="26" spans="1:8" s="17" customFormat="1" ht="18.75" customHeight="1" x14ac:dyDescent="0.25">
      <c r="A26" s="11">
        <v>18</v>
      </c>
      <c r="B26" s="16">
        <v>19800</v>
      </c>
      <c r="C26" s="12">
        <v>45448</v>
      </c>
      <c r="D26" s="13" t="s">
        <v>181</v>
      </c>
      <c r="E26" s="14">
        <v>2340</v>
      </c>
      <c r="F26" s="17" t="s">
        <v>611</v>
      </c>
      <c r="G26" s="18"/>
      <c r="H26" s="19"/>
    </row>
    <row r="27" spans="1:8" s="17" customFormat="1" ht="18.75" customHeight="1" x14ac:dyDescent="0.25">
      <c r="A27" s="15">
        <v>19</v>
      </c>
      <c r="B27" s="16">
        <v>19801</v>
      </c>
      <c r="C27" s="12">
        <v>45448</v>
      </c>
      <c r="D27" s="13" t="s">
        <v>182</v>
      </c>
      <c r="E27" s="14">
        <v>1604</v>
      </c>
      <c r="F27" s="17" t="s">
        <v>612</v>
      </c>
      <c r="G27" s="18"/>
      <c r="H27" s="19"/>
    </row>
    <row r="28" spans="1:8" s="17" customFormat="1" ht="18.75" customHeight="1" x14ac:dyDescent="0.25">
      <c r="A28" s="15">
        <v>20</v>
      </c>
      <c r="B28" s="16">
        <v>19802</v>
      </c>
      <c r="C28" s="12">
        <v>45448</v>
      </c>
      <c r="D28" s="13" t="s">
        <v>183</v>
      </c>
      <c r="E28" s="14">
        <v>2171</v>
      </c>
      <c r="F28" s="17" t="s">
        <v>613</v>
      </c>
      <c r="G28" s="18"/>
      <c r="H28" s="19"/>
    </row>
    <row r="29" spans="1:8" s="17" customFormat="1" ht="18.75" customHeight="1" x14ac:dyDescent="0.25">
      <c r="A29" s="11">
        <v>21</v>
      </c>
      <c r="B29" s="16">
        <v>19803</v>
      </c>
      <c r="C29" s="12">
        <v>45448</v>
      </c>
      <c r="D29" s="13" t="s">
        <v>184</v>
      </c>
      <c r="E29" s="14">
        <v>179</v>
      </c>
      <c r="F29" s="17" t="s">
        <v>614</v>
      </c>
      <c r="G29" s="18"/>
      <c r="H29" s="19"/>
    </row>
    <row r="30" spans="1:8" s="17" customFormat="1" ht="18.75" customHeight="1" x14ac:dyDescent="0.25">
      <c r="A30" s="11">
        <v>22</v>
      </c>
      <c r="B30" s="16">
        <v>19804</v>
      </c>
      <c r="C30" s="12">
        <v>45448</v>
      </c>
      <c r="D30" s="13" t="s">
        <v>185</v>
      </c>
      <c r="E30" s="14">
        <v>3377</v>
      </c>
      <c r="F30" s="17" t="s">
        <v>615</v>
      </c>
      <c r="G30" s="18"/>
      <c r="H30" s="19"/>
    </row>
    <row r="31" spans="1:8" s="17" customFormat="1" ht="18.75" customHeight="1" x14ac:dyDescent="0.25">
      <c r="A31" s="15">
        <v>23</v>
      </c>
      <c r="B31" s="16">
        <v>19805</v>
      </c>
      <c r="C31" s="12">
        <v>45449</v>
      </c>
      <c r="D31" s="13" t="s">
        <v>186</v>
      </c>
      <c r="E31" s="14">
        <v>11308</v>
      </c>
      <c r="F31" s="17" t="s">
        <v>616</v>
      </c>
      <c r="G31" s="18"/>
      <c r="H31" s="19"/>
    </row>
    <row r="32" spans="1:8" s="17" customFormat="1" ht="18.75" customHeight="1" x14ac:dyDescent="0.25">
      <c r="A32" s="15">
        <v>24</v>
      </c>
      <c r="B32" s="16">
        <v>19806</v>
      </c>
      <c r="C32" s="12">
        <v>45449</v>
      </c>
      <c r="D32" s="13" t="s">
        <v>187</v>
      </c>
      <c r="E32" s="14">
        <v>201</v>
      </c>
      <c r="F32" s="17" t="s">
        <v>617</v>
      </c>
      <c r="G32" s="18"/>
      <c r="H32" s="19"/>
    </row>
    <row r="33" spans="1:8" s="17" customFormat="1" ht="18.75" customHeight="1" x14ac:dyDescent="0.25">
      <c r="A33" s="11">
        <v>25</v>
      </c>
      <c r="B33" s="16">
        <v>19807</v>
      </c>
      <c r="C33" s="12">
        <v>45449</v>
      </c>
      <c r="D33" s="13" t="s">
        <v>188</v>
      </c>
      <c r="E33" s="14">
        <v>6354</v>
      </c>
      <c r="F33" s="17" t="s">
        <v>618</v>
      </c>
      <c r="G33" s="18"/>
      <c r="H33" s="19"/>
    </row>
    <row r="34" spans="1:8" s="17" customFormat="1" ht="18.75" customHeight="1" x14ac:dyDescent="0.25">
      <c r="A34" s="11">
        <v>26</v>
      </c>
      <c r="B34" s="16">
        <v>19808</v>
      </c>
      <c r="C34" s="12">
        <v>45449</v>
      </c>
      <c r="D34" s="13" t="s">
        <v>189</v>
      </c>
      <c r="E34" s="14">
        <v>1367</v>
      </c>
      <c r="F34" s="17" t="s">
        <v>619</v>
      </c>
      <c r="G34" s="18"/>
      <c r="H34" s="19"/>
    </row>
    <row r="35" spans="1:8" s="17" customFormat="1" ht="18.75" customHeight="1" x14ac:dyDescent="0.25">
      <c r="A35" s="15">
        <v>27</v>
      </c>
      <c r="B35" s="16">
        <v>19809</v>
      </c>
      <c r="C35" s="12">
        <v>45449</v>
      </c>
      <c r="D35" s="13" t="s">
        <v>190</v>
      </c>
      <c r="E35" s="14">
        <v>199</v>
      </c>
      <c r="F35" s="17" t="s">
        <v>620</v>
      </c>
      <c r="G35" s="18"/>
      <c r="H35" s="19"/>
    </row>
    <row r="36" spans="1:8" s="17" customFormat="1" ht="18.75" customHeight="1" x14ac:dyDescent="0.25">
      <c r="A36" s="15">
        <v>28</v>
      </c>
      <c r="B36" s="16">
        <v>19812</v>
      </c>
      <c r="C36" s="12">
        <v>45453</v>
      </c>
      <c r="D36" s="13" t="s">
        <v>191</v>
      </c>
      <c r="E36" s="14">
        <v>662</v>
      </c>
      <c r="F36" s="17" t="s">
        <v>621</v>
      </c>
      <c r="G36" s="18"/>
      <c r="H36" s="19"/>
    </row>
    <row r="37" spans="1:8" s="17" customFormat="1" ht="18.75" customHeight="1" x14ac:dyDescent="0.25">
      <c r="A37" s="11">
        <v>29</v>
      </c>
      <c r="B37" s="16">
        <v>19813</v>
      </c>
      <c r="C37" s="12">
        <v>45453</v>
      </c>
      <c r="D37" s="13" t="s">
        <v>192</v>
      </c>
      <c r="E37" s="14">
        <v>3739</v>
      </c>
      <c r="F37" s="17" t="s">
        <v>622</v>
      </c>
      <c r="G37" s="18"/>
      <c r="H37" s="19"/>
    </row>
    <row r="38" spans="1:8" s="17" customFormat="1" ht="18.75" customHeight="1" x14ac:dyDescent="0.25">
      <c r="A38" s="11">
        <v>30</v>
      </c>
      <c r="B38" s="16">
        <v>19815</v>
      </c>
      <c r="C38" s="12">
        <v>45453</v>
      </c>
      <c r="D38" s="13" t="s">
        <v>193</v>
      </c>
      <c r="E38" s="14">
        <v>1150</v>
      </c>
      <c r="F38" s="17" t="s">
        <v>623</v>
      </c>
      <c r="G38" s="18"/>
      <c r="H38" s="19"/>
    </row>
    <row r="39" spans="1:8" s="17" customFormat="1" ht="18.75" customHeight="1" x14ac:dyDescent="0.25">
      <c r="A39" s="15">
        <v>31</v>
      </c>
      <c r="B39" s="16">
        <v>19816</v>
      </c>
      <c r="C39" s="12">
        <v>45453</v>
      </c>
      <c r="D39" s="13" t="s">
        <v>194</v>
      </c>
      <c r="E39" s="14">
        <v>3100</v>
      </c>
      <c r="F39" s="17" t="s">
        <v>624</v>
      </c>
      <c r="G39" s="18"/>
      <c r="H39" s="19"/>
    </row>
    <row r="40" spans="1:8" s="17" customFormat="1" ht="18.75" customHeight="1" x14ac:dyDescent="0.25">
      <c r="A40" s="15">
        <v>32</v>
      </c>
      <c r="B40" s="16">
        <v>19817</v>
      </c>
      <c r="C40" s="12">
        <v>45453</v>
      </c>
      <c r="D40" s="13" t="s">
        <v>195</v>
      </c>
      <c r="E40" s="14">
        <v>743</v>
      </c>
      <c r="F40" s="17" t="s">
        <v>625</v>
      </c>
      <c r="G40" s="18"/>
      <c r="H40" s="19"/>
    </row>
    <row r="41" spans="1:8" s="17" customFormat="1" ht="18.75" customHeight="1" x14ac:dyDescent="0.25">
      <c r="A41" s="11">
        <v>33</v>
      </c>
      <c r="B41" s="16">
        <v>19818</v>
      </c>
      <c r="C41" s="12">
        <v>45453</v>
      </c>
      <c r="D41" s="13" t="s">
        <v>196</v>
      </c>
      <c r="E41" s="14">
        <v>455</v>
      </c>
      <c r="F41" s="17" t="s">
        <v>626</v>
      </c>
      <c r="G41" s="18"/>
      <c r="H41" s="19"/>
    </row>
    <row r="42" spans="1:8" s="17" customFormat="1" ht="18.75" customHeight="1" x14ac:dyDescent="0.25">
      <c r="A42" s="11">
        <v>34</v>
      </c>
      <c r="B42" s="16">
        <v>19819</v>
      </c>
      <c r="C42" s="12">
        <v>45453</v>
      </c>
      <c r="D42" s="13" t="s">
        <v>197</v>
      </c>
      <c r="E42" s="14">
        <v>7100</v>
      </c>
      <c r="F42" s="17" t="s">
        <v>627</v>
      </c>
      <c r="G42" s="18"/>
      <c r="H42" s="19"/>
    </row>
    <row r="43" spans="1:8" s="17" customFormat="1" ht="18.75" customHeight="1" x14ac:dyDescent="0.25">
      <c r="A43" s="15">
        <v>35</v>
      </c>
      <c r="B43" s="16">
        <v>19820</v>
      </c>
      <c r="C43" s="12">
        <v>45453</v>
      </c>
      <c r="D43" s="13" t="s">
        <v>198</v>
      </c>
      <c r="E43" s="14">
        <v>7916</v>
      </c>
      <c r="F43" s="17" t="s">
        <v>628</v>
      </c>
      <c r="G43" s="18"/>
      <c r="H43" s="19"/>
    </row>
    <row r="44" spans="1:8" s="17" customFormat="1" ht="18.75" customHeight="1" x14ac:dyDescent="0.25">
      <c r="A44" s="15">
        <v>36</v>
      </c>
      <c r="B44" s="16">
        <v>19821</v>
      </c>
      <c r="C44" s="12">
        <v>45453</v>
      </c>
      <c r="D44" s="13" t="s">
        <v>199</v>
      </c>
      <c r="E44" s="14">
        <v>2015</v>
      </c>
      <c r="F44" s="17" t="s">
        <v>629</v>
      </c>
      <c r="G44" s="18"/>
      <c r="H44" s="19"/>
    </row>
    <row r="45" spans="1:8" s="17" customFormat="1" ht="18.75" customHeight="1" x14ac:dyDescent="0.25">
      <c r="A45" s="11">
        <v>37</v>
      </c>
      <c r="B45" s="16">
        <v>19822</v>
      </c>
      <c r="C45" s="12">
        <v>45453</v>
      </c>
      <c r="D45" s="13" t="s">
        <v>200</v>
      </c>
      <c r="E45" s="14">
        <v>7442</v>
      </c>
      <c r="F45" s="17" t="s">
        <v>630</v>
      </c>
      <c r="G45" s="18"/>
      <c r="H45" s="19"/>
    </row>
    <row r="46" spans="1:8" s="17" customFormat="1" ht="18.75" customHeight="1" x14ac:dyDescent="0.25">
      <c r="A46" s="11">
        <v>38</v>
      </c>
      <c r="B46" s="16">
        <v>19823</v>
      </c>
      <c r="C46" s="12">
        <v>45453</v>
      </c>
      <c r="D46" s="13" t="s">
        <v>201</v>
      </c>
      <c r="E46" s="14">
        <v>1198</v>
      </c>
      <c r="F46" s="17" t="s">
        <v>631</v>
      </c>
      <c r="G46" s="18"/>
      <c r="H46" s="19"/>
    </row>
    <row r="47" spans="1:8" s="17" customFormat="1" ht="18.75" customHeight="1" x14ac:dyDescent="0.25">
      <c r="A47" s="15">
        <v>39</v>
      </c>
      <c r="B47" s="16">
        <v>19824</v>
      </c>
      <c r="C47" s="12">
        <v>45453</v>
      </c>
      <c r="D47" s="13">
        <v>5100031921</v>
      </c>
      <c r="E47" s="14">
        <v>3290</v>
      </c>
      <c r="F47" s="17" t="s">
        <v>632</v>
      </c>
      <c r="G47" s="18"/>
      <c r="H47" s="19"/>
    </row>
    <row r="48" spans="1:8" s="17" customFormat="1" ht="18.75" customHeight="1" x14ac:dyDescent="0.25">
      <c r="A48" s="15">
        <v>40</v>
      </c>
      <c r="B48" s="16">
        <v>19825</v>
      </c>
      <c r="C48" s="12">
        <v>45453</v>
      </c>
      <c r="D48" s="13" t="s">
        <v>202</v>
      </c>
      <c r="E48" s="14">
        <v>18001</v>
      </c>
      <c r="F48" s="17" t="s">
        <v>633</v>
      </c>
      <c r="G48" s="18"/>
      <c r="H48" s="19"/>
    </row>
    <row r="49" spans="1:8" s="17" customFormat="1" ht="18.75" customHeight="1" x14ac:dyDescent="0.25">
      <c r="A49" s="11">
        <v>41</v>
      </c>
      <c r="B49" s="16">
        <v>19826</v>
      </c>
      <c r="C49" s="12">
        <v>45453</v>
      </c>
      <c r="D49" s="13" t="s">
        <v>203</v>
      </c>
      <c r="E49" s="14">
        <v>1415</v>
      </c>
      <c r="F49" s="17" t="s">
        <v>634</v>
      </c>
      <c r="G49" s="18"/>
      <c r="H49" s="19"/>
    </row>
    <row r="50" spans="1:8" s="17" customFormat="1" ht="18.75" customHeight="1" x14ac:dyDescent="0.25">
      <c r="A50" s="11">
        <v>42</v>
      </c>
      <c r="B50" s="16">
        <v>19827</v>
      </c>
      <c r="C50" s="12">
        <v>45453</v>
      </c>
      <c r="D50" s="13" t="s">
        <v>204</v>
      </c>
      <c r="E50" s="14">
        <v>1494</v>
      </c>
      <c r="F50" s="17" t="s">
        <v>635</v>
      </c>
      <c r="G50" s="18"/>
      <c r="H50" s="19"/>
    </row>
    <row r="51" spans="1:8" s="17" customFormat="1" ht="18.75" customHeight="1" x14ac:dyDescent="0.25">
      <c r="A51" s="15">
        <v>43</v>
      </c>
      <c r="B51" s="16">
        <v>19828</v>
      </c>
      <c r="C51" s="12">
        <v>45453</v>
      </c>
      <c r="D51" s="13" t="s">
        <v>205</v>
      </c>
      <c r="E51" s="14">
        <v>633</v>
      </c>
      <c r="F51" s="17" t="s">
        <v>636</v>
      </c>
      <c r="G51" s="18"/>
      <c r="H51" s="19"/>
    </row>
    <row r="52" spans="1:8" s="17" customFormat="1" ht="18.75" customHeight="1" x14ac:dyDescent="0.25">
      <c r="A52" s="15">
        <v>44</v>
      </c>
      <c r="B52" s="16">
        <v>19829</v>
      </c>
      <c r="C52" s="12">
        <v>45453</v>
      </c>
      <c r="D52" s="13" t="s">
        <v>206</v>
      </c>
      <c r="E52" s="14">
        <v>1155</v>
      </c>
      <c r="F52" s="17" t="s">
        <v>637</v>
      </c>
      <c r="G52" s="18"/>
      <c r="H52" s="19"/>
    </row>
    <row r="53" spans="1:8" s="17" customFormat="1" ht="18.75" customHeight="1" x14ac:dyDescent="0.25">
      <c r="A53" s="11">
        <v>45</v>
      </c>
      <c r="B53" s="16">
        <v>19830</v>
      </c>
      <c r="C53" s="12">
        <v>45455</v>
      </c>
      <c r="D53" s="13" t="s">
        <v>207</v>
      </c>
      <c r="E53" s="14">
        <v>629</v>
      </c>
      <c r="F53" s="17" t="s">
        <v>638</v>
      </c>
      <c r="G53" s="18"/>
      <c r="H53" s="19"/>
    </row>
    <row r="54" spans="1:8" s="17" customFormat="1" ht="18.75" customHeight="1" x14ac:dyDescent="0.25">
      <c r="A54" s="11">
        <v>46</v>
      </c>
      <c r="B54" s="16">
        <v>19831</v>
      </c>
      <c r="C54" s="12">
        <v>45455</v>
      </c>
      <c r="D54" s="13" t="s">
        <v>208</v>
      </c>
      <c r="E54" s="14">
        <v>204</v>
      </c>
      <c r="F54" s="17" t="s">
        <v>639</v>
      </c>
      <c r="G54" s="18"/>
      <c r="H54" s="19"/>
    </row>
    <row r="55" spans="1:8" s="17" customFormat="1" ht="18.75" customHeight="1" x14ac:dyDescent="0.25">
      <c r="A55" s="15">
        <v>47</v>
      </c>
      <c r="B55" s="16">
        <v>19832</v>
      </c>
      <c r="C55" s="12">
        <v>45455</v>
      </c>
      <c r="D55" s="13">
        <v>5100031942</v>
      </c>
      <c r="E55" s="14">
        <v>480</v>
      </c>
      <c r="F55" s="17" t="s">
        <v>640</v>
      </c>
      <c r="G55" s="18"/>
      <c r="H55" s="19"/>
    </row>
    <row r="56" spans="1:8" s="17" customFormat="1" ht="18.75" customHeight="1" x14ac:dyDescent="0.25">
      <c r="A56" s="15">
        <v>48</v>
      </c>
      <c r="B56" s="16">
        <v>19833</v>
      </c>
      <c r="C56" s="12">
        <v>45455</v>
      </c>
      <c r="D56" s="13">
        <v>5100031936</v>
      </c>
      <c r="E56" s="14">
        <v>4487</v>
      </c>
      <c r="F56" s="17" t="s">
        <v>641</v>
      </c>
      <c r="G56" s="18"/>
      <c r="H56" s="19"/>
    </row>
    <row r="57" spans="1:8" s="17" customFormat="1" ht="18.75" customHeight="1" x14ac:dyDescent="0.25">
      <c r="A57" s="11">
        <v>49</v>
      </c>
      <c r="B57" s="16">
        <v>19834</v>
      </c>
      <c r="C57" s="12">
        <v>45455</v>
      </c>
      <c r="D57" s="13" t="s">
        <v>209</v>
      </c>
      <c r="E57" s="14">
        <v>4357</v>
      </c>
      <c r="F57" s="17" t="s">
        <v>642</v>
      </c>
      <c r="G57" s="18"/>
      <c r="H57" s="19"/>
    </row>
    <row r="58" spans="1:8" s="17" customFormat="1" ht="18.75" customHeight="1" x14ac:dyDescent="0.25">
      <c r="A58" s="11">
        <v>50</v>
      </c>
      <c r="B58" s="16">
        <v>19835</v>
      </c>
      <c r="C58" s="12">
        <v>45455</v>
      </c>
      <c r="D58" s="13">
        <v>5100001756</v>
      </c>
      <c r="E58" s="14">
        <v>973</v>
      </c>
      <c r="F58" s="17" t="s">
        <v>643</v>
      </c>
      <c r="G58" s="18"/>
      <c r="H58" s="19"/>
    </row>
    <row r="59" spans="1:8" s="17" customFormat="1" ht="18.75" customHeight="1" x14ac:dyDescent="0.25">
      <c r="A59" s="15">
        <v>51</v>
      </c>
      <c r="B59" s="16">
        <v>19836</v>
      </c>
      <c r="C59" s="12">
        <v>45455</v>
      </c>
      <c r="D59" s="13" t="s">
        <v>210</v>
      </c>
      <c r="E59" s="14">
        <v>1373</v>
      </c>
      <c r="F59" s="17" t="s">
        <v>644</v>
      </c>
      <c r="G59" s="18"/>
      <c r="H59" s="19"/>
    </row>
    <row r="60" spans="1:8" s="17" customFormat="1" ht="18.75" customHeight="1" x14ac:dyDescent="0.25">
      <c r="A60" s="15">
        <v>52</v>
      </c>
      <c r="B60" s="16">
        <v>19838</v>
      </c>
      <c r="C60" s="12">
        <v>45456</v>
      </c>
      <c r="D60" s="13">
        <v>5100032109</v>
      </c>
      <c r="E60" s="14">
        <v>1864</v>
      </c>
      <c r="F60" s="17" t="s">
        <v>645</v>
      </c>
      <c r="G60" s="18"/>
      <c r="H60" s="19"/>
    </row>
    <row r="61" spans="1:8" s="17" customFormat="1" ht="18.75" customHeight="1" x14ac:dyDescent="0.25">
      <c r="A61" s="11">
        <v>53</v>
      </c>
      <c r="B61" s="16">
        <v>19839</v>
      </c>
      <c r="C61" s="12">
        <v>45456</v>
      </c>
      <c r="D61" s="13" t="s">
        <v>211</v>
      </c>
      <c r="E61" s="14">
        <v>10126</v>
      </c>
      <c r="F61" s="17" t="s">
        <v>646</v>
      </c>
      <c r="G61" s="18"/>
      <c r="H61" s="19"/>
    </row>
    <row r="62" spans="1:8" s="17" customFormat="1" ht="18.75" customHeight="1" x14ac:dyDescent="0.25">
      <c r="A62" s="11">
        <v>54</v>
      </c>
      <c r="B62" s="16">
        <v>19840</v>
      </c>
      <c r="C62" s="12">
        <v>45456</v>
      </c>
      <c r="D62" s="13" t="s">
        <v>212</v>
      </c>
      <c r="E62" s="14">
        <v>199</v>
      </c>
      <c r="F62" s="17" t="s">
        <v>647</v>
      </c>
      <c r="G62" s="18"/>
      <c r="H62" s="19"/>
    </row>
    <row r="63" spans="1:8" s="17" customFormat="1" ht="18.75" customHeight="1" x14ac:dyDescent="0.25">
      <c r="A63" s="15">
        <v>55</v>
      </c>
      <c r="B63" s="16">
        <v>19841</v>
      </c>
      <c r="C63" s="12">
        <v>45456</v>
      </c>
      <c r="D63" s="13" t="s">
        <v>213</v>
      </c>
      <c r="E63" s="14">
        <v>489</v>
      </c>
      <c r="F63" s="17" t="s">
        <v>648</v>
      </c>
      <c r="G63" s="18"/>
      <c r="H63" s="19"/>
    </row>
    <row r="64" spans="1:8" s="17" customFormat="1" ht="18.75" customHeight="1" x14ac:dyDescent="0.25">
      <c r="A64" s="15">
        <v>56</v>
      </c>
      <c r="B64" s="16">
        <v>19842</v>
      </c>
      <c r="C64" s="12">
        <v>45456</v>
      </c>
      <c r="D64" s="13" t="s">
        <v>214</v>
      </c>
      <c r="E64" s="14">
        <v>1870</v>
      </c>
      <c r="F64" s="17" t="s">
        <v>649</v>
      </c>
      <c r="G64" s="18"/>
      <c r="H64" s="19"/>
    </row>
    <row r="65" spans="1:8" s="17" customFormat="1" ht="18.75" customHeight="1" x14ac:dyDescent="0.25">
      <c r="A65" s="11">
        <v>57</v>
      </c>
      <c r="B65" s="16">
        <v>19844</v>
      </c>
      <c r="C65" s="12">
        <v>45456</v>
      </c>
      <c r="D65" s="13" t="s">
        <v>215</v>
      </c>
      <c r="E65" s="14">
        <v>1845</v>
      </c>
      <c r="F65" s="17" t="s">
        <v>650</v>
      </c>
      <c r="G65" s="18"/>
      <c r="H65" s="19"/>
    </row>
    <row r="66" spans="1:8" s="17" customFormat="1" ht="18.75" customHeight="1" x14ac:dyDescent="0.25">
      <c r="A66" s="11">
        <v>58</v>
      </c>
      <c r="B66" s="16">
        <v>19846</v>
      </c>
      <c r="C66" s="12">
        <v>45456</v>
      </c>
      <c r="D66" s="13" t="s">
        <v>216</v>
      </c>
      <c r="E66" s="14">
        <v>2496</v>
      </c>
      <c r="F66" s="17" t="s">
        <v>651</v>
      </c>
      <c r="G66" s="18"/>
      <c r="H66" s="19"/>
    </row>
    <row r="67" spans="1:8" s="17" customFormat="1" ht="18.75" customHeight="1" x14ac:dyDescent="0.25">
      <c r="A67" s="15">
        <v>59</v>
      </c>
      <c r="B67" s="16">
        <v>19847</v>
      </c>
      <c r="C67" s="12">
        <v>45456</v>
      </c>
      <c r="D67" s="13" t="s">
        <v>217</v>
      </c>
      <c r="E67" s="14">
        <v>305</v>
      </c>
      <c r="F67" s="17" t="s">
        <v>652</v>
      </c>
      <c r="G67" s="18"/>
      <c r="H67" s="19"/>
    </row>
    <row r="68" spans="1:8" s="17" customFormat="1" ht="18.75" customHeight="1" x14ac:dyDescent="0.25">
      <c r="A68" s="15">
        <v>60</v>
      </c>
      <c r="B68" s="16">
        <v>19849</v>
      </c>
      <c r="C68" s="12">
        <v>45456</v>
      </c>
      <c r="D68" s="13" t="s">
        <v>218</v>
      </c>
      <c r="E68" s="14">
        <v>1328</v>
      </c>
      <c r="F68" s="17" t="s">
        <v>653</v>
      </c>
      <c r="G68" s="18"/>
      <c r="H68" s="19"/>
    </row>
    <row r="69" spans="1:8" s="17" customFormat="1" ht="18.75" customHeight="1" x14ac:dyDescent="0.25">
      <c r="A69" s="11">
        <v>61</v>
      </c>
      <c r="B69" s="16">
        <v>19850</v>
      </c>
      <c r="C69" s="12">
        <v>45456</v>
      </c>
      <c r="D69" s="13" t="s">
        <v>219</v>
      </c>
      <c r="E69" s="14">
        <v>460</v>
      </c>
      <c r="F69" s="17" t="s">
        <v>654</v>
      </c>
      <c r="G69" s="18"/>
      <c r="H69" s="19"/>
    </row>
    <row r="70" spans="1:8" s="17" customFormat="1" ht="18.75" customHeight="1" x14ac:dyDescent="0.25">
      <c r="A70" s="11">
        <v>62</v>
      </c>
      <c r="B70" s="16">
        <v>19851</v>
      </c>
      <c r="C70" s="12">
        <v>45456</v>
      </c>
      <c r="D70" s="13" t="s">
        <v>220</v>
      </c>
      <c r="E70" s="14">
        <v>205</v>
      </c>
      <c r="F70" s="17" t="s">
        <v>655</v>
      </c>
      <c r="G70" s="18"/>
      <c r="H70" s="19"/>
    </row>
    <row r="71" spans="1:8" s="17" customFormat="1" ht="18.75" customHeight="1" x14ac:dyDescent="0.25">
      <c r="A71" s="15">
        <v>63</v>
      </c>
      <c r="B71" s="16">
        <v>19852</v>
      </c>
      <c r="C71" s="12">
        <v>45456</v>
      </c>
      <c r="D71" s="13">
        <v>5100031958</v>
      </c>
      <c r="E71" s="14">
        <v>4226</v>
      </c>
      <c r="F71" s="17" t="s">
        <v>656</v>
      </c>
      <c r="G71" s="18"/>
      <c r="H71" s="19"/>
    </row>
    <row r="72" spans="1:8" s="17" customFormat="1" ht="18.75" customHeight="1" x14ac:dyDescent="0.25">
      <c r="A72" s="15">
        <v>64</v>
      </c>
      <c r="B72" s="16">
        <v>19853</v>
      </c>
      <c r="C72" s="12">
        <v>45456</v>
      </c>
      <c r="D72" s="13" t="s">
        <v>221</v>
      </c>
      <c r="E72" s="14">
        <v>4497</v>
      </c>
      <c r="F72" s="17" t="s">
        <v>657</v>
      </c>
      <c r="G72" s="18"/>
      <c r="H72" s="19"/>
    </row>
    <row r="73" spans="1:8" s="17" customFormat="1" ht="18.75" customHeight="1" x14ac:dyDescent="0.25">
      <c r="A73" s="11">
        <v>65</v>
      </c>
      <c r="B73" s="16">
        <v>19854</v>
      </c>
      <c r="C73" s="12">
        <v>45456</v>
      </c>
      <c r="D73" s="13">
        <v>5100031960</v>
      </c>
      <c r="E73" s="14">
        <v>3886</v>
      </c>
      <c r="F73" s="17" t="s">
        <v>658</v>
      </c>
      <c r="G73" s="18"/>
      <c r="H73" s="19"/>
    </row>
    <row r="74" spans="1:8" s="17" customFormat="1" ht="18.75" customHeight="1" x14ac:dyDescent="0.25">
      <c r="A74" s="11">
        <v>66</v>
      </c>
      <c r="B74" s="16">
        <v>19856</v>
      </c>
      <c r="C74" s="12">
        <v>45457</v>
      </c>
      <c r="D74" s="13" t="s">
        <v>222</v>
      </c>
      <c r="E74" s="14">
        <v>2042</v>
      </c>
      <c r="F74" s="17" t="s">
        <v>659</v>
      </c>
      <c r="G74" s="18"/>
      <c r="H74" s="19"/>
    </row>
    <row r="75" spans="1:8" s="17" customFormat="1" ht="18.75" customHeight="1" x14ac:dyDescent="0.25">
      <c r="A75" s="15">
        <v>67</v>
      </c>
      <c r="B75" s="16">
        <v>19862</v>
      </c>
      <c r="C75" s="12">
        <v>45461</v>
      </c>
      <c r="D75" s="13" t="s">
        <v>223</v>
      </c>
      <c r="E75" s="14">
        <v>4767</v>
      </c>
      <c r="F75" s="17" t="s">
        <v>660</v>
      </c>
      <c r="G75" s="18"/>
      <c r="H75" s="19"/>
    </row>
    <row r="76" spans="1:8" s="17" customFormat="1" ht="18.75" customHeight="1" x14ac:dyDescent="0.25">
      <c r="A76" s="15">
        <v>68</v>
      </c>
      <c r="B76" s="16">
        <v>19863</v>
      </c>
      <c r="C76" s="12">
        <v>45461</v>
      </c>
      <c r="D76" s="13" t="s">
        <v>224</v>
      </c>
      <c r="E76" s="14">
        <v>276</v>
      </c>
      <c r="F76" s="17" t="s">
        <v>661</v>
      </c>
      <c r="G76" s="18"/>
      <c r="H76" s="19"/>
    </row>
    <row r="77" spans="1:8" s="17" customFormat="1" ht="18.75" customHeight="1" x14ac:dyDescent="0.25">
      <c r="A77" s="11">
        <v>69</v>
      </c>
      <c r="B77" s="16">
        <v>19864</v>
      </c>
      <c r="C77" s="12">
        <v>45461</v>
      </c>
      <c r="D77" s="13" t="s">
        <v>225</v>
      </c>
      <c r="E77" s="14">
        <v>299</v>
      </c>
      <c r="F77" s="17" t="s">
        <v>662</v>
      </c>
      <c r="G77" s="18"/>
      <c r="H77" s="19"/>
    </row>
    <row r="78" spans="1:8" s="17" customFormat="1" ht="18.75" customHeight="1" x14ac:dyDescent="0.25">
      <c r="A78" s="11">
        <v>70</v>
      </c>
      <c r="B78" s="16">
        <v>19865</v>
      </c>
      <c r="C78" s="12">
        <v>45461</v>
      </c>
      <c r="D78" s="13" t="s">
        <v>226</v>
      </c>
      <c r="E78" s="14">
        <v>635</v>
      </c>
      <c r="F78" s="17" t="s">
        <v>663</v>
      </c>
      <c r="G78" s="18"/>
      <c r="H78" s="19"/>
    </row>
    <row r="79" spans="1:8" s="17" customFormat="1" ht="18.75" customHeight="1" x14ac:dyDescent="0.25">
      <c r="A79" s="15">
        <v>71</v>
      </c>
      <c r="B79" s="16">
        <v>19866</v>
      </c>
      <c r="C79" s="12">
        <v>45461</v>
      </c>
      <c r="D79" s="13" t="s">
        <v>227</v>
      </c>
      <c r="E79" s="14">
        <v>4690</v>
      </c>
      <c r="F79" s="17" t="s">
        <v>664</v>
      </c>
      <c r="G79" s="18"/>
      <c r="H79" s="19"/>
    </row>
    <row r="80" spans="1:8" s="17" customFormat="1" ht="18.75" customHeight="1" x14ac:dyDescent="0.25">
      <c r="A80" s="15">
        <v>72</v>
      </c>
      <c r="B80" s="16">
        <v>19867</v>
      </c>
      <c r="C80" s="12">
        <v>45461</v>
      </c>
      <c r="D80" s="13" t="s">
        <v>228</v>
      </c>
      <c r="E80" s="14">
        <v>12443</v>
      </c>
      <c r="F80" s="17" t="s">
        <v>665</v>
      </c>
      <c r="G80" s="18"/>
      <c r="H80" s="19"/>
    </row>
    <row r="81" spans="1:8" s="17" customFormat="1" ht="18.75" customHeight="1" x14ac:dyDescent="0.25">
      <c r="A81" s="11">
        <v>73</v>
      </c>
      <c r="B81" s="16">
        <v>19868</v>
      </c>
      <c r="C81" s="12">
        <v>45461</v>
      </c>
      <c r="D81" s="13" t="s">
        <v>229</v>
      </c>
      <c r="E81" s="14">
        <v>212</v>
      </c>
      <c r="F81" s="17" t="s">
        <v>666</v>
      </c>
      <c r="G81" s="18"/>
      <c r="H81" s="19"/>
    </row>
    <row r="82" spans="1:8" s="17" customFormat="1" ht="18.75" customHeight="1" x14ac:dyDescent="0.25">
      <c r="A82" s="11">
        <v>74</v>
      </c>
      <c r="B82" s="16">
        <v>19869</v>
      </c>
      <c r="C82" s="12">
        <v>45461</v>
      </c>
      <c r="D82" s="13">
        <v>5100032101</v>
      </c>
      <c r="E82" s="14">
        <v>196</v>
      </c>
      <c r="F82" s="17" t="s">
        <v>667</v>
      </c>
      <c r="G82" s="18"/>
      <c r="H82" s="19"/>
    </row>
    <row r="83" spans="1:8" s="17" customFormat="1" ht="18.75" customHeight="1" x14ac:dyDescent="0.25">
      <c r="A83" s="15">
        <v>75</v>
      </c>
      <c r="B83" s="16">
        <v>19870</v>
      </c>
      <c r="C83" s="12">
        <v>45462</v>
      </c>
      <c r="D83" s="13" t="s">
        <v>230</v>
      </c>
      <c r="E83" s="14">
        <v>5728</v>
      </c>
      <c r="F83" s="17" t="s">
        <v>668</v>
      </c>
      <c r="G83" s="18"/>
      <c r="H83" s="19"/>
    </row>
    <row r="84" spans="1:8" s="17" customFormat="1" ht="18.75" customHeight="1" x14ac:dyDescent="0.25">
      <c r="A84" s="15">
        <v>76</v>
      </c>
      <c r="B84" s="16">
        <v>19871</v>
      </c>
      <c r="C84" s="12">
        <v>45462</v>
      </c>
      <c r="D84" s="13" t="s">
        <v>231</v>
      </c>
      <c r="E84" s="14">
        <v>1249</v>
      </c>
      <c r="F84" s="17" t="s">
        <v>669</v>
      </c>
      <c r="G84" s="18"/>
      <c r="H84" s="19"/>
    </row>
    <row r="85" spans="1:8" s="17" customFormat="1" ht="18.75" customHeight="1" x14ac:dyDescent="0.25">
      <c r="A85" s="11">
        <v>77</v>
      </c>
      <c r="B85" s="16">
        <v>19872</v>
      </c>
      <c r="C85" s="12">
        <v>45462</v>
      </c>
      <c r="D85" s="13">
        <v>5100031997</v>
      </c>
      <c r="E85" s="14">
        <v>4000</v>
      </c>
      <c r="F85" s="17" t="s">
        <v>670</v>
      </c>
      <c r="G85" s="18"/>
      <c r="H85" s="19"/>
    </row>
    <row r="86" spans="1:8" s="17" customFormat="1" ht="18.75" customHeight="1" x14ac:dyDescent="0.25">
      <c r="A86" s="11">
        <v>78</v>
      </c>
      <c r="B86" s="16">
        <v>19873</v>
      </c>
      <c r="C86" s="12">
        <v>45462</v>
      </c>
      <c r="D86" s="13" t="s">
        <v>232</v>
      </c>
      <c r="E86" s="14">
        <v>4000</v>
      </c>
      <c r="F86" s="17" t="s">
        <v>671</v>
      </c>
      <c r="G86" s="18"/>
      <c r="H86" s="19"/>
    </row>
    <row r="87" spans="1:8" s="17" customFormat="1" ht="18.75" customHeight="1" x14ac:dyDescent="0.25">
      <c r="A87" s="15">
        <v>79</v>
      </c>
      <c r="B87" s="16">
        <v>19874</v>
      </c>
      <c r="C87" s="12">
        <v>45462</v>
      </c>
      <c r="D87" s="13" t="s">
        <v>233</v>
      </c>
      <c r="E87" s="14">
        <v>1421</v>
      </c>
      <c r="F87" s="17" t="s">
        <v>672</v>
      </c>
      <c r="G87" s="18"/>
      <c r="H87" s="19"/>
    </row>
    <row r="88" spans="1:8" s="17" customFormat="1" ht="18.75" customHeight="1" x14ac:dyDescent="0.25">
      <c r="A88" s="15">
        <v>80</v>
      </c>
      <c r="B88" s="16">
        <v>19875</v>
      </c>
      <c r="C88" s="12">
        <v>45463</v>
      </c>
      <c r="D88" s="13" t="s">
        <v>234</v>
      </c>
      <c r="E88" s="14">
        <v>13449</v>
      </c>
      <c r="F88" s="17" t="s">
        <v>673</v>
      </c>
      <c r="G88" s="18"/>
      <c r="H88" s="19"/>
    </row>
    <row r="89" spans="1:8" s="17" customFormat="1" ht="18.75" customHeight="1" x14ac:dyDescent="0.25">
      <c r="A89" s="11">
        <v>81</v>
      </c>
      <c r="B89" s="16">
        <v>19876</v>
      </c>
      <c r="C89" s="12">
        <v>45463</v>
      </c>
      <c r="D89" s="13" t="s">
        <v>235</v>
      </c>
      <c r="E89" s="14">
        <v>605</v>
      </c>
      <c r="F89" s="17" t="s">
        <v>674</v>
      </c>
      <c r="G89" s="18"/>
      <c r="H89" s="19"/>
    </row>
    <row r="90" spans="1:8" s="17" customFormat="1" ht="18.75" customHeight="1" x14ac:dyDescent="0.25">
      <c r="A90" s="11">
        <v>82</v>
      </c>
      <c r="B90" s="16">
        <v>19877</v>
      </c>
      <c r="C90" s="12">
        <v>45463</v>
      </c>
      <c r="D90" s="13" t="s">
        <v>236</v>
      </c>
      <c r="E90" s="14">
        <v>540</v>
      </c>
      <c r="F90" s="17" t="s">
        <v>675</v>
      </c>
      <c r="G90" s="18"/>
      <c r="H90" s="19"/>
    </row>
    <row r="91" spans="1:8" s="17" customFormat="1" ht="18.75" customHeight="1" x14ac:dyDescent="0.25">
      <c r="A91" s="15">
        <v>83</v>
      </c>
      <c r="B91" s="16">
        <v>19878</v>
      </c>
      <c r="C91" s="12">
        <v>45463</v>
      </c>
      <c r="D91" s="13" t="s">
        <v>237</v>
      </c>
      <c r="E91" s="14">
        <v>2093</v>
      </c>
      <c r="F91" s="17" t="s">
        <v>676</v>
      </c>
      <c r="G91" s="18"/>
      <c r="H91" s="19"/>
    </row>
    <row r="92" spans="1:8" s="17" customFormat="1" ht="18.75" customHeight="1" x14ac:dyDescent="0.25">
      <c r="A92" s="15">
        <v>84</v>
      </c>
      <c r="B92" s="16">
        <v>19879</v>
      </c>
      <c r="C92" s="12">
        <v>45463</v>
      </c>
      <c r="D92" s="13" t="s">
        <v>238</v>
      </c>
      <c r="E92" s="14">
        <v>2728</v>
      </c>
      <c r="F92" s="17" t="s">
        <v>677</v>
      </c>
      <c r="G92" s="18"/>
      <c r="H92" s="19"/>
    </row>
    <row r="93" spans="1:8" s="17" customFormat="1" ht="18.75" customHeight="1" x14ac:dyDescent="0.25">
      <c r="A93" s="11">
        <v>85</v>
      </c>
      <c r="B93" s="16">
        <v>19880</v>
      </c>
      <c r="C93" s="12">
        <v>45463</v>
      </c>
      <c r="D93" s="13" t="s">
        <v>239</v>
      </c>
      <c r="E93" s="14">
        <v>2598</v>
      </c>
      <c r="F93" s="17" t="s">
        <v>678</v>
      </c>
      <c r="G93" s="18"/>
      <c r="H93" s="19"/>
    </row>
    <row r="94" spans="1:8" s="17" customFormat="1" ht="18.75" customHeight="1" x14ac:dyDescent="0.25">
      <c r="A94" s="11">
        <v>86</v>
      </c>
      <c r="B94" s="16">
        <v>19881</v>
      </c>
      <c r="C94" s="12">
        <v>45463</v>
      </c>
      <c r="D94" s="13" t="s">
        <v>240</v>
      </c>
      <c r="E94" s="14">
        <v>2598</v>
      </c>
      <c r="F94" s="17" t="s">
        <v>679</v>
      </c>
      <c r="G94" s="18"/>
      <c r="H94" s="19"/>
    </row>
    <row r="95" spans="1:8" s="17" customFormat="1" ht="18.75" customHeight="1" x14ac:dyDescent="0.25">
      <c r="A95" s="15">
        <v>87</v>
      </c>
      <c r="B95" s="16">
        <v>19882</v>
      </c>
      <c r="C95" s="12">
        <v>45463</v>
      </c>
      <c r="D95" s="13" t="s">
        <v>241</v>
      </c>
      <c r="E95" s="14">
        <v>2387</v>
      </c>
      <c r="F95" s="17" t="s">
        <v>680</v>
      </c>
      <c r="G95" s="18"/>
      <c r="H95" s="19"/>
    </row>
    <row r="96" spans="1:8" s="17" customFormat="1" ht="18.75" customHeight="1" x14ac:dyDescent="0.25">
      <c r="A96" s="15">
        <v>88</v>
      </c>
      <c r="B96" s="16">
        <v>19884</v>
      </c>
      <c r="C96" s="12">
        <v>45463</v>
      </c>
      <c r="D96" s="13" t="s">
        <v>242</v>
      </c>
      <c r="E96" s="14">
        <v>894</v>
      </c>
      <c r="F96" s="17" t="s">
        <v>681</v>
      </c>
      <c r="G96" s="18"/>
      <c r="H96" s="19"/>
    </row>
    <row r="97" spans="1:8" s="17" customFormat="1" ht="18.75" customHeight="1" x14ac:dyDescent="0.25">
      <c r="A97" s="11">
        <v>89</v>
      </c>
      <c r="B97" s="16">
        <v>19887</v>
      </c>
      <c r="C97" s="12">
        <v>45463</v>
      </c>
      <c r="D97" s="13" t="s">
        <v>243</v>
      </c>
      <c r="E97" s="14">
        <v>375</v>
      </c>
      <c r="F97" s="17" t="s">
        <v>682</v>
      </c>
      <c r="G97" s="18"/>
      <c r="H97" s="19"/>
    </row>
    <row r="98" spans="1:8" s="17" customFormat="1" ht="18.75" customHeight="1" x14ac:dyDescent="0.25">
      <c r="A98" s="11">
        <v>90</v>
      </c>
      <c r="B98" s="16">
        <v>19888</v>
      </c>
      <c r="C98" s="12">
        <v>45463</v>
      </c>
      <c r="D98" s="13" t="s">
        <v>244</v>
      </c>
      <c r="E98" s="14">
        <v>4423</v>
      </c>
      <c r="F98" s="17" t="s">
        <v>683</v>
      </c>
      <c r="G98" s="18"/>
      <c r="H98" s="19"/>
    </row>
    <row r="99" spans="1:8" s="17" customFormat="1" ht="18.75" customHeight="1" x14ac:dyDescent="0.25">
      <c r="A99" s="15">
        <v>91</v>
      </c>
      <c r="B99" s="16">
        <v>19890</v>
      </c>
      <c r="C99" s="12">
        <v>45463</v>
      </c>
      <c r="D99" s="13" t="s">
        <v>245</v>
      </c>
      <c r="E99" s="14">
        <v>198</v>
      </c>
      <c r="F99" s="17" t="s">
        <v>684</v>
      </c>
      <c r="G99" s="18"/>
      <c r="H99" s="19"/>
    </row>
    <row r="100" spans="1:8" s="17" customFormat="1" ht="18.75" customHeight="1" x14ac:dyDescent="0.25">
      <c r="A100" s="15">
        <v>92</v>
      </c>
      <c r="B100" s="16">
        <v>19891</v>
      </c>
      <c r="C100" s="12">
        <v>45463</v>
      </c>
      <c r="D100" s="13" t="s">
        <v>246</v>
      </c>
      <c r="E100" s="14">
        <v>2443</v>
      </c>
      <c r="F100" s="17" t="s">
        <v>685</v>
      </c>
      <c r="G100" s="18"/>
      <c r="H100" s="19"/>
    </row>
    <row r="101" spans="1:8" s="17" customFormat="1" ht="18.75" customHeight="1" x14ac:dyDescent="0.25">
      <c r="A101" s="11">
        <v>93</v>
      </c>
      <c r="B101" s="16">
        <v>19892</v>
      </c>
      <c r="C101" s="12">
        <v>45464</v>
      </c>
      <c r="D101" s="13" t="s">
        <v>247</v>
      </c>
      <c r="E101" s="14">
        <v>3136</v>
      </c>
      <c r="F101" s="17" t="s">
        <v>686</v>
      </c>
      <c r="G101" s="18"/>
      <c r="H101" s="19"/>
    </row>
    <row r="102" spans="1:8" s="17" customFormat="1" ht="18.75" customHeight="1" x14ac:dyDescent="0.25">
      <c r="A102" s="11">
        <v>94</v>
      </c>
      <c r="B102" s="16">
        <v>19893</v>
      </c>
      <c r="C102" s="12">
        <v>45464</v>
      </c>
      <c r="D102" s="13" t="s">
        <v>248</v>
      </c>
      <c r="E102" s="14">
        <v>868</v>
      </c>
      <c r="F102" s="17" t="s">
        <v>687</v>
      </c>
      <c r="G102" s="18"/>
      <c r="H102" s="19"/>
    </row>
    <row r="103" spans="1:8" s="17" customFormat="1" ht="18.75" customHeight="1" x14ac:dyDescent="0.25">
      <c r="A103" s="15">
        <v>95</v>
      </c>
      <c r="B103" s="16">
        <v>19894</v>
      </c>
      <c r="C103" s="12">
        <v>45464</v>
      </c>
      <c r="D103" s="13" t="s">
        <v>249</v>
      </c>
      <c r="E103" s="14">
        <v>3371</v>
      </c>
      <c r="F103" s="17" t="s">
        <v>688</v>
      </c>
      <c r="G103" s="18"/>
      <c r="H103" s="19"/>
    </row>
    <row r="104" spans="1:8" s="17" customFormat="1" ht="18.75" customHeight="1" x14ac:dyDescent="0.25">
      <c r="A104" s="15">
        <v>96</v>
      </c>
      <c r="B104" s="16">
        <v>19895</v>
      </c>
      <c r="C104" s="12">
        <v>45464</v>
      </c>
      <c r="D104" s="13" t="s">
        <v>250</v>
      </c>
      <c r="E104" s="14">
        <v>1983</v>
      </c>
      <c r="F104" s="17" t="s">
        <v>689</v>
      </c>
      <c r="G104" s="18"/>
      <c r="H104" s="19"/>
    </row>
    <row r="105" spans="1:8" s="17" customFormat="1" ht="18.75" customHeight="1" x14ac:dyDescent="0.25">
      <c r="A105" s="11">
        <v>97</v>
      </c>
      <c r="B105" s="16">
        <v>19898</v>
      </c>
      <c r="C105" s="12">
        <v>45464</v>
      </c>
      <c r="D105" s="13" t="s">
        <v>251</v>
      </c>
      <c r="E105" s="14">
        <v>5049</v>
      </c>
      <c r="F105" s="17" t="s">
        <v>690</v>
      </c>
      <c r="G105" s="18"/>
      <c r="H105" s="19"/>
    </row>
    <row r="106" spans="1:8" s="17" customFormat="1" ht="18.75" customHeight="1" x14ac:dyDescent="0.25">
      <c r="A106" s="11">
        <v>98</v>
      </c>
      <c r="B106" s="16">
        <v>19899</v>
      </c>
      <c r="C106" s="12">
        <v>45464</v>
      </c>
      <c r="D106" s="13" t="s">
        <v>252</v>
      </c>
      <c r="E106" s="14">
        <v>2763</v>
      </c>
      <c r="F106" s="17" t="s">
        <v>691</v>
      </c>
      <c r="G106" s="18"/>
      <c r="H106" s="19"/>
    </row>
    <row r="107" spans="1:8" s="17" customFormat="1" ht="18.75" customHeight="1" x14ac:dyDescent="0.25">
      <c r="A107" s="15">
        <v>99</v>
      </c>
      <c r="B107" s="16">
        <v>19900</v>
      </c>
      <c r="C107" s="12">
        <v>45467</v>
      </c>
      <c r="D107" s="13">
        <v>5100032042</v>
      </c>
      <c r="E107" s="14">
        <v>198</v>
      </c>
      <c r="F107" s="17" t="s">
        <v>692</v>
      </c>
      <c r="G107" s="18"/>
      <c r="H107" s="19"/>
    </row>
    <row r="108" spans="1:8" s="17" customFormat="1" ht="18.75" customHeight="1" x14ac:dyDescent="0.25">
      <c r="A108" s="15">
        <v>100</v>
      </c>
      <c r="B108" s="16">
        <v>19901</v>
      </c>
      <c r="C108" s="12">
        <v>45467</v>
      </c>
      <c r="D108" s="13" t="s">
        <v>253</v>
      </c>
      <c r="E108" s="14">
        <v>4696</v>
      </c>
      <c r="F108" s="17" t="s">
        <v>693</v>
      </c>
      <c r="G108" s="18"/>
      <c r="H108" s="19"/>
    </row>
    <row r="109" spans="1:8" s="17" customFormat="1" ht="18.75" customHeight="1" x14ac:dyDescent="0.25">
      <c r="A109" s="11">
        <v>101</v>
      </c>
      <c r="B109" s="16">
        <v>19902</v>
      </c>
      <c r="C109" s="12">
        <v>45467</v>
      </c>
      <c r="D109" s="13" t="s">
        <v>254</v>
      </c>
      <c r="E109" s="14">
        <v>5903</v>
      </c>
      <c r="F109" s="17" t="s">
        <v>694</v>
      </c>
      <c r="G109" s="18"/>
      <c r="H109" s="19"/>
    </row>
    <row r="110" spans="1:8" s="17" customFormat="1" ht="18.75" customHeight="1" x14ac:dyDescent="0.25">
      <c r="A110" s="11">
        <v>102</v>
      </c>
      <c r="B110" s="16">
        <v>19903</v>
      </c>
      <c r="C110" s="12">
        <v>45467</v>
      </c>
      <c r="D110" s="13" t="s">
        <v>255</v>
      </c>
      <c r="E110" s="14">
        <v>764</v>
      </c>
      <c r="F110" s="17" t="s">
        <v>695</v>
      </c>
      <c r="G110" s="18"/>
      <c r="H110" s="19"/>
    </row>
    <row r="111" spans="1:8" s="17" customFormat="1" ht="18.75" customHeight="1" x14ac:dyDescent="0.25">
      <c r="A111" s="15">
        <v>103</v>
      </c>
      <c r="B111" s="16">
        <v>19904</v>
      </c>
      <c r="C111" s="12">
        <v>45467</v>
      </c>
      <c r="D111" s="13" t="s">
        <v>256</v>
      </c>
      <c r="E111" s="14">
        <v>1824</v>
      </c>
      <c r="F111" s="17" t="s">
        <v>696</v>
      </c>
      <c r="G111" s="18"/>
      <c r="H111" s="19"/>
    </row>
    <row r="112" spans="1:8" s="17" customFormat="1" ht="18.75" customHeight="1" x14ac:dyDescent="0.25">
      <c r="A112" s="15">
        <v>104</v>
      </c>
      <c r="B112" s="16">
        <v>19905</v>
      </c>
      <c r="C112" s="12">
        <v>45467</v>
      </c>
      <c r="D112" s="13" t="s">
        <v>257</v>
      </c>
      <c r="E112" s="14">
        <v>1277</v>
      </c>
      <c r="F112" s="17" t="s">
        <v>697</v>
      </c>
      <c r="G112" s="18"/>
      <c r="H112" s="18"/>
    </row>
    <row r="113" spans="1:8" s="17" customFormat="1" ht="18.75" customHeight="1" x14ac:dyDescent="0.25">
      <c r="A113" s="11">
        <v>105</v>
      </c>
      <c r="B113" s="16">
        <v>19906</v>
      </c>
      <c r="C113" s="12">
        <v>45467</v>
      </c>
      <c r="D113" s="13" t="s">
        <v>258</v>
      </c>
      <c r="E113" s="14">
        <v>1236</v>
      </c>
      <c r="F113" s="17" t="s">
        <v>698</v>
      </c>
      <c r="G113" s="18"/>
      <c r="H113" s="18"/>
    </row>
    <row r="114" spans="1:8" s="17" customFormat="1" ht="18.75" customHeight="1" x14ac:dyDescent="0.25">
      <c r="A114" s="11">
        <v>106</v>
      </c>
      <c r="B114" s="16">
        <v>19907</v>
      </c>
      <c r="C114" s="12">
        <v>45467</v>
      </c>
      <c r="D114" s="13" t="s">
        <v>259</v>
      </c>
      <c r="E114" s="14">
        <v>2279</v>
      </c>
      <c r="F114" s="17" t="s">
        <v>699</v>
      </c>
      <c r="G114" s="18"/>
      <c r="H114" s="18"/>
    </row>
    <row r="115" spans="1:8" s="17" customFormat="1" ht="18.75" customHeight="1" x14ac:dyDescent="0.25">
      <c r="A115" s="15">
        <v>107</v>
      </c>
      <c r="B115" s="16">
        <v>19908</v>
      </c>
      <c r="C115" s="12">
        <v>45467</v>
      </c>
      <c r="D115" s="13">
        <v>5100032099</v>
      </c>
      <c r="E115" s="14">
        <v>4944</v>
      </c>
      <c r="F115" s="17" t="s">
        <v>700</v>
      </c>
      <c r="G115" s="18"/>
      <c r="H115" s="18"/>
    </row>
    <row r="116" spans="1:8" s="17" customFormat="1" ht="18.75" customHeight="1" x14ac:dyDescent="0.25">
      <c r="A116" s="15">
        <v>108</v>
      </c>
      <c r="B116" s="16">
        <v>19909</v>
      </c>
      <c r="C116" s="12">
        <v>45467</v>
      </c>
      <c r="D116" s="13" t="s">
        <v>260</v>
      </c>
      <c r="E116" s="14">
        <v>4245</v>
      </c>
      <c r="F116" s="17" t="s">
        <v>701</v>
      </c>
      <c r="G116" s="18"/>
      <c r="H116" s="18"/>
    </row>
    <row r="117" spans="1:8" s="17" customFormat="1" ht="18.75" customHeight="1" x14ac:dyDescent="0.25">
      <c r="A117" s="11">
        <v>109</v>
      </c>
      <c r="B117" s="16">
        <v>19910</v>
      </c>
      <c r="C117" s="12">
        <v>45467</v>
      </c>
      <c r="D117" s="13" t="s">
        <v>261</v>
      </c>
      <c r="E117" s="14">
        <v>1687</v>
      </c>
      <c r="F117" s="17" t="s">
        <v>702</v>
      </c>
      <c r="G117" s="18"/>
      <c r="H117" s="18"/>
    </row>
    <row r="118" spans="1:8" s="17" customFormat="1" ht="18.75" customHeight="1" x14ac:dyDescent="0.25">
      <c r="A118" s="11">
        <v>110</v>
      </c>
      <c r="B118" s="16">
        <v>19911</v>
      </c>
      <c r="C118" s="12">
        <v>45467</v>
      </c>
      <c r="D118" s="13" t="s">
        <v>262</v>
      </c>
      <c r="E118" s="14">
        <v>200</v>
      </c>
      <c r="F118" s="17" t="s">
        <v>703</v>
      </c>
      <c r="G118" s="18"/>
      <c r="H118" s="18"/>
    </row>
    <row r="119" spans="1:8" s="17" customFormat="1" ht="18.75" customHeight="1" x14ac:dyDescent="0.25">
      <c r="A119" s="15">
        <v>111</v>
      </c>
      <c r="B119" s="16">
        <v>19914</v>
      </c>
      <c r="C119" s="12">
        <v>45467</v>
      </c>
      <c r="D119" s="13" t="s">
        <v>263</v>
      </c>
      <c r="E119" s="14">
        <v>10921</v>
      </c>
      <c r="F119" s="17" t="s">
        <v>704</v>
      </c>
      <c r="G119" s="18"/>
      <c r="H119" s="18"/>
    </row>
    <row r="120" spans="1:8" s="17" customFormat="1" ht="18.75" customHeight="1" x14ac:dyDescent="0.25">
      <c r="A120" s="15">
        <v>112</v>
      </c>
      <c r="B120" s="16">
        <v>19916</v>
      </c>
      <c r="C120" s="12">
        <v>45467</v>
      </c>
      <c r="D120" s="13">
        <v>5100000189</v>
      </c>
      <c r="E120" s="14">
        <v>2323</v>
      </c>
      <c r="F120" s="17" t="s">
        <v>705</v>
      </c>
      <c r="G120" s="18"/>
      <c r="H120" s="18"/>
    </row>
    <row r="121" spans="1:8" s="17" customFormat="1" ht="18.75" customHeight="1" x14ac:dyDescent="0.25">
      <c r="A121" s="11">
        <v>113</v>
      </c>
      <c r="B121" s="16">
        <v>19937</v>
      </c>
      <c r="C121" s="12">
        <v>45470</v>
      </c>
      <c r="D121" s="13" t="s">
        <v>264</v>
      </c>
      <c r="E121" s="14">
        <v>1155</v>
      </c>
      <c r="F121" s="17" t="s">
        <v>706</v>
      </c>
      <c r="G121" s="18"/>
      <c r="H121" s="18"/>
    </row>
    <row r="122" spans="1:8" s="17" customFormat="1" ht="18.75" customHeight="1" x14ac:dyDescent="0.25">
      <c r="A122" s="11">
        <v>114</v>
      </c>
      <c r="B122" s="16">
        <v>19938</v>
      </c>
      <c r="C122" s="12">
        <v>45470</v>
      </c>
      <c r="D122" s="13" t="s">
        <v>265</v>
      </c>
      <c r="E122" s="14">
        <v>721</v>
      </c>
      <c r="F122" s="17" t="s">
        <v>707</v>
      </c>
      <c r="G122" s="18"/>
      <c r="H122" s="18"/>
    </row>
    <row r="123" spans="1:8" s="17" customFormat="1" ht="18.75" customHeight="1" x14ac:dyDescent="0.25">
      <c r="A123" s="15">
        <v>115</v>
      </c>
      <c r="B123" s="16">
        <v>19939</v>
      </c>
      <c r="C123" s="12">
        <v>45470</v>
      </c>
      <c r="D123" s="13" t="s">
        <v>266</v>
      </c>
      <c r="E123" s="14">
        <v>5772</v>
      </c>
      <c r="F123" s="17" t="s">
        <v>708</v>
      </c>
      <c r="G123" s="18"/>
      <c r="H123" s="18"/>
    </row>
    <row r="124" spans="1:8" s="17" customFormat="1" ht="18.75" customHeight="1" x14ac:dyDescent="0.25">
      <c r="A124" s="15">
        <v>116</v>
      </c>
      <c r="B124" s="16">
        <v>19941</v>
      </c>
      <c r="C124" s="12">
        <v>45470</v>
      </c>
      <c r="D124" s="13" t="s">
        <v>267</v>
      </c>
      <c r="E124" s="14">
        <v>6252</v>
      </c>
      <c r="F124" s="17" t="s">
        <v>709</v>
      </c>
      <c r="G124" s="18"/>
      <c r="H124" s="18"/>
    </row>
    <row r="125" spans="1:8" s="17" customFormat="1" ht="18.75" customHeight="1" x14ac:dyDescent="0.25">
      <c r="A125" s="11">
        <v>117</v>
      </c>
      <c r="B125" s="16">
        <v>19942</v>
      </c>
      <c r="C125" s="12">
        <v>45470</v>
      </c>
      <c r="D125" s="13" t="s">
        <v>268</v>
      </c>
      <c r="E125" s="14">
        <v>194</v>
      </c>
      <c r="F125" s="17" t="s">
        <v>710</v>
      </c>
      <c r="G125" s="18"/>
      <c r="H125" s="18"/>
    </row>
    <row r="126" spans="1:8" s="17" customFormat="1" ht="18.75" customHeight="1" x14ac:dyDescent="0.25">
      <c r="A126" s="11">
        <v>118</v>
      </c>
      <c r="B126" s="16">
        <v>19943</v>
      </c>
      <c r="C126" s="12">
        <v>45470</v>
      </c>
      <c r="D126" s="13">
        <v>5100032092</v>
      </c>
      <c r="E126" s="14">
        <v>1031</v>
      </c>
      <c r="F126" s="17" t="s">
        <v>711</v>
      </c>
      <c r="G126" s="18"/>
      <c r="H126" s="18"/>
    </row>
    <row r="127" spans="1:8" s="17" customFormat="1" ht="18.75" customHeight="1" x14ac:dyDescent="0.25">
      <c r="A127" s="15">
        <v>119</v>
      </c>
      <c r="B127" s="16">
        <v>19944</v>
      </c>
      <c r="C127" s="12">
        <v>45470</v>
      </c>
      <c r="D127" s="13" t="s">
        <v>269</v>
      </c>
      <c r="E127" s="14">
        <v>201</v>
      </c>
      <c r="F127" s="17" t="s">
        <v>712</v>
      </c>
      <c r="G127" s="18"/>
      <c r="H127" s="18"/>
    </row>
    <row r="128" spans="1:8" s="17" customFormat="1" ht="18.75" customHeight="1" x14ac:dyDescent="0.25">
      <c r="A128" s="15">
        <v>120</v>
      </c>
      <c r="B128" s="31">
        <v>19945</v>
      </c>
      <c r="C128" s="12">
        <v>45470</v>
      </c>
      <c r="D128" s="13" t="s">
        <v>270</v>
      </c>
      <c r="E128" s="14">
        <v>5096</v>
      </c>
      <c r="F128" s="17" t="s">
        <v>713</v>
      </c>
      <c r="G128" s="18"/>
      <c r="H128" s="18"/>
    </row>
    <row r="129" spans="1:11" s="17" customFormat="1" ht="18.75" customHeight="1" x14ac:dyDescent="0.25">
      <c r="A129" s="11">
        <v>121</v>
      </c>
      <c r="B129" s="16">
        <v>19946</v>
      </c>
      <c r="C129" s="12">
        <v>45470</v>
      </c>
      <c r="D129" s="13" t="s">
        <v>271</v>
      </c>
      <c r="E129" s="14">
        <v>199</v>
      </c>
      <c r="F129" s="17" t="s">
        <v>714</v>
      </c>
      <c r="G129" s="18"/>
      <c r="H129" s="18"/>
    </row>
    <row r="130" spans="1:11" s="17" customFormat="1" ht="18.75" customHeight="1" x14ac:dyDescent="0.25">
      <c r="A130" s="11">
        <v>122</v>
      </c>
      <c r="B130" s="16">
        <v>19947</v>
      </c>
      <c r="C130" s="12">
        <v>45470</v>
      </c>
      <c r="D130" s="13" t="s">
        <v>272</v>
      </c>
      <c r="E130" s="14">
        <v>1876</v>
      </c>
      <c r="F130" s="17" t="s">
        <v>715</v>
      </c>
      <c r="G130" s="18"/>
      <c r="H130" s="18"/>
    </row>
    <row r="131" spans="1:11" s="17" customFormat="1" ht="18.75" customHeight="1" x14ac:dyDescent="0.25">
      <c r="A131" s="15">
        <v>123</v>
      </c>
      <c r="B131" s="16">
        <v>19948</v>
      </c>
      <c r="C131" s="12">
        <v>45470</v>
      </c>
      <c r="D131" s="13" t="s">
        <v>273</v>
      </c>
      <c r="E131" s="14">
        <v>956</v>
      </c>
      <c r="F131" s="17" t="s">
        <v>716</v>
      </c>
      <c r="G131" s="18"/>
      <c r="H131" s="18"/>
    </row>
    <row r="132" spans="1:11" s="17" customFormat="1" ht="18.75" customHeight="1" x14ac:dyDescent="0.25">
      <c r="A132" s="15">
        <v>124</v>
      </c>
      <c r="B132" s="16">
        <v>19951</v>
      </c>
      <c r="C132" s="12">
        <v>45470</v>
      </c>
      <c r="D132" s="13" t="s">
        <v>274</v>
      </c>
      <c r="E132" s="14">
        <v>358</v>
      </c>
      <c r="F132" s="17" t="s">
        <v>717</v>
      </c>
      <c r="G132" s="18"/>
      <c r="H132" s="18"/>
    </row>
    <row r="133" spans="1:11" s="17" customFormat="1" ht="18.75" customHeight="1" x14ac:dyDescent="0.25">
      <c r="A133" s="11">
        <v>125</v>
      </c>
      <c r="B133" s="16">
        <v>19953</v>
      </c>
      <c r="C133" s="12">
        <v>45470</v>
      </c>
      <c r="D133" s="13">
        <v>5100032102</v>
      </c>
      <c r="E133" s="14">
        <v>2209</v>
      </c>
      <c r="F133" s="17" t="s">
        <v>718</v>
      </c>
      <c r="G133" s="18"/>
      <c r="H133" s="18"/>
    </row>
    <row r="134" spans="1:11" s="17" customFormat="1" ht="18.75" customHeight="1" x14ac:dyDescent="0.25">
      <c r="A134" s="11">
        <v>126</v>
      </c>
      <c r="B134" s="16">
        <v>19955</v>
      </c>
      <c r="C134" s="12">
        <v>45470</v>
      </c>
      <c r="D134" s="13" t="s">
        <v>275</v>
      </c>
      <c r="E134" s="14">
        <v>269</v>
      </c>
      <c r="F134" s="17" t="s">
        <v>719</v>
      </c>
      <c r="G134" s="18"/>
      <c r="H134" s="18"/>
    </row>
    <row r="135" spans="1:11" s="17" customFormat="1" ht="18.75" customHeight="1" x14ac:dyDescent="0.25">
      <c r="A135" s="15">
        <v>127</v>
      </c>
      <c r="B135" s="16">
        <v>19957</v>
      </c>
      <c r="C135" s="12">
        <v>45470</v>
      </c>
      <c r="D135" s="13">
        <v>5100032095</v>
      </c>
      <c r="E135" s="14">
        <v>1786</v>
      </c>
      <c r="F135" s="17" t="s">
        <v>720</v>
      </c>
      <c r="G135" s="18"/>
      <c r="H135" s="18"/>
    </row>
    <row r="136" spans="1:11" s="17" customFormat="1" ht="18.75" customHeight="1" thickBot="1" x14ac:dyDescent="0.3">
      <c r="A136" s="15">
        <v>128</v>
      </c>
      <c r="B136" s="16">
        <v>19959</v>
      </c>
      <c r="C136" s="12">
        <v>45470</v>
      </c>
      <c r="D136" s="13">
        <v>5100001767</v>
      </c>
      <c r="E136" s="14">
        <v>1699</v>
      </c>
      <c r="F136" s="17" t="s">
        <v>721</v>
      </c>
      <c r="G136" s="18"/>
      <c r="H136" s="18"/>
    </row>
    <row r="137" spans="1:11" ht="16.5" thickBot="1" x14ac:dyDescent="0.3">
      <c r="A137" s="20" t="s">
        <v>276</v>
      </c>
      <c r="B137" s="21"/>
      <c r="C137" s="21"/>
      <c r="D137" s="22"/>
      <c r="E137" s="23">
        <f>SUM(E9:E136)</f>
        <v>369233</v>
      </c>
    </row>
    <row r="138" spans="1:11" x14ac:dyDescent="0.25">
      <c r="A138" s="4"/>
      <c r="B138" s="24"/>
      <c r="C138" s="25"/>
      <c r="D138" s="26"/>
      <c r="E138" s="14">
        <v>1697</v>
      </c>
      <c r="F138" s="28"/>
      <c r="G138" s="28"/>
      <c r="H138" s="29"/>
      <c r="I138" s="25"/>
      <c r="J138" s="25"/>
      <c r="K138" s="28"/>
    </row>
    <row r="139" spans="1:11" x14ac:dyDescent="0.25">
      <c r="A139" s="4" t="s">
        <v>277</v>
      </c>
      <c r="B139" s="4"/>
      <c r="E139" s="42">
        <f>E137-E138</f>
        <v>367536</v>
      </c>
    </row>
  </sheetData>
  <mergeCells count="2">
    <mergeCell ref="A1:B1"/>
    <mergeCell ref="A2:B2"/>
  </mergeCells>
  <conditionalFormatting sqref="B11">
    <cfRule type="duplicateValues" dxfId="49" priority="19"/>
  </conditionalFormatting>
  <conditionalFormatting sqref="B12">
    <cfRule type="duplicateValues" dxfId="48" priority="18"/>
  </conditionalFormatting>
  <conditionalFormatting sqref="B13:B19 B9:B10 B21:B46 B48:B54 B57 B59 B61:B70 B72 B74:B81 B83:B84 B86:B106 B108:B114 B116:B119 B121:B125 B127:B132 B134">
    <cfRule type="duplicateValues" dxfId="47" priority="21"/>
  </conditionalFormatting>
  <conditionalFormatting sqref="B20">
    <cfRule type="duplicateValues" dxfId="46" priority="17"/>
  </conditionalFormatting>
  <conditionalFormatting sqref="B47">
    <cfRule type="duplicateValues" dxfId="45" priority="16"/>
  </conditionalFormatting>
  <conditionalFormatting sqref="B55">
    <cfRule type="duplicateValues" dxfId="44" priority="15"/>
  </conditionalFormatting>
  <conditionalFormatting sqref="B56">
    <cfRule type="duplicateValues" dxfId="43" priority="14"/>
  </conditionalFormatting>
  <conditionalFormatting sqref="B58">
    <cfRule type="duplicateValues" dxfId="42" priority="13"/>
  </conditionalFormatting>
  <conditionalFormatting sqref="B60">
    <cfRule type="duplicateValues" dxfId="41" priority="12"/>
  </conditionalFormatting>
  <conditionalFormatting sqref="B71">
    <cfRule type="duplicateValues" dxfId="40" priority="11"/>
  </conditionalFormatting>
  <conditionalFormatting sqref="B73">
    <cfRule type="duplicateValues" dxfId="39" priority="10"/>
  </conditionalFormatting>
  <conditionalFormatting sqref="B82">
    <cfRule type="duplicateValues" dxfId="38" priority="9"/>
  </conditionalFormatting>
  <conditionalFormatting sqref="B85">
    <cfRule type="duplicateValues" dxfId="37" priority="8"/>
  </conditionalFormatting>
  <conditionalFormatting sqref="B107">
    <cfRule type="duplicateValues" dxfId="36" priority="7"/>
  </conditionalFormatting>
  <conditionalFormatting sqref="B115">
    <cfRule type="duplicateValues" dxfId="35" priority="6"/>
  </conditionalFormatting>
  <conditionalFormatting sqref="B120">
    <cfRule type="duplicateValues" dxfId="34" priority="5"/>
  </conditionalFormatting>
  <conditionalFormatting sqref="B126">
    <cfRule type="duplicateValues" dxfId="33" priority="4"/>
  </conditionalFormatting>
  <conditionalFormatting sqref="B133">
    <cfRule type="duplicateValues" dxfId="32" priority="3"/>
  </conditionalFormatting>
  <conditionalFormatting sqref="B135">
    <cfRule type="duplicateValues" dxfId="31" priority="1"/>
  </conditionalFormatting>
  <conditionalFormatting sqref="B136">
    <cfRule type="duplicateValues" dxfId="30" priority="2"/>
  </conditionalFormatting>
  <printOptions horizontalCentered="1"/>
  <pageMargins left="0.25" right="0.25" top="0.74" bottom="0.28000000000000003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3E42-5AC6-4E03-8368-CFF3CEDF44EC}">
  <dimension ref="A1:H128"/>
  <sheetViews>
    <sheetView topLeftCell="F1" workbookViewId="0">
      <selection activeCell="H128" sqref="H2:H128"/>
    </sheetView>
  </sheetViews>
  <sheetFormatPr defaultRowHeight="15" x14ac:dyDescent="0.25"/>
  <cols>
    <col min="1" max="1" width="42.14062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86.5703125" customWidth="1"/>
    <col min="7" max="7" width="82.7109375" customWidth="1"/>
    <col min="8" max="8" width="76" customWidth="1"/>
  </cols>
  <sheetData>
    <row r="1" spans="1:8" x14ac:dyDescent="0.25">
      <c r="A1" s="34" t="s">
        <v>723</v>
      </c>
      <c r="B1" t="s">
        <v>724</v>
      </c>
      <c r="D1" s="35" t="s">
        <v>725</v>
      </c>
      <c r="E1" t="s">
        <v>726</v>
      </c>
    </row>
    <row r="2" spans="1:8" ht="108" customHeight="1" x14ac:dyDescent="0.25">
      <c r="A2" s="17" t="s">
        <v>513</v>
      </c>
      <c r="B2" s="37" t="str">
        <f>VLOOKUP(A2,[3]Sheet1!$B$2:$C$128,2,0)</f>
        <v>070000158641</v>
      </c>
      <c r="C2" s="14">
        <v>2038</v>
      </c>
      <c r="D2" s="38">
        <f>ROUND(C2,0)</f>
        <v>2038</v>
      </c>
      <c r="E2" t="s">
        <v>726</v>
      </c>
      <c r="F2" s="3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0" t="str">
        <f>"('"&amp;E2&amp;"','"&amp;B2&amp;"','"&amp;D2&amp;"',(select max(to_number(i.premium_rcv_detail_code))+1
from ins_premium_det i),'"&amp;D2&amp;"','"&amp;D2&amp;"','02', '11000003','00','Request by Mr. Saqib Saleem 21-Aug-2024 sheet3');"</f>
        <v>('20Aug240117','070000158641','2038',(select max(to_number(i.premium_rcv_detail_code))+1
from ins_premium_det i),'2038','2038','02', '11000003','00','Request by Mr. Saqib Saleem 21-Aug-2024 sheet3');</v>
      </c>
      <c r="H2" s="41" t="str">
        <f>F2&amp;G2</f>
        <v>insert into ins_premium_det (premium_rcv_code,assorted_code, rec_amount,premium_rcv_detail_code,remaining_amt, payrec, mode_code,coinsurance_code,class_cd,it_remarks) values('20Aug240117','070000158641','2038',(select max(to_number(i.premium_rcv_detail_code))+1
from ins_premium_det i),'2038','2038','02', '11000003','00','Request by Mr. Saqib Saleem 21-Aug-2024 sheet3');</v>
      </c>
    </row>
    <row r="3" spans="1:8" ht="105" x14ac:dyDescent="0.25">
      <c r="A3" s="17" t="s">
        <v>596</v>
      </c>
      <c r="B3" s="37" t="str">
        <f>VLOOKUP(A3,[3]Sheet1!$B$2:$C$128,2,0)</f>
        <v>070000160363</v>
      </c>
      <c r="C3" s="14">
        <v>31551</v>
      </c>
      <c r="D3" s="38">
        <f t="shared" ref="D3:D66" si="1">ROUND(C3,0)</f>
        <v>31551</v>
      </c>
      <c r="E3" t="s">
        <v>726</v>
      </c>
      <c r="F3" s="39" t="str">
        <f t="shared" si="0"/>
        <v>insert into ins_premium_det (premium_rcv_code,assorted_code, rec_amount,premium_rcv_detail_code,remaining_amt, payrec, mode_code,coinsurance_code,class_cd,it_remarks) values</v>
      </c>
      <c r="G3" s="40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sheet3');"</f>
        <v>('20Aug240117','070000160363','31551',(select max(to_number(i.premium_rcv_detail_code))+1
from ins_premium_det i),'31551','31551','02', '11000003','00','Request by Mr. Saqib Saleem 21-Aug-2024 sheet3');</v>
      </c>
      <c r="H3" s="41" t="str">
        <f t="shared" ref="H3:H66" si="3">F3&amp;G3</f>
        <v>insert into ins_premium_det (premium_rcv_code,assorted_code, rec_amount,premium_rcv_detail_code,remaining_amt, payrec, mode_code,coinsurance_code,class_cd,it_remarks) values('20Aug240117','070000160363','31551',(select max(to_number(i.premium_rcv_detail_code))+1
from ins_premium_det i),'31551','31551','02', '11000003','00','Request by Mr. Saqib Saleem 21-Aug-2024 sheet3');</v>
      </c>
    </row>
    <row r="4" spans="1:8" ht="105" x14ac:dyDescent="0.25">
      <c r="A4" s="17" t="s">
        <v>597</v>
      </c>
      <c r="B4" s="37" t="str">
        <f>VLOOKUP(A4,[3]Sheet1!$B$2:$C$128,2,0)</f>
        <v>070000160364</v>
      </c>
      <c r="C4" s="14">
        <v>200</v>
      </c>
      <c r="D4" s="38">
        <f t="shared" si="1"/>
        <v>200</v>
      </c>
      <c r="E4" t="s">
        <v>726</v>
      </c>
      <c r="F4" s="39" t="str">
        <f t="shared" si="0"/>
        <v>insert into ins_premium_det (premium_rcv_code,assorted_code, rec_amount,premium_rcv_detail_code,remaining_amt, payrec, mode_code,coinsurance_code,class_cd,it_remarks) values</v>
      </c>
      <c r="G4" s="40" t="str">
        <f t="shared" si="2"/>
        <v>('20Aug240117','070000160364','200',(select max(to_number(i.premium_rcv_detail_code))+1
from ins_premium_det i),'200','200','02', '11000003','00','Request by Mr. Saqib Saleem 21-Aug-2024 sheet3');</v>
      </c>
      <c r="H4" s="41" t="str">
        <f t="shared" si="3"/>
        <v>insert into ins_premium_det (premium_rcv_code,assorted_code, rec_amount,premium_rcv_detail_code,remaining_amt, payrec, mode_code,coinsurance_code,class_cd,it_remarks) values('20Aug240117','070000160364','200',(select max(to_number(i.premium_rcv_detail_code))+1
from ins_premium_det i),'200','200','02', '11000003','00','Request by Mr. Saqib Saleem 21-Aug-2024 sheet3');</v>
      </c>
    </row>
    <row r="5" spans="1:8" ht="105" x14ac:dyDescent="0.25">
      <c r="A5" s="17" t="s">
        <v>598</v>
      </c>
      <c r="B5" s="37" t="str">
        <f>VLOOKUP(A5,[3]Sheet1!$B$2:$C$128,2,0)</f>
        <v>070000160365</v>
      </c>
      <c r="C5" s="14">
        <v>453</v>
      </c>
      <c r="D5" s="38">
        <f t="shared" si="1"/>
        <v>453</v>
      </c>
      <c r="E5" t="s">
        <v>726</v>
      </c>
      <c r="F5" s="39" t="str">
        <f t="shared" si="0"/>
        <v>insert into ins_premium_det (premium_rcv_code,assorted_code, rec_amount,premium_rcv_detail_code,remaining_amt, payrec, mode_code,coinsurance_code,class_cd,it_remarks) values</v>
      </c>
      <c r="G5" s="40" t="str">
        <f t="shared" si="2"/>
        <v>('20Aug240117','070000160365','453',(select max(to_number(i.premium_rcv_detail_code))+1
from ins_premium_det i),'453','453','02', '11000003','00','Request by Mr. Saqib Saleem 21-Aug-2024 sheet3');</v>
      </c>
      <c r="H5" s="41" t="str">
        <f t="shared" si="3"/>
        <v>insert into ins_premium_det (premium_rcv_code,assorted_code, rec_amount,premium_rcv_detail_code,remaining_amt, payrec, mode_code,coinsurance_code,class_cd,it_remarks) values('20Aug240117','070000160365','453',(select max(to_number(i.premium_rcv_detail_code))+1
from ins_premium_det i),'453','453','02', '11000003','00','Request by Mr. Saqib Saleem 21-Aug-2024 sheet3');</v>
      </c>
    </row>
    <row r="6" spans="1:8" ht="105" x14ac:dyDescent="0.25">
      <c r="A6" s="17" t="s">
        <v>599</v>
      </c>
      <c r="B6" s="37" t="str">
        <f>VLOOKUP(A6,[3]Sheet1!$B$2:$C$128,2,0)</f>
        <v>070000160366</v>
      </c>
      <c r="C6" s="14">
        <v>2465</v>
      </c>
      <c r="D6" s="38">
        <f t="shared" si="1"/>
        <v>2465</v>
      </c>
      <c r="E6" t="s">
        <v>726</v>
      </c>
      <c r="F6" s="39" t="str">
        <f t="shared" si="0"/>
        <v>insert into ins_premium_det (premium_rcv_code,assorted_code, rec_amount,premium_rcv_detail_code,remaining_amt, payrec, mode_code,coinsurance_code,class_cd,it_remarks) values</v>
      </c>
      <c r="G6" s="40" t="str">
        <f t="shared" si="2"/>
        <v>('20Aug240117','070000160366','2465',(select max(to_number(i.premium_rcv_detail_code))+1
from ins_premium_det i),'2465','2465','02', '11000003','00','Request by Mr. Saqib Saleem 21-Aug-2024 sheet3');</v>
      </c>
      <c r="H6" s="41" t="str">
        <f t="shared" si="3"/>
        <v>insert into ins_premium_det (premium_rcv_code,assorted_code, rec_amount,premium_rcv_detail_code,remaining_amt, payrec, mode_code,coinsurance_code,class_cd,it_remarks) values('20Aug240117','070000160366','2465',(select max(to_number(i.premium_rcv_detail_code))+1
from ins_premium_det i),'2465','2465','02', '11000003','00','Request by Mr. Saqib Saleem 21-Aug-2024 sheet3');</v>
      </c>
    </row>
    <row r="7" spans="1:8" ht="105" x14ac:dyDescent="0.25">
      <c r="A7" s="17" t="s">
        <v>600</v>
      </c>
      <c r="B7" s="37" t="str">
        <f>VLOOKUP(A7,[3]Sheet1!$B$2:$C$128,2,0)</f>
        <v>070000160367</v>
      </c>
      <c r="C7" s="14">
        <v>863</v>
      </c>
      <c r="D7" s="38">
        <f t="shared" si="1"/>
        <v>863</v>
      </c>
      <c r="E7" t="s">
        <v>726</v>
      </c>
      <c r="F7" s="39" t="str">
        <f t="shared" si="0"/>
        <v>insert into ins_premium_det (premium_rcv_code,assorted_code, rec_amount,premium_rcv_detail_code,remaining_amt, payrec, mode_code,coinsurance_code,class_cd,it_remarks) values</v>
      </c>
      <c r="G7" s="40" t="str">
        <f t="shared" si="2"/>
        <v>('20Aug240117','070000160367','863',(select max(to_number(i.premium_rcv_detail_code))+1
from ins_premium_det i),'863','863','02', '11000003','00','Request by Mr. Saqib Saleem 21-Aug-2024 sheet3');</v>
      </c>
      <c r="H7" s="41" t="str">
        <f t="shared" si="3"/>
        <v>insert into ins_premium_det (premium_rcv_code,assorted_code, rec_amount,premium_rcv_detail_code,remaining_amt, payrec, mode_code,coinsurance_code,class_cd,it_remarks) values('20Aug240117','070000160367','863',(select max(to_number(i.premium_rcv_detail_code))+1
from ins_premium_det i),'863','863','02', '11000003','00','Request by Mr. Saqib Saleem 21-Aug-2024 sheet3');</v>
      </c>
    </row>
    <row r="8" spans="1:8" ht="105" x14ac:dyDescent="0.25">
      <c r="A8" s="17" t="s">
        <v>601</v>
      </c>
      <c r="B8" s="37" t="str">
        <f>VLOOKUP(A8,[3]Sheet1!$B$2:$C$128,2,0)</f>
        <v>070000160368</v>
      </c>
      <c r="C8" s="14">
        <v>10656</v>
      </c>
      <c r="D8" s="38">
        <f t="shared" si="1"/>
        <v>10656</v>
      </c>
      <c r="E8" t="s">
        <v>726</v>
      </c>
      <c r="F8" s="39" t="str">
        <f t="shared" si="0"/>
        <v>insert into ins_premium_det (premium_rcv_code,assorted_code, rec_amount,premium_rcv_detail_code,remaining_amt, payrec, mode_code,coinsurance_code,class_cd,it_remarks) values</v>
      </c>
      <c r="G8" s="40" t="str">
        <f t="shared" si="2"/>
        <v>('20Aug240117','070000160368','10656',(select max(to_number(i.premium_rcv_detail_code))+1
from ins_premium_det i),'10656','10656','02', '11000003','00','Request by Mr. Saqib Saleem 21-Aug-2024 sheet3');</v>
      </c>
      <c r="H8" s="41" t="str">
        <f t="shared" si="3"/>
        <v>insert into ins_premium_det (premium_rcv_code,assorted_code, rec_amount,premium_rcv_detail_code,remaining_amt, payrec, mode_code,coinsurance_code,class_cd,it_remarks) values('20Aug240117','070000160368','10656',(select max(to_number(i.premium_rcv_detail_code))+1
from ins_premium_det i),'10656','10656','02', '11000003','00','Request by Mr. Saqib Saleem 21-Aug-2024 sheet3');</v>
      </c>
    </row>
    <row r="9" spans="1:8" ht="105" x14ac:dyDescent="0.25">
      <c r="A9" s="17" t="s">
        <v>602</v>
      </c>
      <c r="B9" s="37" t="str">
        <f>VLOOKUP(A9,[3]Sheet1!$B$2:$C$128,2,0)</f>
        <v>070000160370</v>
      </c>
      <c r="C9" s="14">
        <v>1200</v>
      </c>
      <c r="D9" s="38">
        <f t="shared" si="1"/>
        <v>1200</v>
      </c>
      <c r="E9" t="s">
        <v>726</v>
      </c>
      <c r="F9" s="39" t="str">
        <f t="shared" si="0"/>
        <v>insert into ins_premium_det (premium_rcv_code,assorted_code, rec_amount,premium_rcv_detail_code,remaining_amt, payrec, mode_code,coinsurance_code,class_cd,it_remarks) values</v>
      </c>
      <c r="G9" s="40" t="str">
        <f t="shared" si="2"/>
        <v>('20Aug240117','070000160370','1200',(select max(to_number(i.premium_rcv_detail_code))+1
from ins_premium_det i),'1200','1200','02', '11000003','00','Request by Mr. Saqib Saleem 21-Aug-2024 sheet3');</v>
      </c>
      <c r="H9" s="41" t="str">
        <f t="shared" si="3"/>
        <v>insert into ins_premium_det (premium_rcv_code,assorted_code, rec_amount,premium_rcv_detail_code,remaining_amt, payrec, mode_code,coinsurance_code,class_cd,it_remarks) values('20Aug240117','070000160370','1200',(select max(to_number(i.premium_rcv_detail_code))+1
from ins_premium_det i),'1200','1200','02', '11000003','00','Request by Mr. Saqib Saleem 21-Aug-2024 sheet3');</v>
      </c>
    </row>
    <row r="10" spans="1:8" ht="105" x14ac:dyDescent="0.25">
      <c r="A10" s="17" t="s">
        <v>603</v>
      </c>
      <c r="B10" s="37" t="str">
        <f>VLOOKUP(A10,[3]Sheet1!$B$2:$C$128,2,0)</f>
        <v>070000160371</v>
      </c>
      <c r="C10" s="14">
        <v>2737</v>
      </c>
      <c r="D10" s="38">
        <f t="shared" si="1"/>
        <v>2737</v>
      </c>
      <c r="E10" t="s">
        <v>726</v>
      </c>
      <c r="F10" s="39" t="str">
        <f t="shared" si="0"/>
        <v>insert into ins_premium_det (premium_rcv_code,assorted_code, rec_amount,premium_rcv_detail_code,remaining_amt, payrec, mode_code,coinsurance_code,class_cd,it_remarks) values</v>
      </c>
      <c r="G10" s="40" t="str">
        <f t="shared" si="2"/>
        <v>('20Aug240117','070000160371','2737',(select max(to_number(i.premium_rcv_detail_code))+1
from ins_premium_det i),'2737','2737','02', '11000003','00','Request by Mr. Saqib Saleem 21-Aug-2024 sheet3');</v>
      </c>
      <c r="H10" s="41" t="str">
        <f t="shared" si="3"/>
        <v>insert into ins_premium_det (premium_rcv_code,assorted_code, rec_amount,premium_rcv_detail_code,remaining_amt, payrec, mode_code,coinsurance_code,class_cd,it_remarks) values('20Aug240117','070000160371','2737',(select max(to_number(i.premium_rcv_detail_code))+1
from ins_premium_det i),'2737','2737','02', '11000003','00','Request by Mr. Saqib Saleem 21-Aug-2024 sheet3');</v>
      </c>
    </row>
    <row r="11" spans="1:8" ht="105" x14ac:dyDescent="0.25">
      <c r="A11" s="17" t="s">
        <v>604</v>
      </c>
      <c r="B11" s="37" t="str">
        <f>VLOOKUP(A11,[3]Sheet1!$B$2:$C$128,2,0)</f>
        <v>070000160372</v>
      </c>
      <c r="C11" s="14">
        <v>453</v>
      </c>
      <c r="D11" s="38">
        <f t="shared" si="1"/>
        <v>453</v>
      </c>
      <c r="E11" t="s">
        <v>726</v>
      </c>
      <c r="F11" s="39" t="str">
        <f t="shared" si="0"/>
        <v>insert into ins_premium_det (premium_rcv_code,assorted_code, rec_amount,premium_rcv_detail_code,remaining_amt, payrec, mode_code,coinsurance_code,class_cd,it_remarks) values</v>
      </c>
      <c r="G11" s="40" t="str">
        <f t="shared" si="2"/>
        <v>('20Aug240117','070000160372','453',(select max(to_number(i.premium_rcv_detail_code))+1
from ins_premium_det i),'453','453','02', '11000003','00','Request by Mr. Saqib Saleem 21-Aug-2024 sheet3');</v>
      </c>
      <c r="H11" s="41" t="str">
        <f t="shared" si="3"/>
        <v>insert into ins_premium_det (premium_rcv_code,assorted_code, rec_amount,premium_rcv_detail_code,remaining_amt, payrec, mode_code,coinsurance_code,class_cd,it_remarks) values('20Aug240117','070000160372','453',(select max(to_number(i.premium_rcv_detail_code))+1
from ins_premium_det i),'453','453','02', '11000003','00','Request by Mr. Saqib Saleem 21-Aug-2024 sheet3');</v>
      </c>
    </row>
    <row r="12" spans="1:8" ht="105" x14ac:dyDescent="0.25">
      <c r="A12" s="17" t="s">
        <v>605</v>
      </c>
      <c r="B12" s="37" t="str">
        <f>VLOOKUP(A12,[3]Sheet1!$B$2:$C$128,2,0)</f>
        <v>070000160379</v>
      </c>
      <c r="C12" s="14">
        <v>200</v>
      </c>
      <c r="D12" s="38">
        <f t="shared" si="1"/>
        <v>200</v>
      </c>
      <c r="E12" t="s">
        <v>726</v>
      </c>
      <c r="F12" s="39" t="str">
        <f t="shared" si="0"/>
        <v>insert into ins_premium_det (premium_rcv_code,assorted_code, rec_amount,premium_rcv_detail_code,remaining_amt, payrec, mode_code,coinsurance_code,class_cd,it_remarks) values</v>
      </c>
      <c r="G12" s="40" t="str">
        <f t="shared" si="2"/>
        <v>('20Aug240117','070000160379','200',(select max(to_number(i.premium_rcv_detail_code))+1
from ins_premium_det i),'200','200','02', '11000003','00','Request by Mr. Saqib Saleem 21-Aug-2024 sheet3');</v>
      </c>
      <c r="H12" s="41" t="str">
        <f t="shared" si="3"/>
        <v>insert into ins_premium_det (premium_rcv_code,assorted_code, rec_amount,premium_rcv_detail_code,remaining_amt, payrec, mode_code,coinsurance_code,class_cd,it_remarks) values('20Aug240117','070000160379','200',(select max(to_number(i.premium_rcv_detail_code))+1
from ins_premium_det i),'200','200','02', '11000003','00','Request by Mr. Saqib Saleem 21-Aug-2024 sheet3');</v>
      </c>
    </row>
    <row r="13" spans="1:8" ht="105" x14ac:dyDescent="0.25">
      <c r="A13" s="17" t="s">
        <v>606</v>
      </c>
      <c r="B13" s="37" t="str">
        <f>VLOOKUP(A13,[3]Sheet1!$B$2:$C$128,2,0)</f>
        <v>070000160380</v>
      </c>
      <c r="C13" s="14">
        <v>386</v>
      </c>
      <c r="D13" s="38">
        <f t="shared" si="1"/>
        <v>386</v>
      </c>
      <c r="E13" t="s">
        <v>726</v>
      </c>
      <c r="F13" s="39" t="str">
        <f t="shared" si="0"/>
        <v>insert into ins_premium_det (premium_rcv_code,assorted_code, rec_amount,premium_rcv_detail_code,remaining_amt, payrec, mode_code,coinsurance_code,class_cd,it_remarks) values</v>
      </c>
      <c r="G13" s="40" t="str">
        <f t="shared" si="2"/>
        <v>('20Aug240117','070000160380','386',(select max(to_number(i.premium_rcv_detail_code))+1
from ins_premium_det i),'386','386','02', '11000003','00','Request by Mr. Saqib Saleem 21-Aug-2024 sheet3');</v>
      </c>
      <c r="H13" s="41" t="str">
        <f t="shared" si="3"/>
        <v>insert into ins_premium_det (premium_rcv_code,assorted_code, rec_amount,premium_rcv_detail_code,remaining_amt, payrec, mode_code,coinsurance_code,class_cd,it_remarks) values('20Aug240117','070000160380','386',(select max(to_number(i.premium_rcv_detail_code))+1
from ins_premium_det i),'386','386','02', '11000003','00','Request by Mr. Saqib Saleem 21-Aug-2024 sheet3');</v>
      </c>
    </row>
    <row r="14" spans="1:8" ht="105" x14ac:dyDescent="0.25">
      <c r="A14" s="17" t="s">
        <v>607</v>
      </c>
      <c r="B14" s="37" t="str">
        <f>VLOOKUP(A14,[3]Sheet1!$B$2:$C$128,2,0)</f>
        <v>070000160382</v>
      </c>
      <c r="C14" s="14">
        <v>2147</v>
      </c>
      <c r="D14" s="38">
        <f t="shared" si="1"/>
        <v>2147</v>
      </c>
      <c r="E14" t="s">
        <v>726</v>
      </c>
      <c r="F14" s="39" t="str">
        <f t="shared" si="0"/>
        <v>insert into ins_premium_det (premium_rcv_code,assorted_code, rec_amount,premium_rcv_detail_code,remaining_amt, payrec, mode_code,coinsurance_code,class_cd,it_remarks) values</v>
      </c>
      <c r="G14" s="40" t="str">
        <f t="shared" si="2"/>
        <v>('20Aug240117','070000160382','2147',(select max(to_number(i.premium_rcv_detail_code))+1
from ins_premium_det i),'2147','2147','02', '11000003','00','Request by Mr. Saqib Saleem 21-Aug-2024 sheet3');</v>
      </c>
      <c r="H14" s="41" t="str">
        <f t="shared" si="3"/>
        <v>insert into ins_premium_det (premium_rcv_code,assorted_code, rec_amount,premium_rcv_detail_code,remaining_amt, payrec, mode_code,coinsurance_code,class_cd,it_remarks) values('20Aug240117','070000160382','2147',(select max(to_number(i.premium_rcv_detail_code))+1
from ins_premium_det i),'2147','2147','02', '11000003','00','Request by Mr. Saqib Saleem 21-Aug-2024 sheet3');</v>
      </c>
    </row>
    <row r="15" spans="1:8" ht="105" x14ac:dyDescent="0.25">
      <c r="A15" s="17" t="s">
        <v>608</v>
      </c>
      <c r="B15" s="37" t="str">
        <f>VLOOKUP(A15,[3]Sheet1!$B$2:$C$128,2,0)</f>
        <v>070000160383</v>
      </c>
      <c r="C15" s="14">
        <v>201</v>
      </c>
      <c r="D15" s="38">
        <f t="shared" si="1"/>
        <v>201</v>
      </c>
      <c r="E15" t="s">
        <v>726</v>
      </c>
      <c r="F15" s="39" t="str">
        <f t="shared" si="0"/>
        <v>insert into ins_premium_det (premium_rcv_code,assorted_code, rec_amount,premium_rcv_detail_code,remaining_amt, payrec, mode_code,coinsurance_code,class_cd,it_remarks) values</v>
      </c>
      <c r="G15" s="40" t="str">
        <f t="shared" si="2"/>
        <v>('20Aug240117','070000160383','201',(select max(to_number(i.premium_rcv_detail_code))+1
from ins_premium_det i),'201','201','02', '11000003','00','Request by Mr. Saqib Saleem 21-Aug-2024 sheet3');</v>
      </c>
      <c r="H15" s="41" t="str">
        <f t="shared" si="3"/>
        <v>insert into ins_premium_det (premium_rcv_code,assorted_code, rec_amount,premium_rcv_detail_code,remaining_amt, payrec, mode_code,coinsurance_code,class_cd,it_remarks) values('20Aug240117','070000160383','201',(select max(to_number(i.premium_rcv_detail_code))+1
from ins_premium_det i),'201','201','02', '11000003','00','Request by Mr. Saqib Saleem 21-Aug-2024 sheet3');</v>
      </c>
    </row>
    <row r="16" spans="1:8" ht="105" x14ac:dyDescent="0.25">
      <c r="A16" s="17" t="s">
        <v>609</v>
      </c>
      <c r="B16" s="37" t="str">
        <f>VLOOKUP(A16,[3]Sheet1!$B$2:$C$128,2,0)</f>
        <v>070000160385</v>
      </c>
      <c r="C16" s="14">
        <v>965</v>
      </c>
      <c r="D16" s="38">
        <f t="shared" si="1"/>
        <v>965</v>
      </c>
      <c r="E16" t="s">
        <v>726</v>
      </c>
      <c r="F16" s="39" t="str">
        <f t="shared" si="0"/>
        <v>insert into ins_premium_det (premium_rcv_code,assorted_code, rec_amount,premium_rcv_detail_code,remaining_amt, payrec, mode_code,coinsurance_code,class_cd,it_remarks) values</v>
      </c>
      <c r="G16" s="40" t="str">
        <f t="shared" si="2"/>
        <v>('20Aug240117','070000160385','965',(select max(to_number(i.premium_rcv_detail_code))+1
from ins_premium_det i),'965','965','02', '11000003','00','Request by Mr. Saqib Saleem 21-Aug-2024 sheet3');</v>
      </c>
      <c r="H16" s="41" t="str">
        <f t="shared" si="3"/>
        <v>insert into ins_premium_det (premium_rcv_code,assorted_code, rec_amount,premium_rcv_detail_code,remaining_amt, payrec, mode_code,coinsurance_code,class_cd,it_remarks) values('20Aug240117','070000160385','965',(select max(to_number(i.premium_rcv_detail_code))+1
from ins_premium_det i),'965','965','02', '11000003','00','Request by Mr. Saqib Saleem 21-Aug-2024 sheet3');</v>
      </c>
    </row>
    <row r="17" spans="1:8" ht="105" x14ac:dyDescent="0.25">
      <c r="A17" s="17" t="s">
        <v>610</v>
      </c>
      <c r="B17" s="37" t="str">
        <f>VLOOKUP(A17,[3]Sheet1!$B$2:$C$128,2,0)</f>
        <v>070000160404</v>
      </c>
      <c r="C17" s="14">
        <v>7384</v>
      </c>
      <c r="D17" s="38">
        <f t="shared" si="1"/>
        <v>7384</v>
      </c>
      <c r="E17" t="s">
        <v>726</v>
      </c>
      <c r="F17" s="39" t="str">
        <f t="shared" si="0"/>
        <v>insert into ins_premium_det (premium_rcv_code,assorted_code, rec_amount,premium_rcv_detail_code,remaining_amt, payrec, mode_code,coinsurance_code,class_cd,it_remarks) values</v>
      </c>
      <c r="G17" s="40" t="str">
        <f t="shared" si="2"/>
        <v>('20Aug240117','070000160404','7384',(select max(to_number(i.premium_rcv_detail_code))+1
from ins_premium_det i),'7384','7384','02', '11000003','00','Request by Mr. Saqib Saleem 21-Aug-2024 sheet3');</v>
      </c>
      <c r="H17" s="41" t="str">
        <f t="shared" si="3"/>
        <v>insert into ins_premium_det (premium_rcv_code,assorted_code, rec_amount,premium_rcv_detail_code,remaining_amt, payrec, mode_code,coinsurance_code,class_cd,it_remarks) values('20Aug240117','070000160404','7384',(select max(to_number(i.premium_rcv_detail_code))+1
from ins_premium_det i),'7384','7384','02', '11000003','00','Request by Mr. Saqib Saleem 21-Aug-2024 sheet3');</v>
      </c>
    </row>
    <row r="18" spans="1:8" ht="105" x14ac:dyDescent="0.25">
      <c r="A18" s="17" t="s">
        <v>611</v>
      </c>
      <c r="B18" s="37" t="str">
        <f>VLOOKUP(A18,[3]Sheet1!$B$2:$C$128,2,0)</f>
        <v>070000160405</v>
      </c>
      <c r="C18" s="14">
        <v>2340</v>
      </c>
      <c r="D18" s="38">
        <f t="shared" si="1"/>
        <v>2340</v>
      </c>
      <c r="E18" t="s">
        <v>726</v>
      </c>
      <c r="F18" s="39" t="str">
        <f t="shared" si="0"/>
        <v>insert into ins_premium_det (premium_rcv_code,assorted_code, rec_amount,premium_rcv_detail_code,remaining_amt, payrec, mode_code,coinsurance_code,class_cd,it_remarks) values</v>
      </c>
      <c r="G18" s="40" t="str">
        <f t="shared" si="2"/>
        <v>('20Aug240117','070000160405','2340',(select max(to_number(i.premium_rcv_detail_code))+1
from ins_premium_det i),'2340','2340','02', '11000003','00','Request by Mr. Saqib Saleem 21-Aug-2024 sheet3');</v>
      </c>
      <c r="H18" s="41" t="str">
        <f t="shared" si="3"/>
        <v>insert into ins_premium_det (premium_rcv_code,assorted_code, rec_amount,premium_rcv_detail_code,remaining_amt, payrec, mode_code,coinsurance_code,class_cd,it_remarks) values('20Aug240117','070000160405','2340',(select max(to_number(i.premium_rcv_detail_code))+1
from ins_premium_det i),'2340','2340','02', '11000003','00','Request by Mr. Saqib Saleem 21-Aug-2024 sheet3');</v>
      </c>
    </row>
    <row r="19" spans="1:8" ht="105" x14ac:dyDescent="0.25">
      <c r="A19" s="17" t="s">
        <v>612</v>
      </c>
      <c r="B19" s="37" t="str">
        <f>VLOOKUP(A19,[3]Sheet1!$B$2:$C$128,2,0)</f>
        <v>070000160406</v>
      </c>
      <c r="C19" s="14">
        <v>1604</v>
      </c>
      <c r="D19" s="38">
        <f t="shared" si="1"/>
        <v>1604</v>
      </c>
      <c r="E19" t="s">
        <v>726</v>
      </c>
      <c r="F19" s="39" t="str">
        <f t="shared" si="0"/>
        <v>insert into ins_premium_det (premium_rcv_code,assorted_code, rec_amount,premium_rcv_detail_code,remaining_amt, payrec, mode_code,coinsurance_code,class_cd,it_remarks) values</v>
      </c>
      <c r="G19" s="40" t="str">
        <f t="shared" si="2"/>
        <v>('20Aug240117','070000160406','1604',(select max(to_number(i.premium_rcv_detail_code))+1
from ins_premium_det i),'1604','1604','02', '11000003','00','Request by Mr. Saqib Saleem 21-Aug-2024 sheet3');</v>
      </c>
      <c r="H19" s="41" t="str">
        <f t="shared" si="3"/>
        <v>insert into ins_premium_det (premium_rcv_code,assorted_code, rec_amount,premium_rcv_detail_code,remaining_amt, payrec, mode_code,coinsurance_code,class_cd,it_remarks) values('20Aug240117','070000160406','1604',(select max(to_number(i.premium_rcv_detail_code))+1
from ins_premium_det i),'1604','1604','02', '11000003','00','Request by Mr. Saqib Saleem 21-Aug-2024 sheet3');</v>
      </c>
    </row>
    <row r="20" spans="1:8" ht="105" x14ac:dyDescent="0.25">
      <c r="A20" s="17" t="s">
        <v>613</v>
      </c>
      <c r="B20" s="37" t="str">
        <f>VLOOKUP(A20,[3]Sheet1!$B$2:$C$128,2,0)</f>
        <v>070000160407</v>
      </c>
      <c r="C20" s="14">
        <v>2171</v>
      </c>
      <c r="D20" s="38">
        <f t="shared" si="1"/>
        <v>2171</v>
      </c>
      <c r="E20" t="s">
        <v>726</v>
      </c>
      <c r="F20" s="39" t="str">
        <f t="shared" si="0"/>
        <v>insert into ins_premium_det (premium_rcv_code,assorted_code, rec_amount,premium_rcv_detail_code,remaining_amt, payrec, mode_code,coinsurance_code,class_cd,it_remarks) values</v>
      </c>
      <c r="G20" s="40" t="str">
        <f t="shared" si="2"/>
        <v>('20Aug240117','070000160407','2171',(select max(to_number(i.premium_rcv_detail_code))+1
from ins_premium_det i),'2171','2171','02', '11000003','00','Request by Mr. Saqib Saleem 21-Aug-2024 sheet3');</v>
      </c>
      <c r="H20" s="41" t="str">
        <f t="shared" si="3"/>
        <v>insert into ins_premium_det (premium_rcv_code,assorted_code, rec_amount,premium_rcv_detail_code,remaining_amt, payrec, mode_code,coinsurance_code,class_cd,it_remarks) values('20Aug240117','070000160407','2171',(select max(to_number(i.premium_rcv_detail_code))+1
from ins_premium_det i),'2171','2171','02', '11000003','00','Request by Mr. Saqib Saleem 21-Aug-2024 sheet3');</v>
      </c>
    </row>
    <row r="21" spans="1:8" ht="105" x14ac:dyDescent="0.25">
      <c r="A21" s="17" t="s">
        <v>614</v>
      </c>
      <c r="B21" s="37" t="str">
        <f>VLOOKUP(A21,[3]Sheet1!$B$2:$C$128,2,0)</f>
        <v>070000160409</v>
      </c>
      <c r="C21" s="14">
        <v>179</v>
      </c>
      <c r="D21" s="38">
        <f t="shared" si="1"/>
        <v>179</v>
      </c>
      <c r="E21" t="s">
        <v>726</v>
      </c>
      <c r="F21" s="39" t="str">
        <f t="shared" si="0"/>
        <v>insert into ins_premium_det (premium_rcv_code,assorted_code, rec_amount,premium_rcv_detail_code,remaining_amt, payrec, mode_code,coinsurance_code,class_cd,it_remarks) values</v>
      </c>
      <c r="G21" s="40" t="str">
        <f t="shared" si="2"/>
        <v>('20Aug240117','070000160409','179',(select max(to_number(i.premium_rcv_detail_code))+1
from ins_premium_det i),'179','179','02', '11000003','00','Request by Mr. Saqib Saleem 21-Aug-2024 sheet3');</v>
      </c>
      <c r="H21" s="41" t="str">
        <f t="shared" si="3"/>
        <v>insert into ins_premium_det (premium_rcv_code,assorted_code, rec_amount,premium_rcv_detail_code,remaining_amt, payrec, mode_code,coinsurance_code,class_cd,it_remarks) values('20Aug240117','070000160409','179',(select max(to_number(i.premium_rcv_detail_code))+1
from ins_premium_det i),'179','179','02', '11000003','00','Request by Mr. Saqib Saleem 21-Aug-2024 sheet3');</v>
      </c>
    </row>
    <row r="22" spans="1:8" ht="105" x14ac:dyDescent="0.25">
      <c r="A22" s="17" t="s">
        <v>615</v>
      </c>
      <c r="B22" s="37" t="str">
        <f>VLOOKUP(A22,[3]Sheet1!$B$2:$C$128,2,0)</f>
        <v>070000160410</v>
      </c>
      <c r="C22" s="14">
        <v>3377</v>
      </c>
      <c r="D22" s="38">
        <f t="shared" si="1"/>
        <v>3377</v>
      </c>
      <c r="E22" t="s">
        <v>726</v>
      </c>
      <c r="F22" s="39" t="str">
        <f t="shared" si="0"/>
        <v>insert into ins_premium_det (premium_rcv_code,assorted_code, rec_amount,premium_rcv_detail_code,remaining_amt, payrec, mode_code,coinsurance_code,class_cd,it_remarks) values</v>
      </c>
      <c r="G22" s="40" t="str">
        <f t="shared" si="2"/>
        <v>('20Aug240117','070000160410','3377',(select max(to_number(i.premium_rcv_detail_code))+1
from ins_premium_det i),'3377','3377','02', '11000003','00','Request by Mr. Saqib Saleem 21-Aug-2024 sheet3');</v>
      </c>
      <c r="H22" s="41" t="str">
        <f t="shared" si="3"/>
        <v>insert into ins_premium_det (premium_rcv_code,assorted_code, rec_amount,premium_rcv_detail_code,remaining_amt, payrec, mode_code,coinsurance_code,class_cd,it_remarks) values('20Aug240117','070000160410','3377',(select max(to_number(i.premium_rcv_detail_code))+1
from ins_premium_det i),'3377','3377','02', '11000003','00','Request by Mr. Saqib Saleem 21-Aug-2024 sheet3');</v>
      </c>
    </row>
    <row r="23" spans="1:8" ht="105" x14ac:dyDescent="0.25">
      <c r="A23" s="17" t="s">
        <v>616</v>
      </c>
      <c r="B23" s="37" t="str">
        <f>VLOOKUP(A23,[3]Sheet1!$B$2:$C$128,2,0)</f>
        <v>070000160454</v>
      </c>
      <c r="C23" s="14">
        <v>11308</v>
      </c>
      <c r="D23" s="38">
        <f t="shared" si="1"/>
        <v>11308</v>
      </c>
      <c r="E23" t="s">
        <v>726</v>
      </c>
      <c r="F23" s="39" t="str">
        <f t="shared" si="0"/>
        <v>insert into ins_premium_det (premium_rcv_code,assorted_code, rec_amount,premium_rcv_detail_code,remaining_amt, payrec, mode_code,coinsurance_code,class_cd,it_remarks) values</v>
      </c>
      <c r="G23" s="40" t="str">
        <f t="shared" si="2"/>
        <v>('20Aug240117','070000160454','11308',(select max(to_number(i.premium_rcv_detail_code))+1
from ins_premium_det i),'11308','11308','02', '11000003','00','Request by Mr. Saqib Saleem 21-Aug-2024 sheet3');</v>
      </c>
      <c r="H23" s="41" t="str">
        <f t="shared" si="3"/>
        <v>insert into ins_premium_det (premium_rcv_code,assorted_code, rec_amount,premium_rcv_detail_code,remaining_amt, payrec, mode_code,coinsurance_code,class_cd,it_remarks) values('20Aug240117','070000160454','11308',(select max(to_number(i.premium_rcv_detail_code))+1
from ins_premium_det i),'11308','11308','02', '11000003','00','Request by Mr. Saqib Saleem 21-Aug-2024 sheet3');</v>
      </c>
    </row>
    <row r="24" spans="1:8" ht="105" x14ac:dyDescent="0.25">
      <c r="A24" s="17" t="s">
        <v>617</v>
      </c>
      <c r="B24" s="37" t="str">
        <f>VLOOKUP(A24,[3]Sheet1!$B$2:$C$128,2,0)</f>
        <v>070000160455</v>
      </c>
      <c r="C24" s="14">
        <v>201</v>
      </c>
      <c r="D24" s="38">
        <f t="shared" si="1"/>
        <v>201</v>
      </c>
      <c r="E24" t="s">
        <v>726</v>
      </c>
      <c r="F24" s="39" t="str">
        <f t="shared" si="0"/>
        <v>insert into ins_premium_det (premium_rcv_code,assorted_code, rec_amount,premium_rcv_detail_code,remaining_amt, payrec, mode_code,coinsurance_code,class_cd,it_remarks) values</v>
      </c>
      <c r="G24" s="40" t="str">
        <f t="shared" si="2"/>
        <v>('20Aug240117','070000160455','201',(select max(to_number(i.premium_rcv_detail_code))+1
from ins_premium_det i),'201','201','02', '11000003','00','Request by Mr. Saqib Saleem 21-Aug-2024 sheet3');</v>
      </c>
      <c r="H24" s="41" t="str">
        <f t="shared" si="3"/>
        <v>insert into ins_premium_det (premium_rcv_code,assorted_code, rec_amount,premium_rcv_detail_code,remaining_amt, payrec, mode_code,coinsurance_code,class_cd,it_remarks) values('20Aug240117','070000160455','201',(select max(to_number(i.premium_rcv_detail_code))+1
from ins_premium_det i),'201','201','02', '11000003','00','Request by Mr. Saqib Saleem 21-Aug-2024 sheet3');</v>
      </c>
    </row>
    <row r="25" spans="1:8" ht="105" x14ac:dyDescent="0.25">
      <c r="A25" s="17" t="s">
        <v>618</v>
      </c>
      <c r="B25" s="37" t="str">
        <f>VLOOKUP(A25,[3]Sheet1!$B$2:$C$128,2,0)</f>
        <v>070000160456</v>
      </c>
      <c r="C25" s="14">
        <v>6354</v>
      </c>
      <c r="D25" s="38">
        <f t="shared" si="1"/>
        <v>6354</v>
      </c>
      <c r="E25" t="s">
        <v>726</v>
      </c>
      <c r="F25" s="39" t="str">
        <f t="shared" si="0"/>
        <v>insert into ins_premium_det (premium_rcv_code,assorted_code, rec_amount,premium_rcv_detail_code,remaining_amt, payrec, mode_code,coinsurance_code,class_cd,it_remarks) values</v>
      </c>
      <c r="G25" s="40" t="str">
        <f t="shared" si="2"/>
        <v>('20Aug240117','070000160456','6354',(select max(to_number(i.premium_rcv_detail_code))+1
from ins_premium_det i),'6354','6354','02', '11000003','00','Request by Mr. Saqib Saleem 21-Aug-2024 sheet3');</v>
      </c>
      <c r="H25" s="41" t="str">
        <f t="shared" si="3"/>
        <v>insert into ins_premium_det (premium_rcv_code,assorted_code, rec_amount,premium_rcv_detail_code,remaining_amt, payrec, mode_code,coinsurance_code,class_cd,it_remarks) values('20Aug240117','070000160456','6354',(select max(to_number(i.premium_rcv_detail_code))+1
from ins_premium_det i),'6354','6354','02', '11000003','00','Request by Mr. Saqib Saleem 21-Aug-2024 sheet3');</v>
      </c>
    </row>
    <row r="26" spans="1:8" ht="105" x14ac:dyDescent="0.25">
      <c r="A26" s="17" t="s">
        <v>619</v>
      </c>
      <c r="B26" s="37" t="str">
        <f>VLOOKUP(A26,[3]Sheet1!$B$2:$C$128,2,0)</f>
        <v>070000160458</v>
      </c>
      <c r="C26" s="14">
        <v>1367</v>
      </c>
      <c r="D26" s="38">
        <f t="shared" si="1"/>
        <v>1367</v>
      </c>
      <c r="E26" t="s">
        <v>726</v>
      </c>
      <c r="F26" s="39" t="str">
        <f t="shared" si="0"/>
        <v>insert into ins_premium_det (premium_rcv_code,assorted_code, rec_amount,premium_rcv_detail_code,remaining_amt, payrec, mode_code,coinsurance_code,class_cd,it_remarks) values</v>
      </c>
      <c r="G26" s="40" t="str">
        <f t="shared" si="2"/>
        <v>('20Aug240117','070000160458','1367',(select max(to_number(i.premium_rcv_detail_code))+1
from ins_premium_det i),'1367','1367','02', '11000003','00','Request by Mr. Saqib Saleem 21-Aug-2024 sheet3');</v>
      </c>
      <c r="H26" s="41" t="str">
        <f t="shared" si="3"/>
        <v>insert into ins_premium_det (premium_rcv_code,assorted_code, rec_amount,premium_rcv_detail_code,remaining_amt, payrec, mode_code,coinsurance_code,class_cd,it_remarks) values('20Aug240117','070000160458','1367',(select max(to_number(i.premium_rcv_detail_code))+1
from ins_premium_det i),'1367','1367','02', '11000003','00','Request by Mr. Saqib Saleem 21-Aug-2024 sheet3');</v>
      </c>
    </row>
    <row r="27" spans="1:8" ht="105" x14ac:dyDescent="0.25">
      <c r="A27" s="17" t="s">
        <v>620</v>
      </c>
      <c r="B27" s="37" t="str">
        <f>VLOOKUP(A27,[3]Sheet1!$B$2:$C$128,2,0)</f>
        <v>070000160461</v>
      </c>
      <c r="C27" s="14">
        <v>199</v>
      </c>
      <c r="D27" s="38">
        <f t="shared" si="1"/>
        <v>199</v>
      </c>
      <c r="E27" t="s">
        <v>726</v>
      </c>
      <c r="F27" s="39" t="str">
        <f t="shared" si="0"/>
        <v>insert into ins_premium_det (premium_rcv_code,assorted_code, rec_amount,premium_rcv_detail_code,remaining_amt, payrec, mode_code,coinsurance_code,class_cd,it_remarks) values</v>
      </c>
      <c r="G27" s="40" t="str">
        <f t="shared" si="2"/>
        <v>('20Aug240117','070000160461','199',(select max(to_number(i.premium_rcv_detail_code))+1
from ins_premium_det i),'199','199','02', '11000003','00','Request by Mr. Saqib Saleem 21-Aug-2024 sheet3');</v>
      </c>
      <c r="H27" s="41" t="str">
        <f t="shared" si="3"/>
        <v>insert into ins_premium_det (premium_rcv_code,assorted_code, rec_amount,premium_rcv_detail_code,remaining_amt, payrec, mode_code,coinsurance_code,class_cd,it_remarks) values('20Aug240117','070000160461','199',(select max(to_number(i.premium_rcv_detail_code))+1
from ins_premium_det i),'199','199','02', '11000003','00','Request by Mr. Saqib Saleem 21-Aug-2024 sheet3');</v>
      </c>
    </row>
    <row r="28" spans="1:8" ht="105" x14ac:dyDescent="0.25">
      <c r="A28" s="17" t="s">
        <v>621</v>
      </c>
      <c r="B28" s="37" t="str">
        <f>VLOOKUP(A28,[3]Sheet1!$B$2:$C$128,2,0)</f>
        <v>070000160488</v>
      </c>
      <c r="C28" s="14">
        <v>662</v>
      </c>
      <c r="D28" s="38">
        <f t="shared" si="1"/>
        <v>662</v>
      </c>
      <c r="E28" t="s">
        <v>726</v>
      </c>
      <c r="F28" s="39" t="str">
        <f t="shared" si="0"/>
        <v>insert into ins_premium_det (premium_rcv_code,assorted_code, rec_amount,premium_rcv_detail_code,remaining_amt, payrec, mode_code,coinsurance_code,class_cd,it_remarks) values</v>
      </c>
      <c r="G28" s="40" t="str">
        <f t="shared" si="2"/>
        <v>('20Aug240117','070000160488','662',(select max(to_number(i.premium_rcv_detail_code))+1
from ins_premium_det i),'662','662','02', '11000003','00','Request by Mr. Saqib Saleem 21-Aug-2024 sheet3');</v>
      </c>
      <c r="H28" s="41" t="str">
        <f t="shared" si="3"/>
        <v>insert into ins_premium_det (premium_rcv_code,assorted_code, rec_amount,premium_rcv_detail_code,remaining_amt, payrec, mode_code,coinsurance_code,class_cd,it_remarks) values('20Aug240117','070000160488','662',(select max(to_number(i.premium_rcv_detail_code))+1
from ins_premium_det i),'662','662','02', '11000003','00','Request by Mr. Saqib Saleem 21-Aug-2024 sheet3');</v>
      </c>
    </row>
    <row r="29" spans="1:8" ht="105" x14ac:dyDescent="0.25">
      <c r="A29" s="17" t="s">
        <v>622</v>
      </c>
      <c r="B29" s="37" t="str">
        <f>VLOOKUP(A29,[3]Sheet1!$B$2:$C$128,2,0)</f>
        <v>070000160489</v>
      </c>
      <c r="C29" s="14">
        <v>3739</v>
      </c>
      <c r="D29" s="38">
        <f t="shared" si="1"/>
        <v>3739</v>
      </c>
      <c r="E29" t="s">
        <v>726</v>
      </c>
      <c r="F29" s="39" t="str">
        <f t="shared" si="0"/>
        <v>insert into ins_premium_det (premium_rcv_code,assorted_code, rec_amount,premium_rcv_detail_code,remaining_amt, payrec, mode_code,coinsurance_code,class_cd,it_remarks) values</v>
      </c>
      <c r="G29" s="40" t="str">
        <f t="shared" si="2"/>
        <v>('20Aug240117','070000160489','3739',(select max(to_number(i.premium_rcv_detail_code))+1
from ins_premium_det i),'3739','3739','02', '11000003','00','Request by Mr. Saqib Saleem 21-Aug-2024 sheet3');</v>
      </c>
      <c r="H29" s="41" t="str">
        <f t="shared" si="3"/>
        <v>insert into ins_premium_det (premium_rcv_code,assorted_code, rec_amount,premium_rcv_detail_code,remaining_amt, payrec, mode_code,coinsurance_code,class_cd,it_remarks) values('20Aug240117','070000160489','3739',(select max(to_number(i.premium_rcv_detail_code))+1
from ins_premium_det i),'3739','3739','02', '11000003','00','Request by Mr. Saqib Saleem 21-Aug-2024 sheet3');</v>
      </c>
    </row>
    <row r="30" spans="1:8" ht="105" x14ac:dyDescent="0.25">
      <c r="A30" s="17" t="s">
        <v>623</v>
      </c>
      <c r="B30" s="37" t="str">
        <f>VLOOKUP(A30,[3]Sheet1!$B$2:$C$128,2,0)</f>
        <v>070000160491</v>
      </c>
      <c r="C30" s="14">
        <v>1150</v>
      </c>
      <c r="D30" s="38">
        <f t="shared" si="1"/>
        <v>1150</v>
      </c>
      <c r="E30" t="s">
        <v>726</v>
      </c>
      <c r="F30" s="39" t="str">
        <f t="shared" si="0"/>
        <v>insert into ins_premium_det (premium_rcv_code,assorted_code, rec_amount,premium_rcv_detail_code,remaining_amt, payrec, mode_code,coinsurance_code,class_cd,it_remarks) values</v>
      </c>
      <c r="G30" s="40" t="str">
        <f t="shared" si="2"/>
        <v>('20Aug240117','070000160491','1150',(select max(to_number(i.premium_rcv_detail_code))+1
from ins_premium_det i),'1150','1150','02', '11000003','00','Request by Mr. Saqib Saleem 21-Aug-2024 sheet3');</v>
      </c>
      <c r="H30" s="41" t="str">
        <f t="shared" si="3"/>
        <v>insert into ins_premium_det (premium_rcv_code,assorted_code, rec_amount,premium_rcv_detail_code,remaining_amt, payrec, mode_code,coinsurance_code,class_cd,it_remarks) values('20Aug240117','070000160491','1150',(select max(to_number(i.premium_rcv_detail_code))+1
from ins_premium_det i),'1150','1150','02', '11000003','00','Request by Mr. Saqib Saleem 21-Aug-2024 sheet3');</v>
      </c>
    </row>
    <row r="31" spans="1:8" ht="105" x14ac:dyDescent="0.25">
      <c r="A31" s="17" t="s">
        <v>624</v>
      </c>
      <c r="B31" s="37" t="str">
        <f>VLOOKUP(A31,[3]Sheet1!$B$2:$C$128,2,0)</f>
        <v>070000160492</v>
      </c>
      <c r="C31" s="14">
        <v>3100</v>
      </c>
      <c r="D31" s="38">
        <f t="shared" si="1"/>
        <v>3100</v>
      </c>
      <c r="E31" t="s">
        <v>726</v>
      </c>
      <c r="F31" s="39" t="str">
        <f t="shared" si="0"/>
        <v>insert into ins_premium_det (premium_rcv_code,assorted_code, rec_amount,premium_rcv_detail_code,remaining_amt, payrec, mode_code,coinsurance_code,class_cd,it_remarks) values</v>
      </c>
      <c r="G31" s="40" t="str">
        <f t="shared" si="2"/>
        <v>('20Aug240117','070000160492','3100',(select max(to_number(i.premium_rcv_detail_code))+1
from ins_premium_det i),'3100','3100','02', '11000003','00','Request by Mr. Saqib Saleem 21-Aug-2024 sheet3');</v>
      </c>
      <c r="H31" s="41" t="str">
        <f t="shared" si="3"/>
        <v>insert into ins_premium_det (premium_rcv_code,assorted_code, rec_amount,premium_rcv_detail_code,remaining_amt, payrec, mode_code,coinsurance_code,class_cd,it_remarks) values('20Aug240117','070000160492','3100',(select max(to_number(i.premium_rcv_detail_code))+1
from ins_premium_det i),'3100','3100','02', '11000003','00','Request by Mr. Saqib Saleem 21-Aug-2024 sheet3');</v>
      </c>
    </row>
    <row r="32" spans="1:8" ht="105" x14ac:dyDescent="0.25">
      <c r="A32" s="17" t="s">
        <v>625</v>
      </c>
      <c r="B32" s="37" t="str">
        <f>VLOOKUP(A32,[3]Sheet1!$B$2:$C$128,2,0)</f>
        <v>070000160493</v>
      </c>
      <c r="C32" s="14">
        <v>743</v>
      </c>
      <c r="D32" s="38">
        <f t="shared" si="1"/>
        <v>743</v>
      </c>
      <c r="E32" t="s">
        <v>726</v>
      </c>
      <c r="F32" s="39" t="str">
        <f t="shared" si="0"/>
        <v>insert into ins_premium_det (premium_rcv_code,assorted_code, rec_amount,premium_rcv_detail_code,remaining_amt, payrec, mode_code,coinsurance_code,class_cd,it_remarks) values</v>
      </c>
      <c r="G32" s="40" t="str">
        <f t="shared" si="2"/>
        <v>('20Aug240117','070000160493','743',(select max(to_number(i.premium_rcv_detail_code))+1
from ins_premium_det i),'743','743','02', '11000003','00','Request by Mr. Saqib Saleem 21-Aug-2024 sheet3');</v>
      </c>
      <c r="H32" s="41" t="str">
        <f t="shared" si="3"/>
        <v>insert into ins_premium_det (premium_rcv_code,assorted_code, rec_amount,premium_rcv_detail_code,remaining_amt, payrec, mode_code,coinsurance_code,class_cd,it_remarks) values('20Aug240117','070000160493','743',(select max(to_number(i.premium_rcv_detail_code))+1
from ins_premium_det i),'743','743','02', '11000003','00','Request by Mr. Saqib Saleem 21-Aug-2024 sheet3');</v>
      </c>
    </row>
    <row r="33" spans="1:8" ht="105" x14ac:dyDescent="0.25">
      <c r="A33" s="17" t="s">
        <v>626</v>
      </c>
      <c r="B33" s="37" t="str">
        <f>VLOOKUP(A33,[3]Sheet1!$B$2:$C$128,2,0)</f>
        <v>070000160494</v>
      </c>
      <c r="C33" s="14">
        <v>455</v>
      </c>
      <c r="D33" s="38">
        <f t="shared" si="1"/>
        <v>455</v>
      </c>
      <c r="E33" t="s">
        <v>726</v>
      </c>
      <c r="F33" s="39" t="str">
        <f t="shared" si="0"/>
        <v>insert into ins_premium_det (premium_rcv_code,assorted_code, rec_amount,premium_rcv_detail_code,remaining_amt, payrec, mode_code,coinsurance_code,class_cd,it_remarks) values</v>
      </c>
      <c r="G33" s="40" t="str">
        <f t="shared" si="2"/>
        <v>('20Aug240117','070000160494','455',(select max(to_number(i.premium_rcv_detail_code))+1
from ins_premium_det i),'455','455','02', '11000003','00','Request by Mr. Saqib Saleem 21-Aug-2024 sheet3');</v>
      </c>
      <c r="H33" s="41" t="str">
        <f t="shared" si="3"/>
        <v>insert into ins_premium_det (premium_rcv_code,assorted_code, rec_amount,premium_rcv_detail_code,remaining_amt, payrec, mode_code,coinsurance_code,class_cd,it_remarks) values('20Aug240117','070000160494','455',(select max(to_number(i.premium_rcv_detail_code))+1
from ins_premium_det i),'455','455','02', '11000003','00','Request by Mr. Saqib Saleem 21-Aug-2024 sheet3');</v>
      </c>
    </row>
    <row r="34" spans="1:8" ht="105" x14ac:dyDescent="0.25">
      <c r="A34" s="17" t="s">
        <v>627</v>
      </c>
      <c r="B34" s="37" t="str">
        <f>VLOOKUP(A34,[3]Sheet1!$B$2:$C$128,2,0)</f>
        <v>070000160495</v>
      </c>
      <c r="C34" s="14">
        <v>7100</v>
      </c>
      <c r="D34" s="38">
        <f t="shared" si="1"/>
        <v>7100</v>
      </c>
      <c r="E34" t="s">
        <v>726</v>
      </c>
      <c r="F34" s="39" t="str">
        <f t="shared" si="0"/>
        <v>insert into ins_premium_det (premium_rcv_code,assorted_code, rec_amount,premium_rcv_detail_code,remaining_amt, payrec, mode_code,coinsurance_code,class_cd,it_remarks) values</v>
      </c>
      <c r="G34" s="40" t="str">
        <f t="shared" si="2"/>
        <v>('20Aug240117','070000160495','7100',(select max(to_number(i.premium_rcv_detail_code))+1
from ins_premium_det i),'7100','7100','02', '11000003','00','Request by Mr. Saqib Saleem 21-Aug-2024 sheet3');</v>
      </c>
      <c r="H34" s="41" t="str">
        <f t="shared" si="3"/>
        <v>insert into ins_premium_det (premium_rcv_code,assorted_code, rec_amount,premium_rcv_detail_code,remaining_amt, payrec, mode_code,coinsurance_code,class_cd,it_remarks) values('20Aug240117','070000160495','7100',(select max(to_number(i.premium_rcv_detail_code))+1
from ins_premium_det i),'7100','7100','02', '11000003','00','Request by Mr. Saqib Saleem 21-Aug-2024 sheet3');</v>
      </c>
    </row>
    <row r="35" spans="1:8" ht="105" x14ac:dyDescent="0.25">
      <c r="A35" s="17" t="s">
        <v>628</v>
      </c>
      <c r="B35" s="37" t="str">
        <f>VLOOKUP(A35,[3]Sheet1!$B$2:$C$128,2,0)</f>
        <v>070000160496</v>
      </c>
      <c r="C35" s="14">
        <v>7916</v>
      </c>
      <c r="D35" s="38">
        <f t="shared" si="1"/>
        <v>7916</v>
      </c>
      <c r="E35" t="s">
        <v>726</v>
      </c>
      <c r="F35" s="39" t="str">
        <f t="shared" si="0"/>
        <v>insert into ins_premium_det (premium_rcv_code,assorted_code, rec_amount,premium_rcv_detail_code,remaining_amt, payrec, mode_code,coinsurance_code,class_cd,it_remarks) values</v>
      </c>
      <c r="G35" s="40" t="str">
        <f t="shared" si="2"/>
        <v>('20Aug240117','070000160496','7916',(select max(to_number(i.premium_rcv_detail_code))+1
from ins_premium_det i),'7916','7916','02', '11000003','00','Request by Mr. Saqib Saleem 21-Aug-2024 sheet3');</v>
      </c>
      <c r="H35" s="41" t="str">
        <f t="shared" si="3"/>
        <v>insert into ins_premium_det (premium_rcv_code,assorted_code, rec_amount,premium_rcv_detail_code,remaining_amt, payrec, mode_code,coinsurance_code,class_cd,it_remarks) values('20Aug240117','070000160496','7916',(select max(to_number(i.premium_rcv_detail_code))+1
from ins_premium_det i),'7916','7916','02', '11000003','00','Request by Mr. Saqib Saleem 21-Aug-2024 sheet3');</v>
      </c>
    </row>
    <row r="36" spans="1:8" ht="105" x14ac:dyDescent="0.25">
      <c r="A36" s="17" t="s">
        <v>629</v>
      </c>
      <c r="B36" s="37" t="str">
        <f>VLOOKUP(A36,[3]Sheet1!$B$2:$C$128,2,0)</f>
        <v>070000160504</v>
      </c>
      <c r="C36" s="14">
        <v>2015</v>
      </c>
      <c r="D36" s="38">
        <f t="shared" si="1"/>
        <v>2015</v>
      </c>
      <c r="E36" t="s">
        <v>726</v>
      </c>
      <c r="F36" s="39" t="str">
        <f t="shared" si="0"/>
        <v>insert into ins_premium_det (premium_rcv_code,assorted_code, rec_amount,premium_rcv_detail_code,remaining_amt, payrec, mode_code,coinsurance_code,class_cd,it_remarks) values</v>
      </c>
      <c r="G36" s="40" t="str">
        <f t="shared" si="2"/>
        <v>('20Aug240117','070000160504','2015',(select max(to_number(i.premium_rcv_detail_code))+1
from ins_premium_det i),'2015','2015','02', '11000003','00','Request by Mr. Saqib Saleem 21-Aug-2024 sheet3');</v>
      </c>
      <c r="H36" s="41" t="str">
        <f t="shared" si="3"/>
        <v>insert into ins_premium_det (premium_rcv_code,assorted_code, rec_amount,premium_rcv_detail_code,remaining_amt, payrec, mode_code,coinsurance_code,class_cd,it_remarks) values('20Aug240117','070000160504','2015',(select max(to_number(i.premium_rcv_detail_code))+1
from ins_premium_det i),'2015','2015','02', '11000003','00','Request by Mr. Saqib Saleem 21-Aug-2024 sheet3');</v>
      </c>
    </row>
    <row r="37" spans="1:8" ht="105" x14ac:dyDescent="0.25">
      <c r="A37" s="17" t="s">
        <v>630</v>
      </c>
      <c r="B37" s="37" t="str">
        <f>VLOOKUP(A37,[3]Sheet1!$B$2:$C$128,2,0)</f>
        <v>070000160505</v>
      </c>
      <c r="C37" s="14">
        <v>7442</v>
      </c>
      <c r="D37" s="38">
        <f t="shared" si="1"/>
        <v>7442</v>
      </c>
      <c r="E37" t="s">
        <v>726</v>
      </c>
      <c r="F37" s="39" t="str">
        <f t="shared" si="0"/>
        <v>insert into ins_premium_det (premium_rcv_code,assorted_code, rec_amount,premium_rcv_detail_code,remaining_amt, payrec, mode_code,coinsurance_code,class_cd,it_remarks) values</v>
      </c>
      <c r="G37" s="40" t="str">
        <f t="shared" si="2"/>
        <v>('20Aug240117','070000160505','7442',(select max(to_number(i.premium_rcv_detail_code))+1
from ins_premium_det i),'7442','7442','02', '11000003','00','Request by Mr. Saqib Saleem 21-Aug-2024 sheet3');</v>
      </c>
      <c r="H37" s="41" t="str">
        <f t="shared" si="3"/>
        <v>insert into ins_premium_det (premium_rcv_code,assorted_code, rec_amount,premium_rcv_detail_code,remaining_amt, payrec, mode_code,coinsurance_code,class_cd,it_remarks) values('20Aug240117','070000160505','7442',(select max(to_number(i.premium_rcv_detail_code))+1
from ins_premium_det i),'7442','7442','02', '11000003','00','Request by Mr. Saqib Saleem 21-Aug-2024 sheet3');</v>
      </c>
    </row>
    <row r="38" spans="1:8" ht="105" x14ac:dyDescent="0.25">
      <c r="A38" s="17" t="s">
        <v>631</v>
      </c>
      <c r="B38" s="37" t="str">
        <f>VLOOKUP(A38,[3]Sheet1!$B$2:$C$128,2,0)</f>
        <v>070000160506</v>
      </c>
      <c r="C38" s="14">
        <v>1198</v>
      </c>
      <c r="D38" s="38">
        <f t="shared" si="1"/>
        <v>1198</v>
      </c>
      <c r="E38" t="s">
        <v>726</v>
      </c>
      <c r="F38" s="39" t="str">
        <f t="shared" si="0"/>
        <v>insert into ins_premium_det (premium_rcv_code,assorted_code, rec_amount,premium_rcv_detail_code,remaining_amt, payrec, mode_code,coinsurance_code,class_cd,it_remarks) values</v>
      </c>
      <c r="G38" s="40" t="str">
        <f t="shared" si="2"/>
        <v>('20Aug240117','070000160506','1198',(select max(to_number(i.premium_rcv_detail_code))+1
from ins_premium_det i),'1198','1198','02', '11000003','00','Request by Mr. Saqib Saleem 21-Aug-2024 sheet3');</v>
      </c>
      <c r="H38" s="41" t="str">
        <f t="shared" si="3"/>
        <v>insert into ins_premium_det (premium_rcv_code,assorted_code, rec_amount,premium_rcv_detail_code,remaining_amt, payrec, mode_code,coinsurance_code,class_cd,it_remarks) values('20Aug240117','070000160506','1198',(select max(to_number(i.premium_rcv_detail_code))+1
from ins_premium_det i),'1198','1198','02', '11000003','00','Request by Mr. Saqib Saleem 21-Aug-2024 sheet3');</v>
      </c>
    </row>
    <row r="39" spans="1:8" ht="105" x14ac:dyDescent="0.25">
      <c r="A39" s="17" t="s">
        <v>632</v>
      </c>
      <c r="B39" s="37" t="str">
        <f>VLOOKUP(A39,[3]Sheet1!$B$2:$C$128,2,0)</f>
        <v>070000160507</v>
      </c>
      <c r="C39" s="14">
        <v>3290</v>
      </c>
      <c r="D39" s="38">
        <f t="shared" si="1"/>
        <v>3290</v>
      </c>
      <c r="E39" t="s">
        <v>726</v>
      </c>
      <c r="F39" s="39" t="str">
        <f t="shared" si="0"/>
        <v>insert into ins_premium_det (premium_rcv_code,assorted_code, rec_amount,premium_rcv_detail_code,remaining_amt, payrec, mode_code,coinsurance_code,class_cd,it_remarks) values</v>
      </c>
      <c r="G39" s="40" t="str">
        <f t="shared" si="2"/>
        <v>('20Aug240117','070000160507','3290',(select max(to_number(i.premium_rcv_detail_code))+1
from ins_premium_det i),'3290','3290','02', '11000003','00','Request by Mr. Saqib Saleem 21-Aug-2024 sheet3');</v>
      </c>
      <c r="H39" s="41" t="str">
        <f t="shared" si="3"/>
        <v>insert into ins_premium_det (premium_rcv_code,assorted_code, rec_amount,premium_rcv_detail_code,remaining_amt, payrec, mode_code,coinsurance_code,class_cd,it_remarks) values('20Aug240117','070000160507','3290',(select max(to_number(i.premium_rcv_detail_code))+1
from ins_premium_det i),'3290','3290','02', '11000003','00','Request by Mr. Saqib Saleem 21-Aug-2024 sheet3');</v>
      </c>
    </row>
    <row r="40" spans="1:8" ht="105" x14ac:dyDescent="0.25">
      <c r="A40" s="17" t="s">
        <v>633</v>
      </c>
      <c r="B40" s="37" t="str">
        <f>VLOOKUP(A40,[3]Sheet1!$B$2:$C$128,2,0)</f>
        <v>070000160508</v>
      </c>
      <c r="C40" s="14">
        <v>18001</v>
      </c>
      <c r="D40" s="38">
        <f t="shared" si="1"/>
        <v>18001</v>
      </c>
      <c r="E40" t="s">
        <v>726</v>
      </c>
      <c r="F40" s="39" t="str">
        <f t="shared" si="0"/>
        <v>insert into ins_premium_det (premium_rcv_code,assorted_code, rec_amount,premium_rcv_detail_code,remaining_amt, payrec, mode_code,coinsurance_code,class_cd,it_remarks) values</v>
      </c>
      <c r="G40" s="40" t="str">
        <f t="shared" si="2"/>
        <v>('20Aug240117','070000160508','18001',(select max(to_number(i.premium_rcv_detail_code))+1
from ins_premium_det i),'18001','18001','02', '11000003','00','Request by Mr. Saqib Saleem 21-Aug-2024 sheet3');</v>
      </c>
      <c r="H40" s="41" t="str">
        <f t="shared" si="3"/>
        <v>insert into ins_premium_det (premium_rcv_code,assorted_code, rec_amount,premium_rcv_detail_code,remaining_amt, payrec, mode_code,coinsurance_code,class_cd,it_remarks) values('20Aug240117','070000160508','18001',(select max(to_number(i.premium_rcv_detail_code))+1
from ins_premium_det i),'18001','18001','02', '11000003','00','Request by Mr. Saqib Saleem 21-Aug-2024 sheet3');</v>
      </c>
    </row>
    <row r="41" spans="1:8" ht="105" x14ac:dyDescent="0.25">
      <c r="A41" s="17" t="s">
        <v>634</v>
      </c>
      <c r="B41" s="37" t="str">
        <f>VLOOKUP(A41,[3]Sheet1!$B$2:$C$128,2,0)</f>
        <v>070000160509</v>
      </c>
      <c r="C41" s="14">
        <v>1415</v>
      </c>
      <c r="D41" s="38">
        <f t="shared" si="1"/>
        <v>1415</v>
      </c>
      <c r="E41" t="s">
        <v>726</v>
      </c>
      <c r="F41" s="39" t="str">
        <f t="shared" si="0"/>
        <v>insert into ins_premium_det (premium_rcv_code,assorted_code, rec_amount,premium_rcv_detail_code,remaining_amt, payrec, mode_code,coinsurance_code,class_cd,it_remarks) values</v>
      </c>
      <c r="G41" s="40" t="str">
        <f t="shared" si="2"/>
        <v>('20Aug240117','070000160509','1415',(select max(to_number(i.premium_rcv_detail_code))+1
from ins_premium_det i),'1415','1415','02', '11000003','00','Request by Mr. Saqib Saleem 21-Aug-2024 sheet3');</v>
      </c>
      <c r="H41" s="41" t="str">
        <f t="shared" si="3"/>
        <v>insert into ins_premium_det (premium_rcv_code,assorted_code, rec_amount,premium_rcv_detail_code,remaining_amt, payrec, mode_code,coinsurance_code,class_cd,it_remarks) values('20Aug240117','070000160509','1415',(select max(to_number(i.premium_rcv_detail_code))+1
from ins_premium_det i),'1415','1415','02', '11000003','00','Request by Mr. Saqib Saleem 21-Aug-2024 sheet3');</v>
      </c>
    </row>
    <row r="42" spans="1:8" ht="105" x14ac:dyDescent="0.25">
      <c r="A42" s="17" t="s">
        <v>635</v>
      </c>
      <c r="B42" s="37" t="str">
        <f>VLOOKUP(A42,[3]Sheet1!$B$2:$C$128,2,0)</f>
        <v>070000160510</v>
      </c>
      <c r="C42" s="14">
        <v>1494</v>
      </c>
      <c r="D42" s="38">
        <f t="shared" si="1"/>
        <v>1494</v>
      </c>
      <c r="E42" t="s">
        <v>726</v>
      </c>
      <c r="F42" s="39" t="str">
        <f t="shared" si="0"/>
        <v>insert into ins_premium_det (premium_rcv_code,assorted_code, rec_amount,premium_rcv_detail_code,remaining_amt, payrec, mode_code,coinsurance_code,class_cd,it_remarks) values</v>
      </c>
      <c r="G42" s="40" t="str">
        <f t="shared" si="2"/>
        <v>('20Aug240117','070000160510','1494',(select max(to_number(i.premium_rcv_detail_code))+1
from ins_premium_det i),'1494','1494','02', '11000003','00','Request by Mr. Saqib Saleem 21-Aug-2024 sheet3');</v>
      </c>
      <c r="H42" s="41" t="str">
        <f t="shared" si="3"/>
        <v>insert into ins_premium_det (premium_rcv_code,assorted_code, rec_amount,premium_rcv_detail_code,remaining_amt, payrec, mode_code,coinsurance_code,class_cd,it_remarks) values('20Aug240117','070000160510','1494',(select max(to_number(i.premium_rcv_detail_code))+1
from ins_premium_det i),'1494','1494','02', '11000003','00','Request by Mr. Saqib Saleem 21-Aug-2024 sheet3');</v>
      </c>
    </row>
    <row r="43" spans="1:8" ht="105" x14ac:dyDescent="0.25">
      <c r="A43" s="17" t="s">
        <v>636</v>
      </c>
      <c r="B43" s="37" t="str">
        <f>VLOOKUP(A43,[3]Sheet1!$B$2:$C$128,2,0)</f>
        <v>070000160512</v>
      </c>
      <c r="C43" s="14">
        <v>633</v>
      </c>
      <c r="D43" s="38">
        <f t="shared" si="1"/>
        <v>633</v>
      </c>
      <c r="E43" t="s">
        <v>726</v>
      </c>
      <c r="F43" s="39" t="str">
        <f t="shared" si="0"/>
        <v>insert into ins_premium_det (premium_rcv_code,assorted_code, rec_amount,premium_rcv_detail_code,remaining_amt, payrec, mode_code,coinsurance_code,class_cd,it_remarks) values</v>
      </c>
      <c r="G43" s="40" t="str">
        <f t="shared" si="2"/>
        <v>('20Aug240117','070000160512','633',(select max(to_number(i.premium_rcv_detail_code))+1
from ins_premium_det i),'633','633','02', '11000003','00','Request by Mr. Saqib Saleem 21-Aug-2024 sheet3');</v>
      </c>
      <c r="H43" s="41" t="str">
        <f t="shared" si="3"/>
        <v>insert into ins_premium_det (premium_rcv_code,assorted_code, rec_amount,premium_rcv_detail_code,remaining_amt, payrec, mode_code,coinsurance_code,class_cd,it_remarks) values('20Aug240117','070000160512','633',(select max(to_number(i.premium_rcv_detail_code))+1
from ins_premium_det i),'633','633','02', '11000003','00','Request by Mr. Saqib Saleem 21-Aug-2024 sheet3');</v>
      </c>
    </row>
    <row r="44" spans="1:8" ht="105" x14ac:dyDescent="0.25">
      <c r="A44" s="17" t="s">
        <v>637</v>
      </c>
      <c r="B44" s="37" t="str">
        <f>VLOOKUP(A44,[3]Sheet1!$B$2:$C$128,2,0)</f>
        <v>070000160513</v>
      </c>
      <c r="C44" s="14">
        <v>1155</v>
      </c>
      <c r="D44" s="38">
        <f t="shared" si="1"/>
        <v>1155</v>
      </c>
      <c r="E44" t="s">
        <v>726</v>
      </c>
      <c r="F44" s="39" t="str">
        <f t="shared" si="0"/>
        <v>insert into ins_premium_det (premium_rcv_code,assorted_code, rec_amount,premium_rcv_detail_code,remaining_amt, payrec, mode_code,coinsurance_code,class_cd,it_remarks) values</v>
      </c>
      <c r="G44" s="40" t="str">
        <f t="shared" si="2"/>
        <v>('20Aug240117','070000160513','1155',(select max(to_number(i.premium_rcv_detail_code))+1
from ins_premium_det i),'1155','1155','02', '11000003','00','Request by Mr. Saqib Saleem 21-Aug-2024 sheet3');</v>
      </c>
      <c r="H44" s="41" t="str">
        <f t="shared" si="3"/>
        <v>insert into ins_premium_det (premium_rcv_code,assorted_code, rec_amount,premium_rcv_detail_code,remaining_amt, payrec, mode_code,coinsurance_code,class_cd,it_remarks) values('20Aug240117','070000160513','1155',(select max(to_number(i.premium_rcv_detail_code))+1
from ins_premium_det i),'1155','1155','02', '11000003','00','Request by Mr. Saqib Saleem 21-Aug-2024 sheet3');</v>
      </c>
    </row>
    <row r="45" spans="1:8" ht="105" x14ac:dyDescent="0.25">
      <c r="A45" s="17" t="s">
        <v>638</v>
      </c>
      <c r="B45" s="37" t="str">
        <f>VLOOKUP(A45,[3]Sheet1!$B$2:$C$128,2,0)</f>
        <v>070000160561</v>
      </c>
      <c r="C45" s="14">
        <v>629</v>
      </c>
      <c r="D45" s="38">
        <f t="shared" si="1"/>
        <v>629</v>
      </c>
      <c r="E45" t="s">
        <v>726</v>
      </c>
      <c r="F45" s="39" t="str">
        <f t="shared" si="0"/>
        <v>insert into ins_premium_det (premium_rcv_code,assorted_code, rec_amount,premium_rcv_detail_code,remaining_amt, payrec, mode_code,coinsurance_code,class_cd,it_remarks) values</v>
      </c>
      <c r="G45" s="40" t="str">
        <f t="shared" si="2"/>
        <v>('20Aug240117','070000160561','629',(select max(to_number(i.premium_rcv_detail_code))+1
from ins_premium_det i),'629','629','02', '11000003','00','Request by Mr. Saqib Saleem 21-Aug-2024 sheet3');</v>
      </c>
      <c r="H45" s="41" t="str">
        <f t="shared" si="3"/>
        <v>insert into ins_premium_det (premium_rcv_code,assorted_code, rec_amount,premium_rcv_detail_code,remaining_amt, payrec, mode_code,coinsurance_code,class_cd,it_remarks) values('20Aug240117','070000160561','629',(select max(to_number(i.premium_rcv_detail_code))+1
from ins_premium_det i),'629','629','02', '11000003','00','Request by Mr. Saqib Saleem 21-Aug-2024 sheet3');</v>
      </c>
    </row>
    <row r="46" spans="1:8" ht="105" x14ac:dyDescent="0.25">
      <c r="A46" s="17" t="s">
        <v>639</v>
      </c>
      <c r="B46" s="37" t="str">
        <f>VLOOKUP(A46,[3]Sheet1!$B$2:$C$128,2,0)</f>
        <v>070000160562</v>
      </c>
      <c r="C46" s="14">
        <v>204</v>
      </c>
      <c r="D46" s="38">
        <f t="shared" si="1"/>
        <v>204</v>
      </c>
      <c r="E46" t="s">
        <v>726</v>
      </c>
      <c r="F46" s="39" t="str">
        <f t="shared" si="0"/>
        <v>insert into ins_premium_det (premium_rcv_code,assorted_code, rec_amount,premium_rcv_detail_code,remaining_amt, payrec, mode_code,coinsurance_code,class_cd,it_remarks) values</v>
      </c>
      <c r="G46" s="40" t="str">
        <f t="shared" si="2"/>
        <v>('20Aug240117','070000160562','204',(select max(to_number(i.premium_rcv_detail_code))+1
from ins_premium_det i),'204','204','02', '11000003','00','Request by Mr. Saqib Saleem 21-Aug-2024 sheet3');</v>
      </c>
      <c r="H46" s="41" t="str">
        <f t="shared" si="3"/>
        <v>insert into ins_premium_det (premium_rcv_code,assorted_code, rec_amount,premium_rcv_detail_code,remaining_amt, payrec, mode_code,coinsurance_code,class_cd,it_remarks) values('20Aug240117','070000160562','204',(select max(to_number(i.premium_rcv_detail_code))+1
from ins_premium_det i),'204','204','02', '11000003','00','Request by Mr. Saqib Saleem 21-Aug-2024 sheet3');</v>
      </c>
    </row>
    <row r="47" spans="1:8" ht="105" x14ac:dyDescent="0.25">
      <c r="A47" s="17" t="s">
        <v>640</v>
      </c>
      <c r="B47" s="37" t="str">
        <f>VLOOKUP(A47,[3]Sheet1!$B$2:$C$128,2,0)</f>
        <v>070000160566</v>
      </c>
      <c r="C47" s="14">
        <v>480</v>
      </c>
      <c r="D47" s="38">
        <f t="shared" si="1"/>
        <v>480</v>
      </c>
      <c r="E47" t="s">
        <v>726</v>
      </c>
      <c r="F47" s="39" t="str">
        <f t="shared" si="0"/>
        <v>insert into ins_premium_det (premium_rcv_code,assorted_code, rec_amount,premium_rcv_detail_code,remaining_amt, payrec, mode_code,coinsurance_code,class_cd,it_remarks) values</v>
      </c>
      <c r="G47" s="40" t="str">
        <f t="shared" si="2"/>
        <v>('20Aug240117','070000160566','480',(select max(to_number(i.premium_rcv_detail_code))+1
from ins_premium_det i),'480','480','02', '11000003','00','Request by Mr. Saqib Saleem 21-Aug-2024 sheet3');</v>
      </c>
      <c r="H47" s="41" t="str">
        <f t="shared" si="3"/>
        <v>insert into ins_premium_det (premium_rcv_code,assorted_code, rec_amount,premium_rcv_detail_code,remaining_amt, payrec, mode_code,coinsurance_code,class_cd,it_remarks) values('20Aug240117','070000160566','480',(select max(to_number(i.premium_rcv_detail_code))+1
from ins_premium_det i),'480','480','02', '11000003','00','Request by Mr. Saqib Saleem 21-Aug-2024 sheet3');</v>
      </c>
    </row>
    <row r="48" spans="1:8" ht="105" x14ac:dyDescent="0.25">
      <c r="A48" s="17" t="s">
        <v>641</v>
      </c>
      <c r="B48" s="37" t="str">
        <f>VLOOKUP(A48,[3]Sheet1!$B$2:$C$128,2,0)</f>
        <v>070000160567</v>
      </c>
      <c r="C48" s="14">
        <v>4487</v>
      </c>
      <c r="D48" s="38">
        <f t="shared" si="1"/>
        <v>4487</v>
      </c>
      <c r="E48" t="s">
        <v>726</v>
      </c>
      <c r="F48" s="39" t="str">
        <f t="shared" si="0"/>
        <v>insert into ins_premium_det (premium_rcv_code,assorted_code, rec_amount,premium_rcv_detail_code,remaining_amt, payrec, mode_code,coinsurance_code,class_cd,it_remarks) values</v>
      </c>
      <c r="G48" s="40" t="str">
        <f t="shared" si="2"/>
        <v>('20Aug240117','070000160567','4487',(select max(to_number(i.premium_rcv_detail_code))+1
from ins_premium_det i),'4487','4487','02', '11000003','00','Request by Mr. Saqib Saleem 21-Aug-2024 sheet3');</v>
      </c>
      <c r="H48" s="41" t="str">
        <f t="shared" si="3"/>
        <v>insert into ins_premium_det (premium_rcv_code,assorted_code, rec_amount,premium_rcv_detail_code,remaining_amt, payrec, mode_code,coinsurance_code,class_cd,it_remarks) values('20Aug240117','070000160567','4487',(select max(to_number(i.premium_rcv_detail_code))+1
from ins_premium_det i),'4487','4487','02', '11000003','00','Request by Mr. Saqib Saleem 21-Aug-2024 sheet3');</v>
      </c>
    </row>
    <row r="49" spans="1:8" ht="105" x14ac:dyDescent="0.25">
      <c r="A49" s="17" t="s">
        <v>642</v>
      </c>
      <c r="B49" s="37" t="str">
        <f>VLOOKUP(A49,[3]Sheet1!$B$2:$C$128,2,0)</f>
        <v>070000160568</v>
      </c>
      <c r="C49" s="14">
        <v>4357</v>
      </c>
      <c r="D49" s="38">
        <f t="shared" si="1"/>
        <v>4357</v>
      </c>
      <c r="E49" t="s">
        <v>726</v>
      </c>
      <c r="F49" s="39" t="str">
        <f t="shared" si="0"/>
        <v>insert into ins_premium_det (premium_rcv_code,assorted_code, rec_amount,premium_rcv_detail_code,remaining_amt, payrec, mode_code,coinsurance_code,class_cd,it_remarks) values</v>
      </c>
      <c r="G49" s="40" t="str">
        <f t="shared" si="2"/>
        <v>('20Aug240117','070000160568','4357',(select max(to_number(i.premium_rcv_detail_code))+1
from ins_premium_det i),'4357','4357','02', '11000003','00','Request by Mr. Saqib Saleem 21-Aug-2024 sheet3');</v>
      </c>
      <c r="H49" s="41" t="str">
        <f t="shared" si="3"/>
        <v>insert into ins_premium_det (premium_rcv_code,assorted_code, rec_amount,premium_rcv_detail_code,remaining_amt, payrec, mode_code,coinsurance_code,class_cd,it_remarks) values('20Aug240117','070000160568','4357',(select max(to_number(i.premium_rcv_detail_code))+1
from ins_premium_det i),'4357','4357','02', '11000003','00','Request by Mr. Saqib Saleem 21-Aug-2024 sheet3');</v>
      </c>
    </row>
    <row r="50" spans="1:8" ht="105" x14ac:dyDescent="0.25">
      <c r="A50" s="17" t="s">
        <v>643</v>
      </c>
      <c r="B50" s="37" t="str">
        <f>VLOOKUP(A50,[3]Sheet1!$B$2:$C$128,2,0)</f>
        <v>070000160569</v>
      </c>
      <c r="C50" s="14">
        <v>973</v>
      </c>
      <c r="D50" s="38">
        <f t="shared" si="1"/>
        <v>973</v>
      </c>
      <c r="E50" t="s">
        <v>726</v>
      </c>
      <c r="F50" s="39" t="str">
        <f t="shared" si="0"/>
        <v>insert into ins_premium_det (premium_rcv_code,assorted_code, rec_amount,premium_rcv_detail_code,remaining_amt, payrec, mode_code,coinsurance_code,class_cd,it_remarks) values</v>
      </c>
      <c r="G50" s="40" t="str">
        <f t="shared" si="2"/>
        <v>('20Aug240117','070000160569','973',(select max(to_number(i.premium_rcv_detail_code))+1
from ins_premium_det i),'973','973','02', '11000003','00','Request by Mr. Saqib Saleem 21-Aug-2024 sheet3');</v>
      </c>
      <c r="H50" s="41" t="str">
        <f t="shared" si="3"/>
        <v>insert into ins_premium_det (premium_rcv_code,assorted_code, rec_amount,premium_rcv_detail_code,remaining_amt, payrec, mode_code,coinsurance_code,class_cd,it_remarks) values('20Aug240117','070000160569','973',(select max(to_number(i.premium_rcv_detail_code))+1
from ins_premium_det i),'973','973','02', '11000003','00','Request by Mr. Saqib Saleem 21-Aug-2024 sheet3');</v>
      </c>
    </row>
    <row r="51" spans="1:8" ht="105" x14ac:dyDescent="0.25">
      <c r="A51" s="17" t="s">
        <v>644</v>
      </c>
      <c r="B51" s="37" t="str">
        <f>VLOOKUP(A51,[3]Sheet1!$B$2:$C$128,2,0)</f>
        <v>070000160571</v>
      </c>
      <c r="C51" s="14">
        <v>1373</v>
      </c>
      <c r="D51" s="38">
        <f t="shared" si="1"/>
        <v>1373</v>
      </c>
      <c r="E51" t="s">
        <v>726</v>
      </c>
      <c r="F51" s="39" t="str">
        <f t="shared" si="0"/>
        <v>insert into ins_premium_det (premium_rcv_code,assorted_code, rec_amount,premium_rcv_detail_code,remaining_amt, payrec, mode_code,coinsurance_code,class_cd,it_remarks) values</v>
      </c>
      <c r="G51" s="40" t="str">
        <f t="shared" si="2"/>
        <v>('20Aug240117','070000160571','1373',(select max(to_number(i.premium_rcv_detail_code))+1
from ins_premium_det i),'1373','1373','02', '11000003','00','Request by Mr. Saqib Saleem 21-Aug-2024 sheet3');</v>
      </c>
      <c r="H51" s="41" t="str">
        <f t="shared" si="3"/>
        <v>insert into ins_premium_det (premium_rcv_code,assorted_code, rec_amount,premium_rcv_detail_code,remaining_amt, payrec, mode_code,coinsurance_code,class_cd,it_remarks) values('20Aug240117','070000160571','1373',(select max(to_number(i.premium_rcv_detail_code))+1
from ins_premium_det i),'1373','1373','02', '11000003','00','Request by Mr. Saqib Saleem 21-Aug-2024 sheet3');</v>
      </c>
    </row>
    <row r="52" spans="1:8" ht="105" x14ac:dyDescent="0.25">
      <c r="A52" s="17" t="s">
        <v>645</v>
      </c>
      <c r="B52" s="37" t="str">
        <f>VLOOKUP(A52,[3]Sheet1!$B$2:$C$128,2,0)</f>
        <v>070000160578</v>
      </c>
      <c r="C52" s="14">
        <v>1864</v>
      </c>
      <c r="D52" s="38">
        <f t="shared" si="1"/>
        <v>1864</v>
      </c>
      <c r="E52" t="s">
        <v>726</v>
      </c>
      <c r="F52" s="39" t="str">
        <f t="shared" si="0"/>
        <v>insert into ins_premium_det (premium_rcv_code,assorted_code, rec_amount,premium_rcv_detail_code,remaining_amt, payrec, mode_code,coinsurance_code,class_cd,it_remarks) values</v>
      </c>
      <c r="G52" s="40" t="str">
        <f t="shared" si="2"/>
        <v>('20Aug240117','070000160578','1864',(select max(to_number(i.premium_rcv_detail_code))+1
from ins_premium_det i),'1864','1864','02', '11000003','00','Request by Mr. Saqib Saleem 21-Aug-2024 sheet3');</v>
      </c>
      <c r="H52" s="41" t="str">
        <f t="shared" si="3"/>
        <v>insert into ins_premium_det (premium_rcv_code,assorted_code, rec_amount,premium_rcv_detail_code,remaining_amt, payrec, mode_code,coinsurance_code,class_cd,it_remarks) values('20Aug240117','070000160578','1864',(select max(to_number(i.premium_rcv_detail_code))+1
from ins_premium_det i),'1864','1864','02', '11000003','00','Request by Mr. Saqib Saleem 21-Aug-2024 sheet3');</v>
      </c>
    </row>
    <row r="53" spans="1:8" ht="105" x14ac:dyDescent="0.25">
      <c r="A53" s="17" t="s">
        <v>646</v>
      </c>
      <c r="B53" s="37" t="str">
        <f>VLOOKUP(A53,[3]Sheet1!$B$2:$C$128,2,0)</f>
        <v>070000160579</v>
      </c>
      <c r="C53" s="14">
        <v>10126</v>
      </c>
      <c r="D53" s="38">
        <f t="shared" si="1"/>
        <v>10126</v>
      </c>
      <c r="E53" t="s">
        <v>726</v>
      </c>
      <c r="F53" s="39" t="str">
        <f t="shared" si="0"/>
        <v>insert into ins_premium_det (premium_rcv_code,assorted_code, rec_amount,premium_rcv_detail_code,remaining_amt, payrec, mode_code,coinsurance_code,class_cd,it_remarks) values</v>
      </c>
      <c r="G53" s="40" t="str">
        <f t="shared" si="2"/>
        <v>('20Aug240117','070000160579','10126',(select max(to_number(i.premium_rcv_detail_code))+1
from ins_premium_det i),'10126','10126','02', '11000003','00','Request by Mr. Saqib Saleem 21-Aug-2024 sheet3');</v>
      </c>
      <c r="H53" s="41" t="str">
        <f t="shared" si="3"/>
        <v>insert into ins_premium_det (premium_rcv_code,assorted_code, rec_amount,premium_rcv_detail_code,remaining_amt, payrec, mode_code,coinsurance_code,class_cd,it_remarks) values('20Aug240117','070000160579','10126',(select max(to_number(i.premium_rcv_detail_code))+1
from ins_premium_det i),'10126','10126','02', '11000003','00','Request by Mr. Saqib Saleem 21-Aug-2024 sheet3');</v>
      </c>
    </row>
    <row r="54" spans="1:8" ht="105" x14ac:dyDescent="0.25">
      <c r="A54" s="17" t="s">
        <v>647</v>
      </c>
      <c r="B54" s="37" t="str">
        <f>VLOOKUP(A54,[3]Sheet1!$B$2:$C$128,2,0)</f>
        <v>070000160580</v>
      </c>
      <c r="C54" s="14">
        <v>199</v>
      </c>
      <c r="D54" s="38">
        <f t="shared" si="1"/>
        <v>199</v>
      </c>
      <c r="E54" t="s">
        <v>726</v>
      </c>
      <c r="F54" s="39" t="str">
        <f t="shared" si="0"/>
        <v>insert into ins_premium_det (premium_rcv_code,assorted_code, rec_amount,premium_rcv_detail_code,remaining_amt, payrec, mode_code,coinsurance_code,class_cd,it_remarks) values</v>
      </c>
      <c r="G54" s="40" t="str">
        <f t="shared" si="2"/>
        <v>('20Aug240117','070000160580','199',(select max(to_number(i.premium_rcv_detail_code))+1
from ins_premium_det i),'199','199','02', '11000003','00','Request by Mr. Saqib Saleem 21-Aug-2024 sheet3');</v>
      </c>
      <c r="H54" s="41" t="str">
        <f t="shared" si="3"/>
        <v>insert into ins_premium_det (premium_rcv_code,assorted_code, rec_amount,premium_rcv_detail_code,remaining_amt, payrec, mode_code,coinsurance_code,class_cd,it_remarks) values('20Aug240117','070000160580','199',(select max(to_number(i.premium_rcv_detail_code))+1
from ins_premium_det i),'199','199','02', '11000003','00','Request by Mr. Saqib Saleem 21-Aug-2024 sheet3');</v>
      </c>
    </row>
    <row r="55" spans="1:8" ht="105" x14ac:dyDescent="0.25">
      <c r="A55" s="17" t="s">
        <v>648</v>
      </c>
      <c r="B55" s="37" t="str">
        <f>VLOOKUP(A55,[3]Sheet1!$B$2:$C$128,2,0)</f>
        <v>070000160581</v>
      </c>
      <c r="C55" s="14">
        <v>489</v>
      </c>
      <c r="D55" s="38">
        <f t="shared" si="1"/>
        <v>489</v>
      </c>
      <c r="E55" t="s">
        <v>726</v>
      </c>
      <c r="F55" s="39" t="str">
        <f t="shared" si="0"/>
        <v>insert into ins_premium_det (premium_rcv_code,assorted_code, rec_amount,premium_rcv_detail_code,remaining_amt, payrec, mode_code,coinsurance_code,class_cd,it_remarks) values</v>
      </c>
      <c r="G55" s="40" t="str">
        <f t="shared" si="2"/>
        <v>('20Aug240117','070000160581','489',(select max(to_number(i.premium_rcv_detail_code))+1
from ins_premium_det i),'489','489','02', '11000003','00','Request by Mr. Saqib Saleem 21-Aug-2024 sheet3');</v>
      </c>
      <c r="H55" s="41" t="str">
        <f t="shared" si="3"/>
        <v>insert into ins_premium_det (premium_rcv_code,assorted_code, rec_amount,premium_rcv_detail_code,remaining_amt, payrec, mode_code,coinsurance_code,class_cd,it_remarks) values('20Aug240117','070000160581','489',(select max(to_number(i.premium_rcv_detail_code))+1
from ins_premium_det i),'489','489','02', '11000003','00','Request by Mr. Saqib Saleem 21-Aug-2024 sheet3');</v>
      </c>
    </row>
    <row r="56" spans="1:8" ht="105" x14ac:dyDescent="0.25">
      <c r="A56" s="17" t="s">
        <v>649</v>
      </c>
      <c r="B56" s="37" t="str">
        <f>VLOOKUP(A56,[3]Sheet1!$B$2:$C$128,2,0)</f>
        <v>070000160582</v>
      </c>
      <c r="C56" s="14">
        <v>1870</v>
      </c>
      <c r="D56" s="38">
        <f t="shared" si="1"/>
        <v>1870</v>
      </c>
      <c r="E56" t="s">
        <v>726</v>
      </c>
      <c r="F56" s="39" t="str">
        <f t="shared" si="0"/>
        <v>insert into ins_premium_det (premium_rcv_code,assorted_code, rec_amount,premium_rcv_detail_code,remaining_amt, payrec, mode_code,coinsurance_code,class_cd,it_remarks) values</v>
      </c>
      <c r="G56" s="40" t="str">
        <f t="shared" si="2"/>
        <v>('20Aug240117','070000160582','1870',(select max(to_number(i.premium_rcv_detail_code))+1
from ins_premium_det i),'1870','1870','02', '11000003','00','Request by Mr. Saqib Saleem 21-Aug-2024 sheet3');</v>
      </c>
      <c r="H56" s="41" t="str">
        <f t="shared" si="3"/>
        <v>insert into ins_premium_det (premium_rcv_code,assorted_code, rec_amount,premium_rcv_detail_code,remaining_amt, payrec, mode_code,coinsurance_code,class_cd,it_remarks) values('20Aug240117','070000160582','1870',(select max(to_number(i.premium_rcv_detail_code))+1
from ins_premium_det i),'1870','1870','02', '11000003','00','Request by Mr. Saqib Saleem 21-Aug-2024 sheet3');</v>
      </c>
    </row>
    <row r="57" spans="1:8" ht="105" x14ac:dyDescent="0.25">
      <c r="A57" s="17" t="s">
        <v>650</v>
      </c>
      <c r="B57" s="37" t="str">
        <f>VLOOKUP(A57,[3]Sheet1!$B$2:$C$128,2,0)</f>
        <v>070000160585</v>
      </c>
      <c r="C57" s="14">
        <v>1845</v>
      </c>
      <c r="D57" s="38">
        <f t="shared" si="1"/>
        <v>1845</v>
      </c>
      <c r="E57" t="s">
        <v>726</v>
      </c>
      <c r="F57" s="39" t="str">
        <f t="shared" si="0"/>
        <v>insert into ins_premium_det (premium_rcv_code,assorted_code, rec_amount,premium_rcv_detail_code,remaining_amt, payrec, mode_code,coinsurance_code,class_cd,it_remarks) values</v>
      </c>
      <c r="G57" s="40" t="str">
        <f t="shared" si="2"/>
        <v>('20Aug240117','070000160585','1845',(select max(to_number(i.premium_rcv_detail_code))+1
from ins_premium_det i),'1845','1845','02', '11000003','00','Request by Mr. Saqib Saleem 21-Aug-2024 sheet3');</v>
      </c>
      <c r="H57" s="41" t="str">
        <f t="shared" si="3"/>
        <v>insert into ins_premium_det (premium_rcv_code,assorted_code, rec_amount,premium_rcv_detail_code,remaining_amt, payrec, mode_code,coinsurance_code,class_cd,it_remarks) values('20Aug240117','070000160585','1845',(select max(to_number(i.premium_rcv_detail_code))+1
from ins_premium_det i),'1845','1845','02', '11000003','00','Request by Mr. Saqib Saleem 21-Aug-2024 sheet3');</v>
      </c>
    </row>
    <row r="58" spans="1:8" ht="105" x14ac:dyDescent="0.25">
      <c r="A58" s="17" t="s">
        <v>651</v>
      </c>
      <c r="B58" s="37" t="str">
        <f>VLOOKUP(A58,[3]Sheet1!$B$2:$C$128,2,0)</f>
        <v>070000160588</v>
      </c>
      <c r="C58" s="14">
        <v>2496</v>
      </c>
      <c r="D58" s="38">
        <f t="shared" si="1"/>
        <v>2496</v>
      </c>
      <c r="E58" t="s">
        <v>726</v>
      </c>
      <c r="F58" s="39" t="str">
        <f t="shared" si="0"/>
        <v>insert into ins_premium_det (premium_rcv_code,assorted_code, rec_amount,premium_rcv_detail_code,remaining_amt, payrec, mode_code,coinsurance_code,class_cd,it_remarks) values</v>
      </c>
      <c r="G58" s="40" t="str">
        <f t="shared" si="2"/>
        <v>('20Aug240117','070000160588','2496',(select max(to_number(i.premium_rcv_detail_code))+1
from ins_premium_det i),'2496','2496','02', '11000003','00','Request by Mr. Saqib Saleem 21-Aug-2024 sheet3');</v>
      </c>
      <c r="H58" s="41" t="str">
        <f t="shared" si="3"/>
        <v>insert into ins_premium_det (premium_rcv_code,assorted_code, rec_amount,premium_rcv_detail_code,remaining_amt, payrec, mode_code,coinsurance_code,class_cd,it_remarks) values('20Aug240117','070000160588','2496',(select max(to_number(i.premium_rcv_detail_code))+1
from ins_premium_det i),'2496','2496','02', '11000003','00','Request by Mr. Saqib Saleem 21-Aug-2024 sheet3');</v>
      </c>
    </row>
    <row r="59" spans="1:8" ht="105" x14ac:dyDescent="0.25">
      <c r="A59" s="17" t="s">
        <v>652</v>
      </c>
      <c r="B59" s="37" t="str">
        <f>VLOOKUP(A59,[3]Sheet1!$B$2:$C$128,2,0)</f>
        <v>070000160589</v>
      </c>
      <c r="C59" s="14">
        <v>305</v>
      </c>
      <c r="D59" s="38">
        <f t="shared" si="1"/>
        <v>305</v>
      </c>
      <c r="E59" t="s">
        <v>726</v>
      </c>
      <c r="F59" s="39" t="str">
        <f t="shared" si="0"/>
        <v>insert into ins_premium_det (premium_rcv_code,assorted_code, rec_amount,premium_rcv_detail_code,remaining_amt, payrec, mode_code,coinsurance_code,class_cd,it_remarks) values</v>
      </c>
      <c r="G59" s="40" t="str">
        <f t="shared" si="2"/>
        <v>('20Aug240117','070000160589','305',(select max(to_number(i.premium_rcv_detail_code))+1
from ins_premium_det i),'305','305','02', '11000003','00','Request by Mr. Saqib Saleem 21-Aug-2024 sheet3');</v>
      </c>
      <c r="H59" s="41" t="str">
        <f t="shared" si="3"/>
        <v>insert into ins_premium_det (premium_rcv_code,assorted_code, rec_amount,premium_rcv_detail_code,remaining_amt, payrec, mode_code,coinsurance_code,class_cd,it_remarks) values('20Aug240117','070000160589','305',(select max(to_number(i.premium_rcv_detail_code))+1
from ins_premium_det i),'305','305','02', '11000003','00','Request by Mr. Saqib Saleem 21-Aug-2024 sheet3');</v>
      </c>
    </row>
    <row r="60" spans="1:8" ht="105" x14ac:dyDescent="0.25">
      <c r="A60" s="17" t="s">
        <v>653</v>
      </c>
      <c r="B60" s="37" t="str">
        <f>VLOOKUP(A60,[3]Sheet1!$B$2:$C$128,2,0)</f>
        <v>070000160591</v>
      </c>
      <c r="C60" s="14">
        <v>1328</v>
      </c>
      <c r="D60" s="38">
        <f t="shared" si="1"/>
        <v>1328</v>
      </c>
      <c r="E60" t="s">
        <v>726</v>
      </c>
      <c r="F60" s="39" t="str">
        <f t="shared" si="0"/>
        <v>insert into ins_premium_det (premium_rcv_code,assorted_code, rec_amount,premium_rcv_detail_code,remaining_amt, payrec, mode_code,coinsurance_code,class_cd,it_remarks) values</v>
      </c>
      <c r="G60" s="40" t="str">
        <f t="shared" si="2"/>
        <v>('20Aug240117','070000160591','1328',(select max(to_number(i.premium_rcv_detail_code))+1
from ins_premium_det i),'1328','1328','02', '11000003','00','Request by Mr. Saqib Saleem 21-Aug-2024 sheet3');</v>
      </c>
      <c r="H60" s="41" t="str">
        <f t="shared" si="3"/>
        <v>insert into ins_premium_det (premium_rcv_code,assorted_code, rec_amount,premium_rcv_detail_code,remaining_amt, payrec, mode_code,coinsurance_code,class_cd,it_remarks) values('20Aug240117','070000160591','1328',(select max(to_number(i.premium_rcv_detail_code))+1
from ins_premium_det i),'1328','1328','02', '11000003','00','Request by Mr. Saqib Saleem 21-Aug-2024 sheet3');</v>
      </c>
    </row>
    <row r="61" spans="1:8" ht="105" x14ac:dyDescent="0.25">
      <c r="A61" s="17" t="s">
        <v>654</v>
      </c>
      <c r="B61" s="37" t="str">
        <f>VLOOKUP(A61,[3]Sheet1!$B$2:$C$128,2,0)</f>
        <v>070000160592</v>
      </c>
      <c r="C61" s="14">
        <v>460</v>
      </c>
      <c r="D61" s="38">
        <f t="shared" si="1"/>
        <v>460</v>
      </c>
      <c r="E61" t="s">
        <v>726</v>
      </c>
      <c r="F61" s="39" t="str">
        <f t="shared" si="0"/>
        <v>insert into ins_premium_det (premium_rcv_code,assorted_code, rec_amount,premium_rcv_detail_code,remaining_amt, payrec, mode_code,coinsurance_code,class_cd,it_remarks) values</v>
      </c>
      <c r="G61" s="40" t="str">
        <f t="shared" si="2"/>
        <v>('20Aug240117','070000160592','460',(select max(to_number(i.premium_rcv_detail_code))+1
from ins_premium_det i),'460','460','02', '11000003','00','Request by Mr. Saqib Saleem 21-Aug-2024 sheet3');</v>
      </c>
      <c r="H61" s="41" t="str">
        <f t="shared" si="3"/>
        <v>insert into ins_premium_det (premium_rcv_code,assorted_code, rec_amount,premium_rcv_detail_code,remaining_amt, payrec, mode_code,coinsurance_code,class_cd,it_remarks) values('20Aug240117','070000160592','460',(select max(to_number(i.premium_rcv_detail_code))+1
from ins_premium_det i),'460','460','02', '11000003','00','Request by Mr. Saqib Saleem 21-Aug-2024 sheet3');</v>
      </c>
    </row>
    <row r="62" spans="1:8" ht="105" x14ac:dyDescent="0.25">
      <c r="A62" s="17" t="s">
        <v>655</v>
      </c>
      <c r="B62" s="37" t="str">
        <f>VLOOKUP(A62,[3]Sheet1!$B$2:$C$128,2,0)</f>
        <v>070000160594</v>
      </c>
      <c r="C62" s="14">
        <v>205</v>
      </c>
      <c r="D62" s="38">
        <f t="shared" si="1"/>
        <v>205</v>
      </c>
      <c r="E62" t="s">
        <v>726</v>
      </c>
      <c r="F62" s="39" t="str">
        <f t="shared" si="0"/>
        <v>insert into ins_premium_det (premium_rcv_code,assorted_code, rec_amount,premium_rcv_detail_code,remaining_amt, payrec, mode_code,coinsurance_code,class_cd,it_remarks) values</v>
      </c>
      <c r="G62" s="40" t="str">
        <f t="shared" si="2"/>
        <v>('20Aug240117','070000160594','205',(select max(to_number(i.premium_rcv_detail_code))+1
from ins_premium_det i),'205','205','02', '11000003','00','Request by Mr. Saqib Saleem 21-Aug-2024 sheet3');</v>
      </c>
      <c r="H62" s="41" t="str">
        <f t="shared" si="3"/>
        <v>insert into ins_premium_det (premium_rcv_code,assorted_code, rec_amount,premium_rcv_detail_code,remaining_amt, payrec, mode_code,coinsurance_code,class_cd,it_remarks) values('20Aug240117','070000160594','205',(select max(to_number(i.premium_rcv_detail_code))+1
from ins_premium_det i),'205','205','02', '11000003','00','Request by Mr. Saqib Saleem 21-Aug-2024 sheet3');</v>
      </c>
    </row>
    <row r="63" spans="1:8" ht="105" x14ac:dyDescent="0.25">
      <c r="A63" s="17" t="s">
        <v>656</v>
      </c>
      <c r="B63" s="37" t="str">
        <f>VLOOKUP(A63,[3]Sheet1!$B$2:$C$128,2,0)</f>
        <v>070000160596</v>
      </c>
      <c r="C63" s="14">
        <v>4226</v>
      </c>
      <c r="D63" s="38">
        <f t="shared" si="1"/>
        <v>4226</v>
      </c>
      <c r="E63" t="s">
        <v>726</v>
      </c>
      <c r="F63" s="39" t="str">
        <f t="shared" si="0"/>
        <v>insert into ins_premium_det (premium_rcv_code,assorted_code, rec_amount,premium_rcv_detail_code,remaining_amt, payrec, mode_code,coinsurance_code,class_cd,it_remarks) values</v>
      </c>
      <c r="G63" s="40" t="str">
        <f t="shared" si="2"/>
        <v>('20Aug240117','070000160596','4226',(select max(to_number(i.premium_rcv_detail_code))+1
from ins_premium_det i),'4226','4226','02', '11000003','00','Request by Mr. Saqib Saleem 21-Aug-2024 sheet3');</v>
      </c>
      <c r="H63" s="41" t="str">
        <f t="shared" si="3"/>
        <v>insert into ins_premium_det (premium_rcv_code,assorted_code, rec_amount,premium_rcv_detail_code,remaining_amt, payrec, mode_code,coinsurance_code,class_cd,it_remarks) values('20Aug240117','070000160596','4226',(select max(to_number(i.premium_rcv_detail_code))+1
from ins_premium_det i),'4226','4226','02', '11000003','00','Request by Mr. Saqib Saleem 21-Aug-2024 sheet3');</v>
      </c>
    </row>
    <row r="64" spans="1:8" ht="105" x14ac:dyDescent="0.25">
      <c r="A64" s="17" t="s">
        <v>657</v>
      </c>
      <c r="B64" s="37" t="str">
        <f>VLOOKUP(A64,[3]Sheet1!$B$2:$C$128,2,0)</f>
        <v>070000160597</v>
      </c>
      <c r="C64" s="14">
        <v>4497</v>
      </c>
      <c r="D64" s="38">
        <f t="shared" si="1"/>
        <v>4497</v>
      </c>
      <c r="E64" t="s">
        <v>726</v>
      </c>
      <c r="F64" s="39" t="str">
        <f t="shared" si="0"/>
        <v>insert into ins_premium_det (premium_rcv_code,assorted_code, rec_amount,premium_rcv_detail_code,remaining_amt, payrec, mode_code,coinsurance_code,class_cd,it_remarks) values</v>
      </c>
      <c r="G64" s="40" t="str">
        <f t="shared" si="2"/>
        <v>('20Aug240117','070000160597','4497',(select max(to_number(i.premium_rcv_detail_code))+1
from ins_premium_det i),'4497','4497','02', '11000003','00','Request by Mr. Saqib Saleem 21-Aug-2024 sheet3');</v>
      </c>
      <c r="H64" s="41" t="str">
        <f t="shared" si="3"/>
        <v>insert into ins_premium_det (premium_rcv_code,assorted_code, rec_amount,premium_rcv_detail_code,remaining_amt, payrec, mode_code,coinsurance_code,class_cd,it_remarks) values('20Aug240117','070000160597','4497',(select max(to_number(i.premium_rcv_detail_code))+1
from ins_premium_det i),'4497','4497','02', '11000003','00','Request by Mr. Saqib Saleem 21-Aug-2024 sheet3');</v>
      </c>
    </row>
    <row r="65" spans="1:8" ht="105" x14ac:dyDescent="0.25">
      <c r="A65" s="17" t="s">
        <v>658</v>
      </c>
      <c r="B65" s="37" t="str">
        <f>VLOOKUP(A65,[3]Sheet1!$B$2:$C$128,2,0)</f>
        <v>070000160599</v>
      </c>
      <c r="C65" s="14">
        <v>3886</v>
      </c>
      <c r="D65" s="38">
        <f t="shared" si="1"/>
        <v>3886</v>
      </c>
      <c r="E65" t="s">
        <v>726</v>
      </c>
      <c r="F65" s="39" t="str">
        <f t="shared" si="0"/>
        <v>insert into ins_premium_det (premium_rcv_code,assorted_code, rec_amount,premium_rcv_detail_code,remaining_amt, payrec, mode_code,coinsurance_code,class_cd,it_remarks) values</v>
      </c>
      <c r="G65" s="40" t="str">
        <f t="shared" si="2"/>
        <v>('20Aug240117','070000160599','3886',(select max(to_number(i.premium_rcv_detail_code))+1
from ins_premium_det i),'3886','3886','02', '11000003','00','Request by Mr. Saqib Saleem 21-Aug-2024 sheet3');</v>
      </c>
      <c r="H65" s="41" t="str">
        <f t="shared" si="3"/>
        <v>insert into ins_premium_det (premium_rcv_code,assorted_code, rec_amount,premium_rcv_detail_code,remaining_amt, payrec, mode_code,coinsurance_code,class_cd,it_remarks) values('20Aug240117','070000160599','3886',(select max(to_number(i.premium_rcv_detail_code))+1
from ins_premium_det i),'3886','3886','02', '11000003','00','Request by Mr. Saqib Saleem 21-Aug-2024 sheet3');</v>
      </c>
    </row>
    <row r="66" spans="1:8" ht="105" x14ac:dyDescent="0.25">
      <c r="A66" s="17" t="s">
        <v>659</v>
      </c>
      <c r="B66" s="37" t="str">
        <f>VLOOKUP(A66,[3]Sheet1!$B$2:$C$128,2,0)</f>
        <v>070000160639</v>
      </c>
      <c r="C66" s="14">
        <v>2042</v>
      </c>
      <c r="D66" s="38">
        <f t="shared" si="1"/>
        <v>2042</v>
      </c>
      <c r="E66" t="s">
        <v>726</v>
      </c>
      <c r="F66" s="39" t="str">
        <f t="shared" ref="F66:F128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0" t="str">
        <f t="shared" si="2"/>
        <v>('20Aug240117','070000160639','2042',(select max(to_number(i.premium_rcv_detail_code))+1
from ins_premium_det i),'2042','2042','02', '11000003','00','Request by Mr. Saqib Saleem 21-Aug-2024 sheet3');</v>
      </c>
      <c r="H66" s="41" t="str">
        <f t="shared" si="3"/>
        <v>insert into ins_premium_det (premium_rcv_code,assorted_code, rec_amount,premium_rcv_detail_code,remaining_amt, payrec, mode_code,coinsurance_code,class_cd,it_remarks) values('20Aug240117','070000160639','2042',(select max(to_number(i.premium_rcv_detail_code))+1
from ins_premium_det i),'2042','2042','02', '11000003','00','Request by Mr. Saqib Saleem 21-Aug-2024 sheet3');</v>
      </c>
    </row>
    <row r="67" spans="1:8" ht="105" x14ac:dyDescent="0.25">
      <c r="A67" s="17" t="s">
        <v>660</v>
      </c>
      <c r="B67" s="37" t="str">
        <f>VLOOKUP(A67,[3]Sheet1!$B$2:$C$128,2,0)</f>
        <v>070000160654</v>
      </c>
      <c r="C67" s="14">
        <v>4767</v>
      </c>
      <c r="D67" s="38">
        <f t="shared" ref="D67:D128" si="5">ROUND(C67,0)</f>
        <v>4767</v>
      </c>
      <c r="E67" t="s">
        <v>726</v>
      </c>
      <c r="F67" s="39" t="str">
        <f t="shared" si="4"/>
        <v>insert into ins_premium_det (premium_rcv_code,assorted_code, rec_amount,premium_rcv_detail_code,remaining_amt, payrec, mode_code,coinsurance_code,class_cd,it_remarks) values</v>
      </c>
      <c r="G67" s="40" t="str">
        <f t="shared" ref="G67:G128" si="6">"('"&amp;E67&amp;"','"&amp;B67&amp;"','"&amp;D67&amp;"',(select max(to_number(i.premium_rcv_detail_code))+1
from ins_premium_det i),'"&amp;D67&amp;"','"&amp;D67&amp;"','02', '11000003','00','Request by Mr. Saqib Saleem 21-Aug-2024 sheet3');"</f>
        <v>('20Aug240117','070000160654','4767',(select max(to_number(i.premium_rcv_detail_code))+1
from ins_premium_det i),'4767','4767','02', '11000003','00','Request by Mr. Saqib Saleem 21-Aug-2024 sheet3');</v>
      </c>
      <c r="H67" s="41" t="str">
        <f t="shared" ref="H67:H128" si="7">F67&amp;G67</f>
        <v>insert into ins_premium_det (premium_rcv_code,assorted_code, rec_amount,premium_rcv_detail_code,remaining_amt, payrec, mode_code,coinsurance_code,class_cd,it_remarks) values('20Aug240117','070000160654','4767',(select max(to_number(i.premium_rcv_detail_code))+1
from ins_premium_det i),'4767','4767','02', '11000003','00','Request by Mr. Saqib Saleem 21-Aug-2024 sheet3');</v>
      </c>
    </row>
    <row r="68" spans="1:8" ht="105" x14ac:dyDescent="0.25">
      <c r="A68" s="17" t="s">
        <v>661</v>
      </c>
      <c r="B68" s="37" t="str">
        <f>VLOOKUP(A68,[3]Sheet1!$B$2:$C$128,2,0)</f>
        <v>070000160655</v>
      </c>
      <c r="C68" s="14">
        <v>276</v>
      </c>
      <c r="D68" s="38">
        <f t="shared" si="5"/>
        <v>276</v>
      </c>
      <c r="E68" t="s">
        <v>726</v>
      </c>
      <c r="F68" s="39" t="str">
        <f t="shared" si="4"/>
        <v>insert into ins_premium_det (premium_rcv_code,assorted_code, rec_amount,premium_rcv_detail_code,remaining_amt, payrec, mode_code,coinsurance_code,class_cd,it_remarks) values</v>
      </c>
      <c r="G68" s="40" t="str">
        <f t="shared" si="6"/>
        <v>('20Aug240117','070000160655','276',(select max(to_number(i.premium_rcv_detail_code))+1
from ins_premium_det i),'276','276','02', '11000003','00','Request by Mr. Saqib Saleem 21-Aug-2024 sheet3');</v>
      </c>
      <c r="H68" s="41" t="str">
        <f t="shared" si="7"/>
        <v>insert into ins_premium_det (premium_rcv_code,assorted_code, rec_amount,premium_rcv_detail_code,remaining_amt, payrec, mode_code,coinsurance_code,class_cd,it_remarks) values('20Aug240117','070000160655','276',(select max(to_number(i.premium_rcv_detail_code))+1
from ins_premium_det i),'276','276','02', '11000003','00','Request by Mr. Saqib Saleem 21-Aug-2024 sheet3');</v>
      </c>
    </row>
    <row r="69" spans="1:8" ht="105" x14ac:dyDescent="0.25">
      <c r="A69" s="17" t="s">
        <v>662</v>
      </c>
      <c r="B69" s="37" t="str">
        <f>VLOOKUP(A69,[3]Sheet1!$B$2:$C$128,2,0)</f>
        <v>070000160656</v>
      </c>
      <c r="C69" s="14">
        <v>299</v>
      </c>
      <c r="D69" s="38">
        <f t="shared" si="5"/>
        <v>299</v>
      </c>
      <c r="E69" t="s">
        <v>726</v>
      </c>
      <c r="F69" s="39" t="str">
        <f t="shared" si="4"/>
        <v>insert into ins_premium_det (premium_rcv_code,assorted_code, rec_amount,premium_rcv_detail_code,remaining_amt, payrec, mode_code,coinsurance_code,class_cd,it_remarks) values</v>
      </c>
      <c r="G69" s="40" t="str">
        <f t="shared" si="6"/>
        <v>('20Aug240117','070000160656','299',(select max(to_number(i.premium_rcv_detail_code))+1
from ins_premium_det i),'299','299','02', '11000003','00','Request by Mr. Saqib Saleem 21-Aug-2024 sheet3');</v>
      </c>
      <c r="H69" s="41" t="str">
        <f t="shared" si="7"/>
        <v>insert into ins_premium_det (premium_rcv_code,assorted_code, rec_amount,premium_rcv_detail_code,remaining_amt, payrec, mode_code,coinsurance_code,class_cd,it_remarks) values('20Aug240117','070000160656','299',(select max(to_number(i.premium_rcv_detail_code))+1
from ins_premium_det i),'299','299','02', '11000003','00','Request by Mr. Saqib Saleem 21-Aug-2024 sheet3');</v>
      </c>
    </row>
    <row r="70" spans="1:8" ht="105" x14ac:dyDescent="0.25">
      <c r="A70" s="17" t="s">
        <v>663</v>
      </c>
      <c r="B70" s="37" t="str">
        <f>VLOOKUP(A70,[3]Sheet1!$B$2:$C$128,2,0)</f>
        <v>070000160657</v>
      </c>
      <c r="C70" s="14">
        <v>635</v>
      </c>
      <c r="D70" s="38">
        <f t="shared" si="5"/>
        <v>635</v>
      </c>
      <c r="E70" t="s">
        <v>726</v>
      </c>
      <c r="F70" s="39" t="str">
        <f t="shared" si="4"/>
        <v>insert into ins_premium_det (premium_rcv_code,assorted_code, rec_amount,premium_rcv_detail_code,remaining_amt, payrec, mode_code,coinsurance_code,class_cd,it_remarks) values</v>
      </c>
      <c r="G70" s="40" t="str">
        <f t="shared" si="6"/>
        <v>('20Aug240117','070000160657','635',(select max(to_number(i.premium_rcv_detail_code))+1
from ins_premium_det i),'635','635','02', '11000003','00','Request by Mr. Saqib Saleem 21-Aug-2024 sheet3');</v>
      </c>
      <c r="H70" s="41" t="str">
        <f t="shared" si="7"/>
        <v>insert into ins_premium_det (premium_rcv_code,assorted_code, rec_amount,premium_rcv_detail_code,remaining_amt, payrec, mode_code,coinsurance_code,class_cd,it_remarks) values('20Aug240117','070000160657','635',(select max(to_number(i.premium_rcv_detail_code))+1
from ins_premium_det i),'635','635','02', '11000003','00','Request by Mr. Saqib Saleem 21-Aug-2024 sheet3');</v>
      </c>
    </row>
    <row r="71" spans="1:8" ht="105" x14ac:dyDescent="0.25">
      <c r="A71" s="17" t="s">
        <v>664</v>
      </c>
      <c r="B71" s="37" t="str">
        <f>VLOOKUP(A71,[3]Sheet1!$B$2:$C$128,2,0)</f>
        <v>070000160658</v>
      </c>
      <c r="C71" s="14">
        <v>4690</v>
      </c>
      <c r="D71" s="38">
        <f t="shared" si="5"/>
        <v>4690</v>
      </c>
      <c r="E71" t="s">
        <v>726</v>
      </c>
      <c r="F71" s="39" t="str">
        <f t="shared" si="4"/>
        <v>insert into ins_premium_det (premium_rcv_code,assorted_code, rec_amount,premium_rcv_detail_code,remaining_amt, payrec, mode_code,coinsurance_code,class_cd,it_remarks) values</v>
      </c>
      <c r="G71" s="40" t="str">
        <f t="shared" si="6"/>
        <v>('20Aug240117','070000160658','4690',(select max(to_number(i.premium_rcv_detail_code))+1
from ins_premium_det i),'4690','4690','02', '11000003','00','Request by Mr. Saqib Saleem 21-Aug-2024 sheet3');</v>
      </c>
      <c r="H71" s="41" t="str">
        <f t="shared" si="7"/>
        <v>insert into ins_premium_det (premium_rcv_code,assorted_code, rec_amount,premium_rcv_detail_code,remaining_amt, payrec, mode_code,coinsurance_code,class_cd,it_remarks) values('20Aug240117','070000160658','4690',(select max(to_number(i.premium_rcv_detail_code))+1
from ins_premium_det i),'4690','4690','02', '11000003','00','Request by Mr. Saqib Saleem 21-Aug-2024 sheet3');</v>
      </c>
    </row>
    <row r="72" spans="1:8" ht="105" x14ac:dyDescent="0.25">
      <c r="A72" s="17" t="s">
        <v>665</v>
      </c>
      <c r="B72" s="37" t="str">
        <f>VLOOKUP(A72,[3]Sheet1!$B$2:$C$128,2,0)</f>
        <v>070000160659</v>
      </c>
      <c r="C72" s="14">
        <v>12443</v>
      </c>
      <c r="D72" s="38">
        <f t="shared" si="5"/>
        <v>12443</v>
      </c>
      <c r="E72" t="s">
        <v>726</v>
      </c>
      <c r="F72" s="39" t="str">
        <f t="shared" si="4"/>
        <v>insert into ins_premium_det (premium_rcv_code,assorted_code, rec_amount,premium_rcv_detail_code,remaining_amt, payrec, mode_code,coinsurance_code,class_cd,it_remarks) values</v>
      </c>
      <c r="G72" s="40" t="str">
        <f t="shared" si="6"/>
        <v>('20Aug240117','070000160659','12443',(select max(to_number(i.premium_rcv_detail_code))+1
from ins_premium_det i),'12443','12443','02', '11000003','00','Request by Mr. Saqib Saleem 21-Aug-2024 sheet3');</v>
      </c>
      <c r="H72" s="41" t="str">
        <f t="shared" si="7"/>
        <v>insert into ins_premium_det (premium_rcv_code,assorted_code, rec_amount,premium_rcv_detail_code,remaining_amt, payrec, mode_code,coinsurance_code,class_cd,it_remarks) values('20Aug240117','070000160659','12443',(select max(to_number(i.premium_rcv_detail_code))+1
from ins_premium_det i),'12443','12443','02', '11000003','00','Request by Mr. Saqib Saleem 21-Aug-2024 sheet3');</v>
      </c>
    </row>
    <row r="73" spans="1:8" ht="105" x14ac:dyDescent="0.25">
      <c r="A73" s="17" t="s">
        <v>666</v>
      </c>
      <c r="B73" s="37" t="str">
        <f>VLOOKUP(A73,[3]Sheet1!$B$2:$C$128,2,0)</f>
        <v>070000160660</v>
      </c>
      <c r="C73" s="14">
        <v>212</v>
      </c>
      <c r="D73" s="38">
        <f t="shared" si="5"/>
        <v>212</v>
      </c>
      <c r="E73" t="s">
        <v>726</v>
      </c>
      <c r="F73" s="39" t="str">
        <f t="shared" si="4"/>
        <v>insert into ins_premium_det (premium_rcv_code,assorted_code, rec_amount,premium_rcv_detail_code,remaining_amt, payrec, mode_code,coinsurance_code,class_cd,it_remarks) values</v>
      </c>
      <c r="G73" s="40" t="str">
        <f t="shared" si="6"/>
        <v>('20Aug240117','070000160660','212',(select max(to_number(i.premium_rcv_detail_code))+1
from ins_premium_det i),'212','212','02', '11000003','00','Request by Mr. Saqib Saleem 21-Aug-2024 sheet3');</v>
      </c>
      <c r="H73" s="41" t="str">
        <f t="shared" si="7"/>
        <v>insert into ins_premium_det (premium_rcv_code,assorted_code, rec_amount,premium_rcv_detail_code,remaining_amt, payrec, mode_code,coinsurance_code,class_cd,it_remarks) values('20Aug240117','070000160660','212',(select max(to_number(i.premium_rcv_detail_code))+1
from ins_premium_det i),'212','212','02', '11000003','00','Request by Mr. Saqib Saleem 21-Aug-2024 sheet3');</v>
      </c>
    </row>
    <row r="74" spans="1:8" ht="105" x14ac:dyDescent="0.25">
      <c r="A74" s="17" t="s">
        <v>667</v>
      </c>
      <c r="B74" s="37" t="str">
        <f>VLOOKUP(A74,[3]Sheet1!$B$2:$C$128,2,0)</f>
        <v>070000160661</v>
      </c>
      <c r="C74" s="14">
        <v>196</v>
      </c>
      <c r="D74" s="38">
        <f t="shared" si="5"/>
        <v>196</v>
      </c>
      <c r="E74" t="s">
        <v>726</v>
      </c>
      <c r="F74" s="39" t="str">
        <f t="shared" si="4"/>
        <v>insert into ins_premium_det (premium_rcv_code,assorted_code, rec_amount,premium_rcv_detail_code,remaining_amt, payrec, mode_code,coinsurance_code,class_cd,it_remarks) values</v>
      </c>
      <c r="G74" s="40" t="str">
        <f t="shared" si="6"/>
        <v>('20Aug240117','070000160661','196',(select max(to_number(i.premium_rcv_detail_code))+1
from ins_premium_det i),'196','196','02', '11000003','00','Request by Mr. Saqib Saleem 21-Aug-2024 sheet3');</v>
      </c>
      <c r="H74" s="41" t="str">
        <f t="shared" si="7"/>
        <v>insert into ins_premium_det (premium_rcv_code,assorted_code, rec_amount,premium_rcv_detail_code,remaining_amt, payrec, mode_code,coinsurance_code,class_cd,it_remarks) values('20Aug240117','070000160661','196',(select max(to_number(i.premium_rcv_detail_code))+1
from ins_premium_det i),'196','196','02', '11000003','00','Request by Mr. Saqib Saleem 21-Aug-2024 sheet3');</v>
      </c>
    </row>
    <row r="75" spans="1:8" ht="105" x14ac:dyDescent="0.25">
      <c r="A75" s="17" t="s">
        <v>668</v>
      </c>
      <c r="B75" s="37" t="str">
        <f>VLOOKUP(A75,[3]Sheet1!$B$2:$C$128,2,0)</f>
        <v>070000160662</v>
      </c>
      <c r="C75" s="14">
        <v>5728</v>
      </c>
      <c r="D75" s="38">
        <f t="shared" si="5"/>
        <v>5728</v>
      </c>
      <c r="E75" t="s">
        <v>726</v>
      </c>
      <c r="F75" s="39" t="str">
        <f t="shared" si="4"/>
        <v>insert into ins_premium_det (premium_rcv_code,assorted_code, rec_amount,premium_rcv_detail_code,remaining_amt, payrec, mode_code,coinsurance_code,class_cd,it_remarks) values</v>
      </c>
      <c r="G75" s="40" t="str">
        <f t="shared" si="6"/>
        <v>('20Aug240117','070000160662','5728',(select max(to_number(i.premium_rcv_detail_code))+1
from ins_premium_det i),'5728','5728','02', '11000003','00','Request by Mr. Saqib Saleem 21-Aug-2024 sheet3');</v>
      </c>
      <c r="H75" s="41" t="str">
        <f t="shared" si="7"/>
        <v>insert into ins_premium_det (premium_rcv_code,assorted_code, rec_amount,premium_rcv_detail_code,remaining_amt, payrec, mode_code,coinsurance_code,class_cd,it_remarks) values('20Aug240117','070000160662','5728',(select max(to_number(i.premium_rcv_detail_code))+1
from ins_premium_det i),'5728','5728','02', '11000003','00','Request by Mr. Saqib Saleem 21-Aug-2024 sheet3');</v>
      </c>
    </row>
    <row r="76" spans="1:8" ht="105" x14ac:dyDescent="0.25">
      <c r="A76" s="17" t="s">
        <v>669</v>
      </c>
      <c r="B76" s="37" t="str">
        <f>VLOOKUP(A76,[3]Sheet1!$B$2:$C$128,2,0)</f>
        <v>070000160663</v>
      </c>
      <c r="C76" s="14">
        <v>1249</v>
      </c>
      <c r="D76" s="38">
        <f t="shared" si="5"/>
        <v>1249</v>
      </c>
      <c r="E76" t="s">
        <v>726</v>
      </c>
      <c r="F76" s="39" t="str">
        <f t="shared" si="4"/>
        <v>insert into ins_premium_det (premium_rcv_code,assorted_code, rec_amount,premium_rcv_detail_code,remaining_amt, payrec, mode_code,coinsurance_code,class_cd,it_remarks) values</v>
      </c>
      <c r="G76" s="40" t="str">
        <f t="shared" si="6"/>
        <v>('20Aug240117','070000160663','1249',(select max(to_number(i.premium_rcv_detail_code))+1
from ins_premium_det i),'1249','1249','02', '11000003','00','Request by Mr. Saqib Saleem 21-Aug-2024 sheet3');</v>
      </c>
      <c r="H76" s="41" t="str">
        <f t="shared" si="7"/>
        <v>insert into ins_premium_det (premium_rcv_code,assorted_code, rec_amount,premium_rcv_detail_code,remaining_amt, payrec, mode_code,coinsurance_code,class_cd,it_remarks) values('20Aug240117','070000160663','1249',(select max(to_number(i.premium_rcv_detail_code))+1
from ins_premium_det i),'1249','1249','02', '11000003','00','Request by Mr. Saqib Saleem 21-Aug-2024 sheet3');</v>
      </c>
    </row>
    <row r="77" spans="1:8" ht="105" x14ac:dyDescent="0.25">
      <c r="A77" s="17" t="s">
        <v>670</v>
      </c>
      <c r="B77" s="37" t="str">
        <f>VLOOKUP(A77,[3]Sheet1!$B$2:$C$128,2,0)</f>
        <v>070000160664</v>
      </c>
      <c r="C77" s="14">
        <v>4000</v>
      </c>
      <c r="D77" s="38">
        <f t="shared" si="5"/>
        <v>4000</v>
      </c>
      <c r="E77" t="s">
        <v>726</v>
      </c>
      <c r="F77" s="39" t="str">
        <f t="shared" si="4"/>
        <v>insert into ins_premium_det (premium_rcv_code,assorted_code, rec_amount,premium_rcv_detail_code,remaining_amt, payrec, mode_code,coinsurance_code,class_cd,it_remarks) values</v>
      </c>
      <c r="G77" s="40" t="str">
        <f t="shared" si="6"/>
        <v>('20Aug240117','070000160664','4000',(select max(to_number(i.premium_rcv_detail_code))+1
from ins_premium_det i),'4000','4000','02', '11000003','00','Request by Mr. Saqib Saleem 21-Aug-2024 sheet3');</v>
      </c>
      <c r="H77" s="41" t="str">
        <f t="shared" si="7"/>
        <v>insert into ins_premium_det (premium_rcv_code,assorted_code, rec_amount,premium_rcv_detail_code,remaining_amt, payrec, mode_code,coinsurance_code,class_cd,it_remarks) values('20Aug240117','070000160664','4000',(select max(to_number(i.premium_rcv_detail_code))+1
from ins_premium_det i),'4000','4000','02', '11000003','00','Request by Mr. Saqib Saleem 21-Aug-2024 sheet3');</v>
      </c>
    </row>
    <row r="78" spans="1:8" ht="105" x14ac:dyDescent="0.25">
      <c r="A78" s="17" t="s">
        <v>671</v>
      </c>
      <c r="B78" s="37" t="str">
        <f>VLOOKUP(A78,[3]Sheet1!$B$2:$C$128,2,0)</f>
        <v>070000160665</v>
      </c>
      <c r="C78" s="14">
        <v>4000</v>
      </c>
      <c r="D78" s="38">
        <f t="shared" si="5"/>
        <v>4000</v>
      </c>
      <c r="E78" t="s">
        <v>726</v>
      </c>
      <c r="F78" s="39" t="str">
        <f t="shared" si="4"/>
        <v>insert into ins_premium_det (premium_rcv_code,assorted_code, rec_amount,premium_rcv_detail_code,remaining_amt, payrec, mode_code,coinsurance_code,class_cd,it_remarks) values</v>
      </c>
      <c r="G78" s="40" t="str">
        <f t="shared" si="6"/>
        <v>('20Aug240117','070000160665','4000',(select max(to_number(i.premium_rcv_detail_code))+1
from ins_premium_det i),'4000','4000','02', '11000003','00','Request by Mr. Saqib Saleem 21-Aug-2024 sheet3');</v>
      </c>
      <c r="H78" s="41" t="str">
        <f t="shared" si="7"/>
        <v>insert into ins_premium_det (premium_rcv_code,assorted_code, rec_amount,premium_rcv_detail_code,remaining_amt, payrec, mode_code,coinsurance_code,class_cd,it_remarks) values('20Aug240117','070000160665','4000',(select max(to_number(i.premium_rcv_detail_code))+1
from ins_premium_det i),'4000','4000','02', '11000003','00','Request by Mr. Saqib Saleem 21-Aug-2024 sheet3');</v>
      </c>
    </row>
    <row r="79" spans="1:8" ht="105" x14ac:dyDescent="0.25">
      <c r="A79" s="17" t="s">
        <v>672</v>
      </c>
      <c r="B79" s="37" t="str">
        <f>VLOOKUP(A79,[3]Sheet1!$B$2:$C$128,2,0)</f>
        <v>070000160666</v>
      </c>
      <c r="C79" s="14">
        <v>1421</v>
      </c>
      <c r="D79" s="38">
        <f t="shared" si="5"/>
        <v>1421</v>
      </c>
      <c r="E79" t="s">
        <v>726</v>
      </c>
      <c r="F79" s="39" t="str">
        <f t="shared" si="4"/>
        <v>insert into ins_premium_det (premium_rcv_code,assorted_code, rec_amount,premium_rcv_detail_code,remaining_amt, payrec, mode_code,coinsurance_code,class_cd,it_remarks) values</v>
      </c>
      <c r="G79" s="40" t="str">
        <f t="shared" si="6"/>
        <v>('20Aug240117','070000160666','1421',(select max(to_number(i.premium_rcv_detail_code))+1
from ins_premium_det i),'1421','1421','02', '11000003','00','Request by Mr. Saqib Saleem 21-Aug-2024 sheet3');</v>
      </c>
      <c r="H79" s="41" t="str">
        <f t="shared" si="7"/>
        <v>insert into ins_premium_det (premium_rcv_code,assorted_code, rec_amount,premium_rcv_detail_code,remaining_amt, payrec, mode_code,coinsurance_code,class_cd,it_remarks) values('20Aug240117','070000160666','1421',(select max(to_number(i.premium_rcv_detail_code))+1
from ins_premium_det i),'1421','1421','02', '11000003','00','Request by Mr. Saqib Saleem 21-Aug-2024 sheet3');</v>
      </c>
    </row>
    <row r="80" spans="1:8" ht="105" x14ac:dyDescent="0.25">
      <c r="A80" s="17" t="s">
        <v>673</v>
      </c>
      <c r="B80" s="37" t="str">
        <f>VLOOKUP(A80,[3]Sheet1!$B$2:$C$128,2,0)</f>
        <v>070000160667</v>
      </c>
      <c r="C80" s="14">
        <v>13449</v>
      </c>
      <c r="D80" s="38">
        <f t="shared" si="5"/>
        <v>13449</v>
      </c>
      <c r="E80" t="s">
        <v>726</v>
      </c>
      <c r="F80" s="39" t="str">
        <f t="shared" si="4"/>
        <v>insert into ins_premium_det (premium_rcv_code,assorted_code, rec_amount,premium_rcv_detail_code,remaining_amt, payrec, mode_code,coinsurance_code,class_cd,it_remarks) values</v>
      </c>
      <c r="G80" s="40" t="str">
        <f t="shared" si="6"/>
        <v>('20Aug240117','070000160667','13449',(select max(to_number(i.premium_rcv_detail_code))+1
from ins_premium_det i),'13449','13449','02', '11000003','00','Request by Mr. Saqib Saleem 21-Aug-2024 sheet3');</v>
      </c>
      <c r="H80" s="41" t="str">
        <f t="shared" si="7"/>
        <v>insert into ins_premium_det (premium_rcv_code,assorted_code, rec_amount,premium_rcv_detail_code,remaining_amt, payrec, mode_code,coinsurance_code,class_cd,it_remarks) values('20Aug240117','070000160667','13449',(select max(to_number(i.premium_rcv_detail_code))+1
from ins_premium_det i),'13449','13449','02', '11000003','00','Request by Mr. Saqib Saleem 21-Aug-2024 sheet3');</v>
      </c>
    </row>
    <row r="81" spans="1:8" ht="105" x14ac:dyDescent="0.25">
      <c r="A81" s="17" t="s">
        <v>674</v>
      </c>
      <c r="B81" s="37" t="str">
        <f>VLOOKUP(A81,[3]Sheet1!$B$2:$C$128,2,0)</f>
        <v>070000160668</v>
      </c>
      <c r="C81" s="14">
        <v>605</v>
      </c>
      <c r="D81" s="38">
        <f t="shared" si="5"/>
        <v>605</v>
      </c>
      <c r="E81" t="s">
        <v>726</v>
      </c>
      <c r="F81" s="39" t="str">
        <f t="shared" si="4"/>
        <v>insert into ins_premium_det (premium_rcv_code,assorted_code, rec_amount,premium_rcv_detail_code,remaining_amt, payrec, mode_code,coinsurance_code,class_cd,it_remarks) values</v>
      </c>
      <c r="G81" s="40" t="str">
        <f t="shared" si="6"/>
        <v>('20Aug240117','070000160668','605',(select max(to_number(i.premium_rcv_detail_code))+1
from ins_premium_det i),'605','605','02', '11000003','00','Request by Mr. Saqib Saleem 21-Aug-2024 sheet3');</v>
      </c>
      <c r="H81" s="41" t="str">
        <f t="shared" si="7"/>
        <v>insert into ins_premium_det (premium_rcv_code,assorted_code, rec_amount,premium_rcv_detail_code,remaining_amt, payrec, mode_code,coinsurance_code,class_cd,it_remarks) values('20Aug240117','070000160668','605',(select max(to_number(i.premium_rcv_detail_code))+1
from ins_premium_det i),'605','605','02', '11000003','00','Request by Mr. Saqib Saleem 21-Aug-2024 sheet3');</v>
      </c>
    </row>
    <row r="82" spans="1:8" ht="105" x14ac:dyDescent="0.25">
      <c r="A82" s="17" t="s">
        <v>675</v>
      </c>
      <c r="B82" s="37" t="str">
        <f>VLOOKUP(A82,[3]Sheet1!$B$2:$C$128,2,0)</f>
        <v>070000160670</v>
      </c>
      <c r="C82" s="14">
        <v>540</v>
      </c>
      <c r="D82" s="38">
        <f t="shared" si="5"/>
        <v>540</v>
      </c>
      <c r="E82" t="s">
        <v>726</v>
      </c>
      <c r="F82" s="39" t="str">
        <f t="shared" si="4"/>
        <v>insert into ins_premium_det (premium_rcv_code,assorted_code, rec_amount,premium_rcv_detail_code,remaining_amt, payrec, mode_code,coinsurance_code,class_cd,it_remarks) values</v>
      </c>
      <c r="G82" s="40" t="str">
        <f t="shared" si="6"/>
        <v>('20Aug240117','070000160670','540',(select max(to_number(i.premium_rcv_detail_code))+1
from ins_premium_det i),'540','540','02', '11000003','00','Request by Mr. Saqib Saleem 21-Aug-2024 sheet3');</v>
      </c>
      <c r="H82" s="41" t="str">
        <f t="shared" si="7"/>
        <v>insert into ins_premium_det (premium_rcv_code,assorted_code, rec_amount,premium_rcv_detail_code,remaining_amt, payrec, mode_code,coinsurance_code,class_cd,it_remarks) values('20Aug240117','070000160670','540',(select max(to_number(i.premium_rcv_detail_code))+1
from ins_premium_det i),'540','540','02', '11000003','00','Request by Mr. Saqib Saleem 21-Aug-2024 sheet3');</v>
      </c>
    </row>
    <row r="83" spans="1:8" ht="105" x14ac:dyDescent="0.25">
      <c r="A83" s="17" t="s">
        <v>676</v>
      </c>
      <c r="B83" s="37" t="str">
        <f>VLOOKUP(A83,[3]Sheet1!$B$2:$C$128,2,0)</f>
        <v>070000160671</v>
      </c>
      <c r="C83" s="14">
        <v>2093</v>
      </c>
      <c r="D83" s="38">
        <f t="shared" si="5"/>
        <v>2093</v>
      </c>
      <c r="E83" t="s">
        <v>726</v>
      </c>
      <c r="F83" s="39" t="str">
        <f t="shared" si="4"/>
        <v>insert into ins_premium_det (premium_rcv_code,assorted_code, rec_amount,premium_rcv_detail_code,remaining_amt, payrec, mode_code,coinsurance_code,class_cd,it_remarks) values</v>
      </c>
      <c r="G83" s="40" t="str">
        <f t="shared" si="6"/>
        <v>('20Aug240117','070000160671','2093',(select max(to_number(i.premium_rcv_detail_code))+1
from ins_premium_det i),'2093','2093','02', '11000003','00','Request by Mr. Saqib Saleem 21-Aug-2024 sheet3');</v>
      </c>
      <c r="H83" s="41" t="str">
        <f t="shared" si="7"/>
        <v>insert into ins_premium_det (premium_rcv_code,assorted_code, rec_amount,premium_rcv_detail_code,remaining_amt, payrec, mode_code,coinsurance_code,class_cd,it_remarks) values('20Aug240117','070000160671','2093',(select max(to_number(i.premium_rcv_detail_code))+1
from ins_premium_det i),'2093','2093','02', '11000003','00','Request by Mr. Saqib Saleem 21-Aug-2024 sheet3');</v>
      </c>
    </row>
    <row r="84" spans="1:8" ht="105" x14ac:dyDescent="0.25">
      <c r="A84" s="17" t="s">
        <v>677</v>
      </c>
      <c r="B84" s="37" t="str">
        <f>VLOOKUP(A84,[3]Sheet1!$B$2:$C$128,2,0)</f>
        <v>070000160679</v>
      </c>
      <c r="C84" s="14">
        <v>2728</v>
      </c>
      <c r="D84" s="38">
        <f t="shared" si="5"/>
        <v>2728</v>
      </c>
      <c r="E84" t="s">
        <v>726</v>
      </c>
      <c r="F84" s="39" t="str">
        <f t="shared" si="4"/>
        <v>insert into ins_premium_det (premium_rcv_code,assorted_code, rec_amount,premium_rcv_detail_code,remaining_amt, payrec, mode_code,coinsurance_code,class_cd,it_remarks) values</v>
      </c>
      <c r="G84" s="40" t="str">
        <f t="shared" si="6"/>
        <v>('20Aug240117','070000160679','2728',(select max(to_number(i.premium_rcv_detail_code))+1
from ins_premium_det i),'2728','2728','02', '11000003','00','Request by Mr. Saqib Saleem 21-Aug-2024 sheet3');</v>
      </c>
      <c r="H84" s="41" t="str">
        <f t="shared" si="7"/>
        <v>insert into ins_premium_det (premium_rcv_code,assorted_code, rec_amount,premium_rcv_detail_code,remaining_amt, payrec, mode_code,coinsurance_code,class_cd,it_remarks) values('20Aug240117','070000160679','2728',(select max(to_number(i.premium_rcv_detail_code))+1
from ins_premium_det i),'2728','2728','02', '11000003','00','Request by Mr. Saqib Saleem 21-Aug-2024 sheet3');</v>
      </c>
    </row>
    <row r="85" spans="1:8" ht="105" x14ac:dyDescent="0.25">
      <c r="A85" s="17" t="s">
        <v>678</v>
      </c>
      <c r="B85" s="37" t="str">
        <f>VLOOKUP(A85,[3]Sheet1!$B$2:$C$128,2,0)</f>
        <v>070000160680</v>
      </c>
      <c r="C85" s="14">
        <v>2598</v>
      </c>
      <c r="D85" s="38">
        <f t="shared" si="5"/>
        <v>2598</v>
      </c>
      <c r="E85" t="s">
        <v>726</v>
      </c>
      <c r="F85" s="39" t="str">
        <f t="shared" si="4"/>
        <v>insert into ins_premium_det (premium_rcv_code,assorted_code, rec_amount,premium_rcv_detail_code,remaining_amt, payrec, mode_code,coinsurance_code,class_cd,it_remarks) values</v>
      </c>
      <c r="G85" s="40" t="str">
        <f t="shared" si="6"/>
        <v>('20Aug240117','070000160680','2598',(select max(to_number(i.premium_rcv_detail_code))+1
from ins_premium_det i),'2598','2598','02', '11000003','00','Request by Mr. Saqib Saleem 21-Aug-2024 sheet3');</v>
      </c>
      <c r="H85" s="41" t="str">
        <f t="shared" si="7"/>
        <v>insert into ins_premium_det (premium_rcv_code,assorted_code, rec_amount,premium_rcv_detail_code,remaining_amt, payrec, mode_code,coinsurance_code,class_cd,it_remarks) values('20Aug240117','070000160680','2598',(select max(to_number(i.premium_rcv_detail_code))+1
from ins_premium_det i),'2598','2598','02', '11000003','00','Request by Mr. Saqib Saleem 21-Aug-2024 sheet3');</v>
      </c>
    </row>
    <row r="86" spans="1:8" ht="105" x14ac:dyDescent="0.25">
      <c r="A86" s="17" t="s">
        <v>679</v>
      </c>
      <c r="B86" s="37" t="str">
        <f>VLOOKUP(A86,[3]Sheet1!$B$2:$C$128,2,0)</f>
        <v>070000160681</v>
      </c>
      <c r="C86" s="14">
        <v>2598</v>
      </c>
      <c r="D86" s="38">
        <f t="shared" si="5"/>
        <v>2598</v>
      </c>
      <c r="E86" t="s">
        <v>726</v>
      </c>
      <c r="F86" s="39" t="str">
        <f t="shared" si="4"/>
        <v>insert into ins_premium_det (premium_rcv_code,assorted_code, rec_amount,premium_rcv_detail_code,remaining_amt, payrec, mode_code,coinsurance_code,class_cd,it_remarks) values</v>
      </c>
      <c r="G86" s="40" t="str">
        <f t="shared" si="6"/>
        <v>('20Aug240117','070000160681','2598',(select max(to_number(i.premium_rcv_detail_code))+1
from ins_premium_det i),'2598','2598','02', '11000003','00','Request by Mr. Saqib Saleem 21-Aug-2024 sheet3');</v>
      </c>
      <c r="H86" s="41" t="str">
        <f t="shared" si="7"/>
        <v>insert into ins_premium_det (premium_rcv_code,assorted_code, rec_amount,premium_rcv_detail_code,remaining_amt, payrec, mode_code,coinsurance_code,class_cd,it_remarks) values('20Aug240117','070000160681','2598',(select max(to_number(i.premium_rcv_detail_code))+1
from ins_premium_det i),'2598','2598','02', '11000003','00','Request by Mr. Saqib Saleem 21-Aug-2024 sheet3');</v>
      </c>
    </row>
    <row r="87" spans="1:8" ht="105" x14ac:dyDescent="0.25">
      <c r="A87" s="17" t="s">
        <v>680</v>
      </c>
      <c r="B87" s="37" t="str">
        <f>VLOOKUP(A87,[3]Sheet1!$B$2:$C$128,2,0)</f>
        <v>070000160682</v>
      </c>
      <c r="C87" s="14">
        <v>2387</v>
      </c>
      <c r="D87" s="38">
        <f t="shared" si="5"/>
        <v>2387</v>
      </c>
      <c r="E87" t="s">
        <v>726</v>
      </c>
      <c r="F87" s="39" t="str">
        <f t="shared" si="4"/>
        <v>insert into ins_premium_det (premium_rcv_code,assorted_code, rec_amount,premium_rcv_detail_code,remaining_amt, payrec, mode_code,coinsurance_code,class_cd,it_remarks) values</v>
      </c>
      <c r="G87" s="40" t="str">
        <f t="shared" si="6"/>
        <v>('20Aug240117','070000160682','2387',(select max(to_number(i.premium_rcv_detail_code))+1
from ins_premium_det i),'2387','2387','02', '11000003','00','Request by Mr. Saqib Saleem 21-Aug-2024 sheet3');</v>
      </c>
      <c r="H87" s="41" t="str">
        <f t="shared" si="7"/>
        <v>insert into ins_premium_det (premium_rcv_code,assorted_code, rec_amount,premium_rcv_detail_code,remaining_amt, payrec, mode_code,coinsurance_code,class_cd,it_remarks) values('20Aug240117','070000160682','2387',(select max(to_number(i.premium_rcv_detail_code))+1
from ins_premium_det i),'2387','2387','02', '11000003','00','Request by Mr. Saqib Saleem 21-Aug-2024 sheet3');</v>
      </c>
    </row>
    <row r="88" spans="1:8" ht="105" x14ac:dyDescent="0.25">
      <c r="A88" s="17" t="s">
        <v>681</v>
      </c>
      <c r="B88" s="37" t="str">
        <f>VLOOKUP(A88,[3]Sheet1!$B$2:$C$128,2,0)</f>
        <v>070000160684</v>
      </c>
      <c r="C88" s="14">
        <v>894</v>
      </c>
      <c r="D88" s="38">
        <f t="shared" si="5"/>
        <v>894</v>
      </c>
      <c r="E88" t="s">
        <v>726</v>
      </c>
      <c r="F88" s="39" t="str">
        <f t="shared" si="4"/>
        <v>insert into ins_premium_det (premium_rcv_code,assorted_code, rec_amount,premium_rcv_detail_code,remaining_amt, payrec, mode_code,coinsurance_code,class_cd,it_remarks) values</v>
      </c>
      <c r="G88" s="40" t="str">
        <f t="shared" si="6"/>
        <v>('20Aug240117','070000160684','894',(select max(to_number(i.premium_rcv_detail_code))+1
from ins_premium_det i),'894','894','02', '11000003','00','Request by Mr. Saqib Saleem 21-Aug-2024 sheet3');</v>
      </c>
      <c r="H88" s="41" t="str">
        <f t="shared" si="7"/>
        <v>insert into ins_premium_det (premium_rcv_code,assorted_code, rec_amount,premium_rcv_detail_code,remaining_amt, payrec, mode_code,coinsurance_code,class_cd,it_remarks) values('20Aug240117','070000160684','894',(select max(to_number(i.premium_rcv_detail_code))+1
from ins_premium_det i),'894','894','02', '11000003','00','Request by Mr. Saqib Saleem 21-Aug-2024 sheet3');</v>
      </c>
    </row>
    <row r="89" spans="1:8" ht="105" x14ac:dyDescent="0.25">
      <c r="A89" s="17" t="s">
        <v>682</v>
      </c>
      <c r="B89" s="37" t="str">
        <f>VLOOKUP(A89,[3]Sheet1!$B$2:$C$128,2,0)</f>
        <v>070000160687</v>
      </c>
      <c r="C89" s="14">
        <v>375</v>
      </c>
      <c r="D89" s="38">
        <f t="shared" si="5"/>
        <v>375</v>
      </c>
      <c r="E89" t="s">
        <v>726</v>
      </c>
      <c r="F89" s="39" t="str">
        <f t="shared" si="4"/>
        <v>insert into ins_premium_det (premium_rcv_code,assorted_code, rec_amount,premium_rcv_detail_code,remaining_amt, payrec, mode_code,coinsurance_code,class_cd,it_remarks) values</v>
      </c>
      <c r="G89" s="40" t="str">
        <f t="shared" si="6"/>
        <v>('20Aug240117','070000160687','375',(select max(to_number(i.premium_rcv_detail_code))+1
from ins_premium_det i),'375','375','02', '11000003','00','Request by Mr. Saqib Saleem 21-Aug-2024 sheet3');</v>
      </c>
      <c r="H89" s="41" t="str">
        <f t="shared" si="7"/>
        <v>insert into ins_premium_det (premium_rcv_code,assorted_code, rec_amount,premium_rcv_detail_code,remaining_amt, payrec, mode_code,coinsurance_code,class_cd,it_remarks) values('20Aug240117','070000160687','375',(select max(to_number(i.premium_rcv_detail_code))+1
from ins_premium_det i),'375','375','02', '11000003','00','Request by Mr. Saqib Saleem 21-Aug-2024 sheet3');</v>
      </c>
    </row>
    <row r="90" spans="1:8" ht="105" x14ac:dyDescent="0.25">
      <c r="A90" s="17" t="s">
        <v>683</v>
      </c>
      <c r="B90" s="37" t="str">
        <f>VLOOKUP(A90,[3]Sheet1!$B$2:$C$128,2,0)</f>
        <v>070000160688</v>
      </c>
      <c r="C90" s="14">
        <v>4423</v>
      </c>
      <c r="D90" s="38">
        <f t="shared" si="5"/>
        <v>4423</v>
      </c>
      <c r="E90" t="s">
        <v>726</v>
      </c>
      <c r="F90" s="39" t="str">
        <f t="shared" si="4"/>
        <v>insert into ins_premium_det (premium_rcv_code,assorted_code, rec_amount,premium_rcv_detail_code,remaining_amt, payrec, mode_code,coinsurance_code,class_cd,it_remarks) values</v>
      </c>
      <c r="G90" s="40" t="str">
        <f t="shared" si="6"/>
        <v>('20Aug240117','070000160688','4423',(select max(to_number(i.premium_rcv_detail_code))+1
from ins_premium_det i),'4423','4423','02', '11000003','00','Request by Mr. Saqib Saleem 21-Aug-2024 sheet3');</v>
      </c>
      <c r="H90" s="41" t="str">
        <f t="shared" si="7"/>
        <v>insert into ins_premium_det (premium_rcv_code,assorted_code, rec_amount,premium_rcv_detail_code,remaining_amt, payrec, mode_code,coinsurance_code,class_cd,it_remarks) values('20Aug240117','070000160688','4423',(select max(to_number(i.premium_rcv_detail_code))+1
from ins_premium_det i),'4423','4423','02', '11000003','00','Request by Mr. Saqib Saleem 21-Aug-2024 sheet3');</v>
      </c>
    </row>
    <row r="91" spans="1:8" ht="105" x14ac:dyDescent="0.25">
      <c r="A91" s="17" t="s">
        <v>684</v>
      </c>
      <c r="B91" s="37" t="str">
        <f>VLOOKUP(A91,[3]Sheet1!$B$2:$C$128,2,0)</f>
        <v>070000160690</v>
      </c>
      <c r="C91" s="14">
        <v>198</v>
      </c>
      <c r="D91" s="38">
        <f t="shared" si="5"/>
        <v>198</v>
      </c>
      <c r="E91" t="s">
        <v>726</v>
      </c>
      <c r="F91" s="39" t="str">
        <f t="shared" si="4"/>
        <v>insert into ins_premium_det (premium_rcv_code,assorted_code, rec_amount,premium_rcv_detail_code,remaining_amt, payrec, mode_code,coinsurance_code,class_cd,it_remarks) values</v>
      </c>
      <c r="G91" s="40" t="str">
        <f t="shared" si="6"/>
        <v>('20Aug240117','070000160690','198',(select max(to_number(i.premium_rcv_detail_code))+1
from ins_premium_det i),'198','198','02', '11000003','00','Request by Mr. Saqib Saleem 21-Aug-2024 sheet3');</v>
      </c>
      <c r="H91" s="41" t="str">
        <f t="shared" si="7"/>
        <v>insert into ins_premium_det (premium_rcv_code,assorted_code, rec_amount,premium_rcv_detail_code,remaining_amt, payrec, mode_code,coinsurance_code,class_cd,it_remarks) values('20Aug240117','070000160690','198',(select max(to_number(i.premium_rcv_detail_code))+1
from ins_premium_det i),'198','198','02', '11000003','00','Request by Mr. Saqib Saleem 21-Aug-2024 sheet3');</v>
      </c>
    </row>
    <row r="92" spans="1:8" ht="105" x14ac:dyDescent="0.25">
      <c r="A92" s="17" t="s">
        <v>685</v>
      </c>
      <c r="B92" s="37" t="str">
        <f>VLOOKUP(A92,[3]Sheet1!$B$2:$C$128,2,0)</f>
        <v>070000160691</v>
      </c>
      <c r="C92" s="14">
        <v>2443</v>
      </c>
      <c r="D92" s="38">
        <f t="shared" si="5"/>
        <v>2443</v>
      </c>
      <c r="E92" t="s">
        <v>726</v>
      </c>
      <c r="F92" s="39" t="str">
        <f t="shared" si="4"/>
        <v>insert into ins_premium_det (premium_rcv_code,assorted_code, rec_amount,premium_rcv_detail_code,remaining_amt, payrec, mode_code,coinsurance_code,class_cd,it_remarks) values</v>
      </c>
      <c r="G92" s="40" t="str">
        <f t="shared" si="6"/>
        <v>('20Aug240117','070000160691','2443',(select max(to_number(i.premium_rcv_detail_code))+1
from ins_premium_det i),'2443','2443','02', '11000003','00','Request by Mr. Saqib Saleem 21-Aug-2024 sheet3');</v>
      </c>
      <c r="H92" s="41" t="str">
        <f t="shared" si="7"/>
        <v>insert into ins_premium_det (premium_rcv_code,assorted_code, rec_amount,premium_rcv_detail_code,remaining_amt, payrec, mode_code,coinsurance_code,class_cd,it_remarks) values('20Aug240117','070000160691','2443',(select max(to_number(i.premium_rcv_detail_code))+1
from ins_premium_det i),'2443','2443','02', '11000003','00','Request by Mr. Saqib Saleem 21-Aug-2024 sheet3');</v>
      </c>
    </row>
    <row r="93" spans="1:8" ht="105" x14ac:dyDescent="0.25">
      <c r="A93" s="17" t="s">
        <v>686</v>
      </c>
      <c r="B93" s="37" t="str">
        <f>VLOOKUP(A93,[3]Sheet1!$B$2:$C$128,2,0)</f>
        <v>070000160692</v>
      </c>
      <c r="C93" s="14">
        <v>3136</v>
      </c>
      <c r="D93" s="38">
        <f t="shared" si="5"/>
        <v>3136</v>
      </c>
      <c r="E93" t="s">
        <v>726</v>
      </c>
      <c r="F93" s="39" t="str">
        <f t="shared" si="4"/>
        <v>insert into ins_premium_det (premium_rcv_code,assorted_code, rec_amount,premium_rcv_detail_code,remaining_amt, payrec, mode_code,coinsurance_code,class_cd,it_remarks) values</v>
      </c>
      <c r="G93" s="40" t="str">
        <f t="shared" si="6"/>
        <v>('20Aug240117','070000160692','3136',(select max(to_number(i.premium_rcv_detail_code))+1
from ins_premium_det i),'3136','3136','02', '11000003','00','Request by Mr. Saqib Saleem 21-Aug-2024 sheet3');</v>
      </c>
      <c r="H93" s="41" t="str">
        <f t="shared" si="7"/>
        <v>insert into ins_premium_det (premium_rcv_code,assorted_code, rec_amount,premium_rcv_detail_code,remaining_amt, payrec, mode_code,coinsurance_code,class_cd,it_remarks) values('20Aug240117','070000160692','3136',(select max(to_number(i.premium_rcv_detail_code))+1
from ins_premium_det i),'3136','3136','02', '11000003','00','Request by Mr. Saqib Saleem 21-Aug-2024 sheet3');</v>
      </c>
    </row>
    <row r="94" spans="1:8" ht="105" x14ac:dyDescent="0.25">
      <c r="A94" s="17" t="s">
        <v>687</v>
      </c>
      <c r="B94" s="37" t="str">
        <f>VLOOKUP(A94,[3]Sheet1!$B$2:$C$128,2,0)</f>
        <v>070000160693</v>
      </c>
      <c r="C94" s="14">
        <v>868</v>
      </c>
      <c r="D94" s="38">
        <f t="shared" si="5"/>
        <v>868</v>
      </c>
      <c r="E94" t="s">
        <v>726</v>
      </c>
      <c r="F94" s="39" t="str">
        <f t="shared" si="4"/>
        <v>insert into ins_premium_det (premium_rcv_code,assorted_code, rec_amount,premium_rcv_detail_code,remaining_amt, payrec, mode_code,coinsurance_code,class_cd,it_remarks) values</v>
      </c>
      <c r="G94" s="40" t="str">
        <f t="shared" si="6"/>
        <v>('20Aug240117','070000160693','868',(select max(to_number(i.premium_rcv_detail_code))+1
from ins_premium_det i),'868','868','02', '11000003','00','Request by Mr. Saqib Saleem 21-Aug-2024 sheet3');</v>
      </c>
      <c r="H94" s="41" t="str">
        <f t="shared" si="7"/>
        <v>insert into ins_premium_det (premium_rcv_code,assorted_code, rec_amount,premium_rcv_detail_code,remaining_amt, payrec, mode_code,coinsurance_code,class_cd,it_remarks) values('20Aug240117','070000160693','868',(select max(to_number(i.premium_rcv_detail_code))+1
from ins_premium_det i),'868','868','02', '11000003','00','Request by Mr. Saqib Saleem 21-Aug-2024 sheet3');</v>
      </c>
    </row>
    <row r="95" spans="1:8" ht="105" x14ac:dyDescent="0.25">
      <c r="A95" s="17" t="s">
        <v>688</v>
      </c>
      <c r="B95" s="37" t="str">
        <f>VLOOKUP(A95,[3]Sheet1!$B$2:$C$128,2,0)</f>
        <v>070000160694</v>
      </c>
      <c r="C95" s="14">
        <v>3371</v>
      </c>
      <c r="D95" s="38">
        <f t="shared" si="5"/>
        <v>3371</v>
      </c>
      <c r="E95" t="s">
        <v>726</v>
      </c>
      <c r="F95" s="39" t="str">
        <f t="shared" si="4"/>
        <v>insert into ins_premium_det (premium_rcv_code,assorted_code, rec_amount,premium_rcv_detail_code,remaining_amt, payrec, mode_code,coinsurance_code,class_cd,it_remarks) values</v>
      </c>
      <c r="G95" s="40" t="str">
        <f t="shared" si="6"/>
        <v>('20Aug240117','070000160694','3371',(select max(to_number(i.premium_rcv_detail_code))+1
from ins_premium_det i),'3371','3371','02', '11000003','00','Request by Mr. Saqib Saleem 21-Aug-2024 sheet3');</v>
      </c>
      <c r="H95" s="41" t="str">
        <f t="shared" si="7"/>
        <v>insert into ins_premium_det (premium_rcv_code,assorted_code, rec_amount,premium_rcv_detail_code,remaining_amt, payrec, mode_code,coinsurance_code,class_cd,it_remarks) values('20Aug240117','070000160694','3371',(select max(to_number(i.premium_rcv_detail_code))+1
from ins_premium_det i),'3371','3371','02', '11000003','00','Request by Mr. Saqib Saleem 21-Aug-2024 sheet3');</v>
      </c>
    </row>
    <row r="96" spans="1:8" ht="105" x14ac:dyDescent="0.25">
      <c r="A96" s="17" t="s">
        <v>689</v>
      </c>
      <c r="B96" s="37" t="str">
        <f>VLOOKUP(A96,[3]Sheet1!$B$2:$C$128,2,0)</f>
        <v>070000160695</v>
      </c>
      <c r="C96" s="14">
        <v>1983</v>
      </c>
      <c r="D96" s="38">
        <f t="shared" si="5"/>
        <v>1983</v>
      </c>
      <c r="E96" t="s">
        <v>726</v>
      </c>
      <c r="F96" s="39" t="str">
        <f t="shared" si="4"/>
        <v>insert into ins_premium_det (premium_rcv_code,assorted_code, rec_amount,premium_rcv_detail_code,remaining_amt, payrec, mode_code,coinsurance_code,class_cd,it_remarks) values</v>
      </c>
      <c r="G96" s="40" t="str">
        <f t="shared" si="6"/>
        <v>('20Aug240117','070000160695','1983',(select max(to_number(i.premium_rcv_detail_code))+1
from ins_premium_det i),'1983','1983','02', '11000003','00','Request by Mr. Saqib Saleem 21-Aug-2024 sheet3');</v>
      </c>
      <c r="H96" s="41" t="str">
        <f t="shared" si="7"/>
        <v>insert into ins_premium_det (premium_rcv_code,assorted_code, rec_amount,premium_rcv_detail_code,remaining_amt, payrec, mode_code,coinsurance_code,class_cd,it_remarks) values('20Aug240117','070000160695','1983',(select max(to_number(i.premium_rcv_detail_code))+1
from ins_premium_det i),'1983','1983','02', '11000003','00','Request by Mr. Saqib Saleem 21-Aug-2024 sheet3');</v>
      </c>
    </row>
    <row r="97" spans="1:8" ht="105" x14ac:dyDescent="0.25">
      <c r="A97" s="17" t="s">
        <v>690</v>
      </c>
      <c r="B97" s="37" t="str">
        <f>VLOOKUP(A97,[3]Sheet1!$B$2:$C$128,2,0)</f>
        <v>070000160701</v>
      </c>
      <c r="C97" s="14">
        <v>5049</v>
      </c>
      <c r="D97" s="38">
        <f t="shared" si="5"/>
        <v>5049</v>
      </c>
      <c r="E97" t="s">
        <v>726</v>
      </c>
      <c r="F97" s="39" t="str">
        <f t="shared" si="4"/>
        <v>insert into ins_premium_det (premium_rcv_code,assorted_code, rec_amount,premium_rcv_detail_code,remaining_amt, payrec, mode_code,coinsurance_code,class_cd,it_remarks) values</v>
      </c>
      <c r="G97" s="40" t="str">
        <f t="shared" si="6"/>
        <v>('20Aug240117','070000160701','5049',(select max(to_number(i.premium_rcv_detail_code))+1
from ins_premium_det i),'5049','5049','02', '11000003','00','Request by Mr. Saqib Saleem 21-Aug-2024 sheet3');</v>
      </c>
      <c r="H97" s="41" t="str">
        <f t="shared" si="7"/>
        <v>insert into ins_premium_det (premium_rcv_code,assorted_code, rec_amount,premium_rcv_detail_code,remaining_amt, payrec, mode_code,coinsurance_code,class_cd,it_remarks) values('20Aug240117','070000160701','5049',(select max(to_number(i.premium_rcv_detail_code))+1
from ins_premium_det i),'5049','5049','02', '11000003','00','Request by Mr. Saqib Saleem 21-Aug-2024 sheet3');</v>
      </c>
    </row>
    <row r="98" spans="1:8" ht="105" x14ac:dyDescent="0.25">
      <c r="A98" s="17" t="s">
        <v>691</v>
      </c>
      <c r="B98" s="37" t="str">
        <f>VLOOKUP(A98,[3]Sheet1!$B$2:$C$128,2,0)</f>
        <v>070000160702</v>
      </c>
      <c r="C98" s="14">
        <v>2763</v>
      </c>
      <c r="D98" s="38">
        <f t="shared" si="5"/>
        <v>2763</v>
      </c>
      <c r="E98" t="s">
        <v>726</v>
      </c>
      <c r="F98" s="39" t="str">
        <f t="shared" si="4"/>
        <v>insert into ins_premium_det (premium_rcv_code,assorted_code, rec_amount,premium_rcv_detail_code,remaining_amt, payrec, mode_code,coinsurance_code,class_cd,it_remarks) values</v>
      </c>
      <c r="G98" s="40" t="str">
        <f t="shared" si="6"/>
        <v>('20Aug240117','070000160702','2763',(select max(to_number(i.premium_rcv_detail_code))+1
from ins_premium_det i),'2763','2763','02', '11000003','00','Request by Mr. Saqib Saleem 21-Aug-2024 sheet3');</v>
      </c>
      <c r="H98" s="41" t="str">
        <f t="shared" si="7"/>
        <v>insert into ins_premium_det (premium_rcv_code,assorted_code, rec_amount,premium_rcv_detail_code,remaining_amt, payrec, mode_code,coinsurance_code,class_cd,it_remarks) values('20Aug240117','070000160702','2763',(select max(to_number(i.premium_rcv_detail_code))+1
from ins_premium_det i),'2763','2763','02', '11000003','00','Request by Mr. Saqib Saleem 21-Aug-2024 sheet3');</v>
      </c>
    </row>
    <row r="99" spans="1:8" ht="105" x14ac:dyDescent="0.25">
      <c r="A99" s="17" t="s">
        <v>692</v>
      </c>
      <c r="B99" s="37" t="str">
        <f>VLOOKUP(A99,[3]Sheet1!$B$2:$C$128,2,0)</f>
        <v>070000160704</v>
      </c>
      <c r="C99" s="14">
        <v>198</v>
      </c>
      <c r="D99" s="38">
        <f t="shared" si="5"/>
        <v>198</v>
      </c>
      <c r="E99" t="s">
        <v>726</v>
      </c>
      <c r="F99" s="39" t="str">
        <f t="shared" si="4"/>
        <v>insert into ins_premium_det (premium_rcv_code,assorted_code, rec_amount,premium_rcv_detail_code,remaining_amt, payrec, mode_code,coinsurance_code,class_cd,it_remarks) values</v>
      </c>
      <c r="G99" s="40" t="str">
        <f t="shared" si="6"/>
        <v>('20Aug240117','070000160704','198',(select max(to_number(i.premium_rcv_detail_code))+1
from ins_premium_det i),'198','198','02', '11000003','00','Request by Mr. Saqib Saleem 21-Aug-2024 sheet3');</v>
      </c>
      <c r="H99" s="41" t="str">
        <f t="shared" si="7"/>
        <v>insert into ins_premium_det (premium_rcv_code,assorted_code, rec_amount,premium_rcv_detail_code,remaining_amt, payrec, mode_code,coinsurance_code,class_cd,it_remarks) values('20Aug240117','070000160704','198',(select max(to_number(i.premium_rcv_detail_code))+1
from ins_premium_det i),'198','198','02', '11000003','00','Request by Mr. Saqib Saleem 21-Aug-2024 sheet3');</v>
      </c>
    </row>
    <row r="100" spans="1:8" ht="105" x14ac:dyDescent="0.25">
      <c r="A100" s="17" t="s">
        <v>693</v>
      </c>
      <c r="B100" s="37" t="str">
        <f>VLOOKUP(A100,[3]Sheet1!$B$2:$C$128,2,0)</f>
        <v>070000160705</v>
      </c>
      <c r="C100" s="14">
        <v>4696</v>
      </c>
      <c r="D100" s="38">
        <f t="shared" si="5"/>
        <v>4696</v>
      </c>
      <c r="E100" t="s">
        <v>726</v>
      </c>
      <c r="F100" s="39" t="str">
        <f t="shared" si="4"/>
        <v>insert into ins_premium_det (premium_rcv_code,assorted_code, rec_amount,premium_rcv_detail_code,remaining_amt, payrec, mode_code,coinsurance_code,class_cd,it_remarks) values</v>
      </c>
      <c r="G100" s="40" t="str">
        <f t="shared" si="6"/>
        <v>('20Aug240117','070000160705','4696',(select max(to_number(i.premium_rcv_detail_code))+1
from ins_premium_det i),'4696','4696','02', '11000003','00','Request by Mr. Saqib Saleem 21-Aug-2024 sheet3');</v>
      </c>
      <c r="H100" s="41" t="str">
        <f t="shared" si="7"/>
        <v>insert into ins_premium_det (premium_rcv_code,assorted_code, rec_amount,premium_rcv_detail_code,remaining_amt, payrec, mode_code,coinsurance_code,class_cd,it_remarks) values('20Aug240117','070000160705','4696',(select max(to_number(i.premium_rcv_detail_code))+1
from ins_premium_det i),'4696','4696','02', '11000003','00','Request by Mr. Saqib Saleem 21-Aug-2024 sheet3');</v>
      </c>
    </row>
    <row r="101" spans="1:8" ht="105" x14ac:dyDescent="0.25">
      <c r="A101" s="17" t="s">
        <v>694</v>
      </c>
      <c r="B101" s="37" t="str">
        <f>VLOOKUP(A101,[3]Sheet1!$B$2:$C$128,2,0)</f>
        <v>070000160706</v>
      </c>
      <c r="C101" s="14">
        <v>5903</v>
      </c>
      <c r="D101" s="38">
        <f t="shared" si="5"/>
        <v>5903</v>
      </c>
      <c r="E101" t="s">
        <v>726</v>
      </c>
      <c r="F101" s="39" t="str">
        <f t="shared" si="4"/>
        <v>insert into ins_premium_det (premium_rcv_code,assorted_code, rec_amount,premium_rcv_detail_code,remaining_amt, payrec, mode_code,coinsurance_code,class_cd,it_remarks) values</v>
      </c>
      <c r="G101" s="40" t="str">
        <f t="shared" si="6"/>
        <v>('20Aug240117','070000160706','5903',(select max(to_number(i.premium_rcv_detail_code))+1
from ins_premium_det i),'5903','5903','02', '11000003','00','Request by Mr. Saqib Saleem 21-Aug-2024 sheet3');</v>
      </c>
      <c r="H101" s="41" t="str">
        <f t="shared" si="7"/>
        <v>insert into ins_premium_det (premium_rcv_code,assorted_code, rec_amount,premium_rcv_detail_code,remaining_amt, payrec, mode_code,coinsurance_code,class_cd,it_remarks) values('20Aug240117','070000160706','5903',(select max(to_number(i.premium_rcv_detail_code))+1
from ins_premium_det i),'5903','5903','02', '11000003','00','Request by Mr. Saqib Saleem 21-Aug-2024 sheet3');</v>
      </c>
    </row>
    <row r="102" spans="1:8" ht="105" x14ac:dyDescent="0.25">
      <c r="A102" s="17" t="s">
        <v>695</v>
      </c>
      <c r="B102" s="37" t="str">
        <f>VLOOKUP(A102,[3]Sheet1!$B$2:$C$128,2,0)</f>
        <v>070000160707</v>
      </c>
      <c r="C102" s="14">
        <v>764</v>
      </c>
      <c r="D102" s="38">
        <f t="shared" si="5"/>
        <v>764</v>
      </c>
      <c r="E102" t="s">
        <v>726</v>
      </c>
      <c r="F102" s="39" t="str">
        <f t="shared" si="4"/>
        <v>insert into ins_premium_det (premium_rcv_code,assorted_code, rec_amount,premium_rcv_detail_code,remaining_amt, payrec, mode_code,coinsurance_code,class_cd,it_remarks) values</v>
      </c>
      <c r="G102" s="40" t="str">
        <f t="shared" si="6"/>
        <v>('20Aug240117','070000160707','764',(select max(to_number(i.premium_rcv_detail_code))+1
from ins_premium_det i),'764','764','02', '11000003','00','Request by Mr. Saqib Saleem 21-Aug-2024 sheet3');</v>
      </c>
      <c r="H102" s="41" t="str">
        <f t="shared" si="7"/>
        <v>insert into ins_premium_det (premium_rcv_code,assorted_code, rec_amount,premium_rcv_detail_code,remaining_amt, payrec, mode_code,coinsurance_code,class_cd,it_remarks) values('20Aug240117','070000160707','764',(select max(to_number(i.premium_rcv_detail_code))+1
from ins_premium_det i),'764','764','02', '11000003','00','Request by Mr. Saqib Saleem 21-Aug-2024 sheet3');</v>
      </c>
    </row>
    <row r="103" spans="1:8" ht="105" x14ac:dyDescent="0.25">
      <c r="A103" s="17" t="s">
        <v>696</v>
      </c>
      <c r="B103" s="37" t="str">
        <f>VLOOKUP(A103,[3]Sheet1!$B$2:$C$128,2,0)</f>
        <v>070000160708</v>
      </c>
      <c r="C103" s="14">
        <v>1824</v>
      </c>
      <c r="D103" s="38">
        <f t="shared" si="5"/>
        <v>1824</v>
      </c>
      <c r="E103" t="s">
        <v>726</v>
      </c>
      <c r="F103" s="39" t="str">
        <f t="shared" si="4"/>
        <v>insert into ins_premium_det (premium_rcv_code,assorted_code, rec_amount,premium_rcv_detail_code,remaining_amt, payrec, mode_code,coinsurance_code,class_cd,it_remarks) values</v>
      </c>
      <c r="G103" s="40" t="str">
        <f t="shared" si="6"/>
        <v>('20Aug240117','070000160708','1824',(select max(to_number(i.premium_rcv_detail_code))+1
from ins_premium_det i),'1824','1824','02', '11000003','00','Request by Mr. Saqib Saleem 21-Aug-2024 sheet3');</v>
      </c>
      <c r="H103" s="41" t="str">
        <f t="shared" si="7"/>
        <v>insert into ins_premium_det (premium_rcv_code,assorted_code, rec_amount,premium_rcv_detail_code,remaining_amt, payrec, mode_code,coinsurance_code,class_cd,it_remarks) values('20Aug240117','070000160708','1824',(select max(to_number(i.premium_rcv_detail_code))+1
from ins_premium_det i),'1824','1824','02', '11000003','00','Request by Mr. Saqib Saleem 21-Aug-2024 sheet3');</v>
      </c>
    </row>
    <row r="104" spans="1:8" ht="105" x14ac:dyDescent="0.25">
      <c r="A104" s="17" t="s">
        <v>697</v>
      </c>
      <c r="B104" s="37" t="str">
        <f>VLOOKUP(A104,[3]Sheet1!$B$2:$C$128,2,0)</f>
        <v>070000160709</v>
      </c>
      <c r="C104" s="14">
        <v>1277</v>
      </c>
      <c r="D104" s="38">
        <f t="shared" si="5"/>
        <v>1277</v>
      </c>
      <c r="E104" t="s">
        <v>726</v>
      </c>
      <c r="F104" s="39" t="str">
        <f t="shared" si="4"/>
        <v>insert into ins_premium_det (premium_rcv_code,assorted_code, rec_amount,premium_rcv_detail_code,remaining_amt, payrec, mode_code,coinsurance_code,class_cd,it_remarks) values</v>
      </c>
      <c r="G104" s="40" t="str">
        <f t="shared" si="6"/>
        <v>('20Aug240117','070000160709','1277',(select max(to_number(i.premium_rcv_detail_code))+1
from ins_premium_det i),'1277','1277','02', '11000003','00','Request by Mr. Saqib Saleem 21-Aug-2024 sheet3');</v>
      </c>
      <c r="H104" s="41" t="str">
        <f t="shared" si="7"/>
        <v>insert into ins_premium_det (premium_rcv_code,assorted_code, rec_amount,premium_rcv_detail_code,remaining_amt, payrec, mode_code,coinsurance_code,class_cd,it_remarks) values('20Aug240117','070000160709','1277',(select max(to_number(i.premium_rcv_detail_code))+1
from ins_premium_det i),'1277','1277','02', '11000003','00','Request by Mr. Saqib Saleem 21-Aug-2024 sheet3');</v>
      </c>
    </row>
    <row r="105" spans="1:8" ht="105" x14ac:dyDescent="0.25">
      <c r="A105" s="17" t="s">
        <v>698</v>
      </c>
      <c r="B105" s="37" t="str">
        <f>VLOOKUP(A105,[3]Sheet1!$B$2:$C$128,2,0)</f>
        <v>070000160711</v>
      </c>
      <c r="C105" s="14">
        <v>1236</v>
      </c>
      <c r="D105" s="38">
        <f t="shared" si="5"/>
        <v>1236</v>
      </c>
      <c r="E105" t="s">
        <v>726</v>
      </c>
      <c r="F105" s="39" t="str">
        <f t="shared" si="4"/>
        <v>insert into ins_premium_det (premium_rcv_code,assorted_code, rec_amount,premium_rcv_detail_code,remaining_amt, payrec, mode_code,coinsurance_code,class_cd,it_remarks) values</v>
      </c>
      <c r="G105" s="40" t="str">
        <f t="shared" si="6"/>
        <v>('20Aug240117','070000160711','1236',(select max(to_number(i.premium_rcv_detail_code))+1
from ins_premium_det i),'1236','1236','02', '11000003','00','Request by Mr. Saqib Saleem 21-Aug-2024 sheet3');</v>
      </c>
      <c r="H105" s="41" t="str">
        <f t="shared" si="7"/>
        <v>insert into ins_premium_det (premium_rcv_code,assorted_code, rec_amount,premium_rcv_detail_code,remaining_amt, payrec, mode_code,coinsurance_code,class_cd,it_remarks) values('20Aug240117','070000160711','1236',(select max(to_number(i.premium_rcv_detail_code))+1
from ins_premium_det i),'1236','1236','02', '11000003','00','Request by Mr. Saqib Saleem 21-Aug-2024 sheet3');</v>
      </c>
    </row>
    <row r="106" spans="1:8" ht="105" x14ac:dyDescent="0.25">
      <c r="A106" s="17" t="s">
        <v>699</v>
      </c>
      <c r="B106" s="37" t="str">
        <f>VLOOKUP(A106,[3]Sheet1!$B$2:$C$128,2,0)</f>
        <v>070000160712</v>
      </c>
      <c r="C106" s="14">
        <v>2279</v>
      </c>
      <c r="D106" s="38">
        <f t="shared" si="5"/>
        <v>2279</v>
      </c>
      <c r="E106" t="s">
        <v>726</v>
      </c>
      <c r="F106" s="39" t="str">
        <f t="shared" si="4"/>
        <v>insert into ins_premium_det (premium_rcv_code,assorted_code, rec_amount,premium_rcv_detail_code,remaining_amt, payrec, mode_code,coinsurance_code,class_cd,it_remarks) values</v>
      </c>
      <c r="G106" s="40" t="str">
        <f t="shared" si="6"/>
        <v>('20Aug240117','070000160712','2279',(select max(to_number(i.premium_rcv_detail_code))+1
from ins_premium_det i),'2279','2279','02', '11000003','00','Request by Mr. Saqib Saleem 21-Aug-2024 sheet3');</v>
      </c>
      <c r="H106" s="41" t="str">
        <f t="shared" si="7"/>
        <v>insert into ins_premium_det (premium_rcv_code,assorted_code, rec_amount,premium_rcv_detail_code,remaining_amt, payrec, mode_code,coinsurance_code,class_cd,it_remarks) values('20Aug240117','070000160712','2279',(select max(to_number(i.premium_rcv_detail_code))+1
from ins_premium_det i),'2279','2279','02', '11000003','00','Request by Mr. Saqib Saleem 21-Aug-2024 sheet3');</v>
      </c>
    </row>
    <row r="107" spans="1:8" ht="105" x14ac:dyDescent="0.25">
      <c r="A107" s="17" t="s">
        <v>700</v>
      </c>
      <c r="B107" s="37" t="str">
        <f>VLOOKUP(A107,[3]Sheet1!$B$2:$C$128,2,0)</f>
        <v>070000160714</v>
      </c>
      <c r="C107" s="14">
        <v>4944</v>
      </c>
      <c r="D107" s="38">
        <f t="shared" si="5"/>
        <v>4944</v>
      </c>
      <c r="E107" t="s">
        <v>726</v>
      </c>
      <c r="F107" s="39" t="str">
        <f t="shared" si="4"/>
        <v>insert into ins_premium_det (premium_rcv_code,assorted_code, rec_amount,premium_rcv_detail_code,remaining_amt, payrec, mode_code,coinsurance_code,class_cd,it_remarks) values</v>
      </c>
      <c r="G107" s="40" t="str">
        <f t="shared" si="6"/>
        <v>('20Aug240117','070000160714','4944',(select max(to_number(i.premium_rcv_detail_code))+1
from ins_premium_det i),'4944','4944','02', '11000003','00','Request by Mr. Saqib Saleem 21-Aug-2024 sheet3');</v>
      </c>
      <c r="H107" s="41" t="str">
        <f t="shared" si="7"/>
        <v>insert into ins_premium_det (premium_rcv_code,assorted_code, rec_amount,premium_rcv_detail_code,remaining_amt, payrec, mode_code,coinsurance_code,class_cd,it_remarks) values('20Aug240117','070000160714','4944',(select max(to_number(i.premium_rcv_detail_code))+1
from ins_premium_det i),'4944','4944','02', '11000003','00','Request by Mr. Saqib Saleem 21-Aug-2024 sheet3');</v>
      </c>
    </row>
    <row r="108" spans="1:8" ht="105" x14ac:dyDescent="0.25">
      <c r="A108" s="17" t="s">
        <v>701</v>
      </c>
      <c r="B108" s="37" t="str">
        <f>VLOOKUP(A108,[3]Sheet1!$B$2:$C$128,2,0)</f>
        <v>070000160715</v>
      </c>
      <c r="C108" s="14">
        <v>4245</v>
      </c>
      <c r="D108" s="38">
        <f t="shared" si="5"/>
        <v>4245</v>
      </c>
      <c r="E108" t="s">
        <v>726</v>
      </c>
      <c r="F108" s="39" t="str">
        <f t="shared" si="4"/>
        <v>insert into ins_premium_det (premium_rcv_code,assorted_code, rec_amount,premium_rcv_detail_code,remaining_amt, payrec, mode_code,coinsurance_code,class_cd,it_remarks) values</v>
      </c>
      <c r="G108" s="40" t="str">
        <f t="shared" si="6"/>
        <v>('20Aug240117','070000160715','4245',(select max(to_number(i.premium_rcv_detail_code))+1
from ins_premium_det i),'4245','4245','02', '11000003','00','Request by Mr. Saqib Saleem 21-Aug-2024 sheet3');</v>
      </c>
      <c r="H108" s="41" t="str">
        <f t="shared" si="7"/>
        <v>insert into ins_premium_det (premium_rcv_code,assorted_code, rec_amount,premium_rcv_detail_code,remaining_amt, payrec, mode_code,coinsurance_code,class_cd,it_remarks) values('20Aug240117','070000160715','4245',(select max(to_number(i.premium_rcv_detail_code))+1
from ins_premium_det i),'4245','4245','02', '11000003','00','Request by Mr. Saqib Saleem 21-Aug-2024 sheet3');</v>
      </c>
    </row>
    <row r="109" spans="1:8" ht="105" x14ac:dyDescent="0.25">
      <c r="A109" s="17" t="s">
        <v>702</v>
      </c>
      <c r="B109" s="37" t="str">
        <f>VLOOKUP(A109,[3]Sheet1!$B$2:$C$128,2,0)</f>
        <v>070000160716</v>
      </c>
      <c r="C109" s="14">
        <v>1687</v>
      </c>
      <c r="D109" s="38">
        <f t="shared" si="5"/>
        <v>1687</v>
      </c>
      <c r="E109" t="s">
        <v>726</v>
      </c>
      <c r="F109" s="39" t="str">
        <f t="shared" si="4"/>
        <v>insert into ins_premium_det (premium_rcv_code,assorted_code, rec_amount,premium_rcv_detail_code,remaining_amt, payrec, mode_code,coinsurance_code,class_cd,it_remarks) values</v>
      </c>
      <c r="G109" s="40" t="str">
        <f t="shared" si="6"/>
        <v>('20Aug240117','070000160716','1687',(select max(to_number(i.premium_rcv_detail_code))+1
from ins_premium_det i),'1687','1687','02', '11000003','00','Request by Mr. Saqib Saleem 21-Aug-2024 sheet3');</v>
      </c>
      <c r="H109" s="41" t="str">
        <f t="shared" si="7"/>
        <v>insert into ins_premium_det (premium_rcv_code,assorted_code, rec_amount,premium_rcv_detail_code,remaining_amt, payrec, mode_code,coinsurance_code,class_cd,it_remarks) values('20Aug240117','070000160716','1687',(select max(to_number(i.premium_rcv_detail_code))+1
from ins_premium_det i),'1687','1687','02', '11000003','00','Request by Mr. Saqib Saleem 21-Aug-2024 sheet3');</v>
      </c>
    </row>
    <row r="110" spans="1:8" ht="105" x14ac:dyDescent="0.25">
      <c r="A110" s="17" t="s">
        <v>703</v>
      </c>
      <c r="B110" s="37" t="str">
        <f>VLOOKUP(A110,[3]Sheet1!$B$2:$C$128,2,0)</f>
        <v>070000160717</v>
      </c>
      <c r="C110" s="14">
        <v>200</v>
      </c>
      <c r="D110" s="38">
        <f t="shared" si="5"/>
        <v>200</v>
      </c>
      <c r="E110" t="s">
        <v>726</v>
      </c>
      <c r="F110" s="39" t="str">
        <f t="shared" si="4"/>
        <v>insert into ins_premium_det (premium_rcv_code,assorted_code, rec_amount,premium_rcv_detail_code,remaining_amt, payrec, mode_code,coinsurance_code,class_cd,it_remarks) values</v>
      </c>
      <c r="G110" s="40" t="str">
        <f t="shared" si="6"/>
        <v>('20Aug240117','070000160717','200',(select max(to_number(i.premium_rcv_detail_code))+1
from ins_premium_det i),'200','200','02', '11000003','00','Request by Mr. Saqib Saleem 21-Aug-2024 sheet3');</v>
      </c>
      <c r="H110" s="41" t="str">
        <f t="shared" si="7"/>
        <v>insert into ins_premium_det (premium_rcv_code,assorted_code, rec_amount,premium_rcv_detail_code,remaining_amt, payrec, mode_code,coinsurance_code,class_cd,it_remarks) values('20Aug240117','070000160717','200',(select max(to_number(i.premium_rcv_detail_code))+1
from ins_premium_det i),'200','200','02', '11000003','00','Request by Mr. Saqib Saleem 21-Aug-2024 sheet3');</v>
      </c>
    </row>
    <row r="111" spans="1:8" ht="105" x14ac:dyDescent="0.25">
      <c r="A111" s="17" t="s">
        <v>704</v>
      </c>
      <c r="B111" s="37" t="str">
        <f>VLOOKUP(A111,[3]Sheet1!$B$2:$C$128,2,0)</f>
        <v>070000160722</v>
      </c>
      <c r="C111" s="14">
        <v>10921</v>
      </c>
      <c r="D111" s="38">
        <f t="shared" si="5"/>
        <v>10921</v>
      </c>
      <c r="E111" t="s">
        <v>726</v>
      </c>
      <c r="F111" s="39" t="str">
        <f t="shared" si="4"/>
        <v>insert into ins_premium_det (premium_rcv_code,assorted_code, rec_amount,premium_rcv_detail_code,remaining_amt, payrec, mode_code,coinsurance_code,class_cd,it_remarks) values</v>
      </c>
      <c r="G111" s="40" t="str">
        <f t="shared" si="6"/>
        <v>('20Aug240117','070000160722','10921',(select max(to_number(i.premium_rcv_detail_code))+1
from ins_premium_det i),'10921','10921','02', '11000003','00','Request by Mr. Saqib Saleem 21-Aug-2024 sheet3');</v>
      </c>
      <c r="H111" s="41" t="str">
        <f t="shared" si="7"/>
        <v>insert into ins_premium_det (premium_rcv_code,assorted_code, rec_amount,premium_rcv_detail_code,remaining_amt, payrec, mode_code,coinsurance_code,class_cd,it_remarks) values('20Aug240117','070000160722','10921',(select max(to_number(i.premium_rcv_detail_code))+1
from ins_premium_det i),'10921','10921','02', '11000003','00','Request by Mr. Saqib Saleem 21-Aug-2024 sheet3');</v>
      </c>
    </row>
    <row r="112" spans="1:8" ht="105" x14ac:dyDescent="0.25">
      <c r="A112" s="17" t="s">
        <v>705</v>
      </c>
      <c r="B112" s="37" t="str">
        <f>VLOOKUP(A112,[3]Sheet1!$B$2:$C$128,2,0)</f>
        <v>070000160725</v>
      </c>
      <c r="C112" s="14">
        <v>2323</v>
      </c>
      <c r="D112" s="38">
        <f t="shared" si="5"/>
        <v>2323</v>
      </c>
      <c r="E112" t="s">
        <v>726</v>
      </c>
      <c r="F112" s="39" t="str">
        <f t="shared" si="4"/>
        <v>insert into ins_premium_det (premium_rcv_code,assorted_code, rec_amount,premium_rcv_detail_code,remaining_amt, payrec, mode_code,coinsurance_code,class_cd,it_remarks) values</v>
      </c>
      <c r="G112" s="40" t="str">
        <f t="shared" si="6"/>
        <v>('20Aug240117','070000160725','2323',(select max(to_number(i.premium_rcv_detail_code))+1
from ins_premium_det i),'2323','2323','02', '11000003','00','Request by Mr. Saqib Saleem 21-Aug-2024 sheet3');</v>
      </c>
      <c r="H112" s="41" t="str">
        <f t="shared" si="7"/>
        <v>insert into ins_premium_det (premium_rcv_code,assorted_code, rec_amount,premium_rcv_detail_code,remaining_amt, payrec, mode_code,coinsurance_code,class_cd,it_remarks) values('20Aug240117','070000160725','2323',(select max(to_number(i.premium_rcv_detail_code))+1
from ins_premium_det i),'2323','2323','02', '11000003','00','Request by Mr. Saqib Saleem 21-Aug-2024 sheet3');</v>
      </c>
    </row>
    <row r="113" spans="1:8" ht="105" x14ac:dyDescent="0.25">
      <c r="A113" s="17" t="s">
        <v>706</v>
      </c>
      <c r="B113" s="37" t="str">
        <f>VLOOKUP(A113,[3]Sheet1!$B$2:$C$128,2,0)</f>
        <v>070000161508</v>
      </c>
      <c r="C113" s="14">
        <v>1155</v>
      </c>
      <c r="D113" s="38">
        <f t="shared" si="5"/>
        <v>1155</v>
      </c>
      <c r="E113" t="s">
        <v>726</v>
      </c>
      <c r="F113" s="39" t="str">
        <f t="shared" si="4"/>
        <v>insert into ins_premium_det (premium_rcv_code,assorted_code, rec_amount,premium_rcv_detail_code,remaining_amt, payrec, mode_code,coinsurance_code,class_cd,it_remarks) values</v>
      </c>
      <c r="G113" s="40" t="str">
        <f t="shared" si="6"/>
        <v>('20Aug240117','070000161508','1155',(select max(to_number(i.premium_rcv_detail_code))+1
from ins_premium_det i),'1155','1155','02', '11000003','00','Request by Mr. Saqib Saleem 21-Aug-2024 sheet3');</v>
      </c>
      <c r="H113" s="41" t="str">
        <f t="shared" si="7"/>
        <v>insert into ins_premium_det (premium_rcv_code,assorted_code, rec_amount,premium_rcv_detail_code,remaining_amt, payrec, mode_code,coinsurance_code,class_cd,it_remarks) values('20Aug240117','070000161508','1155',(select max(to_number(i.premium_rcv_detail_code))+1
from ins_premium_det i),'1155','1155','02', '11000003','00','Request by Mr. Saqib Saleem 21-Aug-2024 sheet3');</v>
      </c>
    </row>
    <row r="114" spans="1:8" ht="105" x14ac:dyDescent="0.25">
      <c r="A114" s="17" t="s">
        <v>707</v>
      </c>
      <c r="B114" s="37" t="str">
        <f>VLOOKUP(A114,[3]Sheet1!$B$2:$C$128,2,0)</f>
        <v>070000161509</v>
      </c>
      <c r="C114" s="14">
        <v>721</v>
      </c>
      <c r="D114" s="38">
        <f t="shared" si="5"/>
        <v>721</v>
      </c>
      <c r="E114" t="s">
        <v>726</v>
      </c>
      <c r="F114" s="39" t="str">
        <f t="shared" si="4"/>
        <v>insert into ins_premium_det (premium_rcv_code,assorted_code, rec_amount,premium_rcv_detail_code,remaining_amt, payrec, mode_code,coinsurance_code,class_cd,it_remarks) values</v>
      </c>
      <c r="G114" s="40" t="str">
        <f t="shared" si="6"/>
        <v>('20Aug240117','070000161509','721',(select max(to_number(i.premium_rcv_detail_code))+1
from ins_premium_det i),'721','721','02', '11000003','00','Request by Mr. Saqib Saleem 21-Aug-2024 sheet3');</v>
      </c>
      <c r="H114" s="41" t="str">
        <f t="shared" si="7"/>
        <v>insert into ins_premium_det (premium_rcv_code,assorted_code, rec_amount,premium_rcv_detail_code,remaining_amt, payrec, mode_code,coinsurance_code,class_cd,it_remarks) values('20Aug240117','070000161509','721',(select max(to_number(i.premium_rcv_detail_code))+1
from ins_premium_det i),'721','721','02', '11000003','00','Request by Mr. Saqib Saleem 21-Aug-2024 sheet3');</v>
      </c>
    </row>
    <row r="115" spans="1:8" ht="105" x14ac:dyDescent="0.25">
      <c r="A115" s="17" t="s">
        <v>708</v>
      </c>
      <c r="B115" s="37" t="str">
        <f>VLOOKUP(A115,[3]Sheet1!$B$2:$C$128,2,0)</f>
        <v>070000161515</v>
      </c>
      <c r="C115" s="14">
        <v>5772</v>
      </c>
      <c r="D115" s="38">
        <f t="shared" si="5"/>
        <v>5772</v>
      </c>
      <c r="E115" t="s">
        <v>726</v>
      </c>
      <c r="F115" s="39" t="str">
        <f t="shared" si="4"/>
        <v>insert into ins_premium_det (premium_rcv_code,assorted_code, rec_amount,premium_rcv_detail_code,remaining_amt, payrec, mode_code,coinsurance_code,class_cd,it_remarks) values</v>
      </c>
      <c r="G115" s="40" t="str">
        <f t="shared" si="6"/>
        <v>('20Aug240117','070000161515','5772',(select max(to_number(i.premium_rcv_detail_code))+1
from ins_premium_det i),'5772','5772','02', '11000003','00','Request by Mr. Saqib Saleem 21-Aug-2024 sheet3');</v>
      </c>
      <c r="H115" s="41" t="str">
        <f t="shared" si="7"/>
        <v>insert into ins_premium_det (premium_rcv_code,assorted_code, rec_amount,premium_rcv_detail_code,remaining_amt, payrec, mode_code,coinsurance_code,class_cd,it_remarks) values('20Aug240117','070000161515','5772',(select max(to_number(i.premium_rcv_detail_code))+1
from ins_premium_det i),'5772','5772','02', '11000003','00','Request by Mr. Saqib Saleem 21-Aug-2024 sheet3');</v>
      </c>
    </row>
    <row r="116" spans="1:8" ht="105" x14ac:dyDescent="0.25">
      <c r="A116" s="17" t="s">
        <v>709</v>
      </c>
      <c r="B116" s="37" t="str">
        <f>VLOOKUP(A116,[3]Sheet1!$B$2:$C$128,2,0)</f>
        <v>070000161518</v>
      </c>
      <c r="C116" s="14">
        <v>6252</v>
      </c>
      <c r="D116" s="38">
        <f t="shared" si="5"/>
        <v>6252</v>
      </c>
      <c r="E116" t="s">
        <v>726</v>
      </c>
      <c r="F116" s="39" t="str">
        <f t="shared" si="4"/>
        <v>insert into ins_premium_det (premium_rcv_code,assorted_code, rec_amount,premium_rcv_detail_code,remaining_amt, payrec, mode_code,coinsurance_code,class_cd,it_remarks) values</v>
      </c>
      <c r="G116" s="40" t="str">
        <f t="shared" si="6"/>
        <v>('20Aug240117','070000161518','6252',(select max(to_number(i.premium_rcv_detail_code))+1
from ins_premium_det i),'6252','6252','02', '11000003','00','Request by Mr. Saqib Saleem 21-Aug-2024 sheet3');</v>
      </c>
      <c r="H116" s="41" t="str">
        <f t="shared" si="7"/>
        <v>insert into ins_premium_det (premium_rcv_code,assorted_code, rec_amount,premium_rcv_detail_code,remaining_amt, payrec, mode_code,coinsurance_code,class_cd,it_remarks) values('20Aug240117','070000161518','6252',(select max(to_number(i.premium_rcv_detail_code))+1
from ins_premium_det i),'6252','6252','02', '11000003','00','Request by Mr. Saqib Saleem 21-Aug-2024 sheet3');</v>
      </c>
    </row>
    <row r="117" spans="1:8" ht="105" x14ac:dyDescent="0.25">
      <c r="A117" s="17" t="s">
        <v>710</v>
      </c>
      <c r="B117" s="37" t="str">
        <f>VLOOKUP(A117,[3]Sheet1!$B$2:$C$128,2,0)</f>
        <v>070000161519</v>
      </c>
      <c r="C117" s="14">
        <v>194</v>
      </c>
      <c r="D117" s="38">
        <f t="shared" si="5"/>
        <v>194</v>
      </c>
      <c r="E117" t="s">
        <v>726</v>
      </c>
      <c r="F117" s="39" t="str">
        <f t="shared" si="4"/>
        <v>insert into ins_premium_det (premium_rcv_code,assorted_code, rec_amount,premium_rcv_detail_code,remaining_amt, payrec, mode_code,coinsurance_code,class_cd,it_remarks) values</v>
      </c>
      <c r="G117" s="40" t="str">
        <f t="shared" si="6"/>
        <v>('20Aug240117','070000161519','194',(select max(to_number(i.premium_rcv_detail_code))+1
from ins_premium_det i),'194','194','02', '11000003','00','Request by Mr. Saqib Saleem 21-Aug-2024 sheet3');</v>
      </c>
      <c r="H117" s="41" t="str">
        <f t="shared" si="7"/>
        <v>insert into ins_premium_det (premium_rcv_code,assorted_code, rec_amount,premium_rcv_detail_code,remaining_amt, payrec, mode_code,coinsurance_code,class_cd,it_remarks) values('20Aug240117','070000161519','194',(select max(to_number(i.premium_rcv_detail_code))+1
from ins_premium_det i),'194','194','02', '11000003','00','Request by Mr. Saqib Saleem 21-Aug-2024 sheet3');</v>
      </c>
    </row>
    <row r="118" spans="1:8" ht="105" x14ac:dyDescent="0.25">
      <c r="A118" s="17" t="s">
        <v>711</v>
      </c>
      <c r="B118" s="37" t="str">
        <f>VLOOKUP(A118,[3]Sheet1!$B$2:$C$128,2,0)</f>
        <v>070000161520</v>
      </c>
      <c r="C118" s="14">
        <v>1031</v>
      </c>
      <c r="D118" s="38">
        <f t="shared" si="5"/>
        <v>1031</v>
      </c>
      <c r="E118" t="s">
        <v>726</v>
      </c>
      <c r="F118" s="39" t="str">
        <f t="shared" si="4"/>
        <v>insert into ins_premium_det (premium_rcv_code,assorted_code, rec_amount,premium_rcv_detail_code,remaining_amt, payrec, mode_code,coinsurance_code,class_cd,it_remarks) values</v>
      </c>
      <c r="G118" s="40" t="str">
        <f t="shared" si="6"/>
        <v>('20Aug240117','070000161520','1031',(select max(to_number(i.premium_rcv_detail_code))+1
from ins_premium_det i),'1031','1031','02', '11000003','00','Request by Mr. Saqib Saleem 21-Aug-2024 sheet3');</v>
      </c>
      <c r="H118" s="41" t="str">
        <f t="shared" si="7"/>
        <v>insert into ins_premium_det (premium_rcv_code,assorted_code, rec_amount,premium_rcv_detail_code,remaining_amt, payrec, mode_code,coinsurance_code,class_cd,it_remarks) values('20Aug240117','070000161520','1031',(select max(to_number(i.premium_rcv_detail_code))+1
from ins_premium_det i),'1031','1031','02', '11000003','00','Request by Mr. Saqib Saleem 21-Aug-2024 sheet3');</v>
      </c>
    </row>
    <row r="119" spans="1:8" ht="105" x14ac:dyDescent="0.25">
      <c r="A119" s="17" t="s">
        <v>712</v>
      </c>
      <c r="B119" s="37" t="str">
        <f>VLOOKUP(A119,[3]Sheet1!$B$2:$C$128,2,0)</f>
        <v>070000161521</v>
      </c>
      <c r="C119" s="14">
        <v>201</v>
      </c>
      <c r="D119" s="38">
        <f t="shared" si="5"/>
        <v>201</v>
      </c>
      <c r="E119" t="s">
        <v>726</v>
      </c>
      <c r="F119" s="39" t="str">
        <f t="shared" si="4"/>
        <v>insert into ins_premium_det (premium_rcv_code,assorted_code, rec_amount,premium_rcv_detail_code,remaining_amt, payrec, mode_code,coinsurance_code,class_cd,it_remarks) values</v>
      </c>
      <c r="G119" s="40" t="str">
        <f t="shared" si="6"/>
        <v>('20Aug240117','070000161521','201',(select max(to_number(i.premium_rcv_detail_code))+1
from ins_premium_det i),'201','201','02', '11000003','00','Request by Mr. Saqib Saleem 21-Aug-2024 sheet3');</v>
      </c>
      <c r="H119" s="41" t="str">
        <f t="shared" si="7"/>
        <v>insert into ins_premium_det (premium_rcv_code,assorted_code, rec_amount,premium_rcv_detail_code,remaining_amt, payrec, mode_code,coinsurance_code,class_cd,it_remarks) values('20Aug240117','070000161521','201',(select max(to_number(i.premium_rcv_detail_code))+1
from ins_premium_det i),'201','201','02', '11000003','00','Request by Mr. Saqib Saleem 21-Aug-2024 sheet3');</v>
      </c>
    </row>
    <row r="120" spans="1:8" ht="105" x14ac:dyDescent="0.25">
      <c r="A120" s="17" t="s">
        <v>713</v>
      </c>
      <c r="B120" s="37" t="str">
        <f>VLOOKUP(A120,[3]Sheet1!$B$2:$C$128,2,0)</f>
        <v>070000161522</v>
      </c>
      <c r="C120" s="14">
        <v>5096</v>
      </c>
      <c r="D120" s="38">
        <f t="shared" si="5"/>
        <v>5096</v>
      </c>
      <c r="E120" t="s">
        <v>726</v>
      </c>
      <c r="F120" s="39" t="str">
        <f t="shared" si="4"/>
        <v>insert into ins_premium_det (premium_rcv_code,assorted_code, rec_amount,premium_rcv_detail_code,remaining_amt, payrec, mode_code,coinsurance_code,class_cd,it_remarks) values</v>
      </c>
      <c r="G120" s="40" t="str">
        <f t="shared" si="6"/>
        <v>('20Aug240117','070000161522','5096',(select max(to_number(i.premium_rcv_detail_code))+1
from ins_premium_det i),'5096','5096','02', '11000003','00','Request by Mr. Saqib Saleem 21-Aug-2024 sheet3');</v>
      </c>
      <c r="H120" s="41" t="str">
        <f t="shared" si="7"/>
        <v>insert into ins_premium_det (premium_rcv_code,assorted_code, rec_amount,premium_rcv_detail_code,remaining_amt, payrec, mode_code,coinsurance_code,class_cd,it_remarks) values('20Aug240117','070000161522','5096',(select max(to_number(i.premium_rcv_detail_code))+1
from ins_premium_det i),'5096','5096','02', '11000003','00','Request by Mr. Saqib Saleem 21-Aug-2024 sheet3');</v>
      </c>
    </row>
    <row r="121" spans="1:8" ht="105" x14ac:dyDescent="0.25">
      <c r="A121" s="17" t="s">
        <v>714</v>
      </c>
      <c r="B121" s="37" t="str">
        <f>VLOOKUP(A121,[3]Sheet1!$B$2:$C$128,2,0)</f>
        <v>070000161523</v>
      </c>
      <c r="C121" s="14">
        <v>199</v>
      </c>
      <c r="D121" s="38">
        <f t="shared" si="5"/>
        <v>199</v>
      </c>
      <c r="E121" t="s">
        <v>726</v>
      </c>
      <c r="F121" s="39" t="str">
        <f t="shared" si="4"/>
        <v>insert into ins_premium_det (premium_rcv_code,assorted_code, rec_amount,premium_rcv_detail_code,remaining_amt, payrec, mode_code,coinsurance_code,class_cd,it_remarks) values</v>
      </c>
      <c r="G121" s="40" t="str">
        <f t="shared" si="6"/>
        <v>('20Aug240117','070000161523','199',(select max(to_number(i.premium_rcv_detail_code))+1
from ins_premium_det i),'199','199','02', '11000003','00','Request by Mr. Saqib Saleem 21-Aug-2024 sheet3');</v>
      </c>
      <c r="H121" s="41" t="str">
        <f t="shared" si="7"/>
        <v>insert into ins_premium_det (premium_rcv_code,assorted_code, rec_amount,premium_rcv_detail_code,remaining_amt, payrec, mode_code,coinsurance_code,class_cd,it_remarks) values('20Aug240117','070000161523','199',(select max(to_number(i.premium_rcv_detail_code))+1
from ins_premium_det i),'199','199','02', '11000003','00','Request by Mr. Saqib Saleem 21-Aug-2024 sheet3');</v>
      </c>
    </row>
    <row r="122" spans="1:8" ht="105" x14ac:dyDescent="0.25">
      <c r="A122" s="17" t="s">
        <v>715</v>
      </c>
      <c r="B122" s="37" t="str">
        <f>VLOOKUP(A122,[3]Sheet1!$B$2:$C$128,2,0)</f>
        <v>070000161524</v>
      </c>
      <c r="C122" s="14">
        <v>1876</v>
      </c>
      <c r="D122" s="38">
        <f t="shared" si="5"/>
        <v>1876</v>
      </c>
      <c r="E122" t="s">
        <v>726</v>
      </c>
      <c r="F122" s="39" t="str">
        <f t="shared" si="4"/>
        <v>insert into ins_premium_det (premium_rcv_code,assorted_code, rec_amount,premium_rcv_detail_code,remaining_amt, payrec, mode_code,coinsurance_code,class_cd,it_remarks) values</v>
      </c>
      <c r="G122" s="40" t="str">
        <f t="shared" si="6"/>
        <v>('20Aug240117','070000161524','1876',(select max(to_number(i.premium_rcv_detail_code))+1
from ins_premium_det i),'1876','1876','02', '11000003','00','Request by Mr. Saqib Saleem 21-Aug-2024 sheet3');</v>
      </c>
      <c r="H122" s="41" t="str">
        <f t="shared" si="7"/>
        <v>insert into ins_premium_det (premium_rcv_code,assorted_code, rec_amount,premium_rcv_detail_code,remaining_amt, payrec, mode_code,coinsurance_code,class_cd,it_remarks) values('20Aug240117','070000161524','1876',(select max(to_number(i.premium_rcv_detail_code))+1
from ins_premium_det i),'1876','1876','02', '11000003','00','Request by Mr. Saqib Saleem 21-Aug-2024 sheet3');</v>
      </c>
    </row>
    <row r="123" spans="1:8" ht="105" x14ac:dyDescent="0.25">
      <c r="A123" s="17" t="s">
        <v>716</v>
      </c>
      <c r="B123" s="37" t="str">
        <f>VLOOKUP(A123,[3]Sheet1!$B$2:$C$128,2,0)</f>
        <v>070000161525</v>
      </c>
      <c r="C123" s="14">
        <v>956</v>
      </c>
      <c r="D123" s="38">
        <f t="shared" si="5"/>
        <v>956</v>
      </c>
      <c r="E123" t="s">
        <v>726</v>
      </c>
      <c r="F123" s="39" t="str">
        <f t="shared" si="4"/>
        <v>insert into ins_premium_det (premium_rcv_code,assorted_code, rec_amount,premium_rcv_detail_code,remaining_amt, payrec, mode_code,coinsurance_code,class_cd,it_remarks) values</v>
      </c>
      <c r="G123" s="40" t="str">
        <f t="shared" si="6"/>
        <v>('20Aug240117','070000161525','956',(select max(to_number(i.premium_rcv_detail_code))+1
from ins_premium_det i),'956','956','02', '11000003','00','Request by Mr. Saqib Saleem 21-Aug-2024 sheet3');</v>
      </c>
      <c r="H123" s="41" t="str">
        <f t="shared" si="7"/>
        <v>insert into ins_premium_det (premium_rcv_code,assorted_code, rec_amount,premium_rcv_detail_code,remaining_amt, payrec, mode_code,coinsurance_code,class_cd,it_remarks) values('20Aug240117','070000161525','956',(select max(to_number(i.premium_rcv_detail_code))+1
from ins_premium_det i),'956','956','02', '11000003','00','Request by Mr. Saqib Saleem 21-Aug-2024 sheet3');</v>
      </c>
    </row>
    <row r="124" spans="1:8" ht="105" x14ac:dyDescent="0.25">
      <c r="A124" s="17" t="s">
        <v>717</v>
      </c>
      <c r="B124" s="37" t="str">
        <f>VLOOKUP(A124,[3]Sheet1!$B$2:$C$128,2,0)</f>
        <v>070000161529</v>
      </c>
      <c r="C124" s="14">
        <v>358</v>
      </c>
      <c r="D124" s="38">
        <f t="shared" si="5"/>
        <v>358</v>
      </c>
      <c r="E124" t="s">
        <v>726</v>
      </c>
      <c r="F124" s="39" t="str">
        <f t="shared" si="4"/>
        <v>insert into ins_premium_det (premium_rcv_code,assorted_code, rec_amount,premium_rcv_detail_code,remaining_amt, payrec, mode_code,coinsurance_code,class_cd,it_remarks) values</v>
      </c>
      <c r="G124" s="40" t="str">
        <f t="shared" si="6"/>
        <v>('20Aug240117','070000161529','358',(select max(to_number(i.premium_rcv_detail_code))+1
from ins_premium_det i),'358','358','02', '11000003','00','Request by Mr. Saqib Saleem 21-Aug-2024 sheet3');</v>
      </c>
      <c r="H124" s="41" t="str">
        <f t="shared" si="7"/>
        <v>insert into ins_premium_det (premium_rcv_code,assorted_code, rec_amount,premium_rcv_detail_code,remaining_amt, payrec, mode_code,coinsurance_code,class_cd,it_remarks) values('20Aug240117','070000161529','358',(select max(to_number(i.premium_rcv_detail_code))+1
from ins_premium_det i),'358','358','02', '11000003','00','Request by Mr. Saqib Saleem 21-Aug-2024 sheet3');</v>
      </c>
    </row>
    <row r="125" spans="1:8" ht="105" x14ac:dyDescent="0.25">
      <c r="A125" s="17" t="s">
        <v>718</v>
      </c>
      <c r="B125" s="37" t="str">
        <f>VLOOKUP(A125,[3]Sheet1!$B$2:$C$128,2,0)</f>
        <v>070000161531</v>
      </c>
      <c r="C125" s="14">
        <v>2209</v>
      </c>
      <c r="D125" s="38">
        <f t="shared" si="5"/>
        <v>2209</v>
      </c>
      <c r="E125" t="s">
        <v>726</v>
      </c>
      <c r="F125" s="39" t="str">
        <f t="shared" si="4"/>
        <v>insert into ins_premium_det (premium_rcv_code,assorted_code, rec_amount,premium_rcv_detail_code,remaining_amt, payrec, mode_code,coinsurance_code,class_cd,it_remarks) values</v>
      </c>
      <c r="G125" s="40" t="str">
        <f t="shared" si="6"/>
        <v>('20Aug240117','070000161531','2209',(select max(to_number(i.premium_rcv_detail_code))+1
from ins_premium_det i),'2209','2209','02', '11000003','00','Request by Mr. Saqib Saleem 21-Aug-2024 sheet3');</v>
      </c>
      <c r="H125" s="41" t="str">
        <f t="shared" si="7"/>
        <v>insert into ins_premium_det (premium_rcv_code,assorted_code, rec_amount,premium_rcv_detail_code,remaining_amt, payrec, mode_code,coinsurance_code,class_cd,it_remarks) values('20Aug240117','070000161531','2209',(select max(to_number(i.premium_rcv_detail_code))+1
from ins_premium_det i),'2209','2209','02', '11000003','00','Request by Mr. Saqib Saleem 21-Aug-2024 sheet3');</v>
      </c>
    </row>
    <row r="126" spans="1:8" ht="105" x14ac:dyDescent="0.25">
      <c r="A126" s="17" t="s">
        <v>719</v>
      </c>
      <c r="B126" s="37" t="str">
        <f>VLOOKUP(A126,[3]Sheet1!$B$2:$C$128,2,0)</f>
        <v>070000161533</v>
      </c>
      <c r="C126" s="14">
        <v>269</v>
      </c>
      <c r="D126" s="38">
        <f t="shared" si="5"/>
        <v>269</v>
      </c>
      <c r="E126" t="s">
        <v>726</v>
      </c>
      <c r="F126" s="39" t="str">
        <f t="shared" si="4"/>
        <v>insert into ins_premium_det (premium_rcv_code,assorted_code, rec_amount,premium_rcv_detail_code,remaining_amt, payrec, mode_code,coinsurance_code,class_cd,it_remarks) values</v>
      </c>
      <c r="G126" s="40" t="str">
        <f t="shared" si="6"/>
        <v>('20Aug240117','070000161533','269',(select max(to_number(i.premium_rcv_detail_code))+1
from ins_premium_det i),'269','269','02', '11000003','00','Request by Mr. Saqib Saleem 21-Aug-2024 sheet3');</v>
      </c>
      <c r="H126" s="41" t="str">
        <f t="shared" si="7"/>
        <v>insert into ins_premium_det (premium_rcv_code,assorted_code, rec_amount,premium_rcv_detail_code,remaining_amt, payrec, mode_code,coinsurance_code,class_cd,it_remarks) values('20Aug240117','070000161533','269',(select max(to_number(i.premium_rcv_detail_code))+1
from ins_premium_det i),'269','269','02', '11000003','00','Request by Mr. Saqib Saleem 21-Aug-2024 sheet3');</v>
      </c>
    </row>
    <row r="127" spans="1:8" ht="105" x14ac:dyDescent="0.25">
      <c r="A127" s="17" t="s">
        <v>720</v>
      </c>
      <c r="B127" s="37" t="str">
        <f>VLOOKUP(A127,[3]Sheet1!$B$2:$C$128,2,0)</f>
        <v>070000161536</v>
      </c>
      <c r="C127" s="14">
        <v>1786</v>
      </c>
      <c r="D127" s="38">
        <f t="shared" si="5"/>
        <v>1786</v>
      </c>
      <c r="E127" t="s">
        <v>726</v>
      </c>
      <c r="F127" s="39" t="str">
        <f t="shared" si="4"/>
        <v>insert into ins_premium_det (premium_rcv_code,assorted_code, rec_amount,premium_rcv_detail_code,remaining_amt, payrec, mode_code,coinsurance_code,class_cd,it_remarks) values</v>
      </c>
      <c r="G127" s="40" t="str">
        <f t="shared" si="6"/>
        <v>('20Aug240117','070000161536','1786',(select max(to_number(i.premium_rcv_detail_code))+1
from ins_premium_det i),'1786','1786','02', '11000003','00','Request by Mr. Saqib Saleem 21-Aug-2024 sheet3');</v>
      </c>
      <c r="H127" s="41" t="str">
        <f t="shared" si="7"/>
        <v>insert into ins_premium_det (premium_rcv_code,assorted_code, rec_amount,premium_rcv_detail_code,remaining_amt, payrec, mode_code,coinsurance_code,class_cd,it_remarks) values('20Aug240117','070000161536','1786',(select max(to_number(i.premium_rcv_detail_code))+1
from ins_premium_det i),'1786','1786','02', '11000003','00','Request by Mr. Saqib Saleem 21-Aug-2024 sheet3');</v>
      </c>
    </row>
    <row r="128" spans="1:8" ht="105" x14ac:dyDescent="0.25">
      <c r="A128" s="17" t="s">
        <v>721</v>
      </c>
      <c r="B128" s="37" t="str">
        <f>VLOOKUP(A128,[3]Sheet1!$B$2:$C$128,2,0)</f>
        <v>070000161538</v>
      </c>
      <c r="C128" s="14">
        <v>1699</v>
      </c>
      <c r="D128" s="38">
        <f t="shared" si="5"/>
        <v>1699</v>
      </c>
      <c r="E128" t="s">
        <v>726</v>
      </c>
      <c r="F128" s="39" t="str">
        <f t="shared" si="4"/>
        <v>insert into ins_premium_det (premium_rcv_code,assorted_code, rec_amount,premium_rcv_detail_code,remaining_amt, payrec, mode_code,coinsurance_code,class_cd,it_remarks) values</v>
      </c>
      <c r="G128" s="40" t="str">
        <f t="shared" si="6"/>
        <v>('20Aug240117','070000161538','1699',(select max(to_number(i.premium_rcv_detail_code))+1
from ins_premium_det i),'1699','1699','02', '11000003','00','Request by Mr. Saqib Saleem 21-Aug-2024 sheet3');</v>
      </c>
      <c r="H128" s="41" t="str">
        <f t="shared" si="7"/>
        <v>insert into ins_premium_det (premium_rcv_code,assorted_code, rec_amount,premium_rcv_detail_code,remaining_amt, payrec, mode_code,coinsurance_code,class_cd,it_remarks) values('20Aug240117','070000161538','1699',(select max(to_number(i.premium_rcv_detail_code))+1
from ins_premium_det i),'1699','1699','02', '11000003','00','Request by Mr. Saqib Saleem 21-Aug-2024 sheet3');</v>
      </c>
    </row>
  </sheetData>
  <conditionalFormatting sqref="A1">
    <cfRule type="duplicateValues" dxfId="19" priority="1"/>
  </conditionalFormatting>
  <conditionalFormatting sqref="B2:B128">
    <cfRule type="duplicateValues" dxfId="18" priority="2"/>
    <cfRule type="duplicateValues" dxfId="17" priority="3"/>
    <cfRule type="duplicateValues" dxfId="16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1583-7810-41DD-BDA3-85F24E793637}">
  <dimension ref="A1:V127"/>
  <sheetViews>
    <sheetView workbookViewId="0">
      <selection activeCell="D9" sqref="D9"/>
    </sheetView>
  </sheetViews>
  <sheetFormatPr defaultRowHeight="15" x14ac:dyDescent="0.25"/>
  <cols>
    <col min="1" max="1" width="42.140625" bestFit="1" customWidth="1"/>
    <col min="5" max="5" width="40.5703125" bestFit="1" customWidth="1"/>
    <col min="14" max="14" width="42.140625" bestFit="1" customWidth="1"/>
  </cols>
  <sheetData>
    <row r="1" spans="1:22" ht="15.75" x14ac:dyDescent="0.25">
      <c r="A1" s="17" t="s">
        <v>896</v>
      </c>
      <c r="B1" t="str">
        <f>RIGHT(A1,8)</f>
        <v>-05-2024</v>
      </c>
      <c r="D1">
        <v>19670</v>
      </c>
      <c r="E1" t="str">
        <f>"ia.assorted_string like '%"&amp;D1&amp;B1&amp;"%' or"</f>
        <v>ia.assorted_string like '%19670-05-2024%' or</v>
      </c>
      <c r="N1" s="17" t="s">
        <v>727</v>
      </c>
      <c r="O1" t="s">
        <v>728</v>
      </c>
      <c r="P1" t="s">
        <v>729</v>
      </c>
      <c r="Q1" t="s">
        <v>730</v>
      </c>
      <c r="R1" t="s">
        <v>731</v>
      </c>
      <c r="S1" t="s">
        <v>732</v>
      </c>
      <c r="T1">
        <v>19670</v>
      </c>
      <c r="U1">
        <v>5</v>
      </c>
      <c r="V1">
        <v>2024</v>
      </c>
    </row>
    <row r="2" spans="1:22" ht="15.75" x14ac:dyDescent="0.25">
      <c r="A2" s="17" t="s">
        <v>897</v>
      </c>
      <c r="B2" t="str">
        <f t="shared" ref="B2:B65" si="0">RIGHT(A2,8)</f>
        <v>-06-2024</v>
      </c>
      <c r="D2">
        <v>19783</v>
      </c>
      <c r="E2" t="str">
        <f t="shared" ref="E2:E65" si="1">"ia.assorted_string like '%"&amp;D2&amp;B2&amp;"%' or"</f>
        <v>ia.assorted_string like '%19783-06-2024%' or</v>
      </c>
      <c r="N2" s="17" t="s">
        <v>727</v>
      </c>
      <c r="O2" t="s">
        <v>728</v>
      </c>
      <c r="P2" t="s">
        <v>729</v>
      </c>
      <c r="Q2" t="s">
        <v>730</v>
      </c>
      <c r="R2" t="s">
        <v>731</v>
      </c>
      <c r="S2" t="s">
        <v>732</v>
      </c>
      <c r="T2">
        <v>19783</v>
      </c>
      <c r="U2">
        <v>6</v>
      </c>
      <c r="V2">
        <v>2024</v>
      </c>
    </row>
    <row r="3" spans="1:22" ht="15.75" x14ac:dyDescent="0.25">
      <c r="A3" s="17" t="s">
        <v>898</v>
      </c>
      <c r="B3" t="str">
        <f t="shared" si="0"/>
        <v>-06-2024</v>
      </c>
      <c r="D3">
        <v>19784</v>
      </c>
      <c r="E3" t="str">
        <f t="shared" si="1"/>
        <v>ia.assorted_string like '%19784-06-2024%' or</v>
      </c>
      <c r="N3" s="17" t="s">
        <v>727</v>
      </c>
      <c r="O3" t="s">
        <v>728</v>
      </c>
      <c r="P3" t="s">
        <v>729</v>
      </c>
      <c r="Q3" t="s">
        <v>730</v>
      </c>
      <c r="R3" t="s">
        <v>731</v>
      </c>
      <c r="S3" t="s">
        <v>732</v>
      </c>
      <c r="T3">
        <v>19784</v>
      </c>
      <c r="U3">
        <v>6</v>
      </c>
      <c r="V3">
        <v>2024</v>
      </c>
    </row>
    <row r="4" spans="1:22" ht="15.75" x14ac:dyDescent="0.25">
      <c r="A4" s="17" t="s">
        <v>899</v>
      </c>
      <c r="B4" t="str">
        <f t="shared" si="0"/>
        <v>-06-2024</v>
      </c>
      <c r="D4">
        <v>19785</v>
      </c>
      <c r="E4" t="str">
        <f t="shared" si="1"/>
        <v>ia.assorted_string like '%19785-06-2024%' or</v>
      </c>
      <c r="N4" s="17" t="s">
        <v>727</v>
      </c>
      <c r="O4" t="s">
        <v>728</v>
      </c>
      <c r="P4" t="s">
        <v>729</v>
      </c>
      <c r="Q4" t="s">
        <v>730</v>
      </c>
      <c r="R4" t="s">
        <v>731</v>
      </c>
      <c r="S4" t="s">
        <v>732</v>
      </c>
      <c r="T4">
        <v>19785</v>
      </c>
      <c r="U4">
        <v>6</v>
      </c>
      <c r="V4">
        <v>2024</v>
      </c>
    </row>
    <row r="5" spans="1:22" ht="15.75" x14ac:dyDescent="0.25">
      <c r="A5" s="17" t="s">
        <v>900</v>
      </c>
      <c r="B5" t="str">
        <f t="shared" si="0"/>
        <v>-06-2024</v>
      </c>
      <c r="D5">
        <v>19786</v>
      </c>
      <c r="E5" t="str">
        <f t="shared" si="1"/>
        <v>ia.assorted_string like '%19786-06-2024%' or</v>
      </c>
      <c r="N5" s="17" t="s">
        <v>727</v>
      </c>
      <c r="O5" t="s">
        <v>728</v>
      </c>
      <c r="P5" t="s">
        <v>729</v>
      </c>
      <c r="Q5" t="s">
        <v>730</v>
      </c>
      <c r="R5" t="s">
        <v>731</v>
      </c>
      <c r="S5" t="s">
        <v>732</v>
      </c>
      <c r="T5">
        <v>19786</v>
      </c>
      <c r="U5">
        <v>6</v>
      </c>
      <c r="V5">
        <v>2024</v>
      </c>
    </row>
    <row r="6" spans="1:22" ht="15.75" x14ac:dyDescent="0.25">
      <c r="A6" s="17" t="s">
        <v>901</v>
      </c>
      <c r="B6" t="str">
        <f t="shared" si="0"/>
        <v>-06-2024</v>
      </c>
      <c r="D6">
        <v>19787</v>
      </c>
      <c r="E6" t="str">
        <f t="shared" si="1"/>
        <v>ia.assorted_string like '%19787-06-2024%' or</v>
      </c>
      <c r="N6" s="17" t="s">
        <v>727</v>
      </c>
      <c r="O6" t="s">
        <v>728</v>
      </c>
      <c r="P6" t="s">
        <v>729</v>
      </c>
      <c r="Q6" t="s">
        <v>730</v>
      </c>
      <c r="R6" t="s">
        <v>731</v>
      </c>
      <c r="S6" t="s">
        <v>732</v>
      </c>
      <c r="T6">
        <v>19787</v>
      </c>
      <c r="U6">
        <v>6</v>
      </c>
      <c r="V6">
        <v>2024</v>
      </c>
    </row>
    <row r="7" spans="1:22" ht="15.75" x14ac:dyDescent="0.25">
      <c r="A7" s="17" t="s">
        <v>902</v>
      </c>
      <c r="B7" t="str">
        <f t="shared" si="0"/>
        <v>-06-2024</v>
      </c>
      <c r="D7">
        <v>19788</v>
      </c>
      <c r="E7" t="str">
        <f t="shared" si="1"/>
        <v>ia.assorted_string like '%19788-06-2024%' or</v>
      </c>
      <c r="N7" s="17" t="s">
        <v>727</v>
      </c>
      <c r="O7" t="s">
        <v>728</v>
      </c>
      <c r="P7" t="s">
        <v>729</v>
      </c>
      <c r="Q7" t="s">
        <v>730</v>
      </c>
      <c r="R7" t="s">
        <v>731</v>
      </c>
      <c r="S7" t="s">
        <v>732</v>
      </c>
      <c r="T7">
        <v>19788</v>
      </c>
      <c r="U7">
        <v>6</v>
      </c>
      <c r="V7">
        <v>2024</v>
      </c>
    </row>
    <row r="8" spans="1:22" ht="15.75" x14ac:dyDescent="0.25">
      <c r="A8" s="17" t="s">
        <v>903</v>
      </c>
      <c r="B8" t="str">
        <f t="shared" si="0"/>
        <v>-06-2024</v>
      </c>
      <c r="D8">
        <v>19789</v>
      </c>
      <c r="E8" t="str">
        <f t="shared" si="1"/>
        <v>ia.assorted_string like '%19789-06-2024%' or</v>
      </c>
      <c r="N8" s="17" t="s">
        <v>727</v>
      </c>
      <c r="O8" t="s">
        <v>728</v>
      </c>
      <c r="P8" t="s">
        <v>729</v>
      </c>
      <c r="Q8" t="s">
        <v>730</v>
      </c>
      <c r="R8" t="s">
        <v>731</v>
      </c>
      <c r="S8" t="s">
        <v>732</v>
      </c>
      <c r="T8">
        <v>19789</v>
      </c>
      <c r="U8">
        <v>6</v>
      </c>
      <c r="V8">
        <v>2024</v>
      </c>
    </row>
    <row r="9" spans="1:22" ht="15.75" x14ac:dyDescent="0.25">
      <c r="A9" s="17" t="s">
        <v>904</v>
      </c>
      <c r="B9" t="str">
        <f t="shared" si="0"/>
        <v>-06-2024</v>
      </c>
      <c r="D9">
        <v>19790</v>
      </c>
      <c r="E9" t="str">
        <f t="shared" si="1"/>
        <v>ia.assorted_string like '%19790-06-2024%' or</v>
      </c>
      <c r="N9" s="17" t="s">
        <v>727</v>
      </c>
      <c r="O9" t="s">
        <v>728</v>
      </c>
      <c r="P9" t="s">
        <v>729</v>
      </c>
      <c r="Q9" t="s">
        <v>730</v>
      </c>
      <c r="R9" t="s">
        <v>731</v>
      </c>
      <c r="S9" t="s">
        <v>732</v>
      </c>
      <c r="T9">
        <v>19790</v>
      </c>
      <c r="U9">
        <v>6</v>
      </c>
      <c r="V9">
        <v>2024</v>
      </c>
    </row>
    <row r="10" spans="1:22" ht="15.75" x14ac:dyDescent="0.25">
      <c r="A10" s="17" t="s">
        <v>905</v>
      </c>
      <c r="B10" t="str">
        <f t="shared" si="0"/>
        <v>-06-2024</v>
      </c>
      <c r="D10">
        <v>19791</v>
      </c>
      <c r="E10" t="str">
        <f t="shared" si="1"/>
        <v>ia.assorted_string like '%19791-06-2024%' or</v>
      </c>
      <c r="N10" s="17" t="s">
        <v>727</v>
      </c>
      <c r="O10" t="s">
        <v>728</v>
      </c>
      <c r="P10" t="s">
        <v>729</v>
      </c>
      <c r="Q10" t="s">
        <v>730</v>
      </c>
      <c r="R10" t="s">
        <v>731</v>
      </c>
      <c r="S10" t="s">
        <v>732</v>
      </c>
      <c r="T10">
        <v>19791</v>
      </c>
      <c r="U10">
        <v>6</v>
      </c>
      <c r="V10">
        <v>2024</v>
      </c>
    </row>
    <row r="11" spans="1:22" ht="15.75" x14ac:dyDescent="0.25">
      <c r="A11" s="17" t="s">
        <v>906</v>
      </c>
      <c r="B11" t="str">
        <f t="shared" si="0"/>
        <v>-06-2024</v>
      </c>
      <c r="D11">
        <v>19793</v>
      </c>
      <c r="E11" t="str">
        <f t="shared" si="1"/>
        <v>ia.assorted_string like '%19793-06-2024%' or</v>
      </c>
      <c r="N11" s="17" t="s">
        <v>727</v>
      </c>
      <c r="O11" t="s">
        <v>728</v>
      </c>
      <c r="P11" t="s">
        <v>729</v>
      </c>
      <c r="Q11" t="s">
        <v>730</v>
      </c>
      <c r="R11" t="s">
        <v>731</v>
      </c>
      <c r="S11" t="s">
        <v>732</v>
      </c>
      <c r="T11">
        <v>19793</v>
      </c>
      <c r="U11">
        <v>6</v>
      </c>
      <c r="V11">
        <v>2024</v>
      </c>
    </row>
    <row r="12" spans="1:22" ht="15.75" x14ac:dyDescent="0.25">
      <c r="A12" s="17" t="s">
        <v>907</v>
      </c>
      <c r="B12" t="str">
        <f t="shared" si="0"/>
        <v>-06-2024</v>
      </c>
      <c r="D12">
        <v>19794</v>
      </c>
      <c r="E12" t="str">
        <f t="shared" si="1"/>
        <v>ia.assorted_string like '%19794-06-2024%' or</v>
      </c>
      <c r="N12" s="17" t="s">
        <v>727</v>
      </c>
      <c r="O12" t="s">
        <v>728</v>
      </c>
      <c r="P12" t="s">
        <v>729</v>
      </c>
      <c r="Q12" t="s">
        <v>730</v>
      </c>
      <c r="R12" t="s">
        <v>731</v>
      </c>
      <c r="S12" t="s">
        <v>732</v>
      </c>
      <c r="T12">
        <v>19794</v>
      </c>
      <c r="U12">
        <v>6</v>
      </c>
      <c r="V12">
        <v>2024</v>
      </c>
    </row>
    <row r="13" spans="1:22" ht="15.75" x14ac:dyDescent="0.25">
      <c r="A13" s="17" t="s">
        <v>908</v>
      </c>
      <c r="B13" t="str">
        <f t="shared" si="0"/>
        <v>-06-2024</v>
      </c>
      <c r="D13">
        <v>19795</v>
      </c>
      <c r="E13" t="str">
        <f t="shared" si="1"/>
        <v>ia.assorted_string like '%19795-06-2024%' or</v>
      </c>
      <c r="N13" s="17" t="s">
        <v>727</v>
      </c>
      <c r="O13" t="s">
        <v>728</v>
      </c>
      <c r="P13" t="s">
        <v>729</v>
      </c>
      <c r="Q13" t="s">
        <v>730</v>
      </c>
      <c r="R13" t="s">
        <v>731</v>
      </c>
      <c r="S13" t="s">
        <v>732</v>
      </c>
      <c r="T13">
        <v>19795</v>
      </c>
      <c r="U13">
        <v>6</v>
      </c>
      <c r="V13">
        <v>2024</v>
      </c>
    </row>
    <row r="14" spans="1:22" ht="15.75" x14ac:dyDescent="0.25">
      <c r="A14" s="17" t="s">
        <v>909</v>
      </c>
      <c r="B14" t="str">
        <f t="shared" si="0"/>
        <v>-06-2024</v>
      </c>
      <c r="D14">
        <v>19796</v>
      </c>
      <c r="E14" t="str">
        <f t="shared" si="1"/>
        <v>ia.assorted_string like '%19796-06-2024%' or</v>
      </c>
      <c r="N14" s="17" t="s">
        <v>727</v>
      </c>
      <c r="O14" t="s">
        <v>728</v>
      </c>
      <c r="P14" t="s">
        <v>729</v>
      </c>
      <c r="Q14" t="s">
        <v>730</v>
      </c>
      <c r="R14" t="s">
        <v>731</v>
      </c>
      <c r="S14" t="s">
        <v>732</v>
      </c>
      <c r="T14">
        <v>19796</v>
      </c>
      <c r="U14">
        <v>6</v>
      </c>
      <c r="V14">
        <v>2024</v>
      </c>
    </row>
    <row r="15" spans="1:22" ht="15.75" x14ac:dyDescent="0.25">
      <c r="A15" s="17" t="s">
        <v>910</v>
      </c>
      <c r="B15" t="str">
        <f t="shared" si="0"/>
        <v>-06-2024</v>
      </c>
      <c r="D15">
        <v>19797</v>
      </c>
      <c r="E15" t="str">
        <f t="shared" si="1"/>
        <v>ia.assorted_string like '%19797-06-2024%' or</v>
      </c>
      <c r="N15" s="17" t="s">
        <v>727</v>
      </c>
      <c r="O15" t="s">
        <v>728</v>
      </c>
      <c r="P15" t="s">
        <v>729</v>
      </c>
      <c r="Q15" t="s">
        <v>730</v>
      </c>
      <c r="R15" t="s">
        <v>731</v>
      </c>
      <c r="S15" t="s">
        <v>732</v>
      </c>
      <c r="T15">
        <v>19797</v>
      </c>
      <c r="U15">
        <v>6</v>
      </c>
      <c r="V15">
        <v>2024</v>
      </c>
    </row>
    <row r="16" spans="1:22" ht="15.75" x14ac:dyDescent="0.25">
      <c r="A16" s="17" t="s">
        <v>911</v>
      </c>
      <c r="B16" t="str">
        <f t="shared" si="0"/>
        <v>-06-2024</v>
      </c>
      <c r="D16">
        <v>19799</v>
      </c>
      <c r="E16" t="str">
        <f t="shared" si="1"/>
        <v>ia.assorted_string like '%19799-06-2024%' or</v>
      </c>
      <c r="N16" s="17" t="s">
        <v>727</v>
      </c>
      <c r="O16" t="s">
        <v>728</v>
      </c>
      <c r="P16" t="s">
        <v>729</v>
      </c>
      <c r="Q16" t="s">
        <v>730</v>
      </c>
      <c r="R16" t="s">
        <v>731</v>
      </c>
      <c r="S16" t="s">
        <v>732</v>
      </c>
      <c r="T16">
        <v>19799</v>
      </c>
      <c r="U16">
        <v>6</v>
      </c>
      <c r="V16">
        <v>2024</v>
      </c>
    </row>
    <row r="17" spans="1:22" ht="15.75" x14ac:dyDescent="0.25">
      <c r="A17" s="17" t="s">
        <v>912</v>
      </c>
      <c r="B17" t="str">
        <f t="shared" si="0"/>
        <v>-06-2024</v>
      </c>
      <c r="D17">
        <v>19800</v>
      </c>
      <c r="E17" t="str">
        <f t="shared" si="1"/>
        <v>ia.assorted_string like '%19800-06-2024%' or</v>
      </c>
      <c r="N17" s="17" t="s">
        <v>727</v>
      </c>
      <c r="O17" t="s">
        <v>728</v>
      </c>
      <c r="P17" t="s">
        <v>729</v>
      </c>
      <c r="Q17" t="s">
        <v>730</v>
      </c>
      <c r="R17" t="s">
        <v>731</v>
      </c>
      <c r="S17" t="s">
        <v>732</v>
      </c>
      <c r="T17">
        <v>19800</v>
      </c>
      <c r="U17">
        <v>6</v>
      </c>
      <c r="V17">
        <v>2024</v>
      </c>
    </row>
    <row r="18" spans="1:22" ht="15.75" x14ac:dyDescent="0.25">
      <c r="A18" s="17" t="s">
        <v>913</v>
      </c>
      <c r="B18" t="str">
        <f t="shared" si="0"/>
        <v>-06-2024</v>
      </c>
      <c r="D18">
        <v>19801</v>
      </c>
      <c r="E18" t="str">
        <f t="shared" si="1"/>
        <v>ia.assorted_string like '%19801-06-2024%' or</v>
      </c>
      <c r="N18" s="17" t="s">
        <v>727</v>
      </c>
      <c r="O18" t="s">
        <v>728</v>
      </c>
      <c r="P18" t="s">
        <v>729</v>
      </c>
      <c r="Q18" t="s">
        <v>730</v>
      </c>
      <c r="R18" t="s">
        <v>731</v>
      </c>
      <c r="S18" t="s">
        <v>732</v>
      </c>
      <c r="T18">
        <v>19801</v>
      </c>
      <c r="U18">
        <v>6</v>
      </c>
      <c r="V18">
        <v>2024</v>
      </c>
    </row>
    <row r="19" spans="1:22" ht="15.75" x14ac:dyDescent="0.25">
      <c r="A19" s="17" t="s">
        <v>914</v>
      </c>
      <c r="B19" t="str">
        <f t="shared" si="0"/>
        <v>-06-2024</v>
      </c>
      <c r="D19">
        <v>19802</v>
      </c>
      <c r="E19" t="str">
        <f t="shared" si="1"/>
        <v>ia.assorted_string like '%19802-06-2024%' or</v>
      </c>
      <c r="N19" s="17" t="s">
        <v>727</v>
      </c>
      <c r="O19" t="s">
        <v>728</v>
      </c>
      <c r="P19" t="s">
        <v>729</v>
      </c>
      <c r="Q19" t="s">
        <v>730</v>
      </c>
      <c r="R19" t="s">
        <v>731</v>
      </c>
      <c r="S19" t="s">
        <v>732</v>
      </c>
      <c r="T19">
        <v>19802</v>
      </c>
      <c r="U19">
        <v>6</v>
      </c>
      <c r="V19">
        <v>2024</v>
      </c>
    </row>
    <row r="20" spans="1:22" ht="15.75" x14ac:dyDescent="0.25">
      <c r="A20" s="17" t="s">
        <v>915</v>
      </c>
      <c r="B20" t="str">
        <f t="shared" si="0"/>
        <v>-06-2024</v>
      </c>
      <c r="D20">
        <v>19803</v>
      </c>
      <c r="E20" t="str">
        <f t="shared" si="1"/>
        <v>ia.assorted_string like '%19803-06-2024%' or</v>
      </c>
      <c r="N20" s="17" t="s">
        <v>727</v>
      </c>
      <c r="O20" t="s">
        <v>728</v>
      </c>
      <c r="P20" t="s">
        <v>729</v>
      </c>
      <c r="Q20" t="s">
        <v>730</v>
      </c>
      <c r="R20" t="s">
        <v>731</v>
      </c>
      <c r="S20" t="s">
        <v>732</v>
      </c>
      <c r="T20">
        <v>19803</v>
      </c>
      <c r="U20">
        <v>6</v>
      </c>
      <c r="V20">
        <v>2024</v>
      </c>
    </row>
    <row r="21" spans="1:22" ht="15.75" x14ac:dyDescent="0.25">
      <c r="A21" s="17" t="s">
        <v>916</v>
      </c>
      <c r="B21" t="str">
        <f t="shared" si="0"/>
        <v>-06-2024</v>
      </c>
      <c r="D21">
        <v>19804</v>
      </c>
      <c r="E21" t="str">
        <f t="shared" si="1"/>
        <v>ia.assorted_string like '%19804-06-2024%' or</v>
      </c>
      <c r="N21" s="17" t="s">
        <v>727</v>
      </c>
      <c r="O21" t="s">
        <v>728</v>
      </c>
      <c r="P21" t="s">
        <v>729</v>
      </c>
      <c r="Q21" t="s">
        <v>730</v>
      </c>
      <c r="R21" t="s">
        <v>731</v>
      </c>
      <c r="S21" t="s">
        <v>732</v>
      </c>
      <c r="T21">
        <v>19804</v>
      </c>
      <c r="U21">
        <v>6</v>
      </c>
      <c r="V21">
        <v>2024</v>
      </c>
    </row>
    <row r="22" spans="1:22" ht="15.75" x14ac:dyDescent="0.25">
      <c r="A22" s="17" t="s">
        <v>917</v>
      </c>
      <c r="B22" t="str">
        <f t="shared" si="0"/>
        <v>-06-2024</v>
      </c>
      <c r="D22">
        <v>19805</v>
      </c>
      <c r="E22" t="str">
        <f t="shared" si="1"/>
        <v>ia.assorted_string like '%19805-06-2024%' or</v>
      </c>
      <c r="N22" s="17" t="s">
        <v>727</v>
      </c>
      <c r="O22" t="s">
        <v>728</v>
      </c>
      <c r="P22" t="s">
        <v>729</v>
      </c>
      <c r="Q22" t="s">
        <v>730</v>
      </c>
      <c r="R22" t="s">
        <v>731</v>
      </c>
      <c r="S22" t="s">
        <v>732</v>
      </c>
      <c r="T22">
        <v>19805</v>
      </c>
      <c r="U22">
        <v>6</v>
      </c>
      <c r="V22">
        <v>2024</v>
      </c>
    </row>
    <row r="23" spans="1:22" ht="15.75" x14ac:dyDescent="0.25">
      <c r="A23" s="17" t="s">
        <v>918</v>
      </c>
      <c r="B23" t="str">
        <f t="shared" si="0"/>
        <v>-06-2024</v>
      </c>
      <c r="D23">
        <v>19806</v>
      </c>
      <c r="E23" t="str">
        <f t="shared" si="1"/>
        <v>ia.assorted_string like '%19806-06-2024%' or</v>
      </c>
      <c r="N23" s="17" t="s">
        <v>727</v>
      </c>
      <c r="O23" t="s">
        <v>728</v>
      </c>
      <c r="P23" t="s">
        <v>729</v>
      </c>
      <c r="Q23" t="s">
        <v>730</v>
      </c>
      <c r="R23" t="s">
        <v>731</v>
      </c>
      <c r="S23" t="s">
        <v>732</v>
      </c>
      <c r="T23">
        <v>19806</v>
      </c>
      <c r="U23">
        <v>6</v>
      </c>
      <c r="V23">
        <v>2024</v>
      </c>
    </row>
    <row r="24" spans="1:22" ht="15.75" x14ac:dyDescent="0.25">
      <c r="A24" s="17" t="s">
        <v>919</v>
      </c>
      <c r="B24" t="str">
        <f t="shared" si="0"/>
        <v>-06-2024</v>
      </c>
      <c r="D24">
        <v>19807</v>
      </c>
      <c r="E24" t="str">
        <f t="shared" si="1"/>
        <v>ia.assorted_string like '%19807-06-2024%' or</v>
      </c>
      <c r="N24" s="17" t="s">
        <v>727</v>
      </c>
      <c r="O24" t="s">
        <v>728</v>
      </c>
      <c r="P24" t="s">
        <v>729</v>
      </c>
      <c r="Q24" t="s">
        <v>730</v>
      </c>
      <c r="R24" t="s">
        <v>731</v>
      </c>
      <c r="S24" t="s">
        <v>732</v>
      </c>
      <c r="T24">
        <v>19807</v>
      </c>
      <c r="U24">
        <v>6</v>
      </c>
      <c r="V24">
        <v>2024</v>
      </c>
    </row>
    <row r="25" spans="1:22" ht="15.75" x14ac:dyDescent="0.25">
      <c r="A25" s="17" t="s">
        <v>920</v>
      </c>
      <c r="B25" t="str">
        <f t="shared" si="0"/>
        <v>-06-2024</v>
      </c>
      <c r="D25">
        <v>19808</v>
      </c>
      <c r="E25" t="str">
        <f t="shared" si="1"/>
        <v>ia.assorted_string like '%19808-06-2024%' or</v>
      </c>
      <c r="N25" s="17" t="s">
        <v>727</v>
      </c>
      <c r="O25" t="s">
        <v>728</v>
      </c>
      <c r="P25" t="s">
        <v>729</v>
      </c>
      <c r="Q25" t="s">
        <v>730</v>
      </c>
      <c r="R25" t="s">
        <v>731</v>
      </c>
      <c r="S25" t="s">
        <v>732</v>
      </c>
      <c r="T25">
        <v>19808</v>
      </c>
      <c r="U25">
        <v>6</v>
      </c>
      <c r="V25">
        <v>2024</v>
      </c>
    </row>
    <row r="26" spans="1:22" ht="15.75" x14ac:dyDescent="0.25">
      <c r="A26" s="17" t="s">
        <v>921</v>
      </c>
      <c r="B26" t="str">
        <f t="shared" si="0"/>
        <v>-06-2024</v>
      </c>
      <c r="D26">
        <v>19809</v>
      </c>
      <c r="E26" t="str">
        <f t="shared" si="1"/>
        <v>ia.assorted_string like '%19809-06-2024%' or</v>
      </c>
      <c r="N26" s="17" t="s">
        <v>727</v>
      </c>
      <c r="O26" t="s">
        <v>728</v>
      </c>
      <c r="P26" t="s">
        <v>729</v>
      </c>
      <c r="Q26" t="s">
        <v>730</v>
      </c>
      <c r="R26" t="s">
        <v>731</v>
      </c>
      <c r="S26" t="s">
        <v>732</v>
      </c>
      <c r="T26">
        <v>19809</v>
      </c>
      <c r="U26">
        <v>6</v>
      </c>
      <c r="V26">
        <v>2024</v>
      </c>
    </row>
    <row r="27" spans="1:22" ht="15.75" x14ac:dyDescent="0.25">
      <c r="A27" s="17" t="s">
        <v>922</v>
      </c>
      <c r="B27" t="str">
        <f t="shared" si="0"/>
        <v>-06-2024</v>
      </c>
      <c r="D27">
        <v>19812</v>
      </c>
      <c r="E27" t="str">
        <f t="shared" si="1"/>
        <v>ia.assorted_string like '%19812-06-2024%' or</v>
      </c>
      <c r="N27" s="17" t="s">
        <v>727</v>
      </c>
      <c r="O27" t="s">
        <v>728</v>
      </c>
      <c r="P27" t="s">
        <v>729</v>
      </c>
      <c r="Q27" t="s">
        <v>730</v>
      </c>
      <c r="R27" t="s">
        <v>731</v>
      </c>
      <c r="S27" t="s">
        <v>732</v>
      </c>
      <c r="T27">
        <v>19812</v>
      </c>
      <c r="U27">
        <v>6</v>
      </c>
      <c r="V27">
        <v>2024</v>
      </c>
    </row>
    <row r="28" spans="1:22" ht="15.75" x14ac:dyDescent="0.25">
      <c r="A28" s="17" t="s">
        <v>923</v>
      </c>
      <c r="B28" t="str">
        <f t="shared" si="0"/>
        <v>-06-2024</v>
      </c>
      <c r="D28">
        <v>19813</v>
      </c>
      <c r="E28" t="str">
        <f t="shared" si="1"/>
        <v>ia.assorted_string like '%19813-06-2024%' or</v>
      </c>
      <c r="N28" s="17" t="s">
        <v>727</v>
      </c>
      <c r="O28" t="s">
        <v>728</v>
      </c>
      <c r="P28" t="s">
        <v>729</v>
      </c>
      <c r="Q28" t="s">
        <v>730</v>
      </c>
      <c r="R28" t="s">
        <v>731</v>
      </c>
      <c r="S28" t="s">
        <v>732</v>
      </c>
      <c r="T28">
        <v>19813</v>
      </c>
      <c r="U28">
        <v>6</v>
      </c>
      <c r="V28">
        <v>2024</v>
      </c>
    </row>
    <row r="29" spans="1:22" ht="15.75" x14ac:dyDescent="0.25">
      <c r="A29" s="17" t="s">
        <v>924</v>
      </c>
      <c r="B29" t="str">
        <f t="shared" si="0"/>
        <v>-06-2024</v>
      </c>
      <c r="D29">
        <v>19815</v>
      </c>
      <c r="E29" t="str">
        <f t="shared" si="1"/>
        <v>ia.assorted_string like '%19815-06-2024%' or</v>
      </c>
      <c r="N29" s="17" t="s">
        <v>727</v>
      </c>
      <c r="O29" t="s">
        <v>728</v>
      </c>
      <c r="P29" t="s">
        <v>729</v>
      </c>
      <c r="Q29" t="s">
        <v>730</v>
      </c>
      <c r="R29" t="s">
        <v>731</v>
      </c>
      <c r="S29" t="s">
        <v>732</v>
      </c>
      <c r="T29">
        <v>19815</v>
      </c>
      <c r="U29">
        <v>6</v>
      </c>
      <c r="V29">
        <v>2024</v>
      </c>
    </row>
    <row r="30" spans="1:22" ht="15.75" x14ac:dyDescent="0.25">
      <c r="A30" s="17" t="s">
        <v>925</v>
      </c>
      <c r="B30" t="str">
        <f t="shared" si="0"/>
        <v>-06-2024</v>
      </c>
      <c r="D30">
        <v>19816</v>
      </c>
      <c r="E30" t="str">
        <f t="shared" si="1"/>
        <v>ia.assorted_string like '%19816-06-2024%' or</v>
      </c>
      <c r="N30" s="17" t="s">
        <v>727</v>
      </c>
      <c r="O30" t="s">
        <v>728</v>
      </c>
      <c r="P30" t="s">
        <v>729</v>
      </c>
      <c r="Q30" t="s">
        <v>730</v>
      </c>
      <c r="R30" t="s">
        <v>731</v>
      </c>
      <c r="S30" t="s">
        <v>732</v>
      </c>
      <c r="T30">
        <v>19816</v>
      </c>
      <c r="U30">
        <v>6</v>
      </c>
      <c r="V30">
        <v>2024</v>
      </c>
    </row>
    <row r="31" spans="1:22" ht="15.75" x14ac:dyDescent="0.25">
      <c r="A31" s="17" t="s">
        <v>926</v>
      </c>
      <c r="B31" t="str">
        <f t="shared" si="0"/>
        <v>-06-2024</v>
      </c>
      <c r="D31">
        <v>19817</v>
      </c>
      <c r="E31" t="str">
        <f t="shared" si="1"/>
        <v>ia.assorted_string like '%19817-06-2024%' or</v>
      </c>
      <c r="N31" s="17" t="s">
        <v>727</v>
      </c>
      <c r="O31" t="s">
        <v>728</v>
      </c>
      <c r="P31" t="s">
        <v>729</v>
      </c>
      <c r="Q31" t="s">
        <v>730</v>
      </c>
      <c r="R31" t="s">
        <v>731</v>
      </c>
      <c r="S31" t="s">
        <v>732</v>
      </c>
      <c r="T31">
        <v>19817</v>
      </c>
      <c r="U31">
        <v>6</v>
      </c>
      <c r="V31">
        <v>2024</v>
      </c>
    </row>
    <row r="32" spans="1:22" ht="15.75" x14ac:dyDescent="0.25">
      <c r="A32" s="17" t="s">
        <v>927</v>
      </c>
      <c r="B32" t="str">
        <f t="shared" si="0"/>
        <v>-06-2024</v>
      </c>
      <c r="D32">
        <v>19818</v>
      </c>
      <c r="E32" t="str">
        <f t="shared" si="1"/>
        <v>ia.assorted_string like '%19818-06-2024%' or</v>
      </c>
      <c r="N32" s="17" t="s">
        <v>727</v>
      </c>
      <c r="O32" t="s">
        <v>728</v>
      </c>
      <c r="P32" t="s">
        <v>729</v>
      </c>
      <c r="Q32" t="s">
        <v>730</v>
      </c>
      <c r="R32" t="s">
        <v>731</v>
      </c>
      <c r="S32" t="s">
        <v>732</v>
      </c>
      <c r="T32">
        <v>19818</v>
      </c>
      <c r="U32">
        <v>6</v>
      </c>
      <c r="V32">
        <v>2024</v>
      </c>
    </row>
    <row r="33" spans="1:22" ht="15.75" x14ac:dyDescent="0.25">
      <c r="A33" s="17" t="s">
        <v>928</v>
      </c>
      <c r="B33" t="str">
        <f t="shared" si="0"/>
        <v>-06-2024</v>
      </c>
      <c r="D33">
        <v>19819</v>
      </c>
      <c r="E33" t="str">
        <f t="shared" si="1"/>
        <v>ia.assorted_string like '%19819-06-2024%' or</v>
      </c>
      <c r="N33" s="17" t="s">
        <v>727</v>
      </c>
      <c r="O33" t="s">
        <v>728</v>
      </c>
      <c r="P33" t="s">
        <v>729</v>
      </c>
      <c r="Q33" t="s">
        <v>730</v>
      </c>
      <c r="R33" t="s">
        <v>731</v>
      </c>
      <c r="S33" t="s">
        <v>732</v>
      </c>
      <c r="T33">
        <v>19819</v>
      </c>
      <c r="U33">
        <v>6</v>
      </c>
      <c r="V33">
        <v>2024</v>
      </c>
    </row>
    <row r="34" spans="1:22" ht="15.75" x14ac:dyDescent="0.25">
      <c r="A34" s="17" t="s">
        <v>929</v>
      </c>
      <c r="B34" t="str">
        <f t="shared" si="0"/>
        <v>-06-2024</v>
      </c>
      <c r="D34">
        <v>19820</v>
      </c>
      <c r="E34" t="str">
        <f t="shared" si="1"/>
        <v>ia.assorted_string like '%19820-06-2024%' or</v>
      </c>
      <c r="N34" s="17" t="s">
        <v>727</v>
      </c>
      <c r="O34" t="s">
        <v>728</v>
      </c>
      <c r="P34" t="s">
        <v>729</v>
      </c>
      <c r="Q34" t="s">
        <v>730</v>
      </c>
      <c r="R34" t="s">
        <v>731</v>
      </c>
      <c r="S34" t="s">
        <v>732</v>
      </c>
      <c r="T34">
        <v>19820</v>
      </c>
      <c r="U34">
        <v>6</v>
      </c>
      <c r="V34">
        <v>2024</v>
      </c>
    </row>
    <row r="35" spans="1:22" ht="15.75" x14ac:dyDescent="0.25">
      <c r="A35" s="17" t="s">
        <v>930</v>
      </c>
      <c r="B35" t="str">
        <f t="shared" si="0"/>
        <v>-06-2024</v>
      </c>
      <c r="D35">
        <v>19821</v>
      </c>
      <c r="E35" t="str">
        <f t="shared" si="1"/>
        <v>ia.assorted_string like '%19821-06-2024%' or</v>
      </c>
      <c r="N35" s="17" t="s">
        <v>727</v>
      </c>
      <c r="O35" t="s">
        <v>728</v>
      </c>
      <c r="P35" t="s">
        <v>729</v>
      </c>
      <c r="Q35" t="s">
        <v>730</v>
      </c>
      <c r="R35" t="s">
        <v>731</v>
      </c>
      <c r="S35" t="s">
        <v>732</v>
      </c>
      <c r="T35">
        <v>19821</v>
      </c>
      <c r="U35">
        <v>6</v>
      </c>
      <c r="V35">
        <v>2024</v>
      </c>
    </row>
    <row r="36" spans="1:22" ht="15.75" x14ac:dyDescent="0.25">
      <c r="A36" s="17" t="s">
        <v>931</v>
      </c>
      <c r="B36" t="str">
        <f t="shared" si="0"/>
        <v>-06-2024</v>
      </c>
      <c r="D36">
        <v>19822</v>
      </c>
      <c r="E36" t="str">
        <f t="shared" si="1"/>
        <v>ia.assorted_string like '%19822-06-2024%' or</v>
      </c>
      <c r="N36" s="17" t="s">
        <v>727</v>
      </c>
      <c r="O36" t="s">
        <v>728</v>
      </c>
      <c r="P36" t="s">
        <v>729</v>
      </c>
      <c r="Q36" t="s">
        <v>730</v>
      </c>
      <c r="R36" t="s">
        <v>731</v>
      </c>
      <c r="S36" t="s">
        <v>732</v>
      </c>
      <c r="T36">
        <v>19822</v>
      </c>
      <c r="U36">
        <v>6</v>
      </c>
      <c r="V36">
        <v>2024</v>
      </c>
    </row>
    <row r="37" spans="1:22" ht="15.75" x14ac:dyDescent="0.25">
      <c r="A37" s="17" t="s">
        <v>932</v>
      </c>
      <c r="B37" t="str">
        <f t="shared" si="0"/>
        <v>-06-2024</v>
      </c>
      <c r="D37">
        <v>19823</v>
      </c>
      <c r="E37" t="str">
        <f t="shared" si="1"/>
        <v>ia.assorted_string like '%19823-06-2024%' or</v>
      </c>
      <c r="N37" s="17" t="s">
        <v>727</v>
      </c>
      <c r="O37" t="s">
        <v>728</v>
      </c>
      <c r="P37" t="s">
        <v>729</v>
      </c>
      <c r="Q37" t="s">
        <v>730</v>
      </c>
      <c r="R37" t="s">
        <v>731</v>
      </c>
      <c r="S37" t="s">
        <v>732</v>
      </c>
      <c r="T37">
        <v>19823</v>
      </c>
      <c r="U37">
        <v>6</v>
      </c>
      <c r="V37">
        <v>2024</v>
      </c>
    </row>
    <row r="38" spans="1:22" ht="15.75" x14ac:dyDescent="0.25">
      <c r="A38" s="17" t="s">
        <v>933</v>
      </c>
      <c r="B38" t="str">
        <f t="shared" si="0"/>
        <v>-06-2024</v>
      </c>
      <c r="D38">
        <v>19824</v>
      </c>
      <c r="E38" t="str">
        <f t="shared" si="1"/>
        <v>ia.assorted_string like '%19824-06-2024%' or</v>
      </c>
      <c r="N38" s="17" t="s">
        <v>727</v>
      </c>
      <c r="O38" t="s">
        <v>728</v>
      </c>
      <c r="P38" t="s">
        <v>729</v>
      </c>
      <c r="Q38" t="s">
        <v>730</v>
      </c>
      <c r="R38" t="s">
        <v>731</v>
      </c>
      <c r="S38" t="s">
        <v>732</v>
      </c>
      <c r="T38">
        <v>19824</v>
      </c>
      <c r="U38">
        <v>6</v>
      </c>
      <c r="V38">
        <v>2024</v>
      </c>
    </row>
    <row r="39" spans="1:22" ht="15.75" x14ac:dyDescent="0.25">
      <c r="A39" s="17" t="s">
        <v>934</v>
      </c>
      <c r="B39" t="str">
        <f t="shared" si="0"/>
        <v>-06-2024</v>
      </c>
      <c r="D39">
        <v>19825</v>
      </c>
      <c r="E39" t="str">
        <f t="shared" si="1"/>
        <v>ia.assorted_string like '%19825-06-2024%' or</v>
      </c>
      <c r="N39" s="17" t="s">
        <v>727</v>
      </c>
      <c r="O39" t="s">
        <v>728</v>
      </c>
      <c r="P39" t="s">
        <v>729</v>
      </c>
      <c r="Q39" t="s">
        <v>730</v>
      </c>
      <c r="R39" t="s">
        <v>731</v>
      </c>
      <c r="S39" t="s">
        <v>732</v>
      </c>
      <c r="T39">
        <v>19825</v>
      </c>
      <c r="U39">
        <v>6</v>
      </c>
      <c r="V39">
        <v>2024</v>
      </c>
    </row>
    <row r="40" spans="1:22" ht="15.75" x14ac:dyDescent="0.25">
      <c r="A40" s="17" t="s">
        <v>935</v>
      </c>
      <c r="B40" t="str">
        <f t="shared" si="0"/>
        <v>-06-2024</v>
      </c>
      <c r="D40">
        <v>19826</v>
      </c>
      <c r="E40" t="str">
        <f t="shared" si="1"/>
        <v>ia.assorted_string like '%19826-06-2024%' or</v>
      </c>
      <c r="N40" s="17" t="s">
        <v>727</v>
      </c>
      <c r="O40" t="s">
        <v>728</v>
      </c>
      <c r="P40" t="s">
        <v>729</v>
      </c>
      <c r="Q40" t="s">
        <v>730</v>
      </c>
      <c r="R40" t="s">
        <v>731</v>
      </c>
      <c r="S40" t="s">
        <v>732</v>
      </c>
      <c r="T40">
        <v>19826</v>
      </c>
      <c r="U40">
        <v>6</v>
      </c>
      <c r="V40">
        <v>2024</v>
      </c>
    </row>
    <row r="41" spans="1:22" ht="15.75" x14ac:dyDescent="0.25">
      <c r="A41" s="17" t="s">
        <v>936</v>
      </c>
      <c r="B41" t="str">
        <f t="shared" si="0"/>
        <v>-06-2024</v>
      </c>
      <c r="D41">
        <v>19827</v>
      </c>
      <c r="E41" t="str">
        <f t="shared" si="1"/>
        <v>ia.assorted_string like '%19827-06-2024%' or</v>
      </c>
      <c r="N41" s="17" t="s">
        <v>727</v>
      </c>
      <c r="O41" t="s">
        <v>728</v>
      </c>
      <c r="P41" t="s">
        <v>729</v>
      </c>
      <c r="Q41" t="s">
        <v>730</v>
      </c>
      <c r="R41" t="s">
        <v>731</v>
      </c>
      <c r="S41" t="s">
        <v>732</v>
      </c>
      <c r="T41">
        <v>19827</v>
      </c>
      <c r="U41">
        <v>6</v>
      </c>
      <c r="V41">
        <v>2024</v>
      </c>
    </row>
    <row r="42" spans="1:22" ht="15.75" x14ac:dyDescent="0.25">
      <c r="A42" s="17" t="s">
        <v>937</v>
      </c>
      <c r="B42" t="str">
        <f t="shared" si="0"/>
        <v>-06-2024</v>
      </c>
      <c r="D42">
        <v>19828</v>
      </c>
      <c r="E42" t="str">
        <f t="shared" si="1"/>
        <v>ia.assorted_string like '%19828-06-2024%' or</v>
      </c>
      <c r="N42" s="17" t="s">
        <v>727</v>
      </c>
      <c r="O42" t="s">
        <v>728</v>
      </c>
      <c r="P42" t="s">
        <v>729</v>
      </c>
      <c r="Q42" t="s">
        <v>730</v>
      </c>
      <c r="R42" t="s">
        <v>731</v>
      </c>
      <c r="S42" t="s">
        <v>732</v>
      </c>
      <c r="T42">
        <v>19828</v>
      </c>
      <c r="U42">
        <v>6</v>
      </c>
      <c r="V42">
        <v>2024</v>
      </c>
    </row>
    <row r="43" spans="1:22" ht="15.75" x14ac:dyDescent="0.25">
      <c r="A43" s="17" t="s">
        <v>938</v>
      </c>
      <c r="B43" t="str">
        <f t="shared" si="0"/>
        <v>-06-2024</v>
      </c>
      <c r="D43">
        <v>19829</v>
      </c>
      <c r="E43" t="str">
        <f t="shared" si="1"/>
        <v>ia.assorted_string like '%19829-06-2024%' or</v>
      </c>
      <c r="N43" s="17" t="s">
        <v>727</v>
      </c>
      <c r="O43" t="s">
        <v>728</v>
      </c>
      <c r="P43" t="s">
        <v>729</v>
      </c>
      <c r="Q43" t="s">
        <v>730</v>
      </c>
      <c r="R43" t="s">
        <v>731</v>
      </c>
      <c r="S43" t="s">
        <v>732</v>
      </c>
      <c r="T43">
        <v>19829</v>
      </c>
      <c r="U43">
        <v>6</v>
      </c>
      <c r="V43">
        <v>2024</v>
      </c>
    </row>
    <row r="44" spans="1:22" ht="15.75" x14ac:dyDescent="0.25">
      <c r="A44" s="17" t="s">
        <v>939</v>
      </c>
      <c r="B44" t="str">
        <f t="shared" si="0"/>
        <v>-06-2024</v>
      </c>
      <c r="D44">
        <v>19830</v>
      </c>
      <c r="E44" t="str">
        <f t="shared" si="1"/>
        <v>ia.assorted_string like '%19830-06-2024%' or</v>
      </c>
      <c r="N44" s="17" t="s">
        <v>727</v>
      </c>
      <c r="O44" t="s">
        <v>728</v>
      </c>
      <c r="P44" t="s">
        <v>729</v>
      </c>
      <c r="Q44" t="s">
        <v>730</v>
      </c>
      <c r="R44" t="s">
        <v>731</v>
      </c>
      <c r="S44" t="s">
        <v>732</v>
      </c>
      <c r="T44">
        <v>19830</v>
      </c>
      <c r="U44">
        <v>6</v>
      </c>
      <c r="V44">
        <v>2024</v>
      </c>
    </row>
    <row r="45" spans="1:22" ht="15.75" x14ac:dyDescent="0.25">
      <c r="A45" s="17" t="s">
        <v>940</v>
      </c>
      <c r="B45" t="str">
        <f t="shared" si="0"/>
        <v>-06-2024</v>
      </c>
      <c r="D45">
        <v>19831</v>
      </c>
      <c r="E45" t="str">
        <f t="shared" si="1"/>
        <v>ia.assorted_string like '%19831-06-2024%' or</v>
      </c>
      <c r="N45" s="17" t="s">
        <v>727</v>
      </c>
      <c r="O45" t="s">
        <v>728</v>
      </c>
      <c r="P45" t="s">
        <v>729</v>
      </c>
      <c r="Q45" t="s">
        <v>730</v>
      </c>
      <c r="R45" t="s">
        <v>731</v>
      </c>
      <c r="S45" t="s">
        <v>732</v>
      </c>
      <c r="T45">
        <v>19831</v>
      </c>
      <c r="U45">
        <v>6</v>
      </c>
      <c r="V45">
        <v>2024</v>
      </c>
    </row>
    <row r="46" spans="1:22" ht="15.75" x14ac:dyDescent="0.25">
      <c r="A46" s="17" t="s">
        <v>941</v>
      </c>
      <c r="B46" t="str">
        <f t="shared" si="0"/>
        <v>-06-2024</v>
      </c>
      <c r="D46">
        <v>19832</v>
      </c>
      <c r="E46" t="str">
        <f t="shared" si="1"/>
        <v>ia.assorted_string like '%19832-06-2024%' or</v>
      </c>
      <c r="N46" s="17" t="s">
        <v>727</v>
      </c>
      <c r="O46" t="s">
        <v>728</v>
      </c>
      <c r="P46" t="s">
        <v>729</v>
      </c>
      <c r="Q46" t="s">
        <v>730</v>
      </c>
      <c r="R46" t="s">
        <v>731</v>
      </c>
      <c r="S46" t="s">
        <v>732</v>
      </c>
      <c r="T46">
        <v>19832</v>
      </c>
      <c r="U46">
        <v>6</v>
      </c>
      <c r="V46">
        <v>2024</v>
      </c>
    </row>
    <row r="47" spans="1:22" ht="15.75" x14ac:dyDescent="0.25">
      <c r="A47" s="17" t="s">
        <v>942</v>
      </c>
      <c r="B47" t="str">
        <f t="shared" si="0"/>
        <v>-06-2024</v>
      </c>
      <c r="D47">
        <v>19833</v>
      </c>
      <c r="E47" t="str">
        <f t="shared" si="1"/>
        <v>ia.assorted_string like '%19833-06-2024%' or</v>
      </c>
      <c r="N47" s="17" t="s">
        <v>727</v>
      </c>
      <c r="O47" t="s">
        <v>728</v>
      </c>
      <c r="P47" t="s">
        <v>729</v>
      </c>
      <c r="Q47" t="s">
        <v>730</v>
      </c>
      <c r="R47" t="s">
        <v>731</v>
      </c>
      <c r="S47" t="s">
        <v>732</v>
      </c>
      <c r="T47">
        <v>19833</v>
      </c>
      <c r="U47">
        <v>6</v>
      </c>
      <c r="V47">
        <v>2024</v>
      </c>
    </row>
    <row r="48" spans="1:22" ht="15.75" x14ac:dyDescent="0.25">
      <c r="A48" s="17" t="s">
        <v>943</v>
      </c>
      <c r="B48" t="str">
        <f t="shared" si="0"/>
        <v>-06-2024</v>
      </c>
      <c r="D48">
        <v>19834</v>
      </c>
      <c r="E48" t="str">
        <f t="shared" si="1"/>
        <v>ia.assorted_string like '%19834-06-2024%' or</v>
      </c>
      <c r="N48" s="17" t="s">
        <v>727</v>
      </c>
      <c r="O48" t="s">
        <v>728</v>
      </c>
      <c r="P48" t="s">
        <v>729</v>
      </c>
      <c r="Q48" t="s">
        <v>730</v>
      </c>
      <c r="R48" t="s">
        <v>731</v>
      </c>
      <c r="S48" t="s">
        <v>732</v>
      </c>
      <c r="T48">
        <v>19834</v>
      </c>
      <c r="U48">
        <v>6</v>
      </c>
      <c r="V48">
        <v>2024</v>
      </c>
    </row>
    <row r="49" spans="1:22" ht="15.75" x14ac:dyDescent="0.25">
      <c r="A49" s="17" t="s">
        <v>944</v>
      </c>
      <c r="B49" t="str">
        <f t="shared" si="0"/>
        <v>-06-2024</v>
      </c>
      <c r="D49">
        <v>19835</v>
      </c>
      <c r="E49" t="str">
        <f t="shared" si="1"/>
        <v>ia.assorted_string like '%19835-06-2024%' or</v>
      </c>
      <c r="N49" s="17" t="s">
        <v>727</v>
      </c>
      <c r="O49" t="s">
        <v>728</v>
      </c>
      <c r="P49" t="s">
        <v>729</v>
      </c>
      <c r="Q49" t="s">
        <v>730</v>
      </c>
      <c r="R49" t="s">
        <v>731</v>
      </c>
      <c r="S49" t="s">
        <v>732</v>
      </c>
      <c r="T49">
        <v>19835</v>
      </c>
      <c r="U49">
        <v>6</v>
      </c>
      <c r="V49">
        <v>2024</v>
      </c>
    </row>
    <row r="50" spans="1:22" ht="15.75" x14ac:dyDescent="0.25">
      <c r="A50" s="17" t="s">
        <v>945</v>
      </c>
      <c r="B50" t="str">
        <f t="shared" si="0"/>
        <v>-06-2024</v>
      </c>
      <c r="D50">
        <v>19836</v>
      </c>
      <c r="E50" t="str">
        <f t="shared" si="1"/>
        <v>ia.assorted_string like '%19836-06-2024%' or</v>
      </c>
      <c r="N50" s="17" t="s">
        <v>727</v>
      </c>
      <c r="O50" t="s">
        <v>728</v>
      </c>
      <c r="P50" t="s">
        <v>729</v>
      </c>
      <c r="Q50" t="s">
        <v>730</v>
      </c>
      <c r="R50" t="s">
        <v>731</v>
      </c>
      <c r="S50" t="s">
        <v>732</v>
      </c>
      <c r="T50">
        <v>19836</v>
      </c>
      <c r="U50">
        <v>6</v>
      </c>
      <c r="V50">
        <v>2024</v>
      </c>
    </row>
    <row r="51" spans="1:22" ht="15.75" x14ac:dyDescent="0.25">
      <c r="A51" s="17" t="s">
        <v>946</v>
      </c>
      <c r="B51" t="str">
        <f t="shared" si="0"/>
        <v>-06-2024</v>
      </c>
      <c r="D51">
        <v>19838</v>
      </c>
      <c r="E51" t="str">
        <f t="shared" si="1"/>
        <v>ia.assorted_string like '%19838-06-2024%' or</v>
      </c>
      <c r="N51" s="17" t="s">
        <v>727</v>
      </c>
      <c r="O51" t="s">
        <v>728</v>
      </c>
      <c r="P51" t="s">
        <v>729</v>
      </c>
      <c r="Q51" t="s">
        <v>730</v>
      </c>
      <c r="R51" t="s">
        <v>731</v>
      </c>
      <c r="S51" t="s">
        <v>732</v>
      </c>
      <c r="T51">
        <v>19838</v>
      </c>
      <c r="U51">
        <v>6</v>
      </c>
      <c r="V51">
        <v>2024</v>
      </c>
    </row>
    <row r="52" spans="1:22" ht="15.75" x14ac:dyDescent="0.25">
      <c r="A52" s="17" t="s">
        <v>947</v>
      </c>
      <c r="B52" t="str">
        <f t="shared" si="0"/>
        <v>-06-2024</v>
      </c>
      <c r="D52">
        <v>19839</v>
      </c>
      <c r="E52" t="str">
        <f t="shared" si="1"/>
        <v>ia.assorted_string like '%19839-06-2024%' or</v>
      </c>
      <c r="N52" s="17" t="s">
        <v>727</v>
      </c>
      <c r="O52" t="s">
        <v>728</v>
      </c>
      <c r="P52" t="s">
        <v>729</v>
      </c>
      <c r="Q52" t="s">
        <v>730</v>
      </c>
      <c r="R52" t="s">
        <v>731</v>
      </c>
      <c r="S52" t="s">
        <v>732</v>
      </c>
      <c r="T52">
        <v>19839</v>
      </c>
      <c r="U52">
        <v>6</v>
      </c>
      <c r="V52">
        <v>2024</v>
      </c>
    </row>
    <row r="53" spans="1:22" ht="15.75" x14ac:dyDescent="0.25">
      <c r="A53" s="17" t="s">
        <v>948</v>
      </c>
      <c r="B53" t="str">
        <f t="shared" si="0"/>
        <v>-06-2024</v>
      </c>
      <c r="D53">
        <v>19840</v>
      </c>
      <c r="E53" t="str">
        <f t="shared" si="1"/>
        <v>ia.assorted_string like '%19840-06-2024%' or</v>
      </c>
      <c r="N53" s="17" t="s">
        <v>727</v>
      </c>
      <c r="O53" t="s">
        <v>728</v>
      </c>
      <c r="P53" t="s">
        <v>729</v>
      </c>
      <c r="Q53" t="s">
        <v>730</v>
      </c>
      <c r="R53" t="s">
        <v>731</v>
      </c>
      <c r="S53" t="s">
        <v>732</v>
      </c>
      <c r="T53">
        <v>19840</v>
      </c>
      <c r="U53">
        <v>6</v>
      </c>
      <c r="V53">
        <v>2024</v>
      </c>
    </row>
    <row r="54" spans="1:22" ht="15.75" x14ac:dyDescent="0.25">
      <c r="A54" s="17" t="s">
        <v>949</v>
      </c>
      <c r="B54" t="str">
        <f t="shared" si="0"/>
        <v>-06-2024</v>
      </c>
      <c r="D54">
        <v>19841</v>
      </c>
      <c r="E54" t="str">
        <f t="shared" si="1"/>
        <v>ia.assorted_string like '%19841-06-2024%' or</v>
      </c>
      <c r="N54" s="17" t="s">
        <v>727</v>
      </c>
      <c r="O54" t="s">
        <v>728</v>
      </c>
      <c r="P54" t="s">
        <v>729</v>
      </c>
      <c r="Q54" t="s">
        <v>730</v>
      </c>
      <c r="R54" t="s">
        <v>731</v>
      </c>
      <c r="S54" t="s">
        <v>732</v>
      </c>
      <c r="T54">
        <v>19841</v>
      </c>
      <c r="U54">
        <v>6</v>
      </c>
      <c r="V54">
        <v>2024</v>
      </c>
    </row>
    <row r="55" spans="1:22" ht="15.75" x14ac:dyDescent="0.25">
      <c r="A55" s="17" t="s">
        <v>950</v>
      </c>
      <c r="B55" t="str">
        <f t="shared" si="0"/>
        <v>-06-2024</v>
      </c>
      <c r="D55">
        <v>19842</v>
      </c>
      <c r="E55" t="str">
        <f t="shared" si="1"/>
        <v>ia.assorted_string like '%19842-06-2024%' or</v>
      </c>
      <c r="N55" s="17" t="s">
        <v>727</v>
      </c>
      <c r="O55" t="s">
        <v>728</v>
      </c>
      <c r="P55" t="s">
        <v>729</v>
      </c>
      <c r="Q55" t="s">
        <v>730</v>
      </c>
      <c r="R55" t="s">
        <v>731</v>
      </c>
      <c r="S55" t="s">
        <v>732</v>
      </c>
      <c r="T55">
        <v>19842</v>
      </c>
      <c r="U55">
        <v>6</v>
      </c>
      <c r="V55">
        <v>2024</v>
      </c>
    </row>
    <row r="56" spans="1:22" ht="15.75" x14ac:dyDescent="0.25">
      <c r="A56" s="17" t="s">
        <v>951</v>
      </c>
      <c r="B56" t="str">
        <f t="shared" si="0"/>
        <v>-06-2024</v>
      </c>
      <c r="D56">
        <v>19844</v>
      </c>
      <c r="E56" t="str">
        <f t="shared" si="1"/>
        <v>ia.assorted_string like '%19844-06-2024%' or</v>
      </c>
      <c r="N56" s="17" t="s">
        <v>727</v>
      </c>
      <c r="O56" t="s">
        <v>728</v>
      </c>
      <c r="P56" t="s">
        <v>729</v>
      </c>
      <c r="Q56" t="s">
        <v>730</v>
      </c>
      <c r="R56" t="s">
        <v>731</v>
      </c>
      <c r="S56" t="s">
        <v>732</v>
      </c>
      <c r="T56">
        <v>19844</v>
      </c>
      <c r="U56">
        <v>6</v>
      </c>
      <c r="V56">
        <v>2024</v>
      </c>
    </row>
    <row r="57" spans="1:22" ht="15.75" x14ac:dyDescent="0.25">
      <c r="A57" s="17" t="s">
        <v>952</v>
      </c>
      <c r="B57" t="str">
        <f t="shared" si="0"/>
        <v>-06-2024</v>
      </c>
      <c r="D57">
        <v>19846</v>
      </c>
      <c r="E57" t="str">
        <f t="shared" si="1"/>
        <v>ia.assorted_string like '%19846-06-2024%' or</v>
      </c>
      <c r="N57" s="1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>
        <v>19846</v>
      </c>
      <c r="U57">
        <v>6</v>
      </c>
      <c r="V57">
        <v>2024</v>
      </c>
    </row>
    <row r="58" spans="1:22" ht="15.75" x14ac:dyDescent="0.25">
      <c r="A58" s="17" t="s">
        <v>953</v>
      </c>
      <c r="B58" t="str">
        <f t="shared" si="0"/>
        <v>-06-2024</v>
      </c>
      <c r="D58">
        <v>19847</v>
      </c>
      <c r="E58" t="str">
        <f t="shared" si="1"/>
        <v>ia.assorted_string like '%19847-06-2024%' or</v>
      </c>
      <c r="N58" s="17" t="s">
        <v>727</v>
      </c>
      <c r="O58" t="s">
        <v>728</v>
      </c>
      <c r="P58" t="s">
        <v>729</v>
      </c>
      <c r="Q58" t="s">
        <v>730</v>
      </c>
      <c r="R58" t="s">
        <v>731</v>
      </c>
      <c r="S58" t="s">
        <v>732</v>
      </c>
      <c r="T58">
        <v>19847</v>
      </c>
      <c r="U58">
        <v>6</v>
      </c>
      <c r="V58">
        <v>2024</v>
      </c>
    </row>
    <row r="59" spans="1:22" ht="15.75" x14ac:dyDescent="0.25">
      <c r="A59" s="17" t="s">
        <v>954</v>
      </c>
      <c r="B59" t="str">
        <f t="shared" si="0"/>
        <v>-06-2024</v>
      </c>
      <c r="D59">
        <v>19849</v>
      </c>
      <c r="E59" t="str">
        <f t="shared" si="1"/>
        <v>ia.assorted_string like '%19849-06-2024%' or</v>
      </c>
      <c r="N59" s="17" t="s">
        <v>727</v>
      </c>
      <c r="O59" t="s">
        <v>728</v>
      </c>
      <c r="P59" t="s">
        <v>729</v>
      </c>
      <c r="Q59" t="s">
        <v>730</v>
      </c>
      <c r="R59" t="s">
        <v>731</v>
      </c>
      <c r="S59" t="s">
        <v>732</v>
      </c>
      <c r="T59">
        <v>19849</v>
      </c>
      <c r="U59">
        <v>6</v>
      </c>
      <c r="V59">
        <v>2024</v>
      </c>
    </row>
    <row r="60" spans="1:22" ht="15.75" x14ac:dyDescent="0.25">
      <c r="A60" s="17" t="s">
        <v>955</v>
      </c>
      <c r="B60" t="str">
        <f t="shared" si="0"/>
        <v>-06-2024</v>
      </c>
      <c r="D60">
        <v>19850</v>
      </c>
      <c r="E60" t="str">
        <f t="shared" si="1"/>
        <v>ia.assorted_string like '%19850-06-2024%' or</v>
      </c>
      <c r="N60" s="17" t="s">
        <v>727</v>
      </c>
      <c r="O60" t="s">
        <v>728</v>
      </c>
      <c r="P60" t="s">
        <v>729</v>
      </c>
      <c r="Q60" t="s">
        <v>730</v>
      </c>
      <c r="R60" t="s">
        <v>731</v>
      </c>
      <c r="S60" t="s">
        <v>732</v>
      </c>
      <c r="T60">
        <v>19850</v>
      </c>
      <c r="U60">
        <v>6</v>
      </c>
      <c r="V60">
        <v>2024</v>
      </c>
    </row>
    <row r="61" spans="1:22" ht="15.75" x14ac:dyDescent="0.25">
      <c r="A61" s="17" t="s">
        <v>956</v>
      </c>
      <c r="B61" t="str">
        <f t="shared" si="0"/>
        <v>-06-2024</v>
      </c>
      <c r="D61">
        <v>19851</v>
      </c>
      <c r="E61" t="str">
        <f t="shared" si="1"/>
        <v>ia.assorted_string like '%19851-06-2024%' or</v>
      </c>
      <c r="N61" s="17" t="s">
        <v>727</v>
      </c>
      <c r="O61" t="s">
        <v>728</v>
      </c>
      <c r="P61" t="s">
        <v>729</v>
      </c>
      <c r="Q61" t="s">
        <v>730</v>
      </c>
      <c r="R61" t="s">
        <v>731</v>
      </c>
      <c r="S61" t="s">
        <v>732</v>
      </c>
      <c r="T61">
        <v>19851</v>
      </c>
      <c r="U61">
        <v>6</v>
      </c>
      <c r="V61">
        <v>2024</v>
      </c>
    </row>
    <row r="62" spans="1:22" ht="15.75" x14ac:dyDescent="0.25">
      <c r="A62" s="17" t="s">
        <v>957</v>
      </c>
      <c r="B62" t="str">
        <f t="shared" si="0"/>
        <v>-06-2024</v>
      </c>
      <c r="D62">
        <v>19852</v>
      </c>
      <c r="E62" t="str">
        <f t="shared" si="1"/>
        <v>ia.assorted_string like '%19852-06-2024%' or</v>
      </c>
      <c r="N62" s="17" t="s">
        <v>727</v>
      </c>
      <c r="O62" t="s">
        <v>728</v>
      </c>
      <c r="P62" t="s">
        <v>729</v>
      </c>
      <c r="Q62" t="s">
        <v>730</v>
      </c>
      <c r="R62" t="s">
        <v>731</v>
      </c>
      <c r="S62" t="s">
        <v>732</v>
      </c>
      <c r="T62">
        <v>19852</v>
      </c>
      <c r="U62">
        <v>6</v>
      </c>
      <c r="V62">
        <v>2024</v>
      </c>
    </row>
    <row r="63" spans="1:22" ht="15.75" x14ac:dyDescent="0.25">
      <c r="A63" s="17" t="s">
        <v>958</v>
      </c>
      <c r="B63" t="str">
        <f t="shared" si="0"/>
        <v>-06-2024</v>
      </c>
      <c r="D63">
        <v>19853</v>
      </c>
      <c r="E63" t="str">
        <f t="shared" si="1"/>
        <v>ia.assorted_string like '%19853-06-2024%' or</v>
      </c>
      <c r="N63" s="17" t="s">
        <v>727</v>
      </c>
      <c r="O63" t="s">
        <v>728</v>
      </c>
      <c r="P63" t="s">
        <v>729</v>
      </c>
      <c r="Q63" t="s">
        <v>730</v>
      </c>
      <c r="R63" t="s">
        <v>731</v>
      </c>
      <c r="S63" t="s">
        <v>732</v>
      </c>
      <c r="T63">
        <v>19853</v>
      </c>
      <c r="U63">
        <v>6</v>
      </c>
      <c r="V63">
        <v>2024</v>
      </c>
    </row>
    <row r="64" spans="1:22" ht="15.75" x14ac:dyDescent="0.25">
      <c r="A64" s="17" t="s">
        <v>959</v>
      </c>
      <c r="B64" t="str">
        <f t="shared" si="0"/>
        <v>-06-2024</v>
      </c>
      <c r="D64">
        <v>19854</v>
      </c>
      <c r="E64" t="str">
        <f t="shared" si="1"/>
        <v>ia.assorted_string like '%19854-06-2024%' or</v>
      </c>
      <c r="N64" s="17" t="s">
        <v>727</v>
      </c>
      <c r="O64" t="s">
        <v>728</v>
      </c>
      <c r="P64" t="s">
        <v>729</v>
      </c>
      <c r="Q64" t="s">
        <v>730</v>
      </c>
      <c r="R64" t="s">
        <v>731</v>
      </c>
      <c r="S64" t="s">
        <v>732</v>
      </c>
      <c r="T64">
        <v>19854</v>
      </c>
      <c r="U64">
        <v>6</v>
      </c>
      <c r="V64">
        <v>2024</v>
      </c>
    </row>
    <row r="65" spans="1:22" ht="15.75" x14ac:dyDescent="0.25">
      <c r="A65" s="17" t="s">
        <v>960</v>
      </c>
      <c r="B65" t="str">
        <f t="shared" si="0"/>
        <v>-06-2024</v>
      </c>
      <c r="D65">
        <v>19856</v>
      </c>
      <c r="E65" t="str">
        <f t="shared" si="1"/>
        <v>ia.assorted_string like '%19856-06-2024%' or</v>
      </c>
      <c r="N65" s="17" t="s">
        <v>727</v>
      </c>
      <c r="O65" t="s">
        <v>728</v>
      </c>
      <c r="P65" t="s">
        <v>729</v>
      </c>
      <c r="Q65" t="s">
        <v>730</v>
      </c>
      <c r="R65" t="s">
        <v>731</v>
      </c>
      <c r="S65" t="s">
        <v>732</v>
      </c>
      <c r="T65">
        <v>19856</v>
      </c>
      <c r="U65">
        <v>6</v>
      </c>
      <c r="V65">
        <v>2024</v>
      </c>
    </row>
    <row r="66" spans="1:22" ht="15.75" x14ac:dyDescent="0.25">
      <c r="A66" s="17" t="s">
        <v>961</v>
      </c>
      <c r="B66" t="str">
        <f t="shared" ref="B66:B127" si="2">RIGHT(A66,8)</f>
        <v>-06-2024</v>
      </c>
      <c r="D66">
        <v>19862</v>
      </c>
      <c r="E66" t="str">
        <f t="shared" ref="E66:E127" si="3">"ia.assorted_string like '%"&amp;D66&amp;B66&amp;"%' or"</f>
        <v>ia.assorted_string like '%19862-06-2024%' or</v>
      </c>
      <c r="N66" s="17" t="s">
        <v>727</v>
      </c>
      <c r="O66" t="s">
        <v>728</v>
      </c>
      <c r="P66" t="s">
        <v>729</v>
      </c>
      <c r="Q66" t="s">
        <v>730</v>
      </c>
      <c r="R66" t="s">
        <v>731</v>
      </c>
      <c r="S66" t="s">
        <v>732</v>
      </c>
      <c r="T66">
        <v>19862</v>
      </c>
      <c r="U66">
        <v>6</v>
      </c>
      <c r="V66">
        <v>2024</v>
      </c>
    </row>
    <row r="67" spans="1:22" ht="15.75" x14ac:dyDescent="0.25">
      <c r="A67" s="17" t="s">
        <v>962</v>
      </c>
      <c r="B67" t="str">
        <f t="shared" si="2"/>
        <v>-06-2024</v>
      </c>
      <c r="D67">
        <v>19863</v>
      </c>
      <c r="E67" t="str">
        <f t="shared" si="3"/>
        <v>ia.assorted_string like '%19863-06-2024%' or</v>
      </c>
      <c r="N67" s="17" t="s">
        <v>727</v>
      </c>
      <c r="O67" t="s">
        <v>728</v>
      </c>
      <c r="P67" t="s">
        <v>729</v>
      </c>
      <c r="Q67" t="s">
        <v>730</v>
      </c>
      <c r="R67" t="s">
        <v>731</v>
      </c>
      <c r="S67" t="s">
        <v>732</v>
      </c>
      <c r="T67">
        <v>19863</v>
      </c>
      <c r="U67">
        <v>6</v>
      </c>
      <c r="V67">
        <v>2024</v>
      </c>
    </row>
    <row r="68" spans="1:22" ht="15.75" x14ac:dyDescent="0.25">
      <c r="A68" s="17" t="s">
        <v>963</v>
      </c>
      <c r="B68" t="str">
        <f t="shared" si="2"/>
        <v>-06-2024</v>
      </c>
      <c r="D68">
        <v>19864</v>
      </c>
      <c r="E68" t="str">
        <f t="shared" si="3"/>
        <v>ia.assorted_string like '%19864-06-2024%' or</v>
      </c>
      <c r="N68" s="17" t="s">
        <v>727</v>
      </c>
      <c r="O68" t="s">
        <v>728</v>
      </c>
      <c r="P68" t="s">
        <v>729</v>
      </c>
      <c r="Q68" t="s">
        <v>730</v>
      </c>
      <c r="R68" t="s">
        <v>731</v>
      </c>
      <c r="S68" t="s">
        <v>732</v>
      </c>
      <c r="T68">
        <v>19864</v>
      </c>
      <c r="U68">
        <v>6</v>
      </c>
      <c r="V68">
        <v>2024</v>
      </c>
    </row>
    <row r="69" spans="1:22" ht="15.75" x14ac:dyDescent="0.25">
      <c r="A69" s="17" t="s">
        <v>964</v>
      </c>
      <c r="B69" t="str">
        <f t="shared" si="2"/>
        <v>-06-2024</v>
      </c>
      <c r="D69">
        <v>19865</v>
      </c>
      <c r="E69" t="str">
        <f t="shared" si="3"/>
        <v>ia.assorted_string like '%19865-06-2024%' or</v>
      </c>
      <c r="N69" s="17" t="s">
        <v>727</v>
      </c>
      <c r="O69" t="s">
        <v>728</v>
      </c>
      <c r="P69" t="s">
        <v>729</v>
      </c>
      <c r="Q69" t="s">
        <v>730</v>
      </c>
      <c r="R69" t="s">
        <v>731</v>
      </c>
      <c r="S69" t="s">
        <v>732</v>
      </c>
      <c r="T69">
        <v>19865</v>
      </c>
      <c r="U69">
        <v>6</v>
      </c>
      <c r="V69">
        <v>2024</v>
      </c>
    </row>
    <row r="70" spans="1:22" ht="15.75" x14ac:dyDescent="0.25">
      <c r="A70" s="17" t="s">
        <v>965</v>
      </c>
      <c r="B70" t="str">
        <f t="shared" si="2"/>
        <v>-06-2024</v>
      </c>
      <c r="D70">
        <v>19866</v>
      </c>
      <c r="E70" t="str">
        <f t="shared" si="3"/>
        <v>ia.assorted_string like '%19866-06-2024%' or</v>
      </c>
      <c r="N70" s="17" t="s">
        <v>727</v>
      </c>
      <c r="O70" t="s">
        <v>728</v>
      </c>
      <c r="P70" t="s">
        <v>729</v>
      </c>
      <c r="Q70" t="s">
        <v>730</v>
      </c>
      <c r="R70" t="s">
        <v>731</v>
      </c>
      <c r="S70" t="s">
        <v>732</v>
      </c>
      <c r="T70">
        <v>19866</v>
      </c>
      <c r="U70">
        <v>6</v>
      </c>
      <c r="V70">
        <v>2024</v>
      </c>
    </row>
    <row r="71" spans="1:22" ht="15.75" x14ac:dyDescent="0.25">
      <c r="A71" s="17" t="s">
        <v>966</v>
      </c>
      <c r="B71" t="str">
        <f t="shared" si="2"/>
        <v>-06-2024</v>
      </c>
      <c r="D71">
        <v>19867</v>
      </c>
      <c r="E71" t="str">
        <f t="shared" si="3"/>
        <v>ia.assorted_string like '%19867-06-2024%' or</v>
      </c>
      <c r="N71" s="17" t="s">
        <v>727</v>
      </c>
      <c r="O71" t="s">
        <v>728</v>
      </c>
      <c r="P71" t="s">
        <v>729</v>
      </c>
      <c r="Q71" t="s">
        <v>730</v>
      </c>
      <c r="R71" t="s">
        <v>731</v>
      </c>
      <c r="S71" t="s">
        <v>732</v>
      </c>
      <c r="T71">
        <v>19867</v>
      </c>
      <c r="U71">
        <v>6</v>
      </c>
      <c r="V71">
        <v>2024</v>
      </c>
    </row>
    <row r="72" spans="1:22" ht="15.75" x14ac:dyDescent="0.25">
      <c r="A72" s="17" t="s">
        <v>967</v>
      </c>
      <c r="B72" t="str">
        <f t="shared" si="2"/>
        <v>-06-2024</v>
      </c>
      <c r="D72">
        <v>19868</v>
      </c>
      <c r="E72" t="str">
        <f t="shared" si="3"/>
        <v>ia.assorted_string like '%19868-06-2024%' or</v>
      </c>
      <c r="N72" s="17" t="s">
        <v>727</v>
      </c>
      <c r="O72" t="s">
        <v>728</v>
      </c>
      <c r="P72" t="s">
        <v>729</v>
      </c>
      <c r="Q72" t="s">
        <v>730</v>
      </c>
      <c r="R72" t="s">
        <v>731</v>
      </c>
      <c r="S72" t="s">
        <v>732</v>
      </c>
      <c r="T72">
        <v>19868</v>
      </c>
      <c r="U72">
        <v>6</v>
      </c>
      <c r="V72">
        <v>2024</v>
      </c>
    </row>
    <row r="73" spans="1:22" ht="15.75" x14ac:dyDescent="0.25">
      <c r="A73" s="17" t="s">
        <v>968</v>
      </c>
      <c r="B73" t="str">
        <f t="shared" si="2"/>
        <v>-06-2024</v>
      </c>
      <c r="D73">
        <v>19869</v>
      </c>
      <c r="E73" t="str">
        <f t="shared" si="3"/>
        <v>ia.assorted_string like '%19869-06-2024%' or</v>
      </c>
      <c r="N73" s="17" t="s">
        <v>727</v>
      </c>
      <c r="O73" t="s">
        <v>728</v>
      </c>
      <c r="P73" t="s">
        <v>729</v>
      </c>
      <c r="Q73" t="s">
        <v>730</v>
      </c>
      <c r="R73" t="s">
        <v>731</v>
      </c>
      <c r="S73" t="s">
        <v>732</v>
      </c>
      <c r="T73">
        <v>19869</v>
      </c>
      <c r="U73">
        <v>6</v>
      </c>
      <c r="V73">
        <v>2024</v>
      </c>
    </row>
    <row r="74" spans="1:22" ht="15.75" x14ac:dyDescent="0.25">
      <c r="A74" s="17" t="s">
        <v>969</v>
      </c>
      <c r="B74" t="str">
        <f t="shared" si="2"/>
        <v>-06-2024</v>
      </c>
      <c r="D74">
        <v>19870</v>
      </c>
      <c r="E74" t="str">
        <f t="shared" si="3"/>
        <v>ia.assorted_string like '%19870-06-2024%' or</v>
      </c>
      <c r="N74" s="17" t="s">
        <v>727</v>
      </c>
      <c r="O74" t="s">
        <v>728</v>
      </c>
      <c r="P74" t="s">
        <v>729</v>
      </c>
      <c r="Q74" t="s">
        <v>730</v>
      </c>
      <c r="R74" t="s">
        <v>731</v>
      </c>
      <c r="S74" t="s">
        <v>732</v>
      </c>
      <c r="T74">
        <v>19870</v>
      </c>
      <c r="U74">
        <v>6</v>
      </c>
      <c r="V74">
        <v>2024</v>
      </c>
    </row>
    <row r="75" spans="1:22" ht="15.75" x14ac:dyDescent="0.25">
      <c r="A75" s="17" t="s">
        <v>970</v>
      </c>
      <c r="B75" t="str">
        <f t="shared" si="2"/>
        <v>-06-2024</v>
      </c>
      <c r="D75">
        <v>19871</v>
      </c>
      <c r="E75" t="str">
        <f t="shared" si="3"/>
        <v>ia.assorted_string like '%19871-06-2024%' or</v>
      </c>
      <c r="N75" s="17" t="s">
        <v>727</v>
      </c>
      <c r="O75" t="s">
        <v>728</v>
      </c>
      <c r="P75" t="s">
        <v>729</v>
      </c>
      <c r="Q75" t="s">
        <v>730</v>
      </c>
      <c r="R75" t="s">
        <v>731</v>
      </c>
      <c r="S75" t="s">
        <v>732</v>
      </c>
      <c r="T75">
        <v>19871</v>
      </c>
      <c r="U75">
        <v>6</v>
      </c>
      <c r="V75">
        <v>2024</v>
      </c>
    </row>
    <row r="76" spans="1:22" ht="15.75" x14ac:dyDescent="0.25">
      <c r="A76" s="17" t="s">
        <v>971</v>
      </c>
      <c r="B76" t="str">
        <f t="shared" si="2"/>
        <v>-06-2024</v>
      </c>
      <c r="D76">
        <v>19872</v>
      </c>
      <c r="E76" t="str">
        <f t="shared" si="3"/>
        <v>ia.assorted_string like '%19872-06-2024%' or</v>
      </c>
      <c r="N76" s="17" t="s">
        <v>727</v>
      </c>
      <c r="O76" t="s">
        <v>728</v>
      </c>
      <c r="P76" t="s">
        <v>729</v>
      </c>
      <c r="Q76" t="s">
        <v>730</v>
      </c>
      <c r="R76" t="s">
        <v>731</v>
      </c>
      <c r="S76" t="s">
        <v>732</v>
      </c>
      <c r="T76">
        <v>19872</v>
      </c>
      <c r="U76">
        <v>6</v>
      </c>
      <c r="V76">
        <v>2024</v>
      </c>
    </row>
    <row r="77" spans="1:22" ht="15.75" x14ac:dyDescent="0.25">
      <c r="A77" s="17" t="s">
        <v>972</v>
      </c>
      <c r="B77" t="str">
        <f t="shared" si="2"/>
        <v>-06-2024</v>
      </c>
      <c r="D77">
        <v>19873</v>
      </c>
      <c r="E77" t="str">
        <f t="shared" si="3"/>
        <v>ia.assorted_string like '%19873-06-2024%' or</v>
      </c>
      <c r="N77" s="17" t="s">
        <v>727</v>
      </c>
      <c r="O77" t="s">
        <v>728</v>
      </c>
      <c r="P77" t="s">
        <v>729</v>
      </c>
      <c r="Q77" t="s">
        <v>730</v>
      </c>
      <c r="R77" t="s">
        <v>731</v>
      </c>
      <c r="S77" t="s">
        <v>732</v>
      </c>
      <c r="T77">
        <v>19873</v>
      </c>
      <c r="U77">
        <v>6</v>
      </c>
      <c r="V77">
        <v>2024</v>
      </c>
    </row>
    <row r="78" spans="1:22" ht="15.75" x14ac:dyDescent="0.25">
      <c r="A78" s="17" t="s">
        <v>973</v>
      </c>
      <c r="B78" t="str">
        <f t="shared" si="2"/>
        <v>-06-2024</v>
      </c>
      <c r="D78">
        <v>19874</v>
      </c>
      <c r="E78" t="str">
        <f t="shared" si="3"/>
        <v>ia.assorted_string like '%19874-06-2024%' or</v>
      </c>
      <c r="N78" s="17" t="s">
        <v>727</v>
      </c>
      <c r="O78" t="s">
        <v>728</v>
      </c>
      <c r="P78" t="s">
        <v>729</v>
      </c>
      <c r="Q78" t="s">
        <v>730</v>
      </c>
      <c r="R78" t="s">
        <v>731</v>
      </c>
      <c r="S78" t="s">
        <v>732</v>
      </c>
      <c r="T78">
        <v>19874</v>
      </c>
      <c r="U78">
        <v>6</v>
      </c>
      <c r="V78">
        <v>2024</v>
      </c>
    </row>
    <row r="79" spans="1:22" ht="15.75" x14ac:dyDescent="0.25">
      <c r="A79" s="17" t="s">
        <v>974</v>
      </c>
      <c r="B79" t="str">
        <f t="shared" si="2"/>
        <v>-06-2024</v>
      </c>
      <c r="D79">
        <v>19875</v>
      </c>
      <c r="E79" t="str">
        <f t="shared" si="3"/>
        <v>ia.assorted_string like '%19875-06-2024%' or</v>
      </c>
      <c r="N79" s="17" t="s">
        <v>727</v>
      </c>
      <c r="O79" t="s">
        <v>728</v>
      </c>
      <c r="P79" t="s">
        <v>729</v>
      </c>
      <c r="Q79" t="s">
        <v>730</v>
      </c>
      <c r="R79" t="s">
        <v>731</v>
      </c>
      <c r="S79" t="s">
        <v>732</v>
      </c>
      <c r="T79">
        <v>19875</v>
      </c>
      <c r="U79">
        <v>6</v>
      </c>
      <c r="V79">
        <v>2024</v>
      </c>
    </row>
    <row r="80" spans="1:22" ht="15.75" x14ac:dyDescent="0.25">
      <c r="A80" s="17" t="s">
        <v>975</v>
      </c>
      <c r="B80" t="str">
        <f t="shared" si="2"/>
        <v>-06-2024</v>
      </c>
      <c r="D80">
        <v>19876</v>
      </c>
      <c r="E80" t="str">
        <f t="shared" si="3"/>
        <v>ia.assorted_string like '%19876-06-2024%' or</v>
      </c>
      <c r="N80" s="17" t="s">
        <v>727</v>
      </c>
      <c r="O80" t="s">
        <v>728</v>
      </c>
      <c r="P80" t="s">
        <v>729</v>
      </c>
      <c r="Q80" t="s">
        <v>730</v>
      </c>
      <c r="R80" t="s">
        <v>731</v>
      </c>
      <c r="S80" t="s">
        <v>732</v>
      </c>
      <c r="T80">
        <v>19876</v>
      </c>
      <c r="U80">
        <v>6</v>
      </c>
      <c r="V80">
        <v>2024</v>
      </c>
    </row>
    <row r="81" spans="1:22" ht="15.75" x14ac:dyDescent="0.25">
      <c r="A81" s="17" t="s">
        <v>976</v>
      </c>
      <c r="B81" t="str">
        <f t="shared" si="2"/>
        <v>-06-2024</v>
      </c>
      <c r="D81">
        <v>19877</v>
      </c>
      <c r="E81" t="str">
        <f t="shared" si="3"/>
        <v>ia.assorted_string like '%19877-06-2024%' or</v>
      </c>
      <c r="N81" s="17" t="s">
        <v>727</v>
      </c>
      <c r="O81" t="s">
        <v>728</v>
      </c>
      <c r="P81" t="s">
        <v>729</v>
      </c>
      <c r="Q81" t="s">
        <v>730</v>
      </c>
      <c r="R81" t="s">
        <v>731</v>
      </c>
      <c r="S81" t="s">
        <v>732</v>
      </c>
      <c r="T81">
        <v>19877</v>
      </c>
      <c r="U81">
        <v>6</v>
      </c>
      <c r="V81">
        <v>2024</v>
      </c>
    </row>
    <row r="82" spans="1:22" ht="15.75" x14ac:dyDescent="0.25">
      <c r="A82" s="17" t="s">
        <v>977</v>
      </c>
      <c r="B82" t="str">
        <f t="shared" si="2"/>
        <v>-06-2024</v>
      </c>
      <c r="D82">
        <v>19878</v>
      </c>
      <c r="E82" t="str">
        <f t="shared" si="3"/>
        <v>ia.assorted_string like '%19878-06-2024%' or</v>
      </c>
      <c r="N82" s="17" t="s">
        <v>727</v>
      </c>
      <c r="O82" t="s">
        <v>728</v>
      </c>
      <c r="P82" t="s">
        <v>729</v>
      </c>
      <c r="Q82" t="s">
        <v>730</v>
      </c>
      <c r="R82" t="s">
        <v>731</v>
      </c>
      <c r="S82" t="s">
        <v>732</v>
      </c>
      <c r="T82">
        <v>19878</v>
      </c>
      <c r="U82">
        <v>6</v>
      </c>
      <c r="V82">
        <v>2024</v>
      </c>
    </row>
    <row r="83" spans="1:22" ht="15.75" x14ac:dyDescent="0.25">
      <c r="A83" s="17" t="s">
        <v>978</v>
      </c>
      <c r="B83" t="str">
        <f t="shared" si="2"/>
        <v>-06-2024</v>
      </c>
      <c r="D83">
        <v>19879</v>
      </c>
      <c r="E83" t="str">
        <f t="shared" si="3"/>
        <v>ia.assorted_string like '%19879-06-2024%' or</v>
      </c>
      <c r="N83" s="17" t="s">
        <v>727</v>
      </c>
      <c r="O83" t="s">
        <v>728</v>
      </c>
      <c r="P83" t="s">
        <v>729</v>
      </c>
      <c r="Q83" t="s">
        <v>730</v>
      </c>
      <c r="R83" t="s">
        <v>731</v>
      </c>
      <c r="S83" t="s">
        <v>732</v>
      </c>
      <c r="T83">
        <v>19879</v>
      </c>
      <c r="U83">
        <v>6</v>
      </c>
      <c r="V83">
        <v>2024</v>
      </c>
    </row>
    <row r="84" spans="1:22" ht="15.75" x14ac:dyDescent="0.25">
      <c r="A84" s="17" t="s">
        <v>979</v>
      </c>
      <c r="B84" t="str">
        <f t="shared" si="2"/>
        <v>-06-2024</v>
      </c>
      <c r="D84">
        <v>19880</v>
      </c>
      <c r="E84" t="str">
        <f t="shared" si="3"/>
        <v>ia.assorted_string like '%19880-06-2024%' or</v>
      </c>
      <c r="N84" s="17" t="s">
        <v>727</v>
      </c>
      <c r="O84" t="s">
        <v>728</v>
      </c>
      <c r="P84" t="s">
        <v>729</v>
      </c>
      <c r="Q84" t="s">
        <v>730</v>
      </c>
      <c r="R84" t="s">
        <v>731</v>
      </c>
      <c r="S84" t="s">
        <v>732</v>
      </c>
      <c r="T84">
        <v>19880</v>
      </c>
      <c r="U84">
        <v>6</v>
      </c>
      <c r="V84">
        <v>2024</v>
      </c>
    </row>
    <row r="85" spans="1:22" ht="15.75" x14ac:dyDescent="0.25">
      <c r="A85" s="17" t="s">
        <v>980</v>
      </c>
      <c r="B85" t="str">
        <f t="shared" si="2"/>
        <v>-06-2024</v>
      </c>
      <c r="D85">
        <v>19881</v>
      </c>
      <c r="E85" t="str">
        <f t="shared" si="3"/>
        <v>ia.assorted_string like '%19881-06-2024%' or</v>
      </c>
      <c r="N85" s="17" t="s">
        <v>727</v>
      </c>
      <c r="O85" t="s">
        <v>728</v>
      </c>
      <c r="P85" t="s">
        <v>729</v>
      </c>
      <c r="Q85" t="s">
        <v>730</v>
      </c>
      <c r="R85" t="s">
        <v>731</v>
      </c>
      <c r="S85" t="s">
        <v>732</v>
      </c>
      <c r="T85">
        <v>19881</v>
      </c>
      <c r="U85">
        <v>6</v>
      </c>
      <c r="V85">
        <v>2024</v>
      </c>
    </row>
    <row r="86" spans="1:22" ht="15.75" x14ac:dyDescent="0.25">
      <c r="A86" s="17" t="s">
        <v>981</v>
      </c>
      <c r="B86" t="str">
        <f t="shared" si="2"/>
        <v>-06-2024</v>
      </c>
      <c r="D86">
        <v>19882</v>
      </c>
      <c r="E86" t="str">
        <f t="shared" si="3"/>
        <v>ia.assorted_string like '%19882-06-2024%' or</v>
      </c>
      <c r="N86" s="17" t="s">
        <v>727</v>
      </c>
      <c r="O86" t="s">
        <v>728</v>
      </c>
      <c r="P86" t="s">
        <v>729</v>
      </c>
      <c r="Q86" t="s">
        <v>730</v>
      </c>
      <c r="R86" t="s">
        <v>731</v>
      </c>
      <c r="S86" t="s">
        <v>732</v>
      </c>
      <c r="T86">
        <v>19882</v>
      </c>
      <c r="U86">
        <v>6</v>
      </c>
      <c r="V86">
        <v>2024</v>
      </c>
    </row>
    <row r="87" spans="1:22" ht="15.75" x14ac:dyDescent="0.25">
      <c r="A87" s="17" t="s">
        <v>982</v>
      </c>
      <c r="B87" t="str">
        <f t="shared" si="2"/>
        <v>-06-2024</v>
      </c>
      <c r="D87">
        <v>19884</v>
      </c>
      <c r="E87" t="str">
        <f t="shared" si="3"/>
        <v>ia.assorted_string like '%19884-06-2024%' or</v>
      </c>
      <c r="N87" s="17" t="s">
        <v>727</v>
      </c>
      <c r="O87" t="s">
        <v>728</v>
      </c>
      <c r="P87" t="s">
        <v>729</v>
      </c>
      <c r="Q87" t="s">
        <v>730</v>
      </c>
      <c r="R87" t="s">
        <v>731</v>
      </c>
      <c r="S87" t="s">
        <v>732</v>
      </c>
      <c r="T87">
        <v>19884</v>
      </c>
      <c r="U87">
        <v>6</v>
      </c>
      <c r="V87">
        <v>2024</v>
      </c>
    </row>
    <row r="88" spans="1:22" ht="15.75" x14ac:dyDescent="0.25">
      <c r="A88" s="17" t="s">
        <v>983</v>
      </c>
      <c r="B88" t="str">
        <f t="shared" si="2"/>
        <v>-06-2024</v>
      </c>
      <c r="D88">
        <v>19887</v>
      </c>
      <c r="E88" t="str">
        <f t="shared" si="3"/>
        <v>ia.assorted_string like '%19887-06-2024%' or</v>
      </c>
      <c r="N88" s="17" t="s">
        <v>727</v>
      </c>
      <c r="O88" t="s">
        <v>728</v>
      </c>
      <c r="P88" t="s">
        <v>729</v>
      </c>
      <c r="Q88" t="s">
        <v>730</v>
      </c>
      <c r="R88" t="s">
        <v>731</v>
      </c>
      <c r="S88" t="s">
        <v>732</v>
      </c>
      <c r="T88">
        <v>19887</v>
      </c>
      <c r="U88">
        <v>6</v>
      </c>
      <c r="V88">
        <v>2024</v>
      </c>
    </row>
    <row r="89" spans="1:22" ht="15.75" x14ac:dyDescent="0.25">
      <c r="A89" s="17" t="s">
        <v>984</v>
      </c>
      <c r="B89" t="str">
        <f t="shared" si="2"/>
        <v>-06-2024</v>
      </c>
      <c r="D89">
        <v>19888</v>
      </c>
      <c r="E89" t="str">
        <f t="shared" si="3"/>
        <v>ia.assorted_string like '%19888-06-2024%' or</v>
      </c>
      <c r="N89" s="17" t="s">
        <v>727</v>
      </c>
      <c r="O89" t="s">
        <v>728</v>
      </c>
      <c r="P89" t="s">
        <v>729</v>
      </c>
      <c r="Q89" t="s">
        <v>730</v>
      </c>
      <c r="R89" t="s">
        <v>731</v>
      </c>
      <c r="S89" t="s">
        <v>732</v>
      </c>
      <c r="T89">
        <v>19888</v>
      </c>
      <c r="U89">
        <v>6</v>
      </c>
      <c r="V89">
        <v>2024</v>
      </c>
    </row>
    <row r="90" spans="1:22" ht="15.75" x14ac:dyDescent="0.25">
      <c r="A90" s="17" t="s">
        <v>985</v>
      </c>
      <c r="B90" t="str">
        <f t="shared" si="2"/>
        <v>-06-2024</v>
      </c>
      <c r="D90">
        <v>19890</v>
      </c>
      <c r="E90" t="str">
        <f t="shared" si="3"/>
        <v>ia.assorted_string like '%19890-06-2024%' or</v>
      </c>
      <c r="N90" s="17" t="s">
        <v>727</v>
      </c>
      <c r="O90" t="s">
        <v>728</v>
      </c>
      <c r="P90" t="s">
        <v>729</v>
      </c>
      <c r="Q90" t="s">
        <v>730</v>
      </c>
      <c r="R90" t="s">
        <v>731</v>
      </c>
      <c r="S90" t="s">
        <v>732</v>
      </c>
      <c r="T90">
        <v>19890</v>
      </c>
      <c r="U90">
        <v>6</v>
      </c>
      <c r="V90">
        <v>2024</v>
      </c>
    </row>
    <row r="91" spans="1:22" ht="15.75" x14ac:dyDescent="0.25">
      <c r="A91" s="17" t="s">
        <v>986</v>
      </c>
      <c r="B91" t="str">
        <f t="shared" si="2"/>
        <v>-06-2024</v>
      </c>
      <c r="D91">
        <v>19891</v>
      </c>
      <c r="E91" t="str">
        <f t="shared" si="3"/>
        <v>ia.assorted_string like '%19891-06-2024%' or</v>
      </c>
      <c r="N91" s="17" t="s">
        <v>727</v>
      </c>
      <c r="O91" t="s">
        <v>728</v>
      </c>
      <c r="P91" t="s">
        <v>729</v>
      </c>
      <c r="Q91" t="s">
        <v>730</v>
      </c>
      <c r="R91" t="s">
        <v>731</v>
      </c>
      <c r="S91" t="s">
        <v>732</v>
      </c>
      <c r="T91">
        <v>19891</v>
      </c>
      <c r="U91">
        <v>6</v>
      </c>
      <c r="V91">
        <v>2024</v>
      </c>
    </row>
    <row r="92" spans="1:22" ht="15.75" x14ac:dyDescent="0.25">
      <c r="A92" s="17" t="s">
        <v>987</v>
      </c>
      <c r="B92" t="str">
        <f t="shared" si="2"/>
        <v>-06-2024</v>
      </c>
      <c r="D92">
        <v>19892</v>
      </c>
      <c r="E92" t="str">
        <f t="shared" si="3"/>
        <v>ia.assorted_string like '%19892-06-2024%' or</v>
      </c>
      <c r="N92" s="17" t="s">
        <v>727</v>
      </c>
      <c r="O92" t="s">
        <v>728</v>
      </c>
      <c r="P92" t="s">
        <v>729</v>
      </c>
      <c r="Q92" t="s">
        <v>730</v>
      </c>
      <c r="R92" t="s">
        <v>731</v>
      </c>
      <c r="S92" t="s">
        <v>732</v>
      </c>
      <c r="T92">
        <v>19892</v>
      </c>
      <c r="U92">
        <v>6</v>
      </c>
      <c r="V92">
        <v>2024</v>
      </c>
    </row>
    <row r="93" spans="1:22" ht="15.75" x14ac:dyDescent="0.25">
      <c r="A93" s="17" t="s">
        <v>988</v>
      </c>
      <c r="B93" t="str">
        <f t="shared" si="2"/>
        <v>-06-2024</v>
      </c>
      <c r="D93">
        <v>19893</v>
      </c>
      <c r="E93" t="str">
        <f t="shared" si="3"/>
        <v>ia.assorted_string like '%19893-06-2024%' or</v>
      </c>
      <c r="N93" s="17" t="s">
        <v>727</v>
      </c>
      <c r="O93" t="s">
        <v>728</v>
      </c>
      <c r="P93" t="s">
        <v>729</v>
      </c>
      <c r="Q93" t="s">
        <v>730</v>
      </c>
      <c r="R93" t="s">
        <v>731</v>
      </c>
      <c r="S93" t="s">
        <v>732</v>
      </c>
      <c r="T93">
        <v>19893</v>
      </c>
      <c r="U93">
        <v>6</v>
      </c>
      <c r="V93">
        <v>2024</v>
      </c>
    </row>
    <row r="94" spans="1:22" ht="15.75" x14ac:dyDescent="0.25">
      <c r="A94" s="17" t="s">
        <v>989</v>
      </c>
      <c r="B94" t="str">
        <f t="shared" si="2"/>
        <v>-06-2024</v>
      </c>
      <c r="D94">
        <v>19894</v>
      </c>
      <c r="E94" t="str">
        <f t="shared" si="3"/>
        <v>ia.assorted_string like '%19894-06-2024%' or</v>
      </c>
      <c r="N94" s="17" t="s">
        <v>727</v>
      </c>
      <c r="O94" t="s">
        <v>728</v>
      </c>
      <c r="P94" t="s">
        <v>729</v>
      </c>
      <c r="Q94" t="s">
        <v>730</v>
      </c>
      <c r="R94" t="s">
        <v>731</v>
      </c>
      <c r="S94" t="s">
        <v>732</v>
      </c>
      <c r="T94">
        <v>19894</v>
      </c>
      <c r="U94">
        <v>6</v>
      </c>
      <c r="V94">
        <v>2024</v>
      </c>
    </row>
    <row r="95" spans="1:22" ht="15.75" x14ac:dyDescent="0.25">
      <c r="A95" s="17" t="s">
        <v>990</v>
      </c>
      <c r="B95" t="str">
        <f t="shared" si="2"/>
        <v>-06-2024</v>
      </c>
      <c r="D95">
        <v>19895</v>
      </c>
      <c r="E95" t="str">
        <f t="shared" si="3"/>
        <v>ia.assorted_string like '%19895-06-2024%' or</v>
      </c>
      <c r="N95" s="17" t="s">
        <v>727</v>
      </c>
      <c r="O95" t="s">
        <v>728</v>
      </c>
      <c r="P95" t="s">
        <v>729</v>
      </c>
      <c r="Q95" t="s">
        <v>730</v>
      </c>
      <c r="R95" t="s">
        <v>731</v>
      </c>
      <c r="S95" t="s">
        <v>732</v>
      </c>
      <c r="T95">
        <v>19895</v>
      </c>
      <c r="U95">
        <v>6</v>
      </c>
      <c r="V95">
        <v>2024</v>
      </c>
    </row>
    <row r="96" spans="1:22" ht="15.75" x14ac:dyDescent="0.25">
      <c r="A96" s="17" t="s">
        <v>991</v>
      </c>
      <c r="B96" t="str">
        <f t="shared" si="2"/>
        <v>-06-2024</v>
      </c>
      <c r="D96">
        <v>19898</v>
      </c>
      <c r="E96" t="str">
        <f t="shared" si="3"/>
        <v>ia.assorted_string like '%19898-06-2024%' or</v>
      </c>
      <c r="N96" s="17" t="s">
        <v>727</v>
      </c>
      <c r="O96" t="s">
        <v>728</v>
      </c>
      <c r="P96" t="s">
        <v>729</v>
      </c>
      <c r="Q96" t="s">
        <v>730</v>
      </c>
      <c r="R96" t="s">
        <v>731</v>
      </c>
      <c r="S96" t="s">
        <v>732</v>
      </c>
      <c r="T96">
        <v>19898</v>
      </c>
      <c r="U96">
        <v>6</v>
      </c>
      <c r="V96">
        <v>2024</v>
      </c>
    </row>
    <row r="97" spans="1:22" ht="15.75" x14ac:dyDescent="0.25">
      <c r="A97" s="17" t="s">
        <v>992</v>
      </c>
      <c r="B97" t="str">
        <f t="shared" si="2"/>
        <v>-06-2024</v>
      </c>
      <c r="D97">
        <v>19899</v>
      </c>
      <c r="E97" t="str">
        <f t="shared" si="3"/>
        <v>ia.assorted_string like '%19899-06-2024%' or</v>
      </c>
      <c r="N97" s="17" t="s">
        <v>727</v>
      </c>
      <c r="O97" t="s">
        <v>728</v>
      </c>
      <c r="P97" t="s">
        <v>729</v>
      </c>
      <c r="Q97" t="s">
        <v>730</v>
      </c>
      <c r="R97" t="s">
        <v>731</v>
      </c>
      <c r="S97" t="s">
        <v>732</v>
      </c>
      <c r="T97">
        <v>19899</v>
      </c>
      <c r="U97">
        <v>6</v>
      </c>
      <c r="V97">
        <v>2024</v>
      </c>
    </row>
    <row r="98" spans="1:22" ht="15.75" x14ac:dyDescent="0.25">
      <c r="A98" s="17" t="s">
        <v>993</v>
      </c>
      <c r="B98" t="str">
        <f t="shared" si="2"/>
        <v>-06-2024</v>
      </c>
      <c r="D98">
        <v>19900</v>
      </c>
      <c r="E98" t="str">
        <f t="shared" si="3"/>
        <v>ia.assorted_string like '%19900-06-2024%' or</v>
      </c>
      <c r="N98" s="17" t="s">
        <v>727</v>
      </c>
      <c r="O98" t="s">
        <v>728</v>
      </c>
      <c r="P98" t="s">
        <v>729</v>
      </c>
      <c r="Q98" t="s">
        <v>730</v>
      </c>
      <c r="R98" t="s">
        <v>731</v>
      </c>
      <c r="S98" t="s">
        <v>732</v>
      </c>
      <c r="T98">
        <v>19900</v>
      </c>
      <c r="U98">
        <v>6</v>
      </c>
      <c r="V98">
        <v>2024</v>
      </c>
    </row>
    <row r="99" spans="1:22" ht="15.75" x14ac:dyDescent="0.25">
      <c r="A99" s="17" t="s">
        <v>994</v>
      </c>
      <c r="B99" t="str">
        <f t="shared" si="2"/>
        <v>-06-2024</v>
      </c>
      <c r="D99">
        <v>19901</v>
      </c>
      <c r="E99" t="str">
        <f t="shared" si="3"/>
        <v>ia.assorted_string like '%19901-06-2024%' or</v>
      </c>
      <c r="N99" s="17" t="s">
        <v>727</v>
      </c>
      <c r="O99" t="s">
        <v>728</v>
      </c>
      <c r="P99" t="s">
        <v>729</v>
      </c>
      <c r="Q99" t="s">
        <v>730</v>
      </c>
      <c r="R99" t="s">
        <v>731</v>
      </c>
      <c r="S99" t="s">
        <v>732</v>
      </c>
      <c r="T99">
        <v>19901</v>
      </c>
      <c r="U99">
        <v>6</v>
      </c>
      <c r="V99">
        <v>2024</v>
      </c>
    </row>
    <row r="100" spans="1:22" ht="15.75" x14ac:dyDescent="0.25">
      <c r="A100" s="17" t="s">
        <v>995</v>
      </c>
      <c r="B100" t="str">
        <f t="shared" si="2"/>
        <v>-06-2024</v>
      </c>
      <c r="D100">
        <v>19902</v>
      </c>
      <c r="E100" t="str">
        <f t="shared" si="3"/>
        <v>ia.assorted_string like '%19902-06-2024%' or</v>
      </c>
      <c r="N100" s="17" t="s">
        <v>727</v>
      </c>
      <c r="O100" t="s">
        <v>728</v>
      </c>
      <c r="P100" t="s">
        <v>729</v>
      </c>
      <c r="Q100" t="s">
        <v>730</v>
      </c>
      <c r="R100" t="s">
        <v>731</v>
      </c>
      <c r="S100" t="s">
        <v>732</v>
      </c>
      <c r="T100">
        <v>19902</v>
      </c>
      <c r="U100">
        <v>6</v>
      </c>
      <c r="V100">
        <v>2024</v>
      </c>
    </row>
    <row r="101" spans="1:22" ht="15.75" x14ac:dyDescent="0.25">
      <c r="A101" s="17" t="s">
        <v>996</v>
      </c>
      <c r="B101" t="str">
        <f t="shared" si="2"/>
        <v>-06-2024</v>
      </c>
      <c r="D101">
        <v>19903</v>
      </c>
      <c r="E101" t="str">
        <f t="shared" si="3"/>
        <v>ia.assorted_string like '%19903-06-2024%' or</v>
      </c>
      <c r="N101" s="17" t="s">
        <v>727</v>
      </c>
      <c r="O101" t="s">
        <v>728</v>
      </c>
      <c r="P101" t="s">
        <v>729</v>
      </c>
      <c r="Q101" t="s">
        <v>730</v>
      </c>
      <c r="R101" t="s">
        <v>731</v>
      </c>
      <c r="S101" t="s">
        <v>732</v>
      </c>
      <c r="T101">
        <v>19903</v>
      </c>
      <c r="U101">
        <v>6</v>
      </c>
      <c r="V101">
        <v>2024</v>
      </c>
    </row>
    <row r="102" spans="1:22" ht="15.75" x14ac:dyDescent="0.25">
      <c r="A102" s="17" t="s">
        <v>997</v>
      </c>
      <c r="B102" t="str">
        <f t="shared" si="2"/>
        <v>-06-2024</v>
      </c>
      <c r="D102">
        <v>19904</v>
      </c>
      <c r="E102" t="str">
        <f t="shared" si="3"/>
        <v>ia.assorted_string like '%19904-06-2024%' or</v>
      </c>
      <c r="N102" s="17" t="s">
        <v>727</v>
      </c>
      <c r="O102" t="s">
        <v>728</v>
      </c>
      <c r="P102" t="s">
        <v>729</v>
      </c>
      <c r="Q102" t="s">
        <v>730</v>
      </c>
      <c r="R102" t="s">
        <v>731</v>
      </c>
      <c r="S102" t="s">
        <v>732</v>
      </c>
      <c r="T102">
        <v>19904</v>
      </c>
      <c r="U102">
        <v>6</v>
      </c>
      <c r="V102">
        <v>2024</v>
      </c>
    </row>
    <row r="103" spans="1:22" ht="15.75" x14ac:dyDescent="0.25">
      <c r="A103" s="17" t="s">
        <v>998</v>
      </c>
      <c r="B103" t="str">
        <f t="shared" si="2"/>
        <v>-06-2024</v>
      </c>
      <c r="D103">
        <v>19905</v>
      </c>
      <c r="E103" t="str">
        <f t="shared" si="3"/>
        <v>ia.assorted_string like '%19905-06-2024%' or</v>
      </c>
      <c r="N103" s="17" t="s">
        <v>727</v>
      </c>
      <c r="O103" t="s">
        <v>728</v>
      </c>
      <c r="P103" t="s">
        <v>729</v>
      </c>
      <c r="Q103" t="s">
        <v>730</v>
      </c>
      <c r="R103" t="s">
        <v>731</v>
      </c>
      <c r="S103" t="s">
        <v>732</v>
      </c>
      <c r="T103">
        <v>19905</v>
      </c>
      <c r="U103">
        <v>6</v>
      </c>
      <c r="V103">
        <v>2024</v>
      </c>
    </row>
    <row r="104" spans="1:22" ht="15.75" x14ac:dyDescent="0.25">
      <c r="A104" s="17" t="s">
        <v>999</v>
      </c>
      <c r="B104" t="str">
        <f t="shared" si="2"/>
        <v>-06-2024</v>
      </c>
      <c r="D104">
        <v>19906</v>
      </c>
      <c r="E104" t="str">
        <f t="shared" si="3"/>
        <v>ia.assorted_string like '%19906-06-2024%' or</v>
      </c>
      <c r="N104" s="17" t="s">
        <v>727</v>
      </c>
      <c r="O104" t="s">
        <v>728</v>
      </c>
      <c r="P104" t="s">
        <v>729</v>
      </c>
      <c r="Q104" t="s">
        <v>730</v>
      </c>
      <c r="R104" t="s">
        <v>731</v>
      </c>
      <c r="S104" t="s">
        <v>732</v>
      </c>
      <c r="T104">
        <v>19906</v>
      </c>
      <c r="U104">
        <v>6</v>
      </c>
      <c r="V104">
        <v>2024</v>
      </c>
    </row>
    <row r="105" spans="1:22" ht="15.75" x14ac:dyDescent="0.25">
      <c r="A105" s="17" t="s">
        <v>1000</v>
      </c>
      <c r="B105" t="str">
        <f t="shared" si="2"/>
        <v>-06-2024</v>
      </c>
      <c r="D105">
        <v>19907</v>
      </c>
      <c r="E105" t="str">
        <f t="shared" si="3"/>
        <v>ia.assorted_string like '%19907-06-2024%' or</v>
      </c>
      <c r="N105" s="17" t="s">
        <v>727</v>
      </c>
      <c r="O105" t="s">
        <v>728</v>
      </c>
      <c r="P105" t="s">
        <v>729</v>
      </c>
      <c r="Q105" t="s">
        <v>730</v>
      </c>
      <c r="R105" t="s">
        <v>731</v>
      </c>
      <c r="S105" t="s">
        <v>732</v>
      </c>
      <c r="T105">
        <v>19907</v>
      </c>
      <c r="U105">
        <v>6</v>
      </c>
      <c r="V105">
        <v>2024</v>
      </c>
    </row>
    <row r="106" spans="1:22" ht="15.75" x14ac:dyDescent="0.25">
      <c r="A106" s="17" t="s">
        <v>1001</v>
      </c>
      <c r="B106" t="str">
        <f t="shared" si="2"/>
        <v>-06-2024</v>
      </c>
      <c r="D106">
        <v>19908</v>
      </c>
      <c r="E106" t="str">
        <f t="shared" si="3"/>
        <v>ia.assorted_string like '%19908-06-2024%' or</v>
      </c>
      <c r="N106" s="17" t="s">
        <v>727</v>
      </c>
      <c r="O106" t="s">
        <v>728</v>
      </c>
      <c r="P106" t="s">
        <v>729</v>
      </c>
      <c r="Q106" t="s">
        <v>730</v>
      </c>
      <c r="R106" t="s">
        <v>731</v>
      </c>
      <c r="S106" t="s">
        <v>732</v>
      </c>
      <c r="T106">
        <v>19908</v>
      </c>
      <c r="U106">
        <v>6</v>
      </c>
      <c r="V106">
        <v>2024</v>
      </c>
    </row>
    <row r="107" spans="1:22" ht="15.75" x14ac:dyDescent="0.25">
      <c r="A107" s="17" t="s">
        <v>1002</v>
      </c>
      <c r="B107" t="str">
        <f t="shared" si="2"/>
        <v>-06-2024</v>
      </c>
      <c r="D107">
        <v>19909</v>
      </c>
      <c r="E107" t="str">
        <f t="shared" si="3"/>
        <v>ia.assorted_string like '%19909-06-2024%' or</v>
      </c>
      <c r="N107" s="17" t="s">
        <v>727</v>
      </c>
      <c r="O107" t="s">
        <v>728</v>
      </c>
      <c r="P107" t="s">
        <v>729</v>
      </c>
      <c r="Q107" t="s">
        <v>730</v>
      </c>
      <c r="R107" t="s">
        <v>731</v>
      </c>
      <c r="S107" t="s">
        <v>732</v>
      </c>
      <c r="T107">
        <v>19909</v>
      </c>
      <c r="U107">
        <v>6</v>
      </c>
      <c r="V107">
        <v>2024</v>
      </c>
    </row>
    <row r="108" spans="1:22" ht="15.75" x14ac:dyDescent="0.25">
      <c r="A108" s="17" t="s">
        <v>1003</v>
      </c>
      <c r="B108" t="str">
        <f t="shared" si="2"/>
        <v>-06-2024</v>
      </c>
      <c r="D108">
        <v>19910</v>
      </c>
      <c r="E108" t="str">
        <f t="shared" si="3"/>
        <v>ia.assorted_string like '%19910-06-2024%' or</v>
      </c>
      <c r="N108" s="17" t="s">
        <v>727</v>
      </c>
      <c r="O108" t="s">
        <v>728</v>
      </c>
      <c r="P108" t="s">
        <v>729</v>
      </c>
      <c r="Q108" t="s">
        <v>730</v>
      </c>
      <c r="R108" t="s">
        <v>731</v>
      </c>
      <c r="S108" t="s">
        <v>732</v>
      </c>
      <c r="T108">
        <v>19910</v>
      </c>
      <c r="U108">
        <v>6</v>
      </c>
      <c r="V108">
        <v>2024</v>
      </c>
    </row>
    <row r="109" spans="1:22" ht="15.75" x14ac:dyDescent="0.25">
      <c r="A109" s="17" t="s">
        <v>1004</v>
      </c>
      <c r="B109" t="str">
        <f t="shared" si="2"/>
        <v>-06-2024</v>
      </c>
      <c r="D109">
        <v>19911</v>
      </c>
      <c r="E109" t="str">
        <f t="shared" si="3"/>
        <v>ia.assorted_string like '%19911-06-2024%' or</v>
      </c>
      <c r="N109" s="17" t="s">
        <v>727</v>
      </c>
      <c r="O109" t="s">
        <v>728</v>
      </c>
      <c r="P109" t="s">
        <v>729</v>
      </c>
      <c r="Q109" t="s">
        <v>730</v>
      </c>
      <c r="R109" t="s">
        <v>731</v>
      </c>
      <c r="S109" t="s">
        <v>732</v>
      </c>
      <c r="T109">
        <v>19911</v>
      </c>
      <c r="U109">
        <v>6</v>
      </c>
      <c r="V109">
        <v>2024</v>
      </c>
    </row>
    <row r="110" spans="1:22" ht="15.75" x14ac:dyDescent="0.25">
      <c r="A110" s="17" t="s">
        <v>1005</v>
      </c>
      <c r="B110" t="str">
        <f t="shared" si="2"/>
        <v>-06-2024</v>
      </c>
      <c r="D110">
        <v>19914</v>
      </c>
      <c r="E110" t="str">
        <f t="shared" si="3"/>
        <v>ia.assorted_string like '%19914-06-2024%' or</v>
      </c>
      <c r="N110" s="17" t="s">
        <v>727</v>
      </c>
      <c r="O110" t="s">
        <v>728</v>
      </c>
      <c r="P110" t="s">
        <v>729</v>
      </c>
      <c r="Q110" t="s">
        <v>730</v>
      </c>
      <c r="R110" t="s">
        <v>731</v>
      </c>
      <c r="S110" t="s">
        <v>732</v>
      </c>
      <c r="T110">
        <v>19914</v>
      </c>
      <c r="U110">
        <v>6</v>
      </c>
      <c r="V110">
        <v>2024</v>
      </c>
    </row>
    <row r="111" spans="1:22" ht="15.75" x14ac:dyDescent="0.25">
      <c r="A111" s="17" t="s">
        <v>1006</v>
      </c>
      <c r="B111" t="str">
        <f t="shared" si="2"/>
        <v>-06-2024</v>
      </c>
      <c r="D111">
        <v>19916</v>
      </c>
      <c r="E111" t="str">
        <f t="shared" si="3"/>
        <v>ia.assorted_string like '%19916-06-2024%' or</v>
      </c>
      <c r="N111" s="17" t="s">
        <v>727</v>
      </c>
      <c r="O111" t="s">
        <v>728</v>
      </c>
      <c r="P111" t="s">
        <v>729</v>
      </c>
      <c r="Q111" t="s">
        <v>730</v>
      </c>
      <c r="R111" t="s">
        <v>731</v>
      </c>
      <c r="S111" t="s">
        <v>732</v>
      </c>
      <c r="T111">
        <v>19916</v>
      </c>
      <c r="U111">
        <v>6</v>
      </c>
      <c r="V111">
        <v>2024</v>
      </c>
    </row>
    <row r="112" spans="1:22" ht="15.75" x14ac:dyDescent="0.25">
      <c r="A112" s="17" t="s">
        <v>1007</v>
      </c>
      <c r="B112" t="str">
        <f t="shared" si="2"/>
        <v>-06-2024</v>
      </c>
      <c r="D112">
        <v>19937</v>
      </c>
      <c r="E112" t="str">
        <f t="shared" si="3"/>
        <v>ia.assorted_string like '%19937-06-2024%' or</v>
      </c>
      <c r="N112" s="17" t="s">
        <v>727</v>
      </c>
      <c r="O112" t="s">
        <v>728</v>
      </c>
      <c r="P112" t="s">
        <v>729</v>
      </c>
      <c r="Q112" t="s">
        <v>730</v>
      </c>
      <c r="R112" t="s">
        <v>731</v>
      </c>
      <c r="S112" t="s">
        <v>732</v>
      </c>
      <c r="T112">
        <v>19937</v>
      </c>
      <c r="U112">
        <v>6</v>
      </c>
      <c r="V112">
        <v>2024</v>
      </c>
    </row>
    <row r="113" spans="1:22" ht="15.75" x14ac:dyDescent="0.25">
      <c r="A113" s="17" t="s">
        <v>1008</v>
      </c>
      <c r="B113" t="str">
        <f t="shared" si="2"/>
        <v>-06-2024</v>
      </c>
      <c r="D113">
        <v>19938</v>
      </c>
      <c r="E113" t="str">
        <f t="shared" si="3"/>
        <v>ia.assorted_string like '%19938-06-2024%' or</v>
      </c>
      <c r="N113" s="17" t="s">
        <v>727</v>
      </c>
      <c r="O113" t="s">
        <v>728</v>
      </c>
      <c r="P113" t="s">
        <v>729</v>
      </c>
      <c r="Q113" t="s">
        <v>730</v>
      </c>
      <c r="R113" t="s">
        <v>731</v>
      </c>
      <c r="S113" t="s">
        <v>732</v>
      </c>
      <c r="T113">
        <v>19938</v>
      </c>
      <c r="U113">
        <v>6</v>
      </c>
      <c r="V113">
        <v>2024</v>
      </c>
    </row>
    <row r="114" spans="1:22" ht="15.75" x14ac:dyDescent="0.25">
      <c r="A114" s="17" t="s">
        <v>1009</v>
      </c>
      <c r="B114" t="str">
        <f t="shared" si="2"/>
        <v>-06-2024</v>
      </c>
      <c r="D114">
        <v>19939</v>
      </c>
      <c r="E114" t="str">
        <f t="shared" si="3"/>
        <v>ia.assorted_string like '%19939-06-2024%' or</v>
      </c>
      <c r="N114" s="17" t="s">
        <v>727</v>
      </c>
      <c r="O114" t="s">
        <v>728</v>
      </c>
      <c r="P114" t="s">
        <v>729</v>
      </c>
      <c r="Q114" t="s">
        <v>730</v>
      </c>
      <c r="R114" t="s">
        <v>731</v>
      </c>
      <c r="S114" t="s">
        <v>732</v>
      </c>
      <c r="T114">
        <v>19939</v>
      </c>
      <c r="U114">
        <v>6</v>
      </c>
      <c r="V114">
        <v>2024</v>
      </c>
    </row>
    <row r="115" spans="1:22" ht="15.75" x14ac:dyDescent="0.25">
      <c r="A115" s="17" t="s">
        <v>1010</v>
      </c>
      <c r="B115" t="str">
        <f t="shared" si="2"/>
        <v>-06-2024</v>
      </c>
      <c r="D115">
        <v>19941</v>
      </c>
      <c r="E115" t="str">
        <f t="shared" si="3"/>
        <v>ia.assorted_string like '%19941-06-2024%' or</v>
      </c>
      <c r="N115" s="17" t="s">
        <v>727</v>
      </c>
      <c r="O115" t="s">
        <v>728</v>
      </c>
      <c r="P115" t="s">
        <v>729</v>
      </c>
      <c r="Q115" t="s">
        <v>730</v>
      </c>
      <c r="R115" t="s">
        <v>731</v>
      </c>
      <c r="S115" t="s">
        <v>732</v>
      </c>
      <c r="T115">
        <v>19941</v>
      </c>
      <c r="U115">
        <v>6</v>
      </c>
      <c r="V115">
        <v>2024</v>
      </c>
    </row>
    <row r="116" spans="1:22" ht="15.75" x14ac:dyDescent="0.25">
      <c r="A116" s="17" t="s">
        <v>1011</v>
      </c>
      <c r="B116" t="str">
        <f t="shared" si="2"/>
        <v>-06-2024</v>
      </c>
      <c r="D116">
        <v>19942</v>
      </c>
      <c r="E116" t="str">
        <f t="shared" si="3"/>
        <v>ia.assorted_string like '%19942-06-2024%' or</v>
      </c>
      <c r="N116" s="17" t="s">
        <v>727</v>
      </c>
      <c r="O116" t="s">
        <v>728</v>
      </c>
      <c r="P116" t="s">
        <v>729</v>
      </c>
      <c r="Q116" t="s">
        <v>730</v>
      </c>
      <c r="R116" t="s">
        <v>731</v>
      </c>
      <c r="S116" t="s">
        <v>732</v>
      </c>
      <c r="T116">
        <v>19942</v>
      </c>
      <c r="U116">
        <v>6</v>
      </c>
      <c r="V116">
        <v>2024</v>
      </c>
    </row>
    <row r="117" spans="1:22" ht="15.75" x14ac:dyDescent="0.25">
      <c r="A117" s="17" t="s">
        <v>1012</v>
      </c>
      <c r="B117" t="str">
        <f t="shared" si="2"/>
        <v>-06-2024</v>
      </c>
      <c r="D117">
        <v>19943</v>
      </c>
      <c r="E117" t="str">
        <f t="shared" si="3"/>
        <v>ia.assorted_string like '%19943-06-2024%' or</v>
      </c>
      <c r="N117" s="17" t="s">
        <v>727</v>
      </c>
      <c r="O117" t="s">
        <v>728</v>
      </c>
      <c r="P117" t="s">
        <v>729</v>
      </c>
      <c r="Q117" t="s">
        <v>730</v>
      </c>
      <c r="R117" t="s">
        <v>731</v>
      </c>
      <c r="S117" t="s">
        <v>732</v>
      </c>
      <c r="T117">
        <v>19943</v>
      </c>
      <c r="U117">
        <v>6</v>
      </c>
      <c r="V117">
        <v>2024</v>
      </c>
    </row>
    <row r="118" spans="1:22" ht="15.75" x14ac:dyDescent="0.25">
      <c r="A118" s="17" t="s">
        <v>1013</v>
      </c>
      <c r="B118" t="str">
        <f t="shared" si="2"/>
        <v>-06-2024</v>
      </c>
      <c r="D118">
        <v>19944</v>
      </c>
      <c r="E118" t="str">
        <f t="shared" si="3"/>
        <v>ia.assorted_string like '%19944-06-2024%' or</v>
      </c>
      <c r="N118" s="17" t="s">
        <v>727</v>
      </c>
      <c r="O118" t="s">
        <v>728</v>
      </c>
      <c r="P118" t="s">
        <v>729</v>
      </c>
      <c r="Q118" t="s">
        <v>730</v>
      </c>
      <c r="R118" t="s">
        <v>731</v>
      </c>
      <c r="S118" t="s">
        <v>732</v>
      </c>
      <c r="T118">
        <v>19944</v>
      </c>
      <c r="U118">
        <v>6</v>
      </c>
      <c r="V118">
        <v>2024</v>
      </c>
    </row>
    <row r="119" spans="1:22" ht="15.75" x14ac:dyDescent="0.25">
      <c r="A119" s="17" t="s">
        <v>1014</v>
      </c>
      <c r="B119" t="str">
        <f t="shared" si="2"/>
        <v>-06-2024</v>
      </c>
      <c r="D119">
        <v>19945</v>
      </c>
      <c r="E119" t="str">
        <f t="shared" si="3"/>
        <v>ia.assorted_string like '%19945-06-2024%' or</v>
      </c>
      <c r="N119" s="17" t="s">
        <v>727</v>
      </c>
      <c r="O119" t="s">
        <v>728</v>
      </c>
      <c r="P119" t="s">
        <v>729</v>
      </c>
      <c r="Q119" t="s">
        <v>730</v>
      </c>
      <c r="R119" t="s">
        <v>731</v>
      </c>
      <c r="S119" t="s">
        <v>732</v>
      </c>
      <c r="T119">
        <v>19945</v>
      </c>
      <c r="U119">
        <v>6</v>
      </c>
      <c r="V119">
        <v>2024</v>
      </c>
    </row>
    <row r="120" spans="1:22" ht="15.75" x14ac:dyDescent="0.25">
      <c r="A120" s="17" t="s">
        <v>1015</v>
      </c>
      <c r="B120" t="str">
        <f t="shared" si="2"/>
        <v>-06-2024</v>
      </c>
      <c r="D120">
        <v>19946</v>
      </c>
      <c r="E120" t="str">
        <f t="shared" si="3"/>
        <v>ia.assorted_string like '%19946-06-2024%' or</v>
      </c>
      <c r="N120" s="17" t="s">
        <v>727</v>
      </c>
      <c r="O120" t="s">
        <v>728</v>
      </c>
      <c r="P120" t="s">
        <v>729</v>
      </c>
      <c r="Q120" t="s">
        <v>730</v>
      </c>
      <c r="R120" t="s">
        <v>731</v>
      </c>
      <c r="S120" t="s">
        <v>732</v>
      </c>
      <c r="T120">
        <v>19946</v>
      </c>
      <c r="U120">
        <v>6</v>
      </c>
      <c r="V120">
        <v>2024</v>
      </c>
    </row>
    <row r="121" spans="1:22" ht="15.75" x14ac:dyDescent="0.25">
      <c r="A121" s="17" t="s">
        <v>1016</v>
      </c>
      <c r="B121" t="str">
        <f t="shared" si="2"/>
        <v>-06-2024</v>
      </c>
      <c r="D121">
        <v>19947</v>
      </c>
      <c r="E121" t="str">
        <f t="shared" si="3"/>
        <v>ia.assorted_string like '%19947-06-2024%' or</v>
      </c>
      <c r="N121" s="17" t="s">
        <v>727</v>
      </c>
      <c r="O121" t="s">
        <v>728</v>
      </c>
      <c r="P121" t="s">
        <v>729</v>
      </c>
      <c r="Q121" t="s">
        <v>730</v>
      </c>
      <c r="R121" t="s">
        <v>731</v>
      </c>
      <c r="S121" t="s">
        <v>732</v>
      </c>
      <c r="T121">
        <v>19947</v>
      </c>
      <c r="U121">
        <v>6</v>
      </c>
      <c r="V121">
        <v>2024</v>
      </c>
    </row>
    <row r="122" spans="1:22" ht="15.75" x14ac:dyDescent="0.25">
      <c r="A122" s="17" t="s">
        <v>1017</v>
      </c>
      <c r="B122" t="str">
        <f t="shared" si="2"/>
        <v>-06-2024</v>
      </c>
      <c r="D122">
        <v>19948</v>
      </c>
      <c r="E122" t="str">
        <f t="shared" si="3"/>
        <v>ia.assorted_string like '%19948-06-2024%' or</v>
      </c>
      <c r="N122" s="17" t="s">
        <v>727</v>
      </c>
      <c r="O122" t="s">
        <v>728</v>
      </c>
      <c r="P122" t="s">
        <v>729</v>
      </c>
      <c r="Q122" t="s">
        <v>730</v>
      </c>
      <c r="R122" t="s">
        <v>731</v>
      </c>
      <c r="S122" t="s">
        <v>732</v>
      </c>
      <c r="T122">
        <v>19948</v>
      </c>
      <c r="U122">
        <v>6</v>
      </c>
      <c r="V122">
        <v>2024</v>
      </c>
    </row>
    <row r="123" spans="1:22" ht="15.75" x14ac:dyDescent="0.25">
      <c r="A123" s="17" t="s">
        <v>1018</v>
      </c>
      <c r="B123" t="str">
        <f t="shared" si="2"/>
        <v>-06-2024</v>
      </c>
      <c r="D123">
        <v>19951</v>
      </c>
      <c r="E123" t="str">
        <f t="shared" si="3"/>
        <v>ia.assorted_string like '%19951-06-2024%' or</v>
      </c>
      <c r="N123" s="17" t="s">
        <v>727</v>
      </c>
      <c r="O123" t="s">
        <v>728</v>
      </c>
      <c r="P123" t="s">
        <v>729</v>
      </c>
      <c r="Q123" t="s">
        <v>730</v>
      </c>
      <c r="R123" t="s">
        <v>731</v>
      </c>
      <c r="S123" t="s">
        <v>732</v>
      </c>
      <c r="T123">
        <v>19951</v>
      </c>
      <c r="U123">
        <v>6</v>
      </c>
      <c r="V123">
        <v>2024</v>
      </c>
    </row>
    <row r="124" spans="1:22" ht="15.75" x14ac:dyDescent="0.25">
      <c r="A124" s="17" t="s">
        <v>1019</v>
      </c>
      <c r="B124" t="str">
        <f t="shared" si="2"/>
        <v>-06-2024</v>
      </c>
      <c r="D124">
        <v>19953</v>
      </c>
      <c r="E124" t="str">
        <f t="shared" si="3"/>
        <v>ia.assorted_string like '%19953-06-2024%' or</v>
      </c>
      <c r="N124" s="17" t="s">
        <v>727</v>
      </c>
      <c r="O124" t="s">
        <v>728</v>
      </c>
      <c r="P124" t="s">
        <v>729</v>
      </c>
      <c r="Q124" t="s">
        <v>730</v>
      </c>
      <c r="R124" t="s">
        <v>731</v>
      </c>
      <c r="S124" t="s">
        <v>732</v>
      </c>
      <c r="T124">
        <v>19953</v>
      </c>
      <c r="U124">
        <v>6</v>
      </c>
      <c r="V124">
        <v>2024</v>
      </c>
    </row>
    <row r="125" spans="1:22" ht="15.75" x14ac:dyDescent="0.25">
      <c r="A125" s="17" t="s">
        <v>1020</v>
      </c>
      <c r="B125" t="str">
        <f t="shared" si="2"/>
        <v>-06-2024</v>
      </c>
      <c r="D125">
        <v>19955</v>
      </c>
      <c r="E125" t="str">
        <f t="shared" si="3"/>
        <v>ia.assorted_string like '%19955-06-2024%' or</v>
      </c>
      <c r="N125" s="17" t="s">
        <v>727</v>
      </c>
      <c r="O125" t="s">
        <v>728</v>
      </c>
      <c r="P125" t="s">
        <v>729</v>
      </c>
      <c r="Q125" t="s">
        <v>730</v>
      </c>
      <c r="R125" t="s">
        <v>731</v>
      </c>
      <c r="S125" t="s">
        <v>732</v>
      </c>
      <c r="T125">
        <v>19955</v>
      </c>
      <c r="U125">
        <v>6</v>
      </c>
      <c r="V125">
        <v>2024</v>
      </c>
    </row>
    <row r="126" spans="1:22" ht="15.75" x14ac:dyDescent="0.25">
      <c r="A126" s="17" t="s">
        <v>1021</v>
      </c>
      <c r="B126" t="str">
        <f t="shared" si="2"/>
        <v>-06-2024</v>
      </c>
      <c r="D126">
        <v>19957</v>
      </c>
      <c r="E126" t="str">
        <f t="shared" si="3"/>
        <v>ia.assorted_string like '%19957-06-2024%' or</v>
      </c>
      <c r="N126" s="17" t="s">
        <v>727</v>
      </c>
      <c r="O126" t="s">
        <v>728</v>
      </c>
      <c r="P126" t="s">
        <v>729</v>
      </c>
      <c r="Q126" t="s">
        <v>730</v>
      </c>
      <c r="R126" t="s">
        <v>731</v>
      </c>
      <c r="S126" t="s">
        <v>732</v>
      </c>
      <c r="T126">
        <v>19957</v>
      </c>
      <c r="U126">
        <v>6</v>
      </c>
      <c r="V126">
        <v>2024</v>
      </c>
    </row>
    <row r="127" spans="1:22" ht="15.75" x14ac:dyDescent="0.25">
      <c r="A127" s="17" t="s">
        <v>1022</v>
      </c>
      <c r="B127" t="str">
        <f t="shared" si="2"/>
        <v>-06-2024</v>
      </c>
      <c r="D127">
        <v>19959</v>
      </c>
      <c r="E127" t="str">
        <f t="shared" si="3"/>
        <v>ia.assorted_string like '%19959-06-2024%' or</v>
      </c>
      <c r="N127" s="17" t="s">
        <v>727</v>
      </c>
      <c r="O127" t="s">
        <v>728</v>
      </c>
      <c r="P127" t="s">
        <v>729</v>
      </c>
      <c r="Q127" t="s">
        <v>730</v>
      </c>
      <c r="R127" t="s">
        <v>731</v>
      </c>
      <c r="S127" t="s">
        <v>732</v>
      </c>
      <c r="T127">
        <v>19959</v>
      </c>
      <c r="U127">
        <v>6</v>
      </c>
      <c r="V127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8"/>
  <sheetViews>
    <sheetView topLeftCell="A72" zoomScaleNormal="100" zoomScaleSheetLayoutView="85" workbookViewId="0">
      <selection activeCell="F78" sqref="F78"/>
    </sheetView>
  </sheetViews>
  <sheetFormatPr defaultColWidth="9.140625" defaultRowHeight="15.75" x14ac:dyDescent="0.25"/>
  <cols>
    <col min="1" max="1" width="11.85546875" style="1" bestFit="1" customWidth="1"/>
    <col min="2" max="2" width="13.28515625" style="1" customWidth="1"/>
    <col min="3" max="3" width="13.5703125" style="1" customWidth="1"/>
    <col min="4" max="4" width="17" style="1" bestFit="1" customWidth="1"/>
    <col min="5" max="5" width="15.28515625" style="1" customWidth="1"/>
    <col min="6" max="6" width="40.85546875" style="1" bestFit="1" customWidth="1"/>
    <col min="7" max="7" width="12.140625" style="1" customWidth="1"/>
    <col min="8" max="8" width="13.28515625" style="1" customWidth="1"/>
    <col min="9" max="16384" width="9.140625" style="1"/>
  </cols>
  <sheetData>
    <row r="1" spans="1:8" x14ac:dyDescent="0.25">
      <c r="A1" s="32"/>
      <c r="B1" s="32"/>
    </row>
    <row r="2" spans="1:8" x14ac:dyDescent="0.25">
      <c r="A2" s="33">
        <f ca="1">TODAY()</f>
        <v>45525</v>
      </c>
      <c r="B2" s="33"/>
    </row>
    <row r="3" spans="1:8" ht="3" customHeight="1" x14ac:dyDescent="0.25">
      <c r="A3" s="2"/>
      <c r="B3" s="2"/>
    </row>
    <row r="4" spans="1:8" s="4" customFormat="1" x14ac:dyDescent="0.25">
      <c r="A4" s="3" t="s">
        <v>0</v>
      </c>
      <c r="B4" s="3"/>
      <c r="C4" s="3"/>
      <c r="D4" s="3"/>
      <c r="E4" s="3"/>
    </row>
    <row r="5" spans="1:8" s="4" customFormat="1" ht="3" customHeight="1" x14ac:dyDescent="0.25">
      <c r="A5" s="3"/>
      <c r="B5" s="3"/>
      <c r="C5" s="3"/>
      <c r="D5" s="3"/>
      <c r="E5" s="3"/>
    </row>
    <row r="6" spans="1:8" ht="13.5" customHeight="1" x14ac:dyDescent="0.25">
      <c r="A6" s="5" t="str">
        <f>"List of Bills for" &amp; " " &amp;TEXT(C9,"MMM-YY")</f>
        <v>List of Bills for Mar-24</v>
      </c>
      <c r="B6" s="6"/>
      <c r="C6" s="7"/>
      <c r="D6" s="7"/>
      <c r="E6" s="7"/>
    </row>
    <row r="7" spans="1:8" ht="3" customHeight="1" thickBot="1" x14ac:dyDescent="0.3">
      <c r="A7" s="7"/>
      <c r="B7" s="7"/>
      <c r="C7" s="7"/>
      <c r="D7" s="7"/>
      <c r="E7" s="7"/>
    </row>
    <row r="8" spans="1:8" ht="32.25" customHeight="1" thickBot="1" x14ac:dyDescent="0.3">
      <c r="A8" s="8" t="s">
        <v>1</v>
      </c>
      <c r="B8" s="9" t="s">
        <v>2</v>
      </c>
      <c r="C8" s="8" t="s">
        <v>3</v>
      </c>
      <c r="D8" s="10" t="s">
        <v>4</v>
      </c>
      <c r="E8" s="8" t="s">
        <v>5</v>
      </c>
      <c r="F8" s="9" t="s">
        <v>2</v>
      </c>
    </row>
    <row r="9" spans="1:8" x14ac:dyDescent="0.25">
      <c r="A9" s="11">
        <v>1</v>
      </c>
      <c r="B9" s="30">
        <v>19407</v>
      </c>
      <c r="C9" s="12">
        <v>45352</v>
      </c>
      <c r="D9" s="13" t="s">
        <v>278</v>
      </c>
      <c r="E9" s="14">
        <v>1253</v>
      </c>
      <c r="F9" s="1" t="s">
        <v>431</v>
      </c>
    </row>
    <row r="10" spans="1:8" s="17" customFormat="1" ht="18.75" customHeight="1" x14ac:dyDescent="0.25">
      <c r="A10" s="15">
        <v>2</v>
      </c>
      <c r="B10" s="16">
        <v>19408</v>
      </c>
      <c r="C10" s="12">
        <v>45352</v>
      </c>
      <c r="D10" s="13" t="s">
        <v>279</v>
      </c>
      <c r="E10" s="14">
        <v>964</v>
      </c>
      <c r="F10" s="1" t="s">
        <v>355</v>
      </c>
      <c r="G10" s="18"/>
      <c r="H10" s="18"/>
    </row>
    <row r="11" spans="1:8" s="17" customFormat="1" ht="18.75" customHeight="1" x14ac:dyDescent="0.25">
      <c r="A11" s="15">
        <v>3</v>
      </c>
      <c r="B11" s="16">
        <v>19409</v>
      </c>
      <c r="C11" s="12">
        <v>45352</v>
      </c>
      <c r="D11" s="13" t="s">
        <v>280</v>
      </c>
      <c r="E11" s="14">
        <v>5783</v>
      </c>
      <c r="F11" s="1" t="s">
        <v>356</v>
      </c>
      <c r="G11" s="18"/>
      <c r="H11" s="18"/>
    </row>
    <row r="12" spans="1:8" s="17" customFormat="1" ht="18.75" customHeight="1" x14ac:dyDescent="0.25">
      <c r="A12" s="11">
        <v>4</v>
      </c>
      <c r="B12" s="16">
        <v>19410</v>
      </c>
      <c r="C12" s="12">
        <v>45352</v>
      </c>
      <c r="D12" s="13" t="s">
        <v>281</v>
      </c>
      <c r="E12" s="14">
        <v>2726</v>
      </c>
      <c r="F12" s="1" t="s">
        <v>357</v>
      </c>
      <c r="G12" s="18"/>
      <c r="H12" s="18"/>
    </row>
    <row r="13" spans="1:8" s="17" customFormat="1" ht="18.75" customHeight="1" x14ac:dyDescent="0.25">
      <c r="A13" s="15">
        <v>5</v>
      </c>
      <c r="B13" s="16">
        <v>19411</v>
      </c>
      <c r="C13" s="12">
        <v>45352</v>
      </c>
      <c r="D13" s="13" t="s">
        <v>282</v>
      </c>
      <c r="E13" s="14">
        <v>6695</v>
      </c>
      <c r="F13" s="1" t="s">
        <v>358</v>
      </c>
      <c r="G13" s="18"/>
      <c r="H13" s="18"/>
    </row>
    <row r="14" spans="1:8" s="17" customFormat="1" ht="18.75" customHeight="1" x14ac:dyDescent="0.25">
      <c r="A14" s="15">
        <v>6</v>
      </c>
      <c r="B14" s="16">
        <v>19412</v>
      </c>
      <c r="C14" s="12">
        <v>45352</v>
      </c>
      <c r="D14" s="13" t="s">
        <v>283</v>
      </c>
      <c r="E14" s="14">
        <v>517</v>
      </c>
      <c r="F14" s="1" t="s">
        <v>359</v>
      </c>
      <c r="G14" s="18"/>
      <c r="H14" s="18"/>
    </row>
    <row r="15" spans="1:8" s="17" customFormat="1" ht="18.75" customHeight="1" x14ac:dyDescent="0.25">
      <c r="A15" s="11">
        <v>7</v>
      </c>
      <c r="B15" s="16">
        <v>19413</v>
      </c>
      <c r="C15" s="12">
        <v>45352</v>
      </c>
      <c r="D15" s="13" t="s">
        <v>284</v>
      </c>
      <c r="E15" s="14">
        <v>1165</v>
      </c>
      <c r="F15" s="1" t="s">
        <v>360</v>
      </c>
      <c r="G15" s="18"/>
      <c r="H15" s="18"/>
    </row>
    <row r="16" spans="1:8" s="17" customFormat="1" ht="18.75" customHeight="1" x14ac:dyDescent="0.25">
      <c r="A16" s="15">
        <v>8</v>
      </c>
      <c r="B16" s="16">
        <v>19414</v>
      </c>
      <c r="C16" s="12">
        <v>45356</v>
      </c>
      <c r="D16" s="13" t="s">
        <v>285</v>
      </c>
      <c r="E16" s="14">
        <v>201</v>
      </c>
      <c r="F16" s="1" t="s">
        <v>361</v>
      </c>
      <c r="G16" s="18"/>
      <c r="H16" s="18"/>
    </row>
    <row r="17" spans="1:8" s="17" customFormat="1" ht="18.75" customHeight="1" x14ac:dyDescent="0.25">
      <c r="A17" s="15">
        <v>9</v>
      </c>
      <c r="B17" s="16">
        <v>19415</v>
      </c>
      <c r="C17" s="12">
        <v>45356</v>
      </c>
      <c r="D17" s="13" t="s">
        <v>286</v>
      </c>
      <c r="E17" s="14">
        <v>510</v>
      </c>
      <c r="F17" s="1" t="s">
        <v>362</v>
      </c>
      <c r="G17" s="18"/>
      <c r="H17" s="18"/>
    </row>
    <row r="18" spans="1:8" s="17" customFormat="1" ht="18.75" customHeight="1" x14ac:dyDescent="0.25">
      <c r="A18" s="11">
        <v>10</v>
      </c>
      <c r="B18" s="16">
        <v>19416</v>
      </c>
      <c r="C18" s="12">
        <v>45357</v>
      </c>
      <c r="D18" s="13" t="s">
        <v>287</v>
      </c>
      <c r="E18" s="14">
        <v>247</v>
      </c>
      <c r="F18" s="1" t="s">
        <v>363</v>
      </c>
      <c r="G18" s="18"/>
      <c r="H18" s="18"/>
    </row>
    <row r="19" spans="1:8" s="17" customFormat="1" ht="18.75" customHeight="1" x14ac:dyDescent="0.25">
      <c r="A19" s="15">
        <v>11</v>
      </c>
      <c r="B19" s="16">
        <v>19417</v>
      </c>
      <c r="C19" s="12">
        <v>45357</v>
      </c>
      <c r="D19" s="13" t="s">
        <v>288</v>
      </c>
      <c r="E19" s="14">
        <v>2823</v>
      </c>
      <c r="F19" s="1" t="s">
        <v>364</v>
      </c>
      <c r="G19" s="18"/>
      <c r="H19" s="19"/>
    </row>
    <row r="20" spans="1:8" s="17" customFormat="1" ht="18.75" customHeight="1" x14ac:dyDescent="0.25">
      <c r="A20" s="15">
        <v>12</v>
      </c>
      <c r="B20" s="16">
        <v>19418</v>
      </c>
      <c r="C20" s="12">
        <v>45357</v>
      </c>
      <c r="D20" s="13" t="s">
        <v>289</v>
      </c>
      <c r="E20" s="14">
        <v>890</v>
      </c>
      <c r="F20" s="1" t="s">
        <v>365</v>
      </c>
      <c r="G20" s="18"/>
      <c r="H20" s="18"/>
    </row>
    <row r="21" spans="1:8" s="17" customFormat="1" ht="18.75" customHeight="1" x14ac:dyDescent="0.25">
      <c r="A21" s="11">
        <v>13</v>
      </c>
      <c r="B21" s="16">
        <v>19419</v>
      </c>
      <c r="C21" s="12">
        <v>45357</v>
      </c>
      <c r="D21" s="13" t="s">
        <v>290</v>
      </c>
      <c r="E21" s="14">
        <v>1581</v>
      </c>
      <c r="F21" s="1" t="s">
        <v>366</v>
      </c>
      <c r="G21" s="18"/>
      <c r="H21" s="18"/>
    </row>
    <row r="22" spans="1:8" s="17" customFormat="1" ht="18.75" customHeight="1" x14ac:dyDescent="0.25">
      <c r="A22" s="15">
        <v>14</v>
      </c>
      <c r="B22" s="16">
        <v>19420</v>
      </c>
      <c r="C22" s="12">
        <v>45357</v>
      </c>
      <c r="D22" s="13" t="s">
        <v>291</v>
      </c>
      <c r="E22" s="14">
        <v>7115</v>
      </c>
      <c r="F22" s="1" t="s">
        <v>367</v>
      </c>
      <c r="G22" s="18"/>
      <c r="H22" s="18"/>
    </row>
    <row r="23" spans="1:8" s="17" customFormat="1" ht="18.75" customHeight="1" x14ac:dyDescent="0.25">
      <c r="A23" s="15">
        <v>15</v>
      </c>
      <c r="B23" s="16">
        <v>19422</v>
      </c>
      <c r="C23" s="12">
        <v>45359</v>
      </c>
      <c r="D23" s="13" t="s">
        <v>292</v>
      </c>
      <c r="E23" s="14">
        <v>1832</v>
      </c>
      <c r="F23" s="1" t="s">
        <v>368</v>
      </c>
      <c r="G23" s="18"/>
      <c r="H23" s="18"/>
    </row>
    <row r="24" spans="1:8" s="17" customFormat="1" ht="18.75" customHeight="1" x14ac:dyDescent="0.25">
      <c r="A24" s="11">
        <v>16</v>
      </c>
      <c r="B24" s="16">
        <v>19423</v>
      </c>
      <c r="C24" s="12">
        <v>45359</v>
      </c>
      <c r="D24" s="13" t="s">
        <v>293</v>
      </c>
      <c r="E24" s="14">
        <v>200</v>
      </c>
      <c r="F24" s="1" t="s">
        <v>369</v>
      </c>
      <c r="G24" s="18"/>
      <c r="H24" s="18"/>
    </row>
    <row r="25" spans="1:8" s="17" customFormat="1" ht="18.75" customHeight="1" x14ac:dyDescent="0.25">
      <c r="A25" s="15">
        <v>17</v>
      </c>
      <c r="B25" s="16">
        <v>19424</v>
      </c>
      <c r="C25" s="12">
        <v>45359</v>
      </c>
      <c r="D25" s="13" t="s">
        <v>294</v>
      </c>
      <c r="E25" s="14">
        <v>637</v>
      </c>
      <c r="F25" s="1" t="s">
        <v>370</v>
      </c>
      <c r="G25" s="18"/>
      <c r="H25" s="18"/>
    </row>
    <row r="26" spans="1:8" s="17" customFormat="1" ht="18.75" customHeight="1" x14ac:dyDescent="0.25">
      <c r="A26" s="15">
        <v>18</v>
      </c>
      <c r="B26" s="16">
        <v>19425</v>
      </c>
      <c r="C26" s="12">
        <v>45359</v>
      </c>
      <c r="D26" s="13" t="s">
        <v>295</v>
      </c>
      <c r="E26" s="14">
        <v>492</v>
      </c>
      <c r="F26" s="1" t="s">
        <v>371</v>
      </c>
      <c r="G26" s="18"/>
      <c r="H26" s="18"/>
    </row>
    <row r="27" spans="1:8" s="17" customFormat="1" ht="18.75" customHeight="1" x14ac:dyDescent="0.25">
      <c r="A27" s="11">
        <v>19</v>
      </c>
      <c r="B27" s="16">
        <v>19426</v>
      </c>
      <c r="C27" s="12">
        <v>45359</v>
      </c>
      <c r="D27" s="13" t="s">
        <v>296</v>
      </c>
      <c r="E27" s="14">
        <v>6346</v>
      </c>
      <c r="F27" s="1" t="s">
        <v>372</v>
      </c>
      <c r="G27" s="18"/>
      <c r="H27" s="18"/>
    </row>
    <row r="28" spans="1:8" s="17" customFormat="1" ht="18.75" customHeight="1" x14ac:dyDescent="0.25">
      <c r="A28" s="15">
        <v>20</v>
      </c>
      <c r="B28" s="16">
        <v>19427</v>
      </c>
      <c r="C28" s="12">
        <v>45359</v>
      </c>
      <c r="D28" s="13" t="s">
        <v>297</v>
      </c>
      <c r="E28" s="14">
        <v>2570</v>
      </c>
      <c r="F28" s="1" t="s">
        <v>373</v>
      </c>
      <c r="G28" s="18"/>
      <c r="H28" s="18"/>
    </row>
    <row r="29" spans="1:8" s="17" customFormat="1" ht="18.75" customHeight="1" x14ac:dyDescent="0.25">
      <c r="A29" s="15">
        <v>21</v>
      </c>
      <c r="B29" s="16">
        <v>19428</v>
      </c>
      <c r="C29" s="12">
        <v>45359</v>
      </c>
      <c r="D29" s="13" t="s">
        <v>298</v>
      </c>
      <c r="E29" s="14">
        <v>1711</v>
      </c>
      <c r="F29" s="1" t="s">
        <v>374</v>
      </c>
      <c r="G29" s="18"/>
      <c r="H29" s="18"/>
    </row>
    <row r="30" spans="1:8" s="17" customFormat="1" ht="18.75" customHeight="1" x14ac:dyDescent="0.25">
      <c r="A30" s="11">
        <v>22</v>
      </c>
      <c r="B30" s="16">
        <v>19429</v>
      </c>
      <c r="C30" s="12">
        <v>45359</v>
      </c>
      <c r="D30" s="13" t="s">
        <v>299</v>
      </c>
      <c r="E30" s="14">
        <v>4580</v>
      </c>
      <c r="F30" s="1" t="s">
        <v>375</v>
      </c>
      <c r="G30" s="18"/>
      <c r="H30" s="18"/>
    </row>
    <row r="31" spans="1:8" s="17" customFormat="1" ht="18.75" customHeight="1" x14ac:dyDescent="0.25">
      <c r="A31" s="15">
        <v>23</v>
      </c>
      <c r="B31" s="16">
        <v>19430</v>
      </c>
      <c r="C31" s="12">
        <v>45359</v>
      </c>
      <c r="D31" s="13" t="s">
        <v>300</v>
      </c>
      <c r="E31" s="14">
        <v>1832</v>
      </c>
      <c r="F31" s="1" t="s">
        <v>376</v>
      </c>
      <c r="G31" s="18"/>
      <c r="H31" s="18"/>
    </row>
    <row r="32" spans="1:8" s="17" customFormat="1" ht="18.75" customHeight="1" x14ac:dyDescent="0.25">
      <c r="A32" s="15">
        <v>24</v>
      </c>
      <c r="B32" s="16">
        <v>19431</v>
      </c>
      <c r="C32" s="12">
        <v>45361</v>
      </c>
      <c r="D32" s="13" t="s">
        <v>301</v>
      </c>
      <c r="E32" s="14">
        <v>2416</v>
      </c>
      <c r="F32" s="1" t="s">
        <v>377</v>
      </c>
      <c r="G32" s="18"/>
      <c r="H32" s="18"/>
    </row>
    <row r="33" spans="1:8" s="17" customFormat="1" ht="18.75" customHeight="1" x14ac:dyDescent="0.25">
      <c r="A33" s="11">
        <v>25</v>
      </c>
      <c r="B33" s="31">
        <v>19432</v>
      </c>
      <c r="C33" s="12">
        <v>45361</v>
      </c>
      <c r="D33" s="13" t="s">
        <v>302</v>
      </c>
      <c r="E33" s="14">
        <v>202</v>
      </c>
      <c r="F33" s="1" t="s">
        <v>378</v>
      </c>
      <c r="G33" s="18"/>
      <c r="H33" s="18"/>
    </row>
    <row r="34" spans="1:8" s="17" customFormat="1" ht="18.75" customHeight="1" x14ac:dyDescent="0.25">
      <c r="A34" s="15">
        <v>26</v>
      </c>
      <c r="B34" s="16">
        <v>19434</v>
      </c>
      <c r="C34" s="12">
        <v>45361</v>
      </c>
      <c r="D34" s="13" t="s">
        <v>303</v>
      </c>
      <c r="E34" s="14">
        <v>16188</v>
      </c>
      <c r="F34" s="1" t="s">
        <v>379</v>
      </c>
      <c r="G34" s="18"/>
      <c r="H34" s="18"/>
    </row>
    <row r="35" spans="1:8" s="17" customFormat="1" ht="18.75" customHeight="1" x14ac:dyDescent="0.25">
      <c r="A35" s="15">
        <v>27</v>
      </c>
      <c r="B35" s="16">
        <v>19436</v>
      </c>
      <c r="C35" s="12">
        <v>45363</v>
      </c>
      <c r="D35" s="13" t="s">
        <v>304</v>
      </c>
      <c r="E35" s="14">
        <v>4771</v>
      </c>
      <c r="F35" s="1" t="s">
        <v>380</v>
      </c>
      <c r="G35" s="18"/>
      <c r="H35" s="18"/>
    </row>
    <row r="36" spans="1:8" s="17" customFormat="1" ht="18.75" customHeight="1" x14ac:dyDescent="0.25">
      <c r="A36" s="11">
        <v>28</v>
      </c>
      <c r="B36" s="16">
        <v>19438</v>
      </c>
      <c r="C36" s="12">
        <v>45363</v>
      </c>
      <c r="D36" s="13" t="s">
        <v>305</v>
      </c>
      <c r="E36" s="14">
        <v>5078</v>
      </c>
      <c r="F36" s="1" t="s">
        <v>381</v>
      </c>
      <c r="G36" s="18"/>
      <c r="H36" s="18"/>
    </row>
    <row r="37" spans="1:8" s="17" customFormat="1" ht="18.75" customHeight="1" x14ac:dyDescent="0.25">
      <c r="A37" s="15">
        <v>29</v>
      </c>
      <c r="B37" s="16">
        <v>19439</v>
      </c>
      <c r="C37" s="12">
        <v>45366</v>
      </c>
      <c r="D37" s="13" t="s">
        <v>306</v>
      </c>
      <c r="E37" s="14">
        <v>2325</v>
      </c>
      <c r="F37" s="1" t="s">
        <v>382</v>
      </c>
      <c r="G37" s="18"/>
      <c r="H37" s="18"/>
    </row>
    <row r="38" spans="1:8" s="17" customFormat="1" ht="18.75" customHeight="1" x14ac:dyDescent="0.25">
      <c r="A38" s="15">
        <v>30</v>
      </c>
      <c r="B38" s="16">
        <v>19440</v>
      </c>
      <c r="C38" s="12">
        <v>45366</v>
      </c>
      <c r="D38" s="13" t="s">
        <v>307</v>
      </c>
      <c r="E38" s="14">
        <v>3236</v>
      </c>
      <c r="F38" s="1" t="s">
        <v>383</v>
      </c>
      <c r="G38" s="18"/>
      <c r="H38" s="18"/>
    </row>
    <row r="39" spans="1:8" s="17" customFormat="1" ht="18.75" customHeight="1" x14ac:dyDescent="0.25">
      <c r="A39" s="11">
        <v>31</v>
      </c>
      <c r="B39" s="16">
        <v>19441</v>
      </c>
      <c r="C39" s="12">
        <v>45366</v>
      </c>
      <c r="D39" s="13" t="s">
        <v>308</v>
      </c>
      <c r="E39" s="14">
        <v>24172</v>
      </c>
      <c r="F39" s="1" t="s">
        <v>384</v>
      </c>
      <c r="G39" s="18"/>
      <c r="H39" s="18"/>
    </row>
    <row r="40" spans="1:8" s="17" customFormat="1" ht="18.75" customHeight="1" x14ac:dyDescent="0.25">
      <c r="A40" s="15">
        <v>32</v>
      </c>
      <c r="B40" s="16">
        <v>19442</v>
      </c>
      <c r="C40" s="12">
        <v>45366</v>
      </c>
      <c r="D40" s="13" t="s">
        <v>309</v>
      </c>
      <c r="E40" s="14">
        <v>2458</v>
      </c>
      <c r="F40" s="1" t="s">
        <v>385</v>
      </c>
      <c r="G40" s="18"/>
      <c r="H40" s="18"/>
    </row>
    <row r="41" spans="1:8" s="17" customFormat="1" ht="18.75" customHeight="1" x14ac:dyDescent="0.25">
      <c r="A41" s="15">
        <v>33</v>
      </c>
      <c r="B41" s="16">
        <v>19443</v>
      </c>
      <c r="C41" s="12">
        <v>45366</v>
      </c>
      <c r="D41" s="13" t="s">
        <v>310</v>
      </c>
      <c r="E41" s="14">
        <v>1658</v>
      </c>
      <c r="F41" s="1" t="s">
        <v>386</v>
      </c>
      <c r="G41" s="18"/>
      <c r="H41" s="18"/>
    </row>
    <row r="42" spans="1:8" s="17" customFormat="1" ht="18.75" customHeight="1" x14ac:dyDescent="0.25">
      <c r="A42" s="11">
        <v>34</v>
      </c>
      <c r="B42" s="16">
        <v>19444</v>
      </c>
      <c r="C42" s="12">
        <v>45366</v>
      </c>
      <c r="D42" s="13" t="s">
        <v>311</v>
      </c>
      <c r="E42" s="14">
        <v>15399</v>
      </c>
      <c r="F42" s="1" t="s">
        <v>387</v>
      </c>
      <c r="G42" s="18"/>
      <c r="H42" s="18"/>
    </row>
    <row r="43" spans="1:8" s="17" customFormat="1" ht="18.75" customHeight="1" x14ac:dyDescent="0.25">
      <c r="A43" s="15">
        <v>35</v>
      </c>
      <c r="B43" s="16">
        <v>19445</v>
      </c>
      <c r="C43" s="12">
        <v>45366</v>
      </c>
      <c r="D43" s="13" t="s">
        <v>312</v>
      </c>
      <c r="E43" s="14">
        <v>762</v>
      </c>
      <c r="F43" s="1" t="s">
        <v>388</v>
      </c>
      <c r="G43" s="18"/>
      <c r="H43" s="18"/>
    </row>
    <row r="44" spans="1:8" s="17" customFormat="1" ht="18.75" customHeight="1" x14ac:dyDescent="0.25">
      <c r="A44" s="15">
        <v>36</v>
      </c>
      <c r="B44" s="16">
        <v>19447</v>
      </c>
      <c r="C44" s="12">
        <v>45369</v>
      </c>
      <c r="D44" s="13" t="s">
        <v>313</v>
      </c>
      <c r="E44" s="14">
        <v>597</v>
      </c>
      <c r="F44" s="1" t="s">
        <v>389</v>
      </c>
      <c r="G44" s="18"/>
      <c r="H44" s="18"/>
    </row>
    <row r="45" spans="1:8" s="17" customFormat="1" ht="18.75" customHeight="1" x14ac:dyDescent="0.25">
      <c r="A45" s="11">
        <v>37</v>
      </c>
      <c r="B45" s="16">
        <v>19449</v>
      </c>
      <c r="C45" s="12">
        <v>45372</v>
      </c>
      <c r="D45" s="13" t="s">
        <v>314</v>
      </c>
      <c r="E45" s="14">
        <v>4550</v>
      </c>
      <c r="F45" s="1" t="s">
        <v>390</v>
      </c>
      <c r="G45" s="18"/>
      <c r="H45" s="18"/>
    </row>
    <row r="46" spans="1:8" s="17" customFormat="1" ht="18.75" customHeight="1" x14ac:dyDescent="0.25">
      <c r="A46" s="15">
        <v>38</v>
      </c>
      <c r="B46" s="16">
        <v>19450</v>
      </c>
      <c r="C46" s="12">
        <v>45372</v>
      </c>
      <c r="D46" s="13" t="s">
        <v>315</v>
      </c>
      <c r="E46" s="14">
        <v>1663</v>
      </c>
      <c r="F46" s="1" t="s">
        <v>391</v>
      </c>
      <c r="G46" s="18"/>
      <c r="H46" s="18"/>
    </row>
    <row r="47" spans="1:8" s="17" customFormat="1" ht="18.75" customHeight="1" x14ac:dyDescent="0.25">
      <c r="A47" s="15">
        <v>39</v>
      </c>
      <c r="B47" s="16">
        <v>19451</v>
      </c>
      <c r="C47" s="12">
        <v>45372</v>
      </c>
      <c r="D47" s="13" t="s">
        <v>316</v>
      </c>
      <c r="E47" s="14">
        <v>1408</v>
      </c>
      <c r="F47" s="1" t="s">
        <v>392</v>
      </c>
      <c r="G47" s="18"/>
      <c r="H47" s="18"/>
    </row>
    <row r="48" spans="1:8" s="17" customFormat="1" ht="18.75" customHeight="1" x14ac:dyDescent="0.25">
      <c r="A48" s="11">
        <v>40</v>
      </c>
      <c r="B48" s="16">
        <v>19452</v>
      </c>
      <c r="C48" s="12">
        <v>45372</v>
      </c>
      <c r="D48" s="13" t="s">
        <v>317</v>
      </c>
      <c r="E48" s="14">
        <v>915</v>
      </c>
      <c r="F48" s="1" t="s">
        <v>393</v>
      </c>
      <c r="G48" s="18"/>
      <c r="H48" s="18"/>
    </row>
    <row r="49" spans="1:8" s="17" customFormat="1" ht="18.75" customHeight="1" x14ac:dyDescent="0.25">
      <c r="A49" s="15">
        <v>41</v>
      </c>
      <c r="B49" s="16">
        <v>19453</v>
      </c>
      <c r="C49" s="12">
        <v>45372</v>
      </c>
      <c r="D49" s="13" t="s">
        <v>318</v>
      </c>
      <c r="E49" s="14">
        <v>1784</v>
      </c>
      <c r="F49" s="1" t="s">
        <v>394</v>
      </c>
      <c r="G49" s="18"/>
      <c r="H49" s="18"/>
    </row>
    <row r="50" spans="1:8" s="17" customFormat="1" ht="18.75" customHeight="1" x14ac:dyDescent="0.25">
      <c r="A50" s="15">
        <v>42</v>
      </c>
      <c r="B50" s="16">
        <v>19454</v>
      </c>
      <c r="C50" s="12">
        <v>45372</v>
      </c>
      <c r="D50" s="13" t="s">
        <v>319</v>
      </c>
      <c r="E50" s="14">
        <v>7985</v>
      </c>
      <c r="F50" s="1" t="s">
        <v>395</v>
      </c>
      <c r="G50" s="18"/>
      <c r="H50" s="18"/>
    </row>
    <row r="51" spans="1:8" s="17" customFormat="1" ht="18.75" customHeight="1" x14ac:dyDescent="0.25">
      <c r="A51" s="11">
        <v>43</v>
      </c>
      <c r="B51" s="16">
        <v>19455</v>
      </c>
      <c r="C51" s="12">
        <v>45372</v>
      </c>
      <c r="D51" s="13" t="s">
        <v>320</v>
      </c>
      <c r="E51" s="14">
        <v>1266</v>
      </c>
      <c r="F51" s="1" t="s">
        <v>396</v>
      </c>
      <c r="G51" s="18"/>
      <c r="H51" s="18"/>
    </row>
    <row r="52" spans="1:8" s="17" customFormat="1" ht="18.75" customHeight="1" x14ac:dyDescent="0.25">
      <c r="A52" s="15">
        <v>44</v>
      </c>
      <c r="B52" s="16">
        <v>19456</v>
      </c>
      <c r="C52" s="12">
        <v>45372</v>
      </c>
      <c r="D52" s="13" t="s">
        <v>321</v>
      </c>
      <c r="E52" s="14">
        <v>6663</v>
      </c>
      <c r="F52" s="1" t="s">
        <v>397</v>
      </c>
      <c r="G52" s="18"/>
      <c r="H52" s="18"/>
    </row>
    <row r="53" spans="1:8" s="17" customFormat="1" ht="18.75" customHeight="1" x14ac:dyDescent="0.25">
      <c r="A53" s="15">
        <v>45</v>
      </c>
      <c r="B53" s="16">
        <v>19457</v>
      </c>
      <c r="C53" s="12">
        <v>45372</v>
      </c>
      <c r="D53" s="13" t="s">
        <v>322</v>
      </c>
      <c r="E53" s="14">
        <v>225</v>
      </c>
      <c r="F53" s="1" t="s">
        <v>398</v>
      </c>
      <c r="G53" s="18"/>
      <c r="H53" s="18"/>
    </row>
    <row r="54" spans="1:8" s="17" customFormat="1" ht="18.75" customHeight="1" x14ac:dyDescent="0.25">
      <c r="A54" s="11">
        <v>46</v>
      </c>
      <c r="B54" s="16">
        <v>19459</v>
      </c>
      <c r="C54" s="12">
        <v>45372</v>
      </c>
      <c r="D54" s="13" t="s">
        <v>323</v>
      </c>
      <c r="E54" s="14">
        <v>3851</v>
      </c>
      <c r="F54" s="1" t="s">
        <v>399</v>
      </c>
      <c r="G54" s="18"/>
      <c r="H54" s="18"/>
    </row>
    <row r="55" spans="1:8" s="17" customFormat="1" ht="18.75" customHeight="1" x14ac:dyDescent="0.25">
      <c r="A55" s="15">
        <v>47</v>
      </c>
      <c r="B55" s="16">
        <v>19460</v>
      </c>
      <c r="C55" s="12">
        <v>45372</v>
      </c>
      <c r="D55" s="13" t="s">
        <v>324</v>
      </c>
      <c r="E55" s="14">
        <v>199</v>
      </c>
      <c r="F55" s="1" t="s">
        <v>400</v>
      </c>
      <c r="G55" s="18"/>
      <c r="H55" s="18"/>
    </row>
    <row r="56" spans="1:8" s="17" customFormat="1" ht="18.75" customHeight="1" x14ac:dyDescent="0.25">
      <c r="A56" s="15">
        <v>48</v>
      </c>
      <c r="B56" s="16">
        <v>19461</v>
      </c>
      <c r="C56" s="12">
        <v>45372</v>
      </c>
      <c r="D56" s="13" t="s">
        <v>325</v>
      </c>
      <c r="E56" s="14">
        <v>5721</v>
      </c>
      <c r="F56" s="1" t="s">
        <v>401</v>
      </c>
      <c r="G56" s="18"/>
      <c r="H56" s="18"/>
    </row>
    <row r="57" spans="1:8" s="17" customFormat="1" ht="18.75" customHeight="1" x14ac:dyDescent="0.25">
      <c r="A57" s="11">
        <v>49</v>
      </c>
      <c r="B57" s="16">
        <v>19462</v>
      </c>
      <c r="C57" s="12">
        <v>45372</v>
      </c>
      <c r="D57" s="13" t="s">
        <v>326</v>
      </c>
      <c r="E57" s="14">
        <v>6120</v>
      </c>
      <c r="F57" s="1" t="s">
        <v>402</v>
      </c>
      <c r="G57" s="18"/>
      <c r="H57" s="18"/>
    </row>
    <row r="58" spans="1:8" s="17" customFormat="1" ht="18.75" customHeight="1" x14ac:dyDescent="0.25">
      <c r="A58" s="15">
        <v>50</v>
      </c>
      <c r="B58" s="16">
        <v>19463</v>
      </c>
      <c r="C58" s="12">
        <v>45372</v>
      </c>
      <c r="D58" s="13" t="s">
        <v>327</v>
      </c>
      <c r="E58" s="14">
        <v>8063</v>
      </c>
      <c r="F58" s="1" t="s">
        <v>403</v>
      </c>
      <c r="G58" s="18"/>
      <c r="H58" s="18"/>
    </row>
    <row r="59" spans="1:8" s="17" customFormat="1" ht="18.75" customHeight="1" x14ac:dyDescent="0.25">
      <c r="A59" s="15">
        <v>51</v>
      </c>
      <c r="B59" s="16">
        <v>19464</v>
      </c>
      <c r="C59" s="12">
        <v>45372</v>
      </c>
      <c r="D59" s="13" t="s">
        <v>328</v>
      </c>
      <c r="E59" s="14">
        <v>529</v>
      </c>
      <c r="F59" s="1" t="s">
        <v>404</v>
      </c>
      <c r="G59" s="18"/>
      <c r="H59" s="18"/>
    </row>
    <row r="60" spans="1:8" s="17" customFormat="1" ht="18.75" customHeight="1" x14ac:dyDescent="0.25">
      <c r="A60" s="11">
        <v>52</v>
      </c>
      <c r="B60" s="16">
        <v>19465</v>
      </c>
      <c r="C60" s="12">
        <v>45374</v>
      </c>
      <c r="D60" s="13" t="s">
        <v>329</v>
      </c>
      <c r="E60" s="14">
        <v>1238</v>
      </c>
      <c r="F60" s="1" t="s">
        <v>405</v>
      </c>
      <c r="G60" s="18"/>
      <c r="H60" s="18"/>
    </row>
    <row r="61" spans="1:8" s="17" customFormat="1" ht="18.75" customHeight="1" x14ac:dyDescent="0.25">
      <c r="A61" s="15">
        <v>53</v>
      </c>
      <c r="B61" s="16">
        <v>19466</v>
      </c>
      <c r="C61" s="12">
        <v>45374</v>
      </c>
      <c r="D61" s="13" t="s">
        <v>330</v>
      </c>
      <c r="E61" s="14">
        <v>1142</v>
      </c>
      <c r="F61" s="1" t="s">
        <v>406</v>
      </c>
      <c r="G61" s="18"/>
      <c r="H61" s="18"/>
    </row>
    <row r="62" spans="1:8" s="17" customFormat="1" ht="18.75" customHeight="1" x14ac:dyDescent="0.25">
      <c r="A62" s="15">
        <v>54</v>
      </c>
      <c r="B62" s="16">
        <v>19467</v>
      </c>
      <c r="C62" s="12">
        <v>45374</v>
      </c>
      <c r="D62" s="13" t="s">
        <v>331</v>
      </c>
      <c r="E62" s="14">
        <v>962</v>
      </c>
      <c r="F62" s="1" t="s">
        <v>407</v>
      </c>
      <c r="G62" s="18"/>
      <c r="H62" s="18"/>
    </row>
    <row r="63" spans="1:8" s="17" customFormat="1" ht="18.75" customHeight="1" x14ac:dyDescent="0.25">
      <c r="A63" s="11">
        <v>55</v>
      </c>
      <c r="B63" s="16">
        <v>19468</v>
      </c>
      <c r="C63" s="12">
        <v>45374</v>
      </c>
      <c r="D63" s="13" t="s">
        <v>332</v>
      </c>
      <c r="E63" s="14">
        <v>200</v>
      </c>
      <c r="F63" s="1" t="s">
        <v>408</v>
      </c>
      <c r="G63" s="18"/>
      <c r="H63" s="18"/>
    </row>
    <row r="64" spans="1:8" s="17" customFormat="1" ht="18.75" customHeight="1" x14ac:dyDescent="0.25">
      <c r="A64" s="15">
        <v>56</v>
      </c>
      <c r="B64" s="16">
        <v>19469</v>
      </c>
      <c r="C64" s="12">
        <v>45374</v>
      </c>
      <c r="D64" s="13" t="s">
        <v>333</v>
      </c>
      <c r="E64" s="14">
        <v>4785</v>
      </c>
      <c r="F64" s="1" t="s">
        <v>409</v>
      </c>
      <c r="G64" s="18"/>
      <c r="H64" s="18"/>
    </row>
    <row r="65" spans="1:8" s="17" customFormat="1" ht="18.75" customHeight="1" x14ac:dyDescent="0.25">
      <c r="A65" s="15">
        <v>57</v>
      </c>
      <c r="B65" s="16">
        <v>19470</v>
      </c>
      <c r="C65" s="12">
        <v>45374</v>
      </c>
      <c r="D65" s="13" t="s">
        <v>334</v>
      </c>
      <c r="E65" s="14">
        <v>1920</v>
      </c>
      <c r="F65" s="1" t="s">
        <v>410</v>
      </c>
      <c r="G65" s="18"/>
      <c r="H65" s="18"/>
    </row>
    <row r="66" spans="1:8" s="17" customFormat="1" ht="18.75" customHeight="1" x14ac:dyDescent="0.25">
      <c r="A66" s="11">
        <v>58</v>
      </c>
      <c r="B66" s="16">
        <v>19471</v>
      </c>
      <c r="C66" s="12">
        <v>45374</v>
      </c>
      <c r="D66" s="13" t="s">
        <v>335</v>
      </c>
      <c r="E66" s="14">
        <v>9634</v>
      </c>
      <c r="F66" s="1" t="s">
        <v>411</v>
      </c>
      <c r="G66" s="18"/>
      <c r="H66" s="18"/>
    </row>
    <row r="67" spans="1:8" s="17" customFormat="1" ht="18.75" customHeight="1" x14ac:dyDescent="0.25">
      <c r="A67" s="15">
        <v>59</v>
      </c>
      <c r="B67" s="16">
        <v>19489</v>
      </c>
      <c r="C67" s="12">
        <v>45379</v>
      </c>
      <c r="D67" s="13" t="s">
        <v>336</v>
      </c>
      <c r="E67" s="14">
        <v>2174</v>
      </c>
      <c r="F67" s="1" t="s">
        <v>412</v>
      </c>
      <c r="G67" s="18"/>
      <c r="H67" s="18"/>
    </row>
    <row r="68" spans="1:8" s="17" customFormat="1" ht="18.75" customHeight="1" x14ac:dyDescent="0.25">
      <c r="A68" s="15">
        <v>60</v>
      </c>
      <c r="B68" s="16">
        <v>19490</v>
      </c>
      <c r="C68" s="12">
        <v>45379</v>
      </c>
      <c r="D68" s="13" t="s">
        <v>337</v>
      </c>
      <c r="E68" s="14">
        <v>671</v>
      </c>
      <c r="F68" s="1" t="s">
        <v>413</v>
      </c>
      <c r="G68" s="18"/>
      <c r="H68" s="18"/>
    </row>
    <row r="69" spans="1:8" s="17" customFormat="1" ht="18.75" customHeight="1" x14ac:dyDescent="0.25">
      <c r="A69" s="11">
        <v>61</v>
      </c>
      <c r="B69" s="16">
        <v>19492</v>
      </c>
      <c r="C69" s="12">
        <v>45379</v>
      </c>
      <c r="D69" s="13" t="s">
        <v>338</v>
      </c>
      <c r="E69" s="14">
        <v>318</v>
      </c>
      <c r="F69" s="1" t="s">
        <v>432</v>
      </c>
      <c r="G69" s="18"/>
      <c r="H69" s="18"/>
    </row>
    <row r="70" spans="1:8" s="17" customFormat="1" ht="18.75" customHeight="1" x14ac:dyDescent="0.25">
      <c r="A70" s="15">
        <v>62</v>
      </c>
      <c r="B70" s="16">
        <v>19493</v>
      </c>
      <c r="C70" s="12">
        <v>45379</v>
      </c>
      <c r="D70" s="13" t="s">
        <v>339</v>
      </c>
      <c r="E70" s="14">
        <v>1835</v>
      </c>
      <c r="F70" s="1" t="s">
        <v>414</v>
      </c>
      <c r="G70" s="18"/>
      <c r="H70" s="18"/>
    </row>
    <row r="71" spans="1:8" s="17" customFormat="1" ht="18.75" customHeight="1" x14ac:dyDescent="0.25">
      <c r="A71" s="15">
        <v>63</v>
      </c>
      <c r="B71" s="16">
        <v>19494</v>
      </c>
      <c r="C71" s="12">
        <v>45379</v>
      </c>
      <c r="D71" s="13" t="s">
        <v>340</v>
      </c>
      <c r="E71" s="14">
        <v>771</v>
      </c>
      <c r="F71" s="1" t="s">
        <v>415</v>
      </c>
      <c r="G71" s="18"/>
      <c r="H71" s="18"/>
    </row>
    <row r="72" spans="1:8" s="17" customFormat="1" ht="18.75" customHeight="1" x14ac:dyDescent="0.25">
      <c r="A72" s="11">
        <v>64</v>
      </c>
      <c r="B72" s="16">
        <v>19495</v>
      </c>
      <c r="C72" s="12">
        <v>45379</v>
      </c>
      <c r="D72" s="13" t="s">
        <v>341</v>
      </c>
      <c r="E72" s="14">
        <v>1023</v>
      </c>
      <c r="F72" s="1" t="s">
        <v>416</v>
      </c>
      <c r="G72" s="18"/>
      <c r="H72" s="18"/>
    </row>
    <row r="73" spans="1:8" s="17" customFormat="1" ht="18.75" customHeight="1" x14ac:dyDescent="0.25">
      <c r="A73" s="15">
        <v>65</v>
      </c>
      <c r="B73" s="16">
        <v>19496</v>
      </c>
      <c r="C73" s="12">
        <v>45379</v>
      </c>
      <c r="D73" s="13" t="s">
        <v>342</v>
      </c>
      <c r="E73" s="14">
        <v>2902</v>
      </c>
      <c r="F73" s="1" t="s">
        <v>417</v>
      </c>
      <c r="G73" s="18"/>
      <c r="H73" s="18"/>
    </row>
    <row r="74" spans="1:8" s="17" customFormat="1" ht="18.75" customHeight="1" x14ac:dyDescent="0.25">
      <c r="A74" s="15">
        <v>66</v>
      </c>
      <c r="B74" s="16">
        <v>19497</v>
      </c>
      <c r="C74" s="12">
        <v>45379</v>
      </c>
      <c r="D74" s="13" t="s">
        <v>343</v>
      </c>
      <c r="E74" s="14">
        <v>4330</v>
      </c>
      <c r="F74" s="1" t="s">
        <v>418</v>
      </c>
      <c r="G74" s="18"/>
      <c r="H74" s="18"/>
    </row>
    <row r="75" spans="1:8" s="17" customFormat="1" ht="18.75" customHeight="1" x14ac:dyDescent="0.25">
      <c r="A75" s="11">
        <v>67</v>
      </c>
      <c r="B75" s="16">
        <v>19498</v>
      </c>
      <c r="C75" s="12">
        <v>45381</v>
      </c>
      <c r="D75" s="13" t="s">
        <v>344</v>
      </c>
      <c r="E75" s="14">
        <v>988</v>
      </c>
      <c r="F75" s="1" t="s">
        <v>419</v>
      </c>
      <c r="G75" s="18"/>
      <c r="H75" s="18"/>
    </row>
    <row r="76" spans="1:8" s="17" customFormat="1" ht="18.75" customHeight="1" x14ac:dyDescent="0.25">
      <c r="A76" s="15">
        <v>68</v>
      </c>
      <c r="B76" s="16">
        <v>19499</v>
      </c>
      <c r="C76" s="12">
        <v>45381</v>
      </c>
      <c r="D76" s="13" t="s">
        <v>345</v>
      </c>
      <c r="E76" s="14">
        <v>1246</v>
      </c>
      <c r="F76" s="1" t="s">
        <v>420</v>
      </c>
      <c r="G76" s="18"/>
      <c r="H76" s="18"/>
    </row>
    <row r="77" spans="1:8" s="17" customFormat="1" ht="18.75" customHeight="1" x14ac:dyDescent="0.25">
      <c r="A77" s="15">
        <v>69</v>
      </c>
      <c r="B77" s="16">
        <v>19500</v>
      </c>
      <c r="C77" s="12">
        <v>45381</v>
      </c>
      <c r="D77" s="13" t="s">
        <v>346</v>
      </c>
      <c r="E77" s="14">
        <v>537</v>
      </c>
      <c r="F77" s="1" t="s">
        <v>421</v>
      </c>
      <c r="G77" s="18"/>
      <c r="H77" s="18"/>
    </row>
    <row r="78" spans="1:8" s="17" customFormat="1" ht="18.75" customHeight="1" x14ac:dyDescent="0.25">
      <c r="A78" s="11">
        <v>70</v>
      </c>
      <c r="B78" s="16">
        <v>19501</v>
      </c>
      <c r="C78" s="12">
        <v>45381</v>
      </c>
      <c r="D78" s="13" t="s">
        <v>347</v>
      </c>
      <c r="E78" s="14">
        <v>4974</v>
      </c>
      <c r="F78" s="1" t="s">
        <v>422</v>
      </c>
      <c r="G78" s="18"/>
      <c r="H78" s="18"/>
    </row>
    <row r="79" spans="1:8" s="17" customFormat="1" ht="18.75" customHeight="1" x14ac:dyDescent="0.25">
      <c r="A79" s="15">
        <v>71</v>
      </c>
      <c r="B79" s="16">
        <v>19502</v>
      </c>
      <c r="C79" s="12">
        <v>45381</v>
      </c>
      <c r="D79" s="13" t="s">
        <v>348</v>
      </c>
      <c r="E79" s="14">
        <v>2309</v>
      </c>
      <c r="F79" s="1" t="s">
        <v>423</v>
      </c>
      <c r="G79" s="18"/>
      <c r="H79" s="18"/>
    </row>
    <row r="80" spans="1:8" s="17" customFormat="1" ht="18.75" customHeight="1" x14ac:dyDescent="0.25">
      <c r="A80" s="15">
        <v>72</v>
      </c>
      <c r="B80" s="16">
        <v>19503</v>
      </c>
      <c r="C80" s="12">
        <v>45381</v>
      </c>
      <c r="D80" s="13" t="s">
        <v>349</v>
      </c>
      <c r="E80" s="14">
        <v>3766</v>
      </c>
      <c r="F80" s="1" t="s">
        <v>424</v>
      </c>
      <c r="G80" s="18"/>
      <c r="H80" s="18"/>
    </row>
    <row r="81" spans="1:11" s="17" customFormat="1" ht="18.75" customHeight="1" x14ac:dyDescent="0.25">
      <c r="A81" s="11">
        <v>73</v>
      </c>
      <c r="B81" s="16">
        <v>19504</v>
      </c>
      <c r="C81" s="12">
        <v>45381</v>
      </c>
      <c r="D81" s="13" t="s">
        <v>350</v>
      </c>
      <c r="E81" s="14">
        <v>200</v>
      </c>
      <c r="F81" s="1" t="s">
        <v>425</v>
      </c>
      <c r="G81" s="18"/>
      <c r="H81" s="18"/>
    </row>
    <row r="82" spans="1:11" s="17" customFormat="1" ht="18.75" customHeight="1" x14ac:dyDescent="0.25">
      <c r="A82" s="15">
        <v>74</v>
      </c>
      <c r="B82" s="16">
        <v>19505</v>
      </c>
      <c r="C82" s="12">
        <v>45381</v>
      </c>
      <c r="D82" s="13" t="s">
        <v>351</v>
      </c>
      <c r="E82" s="14">
        <v>1335</v>
      </c>
      <c r="F82" s="1" t="s">
        <v>426</v>
      </c>
      <c r="G82" s="18"/>
      <c r="H82" s="18"/>
    </row>
    <row r="83" spans="1:11" s="17" customFormat="1" ht="18.75" customHeight="1" x14ac:dyDescent="0.25">
      <c r="A83" s="15">
        <v>75</v>
      </c>
      <c r="B83" s="16">
        <v>19506</v>
      </c>
      <c r="C83" s="12">
        <v>45381</v>
      </c>
      <c r="D83" s="13" t="s">
        <v>352</v>
      </c>
      <c r="E83" s="14">
        <v>10396</v>
      </c>
      <c r="F83" s="1" t="s">
        <v>427</v>
      </c>
      <c r="G83" s="18"/>
      <c r="H83" s="18"/>
    </row>
    <row r="84" spans="1:11" s="17" customFormat="1" ht="18.75" customHeight="1" x14ac:dyDescent="0.25">
      <c r="A84" s="11">
        <v>76</v>
      </c>
      <c r="B84" s="16">
        <v>19507</v>
      </c>
      <c r="C84" s="12">
        <v>45381</v>
      </c>
      <c r="D84" s="13" t="s">
        <v>353</v>
      </c>
      <c r="E84" s="14">
        <v>3240</v>
      </c>
      <c r="F84" s="1" t="s">
        <v>428</v>
      </c>
      <c r="G84" s="18"/>
      <c r="H84" s="18"/>
    </row>
    <row r="85" spans="1:11" s="17" customFormat="1" ht="18.75" customHeight="1" thickBot="1" x14ac:dyDescent="0.3">
      <c r="A85" s="15">
        <v>77</v>
      </c>
      <c r="B85" s="16">
        <v>19508</v>
      </c>
      <c r="C85" s="12">
        <v>45381</v>
      </c>
      <c r="D85" s="13" t="s">
        <v>354</v>
      </c>
      <c r="E85" s="14">
        <v>5899</v>
      </c>
      <c r="F85" s="1" t="s">
        <v>429</v>
      </c>
      <c r="G85" s="18"/>
      <c r="H85" s="18"/>
    </row>
    <row r="86" spans="1:11" ht="16.5" thickBot="1" x14ac:dyDescent="0.3">
      <c r="A86" s="20" t="s">
        <v>276</v>
      </c>
      <c r="B86" s="21"/>
      <c r="C86" s="21"/>
      <c r="D86" s="22"/>
      <c r="E86" s="23">
        <f>SUM(E9:E85)</f>
        <v>251669</v>
      </c>
    </row>
    <row r="87" spans="1:11" x14ac:dyDescent="0.25">
      <c r="A87" s="4"/>
      <c r="B87" s="24"/>
      <c r="C87" s="25"/>
      <c r="D87" s="26"/>
      <c r="E87" s="27"/>
      <c r="F87" s="28"/>
      <c r="G87" s="28"/>
      <c r="H87" s="29"/>
      <c r="I87" s="25"/>
      <c r="J87" s="25"/>
      <c r="K87" s="28"/>
    </row>
    <row r="88" spans="1:11" x14ac:dyDescent="0.25">
      <c r="A88" s="4" t="s">
        <v>277</v>
      </c>
      <c r="B88" s="4"/>
    </row>
  </sheetData>
  <mergeCells count="2">
    <mergeCell ref="A1:B1"/>
    <mergeCell ref="A2:B2"/>
  </mergeCells>
  <conditionalFormatting sqref="B9:B77 B84:B85">
    <cfRule type="duplicateValues" dxfId="29" priority="2"/>
  </conditionalFormatting>
  <conditionalFormatting sqref="B78:B83">
    <cfRule type="duplicateValues" dxfId="28" priority="1"/>
  </conditionalFormatting>
  <printOptions horizontalCentered="1"/>
  <pageMargins left="0.25" right="0.25" top="0.74" bottom="0.28000000000000003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24AE-F4DC-4CEB-8C4D-AEF4D52A7F4B}">
  <dimension ref="A1:H78"/>
  <sheetViews>
    <sheetView topLeftCell="F2" workbookViewId="0">
      <selection activeCell="H78" sqref="H2:H78"/>
    </sheetView>
  </sheetViews>
  <sheetFormatPr defaultRowHeight="15" x14ac:dyDescent="0.25"/>
  <cols>
    <col min="1" max="1" width="46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85.28515625" customWidth="1"/>
    <col min="7" max="7" width="77.42578125" customWidth="1"/>
    <col min="8" max="8" width="72" customWidth="1"/>
  </cols>
  <sheetData>
    <row r="1" spans="1:8" x14ac:dyDescent="0.25">
      <c r="A1" s="34" t="s">
        <v>723</v>
      </c>
      <c r="B1" t="s">
        <v>724</v>
      </c>
      <c r="D1" s="35" t="s">
        <v>725</v>
      </c>
      <c r="E1" t="s">
        <v>726</v>
      </c>
    </row>
    <row r="2" spans="1:8" ht="54" customHeight="1" x14ac:dyDescent="0.25">
      <c r="A2" s="1" t="s">
        <v>431</v>
      </c>
      <c r="B2" s="37" t="str">
        <f>VLOOKUP(A2,[4]Sheet1!$B$2:$C$155,2,0)</f>
        <v>070000155184</v>
      </c>
      <c r="C2" s="14">
        <v>1253</v>
      </c>
      <c r="D2" s="38">
        <f>ROUND(C2,0)</f>
        <v>1253</v>
      </c>
      <c r="E2" t="s">
        <v>726</v>
      </c>
      <c r="F2" s="3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0" t="str">
        <f>"('"&amp;E2&amp;"','"&amp;B2&amp;"','"&amp;D2&amp;"',(select max(to_number(i.premium_rcv_detail_code))+1
from ins_premium_det i),'"&amp;D2&amp;"','"&amp;D2&amp;"','02', '11000003','00','Request by Mr. Saqib Saleem 21-Aug-2024 sheet4');"</f>
        <v>('20Aug240117','070000155184','1253',(select max(to_number(i.premium_rcv_detail_code))+1
from ins_premium_det i),'1253','1253','02', '11000003','00','Request by Mr. Saqib Saleem 21-Aug-2024 sheet4');</v>
      </c>
      <c r="H2" s="41" t="str">
        <f>F2&amp;G2</f>
        <v>insert into ins_premium_det (premium_rcv_code,assorted_code, rec_amount,premium_rcv_detail_code,remaining_amt, payrec, mode_code,coinsurance_code,class_cd,it_remarks) values('20Aug240117','070000155184','1253',(select max(to_number(i.premium_rcv_detail_code))+1
from ins_premium_det i),'1253','1253','02', '11000003','00','Request by Mr. Saqib Saleem 21-Aug-2024 sheet4');</v>
      </c>
    </row>
    <row r="3" spans="1:8" ht="105" x14ac:dyDescent="0.25">
      <c r="A3" s="1" t="s">
        <v>355</v>
      </c>
      <c r="B3" s="37" t="str">
        <f>VLOOKUP(A3,[4]Sheet1!$B$2:$C$155,2,0)</f>
        <v>070000155185</v>
      </c>
      <c r="C3" s="14">
        <v>964</v>
      </c>
      <c r="D3" s="38">
        <f t="shared" ref="D3:D66" si="1">ROUND(C3,0)</f>
        <v>964</v>
      </c>
      <c r="E3" t="s">
        <v>726</v>
      </c>
      <c r="F3" s="39" t="str">
        <f t="shared" si="0"/>
        <v>insert into ins_premium_det (premium_rcv_code,assorted_code, rec_amount,premium_rcv_detail_code,remaining_amt, payrec, mode_code,coinsurance_code,class_cd,it_remarks) values</v>
      </c>
      <c r="G3" s="40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sheet4');"</f>
        <v>('20Aug240117','070000155185','964',(select max(to_number(i.premium_rcv_detail_code))+1
from ins_premium_det i),'964','964','02', '11000003','00','Request by Mr. Saqib Saleem 21-Aug-2024 sheet4');</v>
      </c>
      <c r="H3" s="41" t="str">
        <f t="shared" ref="H3:H66" si="3">F3&amp;G3</f>
        <v>insert into ins_premium_det (premium_rcv_code,assorted_code, rec_amount,premium_rcv_detail_code,remaining_amt, payrec, mode_code,coinsurance_code,class_cd,it_remarks) values('20Aug240117','070000155185','964',(select max(to_number(i.premium_rcv_detail_code))+1
from ins_premium_det i),'964','964','02', '11000003','00','Request by Mr. Saqib Saleem 21-Aug-2024 sheet4');</v>
      </c>
    </row>
    <row r="4" spans="1:8" ht="105" x14ac:dyDescent="0.25">
      <c r="A4" s="1" t="s">
        <v>356</v>
      </c>
      <c r="B4" s="37" t="str">
        <f>VLOOKUP(A4,[4]Sheet1!$B$2:$C$155,2,0)</f>
        <v>070000155186</v>
      </c>
      <c r="C4" s="14">
        <v>5783</v>
      </c>
      <c r="D4" s="38">
        <f t="shared" si="1"/>
        <v>5783</v>
      </c>
      <c r="E4" t="s">
        <v>726</v>
      </c>
      <c r="F4" s="39" t="str">
        <f t="shared" si="0"/>
        <v>insert into ins_premium_det (premium_rcv_code,assorted_code, rec_amount,premium_rcv_detail_code,remaining_amt, payrec, mode_code,coinsurance_code,class_cd,it_remarks) values</v>
      </c>
      <c r="G4" s="40" t="str">
        <f t="shared" si="2"/>
        <v>('20Aug240117','070000155186','5783',(select max(to_number(i.premium_rcv_detail_code))+1
from ins_premium_det i),'5783','5783','02', '11000003','00','Request by Mr. Saqib Saleem 21-Aug-2024 sheet4');</v>
      </c>
      <c r="H4" s="41" t="str">
        <f t="shared" si="3"/>
        <v>insert into ins_premium_det (premium_rcv_code,assorted_code, rec_amount,premium_rcv_detail_code,remaining_amt, payrec, mode_code,coinsurance_code,class_cd,it_remarks) values('20Aug240117','070000155186','5783',(select max(to_number(i.premium_rcv_detail_code))+1
from ins_premium_det i),'5783','5783','02', '11000003','00','Request by Mr. Saqib Saleem 21-Aug-2024 sheet4');</v>
      </c>
    </row>
    <row r="5" spans="1:8" ht="105" x14ac:dyDescent="0.25">
      <c r="A5" s="1" t="s">
        <v>357</v>
      </c>
      <c r="B5" s="37" t="str">
        <f>VLOOKUP(A5,[4]Sheet1!$B$2:$C$155,2,0)</f>
        <v>070000155187</v>
      </c>
      <c r="C5" s="14">
        <v>2726</v>
      </c>
      <c r="D5" s="38">
        <f t="shared" si="1"/>
        <v>2726</v>
      </c>
      <c r="E5" t="s">
        <v>726</v>
      </c>
      <c r="F5" s="39" t="str">
        <f t="shared" si="0"/>
        <v>insert into ins_premium_det (premium_rcv_code,assorted_code, rec_amount,premium_rcv_detail_code,remaining_amt, payrec, mode_code,coinsurance_code,class_cd,it_remarks) values</v>
      </c>
      <c r="G5" s="40" t="str">
        <f t="shared" si="2"/>
        <v>('20Aug240117','070000155187','2726',(select max(to_number(i.premium_rcv_detail_code))+1
from ins_premium_det i),'2726','2726','02', '11000003','00','Request by Mr. Saqib Saleem 21-Aug-2024 sheet4');</v>
      </c>
      <c r="H5" s="41" t="str">
        <f t="shared" si="3"/>
        <v>insert into ins_premium_det (premium_rcv_code,assorted_code, rec_amount,premium_rcv_detail_code,remaining_amt, payrec, mode_code,coinsurance_code,class_cd,it_remarks) values('20Aug240117','070000155187','2726',(select max(to_number(i.premium_rcv_detail_code))+1
from ins_premium_det i),'2726','2726','02', '11000003','00','Request by Mr. Saqib Saleem 21-Aug-2024 sheet4');</v>
      </c>
    </row>
    <row r="6" spans="1:8" ht="105" x14ac:dyDescent="0.25">
      <c r="A6" s="1" t="s">
        <v>358</v>
      </c>
      <c r="B6" s="37" t="str">
        <f>VLOOKUP(A6,[4]Sheet1!$B$2:$C$155,2,0)</f>
        <v>070000155188</v>
      </c>
      <c r="C6" s="14">
        <v>6695</v>
      </c>
      <c r="D6" s="38">
        <f t="shared" si="1"/>
        <v>6695</v>
      </c>
      <c r="E6" t="s">
        <v>726</v>
      </c>
      <c r="F6" s="39" t="str">
        <f t="shared" si="0"/>
        <v>insert into ins_premium_det (premium_rcv_code,assorted_code, rec_amount,premium_rcv_detail_code,remaining_amt, payrec, mode_code,coinsurance_code,class_cd,it_remarks) values</v>
      </c>
      <c r="G6" s="40" t="str">
        <f t="shared" si="2"/>
        <v>('20Aug240117','070000155188','6695',(select max(to_number(i.premium_rcv_detail_code))+1
from ins_premium_det i),'6695','6695','02', '11000003','00','Request by Mr. Saqib Saleem 21-Aug-2024 sheet4');</v>
      </c>
      <c r="H6" s="41" t="str">
        <f t="shared" si="3"/>
        <v>insert into ins_premium_det (premium_rcv_code,assorted_code, rec_amount,premium_rcv_detail_code,remaining_amt, payrec, mode_code,coinsurance_code,class_cd,it_remarks) values('20Aug240117','070000155188','6695',(select max(to_number(i.premium_rcv_detail_code))+1
from ins_premium_det i),'6695','6695','02', '11000003','00','Request by Mr. Saqib Saleem 21-Aug-2024 sheet4');</v>
      </c>
    </row>
    <row r="7" spans="1:8" ht="105" x14ac:dyDescent="0.25">
      <c r="A7" s="1" t="s">
        <v>359</v>
      </c>
      <c r="B7" s="37" t="str">
        <f>VLOOKUP(A7,[4]Sheet1!$B$2:$C$155,2,0)</f>
        <v>070000155189</v>
      </c>
      <c r="C7" s="14">
        <v>517</v>
      </c>
      <c r="D7" s="38">
        <f t="shared" si="1"/>
        <v>517</v>
      </c>
      <c r="E7" t="s">
        <v>726</v>
      </c>
      <c r="F7" s="39" t="str">
        <f t="shared" si="0"/>
        <v>insert into ins_premium_det (premium_rcv_code,assorted_code, rec_amount,premium_rcv_detail_code,remaining_amt, payrec, mode_code,coinsurance_code,class_cd,it_remarks) values</v>
      </c>
      <c r="G7" s="40" t="str">
        <f t="shared" si="2"/>
        <v>('20Aug240117','070000155189','517',(select max(to_number(i.premium_rcv_detail_code))+1
from ins_premium_det i),'517','517','02', '11000003','00','Request by Mr. Saqib Saleem 21-Aug-2024 sheet4');</v>
      </c>
      <c r="H7" s="41" t="str">
        <f t="shared" si="3"/>
        <v>insert into ins_premium_det (premium_rcv_code,assorted_code, rec_amount,premium_rcv_detail_code,remaining_amt, payrec, mode_code,coinsurance_code,class_cd,it_remarks) values('20Aug240117','070000155189','517',(select max(to_number(i.premium_rcv_detail_code))+1
from ins_premium_det i),'517','517','02', '11000003','00','Request by Mr. Saqib Saleem 21-Aug-2024 sheet4');</v>
      </c>
    </row>
    <row r="8" spans="1:8" ht="105" x14ac:dyDescent="0.25">
      <c r="A8" s="1" t="s">
        <v>360</v>
      </c>
      <c r="B8" s="37" t="str">
        <f>VLOOKUP(A8,[4]Sheet1!$B$2:$C$155,2,0)</f>
        <v>070000155190</v>
      </c>
      <c r="C8" s="14">
        <v>1165</v>
      </c>
      <c r="D8" s="38">
        <f t="shared" si="1"/>
        <v>1165</v>
      </c>
      <c r="E8" t="s">
        <v>726</v>
      </c>
      <c r="F8" s="39" t="str">
        <f t="shared" si="0"/>
        <v>insert into ins_premium_det (premium_rcv_code,assorted_code, rec_amount,premium_rcv_detail_code,remaining_amt, payrec, mode_code,coinsurance_code,class_cd,it_remarks) values</v>
      </c>
      <c r="G8" s="40" t="str">
        <f t="shared" si="2"/>
        <v>('20Aug240117','070000155190','1165',(select max(to_number(i.premium_rcv_detail_code))+1
from ins_premium_det i),'1165','1165','02', '11000003','00','Request by Mr. Saqib Saleem 21-Aug-2024 sheet4');</v>
      </c>
      <c r="H8" s="41" t="str">
        <f t="shared" si="3"/>
        <v>insert into ins_premium_det (premium_rcv_code,assorted_code, rec_amount,premium_rcv_detail_code,remaining_amt, payrec, mode_code,coinsurance_code,class_cd,it_remarks) values('20Aug240117','070000155190','1165',(select max(to_number(i.premium_rcv_detail_code))+1
from ins_premium_det i),'1165','1165','02', '11000003','00','Request by Mr. Saqib Saleem 21-Aug-2024 sheet4');</v>
      </c>
    </row>
    <row r="9" spans="1:8" ht="105" x14ac:dyDescent="0.25">
      <c r="A9" s="1" t="s">
        <v>361</v>
      </c>
      <c r="B9" s="37" t="str">
        <f>VLOOKUP(A9,[4]Sheet1!$B$2:$C$155,2,0)</f>
        <v>070000155206</v>
      </c>
      <c r="C9" s="14">
        <v>201</v>
      </c>
      <c r="D9" s="38">
        <f t="shared" si="1"/>
        <v>201</v>
      </c>
      <c r="E9" t="s">
        <v>726</v>
      </c>
      <c r="F9" s="39" t="str">
        <f t="shared" si="0"/>
        <v>insert into ins_premium_det (premium_rcv_code,assorted_code, rec_amount,premium_rcv_detail_code,remaining_amt, payrec, mode_code,coinsurance_code,class_cd,it_remarks) values</v>
      </c>
      <c r="G9" s="40" t="str">
        <f t="shared" si="2"/>
        <v>('20Aug240117','070000155206','201',(select max(to_number(i.premium_rcv_detail_code))+1
from ins_premium_det i),'201','201','02', '11000003','00','Request by Mr. Saqib Saleem 21-Aug-2024 sheet4');</v>
      </c>
      <c r="H9" s="41" t="str">
        <f t="shared" si="3"/>
        <v>insert into ins_premium_det (premium_rcv_code,assorted_code, rec_amount,premium_rcv_detail_code,remaining_amt, payrec, mode_code,coinsurance_code,class_cd,it_remarks) values('20Aug240117','070000155206','201',(select max(to_number(i.premium_rcv_detail_code))+1
from ins_premium_det i),'201','201','02', '11000003','00','Request by Mr. Saqib Saleem 21-Aug-2024 sheet4');</v>
      </c>
    </row>
    <row r="10" spans="1:8" ht="105" x14ac:dyDescent="0.25">
      <c r="A10" s="1" t="s">
        <v>362</v>
      </c>
      <c r="B10" s="37" t="str">
        <f>VLOOKUP(A10,[4]Sheet1!$B$2:$C$155,2,0)</f>
        <v>070000155207</v>
      </c>
      <c r="C10" s="14">
        <v>510</v>
      </c>
      <c r="D10" s="38">
        <f t="shared" si="1"/>
        <v>510</v>
      </c>
      <c r="E10" t="s">
        <v>726</v>
      </c>
      <c r="F10" s="39" t="str">
        <f t="shared" si="0"/>
        <v>insert into ins_premium_det (premium_rcv_code,assorted_code, rec_amount,premium_rcv_detail_code,remaining_amt, payrec, mode_code,coinsurance_code,class_cd,it_remarks) values</v>
      </c>
      <c r="G10" s="40" t="str">
        <f t="shared" si="2"/>
        <v>('20Aug240117','070000155207','510',(select max(to_number(i.premium_rcv_detail_code))+1
from ins_premium_det i),'510','510','02', '11000003','00','Request by Mr. Saqib Saleem 21-Aug-2024 sheet4');</v>
      </c>
      <c r="H10" s="41" t="str">
        <f t="shared" si="3"/>
        <v>insert into ins_premium_det (premium_rcv_code,assorted_code, rec_amount,premium_rcv_detail_code,remaining_amt, payrec, mode_code,coinsurance_code,class_cd,it_remarks) values('20Aug240117','070000155207','510',(select max(to_number(i.premium_rcv_detail_code))+1
from ins_premium_det i),'510','510','02', '11000003','00','Request by Mr. Saqib Saleem 21-Aug-2024 sheet4');</v>
      </c>
    </row>
    <row r="11" spans="1:8" ht="105" x14ac:dyDescent="0.25">
      <c r="A11" s="1" t="s">
        <v>363</v>
      </c>
      <c r="B11" s="37" t="str">
        <f>VLOOKUP(A11,[4]Sheet1!$B$2:$C$155,2,0)</f>
        <v>070000155214</v>
      </c>
      <c r="C11" s="14">
        <v>247</v>
      </c>
      <c r="D11" s="38">
        <f t="shared" si="1"/>
        <v>247</v>
      </c>
      <c r="E11" t="s">
        <v>726</v>
      </c>
      <c r="F11" s="39" t="str">
        <f t="shared" si="0"/>
        <v>insert into ins_premium_det (premium_rcv_code,assorted_code, rec_amount,premium_rcv_detail_code,remaining_amt, payrec, mode_code,coinsurance_code,class_cd,it_remarks) values</v>
      </c>
      <c r="G11" s="40" t="str">
        <f t="shared" si="2"/>
        <v>('20Aug240117','070000155214','247',(select max(to_number(i.premium_rcv_detail_code))+1
from ins_premium_det i),'247','247','02', '11000003','00','Request by Mr. Saqib Saleem 21-Aug-2024 sheet4');</v>
      </c>
      <c r="H11" s="41" t="str">
        <f t="shared" si="3"/>
        <v>insert into ins_premium_det (premium_rcv_code,assorted_code, rec_amount,premium_rcv_detail_code,remaining_amt, payrec, mode_code,coinsurance_code,class_cd,it_remarks) values('20Aug240117','070000155214','247',(select max(to_number(i.premium_rcv_detail_code))+1
from ins_premium_det i),'247','247','02', '11000003','00','Request by Mr. Saqib Saleem 21-Aug-2024 sheet4');</v>
      </c>
    </row>
    <row r="12" spans="1:8" ht="105" x14ac:dyDescent="0.25">
      <c r="A12" s="1" t="s">
        <v>364</v>
      </c>
      <c r="B12" s="37" t="str">
        <f>VLOOKUP(A12,[4]Sheet1!$B$2:$C$155,2,0)</f>
        <v>070000155215</v>
      </c>
      <c r="C12" s="14">
        <v>2823</v>
      </c>
      <c r="D12" s="38">
        <f t="shared" si="1"/>
        <v>2823</v>
      </c>
      <c r="E12" t="s">
        <v>726</v>
      </c>
      <c r="F12" s="39" t="str">
        <f t="shared" si="0"/>
        <v>insert into ins_premium_det (premium_rcv_code,assorted_code, rec_amount,premium_rcv_detail_code,remaining_amt, payrec, mode_code,coinsurance_code,class_cd,it_remarks) values</v>
      </c>
      <c r="G12" s="40" t="str">
        <f t="shared" si="2"/>
        <v>('20Aug240117','070000155215','2823',(select max(to_number(i.premium_rcv_detail_code))+1
from ins_premium_det i),'2823','2823','02', '11000003','00','Request by Mr. Saqib Saleem 21-Aug-2024 sheet4');</v>
      </c>
      <c r="H12" s="41" t="str">
        <f t="shared" si="3"/>
        <v>insert into ins_premium_det (premium_rcv_code,assorted_code, rec_amount,premium_rcv_detail_code,remaining_amt, payrec, mode_code,coinsurance_code,class_cd,it_remarks) values('20Aug240117','070000155215','2823',(select max(to_number(i.premium_rcv_detail_code))+1
from ins_premium_det i),'2823','2823','02', '11000003','00','Request by Mr. Saqib Saleem 21-Aug-2024 sheet4');</v>
      </c>
    </row>
    <row r="13" spans="1:8" ht="105" x14ac:dyDescent="0.25">
      <c r="A13" s="1" t="s">
        <v>365</v>
      </c>
      <c r="B13" s="37" t="str">
        <f>VLOOKUP(A13,[4]Sheet1!$B$2:$C$155,2,0)</f>
        <v>070000155216</v>
      </c>
      <c r="C13" s="14">
        <v>890</v>
      </c>
      <c r="D13" s="38">
        <f t="shared" si="1"/>
        <v>890</v>
      </c>
      <c r="E13" t="s">
        <v>726</v>
      </c>
      <c r="F13" s="39" t="str">
        <f t="shared" si="0"/>
        <v>insert into ins_premium_det (premium_rcv_code,assorted_code, rec_amount,premium_rcv_detail_code,remaining_amt, payrec, mode_code,coinsurance_code,class_cd,it_remarks) values</v>
      </c>
      <c r="G13" s="40" t="str">
        <f t="shared" si="2"/>
        <v>('20Aug240117','070000155216','890',(select max(to_number(i.premium_rcv_detail_code))+1
from ins_premium_det i),'890','890','02', '11000003','00','Request by Mr. Saqib Saleem 21-Aug-2024 sheet4');</v>
      </c>
      <c r="H13" s="41" t="str">
        <f t="shared" si="3"/>
        <v>insert into ins_premium_det (premium_rcv_code,assorted_code, rec_amount,premium_rcv_detail_code,remaining_amt, payrec, mode_code,coinsurance_code,class_cd,it_remarks) values('20Aug240117','070000155216','890',(select max(to_number(i.premium_rcv_detail_code))+1
from ins_premium_det i),'890','890','02', '11000003','00','Request by Mr. Saqib Saleem 21-Aug-2024 sheet4');</v>
      </c>
    </row>
    <row r="14" spans="1:8" ht="105" x14ac:dyDescent="0.25">
      <c r="A14" s="1" t="s">
        <v>366</v>
      </c>
      <c r="B14" s="37" t="str">
        <f>VLOOKUP(A14,[4]Sheet1!$B$2:$C$155,2,0)</f>
        <v>070000155226</v>
      </c>
      <c r="C14" s="14">
        <v>1581</v>
      </c>
      <c r="D14" s="38">
        <f t="shared" si="1"/>
        <v>1581</v>
      </c>
      <c r="E14" t="s">
        <v>726</v>
      </c>
      <c r="F14" s="39" t="str">
        <f t="shared" si="0"/>
        <v>insert into ins_premium_det (premium_rcv_code,assorted_code, rec_amount,premium_rcv_detail_code,remaining_amt, payrec, mode_code,coinsurance_code,class_cd,it_remarks) values</v>
      </c>
      <c r="G14" s="40" t="str">
        <f t="shared" si="2"/>
        <v>('20Aug240117','070000155226','1581',(select max(to_number(i.premium_rcv_detail_code))+1
from ins_premium_det i),'1581','1581','02', '11000003','00','Request by Mr. Saqib Saleem 21-Aug-2024 sheet4');</v>
      </c>
      <c r="H14" s="41" t="str">
        <f t="shared" si="3"/>
        <v>insert into ins_premium_det (premium_rcv_code,assorted_code, rec_amount,premium_rcv_detail_code,remaining_amt, payrec, mode_code,coinsurance_code,class_cd,it_remarks) values('20Aug240117','070000155226','1581',(select max(to_number(i.premium_rcv_detail_code))+1
from ins_premium_det i),'1581','1581','02', '11000003','00','Request by Mr. Saqib Saleem 21-Aug-2024 sheet4');</v>
      </c>
    </row>
    <row r="15" spans="1:8" ht="105" x14ac:dyDescent="0.25">
      <c r="A15" s="1" t="s">
        <v>367</v>
      </c>
      <c r="B15" s="37" t="str">
        <f>VLOOKUP(A15,[4]Sheet1!$B$2:$C$155,2,0)</f>
        <v>070000155227</v>
      </c>
      <c r="C15" s="14">
        <v>7115</v>
      </c>
      <c r="D15" s="38">
        <f t="shared" si="1"/>
        <v>7115</v>
      </c>
      <c r="E15" t="s">
        <v>726</v>
      </c>
      <c r="F15" s="39" t="str">
        <f t="shared" si="0"/>
        <v>insert into ins_premium_det (premium_rcv_code,assorted_code, rec_amount,premium_rcv_detail_code,remaining_amt, payrec, mode_code,coinsurance_code,class_cd,it_remarks) values</v>
      </c>
      <c r="G15" s="40" t="str">
        <f t="shared" si="2"/>
        <v>('20Aug240117','070000155227','7115',(select max(to_number(i.premium_rcv_detail_code))+1
from ins_premium_det i),'7115','7115','02', '11000003','00','Request by Mr. Saqib Saleem 21-Aug-2024 sheet4');</v>
      </c>
      <c r="H15" s="41" t="str">
        <f t="shared" si="3"/>
        <v>insert into ins_premium_det (premium_rcv_code,assorted_code, rec_amount,premium_rcv_detail_code,remaining_amt, payrec, mode_code,coinsurance_code,class_cd,it_remarks) values('20Aug240117','070000155227','7115',(select max(to_number(i.premium_rcv_detail_code))+1
from ins_premium_det i),'7115','7115','02', '11000003','00','Request by Mr. Saqib Saleem 21-Aug-2024 sheet4');</v>
      </c>
    </row>
    <row r="16" spans="1:8" ht="105" x14ac:dyDescent="0.25">
      <c r="A16" s="1" t="s">
        <v>368</v>
      </c>
      <c r="B16" s="37" t="str">
        <f>VLOOKUP(A16,[4]Sheet1!$B$2:$C$155,2,0)</f>
        <v>070000155486</v>
      </c>
      <c r="C16" s="14">
        <v>1832</v>
      </c>
      <c r="D16" s="38">
        <f t="shared" si="1"/>
        <v>1832</v>
      </c>
      <c r="E16" t="s">
        <v>726</v>
      </c>
      <c r="F16" s="39" t="str">
        <f t="shared" si="0"/>
        <v>insert into ins_premium_det (premium_rcv_code,assorted_code, rec_amount,premium_rcv_detail_code,remaining_amt, payrec, mode_code,coinsurance_code,class_cd,it_remarks) values</v>
      </c>
      <c r="G16" s="40" t="str">
        <f t="shared" si="2"/>
        <v>('20Aug240117','070000155486','1832',(select max(to_number(i.premium_rcv_detail_code))+1
from ins_premium_det i),'1832','1832','02', '11000003','00','Request by Mr. Saqib Saleem 21-Aug-2024 sheet4');</v>
      </c>
      <c r="H16" s="41" t="str">
        <f t="shared" si="3"/>
        <v>insert into ins_premium_det (premium_rcv_code,assorted_code, rec_amount,premium_rcv_detail_code,remaining_amt, payrec, mode_code,coinsurance_code,class_cd,it_remarks) values('20Aug240117','070000155486','1832',(select max(to_number(i.premium_rcv_detail_code))+1
from ins_premium_det i),'1832','1832','02', '11000003','00','Request by Mr. Saqib Saleem 21-Aug-2024 sheet4');</v>
      </c>
    </row>
    <row r="17" spans="1:8" ht="105" x14ac:dyDescent="0.25">
      <c r="A17" s="1" t="s">
        <v>369</v>
      </c>
      <c r="B17" s="37" t="str">
        <f>VLOOKUP(A17,[4]Sheet1!$B$2:$C$155,2,0)</f>
        <v>070000155487</v>
      </c>
      <c r="C17" s="14">
        <v>200</v>
      </c>
      <c r="D17" s="38">
        <f t="shared" si="1"/>
        <v>200</v>
      </c>
      <c r="E17" t="s">
        <v>726</v>
      </c>
      <c r="F17" s="39" t="str">
        <f t="shared" si="0"/>
        <v>insert into ins_premium_det (premium_rcv_code,assorted_code, rec_amount,premium_rcv_detail_code,remaining_amt, payrec, mode_code,coinsurance_code,class_cd,it_remarks) values</v>
      </c>
      <c r="G17" s="40" t="str">
        <f t="shared" si="2"/>
        <v>('20Aug240117','070000155487','200',(select max(to_number(i.premium_rcv_detail_code))+1
from ins_premium_det i),'200','200','02', '11000003','00','Request by Mr. Saqib Saleem 21-Aug-2024 sheet4');</v>
      </c>
      <c r="H17" s="41" t="str">
        <f t="shared" si="3"/>
        <v>insert into ins_premium_det (premium_rcv_code,assorted_code, rec_amount,premium_rcv_detail_code,remaining_amt, payrec, mode_code,coinsurance_code,class_cd,it_remarks) values('20Aug240117','070000155487','200',(select max(to_number(i.premium_rcv_detail_code))+1
from ins_premium_det i),'200','200','02', '11000003','00','Request by Mr. Saqib Saleem 21-Aug-2024 sheet4');</v>
      </c>
    </row>
    <row r="18" spans="1:8" ht="105" x14ac:dyDescent="0.25">
      <c r="A18" s="1" t="s">
        <v>370</v>
      </c>
      <c r="B18" s="37" t="str">
        <f>VLOOKUP(A18,[4]Sheet1!$B$2:$C$155,2,0)</f>
        <v>070000155489</v>
      </c>
      <c r="C18" s="14">
        <v>637</v>
      </c>
      <c r="D18" s="38">
        <f t="shared" si="1"/>
        <v>637</v>
      </c>
      <c r="E18" t="s">
        <v>726</v>
      </c>
      <c r="F18" s="39" t="str">
        <f t="shared" si="0"/>
        <v>insert into ins_premium_det (premium_rcv_code,assorted_code, rec_amount,premium_rcv_detail_code,remaining_amt, payrec, mode_code,coinsurance_code,class_cd,it_remarks) values</v>
      </c>
      <c r="G18" s="40" t="str">
        <f t="shared" si="2"/>
        <v>('20Aug240117','070000155489','637',(select max(to_number(i.premium_rcv_detail_code))+1
from ins_premium_det i),'637','637','02', '11000003','00','Request by Mr. Saqib Saleem 21-Aug-2024 sheet4');</v>
      </c>
      <c r="H18" s="41" t="str">
        <f t="shared" si="3"/>
        <v>insert into ins_premium_det (premium_rcv_code,assorted_code, rec_amount,premium_rcv_detail_code,remaining_amt, payrec, mode_code,coinsurance_code,class_cd,it_remarks) values('20Aug240117','070000155489','637',(select max(to_number(i.premium_rcv_detail_code))+1
from ins_premium_det i),'637','637','02', '11000003','00','Request by Mr. Saqib Saleem 21-Aug-2024 sheet4');</v>
      </c>
    </row>
    <row r="19" spans="1:8" ht="105" x14ac:dyDescent="0.25">
      <c r="A19" s="1" t="s">
        <v>371</v>
      </c>
      <c r="B19" s="37" t="str">
        <f>VLOOKUP(A19,[4]Sheet1!$B$2:$C$155,2,0)</f>
        <v>070000155493</v>
      </c>
      <c r="C19" s="14">
        <v>492</v>
      </c>
      <c r="D19" s="38">
        <f t="shared" si="1"/>
        <v>492</v>
      </c>
      <c r="E19" t="s">
        <v>726</v>
      </c>
      <c r="F19" s="39" t="str">
        <f t="shared" si="0"/>
        <v>insert into ins_premium_det (premium_rcv_code,assorted_code, rec_amount,premium_rcv_detail_code,remaining_amt, payrec, mode_code,coinsurance_code,class_cd,it_remarks) values</v>
      </c>
      <c r="G19" s="40" t="str">
        <f t="shared" si="2"/>
        <v>('20Aug240117','070000155493','492',(select max(to_number(i.premium_rcv_detail_code))+1
from ins_premium_det i),'492','492','02', '11000003','00','Request by Mr. Saqib Saleem 21-Aug-2024 sheet4');</v>
      </c>
      <c r="H19" s="41" t="str">
        <f t="shared" si="3"/>
        <v>insert into ins_premium_det (premium_rcv_code,assorted_code, rec_amount,premium_rcv_detail_code,remaining_amt, payrec, mode_code,coinsurance_code,class_cd,it_remarks) values('20Aug240117','070000155493','492',(select max(to_number(i.premium_rcv_detail_code))+1
from ins_premium_det i),'492','492','02', '11000003','00','Request by Mr. Saqib Saleem 21-Aug-2024 sheet4');</v>
      </c>
    </row>
    <row r="20" spans="1:8" ht="105" x14ac:dyDescent="0.25">
      <c r="A20" s="1" t="s">
        <v>372</v>
      </c>
      <c r="B20" s="37" t="str">
        <f>VLOOKUP(A20,[4]Sheet1!$B$2:$C$155,2,0)</f>
        <v>070000155494</v>
      </c>
      <c r="C20" s="14">
        <v>6346</v>
      </c>
      <c r="D20" s="38">
        <f t="shared" si="1"/>
        <v>6346</v>
      </c>
      <c r="E20" t="s">
        <v>726</v>
      </c>
      <c r="F20" s="39" t="str">
        <f t="shared" si="0"/>
        <v>insert into ins_premium_det (premium_rcv_code,assorted_code, rec_amount,premium_rcv_detail_code,remaining_amt, payrec, mode_code,coinsurance_code,class_cd,it_remarks) values</v>
      </c>
      <c r="G20" s="40" t="str">
        <f t="shared" si="2"/>
        <v>('20Aug240117','070000155494','6346',(select max(to_number(i.premium_rcv_detail_code))+1
from ins_premium_det i),'6346','6346','02', '11000003','00','Request by Mr. Saqib Saleem 21-Aug-2024 sheet4');</v>
      </c>
      <c r="H20" s="41" t="str">
        <f t="shared" si="3"/>
        <v>insert into ins_premium_det (premium_rcv_code,assorted_code, rec_amount,premium_rcv_detail_code,remaining_amt, payrec, mode_code,coinsurance_code,class_cd,it_remarks) values('20Aug240117','070000155494','6346',(select max(to_number(i.premium_rcv_detail_code))+1
from ins_premium_det i),'6346','6346','02', '11000003','00','Request by Mr. Saqib Saleem 21-Aug-2024 sheet4');</v>
      </c>
    </row>
    <row r="21" spans="1:8" ht="105" x14ac:dyDescent="0.25">
      <c r="A21" s="1" t="s">
        <v>373</v>
      </c>
      <c r="B21" s="37" t="str">
        <f>VLOOKUP(A21,[4]Sheet1!$B$2:$C$155,2,0)</f>
        <v>070000155495</v>
      </c>
      <c r="C21" s="14">
        <v>2570</v>
      </c>
      <c r="D21" s="38">
        <f t="shared" si="1"/>
        <v>2570</v>
      </c>
      <c r="E21" t="s">
        <v>726</v>
      </c>
      <c r="F21" s="39" t="str">
        <f t="shared" si="0"/>
        <v>insert into ins_premium_det (premium_rcv_code,assorted_code, rec_amount,premium_rcv_detail_code,remaining_amt, payrec, mode_code,coinsurance_code,class_cd,it_remarks) values</v>
      </c>
      <c r="G21" s="40" t="str">
        <f t="shared" si="2"/>
        <v>('20Aug240117','070000155495','2570',(select max(to_number(i.premium_rcv_detail_code))+1
from ins_premium_det i),'2570','2570','02', '11000003','00','Request by Mr. Saqib Saleem 21-Aug-2024 sheet4');</v>
      </c>
      <c r="H21" s="41" t="str">
        <f t="shared" si="3"/>
        <v>insert into ins_premium_det (premium_rcv_code,assorted_code, rec_amount,premium_rcv_detail_code,remaining_amt, payrec, mode_code,coinsurance_code,class_cd,it_remarks) values('20Aug240117','070000155495','2570',(select max(to_number(i.premium_rcv_detail_code))+1
from ins_premium_det i),'2570','2570','02', '11000003','00','Request by Mr. Saqib Saleem 21-Aug-2024 sheet4');</v>
      </c>
    </row>
    <row r="22" spans="1:8" ht="105" x14ac:dyDescent="0.25">
      <c r="A22" s="1" t="s">
        <v>374</v>
      </c>
      <c r="B22" s="37" t="str">
        <f>VLOOKUP(A22,[4]Sheet1!$B$2:$C$155,2,0)</f>
        <v>070000155496</v>
      </c>
      <c r="C22" s="14">
        <v>1711</v>
      </c>
      <c r="D22" s="38">
        <f t="shared" si="1"/>
        <v>1711</v>
      </c>
      <c r="E22" t="s">
        <v>726</v>
      </c>
      <c r="F22" s="39" t="str">
        <f t="shared" si="0"/>
        <v>insert into ins_premium_det (premium_rcv_code,assorted_code, rec_amount,premium_rcv_detail_code,remaining_amt, payrec, mode_code,coinsurance_code,class_cd,it_remarks) values</v>
      </c>
      <c r="G22" s="40" t="str">
        <f t="shared" si="2"/>
        <v>('20Aug240117','070000155496','1711',(select max(to_number(i.premium_rcv_detail_code))+1
from ins_premium_det i),'1711','1711','02', '11000003','00','Request by Mr. Saqib Saleem 21-Aug-2024 sheet4');</v>
      </c>
      <c r="H22" s="41" t="str">
        <f t="shared" si="3"/>
        <v>insert into ins_premium_det (premium_rcv_code,assorted_code, rec_amount,premium_rcv_detail_code,remaining_amt, payrec, mode_code,coinsurance_code,class_cd,it_remarks) values('20Aug240117','070000155496','1711',(select max(to_number(i.premium_rcv_detail_code))+1
from ins_premium_det i),'1711','1711','02', '11000003','00','Request by Mr. Saqib Saleem 21-Aug-2024 sheet4');</v>
      </c>
    </row>
    <row r="23" spans="1:8" ht="105" x14ac:dyDescent="0.25">
      <c r="A23" s="1" t="s">
        <v>375</v>
      </c>
      <c r="B23" s="37" t="str">
        <f>VLOOKUP(A23,[4]Sheet1!$B$2:$C$155,2,0)</f>
        <v>070000155498</v>
      </c>
      <c r="C23" s="14">
        <v>4580</v>
      </c>
      <c r="D23" s="38">
        <f t="shared" si="1"/>
        <v>4580</v>
      </c>
      <c r="E23" t="s">
        <v>726</v>
      </c>
      <c r="F23" s="39" t="str">
        <f t="shared" si="0"/>
        <v>insert into ins_premium_det (premium_rcv_code,assorted_code, rec_amount,premium_rcv_detail_code,remaining_amt, payrec, mode_code,coinsurance_code,class_cd,it_remarks) values</v>
      </c>
      <c r="G23" s="40" t="str">
        <f t="shared" si="2"/>
        <v>('20Aug240117','070000155498','4580',(select max(to_number(i.premium_rcv_detail_code))+1
from ins_premium_det i),'4580','4580','02', '11000003','00','Request by Mr. Saqib Saleem 21-Aug-2024 sheet4');</v>
      </c>
      <c r="H23" s="41" t="str">
        <f t="shared" si="3"/>
        <v>insert into ins_premium_det (premium_rcv_code,assorted_code, rec_amount,premium_rcv_detail_code,remaining_amt, payrec, mode_code,coinsurance_code,class_cd,it_remarks) values('20Aug240117','070000155498','4580',(select max(to_number(i.premium_rcv_detail_code))+1
from ins_premium_det i),'4580','4580','02', '11000003','00','Request by Mr. Saqib Saleem 21-Aug-2024 sheet4');</v>
      </c>
    </row>
    <row r="24" spans="1:8" ht="105" x14ac:dyDescent="0.25">
      <c r="A24" s="1" t="s">
        <v>376</v>
      </c>
      <c r="B24" s="37" t="str">
        <f>VLOOKUP(A24,[4]Sheet1!$B$2:$C$155,2,0)</f>
        <v>070000155499</v>
      </c>
      <c r="C24" s="14">
        <v>1832</v>
      </c>
      <c r="D24" s="38">
        <f t="shared" si="1"/>
        <v>1832</v>
      </c>
      <c r="E24" t="s">
        <v>726</v>
      </c>
      <c r="F24" s="39" t="str">
        <f t="shared" si="0"/>
        <v>insert into ins_premium_det (premium_rcv_code,assorted_code, rec_amount,premium_rcv_detail_code,remaining_amt, payrec, mode_code,coinsurance_code,class_cd,it_remarks) values</v>
      </c>
      <c r="G24" s="40" t="str">
        <f t="shared" si="2"/>
        <v>('20Aug240117','070000155499','1832',(select max(to_number(i.premium_rcv_detail_code))+1
from ins_premium_det i),'1832','1832','02', '11000003','00','Request by Mr. Saqib Saleem 21-Aug-2024 sheet4');</v>
      </c>
      <c r="H24" s="41" t="str">
        <f t="shared" si="3"/>
        <v>insert into ins_premium_det (premium_rcv_code,assorted_code, rec_amount,premium_rcv_detail_code,remaining_amt, payrec, mode_code,coinsurance_code,class_cd,it_remarks) values('20Aug240117','070000155499','1832',(select max(to_number(i.premium_rcv_detail_code))+1
from ins_premium_det i),'1832','1832','02', '11000003','00','Request by Mr. Saqib Saleem 21-Aug-2024 sheet4');</v>
      </c>
    </row>
    <row r="25" spans="1:8" ht="105" x14ac:dyDescent="0.25">
      <c r="A25" s="1" t="s">
        <v>377</v>
      </c>
      <c r="B25" s="37" t="str">
        <f>VLOOKUP(A25,[4]Sheet1!$B$2:$C$155,2,0)</f>
        <v>070000155509</v>
      </c>
      <c r="C25" s="14">
        <v>2416</v>
      </c>
      <c r="D25" s="38">
        <f t="shared" si="1"/>
        <v>2416</v>
      </c>
      <c r="E25" t="s">
        <v>726</v>
      </c>
      <c r="F25" s="39" t="str">
        <f t="shared" si="0"/>
        <v>insert into ins_premium_det (premium_rcv_code,assorted_code, rec_amount,premium_rcv_detail_code,remaining_amt, payrec, mode_code,coinsurance_code,class_cd,it_remarks) values</v>
      </c>
      <c r="G25" s="40" t="str">
        <f t="shared" si="2"/>
        <v>('20Aug240117','070000155509','2416',(select max(to_number(i.premium_rcv_detail_code))+1
from ins_premium_det i),'2416','2416','02', '11000003','00','Request by Mr. Saqib Saleem 21-Aug-2024 sheet4');</v>
      </c>
      <c r="H25" s="41" t="str">
        <f t="shared" si="3"/>
        <v>insert into ins_premium_det (premium_rcv_code,assorted_code, rec_amount,premium_rcv_detail_code,remaining_amt, payrec, mode_code,coinsurance_code,class_cd,it_remarks) values('20Aug240117','070000155509','2416',(select max(to_number(i.premium_rcv_detail_code))+1
from ins_premium_det i),'2416','2416','02', '11000003','00','Request by Mr. Saqib Saleem 21-Aug-2024 sheet4');</v>
      </c>
    </row>
    <row r="26" spans="1:8" ht="105" x14ac:dyDescent="0.25">
      <c r="A26" s="1" t="s">
        <v>378</v>
      </c>
      <c r="B26" s="37" t="str">
        <f>VLOOKUP(A26,[4]Sheet1!$B$2:$C$155,2,0)</f>
        <v>070000155510</v>
      </c>
      <c r="C26" s="14">
        <v>202</v>
      </c>
      <c r="D26" s="38">
        <f t="shared" si="1"/>
        <v>202</v>
      </c>
      <c r="E26" t="s">
        <v>726</v>
      </c>
      <c r="F26" s="39" t="str">
        <f t="shared" si="0"/>
        <v>insert into ins_premium_det (premium_rcv_code,assorted_code, rec_amount,premium_rcv_detail_code,remaining_amt, payrec, mode_code,coinsurance_code,class_cd,it_remarks) values</v>
      </c>
      <c r="G26" s="40" t="str">
        <f t="shared" si="2"/>
        <v>('20Aug240117','070000155510','202',(select max(to_number(i.premium_rcv_detail_code))+1
from ins_premium_det i),'202','202','02', '11000003','00','Request by Mr. Saqib Saleem 21-Aug-2024 sheet4');</v>
      </c>
      <c r="H26" s="41" t="str">
        <f t="shared" si="3"/>
        <v>insert into ins_premium_det (premium_rcv_code,assorted_code, rec_amount,premium_rcv_detail_code,remaining_amt, payrec, mode_code,coinsurance_code,class_cd,it_remarks) values('20Aug240117','070000155510','202',(select max(to_number(i.premium_rcv_detail_code))+1
from ins_premium_det i),'202','202','02', '11000003','00','Request by Mr. Saqib Saleem 21-Aug-2024 sheet4');</v>
      </c>
    </row>
    <row r="27" spans="1:8" ht="105" x14ac:dyDescent="0.25">
      <c r="A27" s="1" t="s">
        <v>379</v>
      </c>
      <c r="B27" s="37" t="str">
        <f>VLOOKUP(A27,[4]Sheet1!$B$2:$C$155,2,0)</f>
        <v>070000155512</v>
      </c>
      <c r="C27" s="14">
        <v>16188</v>
      </c>
      <c r="D27" s="38">
        <f t="shared" si="1"/>
        <v>16188</v>
      </c>
      <c r="E27" t="s">
        <v>726</v>
      </c>
      <c r="F27" s="39" t="str">
        <f t="shared" si="0"/>
        <v>insert into ins_premium_det (premium_rcv_code,assorted_code, rec_amount,premium_rcv_detail_code,remaining_amt, payrec, mode_code,coinsurance_code,class_cd,it_remarks) values</v>
      </c>
      <c r="G27" s="40" t="str">
        <f t="shared" si="2"/>
        <v>('20Aug240117','070000155512','16188',(select max(to_number(i.premium_rcv_detail_code))+1
from ins_premium_det i),'16188','16188','02', '11000003','00','Request by Mr. Saqib Saleem 21-Aug-2024 sheet4');</v>
      </c>
      <c r="H27" s="41" t="str">
        <f t="shared" si="3"/>
        <v>insert into ins_premium_det (premium_rcv_code,assorted_code, rec_amount,premium_rcv_detail_code,remaining_amt, payrec, mode_code,coinsurance_code,class_cd,it_remarks) values('20Aug240117','070000155512','16188',(select max(to_number(i.premium_rcv_detail_code))+1
from ins_premium_det i),'16188','16188','02', '11000003','00','Request by Mr. Saqib Saleem 21-Aug-2024 sheet4');</v>
      </c>
    </row>
    <row r="28" spans="1:8" ht="105" x14ac:dyDescent="0.25">
      <c r="A28" s="1" t="s">
        <v>380</v>
      </c>
      <c r="B28" s="37" t="str">
        <f>VLOOKUP(A28,[4]Sheet1!$B$2:$C$155,2,0)</f>
        <v>070000155527</v>
      </c>
      <c r="C28" s="14">
        <v>4771</v>
      </c>
      <c r="D28" s="38">
        <f t="shared" si="1"/>
        <v>4771</v>
      </c>
      <c r="E28" t="s">
        <v>726</v>
      </c>
      <c r="F28" s="39" t="str">
        <f t="shared" si="0"/>
        <v>insert into ins_premium_det (premium_rcv_code,assorted_code, rec_amount,premium_rcv_detail_code,remaining_amt, payrec, mode_code,coinsurance_code,class_cd,it_remarks) values</v>
      </c>
      <c r="G28" s="40" t="str">
        <f t="shared" si="2"/>
        <v>('20Aug240117','070000155527','4771',(select max(to_number(i.premium_rcv_detail_code))+1
from ins_premium_det i),'4771','4771','02', '11000003','00','Request by Mr. Saqib Saleem 21-Aug-2024 sheet4');</v>
      </c>
      <c r="H28" s="41" t="str">
        <f t="shared" si="3"/>
        <v>insert into ins_premium_det (premium_rcv_code,assorted_code, rec_amount,premium_rcv_detail_code,remaining_amt, payrec, mode_code,coinsurance_code,class_cd,it_remarks) values('20Aug240117','070000155527','4771',(select max(to_number(i.premium_rcv_detail_code))+1
from ins_premium_det i),'4771','4771','02', '11000003','00','Request by Mr. Saqib Saleem 21-Aug-2024 sheet4');</v>
      </c>
    </row>
    <row r="29" spans="1:8" ht="105" x14ac:dyDescent="0.25">
      <c r="A29" s="1" t="s">
        <v>381</v>
      </c>
      <c r="B29" s="37" t="str">
        <f>VLOOKUP(A29,[4]Sheet1!$B$2:$C$155,2,0)</f>
        <v>070000155529</v>
      </c>
      <c r="C29" s="14">
        <v>5078</v>
      </c>
      <c r="D29" s="38">
        <f t="shared" si="1"/>
        <v>5078</v>
      </c>
      <c r="E29" t="s">
        <v>726</v>
      </c>
      <c r="F29" s="39" t="str">
        <f t="shared" si="0"/>
        <v>insert into ins_premium_det (premium_rcv_code,assorted_code, rec_amount,premium_rcv_detail_code,remaining_amt, payrec, mode_code,coinsurance_code,class_cd,it_remarks) values</v>
      </c>
      <c r="G29" s="40" t="str">
        <f t="shared" si="2"/>
        <v>('20Aug240117','070000155529','5078',(select max(to_number(i.premium_rcv_detail_code))+1
from ins_premium_det i),'5078','5078','02', '11000003','00','Request by Mr. Saqib Saleem 21-Aug-2024 sheet4');</v>
      </c>
      <c r="H29" s="41" t="str">
        <f t="shared" si="3"/>
        <v>insert into ins_premium_det (premium_rcv_code,assorted_code, rec_amount,premium_rcv_detail_code,remaining_amt, payrec, mode_code,coinsurance_code,class_cd,it_remarks) values('20Aug240117','070000155529','5078',(select max(to_number(i.premium_rcv_detail_code))+1
from ins_premium_det i),'5078','5078','02', '11000003','00','Request by Mr. Saqib Saleem 21-Aug-2024 sheet4');</v>
      </c>
    </row>
    <row r="30" spans="1:8" ht="105" x14ac:dyDescent="0.25">
      <c r="A30" s="1" t="s">
        <v>382</v>
      </c>
      <c r="B30" s="37" t="str">
        <f>VLOOKUP(A30,[4]Sheet1!$B$2:$C$155,2,0)</f>
        <v>070000155629</v>
      </c>
      <c r="C30" s="14">
        <v>2325</v>
      </c>
      <c r="D30" s="38">
        <f t="shared" si="1"/>
        <v>2325</v>
      </c>
      <c r="E30" t="s">
        <v>726</v>
      </c>
      <c r="F30" s="39" t="str">
        <f t="shared" si="0"/>
        <v>insert into ins_premium_det (premium_rcv_code,assorted_code, rec_amount,premium_rcv_detail_code,remaining_amt, payrec, mode_code,coinsurance_code,class_cd,it_remarks) values</v>
      </c>
      <c r="G30" s="40" t="str">
        <f t="shared" si="2"/>
        <v>('20Aug240117','070000155629','2325',(select max(to_number(i.premium_rcv_detail_code))+1
from ins_premium_det i),'2325','2325','02', '11000003','00','Request by Mr. Saqib Saleem 21-Aug-2024 sheet4');</v>
      </c>
      <c r="H30" s="41" t="str">
        <f t="shared" si="3"/>
        <v>insert into ins_premium_det (premium_rcv_code,assorted_code, rec_amount,premium_rcv_detail_code,remaining_amt, payrec, mode_code,coinsurance_code,class_cd,it_remarks) values('20Aug240117','070000155629','2325',(select max(to_number(i.premium_rcv_detail_code))+1
from ins_premium_det i),'2325','2325','02', '11000003','00','Request by Mr. Saqib Saleem 21-Aug-2024 sheet4');</v>
      </c>
    </row>
    <row r="31" spans="1:8" ht="105" x14ac:dyDescent="0.25">
      <c r="A31" s="1" t="s">
        <v>383</v>
      </c>
      <c r="B31" s="37" t="str">
        <f>VLOOKUP(A31,[4]Sheet1!$B$2:$C$155,2,0)</f>
        <v>070000155630</v>
      </c>
      <c r="C31" s="14">
        <v>3236</v>
      </c>
      <c r="D31" s="38">
        <f t="shared" si="1"/>
        <v>3236</v>
      </c>
      <c r="E31" t="s">
        <v>726</v>
      </c>
      <c r="F31" s="39" t="str">
        <f t="shared" si="0"/>
        <v>insert into ins_premium_det (premium_rcv_code,assorted_code, rec_amount,premium_rcv_detail_code,remaining_amt, payrec, mode_code,coinsurance_code,class_cd,it_remarks) values</v>
      </c>
      <c r="G31" s="40" t="str">
        <f t="shared" si="2"/>
        <v>('20Aug240117','070000155630','3236',(select max(to_number(i.premium_rcv_detail_code))+1
from ins_premium_det i),'3236','3236','02', '11000003','00','Request by Mr. Saqib Saleem 21-Aug-2024 sheet4');</v>
      </c>
      <c r="H31" s="41" t="str">
        <f t="shared" si="3"/>
        <v>insert into ins_premium_det (premium_rcv_code,assorted_code, rec_amount,premium_rcv_detail_code,remaining_amt, payrec, mode_code,coinsurance_code,class_cd,it_remarks) values('20Aug240117','070000155630','3236',(select max(to_number(i.premium_rcv_detail_code))+1
from ins_premium_det i),'3236','3236','02', '11000003','00','Request by Mr. Saqib Saleem 21-Aug-2024 sheet4');</v>
      </c>
    </row>
    <row r="32" spans="1:8" ht="105" x14ac:dyDescent="0.25">
      <c r="A32" s="1" t="s">
        <v>384</v>
      </c>
      <c r="B32" s="37" t="str">
        <f>VLOOKUP(A32,[4]Sheet1!$B$2:$C$155,2,0)</f>
        <v>070000155631</v>
      </c>
      <c r="C32" s="14">
        <v>24172</v>
      </c>
      <c r="D32" s="38">
        <f t="shared" si="1"/>
        <v>24172</v>
      </c>
      <c r="E32" t="s">
        <v>726</v>
      </c>
      <c r="F32" s="39" t="str">
        <f t="shared" si="0"/>
        <v>insert into ins_premium_det (premium_rcv_code,assorted_code, rec_amount,premium_rcv_detail_code,remaining_amt, payrec, mode_code,coinsurance_code,class_cd,it_remarks) values</v>
      </c>
      <c r="G32" s="40" t="str">
        <f t="shared" si="2"/>
        <v>('20Aug240117','070000155631','24172',(select max(to_number(i.premium_rcv_detail_code))+1
from ins_premium_det i),'24172','24172','02', '11000003','00','Request by Mr. Saqib Saleem 21-Aug-2024 sheet4');</v>
      </c>
      <c r="H32" s="41" t="str">
        <f t="shared" si="3"/>
        <v>insert into ins_premium_det (premium_rcv_code,assorted_code, rec_amount,premium_rcv_detail_code,remaining_amt, payrec, mode_code,coinsurance_code,class_cd,it_remarks) values('20Aug240117','070000155631','24172',(select max(to_number(i.premium_rcv_detail_code))+1
from ins_premium_det i),'24172','24172','02', '11000003','00','Request by Mr. Saqib Saleem 21-Aug-2024 sheet4');</v>
      </c>
    </row>
    <row r="33" spans="1:8" ht="105" x14ac:dyDescent="0.25">
      <c r="A33" s="1" t="s">
        <v>385</v>
      </c>
      <c r="B33" s="37" t="str">
        <f>VLOOKUP(A33,[4]Sheet1!$B$2:$C$155,2,0)</f>
        <v>070000155632</v>
      </c>
      <c r="C33" s="14">
        <v>2458</v>
      </c>
      <c r="D33" s="38">
        <f t="shared" si="1"/>
        <v>2458</v>
      </c>
      <c r="E33" t="s">
        <v>726</v>
      </c>
      <c r="F33" s="39" t="str">
        <f t="shared" si="0"/>
        <v>insert into ins_premium_det (premium_rcv_code,assorted_code, rec_amount,premium_rcv_detail_code,remaining_amt, payrec, mode_code,coinsurance_code,class_cd,it_remarks) values</v>
      </c>
      <c r="G33" s="40" t="str">
        <f t="shared" si="2"/>
        <v>('20Aug240117','070000155632','2458',(select max(to_number(i.premium_rcv_detail_code))+1
from ins_premium_det i),'2458','2458','02', '11000003','00','Request by Mr. Saqib Saleem 21-Aug-2024 sheet4');</v>
      </c>
      <c r="H33" s="41" t="str">
        <f t="shared" si="3"/>
        <v>insert into ins_premium_det (premium_rcv_code,assorted_code, rec_amount,premium_rcv_detail_code,remaining_amt, payrec, mode_code,coinsurance_code,class_cd,it_remarks) values('20Aug240117','070000155632','2458',(select max(to_number(i.premium_rcv_detail_code))+1
from ins_premium_det i),'2458','2458','02', '11000003','00','Request by Mr. Saqib Saleem 21-Aug-2024 sheet4');</v>
      </c>
    </row>
    <row r="34" spans="1:8" ht="105" x14ac:dyDescent="0.25">
      <c r="A34" s="1" t="s">
        <v>386</v>
      </c>
      <c r="B34" s="37" t="str">
        <f>VLOOKUP(A34,[4]Sheet1!$B$2:$C$155,2,0)</f>
        <v>070000155633</v>
      </c>
      <c r="C34" s="14">
        <v>1658</v>
      </c>
      <c r="D34" s="38">
        <f t="shared" si="1"/>
        <v>1658</v>
      </c>
      <c r="E34" t="s">
        <v>726</v>
      </c>
      <c r="F34" s="39" t="str">
        <f t="shared" si="0"/>
        <v>insert into ins_premium_det (premium_rcv_code,assorted_code, rec_amount,premium_rcv_detail_code,remaining_amt, payrec, mode_code,coinsurance_code,class_cd,it_remarks) values</v>
      </c>
      <c r="G34" s="40" t="str">
        <f t="shared" si="2"/>
        <v>('20Aug240117','070000155633','1658',(select max(to_number(i.premium_rcv_detail_code))+1
from ins_premium_det i),'1658','1658','02', '11000003','00','Request by Mr. Saqib Saleem 21-Aug-2024 sheet4');</v>
      </c>
      <c r="H34" s="41" t="str">
        <f t="shared" si="3"/>
        <v>insert into ins_premium_det (premium_rcv_code,assorted_code, rec_amount,premium_rcv_detail_code,remaining_amt, payrec, mode_code,coinsurance_code,class_cd,it_remarks) values('20Aug240117','070000155633','1658',(select max(to_number(i.premium_rcv_detail_code))+1
from ins_premium_det i),'1658','1658','02', '11000003','00','Request by Mr. Saqib Saleem 21-Aug-2024 sheet4');</v>
      </c>
    </row>
    <row r="35" spans="1:8" ht="105" x14ac:dyDescent="0.25">
      <c r="A35" s="1" t="s">
        <v>387</v>
      </c>
      <c r="B35" s="37" t="str">
        <f>VLOOKUP(A35,[4]Sheet1!$B$2:$C$155,2,0)</f>
        <v>070000155634</v>
      </c>
      <c r="C35" s="14">
        <v>15399</v>
      </c>
      <c r="D35" s="38">
        <f t="shared" si="1"/>
        <v>15399</v>
      </c>
      <c r="E35" t="s">
        <v>726</v>
      </c>
      <c r="F35" s="39" t="str">
        <f t="shared" si="0"/>
        <v>insert into ins_premium_det (premium_rcv_code,assorted_code, rec_amount,premium_rcv_detail_code,remaining_amt, payrec, mode_code,coinsurance_code,class_cd,it_remarks) values</v>
      </c>
      <c r="G35" s="40" t="str">
        <f t="shared" si="2"/>
        <v>('20Aug240117','070000155634','15399',(select max(to_number(i.premium_rcv_detail_code))+1
from ins_premium_det i),'15399','15399','02', '11000003','00','Request by Mr. Saqib Saleem 21-Aug-2024 sheet4');</v>
      </c>
      <c r="H35" s="41" t="str">
        <f t="shared" si="3"/>
        <v>insert into ins_premium_det (premium_rcv_code,assorted_code, rec_amount,premium_rcv_detail_code,remaining_amt, payrec, mode_code,coinsurance_code,class_cd,it_remarks) values('20Aug240117','070000155634','15399',(select max(to_number(i.premium_rcv_detail_code))+1
from ins_premium_det i),'15399','15399','02', '11000003','00','Request by Mr. Saqib Saleem 21-Aug-2024 sheet4');</v>
      </c>
    </row>
    <row r="36" spans="1:8" ht="105" x14ac:dyDescent="0.25">
      <c r="A36" s="1" t="s">
        <v>388</v>
      </c>
      <c r="B36" s="37" t="str">
        <f>VLOOKUP(A36,[4]Sheet1!$B$2:$C$155,2,0)</f>
        <v>070000155636</v>
      </c>
      <c r="C36" s="14">
        <v>762</v>
      </c>
      <c r="D36" s="38">
        <f t="shared" si="1"/>
        <v>762</v>
      </c>
      <c r="E36" t="s">
        <v>726</v>
      </c>
      <c r="F36" s="39" t="str">
        <f t="shared" si="0"/>
        <v>insert into ins_premium_det (premium_rcv_code,assorted_code, rec_amount,premium_rcv_detail_code,remaining_amt, payrec, mode_code,coinsurance_code,class_cd,it_remarks) values</v>
      </c>
      <c r="G36" s="40" t="str">
        <f t="shared" si="2"/>
        <v>('20Aug240117','070000155636','762',(select max(to_number(i.premium_rcv_detail_code))+1
from ins_premium_det i),'762','762','02', '11000003','00','Request by Mr. Saqib Saleem 21-Aug-2024 sheet4');</v>
      </c>
      <c r="H36" s="41" t="str">
        <f t="shared" si="3"/>
        <v>insert into ins_premium_det (premium_rcv_code,assorted_code, rec_amount,premium_rcv_detail_code,remaining_amt, payrec, mode_code,coinsurance_code,class_cd,it_remarks) values('20Aug240117','070000155636','762',(select max(to_number(i.premium_rcv_detail_code))+1
from ins_premium_det i),'762','762','02', '11000003','00','Request by Mr. Saqib Saleem 21-Aug-2024 sheet4');</v>
      </c>
    </row>
    <row r="37" spans="1:8" ht="105" x14ac:dyDescent="0.25">
      <c r="A37" s="1" t="s">
        <v>389</v>
      </c>
      <c r="B37" s="37" t="str">
        <f>VLOOKUP(A37,[4]Sheet1!$B$2:$C$155,2,0)</f>
        <v>070000155650</v>
      </c>
      <c r="C37" s="14">
        <v>597</v>
      </c>
      <c r="D37" s="38">
        <f t="shared" si="1"/>
        <v>597</v>
      </c>
      <c r="E37" t="s">
        <v>726</v>
      </c>
      <c r="F37" s="39" t="str">
        <f t="shared" si="0"/>
        <v>insert into ins_premium_det (premium_rcv_code,assorted_code, rec_amount,premium_rcv_detail_code,remaining_amt, payrec, mode_code,coinsurance_code,class_cd,it_remarks) values</v>
      </c>
      <c r="G37" s="40" t="str">
        <f t="shared" si="2"/>
        <v>('20Aug240117','070000155650','597',(select max(to_number(i.premium_rcv_detail_code))+1
from ins_premium_det i),'597','597','02', '11000003','00','Request by Mr. Saqib Saleem 21-Aug-2024 sheet4');</v>
      </c>
      <c r="H37" s="41" t="str">
        <f t="shared" si="3"/>
        <v>insert into ins_premium_det (premium_rcv_code,assorted_code, rec_amount,premium_rcv_detail_code,remaining_amt, payrec, mode_code,coinsurance_code,class_cd,it_remarks) values('20Aug240117','070000155650','597',(select max(to_number(i.premium_rcv_detail_code))+1
from ins_premium_det i),'597','597','02', '11000003','00','Request by Mr. Saqib Saleem 21-Aug-2024 sheet4');</v>
      </c>
    </row>
    <row r="38" spans="1:8" ht="105" x14ac:dyDescent="0.25">
      <c r="A38" s="1" t="s">
        <v>390</v>
      </c>
      <c r="B38" s="37" t="str">
        <f>VLOOKUP(A38,[4]Sheet1!$B$2:$C$155,2,0)</f>
        <v>070000155753</v>
      </c>
      <c r="C38" s="14">
        <v>4550</v>
      </c>
      <c r="D38" s="38">
        <f t="shared" si="1"/>
        <v>4550</v>
      </c>
      <c r="E38" t="s">
        <v>726</v>
      </c>
      <c r="F38" s="39" t="str">
        <f t="shared" si="0"/>
        <v>insert into ins_premium_det (premium_rcv_code,assorted_code, rec_amount,premium_rcv_detail_code,remaining_amt, payrec, mode_code,coinsurance_code,class_cd,it_remarks) values</v>
      </c>
      <c r="G38" s="40" t="str">
        <f t="shared" si="2"/>
        <v>('20Aug240117','070000155753','4550',(select max(to_number(i.premium_rcv_detail_code))+1
from ins_premium_det i),'4550','4550','02', '11000003','00','Request by Mr. Saqib Saleem 21-Aug-2024 sheet4');</v>
      </c>
      <c r="H38" s="41" t="str">
        <f t="shared" si="3"/>
        <v>insert into ins_premium_det (premium_rcv_code,assorted_code, rec_amount,premium_rcv_detail_code,remaining_amt, payrec, mode_code,coinsurance_code,class_cd,it_remarks) values('20Aug240117','070000155753','4550',(select max(to_number(i.premium_rcv_detail_code))+1
from ins_premium_det i),'4550','4550','02', '11000003','00','Request by Mr. Saqib Saleem 21-Aug-2024 sheet4');</v>
      </c>
    </row>
    <row r="39" spans="1:8" ht="105" x14ac:dyDescent="0.25">
      <c r="A39" s="1" t="s">
        <v>391</v>
      </c>
      <c r="B39" s="37" t="str">
        <f>VLOOKUP(A39,[4]Sheet1!$B$2:$C$155,2,0)</f>
        <v>070000155754</v>
      </c>
      <c r="C39" s="14">
        <v>1663</v>
      </c>
      <c r="D39" s="38">
        <f t="shared" si="1"/>
        <v>1663</v>
      </c>
      <c r="E39" t="s">
        <v>726</v>
      </c>
      <c r="F39" s="39" t="str">
        <f t="shared" si="0"/>
        <v>insert into ins_premium_det (premium_rcv_code,assorted_code, rec_amount,premium_rcv_detail_code,remaining_amt, payrec, mode_code,coinsurance_code,class_cd,it_remarks) values</v>
      </c>
      <c r="G39" s="40" t="str">
        <f t="shared" si="2"/>
        <v>('20Aug240117','070000155754','1663',(select max(to_number(i.premium_rcv_detail_code))+1
from ins_premium_det i),'1663','1663','02', '11000003','00','Request by Mr. Saqib Saleem 21-Aug-2024 sheet4');</v>
      </c>
      <c r="H39" s="41" t="str">
        <f t="shared" si="3"/>
        <v>insert into ins_premium_det (premium_rcv_code,assorted_code, rec_amount,premium_rcv_detail_code,remaining_amt, payrec, mode_code,coinsurance_code,class_cd,it_remarks) values('20Aug240117','070000155754','1663',(select max(to_number(i.premium_rcv_detail_code))+1
from ins_premium_det i),'1663','1663','02', '11000003','00','Request by Mr. Saqib Saleem 21-Aug-2024 sheet4');</v>
      </c>
    </row>
    <row r="40" spans="1:8" ht="105" x14ac:dyDescent="0.25">
      <c r="A40" s="1" t="s">
        <v>392</v>
      </c>
      <c r="B40" s="37" t="str">
        <f>VLOOKUP(A40,[4]Sheet1!$B$2:$C$155,2,0)</f>
        <v>070000155763</v>
      </c>
      <c r="C40" s="14">
        <v>1408</v>
      </c>
      <c r="D40" s="38">
        <f t="shared" si="1"/>
        <v>1408</v>
      </c>
      <c r="E40" t="s">
        <v>726</v>
      </c>
      <c r="F40" s="39" t="str">
        <f t="shared" si="0"/>
        <v>insert into ins_premium_det (premium_rcv_code,assorted_code, rec_amount,premium_rcv_detail_code,remaining_amt, payrec, mode_code,coinsurance_code,class_cd,it_remarks) values</v>
      </c>
      <c r="G40" s="40" t="str">
        <f t="shared" si="2"/>
        <v>('20Aug240117','070000155763','1408',(select max(to_number(i.premium_rcv_detail_code))+1
from ins_premium_det i),'1408','1408','02', '11000003','00','Request by Mr. Saqib Saleem 21-Aug-2024 sheet4');</v>
      </c>
      <c r="H40" s="41" t="str">
        <f t="shared" si="3"/>
        <v>insert into ins_premium_det (premium_rcv_code,assorted_code, rec_amount,premium_rcv_detail_code,remaining_amt, payrec, mode_code,coinsurance_code,class_cd,it_remarks) values('20Aug240117','070000155763','1408',(select max(to_number(i.premium_rcv_detail_code))+1
from ins_premium_det i),'1408','1408','02', '11000003','00','Request by Mr. Saqib Saleem 21-Aug-2024 sheet4');</v>
      </c>
    </row>
    <row r="41" spans="1:8" ht="105" x14ac:dyDescent="0.25">
      <c r="A41" s="1" t="s">
        <v>393</v>
      </c>
      <c r="B41" s="37" t="str">
        <f>VLOOKUP(A41,[4]Sheet1!$B$2:$C$155,2,0)</f>
        <v>070000155764</v>
      </c>
      <c r="C41" s="14">
        <v>915</v>
      </c>
      <c r="D41" s="38">
        <f t="shared" si="1"/>
        <v>915</v>
      </c>
      <c r="E41" t="s">
        <v>726</v>
      </c>
      <c r="F41" s="39" t="str">
        <f t="shared" si="0"/>
        <v>insert into ins_premium_det (premium_rcv_code,assorted_code, rec_amount,premium_rcv_detail_code,remaining_amt, payrec, mode_code,coinsurance_code,class_cd,it_remarks) values</v>
      </c>
      <c r="G41" s="40" t="str">
        <f t="shared" si="2"/>
        <v>('20Aug240117','070000155764','915',(select max(to_number(i.premium_rcv_detail_code))+1
from ins_premium_det i),'915','915','02', '11000003','00','Request by Mr. Saqib Saleem 21-Aug-2024 sheet4');</v>
      </c>
      <c r="H41" s="41" t="str">
        <f t="shared" si="3"/>
        <v>insert into ins_premium_det (premium_rcv_code,assorted_code, rec_amount,premium_rcv_detail_code,remaining_amt, payrec, mode_code,coinsurance_code,class_cd,it_remarks) values('20Aug240117','070000155764','915',(select max(to_number(i.premium_rcv_detail_code))+1
from ins_premium_det i),'915','915','02', '11000003','00','Request by Mr. Saqib Saleem 21-Aug-2024 sheet4');</v>
      </c>
    </row>
    <row r="42" spans="1:8" ht="105" x14ac:dyDescent="0.25">
      <c r="A42" s="1" t="s">
        <v>394</v>
      </c>
      <c r="B42" s="37" t="str">
        <f>VLOOKUP(A42,[4]Sheet1!$B$2:$C$155,2,0)</f>
        <v>070000155765</v>
      </c>
      <c r="C42" s="14">
        <v>1784</v>
      </c>
      <c r="D42" s="38">
        <f t="shared" si="1"/>
        <v>1784</v>
      </c>
      <c r="E42" t="s">
        <v>726</v>
      </c>
      <c r="F42" s="39" t="str">
        <f t="shared" si="0"/>
        <v>insert into ins_premium_det (premium_rcv_code,assorted_code, rec_amount,premium_rcv_detail_code,remaining_amt, payrec, mode_code,coinsurance_code,class_cd,it_remarks) values</v>
      </c>
      <c r="G42" s="40" t="str">
        <f t="shared" si="2"/>
        <v>('20Aug240117','070000155765','1784',(select max(to_number(i.premium_rcv_detail_code))+1
from ins_premium_det i),'1784','1784','02', '11000003','00','Request by Mr. Saqib Saleem 21-Aug-2024 sheet4');</v>
      </c>
      <c r="H42" s="41" t="str">
        <f t="shared" si="3"/>
        <v>insert into ins_premium_det (premium_rcv_code,assorted_code, rec_amount,premium_rcv_detail_code,remaining_amt, payrec, mode_code,coinsurance_code,class_cd,it_remarks) values('20Aug240117','070000155765','1784',(select max(to_number(i.premium_rcv_detail_code))+1
from ins_premium_det i),'1784','1784','02', '11000003','00','Request by Mr. Saqib Saleem 21-Aug-2024 sheet4');</v>
      </c>
    </row>
    <row r="43" spans="1:8" ht="105" x14ac:dyDescent="0.25">
      <c r="A43" s="1" t="s">
        <v>395</v>
      </c>
      <c r="B43" s="37" t="str">
        <f>VLOOKUP(A43,[4]Sheet1!$B$2:$C$155,2,0)</f>
        <v>070000155766</v>
      </c>
      <c r="C43" s="14">
        <v>7985</v>
      </c>
      <c r="D43" s="38">
        <f t="shared" si="1"/>
        <v>7985</v>
      </c>
      <c r="E43" t="s">
        <v>726</v>
      </c>
      <c r="F43" s="39" t="str">
        <f t="shared" si="0"/>
        <v>insert into ins_premium_det (premium_rcv_code,assorted_code, rec_amount,premium_rcv_detail_code,remaining_amt, payrec, mode_code,coinsurance_code,class_cd,it_remarks) values</v>
      </c>
      <c r="G43" s="40" t="str">
        <f t="shared" si="2"/>
        <v>('20Aug240117','070000155766','7985',(select max(to_number(i.premium_rcv_detail_code))+1
from ins_premium_det i),'7985','7985','02', '11000003','00','Request by Mr. Saqib Saleem 21-Aug-2024 sheet4');</v>
      </c>
      <c r="H43" s="41" t="str">
        <f t="shared" si="3"/>
        <v>insert into ins_premium_det (premium_rcv_code,assorted_code, rec_amount,premium_rcv_detail_code,remaining_amt, payrec, mode_code,coinsurance_code,class_cd,it_remarks) values('20Aug240117','070000155766','7985',(select max(to_number(i.premium_rcv_detail_code))+1
from ins_premium_det i),'7985','7985','02', '11000003','00','Request by Mr. Saqib Saleem 21-Aug-2024 sheet4');</v>
      </c>
    </row>
    <row r="44" spans="1:8" ht="105" x14ac:dyDescent="0.25">
      <c r="A44" s="1" t="s">
        <v>396</v>
      </c>
      <c r="B44" s="37" t="str">
        <f>VLOOKUP(A44,[4]Sheet1!$B$2:$C$155,2,0)</f>
        <v>070000155774</v>
      </c>
      <c r="C44" s="14">
        <v>1266</v>
      </c>
      <c r="D44" s="38">
        <f t="shared" si="1"/>
        <v>1266</v>
      </c>
      <c r="E44" t="s">
        <v>726</v>
      </c>
      <c r="F44" s="39" t="str">
        <f t="shared" si="0"/>
        <v>insert into ins_premium_det (premium_rcv_code,assorted_code, rec_amount,premium_rcv_detail_code,remaining_amt, payrec, mode_code,coinsurance_code,class_cd,it_remarks) values</v>
      </c>
      <c r="G44" s="40" t="str">
        <f t="shared" si="2"/>
        <v>('20Aug240117','070000155774','1266',(select max(to_number(i.premium_rcv_detail_code))+1
from ins_premium_det i),'1266','1266','02', '11000003','00','Request by Mr. Saqib Saleem 21-Aug-2024 sheet4');</v>
      </c>
      <c r="H44" s="41" t="str">
        <f t="shared" si="3"/>
        <v>insert into ins_premium_det (premium_rcv_code,assorted_code, rec_amount,premium_rcv_detail_code,remaining_amt, payrec, mode_code,coinsurance_code,class_cd,it_remarks) values('20Aug240117','070000155774','1266',(select max(to_number(i.premium_rcv_detail_code))+1
from ins_premium_det i),'1266','1266','02', '11000003','00','Request by Mr. Saqib Saleem 21-Aug-2024 sheet4');</v>
      </c>
    </row>
    <row r="45" spans="1:8" ht="105" x14ac:dyDescent="0.25">
      <c r="A45" s="1" t="s">
        <v>397</v>
      </c>
      <c r="B45" s="37" t="str">
        <f>VLOOKUP(A45,[4]Sheet1!$B$2:$C$155,2,0)</f>
        <v>070000155793</v>
      </c>
      <c r="C45" s="14">
        <v>6663</v>
      </c>
      <c r="D45" s="38">
        <f t="shared" si="1"/>
        <v>6663</v>
      </c>
      <c r="E45" t="s">
        <v>726</v>
      </c>
      <c r="F45" s="39" t="str">
        <f t="shared" si="0"/>
        <v>insert into ins_premium_det (premium_rcv_code,assorted_code, rec_amount,premium_rcv_detail_code,remaining_amt, payrec, mode_code,coinsurance_code,class_cd,it_remarks) values</v>
      </c>
      <c r="G45" s="40" t="str">
        <f t="shared" si="2"/>
        <v>('20Aug240117','070000155793','6663',(select max(to_number(i.premium_rcv_detail_code))+1
from ins_premium_det i),'6663','6663','02', '11000003','00','Request by Mr. Saqib Saleem 21-Aug-2024 sheet4');</v>
      </c>
      <c r="H45" s="41" t="str">
        <f t="shared" si="3"/>
        <v>insert into ins_premium_det (premium_rcv_code,assorted_code, rec_amount,premium_rcv_detail_code,remaining_amt, payrec, mode_code,coinsurance_code,class_cd,it_remarks) values('20Aug240117','070000155793','6663',(select max(to_number(i.premium_rcv_detail_code))+1
from ins_premium_det i),'6663','6663','02', '11000003','00','Request by Mr. Saqib Saleem 21-Aug-2024 sheet4');</v>
      </c>
    </row>
    <row r="46" spans="1:8" ht="105" x14ac:dyDescent="0.25">
      <c r="A46" s="1" t="s">
        <v>398</v>
      </c>
      <c r="B46" s="37" t="str">
        <f>VLOOKUP(A46,[4]Sheet1!$B$2:$C$155,2,0)</f>
        <v>070000155796</v>
      </c>
      <c r="C46" s="14">
        <v>225</v>
      </c>
      <c r="D46" s="38">
        <f t="shared" si="1"/>
        <v>225</v>
      </c>
      <c r="E46" t="s">
        <v>726</v>
      </c>
      <c r="F46" s="39" t="str">
        <f t="shared" si="0"/>
        <v>insert into ins_premium_det (premium_rcv_code,assorted_code, rec_amount,premium_rcv_detail_code,remaining_amt, payrec, mode_code,coinsurance_code,class_cd,it_remarks) values</v>
      </c>
      <c r="G46" s="40" t="str">
        <f t="shared" si="2"/>
        <v>('20Aug240117','070000155796','225',(select max(to_number(i.premium_rcv_detail_code))+1
from ins_premium_det i),'225','225','02', '11000003','00','Request by Mr. Saqib Saleem 21-Aug-2024 sheet4');</v>
      </c>
      <c r="H46" s="41" t="str">
        <f t="shared" si="3"/>
        <v>insert into ins_premium_det (premium_rcv_code,assorted_code, rec_amount,premium_rcv_detail_code,remaining_amt, payrec, mode_code,coinsurance_code,class_cd,it_remarks) values('20Aug240117','070000155796','225',(select max(to_number(i.premium_rcv_detail_code))+1
from ins_premium_det i),'225','225','02', '11000003','00','Request by Mr. Saqib Saleem 21-Aug-2024 sheet4');</v>
      </c>
    </row>
    <row r="47" spans="1:8" ht="105" x14ac:dyDescent="0.25">
      <c r="A47" s="1" t="s">
        <v>399</v>
      </c>
      <c r="B47" s="37" t="str">
        <f>VLOOKUP(A47,[4]Sheet1!$B$2:$C$155,2,0)</f>
        <v>070000155815</v>
      </c>
      <c r="C47" s="14">
        <v>3851</v>
      </c>
      <c r="D47" s="38">
        <f t="shared" si="1"/>
        <v>3851</v>
      </c>
      <c r="E47" t="s">
        <v>726</v>
      </c>
      <c r="F47" s="39" t="str">
        <f t="shared" si="0"/>
        <v>insert into ins_premium_det (premium_rcv_code,assorted_code, rec_amount,premium_rcv_detail_code,remaining_amt, payrec, mode_code,coinsurance_code,class_cd,it_remarks) values</v>
      </c>
      <c r="G47" s="40" t="str">
        <f t="shared" si="2"/>
        <v>('20Aug240117','070000155815','3851',(select max(to_number(i.premium_rcv_detail_code))+1
from ins_premium_det i),'3851','3851','02', '11000003','00','Request by Mr. Saqib Saleem 21-Aug-2024 sheet4');</v>
      </c>
      <c r="H47" s="41" t="str">
        <f t="shared" si="3"/>
        <v>insert into ins_premium_det (premium_rcv_code,assorted_code, rec_amount,premium_rcv_detail_code,remaining_amt, payrec, mode_code,coinsurance_code,class_cd,it_remarks) values('20Aug240117','070000155815','3851',(select max(to_number(i.premium_rcv_detail_code))+1
from ins_premium_det i),'3851','3851','02', '11000003','00','Request by Mr. Saqib Saleem 21-Aug-2024 sheet4');</v>
      </c>
    </row>
    <row r="48" spans="1:8" ht="105" x14ac:dyDescent="0.25">
      <c r="A48" s="1" t="s">
        <v>400</v>
      </c>
      <c r="B48" s="37" t="str">
        <f>VLOOKUP(A48,[4]Sheet1!$B$2:$C$155,2,0)</f>
        <v>070000155819</v>
      </c>
      <c r="C48" s="14">
        <v>199</v>
      </c>
      <c r="D48" s="38">
        <f t="shared" si="1"/>
        <v>199</v>
      </c>
      <c r="E48" t="s">
        <v>726</v>
      </c>
      <c r="F48" s="39" t="str">
        <f t="shared" si="0"/>
        <v>insert into ins_premium_det (premium_rcv_code,assorted_code, rec_amount,premium_rcv_detail_code,remaining_amt, payrec, mode_code,coinsurance_code,class_cd,it_remarks) values</v>
      </c>
      <c r="G48" s="40" t="str">
        <f t="shared" si="2"/>
        <v>('20Aug240117','070000155819','199',(select max(to_number(i.premium_rcv_detail_code))+1
from ins_premium_det i),'199','199','02', '11000003','00','Request by Mr. Saqib Saleem 21-Aug-2024 sheet4');</v>
      </c>
      <c r="H48" s="41" t="str">
        <f t="shared" si="3"/>
        <v>insert into ins_premium_det (premium_rcv_code,assorted_code, rec_amount,premium_rcv_detail_code,remaining_amt, payrec, mode_code,coinsurance_code,class_cd,it_remarks) values('20Aug240117','070000155819','199',(select max(to_number(i.premium_rcv_detail_code))+1
from ins_premium_det i),'199','199','02', '11000003','00','Request by Mr. Saqib Saleem 21-Aug-2024 sheet4');</v>
      </c>
    </row>
    <row r="49" spans="1:8" ht="105" x14ac:dyDescent="0.25">
      <c r="A49" s="1" t="s">
        <v>401</v>
      </c>
      <c r="B49" s="37" t="str">
        <f>VLOOKUP(A49,[4]Sheet1!$B$2:$C$155,2,0)</f>
        <v>070000155826</v>
      </c>
      <c r="C49" s="14">
        <v>5721</v>
      </c>
      <c r="D49" s="38">
        <f t="shared" si="1"/>
        <v>5721</v>
      </c>
      <c r="E49" t="s">
        <v>726</v>
      </c>
      <c r="F49" s="39" t="str">
        <f t="shared" si="0"/>
        <v>insert into ins_premium_det (premium_rcv_code,assorted_code, rec_amount,premium_rcv_detail_code,remaining_amt, payrec, mode_code,coinsurance_code,class_cd,it_remarks) values</v>
      </c>
      <c r="G49" s="40" t="str">
        <f t="shared" si="2"/>
        <v>('20Aug240117','070000155826','5721',(select max(to_number(i.premium_rcv_detail_code))+1
from ins_premium_det i),'5721','5721','02', '11000003','00','Request by Mr. Saqib Saleem 21-Aug-2024 sheet4');</v>
      </c>
      <c r="H49" s="41" t="str">
        <f t="shared" si="3"/>
        <v>insert into ins_premium_det (premium_rcv_code,assorted_code, rec_amount,premium_rcv_detail_code,remaining_amt, payrec, mode_code,coinsurance_code,class_cd,it_remarks) values('20Aug240117','070000155826','5721',(select max(to_number(i.premium_rcv_detail_code))+1
from ins_premium_det i),'5721','5721','02', '11000003','00','Request by Mr. Saqib Saleem 21-Aug-2024 sheet4');</v>
      </c>
    </row>
    <row r="50" spans="1:8" ht="105" x14ac:dyDescent="0.25">
      <c r="A50" s="1" t="s">
        <v>402</v>
      </c>
      <c r="B50" s="37" t="str">
        <f>VLOOKUP(A50,[4]Sheet1!$B$2:$C$155,2,0)</f>
        <v>070000155838</v>
      </c>
      <c r="C50" s="14">
        <v>6120</v>
      </c>
      <c r="D50" s="38">
        <f t="shared" si="1"/>
        <v>6120</v>
      </c>
      <c r="E50" t="s">
        <v>726</v>
      </c>
      <c r="F50" s="39" t="str">
        <f t="shared" si="0"/>
        <v>insert into ins_premium_det (premium_rcv_code,assorted_code, rec_amount,premium_rcv_detail_code,remaining_amt, payrec, mode_code,coinsurance_code,class_cd,it_remarks) values</v>
      </c>
      <c r="G50" s="40" t="str">
        <f t="shared" si="2"/>
        <v>('20Aug240117','070000155838','6120',(select max(to_number(i.premium_rcv_detail_code))+1
from ins_premium_det i),'6120','6120','02', '11000003','00','Request by Mr. Saqib Saleem 21-Aug-2024 sheet4');</v>
      </c>
      <c r="H50" s="41" t="str">
        <f t="shared" si="3"/>
        <v>insert into ins_premium_det (premium_rcv_code,assorted_code, rec_amount,premium_rcv_detail_code,remaining_amt, payrec, mode_code,coinsurance_code,class_cd,it_remarks) values('20Aug240117','070000155838','6120',(select max(to_number(i.premium_rcv_detail_code))+1
from ins_premium_det i),'6120','6120','02', '11000003','00','Request by Mr. Saqib Saleem 21-Aug-2024 sheet4');</v>
      </c>
    </row>
    <row r="51" spans="1:8" ht="105" x14ac:dyDescent="0.25">
      <c r="A51" s="1" t="s">
        <v>403</v>
      </c>
      <c r="B51" s="37" t="str">
        <f>VLOOKUP(A51,[4]Sheet1!$B$2:$C$155,2,0)</f>
        <v>070000155839</v>
      </c>
      <c r="C51" s="14">
        <v>8063</v>
      </c>
      <c r="D51" s="38">
        <f t="shared" si="1"/>
        <v>8063</v>
      </c>
      <c r="E51" t="s">
        <v>726</v>
      </c>
      <c r="F51" s="39" t="str">
        <f t="shared" si="0"/>
        <v>insert into ins_premium_det (premium_rcv_code,assorted_code, rec_amount,premium_rcv_detail_code,remaining_amt, payrec, mode_code,coinsurance_code,class_cd,it_remarks) values</v>
      </c>
      <c r="G51" s="40" t="str">
        <f t="shared" si="2"/>
        <v>('20Aug240117','070000155839','8063',(select max(to_number(i.premium_rcv_detail_code))+1
from ins_premium_det i),'8063','8063','02', '11000003','00','Request by Mr. Saqib Saleem 21-Aug-2024 sheet4');</v>
      </c>
      <c r="H51" s="41" t="str">
        <f t="shared" si="3"/>
        <v>insert into ins_premium_det (premium_rcv_code,assorted_code, rec_amount,premium_rcv_detail_code,remaining_amt, payrec, mode_code,coinsurance_code,class_cd,it_remarks) values('20Aug240117','070000155839','8063',(select max(to_number(i.premium_rcv_detail_code))+1
from ins_premium_det i),'8063','8063','02', '11000003','00','Request by Mr. Saqib Saleem 21-Aug-2024 sheet4');</v>
      </c>
    </row>
    <row r="52" spans="1:8" ht="105" x14ac:dyDescent="0.25">
      <c r="A52" s="1" t="s">
        <v>404</v>
      </c>
      <c r="B52" s="37" t="str">
        <f>VLOOKUP(A52,[4]Sheet1!$B$2:$C$155,2,0)</f>
        <v>070000155841</v>
      </c>
      <c r="C52" s="14">
        <v>529</v>
      </c>
      <c r="D52" s="38">
        <f t="shared" si="1"/>
        <v>529</v>
      </c>
      <c r="E52" t="s">
        <v>726</v>
      </c>
      <c r="F52" s="39" t="str">
        <f t="shared" si="0"/>
        <v>insert into ins_premium_det (premium_rcv_code,assorted_code, rec_amount,premium_rcv_detail_code,remaining_amt, payrec, mode_code,coinsurance_code,class_cd,it_remarks) values</v>
      </c>
      <c r="G52" s="40" t="str">
        <f t="shared" si="2"/>
        <v>('20Aug240117','070000155841','529',(select max(to_number(i.premium_rcv_detail_code))+1
from ins_premium_det i),'529','529','02', '11000003','00','Request by Mr. Saqib Saleem 21-Aug-2024 sheet4');</v>
      </c>
      <c r="H52" s="41" t="str">
        <f t="shared" si="3"/>
        <v>insert into ins_premium_det (premium_rcv_code,assorted_code, rec_amount,premium_rcv_detail_code,remaining_amt, payrec, mode_code,coinsurance_code,class_cd,it_remarks) values('20Aug240117','070000155841','529',(select max(to_number(i.premium_rcv_detail_code))+1
from ins_premium_det i),'529','529','02', '11000003','00','Request by Mr. Saqib Saleem 21-Aug-2024 sheet4');</v>
      </c>
    </row>
    <row r="53" spans="1:8" ht="105" x14ac:dyDescent="0.25">
      <c r="A53" s="1" t="s">
        <v>405</v>
      </c>
      <c r="B53" s="37" t="str">
        <f>VLOOKUP(A53,[4]Sheet1!$B$2:$C$155,2,0)</f>
        <v>070000156179</v>
      </c>
      <c r="C53" s="14">
        <v>1238</v>
      </c>
      <c r="D53" s="38">
        <f t="shared" si="1"/>
        <v>1238</v>
      </c>
      <c r="E53" t="s">
        <v>726</v>
      </c>
      <c r="F53" s="39" t="str">
        <f t="shared" si="0"/>
        <v>insert into ins_premium_det (premium_rcv_code,assorted_code, rec_amount,premium_rcv_detail_code,remaining_amt, payrec, mode_code,coinsurance_code,class_cd,it_remarks) values</v>
      </c>
      <c r="G53" s="40" t="str">
        <f t="shared" si="2"/>
        <v>('20Aug240117','070000156179','1238',(select max(to_number(i.premium_rcv_detail_code))+1
from ins_premium_det i),'1238','1238','02', '11000003','00','Request by Mr. Saqib Saleem 21-Aug-2024 sheet4');</v>
      </c>
      <c r="H53" s="41" t="str">
        <f t="shared" si="3"/>
        <v>insert into ins_premium_det (premium_rcv_code,assorted_code, rec_amount,premium_rcv_detail_code,remaining_amt, payrec, mode_code,coinsurance_code,class_cd,it_remarks) values('20Aug240117','070000156179','1238',(select max(to_number(i.premium_rcv_detail_code))+1
from ins_premium_det i),'1238','1238','02', '11000003','00','Request by Mr. Saqib Saleem 21-Aug-2024 sheet4');</v>
      </c>
    </row>
    <row r="54" spans="1:8" ht="105" x14ac:dyDescent="0.25">
      <c r="A54" s="1" t="s">
        <v>406</v>
      </c>
      <c r="B54" s="37" t="str">
        <f>VLOOKUP(A54,[4]Sheet1!$B$2:$C$155,2,0)</f>
        <v>070000156180</v>
      </c>
      <c r="C54" s="14">
        <v>1142</v>
      </c>
      <c r="D54" s="38">
        <f t="shared" si="1"/>
        <v>1142</v>
      </c>
      <c r="E54" t="s">
        <v>726</v>
      </c>
      <c r="F54" s="39" t="str">
        <f t="shared" si="0"/>
        <v>insert into ins_premium_det (premium_rcv_code,assorted_code, rec_amount,premium_rcv_detail_code,remaining_amt, payrec, mode_code,coinsurance_code,class_cd,it_remarks) values</v>
      </c>
      <c r="G54" s="40" t="str">
        <f t="shared" si="2"/>
        <v>('20Aug240117','070000156180','1142',(select max(to_number(i.premium_rcv_detail_code))+1
from ins_premium_det i),'1142','1142','02', '11000003','00','Request by Mr. Saqib Saleem 21-Aug-2024 sheet4');</v>
      </c>
      <c r="H54" s="41" t="str">
        <f t="shared" si="3"/>
        <v>insert into ins_premium_det (premium_rcv_code,assorted_code, rec_amount,premium_rcv_detail_code,remaining_amt, payrec, mode_code,coinsurance_code,class_cd,it_remarks) values('20Aug240117','070000156180','1142',(select max(to_number(i.premium_rcv_detail_code))+1
from ins_premium_det i),'1142','1142','02', '11000003','00','Request by Mr. Saqib Saleem 21-Aug-2024 sheet4');</v>
      </c>
    </row>
    <row r="55" spans="1:8" ht="105" x14ac:dyDescent="0.25">
      <c r="A55" s="1" t="s">
        <v>407</v>
      </c>
      <c r="B55" s="37" t="str">
        <f>VLOOKUP(A55,[4]Sheet1!$B$2:$C$155,2,0)</f>
        <v>070000156181</v>
      </c>
      <c r="C55" s="14">
        <v>962</v>
      </c>
      <c r="D55" s="38">
        <f t="shared" si="1"/>
        <v>962</v>
      </c>
      <c r="E55" t="s">
        <v>726</v>
      </c>
      <c r="F55" s="39" t="str">
        <f t="shared" si="0"/>
        <v>insert into ins_premium_det (premium_rcv_code,assorted_code, rec_amount,premium_rcv_detail_code,remaining_amt, payrec, mode_code,coinsurance_code,class_cd,it_remarks) values</v>
      </c>
      <c r="G55" s="40" t="str">
        <f t="shared" si="2"/>
        <v>('20Aug240117','070000156181','962',(select max(to_number(i.premium_rcv_detail_code))+1
from ins_premium_det i),'962','962','02', '11000003','00','Request by Mr. Saqib Saleem 21-Aug-2024 sheet4');</v>
      </c>
      <c r="H55" s="41" t="str">
        <f t="shared" si="3"/>
        <v>insert into ins_premium_det (premium_rcv_code,assorted_code, rec_amount,premium_rcv_detail_code,remaining_amt, payrec, mode_code,coinsurance_code,class_cd,it_remarks) values('20Aug240117','070000156181','962',(select max(to_number(i.premium_rcv_detail_code))+1
from ins_premium_det i),'962','962','02', '11000003','00','Request by Mr. Saqib Saleem 21-Aug-2024 sheet4');</v>
      </c>
    </row>
    <row r="56" spans="1:8" ht="105" x14ac:dyDescent="0.25">
      <c r="A56" s="1" t="s">
        <v>408</v>
      </c>
      <c r="B56" s="37" t="str">
        <f>VLOOKUP(A56,[4]Sheet1!$B$2:$C$155,2,0)</f>
        <v>070000156182</v>
      </c>
      <c r="C56" s="14">
        <v>200</v>
      </c>
      <c r="D56" s="38">
        <f t="shared" si="1"/>
        <v>200</v>
      </c>
      <c r="E56" t="s">
        <v>726</v>
      </c>
      <c r="F56" s="39" t="str">
        <f t="shared" si="0"/>
        <v>insert into ins_premium_det (premium_rcv_code,assorted_code, rec_amount,premium_rcv_detail_code,remaining_amt, payrec, mode_code,coinsurance_code,class_cd,it_remarks) values</v>
      </c>
      <c r="G56" s="40" t="str">
        <f t="shared" si="2"/>
        <v>('20Aug240117','070000156182','200',(select max(to_number(i.premium_rcv_detail_code))+1
from ins_premium_det i),'200','200','02', '11000003','00','Request by Mr. Saqib Saleem 21-Aug-2024 sheet4');</v>
      </c>
      <c r="H56" s="41" t="str">
        <f t="shared" si="3"/>
        <v>insert into ins_premium_det (premium_rcv_code,assorted_code, rec_amount,premium_rcv_detail_code,remaining_amt, payrec, mode_code,coinsurance_code,class_cd,it_remarks) values('20Aug240117','070000156182','200',(select max(to_number(i.premium_rcv_detail_code))+1
from ins_premium_det i),'200','200','02', '11000003','00','Request by Mr. Saqib Saleem 21-Aug-2024 sheet4');</v>
      </c>
    </row>
    <row r="57" spans="1:8" ht="105" x14ac:dyDescent="0.25">
      <c r="A57" s="1" t="s">
        <v>409</v>
      </c>
      <c r="B57" s="37" t="str">
        <f>VLOOKUP(A57,[4]Sheet1!$B$2:$C$155,2,0)</f>
        <v>070000156183</v>
      </c>
      <c r="C57" s="14">
        <v>4785</v>
      </c>
      <c r="D57" s="38">
        <f t="shared" si="1"/>
        <v>4785</v>
      </c>
      <c r="E57" t="s">
        <v>726</v>
      </c>
      <c r="F57" s="39" t="str">
        <f t="shared" si="0"/>
        <v>insert into ins_premium_det (premium_rcv_code,assorted_code, rec_amount,premium_rcv_detail_code,remaining_amt, payrec, mode_code,coinsurance_code,class_cd,it_remarks) values</v>
      </c>
      <c r="G57" s="40" t="str">
        <f t="shared" si="2"/>
        <v>('20Aug240117','070000156183','4785',(select max(to_number(i.premium_rcv_detail_code))+1
from ins_premium_det i),'4785','4785','02', '11000003','00','Request by Mr. Saqib Saleem 21-Aug-2024 sheet4');</v>
      </c>
      <c r="H57" s="41" t="str">
        <f t="shared" si="3"/>
        <v>insert into ins_premium_det (premium_rcv_code,assorted_code, rec_amount,premium_rcv_detail_code,remaining_amt, payrec, mode_code,coinsurance_code,class_cd,it_remarks) values('20Aug240117','070000156183','4785',(select max(to_number(i.premium_rcv_detail_code))+1
from ins_premium_det i),'4785','4785','02', '11000003','00','Request by Mr. Saqib Saleem 21-Aug-2024 sheet4');</v>
      </c>
    </row>
    <row r="58" spans="1:8" ht="105" x14ac:dyDescent="0.25">
      <c r="A58" s="1" t="s">
        <v>410</v>
      </c>
      <c r="B58" s="37" t="str">
        <f>VLOOKUP(A58,[4]Sheet1!$B$2:$C$155,2,0)</f>
        <v>070000156184</v>
      </c>
      <c r="C58" s="14">
        <v>1920</v>
      </c>
      <c r="D58" s="38">
        <f t="shared" si="1"/>
        <v>1920</v>
      </c>
      <c r="E58" t="s">
        <v>726</v>
      </c>
      <c r="F58" s="39" t="str">
        <f t="shared" si="0"/>
        <v>insert into ins_premium_det (premium_rcv_code,assorted_code, rec_amount,premium_rcv_detail_code,remaining_amt, payrec, mode_code,coinsurance_code,class_cd,it_remarks) values</v>
      </c>
      <c r="G58" s="40" t="str">
        <f t="shared" si="2"/>
        <v>('20Aug240117','070000156184','1920',(select max(to_number(i.premium_rcv_detail_code))+1
from ins_premium_det i),'1920','1920','02', '11000003','00','Request by Mr. Saqib Saleem 21-Aug-2024 sheet4');</v>
      </c>
      <c r="H58" s="41" t="str">
        <f t="shared" si="3"/>
        <v>insert into ins_premium_det (premium_rcv_code,assorted_code, rec_amount,premium_rcv_detail_code,remaining_amt, payrec, mode_code,coinsurance_code,class_cd,it_remarks) values('20Aug240117','070000156184','1920',(select max(to_number(i.premium_rcv_detail_code))+1
from ins_premium_det i),'1920','1920','02', '11000003','00','Request by Mr. Saqib Saleem 21-Aug-2024 sheet4');</v>
      </c>
    </row>
    <row r="59" spans="1:8" ht="105" x14ac:dyDescent="0.25">
      <c r="A59" s="1" t="s">
        <v>411</v>
      </c>
      <c r="B59" s="37" t="str">
        <f>VLOOKUP(A59,[4]Sheet1!$B$2:$C$155,2,0)</f>
        <v>070000156185</v>
      </c>
      <c r="C59" s="14">
        <v>9634</v>
      </c>
      <c r="D59" s="38">
        <f t="shared" si="1"/>
        <v>9634</v>
      </c>
      <c r="E59" t="s">
        <v>726</v>
      </c>
      <c r="F59" s="39" t="str">
        <f t="shared" si="0"/>
        <v>insert into ins_premium_det (premium_rcv_code,assorted_code, rec_amount,premium_rcv_detail_code,remaining_amt, payrec, mode_code,coinsurance_code,class_cd,it_remarks) values</v>
      </c>
      <c r="G59" s="40" t="str">
        <f t="shared" si="2"/>
        <v>('20Aug240117','070000156185','9634',(select max(to_number(i.premium_rcv_detail_code))+1
from ins_premium_det i),'9634','9634','02', '11000003','00','Request by Mr. Saqib Saleem 21-Aug-2024 sheet4');</v>
      </c>
      <c r="H59" s="41" t="str">
        <f t="shared" si="3"/>
        <v>insert into ins_premium_det (premium_rcv_code,assorted_code, rec_amount,premium_rcv_detail_code,remaining_amt, payrec, mode_code,coinsurance_code,class_cd,it_remarks) values('20Aug240117','070000156185','9634',(select max(to_number(i.premium_rcv_detail_code))+1
from ins_premium_det i),'9634','9634','02', '11000003','00','Request by Mr. Saqib Saleem 21-Aug-2024 sheet4');</v>
      </c>
    </row>
    <row r="60" spans="1:8" ht="105" x14ac:dyDescent="0.25">
      <c r="A60" s="1" t="s">
        <v>412</v>
      </c>
      <c r="B60" s="37" t="str">
        <f>VLOOKUP(A60,[4]Sheet1!$B$2:$C$155,2,0)</f>
        <v>070000156575</v>
      </c>
      <c r="C60" s="14">
        <v>2174</v>
      </c>
      <c r="D60" s="38">
        <f t="shared" si="1"/>
        <v>2174</v>
      </c>
      <c r="E60" t="s">
        <v>726</v>
      </c>
      <c r="F60" s="39" t="str">
        <f t="shared" si="0"/>
        <v>insert into ins_premium_det (premium_rcv_code,assorted_code, rec_amount,premium_rcv_detail_code,remaining_amt, payrec, mode_code,coinsurance_code,class_cd,it_remarks) values</v>
      </c>
      <c r="G60" s="40" t="str">
        <f t="shared" si="2"/>
        <v>('20Aug240117','070000156575','2174',(select max(to_number(i.premium_rcv_detail_code))+1
from ins_premium_det i),'2174','2174','02', '11000003','00','Request by Mr. Saqib Saleem 21-Aug-2024 sheet4');</v>
      </c>
      <c r="H60" s="41" t="str">
        <f t="shared" si="3"/>
        <v>insert into ins_premium_det (premium_rcv_code,assorted_code, rec_amount,premium_rcv_detail_code,remaining_amt, payrec, mode_code,coinsurance_code,class_cd,it_remarks) values('20Aug240117','070000156575','2174',(select max(to_number(i.premium_rcv_detail_code))+1
from ins_premium_det i),'2174','2174','02', '11000003','00','Request by Mr. Saqib Saleem 21-Aug-2024 sheet4');</v>
      </c>
    </row>
    <row r="61" spans="1:8" ht="105" x14ac:dyDescent="0.25">
      <c r="A61" s="1" t="s">
        <v>413</v>
      </c>
      <c r="B61" s="37" t="str">
        <f>VLOOKUP(A61,[4]Sheet1!$B$2:$C$155,2,0)</f>
        <v>070000156577</v>
      </c>
      <c r="C61" s="14">
        <v>671</v>
      </c>
      <c r="D61" s="38">
        <f t="shared" si="1"/>
        <v>671</v>
      </c>
      <c r="E61" t="s">
        <v>726</v>
      </c>
      <c r="F61" s="39" t="str">
        <f t="shared" si="0"/>
        <v>insert into ins_premium_det (premium_rcv_code,assorted_code, rec_amount,premium_rcv_detail_code,remaining_amt, payrec, mode_code,coinsurance_code,class_cd,it_remarks) values</v>
      </c>
      <c r="G61" s="40" t="str">
        <f t="shared" si="2"/>
        <v>('20Aug240117','070000156577','671',(select max(to_number(i.premium_rcv_detail_code))+1
from ins_premium_det i),'671','671','02', '11000003','00','Request by Mr. Saqib Saleem 21-Aug-2024 sheet4');</v>
      </c>
      <c r="H61" s="41" t="str">
        <f t="shared" si="3"/>
        <v>insert into ins_premium_det (premium_rcv_code,assorted_code, rec_amount,premium_rcv_detail_code,remaining_amt, payrec, mode_code,coinsurance_code,class_cd,it_remarks) values('20Aug240117','070000156577','671',(select max(to_number(i.premium_rcv_detail_code))+1
from ins_premium_det i),'671','671','02', '11000003','00','Request by Mr. Saqib Saleem 21-Aug-2024 sheet4');</v>
      </c>
    </row>
    <row r="62" spans="1:8" ht="105" x14ac:dyDescent="0.25">
      <c r="A62" s="1" t="s">
        <v>432</v>
      </c>
      <c r="B62" s="37" t="str">
        <f>VLOOKUP(A62,[4]Sheet1!$B$2:$C$155,2,0)</f>
        <v>070000156579</v>
      </c>
      <c r="C62" s="14">
        <v>318</v>
      </c>
      <c r="D62" s="38">
        <f t="shared" si="1"/>
        <v>318</v>
      </c>
      <c r="E62" t="s">
        <v>726</v>
      </c>
      <c r="F62" s="39" t="str">
        <f t="shared" si="0"/>
        <v>insert into ins_premium_det (premium_rcv_code,assorted_code, rec_amount,premium_rcv_detail_code,remaining_amt, payrec, mode_code,coinsurance_code,class_cd,it_remarks) values</v>
      </c>
      <c r="G62" s="40" t="str">
        <f t="shared" si="2"/>
        <v>('20Aug240117','070000156579','318',(select max(to_number(i.premium_rcv_detail_code))+1
from ins_premium_det i),'318','318','02', '11000003','00','Request by Mr. Saqib Saleem 21-Aug-2024 sheet4');</v>
      </c>
      <c r="H62" s="41" t="str">
        <f t="shared" si="3"/>
        <v>insert into ins_premium_det (premium_rcv_code,assorted_code, rec_amount,premium_rcv_detail_code,remaining_amt, payrec, mode_code,coinsurance_code,class_cd,it_remarks) values('20Aug240117','070000156579','318',(select max(to_number(i.premium_rcv_detail_code))+1
from ins_premium_det i),'318','318','02', '11000003','00','Request by Mr. Saqib Saleem 21-Aug-2024 sheet4');</v>
      </c>
    </row>
    <row r="63" spans="1:8" ht="105" x14ac:dyDescent="0.25">
      <c r="A63" s="1" t="s">
        <v>414</v>
      </c>
      <c r="B63" s="37" t="str">
        <f>VLOOKUP(A63,[4]Sheet1!$B$2:$C$155,2,0)</f>
        <v>070000156580</v>
      </c>
      <c r="C63" s="14">
        <v>1835</v>
      </c>
      <c r="D63" s="38">
        <f t="shared" si="1"/>
        <v>1835</v>
      </c>
      <c r="E63" t="s">
        <v>726</v>
      </c>
      <c r="F63" s="39" t="str">
        <f t="shared" si="0"/>
        <v>insert into ins_premium_det (premium_rcv_code,assorted_code, rec_amount,premium_rcv_detail_code,remaining_amt, payrec, mode_code,coinsurance_code,class_cd,it_remarks) values</v>
      </c>
      <c r="G63" s="40" t="str">
        <f t="shared" si="2"/>
        <v>('20Aug240117','070000156580','1835',(select max(to_number(i.premium_rcv_detail_code))+1
from ins_premium_det i),'1835','1835','02', '11000003','00','Request by Mr. Saqib Saleem 21-Aug-2024 sheet4');</v>
      </c>
      <c r="H63" s="41" t="str">
        <f t="shared" si="3"/>
        <v>insert into ins_premium_det (premium_rcv_code,assorted_code, rec_amount,premium_rcv_detail_code,remaining_amt, payrec, mode_code,coinsurance_code,class_cd,it_remarks) values('20Aug240117','070000156580','1835',(select max(to_number(i.premium_rcv_detail_code))+1
from ins_premium_det i),'1835','1835','02', '11000003','00','Request by Mr. Saqib Saleem 21-Aug-2024 sheet4');</v>
      </c>
    </row>
    <row r="64" spans="1:8" ht="105" x14ac:dyDescent="0.25">
      <c r="A64" s="1" t="s">
        <v>415</v>
      </c>
      <c r="B64" s="37" t="str">
        <f>VLOOKUP(A64,[4]Sheet1!$B$2:$C$155,2,0)</f>
        <v>070000156581</v>
      </c>
      <c r="C64" s="14">
        <v>771</v>
      </c>
      <c r="D64" s="38">
        <f t="shared" si="1"/>
        <v>771</v>
      </c>
      <c r="E64" t="s">
        <v>726</v>
      </c>
      <c r="F64" s="39" t="str">
        <f t="shared" si="0"/>
        <v>insert into ins_premium_det (premium_rcv_code,assorted_code, rec_amount,premium_rcv_detail_code,remaining_amt, payrec, mode_code,coinsurance_code,class_cd,it_remarks) values</v>
      </c>
      <c r="G64" s="40" t="str">
        <f t="shared" si="2"/>
        <v>('20Aug240117','070000156581','771',(select max(to_number(i.premium_rcv_detail_code))+1
from ins_premium_det i),'771','771','02', '11000003','00','Request by Mr. Saqib Saleem 21-Aug-2024 sheet4');</v>
      </c>
      <c r="H64" s="41" t="str">
        <f t="shared" si="3"/>
        <v>insert into ins_premium_det (premium_rcv_code,assorted_code, rec_amount,premium_rcv_detail_code,remaining_amt, payrec, mode_code,coinsurance_code,class_cd,it_remarks) values('20Aug240117','070000156581','771',(select max(to_number(i.premium_rcv_detail_code))+1
from ins_premium_det i),'771','771','02', '11000003','00','Request by Mr. Saqib Saleem 21-Aug-2024 sheet4');</v>
      </c>
    </row>
    <row r="65" spans="1:8" ht="105" x14ac:dyDescent="0.25">
      <c r="A65" s="1" t="s">
        <v>416</v>
      </c>
      <c r="B65" s="37" t="str">
        <f>VLOOKUP(A65,[4]Sheet1!$B$2:$C$155,2,0)</f>
        <v>070000156582</v>
      </c>
      <c r="C65" s="14">
        <v>1023</v>
      </c>
      <c r="D65" s="38">
        <f t="shared" si="1"/>
        <v>1023</v>
      </c>
      <c r="E65" t="s">
        <v>726</v>
      </c>
      <c r="F65" s="39" t="str">
        <f t="shared" si="0"/>
        <v>insert into ins_premium_det (premium_rcv_code,assorted_code, rec_amount,premium_rcv_detail_code,remaining_amt, payrec, mode_code,coinsurance_code,class_cd,it_remarks) values</v>
      </c>
      <c r="G65" s="40" t="str">
        <f t="shared" si="2"/>
        <v>('20Aug240117','070000156582','1023',(select max(to_number(i.premium_rcv_detail_code))+1
from ins_premium_det i),'1023','1023','02', '11000003','00','Request by Mr. Saqib Saleem 21-Aug-2024 sheet4');</v>
      </c>
      <c r="H65" s="41" t="str">
        <f t="shared" si="3"/>
        <v>insert into ins_premium_det (premium_rcv_code,assorted_code, rec_amount,premium_rcv_detail_code,remaining_amt, payrec, mode_code,coinsurance_code,class_cd,it_remarks) values('20Aug240117','070000156582','1023',(select max(to_number(i.premium_rcv_detail_code))+1
from ins_premium_det i),'1023','1023','02', '11000003','00','Request by Mr. Saqib Saleem 21-Aug-2024 sheet4');</v>
      </c>
    </row>
    <row r="66" spans="1:8" ht="105" x14ac:dyDescent="0.25">
      <c r="A66" s="1" t="s">
        <v>417</v>
      </c>
      <c r="B66" s="37" t="str">
        <f>VLOOKUP(A66,[4]Sheet1!$B$2:$C$155,2,0)</f>
        <v>070000156584</v>
      </c>
      <c r="C66" s="14">
        <v>2902</v>
      </c>
      <c r="D66" s="38">
        <f t="shared" si="1"/>
        <v>2902</v>
      </c>
      <c r="E66" t="s">
        <v>726</v>
      </c>
      <c r="F66" s="39" t="str">
        <f t="shared" ref="F66:F78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0" t="str">
        <f t="shared" si="2"/>
        <v>('20Aug240117','070000156584','2902',(select max(to_number(i.premium_rcv_detail_code))+1
from ins_premium_det i),'2902','2902','02', '11000003','00','Request by Mr. Saqib Saleem 21-Aug-2024 sheet4');</v>
      </c>
      <c r="H66" s="41" t="str">
        <f t="shared" si="3"/>
        <v>insert into ins_premium_det (premium_rcv_code,assorted_code, rec_amount,premium_rcv_detail_code,remaining_amt, payrec, mode_code,coinsurance_code,class_cd,it_remarks) values('20Aug240117','070000156584','2902',(select max(to_number(i.premium_rcv_detail_code))+1
from ins_premium_det i),'2902','2902','02', '11000003','00','Request by Mr. Saqib Saleem 21-Aug-2024 sheet4');</v>
      </c>
    </row>
    <row r="67" spans="1:8" ht="105" x14ac:dyDescent="0.25">
      <c r="A67" s="1" t="s">
        <v>418</v>
      </c>
      <c r="B67" s="37" t="str">
        <f>VLOOKUP(A67,[4]Sheet1!$B$2:$C$155,2,0)</f>
        <v>070000156585</v>
      </c>
      <c r="C67" s="14">
        <v>4330</v>
      </c>
      <c r="D67" s="38">
        <f t="shared" ref="D67:D78" si="5">ROUND(C67,0)</f>
        <v>4330</v>
      </c>
      <c r="E67" t="s">
        <v>726</v>
      </c>
      <c r="F67" s="39" t="str">
        <f t="shared" si="4"/>
        <v>insert into ins_premium_det (premium_rcv_code,assorted_code, rec_amount,premium_rcv_detail_code,remaining_amt, payrec, mode_code,coinsurance_code,class_cd,it_remarks) values</v>
      </c>
      <c r="G67" s="40" t="str">
        <f t="shared" ref="G67:G78" si="6">"('"&amp;E67&amp;"','"&amp;B67&amp;"','"&amp;D67&amp;"',(select max(to_number(i.premium_rcv_detail_code))+1
from ins_premium_det i),'"&amp;D67&amp;"','"&amp;D67&amp;"','02', '11000003','00','Request by Mr. Saqib Saleem 21-Aug-2024 sheet4');"</f>
        <v>('20Aug240117','070000156585','4330',(select max(to_number(i.premium_rcv_detail_code))+1
from ins_premium_det i),'4330','4330','02', '11000003','00','Request by Mr. Saqib Saleem 21-Aug-2024 sheet4');</v>
      </c>
      <c r="H67" s="41" t="str">
        <f t="shared" ref="H67:H78" si="7">F67&amp;G67</f>
        <v>insert into ins_premium_det (premium_rcv_code,assorted_code, rec_amount,premium_rcv_detail_code,remaining_amt, payrec, mode_code,coinsurance_code,class_cd,it_remarks) values('20Aug240117','070000156585','4330',(select max(to_number(i.premium_rcv_detail_code))+1
from ins_premium_det i),'4330','4330','02', '11000003','00','Request by Mr. Saqib Saleem 21-Aug-2024 sheet4');</v>
      </c>
    </row>
    <row r="68" spans="1:8" ht="105" x14ac:dyDescent="0.25">
      <c r="A68" s="1" t="s">
        <v>419</v>
      </c>
      <c r="B68" s="37" t="str">
        <f>VLOOKUP(A68,[4]Sheet1!$B$2:$C$155,2,0)</f>
        <v>070000156631</v>
      </c>
      <c r="C68" s="14">
        <v>988</v>
      </c>
      <c r="D68" s="38">
        <f t="shared" si="5"/>
        <v>988</v>
      </c>
      <c r="E68" t="s">
        <v>726</v>
      </c>
      <c r="F68" s="39" t="str">
        <f t="shared" si="4"/>
        <v>insert into ins_premium_det (premium_rcv_code,assorted_code, rec_amount,premium_rcv_detail_code,remaining_amt, payrec, mode_code,coinsurance_code,class_cd,it_remarks) values</v>
      </c>
      <c r="G68" s="40" t="str">
        <f t="shared" si="6"/>
        <v>('20Aug240117','070000156631','988',(select max(to_number(i.premium_rcv_detail_code))+1
from ins_premium_det i),'988','988','02', '11000003','00','Request by Mr. Saqib Saleem 21-Aug-2024 sheet4');</v>
      </c>
      <c r="H68" s="41" t="str">
        <f t="shared" si="7"/>
        <v>insert into ins_premium_det (premium_rcv_code,assorted_code, rec_amount,premium_rcv_detail_code,remaining_amt, payrec, mode_code,coinsurance_code,class_cd,it_remarks) values('20Aug240117','070000156631','988',(select max(to_number(i.premium_rcv_detail_code))+1
from ins_premium_det i),'988','988','02', '11000003','00','Request by Mr. Saqib Saleem 21-Aug-2024 sheet4');</v>
      </c>
    </row>
    <row r="69" spans="1:8" ht="105" x14ac:dyDescent="0.25">
      <c r="A69" s="1" t="s">
        <v>420</v>
      </c>
      <c r="B69" s="37" t="str">
        <f>VLOOKUP(A69,[4]Sheet1!$B$2:$C$155,2,0)</f>
        <v>070000156633</v>
      </c>
      <c r="C69" s="14">
        <v>1246</v>
      </c>
      <c r="D69" s="38">
        <f t="shared" si="5"/>
        <v>1246</v>
      </c>
      <c r="E69" t="s">
        <v>726</v>
      </c>
      <c r="F69" s="39" t="str">
        <f t="shared" si="4"/>
        <v>insert into ins_premium_det (premium_rcv_code,assorted_code, rec_amount,premium_rcv_detail_code,remaining_amt, payrec, mode_code,coinsurance_code,class_cd,it_remarks) values</v>
      </c>
      <c r="G69" s="40" t="str">
        <f t="shared" si="6"/>
        <v>('20Aug240117','070000156633','1246',(select max(to_number(i.premium_rcv_detail_code))+1
from ins_premium_det i),'1246','1246','02', '11000003','00','Request by Mr. Saqib Saleem 21-Aug-2024 sheet4');</v>
      </c>
      <c r="H69" s="41" t="str">
        <f t="shared" si="7"/>
        <v>insert into ins_premium_det (premium_rcv_code,assorted_code, rec_amount,premium_rcv_detail_code,remaining_amt, payrec, mode_code,coinsurance_code,class_cd,it_remarks) values('20Aug240117','070000156633','1246',(select max(to_number(i.premium_rcv_detail_code))+1
from ins_premium_det i),'1246','1246','02', '11000003','00','Request by Mr. Saqib Saleem 21-Aug-2024 sheet4');</v>
      </c>
    </row>
    <row r="70" spans="1:8" ht="105" x14ac:dyDescent="0.25">
      <c r="A70" s="1" t="s">
        <v>421</v>
      </c>
      <c r="B70" s="37" t="str">
        <f>VLOOKUP(A70,[4]Sheet1!$B$2:$C$155,2,0)</f>
        <v>070000156634</v>
      </c>
      <c r="C70" s="14">
        <v>537</v>
      </c>
      <c r="D70" s="38">
        <f t="shared" si="5"/>
        <v>537</v>
      </c>
      <c r="E70" t="s">
        <v>726</v>
      </c>
      <c r="F70" s="39" t="str">
        <f t="shared" si="4"/>
        <v>insert into ins_premium_det (premium_rcv_code,assorted_code, rec_amount,premium_rcv_detail_code,remaining_amt, payrec, mode_code,coinsurance_code,class_cd,it_remarks) values</v>
      </c>
      <c r="G70" s="40" t="str">
        <f t="shared" si="6"/>
        <v>('20Aug240117','070000156634','537',(select max(to_number(i.premium_rcv_detail_code))+1
from ins_premium_det i),'537','537','02', '11000003','00','Request by Mr. Saqib Saleem 21-Aug-2024 sheet4');</v>
      </c>
      <c r="H70" s="41" t="str">
        <f t="shared" si="7"/>
        <v>insert into ins_premium_det (premium_rcv_code,assorted_code, rec_amount,premium_rcv_detail_code,remaining_amt, payrec, mode_code,coinsurance_code,class_cd,it_remarks) values('20Aug240117','070000156634','537',(select max(to_number(i.premium_rcv_detail_code))+1
from ins_premium_det i),'537','537','02', '11000003','00','Request by Mr. Saqib Saleem 21-Aug-2024 sheet4');</v>
      </c>
    </row>
    <row r="71" spans="1:8" ht="105" x14ac:dyDescent="0.25">
      <c r="A71" s="1" t="s">
        <v>422</v>
      </c>
      <c r="B71" s="37" t="str">
        <f>VLOOKUP(A71,[4]Sheet1!$B$2:$C$155,2,0)</f>
        <v>070000156635</v>
      </c>
      <c r="C71" s="14">
        <v>4974</v>
      </c>
      <c r="D71" s="38">
        <f t="shared" si="5"/>
        <v>4974</v>
      </c>
      <c r="E71" t="s">
        <v>726</v>
      </c>
      <c r="F71" s="39" t="str">
        <f t="shared" si="4"/>
        <v>insert into ins_premium_det (premium_rcv_code,assorted_code, rec_amount,premium_rcv_detail_code,remaining_amt, payrec, mode_code,coinsurance_code,class_cd,it_remarks) values</v>
      </c>
      <c r="G71" s="40" t="str">
        <f t="shared" si="6"/>
        <v>('20Aug240117','070000156635','4974',(select max(to_number(i.premium_rcv_detail_code))+1
from ins_premium_det i),'4974','4974','02', '11000003','00','Request by Mr. Saqib Saleem 21-Aug-2024 sheet4');</v>
      </c>
      <c r="H71" s="41" t="str">
        <f t="shared" si="7"/>
        <v>insert into ins_premium_det (premium_rcv_code,assorted_code, rec_amount,premium_rcv_detail_code,remaining_amt, payrec, mode_code,coinsurance_code,class_cd,it_remarks) values('20Aug240117','070000156635','4974',(select max(to_number(i.premium_rcv_detail_code))+1
from ins_premium_det i),'4974','4974','02', '11000003','00','Request by Mr. Saqib Saleem 21-Aug-2024 sheet4');</v>
      </c>
    </row>
    <row r="72" spans="1:8" ht="105" x14ac:dyDescent="0.25">
      <c r="A72" s="1" t="s">
        <v>423</v>
      </c>
      <c r="B72" s="37" t="str">
        <f>VLOOKUP(A72,[4]Sheet1!$B$2:$C$155,2,0)</f>
        <v>070000156636</v>
      </c>
      <c r="C72" s="14">
        <v>2309</v>
      </c>
      <c r="D72" s="38">
        <f t="shared" si="5"/>
        <v>2309</v>
      </c>
      <c r="E72" t="s">
        <v>726</v>
      </c>
      <c r="F72" s="39" t="str">
        <f t="shared" si="4"/>
        <v>insert into ins_premium_det (premium_rcv_code,assorted_code, rec_amount,premium_rcv_detail_code,remaining_amt, payrec, mode_code,coinsurance_code,class_cd,it_remarks) values</v>
      </c>
      <c r="G72" s="40" t="str">
        <f t="shared" si="6"/>
        <v>('20Aug240117','070000156636','2309',(select max(to_number(i.premium_rcv_detail_code))+1
from ins_premium_det i),'2309','2309','02', '11000003','00','Request by Mr. Saqib Saleem 21-Aug-2024 sheet4');</v>
      </c>
      <c r="H72" s="41" t="str">
        <f t="shared" si="7"/>
        <v>insert into ins_premium_det (premium_rcv_code,assorted_code, rec_amount,premium_rcv_detail_code,remaining_amt, payrec, mode_code,coinsurance_code,class_cd,it_remarks) values('20Aug240117','070000156636','2309',(select max(to_number(i.premium_rcv_detail_code))+1
from ins_premium_det i),'2309','2309','02', '11000003','00','Request by Mr. Saqib Saleem 21-Aug-2024 sheet4');</v>
      </c>
    </row>
    <row r="73" spans="1:8" ht="105" x14ac:dyDescent="0.25">
      <c r="A73" s="1" t="s">
        <v>424</v>
      </c>
      <c r="B73" s="37" t="str">
        <f>VLOOKUP(A73,[4]Sheet1!$B$2:$C$155,2,0)</f>
        <v>070000156637</v>
      </c>
      <c r="C73" s="14">
        <v>3766</v>
      </c>
      <c r="D73" s="38">
        <f t="shared" si="5"/>
        <v>3766</v>
      </c>
      <c r="E73" t="s">
        <v>726</v>
      </c>
      <c r="F73" s="39" t="str">
        <f t="shared" si="4"/>
        <v>insert into ins_premium_det (premium_rcv_code,assorted_code, rec_amount,premium_rcv_detail_code,remaining_amt, payrec, mode_code,coinsurance_code,class_cd,it_remarks) values</v>
      </c>
      <c r="G73" s="40" t="str">
        <f t="shared" si="6"/>
        <v>('20Aug240117','070000156637','3766',(select max(to_number(i.premium_rcv_detail_code))+1
from ins_premium_det i),'3766','3766','02', '11000003','00','Request by Mr. Saqib Saleem 21-Aug-2024 sheet4');</v>
      </c>
      <c r="H73" s="41" t="str">
        <f t="shared" si="7"/>
        <v>insert into ins_premium_det (premium_rcv_code,assorted_code, rec_amount,premium_rcv_detail_code,remaining_amt, payrec, mode_code,coinsurance_code,class_cd,it_remarks) values('20Aug240117','070000156637','3766',(select max(to_number(i.premium_rcv_detail_code))+1
from ins_premium_det i),'3766','3766','02', '11000003','00','Request by Mr. Saqib Saleem 21-Aug-2024 sheet4');</v>
      </c>
    </row>
    <row r="74" spans="1:8" ht="105" x14ac:dyDescent="0.25">
      <c r="A74" s="1" t="s">
        <v>425</v>
      </c>
      <c r="B74" s="37" t="str">
        <f>VLOOKUP(A74,[4]Sheet1!$B$2:$C$155,2,0)</f>
        <v>070000156639</v>
      </c>
      <c r="C74" s="14">
        <v>200</v>
      </c>
      <c r="D74" s="38">
        <f t="shared" si="5"/>
        <v>200</v>
      </c>
      <c r="E74" t="s">
        <v>726</v>
      </c>
      <c r="F74" s="39" t="str">
        <f t="shared" si="4"/>
        <v>insert into ins_premium_det (premium_rcv_code,assorted_code, rec_amount,premium_rcv_detail_code,remaining_amt, payrec, mode_code,coinsurance_code,class_cd,it_remarks) values</v>
      </c>
      <c r="G74" s="40" t="str">
        <f t="shared" si="6"/>
        <v>('20Aug240117','070000156639','200',(select max(to_number(i.premium_rcv_detail_code))+1
from ins_premium_det i),'200','200','02', '11000003','00','Request by Mr. Saqib Saleem 21-Aug-2024 sheet4');</v>
      </c>
      <c r="H74" s="41" t="str">
        <f t="shared" si="7"/>
        <v>insert into ins_premium_det (premium_rcv_code,assorted_code, rec_amount,premium_rcv_detail_code,remaining_amt, payrec, mode_code,coinsurance_code,class_cd,it_remarks) values('20Aug240117','070000156639','200',(select max(to_number(i.premium_rcv_detail_code))+1
from ins_premium_det i),'200','200','02', '11000003','00','Request by Mr. Saqib Saleem 21-Aug-2024 sheet4');</v>
      </c>
    </row>
    <row r="75" spans="1:8" ht="105" x14ac:dyDescent="0.25">
      <c r="A75" s="1" t="s">
        <v>426</v>
      </c>
      <c r="B75" s="37" t="str">
        <f>VLOOKUP(A75,[4]Sheet1!$B$2:$C$155,2,0)</f>
        <v>070000156641</v>
      </c>
      <c r="C75" s="14">
        <v>1335</v>
      </c>
      <c r="D75" s="38">
        <f t="shared" si="5"/>
        <v>1335</v>
      </c>
      <c r="E75" t="s">
        <v>726</v>
      </c>
      <c r="F75" s="39" t="str">
        <f t="shared" si="4"/>
        <v>insert into ins_premium_det (premium_rcv_code,assorted_code, rec_amount,premium_rcv_detail_code,remaining_amt, payrec, mode_code,coinsurance_code,class_cd,it_remarks) values</v>
      </c>
      <c r="G75" s="40" t="str">
        <f t="shared" si="6"/>
        <v>('20Aug240117','070000156641','1335',(select max(to_number(i.premium_rcv_detail_code))+1
from ins_premium_det i),'1335','1335','02', '11000003','00','Request by Mr. Saqib Saleem 21-Aug-2024 sheet4');</v>
      </c>
      <c r="H75" s="41" t="str">
        <f t="shared" si="7"/>
        <v>insert into ins_premium_det (premium_rcv_code,assorted_code, rec_amount,premium_rcv_detail_code,remaining_amt, payrec, mode_code,coinsurance_code,class_cd,it_remarks) values('20Aug240117','070000156641','1335',(select max(to_number(i.premium_rcv_detail_code))+1
from ins_premium_det i),'1335','1335','02', '11000003','00','Request by Mr. Saqib Saleem 21-Aug-2024 sheet4');</v>
      </c>
    </row>
    <row r="76" spans="1:8" ht="105" x14ac:dyDescent="0.25">
      <c r="A76" s="1" t="s">
        <v>427</v>
      </c>
      <c r="B76" s="37" t="str">
        <f>VLOOKUP(A76,[4]Sheet1!$B$2:$C$155,2,0)</f>
        <v>070000156642</v>
      </c>
      <c r="C76" s="14">
        <v>10396</v>
      </c>
      <c r="D76" s="38">
        <f t="shared" si="5"/>
        <v>10396</v>
      </c>
      <c r="E76" t="s">
        <v>726</v>
      </c>
      <c r="F76" s="39" t="str">
        <f t="shared" si="4"/>
        <v>insert into ins_premium_det (premium_rcv_code,assorted_code, rec_amount,premium_rcv_detail_code,remaining_amt, payrec, mode_code,coinsurance_code,class_cd,it_remarks) values</v>
      </c>
      <c r="G76" s="40" t="str">
        <f t="shared" si="6"/>
        <v>('20Aug240117','070000156642','10396',(select max(to_number(i.premium_rcv_detail_code))+1
from ins_premium_det i),'10396','10396','02', '11000003','00','Request by Mr. Saqib Saleem 21-Aug-2024 sheet4');</v>
      </c>
      <c r="H76" s="41" t="str">
        <f t="shared" si="7"/>
        <v>insert into ins_premium_det (premium_rcv_code,assorted_code, rec_amount,premium_rcv_detail_code,remaining_amt, payrec, mode_code,coinsurance_code,class_cd,it_remarks) values('20Aug240117','070000156642','10396',(select max(to_number(i.premium_rcv_detail_code))+1
from ins_premium_det i),'10396','10396','02', '11000003','00','Request by Mr. Saqib Saleem 21-Aug-2024 sheet4');</v>
      </c>
    </row>
    <row r="77" spans="1:8" ht="105" x14ac:dyDescent="0.25">
      <c r="A77" s="1" t="s">
        <v>428</v>
      </c>
      <c r="B77" s="37" t="str">
        <f>VLOOKUP(A77,[4]Sheet1!$B$2:$C$155,2,0)</f>
        <v>070000156643</v>
      </c>
      <c r="C77" s="14">
        <v>3240</v>
      </c>
      <c r="D77" s="38">
        <f t="shared" si="5"/>
        <v>3240</v>
      </c>
      <c r="E77" t="s">
        <v>726</v>
      </c>
      <c r="F77" s="39" t="str">
        <f t="shared" si="4"/>
        <v>insert into ins_premium_det (premium_rcv_code,assorted_code, rec_amount,premium_rcv_detail_code,remaining_amt, payrec, mode_code,coinsurance_code,class_cd,it_remarks) values</v>
      </c>
      <c r="G77" s="40" t="str">
        <f t="shared" si="6"/>
        <v>('20Aug240117','070000156643','3240',(select max(to_number(i.premium_rcv_detail_code))+1
from ins_premium_det i),'3240','3240','02', '11000003','00','Request by Mr. Saqib Saleem 21-Aug-2024 sheet4');</v>
      </c>
      <c r="H77" s="41" t="str">
        <f t="shared" si="7"/>
        <v>insert into ins_premium_det (premium_rcv_code,assorted_code, rec_amount,premium_rcv_detail_code,remaining_amt, payrec, mode_code,coinsurance_code,class_cd,it_remarks) values('20Aug240117','070000156643','3240',(select max(to_number(i.premium_rcv_detail_code))+1
from ins_premium_det i),'3240','3240','02', '11000003','00','Request by Mr. Saqib Saleem 21-Aug-2024 sheet4');</v>
      </c>
    </row>
    <row r="78" spans="1:8" ht="105" x14ac:dyDescent="0.25">
      <c r="A78" s="1" t="s">
        <v>429</v>
      </c>
      <c r="B78" s="37" t="str">
        <f>VLOOKUP(A78,[4]Sheet1!$B$2:$C$155,2,0)</f>
        <v>070000156644</v>
      </c>
      <c r="C78" s="14">
        <v>5899</v>
      </c>
      <c r="D78" s="38">
        <f t="shared" si="5"/>
        <v>5899</v>
      </c>
      <c r="E78" t="s">
        <v>726</v>
      </c>
      <c r="F78" s="39" t="str">
        <f t="shared" si="4"/>
        <v>insert into ins_premium_det (premium_rcv_code,assorted_code, rec_amount,premium_rcv_detail_code,remaining_amt, payrec, mode_code,coinsurance_code,class_cd,it_remarks) values</v>
      </c>
      <c r="G78" s="40" t="str">
        <f t="shared" si="6"/>
        <v>('20Aug240117','070000156644','5899',(select max(to_number(i.premium_rcv_detail_code))+1
from ins_premium_det i),'5899','5899','02', '11000003','00','Request by Mr. Saqib Saleem 21-Aug-2024 sheet4');</v>
      </c>
      <c r="H78" s="41" t="str">
        <f t="shared" si="7"/>
        <v>insert into ins_premium_det (premium_rcv_code,assorted_code, rec_amount,premium_rcv_detail_code,remaining_amt, payrec, mode_code,coinsurance_code,class_cd,it_remarks) values('20Aug240117','070000156644','5899',(select max(to_number(i.premium_rcv_detail_code))+1
from ins_premium_det i),'5899','5899','02', '11000003','00','Request by Mr. Saqib Saleem 21-Aug-2024 sheet4');</v>
      </c>
    </row>
  </sheetData>
  <conditionalFormatting sqref="A1">
    <cfRule type="duplicateValues" dxfId="15" priority="1"/>
  </conditionalFormatting>
  <conditionalFormatting sqref="B2:B78">
    <cfRule type="duplicateValues" dxfId="14" priority="2"/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D5B5-06BE-43FC-9AD1-9E9E996BD8FC}">
  <dimension ref="A1:U77"/>
  <sheetViews>
    <sheetView workbookViewId="0">
      <selection activeCell="E68" sqref="E68"/>
    </sheetView>
  </sheetViews>
  <sheetFormatPr defaultRowHeight="15" x14ac:dyDescent="0.25"/>
  <cols>
    <col min="1" max="1" width="42.140625" bestFit="1" customWidth="1"/>
    <col min="4" max="4" width="6" bestFit="1" customWidth="1"/>
    <col min="5" max="5" width="40.5703125" bestFit="1" customWidth="1"/>
    <col min="13" max="13" width="42.140625" bestFit="1" customWidth="1"/>
  </cols>
  <sheetData>
    <row r="1" spans="1:21" ht="15.75" x14ac:dyDescent="0.25">
      <c r="A1" s="1" t="s">
        <v>1023</v>
      </c>
      <c r="B1" t="str">
        <f>RIGHT(A1,8)</f>
        <v>-03-2024</v>
      </c>
      <c r="D1">
        <v>19407</v>
      </c>
      <c r="E1" t="str">
        <f>"ia.assorted_string like '%"&amp;D1&amp;B1&amp;"%' or"</f>
        <v>ia.assorted_string like '%19407-03-2024%' or</v>
      </c>
      <c r="M1" s="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>
        <v>19407</v>
      </c>
      <c r="T1">
        <v>3</v>
      </c>
      <c r="U1">
        <v>2024</v>
      </c>
    </row>
    <row r="2" spans="1:21" ht="15.75" x14ac:dyDescent="0.25">
      <c r="A2" s="1" t="s">
        <v>1024</v>
      </c>
      <c r="B2" t="str">
        <f t="shared" ref="B2:B65" si="0">RIGHT(A2,8)</f>
        <v>-03-2024</v>
      </c>
      <c r="D2">
        <v>19408</v>
      </c>
      <c r="E2" t="str">
        <f t="shared" ref="E2:E65" si="1">"ia.assorted_string like '%"&amp;D2&amp;B2&amp;"%' or"</f>
        <v>ia.assorted_string like '%19408-03-2024%' or</v>
      </c>
      <c r="M2" s="1" t="s">
        <v>727</v>
      </c>
      <c r="N2" t="s">
        <v>728</v>
      </c>
      <c r="O2" t="s">
        <v>729</v>
      </c>
      <c r="P2" t="s">
        <v>730</v>
      </c>
      <c r="Q2" t="s">
        <v>731</v>
      </c>
      <c r="R2" t="s">
        <v>732</v>
      </c>
      <c r="S2">
        <v>19408</v>
      </c>
      <c r="T2">
        <v>3</v>
      </c>
      <c r="U2">
        <v>2024</v>
      </c>
    </row>
    <row r="3" spans="1:21" ht="15.75" x14ac:dyDescent="0.25">
      <c r="A3" s="1" t="s">
        <v>1025</v>
      </c>
      <c r="B3" t="str">
        <f t="shared" si="0"/>
        <v>-03-2024</v>
      </c>
      <c r="D3">
        <v>19409</v>
      </c>
      <c r="E3" t="str">
        <f t="shared" si="1"/>
        <v>ia.assorted_string like '%19409-03-2024%' or</v>
      </c>
      <c r="M3" s="1" t="s">
        <v>727</v>
      </c>
      <c r="N3" t="s">
        <v>728</v>
      </c>
      <c r="O3" t="s">
        <v>729</v>
      </c>
      <c r="P3" t="s">
        <v>730</v>
      </c>
      <c r="Q3" t="s">
        <v>731</v>
      </c>
      <c r="R3" t="s">
        <v>732</v>
      </c>
      <c r="S3">
        <v>19409</v>
      </c>
      <c r="T3">
        <v>3</v>
      </c>
      <c r="U3">
        <v>2024</v>
      </c>
    </row>
    <row r="4" spans="1:21" ht="15.75" x14ac:dyDescent="0.25">
      <c r="A4" s="1" t="s">
        <v>1026</v>
      </c>
      <c r="B4" t="str">
        <f t="shared" si="0"/>
        <v>-03-2024</v>
      </c>
      <c r="D4">
        <v>19410</v>
      </c>
      <c r="E4" t="str">
        <f t="shared" si="1"/>
        <v>ia.assorted_string like '%19410-03-2024%' or</v>
      </c>
      <c r="M4" s="1" t="s">
        <v>727</v>
      </c>
      <c r="N4" t="s">
        <v>728</v>
      </c>
      <c r="O4" t="s">
        <v>729</v>
      </c>
      <c r="P4" t="s">
        <v>730</v>
      </c>
      <c r="Q4" t="s">
        <v>731</v>
      </c>
      <c r="R4" t="s">
        <v>732</v>
      </c>
      <c r="S4">
        <v>19410</v>
      </c>
      <c r="T4">
        <v>3</v>
      </c>
      <c r="U4">
        <v>2024</v>
      </c>
    </row>
    <row r="5" spans="1:21" ht="15.75" x14ac:dyDescent="0.25">
      <c r="A5" s="1" t="s">
        <v>1027</v>
      </c>
      <c r="B5" t="str">
        <f t="shared" si="0"/>
        <v>-03-2024</v>
      </c>
      <c r="D5">
        <v>19411</v>
      </c>
      <c r="E5" t="str">
        <f t="shared" si="1"/>
        <v>ia.assorted_string like '%19411-03-2024%' or</v>
      </c>
      <c r="M5" s="1" t="s">
        <v>727</v>
      </c>
      <c r="N5" t="s">
        <v>728</v>
      </c>
      <c r="O5" t="s">
        <v>729</v>
      </c>
      <c r="P5" t="s">
        <v>730</v>
      </c>
      <c r="Q5" t="s">
        <v>731</v>
      </c>
      <c r="R5" t="s">
        <v>732</v>
      </c>
      <c r="S5">
        <v>19411</v>
      </c>
      <c r="T5">
        <v>3</v>
      </c>
      <c r="U5">
        <v>2024</v>
      </c>
    </row>
    <row r="6" spans="1:21" ht="15.75" x14ac:dyDescent="0.25">
      <c r="A6" s="1" t="s">
        <v>1028</v>
      </c>
      <c r="B6" t="str">
        <f t="shared" si="0"/>
        <v>-03-2024</v>
      </c>
      <c r="D6">
        <v>19412</v>
      </c>
      <c r="E6" t="str">
        <f t="shared" si="1"/>
        <v>ia.assorted_string like '%19412-03-2024%' or</v>
      </c>
      <c r="M6" s="1" t="s">
        <v>727</v>
      </c>
      <c r="N6" t="s">
        <v>728</v>
      </c>
      <c r="O6" t="s">
        <v>729</v>
      </c>
      <c r="P6" t="s">
        <v>730</v>
      </c>
      <c r="Q6" t="s">
        <v>731</v>
      </c>
      <c r="R6" t="s">
        <v>732</v>
      </c>
      <c r="S6">
        <v>19412</v>
      </c>
      <c r="T6">
        <v>3</v>
      </c>
      <c r="U6">
        <v>2024</v>
      </c>
    </row>
    <row r="7" spans="1:21" ht="15.75" x14ac:dyDescent="0.25">
      <c r="A7" s="1" t="s">
        <v>1029</v>
      </c>
      <c r="B7" t="str">
        <f t="shared" si="0"/>
        <v>-03-2024</v>
      </c>
      <c r="D7">
        <v>19413</v>
      </c>
      <c r="E7" t="str">
        <f t="shared" si="1"/>
        <v>ia.assorted_string like '%19413-03-2024%' or</v>
      </c>
      <c r="M7" s="1" t="s">
        <v>727</v>
      </c>
      <c r="N7" t="s">
        <v>728</v>
      </c>
      <c r="O7" t="s">
        <v>729</v>
      </c>
      <c r="P7" t="s">
        <v>730</v>
      </c>
      <c r="Q7" t="s">
        <v>731</v>
      </c>
      <c r="R7" t="s">
        <v>732</v>
      </c>
      <c r="S7">
        <v>19413</v>
      </c>
      <c r="T7">
        <v>3</v>
      </c>
      <c r="U7">
        <v>2024</v>
      </c>
    </row>
    <row r="8" spans="1:21" ht="15.75" x14ac:dyDescent="0.25">
      <c r="A8" s="1" t="s">
        <v>1030</v>
      </c>
      <c r="B8" t="str">
        <f t="shared" si="0"/>
        <v>-03-2024</v>
      </c>
      <c r="D8">
        <v>19414</v>
      </c>
      <c r="E8" t="str">
        <f t="shared" si="1"/>
        <v>ia.assorted_string like '%19414-03-2024%' or</v>
      </c>
      <c r="M8" s="1" t="s">
        <v>727</v>
      </c>
      <c r="N8" t="s">
        <v>728</v>
      </c>
      <c r="O8" t="s">
        <v>729</v>
      </c>
      <c r="P8" t="s">
        <v>730</v>
      </c>
      <c r="Q8" t="s">
        <v>731</v>
      </c>
      <c r="R8" t="s">
        <v>732</v>
      </c>
      <c r="S8">
        <v>19414</v>
      </c>
      <c r="T8">
        <v>3</v>
      </c>
      <c r="U8">
        <v>2024</v>
      </c>
    </row>
    <row r="9" spans="1:21" ht="15.75" x14ac:dyDescent="0.25">
      <c r="A9" s="1" t="s">
        <v>1031</v>
      </c>
      <c r="B9" t="str">
        <f t="shared" si="0"/>
        <v>-03-2024</v>
      </c>
      <c r="D9">
        <v>19415</v>
      </c>
      <c r="E9" t="str">
        <f t="shared" si="1"/>
        <v>ia.assorted_string like '%19415-03-2024%' or</v>
      </c>
      <c r="M9" s="1" t="s">
        <v>727</v>
      </c>
      <c r="N9" t="s">
        <v>728</v>
      </c>
      <c r="O9" t="s">
        <v>729</v>
      </c>
      <c r="P9" t="s">
        <v>730</v>
      </c>
      <c r="Q9" t="s">
        <v>731</v>
      </c>
      <c r="R9" t="s">
        <v>732</v>
      </c>
      <c r="S9">
        <v>19415</v>
      </c>
      <c r="T9">
        <v>3</v>
      </c>
      <c r="U9">
        <v>2024</v>
      </c>
    </row>
    <row r="10" spans="1:21" ht="15.75" x14ac:dyDescent="0.25">
      <c r="A10" s="1" t="s">
        <v>1032</v>
      </c>
      <c r="B10" t="str">
        <f t="shared" si="0"/>
        <v>-03-2024</v>
      </c>
      <c r="D10">
        <v>19416</v>
      </c>
      <c r="E10" t="str">
        <f t="shared" si="1"/>
        <v>ia.assorted_string like '%19416-03-2024%' or</v>
      </c>
      <c r="M10" s="1" t="s">
        <v>727</v>
      </c>
      <c r="N10" t="s">
        <v>728</v>
      </c>
      <c r="O10" t="s">
        <v>729</v>
      </c>
      <c r="P10" t="s">
        <v>730</v>
      </c>
      <c r="Q10" t="s">
        <v>731</v>
      </c>
      <c r="R10" t="s">
        <v>732</v>
      </c>
      <c r="S10">
        <v>19416</v>
      </c>
      <c r="T10">
        <v>3</v>
      </c>
      <c r="U10">
        <v>2024</v>
      </c>
    </row>
    <row r="11" spans="1:21" ht="15.75" x14ac:dyDescent="0.25">
      <c r="A11" s="1" t="s">
        <v>1033</v>
      </c>
      <c r="B11" t="str">
        <f t="shared" si="0"/>
        <v>-03-2024</v>
      </c>
      <c r="D11">
        <v>19417</v>
      </c>
      <c r="E11" t="str">
        <f t="shared" si="1"/>
        <v>ia.assorted_string like '%19417-03-2024%' or</v>
      </c>
      <c r="M11" s="1" t="s">
        <v>727</v>
      </c>
      <c r="N11" t="s">
        <v>728</v>
      </c>
      <c r="O11" t="s">
        <v>729</v>
      </c>
      <c r="P11" t="s">
        <v>730</v>
      </c>
      <c r="Q11" t="s">
        <v>731</v>
      </c>
      <c r="R11" t="s">
        <v>732</v>
      </c>
      <c r="S11">
        <v>19417</v>
      </c>
      <c r="T11">
        <v>3</v>
      </c>
      <c r="U11">
        <v>2024</v>
      </c>
    </row>
    <row r="12" spans="1:21" ht="15.75" x14ac:dyDescent="0.25">
      <c r="A12" s="1" t="s">
        <v>1034</v>
      </c>
      <c r="B12" t="str">
        <f t="shared" si="0"/>
        <v>-03-2024</v>
      </c>
      <c r="D12">
        <v>19418</v>
      </c>
      <c r="E12" t="str">
        <f t="shared" si="1"/>
        <v>ia.assorted_string like '%19418-03-2024%' or</v>
      </c>
      <c r="M12" s="1" t="s">
        <v>727</v>
      </c>
      <c r="N12" t="s">
        <v>728</v>
      </c>
      <c r="O12" t="s">
        <v>729</v>
      </c>
      <c r="P12" t="s">
        <v>730</v>
      </c>
      <c r="Q12" t="s">
        <v>731</v>
      </c>
      <c r="R12" t="s">
        <v>732</v>
      </c>
      <c r="S12">
        <v>19418</v>
      </c>
      <c r="T12">
        <v>3</v>
      </c>
      <c r="U12">
        <v>2024</v>
      </c>
    </row>
    <row r="13" spans="1:21" ht="15.75" x14ac:dyDescent="0.25">
      <c r="A13" s="1" t="s">
        <v>1035</v>
      </c>
      <c r="B13" t="str">
        <f t="shared" si="0"/>
        <v>-03-2024</v>
      </c>
      <c r="D13">
        <v>19419</v>
      </c>
      <c r="E13" t="str">
        <f t="shared" si="1"/>
        <v>ia.assorted_string like '%19419-03-2024%' or</v>
      </c>
      <c r="M13" s="1" t="s">
        <v>727</v>
      </c>
      <c r="N13" t="s">
        <v>728</v>
      </c>
      <c r="O13" t="s">
        <v>729</v>
      </c>
      <c r="P13" t="s">
        <v>730</v>
      </c>
      <c r="Q13" t="s">
        <v>731</v>
      </c>
      <c r="R13" t="s">
        <v>732</v>
      </c>
      <c r="S13">
        <v>19419</v>
      </c>
      <c r="T13">
        <v>3</v>
      </c>
      <c r="U13">
        <v>2024</v>
      </c>
    </row>
    <row r="14" spans="1:21" ht="15.75" x14ac:dyDescent="0.25">
      <c r="A14" s="1" t="s">
        <v>1036</v>
      </c>
      <c r="B14" t="str">
        <f t="shared" si="0"/>
        <v>-03-2024</v>
      </c>
      <c r="D14">
        <v>19420</v>
      </c>
      <c r="E14" t="str">
        <f t="shared" si="1"/>
        <v>ia.assorted_string like '%19420-03-2024%' or</v>
      </c>
      <c r="M14" s="1" t="s">
        <v>727</v>
      </c>
      <c r="N14" t="s">
        <v>728</v>
      </c>
      <c r="O14" t="s">
        <v>729</v>
      </c>
      <c r="P14" t="s">
        <v>730</v>
      </c>
      <c r="Q14" t="s">
        <v>731</v>
      </c>
      <c r="R14" t="s">
        <v>732</v>
      </c>
      <c r="S14">
        <v>19420</v>
      </c>
      <c r="T14">
        <v>3</v>
      </c>
      <c r="U14">
        <v>2024</v>
      </c>
    </row>
    <row r="15" spans="1:21" ht="15.75" x14ac:dyDescent="0.25">
      <c r="A15" s="1" t="s">
        <v>1037</v>
      </c>
      <c r="B15" t="str">
        <f t="shared" si="0"/>
        <v>-03-2024</v>
      </c>
      <c r="D15">
        <v>19422</v>
      </c>
      <c r="E15" t="str">
        <f t="shared" si="1"/>
        <v>ia.assorted_string like '%19422-03-2024%' or</v>
      </c>
      <c r="M15" s="1" t="s">
        <v>727</v>
      </c>
      <c r="N15" t="s">
        <v>728</v>
      </c>
      <c r="O15" t="s">
        <v>729</v>
      </c>
      <c r="P15" t="s">
        <v>730</v>
      </c>
      <c r="Q15" t="s">
        <v>731</v>
      </c>
      <c r="R15" t="s">
        <v>732</v>
      </c>
      <c r="S15">
        <v>19422</v>
      </c>
      <c r="T15">
        <v>3</v>
      </c>
      <c r="U15">
        <v>2024</v>
      </c>
    </row>
    <row r="16" spans="1:21" ht="15.75" x14ac:dyDescent="0.25">
      <c r="A16" s="1" t="s">
        <v>1038</v>
      </c>
      <c r="B16" t="str">
        <f t="shared" si="0"/>
        <v>-03-2024</v>
      </c>
      <c r="D16">
        <v>19423</v>
      </c>
      <c r="E16" t="str">
        <f t="shared" si="1"/>
        <v>ia.assorted_string like '%19423-03-2024%' or</v>
      </c>
      <c r="M16" s="1" t="s">
        <v>727</v>
      </c>
      <c r="N16" t="s">
        <v>728</v>
      </c>
      <c r="O16" t="s">
        <v>729</v>
      </c>
      <c r="P16" t="s">
        <v>730</v>
      </c>
      <c r="Q16" t="s">
        <v>731</v>
      </c>
      <c r="R16" t="s">
        <v>732</v>
      </c>
      <c r="S16">
        <v>19423</v>
      </c>
      <c r="T16">
        <v>3</v>
      </c>
      <c r="U16">
        <v>2024</v>
      </c>
    </row>
    <row r="17" spans="1:21" ht="15.75" x14ac:dyDescent="0.25">
      <c r="A17" s="1" t="s">
        <v>1039</v>
      </c>
      <c r="B17" t="str">
        <f t="shared" si="0"/>
        <v>-03-2024</v>
      </c>
      <c r="D17">
        <v>19424</v>
      </c>
      <c r="E17" t="str">
        <f t="shared" si="1"/>
        <v>ia.assorted_string like '%19424-03-2024%' or</v>
      </c>
      <c r="M17" s="1" t="s">
        <v>727</v>
      </c>
      <c r="N17" t="s">
        <v>728</v>
      </c>
      <c r="O17" t="s">
        <v>729</v>
      </c>
      <c r="P17" t="s">
        <v>730</v>
      </c>
      <c r="Q17" t="s">
        <v>731</v>
      </c>
      <c r="R17" t="s">
        <v>732</v>
      </c>
      <c r="S17">
        <v>19424</v>
      </c>
      <c r="T17">
        <v>3</v>
      </c>
      <c r="U17">
        <v>2024</v>
      </c>
    </row>
    <row r="18" spans="1:21" ht="15.75" x14ac:dyDescent="0.25">
      <c r="A18" s="1" t="s">
        <v>1040</v>
      </c>
      <c r="B18" t="str">
        <f t="shared" si="0"/>
        <v>-03-2024</v>
      </c>
      <c r="D18">
        <v>19425</v>
      </c>
      <c r="E18" t="str">
        <f t="shared" si="1"/>
        <v>ia.assorted_string like '%19425-03-2024%' or</v>
      </c>
      <c r="M18" s="1" t="s">
        <v>727</v>
      </c>
      <c r="N18" t="s">
        <v>728</v>
      </c>
      <c r="O18" t="s">
        <v>729</v>
      </c>
      <c r="P18" t="s">
        <v>730</v>
      </c>
      <c r="Q18" t="s">
        <v>731</v>
      </c>
      <c r="R18" t="s">
        <v>732</v>
      </c>
      <c r="S18">
        <v>19425</v>
      </c>
      <c r="T18">
        <v>3</v>
      </c>
      <c r="U18">
        <v>2024</v>
      </c>
    </row>
    <row r="19" spans="1:21" ht="15.75" x14ac:dyDescent="0.25">
      <c r="A19" s="1" t="s">
        <v>1041</v>
      </c>
      <c r="B19" t="str">
        <f t="shared" si="0"/>
        <v>-03-2024</v>
      </c>
      <c r="D19">
        <v>19426</v>
      </c>
      <c r="E19" t="str">
        <f t="shared" si="1"/>
        <v>ia.assorted_string like '%19426-03-2024%' or</v>
      </c>
      <c r="M19" s="1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>
        <v>19426</v>
      </c>
      <c r="T19">
        <v>3</v>
      </c>
      <c r="U19">
        <v>2024</v>
      </c>
    </row>
    <row r="20" spans="1:21" ht="15.75" x14ac:dyDescent="0.25">
      <c r="A20" s="1" t="s">
        <v>1042</v>
      </c>
      <c r="B20" t="str">
        <f t="shared" si="0"/>
        <v>-03-2024</v>
      </c>
      <c r="D20">
        <v>19427</v>
      </c>
      <c r="E20" t="str">
        <f t="shared" si="1"/>
        <v>ia.assorted_string like '%19427-03-2024%' or</v>
      </c>
      <c r="M20" s="1" t="s">
        <v>727</v>
      </c>
      <c r="N20" t="s">
        <v>728</v>
      </c>
      <c r="O20" t="s">
        <v>729</v>
      </c>
      <c r="P20" t="s">
        <v>730</v>
      </c>
      <c r="Q20" t="s">
        <v>731</v>
      </c>
      <c r="R20" t="s">
        <v>732</v>
      </c>
      <c r="S20">
        <v>19427</v>
      </c>
      <c r="T20">
        <v>3</v>
      </c>
      <c r="U20">
        <v>2024</v>
      </c>
    </row>
    <row r="21" spans="1:21" ht="15.75" x14ac:dyDescent="0.25">
      <c r="A21" s="1" t="s">
        <v>1043</v>
      </c>
      <c r="B21" t="str">
        <f t="shared" si="0"/>
        <v>-03-2024</v>
      </c>
      <c r="D21">
        <v>19428</v>
      </c>
      <c r="E21" t="str">
        <f t="shared" si="1"/>
        <v>ia.assorted_string like '%19428-03-2024%' or</v>
      </c>
      <c r="M21" s="1" t="s">
        <v>727</v>
      </c>
      <c r="N21" t="s">
        <v>728</v>
      </c>
      <c r="O21" t="s">
        <v>729</v>
      </c>
      <c r="P21" t="s">
        <v>730</v>
      </c>
      <c r="Q21" t="s">
        <v>731</v>
      </c>
      <c r="R21" t="s">
        <v>732</v>
      </c>
      <c r="S21">
        <v>19428</v>
      </c>
      <c r="T21">
        <v>3</v>
      </c>
      <c r="U21">
        <v>2024</v>
      </c>
    </row>
    <row r="22" spans="1:21" ht="15.75" x14ac:dyDescent="0.25">
      <c r="A22" s="1" t="s">
        <v>1044</v>
      </c>
      <c r="B22" t="str">
        <f t="shared" si="0"/>
        <v>-03-2024</v>
      </c>
      <c r="D22">
        <v>19429</v>
      </c>
      <c r="E22" t="str">
        <f t="shared" si="1"/>
        <v>ia.assorted_string like '%19429-03-2024%' or</v>
      </c>
      <c r="M22" s="1" t="s">
        <v>727</v>
      </c>
      <c r="N22" t="s">
        <v>728</v>
      </c>
      <c r="O22" t="s">
        <v>729</v>
      </c>
      <c r="P22" t="s">
        <v>730</v>
      </c>
      <c r="Q22" t="s">
        <v>731</v>
      </c>
      <c r="R22" t="s">
        <v>732</v>
      </c>
      <c r="S22">
        <v>19429</v>
      </c>
      <c r="T22">
        <v>3</v>
      </c>
      <c r="U22">
        <v>2024</v>
      </c>
    </row>
    <row r="23" spans="1:21" ht="15.75" x14ac:dyDescent="0.25">
      <c r="A23" s="1" t="s">
        <v>1045</v>
      </c>
      <c r="B23" t="str">
        <f t="shared" si="0"/>
        <v>-03-2024</v>
      </c>
      <c r="D23">
        <v>19430</v>
      </c>
      <c r="E23" t="str">
        <f t="shared" si="1"/>
        <v>ia.assorted_string like '%19430-03-2024%' or</v>
      </c>
      <c r="M23" s="1" t="s">
        <v>727</v>
      </c>
      <c r="N23" t="s">
        <v>728</v>
      </c>
      <c r="O23" t="s">
        <v>729</v>
      </c>
      <c r="P23" t="s">
        <v>730</v>
      </c>
      <c r="Q23" t="s">
        <v>731</v>
      </c>
      <c r="R23" t="s">
        <v>732</v>
      </c>
      <c r="S23">
        <v>19430</v>
      </c>
      <c r="T23">
        <v>3</v>
      </c>
      <c r="U23">
        <v>2024</v>
      </c>
    </row>
    <row r="24" spans="1:21" ht="15.75" x14ac:dyDescent="0.25">
      <c r="A24" s="1" t="s">
        <v>1046</v>
      </c>
      <c r="B24" t="str">
        <f t="shared" si="0"/>
        <v>-03-2024</v>
      </c>
      <c r="D24">
        <v>19431</v>
      </c>
      <c r="E24" t="str">
        <f t="shared" si="1"/>
        <v>ia.assorted_string like '%19431-03-2024%' or</v>
      </c>
      <c r="M24" s="1" t="s">
        <v>727</v>
      </c>
      <c r="N24" t="s">
        <v>728</v>
      </c>
      <c r="O24" t="s">
        <v>729</v>
      </c>
      <c r="P24" t="s">
        <v>730</v>
      </c>
      <c r="Q24" t="s">
        <v>731</v>
      </c>
      <c r="R24" t="s">
        <v>732</v>
      </c>
      <c r="S24">
        <v>19431</v>
      </c>
      <c r="T24">
        <v>3</v>
      </c>
      <c r="U24">
        <v>2024</v>
      </c>
    </row>
    <row r="25" spans="1:21" ht="15.75" x14ac:dyDescent="0.25">
      <c r="A25" s="1" t="s">
        <v>1047</v>
      </c>
      <c r="B25" t="str">
        <f t="shared" si="0"/>
        <v>-03-2024</v>
      </c>
      <c r="D25">
        <v>19432</v>
      </c>
      <c r="E25" t="str">
        <f t="shared" si="1"/>
        <v>ia.assorted_string like '%19432-03-2024%' or</v>
      </c>
      <c r="M25" s="1" t="s">
        <v>727</v>
      </c>
      <c r="N25" t="s">
        <v>728</v>
      </c>
      <c r="O25" t="s">
        <v>729</v>
      </c>
      <c r="P25" t="s">
        <v>730</v>
      </c>
      <c r="Q25" t="s">
        <v>731</v>
      </c>
      <c r="R25" t="s">
        <v>732</v>
      </c>
      <c r="S25">
        <v>19432</v>
      </c>
      <c r="T25">
        <v>3</v>
      </c>
      <c r="U25">
        <v>2024</v>
      </c>
    </row>
    <row r="26" spans="1:21" ht="15.75" x14ac:dyDescent="0.25">
      <c r="A26" s="1" t="s">
        <v>1048</v>
      </c>
      <c r="B26" t="str">
        <f t="shared" si="0"/>
        <v>-03-2024</v>
      </c>
      <c r="D26">
        <v>19434</v>
      </c>
      <c r="E26" t="str">
        <f t="shared" si="1"/>
        <v>ia.assorted_string like '%19434-03-2024%' or</v>
      </c>
      <c r="M26" s="1" t="s">
        <v>727</v>
      </c>
      <c r="N26" t="s">
        <v>728</v>
      </c>
      <c r="O26" t="s">
        <v>729</v>
      </c>
      <c r="P26" t="s">
        <v>730</v>
      </c>
      <c r="Q26" t="s">
        <v>731</v>
      </c>
      <c r="R26" t="s">
        <v>732</v>
      </c>
      <c r="S26">
        <v>19434</v>
      </c>
      <c r="T26">
        <v>3</v>
      </c>
      <c r="U26">
        <v>2024</v>
      </c>
    </row>
    <row r="27" spans="1:21" ht="15.75" x14ac:dyDescent="0.25">
      <c r="A27" s="1" t="s">
        <v>1049</v>
      </c>
      <c r="B27" t="str">
        <f t="shared" si="0"/>
        <v>-03-2024</v>
      </c>
      <c r="D27">
        <v>19436</v>
      </c>
      <c r="E27" t="str">
        <f t="shared" si="1"/>
        <v>ia.assorted_string like '%19436-03-2024%' or</v>
      </c>
      <c r="M27" s="1" t="s">
        <v>727</v>
      </c>
      <c r="N27" t="s">
        <v>728</v>
      </c>
      <c r="O27" t="s">
        <v>729</v>
      </c>
      <c r="P27" t="s">
        <v>730</v>
      </c>
      <c r="Q27" t="s">
        <v>731</v>
      </c>
      <c r="R27" t="s">
        <v>732</v>
      </c>
      <c r="S27">
        <v>19436</v>
      </c>
      <c r="T27">
        <v>3</v>
      </c>
      <c r="U27">
        <v>2024</v>
      </c>
    </row>
    <row r="28" spans="1:21" ht="15.75" x14ac:dyDescent="0.25">
      <c r="A28" s="1" t="s">
        <v>1050</v>
      </c>
      <c r="B28" t="str">
        <f t="shared" si="0"/>
        <v>-03-2024</v>
      </c>
      <c r="D28">
        <v>19438</v>
      </c>
      <c r="E28" t="str">
        <f t="shared" si="1"/>
        <v>ia.assorted_string like '%19438-03-2024%' or</v>
      </c>
      <c r="M28" s="1" t="s">
        <v>727</v>
      </c>
      <c r="N28" t="s">
        <v>728</v>
      </c>
      <c r="O28" t="s">
        <v>729</v>
      </c>
      <c r="P28" t="s">
        <v>730</v>
      </c>
      <c r="Q28" t="s">
        <v>731</v>
      </c>
      <c r="R28" t="s">
        <v>732</v>
      </c>
      <c r="S28">
        <v>19438</v>
      </c>
      <c r="T28">
        <v>3</v>
      </c>
      <c r="U28">
        <v>2024</v>
      </c>
    </row>
    <row r="29" spans="1:21" ht="15.75" x14ac:dyDescent="0.25">
      <c r="A29" s="1" t="s">
        <v>1051</v>
      </c>
      <c r="B29" t="str">
        <f t="shared" si="0"/>
        <v>-03-2024</v>
      </c>
      <c r="D29">
        <v>19439</v>
      </c>
      <c r="E29" t="str">
        <f t="shared" si="1"/>
        <v>ia.assorted_string like '%19439-03-2024%' or</v>
      </c>
      <c r="M29" s="1" t="s">
        <v>727</v>
      </c>
      <c r="N29" t="s">
        <v>728</v>
      </c>
      <c r="O29" t="s">
        <v>729</v>
      </c>
      <c r="P29" t="s">
        <v>730</v>
      </c>
      <c r="Q29" t="s">
        <v>731</v>
      </c>
      <c r="R29" t="s">
        <v>732</v>
      </c>
      <c r="S29">
        <v>19439</v>
      </c>
      <c r="T29">
        <v>3</v>
      </c>
      <c r="U29">
        <v>2024</v>
      </c>
    </row>
    <row r="30" spans="1:21" ht="15.75" x14ac:dyDescent="0.25">
      <c r="A30" s="1" t="s">
        <v>1052</v>
      </c>
      <c r="B30" t="str">
        <f t="shared" si="0"/>
        <v>-03-2024</v>
      </c>
      <c r="D30">
        <v>19440</v>
      </c>
      <c r="E30" t="str">
        <f t="shared" si="1"/>
        <v>ia.assorted_string like '%19440-03-2024%' or</v>
      </c>
      <c r="M30" s="1" t="s">
        <v>727</v>
      </c>
      <c r="N30" t="s">
        <v>728</v>
      </c>
      <c r="O30" t="s">
        <v>729</v>
      </c>
      <c r="P30" t="s">
        <v>730</v>
      </c>
      <c r="Q30" t="s">
        <v>731</v>
      </c>
      <c r="R30" t="s">
        <v>732</v>
      </c>
      <c r="S30">
        <v>19440</v>
      </c>
      <c r="T30">
        <v>3</v>
      </c>
      <c r="U30">
        <v>2024</v>
      </c>
    </row>
    <row r="31" spans="1:21" ht="15.75" x14ac:dyDescent="0.25">
      <c r="A31" s="1" t="s">
        <v>1053</v>
      </c>
      <c r="B31" t="str">
        <f t="shared" si="0"/>
        <v>-03-2024</v>
      </c>
      <c r="D31">
        <v>19441</v>
      </c>
      <c r="E31" t="str">
        <f t="shared" si="1"/>
        <v>ia.assorted_string like '%19441-03-2024%' or</v>
      </c>
      <c r="M31" s="1" t="s">
        <v>727</v>
      </c>
      <c r="N31" t="s">
        <v>728</v>
      </c>
      <c r="O31" t="s">
        <v>729</v>
      </c>
      <c r="P31" t="s">
        <v>730</v>
      </c>
      <c r="Q31" t="s">
        <v>731</v>
      </c>
      <c r="R31" t="s">
        <v>732</v>
      </c>
      <c r="S31">
        <v>19441</v>
      </c>
      <c r="T31">
        <v>3</v>
      </c>
      <c r="U31">
        <v>2024</v>
      </c>
    </row>
    <row r="32" spans="1:21" ht="15.75" x14ac:dyDescent="0.25">
      <c r="A32" s="1" t="s">
        <v>1054</v>
      </c>
      <c r="B32" t="str">
        <f t="shared" si="0"/>
        <v>-03-2024</v>
      </c>
      <c r="D32">
        <v>19442</v>
      </c>
      <c r="E32" t="str">
        <f t="shared" si="1"/>
        <v>ia.assorted_string like '%19442-03-2024%' or</v>
      </c>
      <c r="M32" s="1" t="s">
        <v>727</v>
      </c>
      <c r="N32" t="s">
        <v>728</v>
      </c>
      <c r="O32" t="s">
        <v>729</v>
      </c>
      <c r="P32" t="s">
        <v>730</v>
      </c>
      <c r="Q32" t="s">
        <v>731</v>
      </c>
      <c r="R32" t="s">
        <v>732</v>
      </c>
      <c r="S32">
        <v>19442</v>
      </c>
      <c r="T32">
        <v>3</v>
      </c>
      <c r="U32">
        <v>2024</v>
      </c>
    </row>
    <row r="33" spans="1:21" ht="15.75" x14ac:dyDescent="0.25">
      <c r="A33" s="1" t="s">
        <v>1055</v>
      </c>
      <c r="B33" t="str">
        <f t="shared" si="0"/>
        <v>-03-2024</v>
      </c>
      <c r="D33">
        <v>19443</v>
      </c>
      <c r="E33" t="str">
        <f t="shared" si="1"/>
        <v>ia.assorted_string like '%19443-03-2024%' or</v>
      </c>
      <c r="M33" s="1" t="s">
        <v>727</v>
      </c>
      <c r="N33" t="s">
        <v>728</v>
      </c>
      <c r="O33" t="s">
        <v>729</v>
      </c>
      <c r="P33" t="s">
        <v>730</v>
      </c>
      <c r="Q33" t="s">
        <v>731</v>
      </c>
      <c r="R33" t="s">
        <v>732</v>
      </c>
      <c r="S33">
        <v>19443</v>
      </c>
      <c r="T33">
        <v>3</v>
      </c>
      <c r="U33">
        <v>2024</v>
      </c>
    </row>
    <row r="34" spans="1:21" ht="15.75" x14ac:dyDescent="0.25">
      <c r="A34" s="1" t="s">
        <v>1056</v>
      </c>
      <c r="B34" t="str">
        <f t="shared" si="0"/>
        <v>-03-2024</v>
      </c>
      <c r="D34">
        <v>19444</v>
      </c>
      <c r="E34" t="str">
        <f t="shared" si="1"/>
        <v>ia.assorted_string like '%19444-03-2024%' or</v>
      </c>
      <c r="M34" s="1" t="s">
        <v>727</v>
      </c>
      <c r="N34" t="s">
        <v>728</v>
      </c>
      <c r="O34" t="s">
        <v>729</v>
      </c>
      <c r="P34" t="s">
        <v>730</v>
      </c>
      <c r="Q34" t="s">
        <v>731</v>
      </c>
      <c r="R34" t="s">
        <v>732</v>
      </c>
      <c r="S34">
        <v>19444</v>
      </c>
      <c r="T34">
        <v>3</v>
      </c>
      <c r="U34">
        <v>2024</v>
      </c>
    </row>
    <row r="35" spans="1:21" ht="15.75" x14ac:dyDescent="0.25">
      <c r="A35" s="1" t="s">
        <v>1057</v>
      </c>
      <c r="B35" t="str">
        <f t="shared" si="0"/>
        <v>-03-2024</v>
      </c>
      <c r="D35">
        <v>19445</v>
      </c>
      <c r="E35" t="str">
        <f t="shared" si="1"/>
        <v>ia.assorted_string like '%19445-03-2024%' or</v>
      </c>
      <c r="M35" s="1" t="s">
        <v>727</v>
      </c>
      <c r="N35" t="s">
        <v>728</v>
      </c>
      <c r="O35" t="s">
        <v>729</v>
      </c>
      <c r="P35" t="s">
        <v>730</v>
      </c>
      <c r="Q35" t="s">
        <v>731</v>
      </c>
      <c r="R35" t="s">
        <v>732</v>
      </c>
      <c r="S35">
        <v>19445</v>
      </c>
      <c r="T35">
        <v>3</v>
      </c>
      <c r="U35">
        <v>2024</v>
      </c>
    </row>
    <row r="36" spans="1:21" ht="15.75" x14ac:dyDescent="0.25">
      <c r="A36" s="1" t="s">
        <v>1058</v>
      </c>
      <c r="B36" t="str">
        <f t="shared" si="0"/>
        <v>-03-2024</v>
      </c>
      <c r="D36">
        <v>19447</v>
      </c>
      <c r="E36" t="str">
        <f t="shared" si="1"/>
        <v>ia.assorted_string like '%19447-03-2024%' or</v>
      </c>
      <c r="M36" s="1" t="s">
        <v>727</v>
      </c>
      <c r="N36" t="s">
        <v>728</v>
      </c>
      <c r="O36" t="s">
        <v>729</v>
      </c>
      <c r="P36" t="s">
        <v>730</v>
      </c>
      <c r="Q36" t="s">
        <v>731</v>
      </c>
      <c r="R36" t="s">
        <v>732</v>
      </c>
      <c r="S36">
        <v>19447</v>
      </c>
      <c r="T36">
        <v>3</v>
      </c>
      <c r="U36">
        <v>2024</v>
      </c>
    </row>
    <row r="37" spans="1:21" ht="15.75" x14ac:dyDescent="0.25">
      <c r="A37" s="1" t="s">
        <v>1059</v>
      </c>
      <c r="B37" t="str">
        <f t="shared" si="0"/>
        <v>-03-2024</v>
      </c>
      <c r="D37">
        <v>19449</v>
      </c>
      <c r="E37" t="str">
        <f t="shared" si="1"/>
        <v>ia.assorted_string like '%19449-03-2024%' or</v>
      </c>
      <c r="M37" s="1" t="s">
        <v>727</v>
      </c>
      <c r="N37" t="s">
        <v>728</v>
      </c>
      <c r="O37" t="s">
        <v>729</v>
      </c>
      <c r="P37" t="s">
        <v>730</v>
      </c>
      <c r="Q37" t="s">
        <v>731</v>
      </c>
      <c r="R37" t="s">
        <v>732</v>
      </c>
      <c r="S37">
        <v>19449</v>
      </c>
      <c r="T37">
        <v>3</v>
      </c>
      <c r="U37">
        <v>2024</v>
      </c>
    </row>
    <row r="38" spans="1:21" ht="15.75" x14ac:dyDescent="0.25">
      <c r="A38" s="1" t="s">
        <v>1060</v>
      </c>
      <c r="B38" t="str">
        <f t="shared" si="0"/>
        <v>-03-2024</v>
      </c>
      <c r="D38">
        <v>19450</v>
      </c>
      <c r="E38" t="str">
        <f t="shared" si="1"/>
        <v>ia.assorted_string like '%19450-03-2024%' or</v>
      </c>
      <c r="M38" s="1" t="s">
        <v>727</v>
      </c>
      <c r="N38" t="s">
        <v>728</v>
      </c>
      <c r="O38" t="s">
        <v>729</v>
      </c>
      <c r="P38" t="s">
        <v>730</v>
      </c>
      <c r="Q38" t="s">
        <v>731</v>
      </c>
      <c r="R38" t="s">
        <v>732</v>
      </c>
      <c r="S38">
        <v>19450</v>
      </c>
      <c r="T38">
        <v>3</v>
      </c>
      <c r="U38">
        <v>2024</v>
      </c>
    </row>
    <row r="39" spans="1:21" ht="15.75" x14ac:dyDescent="0.25">
      <c r="A39" s="1" t="s">
        <v>1061</v>
      </c>
      <c r="B39" t="str">
        <f t="shared" si="0"/>
        <v>-03-2024</v>
      </c>
      <c r="D39">
        <v>19451</v>
      </c>
      <c r="E39" t="str">
        <f t="shared" si="1"/>
        <v>ia.assorted_string like '%19451-03-2024%' or</v>
      </c>
      <c r="M39" s="1" t="s">
        <v>727</v>
      </c>
      <c r="N39" t="s">
        <v>728</v>
      </c>
      <c r="O39" t="s">
        <v>729</v>
      </c>
      <c r="P39" t="s">
        <v>730</v>
      </c>
      <c r="Q39" t="s">
        <v>731</v>
      </c>
      <c r="R39" t="s">
        <v>732</v>
      </c>
      <c r="S39">
        <v>19451</v>
      </c>
      <c r="T39">
        <v>3</v>
      </c>
      <c r="U39">
        <v>2024</v>
      </c>
    </row>
    <row r="40" spans="1:21" ht="15.75" x14ac:dyDescent="0.25">
      <c r="A40" s="1" t="s">
        <v>1062</v>
      </c>
      <c r="B40" t="str">
        <f t="shared" si="0"/>
        <v>-03-2024</v>
      </c>
      <c r="D40">
        <v>19452</v>
      </c>
      <c r="E40" t="str">
        <f t="shared" si="1"/>
        <v>ia.assorted_string like '%19452-03-2024%' or</v>
      </c>
      <c r="M40" s="1" t="s">
        <v>727</v>
      </c>
      <c r="N40" t="s">
        <v>728</v>
      </c>
      <c r="O40" t="s">
        <v>729</v>
      </c>
      <c r="P40" t="s">
        <v>730</v>
      </c>
      <c r="Q40" t="s">
        <v>731</v>
      </c>
      <c r="R40" t="s">
        <v>732</v>
      </c>
      <c r="S40">
        <v>19452</v>
      </c>
      <c r="T40">
        <v>3</v>
      </c>
      <c r="U40">
        <v>2024</v>
      </c>
    </row>
    <row r="41" spans="1:21" ht="15.75" x14ac:dyDescent="0.25">
      <c r="A41" s="1" t="s">
        <v>1063</v>
      </c>
      <c r="B41" t="str">
        <f t="shared" si="0"/>
        <v>-03-2024</v>
      </c>
      <c r="D41">
        <v>19453</v>
      </c>
      <c r="E41" t="str">
        <f t="shared" si="1"/>
        <v>ia.assorted_string like '%19453-03-2024%' or</v>
      </c>
      <c r="M41" s="1" t="s">
        <v>727</v>
      </c>
      <c r="N41" t="s">
        <v>728</v>
      </c>
      <c r="O41" t="s">
        <v>729</v>
      </c>
      <c r="P41" t="s">
        <v>730</v>
      </c>
      <c r="Q41" t="s">
        <v>731</v>
      </c>
      <c r="R41" t="s">
        <v>732</v>
      </c>
      <c r="S41">
        <v>19453</v>
      </c>
      <c r="T41">
        <v>3</v>
      </c>
      <c r="U41">
        <v>2024</v>
      </c>
    </row>
    <row r="42" spans="1:21" ht="15.75" x14ac:dyDescent="0.25">
      <c r="A42" s="1" t="s">
        <v>1064</v>
      </c>
      <c r="B42" t="str">
        <f t="shared" si="0"/>
        <v>-03-2024</v>
      </c>
      <c r="D42">
        <v>19454</v>
      </c>
      <c r="E42" t="str">
        <f t="shared" si="1"/>
        <v>ia.assorted_string like '%19454-03-2024%' or</v>
      </c>
      <c r="M42" s="1" t="s">
        <v>727</v>
      </c>
      <c r="N42" t="s">
        <v>728</v>
      </c>
      <c r="O42" t="s">
        <v>729</v>
      </c>
      <c r="P42" t="s">
        <v>730</v>
      </c>
      <c r="Q42" t="s">
        <v>731</v>
      </c>
      <c r="R42" t="s">
        <v>732</v>
      </c>
      <c r="S42">
        <v>19454</v>
      </c>
      <c r="T42">
        <v>3</v>
      </c>
      <c r="U42">
        <v>2024</v>
      </c>
    </row>
    <row r="43" spans="1:21" ht="15.75" x14ac:dyDescent="0.25">
      <c r="A43" s="1" t="s">
        <v>1065</v>
      </c>
      <c r="B43" t="str">
        <f t="shared" si="0"/>
        <v>-03-2024</v>
      </c>
      <c r="D43">
        <v>19455</v>
      </c>
      <c r="E43" t="str">
        <f t="shared" si="1"/>
        <v>ia.assorted_string like '%19455-03-2024%' or</v>
      </c>
      <c r="M43" s="1" t="s">
        <v>727</v>
      </c>
      <c r="N43" t="s">
        <v>728</v>
      </c>
      <c r="O43" t="s">
        <v>729</v>
      </c>
      <c r="P43" t="s">
        <v>730</v>
      </c>
      <c r="Q43" t="s">
        <v>731</v>
      </c>
      <c r="R43" t="s">
        <v>732</v>
      </c>
      <c r="S43">
        <v>19455</v>
      </c>
      <c r="T43">
        <v>3</v>
      </c>
      <c r="U43">
        <v>2024</v>
      </c>
    </row>
    <row r="44" spans="1:21" ht="15.75" x14ac:dyDescent="0.25">
      <c r="A44" s="1" t="s">
        <v>1066</v>
      </c>
      <c r="B44" t="str">
        <f t="shared" si="0"/>
        <v>-03-2024</v>
      </c>
      <c r="D44">
        <v>19456</v>
      </c>
      <c r="E44" t="str">
        <f t="shared" si="1"/>
        <v>ia.assorted_string like '%19456-03-2024%' or</v>
      </c>
      <c r="M44" s="1" t="s">
        <v>727</v>
      </c>
      <c r="N44" t="s">
        <v>728</v>
      </c>
      <c r="O44" t="s">
        <v>729</v>
      </c>
      <c r="P44" t="s">
        <v>730</v>
      </c>
      <c r="Q44" t="s">
        <v>731</v>
      </c>
      <c r="R44" t="s">
        <v>732</v>
      </c>
      <c r="S44">
        <v>19456</v>
      </c>
      <c r="T44">
        <v>3</v>
      </c>
      <c r="U44">
        <v>2024</v>
      </c>
    </row>
    <row r="45" spans="1:21" ht="15.75" x14ac:dyDescent="0.25">
      <c r="A45" s="1" t="s">
        <v>1067</v>
      </c>
      <c r="B45" t="str">
        <f t="shared" si="0"/>
        <v>-03-2024</v>
      </c>
      <c r="D45">
        <v>19457</v>
      </c>
      <c r="E45" t="str">
        <f t="shared" si="1"/>
        <v>ia.assorted_string like '%19457-03-2024%' or</v>
      </c>
      <c r="M45" s="1" t="s">
        <v>727</v>
      </c>
      <c r="N45" t="s">
        <v>728</v>
      </c>
      <c r="O45" t="s">
        <v>729</v>
      </c>
      <c r="P45" t="s">
        <v>730</v>
      </c>
      <c r="Q45" t="s">
        <v>731</v>
      </c>
      <c r="R45" t="s">
        <v>732</v>
      </c>
      <c r="S45">
        <v>19457</v>
      </c>
      <c r="T45">
        <v>3</v>
      </c>
      <c r="U45">
        <v>2024</v>
      </c>
    </row>
    <row r="46" spans="1:21" ht="15.75" x14ac:dyDescent="0.25">
      <c r="A46" s="1" t="s">
        <v>1068</v>
      </c>
      <c r="B46" t="str">
        <f t="shared" si="0"/>
        <v>-03-2024</v>
      </c>
      <c r="D46">
        <v>19459</v>
      </c>
      <c r="E46" t="str">
        <f t="shared" si="1"/>
        <v>ia.assorted_string like '%19459-03-2024%' or</v>
      </c>
      <c r="M46" s="1" t="s">
        <v>727</v>
      </c>
      <c r="N46" t="s">
        <v>728</v>
      </c>
      <c r="O46" t="s">
        <v>729</v>
      </c>
      <c r="P46" t="s">
        <v>730</v>
      </c>
      <c r="Q46" t="s">
        <v>731</v>
      </c>
      <c r="R46" t="s">
        <v>732</v>
      </c>
      <c r="S46">
        <v>19459</v>
      </c>
      <c r="T46">
        <v>3</v>
      </c>
      <c r="U46">
        <v>2024</v>
      </c>
    </row>
    <row r="47" spans="1:21" ht="15.75" x14ac:dyDescent="0.25">
      <c r="A47" s="1" t="s">
        <v>1069</v>
      </c>
      <c r="B47" t="str">
        <f t="shared" si="0"/>
        <v>-03-2024</v>
      </c>
      <c r="D47">
        <v>19460</v>
      </c>
      <c r="E47" t="str">
        <f t="shared" si="1"/>
        <v>ia.assorted_string like '%19460-03-2024%' or</v>
      </c>
      <c r="M47" s="1" t="s">
        <v>727</v>
      </c>
      <c r="N47" t="s">
        <v>728</v>
      </c>
      <c r="O47" t="s">
        <v>729</v>
      </c>
      <c r="P47" t="s">
        <v>730</v>
      </c>
      <c r="Q47" t="s">
        <v>731</v>
      </c>
      <c r="R47" t="s">
        <v>732</v>
      </c>
      <c r="S47">
        <v>19460</v>
      </c>
      <c r="T47">
        <v>3</v>
      </c>
      <c r="U47">
        <v>2024</v>
      </c>
    </row>
    <row r="48" spans="1:21" ht="15.75" x14ac:dyDescent="0.25">
      <c r="A48" s="1" t="s">
        <v>1070</v>
      </c>
      <c r="B48" t="str">
        <f t="shared" si="0"/>
        <v>-03-2024</v>
      </c>
      <c r="D48">
        <v>19461</v>
      </c>
      <c r="E48" t="str">
        <f t="shared" si="1"/>
        <v>ia.assorted_string like '%19461-03-2024%' or</v>
      </c>
      <c r="M48" s="1" t="s">
        <v>727</v>
      </c>
      <c r="N48" t="s">
        <v>728</v>
      </c>
      <c r="O48" t="s">
        <v>729</v>
      </c>
      <c r="P48" t="s">
        <v>730</v>
      </c>
      <c r="Q48" t="s">
        <v>731</v>
      </c>
      <c r="R48" t="s">
        <v>732</v>
      </c>
      <c r="S48">
        <v>19461</v>
      </c>
      <c r="T48">
        <v>3</v>
      </c>
      <c r="U48">
        <v>2024</v>
      </c>
    </row>
    <row r="49" spans="1:21" ht="15.75" x14ac:dyDescent="0.25">
      <c r="A49" s="1" t="s">
        <v>1071</v>
      </c>
      <c r="B49" t="str">
        <f t="shared" si="0"/>
        <v>-03-2024</v>
      </c>
      <c r="D49">
        <v>19462</v>
      </c>
      <c r="E49" t="str">
        <f t="shared" si="1"/>
        <v>ia.assorted_string like '%19462-03-2024%' or</v>
      </c>
      <c r="M49" s="1" t="s">
        <v>727</v>
      </c>
      <c r="N49" t="s">
        <v>728</v>
      </c>
      <c r="O49" t="s">
        <v>729</v>
      </c>
      <c r="P49" t="s">
        <v>730</v>
      </c>
      <c r="Q49" t="s">
        <v>731</v>
      </c>
      <c r="R49" t="s">
        <v>732</v>
      </c>
      <c r="S49">
        <v>19462</v>
      </c>
      <c r="T49">
        <v>3</v>
      </c>
      <c r="U49">
        <v>2024</v>
      </c>
    </row>
    <row r="50" spans="1:21" ht="15.75" x14ac:dyDescent="0.25">
      <c r="A50" s="1" t="s">
        <v>1072</v>
      </c>
      <c r="B50" t="str">
        <f t="shared" si="0"/>
        <v>-03-2024</v>
      </c>
      <c r="D50">
        <v>19463</v>
      </c>
      <c r="E50" t="str">
        <f t="shared" si="1"/>
        <v>ia.assorted_string like '%19463-03-2024%' or</v>
      </c>
      <c r="M50" s="1" t="s">
        <v>727</v>
      </c>
      <c r="N50" t="s">
        <v>728</v>
      </c>
      <c r="O50" t="s">
        <v>729</v>
      </c>
      <c r="P50" t="s">
        <v>730</v>
      </c>
      <c r="Q50" t="s">
        <v>731</v>
      </c>
      <c r="R50" t="s">
        <v>732</v>
      </c>
      <c r="S50">
        <v>19463</v>
      </c>
      <c r="T50">
        <v>3</v>
      </c>
      <c r="U50">
        <v>2024</v>
      </c>
    </row>
    <row r="51" spans="1:21" ht="15.75" x14ac:dyDescent="0.25">
      <c r="A51" s="1" t="s">
        <v>1073</v>
      </c>
      <c r="B51" t="str">
        <f t="shared" si="0"/>
        <v>-03-2024</v>
      </c>
      <c r="D51">
        <v>19464</v>
      </c>
      <c r="E51" t="str">
        <f t="shared" si="1"/>
        <v>ia.assorted_string like '%19464-03-2024%' or</v>
      </c>
      <c r="M51" s="1" t="s">
        <v>727</v>
      </c>
      <c r="N51" t="s">
        <v>728</v>
      </c>
      <c r="O51" t="s">
        <v>729</v>
      </c>
      <c r="P51" t="s">
        <v>730</v>
      </c>
      <c r="Q51" t="s">
        <v>731</v>
      </c>
      <c r="R51" t="s">
        <v>732</v>
      </c>
      <c r="S51">
        <v>19464</v>
      </c>
      <c r="T51">
        <v>3</v>
      </c>
      <c r="U51">
        <v>2024</v>
      </c>
    </row>
    <row r="52" spans="1:21" ht="15.75" x14ac:dyDescent="0.25">
      <c r="A52" s="1" t="s">
        <v>1074</v>
      </c>
      <c r="B52" t="str">
        <f t="shared" si="0"/>
        <v>-03-2024</v>
      </c>
      <c r="D52">
        <v>19465</v>
      </c>
      <c r="E52" t="str">
        <f t="shared" si="1"/>
        <v>ia.assorted_string like '%19465-03-2024%' or</v>
      </c>
      <c r="M52" s="1" t="s">
        <v>727</v>
      </c>
      <c r="N52" t="s">
        <v>728</v>
      </c>
      <c r="O52" t="s">
        <v>729</v>
      </c>
      <c r="P52" t="s">
        <v>730</v>
      </c>
      <c r="Q52" t="s">
        <v>731</v>
      </c>
      <c r="R52" t="s">
        <v>732</v>
      </c>
      <c r="S52">
        <v>19465</v>
      </c>
      <c r="T52">
        <v>3</v>
      </c>
      <c r="U52">
        <v>2024</v>
      </c>
    </row>
    <row r="53" spans="1:21" ht="15.75" x14ac:dyDescent="0.25">
      <c r="A53" s="1" t="s">
        <v>1075</v>
      </c>
      <c r="B53" t="str">
        <f t="shared" si="0"/>
        <v>-03-2024</v>
      </c>
      <c r="D53">
        <v>19466</v>
      </c>
      <c r="E53" t="str">
        <f t="shared" si="1"/>
        <v>ia.assorted_string like '%19466-03-2024%' or</v>
      </c>
      <c r="M53" s="1" t="s">
        <v>727</v>
      </c>
      <c r="N53" t="s">
        <v>728</v>
      </c>
      <c r="O53" t="s">
        <v>729</v>
      </c>
      <c r="P53" t="s">
        <v>730</v>
      </c>
      <c r="Q53" t="s">
        <v>731</v>
      </c>
      <c r="R53" t="s">
        <v>732</v>
      </c>
      <c r="S53">
        <v>19466</v>
      </c>
      <c r="T53">
        <v>3</v>
      </c>
      <c r="U53">
        <v>2024</v>
      </c>
    </row>
    <row r="54" spans="1:21" ht="15.75" x14ac:dyDescent="0.25">
      <c r="A54" s="1" t="s">
        <v>1076</v>
      </c>
      <c r="B54" t="str">
        <f t="shared" si="0"/>
        <v>-03-2024</v>
      </c>
      <c r="D54">
        <v>19467</v>
      </c>
      <c r="E54" t="str">
        <f t="shared" si="1"/>
        <v>ia.assorted_string like '%19467-03-2024%' or</v>
      </c>
      <c r="M54" s="1" t="s">
        <v>727</v>
      </c>
      <c r="N54" t="s">
        <v>728</v>
      </c>
      <c r="O54" t="s">
        <v>729</v>
      </c>
      <c r="P54" t="s">
        <v>730</v>
      </c>
      <c r="Q54" t="s">
        <v>731</v>
      </c>
      <c r="R54" t="s">
        <v>732</v>
      </c>
      <c r="S54">
        <v>19467</v>
      </c>
      <c r="T54">
        <v>3</v>
      </c>
      <c r="U54">
        <v>2024</v>
      </c>
    </row>
    <row r="55" spans="1:21" ht="15.75" x14ac:dyDescent="0.25">
      <c r="A55" s="1" t="s">
        <v>1077</v>
      </c>
      <c r="B55" t="str">
        <f t="shared" si="0"/>
        <v>-03-2024</v>
      </c>
      <c r="D55">
        <v>19468</v>
      </c>
      <c r="E55" t="str">
        <f t="shared" si="1"/>
        <v>ia.assorted_string like '%19468-03-2024%' or</v>
      </c>
      <c r="M55" s="1" t="s">
        <v>727</v>
      </c>
      <c r="N55" t="s">
        <v>728</v>
      </c>
      <c r="O55" t="s">
        <v>729</v>
      </c>
      <c r="P55" t="s">
        <v>730</v>
      </c>
      <c r="Q55" t="s">
        <v>731</v>
      </c>
      <c r="R55" t="s">
        <v>732</v>
      </c>
      <c r="S55">
        <v>19468</v>
      </c>
      <c r="T55">
        <v>3</v>
      </c>
      <c r="U55">
        <v>2024</v>
      </c>
    </row>
    <row r="56" spans="1:21" ht="15.75" x14ac:dyDescent="0.25">
      <c r="A56" s="1" t="s">
        <v>1078</v>
      </c>
      <c r="B56" t="str">
        <f t="shared" si="0"/>
        <v>-03-2024</v>
      </c>
      <c r="D56">
        <v>19469</v>
      </c>
      <c r="E56" t="str">
        <f t="shared" si="1"/>
        <v>ia.assorted_string like '%19469-03-2024%' or</v>
      </c>
      <c r="M56" s="1" t="s">
        <v>727</v>
      </c>
      <c r="N56" t="s">
        <v>728</v>
      </c>
      <c r="O56" t="s">
        <v>729</v>
      </c>
      <c r="P56" t="s">
        <v>730</v>
      </c>
      <c r="Q56" t="s">
        <v>731</v>
      </c>
      <c r="R56" t="s">
        <v>732</v>
      </c>
      <c r="S56">
        <v>19469</v>
      </c>
      <c r="T56">
        <v>3</v>
      </c>
      <c r="U56">
        <v>2024</v>
      </c>
    </row>
    <row r="57" spans="1:21" ht="15.75" x14ac:dyDescent="0.25">
      <c r="A57" s="1" t="s">
        <v>1079</v>
      </c>
      <c r="B57" t="str">
        <f t="shared" si="0"/>
        <v>-03-2024</v>
      </c>
      <c r="D57">
        <v>19470</v>
      </c>
      <c r="E57" t="str">
        <f t="shared" si="1"/>
        <v>ia.assorted_string like '%19470-03-2024%' or</v>
      </c>
      <c r="M57" s="1" t="s">
        <v>727</v>
      </c>
      <c r="N57" t="s">
        <v>728</v>
      </c>
      <c r="O57" t="s">
        <v>729</v>
      </c>
      <c r="P57" t="s">
        <v>730</v>
      </c>
      <c r="Q57" t="s">
        <v>731</v>
      </c>
      <c r="R57" t="s">
        <v>732</v>
      </c>
      <c r="S57">
        <v>19470</v>
      </c>
      <c r="T57">
        <v>3</v>
      </c>
      <c r="U57">
        <v>2024</v>
      </c>
    </row>
    <row r="58" spans="1:21" ht="15.75" x14ac:dyDescent="0.25">
      <c r="A58" s="1" t="s">
        <v>1080</v>
      </c>
      <c r="B58" t="str">
        <f t="shared" si="0"/>
        <v>-03-2024</v>
      </c>
      <c r="D58">
        <v>19471</v>
      </c>
      <c r="E58" t="str">
        <f t="shared" si="1"/>
        <v>ia.assorted_string like '%19471-03-2024%' or</v>
      </c>
      <c r="M58" s="1" t="s">
        <v>727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>
        <v>19471</v>
      </c>
      <c r="T58">
        <v>3</v>
      </c>
      <c r="U58">
        <v>2024</v>
      </c>
    </row>
    <row r="59" spans="1:21" ht="15.75" x14ac:dyDescent="0.25">
      <c r="A59" s="1" t="s">
        <v>1081</v>
      </c>
      <c r="B59" t="str">
        <f t="shared" si="0"/>
        <v>-03-2024</v>
      </c>
      <c r="D59">
        <v>19489</v>
      </c>
      <c r="E59" t="str">
        <f t="shared" si="1"/>
        <v>ia.assorted_string like '%19489-03-2024%' or</v>
      </c>
      <c r="M59" s="1" t="s">
        <v>727</v>
      </c>
      <c r="N59" t="s">
        <v>728</v>
      </c>
      <c r="O59" t="s">
        <v>729</v>
      </c>
      <c r="P59" t="s">
        <v>730</v>
      </c>
      <c r="Q59" t="s">
        <v>731</v>
      </c>
      <c r="R59" t="s">
        <v>732</v>
      </c>
      <c r="S59">
        <v>19489</v>
      </c>
      <c r="T59">
        <v>3</v>
      </c>
      <c r="U59">
        <v>2024</v>
      </c>
    </row>
    <row r="60" spans="1:21" ht="15.75" x14ac:dyDescent="0.25">
      <c r="A60" s="1" t="s">
        <v>1082</v>
      </c>
      <c r="B60" t="str">
        <f t="shared" si="0"/>
        <v>-03-2024</v>
      </c>
      <c r="D60">
        <v>19490</v>
      </c>
      <c r="E60" t="str">
        <f t="shared" si="1"/>
        <v>ia.assorted_string like '%19490-03-2024%' or</v>
      </c>
      <c r="M60" s="1" t="s">
        <v>727</v>
      </c>
      <c r="N60" t="s">
        <v>728</v>
      </c>
      <c r="O60" t="s">
        <v>729</v>
      </c>
      <c r="P60" t="s">
        <v>730</v>
      </c>
      <c r="Q60" t="s">
        <v>731</v>
      </c>
      <c r="R60" t="s">
        <v>732</v>
      </c>
      <c r="S60">
        <v>19490</v>
      </c>
      <c r="T60">
        <v>3</v>
      </c>
      <c r="U60">
        <v>2024</v>
      </c>
    </row>
    <row r="61" spans="1:21" ht="15.75" x14ac:dyDescent="0.25">
      <c r="A61" s="1" t="s">
        <v>1083</v>
      </c>
      <c r="B61" t="str">
        <f t="shared" si="0"/>
        <v>-03-2024</v>
      </c>
      <c r="D61">
        <v>19492</v>
      </c>
      <c r="E61" t="str">
        <f t="shared" si="1"/>
        <v>ia.assorted_string like '%19492-03-2024%' or</v>
      </c>
      <c r="M61" s="1" t="s">
        <v>727</v>
      </c>
      <c r="N61" t="s">
        <v>728</v>
      </c>
      <c r="O61" t="s">
        <v>729</v>
      </c>
      <c r="P61" t="s">
        <v>730</v>
      </c>
      <c r="Q61" t="s">
        <v>731</v>
      </c>
      <c r="R61" t="s">
        <v>732</v>
      </c>
      <c r="S61">
        <v>19492</v>
      </c>
      <c r="T61">
        <v>3</v>
      </c>
      <c r="U61">
        <v>2024</v>
      </c>
    </row>
    <row r="62" spans="1:21" ht="15.75" x14ac:dyDescent="0.25">
      <c r="A62" s="1" t="s">
        <v>1084</v>
      </c>
      <c r="B62" t="str">
        <f t="shared" si="0"/>
        <v>-03-2024</v>
      </c>
      <c r="D62">
        <v>19493</v>
      </c>
      <c r="E62" t="str">
        <f t="shared" si="1"/>
        <v>ia.assorted_string like '%19493-03-2024%' or</v>
      </c>
      <c r="M62" s="1" t="s">
        <v>727</v>
      </c>
      <c r="N62" t="s">
        <v>728</v>
      </c>
      <c r="O62" t="s">
        <v>729</v>
      </c>
      <c r="P62" t="s">
        <v>730</v>
      </c>
      <c r="Q62" t="s">
        <v>731</v>
      </c>
      <c r="R62" t="s">
        <v>732</v>
      </c>
      <c r="S62">
        <v>19493</v>
      </c>
      <c r="T62">
        <v>3</v>
      </c>
      <c r="U62">
        <v>2024</v>
      </c>
    </row>
    <row r="63" spans="1:21" ht="15.75" x14ac:dyDescent="0.25">
      <c r="A63" s="1" t="s">
        <v>1085</v>
      </c>
      <c r="B63" t="str">
        <f t="shared" si="0"/>
        <v>-03-2024</v>
      </c>
      <c r="D63">
        <v>19494</v>
      </c>
      <c r="E63" t="str">
        <f t="shared" si="1"/>
        <v>ia.assorted_string like '%19494-03-2024%' or</v>
      </c>
      <c r="M63" s="1" t="s">
        <v>727</v>
      </c>
      <c r="N63" t="s">
        <v>728</v>
      </c>
      <c r="O63" t="s">
        <v>729</v>
      </c>
      <c r="P63" t="s">
        <v>730</v>
      </c>
      <c r="Q63" t="s">
        <v>731</v>
      </c>
      <c r="R63" t="s">
        <v>732</v>
      </c>
      <c r="S63">
        <v>19494</v>
      </c>
      <c r="T63">
        <v>3</v>
      </c>
      <c r="U63">
        <v>2024</v>
      </c>
    </row>
    <row r="64" spans="1:21" ht="15.75" x14ac:dyDescent="0.25">
      <c r="A64" s="1" t="s">
        <v>1086</v>
      </c>
      <c r="B64" t="str">
        <f t="shared" si="0"/>
        <v>-03-2024</v>
      </c>
      <c r="D64">
        <v>19495</v>
      </c>
      <c r="E64" t="str">
        <f t="shared" si="1"/>
        <v>ia.assorted_string like '%19495-03-2024%' or</v>
      </c>
      <c r="M64" s="1" t="s">
        <v>727</v>
      </c>
      <c r="N64" t="s">
        <v>728</v>
      </c>
      <c r="O64" t="s">
        <v>729</v>
      </c>
      <c r="P64" t="s">
        <v>730</v>
      </c>
      <c r="Q64" t="s">
        <v>731</v>
      </c>
      <c r="R64" t="s">
        <v>732</v>
      </c>
      <c r="S64">
        <v>19495</v>
      </c>
      <c r="T64">
        <v>3</v>
      </c>
      <c r="U64">
        <v>2024</v>
      </c>
    </row>
    <row r="65" spans="1:21" ht="15.75" x14ac:dyDescent="0.25">
      <c r="A65" s="1" t="s">
        <v>1087</v>
      </c>
      <c r="B65" t="str">
        <f t="shared" si="0"/>
        <v>-03-2024</v>
      </c>
      <c r="D65">
        <v>19496</v>
      </c>
      <c r="E65" t="str">
        <f t="shared" si="1"/>
        <v>ia.assorted_string like '%19496-03-2024%' or</v>
      </c>
      <c r="M65" s="1" t="s">
        <v>727</v>
      </c>
      <c r="N65" t="s">
        <v>728</v>
      </c>
      <c r="O65" t="s">
        <v>729</v>
      </c>
      <c r="P65" t="s">
        <v>730</v>
      </c>
      <c r="Q65" t="s">
        <v>731</v>
      </c>
      <c r="R65" t="s">
        <v>732</v>
      </c>
      <c r="S65">
        <v>19496</v>
      </c>
      <c r="T65">
        <v>3</v>
      </c>
      <c r="U65">
        <v>2024</v>
      </c>
    </row>
    <row r="66" spans="1:21" ht="15.75" x14ac:dyDescent="0.25">
      <c r="A66" s="1" t="s">
        <v>1088</v>
      </c>
      <c r="B66" t="str">
        <f t="shared" ref="B66:B77" si="2">RIGHT(A66,8)</f>
        <v>-03-2024</v>
      </c>
      <c r="D66">
        <v>19497</v>
      </c>
      <c r="E66" t="str">
        <f t="shared" ref="E66:E77" si="3">"ia.assorted_string like '%"&amp;D66&amp;B66&amp;"%' or"</f>
        <v>ia.assorted_string like '%19497-03-2024%' or</v>
      </c>
      <c r="M66" s="1" t="s">
        <v>727</v>
      </c>
      <c r="N66" t="s">
        <v>728</v>
      </c>
      <c r="O66" t="s">
        <v>729</v>
      </c>
      <c r="P66" t="s">
        <v>730</v>
      </c>
      <c r="Q66" t="s">
        <v>731</v>
      </c>
      <c r="R66" t="s">
        <v>732</v>
      </c>
      <c r="S66">
        <v>19497</v>
      </c>
      <c r="T66">
        <v>3</v>
      </c>
      <c r="U66">
        <v>2024</v>
      </c>
    </row>
    <row r="67" spans="1:21" ht="15.75" x14ac:dyDescent="0.25">
      <c r="A67" s="1" t="s">
        <v>1089</v>
      </c>
      <c r="B67" t="str">
        <f t="shared" si="2"/>
        <v>-03-2024</v>
      </c>
      <c r="D67">
        <v>19498</v>
      </c>
      <c r="E67" t="str">
        <f t="shared" si="3"/>
        <v>ia.assorted_string like '%19498-03-2024%' or</v>
      </c>
      <c r="M67" s="1" t="s">
        <v>727</v>
      </c>
      <c r="N67" t="s">
        <v>728</v>
      </c>
      <c r="O67" t="s">
        <v>729</v>
      </c>
      <c r="P67" t="s">
        <v>730</v>
      </c>
      <c r="Q67" t="s">
        <v>731</v>
      </c>
      <c r="R67" t="s">
        <v>732</v>
      </c>
      <c r="S67">
        <v>19498</v>
      </c>
      <c r="T67">
        <v>3</v>
      </c>
      <c r="U67">
        <v>2024</v>
      </c>
    </row>
    <row r="68" spans="1:21" ht="15.75" x14ac:dyDescent="0.25">
      <c r="A68" s="1" t="s">
        <v>1090</v>
      </c>
      <c r="B68" t="str">
        <f t="shared" si="2"/>
        <v>-03-2024</v>
      </c>
      <c r="D68">
        <v>19499</v>
      </c>
      <c r="E68" t="str">
        <f t="shared" si="3"/>
        <v>ia.assorted_string like '%19499-03-2024%' or</v>
      </c>
      <c r="M68" s="1" t="s">
        <v>727</v>
      </c>
      <c r="N68" t="s">
        <v>728</v>
      </c>
      <c r="O68" t="s">
        <v>729</v>
      </c>
      <c r="P68" t="s">
        <v>730</v>
      </c>
      <c r="Q68" t="s">
        <v>731</v>
      </c>
      <c r="R68" t="s">
        <v>732</v>
      </c>
      <c r="S68">
        <v>19499</v>
      </c>
      <c r="T68">
        <v>3</v>
      </c>
      <c r="U68">
        <v>2024</v>
      </c>
    </row>
    <row r="69" spans="1:21" ht="15.75" x14ac:dyDescent="0.25">
      <c r="A69" s="1" t="s">
        <v>1091</v>
      </c>
      <c r="B69" t="str">
        <f t="shared" si="2"/>
        <v>-03-2024</v>
      </c>
      <c r="D69">
        <v>19500</v>
      </c>
      <c r="E69" t="str">
        <f t="shared" si="3"/>
        <v>ia.assorted_string like '%19500-03-2024%' or</v>
      </c>
      <c r="M69" s="1" t="s">
        <v>727</v>
      </c>
      <c r="N69" t="s">
        <v>728</v>
      </c>
      <c r="O69" t="s">
        <v>729</v>
      </c>
      <c r="P69" t="s">
        <v>730</v>
      </c>
      <c r="Q69" t="s">
        <v>731</v>
      </c>
      <c r="R69" t="s">
        <v>732</v>
      </c>
      <c r="S69">
        <v>19500</v>
      </c>
      <c r="T69">
        <v>3</v>
      </c>
      <c r="U69">
        <v>2024</v>
      </c>
    </row>
    <row r="70" spans="1:21" ht="15.75" x14ac:dyDescent="0.25">
      <c r="A70" s="1" t="s">
        <v>1092</v>
      </c>
      <c r="B70" t="str">
        <f t="shared" si="2"/>
        <v>-03-2024</v>
      </c>
      <c r="D70">
        <v>19501</v>
      </c>
      <c r="E70" t="str">
        <f t="shared" si="3"/>
        <v>ia.assorted_string like '%19501-03-2024%' or</v>
      </c>
      <c r="M70" s="1" t="s">
        <v>727</v>
      </c>
      <c r="N70" t="s">
        <v>728</v>
      </c>
      <c r="O70" t="s">
        <v>729</v>
      </c>
      <c r="P70" t="s">
        <v>730</v>
      </c>
      <c r="Q70" t="s">
        <v>731</v>
      </c>
      <c r="R70" t="s">
        <v>732</v>
      </c>
      <c r="S70">
        <v>19501</v>
      </c>
      <c r="T70">
        <v>3</v>
      </c>
      <c r="U70">
        <v>2024</v>
      </c>
    </row>
    <row r="71" spans="1:21" ht="15.75" x14ac:dyDescent="0.25">
      <c r="A71" s="1" t="s">
        <v>1093</v>
      </c>
      <c r="B71" t="str">
        <f t="shared" si="2"/>
        <v>-03-2024</v>
      </c>
      <c r="D71">
        <v>19502</v>
      </c>
      <c r="E71" t="str">
        <f t="shared" si="3"/>
        <v>ia.assorted_string like '%19502-03-2024%' or</v>
      </c>
      <c r="M71" s="1" t="s">
        <v>727</v>
      </c>
      <c r="N71" t="s">
        <v>728</v>
      </c>
      <c r="O71" t="s">
        <v>729</v>
      </c>
      <c r="P71" t="s">
        <v>730</v>
      </c>
      <c r="Q71" t="s">
        <v>731</v>
      </c>
      <c r="R71" t="s">
        <v>732</v>
      </c>
      <c r="S71">
        <v>19502</v>
      </c>
      <c r="T71">
        <v>3</v>
      </c>
      <c r="U71">
        <v>2024</v>
      </c>
    </row>
    <row r="72" spans="1:21" ht="15.75" x14ac:dyDescent="0.25">
      <c r="A72" s="1" t="s">
        <v>1094</v>
      </c>
      <c r="B72" t="str">
        <f t="shared" si="2"/>
        <v>-03-2024</v>
      </c>
      <c r="D72">
        <v>19503</v>
      </c>
      <c r="E72" t="str">
        <f t="shared" si="3"/>
        <v>ia.assorted_string like '%19503-03-2024%' or</v>
      </c>
      <c r="M72" s="1" t="s">
        <v>727</v>
      </c>
      <c r="N72" t="s">
        <v>728</v>
      </c>
      <c r="O72" t="s">
        <v>729</v>
      </c>
      <c r="P72" t="s">
        <v>730</v>
      </c>
      <c r="Q72" t="s">
        <v>731</v>
      </c>
      <c r="R72" t="s">
        <v>732</v>
      </c>
      <c r="S72">
        <v>19503</v>
      </c>
      <c r="T72">
        <v>3</v>
      </c>
      <c r="U72">
        <v>2024</v>
      </c>
    </row>
    <row r="73" spans="1:21" ht="15.75" x14ac:dyDescent="0.25">
      <c r="A73" s="1" t="s">
        <v>1095</v>
      </c>
      <c r="B73" t="str">
        <f t="shared" si="2"/>
        <v>-03-2024</v>
      </c>
      <c r="D73">
        <v>19504</v>
      </c>
      <c r="E73" t="str">
        <f t="shared" si="3"/>
        <v>ia.assorted_string like '%19504-03-2024%' or</v>
      </c>
      <c r="M73" s="1" t="s">
        <v>727</v>
      </c>
      <c r="N73" t="s">
        <v>728</v>
      </c>
      <c r="O73" t="s">
        <v>729</v>
      </c>
      <c r="P73" t="s">
        <v>730</v>
      </c>
      <c r="Q73" t="s">
        <v>731</v>
      </c>
      <c r="R73" t="s">
        <v>732</v>
      </c>
      <c r="S73">
        <v>19504</v>
      </c>
      <c r="T73">
        <v>3</v>
      </c>
      <c r="U73">
        <v>2024</v>
      </c>
    </row>
    <row r="74" spans="1:21" ht="15.75" x14ac:dyDescent="0.25">
      <c r="A74" s="1" t="s">
        <v>1096</v>
      </c>
      <c r="B74" t="str">
        <f t="shared" si="2"/>
        <v>-03-2024</v>
      </c>
      <c r="D74">
        <v>19505</v>
      </c>
      <c r="E74" t="str">
        <f t="shared" si="3"/>
        <v>ia.assorted_string like '%19505-03-2024%' or</v>
      </c>
      <c r="M74" s="1" t="s">
        <v>727</v>
      </c>
      <c r="N74" t="s">
        <v>728</v>
      </c>
      <c r="O74" t="s">
        <v>729</v>
      </c>
      <c r="P74" t="s">
        <v>730</v>
      </c>
      <c r="Q74" t="s">
        <v>731</v>
      </c>
      <c r="R74" t="s">
        <v>732</v>
      </c>
      <c r="S74">
        <v>19505</v>
      </c>
      <c r="T74">
        <v>3</v>
      </c>
      <c r="U74">
        <v>2024</v>
      </c>
    </row>
    <row r="75" spans="1:21" ht="15.75" x14ac:dyDescent="0.25">
      <c r="A75" s="1" t="s">
        <v>1097</v>
      </c>
      <c r="B75" t="str">
        <f t="shared" si="2"/>
        <v>-03-2024</v>
      </c>
      <c r="D75">
        <v>19506</v>
      </c>
      <c r="E75" t="str">
        <f t="shared" si="3"/>
        <v>ia.assorted_string like '%19506-03-2024%' or</v>
      </c>
      <c r="M75" s="1" t="s">
        <v>727</v>
      </c>
      <c r="N75" t="s">
        <v>728</v>
      </c>
      <c r="O75" t="s">
        <v>729</v>
      </c>
      <c r="P75" t="s">
        <v>730</v>
      </c>
      <c r="Q75" t="s">
        <v>731</v>
      </c>
      <c r="R75" t="s">
        <v>732</v>
      </c>
      <c r="S75">
        <v>19506</v>
      </c>
      <c r="T75">
        <v>3</v>
      </c>
      <c r="U75">
        <v>2024</v>
      </c>
    </row>
    <row r="76" spans="1:21" ht="15.75" x14ac:dyDescent="0.25">
      <c r="A76" s="1" t="s">
        <v>1098</v>
      </c>
      <c r="B76" t="str">
        <f t="shared" si="2"/>
        <v>-03-2024</v>
      </c>
      <c r="D76">
        <v>19507</v>
      </c>
      <c r="E76" t="str">
        <f t="shared" si="3"/>
        <v>ia.assorted_string like '%19507-03-2024%' or</v>
      </c>
      <c r="M76" s="1" t="s">
        <v>727</v>
      </c>
      <c r="N76" t="s">
        <v>728</v>
      </c>
      <c r="O76" t="s">
        <v>729</v>
      </c>
      <c r="P76" t="s">
        <v>730</v>
      </c>
      <c r="Q76" t="s">
        <v>731</v>
      </c>
      <c r="R76" t="s">
        <v>732</v>
      </c>
      <c r="S76">
        <v>19507</v>
      </c>
      <c r="T76">
        <v>3</v>
      </c>
      <c r="U76">
        <v>2024</v>
      </c>
    </row>
    <row r="77" spans="1:21" ht="15.75" x14ac:dyDescent="0.25">
      <c r="A77" s="1" t="s">
        <v>1099</v>
      </c>
      <c r="B77" t="str">
        <f t="shared" si="2"/>
        <v>-03-2024</v>
      </c>
      <c r="D77">
        <v>19508</v>
      </c>
      <c r="E77" t="str">
        <f t="shared" si="3"/>
        <v>ia.assorted_string like '%19508-03-2024%' or</v>
      </c>
      <c r="M77" s="1" t="s">
        <v>727</v>
      </c>
      <c r="N77" t="s">
        <v>728</v>
      </c>
      <c r="O77" t="s">
        <v>729</v>
      </c>
      <c r="P77" t="s">
        <v>730</v>
      </c>
      <c r="Q77" t="s">
        <v>731</v>
      </c>
      <c r="R77" t="s">
        <v>732</v>
      </c>
      <c r="S77">
        <v>19508</v>
      </c>
      <c r="T77">
        <v>3</v>
      </c>
      <c r="U7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03-04-2024</vt:lpstr>
      <vt:lpstr>working1</vt:lpstr>
      <vt:lpstr>Sheet1</vt:lpstr>
      <vt:lpstr>03-05-2024 (2)</vt:lpstr>
      <vt:lpstr>working2</vt:lpstr>
      <vt:lpstr>Sheet2</vt:lpstr>
      <vt:lpstr>03-06-2024 (3)</vt:lpstr>
      <vt:lpstr>working3</vt:lpstr>
      <vt:lpstr>Sheet3</vt:lpstr>
      <vt:lpstr>03-03-2024 </vt:lpstr>
      <vt:lpstr>working4</vt:lpstr>
      <vt:lpstr>Sheet4</vt:lpstr>
      <vt:lpstr>'03-03-2024 '!Print_Area</vt:lpstr>
      <vt:lpstr>'03-04-2024'!Print_Area</vt:lpstr>
      <vt:lpstr>'03-05-2024 (2)'!Print_Area</vt:lpstr>
      <vt:lpstr>'03-06-2024 (3)'!Print_Area</vt:lpstr>
      <vt:lpstr>'03-03-2024 '!Print_Titles</vt:lpstr>
      <vt:lpstr>'03-04-2024'!Print_Titles</vt:lpstr>
      <vt:lpstr>'03-05-2024 (2)'!Print_Titles</vt:lpstr>
      <vt:lpstr>'03-06-2024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Ahmed Khan/Accounts/HO</dc:creator>
  <cp:lastModifiedBy>IT User Software</cp:lastModifiedBy>
  <dcterms:created xsi:type="dcterms:W3CDTF">2024-08-01T09:26:39Z</dcterms:created>
  <dcterms:modified xsi:type="dcterms:W3CDTF">2024-08-21T10:13:17Z</dcterms:modified>
</cp:coreProperties>
</file>