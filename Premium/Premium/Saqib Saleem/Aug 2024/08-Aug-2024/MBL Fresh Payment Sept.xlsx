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F5A022AD-38D9-438C-A944-3AFE4F1C60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working" sheetId="2" r:id="rId2"/>
    <sheet name="sheet2" sheetId="4" r:id="rId3"/>
    <sheet name="Policy" sheetId="3" r:id="rId4"/>
  </sheets>
  <definedNames>
    <definedName name="_xlnm._FilterDatabase" localSheetId="0" hidden="1">Sheet1!$A$1:$S$54</definedName>
    <definedName name="_xlnm._FilterDatabase" localSheetId="2" hidden="1">sheet2!$H$1:$H$53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" l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8" i="2"/>
  <c r="B29" i="2"/>
  <c r="B30" i="2"/>
  <c r="B31" i="2"/>
  <c r="B32" i="2"/>
  <c r="B34" i="2"/>
  <c r="B35" i="2"/>
  <c r="B36" i="2"/>
  <c r="B37" i="2"/>
  <c r="B38" i="2"/>
  <c r="B39" i="2"/>
  <c r="B40" i="2"/>
  <c r="B41" i="2"/>
  <c r="B42" i="2"/>
  <c r="B43" i="2"/>
  <c r="B44" i="2"/>
  <c r="B45" i="2"/>
  <c r="B47" i="2"/>
  <c r="B48" i="2"/>
  <c r="B49" i="2"/>
  <c r="B51" i="2"/>
  <c r="B52" i="2"/>
  <c r="B2" i="2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S54" i="1"/>
  <c r="F2" i="2"/>
  <c r="D2" i="2"/>
  <c r="J25" i="4"/>
  <c r="H2" i="2" l="1"/>
  <c r="Q5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2" i="1"/>
  <c r="E54" i="1"/>
</calcChain>
</file>

<file path=xl/sharedStrings.xml><?xml version="1.0" encoding="utf-8"?>
<sst xmlns="http://schemas.openxmlformats.org/spreadsheetml/2006/main" count="919" uniqueCount="468">
  <si>
    <t>Our_Branch_ID</t>
  </si>
  <si>
    <t>Arrg_ID</t>
  </si>
  <si>
    <t>App_Name</t>
  </si>
  <si>
    <t>Value_Of_Asset</t>
  </si>
  <si>
    <t>Premium Amt</t>
  </si>
  <si>
    <t>Tenure</t>
  </si>
  <si>
    <t>Initial_Disbursment_Date</t>
  </si>
  <si>
    <t>Vehicle_Name</t>
  </si>
  <si>
    <t>Bank_Ins_Rate</t>
  </si>
  <si>
    <t>Insuarance_Company</t>
  </si>
  <si>
    <t>Engine_No</t>
  </si>
  <si>
    <t>Chasis_No</t>
  </si>
  <si>
    <t>Rental_Start_Date</t>
  </si>
  <si>
    <t>Registration_No</t>
  </si>
  <si>
    <t>city</t>
  </si>
  <si>
    <t>PK0010002</t>
  </si>
  <si>
    <t>CI-2024-0106-0006</t>
  </si>
  <si>
    <t>FURQAN AHMED</t>
  </si>
  <si>
    <t>Alsvin Lumiere Black Edition</t>
  </si>
  <si>
    <t>SALAM TAKAFUL LTD</t>
  </si>
  <si>
    <t>JL473QFR3CAD511795</t>
  </si>
  <si>
    <t>NKMA2ASE6R1000153</t>
  </si>
  <si>
    <t>-</t>
  </si>
  <si>
    <t>Karachi</t>
  </si>
  <si>
    <t>CI-2024-0127-0004</t>
  </si>
  <si>
    <t>MUHAMMAD IRFAN</t>
  </si>
  <si>
    <t>Tucson Ultimate</t>
  </si>
  <si>
    <t>G4NAPU364433</t>
  </si>
  <si>
    <t>PMHJ2813MRN217569</t>
  </si>
  <si>
    <t>CI-2024-0143-0003</t>
  </si>
  <si>
    <t>FAYYAZ SHAHAB</t>
  </si>
  <si>
    <t>CI-2024-0143-0006</t>
  </si>
  <si>
    <t>SYED MANZOOR ALI</t>
  </si>
  <si>
    <t>Corolla XLI MT</t>
  </si>
  <si>
    <t>Prince Glory 580 Pro 1.5 Turbo</t>
  </si>
  <si>
    <t>Z483678</t>
  </si>
  <si>
    <t>NZE170R-4109707</t>
  </si>
  <si>
    <t>SFG15T21718279</t>
  </si>
  <si>
    <t>PDF580PALR21D0603</t>
  </si>
  <si>
    <t>BHW-095</t>
  </si>
  <si>
    <t>BJ-3799</t>
  </si>
  <si>
    <t>CI-2024-0169-0005</t>
  </si>
  <si>
    <t>NAEEM AHMED</t>
  </si>
  <si>
    <t>Alto VXL AGS</t>
  </si>
  <si>
    <t>6R318003</t>
  </si>
  <si>
    <t>NF1AET306H1218096</t>
  </si>
  <si>
    <t>CI-2024-0193-0008</t>
  </si>
  <si>
    <t>YOUNUS ALI KHAN</t>
  </si>
  <si>
    <t>Alto VXR</t>
  </si>
  <si>
    <t>6R313689</t>
  </si>
  <si>
    <t>NF1AET306H1213686</t>
  </si>
  <si>
    <t>CI-2024-0193-0011</t>
  </si>
  <si>
    <t>Moina Khatoon</t>
  </si>
  <si>
    <t>CI-2024-0194-0006</t>
  </si>
  <si>
    <t>ZUBAIR AHMED</t>
  </si>
  <si>
    <t>CI-2024-0196-0016</t>
  </si>
  <si>
    <t>TAYYAB SHAFIQUE</t>
  </si>
  <si>
    <t>City PT Aspire 1.5L</t>
  </si>
  <si>
    <t>Swift GLX CVT</t>
  </si>
  <si>
    <t>Cultus VXL</t>
  </si>
  <si>
    <t>L15Z81005774</t>
  </si>
  <si>
    <t>NFBGN9669NR14671</t>
  </si>
  <si>
    <t>K12MR1020453</t>
  </si>
  <si>
    <t>NF1SZC63S00203124</t>
  </si>
  <si>
    <t>PK10K188972</t>
  </si>
  <si>
    <t>NF1AVK31H10088947</t>
  </si>
  <si>
    <t>BVZ-338</t>
  </si>
  <si>
    <t>BZZ-590</t>
  </si>
  <si>
    <t>BVE-270</t>
  </si>
  <si>
    <t>CI-2024-4101-0003</t>
  </si>
  <si>
    <t>ABID .</t>
  </si>
  <si>
    <t>6R319665</t>
  </si>
  <si>
    <t>NF1AET306H1219656</t>
  </si>
  <si>
    <t>Mirpur Khas</t>
  </si>
  <si>
    <t>CI-2024-9961-0012</t>
  </si>
  <si>
    <t>KHAISTA REHMAN</t>
  </si>
  <si>
    <t>Yaris 1.3L GLI CVT</t>
  </si>
  <si>
    <t>2A69338</t>
  </si>
  <si>
    <t>NSP150R-7046693</t>
  </si>
  <si>
    <t>CI-2024-9975-0005</t>
  </si>
  <si>
    <t>UMAIR ALI</t>
  </si>
  <si>
    <t>6R318588</t>
  </si>
  <si>
    <t>NF1AET306H1218584</t>
  </si>
  <si>
    <t>PK0010007</t>
  </si>
  <si>
    <t>CI-2024-2502-0005</t>
  </si>
  <si>
    <t>GUL ZARIN KHAN</t>
  </si>
  <si>
    <t>Alto VXL-AGS</t>
  </si>
  <si>
    <t>6R316232</t>
  </si>
  <si>
    <t>NF1AET306H1216199</t>
  </si>
  <si>
    <t>BEG-952</t>
  </si>
  <si>
    <t>Mardan</t>
  </si>
  <si>
    <t>PK0010008</t>
  </si>
  <si>
    <t>CI-2024-1403-0009</t>
  </si>
  <si>
    <t>SYED MUHAMMAD ASIM MUNIR</t>
  </si>
  <si>
    <t>6R318622</t>
  </si>
  <si>
    <t>NF1AET306H1218680</t>
  </si>
  <si>
    <t>ASU-918-PUNJAB</t>
  </si>
  <si>
    <t>Sargodha</t>
  </si>
  <si>
    <t>CI-2024-1481-0005</t>
  </si>
  <si>
    <t>MUHAMMAD BILAL HAIDER</t>
  </si>
  <si>
    <t>Alto VXL</t>
  </si>
  <si>
    <t>6R318156</t>
  </si>
  <si>
    <t>NF1AET306H1218170</t>
  </si>
  <si>
    <t>AST-648-PUNJAB</t>
  </si>
  <si>
    <t>PK0010010</t>
  </si>
  <si>
    <t>Rawalpindi</t>
  </si>
  <si>
    <t>CI-2024-0829-0008</t>
  </si>
  <si>
    <t>NASEEM KHAN</t>
  </si>
  <si>
    <t>Toyota Corolla X 1.8</t>
  </si>
  <si>
    <t>Q351572</t>
  </si>
  <si>
    <t>ZRE172R-7050746</t>
  </si>
  <si>
    <t>AYX-416</t>
  </si>
  <si>
    <t>Islamabad</t>
  </si>
  <si>
    <t>PK0010011</t>
  </si>
  <si>
    <t>CI-2024-0509-0012</t>
  </si>
  <si>
    <t>ABDUL SAMAD</t>
  </si>
  <si>
    <t>WagonR VXL</t>
  </si>
  <si>
    <t>PK10B248054</t>
  </si>
  <si>
    <t>A1J310PK10148060</t>
  </si>
  <si>
    <t>AST-843</t>
  </si>
  <si>
    <t>Multan</t>
  </si>
  <si>
    <t>CI-2024-0524-0004</t>
  </si>
  <si>
    <t>KHALIFA ALI ABBAS</t>
  </si>
  <si>
    <t>K12MR1021789</t>
  </si>
  <si>
    <t>NF1SZC63S00204441</t>
  </si>
  <si>
    <t>ATD-725</t>
  </si>
  <si>
    <t>CI-2024-1297-0007</t>
  </si>
  <si>
    <t>MUJAHID BASHEER</t>
  </si>
  <si>
    <t>6R318380</t>
  </si>
  <si>
    <t>NF1AET306H1218355</t>
  </si>
  <si>
    <t>CI-2024-5801-0005</t>
  </si>
  <si>
    <t>MUHAMMAD IMRAN</t>
  </si>
  <si>
    <t>Yaris 1.3 GLI MT</t>
  </si>
  <si>
    <t>2A68405</t>
  </si>
  <si>
    <t>NSP150R-7045771</t>
  </si>
  <si>
    <t>Jampur</t>
  </si>
  <si>
    <t>CI-2024-9803-0007</t>
  </si>
  <si>
    <t>SARA GILLANI</t>
  </si>
  <si>
    <t>6R317894</t>
  </si>
  <si>
    <t>NF1AET306H1217858</t>
  </si>
  <si>
    <t>Pakpattan</t>
  </si>
  <si>
    <t>PK0010014</t>
  </si>
  <si>
    <t>CI-2024-2208-0007</t>
  </si>
  <si>
    <t>MUHAMMAD KHALID CHOUDHARY</t>
  </si>
  <si>
    <t>NFBGN9661NR016298</t>
  </si>
  <si>
    <t>L15Z81006410</t>
  </si>
  <si>
    <t>AJR-512</t>
  </si>
  <si>
    <t>Bahawalpur</t>
  </si>
  <si>
    <t>PK0010015</t>
  </si>
  <si>
    <t>CI-2024-0913-0003</t>
  </si>
  <si>
    <t>YASIR ALI</t>
  </si>
  <si>
    <t>Yaris 1.5 ATIV X AT</t>
  </si>
  <si>
    <t>2A17503</t>
  </si>
  <si>
    <t>NSP151R9507207</t>
  </si>
  <si>
    <t>AST-539</t>
  </si>
  <si>
    <t>Gujranwala</t>
  </si>
  <si>
    <t>CI-2024-0914-0004</t>
  </si>
  <si>
    <t>MAJID NAWAZ</t>
  </si>
  <si>
    <t>2A18155</t>
  </si>
  <si>
    <t>NSP151R9507359</t>
  </si>
  <si>
    <t>ADU-048</t>
  </si>
  <si>
    <t>CI-2024-0916-0004</t>
  </si>
  <si>
    <t>MIAN MUHAMMAD UMER MAQSOOD</t>
  </si>
  <si>
    <t>CI-2024-0916-0005</t>
  </si>
  <si>
    <t>IHTISHAM UL HAQ CHEEMA</t>
  </si>
  <si>
    <t>CI-2024-0918-0004</t>
  </si>
  <si>
    <t>ARSHAD AZIZ</t>
  </si>
  <si>
    <t>Yaris 1.3 GLI AT</t>
  </si>
  <si>
    <t>2A68320</t>
  </si>
  <si>
    <t>NSP150R7045682</t>
  </si>
  <si>
    <t>2A68345</t>
  </si>
  <si>
    <t>NSP150R7045750</t>
  </si>
  <si>
    <t>K12MR1022068</t>
  </si>
  <si>
    <t>NF1SZC63S00204748</t>
  </si>
  <si>
    <t>ATB-677</t>
  </si>
  <si>
    <t>ASQ-217</t>
  </si>
  <si>
    <t>BEH-269</t>
  </si>
  <si>
    <t>PK0010016</t>
  </si>
  <si>
    <t>CI-2024-0802-0006</t>
  </si>
  <si>
    <t>SAAD ABDULLAH</t>
  </si>
  <si>
    <t>Civic 1.8 i VTEC CVT</t>
  </si>
  <si>
    <t>R18Z12902301</t>
  </si>
  <si>
    <t>NFBFC6669GR002992</t>
  </si>
  <si>
    <t>BGP-350</t>
  </si>
  <si>
    <t>CI-2024-0804-0014</t>
  </si>
  <si>
    <t>SHEIKH MUHAMMAD IQBAL ASHRAF</t>
  </si>
  <si>
    <t>Fortuner GR-S</t>
  </si>
  <si>
    <t>1GD5621773</t>
  </si>
  <si>
    <t>GUN156R-1105713</t>
  </si>
  <si>
    <t>DZ-60</t>
  </si>
  <si>
    <t>CI-2024-0826-0005</t>
  </si>
  <si>
    <t>MALIK YASIR AYUB</t>
  </si>
  <si>
    <t>CI-2024-0827-0002</t>
  </si>
  <si>
    <t>HAFIZ SYED M ZUBAIR YOUNIS</t>
  </si>
  <si>
    <t>CI-2024-0828-0007</t>
  </si>
  <si>
    <t>ASAD SHAHZAD</t>
  </si>
  <si>
    <t>Swift GL CVT</t>
  </si>
  <si>
    <t>BRV S CVT</t>
  </si>
  <si>
    <t>2A68765</t>
  </si>
  <si>
    <t>NSP150R-7046133</t>
  </si>
  <si>
    <t>K12MR1022030</t>
  </si>
  <si>
    <t>NF1SZC63S00204673</t>
  </si>
  <si>
    <t>L15Z13507316</t>
  </si>
  <si>
    <t>NFBDG1838HR007328</t>
  </si>
  <si>
    <t>BEH-607</t>
  </si>
  <si>
    <t>BEG-958</t>
  </si>
  <si>
    <t>AHF-972</t>
  </si>
  <si>
    <t>PK0010299</t>
  </si>
  <si>
    <t>CI-2024-0000-0081</t>
  </si>
  <si>
    <t>ZUBAIR IJAZ</t>
  </si>
  <si>
    <t>Z553330</t>
  </si>
  <si>
    <t>NZE170R-4179116</t>
  </si>
  <si>
    <t>LEC-19-8905</t>
  </si>
  <si>
    <t>Lahore</t>
  </si>
  <si>
    <t>CI-2024-0214-0014</t>
  </si>
  <si>
    <t>MUHAMMAD YASIR</t>
  </si>
  <si>
    <t>Corolla X 1.6 CVT-i</t>
  </si>
  <si>
    <t>Q108535</t>
  </si>
  <si>
    <t>ZRE171R-6086040</t>
  </si>
  <si>
    <t>ASQ 639</t>
  </si>
  <si>
    <t>CI-2024-0248-0015</t>
  </si>
  <si>
    <t>AAL E ZAHRA RIZVI</t>
  </si>
  <si>
    <t>CI-2024-0251-0007</t>
  </si>
  <si>
    <t>MAHMOOD AHMAD</t>
  </si>
  <si>
    <t>City CVT 1.2L, CVT Transmission</t>
  </si>
  <si>
    <t>6R256594</t>
  </si>
  <si>
    <t>NF1AET306H1156593</t>
  </si>
  <si>
    <t>L12B51026562</t>
  </si>
  <si>
    <t>NFBGN8621RR042946</t>
  </si>
  <si>
    <t>AMM 858</t>
  </si>
  <si>
    <t>ATC 129</t>
  </si>
  <si>
    <t>CI-2024-0292-0019</t>
  </si>
  <si>
    <t>MUHAMMAD ABUBAKAR FAROOQ</t>
  </si>
  <si>
    <t>City MT 1.3L</t>
  </si>
  <si>
    <t>L13Z17463407</t>
  </si>
  <si>
    <t>NFBGM1549HR206777</t>
  </si>
  <si>
    <t>LEF-17-6318</t>
  </si>
  <si>
    <t>CI-2024-1146-0003</t>
  </si>
  <si>
    <t>IRFAN HAFEEZ</t>
  </si>
  <si>
    <t>CI-2024-1166-0007</t>
  </si>
  <si>
    <t>KASHIF BASHIR GORAYA</t>
  </si>
  <si>
    <t>Oshan X7 FutureSense</t>
  </si>
  <si>
    <t>Yaris 1.3ATIV AT</t>
  </si>
  <si>
    <t>JL473ZQ7RN8AT208982</t>
  </si>
  <si>
    <t>NKMASE2E8R1000190</t>
  </si>
  <si>
    <t>2A05715</t>
  </si>
  <si>
    <t>NSP150R-7002989</t>
  </si>
  <si>
    <t>ASQ 866</t>
  </si>
  <si>
    <t>AAD-687</t>
  </si>
  <si>
    <t>PK0010300</t>
  </si>
  <si>
    <t>CI-2024-0207-0005</t>
  </si>
  <si>
    <t>ALI RAZA</t>
  </si>
  <si>
    <t>R18Z-16920929</t>
  </si>
  <si>
    <t>NFBFC6666MR073210</t>
  </si>
  <si>
    <t>ATW 409</t>
  </si>
  <si>
    <t>CI-2024-0267-0005</t>
  </si>
  <si>
    <t>BILAL AHMAD</t>
  </si>
  <si>
    <t>Aspire 1.5LAS CVT</t>
  </si>
  <si>
    <t>L15Z81016510</t>
  </si>
  <si>
    <t>NFBGN9665RR043381</t>
  </si>
  <si>
    <t>ASV-725</t>
  </si>
  <si>
    <t>CI-2024-2801-0004</t>
  </si>
  <si>
    <t>MUHAMMAD FARHAN RASHID</t>
  </si>
  <si>
    <t>Yaris 1.3L ATIV CVT</t>
  </si>
  <si>
    <t>2A68110</t>
  </si>
  <si>
    <t>NSP150R-7045511</t>
  </si>
  <si>
    <t>ASQ 539</t>
  </si>
  <si>
    <t>Sheikhupura</t>
  </si>
  <si>
    <t>PK0010499</t>
  </si>
  <si>
    <t>CI-2024-0401-0007</t>
  </si>
  <si>
    <t>JAWED IQBAL</t>
  </si>
  <si>
    <t>2A44388</t>
  </si>
  <si>
    <t>NSP150R-7027936</t>
  </si>
  <si>
    <t>AYY-457-ICT</t>
  </si>
  <si>
    <t>CI-2024-0405-0014</t>
  </si>
  <si>
    <t>BINYAMEEN .</t>
  </si>
  <si>
    <t>K12MR1022591</t>
  </si>
  <si>
    <t>NF1SZC63S00205237</t>
  </si>
  <si>
    <t>BDY-890-ICT</t>
  </si>
  <si>
    <t>Faisalabad</t>
  </si>
  <si>
    <t>CI-2024-0405-0021</t>
  </si>
  <si>
    <t>MUHAMMAD ZAHID GULZAR</t>
  </si>
  <si>
    <t>City 1.2LS CVT</t>
  </si>
  <si>
    <t>L12B51026666</t>
  </si>
  <si>
    <t>NFBGN8628RR043138</t>
  </si>
  <si>
    <t>BEJ-242-ICT</t>
  </si>
  <si>
    <t>CI-2024-0411-0025</t>
  </si>
  <si>
    <t>MUHAMMAD TANVEER ARSHAD</t>
  </si>
  <si>
    <t>2A68208</t>
  </si>
  <si>
    <t>NSP150R-7045562</t>
  </si>
  <si>
    <t>BEG-328-ICT</t>
  </si>
  <si>
    <t>CI-2024-0418-0006</t>
  </si>
  <si>
    <t>HAMZA SULEMAN</t>
  </si>
  <si>
    <t>Corolla Altis 1.6 MT</t>
  </si>
  <si>
    <t>Q108403</t>
  </si>
  <si>
    <t>ZRE171R-6085909</t>
  </si>
  <si>
    <t>ASR- 526 PUNJAB</t>
  </si>
  <si>
    <t>CI-2024-0425-0012</t>
  </si>
  <si>
    <t>MUHAMMAD FURQAN</t>
  </si>
  <si>
    <t>Corolla Altis 1.6 AT</t>
  </si>
  <si>
    <t>Q090224</t>
  </si>
  <si>
    <t>ZRE171R-6067676</t>
  </si>
  <si>
    <t>AXG-297-ICT</t>
  </si>
  <si>
    <t>CI-2024-1265-0001</t>
  </si>
  <si>
    <t>SHEIKH RIZWAN HAIDER</t>
  </si>
  <si>
    <t>City 1.2 AT</t>
  </si>
  <si>
    <t>L12B51010335</t>
  </si>
  <si>
    <t>NFBGN8628NR017228</t>
  </si>
  <si>
    <t>AJH-164-PUNJAB</t>
  </si>
  <si>
    <t>Nankana Sahib</t>
  </si>
  <si>
    <t>CI-2024-3301-0005</t>
  </si>
  <si>
    <t>SAGHEER AHMAD</t>
  </si>
  <si>
    <t>Cultus VXR</t>
  </si>
  <si>
    <t>PK10K210775</t>
  </si>
  <si>
    <t>NF1AVK31H10110787</t>
  </si>
  <si>
    <t>ASR-198-PUNJAB</t>
  </si>
  <si>
    <t>Jhang</t>
  </si>
  <si>
    <t>CI-2024-9836-0011</t>
  </si>
  <si>
    <t>MUHAMMAD ZUBAIR MUBARAK</t>
  </si>
  <si>
    <t>Corolla Altis Grande AT</t>
  </si>
  <si>
    <t>Q355524</t>
  </si>
  <si>
    <t>ZRE172R-7054705</t>
  </si>
  <si>
    <t>AWJ-883-ICT</t>
  </si>
  <si>
    <t>Samundri</t>
  </si>
  <si>
    <t>CI-2024-1260-0002</t>
  </si>
  <si>
    <t>ATTA ULLAH</t>
  </si>
  <si>
    <t>Corolla Altis 1.6 AT Special Edition</t>
  </si>
  <si>
    <t>Q108452</t>
  </si>
  <si>
    <t>ZRE171R-6085968</t>
  </si>
  <si>
    <t>ASR-925-PUNJAB</t>
  </si>
  <si>
    <t>Chak Jhumra</t>
  </si>
  <si>
    <t>TMS PREMIUM</t>
  </si>
  <si>
    <t>DIFFERENCE PREMIUM</t>
  </si>
  <si>
    <t xml:space="preserve">Policy No. </t>
  </si>
  <si>
    <t>KHI/HO/D/MO/PC COMP/C/96598/1/09/2024</t>
  </si>
  <si>
    <t>KHI/HO/D/MO/PC COMP/C/96760/11/09/2024</t>
  </si>
  <si>
    <t>KHI/HO/D/MO/PC COMP/C/96760/3/09/2024</t>
  </si>
  <si>
    <t>KHI/HO/D/MO/PC COMP/C/96760/4/09/2024</t>
  </si>
  <si>
    <t>KHI/HO/D/MO/PC COMP/C/96760/7/09/2024</t>
  </si>
  <si>
    <t>KHI/HO/D/MO/PC COMP/C/96760/2/09/2024</t>
  </si>
  <si>
    <t>KHI/HO/D/MO/PC COMP/C/96760/1/09/2024</t>
  </si>
  <si>
    <t>KHI/HO/D/MO/PC COMP/C/94384/23/08/2024</t>
  </si>
  <si>
    <t>KHI/HO/D/MO/PC COMP/C/94384/22/08/2024</t>
  </si>
  <si>
    <t>KHI/HO/D/MO/PC COMP/C/96760/6/09/2024</t>
  </si>
  <si>
    <t>KHI/HO/D/MO/PC COMP/C/96760/8/09/2024</t>
  </si>
  <si>
    <t>KHI/HO/D/MO/PC COMP/C/96760/10/09/2024</t>
  </si>
  <si>
    <t>KHI/HO/D/MO/PC COMP/P/94440/06/08/2024</t>
  </si>
  <si>
    <t>KHI/HO/D/MO/PC COMP/P/94440/05/08/2024</t>
  </si>
  <si>
    <t>KHI/HO/D/MO/PC COMP/P/94836/02/08/2024</t>
  </si>
  <si>
    <t>KHI/HO/D/MO/PC COMP/P/94431/40/08/2024</t>
  </si>
  <si>
    <t>KHI/HO/D/MO/PC COMP/P/94381/11/08/2024</t>
  </si>
  <si>
    <t>KHI/HO/D/MO/PC COMP/P/94381/12/08/2024</t>
  </si>
  <si>
    <t>KHI/HO/D/MO/PC COMP/C/96666/1/09/2024</t>
  </si>
  <si>
    <t>KHI/HO/D/MO/PC COMP/C/96746/3/09/2024</t>
  </si>
  <si>
    <t>KHI/HO/D/MO/PC COMP/C/96746/2/09/2024</t>
  </si>
  <si>
    <t>KHI/HO/D/MO/PC COMP/C/96746/6/09/2024</t>
  </si>
  <si>
    <t>KHI/HO/D/MO/PC COMP/C/96617/1/09/2024</t>
  </si>
  <si>
    <t>KHI/HO/D/MO/PC COMP/C/96617/3/09/2024</t>
  </si>
  <si>
    <t>KHI/HO/D/MO/PC COMP/C/96617/2/09/2024</t>
  </si>
  <si>
    <t>KHI/HO/D/MO/PC COMP/C/96876/2/09/2024</t>
  </si>
  <si>
    <t>KHI/HO/D/MO/PC COMP/C/96876/3/09/2024</t>
  </si>
  <si>
    <t>KHI/HO/D/MO/PC COMP/C/96876/1/09/2024</t>
  </si>
  <si>
    <t>KHI/HO/D/MO/PC COMP/C/96627/4/09/2024</t>
  </si>
  <si>
    <t>KHI/HO/D/MO/PC COMP/C/96627/7/09/2024</t>
  </si>
  <si>
    <t>KHI/HO/D/MO/PC COMP/C/96627/1/09/2024</t>
  </si>
  <si>
    <t>KHI/HO/D/MO/PC COMP/C/96627/3/09/2024</t>
  </si>
  <si>
    <t>KHI/HO/D/MO/PC COMP/C/96772/3/09/2024</t>
  </si>
  <si>
    <t>KHI/HO/D/MO/PC COMP/C/96598/4/09/2024</t>
  </si>
  <si>
    <t>KHI/HO/D/MO/PC COMP/C/96598/3/09/2024</t>
  </si>
  <si>
    <t>KHI/HO/D/MO/PC COMP/C/96772/1/09/2024</t>
  </si>
  <si>
    <t>KHI/HO/D/MO/PC COMP/C/96598/2/09/2024</t>
  </si>
  <si>
    <t>KHI/HO/D/MO/PC COMP/C/96772/2/09/2024</t>
  </si>
  <si>
    <t>KHI/HO/D/MO/PC COMP/C/96772/4/09/2024</t>
  </si>
  <si>
    <t>KHI/HO/D/MO/PC COMP/C/96746/5/09/2024</t>
  </si>
  <si>
    <t>KHI/HO/D/MO/PC COMP/C/97375/1/09/2024</t>
  </si>
  <si>
    <t>KHI/HO/D/MO/PC COMP/C/97375/2/09/2024</t>
  </si>
  <si>
    <t>KHI/HO/D/MO/PC COMP/C/96746/1/09/2024</t>
  </si>
  <si>
    <t>KHI/HO/D/MO/PC COMP/C/96746/4/09/2024</t>
  </si>
  <si>
    <t>KHI/HO/D/MO/PC COMP/C/97576/1/09/2024</t>
  </si>
  <si>
    <t>KHI/HO/D/MO/PC COMP/P/97564/09/2024</t>
  </si>
  <si>
    <t>KHI/HO/D/MO/PC COMP/C/96627/5/09/2024</t>
  </si>
  <si>
    <t>KHI/HO/D/MO/PC COMP/C/96627/2/09/2024</t>
  </si>
  <si>
    <t>KHI/HO/D/MO/PC COMP/C/96627/6/09/2024</t>
  </si>
  <si>
    <t>KHI/HO/D/MO/PC COMP/C/96627/8/09/2024</t>
  </si>
  <si>
    <t>KHI/HO/D/MO/PC COMP/C/94791/3/08/2024</t>
  </si>
  <si>
    <t>KHI/HO/D/MO/PC COMP/C/94431/22/08/2024</t>
  </si>
  <si>
    <t>End. #</t>
  </si>
  <si>
    <t>KHI/HO/D/MO/PC COMP/E/46610/00006/10/2024</t>
  </si>
  <si>
    <t>KHI/HO/D/MO/PC COMP/E/46595/00002/10/2024</t>
  </si>
  <si>
    <t>KHI/HO/D/MO/PC COMP/E/46608/00012/10/2024</t>
  </si>
  <si>
    <t>-09-2024</t>
  </si>
  <si>
    <t>-08-2024</t>
  </si>
  <si>
    <t>00011</t>
  </si>
  <si>
    <t>00003</t>
  </si>
  <si>
    <t>00004</t>
  </si>
  <si>
    <t>00007</t>
  </si>
  <si>
    <t>00002</t>
  </si>
  <si>
    <t>00001</t>
  </si>
  <si>
    <t>00023</t>
  </si>
  <si>
    <t>00022</t>
  </si>
  <si>
    <t>00006</t>
  </si>
  <si>
    <t>00008</t>
  </si>
  <si>
    <t>00005</t>
  </si>
  <si>
    <t>00010</t>
  </si>
  <si>
    <t>00009</t>
  </si>
  <si>
    <t>00040</t>
  </si>
  <si>
    <t>00012</t>
  </si>
  <si>
    <t>POLICY NO.</t>
  </si>
  <si>
    <t>Assorted_code</t>
  </si>
  <si>
    <t>Premium</t>
  </si>
  <si>
    <t xml:space="preserve"> </t>
  </si>
  <si>
    <t>070000164860</t>
  </si>
  <si>
    <t>070000165539</t>
  </si>
  <si>
    <t>070000166158</t>
  </si>
  <si>
    <t>070000165431</t>
  </si>
  <si>
    <t>070000165762</t>
  </si>
  <si>
    <t>070000165445</t>
  </si>
  <si>
    <t>070000165596</t>
  </si>
  <si>
    <t>070000165000</t>
  </si>
  <si>
    <t>KHI/HO/D/MO/PC COMP/C/94440/5/08/2024</t>
  </si>
  <si>
    <t>070000164905</t>
  </si>
  <si>
    <t>070000165227</t>
  </si>
  <si>
    <t>070000165514</t>
  </si>
  <si>
    <t>070000166131</t>
  </si>
  <si>
    <t>070000164915</t>
  </si>
  <si>
    <t>KHI/HO/D/MO/PC COMP/C/94836/2/08/2024</t>
  </si>
  <si>
    <t>070000164934</t>
  </si>
  <si>
    <t>070000165012</t>
  </si>
  <si>
    <t>070000165393</t>
  </si>
  <si>
    <t>070000164991</t>
  </si>
  <si>
    <t>070000164951</t>
  </si>
  <si>
    <t>070000165272</t>
  </si>
  <si>
    <t>070000165247</t>
  </si>
  <si>
    <t>070000165263</t>
  </si>
  <si>
    <t>070000165280</t>
  </si>
  <si>
    <t>070000165576</t>
  </si>
  <si>
    <t>070000165461</t>
  </si>
  <si>
    <t>070000164948</t>
  </si>
  <si>
    <t>070000165701</t>
  </si>
  <si>
    <t>KHI/HO/D/MO/PC COMP/C/94381/11/08/2024</t>
  </si>
  <si>
    <t>070000164858</t>
  </si>
  <si>
    <t>070000165699</t>
  </si>
  <si>
    <t>070000165700</t>
  </si>
  <si>
    <t>070000165288</t>
  </si>
  <si>
    <t>070000165290</t>
  </si>
  <si>
    <t>070000165292</t>
  </si>
  <si>
    <t>070000166608</t>
  </si>
  <si>
    <t>070000165251</t>
  </si>
  <si>
    <t>KHI/HO/D/MO/PC COMP/C/94381/12/08/2024</t>
  </si>
  <si>
    <t>070000164944</t>
  </si>
  <si>
    <t>070000165296</t>
  </si>
  <si>
    <t>070000165515</t>
  </si>
  <si>
    <t>070000166581</t>
  </si>
  <si>
    <t>070000165253</t>
  </si>
  <si>
    <t>070000165656</t>
  </si>
  <si>
    <t>070000165309</t>
  </si>
  <si>
    <t>070000165441</t>
  </si>
  <si>
    <t>KHI/HO/D/MO/PC COMP/C/94440/6/08/2024</t>
  </si>
  <si>
    <t>070000164914</t>
  </si>
  <si>
    <t>070000165493</t>
  </si>
  <si>
    <t>070000165495</t>
  </si>
  <si>
    <t>070000165776</t>
  </si>
  <si>
    <t>070000165658</t>
  </si>
  <si>
    <t>070000164993</t>
  </si>
  <si>
    <t>070000165465</t>
  </si>
  <si>
    <t>070000165479</t>
  </si>
  <si>
    <t>040000184290</t>
  </si>
  <si>
    <t>08Oct240154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</si>
</sst>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65" fontId="0" fillId="0" borderId="1" xfId="1" applyNumberFormat="1" applyFont="1" applyBorder="1"/>
    <xf numFmtId="43" fontId="0" fillId="0" borderId="1" xfId="0" applyNumberFormat="1" applyBorder="1"/>
    <xf numFmtId="0" fontId="2" fillId="2" borderId="0" xfId="0" applyFont="1" applyFill="1"/>
    <xf numFmtId="0" fontId="2" fillId="3" borderId="1" xfId="0" applyFont="1" applyFill="1" applyBorder="1"/>
    <xf numFmtId="165" fontId="2" fillId="3" borderId="1" xfId="1" applyNumberFormat="1" applyFont="1" applyFill="1" applyBorder="1"/>
    <xf numFmtId="43" fontId="2" fillId="0" borderId="2" xfId="0" applyNumberFormat="1" applyFont="1" applyBorder="1"/>
    <xf numFmtId="166" fontId="0" fillId="0" borderId="1" xfId="1" applyNumberFormat="1" applyFont="1" applyBorder="1"/>
    <xf numFmtId="0" fontId="3" fillId="0" borderId="1" xfId="0" applyFont="1" applyBorder="1"/>
    <xf numFmtId="166" fontId="3" fillId="0" borderId="1" xfId="1" applyNumberFormat="1" applyFont="1" applyBorder="1"/>
    <xf numFmtId="166" fontId="2" fillId="3" borderId="1" xfId="1" applyNumberFormat="1" applyFont="1" applyFill="1" applyBorder="1"/>
    <xf numFmtId="166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6" fontId="4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43" fontId="0" fillId="0" borderId="0" xfId="0" applyNumberFormat="1"/>
    <xf numFmtId="0" fontId="0" fillId="3" borderId="1" xfId="0" applyFill="1" applyBorder="1"/>
    <xf numFmtId="0" fontId="5" fillId="0" borderId="0" xfId="0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topLeftCell="I28" zoomScaleNormal="100" workbookViewId="0">
      <selection activeCell="P29" sqref="P29"/>
    </sheetView>
  </sheetViews>
  <sheetFormatPr defaultRowHeight="15" x14ac:dyDescent="0.25"/>
  <cols>
    <col min="1" max="1" width="14.28515625" customWidth="1"/>
    <col min="2" max="2" width="17" customWidth="1"/>
    <col min="3" max="3" width="34.42578125" bestFit="1" customWidth="1"/>
    <col min="4" max="4" width="17.5703125" bestFit="1" customWidth="1"/>
    <col min="5" max="5" width="19.7109375" customWidth="1"/>
    <col min="6" max="6" width="7.28515625" bestFit="1" customWidth="1"/>
    <col min="7" max="7" width="24" bestFit="1" customWidth="1"/>
    <col min="8" max="8" width="43.85546875" bestFit="1" customWidth="1"/>
    <col min="9" max="9" width="14" bestFit="1" customWidth="1"/>
    <col min="10" max="10" width="20.140625" bestFit="1" customWidth="1"/>
    <col min="11" max="11" width="21.140625" bestFit="1" customWidth="1"/>
    <col min="12" max="12" width="20.42578125" bestFit="1" customWidth="1"/>
    <col min="13" max="13" width="17.28515625" bestFit="1" customWidth="1"/>
    <col min="14" max="14" width="16.140625" bestFit="1" customWidth="1"/>
    <col min="15" max="15" width="14.140625" bestFit="1" customWidth="1"/>
    <col min="16" max="16" width="55.7109375" customWidth="1"/>
    <col min="17" max="17" width="16.7109375" bestFit="1" customWidth="1"/>
    <col min="18" max="18" width="43.7109375" customWidth="1"/>
    <col min="19" max="20" width="23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333</v>
      </c>
      <c r="Q1" s="1" t="s">
        <v>331</v>
      </c>
      <c r="R1" s="1" t="s">
        <v>386</v>
      </c>
      <c r="S1" s="1" t="s">
        <v>332</v>
      </c>
      <c r="T1" s="5"/>
    </row>
    <row r="2" spans="1:20" x14ac:dyDescent="0.25">
      <c r="A2" s="2" t="s">
        <v>15</v>
      </c>
      <c r="B2" s="2" t="s">
        <v>16</v>
      </c>
      <c r="C2" s="2" t="s">
        <v>17</v>
      </c>
      <c r="D2" s="3">
        <v>4574000</v>
      </c>
      <c r="E2" s="4">
        <v>68610</v>
      </c>
      <c r="F2" s="2">
        <v>3</v>
      </c>
      <c r="G2" s="2">
        <v>20240829</v>
      </c>
      <c r="H2" s="2" t="s">
        <v>18</v>
      </c>
      <c r="I2" s="2">
        <v>1.5</v>
      </c>
      <c r="J2" s="2" t="s">
        <v>19</v>
      </c>
      <c r="K2" s="2" t="s">
        <v>20</v>
      </c>
      <c r="L2" s="2" t="s">
        <v>21</v>
      </c>
      <c r="M2" s="2">
        <v>20241105</v>
      </c>
      <c r="N2" s="2" t="s">
        <v>22</v>
      </c>
      <c r="O2" s="2" t="s">
        <v>23</v>
      </c>
      <c r="P2" s="2" t="s">
        <v>335</v>
      </c>
      <c r="Q2" s="9">
        <v>68610</v>
      </c>
      <c r="R2" s="2"/>
      <c r="S2" s="4">
        <f>E2-Q2</f>
        <v>0</v>
      </c>
    </row>
    <row r="3" spans="1:20" x14ac:dyDescent="0.25">
      <c r="A3" s="2" t="s">
        <v>15</v>
      </c>
      <c r="B3" s="2" t="s">
        <v>24</v>
      </c>
      <c r="C3" s="2" t="s">
        <v>25</v>
      </c>
      <c r="D3" s="3">
        <v>8063000</v>
      </c>
      <c r="E3" s="4">
        <v>120945</v>
      </c>
      <c r="F3" s="2">
        <v>3</v>
      </c>
      <c r="G3" s="2">
        <v>20240822</v>
      </c>
      <c r="H3" s="2" t="s">
        <v>26</v>
      </c>
      <c r="I3" s="2">
        <v>1.5</v>
      </c>
      <c r="J3" s="2" t="s">
        <v>19</v>
      </c>
      <c r="K3" s="2" t="s">
        <v>27</v>
      </c>
      <c r="L3" s="2" t="s">
        <v>28</v>
      </c>
      <c r="M3" s="2">
        <v>20241020</v>
      </c>
      <c r="N3" s="2" t="s">
        <v>22</v>
      </c>
      <c r="O3" s="2" t="s">
        <v>23</v>
      </c>
      <c r="P3" s="2" t="s">
        <v>336</v>
      </c>
      <c r="Q3" s="9">
        <v>120945</v>
      </c>
      <c r="R3" s="2"/>
      <c r="S3" s="4">
        <f t="shared" ref="S3:S53" si="0">E3-Q3</f>
        <v>0</v>
      </c>
    </row>
    <row r="4" spans="1:20" x14ac:dyDescent="0.25">
      <c r="A4" s="2" t="s">
        <v>15</v>
      </c>
      <c r="B4" s="2" t="s">
        <v>29</v>
      </c>
      <c r="C4" s="2" t="s">
        <v>30</v>
      </c>
      <c r="D4" s="3">
        <v>2550000</v>
      </c>
      <c r="E4" s="4">
        <v>38250</v>
      </c>
      <c r="F4" s="2">
        <v>1</v>
      </c>
      <c r="G4" s="2">
        <v>20240911</v>
      </c>
      <c r="H4" s="2" t="s">
        <v>33</v>
      </c>
      <c r="I4" s="2">
        <v>1.5</v>
      </c>
      <c r="J4" s="2" t="s">
        <v>19</v>
      </c>
      <c r="K4" s="2" t="s">
        <v>35</v>
      </c>
      <c r="L4" s="2" t="s">
        <v>36</v>
      </c>
      <c r="M4" s="2">
        <v>20241020</v>
      </c>
      <c r="N4" s="2" t="s">
        <v>39</v>
      </c>
      <c r="O4" s="2" t="s">
        <v>23</v>
      </c>
      <c r="P4" s="2" t="s">
        <v>337</v>
      </c>
      <c r="Q4" s="9">
        <v>38250</v>
      </c>
      <c r="R4" s="2"/>
      <c r="S4" s="4">
        <f t="shared" si="0"/>
        <v>0</v>
      </c>
    </row>
    <row r="5" spans="1:20" x14ac:dyDescent="0.25">
      <c r="A5" s="2" t="s">
        <v>15</v>
      </c>
      <c r="B5" s="2" t="s">
        <v>31</v>
      </c>
      <c r="C5" s="2" t="s">
        <v>32</v>
      </c>
      <c r="D5" s="3">
        <v>4600000</v>
      </c>
      <c r="E5" s="4">
        <v>69000</v>
      </c>
      <c r="F5" s="2">
        <v>3</v>
      </c>
      <c r="G5" s="2">
        <v>20240919</v>
      </c>
      <c r="H5" s="2" t="s">
        <v>34</v>
      </c>
      <c r="I5" s="2">
        <v>1.5</v>
      </c>
      <c r="J5" s="2" t="s">
        <v>19</v>
      </c>
      <c r="K5" s="2" t="s">
        <v>37</v>
      </c>
      <c r="L5" s="2" t="s">
        <v>38</v>
      </c>
      <c r="M5" s="2">
        <v>20241025</v>
      </c>
      <c r="N5" s="2" t="s">
        <v>40</v>
      </c>
      <c r="O5" s="2" t="s">
        <v>23</v>
      </c>
      <c r="P5" s="2" t="s">
        <v>338</v>
      </c>
      <c r="Q5" s="9">
        <v>69000</v>
      </c>
      <c r="R5" s="2"/>
      <c r="S5" s="4">
        <f t="shared" si="0"/>
        <v>0</v>
      </c>
    </row>
    <row r="6" spans="1:20" x14ac:dyDescent="0.25">
      <c r="A6" s="2" t="s">
        <v>15</v>
      </c>
      <c r="B6" s="2" t="s">
        <v>41</v>
      </c>
      <c r="C6" s="2" t="s">
        <v>42</v>
      </c>
      <c r="D6" s="3">
        <v>3045000</v>
      </c>
      <c r="E6" s="4">
        <v>45675</v>
      </c>
      <c r="F6" s="2">
        <v>3</v>
      </c>
      <c r="G6" s="2">
        <v>20240627</v>
      </c>
      <c r="H6" s="2" t="s">
        <v>43</v>
      </c>
      <c r="I6" s="2">
        <v>1.5</v>
      </c>
      <c r="J6" s="2" t="s">
        <v>19</v>
      </c>
      <c r="K6" s="2" t="s">
        <v>44</v>
      </c>
      <c r="L6" s="2" t="s">
        <v>45</v>
      </c>
      <c r="M6" s="2">
        <v>20241010</v>
      </c>
      <c r="N6" s="2" t="s">
        <v>22</v>
      </c>
      <c r="O6" s="2" t="s">
        <v>23</v>
      </c>
      <c r="P6" s="2" t="s">
        <v>339</v>
      </c>
      <c r="Q6" s="9">
        <v>45675</v>
      </c>
      <c r="R6" s="2"/>
      <c r="S6" s="4">
        <f t="shared" si="0"/>
        <v>0</v>
      </c>
    </row>
    <row r="7" spans="1:20" x14ac:dyDescent="0.25">
      <c r="A7" s="2" t="s">
        <v>15</v>
      </c>
      <c r="B7" s="2" t="s">
        <v>46</v>
      </c>
      <c r="C7" s="2" t="s">
        <v>47</v>
      </c>
      <c r="D7" s="3">
        <v>2707000</v>
      </c>
      <c r="E7" s="4">
        <v>40605</v>
      </c>
      <c r="F7" s="2">
        <v>5</v>
      </c>
      <c r="G7" s="2">
        <v>20240826</v>
      </c>
      <c r="H7" s="2" t="s">
        <v>48</v>
      </c>
      <c r="I7" s="2">
        <v>1.5</v>
      </c>
      <c r="J7" s="2" t="s">
        <v>19</v>
      </c>
      <c r="K7" s="2" t="s">
        <v>49</v>
      </c>
      <c r="L7" s="2" t="s">
        <v>50</v>
      </c>
      <c r="M7" s="2">
        <v>20241010</v>
      </c>
      <c r="N7" s="2" t="s">
        <v>22</v>
      </c>
      <c r="O7" s="2" t="s">
        <v>23</v>
      </c>
      <c r="P7" s="2" t="s">
        <v>340</v>
      </c>
      <c r="Q7" s="9">
        <v>40605</v>
      </c>
      <c r="R7" s="2"/>
      <c r="S7" s="4">
        <f t="shared" si="0"/>
        <v>0</v>
      </c>
    </row>
    <row r="8" spans="1:20" x14ac:dyDescent="0.25">
      <c r="A8" s="2" t="s">
        <v>15</v>
      </c>
      <c r="B8" s="2" t="s">
        <v>51</v>
      </c>
      <c r="C8" s="2" t="s">
        <v>52</v>
      </c>
      <c r="D8" s="3">
        <v>4200000</v>
      </c>
      <c r="E8" s="4">
        <v>63000</v>
      </c>
      <c r="F8" s="2">
        <v>3</v>
      </c>
      <c r="G8" s="2">
        <v>20240823</v>
      </c>
      <c r="H8" s="2" t="s">
        <v>57</v>
      </c>
      <c r="I8" s="2">
        <v>1.5</v>
      </c>
      <c r="J8" s="2" t="s">
        <v>19</v>
      </c>
      <c r="K8" s="2" t="s">
        <v>60</v>
      </c>
      <c r="L8" s="2" t="s">
        <v>61</v>
      </c>
      <c r="M8" s="2">
        <v>20241005</v>
      </c>
      <c r="N8" s="2" t="s">
        <v>66</v>
      </c>
      <c r="O8" s="2" t="s">
        <v>23</v>
      </c>
      <c r="P8" s="2" t="s">
        <v>341</v>
      </c>
      <c r="Q8" s="9">
        <v>63000</v>
      </c>
      <c r="R8" s="2"/>
      <c r="S8" s="4">
        <f t="shared" si="0"/>
        <v>0</v>
      </c>
    </row>
    <row r="9" spans="1:20" x14ac:dyDescent="0.25">
      <c r="A9" s="2" t="s">
        <v>15</v>
      </c>
      <c r="B9" s="2" t="s">
        <v>53</v>
      </c>
      <c r="C9" s="2" t="s">
        <v>54</v>
      </c>
      <c r="D9" s="3">
        <v>4900000</v>
      </c>
      <c r="E9" s="4">
        <v>73500</v>
      </c>
      <c r="F9" s="2">
        <v>3</v>
      </c>
      <c r="G9" s="2">
        <v>20240828</v>
      </c>
      <c r="H9" s="2" t="s">
        <v>58</v>
      </c>
      <c r="I9" s="2">
        <v>1.5</v>
      </c>
      <c r="J9" s="2" t="s">
        <v>19</v>
      </c>
      <c r="K9" s="2" t="s">
        <v>62</v>
      </c>
      <c r="L9" s="2" t="s">
        <v>63</v>
      </c>
      <c r="M9" s="2">
        <v>20241005</v>
      </c>
      <c r="N9" s="2" t="s">
        <v>67</v>
      </c>
      <c r="O9" s="2" t="s">
        <v>23</v>
      </c>
      <c r="P9" s="2" t="s">
        <v>342</v>
      </c>
      <c r="Q9" s="9">
        <v>73500</v>
      </c>
      <c r="R9" s="2"/>
      <c r="S9" s="4">
        <f t="shared" si="0"/>
        <v>0</v>
      </c>
    </row>
    <row r="10" spans="1:20" x14ac:dyDescent="0.25">
      <c r="A10" s="2" t="s">
        <v>15</v>
      </c>
      <c r="B10" s="2" t="s">
        <v>55</v>
      </c>
      <c r="C10" s="2" t="s">
        <v>56</v>
      </c>
      <c r="D10" s="3">
        <v>3360000</v>
      </c>
      <c r="E10" s="4">
        <v>50400</v>
      </c>
      <c r="F10" s="2">
        <v>5</v>
      </c>
      <c r="G10" s="2">
        <v>20240918</v>
      </c>
      <c r="H10" s="2" t="s">
        <v>59</v>
      </c>
      <c r="I10" s="2">
        <v>1.5</v>
      </c>
      <c r="J10" s="2" t="s">
        <v>19</v>
      </c>
      <c r="K10" s="2" t="s">
        <v>64</v>
      </c>
      <c r="L10" s="2" t="s">
        <v>65</v>
      </c>
      <c r="M10" s="2">
        <v>20241025</v>
      </c>
      <c r="N10" s="2" t="s">
        <v>68</v>
      </c>
      <c r="O10" s="2" t="s">
        <v>23</v>
      </c>
      <c r="P10" s="2" t="s">
        <v>343</v>
      </c>
      <c r="Q10" s="9">
        <v>50400</v>
      </c>
      <c r="R10" s="2"/>
      <c r="S10" s="4">
        <f t="shared" si="0"/>
        <v>0</v>
      </c>
    </row>
    <row r="11" spans="1:20" x14ac:dyDescent="0.25">
      <c r="A11" s="2" t="s">
        <v>15</v>
      </c>
      <c r="B11" s="2" t="s">
        <v>69</v>
      </c>
      <c r="C11" s="2" t="s">
        <v>70</v>
      </c>
      <c r="D11" s="3">
        <v>3045000</v>
      </c>
      <c r="E11" s="4">
        <v>45675</v>
      </c>
      <c r="F11" s="2">
        <v>3</v>
      </c>
      <c r="G11" s="2">
        <v>20240628</v>
      </c>
      <c r="H11" s="2" t="s">
        <v>43</v>
      </c>
      <c r="I11" s="2">
        <v>1.5</v>
      </c>
      <c r="J11" s="2" t="s">
        <v>19</v>
      </c>
      <c r="K11" s="2" t="s">
        <v>71</v>
      </c>
      <c r="L11" s="2" t="s">
        <v>72</v>
      </c>
      <c r="M11" s="2">
        <v>20241025</v>
      </c>
      <c r="N11" s="2" t="s">
        <v>22</v>
      </c>
      <c r="O11" s="2" t="s">
        <v>73</v>
      </c>
      <c r="P11" s="2" t="s">
        <v>344</v>
      </c>
      <c r="Q11" s="9">
        <v>45675</v>
      </c>
      <c r="R11" s="2"/>
      <c r="S11" s="4">
        <f t="shared" si="0"/>
        <v>0</v>
      </c>
    </row>
    <row r="12" spans="1:20" x14ac:dyDescent="0.25">
      <c r="A12" s="2" t="s">
        <v>15</v>
      </c>
      <c r="B12" s="2" t="s">
        <v>74</v>
      </c>
      <c r="C12" s="2" t="s">
        <v>75</v>
      </c>
      <c r="D12" s="3">
        <v>4760000</v>
      </c>
      <c r="E12" s="4">
        <v>71400</v>
      </c>
      <c r="F12" s="2">
        <v>3</v>
      </c>
      <c r="G12" s="2">
        <v>20240730</v>
      </c>
      <c r="H12" s="2" t="s">
        <v>76</v>
      </c>
      <c r="I12" s="2">
        <v>1.5</v>
      </c>
      <c r="J12" s="2" t="s">
        <v>19</v>
      </c>
      <c r="K12" s="2" t="s">
        <v>77</v>
      </c>
      <c r="L12" s="2" t="s">
        <v>78</v>
      </c>
      <c r="M12" s="2">
        <v>20241025</v>
      </c>
      <c r="N12" s="2" t="s">
        <v>22</v>
      </c>
      <c r="O12" s="2" t="s">
        <v>23</v>
      </c>
      <c r="P12" s="2" t="s">
        <v>373</v>
      </c>
      <c r="Q12" s="9">
        <v>71400</v>
      </c>
      <c r="R12" s="2"/>
      <c r="S12" s="4">
        <f t="shared" si="0"/>
        <v>0</v>
      </c>
    </row>
    <row r="13" spans="1:20" x14ac:dyDescent="0.25">
      <c r="A13" s="2" t="s">
        <v>15</v>
      </c>
      <c r="B13" s="2" t="s">
        <v>79</v>
      </c>
      <c r="C13" s="2" t="s">
        <v>80</v>
      </c>
      <c r="D13" s="3">
        <v>3045000</v>
      </c>
      <c r="E13" s="4">
        <v>45675</v>
      </c>
      <c r="F13" s="2">
        <v>5</v>
      </c>
      <c r="G13" s="2">
        <v>20240726</v>
      </c>
      <c r="H13" s="2" t="s">
        <v>43</v>
      </c>
      <c r="I13" s="2">
        <v>1.5</v>
      </c>
      <c r="J13" s="2" t="s">
        <v>19</v>
      </c>
      <c r="K13" s="2" t="s">
        <v>81</v>
      </c>
      <c r="L13" s="2" t="s">
        <v>82</v>
      </c>
      <c r="M13" s="2">
        <v>20241025</v>
      </c>
      <c r="N13" s="2" t="s">
        <v>22</v>
      </c>
      <c r="O13" s="2" t="s">
        <v>23</v>
      </c>
      <c r="P13" s="2" t="s">
        <v>345</v>
      </c>
      <c r="Q13" s="9">
        <v>45675</v>
      </c>
      <c r="R13" s="2"/>
      <c r="S13" s="4">
        <f t="shared" si="0"/>
        <v>0</v>
      </c>
    </row>
    <row r="14" spans="1:20" x14ac:dyDescent="0.25">
      <c r="A14" s="2" t="s">
        <v>83</v>
      </c>
      <c r="B14" s="2" t="s">
        <v>84</v>
      </c>
      <c r="C14" s="2" t="s">
        <v>85</v>
      </c>
      <c r="D14" s="3">
        <v>3045000</v>
      </c>
      <c r="E14" s="4">
        <v>45675</v>
      </c>
      <c r="F14" s="2">
        <v>3</v>
      </c>
      <c r="G14" s="2">
        <v>20240731</v>
      </c>
      <c r="H14" s="2" t="s">
        <v>86</v>
      </c>
      <c r="I14" s="2">
        <v>1.5</v>
      </c>
      <c r="J14" s="2" t="s">
        <v>19</v>
      </c>
      <c r="K14" s="2" t="s">
        <v>87</v>
      </c>
      <c r="L14" s="2" t="s">
        <v>88</v>
      </c>
      <c r="M14" s="2">
        <v>20241015</v>
      </c>
      <c r="N14" s="2" t="s">
        <v>89</v>
      </c>
      <c r="O14" s="2" t="s">
        <v>90</v>
      </c>
      <c r="P14" s="2" t="s">
        <v>352</v>
      </c>
      <c r="Q14" s="9">
        <v>45675</v>
      </c>
      <c r="R14" s="2"/>
      <c r="S14" s="4">
        <f t="shared" si="0"/>
        <v>0</v>
      </c>
    </row>
    <row r="15" spans="1:20" x14ac:dyDescent="0.25">
      <c r="A15" s="2" t="s">
        <v>91</v>
      </c>
      <c r="B15" s="2" t="s">
        <v>92</v>
      </c>
      <c r="C15" s="2" t="s">
        <v>93</v>
      </c>
      <c r="D15" s="3">
        <v>2707000</v>
      </c>
      <c r="E15" s="4">
        <v>40605</v>
      </c>
      <c r="F15" s="2">
        <v>3</v>
      </c>
      <c r="G15" s="2">
        <v>20240730</v>
      </c>
      <c r="H15" s="2" t="s">
        <v>48</v>
      </c>
      <c r="I15" s="2">
        <v>1.5</v>
      </c>
      <c r="J15" s="2" t="s">
        <v>19</v>
      </c>
      <c r="K15" s="2" t="s">
        <v>94</v>
      </c>
      <c r="L15" s="2" t="s">
        <v>95</v>
      </c>
      <c r="M15" s="2">
        <v>20241025</v>
      </c>
      <c r="N15" s="2" t="s">
        <v>96</v>
      </c>
      <c r="O15" s="2" t="s">
        <v>97</v>
      </c>
      <c r="P15" s="2" t="s">
        <v>374</v>
      </c>
      <c r="Q15" s="9">
        <v>40605</v>
      </c>
      <c r="R15" s="2"/>
      <c r="S15" s="4">
        <f t="shared" si="0"/>
        <v>0</v>
      </c>
    </row>
    <row r="16" spans="1:20" x14ac:dyDescent="0.25">
      <c r="A16" s="2" t="s">
        <v>91</v>
      </c>
      <c r="B16" s="2" t="s">
        <v>98</v>
      </c>
      <c r="C16" s="2" t="s">
        <v>99</v>
      </c>
      <c r="D16" s="3">
        <v>3045000</v>
      </c>
      <c r="E16" s="4">
        <v>45675</v>
      </c>
      <c r="F16" s="2">
        <v>1</v>
      </c>
      <c r="G16" s="2">
        <v>20240628</v>
      </c>
      <c r="H16" s="2" t="s">
        <v>100</v>
      </c>
      <c r="I16" s="2">
        <v>1.5</v>
      </c>
      <c r="J16" s="2" t="s">
        <v>19</v>
      </c>
      <c r="K16" s="2" t="s">
        <v>101</v>
      </c>
      <c r="L16" s="2" t="s">
        <v>102</v>
      </c>
      <c r="M16" s="2">
        <v>20241025</v>
      </c>
      <c r="N16" s="2" t="s">
        <v>103</v>
      </c>
      <c r="O16" s="2" t="s">
        <v>97</v>
      </c>
      <c r="P16" s="2" t="s">
        <v>375</v>
      </c>
      <c r="Q16" s="9">
        <v>45675</v>
      </c>
      <c r="R16" s="2"/>
      <c r="S16" s="4">
        <f t="shared" si="0"/>
        <v>0</v>
      </c>
    </row>
    <row r="17" spans="1:19" x14ac:dyDescent="0.25">
      <c r="A17" s="2" t="s">
        <v>104</v>
      </c>
      <c r="B17" s="2" t="s">
        <v>106</v>
      </c>
      <c r="C17" s="2" t="s">
        <v>107</v>
      </c>
      <c r="D17" s="3">
        <v>6500000</v>
      </c>
      <c r="E17" s="4">
        <v>97500</v>
      </c>
      <c r="F17" s="2">
        <v>3</v>
      </c>
      <c r="G17" s="2">
        <v>20240829</v>
      </c>
      <c r="H17" s="2" t="s">
        <v>108</v>
      </c>
      <c r="I17" s="2">
        <v>1.5</v>
      </c>
      <c r="J17" s="2" t="s">
        <v>19</v>
      </c>
      <c r="K17" s="2" t="s">
        <v>109</v>
      </c>
      <c r="L17" s="2" t="s">
        <v>110</v>
      </c>
      <c r="M17" s="2">
        <v>20241010</v>
      </c>
      <c r="N17" s="2" t="s">
        <v>111</v>
      </c>
      <c r="O17" s="2" t="s">
        <v>112</v>
      </c>
      <c r="P17" s="10" t="s">
        <v>384</v>
      </c>
      <c r="Q17" s="11">
        <v>97500</v>
      </c>
      <c r="R17" s="2"/>
      <c r="S17" s="4">
        <f t="shared" si="0"/>
        <v>0</v>
      </c>
    </row>
    <row r="18" spans="1:19" x14ac:dyDescent="0.25">
      <c r="A18" s="2" t="s">
        <v>113</v>
      </c>
      <c r="B18" s="2" t="s">
        <v>114</v>
      </c>
      <c r="C18" s="2" t="s">
        <v>115</v>
      </c>
      <c r="D18" s="3">
        <v>3262000</v>
      </c>
      <c r="E18" s="4">
        <v>48930</v>
      </c>
      <c r="F18" s="2">
        <v>5</v>
      </c>
      <c r="G18" s="2">
        <v>20240910</v>
      </c>
      <c r="H18" s="2" t="s">
        <v>116</v>
      </c>
      <c r="I18" s="2">
        <v>1.5</v>
      </c>
      <c r="J18" s="2" t="s">
        <v>19</v>
      </c>
      <c r="K18" s="2" t="s">
        <v>117</v>
      </c>
      <c r="L18" s="2" t="s">
        <v>118</v>
      </c>
      <c r="M18" s="2">
        <v>20241105</v>
      </c>
      <c r="N18" s="2" t="s">
        <v>119</v>
      </c>
      <c r="O18" s="2" t="s">
        <v>120</v>
      </c>
      <c r="P18" s="2" t="s">
        <v>353</v>
      </c>
      <c r="Q18" s="9">
        <v>48930</v>
      </c>
      <c r="R18" s="2"/>
      <c r="S18" s="4">
        <f t="shared" si="0"/>
        <v>0</v>
      </c>
    </row>
    <row r="19" spans="1:19" x14ac:dyDescent="0.25">
      <c r="A19" s="2" t="s">
        <v>113</v>
      </c>
      <c r="B19" s="2" t="s">
        <v>121</v>
      </c>
      <c r="C19" s="2" t="s">
        <v>122</v>
      </c>
      <c r="D19" s="3">
        <v>4719000</v>
      </c>
      <c r="E19" s="4">
        <v>70785</v>
      </c>
      <c r="F19" s="2">
        <v>3</v>
      </c>
      <c r="G19" s="2">
        <v>20240612</v>
      </c>
      <c r="H19" s="2" t="s">
        <v>58</v>
      </c>
      <c r="I19" s="2">
        <v>1.5</v>
      </c>
      <c r="J19" s="2" t="s">
        <v>19</v>
      </c>
      <c r="K19" s="2" t="s">
        <v>123</v>
      </c>
      <c r="L19" s="2" t="s">
        <v>124</v>
      </c>
      <c r="M19" s="2">
        <v>20241025</v>
      </c>
      <c r="N19" s="2" t="s">
        <v>125</v>
      </c>
      <c r="O19" s="2" t="s">
        <v>120</v>
      </c>
      <c r="P19" s="2" t="s">
        <v>354</v>
      </c>
      <c r="Q19" s="9">
        <v>70785</v>
      </c>
      <c r="R19" s="2"/>
      <c r="S19" s="4">
        <f t="shared" si="0"/>
        <v>0</v>
      </c>
    </row>
    <row r="20" spans="1:19" x14ac:dyDescent="0.25">
      <c r="A20" s="2" t="s">
        <v>113</v>
      </c>
      <c r="B20" s="2" t="s">
        <v>126</v>
      </c>
      <c r="C20" s="2" t="s">
        <v>127</v>
      </c>
      <c r="D20" s="3">
        <v>2707000</v>
      </c>
      <c r="E20" s="4">
        <v>40605</v>
      </c>
      <c r="F20" s="2">
        <v>5</v>
      </c>
      <c r="G20" s="2">
        <v>20240730</v>
      </c>
      <c r="H20" s="2" t="s">
        <v>48</v>
      </c>
      <c r="I20" s="2">
        <v>1.5</v>
      </c>
      <c r="J20" s="2" t="s">
        <v>19</v>
      </c>
      <c r="K20" s="2" t="s">
        <v>128</v>
      </c>
      <c r="L20" s="2" t="s">
        <v>129</v>
      </c>
      <c r="M20" s="2">
        <v>20241110</v>
      </c>
      <c r="N20" s="2"/>
      <c r="O20" s="2" t="s">
        <v>120</v>
      </c>
      <c r="P20" s="2" t="s">
        <v>355</v>
      </c>
      <c r="Q20" s="9">
        <v>40605</v>
      </c>
      <c r="R20" s="2"/>
      <c r="S20" s="4">
        <f t="shared" si="0"/>
        <v>0</v>
      </c>
    </row>
    <row r="21" spans="1:19" x14ac:dyDescent="0.25">
      <c r="A21" s="2" t="s">
        <v>113</v>
      </c>
      <c r="B21" s="2" t="s">
        <v>130</v>
      </c>
      <c r="C21" s="2" t="s">
        <v>131</v>
      </c>
      <c r="D21" s="3">
        <v>4479000</v>
      </c>
      <c r="E21" s="4">
        <v>67185</v>
      </c>
      <c r="F21" s="2">
        <v>3</v>
      </c>
      <c r="G21" s="2">
        <v>20240725</v>
      </c>
      <c r="H21" s="2" t="s">
        <v>132</v>
      </c>
      <c r="I21" s="2">
        <v>1.5</v>
      </c>
      <c r="J21" s="2" t="s">
        <v>19</v>
      </c>
      <c r="K21" s="2" t="s">
        <v>133</v>
      </c>
      <c r="L21" s="2" t="s">
        <v>134</v>
      </c>
      <c r="M21" s="2">
        <v>20241025</v>
      </c>
      <c r="N21" s="2"/>
      <c r="O21" s="2" t="s">
        <v>135</v>
      </c>
      <c r="P21" s="2" t="s">
        <v>376</v>
      </c>
      <c r="Q21" s="9">
        <v>67185</v>
      </c>
      <c r="R21" s="2"/>
      <c r="S21" s="4">
        <f t="shared" si="0"/>
        <v>0</v>
      </c>
    </row>
    <row r="22" spans="1:19" x14ac:dyDescent="0.25">
      <c r="A22" s="2" t="s">
        <v>113</v>
      </c>
      <c r="B22" s="2" t="s">
        <v>136</v>
      </c>
      <c r="C22" s="2" t="s">
        <v>137</v>
      </c>
      <c r="D22" s="3">
        <v>2707000</v>
      </c>
      <c r="E22" s="4">
        <v>40605</v>
      </c>
      <c r="F22" s="2">
        <v>5</v>
      </c>
      <c r="G22" s="2">
        <v>20240815</v>
      </c>
      <c r="H22" s="2" t="s">
        <v>48</v>
      </c>
      <c r="I22" s="2">
        <v>1.5</v>
      </c>
      <c r="J22" s="2" t="s">
        <v>19</v>
      </c>
      <c r="K22" s="2" t="s">
        <v>138</v>
      </c>
      <c r="L22" s="2" t="s">
        <v>139</v>
      </c>
      <c r="M22" s="2">
        <v>20241105</v>
      </c>
      <c r="N22" s="2"/>
      <c r="O22" s="2" t="s">
        <v>140</v>
      </c>
      <c r="P22" s="2" t="s">
        <v>377</v>
      </c>
      <c r="Q22" s="9">
        <v>40605</v>
      </c>
      <c r="R22" s="2"/>
      <c r="S22" s="4">
        <f t="shared" si="0"/>
        <v>0</v>
      </c>
    </row>
    <row r="23" spans="1:19" x14ac:dyDescent="0.25">
      <c r="A23" s="2" t="s">
        <v>141</v>
      </c>
      <c r="B23" s="2" t="s">
        <v>142</v>
      </c>
      <c r="C23" s="2" t="s">
        <v>143</v>
      </c>
      <c r="D23" s="3">
        <v>4800000</v>
      </c>
      <c r="E23" s="4">
        <v>72000</v>
      </c>
      <c r="F23" s="2">
        <v>3</v>
      </c>
      <c r="G23" s="2">
        <v>20240916</v>
      </c>
      <c r="H23" s="2" t="s">
        <v>57</v>
      </c>
      <c r="I23" s="2">
        <v>1.5</v>
      </c>
      <c r="J23" s="2" t="s">
        <v>19</v>
      </c>
      <c r="K23" s="2" t="s">
        <v>144</v>
      </c>
      <c r="L23" s="2" t="s">
        <v>145</v>
      </c>
      <c r="M23" s="2">
        <v>20241105</v>
      </c>
      <c r="N23" s="2" t="s">
        <v>146</v>
      </c>
      <c r="O23" s="2" t="s">
        <v>147</v>
      </c>
      <c r="P23" s="2" t="s">
        <v>378</v>
      </c>
      <c r="Q23" s="9">
        <v>72000</v>
      </c>
      <c r="R23" s="2"/>
      <c r="S23" s="4">
        <f t="shared" si="0"/>
        <v>0</v>
      </c>
    </row>
    <row r="24" spans="1:19" x14ac:dyDescent="0.25">
      <c r="A24" s="2" t="s">
        <v>148</v>
      </c>
      <c r="B24" s="2" t="s">
        <v>149</v>
      </c>
      <c r="C24" s="2" t="s">
        <v>150</v>
      </c>
      <c r="D24" s="3">
        <v>4400000</v>
      </c>
      <c r="E24" s="4">
        <v>66000</v>
      </c>
      <c r="F24" s="2">
        <v>3</v>
      </c>
      <c r="G24" s="2">
        <v>20240830</v>
      </c>
      <c r="H24" s="2" t="s">
        <v>151</v>
      </c>
      <c r="I24" s="2">
        <v>1.5</v>
      </c>
      <c r="J24" s="2" t="s">
        <v>19</v>
      </c>
      <c r="K24" s="2" t="s">
        <v>152</v>
      </c>
      <c r="L24" s="2" t="s">
        <v>153</v>
      </c>
      <c r="M24" s="2">
        <v>20241015</v>
      </c>
      <c r="N24" s="2" t="s">
        <v>154</v>
      </c>
      <c r="O24" s="2" t="s">
        <v>155</v>
      </c>
      <c r="P24" s="2" t="s">
        <v>356</v>
      </c>
      <c r="Q24" s="9">
        <v>66000</v>
      </c>
      <c r="R24" s="2"/>
      <c r="S24" s="4">
        <f t="shared" si="0"/>
        <v>0</v>
      </c>
    </row>
    <row r="25" spans="1:19" x14ac:dyDescent="0.25">
      <c r="A25" s="2" t="s">
        <v>148</v>
      </c>
      <c r="B25" s="2" t="s">
        <v>156</v>
      </c>
      <c r="C25" s="2" t="s">
        <v>157</v>
      </c>
      <c r="D25" s="3">
        <v>4200000</v>
      </c>
      <c r="E25" s="4">
        <v>63000</v>
      </c>
      <c r="F25" s="2">
        <v>3</v>
      </c>
      <c r="G25" s="2">
        <v>20240923</v>
      </c>
      <c r="H25" s="2" t="s">
        <v>151</v>
      </c>
      <c r="I25" s="2">
        <v>1.5</v>
      </c>
      <c r="J25" s="2" t="s">
        <v>19</v>
      </c>
      <c r="K25" s="2" t="s">
        <v>158</v>
      </c>
      <c r="L25" s="2" t="s">
        <v>159</v>
      </c>
      <c r="M25" s="2">
        <v>20241105</v>
      </c>
      <c r="N25" s="2" t="s">
        <v>160</v>
      </c>
      <c r="O25" s="2" t="s">
        <v>155</v>
      </c>
      <c r="P25" s="2" t="s">
        <v>357</v>
      </c>
      <c r="Q25" s="9">
        <v>63000</v>
      </c>
      <c r="R25" s="2"/>
      <c r="S25" s="4">
        <f t="shared" si="0"/>
        <v>0</v>
      </c>
    </row>
    <row r="26" spans="1:19" x14ac:dyDescent="0.25">
      <c r="A26" s="2" t="s">
        <v>148</v>
      </c>
      <c r="B26" s="2" t="s">
        <v>161</v>
      </c>
      <c r="C26" s="2" t="s">
        <v>162</v>
      </c>
      <c r="D26" s="7">
        <v>4760000</v>
      </c>
      <c r="E26" s="4">
        <v>71400</v>
      </c>
      <c r="F26" s="2">
        <v>3</v>
      </c>
      <c r="G26" s="2">
        <v>20240705</v>
      </c>
      <c r="H26" s="2" t="s">
        <v>167</v>
      </c>
      <c r="I26" s="2">
        <v>1.5</v>
      </c>
      <c r="J26" s="2" t="s">
        <v>19</v>
      </c>
      <c r="K26" s="2" t="s">
        <v>168</v>
      </c>
      <c r="L26" s="2" t="s">
        <v>169</v>
      </c>
      <c r="M26" s="2">
        <v>20241010</v>
      </c>
      <c r="N26" s="2" t="s">
        <v>174</v>
      </c>
      <c r="O26" s="2" t="s">
        <v>155</v>
      </c>
      <c r="P26" s="2" t="s">
        <v>346</v>
      </c>
      <c r="Q26" s="9">
        <v>72555</v>
      </c>
      <c r="R26" s="2" t="s">
        <v>387</v>
      </c>
      <c r="S26" s="4">
        <f t="shared" si="0"/>
        <v>-1155</v>
      </c>
    </row>
    <row r="27" spans="1:19" x14ac:dyDescent="0.25">
      <c r="A27" s="2" t="s">
        <v>148</v>
      </c>
      <c r="B27" s="2" t="s">
        <v>163</v>
      </c>
      <c r="C27" s="2" t="s">
        <v>164</v>
      </c>
      <c r="D27" s="3">
        <v>4760000</v>
      </c>
      <c r="E27" s="4">
        <v>71400</v>
      </c>
      <c r="F27" s="2">
        <v>3</v>
      </c>
      <c r="G27" s="2">
        <v>20240711</v>
      </c>
      <c r="H27" s="2" t="s">
        <v>167</v>
      </c>
      <c r="I27" s="2">
        <v>1.5</v>
      </c>
      <c r="J27" s="2" t="s">
        <v>19</v>
      </c>
      <c r="K27" s="2" t="s">
        <v>170</v>
      </c>
      <c r="L27" s="2" t="s">
        <v>171</v>
      </c>
      <c r="M27" s="2">
        <v>20241010</v>
      </c>
      <c r="N27" s="2" t="s">
        <v>175</v>
      </c>
      <c r="O27" s="2" t="s">
        <v>155</v>
      </c>
      <c r="P27" s="2" t="s">
        <v>347</v>
      </c>
      <c r="Q27" s="9">
        <v>71400</v>
      </c>
      <c r="R27" s="2"/>
      <c r="S27" s="4">
        <f t="shared" si="0"/>
        <v>0</v>
      </c>
    </row>
    <row r="28" spans="1:19" x14ac:dyDescent="0.25">
      <c r="A28" s="2" t="s">
        <v>148</v>
      </c>
      <c r="B28" s="2" t="s">
        <v>165</v>
      </c>
      <c r="C28" s="2" t="s">
        <v>166</v>
      </c>
      <c r="D28" s="3">
        <v>4719000</v>
      </c>
      <c r="E28" s="4">
        <v>70785</v>
      </c>
      <c r="F28" s="2">
        <v>3</v>
      </c>
      <c r="G28" s="2">
        <v>20240621</v>
      </c>
      <c r="H28" s="2" t="s">
        <v>58</v>
      </c>
      <c r="I28" s="2">
        <v>1.5</v>
      </c>
      <c r="J28" s="2" t="s">
        <v>19</v>
      </c>
      <c r="K28" s="2" t="s">
        <v>172</v>
      </c>
      <c r="L28" s="2" t="s">
        <v>173</v>
      </c>
      <c r="M28" s="2">
        <v>20241020</v>
      </c>
      <c r="N28" s="2" t="s">
        <v>176</v>
      </c>
      <c r="O28" s="2" t="s">
        <v>155</v>
      </c>
      <c r="P28" s="2" t="s">
        <v>358</v>
      </c>
      <c r="Q28" s="9">
        <v>70785</v>
      </c>
      <c r="R28" s="2"/>
      <c r="S28" s="4">
        <f t="shared" si="0"/>
        <v>0</v>
      </c>
    </row>
    <row r="29" spans="1:19" x14ac:dyDescent="0.25">
      <c r="A29" s="2" t="s">
        <v>177</v>
      </c>
      <c r="B29" s="2" t="s">
        <v>178</v>
      </c>
      <c r="C29" s="2" t="s">
        <v>179</v>
      </c>
      <c r="D29" s="3">
        <v>4400000</v>
      </c>
      <c r="E29" s="4">
        <v>66000</v>
      </c>
      <c r="F29" s="2">
        <v>3</v>
      </c>
      <c r="G29" s="2">
        <v>20240906</v>
      </c>
      <c r="H29" s="2" t="s">
        <v>180</v>
      </c>
      <c r="I29" s="6">
        <v>1.5</v>
      </c>
      <c r="J29" s="2" t="s">
        <v>19</v>
      </c>
      <c r="K29" s="2" t="s">
        <v>181</v>
      </c>
      <c r="L29" s="2" t="s">
        <v>182</v>
      </c>
      <c r="M29" s="2">
        <v>20241010</v>
      </c>
      <c r="N29" s="2" t="s">
        <v>183</v>
      </c>
      <c r="O29" s="2" t="s">
        <v>112</v>
      </c>
      <c r="P29" s="2" t="s">
        <v>359</v>
      </c>
      <c r="Q29" s="9">
        <v>77000</v>
      </c>
      <c r="R29" s="2" t="s">
        <v>388</v>
      </c>
      <c r="S29" s="4">
        <f t="shared" si="0"/>
        <v>-11000</v>
      </c>
    </row>
    <row r="30" spans="1:19" x14ac:dyDescent="0.25">
      <c r="A30" s="2" t="s">
        <v>177</v>
      </c>
      <c r="B30" s="2" t="s">
        <v>184</v>
      </c>
      <c r="C30" s="2" t="s">
        <v>185</v>
      </c>
      <c r="D30" s="3">
        <v>19993000</v>
      </c>
      <c r="E30" s="4">
        <v>299895</v>
      </c>
      <c r="F30" s="2">
        <v>2</v>
      </c>
      <c r="G30" s="2">
        <v>20240902</v>
      </c>
      <c r="H30" s="2" t="s">
        <v>186</v>
      </c>
      <c r="I30" s="2">
        <v>1.5</v>
      </c>
      <c r="J30" s="2" t="s">
        <v>19</v>
      </c>
      <c r="K30" s="2" t="s">
        <v>187</v>
      </c>
      <c r="L30" s="2" t="s">
        <v>188</v>
      </c>
      <c r="M30" s="2">
        <v>20241015</v>
      </c>
      <c r="N30" s="2" t="s">
        <v>189</v>
      </c>
      <c r="O30" s="2" t="s">
        <v>105</v>
      </c>
      <c r="P30" s="2" t="s">
        <v>379</v>
      </c>
      <c r="Q30" s="9">
        <v>299895</v>
      </c>
      <c r="R30" s="2"/>
      <c r="S30" s="4">
        <f t="shared" si="0"/>
        <v>0</v>
      </c>
    </row>
    <row r="31" spans="1:19" x14ac:dyDescent="0.25">
      <c r="A31" s="2" t="s">
        <v>177</v>
      </c>
      <c r="B31" s="2" t="s">
        <v>190</v>
      </c>
      <c r="C31" s="2" t="s">
        <v>191</v>
      </c>
      <c r="D31" s="3">
        <v>4760000</v>
      </c>
      <c r="E31" s="4">
        <v>71400</v>
      </c>
      <c r="F31" s="2">
        <v>2</v>
      </c>
      <c r="G31" s="2">
        <v>20240805</v>
      </c>
      <c r="H31" s="2" t="s">
        <v>76</v>
      </c>
      <c r="I31" s="2">
        <v>1.5</v>
      </c>
      <c r="J31" s="2" t="s">
        <v>19</v>
      </c>
      <c r="K31" s="2" t="s">
        <v>198</v>
      </c>
      <c r="L31" s="2" t="s">
        <v>199</v>
      </c>
      <c r="M31" s="2">
        <v>20241015</v>
      </c>
      <c r="N31" s="2" t="s">
        <v>204</v>
      </c>
      <c r="O31" s="2" t="s">
        <v>105</v>
      </c>
      <c r="P31" s="2" t="s">
        <v>360</v>
      </c>
      <c r="Q31" s="9">
        <v>71400</v>
      </c>
      <c r="R31" s="2"/>
      <c r="S31" s="4">
        <f t="shared" si="0"/>
        <v>0</v>
      </c>
    </row>
    <row r="32" spans="1:19" x14ac:dyDescent="0.25">
      <c r="A32" s="2" t="s">
        <v>177</v>
      </c>
      <c r="B32" s="2" t="s">
        <v>192</v>
      </c>
      <c r="C32" s="2" t="s">
        <v>193</v>
      </c>
      <c r="D32" s="3">
        <v>4719000</v>
      </c>
      <c r="E32" s="4">
        <v>70785</v>
      </c>
      <c r="F32" s="2">
        <v>3</v>
      </c>
      <c r="G32" s="2">
        <v>20240614</v>
      </c>
      <c r="H32" s="2" t="s">
        <v>196</v>
      </c>
      <c r="I32" s="2">
        <v>1.5</v>
      </c>
      <c r="J32" s="2" t="s">
        <v>19</v>
      </c>
      <c r="K32" s="2" t="s">
        <v>200</v>
      </c>
      <c r="L32" s="2" t="s">
        <v>201</v>
      </c>
      <c r="M32" s="2">
        <v>20241010</v>
      </c>
      <c r="N32" s="2" t="s">
        <v>205</v>
      </c>
      <c r="O32" s="2" t="s">
        <v>105</v>
      </c>
      <c r="P32" s="2" t="s">
        <v>361</v>
      </c>
      <c r="Q32" s="9">
        <v>70785</v>
      </c>
      <c r="R32" s="2"/>
      <c r="S32" s="4">
        <f t="shared" si="0"/>
        <v>0</v>
      </c>
    </row>
    <row r="33" spans="1:19" x14ac:dyDescent="0.25">
      <c r="A33" s="2" t="s">
        <v>177</v>
      </c>
      <c r="B33" s="2" t="s">
        <v>194</v>
      </c>
      <c r="C33" s="2" t="s">
        <v>195</v>
      </c>
      <c r="D33" s="3">
        <v>4100000</v>
      </c>
      <c r="E33" s="4">
        <v>61500</v>
      </c>
      <c r="F33" s="2">
        <v>2</v>
      </c>
      <c r="G33" s="2">
        <v>20240829</v>
      </c>
      <c r="H33" s="2" t="s">
        <v>197</v>
      </c>
      <c r="I33" s="2">
        <v>1.5</v>
      </c>
      <c r="J33" s="2" t="s">
        <v>19</v>
      </c>
      <c r="K33" s="2" t="s">
        <v>202</v>
      </c>
      <c r="L33" s="2" t="s">
        <v>203</v>
      </c>
      <c r="M33" s="2">
        <v>20241005</v>
      </c>
      <c r="N33" s="2" t="s">
        <v>206</v>
      </c>
      <c r="O33" s="2" t="s">
        <v>105</v>
      </c>
      <c r="P33" s="2" t="s">
        <v>348</v>
      </c>
      <c r="Q33" s="9">
        <v>61500</v>
      </c>
      <c r="R33" s="2"/>
      <c r="S33" s="4">
        <f t="shared" si="0"/>
        <v>0</v>
      </c>
    </row>
    <row r="34" spans="1:19" x14ac:dyDescent="0.25">
      <c r="A34" s="2" t="s">
        <v>207</v>
      </c>
      <c r="B34" s="2" t="s">
        <v>208</v>
      </c>
      <c r="C34" s="2" t="s">
        <v>209</v>
      </c>
      <c r="D34" s="3">
        <v>4075000</v>
      </c>
      <c r="E34" s="4">
        <v>61125</v>
      </c>
      <c r="F34" s="2">
        <v>3</v>
      </c>
      <c r="G34" s="2">
        <v>20240913</v>
      </c>
      <c r="H34" s="2" t="s">
        <v>33</v>
      </c>
      <c r="I34" s="2">
        <v>1.5</v>
      </c>
      <c r="J34" s="2" t="s">
        <v>19</v>
      </c>
      <c r="K34" s="2" t="s">
        <v>210</v>
      </c>
      <c r="L34" s="2" t="s">
        <v>211</v>
      </c>
      <c r="M34" s="2">
        <v>20241105</v>
      </c>
      <c r="N34" s="2" t="s">
        <v>212</v>
      </c>
      <c r="O34" s="2" t="s">
        <v>213</v>
      </c>
      <c r="P34" s="2" t="s">
        <v>362</v>
      </c>
      <c r="Q34" s="9">
        <v>61125</v>
      </c>
      <c r="R34" s="2"/>
      <c r="S34" s="4">
        <f t="shared" si="0"/>
        <v>0</v>
      </c>
    </row>
    <row r="35" spans="1:19" x14ac:dyDescent="0.25">
      <c r="A35" s="2" t="s">
        <v>207</v>
      </c>
      <c r="B35" s="2" t="s">
        <v>214</v>
      </c>
      <c r="C35" s="2" t="s">
        <v>215</v>
      </c>
      <c r="D35" s="3">
        <v>6641000</v>
      </c>
      <c r="E35" s="4">
        <v>99615</v>
      </c>
      <c r="F35" s="2">
        <v>2</v>
      </c>
      <c r="G35" s="2">
        <v>20240815</v>
      </c>
      <c r="H35" s="2" t="s">
        <v>216</v>
      </c>
      <c r="I35" s="2">
        <v>1.5</v>
      </c>
      <c r="J35" s="2" t="s">
        <v>19</v>
      </c>
      <c r="K35" s="2" t="s">
        <v>217</v>
      </c>
      <c r="L35" s="2" t="s">
        <v>218</v>
      </c>
      <c r="M35" s="2">
        <v>20241005</v>
      </c>
      <c r="N35" s="2" t="s">
        <v>219</v>
      </c>
      <c r="O35" s="2" t="s">
        <v>213</v>
      </c>
      <c r="P35" s="22" t="s">
        <v>349</v>
      </c>
      <c r="Q35" s="9">
        <v>99615</v>
      </c>
      <c r="R35" s="2"/>
      <c r="S35" s="4">
        <f t="shared" si="0"/>
        <v>0</v>
      </c>
    </row>
    <row r="36" spans="1:19" x14ac:dyDescent="0.25">
      <c r="A36" s="2" t="s">
        <v>207</v>
      </c>
      <c r="B36" s="2" t="s">
        <v>220</v>
      </c>
      <c r="C36" s="2" t="s">
        <v>221</v>
      </c>
      <c r="D36" s="3">
        <v>2840000</v>
      </c>
      <c r="E36" s="4">
        <v>42600</v>
      </c>
      <c r="F36" s="2">
        <v>5</v>
      </c>
      <c r="G36" s="2">
        <v>20240918</v>
      </c>
      <c r="H36" s="2" t="s">
        <v>100</v>
      </c>
      <c r="I36" s="2">
        <v>1.5</v>
      </c>
      <c r="J36" s="2" t="s">
        <v>19</v>
      </c>
      <c r="K36" s="2" t="s">
        <v>225</v>
      </c>
      <c r="L36" s="2" t="s">
        <v>226</v>
      </c>
      <c r="M36" s="2">
        <v>20241105</v>
      </c>
      <c r="N36" s="2" t="s">
        <v>229</v>
      </c>
      <c r="O36" s="2" t="s">
        <v>213</v>
      </c>
      <c r="P36" s="2" t="s">
        <v>380</v>
      </c>
      <c r="Q36" s="9">
        <v>42600</v>
      </c>
      <c r="R36" s="2"/>
      <c r="S36" s="4">
        <f t="shared" si="0"/>
        <v>0</v>
      </c>
    </row>
    <row r="37" spans="1:19" x14ac:dyDescent="0.25">
      <c r="A37" s="2" t="s">
        <v>207</v>
      </c>
      <c r="B37" s="2" t="s">
        <v>222</v>
      </c>
      <c r="C37" s="2" t="s">
        <v>223</v>
      </c>
      <c r="D37" s="3">
        <v>4719000</v>
      </c>
      <c r="E37" s="4">
        <v>70785</v>
      </c>
      <c r="F37" s="2">
        <v>3</v>
      </c>
      <c r="G37" s="2">
        <v>20240709</v>
      </c>
      <c r="H37" s="2" t="s">
        <v>224</v>
      </c>
      <c r="I37" s="2">
        <v>1.5</v>
      </c>
      <c r="J37" s="2" t="s">
        <v>19</v>
      </c>
      <c r="K37" s="2" t="s">
        <v>227</v>
      </c>
      <c r="L37" s="2" t="s">
        <v>228</v>
      </c>
      <c r="M37" s="2">
        <v>20241020</v>
      </c>
      <c r="N37" s="2" t="s">
        <v>230</v>
      </c>
      <c r="O37" s="2" t="s">
        <v>213</v>
      </c>
      <c r="P37" s="2" t="s">
        <v>381</v>
      </c>
      <c r="Q37" s="9">
        <v>70785</v>
      </c>
      <c r="R37" s="2"/>
      <c r="S37" s="4">
        <f t="shared" si="0"/>
        <v>0</v>
      </c>
    </row>
    <row r="38" spans="1:19" x14ac:dyDescent="0.25">
      <c r="A38" s="2" t="s">
        <v>207</v>
      </c>
      <c r="B38" s="2" t="s">
        <v>231</v>
      </c>
      <c r="C38" s="2" t="s">
        <v>232</v>
      </c>
      <c r="D38" s="3">
        <v>2800000</v>
      </c>
      <c r="E38" s="4">
        <v>42000</v>
      </c>
      <c r="F38" s="2">
        <v>2</v>
      </c>
      <c r="G38" s="2">
        <v>20240920</v>
      </c>
      <c r="H38" s="2" t="s">
        <v>233</v>
      </c>
      <c r="I38" s="2">
        <v>1.5</v>
      </c>
      <c r="J38" s="2" t="s">
        <v>19</v>
      </c>
      <c r="K38" s="2" t="s">
        <v>234</v>
      </c>
      <c r="L38" s="2" t="s">
        <v>235</v>
      </c>
      <c r="M38" s="2">
        <v>20241105</v>
      </c>
      <c r="N38" s="2" t="s">
        <v>236</v>
      </c>
      <c r="O38" s="2" t="s">
        <v>213</v>
      </c>
      <c r="P38" s="2" t="s">
        <v>363</v>
      </c>
      <c r="Q38" s="9">
        <v>42000</v>
      </c>
      <c r="R38" s="2"/>
      <c r="S38" s="4">
        <f t="shared" si="0"/>
        <v>0</v>
      </c>
    </row>
    <row r="39" spans="1:19" x14ac:dyDescent="0.25">
      <c r="A39" s="2" t="s">
        <v>207</v>
      </c>
      <c r="B39" s="2" t="s">
        <v>237</v>
      </c>
      <c r="C39" s="2" t="s">
        <v>238</v>
      </c>
      <c r="D39" s="3">
        <v>8749000</v>
      </c>
      <c r="E39" s="4">
        <v>131235</v>
      </c>
      <c r="F39" s="2">
        <v>3</v>
      </c>
      <c r="G39" s="2">
        <v>20240819</v>
      </c>
      <c r="H39" s="2" t="s">
        <v>241</v>
      </c>
      <c r="I39" s="2">
        <v>1.5</v>
      </c>
      <c r="J39" s="2" t="s">
        <v>19</v>
      </c>
      <c r="K39" s="2" t="s">
        <v>243</v>
      </c>
      <c r="L39" s="2" t="s">
        <v>244</v>
      </c>
      <c r="M39" s="2">
        <v>20241015</v>
      </c>
      <c r="N39" s="2" t="s">
        <v>247</v>
      </c>
      <c r="O39" s="2" t="s">
        <v>213</v>
      </c>
      <c r="P39" s="2" t="s">
        <v>364</v>
      </c>
      <c r="Q39" s="9">
        <v>131235</v>
      </c>
      <c r="R39" s="2"/>
      <c r="S39" s="4">
        <f t="shared" si="0"/>
        <v>0</v>
      </c>
    </row>
    <row r="40" spans="1:19" x14ac:dyDescent="0.25">
      <c r="A40" s="2" t="s">
        <v>207</v>
      </c>
      <c r="B40" s="2" t="s">
        <v>239</v>
      </c>
      <c r="C40" s="2" t="s">
        <v>240</v>
      </c>
      <c r="D40" s="3">
        <v>3750000</v>
      </c>
      <c r="E40" s="4">
        <v>56250</v>
      </c>
      <c r="F40" s="2">
        <v>3</v>
      </c>
      <c r="G40" s="2">
        <v>20240919</v>
      </c>
      <c r="H40" s="2" t="s">
        <v>242</v>
      </c>
      <c r="I40" s="2">
        <v>1.5</v>
      </c>
      <c r="J40" s="2" t="s">
        <v>19</v>
      </c>
      <c r="K40" s="2" t="s">
        <v>245</v>
      </c>
      <c r="L40" s="2" t="s">
        <v>246</v>
      </c>
      <c r="M40" s="2">
        <v>20241105</v>
      </c>
      <c r="N40" s="2" t="s">
        <v>248</v>
      </c>
      <c r="O40" s="2" t="s">
        <v>213</v>
      </c>
      <c r="P40" s="2" t="s">
        <v>382</v>
      </c>
      <c r="Q40" s="9">
        <v>56250</v>
      </c>
      <c r="R40" s="2"/>
      <c r="S40" s="4">
        <f t="shared" si="0"/>
        <v>0</v>
      </c>
    </row>
    <row r="41" spans="1:19" x14ac:dyDescent="0.25">
      <c r="A41" s="2" t="s">
        <v>249</v>
      </c>
      <c r="B41" s="2" t="s">
        <v>250</v>
      </c>
      <c r="C41" s="2" t="s">
        <v>251</v>
      </c>
      <c r="D41" s="3">
        <v>5000000</v>
      </c>
      <c r="E41" s="4">
        <v>75000</v>
      </c>
      <c r="F41" s="2">
        <v>3</v>
      </c>
      <c r="G41" s="2">
        <v>20240906</v>
      </c>
      <c r="H41" s="2" t="s">
        <v>180</v>
      </c>
      <c r="I41" s="2">
        <v>1.5</v>
      </c>
      <c r="J41" s="2" t="s">
        <v>19</v>
      </c>
      <c r="K41" s="2" t="s">
        <v>252</v>
      </c>
      <c r="L41" s="2" t="s">
        <v>253</v>
      </c>
      <c r="M41" s="2">
        <v>20241020</v>
      </c>
      <c r="N41" s="2" t="s">
        <v>254</v>
      </c>
      <c r="O41" s="2" t="s">
        <v>213</v>
      </c>
      <c r="P41" s="2" t="s">
        <v>365</v>
      </c>
      <c r="Q41" s="9">
        <v>75000</v>
      </c>
      <c r="R41" s="2"/>
      <c r="S41" s="4">
        <f t="shared" si="0"/>
        <v>0</v>
      </c>
    </row>
    <row r="42" spans="1:19" x14ac:dyDescent="0.25">
      <c r="A42" s="2" t="s">
        <v>249</v>
      </c>
      <c r="B42" s="2" t="s">
        <v>255</v>
      </c>
      <c r="C42" s="2" t="s">
        <v>256</v>
      </c>
      <c r="D42" s="3">
        <v>5879000</v>
      </c>
      <c r="E42" s="4">
        <v>88185</v>
      </c>
      <c r="F42" s="2">
        <v>2</v>
      </c>
      <c r="G42" s="2">
        <v>20240828</v>
      </c>
      <c r="H42" s="2" t="s">
        <v>257</v>
      </c>
      <c r="I42" s="2">
        <v>1.5</v>
      </c>
      <c r="J42" s="2" t="s">
        <v>19</v>
      </c>
      <c r="K42" s="2" t="s">
        <v>258</v>
      </c>
      <c r="L42" s="2" t="s">
        <v>259</v>
      </c>
      <c r="M42" s="2">
        <v>20241105</v>
      </c>
      <c r="N42" s="2" t="s">
        <v>260</v>
      </c>
      <c r="O42" s="2" t="s">
        <v>213</v>
      </c>
      <c r="P42" s="2" t="s">
        <v>383</v>
      </c>
      <c r="Q42" s="9">
        <v>88185</v>
      </c>
      <c r="R42" s="2"/>
      <c r="S42" s="4">
        <f t="shared" si="0"/>
        <v>0</v>
      </c>
    </row>
    <row r="43" spans="1:19" x14ac:dyDescent="0.25">
      <c r="A43" s="2" t="s">
        <v>249</v>
      </c>
      <c r="B43" s="2" t="s">
        <v>261</v>
      </c>
      <c r="C43" s="2" t="s">
        <v>262</v>
      </c>
      <c r="D43" s="3">
        <v>5686000</v>
      </c>
      <c r="E43" s="4">
        <v>85290</v>
      </c>
      <c r="F43" s="2">
        <v>3</v>
      </c>
      <c r="G43" s="2">
        <v>20240731</v>
      </c>
      <c r="H43" s="2" t="s">
        <v>263</v>
      </c>
      <c r="I43" s="2">
        <v>1.5</v>
      </c>
      <c r="J43" s="2" t="s">
        <v>19</v>
      </c>
      <c r="K43" s="2" t="s">
        <v>264</v>
      </c>
      <c r="L43" s="2" t="s">
        <v>265</v>
      </c>
      <c r="M43" s="2">
        <v>20241005</v>
      </c>
      <c r="N43" s="2" t="s">
        <v>266</v>
      </c>
      <c r="O43" s="2" t="s">
        <v>267</v>
      </c>
      <c r="P43" s="10" t="s">
        <v>385</v>
      </c>
      <c r="Q43" s="11">
        <v>85290</v>
      </c>
      <c r="R43" s="2"/>
      <c r="S43" s="4">
        <f t="shared" si="0"/>
        <v>0</v>
      </c>
    </row>
    <row r="44" spans="1:19" x14ac:dyDescent="0.25">
      <c r="A44" s="2" t="s">
        <v>268</v>
      </c>
      <c r="B44" s="2" t="s">
        <v>269</v>
      </c>
      <c r="C44" s="2" t="s">
        <v>270</v>
      </c>
      <c r="D44" s="3">
        <v>4200000</v>
      </c>
      <c r="E44" s="4">
        <v>63000</v>
      </c>
      <c r="F44" s="2">
        <v>2</v>
      </c>
      <c r="G44" s="2">
        <v>20240823</v>
      </c>
      <c r="H44" s="2" t="s">
        <v>242</v>
      </c>
      <c r="I44" s="2">
        <v>1.5</v>
      </c>
      <c r="J44" s="2" t="s">
        <v>19</v>
      </c>
      <c r="K44" s="2" t="s">
        <v>271</v>
      </c>
      <c r="L44" s="2" t="s">
        <v>272</v>
      </c>
      <c r="M44" s="2">
        <v>20241025</v>
      </c>
      <c r="N44" s="2" t="s">
        <v>273</v>
      </c>
      <c r="O44" s="2" t="s">
        <v>213</v>
      </c>
      <c r="P44" s="2" t="s">
        <v>366</v>
      </c>
      <c r="Q44" s="9">
        <v>63000</v>
      </c>
      <c r="R44" s="2"/>
      <c r="S44" s="4">
        <f t="shared" si="0"/>
        <v>0</v>
      </c>
    </row>
    <row r="45" spans="1:19" x14ac:dyDescent="0.25">
      <c r="A45" s="2" t="s">
        <v>268</v>
      </c>
      <c r="B45" s="2" t="s">
        <v>274</v>
      </c>
      <c r="C45" s="2" t="s">
        <v>275</v>
      </c>
      <c r="D45" s="3">
        <v>4719000</v>
      </c>
      <c r="E45" s="4">
        <v>70785</v>
      </c>
      <c r="F45" s="2">
        <v>3</v>
      </c>
      <c r="G45" s="2">
        <v>20240703</v>
      </c>
      <c r="H45" s="2" t="s">
        <v>58</v>
      </c>
      <c r="I45" s="2">
        <v>1.5</v>
      </c>
      <c r="J45" s="2" t="s">
        <v>19</v>
      </c>
      <c r="K45" s="2" t="s">
        <v>276</v>
      </c>
      <c r="L45" s="2" t="s">
        <v>277</v>
      </c>
      <c r="M45" s="2">
        <v>20241105</v>
      </c>
      <c r="N45" s="2" t="s">
        <v>278</v>
      </c>
      <c r="O45" s="2" t="s">
        <v>279</v>
      </c>
      <c r="P45" s="2" t="s">
        <v>367</v>
      </c>
      <c r="Q45" s="9">
        <v>70785</v>
      </c>
      <c r="R45" s="2"/>
      <c r="S45" s="4">
        <f t="shared" si="0"/>
        <v>0</v>
      </c>
    </row>
    <row r="46" spans="1:19" x14ac:dyDescent="0.25">
      <c r="A46" s="2" t="s">
        <v>268</v>
      </c>
      <c r="B46" s="2" t="s">
        <v>280</v>
      </c>
      <c r="C46" s="2" t="s">
        <v>281</v>
      </c>
      <c r="D46" s="3">
        <v>4719000</v>
      </c>
      <c r="E46" s="4">
        <v>70785</v>
      </c>
      <c r="F46" s="2">
        <v>3</v>
      </c>
      <c r="G46" s="2">
        <v>20240823</v>
      </c>
      <c r="H46" s="2" t="s">
        <v>282</v>
      </c>
      <c r="I46" s="2">
        <v>1.5</v>
      </c>
      <c r="J46" s="2" t="s">
        <v>19</v>
      </c>
      <c r="K46" s="2" t="s">
        <v>283</v>
      </c>
      <c r="L46" s="2" t="s">
        <v>284</v>
      </c>
      <c r="M46" s="2">
        <v>20241025</v>
      </c>
      <c r="N46" s="2" t="s">
        <v>285</v>
      </c>
      <c r="O46" s="2" t="s">
        <v>279</v>
      </c>
      <c r="P46" s="2" t="s">
        <v>368</v>
      </c>
      <c r="Q46" s="9">
        <v>70785</v>
      </c>
      <c r="R46" s="2"/>
      <c r="S46" s="4">
        <f t="shared" si="0"/>
        <v>0</v>
      </c>
    </row>
    <row r="47" spans="1:19" x14ac:dyDescent="0.25">
      <c r="A47" s="2" t="s">
        <v>268</v>
      </c>
      <c r="B47" s="2" t="s">
        <v>286</v>
      </c>
      <c r="C47" s="2" t="s">
        <v>287</v>
      </c>
      <c r="D47" s="3">
        <v>4760000</v>
      </c>
      <c r="E47" s="4">
        <v>71400</v>
      </c>
      <c r="F47" s="2">
        <v>3</v>
      </c>
      <c r="G47" s="2">
        <v>20240624</v>
      </c>
      <c r="H47" s="2" t="s">
        <v>167</v>
      </c>
      <c r="I47" s="2">
        <v>1.5</v>
      </c>
      <c r="J47" s="2" t="s">
        <v>19</v>
      </c>
      <c r="K47" s="2" t="s">
        <v>288</v>
      </c>
      <c r="L47" s="2" t="s">
        <v>289</v>
      </c>
      <c r="M47" s="2">
        <v>20241010</v>
      </c>
      <c r="N47" s="2" t="s">
        <v>290</v>
      </c>
      <c r="O47" s="2" t="s">
        <v>279</v>
      </c>
      <c r="P47" s="2" t="s">
        <v>350</v>
      </c>
      <c r="Q47" s="9">
        <v>71400</v>
      </c>
      <c r="R47" s="2"/>
      <c r="S47" s="4">
        <f t="shared" si="0"/>
        <v>0</v>
      </c>
    </row>
    <row r="48" spans="1:19" x14ac:dyDescent="0.25">
      <c r="A48" s="2" t="s">
        <v>268</v>
      </c>
      <c r="B48" s="2" t="s">
        <v>291</v>
      </c>
      <c r="C48" s="2" t="s">
        <v>292</v>
      </c>
      <c r="D48" s="3">
        <v>6051000</v>
      </c>
      <c r="E48" s="4">
        <v>90765</v>
      </c>
      <c r="F48" s="2">
        <v>1</v>
      </c>
      <c r="G48" s="2">
        <v>20240822</v>
      </c>
      <c r="H48" s="2" t="s">
        <v>293</v>
      </c>
      <c r="I48" s="2">
        <v>1.5</v>
      </c>
      <c r="J48" s="2" t="s">
        <v>19</v>
      </c>
      <c r="K48" s="2" t="s">
        <v>294</v>
      </c>
      <c r="L48" s="2" t="s">
        <v>295</v>
      </c>
      <c r="M48" s="2">
        <v>20241015</v>
      </c>
      <c r="N48" s="2" t="s">
        <v>296</v>
      </c>
      <c r="O48" s="2" t="s">
        <v>279</v>
      </c>
      <c r="P48" s="2" t="s">
        <v>369</v>
      </c>
      <c r="Q48" s="9">
        <v>90765</v>
      </c>
      <c r="R48" s="2"/>
      <c r="S48" s="4">
        <f t="shared" si="0"/>
        <v>0</v>
      </c>
    </row>
    <row r="49" spans="1:19" x14ac:dyDescent="0.25">
      <c r="A49" s="2" t="s">
        <v>268</v>
      </c>
      <c r="B49" s="2" t="s">
        <v>297</v>
      </c>
      <c r="C49" s="2" t="s">
        <v>298</v>
      </c>
      <c r="D49" s="3">
        <v>5000000</v>
      </c>
      <c r="E49" s="4">
        <v>75000</v>
      </c>
      <c r="F49" s="2">
        <v>3</v>
      </c>
      <c r="G49" s="2">
        <v>20240904</v>
      </c>
      <c r="H49" s="2" t="s">
        <v>299</v>
      </c>
      <c r="I49" s="2">
        <v>1.5</v>
      </c>
      <c r="J49" s="2" t="s">
        <v>19</v>
      </c>
      <c r="K49" s="2" t="s">
        <v>300</v>
      </c>
      <c r="L49" s="2" t="s">
        <v>301</v>
      </c>
      <c r="M49" s="2">
        <v>20241015</v>
      </c>
      <c r="N49" s="2" t="s">
        <v>302</v>
      </c>
      <c r="O49" s="2" t="s">
        <v>279</v>
      </c>
      <c r="P49" s="2" t="s">
        <v>370</v>
      </c>
      <c r="Q49" s="9">
        <v>75000</v>
      </c>
      <c r="R49" s="2"/>
      <c r="S49" s="4">
        <f t="shared" si="0"/>
        <v>0</v>
      </c>
    </row>
    <row r="50" spans="1:19" x14ac:dyDescent="0.25">
      <c r="A50" s="2" t="s">
        <v>268</v>
      </c>
      <c r="B50" s="2" t="s">
        <v>324</v>
      </c>
      <c r="C50" s="2" t="s">
        <v>325</v>
      </c>
      <c r="D50" s="3">
        <v>6641000</v>
      </c>
      <c r="E50" s="4">
        <v>99615</v>
      </c>
      <c r="F50" s="2">
        <v>2</v>
      </c>
      <c r="G50" s="2">
        <v>20240822</v>
      </c>
      <c r="H50" s="2" t="s">
        <v>326</v>
      </c>
      <c r="I50" s="2">
        <v>1.5</v>
      </c>
      <c r="J50" s="2" t="s">
        <v>19</v>
      </c>
      <c r="K50" s="2" t="s">
        <v>327</v>
      </c>
      <c r="L50" s="2" t="s">
        <v>328</v>
      </c>
      <c r="M50" s="2">
        <v>20241015</v>
      </c>
      <c r="N50" s="2" t="s">
        <v>329</v>
      </c>
      <c r="O50" s="2" t="s">
        <v>330</v>
      </c>
      <c r="P50" s="2" t="s">
        <v>334</v>
      </c>
      <c r="Q50" s="9">
        <v>99615</v>
      </c>
      <c r="R50" s="2"/>
      <c r="S50" s="4">
        <f t="shared" si="0"/>
        <v>0</v>
      </c>
    </row>
    <row r="51" spans="1:19" x14ac:dyDescent="0.25">
      <c r="A51" s="2" t="s">
        <v>268</v>
      </c>
      <c r="B51" s="2" t="s">
        <v>303</v>
      </c>
      <c r="C51" s="2" t="s">
        <v>304</v>
      </c>
      <c r="D51" s="3">
        <v>4200000</v>
      </c>
      <c r="E51" s="4">
        <v>63000</v>
      </c>
      <c r="F51" s="2">
        <v>3</v>
      </c>
      <c r="G51" s="2">
        <v>20240827</v>
      </c>
      <c r="H51" s="2" t="s">
        <v>305</v>
      </c>
      <c r="I51" s="2">
        <v>1.5</v>
      </c>
      <c r="J51" s="2" t="s">
        <v>19</v>
      </c>
      <c r="K51" s="2" t="s">
        <v>306</v>
      </c>
      <c r="L51" s="2" t="s">
        <v>307</v>
      </c>
      <c r="M51" s="2">
        <v>20241010</v>
      </c>
      <c r="N51" s="2" t="s">
        <v>308</v>
      </c>
      <c r="O51" s="2" t="s">
        <v>309</v>
      </c>
      <c r="P51" s="2" t="s">
        <v>351</v>
      </c>
      <c r="Q51" s="12">
        <v>630000</v>
      </c>
      <c r="R51" s="2" t="s">
        <v>389</v>
      </c>
      <c r="S51" s="4">
        <f t="shared" si="0"/>
        <v>-567000</v>
      </c>
    </row>
    <row r="52" spans="1:19" x14ac:dyDescent="0.25">
      <c r="A52" s="2" t="s">
        <v>268</v>
      </c>
      <c r="B52" s="2" t="s">
        <v>310</v>
      </c>
      <c r="C52" s="2" t="s">
        <v>311</v>
      </c>
      <c r="D52" s="3">
        <v>3858000</v>
      </c>
      <c r="E52" s="4">
        <v>57870</v>
      </c>
      <c r="F52" s="2">
        <v>3</v>
      </c>
      <c r="G52" s="2">
        <v>20240523</v>
      </c>
      <c r="H52" s="2" t="s">
        <v>312</v>
      </c>
      <c r="I52" s="2">
        <v>1.5</v>
      </c>
      <c r="J52" s="2" t="s">
        <v>19</v>
      </c>
      <c r="K52" s="2" t="s">
        <v>313</v>
      </c>
      <c r="L52" s="2" t="s">
        <v>314</v>
      </c>
      <c r="M52" s="2">
        <v>20241020</v>
      </c>
      <c r="N52" s="2" t="s">
        <v>315</v>
      </c>
      <c r="O52" s="2" t="s">
        <v>316</v>
      </c>
      <c r="P52" s="2" t="s">
        <v>371</v>
      </c>
      <c r="Q52" s="9">
        <v>57870</v>
      </c>
      <c r="R52" s="2"/>
      <c r="S52" s="4">
        <f t="shared" si="0"/>
        <v>0</v>
      </c>
    </row>
    <row r="53" spans="1:19" x14ac:dyDescent="0.25">
      <c r="A53" s="2" t="s">
        <v>268</v>
      </c>
      <c r="B53" s="2" t="s">
        <v>317</v>
      </c>
      <c r="C53" s="2" t="s">
        <v>318</v>
      </c>
      <c r="D53" s="3">
        <v>6500000</v>
      </c>
      <c r="E53" s="4">
        <v>97500</v>
      </c>
      <c r="F53" s="2">
        <v>3</v>
      </c>
      <c r="G53" s="2">
        <v>20240910</v>
      </c>
      <c r="H53" s="2" t="s">
        <v>319</v>
      </c>
      <c r="I53" s="2">
        <v>1.5</v>
      </c>
      <c r="J53" s="2" t="s">
        <v>19</v>
      </c>
      <c r="K53" s="2" t="s">
        <v>320</v>
      </c>
      <c r="L53" s="2" t="s">
        <v>321</v>
      </c>
      <c r="M53" s="2">
        <v>20241025</v>
      </c>
      <c r="N53" s="2" t="s">
        <v>322</v>
      </c>
      <c r="O53" s="2" t="s">
        <v>323</v>
      </c>
      <c r="P53" s="2" t="s">
        <v>372</v>
      </c>
      <c r="Q53" s="9">
        <v>97500</v>
      </c>
      <c r="R53" s="2"/>
      <c r="S53" s="4">
        <f t="shared" si="0"/>
        <v>0</v>
      </c>
    </row>
    <row r="54" spans="1:19" ht="15.75" thickBot="1" x14ac:dyDescent="0.3">
      <c r="E54" s="8">
        <f>SUM(E2:E53)</f>
        <v>3726270</v>
      </c>
      <c r="Q54" s="13">
        <f>SUM(Q2:Q53)</f>
        <v>4305425</v>
      </c>
      <c r="S54" s="21">
        <f>SUM(S2:S51)</f>
        <v>-579155</v>
      </c>
    </row>
    <row r="56" spans="1:19" x14ac:dyDescent="0.25">
      <c r="E56" s="21" t="s">
        <v>410</v>
      </c>
    </row>
  </sheetData>
  <autoFilter ref="A1:S54" xr:uid="{00000000-0001-0000-0000-000000000000}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3987-2115-4805-B6A2-B69415021551}">
  <dimension ref="A1:H52"/>
  <sheetViews>
    <sheetView topLeftCell="G2" workbookViewId="0">
      <selection activeCell="H52" sqref="H2:H52"/>
    </sheetView>
  </sheetViews>
  <sheetFormatPr defaultRowHeight="15" x14ac:dyDescent="0.25"/>
  <cols>
    <col min="1" max="1" width="42.2851562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93.7109375" customWidth="1"/>
    <col min="7" max="7" width="83.7109375" customWidth="1"/>
    <col min="8" max="8" width="74.42578125" customWidth="1"/>
  </cols>
  <sheetData>
    <row r="1" spans="1:8" x14ac:dyDescent="0.25">
      <c r="A1" s="14" t="s">
        <v>407</v>
      </c>
      <c r="B1" t="s">
        <v>408</v>
      </c>
      <c r="D1" s="15" t="s">
        <v>409</v>
      </c>
      <c r="E1" s="23" t="s">
        <v>467</v>
      </c>
    </row>
    <row r="2" spans="1:8" ht="181.5" customHeight="1" x14ac:dyDescent="0.25">
      <c r="A2" s="2" t="s">
        <v>335</v>
      </c>
      <c r="B2" s="16" t="str">
        <f>VLOOKUP(A2,Policy!A:B,2,0)</f>
        <v>070000166608</v>
      </c>
      <c r="C2" s="4">
        <v>68610</v>
      </c>
      <c r="D2" s="17">
        <f>ROUND(C2,0)</f>
        <v>68610</v>
      </c>
      <c r="E2" s="23" t="s">
        <v>467</v>
      </c>
      <c r="F2" s="18" t="str">
        <f t="shared" ref="F2:F52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9" t="str">
        <f>"('"&amp;E2&amp;"','"&amp;B2&amp;"','"&amp;D2&amp;"',(select max(to_number(i.premium_rcv_detail_code))+1
from ins_premium_det i),'"&amp;D2&amp;"','"&amp;D2&amp;"','02', '11000003','00','Request by Mr. Saqib Saleem 08-Oct-2024 Allocation no 08Oct240154');"</f>
        <v>('08Oct240154','070000166608','68610',(select max(to_number(i.premium_rcv_detail_code))+1
from ins_premium_det i),'68610','68610','02', '11000003','00','Request by Mr. Saqib Saleem 08-Oct-2024 Allocation no 08Oct240154');</v>
      </c>
      <c r="H2" s="20" t="str">
        <f>F2&amp;G2</f>
        <v>insert into ins_premium_det (premium_rcv_code,assorted_code, rec_amount,premium_rcv_detail_code,remaining_amt, payrec, mode_code,coinsurance_code,class_cd,it_remarks) values('08Oct240154','070000166608','68610',(select max(to_number(i.premium_rcv_detail_code))+1
from ins_premium_det i),'68610','68610','02', '11000003','00','Request by Mr. Saqib Saleem 08-Oct-2024 Allocation no 08Oct240154');</v>
      </c>
    </row>
    <row r="3" spans="1:8" ht="105" x14ac:dyDescent="0.25">
      <c r="A3" s="2" t="s">
        <v>336</v>
      </c>
      <c r="B3" s="16" t="str">
        <f>VLOOKUP(A3,Policy!A:B,2,0)</f>
        <v>070000165445</v>
      </c>
      <c r="C3" s="4">
        <v>120945</v>
      </c>
      <c r="D3" s="17">
        <f t="shared" ref="D3:D52" si="1">ROUND(C3,0)</f>
        <v>120945</v>
      </c>
      <c r="E3" s="23" t="s">
        <v>467</v>
      </c>
      <c r="F3" s="18" t="str">
        <f t="shared" si="0"/>
        <v>insert into ins_premium_det (premium_rcv_code,assorted_code, rec_amount,premium_rcv_detail_code,remaining_amt, payrec, mode_code,coinsurance_code,class_cd,it_remarks) values</v>
      </c>
      <c r="G3" s="19" t="str">
        <f t="shared" ref="G3:G52" si="2">"('"&amp;E3&amp;"','"&amp;B3&amp;"','"&amp;D3&amp;"',(select max(to_number(i.premium_rcv_detail_code))+1
from ins_premium_det i),'"&amp;D3&amp;"','"&amp;D3&amp;"','02', '11000003','00','Request by Mr. Saqib Saleem 08-Oct-2024 Allocation no 08Oct240154');"</f>
        <v>('08Oct240154','070000165445','120945',(select max(to_number(i.premium_rcv_detail_code))+1
from ins_premium_det i),'120945','120945','02', '11000003','00','Request by Mr. Saqib Saleem 08-Oct-2024 Allocation no 08Oct240154');</v>
      </c>
      <c r="H3" s="20" t="str">
        <f t="shared" ref="H3:H52" si="3">F3&amp;G3</f>
        <v>insert into ins_premium_det (premium_rcv_code,assorted_code, rec_amount,premium_rcv_detail_code,remaining_amt, payrec, mode_code,coinsurance_code,class_cd,it_remarks) values('08Oct240154','070000165445','120945',(select max(to_number(i.premium_rcv_detail_code))+1
from ins_premium_det i),'120945','120945','02', '11000003','00','Request by Mr. Saqib Saleem 08-Oct-2024 Allocation no 08Oct240154');</v>
      </c>
    </row>
    <row r="4" spans="1:8" ht="105" x14ac:dyDescent="0.25">
      <c r="A4" s="2" t="s">
        <v>337</v>
      </c>
      <c r="B4" s="16" t="str">
        <f>VLOOKUP(A4,Policy!A:B,2,0)</f>
        <v>070000165514</v>
      </c>
      <c r="C4" s="4">
        <v>38250</v>
      </c>
      <c r="D4" s="17">
        <f t="shared" si="1"/>
        <v>38250</v>
      </c>
      <c r="E4" s="23" t="s">
        <v>467</v>
      </c>
      <c r="F4" s="18" t="str">
        <f t="shared" si="0"/>
        <v>insert into ins_premium_det (premium_rcv_code,assorted_code, rec_amount,premium_rcv_detail_code,remaining_amt, payrec, mode_code,coinsurance_code,class_cd,it_remarks) values</v>
      </c>
      <c r="G4" s="19" t="str">
        <f t="shared" si="2"/>
        <v>('08Oct240154','070000165514','38250',(select max(to_number(i.premium_rcv_detail_code))+1
from ins_premium_det i),'38250','38250','02', '11000003','00','Request by Mr. Saqib Saleem 08-Oct-2024 Allocation no 08Oct240154');</v>
      </c>
      <c r="H4" s="20" t="str">
        <f t="shared" si="3"/>
        <v>insert into ins_premium_det (premium_rcv_code,assorted_code, rec_amount,premium_rcv_detail_code,remaining_amt, payrec, mode_code,coinsurance_code,class_cd,it_remarks) values('08Oct240154','070000165514','38250',(select max(to_number(i.premium_rcv_detail_code))+1
from ins_premium_det i),'38250','38250','02', '11000003','00','Request by Mr. Saqib Saleem 08-Oct-2024 Allocation no 08Oct240154');</v>
      </c>
    </row>
    <row r="5" spans="1:8" ht="105" x14ac:dyDescent="0.25">
      <c r="A5" s="2" t="s">
        <v>338</v>
      </c>
      <c r="B5" s="16" t="str">
        <f>VLOOKUP(A5,Policy!A:B,2,0)</f>
        <v>070000165699</v>
      </c>
      <c r="C5" s="4">
        <v>69000</v>
      </c>
      <c r="D5" s="17">
        <f t="shared" si="1"/>
        <v>69000</v>
      </c>
      <c r="E5" s="23" t="s">
        <v>467</v>
      </c>
      <c r="F5" s="18" t="str">
        <f t="shared" si="0"/>
        <v>insert into ins_premium_det (premium_rcv_code,assorted_code, rec_amount,premium_rcv_detail_code,remaining_amt, payrec, mode_code,coinsurance_code,class_cd,it_remarks) values</v>
      </c>
      <c r="G5" s="19" t="str">
        <f t="shared" si="2"/>
        <v>('08Oct240154','070000165699','69000',(select max(to_number(i.premium_rcv_detail_code))+1
from ins_premium_det i),'69000','69000','02', '11000003','00','Request by Mr. Saqib Saleem 08-Oct-2024 Allocation no 08Oct240154');</v>
      </c>
      <c r="H5" s="20" t="str">
        <f t="shared" si="3"/>
        <v>insert into ins_premium_det (premium_rcv_code,assorted_code, rec_amount,premium_rcv_detail_code,remaining_amt, payrec, mode_code,coinsurance_code,class_cd,it_remarks) values('08Oct240154','070000165699','69000',(select max(to_number(i.premium_rcv_detail_code))+1
from ins_premium_det i),'69000','69000','02', '11000003','00','Request by Mr. Saqib Saleem 08-Oct-2024 Allocation no 08Oct240154');</v>
      </c>
    </row>
    <row r="6" spans="1:8" ht="105" x14ac:dyDescent="0.25">
      <c r="A6" s="2" t="s">
        <v>339</v>
      </c>
      <c r="B6" s="16" t="str">
        <f>VLOOKUP(A6,Policy!A:B,2,0)</f>
        <v>070000165263</v>
      </c>
      <c r="C6" s="4">
        <v>45675</v>
      </c>
      <c r="D6" s="17">
        <f t="shared" si="1"/>
        <v>45675</v>
      </c>
      <c r="E6" s="23" t="s">
        <v>467</v>
      </c>
      <c r="F6" s="18" t="str">
        <f t="shared" si="0"/>
        <v>insert into ins_premium_det (premium_rcv_code,assorted_code, rec_amount,premium_rcv_detail_code,remaining_amt, payrec, mode_code,coinsurance_code,class_cd,it_remarks) values</v>
      </c>
      <c r="G6" s="19" t="str">
        <f t="shared" si="2"/>
        <v>('08Oct240154','070000165263','45675',(select max(to_number(i.premium_rcv_detail_code))+1
from ins_premium_det i),'45675','45675','02', '11000003','00','Request by Mr. Saqib Saleem 08-Oct-2024 Allocation no 08Oct240154');</v>
      </c>
      <c r="H6" s="20" t="str">
        <f t="shared" si="3"/>
        <v>insert into ins_premium_det (premium_rcv_code,assorted_code, rec_amount,premium_rcv_detail_code,remaining_amt, payrec, mode_code,coinsurance_code,class_cd,it_remarks) values('08Oct240154','070000165263','45675',(select max(to_number(i.premium_rcv_detail_code))+1
from ins_premium_det i),'45675','45675','02', '11000003','00','Request by Mr. Saqib Saleem 08-Oct-2024 Allocation no 08Oct240154');</v>
      </c>
    </row>
    <row r="7" spans="1:8" ht="105" x14ac:dyDescent="0.25">
      <c r="A7" s="2" t="s">
        <v>340</v>
      </c>
      <c r="B7" s="16" t="str">
        <f>VLOOKUP(A7,Policy!A:B,2,0)</f>
        <v>070000165251</v>
      </c>
      <c r="C7" s="4">
        <v>40605</v>
      </c>
      <c r="D7" s="17">
        <f t="shared" si="1"/>
        <v>40605</v>
      </c>
      <c r="E7" s="23" t="s">
        <v>467</v>
      </c>
      <c r="F7" s="18" t="str">
        <f t="shared" si="0"/>
        <v>insert into ins_premium_det (premium_rcv_code,assorted_code, rec_amount,premium_rcv_detail_code,remaining_amt, payrec, mode_code,coinsurance_code,class_cd,it_remarks) values</v>
      </c>
      <c r="G7" s="19" t="str">
        <f t="shared" si="2"/>
        <v>('08Oct240154','070000165251','40605',(select max(to_number(i.premium_rcv_detail_code))+1
from ins_premium_det i),'40605','40605','02', '11000003','00','Request by Mr. Saqib Saleem 08-Oct-2024 Allocation no 08Oct240154');</v>
      </c>
      <c r="H7" s="20" t="str">
        <f t="shared" si="3"/>
        <v>insert into ins_premium_det (premium_rcv_code,assorted_code, rec_amount,premium_rcv_detail_code,remaining_amt, payrec, mode_code,coinsurance_code,class_cd,it_remarks) values('08Oct240154','070000165251','40605',(select max(to_number(i.premium_rcv_detail_code))+1
from ins_premium_det i),'40605','40605','02', '11000003','00','Request by Mr. Saqib Saleem 08-Oct-2024 Allocation no 08Oct240154');</v>
      </c>
    </row>
    <row r="8" spans="1:8" ht="105" x14ac:dyDescent="0.25">
      <c r="A8" s="2" t="s">
        <v>341</v>
      </c>
      <c r="B8" s="16" t="str">
        <f>VLOOKUP(A8,Policy!A:B,2,0)</f>
        <v>070000164915</v>
      </c>
      <c r="C8" s="4">
        <v>63000</v>
      </c>
      <c r="D8" s="17">
        <f t="shared" si="1"/>
        <v>63000</v>
      </c>
      <c r="E8" s="23" t="s">
        <v>467</v>
      </c>
      <c r="F8" s="18" t="str">
        <f t="shared" si="0"/>
        <v>insert into ins_premium_det (premium_rcv_code,assorted_code, rec_amount,premium_rcv_detail_code,remaining_amt, payrec, mode_code,coinsurance_code,class_cd,it_remarks) values</v>
      </c>
      <c r="G8" s="19" t="str">
        <f t="shared" si="2"/>
        <v>('08Oct240154','070000164915','63000',(select max(to_number(i.premium_rcv_detail_code))+1
from ins_premium_det i),'63000','63000','02', '11000003','00','Request by Mr. Saqib Saleem 08-Oct-2024 Allocation no 08Oct240154');</v>
      </c>
      <c r="H8" s="20" t="str">
        <f t="shared" si="3"/>
        <v>insert into ins_premium_det (premium_rcv_code,assorted_code, rec_amount,premium_rcv_detail_code,remaining_amt, payrec, mode_code,coinsurance_code,class_cd,it_remarks) values('08Oct240154','070000164915','63000',(select max(to_number(i.premium_rcv_detail_code))+1
from ins_premium_det i),'63000','63000','02', '11000003','00','Request by Mr. Saqib Saleem 08-Oct-2024 Allocation no 08Oct240154');</v>
      </c>
    </row>
    <row r="9" spans="1:8" ht="105" x14ac:dyDescent="0.25">
      <c r="A9" s="2" t="s">
        <v>342</v>
      </c>
      <c r="B9" s="16" t="str">
        <f>VLOOKUP(A9,Policy!A:B,2,0)</f>
        <v>070000164860</v>
      </c>
      <c r="C9" s="4">
        <v>73500</v>
      </c>
      <c r="D9" s="17">
        <f t="shared" si="1"/>
        <v>73500</v>
      </c>
      <c r="E9" s="23" t="s">
        <v>467</v>
      </c>
      <c r="F9" s="18" t="str">
        <f t="shared" si="0"/>
        <v>insert into ins_premium_det (premium_rcv_code,assorted_code, rec_amount,premium_rcv_detail_code,remaining_amt, payrec, mode_code,coinsurance_code,class_cd,it_remarks) values</v>
      </c>
      <c r="G9" s="19" t="str">
        <f t="shared" si="2"/>
        <v>('08Oct240154','070000164860','73500',(select max(to_number(i.premium_rcv_detail_code))+1
from ins_premium_det i),'73500','73500','02', '11000003','00','Request by Mr. Saqib Saleem 08-Oct-2024 Allocation no 08Oct240154');</v>
      </c>
      <c r="H9" s="20" t="str">
        <f t="shared" si="3"/>
        <v>insert into ins_premium_det (premium_rcv_code,assorted_code, rec_amount,premium_rcv_detail_code,remaining_amt, payrec, mode_code,coinsurance_code,class_cd,it_remarks) values('08Oct240154','070000164860','73500',(select max(to_number(i.premium_rcv_detail_code))+1
from ins_premium_det i),'73500','73500','02', '11000003','00','Request by Mr. Saqib Saleem 08-Oct-2024 Allocation no 08Oct240154');</v>
      </c>
    </row>
    <row r="10" spans="1:8" ht="105" x14ac:dyDescent="0.25">
      <c r="A10" s="2" t="s">
        <v>343</v>
      </c>
      <c r="B10" s="16" t="str">
        <f>VLOOKUP(A10,Policy!A:B,2,0)</f>
        <v>070000165596</v>
      </c>
      <c r="C10" s="4">
        <v>50400</v>
      </c>
      <c r="D10" s="17">
        <f t="shared" si="1"/>
        <v>50400</v>
      </c>
      <c r="E10" s="23" t="s">
        <v>467</v>
      </c>
      <c r="F10" s="18" t="str">
        <f t="shared" si="0"/>
        <v>insert into ins_premium_det (premium_rcv_code,assorted_code, rec_amount,premium_rcv_detail_code,remaining_amt, payrec, mode_code,coinsurance_code,class_cd,it_remarks) values</v>
      </c>
      <c r="G10" s="19" t="str">
        <f t="shared" si="2"/>
        <v>('08Oct240154','070000165596','50400',(select max(to_number(i.premium_rcv_detail_code))+1
from ins_premium_det i),'50400','50400','02', '11000003','00','Request by Mr. Saqib Saleem 08-Oct-2024 Allocation no 08Oct240154');</v>
      </c>
      <c r="H10" s="20" t="str">
        <f t="shared" si="3"/>
        <v>insert into ins_premium_det (premium_rcv_code,assorted_code, rec_amount,premium_rcv_detail_code,remaining_amt, payrec, mode_code,coinsurance_code,class_cd,it_remarks) values('08Oct240154','070000165596','50400',(select max(to_number(i.premium_rcv_detail_code))+1
from ins_premium_det i),'50400','50400','02', '11000003','00','Request by Mr. Saqib Saleem 08-Oct-2024 Allocation no 08Oct240154');</v>
      </c>
    </row>
    <row r="11" spans="1:8" ht="105" x14ac:dyDescent="0.25">
      <c r="A11" s="2" t="s">
        <v>344</v>
      </c>
      <c r="B11" s="16" t="str">
        <f>VLOOKUP(A11,Policy!A:B,2,0)</f>
        <v>070000165700</v>
      </c>
      <c r="C11" s="4">
        <v>45675</v>
      </c>
      <c r="D11" s="17">
        <f t="shared" si="1"/>
        <v>45675</v>
      </c>
      <c r="E11" s="23" t="s">
        <v>467</v>
      </c>
      <c r="F11" s="18" t="str">
        <f t="shared" si="0"/>
        <v>insert into ins_premium_det (premium_rcv_code,assorted_code, rec_amount,premium_rcv_detail_code,remaining_amt, payrec, mode_code,coinsurance_code,class_cd,it_remarks) values</v>
      </c>
      <c r="G11" s="19" t="str">
        <f t="shared" si="2"/>
        <v>('08Oct240154','070000165700','45675',(select max(to_number(i.premium_rcv_detail_code))+1
from ins_premium_det i),'45675','45675','02', '11000003','00','Request by Mr. Saqib Saleem 08-Oct-2024 Allocation no 08Oct240154');</v>
      </c>
      <c r="H11" s="20" t="str">
        <f t="shared" si="3"/>
        <v>insert into ins_premium_det (premium_rcv_code,assorted_code, rec_amount,premium_rcv_detail_code,remaining_amt, payrec, mode_code,coinsurance_code,class_cd,it_remarks) values('08Oct240154','070000165700','45675',(select max(to_number(i.premium_rcv_detail_code))+1
from ins_premium_det i),'45675','45675','02', '11000003','00','Request by Mr. Saqib Saleem 08-Oct-2024 Allocation no 08Oct240154');</v>
      </c>
    </row>
    <row r="12" spans="1:8" ht="105" x14ac:dyDescent="0.25">
      <c r="A12" s="2" t="s">
        <v>373</v>
      </c>
      <c r="B12" s="16" t="str">
        <f>VLOOKUP(A12,Policy!A:B,2,0)</f>
        <v>070000165656</v>
      </c>
      <c r="C12" s="4">
        <v>71400</v>
      </c>
      <c r="D12" s="17">
        <f t="shared" si="1"/>
        <v>71400</v>
      </c>
      <c r="E12" s="23" t="s">
        <v>467</v>
      </c>
      <c r="F12" s="18" t="str">
        <f t="shared" si="0"/>
        <v>insert into ins_premium_det (premium_rcv_code,assorted_code, rec_amount,premium_rcv_detail_code,remaining_amt, payrec, mode_code,coinsurance_code,class_cd,it_remarks) values</v>
      </c>
      <c r="G12" s="19" t="str">
        <f t="shared" si="2"/>
        <v>('08Oct240154','070000165656','71400',(select max(to_number(i.premium_rcv_detail_code))+1
from ins_premium_det i),'71400','71400','02', '11000003','00','Request by Mr. Saqib Saleem 08-Oct-2024 Allocation no 08Oct240154');</v>
      </c>
      <c r="H12" s="20" t="str">
        <f t="shared" si="3"/>
        <v>insert into ins_premium_det (premium_rcv_code,assorted_code, rec_amount,premium_rcv_detail_code,remaining_amt, payrec, mode_code,coinsurance_code,class_cd,it_remarks) values('08Oct240154','070000165656','71400',(select max(to_number(i.premium_rcv_detail_code))+1
from ins_premium_det i),'71400','71400','02', '11000003','00','Request by Mr. Saqib Saleem 08-Oct-2024 Allocation no 08Oct240154');</v>
      </c>
    </row>
    <row r="13" spans="1:8" ht="105" x14ac:dyDescent="0.25">
      <c r="A13" s="2" t="s">
        <v>345</v>
      </c>
      <c r="B13" s="16" t="str">
        <f>VLOOKUP(A13,Policy!A:B,2,0)</f>
        <v>070000166131</v>
      </c>
      <c r="C13" s="4">
        <v>45675</v>
      </c>
      <c r="D13" s="17">
        <f t="shared" si="1"/>
        <v>45675</v>
      </c>
      <c r="E13" s="23" t="s">
        <v>467</v>
      </c>
      <c r="F13" s="18" t="str">
        <f t="shared" si="0"/>
        <v>insert into ins_premium_det (premium_rcv_code,assorted_code, rec_amount,premium_rcv_detail_code,remaining_amt, payrec, mode_code,coinsurance_code,class_cd,it_remarks) values</v>
      </c>
      <c r="G13" s="19" t="str">
        <f t="shared" si="2"/>
        <v>('08Oct240154','070000166131','45675',(select max(to_number(i.premium_rcv_detail_code))+1
from ins_premium_det i),'45675','45675','02', '11000003','00','Request by Mr. Saqib Saleem 08-Oct-2024 Allocation no 08Oct240154');</v>
      </c>
      <c r="H13" s="20" t="str">
        <f t="shared" si="3"/>
        <v>insert into ins_premium_det (premium_rcv_code,assorted_code, rec_amount,premium_rcv_detail_code,remaining_amt, payrec, mode_code,coinsurance_code,class_cd,it_remarks) values('08Oct240154','070000166131','45675',(select max(to_number(i.premium_rcv_detail_code))+1
from ins_premium_det i),'45675','45675','02', '11000003','00','Request by Mr. Saqib Saleem 08-Oct-2024 Allocation no 08Oct240154');</v>
      </c>
    </row>
    <row r="14" spans="1:8" ht="105" x14ac:dyDescent="0.25">
      <c r="A14" s="2" t="s">
        <v>352</v>
      </c>
      <c r="B14" s="16" t="str">
        <f>VLOOKUP(A14,Policy!A:B,2,0)</f>
        <v>070000165012</v>
      </c>
      <c r="C14" s="4">
        <v>45675</v>
      </c>
      <c r="D14" s="17">
        <f t="shared" si="1"/>
        <v>45675</v>
      </c>
      <c r="E14" s="23" t="s">
        <v>467</v>
      </c>
      <c r="F14" s="18" t="str">
        <f t="shared" si="0"/>
        <v>insert into ins_premium_det (premium_rcv_code,assorted_code, rec_amount,premium_rcv_detail_code,remaining_amt, payrec, mode_code,coinsurance_code,class_cd,it_remarks) values</v>
      </c>
      <c r="G14" s="19" t="str">
        <f t="shared" si="2"/>
        <v>('08Oct240154','070000165012','45675',(select max(to_number(i.premium_rcv_detail_code))+1
from ins_premium_det i),'45675','45675','02', '11000003','00','Request by Mr. Saqib Saleem 08-Oct-2024 Allocation no 08Oct240154');</v>
      </c>
      <c r="H14" s="20" t="str">
        <f t="shared" si="3"/>
        <v>insert into ins_premium_det (premium_rcv_code,assorted_code, rec_amount,premium_rcv_detail_code,remaining_amt, payrec, mode_code,coinsurance_code,class_cd,it_remarks) values('08Oct240154','070000165012','45675',(select max(to_number(i.premium_rcv_detail_code))+1
from ins_premium_det i),'45675','45675','02', '11000003','00','Request by Mr. Saqib Saleem 08-Oct-2024 Allocation no 08Oct240154');</v>
      </c>
    </row>
    <row r="15" spans="1:8" ht="105" x14ac:dyDescent="0.25">
      <c r="A15" s="2" t="s">
        <v>374</v>
      </c>
      <c r="B15" s="16" t="str">
        <f>VLOOKUP(A15,Policy!A:B,2,0)</f>
        <v>070000165493</v>
      </c>
      <c r="C15" s="4">
        <v>40605</v>
      </c>
      <c r="D15" s="17">
        <f t="shared" si="1"/>
        <v>40605</v>
      </c>
      <c r="E15" s="23" t="s">
        <v>467</v>
      </c>
      <c r="F15" s="18" t="str">
        <f t="shared" si="0"/>
        <v>insert into ins_premium_det (premium_rcv_code,assorted_code, rec_amount,premium_rcv_detail_code,remaining_amt, payrec, mode_code,coinsurance_code,class_cd,it_remarks) values</v>
      </c>
      <c r="G15" s="19" t="str">
        <f t="shared" si="2"/>
        <v>('08Oct240154','070000165493','40605',(select max(to_number(i.premium_rcv_detail_code))+1
from ins_premium_det i),'40605','40605','02', '11000003','00','Request by Mr. Saqib Saleem 08-Oct-2024 Allocation no 08Oct240154');</v>
      </c>
      <c r="H15" s="20" t="str">
        <f t="shared" si="3"/>
        <v>insert into ins_premium_det (premium_rcv_code,assorted_code, rec_amount,premium_rcv_detail_code,remaining_amt, payrec, mode_code,coinsurance_code,class_cd,it_remarks) values('08Oct240154','070000165493','40605',(select max(to_number(i.premium_rcv_detail_code))+1
from ins_premium_det i),'40605','40605','02', '11000003','00','Request by Mr. Saqib Saleem 08-Oct-2024 Allocation no 08Oct240154');</v>
      </c>
    </row>
    <row r="16" spans="1:8" ht="105" x14ac:dyDescent="0.25">
      <c r="A16" s="2" t="s">
        <v>375</v>
      </c>
      <c r="B16" s="16" t="str">
        <f>VLOOKUP(A16,Policy!A:B,2,0)</f>
        <v>070000165495</v>
      </c>
      <c r="C16" s="4">
        <v>45675</v>
      </c>
      <c r="D16" s="17">
        <f t="shared" si="1"/>
        <v>45675</v>
      </c>
      <c r="E16" s="23" t="s">
        <v>467</v>
      </c>
      <c r="F16" s="18" t="str">
        <f t="shared" si="0"/>
        <v>insert into ins_premium_det (premium_rcv_code,assorted_code, rec_amount,premium_rcv_detail_code,remaining_amt, payrec, mode_code,coinsurance_code,class_cd,it_remarks) values</v>
      </c>
      <c r="G16" s="19" t="str">
        <f t="shared" si="2"/>
        <v>('08Oct240154','070000165495','45675',(select max(to_number(i.premium_rcv_detail_code))+1
from ins_premium_det i),'45675','45675','02', '11000003','00','Request by Mr. Saqib Saleem 08-Oct-2024 Allocation no 08Oct240154');</v>
      </c>
      <c r="H16" s="20" t="str">
        <f t="shared" si="3"/>
        <v>insert into ins_premium_det (premium_rcv_code,assorted_code, rec_amount,premium_rcv_detail_code,remaining_amt, payrec, mode_code,coinsurance_code,class_cd,it_remarks) values('08Oct240154','070000165495','45675',(select max(to_number(i.premium_rcv_detail_code))+1
from ins_premium_det i),'45675','45675','02', '11000003','00','Request by Mr. Saqib Saleem 08-Oct-2024 Allocation no 08Oct240154');</v>
      </c>
    </row>
    <row r="17" spans="1:8" ht="105" x14ac:dyDescent="0.25">
      <c r="A17" s="10" t="s">
        <v>384</v>
      </c>
      <c r="B17" s="16" t="str">
        <f>VLOOKUP(A17,Policy!A:B,2,0)</f>
        <v>070000164948</v>
      </c>
      <c r="C17" s="4">
        <v>97500</v>
      </c>
      <c r="D17" s="17">
        <f t="shared" si="1"/>
        <v>97500</v>
      </c>
      <c r="E17" s="23" t="s">
        <v>467</v>
      </c>
      <c r="F17" s="18" t="str">
        <f t="shared" si="0"/>
        <v>insert into ins_premium_det (premium_rcv_code,assorted_code, rec_amount,premium_rcv_detail_code,remaining_amt, payrec, mode_code,coinsurance_code,class_cd,it_remarks) values</v>
      </c>
      <c r="G17" s="19" t="str">
        <f t="shared" si="2"/>
        <v>('08Oct240154','070000164948','97500',(select max(to_number(i.premium_rcv_detail_code))+1
from ins_premium_det i),'97500','97500','02', '11000003','00','Request by Mr. Saqib Saleem 08-Oct-2024 Allocation no 08Oct240154');</v>
      </c>
      <c r="H17" s="20" t="str">
        <f t="shared" si="3"/>
        <v>insert into ins_premium_det (premium_rcv_code,assorted_code, rec_amount,premium_rcv_detail_code,remaining_amt, payrec, mode_code,coinsurance_code,class_cd,it_remarks) values('08Oct240154','070000164948','97500',(select max(to_number(i.premium_rcv_detail_code))+1
from ins_premium_det i),'97500','97500','02', '11000003','00','Request by Mr. Saqib Saleem 08-Oct-2024 Allocation no 08Oct240154');</v>
      </c>
    </row>
    <row r="18" spans="1:8" ht="105" x14ac:dyDescent="0.25">
      <c r="A18" s="2" t="s">
        <v>353</v>
      </c>
      <c r="B18" s="16" t="str">
        <f>VLOOKUP(A18,Policy!A:B,2,0)</f>
        <v>070000165461</v>
      </c>
      <c r="C18" s="4">
        <v>48930</v>
      </c>
      <c r="D18" s="17">
        <f t="shared" si="1"/>
        <v>48930</v>
      </c>
      <c r="E18" s="23" t="s">
        <v>467</v>
      </c>
      <c r="F18" s="18" t="str">
        <f t="shared" si="0"/>
        <v>insert into ins_premium_det (premium_rcv_code,assorted_code, rec_amount,premium_rcv_detail_code,remaining_amt, payrec, mode_code,coinsurance_code,class_cd,it_remarks) values</v>
      </c>
      <c r="G18" s="19" t="str">
        <f t="shared" si="2"/>
        <v>('08Oct240154','070000165461','48930',(select max(to_number(i.premium_rcv_detail_code))+1
from ins_premium_det i),'48930','48930','02', '11000003','00','Request by Mr. Saqib Saleem 08-Oct-2024 Allocation no 08Oct240154');</v>
      </c>
      <c r="H18" s="20" t="str">
        <f t="shared" si="3"/>
        <v>insert into ins_premium_det (premium_rcv_code,assorted_code, rec_amount,premium_rcv_detail_code,remaining_amt, payrec, mode_code,coinsurance_code,class_cd,it_remarks) values('08Oct240154','070000165461','48930',(select max(to_number(i.premium_rcv_detail_code))+1
from ins_premium_det i),'48930','48930','02', '11000003','00','Request by Mr. Saqib Saleem 08-Oct-2024 Allocation no 08Oct240154');</v>
      </c>
    </row>
    <row r="19" spans="1:8" ht="105" x14ac:dyDescent="0.25">
      <c r="A19" s="2" t="s">
        <v>354</v>
      </c>
      <c r="B19" s="16" t="str">
        <f>VLOOKUP(A19,Policy!A:B,2,0)</f>
        <v>070000165309</v>
      </c>
      <c r="C19" s="4">
        <v>70785</v>
      </c>
      <c r="D19" s="17">
        <f t="shared" si="1"/>
        <v>70785</v>
      </c>
      <c r="E19" s="23" t="s">
        <v>467</v>
      </c>
      <c r="F19" s="18" t="str">
        <f t="shared" si="0"/>
        <v>insert into ins_premium_det (premium_rcv_code,assorted_code, rec_amount,premium_rcv_detail_code,remaining_amt, payrec, mode_code,coinsurance_code,class_cd,it_remarks) values</v>
      </c>
      <c r="G19" s="19" t="str">
        <f t="shared" si="2"/>
        <v>('08Oct240154','070000165309','70785',(select max(to_number(i.premium_rcv_detail_code))+1
from ins_premium_det i),'70785','70785','02', '11000003','00','Request by Mr. Saqib Saleem 08-Oct-2024 Allocation no 08Oct240154');</v>
      </c>
      <c r="H19" s="20" t="str">
        <f t="shared" si="3"/>
        <v>insert into ins_premium_det (premium_rcv_code,assorted_code, rec_amount,premium_rcv_detail_code,remaining_amt, payrec, mode_code,coinsurance_code,class_cd,it_remarks) values('08Oct240154','070000165309','70785',(select max(to_number(i.premium_rcv_detail_code))+1
from ins_premium_det i),'70785','70785','02', '11000003','00','Request by Mr. Saqib Saleem 08-Oct-2024 Allocation no 08Oct240154');</v>
      </c>
    </row>
    <row r="20" spans="1:8" ht="105" x14ac:dyDescent="0.25">
      <c r="A20" s="2" t="s">
        <v>355</v>
      </c>
      <c r="B20" s="16" t="str">
        <f>VLOOKUP(A20,Policy!A:B,2,0)</f>
        <v>070000165658</v>
      </c>
      <c r="C20" s="4">
        <v>40605</v>
      </c>
      <c r="D20" s="17">
        <f t="shared" si="1"/>
        <v>40605</v>
      </c>
      <c r="E20" s="23" t="s">
        <v>467</v>
      </c>
      <c r="F20" s="18" t="str">
        <f t="shared" si="0"/>
        <v>insert into ins_premium_det (premium_rcv_code,assorted_code, rec_amount,premium_rcv_detail_code,remaining_amt, payrec, mode_code,coinsurance_code,class_cd,it_remarks) values</v>
      </c>
      <c r="G20" s="19" t="str">
        <f t="shared" si="2"/>
        <v>('08Oct240154','070000165658','40605',(select max(to_number(i.premium_rcv_detail_code))+1
from ins_premium_det i),'40605','40605','02', '11000003','00','Request by Mr. Saqib Saleem 08-Oct-2024 Allocation no 08Oct240154');</v>
      </c>
      <c r="H20" s="20" t="str">
        <f t="shared" si="3"/>
        <v>insert into ins_premium_det (premium_rcv_code,assorted_code, rec_amount,premium_rcv_detail_code,remaining_amt, payrec, mode_code,coinsurance_code,class_cd,it_remarks) values('08Oct240154','070000165658','40605',(select max(to_number(i.premium_rcv_detail_code))+1
from ins_premium_det i),'40605','40605','02', '11000003','00','Request by Mr. Saqib Saleem 08-Oct-2024 Allocation no 08Oct240154');</v>
      </c>
    </row>
    <row r="21" spans="1:8" ht="105" x14ac:dyDescent="0.25">
      <c r="A21" s="2" t="s">
        <v>376</v>
      </c>
      <c r="B21" s="16" t="str">
        <f>VLOOKUP(A21,Policy!A:B,2,0)</f>
        <v>070000165247</v>
      </c>
      <c r="C21" s="4">
        <v>67185</v>
      </c>
      <c r="D21" s="17">
        <f t="shared" si="1"/>
        <v>67185</v>
      </c>
      <c r="E21" s="23" t="s">
        <v>467</v>
      </c>
      <c r="F21" s="18" t="str">
        <f t="shared" si="0"/>
        <v>insert into ins_premium_det (premium_rcv_code,assorted_code, rec_amount,premium_rcv_detail_code,remaining_amt, payrec, mode_code,coinsurance_code,class_cd,it_remarks) values</v>
      </c>
      <c r="G21" s="19" t="str">
        <f t="shared" si="2"/>
        <v>('08Oct240154','070000165247','67185',(select max(to_number(i.premium_rcv_detail_code))+1
from ins_premium_det i),'67185','67185','02', '11000003','00','Request by Mr. Saqib Saleem 08-Oct-2024 Allocation no 08Oct240154');</v>
      </c>
      <c r="H21" s="20" t="str">
        <f t="shared" si="3"/>
        <v>insert into ins_premium_det (premium_rcv_code,assorted_code, rec_amount,premium_rcv_detail_code,remaining_amt, payrec, mode_code,coinsurance_code,class_cd,it_remarks) values('08Oct240154','070000165247','67185',(select max(to_number(i.premium_rcv_detail_code))+1
from ins_premium_det i),'67185','67185','02', '11000003','00','Request by Mr. Saqib Saleem 08-Oct-2024 Allocation no 08Oct240154');</v>
      </c>
    </row>
    <row r="22" spans="1:8" ht="105" x14ac:dyDescent="0.25">
      <c r="A22" s="2" t="s">
        <v>377</v>
      </c>
      <c r="B22" s="16" t="str">
        <f>VLOOKUP(A22,Policy!A:B,2,0)</f>
        <v>070000165465</v>
      </c>
      <c r="C22" s="4">
        <v>40605</v>
      </c>
      <c r="D22" s="17">
        <f t="shared" si="1"/>
        <v>40605</v>
      </c>
      <c r="E22" s="23" t="s">
        <v>467</v>
      </c>
      <c r="F22" s="18" t="str">
        <f t="shared" si="0"/>
        <v>insert into ins_premium_det (premium_rcv_code,assorted_code, rec_amount,premium_rcv_detail_code,remaining_amt, payrec, mode_code,coinsurance_code,class_cd,it_remarks) values</v>
      </c>
      <c r="G22" s="19" t="str">
        <f t="shared" si="2"/>
        <v>('08Oct240154','070000165465','40605',(select max(to_number(i.premium_rcv_detail_code))+1
from ins_premium_det i),'40605','40605','02', '11000003','00','Request by Mr. Saqib Saleem 08-Oct-2024 Allocation no 08Oct240154');</v>
      </c>
      <c r="H22" s="20" t="str">
        <f t="shared" si="3"/>
        <v>insert into ins_premium_det (premium_rcv_code,assorted_code, rec_amount,premium_rcv_detail_code,remaining_amt, payrec, mode_code,coinsurance_code,class_cd,it_remarks) values('08Oct240154','070000165465','40605',(select max(to_number(i.premium_rcv_detail_code))+1
from ins_premium_det i),'40605','40605','02', '11000003','00','Request by Mr. Saqib Saleem 08-Oct-2024 Allocation no 08Oct240154');</v>
      </c>
    </row>
    <row r="23" spans="1:8" ht="105" x14ac:dyDescent="0.25">
      <c r="A23" s="2" t="s">
        <v>378</v>
      </c>
      <c r="B23" s="16" t="str">
        <f>VLOOKUP(A23,Policy!A:B,2,0)</f>
        <v>070000165539</v>
      </c>
      <c r="C23" s="4">
        <v>72000</v>
      </c>
      <c r="D23" s="17">
        <f t="shared" si="1"/>
        <v>72000</v>
      </c>
      <c r="E23" s="23" t="s">
        <v>467</v>
      </c>
      <c r="F23" s="18" t="str">
        <f t="shared" si="0"/>
        <v>insert into ins_premium_det (premium_rcv_code,assorted_code, rec_amount,premium_rcv_detail_code,remaining_amt, payrec, mode_code,coinsurance_code,class_cd,it_remarks) values</v>
      </c>
      <c r="G23" s="19" t="str">
        <f t="shared" si="2"/>
        <v>('08Oct240154','070000165539','72000',(select max(to_number(i.premium_rcv_detail_code))+1
from ins_premium_det i),'72000','72000','02', '11000003','00','Request by Mr. Saqib Saleem 08-Oct-2024 Allocation no 08Oct240154');</v>
      </c>
      <c r="H23" s="20" t="str">
        <f t="shared" si="3"/>
        <v>insert into ins_premium_det (premium_rcv_code,assorted_code, rec_amount,premium_rcv_detail_code,remaining_amt, payrec, mode_code,coinsurance_code,class_cd,it_remarks) values('08Oct240154','070000165539','72000',(select max(to_number(i.premium_rcv_detail_code))+1
from ins_premium_det i),'72000','72000','02', '11000003','00','Request by Mr. Saqib Saleem 08-Oct-2024 Allocation no 08Oct240154');</v>
      </c>
    </row>
    <row r="24" spans="1:8" ht="105" x14ac:dyDescent="0.25">
      <c r="A24" s="2" t="s">
        <v>356</v>
      </c>
      <c r="B24" s="16" t="str">
        <f>VLOOKUP(A24,Policy!A:B,2,0)</f>
        <v>070000164993</v>
      </c>
      <c r="C24" s="4">
        <v>66000</v>
      </c>
      <c r="D24" s="17">
        <f t="shared" si="1"/>
        <v>66000</v>
      </c>
      <c r="E24" s="23" t="s">
        <v>467</v>
      </c>
      <c r="F24" s="18" t="str">
        <f t="shared" si="0"/>
        <v>insert into ins_premium_det (premium_rcv_code,assorted_code, rec_amount,premium_rcv_detail_code,remaining_amt, payrec, mode_code,coinsurance_code,class_cd,it_remarks) values</v>
      </c>
      <c r="G24" s="19" t="str">
        <f t="shared" si="2"/>
        <v>('08Oct240154','070000164993','66000',(select max(to_number(i.premium_rcv_detail_code))+1
from ins_premium_det i),'66000','66000','02', '11000003','00','Request by Mr. Saqib Saleem 08-Oct-2024 Allocation no 08Oct240154');</v>
      </c>
      <c r="H24" s="20" t="str">
        <f t="shared" si="3"/>
        <v>insert into ins_premium_det (premium_rcv_code,assorted_code, rec_amount,premium_rcv_detail_code,remaining_amt, payrec, mode_code,coinsurance_code,class_cd,it_remarks) values('08Oct240154','070000164993','66000',(select max(to_number(i.premium_rcv_detail_code))+1
from ins_premium_det i),'66000','66000','02', '11000003','00','Request by Mr. Saqib Saleem 08-Oct-2024 Allocation no 08Oct240154');</v>
      </c>
    </row>
    <row r="25" spans="1:8" ht="105" x14ac:dyDescent="0.25">
      <c r="A25" s="2" t="s">
        <v>357</v>
      </c>
      <c r="B25" s="16" t="str">
        <f>VLOOKUP(A25,Policy!A:B,2,0)</f>
        <v>070000166158</v>
      </c>
      <c r="C25" s="4">
        <v>63000</v>
      </c>
      <c r="D25" s="17">
        <f t="shared" si="1"/>
        <v>63000</v>
      </c>
      <c r="E25" s="23" t="s">
        <v>467</v>
      </c>
      <c r="F25" s="18" t="str">
        <f t="shared" si="0"/>
        <v>insert into ins_premium_det (premium_rcv_code,assorted_code, rec_amount,premium_rcv_detail_code,remaining_amt, payrec, mode_code,coinsurance_code,class_cd,it_remarks) values</v>
      </c>
      <c r="G25" s="19" t="str">
        <f t="shared" si="2"/>
        <v>('08Oct240154','070000166158','63000',(select max(to_number(i.premium_rcv_detail_code))+1
from ins_premium_det i),'63000','63000','02', '11000003','00','Request by Mr. Saqib Saleem 08-Oct-2024 Allocation no 08Oct240154');</v>
      </c>
      <c r="H25" s="20" t="str">
        <f t="shared" si="3"/>
        <v>insert into ins_premium_det (premium_rcv_code,assorted_code, rec_amount,premium_rcv_detail_code,remaining_amt, payrec, mode_code,coinsurance_code,class_cd,it_remarks) values('08Oct240154','070000166158','63000',(select max(to_number(i.premium_rcv_detail_code))+1
from ins_premium_det i),'63000','63000','02', '11000003','00','Request by Mr. Saqib Saleem 08-Oct-2024 Allocation no 08Oct240154');</v>
      </c>
    </row>
    <row r="26" spans="1:8" ht="105" x14ac:dyDescent="0.25">
      <c r="A26" s="2" t="s">
        <v>346</v>
      </c>
      <c r="B26" t="s">
        <v>458</v>
      </c>
      <c r="C26" s="4">
        <v>71400</v>
      </c>
      <c r="D26" s="17">
        <f t="shared" si="1"/>
        <v>71400</v>
      </c>
      <c r="E26" s="23" t="s">
        <v>467</v>
      </c>
      <c r="F26" s="18" t="str">
        <f t="shared" si="0"/>
        <v>insert into ins_premium_det (premium_rcv_code,assorted_code, rec_amount,premium_rcv_detail_code,remaining_amt, payrec, mode_code,coinsurance_code,class_cd,it_remarks) values</v>
      </c>
      <c r="G26" s="19" t="str">
        <f t="shared" si="2"/>
        <v>('08Oct240154','070000164914','71400',(select max(to_number(i.premium_rcv_detail_code))+1
from ins_premium_det i),'71400','71400','02', '11000003','00','Request by Mr. Saqib Saleem 08-Oct-2024 Allocation no 08Oct240154');</v>
      </c>
      <c r="H26" s="20" t="str">
        <f t="shared" si="3"/>
        <v>insert into ins_premium_det (premium_rcv_code,assorted_code, rec_amount,premium_rcv_detail_code,remaining_amt, payrec, mode_code,coinsurance_code,class_cd,it_remarks) values('08Oct240154','070000164914','71400',(select max(to_number(i.premium_rcv_detail_code))+1
from ins_premium_det i),'71400','71400','02', '11000003','00','Request by Mr. Saqib Saleem 08-Oct-2024 Allocation no 08Oct240154');</v>
      </c>
    </row>
    <row r="27" spans="1:8" ht="105" x14ac:dyDescent="0.25">
      <c r="A27" s="2" t="s">
        <v>347</v>
      </c>
      <c r="B27" t="s">
        <v>420</v>
      </c>
      <c r="C27" s="4">
        <v>71400</v>
      </c>
      <c r="D27" s="17">
        <f t="shared" si="1"/>
        <v>71400</v>
      </c>
      <c r="E27" s="23" t="s">
        <v>467</v>
      </c>
      <c r="F27" s="18" t="str">
        <f t="shared" si="0"/>
        <v>insert into ins_premium_det (premium_rcv_code,assorted_code, rec_amount,premium_rcv_detail_code,remaining_amt, payrec, mode_code,coinsurance_code,class_cd,it_remarks) values</v>
      </c>
      <c r="G27" s="19" t="str">
        <f t="shared" si="2"/>
        <v>('08Oct240154','070000164905','71400',(select max(to_number(i.premium_rcv_detail_code))+1
from ins_premium_det i),'71400','71400','02', '11000003','00','Request by Mr. Saqib Saleem 08-Oct-2024 Allocation no 08Oct240154');</v>
      </c>
      <c r="H27" s="20" t="str">
        <f t="shared" si="3"/>
        <v>insert into ins_premium_det (premium_rcv_code,assorted_code, rec_amount,premium_rcv_detail_code,remaining_amt, payrec, mode_code,coinsurance_code,class_cd,it_remarks) values('08Oct240154','070000164905','71400',(select max(to_number(i.premium_rcv_detail_code))+1
from ins_premium_det i),'71400','71400','02', '11000003','00','Request by Mr. Saqib Saleem 08-Oct-2024 Allocation no 08Oct240154');</v>
      </c>
    </row>
    <row r="28" spans="1:8" ht="105" x14ac:dyDescent="0.25">
      <c r="A28" s="2" t="s">
        <v>358</v>
      </c>
      <c r="B28" s="16" t="str">
        <f>VLOOKUP(A28,Policy!A:B,2,0)</f>
        <v>070000165288</v>
      </c>
      <c r="C28" s="4">
        <v>70785</v>
      </c>
      <c r="D28" s="17">
        <f t="shared" si="1"/>
        <v>70785</v>
      </c>
      <c r="E28" s="23" t="s">
        <v>467</v>
      </c>
      <c r="F28" s="18" t="str">
        <f t="shared" si="0"/>
        <v>insert into ins_premium_det (premium_rcv_code,assorted_code, rec_amount,premium_rcv_detail_code,remaining_amt, payrec, mode_code,coinsurance_code,class_cd,it_remarks) values</v>
      </c>
      <c r="G28" s="19" t="str">
        <f t="shared" si="2"/>
        <v>('08Oct240154','070000165288','70785',(select max(to_number(i.premium_rcv_detail_code))+1
from ins_premium_det i),'70785','70785','02', '11000003','00','Request by Mr. Saqib Saleem 08-Oct-2024 Allocation no 08Oct240154');</v>
      </c>
      <c r="H28" s="20" t="str">
        <f t="shared" si="3"/>
        <v>insert into ins_premium_det (premium_rcv_code,assorted_code, rec_amount,premium_rcv_detail_code,remaining_amt, payrec, mode_code,coinsurance_code,class_cd,it_remarks) values('08Oct240154','070000165288','70785',(select max(to_number(i.premium_rcv_detail_code))+1
from ins_premium_det i),'70785','70785','02', '11000003','00','Request by Mr. Saqib Saleem 08-Oct-2024 Allocation no 08Oct240154');</v>
      </c>
    </row>
    <row r="29" spans="1:8" ht="105" x14ac:dyDescent="0.25">
      <c r="A29" s="2" t="s">
        <v>359</v>
      </c>
      <c r="B29" s="16" t="str">
        <f>VLOOKUP(A29,Policy!A:B,2,0)</f>
        <v>070000165296</v>
      </c>
      <c r="C29" s="4">
        <v>66000</v>
      </c>
      <c r="D29" s="17">
        <f t="shared" si="1"/>
        <v>66000</v>
      </c>
      <c r="E29" s="23" t="s">
        <v>467</v>
      </c>
      <c r="F29" s="18" t="str">
        <f t="shared" si="0"/>
        <v>insert into ins_premium_det (premium_rcv_code,assorted_code, rec_amount,premium_rcv_detail_code,remaining_amt, payrec, mode_code,coinsurance_code,class_cd,it_remarks) values</v>
      </c>
      <c r="G29" s="19" t="str">
        <f t="shared" si="2"/>
        <v>('08Oct240154','070000165296','66000',(select max(to_number(i.premium_rcv_detail_code))+1
from ins_premium_det i),'66000','66000','02', '11000003','00','Request by Mr. Saqib Saleem 08-Oct-2024 Allocation no 08Oct240154');</v>
      </c>
      <c r="H29" s="20" t="str">
        <f t="shared" si="3"/>
        <v>insert into ins_premium_det (premium_rcv_code,assorted_code, rec_amount,premium_rcv_detail_code,remaining_amt, payrec, mode_code,coinsurance_code,class_cd,it_remarks) values('08Oct240154','070000165296','66000',(select max(to_number(i.premium_rcv_detail_code))+1
from ins_premium_det i),'66000','66000','02', '11000003','00','Request by Mr. Saqib Saleem 08-Oct-2024 Allocation no 08Oct240154');</v>
      </c>
    </row>
    <row r="30" spans="1:8" ht="105" x14ac:dyDescent="0.25">
      <c r="A30" s="2" t="s">
        <v>379</v>
      </c>
      <c r="B30" s="16" t="str">
        <f>VLOOKUP(A30,Policy!A:B,2,0)</f>
        <v>040000184290</v>
      </c>
      <c r="C30" s="4">
        <v>299895</v>
      </c>
      <c r="D30" s="17">
        <f t="shared" si="1"/>
        <v>299895</v>
      </c>
      <c r="E30" s="23" t="s">
        <v>467</v>
      </c>
      <c r="F30" s="18" t="str">
        <f t="shared" si="0"/>
        <v>insert into ins_premium_det (premium_rcv_code,assorted_code, rec_amount,premium_rcv_detail_code,remaining_amt, payrec, mode_code,coinsurance_code,class_cd,it_remarks) values</v>
      </c>
      <c r="G30" s="19" t="str">
        <f t="shared" si="2"/>
        <v>('08Oct240154','040000184290','299895',(select max(to_number(i.premium_rcv_detail_code))+1
from ins_premium_det i),'299895','299895','02', '11000003','00','Request by Mr. Saqib Saleem 08-Oct-2024 Allocation no 08Oct240154');</v>
      </c>
      <c r="H30" s="20" t="str">
        <f t="shared" si="3"/>
        <v>insert into ins_premium_det (premium_rcv_code,assorted_code, rec_amount,premium_rcv_detail_code,remaining_amt, payrec, mode_code,coinsurance_code,class_cd,it_remarks) values('08Oct240154','040000184290','299895',(select max(to_number(i.premium_rcv_detail_code))+1
from ins_premium_det i),'299895','299895','02', '11000003','00','Request by Mr. Saqib Saleem 08-Oct-2024 Allocation no 08Oct240154');</v>
      </c>
    </row>
    <row r="31" spans="1:8" ht="105" x14ac:dyDescent="0.25">
      <c r="A31" s="2" t="s">
        <v>360</v>
      </c>
      <c r="B31" s="16" t="str">
        <f>VLOOKUP(A31,Policy!A:B,2,0)</f>
        <v>070000165441</v>
      </c>
      <c r="C31" s="4">
        <v>71400</v>
      </c>
      <c r="D31" s="17">
        <f t="shared" si="1"/>
        <v>71400</v>
      </c>
      <c r="E31" s="23" t="s">
        <v>467</v>
      </c>
      <c r="F31" s="18" t="str">
        <f t="shared" si="0"/>
        <v>insert into ins_premium_det (premium_rcv_code,assorted_code, rec_amount,premium_rcv_detail_code,remaining_amt, payrec, mode_code,coinsurance_code,class_cd,it_remarks) values</v>
      </c>
      <c r="G31" s="19" t="str">
        <f t="shared" si="2"/>
        <v>('08Oct240154','070000165441','71400',(select max(to_number(i.premium_rcv_detail_code))+1
from ins_premium_det i),'71400','71400','02', '11000003','00','Request by Mr. Saqib Saleem 08-Oct-2024 Allocation no 08Oct240154');</v>
      </c>
      <c r="H31" s="20" t="str">
        <f t="shared" si="3"/>
        <v>insert into ins_premium_det (premium_rcv_code,assorted_code, rec_amount,premium_rcv_detail_code,remaining_amt, payrec, mode_code,coinsurance_code,class_cd,it_remarks) values('08Oct240154','070000165441','71400',(select max(to_number(i.premium_rcv_detail_code))+1
from ins_premium_det i),'71400','71400','02', '11000003','00','Request by Mr. Saqib Saleem 08-Oct-2024 Allocation no 08Oct240154');</v>
      </c>
    </row>
    <row r="32" spans="1:8" ht="105" x14ac:dyDescent="0.25">
      <c r="A32" s="2" t="s">
        <v>361</v>
      </c>
      <c r="B32" s="16" t="str">
        <f>VLOOKUP(A32,Policy!A:B,2,0)</f>
        <v>070000165292</v>
      </c>
      <c r="C32" s="4">
        <v>70785</v>
      </c>
      <c r="D32" s="17">
        <f t="shared" si="1"/>
        <v>70785</v>
      </c>
      <c r="E32" s="23" t="s">
        <v>467</v>
      </c>
      <c r="F32" s="18" t="str">
        <f t="shared" si="0"/>
        <v>insert into ins_premium_det (premium_rcv_code,assorted_code, rec_amount,premium_rcv_detail_code,remaining_amt, payrec, mode_code,coinsurance_code,class_cd,it_remarks) values</v>
      </c>
      <c r="G32" s="19" t="str">
        <f t="shared" si="2"/>
        <v>('08Oct240154','070000165292','70785',(select max(to_number(i.premium_rcv_detail_code))+1
from ins_premium_det i),'70785','70785','02', '11000003','00','Request by Mr. Saqib Saleem 08-Oct-2024 Allocation no 08Oct240154');</v>
      </c>
      <c r="H32" s="20" t="str">
        <f t="shared" si="3"/>
        <v>insert into ins_premium_det (premium_rcv_code,assorted_code, rec_amount,premium_rcv_detail_code,remaining_amt, payrec, mode_code,coinsurance_code,class_cd,it_remarks) values('08Oct240154','070000165292','70785',(select max(to_number(i.premium_rcv_detail_code))+1
from ins_premium_det i),'70785','70785','02', '11000003','00','Request by Mr. Saqib Saleem 08-Oct-2024 Allocation no 08Oct240154');</v>
      </c>
    </row>
    <row r="33" spans="1:8" ht="105" x14ac:dyDescent="0.25">
      <c r="A33" s="2" t="s">
        <v>348</v>
      </c>
      <c r="B33" t="s">
        <v>426</v>
      </c>
      <c r="C33" s="4">
        <v>61500</v>
      </c>
      <c r="D33" s="17">
        <f t="shared" si="1"/>
        <v>61500</v>
      </c>
      <c r="E33" s="23" t="s">
        <v>467</v>
      </c>
      <c r="F33" s="18" t="str">
        <f t="shared" si="0"/>
        <v>insert into ins_premium_det (premium_rcv_code,assorted_code, rec_amount,premium_rcv_detail_code,remaining_amt, payrec, mode_code,coinsurance_code,class_cd,it_remarks) values</v>
      </c>
      <c r="G33" s="19" t="str">
        <f t="shared" si="2"/>
        <v>('08Oct240154','070000164934','61500',(select max(to_number(i.premium_rcv_detail_code))+1
from ins_premium_det i),'61500','61500','02', '11000003','00','Request by Mr. Saqib Saleem 08-Oct-2024 Allocation no 08Oct240154');</v>
      </c>
      <c r="H33" s="20" t="str">
        <f t="shared" si="3"/>
        <v>insert into ins_premium_det (premium_rcv_code,assorted_code, rec_amount,premium_rcv_detail_code,remaining_amt, payrec, mode_code,coinsurance_code,class_cd,it_remarks) values('08Oct240154','070000164934','61500',(select max(to_number(i.premium_rcv_detail_code))+1
from ins_premium_det i),'61500','61500','02', '11000003','00','Request by Mr. Saqib Saleem 08-Oct-2024 Allocation no 08Oct240154');</v>
      </c>
    </row>
    <row r="34" spans="1:8" ht="105" x14ac:dyDescent="0.25">
      <c r="A34" s="2" t="s">
        <v>362</v>
      </c>
      <c r="B34" s="16" t="str">
        <f>VLOOKUP(A34,Policy!A:B,2,0)</f>
        <v>070000165515</v>
      </c>
      <c r="C34" s="4">
        <v>61125</v>
      </c>
      <c r="D34" s="17">
        <f t="shared" si="1"/>
        <v>61125</v>
      </c>
      <c r="E34" s="23" t="s">
        <v>467</v>
      </c>
      <c r="F34" s="18" t="str">
        <f t="shared" si="0"/>
        <v>insert into ins_premium_det (premium_rcv_code,assorted_code, rec_amount,premium_rcv_detail_code,remaining_amt, payrec, mode_code,coinsurance_code,class_cd,it_remarks) values</v>
      </c>
      <c r="G34" s="19" t="str">
        <f t="shared" si="2"/>
        <v>('08Oct240154','070000165515','61125',(select max(to_number(i.premium_rcv_detail_code))+1
from ins_premium_det i),'61125','61125','02', '11000003','00','Request by Mr. Saqib Saleem 08-Oct-2024 Allocation no 08Oct240154');</v>
      </c>
      <c r="H34" s="20" t="str">
        <f t="shared" si="3"/>
        <v>insert into ins_premium_det (premium_rcv_code,assorted_code, rec_amount,premium_rcv_detail_code,remaining_amt, payrec, mode_code,coinsurance_code,class_cd,it_remarks) values('08Oct240154','070000165515','61125',(select max(to_number(i.premium_rcv_detail_code))+1
from ins_premium_det i),'61125','61125','02', '11000003','00','Request by Mr. Saqib Saleem 08-Oct-2024 Allocation no 08Oct240154');</v>
      </c>
    </row>
    <row r="35" spans="1:8" ht="105" x14ac:dyDescent="0.25">
      <c r="A35" s="2" t="s">
        <v>380</v>
      </c>
      <c r="B35" s="16" t="str">
        <f>VLOOKUP(A35,Policy!A:B,2,0)</f>
        <v>070000165576</v>
      </c>
      <c r="C35" s="4">
        <v>42600</v>
      </c>
      <c r="D35" s="17">
        <f t="shared" si="1"/>
        <v>42600</v>
      </c>
      <c r="E35" s="23" t="s">
        <v>467</v>
      </c>
      <c r="F35" s="18" t="str">
        <f t="shared" si="0"/>
        <v>insert into ins_premium_det (premium_rcv_code,assorted_code, rec_amount,premium_rcv_detail_code,remaining_amt, payrec, mode_code,coinsurance_code,class_cd,it_remarks) values</v>
      </c>
      <c r="G35" s="19" t="str">
        <f t="shared" si="2"/>
        <v>('08Oct240154','070000165576','42600',(select max(to_number(i.premium_rcv_detail_code))+1
from ins_premium_det i),'42600','42600','02', '11000003','00','Request by Mr. Saqib Saleem 08-Oct-2024 Allocation no 08Oct240154');</v>
      </c>
      <c r="H35" s="20" t="str">
        <f t="shared" si="3"/>
        <v>insert into ins_premium_det (premium_rcv_code,assorted_code, rec_amount,premium_rcv_detail_code,remaining_amt, payrec, mode_code,coinsurance_code,class_cd,it_remarks) values('08Oct240154','070000165576','42600',(select max(to_number(i.premium_rcv_detail_code))+1
from ins_premium_det i),'42600','42600','02', '11000003','00','Request by Mr. Saqib Saleem 08-Oct-2024 Allocation no 08Oct240154');</v>
      </c>
    </row>
    <row r="36" spans="1:8" ht="105" x14ac:dyDescent="0.25">
      <c r="A36" s="2" t="s">
        <v>381</v>
      </c>
      <c r="B36" s="16" t="str">
        <f>VLOOKUP(A36,Policy!A:B,2,0)</f>
        <v>070000165272</v>
      </c>
      <c r="C36" s="4">
        <v>70785</v>
      </c>
      <c r="D36" s="17">
        <f t="shared" si="1"/>
        <v>70785</v>
      </c>
      <c r="E36" s="23" t="s">
        <v>467</v>
      </c>
      <c r="F36" s="18" t="str">
        <f t="shared" si="0"/>
        <v>insert into ins_premium_det (premium_rcv_code,assorted_code, rec_amount,premium_rcv_detail_code,remaining_amt, payrec, mode_code,coinsurance_code,class_cd,it_remarks) values</v>
      </c>
      <c r="G36" s="19" t="str">
        <f t="shared" si="2"/>
        <v>('08Oct240154','070000165272','70785',(select max(to_number(i.premium_rcv_detail_code))+1
from ins_premium_det i),'70785','70785','02', '11000003','00','Request by Mr. Saqib Saleem 08-Oct-2024 Allocation no 08Oct240154');</v>
      </c>
      <c r="H36" s="20" t="str">
        <f t="shared" si="3"/>
        <v>insert into ins_premium_det (premium_rcv_code,assorted_code, rec_amount,premium_rcv_detail_code,remaining_amt, payrec, mode_code,coinsurance_code,class_cd,it_remarks) values('08Oct240154','070000165272','70785',(select max(to_number(i.premium_rcv_detail_code))+1
from ins_premium_det i),'70785','70785','02', '11000003','00','Request by Mr. Saqib Saleem 08-Oct-2024 Allocation no 08Oct240154');</v>
      </c>
    </row>
    <row r="37" spans="1:8" ht="105" x14ac:dyDescent="0.25">
      <c r="A37" s="2" t="s">
        <v>363</v>
      </c>
      <c r="B37" s="16" t="str">
        <f>VLOOKUP(A37,Policy!A:B,2,0)</f>
        <v>070000165762</v>
      </c>
      <c r="C37" s="4">
        <v>42000</v>
      </c>
      <c r="D37" s="17">
        <f t="shared" si="1"/>
        <v>42000</v>
      </c>
      <c r="E37" s="23" t="s">
        <v>467</v>
      </c>
      <c r="F37" s="18" t="str">
        <f t="shared" si="0"/>
        <v>insert into ins_premium_det (premium_rcv_code,assorted_code, rec_amount,premium_rcv_detail_code,remaining_amt, payrec, mode_code,coinsurance_code,class_cd,it_remarks) values</v>
      </c>
      <c r="G37" s="19" t="str">
        <f t="shared" si="2"/>
        <v>('08Oct240154','070000165762','42000',(select max(to_number(i.premium_rcv_detail_code))+1
from ins_premium_det i),'42000','42000','02', '11000003','00','Request by Mr. Saqib Saleem 08-Oct-2024 Allocation no 08Oct240154');</v>
      </c>
      <c r="H37" s="20" t="str">
        <f t="shared" si="3"/>
        <v>insert into ins_premium_det (premium_rcv_code,assorted_code, rec_amount,premium_rcv_detail_code,remaining_amt, payrec, mode_code,coinsurance_code,class_cd,it_remarks) values('08Oct240154','070000165762','42000',(select max(to_number(i.premium_rcv_detail_code))+1
from ins_premium_det i),'42000','42000','02', '11000003','00','Request by Mr. Saqib Saleem 08-Oct-2024 Allocation no 08Oct240154');</v>
      </c>
    </row>
    <row r="38" spans="1:8" ht="105" x14ac:dyDescent="0.25">
      <c r="A38" s="2" t="s">
        <v>364</v>
      </c>
      <c r="B38" s="16" t="str">
        <f>VLOOKUP(A38,Policy!A:B,2,0)</f>
        <v>070000165000</v>
      </c>
      <c r="C38" s="4">
        <v>131235</v>
      </c>
      <c r="D38" s="17">
        <f t="shared" si="1"/>
        <v>131235</v>
      </c>
      <c r="E38" s="23" t="s">
        <v>467</v>
      </c>
      <c r="F38" s="18" t="str">
        <f t="shared" si="0"/>
        <v>insert into ins_premium_det (premium_rcv_code,assorted_code, rec_amount,premium_rcv_detail_code,remaining_amt, payrec, mode_code,coinsurance_code,class_cd,it_remarks) values</v>
      </c>
      <c r="G38" s="19" t="str">
        <f t="shared" si="2"/>
        <v>('08Oct240154','070000165000','131235',(select max(to_number(i.premium_rcv_detail_code))+1
from ins_premium_det i),'131235','131235','02', '11000003','00','Request by Mr. Saqib Saleem 08-Oct-2024 Allocation no 08Oct240154');</v>
      </c>
      <c r="H38" s="20" t="str">
        <f t="shared" si="3"/>
        <v>insert into ins_premium_det (premium_rcv_code,assorted_code, rec_amount,premium_rcv_detail_code,remaining_amt, payrec, mode_code,coinsurance_code,class_cd,it_remarks) values('08Oct240154','070000165000','131235',(select max(to_number(i.premium_rcv_detail_code))+1
from ins_premium_det i),'131235','131235','02', '11000003','00','Request by Mr. Saqib Saleem 08-Oct-2024 Allocation no 08Oct240154');</v>
      </c>
    </row>
    <row r="39" spans="1:8" ht="105" x14ac:dyDescent="0.25">
      <c r="A39" s="2" t="s">
        <v>382</v>
      </c>
      <c r="B39" s="16" t="str">
        <f>VLOOKUP(A39,Policy!A:B,2,0)</f>
        <v>070000165701</v>
      </c>
      <c r="C39" s="4">
        <v>56250</v>
      </c>
      <c r="D39" s="17">
        <f t="shared" si="1"/>
        <v>56250</v>
      </c>
      <c r="E39" s="23" t="s">
        <v>467</v>
      </c>
      <c r="F39" s="18" t="str">
        <f t="shared" si="0"/>
        <v>insert into ins_premium_det (premium_rcv_code,assorted_code, rec_amount,premium_rcv_detail_code,remaining_amt, payrec, mode_code,coinsurance_code,class_cd,it_remarks) values</v>
      </c>
      <c r="G39" s="19" t="str">
        <f t="shared" si="2"/>
        <v>('08Oct240154','070000165701','56250',(select max(to_number(i.premium_rcv_detail_code))+1
from ins_premium_det i),'56250','56250','02', '11000003','00','Request by Mr. Saqib Saleem 08-Oct-2024 Allocation no 08Oct240154');</v>
      </c>
      <c r="H39" s="20" t="str">
        <f t="shared" si="3"/>
        <v>insert into ins_premium_det (premium_rcv_code,assorted_code, rec_amount,premium_rcv_detail_code,remaining_amt, payrec, mode_code,coinsurance_code,class_cd,it_remarks) values('08Oct240154','070000165701','56250',(select max(to_number(i.premium_rcv_detail_code))+1
from ins_premium_det i),'56250','56250','02', '11000003','00','Request by Mr. Saqib Saleem 08-Oct-2024 Allocation no 08Oct240154');</v>
      </c>
    </row>
    <row r="40" spans="1:8" ht="105" x14ac:dyDescent="0.25">
      <c r="A40" s="2" t="s">
        <v>365</v>
      </c>
      <c r="B40" s="16" t="str">
        <f>VLOOKUP(A40,Policy!A:B,2,0)</f>
        <v>070000165290</v>
      </c>
      <c r="C40" s="4">
        <v>75000</v>
      </c>
      <c r="D40" s="17">
        <f t="shared" si="1"/>
        <v>75000</v>
      </c>
      <c r="E40" s="23" t="s">
        <v>467</v>
      </c>
      <c r="F40" s="18" t="str">
        <f t="shared" si="0"/>
        <v>insert into ins_premium_det (premium_rcv_code,assorted_code, rec_amount,premium_rcv_detail_code,remaining_amt, payrec, mode_code,coinsurance_code,class_cd,it_remarks) values</v>
      </c>
      <c r="G40" s="19" t="str">
        <f t="shared" si="2"/>
        <v>('08Oct240154','070000165290','75000',(select max(to_number(i.premium_rcv_detail_code))+1
from ins_premium_det i),'75000','75000','02', '11000003','00','Request by Mr. Saqib Saleem 08-Oct-2024 Allocation no 08Oct240154');</v>
      </c>
      <c r="H40" s="20" t="str">
        <f t="shared" si="3"/>
        <v>insert into ins_premium_det (premium_rcv_code,assorted_code, rec_amount,premium_rcv_detail_code,remaining_amt, payrec, mode_code,coinsurance_code,class_cd,it_remarks) values('08Oct240154','070000165290','75000',(select max(to_number(i.premium_rcv_detail_code))+1
from ins_premium_det i),'75000','75000','02', '11000003','00','Request by Mr. Saqib Saleem 08-Oct-2024 Allocation no 08Oct240154');</v>
      </c>
    </row>
    <row r="41" spans="1:8" ht="105" x14ac:dyDescent="0.25">
      <c r="A41" s="2" t="s">
        <v>383</v>
      </c>
      <c r="B41" s="16" t="str">
        <f>VLOOKUP(A41,Policy!A:B,2,0)</f>
        <v>070000166581</v>
      </c>
      <c r="C41" s="4">
        <v>88185</v>
      </c>
      <c r="D41" s="17">
        <f t="shared" si="1"/>
        <v>88185</v>
      </c>
      <c r="E41" s="23" t="s">
        <v>467</v>
      </c>
      <c r="F41" s="18" t="str">
        <f t="shared" si="0"/>
        <v>insert into ins_premium_det (premium_rcv_code,assorted_code, rec_amount,premium_rcv_detail_code,remaining_amt, payrec, mode_code,coinsurance_code,class_cd,it_remarks) values</v>
      </c>
      <c r="G41" s="19" t="str">
        <f t="shared" si="2"/>
        <v>('08Oct240154','070000166581','88185',(select max(to_number(i.premium_rcv_detail_code))+1
from ins_premium_det i),'88185','88185','02', '11000003','00','Request by Mr. Saqib Saleem 08-Oct-2024 Allocation no 08Oct240154');</v>
      </c>
      <c r="H41" s="20" t="str">
        <f t="shared" si="3"/>
        <v>insert into ins_premium_det (premium_rcv_code,assorted_code, rec_amount,premium_rcv_detail_code,remaining_amt, payrec, mode_code,coinsurance_code,class_cd,it_remarks) values('08Oct240154','070000166581','88185',(select max(to_number(i.premium_rcv_detail_code))+1
from ins_premium_det i),'88185','88185','02', '11000003','00','Request by Mr. Saqib Saleem 08-Oct-2024 Allocation no 08Oct240154');</v>
      </c>
    </row>
    <row r="42" spans="1:8" ht="105" x14ac:dyDescent="0.25">
      <c r="A42" s="10" t="s">
        <v>385</v>
      </c>
      <c r="B42" s="16" t="str">
        <f>VLOOKUP(A42,Policy!A:B,2,0)</f>
        <v>070000164951</v>
      </c>
      <c r="C42" s="4">
        <v>85290</v>
      </c>
      <c r="D42" s="17">
        <f t="shared" si="1"/>
        <v>85290</v>
      </c>
      <c r="E42" s="23" t="s">
        <v>467</v>
      </c>
      <c r="F42" s="18" t="str">
        <f t="shared" si="0"/>
        <v>insert into ins_premium_det (premium_rcv_code,assorted_code, rec_amount,premium_rcv_detail_code,remaining_amt, payrec, mode_code,coinsurance_code,class_cd,it_remarks) values</v>
      </c>
      <c r="G42" s="19" t="str">
        <f t="shared" si="2"/>
        <v>('08Oct240154','070000164951','85290',(select max(to_number(i.premium_rcv_detail_code))+1
from ins_premium_det i),'85290','85290','02', '11000003','00','Request by Mr. Saqib Saleem 08-Oct-2024 Allocation no 08Oct240154');</v>
      </c>
      <c r="H42" s="20" t="str">
        <f t="shared" si="3"/>
        <v>insert into ins_premium_det (premium_rcv_code,assorted_code, rec_amount,premium_rcv_detail_code,remaining_amt, payrec, mode_code,coinsurance_code,class_cd,it_remarks) values('08Oct240154','070000164951','85290',(select max(to_number(i.premium_rcv_detail_code))+1
from ins_premium_det i),'85290','85290','02', '11000003','00','Request by Mr. Saqib Saleem 08-Oct-2024 Allocation no 08Oct240154');</v>
      </c>
    </row>
    <row r="43" spans="1:8" ht="105" x14ac:dyDescent="0.25">
      <c r="A43" s="2" t="s">
        <v>366</v>
      </c>
      <c r="B43" s="16" t="str">
        <f>VLOOKUP(A43,Policy!A:B,2,0)</f>
        <v>070000165393</v>
      </c>
      <c r="C43" s="4">
        <v>63000</v>
      </c>
      <c r="D43" s="17">
        <f t="shared" si="1"/>
        <v>63000</v>
      </c>
      <c r="E43" s="23" t="s">
        <v>467</v>
      </c>
      <c r="F43" s="18" t="str">
        <f t="shared" si="0"/>
        <v>insert into ins_premium_det (premium_rcv_code,assorted_code, rec_amount,premium_rcv_detail_code,remaining_amt, payrec, mode_code,coinsurance_code,class_cd,it_remarks) values</v>
      </c>
      <c r="G43" s="19" t="str">
        <f t="shared" si="2"/>
        <v>('08Oct240154','070000165393','63000',(select max(to_number(i.premium_rcv_detail_code))+1
from ins_premium_det i),'63000','63000','02', '11000003','00','Request by Mr. Saqib Saleem 08-Oct-2024 Allocation no 08Oct240154');</v>
      </c>
      <c r="H43" s="20" t="str">
        <f t="shared" si="3"/>
        <v>insert into ins_premium_det (premium_rcv_code,assorted_code, rec_amount,premium_rcv_detail_code,remaining_amt, payrec, mode_code,coinsurance_code,class_cd,it_remarks) values('08Oct240154','070000165393','63000',(select max(to_number(i.premium_rcv_detail_code))+1
from ins_premium_det i),'63000','63000','02', '11000003','00','Request by Mr. Saqib Saleem 08-Oct-2024 Allocation no 08Oct240154');</v>
      </c>
    </row>
    <row r="44" spans="1:8" ht="105" x14ac:dyDescent="0.25">
      <c r="A44" s="2" t="s">
        <v>367</v>
      </c>
      <c r="B44" s="16" t="str">
        <f>VLOOKUP(A44,Policy!A:B,2,0)</f>
        <v>070000165776</v>
      </c>
      <c r="C44" s="4">
        <v>70785</v>
      </c>
      <c r="D44" s="17">
        <f t="shared" si="1"/>
        <v>70785</v>
      </c>
      <c r="E44" s="23" t="s">
        <v>467</v>
      </c>
      <c r="F44" s="18" t="str">
        <f t="shared" si="0"/>
        <v>insert into ins_premium_det (premium_rcv_code,assorted_code, rec_amount,premium_rcv_detail_code,remaining_amt, payrec, mode_code,coinsurance_code,class_cd,it_remarks) values</v>
      </c>
      <c r="G44" s="19" t="str">
        <f t="shared" si="2"/>
        <v>('08Oct240154','070000165776','70785',(select max(to_number(i.premium_rcv_detail_code))+1
from ins_premium_det i),'70785','70785','02', '11000003','00','Request by Mr. Saqib Saleem 08-Oct-2024 Allocation no 08Oct240154');</v>
      </c>
      <c r="H44" s="20" t="str">
        <f t="shared" si="3"/>
        <v>insert into ins_premium_det (premium_rcv_code,assorted_code, rec_amount,premium_rcv_detail_code,remaining_amt, payrec, mode_code,coinsurance_code,class_cd,it_remarks) values('08Oct240154','070000165776','70785',(select max(to_number(i.premium_rcv_detail_code))+1
from ins_premium_det i),'70785','70785','02', '11000003','00','Request by Mr. Saqib Saleem 08-Oct-2024 Allocation no 08Oct240154');</v>
      </c>
    </row>
    <row r="45" spans="1:8" ht="105" x14ac:dyDescent="0.25">
      <c r="A45" s="2" t="s">
        <v>368</v>
      </c>
      <c r="B45" s="16" t="str">
        <f>VLOOKUP(A45,Policy!A:B,2,0)</f>
        <v>070000165479</v>
      </c>
      <c r="C45" s="4">
        <v>70785</v>
      </c>
      <c r="D45" s="17">
        <f t="shared" si="1"/>
        <v>70785</v>
      </c>
      <c r="E45" s="23" t="s">
        <v>467</v>
      </c>
      <c r="F45" s="18" t="str">
        <f t="shared" si="0"/>
        <v>insert into ins_premium_det (premium_rcv_code,assorted_code, rec_amount,premium_rcv_detail_code,remaining_amt, payrec, mode_code,coinsurance_code,class_cd,it_remarks) values</v>
      </c>
      <c r="G45" s="19" t="str">
        <f t="shared" si="2"/>
        <v>('08Oct240154','070000165479','70785',(select max(to_number(i.premium_rcv_detail_code))+1
from ins_premium_det i),'70785','70785','02', '11000003','00','Request by Mr. Saqib Saleem 08-Oct-2024 Allocation no 08Oct240154');</v>
      </c>
      <c r="H45" s="20" t="str">
        <f t="shared" si="3"/>
        <v>insert into ins_premium_det (premium_rcv_code,assorted_code, rec_amount,premium_rcv_detail_code,remaining_amt, payrec, mode_code,coinsurance_code,class_cd,it_remarks) values('08Oct240154','070000165479','70785',(select max(to_number(i.premium_rcv_detail_code))+1
from ins_premium_det i),'70785','70785','02', '11000003','00','Request by Mr. Saqib Saleem 08-Oct-2024 Allocation no 08Oct240154');</v>
      </c>
    </row>
    <row r="46" spans="1:8" ht="105" x14ac:dyDescent="0.25">
      <c r="A46" s="2" t="s">
        <v>350</v>
      </c>
      <c r="B46" t="s">
        <v>440</v>
      </c>
      <c r="C46" s="4">
        <v>71400</v>
      </c>
      <c r="D46" s="17">
        <f t="shared" si="1"/>
        <v>71400</v>
      </c>
      <c r="E46" s="23" t="s">
        <v>467</v>
      </c>
      <c r="F46" s="18" t="str">
        <f t="shared" si="0"/>
        <v>insert into ins_premium_det (premium_rcv_code,assorted_code, rec_amount,premium_rcv_detail_code,remaining_amt, payrec, mode_code,coinsurance_code,class_cd,it_remarks) values</v>
      </c>
      <c r="G46" s="19" t="str">
        <f t="shared" si="2"/>
        <v>('08Oct240154','070000164858','71400',(select max(to_number(i.premium_rcv_detail_code))+1
from ins_premium_det i),'71400','71400','02', '11000003','00','Request by Mr. Saqib Saleem 08-Oct-2024 Allocation no 08Oct240154');</v>
      </c>
      <c r="H46" s="20" t="str">
        <f t="shared" si="3"/>
        <v>insert into ins_premium_det (premium_rcv_code,assorted_code, rec_amount,premium_rcv_detail_code,remaining_amt, payrec, mode_code,coinsurance_code,class_cd,it_remarks) values('08Oct240154','070000164858','71400',(select max(to_number(i.premium_rcv_detail_code))+1
from ins_premium_det i),'71400','71400','02', '11000003','00','Request by Mr. Saqib Saleem 08-Oct-2024 Allocation no 08Oct240154');</v>
      </c>
    </row>
    <row r="47" spans="1:8" ht="105" x14ac:dyDescent="0.25">
      <c r="A47" s="2" t="s">
        <v>369</v>
      </c>
      <c r="B47" s="16" t="str">
        <f>VLOOKUP(A47,Policy!A:B,2,0)</f>
        <v>070000165253</v>
      </c>
      <c r="C47" s="4">
        <v>90765</v>
      </c>
      <c r="D47" s="17">
        <f t="shared" si="1"/>
        <v>90765</v>
      </c>
      <c r="E47" s="23" t="s">
        <v>467</v>
      </c>
      <c r="F47" s="18" t="str">
        <f t="shared" si="0"/>
        <v>insert into ins_premium_det (premium_rcv_code,assorted_code, rec_amount,premium_rcv_detail_code,remaining_amt, payrec, mode_code,coinsurance_code,class_cd,it_remarks) values</v>
      </c>
      <c r="G47" s="19" t="str">
        <f t="shared" si="2"/>
        <v>('08Oct240154','070000165253','90765',(select max(to_number(i.premium_rcv_detail_code))+1
from ins_premium_det i),'90765','90765','02', '11000003','00','Request by Mr. Saqib Saleem 08-Oct-2024 Allocation no 08Oct240154');</v>
      </c>
      <c r="H47" s="20" t="str">
        <f t="shared" si="3"/>
        <v>insert into ins_premium_det (premium_rcv_code,assorted_code, rec_amount,premium_rcv_detail_code,remaining_amt, payrec, mode_code,coinsurance_code,class_cd,it_remarks) values('08Oct240154','070000165253','90765',(select max(to_number(i.premium_rcv_detail_code))+1
from ins_premium_det i),'90765','90765','02', '11000003','00','Request by Mr. Saqib Saleem 08-Oct-2024 Allocation no 08Oct240154');</v>
      </c>
    </row>
    <row r="48" spans="1:8" ht="105" x14ac:dyDescent="0.25">
      <c r="A48" s="2" t="s">
        <v>370</v>
      </c>
      <c r="B48" s="16" t="str">
        <f>VLOOKUP(A48,Policy!A:B,2,0)</f>
        <v>070000165227</v>
      </c>
      <c r="C48" s="4">
        <v>75000</v>
      </c>
      <c r="D48" s="17">
        <f t="shared" si="1"/>
        <v>75000</v>
      </c>
      <c r="E48" s="23" t="s">
        <v>467</v>
      </c>
      <c r="F48" s="18" t="str">
        <f t="shared" si="0"/>
        <v>insert into ins_premium_det (premium_rcv_code,assorted_code, rec_amount,premium_rcv_detail_code,remaining_amt, payrec, mode_code,coinsurance_code,class_cd,it_remarks) values</v>
      </c>
      <c r="G48" s="19" t="str">
        <f t="shared" si="2"/>
        <v>('08Oct240154','070000165227','75000',(select max(to_number(i.premium_rcv_detail_code))+1
from ins_premium_det i),'75000','75000','02', '11000003','00','Request by Mr. Saqib Saleem 08-Oct-2024 Allocation no 08Oct240154');</v>
      </c>
      <c r="H48" s="20" t="str">
        <f t="shared" si="3"/>
        <v>insert into ins_premium_det (premium_rcv_code,assorted_code, rec_amount,premium_rcv_detail_code,remaining_amt, payrec, mode_code,coinsurance_code,class_cd,it_remarks) values('08Oct240154','070000165227','75000',(select max(to_number(i.premium_rcv_detail_code))+1
from ins_premium_det i),'75000','75000','02', '11000003','00','Request by Mr. Saqib Saleem 08-Oct-2024 Allocation no 08Oct240154');</v>
      </c>
    </row>
    <row r="49" spans="1:8" ht="105" x14ac:dyDescent="0.25">
      <c r="A49" s="2" t="s">
        <v>334</v>
      </c>
      <c r="B49" s="16" t="str">
        <f>VLOOKUP(A49,Policy!A:B,2,0)</f>
        <v>070000164991</v>
      </c>
      <c r="C49" s="4">
        <v>99615</v>
      </c>
      <c r="D49" s="17">
        <f t="shared" si="1"/>
        <v>99615</v>
      </c>
      <c r="E49" s="23" t="s">
        <v>467</v>
      </c>
      <c r="F49" s="18" t="str">
        <f t="shared" si="0"/>
        <v>insert into ins_premium_det (premium_rcv_code,assorted_code, rec_amount,premium_rcv_detail_code,remaining_amt, payrec, mode_code,coinsurance_code,class_cd,it_remarks) values</v>
      </c>
      <c r="G49" s="19" t="str">
        <f t="shared" si="2"/>
        <v>('08Oct240154','070000164991','99615',(select max(to_number(i.premium_rcv_detail_code))+1
from ins_premium_det i),'99615','99615','02', '11000003','00','Request by Mr. Saqib Saleem 08-Oct-2024 Allocation no 08Oct240154');</v>
      </c>
      <c r="H49" s="20" t="str">
        <f t="shared" si="3"/>
        <v>insert into ins_premium_det (premium_rcv_code,assorted_code, rec_amount,premium_rcv_detail_code,remaining_amt, payrec, mode_code,coinsurance_code,class_cd,it_remarks) values('08Oct240154','070000164991','99615',(select max(to_number(i.premium_rcv_detail_code))+1
from ins_premium_det i),'99615','99615','02', '11000003','00','Request by Mr. Saqib Saleem 08-Oct-2024 Allocation no 08Oct240154');</v>
      </c>
    </row>
    <row r="50" spans="1:8" ht="105" x14ac:dyDescent="0.25">
      <c r="A50" s="2" t="s">
        <v>351</v>
      </c>
      <c r="B50" t="s">
        <v>449</v>
      </c>
      <c r="C50" s="4">
        <v>63000</v>
      </c>
      <c r="D50" s="17">
        <f t="shared" si="1"/>
        <v>63000</v>
      </c>
      <c r="E50" s="23" t="s">
        <v>467</v>
      </c>
      <c r="F50" s="18" t="str">
        <f t="shared" si="0"/>
        <v>insert into ins_premium_det (premium_rcv_code,assorted_code, rec_amount,premium_rcv_detail_code,remaining_amt, payrec, mode_code,coinsurance_code,class_cd,it_remarks) values</v>
      </c>
      <c r="G50" s="19" t="str">
        <f t="shared" si="2"/>
        <v>('08Oct240154','070000164944','63000',(select max(to_number(i.premium_rcv_detail_code))+1
from ins_premium_det i),'63000','63000','02', '11000003','00','Request by Mr. Saqib Saleem 08-Oct-2024 Allocation no 08Oct240154');</v>
      </c>
      <c r="H50" s="20" t="str">
        <f t="shared" si="3"/>
        <v>insert into ins_premium_det (premium_rcv_code,assorted_code, rec_amount,premium_rcv_detail_code,remaining_amt, payrec, mode_code,coinsurance_code,class_cd,it_remarks) values('08Oct240154','070000164944','63000',(select max(to_number(i.premium_rcv_detail_code))+1
from ins_premium_det i),'63000','63000','02', '11000003','00','Request by Mr. Saqib Saleem 08-Oct-2024 Allocation no 08Oct240154');</v>
      </c>
    </row>
    <row r="51" spans="1:8" ht="105" x14ac:dyDescent="0.25">
      <c r="A51" s="2" t="s">
        <v>371</v>
      </c>
      <c r="B51" s="16" t="str">
        <f>VLOOKUP(A51,Policy!A:B,2,0)</f>
        <v>070000165280</v>
      </c>
      <c r="C51" s="4">
        <v>57870</v>
      </c>
      <c r="D51" s="17">
        <f t="shared" si="1"/>
        <v>57870</v>
      </c>
      <c r="E51" s="23" t="s">
        <v>467</v>
      </c>
      <c r="F51" s="18" t="str">
        <f t="shared" si="0"/>
        <v>insert into ins_premium_det (premium_rcv_code,assorted_code, rec_amount,premium_rcv_detail_code,remaining_amt, payrec, mode_code,coinsurance_code,class_cd,it_remarks) values</v>
      </c>
      <c r="G51" s="19" t="str">
        <f t="shared" si="2"/>
        <v>('08Oct240154','070000165280','57870',(select max(to_number(i.premium_rcv_detail_code))+1
from ins_premium_det i),'57870','57870','02', '11000003','00','Request by Mr. Saqib Saleem 08-Oct-2024 Allocation no 08Oct240154');</v>
      </c>
      <c r="H51" s="20" t="str">
        <f t="shared" si="3"/>
        <v>insert into ins_premium_det (premium_rcv_code,assorted_code, rec_amount,premium_rcv_detail_code,remaining_amt, payrec, mode_code,coinsurance_code,class_cd,it_remarks) values('08Oct240154','070000165280','57870',(select max(to_number(i.premium_rcv_detail_code))+1
from ins_premium_det i),'57870','57870','02', '11000003','00','Request by Mr. Saqib Saleem 08-Oct-2024 Allocation no 08Oct240154');</v>
      </c>
    </row>
    <row r="52" spans="1:8" ht="105" x14ac:dyDescent="0.25">
      <c r="A52" s="2" t="s">
        <v>372</v>
      </c>
      <c r="B52" s="16" t="str">
        <f>VLOOKUP(A52,Policy!A:B,2,0)</f>
        <v>070000165431</v>
      </c>
      <c r="C52" s="4">
        <v>97500</v>
      </c>
      <c r="D52" s="17">
        <f t="shared" si="1"/>
        <v>97500</v>
      </c>
      <c r="E52" s="23" t="s">
        <v>467</v>
      </c>
      <c r="F52" s="18" t="str">
        <f t="shared" si="0"/>
        <v>insert into ins_premium_det (premium_rcv_code,assorted_code, rec_amount,premium_rcv_detail_code,remaining_amt, payrec, mode_code,coinsurance_code,class_cd,it_remarks) values</v>
      </c>
      <c r="G52" s="19" t="str">
        <f t="shared" si="2"/>
        <v>('08Oct240154','070000165431','97500',(select max(to_number(i.premium_rcv_detail_code))+1
from ins_premium_det i),'97500','97500','02', '11000003','00','Request by Mr. Saqib Saleem 08-Oct-2024 Allocation no 08Oct240154');</v>
      </c>
      <c r="H52" s="20" t="str">
        <f t="shared" si="3"/>
        <v>insert into ins_premium_det (premium_rcv_code,assorted_code, rec_amount,premium_rcv_detail_code,remaining_amt, payrec, mode_code,coinsurance_code,class_cd,it_remarks) values('08Oct240154','070000165431','97500',(select max(to_number(i.premium_rcv_detail_code))+1
from ins_premium_det i),'97500','97500','02', '11000003','00','Request by Mr. Saqib Saleem 08-Oct-2024 Allocation no 08Oct240154');</v>
      </c>
    </row>
  </sheetData>
  <conditionalFormatting sqref="A1">
    <cfRule type="duplicateValues" dxfId="3" priority="1"/>
  </conditionalFormatting>
  <conditionalFormatting sqref="A2:B2 B3:B52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B6EE-722D-4511-B7EE-8C3ACC84017C}">
  <dimension ref="A1:J53"/>
  <sheetViews>
    <sheetView topLeftCell="A33" workbookViewId="0">
      <selection activeCell="G45" sqref="G45"/>
    </sheetView>
  </sheetViews>
  <sheetFormatPr defaultRowHeight="15" x14ac:dyDescent="0.25"/>
  <cols>
    <col min="1" max="1" width="42.28515625" bestFit="1" customWidth="1"/>
    <col min="10" max="10" width="46.5703125" bestFit="1" customWidth="1"/>
  </cols>
  <sheetData>
    <row r="1" spans="1:10" x14ac:dyDescent="0.25">
      <c r="H1">
        <v>1</v>
      </c>
    </row>
    <row r="2" spans="1:10" x14ac:dyDescent="0.25">
      <c r="A2" s="2" t="s">
        <v>335</v>
      </c>
      <c r="B2" t="s">
        <v>390</v>
      </c>
      <c r="H2">
        <v>96760</v>
      </c>
      <c r="I2" t="s">
        <v>392</v>
      </c>
      <c r="J2" t="str">
        <f t="shared" ref="J2:J24" si="0">"ia.assorted_string like '%"&amp;H2&amp;"-"&amp;I2&amp;B2&amp;"%' or"</f>
        <v>ia.assorted_string like '%96760-00011-09-2024%' or</v>
      </c>
    </row>
    <row r="3" spans="1:10" x14ac:dyDescent="0.25">
      <c r="A3" s="2" t="s">
        <v>336</v>
      </c>
      <c r="B3" t="s">
        <v>390</v>
      </c>
      <c r="H3">
        <v>96760</v>
      </c>
      <c r="I3" t="s">
        <v>393</v>
      </c>
      <c r="J3" t="str">
        <f t="shared" si="0"/>
        <v>ia.assorted_string like '%96760-00003-09-2024%' or</v>
      </c>
    </row>
    <row r="4" spans="1:10" x14ac:dyDescent="0.25">
      <c r="A4" s="2" t="s">
        <v>337</v>
      </c>
      <c r="B4" t="s">
        <v>390</v>
      </c>
      <c r="H4">
        <v>96760</v>
      </c>
      <c r="I4" t="s">
        <v>394</v>
      </c>
      <c r="J4" t="str">
        <f t="shared" si="0"/>
        <v>ia.assorted_string like '%96760-00004-09-2024%' or</v>
      </c>
    </row>
    <row r="5" spans="1:10" x14ac:dyDescent="0.25">
      <c r="A5" s="2" t="s">
        <v>338</v>
      </c>
      <c r="B5" t="s">
        <v>390</v>
      </c>
      <c r="H5">
        <v>96760</v>
      </c>
      <c r="I5" t="s">
        <v>395</v>
      </c>
      <c r="J5" t="str">
        <f t="shared" si="0"/>
        <v>ia.assorted_string like '%96760-00007-09-2024%' or</v>
      </c>
    </row>
    <row r="6" spans="1:10" x14ac:dyDescent="0.25">
      <c r="A6" s="2" t="s">
        <v>339</v>
      </c>
      <c r="B6" t="s">
        <v>390</v>
      </c>
      <c r="H6">
        <v>96760</v>
      </c>
      <c r="I6" t="s">
        <v>396</v>
      </c>
      <c r="J6" t="str">
        <f t="shared" si="0"/>
        <v>ia.assorted_string like '%96760-00002-09-2024%' or</v>
      </c>
    </row>
    <row r="7" spans="1:10" x14ac:dyDescent="0.25">
      <c r="A7" s="2" t="s">
        <v>340</v>
      </c>
      <c r="B7" t="s">
        <v>390</v>
      </c>
      <c r="H7">
        <v>96760</v>
      </c>
      <c r="I7" t="s">
        <v>397</v>
      </c>
      <c r="J7" t="str">
        <f t="shared" si="0"/>
        <v>ia.assorted_string like '%96760-00001-09-2024%' or</v>
      </c>
    </row>
    <row r="8" spans="1:10" x14ac:dyDescent="0.25">
      <c r="A8" s="2" t="s">
        <v>341</v>
      </c>
      <c r="B8" t="s">
        <v>391</v>
      </c>
      <c r="H8">
        <v>94384</v>
      </c>
      <c r="I8" t="s">
        <v>398</v>
      </c>
      <c r="J8" t="str">
        <f t="shared" si="0"/>
        <v>ia.assorted_string like '%94384-00023-08-2024%' or</v>
      </c>
    </row>
    <row r="9" spans="1:10" x14ac:dyDescent="0.25">
      <c r="A9" s="2" t="s">
        <v>342</v>
      </c>
      <c r="B9" t="s">
        <v>391</v>
      </c>
      <c r="H9">
        <v>94384</v>
      </c>
      <c r="I9" t="s">
        <v>399</v>
      </c>
      <c r="J9" t="str">
        <f t="shared" si="0"/>
        <v>ia.assorted_string like '%94384-00022-08-2024%' or</v>
      </c>
    </row>
    <row r="10" spans="1:10" x14ac:dyDescent="0.25">
      <c r="A10" s="2" t="s">
        <v>343</v>
      </c>
      <c r="B10" t="s">
        <v>390</v>
      </c>
      <c r="H10">
        <v>96760</v>
      </c>
      <c r="I10" t="s">
        <v>400</v>
      </c>
      <c r="J10" t="str">
        <f t="shared" si="0"/>
        <v>ia.assorted_string like '%96760-00006-09-2024%' or</v>
      </c>
    </row>
    <row r="11" spans="1:10" x14ac:dyDescent="0.25">
      <c r="A11" s="2" t="s">
        <v>344</v>
      </c>
      <c r="B11" t="s">
        <v>390</v>
      </c>
      <c r="H11">
        <v>96760</v>
      </c>
      <c r="I11" t="s">
        <v>401</v>
      </c>
      <c r="J11" t="str">
        <f t="shared" si="0"/>
        <v>ia.assorted_string like '%96760-00008-09-2024%' or</v>
      </c>
    </row>
    <row r="12" spans="1:10" x14ac:dyDescent="0.25">
      <c r="A12" s="2" t="s">
        <v>373</v>
      </c>
      <c r="B12" t="s">
        <v>390</v>
      </c>
      <c r="H12">
        <v>96746</v>
      </c>
      <c r="I12" t="s">
        <v>402</v>
      </c>
      <c r="J12" t="str">
        <f t="shared" si="0"/>
        <v>ia.assorted_string like '%96746-00005-09-2024%' or</v>
      </c>
    </row>
    <row r="13" spans="1:10" x14ac:dyDescent="0.25">
      <c r="A13" s="2" t="s">
        <v>345</v>
      </c>
      <c r="B13" t="s">
        <v>390</v>
      </c>
      <c r="H13">
        <v>96760</v>
      </c>
      <c r="I13" t="s">
        <v>403</v>
      </c>
      <c r="J13" t="str">
        <f t="shared" si="0"/>
        <v>ia.assorted_string like '%96760-00010-09-2024%' or</v>
      </c>
    </row>
    <row r="14" spans="1:10" x14ac:dyDescent="0.25">
      <c r="A14" s="2" t="s">
        <v>352</v>
      </c>
      <c r="B14" t="s">
        <v>390</v>
      </c>
      <c r="H14">
        <v>96666</v>
      </c>
      <c r="I14" t="s">
        <v>397</v>
      </c>
      <c r="J14" t="str">
        <f t="shared" si="0"/>
        <v>ia.assorted_string like '%96666-00001-09-2024%' or</v>
      </c>
    </row>
    <row r="15" spans="1:10" x14ac:dyDescent="0.25">
      <c r="A15" s="2" t="s">
        <v>374</v>
      </c>
      <c r="B15" t="s">
        <v>390</v>
      </c>
      <c r="H15">
        <v>97375</v>
      </c>
      <c r="I15" t="s">
        <v>397</v>
      </c>
      <c r="J15" t="str">
        <f t="shared" si="0"/>
        <v>ia.assorted_string like '%97375-00001-09-2024%' or</v>
      </c>
    </row>
    <row r="16" spans="1:10" x14ac:dyDescent="0.25">
      <c r="A16" s="2" t="s">
        <v>375</v>
      </c>
      <c r="B16" t="s">
        <v>390</v>
      </c>
      <c r="H16">
        <v>97375</v>
      </c>
      <c r="I16" t="s">
        <v>396</v>
      </c>
      <c r="J16" t="str">
        <f t="shared" si="0"/>
        <v>ia.assorted_string like '%97375-00002-09-2024%' or</v>
      </c>
    </row>
    <row r="17" spans="1:10" x14ac:dyDescent="0.25">
      <c r="A17" s="10" t="s">
        <v>384</v>
      </c>
      <c r="B17" t="s">
        <v>391</v>
      </c>
      <c r="H17">
        <v>94791</v>
      </c>
      <c r="I17" t="s">
        <v>393</v>
      </c>
      <c r="J17" t="str">
        <f t="shared" si="0"/>
        <v>ia.assorted_string like '%94791-00003-08-2024%' or</v>
      </c>
    </row>
    <row r="18" spans="1:10" x14ac:dyDescent="0.25">
      <c r="A18" s="2" t="s">
        <v>353</v>
      </c>
      <c r="B18" t="s">
        <v>390</v>
      </c>
      <c r="H18">
        <v>96746</v>
      </c>
      <c r="I18" t="s">
        <v>393</v>
      </c>
      <c r="J18" t="str">
        <f t="shared" si="0"/>
        <v>ia.assorted_string like '%96746-00003-09-2024%' or</v>
      </c>
    </row>
    <row r="19" spans="1:10" x14ac:dyDescent="0.25">
      <c r="A19" s="2" t="s">
        <v>354</v>
      </c>
      <c r="B19" t="s">
        <v>390</v>
      </c>
      <c r="H19">
        <v>96746</v>
      </c>
      <c r="I19" t="s">
        <v>396</v>
      </c>
      <c r="J19" t="str">
        <f t="shared" si="0"/>
        <v>ia.assorted_string like '%96746-00002-09-2024%' or</v>
      </c>
    </row>
    <row r="20" spans="1:10" x14ac:dyDescent="0.25">
      <c r="A20" s="2" t="s">
        <v>355</v>
      </c>
      <c r="B20" t="s">
        <v>390</v>
      </c>
      <c r="H20">
        <v>96746</v>
      </c>
      <c r="I20" t="s">
        <v>400</v>
      </c>
      <c r="J20" t="str">
        <f t="shared" si="0"/>
        <v>ia.assorted_string like '%96746-00006-09-2024%' or</v>
      </c>
    </row>
    <row r="21" spans="1:10" x14ac:dyDescent="0.25">
      <c r="A21" s="2" t="s">
        <v>376</v>
      </c>
      <c r="B21" t="s">
        <v>390</v>
      </c>
      <c r="H21">
        <v>96746</v>
      </c>
      <c r="I21" t="s">
        <v>397</v>
      </c>
      <c r="J21" t="str">
        <f t="shared" si="0"/>
        <v>ia.assorted_string like '%96746-00001-09-2024%' or</v>
      </c>
    </row>
    <row r="22" spans="1:10" x14ac:dyDescent="0.25">
      <c r="A22" s="2" t="s">
        <v>377</v>
      </c>
      <c r="B22" t="s">
        <v>390</v>
      </c>
      <c r="H22">
        <v>96746</v>
      </c>
      <c r="I22" t="s">
        <v>394</v>
      </c>
      <c r="J22" t="str">
        <f t="shared" si="0"/>
        <v>ia.assorted_string like '%96746-00004-09-2024%' or</v>
      </c>
    </row>
    <row r="23" spans="1:10" x14ac:dyDescent="0.25">
      <c r="A23" s="2" t="s">
        <v>378</v>
      </c>
      <c r="B23" t="s">
        <v>390</v>
      </c>
      <c r="H23">
        <v>97576</v>
      </c>
      <c r="I23" t="s">
        <v>397</v>
      </c>
      <c r="J23" t="str">
        <f t="shared" si="0"/>
        <v>ia.assorted_string like '%97576-00001-09-2024%' or</v>
      </c>
    </row>
    <row r="24" spans="1:10" x14ac:dyDescent="0.25">
      <c r="A24" s="2" t="s">
        <v>356</v>
      </c>
      <c r="B24" t="s">
        <v>390</v>
      </c>
      <c r="H24">
        <v>96617</v>
      </c>
      <c r="I24" t="s">
        <v>397</v>
      </c>
      <c r="J24" t="str">
        <f t="shared" si="0"/>
        <v>ia.assorted_string like '%96617-00001-09-2024%' or</v>
      </c>
    </row>
    <row r="25" spans="1:10" x14ac:dyDescent="0.25">
      <c r="A25" s="2" t="s">
        <v>357</v>
      </c>
      <c r="B25" t="s">
        <v>390</v>
      </c>
      <c r="H25">
        <v>96617</v>
      </c>
      <c r="I25" t="s">
        <v>393</v>
      </c>
      <c r="J25" t="str">
        <f>"ia.assorted_string like '%"&amp;H25&amp;"-"&amp;I25&amp;B25&amp;"%' or"</f>
        <v>ia.assorted_string like '%96617-00003-09-2024%' or</v>
      </c>
    </row>
    <row r="26" spans="1:10" x14ac:dyDescent="0.25">
      <c r="A26" s="2" t="s">
        <v>346</v>
      </c>
      <c r="B26" t="s">
        <v>391</v>
      </c>
      <c r="H26">
        <v>94440</v>
      </c>
      <c r="I26" t="s">
        <v>400</v>
      </c>
      <c r="J26" t="str">
        <f t="shared" ref="J26:J53" si="1">"ia.assorted_string like '%"&amp;H26&amp;"-"&amp;I26&amp;B26&amp;"%' or"</f>
        <v>ia.assorted_string like '%94440-00006-08-2024%' or</v>
      </c>
    </row>
    <row r="27" spans="1:10" x14ac:dyDescent="0.25">
      <c r="A27" s="2" t="s">
        <v>347</v>
      </c>
      <c r="B27" t="s">
        <v>391</v>
      </c>
      <c r="H27">
        <v>94440</v>
      </c>
      <c r="I27" t="s">
        <v>402</v>
      </c>
      <c r="J27" t="str">
        <f t="shared" si="1"/>
        <v>ia.assorted_string like '%94440-00005-08-2024%' or</v>
      </c>
    </row>
    <row r="28" spans="1:10" x14ac:dyDescent="0.25">
      <c r="A28" s="2" t="s">
        <v>358</v>
      </c>
      <c r="B28" t="s">
        <v>390</v>
      </c>
      <c r="H28">
        <v>96617</v>
      </c>
      <c r="I28" t="s">
        <v>396</v>
      </c>
      <c r="J28" t="str">
        <f t="shared" si="1"/>
        <v>ia.assorted_string like '%96617-00002-09-2024%' or</v>
      </c>
    </row>
    <row r="29" spans="1:10" x14ac:dyDescent="0.25">
      <c r="A29" s="2" t="s">
        <v>359</v>
      </c>
      <c r="B29" t="s">
        <v>390</v>
      </c>
      <c r="H29">
        <v>96876</v>
      </c>
      <c r="I29" t="s">
        <v>396</v>
      </c>
      <c r="J29" t="str">
        <f t="shared" si="1"/>
        <v>ia.assorted_string like '%96876-00002-09-2024%' or</v>
      </c>
    </row>
    <row r="30" spans="1:10" x14ac:dyDescent="0.25">
      <c r="A30" s="2" t="s">
        <v>379</v>
      </c>
      <c r="B30" t="s">
        <v>390</v>
      </c>
      <c r="H30">
        <v>97564</v>
      </c>
      <c r="I30" t="s">
        <v>404</v>
      </c>
      <c r="J30" t="str">
        <f t="shared" si="1"/>
        <v>ia.assorted_string like '%97564-00009-09-2024%' or</v>
      </c>
    </row>
    <row r="31" spans="1:10" x14ac:dyDescent="0.25">
      <c r="A31" s="2" t="s">
        <v>360</v>
      </c>
      <c r="B31" t="s">
        <v>390</v>
      </c>
      <c r="H31">
        <v>96876</v>
      </c>
      <c r="I31" t="s">
        <v>393</v>
      </c>
      <c r="J31" t="str">
        <f t="shared" si="1"/>
        <v>ia.assorted_string like '%96876-00003-09-2024%' or</v>
      </c>
    </row>
    <row r="32" spans="1:10" x14ac:dyDescent="0.25">
      <c r="A32" s="2" t="s">
        <v>361</v>
      </c>
      <c r="B32" t="s">
        <v>390</v>
      </c>
      <c r="H32">
        <v>96876</v>
      </c>
      <c r="I32" t="s">
        <v>397</v>
      </c>
      <c r="J32" t="str">
        <f t="shared" si="1"/>
        <v>ia.assorted_string like '%96876-00001-09-2024%' or</v>
      </c>
    </row>
    <row r="33" spans="1:10" x14ac:dyDescent="0.25">
      <c r="A33" s="2" t="s">
        <v>348</v>
      </c>
      <c r="B33" t="s">
        <v>391</v>
      </c>
      <c r="H33">
        <v>94836</v>
      </c>
      <c r="I33" t="s">
        <v>396</v>
      </c>
      <c r="J33" t="str">
        <f t="shared" si="1"/>
        <v>ia.assorted_string like '%94836-00002-08-2024%' or</v>
      </c>
    </row>
    <row r="34" spans="1:10" x14ac:dyDescent="0.25">
      <c r="A34" s="2" t="s">
        <v>362</v>
      </c>
      <c r="B34" t="s">
        <v>390</v>
      </c>
      <c r="H34">
        <v>96627</v>
      </c>
      <c r="I34" t="s">
        <v>394</v>
      </c>
      <c r="J34" t="str">
        <f t="shared" si="1"/>
        <v>ia.assorted_string like '%96627-00004-09-2024%' or</v>
      </c>
    </row>
    <row r="35" spans="1:10" x14ac:dyDescent="0.25">
      <c r="A35" s="2" t="s">
        <v>349</v>
      </c>
      <c r="B35" t="s">
        <v>391</v>
      </c>
      <c r="H35">
        <v>94431</v>
      </c>
      <c r="I35" t="s">
        <v>405</v>
      </c>
      <c r="J35" t="str">
        <f t="shared" si="1"/>
        <v>ia.assorted_string like '%94431-00040-08-2024%' or</v>
      </c>
    </row>
    <row r="36" spans="1:10" x14ac:dyDescent="0.25">
      <c r="A36" s="2" t="s">
        <v>380</v>
      </c>
      <c r="B36" t="s">
        <v>390</v>
      </c>
      <c r="H36">
        <v>96627</v>
      </c>
      <c r="I36" t="s">
        <v>402</v>
      </c>
      <c r="J36" t="str">
        <f t="shared" si="1"/>
        <v>ia.assorted_string like '%96627-00005-09-2024%' or</v>
      </c>
    </row>
    <row r="37" spans="1:10" x14ac:dyDescent="0.25">
      <c r="A37" s="2" t="s">
        <v>381</v>
      </c>
      <c r="B37" t="s">
        <v>390</v>
      </c>
      <c r="H37">
        <v>96627</v>
      </c>
      <c r="I37" t="s">
        <v>396</v>
      </c>
      <c r="J37" t="str">
        <f t="shared" si="1"/>
        <v>ia.assorted_string like '%96627-00002-09-2024%' or</v>
      </c>
    </row>
    <row r="38" spans="1:10" x14ac:dyDescent="0.25">
      <c r="A38" s="2" t="s">
        <v>363</v>
      </c>
      <c r="B38" t="s">
        <v>390</v>
      </c>
      <c r="H38">
        <v>96627</v>
      </c>
      <c r="I38" t="s">
        <v>395</v>
      </c>
      <c r="J38" t="str">
        <f t="shared" si="1"/>
        <v>ia.assorted_string like '%96627-00007-09-2024%' or</v>
      </c>
    </row>
    <row r="39" spans="1:10" x14ac:dyDescent="0.25">
      <c r="A39" s="2" t="s">
        <v>364</v>
      </c>
      <c r="B39" t="s">
        <v>390</v>
      </c>
      <c r="H39">
        <v>96627</v>
      </c>
      <c r="I39" t="s">
        <v>397</v>
      </c>
      <c r="J39" t="str">
        <f t="shared" si="1"/>
        <v>ia.assorted_string like '%96627-00001-09-2024%' or</v>
      </c>
    </row>
    <row r="40" spans="1:10" x14ac:dyDescent="0.25">
      <c r="A40" s="2" t="s">
        <v>382</v>
      </c>
      <c r="B40" t="s">
        <v>390</v>
      </c>
      <c r="H40">
        <v>96627</v>
      </c>
      <c r="I40" t="s">
        <v>400</v>
      </c>
      <c r="J40" t="str">
        <f t="shared" si="1"/>
        <v>ia.assorted_string like '%96627-00006-09-2024%' or</v>
      </c>
    </row>
    <row r="41" spans="1:10" x14ac:dyDescent="0.25">
      <c r="A41" s="2" t="s">
        <v>365</v>
      </c>
      <c r="B41" t="s">
        <v>390</v>
      </c>
      <c r="H41">
        <v>96627</v>
      </c>
      <c r="I41" t="s">
        <v>393</v>
      </c>
      <c r="J41" t="str">
        <f t="shared" si="1"/>
        <v>ia.assorted_string like '%96627-00003-09-2024%' or</v>
      </c>
    </row>
    <row r="42" spans="1:10" x14ac:dyDescent="0.25">
      <c r="A42" s="2" t="s">
        <v>383</v>
      </c>
      <c r="B42" t="s">
        <v>390</v>
      </c>
      <c r="H42">
        <v>96627</v>
      </c>
      <c r="I42" t="s">
        <v>401</v>
      </c>
      <c r="J42" t="str">
        <f t="shared" si="1"/>
        <v>ia.assorted_string like '%96627-00008-09-2024%' or</v>
      </c>
    </row>
    <row r="43" spans="1:10" x14ac:dyDescent="0.25">
      <c r="A43" s="10" t="s">
        <v>385</v>
      </c>
      <c r="B43" t="s">
        <v>391</v>
      </c>
      <c r="H43">
        <v>94431</v>
      </c>
      <c r="I43" t="s">
        <v>399</v>
      </c>
      <c r="J43" t="str">
        <f t="shared" si="1"/>
        <v>ia.assorted_string like '%94431-00022-08-2024%' or</v>
      </c>
    </row>
    <row r="44" spans="1:10" x14ac:dyDescent="0.25">
      <c r="A44" s="2" t="s">
        <v>366</v>
      </c>
      <c r="B44" t="s">
        <v>390</v>
      </c>
      <c r="H44">
        <v>96772</v>
      </c>
      <c r="I44" t="s">
        <v>393</v>
      </c>
      <c r="J44" t="str">
        <f t="shared" si="1"/>
        <v>ia.assorted_string like '%96772-00003-09-2024%' or</v>
      </c>
    </row>
    <row r="45" spans="1:10" x14ac:dyDescent="0.25">
      <c r="A45" s="2" t="s">
        <v>367</v>
      </c>
      <c r="B45" t="s">
        <v>390</v>
      </c>
      <c r="H45">
        <v>96598</v>
      </c>
      <c r="I45" t="s">
        <v>394</v>
      </c>
      <c r="J45" t="str">
        <f t="shared" si="1"/>
        <v>ia.assorted_string like '%96598-00004-09-2024%' or</v>
      </c>
    </row>
    <row r="46" spans="1:10" x14ac:dyDescent="0.25">
      <c r="A46" s="2" t="s">
        <v>368</v>
      </c>
      <c r="B46" t="s">
        <v>390</v>
      </c>
      <c r="H46">
        <v>96598</v>
      </c>
      <c r="I46" t="s">
        <v>393</v>
      </c>
      <c r="J46" t="str">
        <f t="shared" si="1"/>
        <v>ia.assorted_string like '%96598-00003-09-2024%' or</v>
      </c>
    </row>
    <row r="47" spans="1:10" x14ac:dyDescent="0.25">
      <c r="A47" s="2" t="s">
        <v>350</v>
      </c>
      <c r="B47" t="s">
        <v>391</v>
      </c>
      <c r="H47">
        <v>94381</v>
      </c>
      <c r="I47" t="s">
        <v>392</v>
      </c>
      <c r="J47" t="str">
        <f t="shared" si="1"/>
        <v>ia.assorted_string like '%94381-00011-08-2024%' or</v>
      </c>
    </row>
    <row r="48" spans="1:10" x14ac:dyDescent="0.25">
      <c r="A48" s="2" t="s">
        <v>369</v>
      </c>
      <c r="B48" t="s">
        <v>390</v>
      </c>
      <c r="H48">
        <v>96772</v>
      </c>
      <c r="I48" t="s">
        <v>397</v>
      </c>
      <c r="J48" t="str">
        <f t="shared" si="1"/>
        <v>ia.assorted_string like '%96772-00001-09-2024%' or</v>
      </c>
    </row>
    <row r="49" spans="1:10" x14ac:dyDescent="0.25">
      <c r="A49" s="2" t="s">
        <v>370</v>
      </c>
      <c r="B49" t="s">
        <v>390</v>
      </c>
      <c r="H49">
        <v>96598</v>
      </c>
      <c r="I49" t="s">
        <v>396</v>
      </c>
      <c r="J49" t="str">
        <f t="shared" si="1"/>
        <v>ia.assorted_string like '%96598-00002-09-2024%' or</v>
      </c>
    </row>
    <row r="50" spans="1:10" x14ac:dyDescent="0.25">
      <c r="A50" s="2" t="s">
        <v>334</v>
      </c>
      <c r="B50" t="s">
        <v>390</v>
      </c>
      <c r="H50">
        <v>96598</v>
      </c>
      <c r="I50" t="s">
        <v>397</v>
      </c>
      <c r="J50" t="str">
        <f t="shared" si="1"/>
        <v>ia.assorted_string like '%96598-00001-09-2024%' or</v>
      </c>
    </row>
    <row r="51" spans="1:10" x14ac:dyDescent="0.25">
      <c r="A51" s="2" t="s">
        <v>351</v>
      </c>
      <c r="B51" t="s">
        <v>391</v>
      </c>
      <c r="H51">
        <v>94381</v>
      </c>
      <c r="I51" t="s">
        <v>406</v>
      </c>
      <c r="J51" t="str">
        <f t="shared" si="1"/>
        <v>ia.assorted_string like '%94381-00012-08-2024%' or</v>
      </c>
    </row>
    <row r="52" spans="1:10" x14ac:dyDescent="0.25">
      <c r="A52" s="2" t="s">
        <v>371</v>
      </c>
      <c r="B52" t="s">
        <v>390</v>
      </c>
      <c r="H52">
        <v>96772</v>
      </c>
      <c r="I52" t="s">
        <v>396</v>
      </c>
      <c r="J52" t="str">
        <f t="shared" si="1"/>
        <v>ia.assorted_string like '%96772-00002-09-2024%' or</v>
      </c>
    </row>
    <row r="53" spans="1:10" x14ac:dyDescent="0.25">
      <c r="A53" s="2" t="s">
        <v>372</v>
      </c>
      <c r="B53" t="s">
        <v>390</v>
      </c>
      <c r="H53">
        <v>96772</v>
      </c>
      <c r="I53" t="s">
        <v>394</v>
      </c>
      <c r="J53" t="str">
        <f t="shared" si="1"/>
        <v>ia.assorted_string like '%96772-00004-09-2024%' or</v>
      </c>
    </row>
  </sheetData>
  <autoFilter ref="H1:H53" xr:uid="{7963B6EE-722D-4511-B7EE-8C3ACC84017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3A4D-246C-496E-8AFF-E72DC4237C87}">
  <dimension ref="A1:B56"/>
  <sheetViews>
    <sheetView topLeftCell="A43" workbookViewId="0">
      <selection activeCell="D10" sqref="D10"/>
    </sheetView>
  </sheetViews>
  <sheetFormatPr defaultRowHeight="15" x14ac:dyDescent="0.25"/>
  <cols>
    <col min="1" max="1" width="42.28515625" bestFit="1" customWidth="1"/>
    <col min="2" max="2" width="13.140625" bestFit="1" customWidth="1"/>
  </cols>
  <sheetData>
    <row r="1" spans="1:2" x14ac:dyDescent="0.25">
      <c r="A1" t="s">
        <v>342</v>
      </c>
      <c r="B1" t="s">
        <v>411</v>
      </c>
    </row>
    <row r="2" spans="1:2" x14ac:dyDescent="0.25">
      <c r="A2" t="s">
        <v>378</v>
      </c>
      <c r="B2" t="s">
        <v>412</v>
      </c>
    </row>
    <row r="3" spans="1:2" x14ac:dyDescent="0.25">
      <c r="A3" t="s">
        <v>357</v>
      </c>
      <c r="B3" t="s">
        <v>413</v>
      </c>
    </row>
    <row r="4" spans="1:2" x14ac:dyDescent="0.25">
      <c r="A4" t="s">
        <v>372</v>
      </c>
      <c r="B4" t="s">
        <v>414</v>
      </c>
    </row>
    <row r="5" spans="1:2" x14ac:dyDescent="0.25">
      <c r="A5" t="s">
        <v>363</v>
      </c>
      <c r="B5" t="s">
        <v>415</v>
      </c>
    </row>
    <row r="6" spans="1:2" x14ac:dyDescent="0.25">
      <c r="A6" t="s">
        <v>336</v>
      </c>
      <c r="B6" t="s">
        <v>416</v>
      </c>
    </row>
    <row r="7" spans="1:2" x14ac:dyDescent="0.25">
      <c r="A7" t="s">
        <v>343</v>
      </c>
      <c r="B7" t="s">
        <v>417</v>
      </c>
    </row>
    <row r="8" spans="1:2" x14ac:dyDescent="0.25">
      <c r="A8" t="s">
        <v>364</v>
      </c>
      <c r="B8" t="s">
        <v>418</v>
      </c>
    </row>
    <row r="9" spans="1:2" x14ac:dyDescent="0.25">
      <c r="A9" t="s">
        <v>419</v>
      </c>
      <c r="B9" t="s">
        <v>420</v>
      </c>
    </row>
    <row r="10" spans="1:2" x14ac:dyDescent="0.25">
      <c r="A10" t="s">
        <v>370</v>
      </c>
      <c r="B10" t="s">
        <v>421</v>
      </c>
    </row>
    <row r="11" spans="1:2" x14ac:dyDescent="0.25">
      <c r="A11" t="s">
        <v>337</v>
      </c>
      <c r="B11" t="s">
        <v>422</v>
      </c>
    </row>
    <row r="12" spans="1:2" x14ac:dyDescent="0.25">
      <c r="A12" t="s">
        <v>345</v>
      </c>
      <c r="B12" t="s">
        <v>423</v>
      </c>
    </row>
    <row r="13" spans="1:2" x14ac:dyDescent="0.25">
      <c r="A13" t="s">
        <v>341</v>
      </c>
      <c r="B13" t="s">
        <v>424</v>
      </c>
    </row>
    <row r="14" spans="1:2" x14ac:dyDescent="0.25">
      <c r="A14" t="s">
        <v>425</v>
      </c>
      <c r="B14" t="s">
        <v>426</v>
      </c>
    </row>
    <row r="15" spans="1:2" x14ac:dyDescent="0.25">
      <c r="A15" t="s">
        <v>352</v>
      </c>
      <c r="B15" t="s">
        <v>427</v>
      </c>
    </row>
    <row r="16" spans="1:2" x14ac:dyDescent="0.25">
      <c r="A16" t="s">
        <v>366</v>
      </c>
      <c r="B16" t="s">
        <v>428</v>
      </c>
    </row>
    <row r="17" spans="1:2" x14ac:dyDescent="0.25">
      <c r="A17" t="s">
        <v>334</v>
      </c>
      <c r="B17" t="s">
        <v>429</v>
      </c>
    </row>
    <row r="18" spans="1:2" x14ac:dyDescent="0.25">
      <c r="A18" t="s">
        <v>385</v>
      </c>
      <c r="B18" t="s">
        <v>430</v>
      </c>
    </row>
    <row r="19" spans="1:2" x14ac:dyDescent="0.25">
      <c r="A19" t="s">
        <v>381</v>
      </c>
      <c r="B19" t="s">
        <v>431</v>
      </c>
    </row>
    <row r="20" spans="1:2" x14ac:dyDescent="0.25">
      <c r="A20" t="s">
        <v>376</v>
      </c>
      <c r="B20" t="s">
        <v>432</v>
      </c>
    </row>
    <row r="21" spans="1:2" x14ac:dyDescent="0.25">
      <c r="A21" t="s">
        <v>339</v>
      </c>
      <c r="B21" t="s">
        <v>433</v>
      </c>
    </row>
    <row r="22" spans="1:2" x14ac:dyDescent="0.25">
      <c r="A22" t="s">
        <v>371</v>
      </c>
      <c r="B22" t="s">
        <v>434</v>
      </c>
    </row>
    <row r="23" spans="1:2" x14ac:dyDescent="0.25">
      <c r="A23" t="s">
        <v>380</v>
      </c>
      <c r="B23" t="s">
        <v>435</v>
      </c>
    </row>
    <row r="24" spans="1:2" x14ac:dyDescent="0.25">
      <c r="A24" t="s">
        <v>353</v>
      </c>
      <c r="B24" t="s">
        <v>436</v>
      </c>
    </row>
    <row r="25" spans="1:2" x14ac:dyDescent="0.25">
      <c r="A25" t="s">
        <v>384</v>
      </c>
      <c r="B25" t="s">
        <v>437</v>
      </c>
    </row>
    <row r="26" spans="1:2" x14ac:dyDescent="0.25">
      <c r="A26" t="s">
        <v>382</v>
      </c>
      <c r="B26" t="s">
        <v>438</v>
      </c>
    </row>
    <row r="27" spans="1:2" x14ac:dyDescent="0.25">
      <c r="A27" t="s">
        <v>439</v>
      </c>
      <c r="B27" t="s">
        <v>440</v>
      </c>
    </row>
    <row r="28" spans="1:2" x14ac:dyDescent="0.25">
      <c r="A28" t="s">
        <v>338</v>
      </c>
      <c r="B28" t="s">
        <v>441</v>
      </c>
    </row>
    <row r="29" spans="1:2" x14ac:dyDescent="0.25">
      <c r="A29" t="s">
        <v>344</v>
      </c>
      <c r="B29" t="s">
        <v>442</v>
      </c>
    </row>
    <row r="30" spans="1:2" x14ac:dyDescent="0.25">
      <c r="A30" t="s">
        <v>358</v>
      </c>
      <c r="B30" t="s">
        <v>443</v>
      </c>
    </row>
    <row r="31" spans="1:2" x14ac:dyDescent="0.25">
      <c r="A31" t="s">
        <v>365</v>
      </c>
      <c r="B31" t="s">
        <v>444</v>
      </c>
    </row>
    <row r="32" spans="1:2" x14ac:dyDescent="0.25">
      <c r="A32" t="s">
        <v>361</v>
      </c>
      <c r="B32" t="s">
        <v>445</v>
      </c>
    </row>
    <row r="33" spans="1:2" x14ac:dyDescent="0.25">
      <c r="A33" t="s">
        <v>335</v>
      </c>
      <c r="B33" t="s">
        <v>446</v>
      </c>
    </row>
    <row r="34" spans="1:2" x14ac:dyDescent="0.25">
      <c r="A34" t="s">
        <v>340</v>
      </c>
      <c r="B34" t="s">
        <v>447</v>
      </c>
    </row>
    <row r="35" spans="1:2" x14ac:dyDescent="0.25">
      <c r="A35" t="s">
        <v>448</v>
      </c>
      <c r="B35" t="s">
        <v>449</v>
      </c>
    </row>
    <row r="36" spans="1:2" x14ac:dyDescent="0.25">
      <c r="A36" t="s">
        <v>359</v>
      </c>
      <c r="B36" t="s">
        <v>450</v>
      </c>
    </row>
    <row r="37" spans="1:2" x14ac:dyDescent="0.25">
      <c r="A37" t="s">
        <v>362</v>
      </c>
      <c r="B37" t="s">
        <v>451</v>
      </c>
    </row>
    <row r="38" spans="1:2" x14ac:dyDescent="0.25">
      <c r="A38" t="s">
        <v>383</v>
      </c>
      <c r="B38" t="s">
        <v>452</v>
      </c>
    </row>
    <row r="39" spans="1:2" x14ac:dyDescent="0.25">
      <c r="A39" t="s">
        <v>369</v>
      </c>
      <c r="B39" t="s">
        <v>453</v>
      </c>
    </row>
    <row r="40" spans="1:2" x14ac:dyDescent="0.25">
      <c r="A40" t="s">
        <v>373</v>
      </c>
      <c r="B40" t="s">
        <v>454</v>
      </c>
    </row>
    <row r="41" spans="1:2" x14ac:dyDescent="0.25">
      <c r="A41" t="s">
        <v>354</v>
      </c>
      <c r="B41" t="s">
        <v>455</v>
      </c>
    </row>
    <row r="42" spans="1:2" x14ac:dyDescent="0.25">
      <c r="A42" t="s">
        <v>360</v>
      </c>
      <c r="B42" t="s">
        <v>456</v>
      </c>
    </row>
    <row r="43" spans="1:2" x14ac:dyDescent="0.25">
      <c r="A43" t="s">
        <v>457</v>
      </c>
      <c r="B43" t="s">
        <v>458</v>
      </c>
    </row>
    <row r="44" spans="1:2" x14ac:dyDescent="0.25">
      <c r="A44" t="s">
        <v>374</v>
      </c>
      <c r="B44" t="s">
        <v>459</v>
      </c>
    </row>
    <row r="45" spans="1:2" x14ac:dyDescent="0.25">
      <c r="A45" t="s">
        <v>375</v>
      </c>
      <c r="B45" t="s">
        <v>460</v>
      </c>
    </row>
    <row r="46" spans="1:2" x14ac:dyDescent="0.25">
      <c r="A46" t="s">
        <v>367</v>
      </c>
      <c r="B46" t="s">
        <v>461</v>
      </c>
    </row>
    <row r="47" spans="1:2" x14ac:dyDescent="0.25">
      <c r="A47" t="s">
        <v>355</v>
      </c>
      <c r="B47" t="s">
        <v>462</v>
      </c>
    </row>
    <row r="48" spans="1:2" x14ac:dyDescent="0.25">
      <c r="A48" t="s">
        <v>356</v>
      </c>
      <c r="B48" t="s">
        <v>463</v>
      </c>
    </row>
    <row r="49" spans="1:2" x14ac:dyDescent="0.25">
      <c r="A49" t="s">
        <v>377</v>
      </c>
      <c r="B49" t="s">
        <v>464</v>
      </c>
    </row>
    <row r="50" spans="1:2" x14ac:dyDescent="0.25">
      <c r="A50" t="s">
        <v>368</v>
      </c>
      <c r="B50" t="s">
        <v>465</v>
      </c>
    </row>
    <row r="51" spans="1:2" x14ac:dyDescent="0.25">
      <c r="A51" t="s">
        <v>379</v>
      </c>
      <c r="B51" t="s">
        <v>466</v>
      </c>
    </row>
    <row r="52" spans="1:2" x14ac:dyDescent="0.25">
      <c r="A52" t="s">
        <v>439</v>
      </c>
      <c r="B52" t="s">
        <v>440</v>
      </c>
    </row>
    <row r="53" spans="1:2" x14ac:dyDescent="0.25">
      <c r="A53" t="s">
        <v>419</v>
      </c>
      <c r="B53" t="s">
        <v>420</v>
      </c>
    </row>
    <row r="54" spans="1:2" x14ac:dyDescent="0.25">
      <c r="A54" t="s">
        <v>457</v>
      </c>
      <c r="B54" t="s">
        <v>458</v>
      </c>
    </row>
    <row r="55" spans="1:2" x14ac:dyDescent="0.25">
      <c r="A55" t="s">
        <v>425</v>
      </c>
      <c r="B55" t="s">
        <v>426</v>
      </c>
    </row>
    <row r="56" spans="1:2" x14ac:dyDescent="0.25">
      <c r="A56" t="s">
        <v>448</v>
      </c>
      <c r="B56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sheet2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2024-10-09T12:33:40Z</dcterms:modified>
</cp:coreProperties>
</file>