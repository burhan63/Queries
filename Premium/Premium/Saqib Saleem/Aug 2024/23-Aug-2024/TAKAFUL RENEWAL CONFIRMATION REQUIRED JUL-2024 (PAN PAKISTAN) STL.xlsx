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filterPrivacy="1"/>
  <xr:revisionPtr revIDLastSave="0" documentId="13_ncr:1_{0A7BE766-5D17-4400-ACF7-5B77D7A508F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working" sheetId="2" r:id="rId2"/>
    <sheet name="Sheet3" sheetId="3" r:id="rId3"/>
  </sheets>
  <externalReferences>
    <externalReference r:id="rId4"/>
    <externalReference r:id="rId5"/>
  </externalReferences>
  <definedNames>
    <definedName name="_xlnm._FilterDatabase" localSheetId="0" hidden="1">Sheet1!$A$1:$S$117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  <c r="B3" i="2"/>
  <c r="B4" i="2"/>
  <c r="B5" i="2"/>
  <c r="G5" i="2" s="1"/>
  <c r="H5" i="2" s="1"/>
  <c r="B6" i="2"/>
  <c r="B7" i="2"/>
  <c r="B8" i="2"/>
  <c r="B9" i="2"/>
  <c r="G9" i="2" s="1"/>
  <c r="H9" i="2" s="1"/>
  <c r="B10" i="2"/>
  <c r="B11" i="2"/>
  <c r="B12" i="2"/>
  <c r="B13" i="2"/>
  <c r="G13" i="2" s="1"/>
  <c r="H13" i="2" s="1"/>
  <c r="B14" i="2"/>
  <c r="B15" i="2"/>
  <c r="B16" i="2"/>
  <c r="B17" i="2"/>
  <c r="G17" i="2" s="1"/>
  <c r="H17" i="2" s="1"/>
  <c r="B18" i="2"/>
  <c r="B19" i="2"/>
  <c r="B20" i="2"/>
  <c r="B21" i="2"/>
  <c r="G21" i="2" s="1"/>
  <c r="H21" i="2" s="1"/>
  <c r="B22" i="2"/>
  <c r="B23" i="2"/>
  <c r="B24" i="2"/>
  <c r="B25" i="2"/>
  <c r="G25" i="2" s="1"/>
  <c r="H25" i="2" s="1"/>
  <c r="B26" i="2"/>
  <c r="B27" i="2"/>
  <c r="B28" i="2"/>
  <c r="B29" i="2"/>
  <c r="G29" i="2" s="1"/>
  <c r="H29" i="2" s="1"/>
  <c r="B30" i="2"/>
  <c r="B31" i="2"/>
  <c r="B32" i="2"/>
  <c r="B33" i="2"/>
  <c r="G33" i="2" s="1"/>
  <c r="H33" i="2" s="1"/>
  <c r="B34" i="2"/>
  <c r="B35" i="2"/>
  <c r="B36" i="2"/>
  <c r="B37" i="2"/>
  <c r="G37" i="2" s="1"/>
  <c r="H37" i="2" s="1"/>
  <c r="B38" i="2"/>
  <c r="B39" i="2"/>
  <c r="B40" i="2"/>
  <c r="B41" i="2"/>
  <c r="G41" i="2" s="1"/>
  <c r="H41" i="2" s="1"/>
  <c r="B42" i="2"/>
  <c r="B43" i="2"/>
  <c r="B44" i="2"/>
  <c r="B45" i="2"/>
  <c r="G45" i="2" s="1"/>
  <c r="H45" i="2" s="1"/>
  <c r="B46" i="2"/>
  <c r="B47" i="2"/>
  <c r="B48" i="2"/>
  <c r="B49" i="2"/>
  <c r="G49" i="2" s="1"/>
  <c r="H49" i="2" s="1"/>
  <c r="B50" i="2"/>
  <c r="B51" i="2"/>
  <c r="B52" i="2"/>
  <c r="B53" i="2"/>
  <c r="G53" i="2" s="1"/>
  <c r="H53" i="2" s="1"/>
  <c r="B54" i="2"/>
  <c r="B55" i="2"/>
  <c r="B56" i="2"/>
  <c r="B57" i="2"/>
  <c r="G57" i="2" s="1"/>
  <c r="H57" i="2" s="1"/>
  <c r="B58" i="2"/>
  <c r="B59" i="2"/>
  <c r="B60" i="2"/>
  <c r="B61" i="2"/>
  <c r="G61" i="2" s="1"/>
  <c r="H61" i="2" s="1"/>
  <c r="B62" i="2"/>
  <c r="B63" i="2"/>
  <c r="B64" i="2"/>
  <c r="B65" i="2"/>
  <c r="G65" i="2" s="1"/>
  <c r="H65" i="2" s="1"/>
  <c r="B66" i="2"/>
  <c r="B67" i="2"/>
  <c r="B68" i="2"/>
  <c r="B69" i="2"/>
  <c r="G69" i="2" s="1"/>
  <c r="H69" i="2" s="1"/>
  <c r="B70" i="2"/>
  <c r="B71" i="2"/>
  <c r="B72" i="2"/>
  <c r="B73" i="2"/>
  <c r="G73" i="2" s="1"/>
  <c r="H73" i="2" s="1"/>
  <c r="B74" i="2"/>
  <c r="B75" i="2"/>
  <c r="B76" i="2"/>
  <c r="B77" i="2"/>
  <c r="G77" i="2" s="1"/>
  <c r="H77" i="2" s="1"/>
  <c r="B78" i="2"/>
  <c r="B79" i="2"/>
  <c r="B80" i="2"/>
  <c r="B81" i="2"/>
  <c r="G81" i="2" s="1"/>
  <c r="H81" i="2" s="1"/>
  <c r="B82" i="2"/>
  <c r="B83" i="2"/>
  <c r="B84" i="2"/>
  <c r="B85" i="2"/>
  <c r="G85" i="2" s="1"/>
  <c r="H85" i="2" s="1"/>
  <c r="B86" i="2"/>
  <c r="B87" i="2"/>
  <c r="B88" i="2"/>
  <c r="B89" i="2"/>
  <c r="G89" i="2" s="1"/>
  <c r="H89" i="2" s="1"/>
  <c r="B90" i="2"/>
  <c r="B91" i="2"/>
  <c r="B92" i="2"/>
  <c r="B93" i="2"/>
  <c r="G93" i="2" s="1"/>
  <c r="H93" i="2" s="1"/>
  <c r="B94" i="2"/>
  <c r="B95" i="2"/>
  <c r="B96" i="2"/>
  <c r="B97" i="2"/>
  <c r="G97" i="2" s="1"/>
  <c r="H97" i="2" s="1"/>
  <c r="B98" i="2"/>
  <c r="B99" i="2"/>
  <c r="B100" i="2"/>
  <c r="B101" i="2"/>
  <c r="G101" i="2" s="1"/>
  <c r="H101" i="2" s="1"/>
  <c r="B102" i="2"/>
  <c r="B103" i="2"/>
  <c r="B104" i="2"/>
  <c r="B105" i="2"/>
  <c r="G105" i="2" s="1"/>
  <c r="H105" i="2" s="1"/>
  <c r="B106" i="2"/>
  <c r="B107" i="2"/>
  <c r="B108" i="2"/>
  <c r="B109" i="2"/>
  <c r="G109" i="2" s="1"/>
  <c r="H109" i="2" s="1"/>
  <c r="B110" i="2"/>
  <c r="B111" i="2"/>
  <c r="B112" i="2"/>
  <c r="B113" i="2"/>
  <c r="G113" i="2" s="1"/>
  <c r="H113" i="2" s="1"/>
  <c r="B114" i="2"/>
  <c r="B115" i="2"/>
  <c r="B1" i="2"/>
  <c r="G1" i="2" s="1"/>
  <c r="H2" i="2"/>
  <c r="H6" i="2"/>
  <c r="H10" i="2"/>
  <c r="H14" i="2"/>
  <c r="H18" i="2"/>
  <c r="H22" i="2"/>
  <c r="H26" i="2"/>
  <c r="H30" i="2"/>
  <c r="H34" i="2"/>
  <c r="H38" i="2"/>
  <c r="H42" i="2"/>
  <c r="H46" i="2"/>
  <c r="H50" i="2"/>
  <c r="H54" i="2"/>
  <c r="H58" i="2"/>
  <c r="H62" i="2"/>
  <c r="H66" i="2"/>
  <c r="H70" i="2"/>
  <c r="H74" i="2"/>
  <c r="H78" i="2"/>
  <c r="H82" i="2"/>
  <c r="H86" i="2"/>
  <c r="H90" i="2"/>
  <c r="H94" i="2"/>
  <c r="H98" i="2"/>
  <c r="H102" i="2"/>
  <c r="H106" i="2"/>
  <c r="H110" i="2"/>
  <c r="H114" i="2"/>
  <c r="G2" i="2"/>
  <c r="G3" i="2"/>
  <c r="H3" i="2" s="1"/>
  <c r="G4" i="2"/>
  <c r="H4" i="2" s="1"/>
  <c r="G6" i="2"/>
  <c r="G7" i="2"/>
  <c r="H7" i="2" s="1"/>
  <c r="G8" i="2"/>
  <c r="H8" i="2" s="1"/>
  <c r="G10" i="2"/>
  <c r="G11" i="2"/>
  <c r="H11" i="2" s="1"/>
  <c r="G12" i="2"/>
  <c r="H12" i="2" s="1"/>
  <c r="G14" i="2"/>
  <c r="G15" i="2"/>
  <c r="H15" i="2" s="1"/>
  <c r="G16" i="2"/>
  <c r="H16" i="2" s="1"/>
  <c r="G18" i="2"/>
  <c r="G19" i="2"/>
  <c r="H19" i="2" s="1"/>
  <c r="G20" i="2"/>
  <c r="H20" i="2" s="1"/>
  <c r="G22" i="2"/>
  <c r="G23" i="2"/>
  <c r="H23" i="2" s="1"/>
  <c r="G24" i="2"/>
  <c r="H24" i="2" s="1"/>
  <c r="G26" i="2"/>
  <c r="G27" i="2"/>
  <c r="H27" i="2" s="1"/>
  <c r="G28" i="2"/>
  <c r="H28" i="2" s="1"/>
  <c r="G30" i="2"/>
  <c r="G31" i="2"/>
  <c r="H31" i="2" s="1"/>
  <c r="G32" i="2"/>
  <c r="H32" i="2" s="1"/>
  <c r="G34" i="2"/>
  <c r="G35" i="2"/>
  <c r="H35" i="2" s="1"/>
  <c r="G36" i="2"/>
  <c r="H36" i="2" s="1"/>
  <c r="G38" i="2"/>
  <c r="G39" i="2"/>
  <c r="H39" i="2" s="1"/>
  <c r="G40" i="2"/>
  <c r="H40" i="2" s="1"/>
  <c r="G42" i="2"/>
  <c r="G43" i="2"/>
  <c r="H43" i="2" s="1"/>
  <c r="G44" i="2"/>
  <c r="H44" i="2" s="1"/>
  <c r="G46" i="2"/>
  <c r="G47" i="2"/>
  <c r="H47" i="2" s="1"/>
  <c r="G48" i="2"/>
  <c r="H48" i="2" s="1"/>
  <c r="G50" i="2"/>
  <c r="G51" i="2"/>
  <c r="H51" i="2" s="1"/>
  <c r="G52" i="2"/>
  <c r="H52" i="2" s="1"/>
  <c r="G54" i="2"/>
  <c r="G55" i="2"/>
  <c r="H55" i="2" s="1"/>
  <c r="G56" i="2"/>
  <c r="H56" i="2" s="1"/>
  <c r="G58" i="2"/>
  <c r="G59" i="2"/>
  <c r="H59" i="2" s="1"/>
  <c r="G60" i="2"/>
  <c r="H60" i="2" s="1"/>
  <c r="G62" i="2"/>
  <c r="G63" i="2"/>
  <c r="H63" i="2" s="1"/>
  <c r="G64" i="2"/>
  <c r="H64" i="2" s="1"/>
  <c r="G66" i="2"/>
  <c r="G67" i="2"/>
  <c r="H67" i="2" s="1"/>
  <c r="G68" i="2"/>
  <c r="H68" i="2" s="1"/>
  <c r="G70" i="2"/>
  <c r="G71" i="2"/>
  <c r="H71" i="2" s="1"/>
  <c r="G72" i="2"/>
  <c r="H72" i="2" s="1"/>
  <c r="G74" i="2"/>
  <c r="G75" i="2"/>
  <c r="H75" i="2" s="1"/>
  <c r="G76" i="2"/>
  <c r="H76" i="2" s="1"/>
  <c r="G78" i="2"/>
  <c r="G79" i="2"/>
  <c r="H79" i="2" s="1"/>
  <c r="G80" i="2"/>
  <c r="H80" i="2" s="1"/>
  <c r="G82" i="2"/>
  <c r="G83" i="2"/>
  <c r="H83" i="2" s="1"/>
  <c r="G84" i="2"/>
  <c r="H84" i="2" s="1"/>
  <c r="G86" i="2"/>
  <c r="G87" i="2"/>
  <c r="H87" i="2" s="1"/>
  <c r="G88" i="2"/>
  <c r="H88" i="2" s="1"/>
  <c r="G90" i="2"/>
  <c r="G91" i="2"/>
  <c r="H91" i="2" s="1"/>
  <c r="G92" i="2"/>
  <c r="H92" i="2" s="1"/>
  <c r="G94" i="2"/>
  <c r="G95" i="2"/>
  <c r="H95" i="2" s="1"/>
  <c r="G96" i="2"/>
  <c r="H96" i="2" s="1"/>
  <c r="G98" i="2"/>
  <c r="G99" i="2"/>
  <c r="H99" i="2" s="1"/>
  <c r="G100" i="2"/>
  <c r="H100" i="2" s="1"/>
  <c r="G102" i="2"/>
  <c r="G103" i="2"/>
  <c r="H103" i="2" s="1"/>
  <c r="G104" i="2"/>
  <c r="H104" i="2" s="1"/>
  <c r="G106" i="2"/>
  <c r="G107" i="2"/>
  <c r="H107" i="2" s="1"/>
  <c r="G108" i="2"/>
  <c r="H108" i="2" s="1"/>
  <c r="G110" i="2"/>
  <c r="G111" i="2"/>
  <c r="H111" i="2" s="1"/>
  <c r="G112" i="2"/>
  <c r="H112" i="2" s="1"/>
  <c r="G114" i="2"/>
  <c r="G115" i="2"/>
  <c r="H115" i="2" s="1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F1" i="2"/>
  <c r="D1" i="2"/>
  <c r="H1" i="2" l="1"/>
  <c r="J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" i="3"/>
  <c r="R3" i="1" l="1"/>
  <c r="S3" i="1" s="1"/>
  <c r="R4" i="1"/>
  <c r="S4" i="1" s="1"/>
  <c r="R5" i="1"/>
  <c r="S5" i="1" s="1"/>
  <c r="R6" i="1"/>
  <c r="S6" i="1" s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5" i="1"/>
  <c r="S15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S23" i="1" s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R31" i="1"/>
  <c r="S31" i="1" s="1"/>
  <c r="R32" i="1"/>
  <c r="S32" i="1" s="1"/>
  <c r="R33" i="1"/>
  <c r="S33" i="1" s="1"/>
  <c r="R34" i="1"/>
  <c r="S34" i="1" s="1"/>
  <c r="R35" i="1"/>
  <c r="S35" i="1" s="1"/>
  <c r="R36" i="1"/>
  <c r="S36" i="1" s="1"/>
  <c r="R37" i="1"/>
  <c r="S37" i="1" s="1"/>
  <c r="R38" i="1"/>
  <c r="S38" i="1" s="1"/>
  <c r="R39" i="1"/>
  <c r="S39" i="1" s="1"/>
  <c r="R40" i="1"/>
  <c r="S40" i="1" s="1"/>
  <c r="R41" i="1"/>
  <c r="S41" i="1" s="1"/>
  <c r="R42" i="1"/>
  <c r="S42" i="1" s="1"/>
  <c r="R43" i="1"/>
  <c r="S43" i="1" s="1"/>
  <c r="R44" i="1"/>
  <c r="S44" i="1" s="1"/>
  <c r="R45" i="1"/>
  <c r="S45" i="1" s="1"/>
  <c r="R46" i="1"/>
  <c r="S46" i="1" s="1"/>
  <c r="R47" i="1"/>
  <c r="S47" i="1" s="1"/>
  <c r="R48" i="1"/>
  <c r="S48" i="1" s="1"/>
  <c r="R49" i="1"/>
  <c r="S49" i="1" s="1"/>
  <c r="R50" i="1"/>
  <c r="S50" i="1" s="1"/>
  <c r="R51" i="1"/>
  <c r="S51" i="1" s="1"/>
  <c r="R52" i="1"/>
  <c r="S52" i="1" s="1"/>
  <c r="R53" i="1"/>
  <c r="S53" i="1" s="1"/>
  <c r="R54" i="1"/>
  <c r="S54" i="1" s="1"/>
  <c r="R55" i="1"/>
  <c r="S55" i="1" s="1"/>
  <c r="R56" i="1"/>
  <c r="S56" i="1" s="1"/>
  <c r="R57" i="1"/>
  <c r="S57" i="1" s="1"/>
  <c r="R58" i="1"/>
  <c r="S58" i="1" s="1"/>
  <c r="R59" i="1"/>
  <c r="S59" i="1" s="1"/>
  <c r="R60" i="1"/>
  <c r="S60" i="1" s="1"/>
  <c r="R61" i="1"/>
  <c r="S61" i="1" s="1"/>
  <c r="R62" i="1"/>
  <c r="S62" i="1" s="1"/>
  <c r="R63" i="1"/>
  <c r="S63" i="1" s="1"/>
  <c r="R64" i="1"/>
  <c r="S64" i="1" s="1"/>
  <c r="R65" i="1"/>
  <c r="S65" i="1" s="1"/>
  <c r="R66" i="1"/>
  <c r="S66" i="1" s="1"/>
  <c r="R67" i="1"/>
  <c r="S67" i="1" s="1"/>
  <c r="R68" i="1"/>
  <c r="S68" i="1" s="1"/>
  <c r="R69" i="1"/>
  <c r="S69" i="1" s="1"/>
  <c r="R70" i="1"/>
  <c r="S70" i="1" s="1"/>
  <c r="R71" i="1"/>
  <c r="S71" i="1" s="1"/>
  <c r="R72" i="1"/>
  <c r="S72" i="1" s="1"/>
  <c r="R73" i="1"/>
  <c r="S73" i="1" s="1"/>
  <c r="R74" i="1"/>
  <c r="S74" i="1" s="1"/>
  <c r="R75" i="1"/>
  <c r="S75" i="1" s="1"/>
  <c r="R76" i="1"/>
  <c r="S76" i="1" s="1"/>
  <c r="R77" i="1"/>
  <c r="S77" i="1" s="1"/>
  <c r="R78" i="1"/>
  <c r="S78" i="1" s="1"/>
  <c r="R79" i="1"/>
  <c r="S79" i="1" s="1"/>
  <c r="R80" i="1"/>
  <c r="S80" i="1" s="1"/>
  <c r="R81" i="1"/>
  <c r="S81" i="1" s="1"/>
  <c r="R82" i="1"/>
  <c r="S82" i="1" s="1"/>
  <c r="R83" i="1"/>
  <c r="S83" i="1" s="1"/>
  <c r="R84" i="1"/>
  <c r="S84" i="1" s="1"/>
  <c r="R85" i="1"/>
  <c r="S85" i="1" s="1"/>
  <c r="R86" i="1"/>
  <c r="S86" i="1" s="1"/>
  <c r="R87" i="1"/>
  <c r="S87" i="1" s="1"/>
  <c r="R88" i="1"/>
  <c r="S88" i="1" s="1"/>
  <c r="R89" i="1"/>
  <c r="S89" i="1" s="1"/>
  <c r="R90" i="1"/>
  <c r="S90" i="1" s="1"/>
  <c r="R91" i="1"/>
  <c r="S91" i="1" s="1"/>
  <c r="R92" i="1"/>
  <c r="S92" i="1" s="1"/>
  <c r="R93" i="1"/>
  <c r="S93" i="1" s="1"/>
  <c r="R94" i="1"/>
  <c r="S94" i="1" s="1"/>
  <c r="R95" i="1"/>
  <c r="S95" i="1" s="1"/>
  <c r="R96" i="1"/>
  <c r="S96" i="1" s="1"/>
  <c r="R97" i="1"/>
  <c r="S97" i="1" s="1"/>
  <c r="R98" i="1"/>
  <c r="S98" i="1" s="1"/>
  <c r="R99" i="1"/>
  <c r="S99" i="1" s="1"/>
  <c r="R100" i="1"/>
  <c r="S100" i="1" s="1"/>
  <c r="R101" i="1"/>
  <c r="S101" i="1" s="1"/>
  <c r="R102" i="1"/>
  <c r="S102" i="1" s="1"/>
  <c r="R103" i="1"/>
  <c r="S103" i="1" s="1"/>
  <c r="R104" i="1"/>
  <c r="S104" i="1" s="1"/>
  <c r="R105" i="1"/>
  <c r="S105" i="1" s="1"/>
  <c r="R106" i="1"/>
  <c r="S106" i="1" s="1"/>
  <c r="R107" i="1"/>
  <c r="S107" i="1" s="1"/>
  <c r="R108" i="1"/>
  <c r="S108" i="1" s="1"/>
  <c r="R109" i="1"/>
  <c r="S109" i="1" s="1"/>
  <c r="R110" i="1"/>
  <c r="S110" i="1" s="1"/>
  <c r="R111" i="1"/>
  <c r="S111" i="1" s="1"/>
  <c r="R112" i="1"/>
  <c r="S112" i="1" s="1"/>
  <c r="R113" i="1"/>
  <c r="S113" i="1" s="1"/>
  <c r="R114" i="1"/>
  <c r="S114" i="1" s="1"/>
  <c r="R115" i="1"/>
  <c r="S115" i="1" s="1"/>
  <c r="R116" i="1"/>
  <c r="S116" i="1" s="1"/>
  <c r="R2" i="1"/>
  <c r="S2" i="1" s="1"/>
  <c r="P3" i="1"/>
  <c r="P4" i="1"/>
  <c r="P5" i="1"/>
  <c r="Q5" i="1" s="1"/>
  <c r="P6" i="1"/>
  <c r="Q6" i="1" s="1"/>
  <c r="P7" i="1"/>
  <c r="Q7" i="1" s="1"/>
  <c r="P8" i="1"/>
  <c r="P9" i="1"/>
  <c r="Q9" i="1" s="1"/>
  <c r="P10" i="1"/>
  <c r="P11" i="1"/>
  <c r="Q11" i="1" s="1"/>
  <c r="P12" i="1"/>
  <c r="Q12" i="1" s="1"/>
  <c r="P13" i="1"/>
  <c r="Q13" i="1" s="1"/>
  <c r="P14" i="1"/>
  <c r="Q14" i="1" s="1"/>
  <c r="P15" i="1"/>
  <c r="Q15" i="1" s="1"/>
  <c r="P16" i="1"/>
  <c r="P17" i="1"/>
  <c r="Q17" i="1" s="1"/>
  <c r="P18" i="1"/>
  <c r="P19" i="1"/>
  <c r="Q19" i="1" s="1"/>
  <c r="P20" i="1"/>
  <c r="P21" i="1"/>
  <c r="Q21" i="1" s="1"/>
  <c r="P22" i="1"/>
  <c r="Q22" i="1" s="1"/>
  <c r="P23" i="1"/>
  <c r="Q23" i="1" s="1"/>
  <c r="P24" i="1"/>
  <c r="Q24" i="1" s="1"/>
  <c r="P25" i="1"/>
  <c r="Q25" i="1" s="1"/>
  <c r="P34" i="1"/>
  <c r="P42" i="1"/>
  <c r="P72" i="1"/>
  <c r="P74" i="1"/>
  <c r="P85" i="1"/>
  <c r="Q85" i="1" s="1"/>
  <c r="P86" i="1"/>
  <c r="Q86" i="1" s="1"/>
  <c r="P87" i="1"/>
  <c r="Q87" i="1" s="1"/>
  <c r="P89" i="1"/>
  <c r="Q89" i="1" s="1"/>
  <c r="P90" i="1"/>
  <c r="Q90" i="1" s="1"/>
  <c r="P91" i="1"/>
  <c r="Q91" i="1" s="1"/>
  <c r="P92" i="1"/>
  <c r="Q92" i="1" s="1"/>
  <c r="P93" i="1"/>
  <c r="Q93" i="1" s="1"/>
  <c r="P94" i="1"/>
  <c r="Q94" i="1" s="1"/>
  <c r="P95" i="1"/>
  <c r="P96" i="1"/>
  <c r="Q96" i="1" s="1"/>
  <c r="P97" i="1"/>
  <c r="Q97" i="1" s="1"/>
  <c r="P98" i="1"/>
  <c r="Q98" i="1" s="1"/>
  <c r="P99" i="1"/>
  <c r="Q99" i="1" s="1"/>
  <c r="P100" i="1"/>
  <c r="Q100" i="1" s="1"/>
  <c r="P101" i="1"/>
  <c r="Q101" i="1" s="1"/>
  <c r="P102" i="1"/>
  <c r="Q102" i="1" s="1"/>
  <c r="P103" i="1"/>
  <c r="P104" i="1"/>
  <c r="Q104" i="1" s="1"/>
  <c r="P105" i="1"/>
  <c r="Q105" i="1" s="1"/>
  <c r="P106" i="1"/>
  <c r="Q106" i="1" s="1"/>
  <c r="P107" i="1"/>
  <c r="P108" i="1"/>
  <c r="P116" i="1"/>
  <c r="Q116" i="1" s="1"/>
  <c r="P2" i="1"/>
  <c r="Q2" i="1" s="1"/>
  <c r="P115" i="1"/>
  <c r="P113" i="1"/>
  <c r="Q113" i="1" s="1"/>
  <c r="P84" i="1"/>
  <c r="P83" i="1"/>
  <c r="P76" i="1"/>
  <c r="P68" i="1"/>
  <c r="P52" i="1"/>
  <c r="P51" i="1"/>
  <c r="P44" i="1"/>
  <c r="P36" i="1"/>
  <c r="P35" i="1"/>
  <c r="P27" i="1"/>
  <c r="Q74" i="1" l="1"/>
  <c r="Q18" i="1"/>
  <c r="Q16" i="1"/>
  <c r="Q72" i="1"/>
  <c r="Q10" i="1"/>
  <c r="Q42" i="1"/>
  <c r="Q34" i="1"/>
  <c r="Q8" i="1"/>
  <c r="Q103" i="1"/>
  <c r="Q95" i="1"/>
  <c r="Q108" i="1"/>
  <c r="Q84" i="1"/>
  <c r="Q76" i="1"/>
  <c r="Q68" i="1"/>
  <c r="Q52" i="1"/>
  <c r="Q44" i="1"/>
  <c r="Q36" i="1"/>
  <c r="Q20" i="1"/>
  <c r="Q4" i="1"/>
  <c r="Q115" i="1"/>
  <c r="Q107" i="1"/>
  <c r="Q83" i="1"/>
  <c r="Q51" i="1"/>
  <c r="Q35" i="1"/>
  <c r="Q27" i="1"/>
  <c r="Q3" i="1"/>
  <c r="P112" i="1"/>
  <c r="P88" i="1"/>
  <c r="P26" i="1"/>
  <c r="P47" i="1"/>
  <c r="P46" i="1"/>
  <c r="P71" i="1"/>
  <c r="P111" i="1"/>
  <c r="P70" i="1"/>
  <c r="P39" i="1"/>
  <c r="P110" i="1"/>
  <c r="P63" i="1"/>
  <c r="P38" i="1"/>
  <c r="P109" i="1"/>
  <c r="Q109" i="1" s="1"/>
  <c r="P62" i="1"/>
  <c r="P37" i="1"/>
  <c r="Q37" i="1" s="1"/>
  <c r="P79" i="1"/>
  <c r="P55" i="1"/>
  <c r="P78" i="1"/>
  <c r="P54" i="1"/>
  <c r="P31" i="1"/>
  <c r="P114" i="1"/>
  <c r="P82" i="1"/>
  <c r="P66" i="1"/>
  <c r="P58" i="1"/>
  <c r="P50" i="1"/>
  <c r="P81" i="1"/>
  <c r="P73" i="1"/>
  <c r="P65" i="1"/>
  <c r="P57" i="1"/>
  <c r="P49" i="1"/>
  <c r="P41" i="1"/>
  <c r="Q41" i="1" s="1"/>
  <c r="P33" i="1"/>
  <c r="Q33" i="1" s="1"/>
  <c r="P80" i="1"/>
  <c r="P64" i="1"/>
  <c r="P56" i="1"/>
  <c r="P48" i="1"/>
  <c r="P40" i="1"/>
  <c r="P32" i="1"/>
  <c r="P30" i="1"/>
  <c r="P77" i="1"/>
  <c r="P69" i="1"/>
  <c r="P61" i="1"/>
  <c r="P53" i="1"/>
  <c r="Q53" i="1" s="1"/>
  <c r="P45" i="1"/>
  <c r="P29" i="1"/>
  <c r="P60" i="1"/>
  <c r="P28" i="1"/>
  <c r="P75" i="1"/>
  <c r="P67" i="1"/>
  <c r="P59" i="1"/>
  <c r="P43" i="1"/>
  <c r="Q60" i="1" l="1"/>
  <c r="Q81" i="1"/>
  <c r="Q112" i="1"/>
  <c r="Q80" i="1"/>
  <c r="Q29" i="1"/>
  <c r="Q58" i="1"/>
  <c r="Q55" i="1"/>
  <c r="Q38" i="1"/>
  <c r="Q46" i="1"/>
  <c r="Q77" i="1"/>
  <c r="Q56" i="1"/>
  <c r="Q67" i="1"/>
  <c r="Q64" i="1"/>
  <c r="Q78" i="1"/>
  <c r="Q111" i="1"/>
  <c r="Q75" i="1"/>
  <c r="Q50" i="1"/>
  <c r="Q71" i="1"/>
  <c r="Q45" i="1"/>
  <c r="Q30" i="1"/>
  <c r="Q66" i="1"/>
  <c r="Q79" i="1"/>
  <c r="Q63" i="1"/>
  <c r="Q47" i="1"/>
  <c r="Q70" i="1"/>
  <c r="Q62" i="1"/>
  <c r="Q32" i="1"/>
  <c r="Q49" i="1"/>
  <c r="Q82" i="1"/>
  <c r="Q110" i="1"/>
  <c r="Q26" i="1"/>
  <c r="Q73" i="1"/>
  <c r="Q61" i="1"/>
  <c r="Q40" i="1"/>
  <c r="Q57" i="1"/>
  <c r="Q114" i="1"/>
  <c r="Q88" i="1"/>
  <c r="Q59" i="1"/>
  <c r="Q54" i="1"/>
  <c r="Q43" i="1"/>
  <c r="Q28" i="1"/>
  <c r="Q69" i="1"/>
  <c r="Q48" i="1"/>
  <c r="Q65" i="1"/>
  <c r="Q31" i="1"/>
  <c r="Q39" i="1"/>
</calcChain>
</file>

<file path=xl/sharedStrings.xml><?xml version="1.0" encoding="utf-8"?>
<sst xmlns="http://schemas.openxmlformats.org/spreadsheetml/2006/main" count="1861" uniqueCount="802">
  <si>
    <t>Case ID</t>
  </si>
  <si>
    <t>Hub Code</t>
  </si>
  <si>
    <t>Name of Lessee</t>
  </si>
  <si>
    <t>Vehicle Description</t>
  </si>
  <si>
    <t xml:space="preserve">Engine </t>
  </si>
  <si>
    <t xml:space="preserve">Chasis </t>
  </si>
  <si>
    <t xml:space="preserve">Registration </t>
  </si>
  <si>
    <t>Start Date</t>
  </si>
  <si>
    <t>Expiry Date</t>
  </si>
  <si>
    <t>TENURE</t>
  </si>
  <si>
    <t>SUM COVERED</t>
  </si>
  <si>
    <t>Bank Ins Premium</t>
  </si>
  <si>
    <t xml:space="preserve">Bank Premium Rate </t>
  </si>
  <si>
    <t>New Takaful Company</t>
  </si>
  <si>
    <t>CI-2021-0000-1836</t>
  </si>
  <si>
    <t>PK0010002</t>
  </si>
  <si>
    <t>GHULAM MURTAZA SAHITO</t>
  </si>
  <si>
    <t>KIA PICANTO A/T</t>
  </si>
  <si>
    <t>072527</t>
  </si>
  <si>
    <t>706890</t>
  </si>
  <si>
    <t>BUB-513</t>
  </si>
  <si>
    <t xml:space="preserve"> 12 MONTHS</t>
  </si>
  <si>
    <t>1.50</t>
  </si>
  <si>
    <t>CI-2021-0107-0364</t>
  </si>
  <si>
    <t>DEEN MUHAMMAD</t>
  </si>
  <si>
    <t>KIA SPORTAGE AWD</t>
  </si>
  <si>
    <t>G4NAMH307023</t>
  </si>
  <si>
    <t>NNAQL51AZKP511979</t>
  </si>
  <si>
    <t>BJ-4970</t>
  </si>
  <si>
    <t>1.5</t>
  </si>
  <si>
    <t>CI-2021-0130-0910</t>
  </si>
  <si>
    <t>SAJID ALI KHAN</t>
  </si>
  <si>
    <t>CHANGAN KARVAN PLUS</t>
  </si>
  <si>
    <t>NKMAAB3D1M1007070</t>
  </si>
  <si>
    <t>JL466Q9M69U502439</t>
  </si>
  <si>
    <t>CZ-3403</t>
  </si>
  <si>
    <t>CI-2021-1604-4704</t>
  </si>
  <si>
    <t>Muhammad Amir KHAN</t>
  </si>
  <si>
    <t>Alto VXR</t>
  </si>
  <si>
    <t>R239247</t>
  </si>
  <si>
    <t>H1139176</t>
  </si>
  <si>
    <t>BXG-043</t>
  </si>
  <si>
    <t>CI-2021-4101-0822</t>
  </si>
  <si>
    <t>ABDUL MAJID KHAN</t>
  </si>
  <si>
    <t>SUZUKI CULTUS VXL</t>
  </si>
  <si>
    <t>K176592</t>
  </si>
  <si>
    <t>H10076573</t>
  </si>
  <si>
    <t/>
  </si>
  <si>
    <t>CI-2021-9201-7148</t>
  </si>
  <si>
    <t>SHABEER KHATOON</t>
  </si>
  <si>
    <t>Alto VX</t>
  </si>
  <si>
    <t>R238104</t>
  </si>
  <si>
    <t>H1138140</t>
  </si>
  <si>
    <t>BXD-809</t>
  </si>
  <si>
    <t>CI-2021-9964-1881</t>
  </si>
  <si>
    <t>MUHAMMAD ASAD ULLAH</t>
  </si>
  <si>
    <t>TOYOTA COROLLA GLI M/T</t>
  </si>
  <si>
    <t>Z286954</t>
  </si>
  <si>
    <t>NZE170R-4039096</t>
  </si>
  <si>
    <t>BDW-090</t>
  </si>
  <si>
    <t>CI-2022-0178-0001</t>
  </si>
  <si>
    <t>MUHAMMAD SUMAIR</t>
  </si>
  <si>
    <t>R239947</t>
  </si>
  <si>
    <t>H1139863</t>
  </si>
  <si>
    <t>BXG-835</t>
  </si>
  <si>
    <t>CI-2022-1602-0007</t>
  </si>
  <si>
    <t>NIMRA SIDDIQUI</t>
  </si>
  <si>
    <t>Alto VXL</t>
  </si>
  <si>
    <t>R240766</t>
  </si>
  <si>
    <t>H1140791</t>
  </si>
  <si>
    <t>BXF-107</t>
  </si>
  <si>
    <t>CI-2022-9201-0007</t>
  </si>
  <si>
    <t>AHMED NAWAZ URF IMRAN SHAIKH</t>
  </si>
  <si>
    <t>R240723</t>
  </si>
  <si>
    <t>H1140726</t>
  </si>
  <si>
    <t>BXD-816</t>
  </si>
  <si>
    <t>CI-2022-9889-0003</t>
  </si>
  <si>
    <t>SHUHAB UDDIN SOOMRO</t>
  </si>
  <si>
    <t>R237353</t>
  </si>
  <si>
    <t>H1137364</t>
  </si>
  <si>
    <t>BXD-475</t>
  </si>
  <si>
    <t>CI-2022-9949-0029</t>
  </si>
  <si>
    <t>MUHAMMAD SHARIF</t>
  </si>
  <si>
    <t>City PT Aspire 1.5L</t>
  </si>
  <si>
    <t>Z81009533</t>
  </si>
  <si>
    <t>R021534</t>
  </si>
  <si>
    <t>BXG-678</t>
  </si>
  <si>
    <t>CI-2022-9950-0027</t>
  </si>
  <si>
    <t>SYED NAWAZ</t>
  </si>
  <si>
    <t>Suzuki Alto AGS</t>
  </si>
  <si>
    <t>R238565</t>
  </si>
  <si>
    <t>H1139559</t>
  </si>
  <si>
    <t>BXC-985</t>
  </si>
  <si>
    <t>CI-2022-9959-0014</t>
  </si>
  <si>
    <t>LIAQAT .</t>
  </si>
  <si>
    <t>Wagon R AGS</t>
  </si>
  <si>
    <t>B234946</t>
  </si>
  <si>
    <t>K10134881</t>
  </si>
  <si>
    <t>BWR-261</t>
  </si>
  <si>
    <t>CI-2023-0000-0166</t>
  </si>
  <si>
    <t>TAFSEER FATIMA</t>
  </si>
  <si>
    <t>R176927</t>
  </si>
  <si>
    <t>H1076873</t>
  </si>
  <si>
    <t>BUE-119</t>
  </si>
  <si>
    <t>CI-2023-0000-0172</t>
  </si>
  <si>
    <t>KASHIF ALI AKHTER</t>
  </si>
  <si>
    <t>R177207</t>
  </si>
  <si>
    <t>H1077192</t>
  </si>
  <si>
    <t>BUZ-746</t>
  </si>
  <si>
    <t>CI-2023-1022-0002</t>
  </si>
  <si>
    <t>ALI IMRAN</t>
  </si>
  <si>
    <t>Wagon R VXL</t>
  </si>
  <si>
    <t>B157486</t>
  </si>
  <si>
    <t>K10057535</t>
  </si>
  <si>
    <t>BMK-122</t>
  </si>
  <si>
    <t>CI-2023-1047-0002</t>
  </si>
  <si>
    <t>MUHAMAMD NASEEM HABIB</t>
  </si>
  <si>
    <t>R277089</t>
  </si>
  <si>
    <t>H1177090</t>
  </si>
  <si>
    <t>BYW-705</t>
  </si>
  <si>
    <t>CI-2023-9949-0014</t>
  </si>
  <si>
    <t>MUHAMMAD JAMIL</t>
  </si>
  <si>
    <t>Corolla GLI MT 1.3</t>
  </si>
  <si>
    <t>Z510464</t>
  </si>
  <si>
    <t>R4136369</t>
  </si>
  <si>
    <t>BTA-610</t>
  </si>
  <si>
    <t>CI-2023-9972-0002</t>
  </si>
  <si>
    <t>ZUBAIR -</t>
  </si>
  <si>
    <t>Picanto AT</t>
  </si>
  <si>
    <t>P236391</t>
  </si>
  <si>
    <t>P712488</t>
  </si>
  <si>
    <t>BYT-697</t>
  </si>
  <si>
    <t>CM-2020-0125-0394</t>
  </si>
  <si>
    <t>SYED ASIF MUJTABA</t>
  </si>
  <si>
    <t>DIAHATSU MIRA</t>
  </si>
  <si>
    <t>KF-J463101</t>
  </si>
  <si>
    <t>LA300S-1414662</t>
  </si>
  <si>
    <t>BRY-845</t>
  </si>
  <si>
    <t>2</t>
  </si>
  <si>
    <t>CM-2020-9939-0066</t>
  </si>
  <si>
    <t>MUHAMMAD HARIS KHAN</t>
  </si>
  <si>
    <t>SUZUKI SWIFT DLX</t>
  </si>
  <si>
    <t>PKS13029953</t>
  </si>
  <si>
    <t>RS413PK10029950</t>
  </si>
  <si>
    <t>BEQ-573</t>
  </si>
  <si>
    <t>CM-2020-9965-1068</t>
  </si>
  <si>
    <t>AISHA SIDIQA</t>
  </si>
  <si>
    <t>SUZUKI WAGON R</t>
  </si>
  <si>
    <t>B195936</t>
  </si>
  <si>
    <t>10095919</t>
  </si>
  <si>
    <t>BRW-506</t>
  </si>
  <si>
    <t>SALAM TAKAFUL</t>
  </si>
  <si>
    <t>CI-2022-0704-0008</t>
  </si>
  <si>
    <t>PK0010007</t>
  </si>
  <si>
    <t>TAHIRA HADI</t>
  </si>
  <si>
    <t>BOLAN VX</t>
  </si>
  <si>
    <t>PKT1024106</t>
  </si>
  <si>
    <t>SV308PK01140614</t>
  </si>
  <si>
    <t>AZV-305</t>
  </si>
  <si>
    <t>CI-2023-1802-0001</t>
  </si>
  <si>
    <t>IMRAN KHAN</t>
  </si>
  <si>
    <t>R274166</t>
  </si>
  <si>
    <t>NF1AET306H1174110</t>
  </si>
  <si>
    <t>BCD-697</t>
  </si>
  <si>
    <t>CM-2020-1402-0057</t>
  </si>
  <si>
    <t>PK0010008</t>
  </si>
  <si>
    <t>WAQAS NADEEM</t>
  </si>
  <si>
    <t>TOYOTA COROLLA ALTIS 1.6</t>
  </si>
  <si>
    <t>Q065751</t>
  </si>
  <si>
    <t>ZRE171R-6043264</t>
  </si>
  <si>
    <t>AQZ-127</t>
  </si>
  <si>
    <t>CM-2020-9824-0045</t>
  </si>
  <si>
    <t>MUHAMMAD KHAWAR AKBAR</t>
  </si>
  <si>
    <t>Q065813</t>
  </si>
  <si>
    <t>ZRE171R-6043317</t>
  </si>
  <si>
    <t>AQY-571</t>
  </si>
  <si>
    <t>CI-2022-9890-0006</t>
  </si>
  <si>
    <t>PK0010011</t>
  </si>
  <si>
    <t>ARSHAD AHMAD KHAN</t>
  </si>
  <si>
    <t>Changan Karvaan Plus</t>
  </si>
  <si>
    <t>JL466Q9M69U506628</t>
  </si>
  <si>
    <t>NKMAAB3D1N1014308</t>
  </si>
  <si>
    <t>ALC-784</t>
  </si>
  <si>
    <t>CI-2023-0518-0001</t>
  </si>
  <si>
    <t>MAQBOOL HUSSAIN ANSARI</t>
  </si>
  <si>
    <t>BRV S CVT</t>
  </si>
  <si>
    <t>L15Z13513548</t>
  </si>
  <si>
    <t>NFBDG1830JR013520</t>
  </si>
  <si>
    <t>MNE-18-914</t>
  </si>
  <si>
    <t>CI-2023-1303-0010</t>
  </si>
  <si>
    <t>ASIF NAWAZ</t>
  </si>
  <si>
    <t>Cultus VXL</t>
  </si>
  <si>
    <t>PK10K129998</t>
  </si>
  <si>
    <t>NF1AVK31H10029989</t>
  </si>
  <si>
    <t>LEC-18A-6620</t>
  </si>
  <si>
    <t>CI-2023-2101-0012</t>
  </si>
  <si>
    <t>ALAM SHER</t>
  </si>
  <si>
    <t>Mehran VXR</t>
  </si>
  <si>
    <t>PKB605234</t>
  </si>
  <si>
    <t>SB308PK01143796</t>
  </si>
  <si>
    <t>OK-15-45</t>
  </si>
  <si>
    <t>CI-2023-3501-0003</t>
  </si>
  <si>
    <t>MUHAMMAD RIZWAN</t>
  </si>
  <si>
    <t>6R276084</t>
  </si>
  <si>
    <t>NF1AET306H1176099</t>
  </si>
  <si>
    <t>APL-396</t>
  </si>
  <si>
    <t>CM-2020-0011-0015</t>
  </si>
  <si>
    <t>GHULAM MUSTAFA</t>
  </si>
  <si>
    <t>SUZUKI ALTO VXR</t>
  </si>
  <si>
    <t>6R133830</t>
  </si>
  <si>
    <t>NF1AET306H1033830</t>
  </si>
  <si>
    <t>MN-20-984</t>
  </si>
  <si>
    <t>CM-2020-0506-0030</t>
  </si>
  <si>
    <t>KHAWAJA MUHAMMAD ABID SIDDIQUI</t>
  </si>
  <si>
    <t>SUZUKI WAGAN R VXL AGS</t>
  </si>
  <si>
    <t>PK10B203559</t>
  </si>
  <si>
    <t>A1J310PK10103552</t>
  </si>
  <si>
    <t>MNA-20-588</t>
  </si>
  <si>
    <t>CM-2020-2901-0010</t>
  </si>
  <si>
    <t>NAVEED IKRAM</t>
  </si>
  <si>
    <t>SUZUKI ALTO VXL</t>
  </si>
  <si>
    <t>6R127806</t>
  </si>
  <si>
    <t>NF1AET306H1027739</t>
  </si>
  <si>
    <t>AQY-803</t>
  </si>
  <si>
    <t>CM-2020-9862-0031</t>
  </si>
  <si>
    <t>LIAQAT ALI</t>
  </si>
  <si>
    <t>SUZUKI WAGAN R VXL</t>
  </si>
  <si>
    <t>PK10B201542</t>
  </si>
  <si>
    <t>A1J310PK10101492</t>
  </si>
  <si>
    <t>AQY-706</t>
  </si>
  <si>
    <t>CM-2021-1256-0790</t>
  </si>
  <si>
    <t>MAAZ KHAWAJA</t>
  </si>
  <si>
    <t>YARIS GLI 1.3L MANUAL</t>
  </si>
  <si>
    <t>2A31878</t>
  </si>
  <si>
    <t>NSP150R-7019589</t>
  </si>
  <si>
    <t>ADX-354</t>
  </si>
  <si>
    <t>CM-2021-3501-1806</t>
  </si>
  <si>
    <t>ARIF REHAN</t>
  </si>
  <si>
    <t>YARIS ATIV 1.3L CVT</t>
  </si>
  <si>
    <t>2A32108</t>
  </si>
  <si>
    <t>NSP150R-7019741</t>
  </si>
  <si>
    <t>ADU-826</t>
  </si>
  <si>
    <t>CM-2021-9827-0519</t>
  </si>
  <si>
    <t>SAAD ALI</t>
  </si>
  <si>
    <t>PK10K178024</t>
  </si>
  <si>
    <t>NF1AVK31H10078043</t>
  </si>
  <si>
    <t>ADW-453</t>
  </si>
  <si>
    <t>CI-2022-2203-0015</t>
  </si>
  <si>
    <t>PK0010014</t>
  </si>
  <si>
    <t>ASIM SULTAN</t>
  </si>
  <si>
    <t>City PT 1.2</t>
  </si>
  <si>
    <t>L12B51011959</t>
  </si>
  <si>
    <t>NFBGN8621NR021427</t>
  </si>
  <si>
    <t>AZT-476</t>
  </si>
  <si>
    <t>CI-2022-6001-0001</t>
  </si>
  <si>
    <t>MUHAMMAD BILAL</t>
  </si>
  <si>
    <t>PK10B238273</t>
  </si>
  <si>
    <t>A1J310PK10138275</t>
  </si>
  <si>
    <t>ALF-197</t>
  </si>
  <si>
    <t>CI-2022-7601-0009</t>
  </si>
  <si>
    <t>EJAZ AHMAD</t>
  </si>
  <si>
    <t>L15Z81009659</t>
  </si>
  <si>
    <t>NFBGN9663NR021650</t>
  </si>
  <si>
    <t>ALH-332</t>
  </si>
  <si>
    <t>CI-2023-2206-0006</t>
  </si>
  <si>
    <t>IRTAZA ABID</t>
  </si>
  <si>
    <t>Yaris 1.3ATIV AT</t>
  </si>
  <si>
    <t>2A61662</t>
  </si>
  <si>
    <t>NSP150R-7039540</t>
  </si>
  <si>
    <t>APJ-440</t>
  </si>
  <si>
    <t>CM-2021-2206-0285</t>
  </si>
  <si>
    <t>ABDUL BASIT</t>
  </si>
  <si>
    <t>SUZUKI WAGON R VXL</t>
  </si>
  <si>
    <t>PK10B217249</t>
  </si>
  <si>
    <t>A1J310PK10117244</t>
  </si>
  <si>
    <t>APPLIED FOR</t>
  </si>
  <si>
    <t>CM-2021-5001-0108</t>
  </si>
  <si>
    <t>SAQIB ISHAQ</t>
  </si>
  <si>
    <t>HONDA CITY ASPIRE 1.5 WITH NAVIGATION</t>
  </si>
  <si>
    <t>L15A79754581</t>
  </si>
  <si>
    <t>NFBGM2560GR187719</t>
  </si>
  <si>
    <t>LE-16A-9403</t>
  </si>
  <si>
    <t>CM-2021-6501-0001</t>
  </si>
  <si>
    <t>KHAWAJA FAHEEM ARSHAD</t>
  </si>
  <si>
    <t>ALTIS 1.8 CVTI GRANDE</t>
  </si>
  <si>
    <t>Q350440</t>
  </si>
  <si>
    <t>ZRE172R-7049638</t>
  </si>
  <si>
    <t>AUD-908</t>
  </si>
  <si>
    <t>CM-2021-9812-0046</t>
  </si>
  <si>
    <t>ARIF ALI</t>
  </si>
  <si>
    <t>SUZUKI WAGON R VXL PETROL</t>
  </si>
  <si>
    <t>PK10B217304</t>
  </si>
  <si>
    <t>A1J310PK10117309</t>
  </si>
  <si>
    <t>ADZ-667</t>
  </si>
  <si>
    <t>CM-2021-9812-0284</t>
  </si>
  <si>
    <t>FAWAD TAQI</t>
  </si>
  <si>
    <t>YARIS 1.3 GLI CVT</t>
  </si>
  <si>
    <t>2A31340</t>
  </si>
  <si>
    <t>NSP150R-7019349</t>
  </si>
  <si>
    <t>ADR-539</t>
  </si>
  <si>
    <t>CM-2021-9831-0389</t>
  </si>
  <si>
    <t>ZAHEER ULLAH SATTAR</t>
  </si>
  <si>
    <t>YARIS 1.5 ATIV X CVT</t>
  </si>
  <si>
    <t>2A25062</t>
  </si>
  <si>
    <t>NSP151R-9510117</t>
  </si>
  <si>
    <t>AUD-705</t>
  </si>
  <si>
    <t>CM-2021-9841-0351</t>
  </si>
  <si>
    <t>UMAIR AHMED ZAIF SHARIF</t>
  </si>
  <si>
    <t>SUZUKI SWIFT</t>
  </si>
  <si>
    <t>PKS13050616</t>
  </si>
  <si>
    <t>RS413PK10050573</t>
  </si>
  <si>
    <t>CM-2021-9888-0328</t>
  </si>
  <si>
    <t>GOHAR MAHMOOD</t>
  </si>
  <si>
    <t>6R173265</t>
  </si>
  <si>
    <t>NF1AET306H1073265</t>
  </si>
  <si>
    <t>ADY-603</t>
  </si>
  <si>
    <t>CI-2022-0603-0008</t>
  </si>
  <si>
    <t>PK0010015</t>
  </si>
  <si>
    <t>USMAN NASRULLAH KHAN</t>
  </si>
  <si>
    <t>Stonic EX</t>
  </si>
  <si>
    <t>G4LCNS974635</t>
  </si>
  <si>
    <t>NNAYB54BZMP701740</t>
  </si>
  <si>
    <t>AZT-823 (ICT)</t>
  </si>
  <si>
    <t>CI-2022-0904-0008</t>
  </si>
  <si>
    <t>RIZWAN AKBAR</t>
  </si>
  <si>
    <t>PK10B238663</t>
  </si>
  <si>
    <t>A1J310PK10138680</t>
  </si>
  <si>
    <t>ALB-764 (PUNJAB)</t>
  </si>
  <si>
    <t>CI-2022-0917-0014</t>
  </si>
  <si>
    <t>IMTIAZ HUSSAIN</t>
  </si>
  <si>
    <t>Cultus AGS</t>
  </si>
  <si>
    <t>PK10K206391</t>
  </si>
  <si>
    <t>NF1AVK31H10106352</t>
  </si>
  <si>
    <t>APL-931 (PUNJAB)</t>
  </si>
  <si>
    <t>CI-2022-1289-0001</t>
  </si>
  <si>
    <t>AMEER JAMAL</t>
  </si>
  <si>
    <t>PK10B237247</t>
  </si>
  <si>
    <t>A1J310PK10137232</t>
  </si>
  <si>
    <t>AZS-956 (ICT)</t>
  </si>
  <si>
    <t>CI-2022-4402-0004</t>
  </si>
  <si>
    <t>HUZAIFA ZAHID</t>
  </si>
  <si>
    <t>PK10B235628</t>
  </si>
  <si>
    <t>A1J310PK10135645</t>
  </si>
  <si>
    <t>AZT-269 (ICT)</t>
  </si>
  <si>
    <t>CI-2022-9840-0002</t>
  </si>
  <si>
    <t>MUHAMMAD NAEEM</t>
  </si>
  <si>
    <t>PK10B238613</t>
  </si>
  <si>
    <t>A1J310PK10138611</t>
  </si>
  <si>
    <t>ALC-964 (PUNJAB)</t>
  </si>
  <si>
    <t>CI-2023-0903-0002</t>
  </si>
  <si>
    <t>MUHAMMAD AKIL</t>
  </si>
  <si>
    <t>Alto VXL AGS</t>
  </si>
  <si>
    <t>6R276957</t>
  </si>
  <si>
    <t>NF1AET306H1176944</t>
  </si>
  <si>
    <t>APM-904 (PUNJAB)</t>
  </si>
  <si>
    <t>CI-2023-4001-0007</t>
  </si>
  <si>
    <t>SALMAN ARSHAD GHOURI</t>
  </si>
  <si>
    <t>PK10K138205</t>
  </si>
  <si>
    <t>NF1AVK31H10038643</t>
  </si>
  <si>
    <t>LEB-19-890 (PUNJAB)</t>
  </si>
  <si>
    <t>CM-2020-0605-0106</t>
  </si>
  <si>
    <t>WAQAS LATIF</t>
  </si>
  <si>
    <t>TOYOTA ALTIS 1.6 A/T SR</t>
  </si>
  <si>
    <t>Q065636</t>
  </si>
  <si>
    <t>ZRE171R-6043141</t>
  </si>
  <si>
    <t>AQV-981</t>
  </si>
  <si>
    <t>CM-2020-0909-0174</t>
  </si>
  <si>
    <t>HAFIZ HAMMAD AHMED</t>
  </si>
  <si>
    <t>HONDA CITY I VTEC</t>
  </si>
  <si>
    <t>L13Z17538848</t>
  </si>
  <si>
    <t>NFBGM1643LR260776</t>
  </si>
  <si>
    <t>AQY-638</t>
  </si>
  <si>
    <t>CM-2020-4002-0182</t>
  </si>
  <si>
    <t>IMRAN</t>
  </si>
  <si>
    <t>SUZUKI ALTO AGS</t>
  </si>
  <si>
    <t>6R129989</t>
  </si>
  <si>
    <t>NF1AET306H1029988</t>
  </si>
  <si>
    <t>AQX-784</t>
  </si>
  <si>
    <t>CM-2020-9828-0004</t>
  </si>
  <si>
    <t>AHMAD SAEED UL HASSAN</t>
  </si>
  <si>
    <t>KIA SPORTAGE</t>
  </si>
  <si>
    <t>G4NALH306554</t>
  </si>
  <si>
    <t>NNAQL51AZKP503134</t>
  </si>
  <si>
    <t>AQV-367</t>
  </si>
  <si>
    <t>CM-2020-9840-0114</t>
  </si>
  <si>
    <t>ABDUL JABBAR</t>
  </si>
  <si>
    <t>CHANGAN KARAVAN</t>
  </si>
  <si>
    <t>JL466Q9K69U501552</t>
  </si>
  <si>
    <t>NKMAAB3D1L1001517</t>
  </si>
  <si>
    <t>LEB-20-7969</t>
  </si>
  <si>
    <t>CM-2020-9840-0165</t>
  </si>
  <si>
    <t>MUHAMMAD UMAR ZAMAN</t>
  </si>
  <si>
    <t>6R134672</t>
  </si>
  <si>
    <t>NF1AET306H1034674</t>
  </si>
  <si>
    <t>LEB-20-3585</t>
  </si>
  <si>
    <t>CM-2021-0981-0132</t>
  </si>
  <si>
    <t>ANJUM SHAHZAD</t>
  </si>
  <si>
    <t>PK10K178917</t>
  </si>
  <si>
    <t>NF1AVK31H10078924</t>
  </si>
  <si>
    <t>ADV-301 (PUNJAB)</t>
  </si>
  <si>
    <t>CI-2021-0000-6845</t>
  </si>
  <si>
    <t>PK0010016</t>
  </si>
  <si>
    <t>UMME KALSOOM</t>
  </si>
  <si>
    <t>6R237758</t>
  </si>
  <si>
    <t>NF1AET306H1137777</t>
  </si>
  <si>
    <t>AZS-475</t>
  </si>
  <si>
    <t>CI-2021-0329-6141</t>
  </si>
  <si>
    <t>ATIF CHAMAN</t>
  </si>
  <si>
    <t>6R236273</t>
  </si>
  <si>
    <t>NF1AET306H1136267</t>
  </si>
  <si>
    <t>AZG-547</t>
  </si>
  <si>
    <t>CI-2021-9301-7239</t>
  </si>
  <si>
    <t>KHALIL UR RAZI</t>
  </si>
  <si>
    <t>6R240688</t>
  </si>
  <si>
    <t>NF1AET306H1140671</t>
  </si>
  <si>
    <t>AZU-840</t>
  </si>
  <si>
    <t>CI-2022-0810-0002</t>
  </si>
  <si>
    <t>SAYEM ASIF</t>
  </si>
  <si>
    <t>6R240529</t>
  </si>
  <si>
    <t>NF1AET306H1140539</t>
  </si>
  <si>
    <t>AZU-216</t>
  </si>
  <si>
    <t>CI-2022-0827-0007</t>
  </si>
  <si>
    <t>AZHAR MEHMOOD</t>
  </si>
  <si>
    <t>PKT1023942</t>
  </si>
  <si>
    <t>SV308PK01140439</t>
  </si>
  <si>
    <t>AZJ-955</t>
  </si>
  <si>
    <t>CI-2022-3401-0003</t>
  </si>
  <si>
    <t>RASHAD HUSSAIN SHAH</t>
  </si>
  <si>
    <t>6R240192</t>
  </si>
  <si>
    <t>NF1AET306H1140231</t>
  </si>
  <si>
    <t>AZS-141</t>
  </si>
  <si>
    <t>CM-2021-0806-0374</t>
  </si>
  <si>
    <t>WASEEM AKBAR</t>
  </si>
  <si>
    <t>SUZUKI ALTO VX</t>
  </si>
  <si>
    <t>6R173967</t>
  </si>
  <si>
    <t>NF1AET306H1074141</t>
  </si>
  <si>
    <t>AUG-745</t>
  </si>
  <si>
    <t>CM-2021-1234-0689</t>
  </si>
  <si>
    <t>SYED ASHIQ HUSSAIN SHAH</t>
  </si>
  <si>
    <t>TOYOTA YARIS 1.3 ATIV MT</t>
  </si>
  <si>
    <t>2A26120</t>
  </si>
  <si>
    <t>NSP150R-7015709</t>
  </si>
  <si>
    <t>AUE-566</t>
  </si>
  <si>
    <t>CM-2021-2001-0181</t>
  </si>
  <si>
    <t>TAHIRA YASMEEN</t>
  </si>
  <si>
    <t>TOYOTA VITZ</t>
  </si>
  <si>
    <t>1NZ-8202291</t>
  </si>
  <si>
    <t>NHP130-2015065</t>
  </si>
  <si>
    <t>AUD-254</t>
  </si>
  <si>
    <t>CM-2021-3404-0748</t>
  </si>
  <si>
    <t>ZARDAD KHAN</t>
  </si>
  <si>
    <t>HONDA BRV</t>
  </si>
  <si>
    <t>L1514805618</t>
  </si>
  <si>
    <t>NFBDG1833MR022314</t>
  </si>
  <si>
    <t>AUD-163</t>
  </si>
  <si>
    <t>CM-2021-9819-0762</t>
  </si>
  <si>
    <t>RAGHIB UL HAQ</t>
  </si>
  <si>
    <t>HONDA CITY M/T</t>
  </si>
  <si>
    <t>L13Z1-7530110</t>
  </si>
  <si>
    <t>NFBGM1540KR248617</t>
  </si>
  <si>
    <t>AMZ-450</t>
  </si>
  <si>
    <t>CM-2019-1901-0013</t>
  </si>
  <si>
    <t>PK0010017</t>
  </si>
  <si>
    <t>JAVED ALI</t>
  </si>
  <si>
    <t>TOYOTA COROLLA ALTIS A/T 1.6</t>
  </si>
  <si>
    <t>Q065740</t>
  </si>
  <si>
    <t>NZE171R-6043208</t>
  </si>
  <si>
    <t>AQZ-185</t>
  </si>
  <si>
    <t>CM-2020-1201-0015</t>
  </si>
  <si>
    <t>MUHAMMAD TARIQ</t>
  </si>
  <si>
    <t>Q065205</t>
  </si>
  <si>
    <t>ZRE171R-6042835</t>
  </si>
  <si>
    <t>LEB-20-7948</t>
  </si>
  <si>
    <t>CM-2020-1201-0042</t>
  </si>
  <si>
    <t>HAFIZ ALI MAZHAR</t>
  </si>
  <si>
    <t>SUZUKI WAGONR VXL</t>
  </si>
  <si>
    <t>PK10B202871</t>
  </si>
  <si>
    <t>A1J310PK10102839</t>
  </si>
  <si>
    <t>BRX-142</t>
  </si>
  <si>
    <t>CM-2020-1201-0045</t>
  </si>
  <si>
    <t>MUHAMMAD AHMED ABBASI</t>
  </si>
  <si>
    <t>HONDA CITY ASPIRE PROSMATEC 1.5 L</t>
  </si>
  <si>
    <t>L15A79798625</t>
  </si>
  <si>
    <t>NFBGM2664LR260616</t>
  </si>
  <si>
    <t>AQV-712</t>
  </si>
  <si>
    <t>CM-2020-9821-0020</t>
  </si>
  <si>
    <t>MUHAMMAD ASLAM</t>
  </si>
  <si>
    <t>L15Z14801910</t>
  </si>
  <si>
    <t>NFBDG1831LR018583</t>
  </si>
  <si>
    <t>AQY-523</t>
  </si>
  <si>
    <t>CM-2021-1201-0145</t>
  </si>
  <si>
    <t>HUSNAIN ASIF</t>
  </si>
  <si>
    <t>TOYOTA YARIS MT 1.3</t>
  </si>
  <si>
    <t>2A32172</t>
  </si>
  <si>
    <t>NSP150R-7019770</t>
  </si>
  <si>
    <t>ADY-496</t>
  </si>
  <si>
    <t>CM-2020-0301-0103</t>
  </si>
  <si>
    <t>PK0010010</t>
  </si>
  <si>
    <t>RUKHSANA EHSAN</t>
  </si>
  <si>
    <t>6R133328</t>
  </si>
  <si>
    <t>NF1AET306H1033318</t>
  </si>
  <si>
    <t>AQU-526</t>
  </si>
  <si>
    <t>CI-2021-0304-7104</t>
  </si>
  <si>
    <t>CH ZEESHAN MUKHTAR</t>
  </si>
  <si>
    <t>6R240235</t>
  </si>
  <si>
    <t>NF1AET306H1140308</t>
  </si>
  <si>
    <t>AZS-912</t>
  </si>
  <si>
    <t>CI-2023-9837-0007</t>
  </si>
  <si>
    <t>TOUQEER ZAMAN</t>
  </si>
  <si>
    <t>6R131412</t>
  </si>
  <si>
    <t>NF1AET306H1031400</t>
  </si>
  <si>
    <t>D-7983</t>
  </si>
  <si>
    <t>CI-2023-0292-0009</t>
  </si>
  <si>
    <t>PK0010299</t>
  </si>
  <si>
    <t>CHAUDHARY MUHAMMAD UMAIR</t>
  </si>
  <si>
    <t>2A16036</t>
  </si>
  <si>
    <t>NSP150R-7009520</t>
  </si>
  <si>
    <t>ABS-617</t>
  </si>
  <si>
    <t>CM-2013-0302-0001</t>
  </si>
  <si>
    <t>MUHAMMAD AZIM</t>
  </si>
  <si>
    <t>HONDA BRV S</t>
  </si>
  <si>
    <t>L15Z14805437</t>
  </si>
  <si>
    <t>NFBDG1834MR022144</t>
  </si>
  <si>
    <t>AUW-747</t>
  </si>
  <si>
    <t>CM-2021-0301-0014</t>
  </si>
  <si>
    <t>AZHAR JAVED</t>
  </si>
  <si>
    <t>KIA PICANTO</t>
  </si>
  <si>
    <t>G3LAMP049668</t>
  </si>
  <si>
    <t>NNATA52AZKP706808</t>
  </si>
  <si>
    <t>AUE-480</t>
  </si>
  <si>
    <t>CM-2018-0307-0467</t>
  </si>
  <si>
    <t>MIRZA EJAZ AZIZ</t>
  </si>
  <si>
    <t>PK10B203092</t>
  </si>
  <si>
    <t>A1J310PK10103068</t>
  </si>
  <si>
    <t>AQX-324</t>
  </si>
  <si>
    <t>CM-2017-0335-0062</t>
  </si>
  <si>
    <t>KIA SPORTAGE 2.0 AWD</t>
  </si>
  <si>
    <t>G4NAMH310460</t>
  </si>
  <si>
    <t>NNAQL51AZKP512789</t>
  </si>
  <si>
    <t>AUF-818</t>
  </si>
  <si>
    <t>CI-2022-0305-0001</t>
  </si>
  <si>
    <t>MUHAMMAD JAVED KHAN AFRIDI</t>
  </si>
  <si>
    <t>6R240503</t>
  </si>
  <si>
    <t>NF1AET306H1140525</t>
  </si>
  <si>
    <t>AZT-251</t>
  </si>
  <si>
    <t>CM-2020-1202-0031</t>
  </si>
  <si>
    <t>FARHAN ZAHID</t>
  </si>
  <si>
    <t>6R103820</t>
  </si>
  <si>
    <t>NF1AE7306H1003920</t>
  </si>
  <si>
    <t>BRU-415</t>
  </si>
  <si>
    <t>CM-2019-0247-0388</t>
  </si>
  <si>
    <t>SHABNAM AMIN</t>
  </si>
  <si>
    <t>SUZUKI CULTUS AT</t>
  </si>
  <si>
    <t>PK10K156545</t>
  </si>
  <si>
    <t>NF1AVK31H10056529</t>
  </si>
  <si>
    <t>LEB-20-1561</t>
  </si>
  <si>
    <t>CM-2021-0216-1401</t>
  </si>
  <si>
    <t>KHAKAN BABAR BURKI</t>
  </si>
  <si>
    <t>CHANGAN KARVAAN PLUS</t>
  </si>
  <si>
    <t>JL466Q9N69U501236</t>
  </si>
  <si>
    <t>NKMAAB3D1N1014850</t>
  </si>
  <si>
    <t>AKW 907</t>
  </si>
  <si>
    <t>CI-2022-0000-1005</t>
  </si>
  <si>
    <t>MUZMMAL SHARIF</t>
  </si>
  <si>
    <t>PKT1023994</t>
  </si>
  <si>
    <t>SV308PK01140484</t>
  </si>
  <si>
    <t>ALB-601</t>
  </si>
  <si>
    <t>CI-2023-0247-0012</t>
  </si>
  <si>
    <t>SHAH MUHAMMAD BABAR</t>
  </si>
  <si>
    <t>Corolla Altis 1.6 AT</t>
  </si>
  <si>
    <t>Q049537</t>
  </si>
  <si>
    <t>ZRE171R-6027031</t>
  </si>
  <si>
    <t>LEA-18A-617</t>
  </si>
  <si>
    <t>CI-2023-1154-0003</t>
  </si>
  <si>
    <t>AMMAD MONUS</t>
  </si>
  <si>
    <t>6R273266</t>
  </si>
  <si>
    <t>NF1AET306H1173219</t>
  </si>
  <si>
    <t>BCE-797</t>
  </si>
  <si>
    <t>CI-2022-0205-0021</t>
  </si>
  <si>
    <t>AHMED ARIF</t>
  </si>
  <si>
    <t>L12B51011887</t>
  </si>
  <si>
    <t>NFBGN8625NR021365</t>
  </si>
  <si>
    <t>ALA 397</t>
  </si>
  <si>
    <t>CI-2022-1131-0002</t>
  </si>
  <si>
    <t>HIRA ASIM</t>
  </si>
  <si>
    <t>6R239140</t>
  </si>
  <si>
    <t>NF1AET306H1139151</t>
  </si>
  <si>
    <t>ALA 589</t>
  </si>
  <si>
    <t>CI-2022-0292-0004</t>
  </si>
  <si>
    <t>AAMIR MEHMOOD</t>
  </si>
  <si>
    <t>City 1.5LS CVT</t>
  </si>
  <si>
    <t>L15Z81008824</t>
  </si>
  <si>
    <t>NFBGN9666NR020041</t>
  </si>
  <si>
    <t>ALA 985</t>
  </si>
  <si>
    <t>CI-2022-0204-0012</t>
  </si>
  <si>
    <t>MUHAMMAD ASIF KHAN</t>
  </si>
  <si>
    <t>PK10B237996</t>
  </si>
  <si>
    <t>A1J310PK10137987</t>
  </si>
  <si>
    <t>ALC 749</t>
  </si>
  <si>
    <t>CI-2023-0264-0008</t>
  </si>
  <si>
    <t>TANVEER AHMAD</t>
  </si>
  <si>
    <t>PK10B204562</t>
  </si>
  <si>
    <t>A1J310PK10104553</t>
  </si>
  <si>
    <t>ASK-319</t>
  </si>
  <si>
    <t>CI-2022-0274-0019</t>
  </si>
  <si>
    <t>SADIA JAVAID</t>
  </si>
  <si>
    <t>L15Z81009561</t>
  </si>
  <si>
    <t>NFBGN9669NR021507</t>
  </si>
  <si>
    <t>ALF 887</t>
  </si>
  <si>
    <t>CI-2023-0216-0009</t>
  </si>
  <si>
    <t>SANA IQBAL</t>
  </si>
  <si>
    <t>6R166550</t>
  </si>
  <si>
    <t>NF1AET306H1066538</t>
  </si>
  <si>
    <t>ADM-357</t>
  </si>
  <si>
    <t>CM-2021-1235-0459</t>
  </si>
  <si>
    <t>PK0010300</t>
  </si>
  <si>
    <t>HAFEEZ AHMAD</t>
  </si>
  <si>
    <t>HONDA BRV I VTEC S CVT</t>
  </si>
  <si>
    <t>L15Z14805451</t>
  </si>
  <si>
    <t>NFBDG1834MR022161</t>
  </si>
  <si>
    <t>ADP-284</t>
  </si>
  <si>
    <t>CM-2021-0250-0577</t>
  </si>
  <si>
    <t>BILAL KHAN</t>
  </si>
  <si>
    <t>HONDA CIVIC 1.8 ORIEL UG NAV LS</t>
  </si>
  <si>
    <t>R18Z16923320</t>
  </si>
  <si>
    <t>NFBFC6668MR075640</t>
  </si>
  <si>
    <t>ADT-164</t>
  </si>
  <si>
    <t>CI-2021-0403-7470</t>
  </si>
  <si>
    <t>PK0010499</t>
  </si>
  <si>
    <t>MUHAMMAD SHARJEEL ASLAM</t>
  </si>
  <si>
    <t>L12B51012405</t>
  </si>
  <si>
    <t>NFBGN8622NR022330</t>
  </si>
  <si>
    <t>AZK-691-ICT</t>
  </si>
  <si>
    <t>CI-2022-0404-0024</t>
  </si>
  <si>
    <t>NAUMAN SHAHZAD</t>
  </si>
  <si>
    <t>PK10B238743</t>
  </si>
  <si>
    <t>A1J310PK10138751</t>
  </si>
  <si>
    <t>AZU-790-ICT</t>
  </si>
  <si>
    <t>CI-2022-0418-0014</t>
  </si>
  <si>
    <t>YAHYA YOUNAS</t>
  </si>
  <si>
    <t>L12B51011930</t>
  </si>
  <si>
    <t>NFBGN8622NR021386</t>
  </si>
  <si>
    <t>APL</t>
  </si>
  <si>
    <t>CI-2022-0420-0011</t>
  </si>
  <si>
    <t>ZAIN JAVEED</t>
  </si>
  <si>
    <t>L12B51011889</t>
  </si>
  <si>
    <t>NFBGN8623NR021364</t>
  </si>
  <si>
    <t>CI-2022-4801-0009</t>
  </si>
  <si>
    <t>MUHAMMAD YASEEN</t>
  </si>
  <si>
    <t>PK10K199658</t>
  </si>
  <si>
    <t>NF1AVK31H10099653</t>
  </si>
  <si>
    <t>AZT-615-ICT</t>
  </si>
  <si>
    <t>CM-2021-0411-0485</t>
  </si>
  <si>
    <t>AZEEM SARDAR</t>
  </si>
  <si>
    <t>TOYOTA YARIS ATIV X CVT 1.5L</t>
  </si>
  <si>
    <t>2A31024</t>
  </si>
  <si>
    <t>NSP151R-9511835</t>
  </si>
  <si>
    <t>ADN-629-PUNJAB</t>
  </si>
  <si>
    <t>CM-2021-0417-0589</t>
  </si>
  <si>
    <t>ABBAS ALI</t>
  </si>
  <si>
    <t>TOYOTA YARIS 1.5 ATIV XCVT</t>
  </si>
  <si>
    <t>2A31134</t>
  </si>
  <si>
    <t>NSP151R-9511733</t>
  </si>
  <si>
    <t>AUD-614-ICT</t>
  </si>
  <si>
    <t>CI-2023-1292-0009</t>
  </si>
  <si>
    <t>HAMMAD BIN TARIQ</t>
  </si>
  <si>
    <t>6R258261</t>
  </si>
  <si>
    <t>NF1AET306H1158235</t>
  </si>
  <si>
    <t>APG-493-PUNJAB</t>
  </si>
  <si>
    <t>Policy #</t>
  </si>
  <si>
    <t>Tms Prem.</t>
  </si>
  <si>
    <t>KHI/HO/D/MO/PC COMP/C/94185/5/07/2024</t>
  </si>
  <si>
    <t>KHI/HO/D/MO/PC COMP/C/94185/1/07/2024</t>
  </si>
  <si>
    <t>KHI/HO/D/MO/PC COMP/C/94184/7/07/2024</t>
  </si>
  <si>
    <t>KHI/HO/D/MO/PC COMP/C/94185/2/07/2024</t>
  </si>
  <si>
    <t>KHI/HO/D/MO/PC COMP/C/94184/5/07/2024</t>
  </si>
  <si>
    <t>KHI/HO/D/MO/PC COMP/C/94185/3/07/2024</t>
  </si>
  <si>
    <t>KHI/HO/D/MO/PC COMP/C/94184/8/07/2024</t>
  </si>
  <si>
    <t>KHI/HO/D/MO/PC COMP/C/94184/4/07/2024</t>
  </si>
  <si>
    <t>KHI/HO/D/MO/PC COMP/C/94184/3/07/2024</t>
  </si>
  <si>
    <t>KHI/HO/D/MO/PC COMP/C/94184/2/07/2024</t>
  </si>
  <si>
    <t>KHI/HO/D/MO/PC COMP/C/94184/9/07/2024</t>
  </si>
  <si>
    <t>KHI/HO/D/MO/PC COMP/C/94184/1/07/2024</t>
  </si>
  <si>
    <t>KHI/HO/D/MO/PC COMP/C/94184/6/07/2024</t>
  </si>
  <si>
    <t>KHI/HO/D/MO/PC COMP/C/94183/2/07/2024</t>
  </si>
  <si>
    <t>KHI/HO/D/MO/PC COMP/C/94183/5/07/2024</t>
  </si>
  <si>
    <t>KHI/HO/D/MO/PC COMP/C/94183/6/07/2024</t>
  </si>
  <si>
    <t>KHI/HO/D/MO/PC COMP/C/94183/4/07/2024</t>
  </si>
  <si>
    <t>KHI/HO/D/MO/PC COMP/C/94183/1/07/2024</t>
  </si>
  <si>
    <t>KHI/HO/D/MO/PC COMP/C/94186/3/07/2024</t>
  </si>
  <si>
    <t>KHI/HO/D/MO/PC COMP/C/94186/1/07/2024</t>
  </si>
  <si>
    <t>KHI/HO/D/MO/PC COMP/C/94236/1/07/2024</t>
  </si>
  <si>
    <t>KHI/HO/D/MO/PC COMP/C/94236/2/07/2024</t>
  </si>
  <si>
    <t>KHI/HO/D/MO/PC COMP/C/94190/1/07/2024</t>
  </si>
  <si>
    <t>KHI/HO/D/MO/PC COMP/C/94188/1/07/2024</t>
  </si>
  <si>
    <t>KHI/HO/D/MO/PC COMP/C/94188/4/07/2024</t>
  </si>
  <si>
    <t>KHI/HO/D/MO/PC COMP/C/94188/3/07/2024</t>
  </si>
  <si>
    <t>KHI/HO/D/MO/PC COMP/C/93463/1/07/2024</t>
  </si>
  <si>
    <t>KHI/HO/D/MO/PC COMP/C/94193/1/07/2024</t>
  </si>
  <si>
    <t>KHI/HO/D/MO/PC COMP/C/94193/4/07/2024</t>
  </si>
  <si>
    <t>KHI/HO/D/MO/PC COMP/C/94192/3/07/2024</t>
  </si>
  <si>
    <t>KHI/HO/D/MO/PC COMP/C/94192/1/07/2024</t>
  </si>
  <si>
    <t>KHI/HO/D/MO/PC COMP/C/94192/2/07/2024</t>
  </si>
  <si>
    <t>KHI/HO/D/MO/PC COMP/C/94198/2/07/2024</t>
  </si>
  <si>
    <t>KHI/HO/D/MO/PC COMP/C/94198/3/07/2024</t>
  </si>
  <si>
    <t>KHI/HO/D/MO/PC COMP/C/94194/1/07/2024</t>
  </si>
  <si>
    <t>KHI/HO/D/MO/PC COMP/C/94195/7/07/2024</t>
  </si>
  <si>
    <t>KHI/HO/D/MO/PC COMP/C/94195/3/07/2024</t>
  </si>
  <si>
    <t>KHI/HO/D/MO/PC COMP/C/94195/1/07/2024</t>
  </si>
  <si>
    <t>KHI/HO/D/MO/PC COMP/C/94195/5/07/2024</t>
  </si>
  <si>
    <t>KHI/HO/D/MO/PC COMP/C/94195/2/07/2024</t>
  </si>
  <si>
    <t>KHI/HO/D/MO/PC COMP/C/94195/6/07/2024</t>
  </si>
  <si>
    <t>KHI/HO/D/MO/PC COMP/C/94199/5/07/2024</t>
  </si>
  <si>
    <t>KHI/HO/D/MO/PC COMP/C/94199/3/07/2024</t>
  </si>
  <si>
    <t>KHI/HO/D/MO/PC COMP/C/94202/1/07/2024</t>
  </si>
  <si>
    <t>KHI/HO/D/MO/PC COMP/C/94199/2/07/2024</t>
  </si>
  <si>
    <t>KHI/HO/D/MO/PC COMP/C/94199/1/07/2024</t>
  </si>
  <si>
    <t>KHI/HO/D/MO/PC COMP/C/94199/4/07/2024</t>
  </si>
  <si>
    <t>KHI/HO/D/MO/PC COMP/C/94202/2/07/2024</t>
  </si>
  <si>
    <t>KHI/HO/D/MO/PC COMP/C/94201/3/07/2024</t>
  </si>
  <si>
    <t>KHI/HO/D/MO/PC COMP/C/94201/6/07/2024</t>
  </si>
  <si>
    <t>KHI/HO/D/MO/PC COMP/C/94201/5/07/2024</t>
  </si>
  <si>
    <t>KHI/HO/D/MO/PC COMP/C/94201/1/07/2024</t>
  </si>
  <si>
    <t>KHI/HO/D/MO/PC COMP/C/94201/4/07/2024</t>
  </si>
  <si>
    <t>KHI/HO/D/MO/PC COMP/C/94212/4/07/2024</t>
  </si>
  <si>
    <t>KHI/HO/D/MO/PC COMP/C/94214/1/07/2024</t>
  </si>
  <si>
    <t>KHI/HO/D/MO/PC COMP/C/94212/1/07/2024</t>
  </si>
  <si>
    <t>KHI/HO/D/MO/PC COMP/C/94212/2/07/2024</t>
  </si>
  <si>
    <t>KHI/HO/D/MO/PC COMP/C/94217/1/07/2024</t>
  </si>
  <si>
    <t>KHI/HO/D/MO/PC COMP/C/94217/5/07/2024</t>
  </si>
  <si>
    <t>KHI/HO/D/MO/PC COMP/C/94217/3/07/2024</t>
  </si>
  <si>
    <t>KHI/HO/D/MO/PC COMP/C/94217/2/07/2024</t>
  </si>
  <si>
    <t>KHI/HO/D/MO/PC COMP/C/94206/5/07/2024</t>
  </si>
  <si>
    <t>KHI/HO/D/MO/PC COMP/C/94206/4/07/2024</t>
  </si>
  <si>
    <t>KHI/HO/D/MO/PC COMP/C/94206/2/07/2024</t>
  </si>
  <si>
    <t>KHI/HO/D/MO/PC COMP/C/94206/3/07/2024</t>
  </si>
  <si>
    <t>KHI/HO/D/MO/PC COMP/C/94206/6/07/2024</t>
  </si>
  <si>
    <t>KHI/HO/D/MO/PC COMP/C/94209/1/07/2024</t>
  </si>
  <si>
    <t>KHI/HO/D/MO/PC COMP/C/94219/1/07/2024</t>
  </si>
  <si>
    <t>KHI/HO/D/MO/PC COMP/C/94219/3/07/2024</t>
  </si>
  <si>
    <t>KHI/HO/D/MO/PC COMP/C/94219/4/07/2024</t>
  </si>
  <si>
    <t>KHI/HO/D/MO/PC COMP/C/94219/5/07/2024</t>
  </si>
  <si>
    <t>KHI/HO/D/MO/PC COMP/C/94218/1/07/2024</t>
  </si>
  <si>
    <t>KHI/HO/D/MO/PC COMP/C/94218/2/07/2024</t>
  </si>
  <si>
    <t>KHI/HO/D/MO/PC COMP/C/94185/4/07/2024</t>
  </si>
  <si>
    <t>KHI/HO/D/MO/PC COMP/C/94214/2/07/2024</t>
  </si>
  <si>
    <t>KHI/HO/D/MO/PC COMP/C/94217/4/07/2024</t>
  </si>
  <si>
    <t>KHI/HO/D/MO/PC COMP/C/94205/1/07/2024</t>
  </si>
  <si>
    <t>KHI/HO/D/MO/PC COMP/C/94328/1/07/2024</t>
  </si>
  <si>
    <t>KHI/HO/D/MO/PC COMP/C/94305/1/07/2024</t>
  </si>
  <si>
    <t>KHI/HO/D/MO/PC COMP/C/94303/1/07/2024</t>
  </si>
  <si>
    <t>KHI/HO/D/MO/PC COMP/C/94300/1/07/2024</t>
  </si>
  <si>
    <t>KHI/HO/D/MO/PC COMP/C/94304/1/07/2024</t>
  </si>
  <si>
    <t>KHI/HO/D/MO/PC COMP/C/94304/3/07/2024</t>
  </si>
  <si>
    <t>KHI/HO/D/MO/PC COMP/C/94305/2/07/2024</t>
  </si>
  <si>
    <t>KHI/HO/D/MO/PC COMP/C/94304/2/07/2024</t>
  </si>
  <si>
    <t>KHI/HO/D/MO/PC COMP/C/94303/2/07/2024</t>
  </si>
  <si>
    <t>KHI/HO/D/MO/PC COMP/C/94307/1/07/2024</t>
  </si>
  <si>
    <t>KHI/HO/D/MO/PC COMP/C/94306/1/07/2024</t>
  </si>
  <si>
    <t>KHI/HO/D/MO/PC COMP/C/94301/1/07/2024</t>
  </si>
  <si>
    <t>KHI/HO/D/MO/PC COMP/C/94301/2/07/2024</t>
  </si>
  <si>
    <t>KHI/HO/D/MO/PC COMP/C/94298/1/07/2024</t>
  </si>
  <si>
    <t>KHI/HO/D/MO/PC COMP/C/94298/2/07/2024</t>
  </si>
  <si>
    <t>KHI/HO/D/MO/PC COMP/C/94301/5/07/2024</t>
  </si>
  <si>
    <t>KHI/HO/D/MO/PC COMP/C/94301/6/07/2024</t>
  </si>
  <si>
    <t>KHI/HO/D/MO/PC COMP/C/94301/4/07/2024</t>
  </si>
  <si>
    <t>KHI/HO/D/MO/PC COMP/C/94301/3/07/2024</t>
  </si>
  <si>
    <t>KHI/HO/D/MO/PC COMP/C/94298/3/07/2024</t>
  </si>
  <si>
    <t>KHI/HO/D/MO/PC COMP/C/94301/7/07/2024</t>
  </si>
  <si>
    <t>KHI/HO/D/MO/PC COMP/C/94298/4/07/2024</t>
  </si>
  <si>
    <t>KHI/HO/D/MO/PC COMP/C/94302/1/07/2024</t>
  </si>
  <si>
    <t>KHI/HO/D/MO/PC COMP/C/94302/2/07/2024</t>
  </si>
  <si>
    <t>KHI/HO/D/MO/PC COMP/C/94302/3/07/2024</t>
  </si>
  <si>
    <t>KHI/HO/D/MO/PC COMP/C/94183/3/07/2024</t>
  </si>
  <si>
    <t>Tms Sum Covered</t>
  </si>
  <si>
    <t>KHI/HO/D/MO/PC COMP/C/94186/2/07/2024</t>
  </si>
  <si>
    <t>KHI/HO/D/MO/PC COMP/C/94188/2/07/2024</t>
  </si>
  <si>
    <t>KHI/HO/D/MO/PC COMP/C/94193/3/07/2024</t>
  </si>
  <si>
    <t>KHI/HO/D/MO/PC COMP/C/94198/1/07/2024</t>
  </si>
  <si>
    <t>KHI/HO/D/MO/PC COMP/C/94195/8/07/2024</t>
  </si>
  <si>
    <t>KHI/HO/D/MO/PC COMP/C/94195/4/07/2024</t>
  </si>
  <si>
    <t>KHI/HO/D/MO/PC COMP/C/94202/3/07/2024</t>
  </si>
  <si>
    <t>KHI/HO/D/MO/PC COMP/C/94201/2/07/2024</t>
  </si>
  <si>
    <t>KHI/HO/D/MO/PC COMP/C/94203/1/07/2024</t>
  </si>
  <si>
    <t>KHI/HO/D/MO/PC COMP/C/94212/3/07/2024</t>
  </si>
  <si>
    <t>KHI/HO/D/MO/PC COMP/C/94234/1/07/2024</t>
  </si>
  <si>
    <t>KHI/HO/D/MO/PC COMP/C/94219/2/07/2024</t>
  </si>
  <si>
    <t>Tms Differnce</t>
  </si>
  <si>
    <t>Sum Covered Differnce</t>
  </si>
  <si>
    <t>Endorsement</t>
  </si>
  <si>
    <t>KHI/HO/D/MO/PC COMP/E/44979/00001/08/2024</t>
  </si>
  <si>
    <t>-07-2024</t>
  </si>
  <si>
    <t>00005</t>
  </si>
  <si>
    <t>00004</t>
  </si>
  <si>
    <t>00001</t>
  </si>
  <si>
    <t>00007</t>
  </si>
  <si>
    <t>00002</t>
  </si>
  <si>
    <t>00003</t>
  </si>
  <si>
    <t>00008</t>
  </si>
  <si>
    <t>00009</t>
  </si>
  <si>
    <t>00006</t>
  </si>
  <si>
    <t>23Aug240066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</si>
</sst>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0.0"/>
    <numFmt numFmtId="170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Aptos"/>
      <family val="2"/>
    </font>
    <font>
      <sz val="9"/>
      <color theme="1"/>
      <name val="Segoe U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170" fontId="1" fillId="0" borderId="0" applyFont="0" applyFill="0" applyBorder="0" applyAlignment="0" applyProtection="0"/>
  </cellStyleXfs>
  <cellXfs count="25">
    <xf numFmtId="0" fontId="0" fillId="0" borderId="0" xfId="0"/>
    <xf numFmtId="0" fontId="2" fillId="2" borderId="1" xfId="0" applyFont="1" applyFill="1" applyBorder="1"/>
    <xf numFmtId="0" fontId="0" fillId="0" borderId="1" xfId="0" applyBorder="1"/>
    <xf numFmtId="15" fontId="0" fillId="0" borderId="1" xfId="0" applyNumberFormat="1" applyBorder="1"/>
    <xf numFmtId="165" fontId="0" fillId="0" borderId="1" xfId="1" applyNumberFormat="1" applyFont="1" applyBorder="1"/>
    <xf numFmtId="165" fontId="2" fillId="0" borderId="1" xfId="1" applyNumberFormat="1" applyFont="1" applyBorder="1"/>
    <xf numFmtId="0" fontId="0" fillId="0" borderId="1" xfId="0" applyBorder="1" applyAlignment="1">
      <alignment vertical="top"/>
    </xf>
    <xf numFmtId="165" fontId="0" fillId="0" borderId="1" xfId="0" applyNumberFormat="1" applyBorder="1"/>
    <xf numFmtId="0" fontId="3" fillId="0" borderId="1" xfId="0" applyFont="1" applyBorder="1"/>
    <xf numFmtId="165" fontId="3" fillId="3" borderId="1" xfId="1" applyNumberFormat="1" applyFont="1" applyFill="1" applyBorder="1"/>
    <xf numFmtId="165" fontId="0" fillId="0" borderId="1" xfId="1" applyNumberFormat="1" applyFont="1" applyFill="1" applyBorder="1"/>
    <xf numFmtId="165" fontId="0" fillId="0" borderId="0" xfId="0" applyNumberFormat="1"/>
    <xf numFmtId="0" fontId="0" fillId="4" borderId="1" xfId="0" applyFill="1" applyBorder="1"/>
    <xf numFmtId="166" fontId="2" fillId="0" borderId="0" xfId="0" applyNumberFormat="1" applyFont="1"/>
    <xf numFmtId="0" fontId="2" fillId="3" borderId="1" xfId="0" applyFont="1" applyFill="1" applyBorder="1"/>
    <xf numFmtId="0" fontId="2" fillId="2" borderId="2" xfId="0" applyFont="1" applyFill="1" applyBorder="1"/>
    <xf numFmtId="165" fontId="0" fillId="0" borderId="3" xfId="0" applyNumberFormat="1" applyBorder="1"/>
    <xf numFmtId="0" fontId="2" fillId="2" borderId="1" xfId="0" applyFont="1" applyFill="1" applyBorder="1" applyAlignment="1">
      <alignment horizontal="center"/>
    </xf>
    <xf numFmtId="0" fontId="0" fillId="0" borderId="0" xfId="0"/>
    <xf numFmtId="0" fontId="0" fillId="0" borderId="0" xfId="0" applyAlignment="1">
      <alignment vertical="top"/>
    </xf>
    <xf numFmtId="0" fontId="4" fillId="0" borderId="0" xfId="0" applyFont="1"/>
    <xf numFmtId="0" fontId="0" fillId="3" borderId="0" xfId="0" applyFill="1" applyAlignment="1">
      <alignment vertical="top" wrapText="1"/>
    </xf>
    <xf numFmtId="0" fontId="0" fillId="3" borderId="0" xfId="0" applyFill="1" applyAlignment="1">
      <alignment horizontal="left" vertical="top" wrapText="1"/>
    </xf>
    <xf numFmtId="0" fontId="0" fillId="3" borderId="0" xfId="0" applyFill="1" applyAlignment="1">
      <alignment wrapText="1"/>
    </xf>
    <xf numFmtId="165" fontId="5" fillId="0" borderId="0" xfId="1" applyNumberFormat="1" applyFont="1" applyAlignment="1">
      <alignment vertical="top"/>
    </xf>
  </cellXfs>
  <cellStyles count="3">
    <cellStyle name="Comma" xfId="1" builtinId="3"/>
    <cellStyle name="Comma 2" xfId="2" xr:uid="{D47DEE69-5D9D-420E-8E3F-504F48772885}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rhan.ahmed\AppData\Local\Microsoft\Windows\INetCache\Content.Outlook\37EBZUH1\MIS_REGISTER_UW_NEW_ENG_CHASSIS_NO%20(1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il.hassan\Downloads\EEE.xlsx" TargetMode="External"/><Relationship Id="rId1" Type="http://schemas.openxmlformats.org/officeDocument/2006/relationships/externalLinkPath" Target="file:///C:\Users\adil.hassan\Downloads\EE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working"/>
    </sheetNames>
    <sheetDataSet>
      <sheetData sheetId="0"/>
      <sheetData sheetId="1">
        <row r="2">
          <cell r="B2" t="str">
            <v>KHI/HO/D/MO/PC COMP/P/93607/07/2024</v>
          </cell>
          <cell r="C2"/>
          <cell r="D2" t="str">
            <v>FRE</v>
          </cell>
          <cell r="E2" t="str">
            <v>23/07/24</v>
          </cell>
          <cell r="F2" t="str">
            <v>22/07/2024</v>
          </cell>
          <cell r="G2" t="str">
            <v>21/07/2025</v>
          </cell>
          <cell r="H2" t="str">
            <v>08000025</v>
          </cell>
          <cell r="I2" t="str">
            <v>MEEZAN BANK LIMITED MAIN</v>
          </cell>
          <cell r="J2" t="str">
            <v>BANK</v>
          </cell>
          <cell r="K2" t="str">
            <v>Mr. Rao Danyal Ahmed 
CNIC No. 44206-5091846-9
Cell No. 0344-2953004</v>
          </cell>
          <cell r="L2" t="str">
            <v>D</v>
          </cell>
          <cell r="M2" t="str">
            <v>09000210</v>
          </cell>
          <cell r="N2">
            <v>100</v>
          </cell>
          <cell r="O2" t="str">
            <v>KARACHI</v>
          </cell>
          <cell r="P2"/>
          <cell r="Q2" t="str">
            <v>11000003</v>
          </cell>
          <cell r="R2" t="str">
            <v>AUDI A4 TFSI</v>
          </cell>
          <cell r="S2" t="str">
            <v>2016</v>
          </cell>
          <cell r="T2" t="str">
            <v>LEF-16-778</v>
          </cell>
          <cell r="U2" t="str">
            <v>CVN010846</v>
          </cell>
          <cell r="V2" t="str">
            <v>WAUZZZF42GA101067</v>
          </cell>
          <cell r="W2"/>
          <cell r="X2"/>
          <cell r="Y2">
            <v>8000000</v>
          </cell>
          <cell r="Z2">
            <v>103017</v>
          </cell>
          <cell r="AA2">
            <v>120000</v>
          </cell>
        </row>
        <row r="3">
          <cell r="B3" t="str">
            <v>KHI/HO/D/MO/MC COMP/P/94395/08/2024</v>
          </cell>
          <cell r="C3"/>
          <cell r="D3" t="str">
            <v>FRE</v>
          </cell>
          <cell r="E3" t="str">
            <v>01/08/24</v>
          </cell>
          <cell r="F3" t="str">
            <v>31/07/2024</v>
          </cell>
          <cell r="G3" t="str">
            <v>31/07/2025</v>
          </cell>
          <cell r="H3" t="str">
            <v>08000025</v>
          </cell>
          <cell r="I3" t="str">
            <v>MEEZAN BANK LIMITED MAIN</v>
          </cell>
          <cell r="J3" t="str">
            <v>BANK</v>
          </cell>
          <cell r="K3" t="str">
            <v>Muhammad Anas
CNIC # 42201-5025020-9
CELL # 0346-3117773</v>
          </cell>
          <cell r="L3" t="str">
            <v>D</v>
          </cell>
          <cell r="M3" t="str">
            <v>09000210</v>
          </cell>
          <cell r="N3">
            <v>100</v>
          </cell>
          <cell r="O3" t="str">
            <v>KARACHI</v>
          </cell>
          <cell r="P3"/>
          <cell r="Q3" t="str">
            <v>11000003</v>
          </cell>
          <cell r="R3" t="str">
            <v>SUZUKI GD-110S</v>
          </cell>
          <cell r="S3" t="str">
            <v>2024</v>
          </cell>
          <cell r="T3"/>
          <cell r="U3" t="str">
            <v>E487-146096</v>
          </cell>
          <cell r="V3" t="str">
            <v>NE43G-146090</v>
          </cell>
          <cell r="W3"/>
          <cell r="X3"/>
          <cell r="Y3">
            <v>352000</v>
          </cell>
          <cell r="Z3">
            <v>10190</v>
          </cell>
          <cell r="AA3">
            <v>12320</v>
          </cell>
        </row>
        <row r="4">
          <cell r="B4" t="str">
            <v>KHI/HO/D/MO/PC COMP/P/86621/04/2024</v>
          </cell>
          <cell r="C4" t="str">
            <v>KHI/HO/D/MO/PC COMP/E/43382/00001/07/2024</v>
          </cell>
          <cell r="D4" t="str">
            <v>FRE</v>
          </cell>
          <cell r="E4" t="str">
            <v>08/07/24</v>
          </cell>
          <cell r="F4" t="str">
            <v>03/04/2024</v>
          </cell>
          <cell r="G4" t="str">
            <v>02/04/2025</v>
          </cell>
          <cell r="H4" t="str">
            <v>08000495</v>
          </cell>
          <cell r="I4" t="str">
            <v>MEEZAN BANK LTD. - ISLAMABAD BRANCH - ISD</v>
          </cell>
          <cell r="J4" t="str">
            <v>BANK</v>
          </cell>
          <cell r="K4" t="str">
            <v>M/s. Meezan Bank Limited Buland Markaz Blue Area Islamabad
M/s. Meezan Bank Limited Buland Markaz Blue Area Islamabad 
User Mr. Waqar Zaib</v>
          </cell>
          <cell r="L4" t="str">
            <v>D</v>
          </cell>
          <cell r="M4" t="str">
            <v>09000221</v>
          </cell>
          <cell r="N4">
            <v>100</v>
          </cell>
          <cell r="O4"/>
          <cell r="P4" t="str">
            <v>HOUSE NO 11-B, MARVI ROAD, STREET NO 47, SECTOR F 7/1, ISLAMABAD</v>
          </cell>
          <cell r="Q4" t="str">
            <v>11000003</v>
          </cell>
          <cell r="R4" t="str">
            <v>HONDA CIVIC RS TURBO</v>
          </cell>
          <cell r="S4" t="str">
            <v>2024</v>
          </cell>
          <cell r="T4" t="str">
            <v>BDT-80</v>
          </cell>
          <cell r="U4" t="str">
            <v>L15BG7918191</v>
          </cell>
          <cell r="V4" t="str">
            <v>NFBFE1683RR008191</v>
          </cell>
          <cell r="W4"/>
          <cell r="X4" t="str">
            <v>3</v>
          </cell>
          <cell r="Y4">
            <v>-9929500</v>
          </cell>
          <cell r="Z4">
            <v>-98403</v>
          </cell>
          <cell r="AA4">
            <v>-112179</v>
          </cell>
        </row>
        <row r="5">
          <cell r="B5" t="str">
            <v>KHI/HO/D/MO/PC COMP/P/72927/07/2023</v>
          </cell>
          <cell r="C5" t="str">
            <v>KHI/HO/D/MO/PC COMP/E/43385/00005/07/2024</v>
          </cell>
          <cell r="D5" t="str">
            <v>REN</v>
          </cell>
          <cell r="E5" t="str">
            <v>08/07/24</v>
          </cell>
          <cell r="F5" t="str">
            <v>29/07/2023</v>
          </cell>
          <cell r="G5" t="str">
            <v>28/07/2024</v>
          </cell>
          <cell r="H5" t="str">
            <v>08000025</v>
          </cell>
          <cell r="I5" t="str">
            <v>MEEZAN BANK LIMITED MAIN</v>
          </cell>
          <cell r="J5" t="str">
            <v>BANK</v>
          </cell>
          <cell r="K5" t="str">
            <v>M/S MEEZAN BANK LIMITED MAIN BRACH
M/s Meezan Bank Limited Main Branch
User Mr. Ahsan Shahid</v>
          </cell>
          <cell r="L5" t="str">
            <v>D</v>
          </cell>
          <cell r="M5" t="str">
            <v>09000221</v>
          </cell>
          <cell r="N5">
            <v>100</v>
          </cell>
          <cell r="O5" t="str">
            <v>KARACHI</v>
          </cell>
          <cell r="P5" t="str">
            <v>House No.A-940 Block H North Nazimabad Karachi</v>
          </cell>
          <cell r="Q5" t="str">
            <v>11000003</v>
          </cell>
          <cell r="R5" t="str">
            <v>SUZUKI SWIFT DLX A/T NAV.</v>
          </cell>
          <cell r="S5" t="str">
            <v>2018</v>
          </cell>
          <cell r="T5" t="str">
            <v>BLW-475</v>
          </cell>
          <cell r="U5" t="str">
            <v>13040211</v>
          </cell>
          <cell r="V5" t="str">
            <v>10040155</v>
          </cell>
          <cell r="W5"/>
          <cell r="X5" t="str">
            <v>3</v>
          </cell>
          <cell r="Y5">
            <v>-1101519</v>
          </cell>
          <cell r="Z5">
            <v>-1377</v>
          </cell>
          <cell r="AA5">
            <v>-1391</v>
          </cell>
        </row>
        <row r="6">
          <cell r="B6" t="str">
            <v>KHI/HO/D/MO/PC COMP/P/74935/09/2023</v>
          </cell>
          <cell r="C6" t="str">
            <v>KHI/HO/D/MO/PC COMP/E/43416/00003/07/2024</v>
          </cell>
          <cell r="D6" t="str">
            <v>REN</v>
          </cell>
          <cell r="E6" t="str">
            <v>09/07/24</v>
          </cell>
          <cell r="F6" t="str">
            <v>09/09/2023</v>
          </cell>
          <cell r="G6" t="str">
            <v>08/09/2024</v>
          </cell>
          <cell r="H6" t="str">
            <v>08000687</v>
          </cell>
          <cell r="I6" t="str">
            <v>MEEZAN BANK LTD - KASHMIR PLAZA BRANCH GUJRANWALA</v>
          </cell>
          <cell r="J6" t="str">
            <v>BANK</v>
          </cell>
          <cell r="K6" t="str">
            <v>M/s Meezan Bank Limigted Kashmir Road Branch Gujranwala
M/s Meezan Bank Limigted Kashmir Road Branch Gujranwala  
User Mr. Syed Ijaz Hussain  Bukhari</v>
          </cell>
          <cell r="L6" t="str">
            <v>D</v>
          </cell>
          <cell r="M6" t="str">
            <v>09000221</v>
          </cell>
          <cell r="N6">
            <v>100</v>
          </cell>
          <cell r="O6" t="str">
            <v>GUJRANWALA</v>
          </cell>
          <cell r="P6" t="str">
            <v>Moh Syedia PO Khas Mandiala Warraich Teh &amp; Distr Gujranwala</v>
          </cell>
          <cell r="Q6" t="str">
            <v>11000003</v>
          </cell>
          <cell r="R6" t="str">
            <v>TOYOTA YARIS ATIV MT 1.3</v>
          </cell>
          <cell r="S6" t="str">
            <v>2021</v>
          </cell>
          <cell r="T6" t="str">
            <v>AEP-524</v>
          </cell>
          <cell r="U6" t="str">
            <v>2A34855</v>
          </cell>
          <cell r="V6" t="str">
            <v>NSP150R-7021752</v>
          </cell>
          <cell r="W6"/>
          <cell r="X6" t="str">
            <v>3</v>
          </cell>
          <cell r="Y6">
            <v>-2124630</v>
          </cell>
          <cell r="Z6">
            <v>-4825</v>
          </cell>
          <cell r="AA6">
            <v>-4873</v>
          </cell>
        </row>
        <row r="7">
          <cell r="B7" t="str">
            <v>KHI/AR/AR/D/MO/MC TTT/P/86977/04/2024</v>
          </cell>
          <cell r="C7" t="str">
            <v>KHI/AR/AR/D/MO/MC TTT/E/43431/07/2024</v>
          </cell>
          <cell r="D7" t="str">
            <v>FRE</v>
          </cell>
          <cell r="E7" t="str">
            <v>09/07/24</v>
          </cell>
          <cell r="F7" t="str">
            <v>21/03/2024</v>
          </cell>
          <cell r="G7" t="str">
            <v>20/03/2025</v>
          </cell>
          <cell r="H7" t="str">
            <v>08000025</v>
          </cell>
          <cell r="I7" t="str">
            <v>MEEZAN BANK LIMITED MAIN</v>
          </cell>
          <cell r="J7" t="str">
            <v>BANK</v>
          </cell>
          <cell r="K7" t="str">
            <v>Mr Muhammad Salman
CNIC# 4230123071899
PHONE#03321312552</v>
          </cell>
          <cell r="L7" t="str">
            <v>D</v>
          </cell>
          <cell r="M7" t="str">
            <v>09000210</v>
          </cell>
          <cell r="N7">
            <v>100</v>
          </cell>
          <cell r="O7" t="str">
            <v>KARACHI</v>
          </cell>
          <cell r="P7"/>
          <cell r="Q7" t="str">
            <v>11000003</v>
          </cell>
          <cell r="R7" t="str">
            <v>HONDA CD</v>
          </cell>
          <cell r="S7" t="str">
            <v>2024</v>
          </cell>
          <cell r="T7" t="str">
            <v>KQK-5078</v>
          </cell>
          <cell r="U7" t="str">
            <v>P092568</v>
          </cell>
          <cell r="V7" t="str">
            <v>JF083904</v>
          </cell>
          <cell r="W7"/>
          <cell r="X7"/>
          <cell r="Y7">
            <v>-157900</v>
          </cell>
          <cell r="Z7">
            <v>-16577</v>
          </cell>
          <cell r="AA7">
            <v>-18948</v>
          </cell>
        </row>
        <row r="8">
          <cell r="B8" t="str">
            <v>KHI/HO/D/MO/PC COMP/P/85930/03/2024</v>
          </cell>
          <cell r="C8" t="str">
            <v>KHI/HO/D/MO/PC COMP/E/43502/00001/07/2024</v>
          </cell>
          <cell r="D8" t="str">
            <v>REN</v>
          </cell>
          <cell r="E8" t="str">
            <v>10/07/24</v>
          </cell>
          <cell r="F8" t="str">
            <v>03/03/2024</v>
          </cell>
          <cell r="G8" t="str">
            <v>02/03/2025</v>
          </cell>
          <cell r="H8" t="str">
            <v>08000156</v>
          </cell>
          <cell r="I8" t="str">
            <v>MEEZAN BANK LIMITED, ABDALI ROAD BRANCH, MULTAN</v>
          </cell>
          <cell r="J8" t="str">
            <v>BANK</v>
          </cell>
          <cell r="K8" t="str">
            <v>M/s. Meezan Bank Limited Nawan Shehar Chowk Branch Multan
M/s. Meezan Bank Limited Nawan Shehar Chowk Branch Multan 
User Mr. Usama Aqeel</v>
          </cell>
          <cell r="L8" t="str">
            <v>D</v>
          </cell>
          <cell r="M8" t="str">
            <v>09000221</v>
          </cell>
          <cell r="N8">
            <v>100</v>
          </cell>
          <cell r="O8" t="str">
            <v>DERA GHAZI KHAN</v>
          </cell>
          <cell r="P8" t="str">
            <v>House No.99 Block G DG Khan</v>
          </cell>
          <cell r="Q8" t="str">
            <v>11000003</v>
          </cell>
          <cell r="R8" t="str">
            <v>KIA SPORTAGE ALPHA</v>
          </cell>
          <cell r="S8" t="str">
            <v>2021</v>
          </cell>
          <cell r="T8" t="str">
            <v>ICT-ASZ-421</v>
          </cell>
          <cell r="U8" t="str">
            <v>G4NALH344924</v>
          </cell>
          <cell r="V8" t="str">
            <v>NNAQL51AZKP101320</v>
          </cell>
          <cell r="W8"/>
          <cell r="X8" t="str">
            <v>3</v>
          </cell>
          <cell r="Y8">
            <v>-3227283</v>
          </cell>
          <cell r="Z8">
            <v>-36890</v>
          </cell>
          <cell r="AA8">
            <v>-42055</v>
          </cell>
        </row>
        <row r="9">
          <cell r="B9" t="str">
            <v>KHI/HO/D/MO/PC COMP/P/72551/07/2023</v>
          </cell>
          <cell r="C9" t="str">
            <v>KHI/HO/D/MO/PC COMP/E/43503/00002/07/2024</v>
          </cell>
          <cell r="D9" t="str">
            <v>FRE</v>
          </cell>
          <cell r="E9" t="str">
            <v>10/07/24</v>
          </cell>
          <cell r="F9" t="str">
            <v>14/07/2023</v>
          </cell>
          <cell r="G9" t="str">
            <v>13/07/2024</v>
          </cell>
          <cell r="H9" t="str">
            <v>08000156</v>
          </cell>
          <cell r="I9" t="str">
            <v>MEEZAN BANK LIMITED, ABDALI ROAD BRANCH, MULTAN</v>
          </cell>
          <cell r="J9" t="str">
            <v>BANK</v>
          </cell>
          <cell r="K9" t="str">
            <v>M/s. Meezan Bank Limited Nawan Shehar Chowk Branch Multan
M/s. Meezan Bank Limited Nawan Shehar Chowk Branch Multan
User Mr. Mudassar Manzoor</v>
          </cell>
          <cell r="L9" t="str">
            <v>D</v>
          </cell>
          <cell r="M9" t="str">
            <v>09000221</v>
          </cell>
          <cell r="N9">
            <v>100</v>
          </cell>
          <cell r="O9"/>
          <cell r="P9" t="str">
            <v>H NO 4-A, PHASE-4, JEEWAN CITY, SAHIWAL (THE SMART SCHOOL)</v>
          </cell>
          <cell r="Q9" t="str">
            <v>11000003</v>
          </cell>
          <cell r="R9" t="str">
            <v>TOYOTA COROLLA XLI M/T 1.</v>
          </cell>
          <cell r="S9" t="str">
            <v>2019</v>
          </cell>
          <cell r="T9"/>
          <cell r="U9" t="str">
            <v>Z563054</v>
          </cell>
          <cell r="V9" t="str">
            <v>NZE170R-4188718</v>
          </cell>
          <cell r="W9"/>
          <cell r="X9" t="str">
            <v>3</v>
          </cell>
          <cell r="Y9">
            <v>-4100000</v>
          </cell>
          <cell r="Z9">
            <v>-739</v>
          </cell>
          <cell r="AA9">
            <v>-746</v>
          </cell>
        </row>
        <row r="10">
          <cell r="B10" t="str">
            <v>KHI/HO/D/MO/PC COMP/P/89125/05/2024</v>
          </cell>
          <cell r="C10" t="str">
            <v>KHI/HO/D/MO/PC COMP/E/43504/00001/07/2024</v>
          </cell>
          <cell r="D10" t="str">
            <v>REN</v>
          </cell>
          <cell r="E10" t="str">
            <v>10/07/24</v>
          </cell>
          <cell r="F10" t="str">
            <v>05/05/2024</v>
          </cell>
          <cell r="G10" t="str">
            <v>04/05/2025</v>
          </cell>
          <cell r="H10" t="str">
            <v>08000156</v>
          </cell>
          <cell r="I10" t="str">
            <v>MEEZAN BANK LIMITED, ABDALI ROAD BRANCH, MULTAN</v>
          </cell>
          <cell r="J10" t="str">
            <v>BANK</v>
          </cell>
          <cell r="K10" t="str">
            <v>M/S. MEEZAN BANK LIMITED NAWAN SHEHAR CHOWK BRANCH 
MULTAN
M/s. Meezan Bank Limited Nawan Shehar Chowk Branch Multan 
User. Mr. Muhammad Ashraf</v>
          </cell>
          <cell r="L10" t="str">
            <v>D</v>
          </cell>
          <cell r="M10" t="str">
            <v>09000221</v>
          </cell>
          <cell r="N10">
            <v>100</v>
          </cell>
          <cell r="O10" t="str">
            <v>MULTAN</v>
          </cell>
          <cell r="P10" t="str">
            <v>Street No. 05-B Hasanabad Gate No. 1 Multan</v>
          </cell>
          <cell r="Q10" t="str">
            <v>11000003</v>
          </cell>
          <cell r="R10" t="str">
            <v>SUZUKI WAGON-R VXL E2</v>
          </cell>
          <cell r="S10" t="str">
            <v>2019</v>
          </cell>
          <cell r="T10" t="str">
            <v>LEE-19-1379</v>
          </cell>
          <cell r="U10" t="str">
            <v>PK10B191557</v>
          </cell>
          <cell r="V10" t="str">
            <v>A1J310PK10091506</v>
          </cell>
          <cell r="W10"/>
          <cell r="X10" t="str">
            <v>5</v>
          </cell>
          <cell r="Y10">
            <v>793618</v>
          </cell>
          <cell r="Z10">
            <v>-11289</v>
          </cell>
          <cell r="AA10">
            <v>-13095</v>
          </cell>
        </row>
        <row r="11">
          <cell r="B11" t="str">
            <v>KHI/HO/D/MO/PC COMP/P/78271/11/2023</v>
          </cell>
          <cell r="C11" t="str">
            <v>KHI/HO/D/MO/PC COMP/E/43505/00006/07/2024</v>
          </cell>
          <cell r="D11" t="str">
            <v>REN</v>
          </cell>
          <cell r="E11" t="str">
            <v>10/07/24</v>
          </cell>
          <cell r="F11" t="str">
            <v>09/11/2023</v>
          </cell>
          <cell r="G11" t="str">
            <v>08/11/2024</v>
          </cell>
          <cell r="H11" t="str">
            <v>08000025</v>
          </cell>
          <cell r="I11" t="str">
            <v>MEEZAN BANK LIMITED MAIN</v>
          </cell>
          <cell r="J11" t="str">
            <v>BANK</v>
          </cell>
          <cell r="K11" t="str">
            <v>M/s. Meezan Bank Limited Main Branch Karachi PC
M/s. Meezan Bank Limited Main Branch Karachi
A/c User Mr.Jamsheed Ali Khan</v>
          </cell>
          <cell r="L11" t="str">
            <v>D</v>
          </cell>
          <cell r="M11" t="str">
            <v>09000221</v>
          </cell>
          <cell r="N11">
            <v>100</v>
          </cell>
          <cell r="O11" t="str">
            <v>KARACHI</v>
          </cell>
          <cell r="P11" t="str">
            <v>B-452 Gulshan E Hadeed Phase 02 Malir Karachi</v>
          </cell>
          <cell r="Q11" t="str">
            <v>11000003</v>
          </cell>
          <cell r="R11" t="str">
            <v>SUZUKI BOLAN VX</v>
          </cell>
          <cell r="S11" t="str">
            <v>2021</v>
          </cell>
          <cell r="T11" t="str">
            <v>CZ-5641</v>
          </cell>
          <cell r="U11" t="str">
            <v>PKT1016258</v>
          </cell>
          <cell r="V11" t="str">
            <v>PK1132784</v>
          </cell>
          <cell r="W11"/>
          <cell r="X11"/>
          <cell r="Y11">
            <v>-849690</v>
          </cell>
          <cell r="Z11">
            <v>-3737</v>
          </cell>
          <cell r="AA11">
            <v>-3774</v>
          </cell>
        </row>
        <row r="12">
          <cell r="B12" t="str">
            <v>KHI/HO/D/MO/PC COMP/P/89123/05/2024</v>
          </cell>
          <cell r="C12" t="str">
            <v>KHI/HO/D/MO/PC COMP/E/43506/00001/07/2024</v>
          </cell>
          <cell r="D12" t="str">
            <v>REN</v>
          </cell>
          <cell r="E12" t="str">
            <v>10/07/24</v>
          </cell>
          <cell r="F12" t="str">
            <v>17/05/2024</v>
          </cell>
          <cell r="G12" t="str">
            <v>16/05/2025</v>
          </cell>
          <cell r="H12" t="str">
            <v>08000156</v>
          </cell>
          <cell r="I12" t="str">
            <v>MEEZAN BANK LIMITED, ABDALI ROAD BRANCH, MULTAN</v>
          </cell>
          <cell r="J12" t="str">
            <v>BANK</v>
          </cell>
          <cell r="K12" t="str">
            <v>M/S. MEEZAN BANK LIMITED NAWAN SHEHAR CHOWK BRANCH 
MULTAN
M/s. Meezan Bank Limited Nawan Shehar Chowk Branch Multan
User. Mr. Muhammad Hammad Munir</v>
          </cell>
          <cell r="L12" t="str">
            <v>D</v>
          </cell>
          <cell r="M12" t="str">
            <v>09000221</v>
          </cell>
          <cell r="N12">
            <v>100</v>
          </cell>
          <cell r="O12" t="str">
            <v>MULTAN</v>
          </cell>
          <cell r="P12" t="str">
            <v>H No 536/9 Bukhari Colony Nawan 
Shehar Multan.</v>
          </cell>
          <cell r="Q12" t="str">
            <v>11000003</v>
          </cell>
          <cell r="R12" t="str">
            <v>SUZUKI MEHRAN VXR EURO-II</v>
          </cell>
          <cell r="S12" t="str">
            <v>2019</v>
          </cell>
          <cell r="T12" t="str">
            <v>MNB-19-850</v>
          </cell>
          <cell r="U12" t="str">
            <v>PKB769387</v>
          </cell>
          <cell r="V12" t="str">
            <v>SB308PK01307915</v>
          </cell>
          <cell r="W12"/>
          <cell r="X12"/>
          <cell r="Y12">
            <v>519631</v>
          </cell>
          <cell r="Z12">
            <v>-7391</v>
          </cell>
          <cell r="AA12">
            <v>-8574</v>
          </cell>
        </row>
        <row r="13">
          <cell r="B13" t="str">
            <v>KHI/HO/D/MO/PC COMP/P/89123/05/2024</v>
          </cell>
          <cell r="C13" t="str">
            <v>KHI/HO/D/MO/PC COMP/E/43506/00002/07/2024</v>
          </cell>
          <cell r="D13" t="str">
            <v>REN</v>
          </cell>
          <cell r="E13" t="str">
            <v>10/07/24</v>
          </cell>
          <cell r="F13" t="str">
            <v>17/05/2024</v>
          </cell>
          <cell r="G13" t="str">
            <v>16/05/2025</v>
          </cell>
          <cell r="H13" t="str">
            <v>08000156</v>
          </cell>
          <cell r="I13" t="str">
            <v>MEEZAN BANK LIMITED, ABDALI ROAD BRANCH, MULTAN</v>
          </cell>
          <cell r="J13" t="str">
            <v>BANK</v>
          </cell>
          <cell r="K13" t="str">
            <v>M/S. MEEZAN BANK LIMITED NAWAN SHEHAR CHOWK BRANCH 
MULTAN
M/s,. Meezan Bank Limited Nawan Shehar Chowk Branch Multan 
User. Mr. Muhammad Ali Khan</v>
          </cell>
          <cell r="L13" t="str">
            <v>D</v>
          </cell>
          <cell r="M13" t="str">
            <v>09000221</v>
          </cell>
          <cell r="N13">
            <v>100</v>
          </cell>
          <cell r="O13"/>
          <cell r="P13" t="str">
            <v>House No. 326/S Farid Town Sahiwal</v>
          </cell>
          <cell r="Q13" t="str">
            <v>11000003</v>
          </cell>
          <cell r="R13" t="str">
            <v>SUZUKI WAGON-R VXL E2</v>
          </cell>
          <cell r="S13" t="str">
            <v>2019</v>
          </cell>
          <cell r="T13" t="str">
            <v>LEE-19-4955</v>
          </cell>
          <cell r="U13" t="str">
            <v>PK10B191265</v>
          </cell>
          <cell r="V13" t="str">
            <v>A1J310PK10091221</v>
          </cell>
          <cell r="W13"/>
          <cell r="X13"/>
          <cell r="Y13">
            <v>793619</v>
          </cell>
          <cell r="Z13">
            <v>-11289</v>
          </cell>
          <cell r="AA13">
            <v>-13095</v>
          </cell>
        </row>
        <row r="14">
          <cell r="B14" t="str">
            <v>KHI/AR/AR/D/MO/MC TTT/P/83599/02/2024</v>
          </cell>
          <cell r="C14" t="str">
            <v>KHI/AR/AR/D/MO/MC TTT/E/43522/07/2024</v>
          </cell>
          <cell r="D14" t="str">
            <v>FRE</v>
          </cell>
          <cell r="E14" t="str">
            <v>10/07/24</v>
          </cell>
          <cell r="F14" t="str">
            <v>18/01/2024</v>
          </cell>
          <cell r="G14" t="str">
            <v>17/02/2025</v>
          </cell>
          <cell r="H14" t="str">
            <v>08000025</v>
          </cell>
          <cell r="I14" t="str">
            <v>MEEZAN BANK LIMITED MAIN</v>
          </cell>
          <cell r="J14" t="str">
            <v>BANK</v>
          </cell>
          <cell r="K14" t="str">
            <v>Mr Syed Kamran Ejaz
CNIC# 4210113366717
Phone# 03167000360</v>
          </cell>
          <cell r="L14" t="str">
            <v>D</v>
          </cell>
          <cell r="M14" t="str">
            <v>09000210</v>
          </cell>
          <cell r="N14">
            <v>100</v>
          </cell>
          <cell r="O14"/>
          <cell r="P14"/>
          <cell r="Q14" t="str">
            <v>11000003</v>
          </cell>
          <cell r="R14"/>
          <cell r="S14"/>
          <cell r="T14"/>
          <cell r="U14"/>
          <cell r="V14"/>
          <cell r="W14"/>
          <cell r="X14"/>
          <cell r="Z14">
            <v>-30788</v>
          </cell>
          <cell r="AA14">
            <v>-35148</v>
          </cell>
        </row>
        <row r="15">
          <cell r="B15" t="str">
            <v>KHI/HO/D/MO/PC COMP/P/90278/06/2024</v>
          </cell>
          <cell r="C15" t="str">
            <v>KHI/HO/D/MO/PC COMP/E/43568/00002/07/2024</v>
          </cell>
          <cell r="D15" t="str">
            <v>FRE</v>
          </cell>
          <cell r="E15" t="str">
            <v>11/07/24</v>
          </cell>
          <cell r="F15" t="str">
            <v>13/06/2024</v>
          </cell>
          <cell r="G15" t="str">
            <v>12/06/2025</v>
          </cell>
          <cell r="H15" t="str">
            <v>08000160</v>
          </cell>
          <cell r="I15" t="str">
            <v>MEEZAN BANK LIMITED- SARGODHA BRANCH</v>
          </cell>
          <cell r="J15" t="str">
            <v>BANK</v>
          </cell>
          <cell r="K15" t="str">
            <v>M/s. Meezan Bank Limited Civil Lines Sargodha
M/s. Meezan Bank Limited Civil Lines Sargodha
User Mr. MUHAMMAD AKRAM</v>
          </cell>
          <cell r="L15" t="str">
            <v>D</v>
          </cell>
          <cell r="M15" t="str">
            <v>09000221</v>
          </cell>
          <cell r="N15">
            <v>100</v>
          </cell>
          <cell r="O15"/>
          <cell r="P15" t="str">
            <v>STREET NO 3, MOHALLAH DEEN COLONY, SARGODHA, SARGODHA (DEEN COLONY BHALWAL ROAD SARGODHA)</v>
          </cell>
          <cell r="Q15" t="str">
            <v>11000003</v>
          </cell>
          <cell r="R15" t="str">
            <v>TOYOTA YARIS ATIV AT</v>
          </cell>
          <cell r="S15" t="str">
            <v>2024</v>
          </cell>
          <cell r="T15"/>
          <cell r="U15" t="str">
            <v>2A66803</v>
          </cell>
          <cell r="V15" t="str">
            <v>NSP150R-7044365</v>
          </cell>
          <cell r="W15"/>
          <cell r="X15"/>
          <cell r="Y15">
            <v>-80500</v>
          </cell>
          <cell r="Z15">
            <v>-1042</v>
          </cell>
          <cell r="AA15">
            <v>-1208</v>
          </cell>
        </row>
        <row r="16">
          <cell r="B16" t="str">
            <v>KHI/HO/D/MO/PC COMP/P/90180/06/2024</v>
          </cell>
          <cell r="C16" t="str">
            <v>KHI/HO/D/MO/PC COMP/E/43627/00003/07/2024</v>
          </cell>
          <cell r="D16" t="str">
            <v>FRE</v>
          </cell>
          <cell r="E16" t="str">
            <v>12/07/24</v>
          </cell>
          <cell r="F16" t="str">
            <v>04/06/2024</v>
          </cell>
          <cell r="G16" t="str">
            <v>03/06/2025</v>
          </cell>
          <cell r="H16" t="str">
            <v>08000208</v>
          </cell>
          <cell r="I16" t="str">
            <v>MEEZAN BANK LTD. GULBERG BRANCH LAHORE</v>
          </cell>
          <cell r="J16" t="str">
            <v>BANK</v>
          </cell>
          <cell r="K16" t="str">
            <v>M/s. Meezan Bank Limited Gulberg II Lahore 
User Mr.
M/s. Meezan Bank Limited Gulberg II Lahore
User Mr. MUHAMMAD ZAHEER AKHTAR</v>
          </cell>
          <cell r="L16" t="str">
            <v>D</v>
          </cell>
          <cell r="M16" t="str">
            <v>09000221</v>
          </cell>
          <cell r="N16">
            <v>100</v>
          </cell>
          <cell r="O16"/>
          <cell r="P16" t="str">
            <v>H # 164, B-1, SECTOR M-8, LAKE CITY, LAHORE (LAKE CITY GRAND MOSQUE)</v>
          </cell>
          <cell r="Q16" t="str">
            <v>11000003</v>
          </cell>
          <cell r="R16" t="str">
            <v>TOYOTA YARIS ATIV AT</v>
          </cell>
          <cell r="S16" t="str">
            <v>2024</v>
          </cell>
          <cell r="T16"/>
          <cell r="U16" t="str">
            <v>2A66733</v>
          </cell>
          <cell r="V16" t="str">
            <v>NSP150R-7044310</v>
          </cell>
          <cell r="W16"/>
          <cell r="X16"/>
          <cell r="Y16">
            <v>4766000</v>
          </cell>
          <cell r="Z16">
            <v>61630</v>
          </cell>
          <cell r="AA16">
            <v>71490</v>
          </cell>
        </row>
        <row r="17">
          <cell r="B17" t="str">
            <v>KHI/HO/D/MO/PC COMP/P/90180/06/2024</v>
          </cell>
          <cell r="C17" t="str">
            <v>KHI/HO/D/MO/PC COMP/E/43627/00005/07/2024</v>
          </cell>
          <cell r="D17" t="str">
            <v>FRE</v>
          </cell>
          <cell r="E17" t="str">
            <v>12/07/24</v>
          </cell>
          <cell r="F17" t="str">
            <v>04/06/2024</v>
          </cell>
          <cell r="G17" t="str">
            <v>03/06/2025</v>
          </cell>
          <cell r="H17" t="str">
            <v>08000208</v>
          </cell>
          <cell r="I17" t="str">
            <v>MEEZAN BANK LTD. GULBERG BRANCH LAHORE</v>
          </cell>
          <cell r="J17" t="str">
            <v>BANK</v>
          </cell>
          <cell r="K17" t="str">
            <v>M/s. Meezan Bank Limited Gulberg II Lahore 
User Mr.
M/s. MEEZAN BANK LIMITED GULBERG II
USER MR. MUHAMMAD IMRAN</v>
          </cell>
          <cell r="L17" t="str">
            <v>D</v>
          </cell>
          <cell r="M17" t="str">
            <v>09000221</v>
          </cell>
          <cell r="N17">
            <v>100</v>
          </cell>
          <cell r="O17"/>
          <cell r="P17" t="str">
            <v>HOUSE #210-E PUNJAB COOPERATIVE HOUSING SOCIETY LA, SOCIETY, LAHORE</v>
          </cell>
          <cell r="Q17" t="str">
            <v>11000003</v>
          </cell>
          <cell r="R17" t="str">
            <v>KIA PICANTO 1.0L A/T</v>
          </cell>
          <cell r="S17" t="str">
            <v>2024</v>
          </cell>
          <cell r="T17"/>
          <cell r="U17" t="str">
            <v>G3LAPP199714</v>
          </cell>
          <cell r="V17" t="str">
            <v>NNATA52AZRP713403</v>
          </cell>
          <cell r="W17"/>
          <cell r="X17"/>
          <cell r="Y17">
            <v>-20000</v>
          </cell>
          <cell r="Z17">
            <v>-258</v>
          </cell>
          <cell r="AA17">
            <v>-300</v>
          </cell>
        </row>
        <row r="18">
          <cell r="B18" t="str">
            <v>KHI/HO/D/MO/PC COMP/P/90091/06/2024</v>
          </cell>
          <cell r="C18" t="str">
            <v>KHI/HO/D/MO/PC COMP/E/43634/00008/07/2024</v>
          </cell>
          <cell r="D18" t="str">
            <v>FRE</v>
          </cell>
          <cell r="E18" t="str">
            <v>12/07/24</v>
          </cell>
          <cell r="F18" t="str">
            <v>14/06/2024</v>
          </cell>
          <cell r="G18" t="str">
            <v>13/06/2025</v>
          </cell>
          <cell r="H18" t="str">
            <v>08000840</v>
          </cell>
          <cell r="I18" t="str">
            <v>MEEZAN BANK LTD - SATIANA ROAD BR - FSD</v>
          </cell>
          <cell r="J18" t="str">
            <v>BANK</v>
          </cell>
          <cell r="K18" t="str">
            <v>M/s. Meezan Bank Limited Faisalabad Branch 
User Mr.
M/s. Meezan Bank Limited Faisalabad Branch 
User Mr. Muhammad Alam</v>
          </cell>
          <cell r="L18" t="str">
            <v>D</v>
          </cell>
          <cell r="M18" t="str">
            <v>09000221</v>
          </cell>
          <cell r="N18">
            <v>100</v>
          </cell>
          <cell r="O18"/>
          <cell r="P18" t="str">
            <v>Chak No 009/JB Bholewal PO Khas Chak 009/JB Bholewal Faisalabad</v>
          </cell>
          <cell r="Q18" t="str">
            <v>11000003</v>
          </cell>
          <cell r="R18" t="str">
            <v>HONDA CITY CVT PT 1.2</v>
          </cell>
          <cell r="S18" t="str">
            <v>2024</v>
          </cell>
          <cell r="T18" t="str">
            <v>ASB-622</v>
          </cell>
          <cell r="U18" t="str">
            <v>L12B51023660</v>
          </cell>
          <cell r="V18" t="str">
            <v>NFBGN8629RR039258</v>
          </cell>
          <cell r="W18"/>
          <cell r="X18"/>
          <cell r="Y18">
            <v>120000</v>
          </cell>
          <cell r="Z18">
            <v>1551</v>
          </cell>
          <cell r="AA18">
            <v>1800</v>
          </cell>
        </row>
        <row r="19">
          <cell r="B19" t="str">
            <v>KHI/HO/D/MO/PC COMP/P/83121/02/2024</v>
          </cell>
          <cell r="C19" t="str">
            <v>KHI/HO/D/MO/PC COMP/E/43861/00001/07/2024</v>
          </cell>
          <cell r="D19" t="str">
            <v>REN</v>
          </cell>
          <cell r="E19" t="str">
            <v>18/07/24</v>
          </cell>
          <cell r="F19" t="str">
            <v>11/02/2024</v>
          </cell>
          <cell r="G19" t="str">
            <v>10/02/2025</v>
          </cell>
          <cell r="H19" t="str">
            <v>08000692</v>
          </cell>
          <cell r="I19" t="str">
            <v>MEEZAN BANK LTD - SADDAR BRANCH - RAWALPINDI</v>
          </cell>
          <cell r="J19" t="str">
            <v>BANK</v>
          </cell>
          <cell r="K19" t="str">
            <v>M/s Meezan Bank Limited Usman Plaza Haider Road Saddar Rawalpindi
M/s Meezan Bank Limited Usman Plaza Haider Road Saddar Rawalpindi
User Mr. Tariq Aziz</v>
          </cell>
          <cell r="L19" t="str">
            <v>D</v>
          </cell>
          <cell r="M19" t="str">
            <v>09000221</v>
          </cell>
          <cell r="N19">
            <v>100</v>
          </cell>
          <cell r="O19"/>
          <cell r="P19" t="str">
            <v>H #512 Ali Street Dhamyar Street Rawalpindi</v>
          </cell>
          <cell r="Q19" t="str">
            <v>11000003</v>
          </cell>
          <cell r="R19" t="str">
            <v>CHANGAN KARVAAN PLUS</v>
          </cell>
          <cell r="S19" t="str">
            <v>2022</v>
          </cell>
          <cell r="T19" t="str">
            <v>BVK-213</v>
          </cell>
          <cell r="U19" t="str">
            <v>JL466Q9N69U503021</v>
          </cell>
          <cell r="V19" t="str">
            <v>NKMAAB3D1N1016338</v>
          </cell>
          <cell r="W19"/>
          <cell r="X19" t="str">
            <v>3</v>
          </cell>
          <cell r="Y19">
            <v>-1997100</v>
          </cell>
          <cell r="Z19">
            <v>-14950</v>
          </cell>
          <cell r="AA19">
            <v>-17042</v>
          </cell>
        </row>
        <row r="20">
          <cell r="B20" t="str">
            <v>KHI/HO/D/MO/PC COMP/P/82985/02/2024</v>
          </cell>
          <cell r="C20" t="str">
            <v>KHI/HO/D/MO/PC COMP/E/43862/00007/07/2024</v>
          </cell>
          <cell r="D20" t="str">
            <v>FRE</v>
          </cell>
          <cell r="E20" t="str">
            <v>18/07/24</v>
          </cell>
          <cell r="F20" t="str">
            <v>20/02/2024</v>
          </cell>
          <cell r="G20" t="str">
            <v>19/02/2025</v>
          </cell>
          <cell r="H20" t="str">
            <v>08000025</v>
          </cell>
          <cell r="I20" t="str">
            <v>MEEZAN BANK LIMITED MAIN</v>
          </cell>
          <cell r="J20" t="str">
            <v>BANK</v>
          </cell>
          <cell r="K20" t="str">
            <v>M/s. Meezan Bank Limited Main Branch Karachi
M/s. Meezan Bank Limited Main Branch Karachi
User Ms. Madeeha</v>
          </cell>
          <cell r="L20" t="str">
            <v>D</v>
          </cell>
          <cell r="M20" t="str">
            <v>09000221</v>
          </cell>
          <cell r="N20">
            <v>100</v>
          </cell>
          <cell r="O20"/>
          <cell r="P20" t="str">
            <v>FLAT# 1201, BLOCK E, BISMILLAH TOWERS, BLOCK 10, GULISTAN E JOHAR  KARACHI</v>
          </cell>
          <cell r="Q20" t="str">
            <v>11000003</v>
          </cell>
          <cell r="R20" t="str">
            <v>TOYOTA Yaris ATIV 1.3 (CV</v>
          </cell>
          <cell r="S20" t="str">
            <v>2024</v>
          </cell>
          <cell r="T20"/>
          <cell r="U20" t="str">
            <v>2A56346</v>
          </cell>
          <cell r="V20" t="str">
            <v>NSP150R7035616</v>
          </cell>
          <cell r="W20"/>
          <cell r="X20" t="str">
            <v>3</v>
          </cell>
          <cell r="Y20">
            <v>-4275000</v>
          </cell>
          <cell r="Z20">
            <v>-33441</v>
          </cell>
          <cell r="AA20">
            <v>-38124</v>
          </cell>
        </row>
        <row r="21">
          <cell r="B21" t="str">
            <v>KHI/HO/D/MO/PC COMP/P/85955/03/2024</v>
          </cell>
          <cell r="C21" t="str">
            <v>KHI/HO/D/MO/PC COMP/E/43906/00004/07/2024</v>
          </cell>
          <cell r="D21" t="str">
            <v>REN</v>
          </cell>
          <cell r="E21" t="str">
            <v>19/07/24</v>
          </cell>
          <cell r="F21" t="str">
            <v>07/03/2024</v>
          </cell>
          <cell r="G21" t="str">
            <v>06/03/2025</v>
          </cell>
          <cell r="H21" t="str">
            <v>08000025</v>
          </cell>
          <cell r="I21" t="str">
            <v>MEEZAN BANK LIMITED MAIN</v>
          </cell>
          <cell r="J21" t="str">
            <v>BANK</v>
          </cell>
          <cell r="K21" t="str">
            <v>M/s. Meezan Bank Limited Main Branch KARACH
M/s. Meezan Bank Limited Main Branch
User Mr. Noor Ahmed Gadhi</v>
          </cell>
          <cell r="L21" t="str">
            <v>D</v>
          </cell>
          <cell r="M21" t="str">
            <v>09000221</v>
          </cell>
          <cell r="N21">
            <v>100</v>
          </cell>
          <cell r="O21"/>
          <cell r="P21" t="str">
            <v>58/100 HDA Bungalows, Near Marvi Lawn Wadho Wah, Qasimabad, Hyderabad</v>
          </cell>
          <cell r="Q21" t="str">
            <v>11000003</v>
          </cell>
          <cell r="R21" t="str">
            <v>SUZUKI ALTO VXR</v>
          </cell>
          <cell r="S21" t="str">
            <v>2022</v>
          </cell>
          <cell r="T21"/>
          <cell r="U21" t="str">
            <v>R206835</v>
          </cell>
          <cell r="V21" t="str">
            <v>H1106828</v>
          </cell>
          <cell r="W21"/>
          <cell r="X21"/>
          <cell r="Y21">
            <v>-1252260</v>
          </cell>
          <cell r="Z21">
            <v>-10473</v>
          </cell>
          <cell r="AA21">
            <v>-9007</v>
          </cell>
        </row>
        <row r="22">
          <cell r="B22" t="str">
            <v>KHI/HO/D/MO/PC COMP/P/90447/06/2024</v>
          </cell>
          <cell r="C22" t="str">
            <v>KHI/HO/D/MO/PC COMP/E/43985/00005/07/2024</v>
          </cell>
          <cell r="D22" t="str">
            <v>FRE</v>
          </cell>
          <cell r="E22" t="str">
            <v>22/07/24</v>
          </cell>
          <cell r="F22" t="str">
            <v>28/06/2024</v>
          </cell>
          <cell r="G22" t="str">
            <v>27/06/2025</v>
          </cell>
          <cell r="H22" t="str">
            <v>08000692</v>
          </cell>
          <cell r="I22" t="str">
            <v>MEEZAN BANK LTD - SADDAR BRANCH - RAWALPINDI</v>
          </cell>
          <cell r="J22" t="str">
            <v>BANK</v>
          </cell>
          <cell r="K22" t="str">
            <v>M/s. Meezan Bank Limited Saddar Branch Rawalpindi 
User Mr.
M/s. Meezan Bank Limited Saddar Branch Rawalpindi 
User Mr. Sheikh Nayyar Feroz</v>
          </cell>
          <cell r="L22" t="str">
            <v>D</v>
          </cell>
          <cell r="M22" t="str">
            <v>09000221</v>
          </cell>
          <cell r="N22">
            <v>100</v>
          </cell>
          <cell r="O22"/>
          <cell r="P22" t="str">
            <v>H No 42-C Street No 3 Sector 2 Mohallah Khayaban E Sir Syed Rawalpindi</v>
          </cell>
          <cell r="Q22" t="str">
            <v>11000003</v>
          </cell>
          <cell r="R22" t="str">
            <v>SUZUKI ALTO VXR</v>
          </cell>
          <cell r="S22" t="str">
            <v>2024</v>
          </cell>
          <cell r="T22"/>
          <cell r="U22" t="str">
            <v>6R311457</v>
          </cell>
          <cell r="V22" t="str">
            <v>NF1AET306H1211432</v>
          </cell>
          <cell r="W22"/>
          <cell r="X22"/>
          <cell r="Y22">
            <v>-24363000</v>
          </cell>
          <cell r="Z22">
            <v>-315039</v>
          </cell>
          <cell r="AA22">
            <v>-365445</v>
          </cell>
        </row>
        <row r="23">
          <cell r="B23" t="str">
            <v>KHI/HO/D/MO/PC COMP/P/92035/06/2024</v>
          </cell>
          <cell r="C23" t="str">
            <v>KHI/HO/D/MO/PC COMP/E/43991/00012/07/2024</v>
          </cell>
          <cell r="D23" t="str">
            <v>REN</v>
          </cell>
          <cell r="E23" t="str">
            <v>22/07/24</v>
          </cell>
          <cell r="F23" t="str">
            <v>23/06/2024</v>
          </cell>
          <cell r="G23" t="str">
            <v>22/06/2025</v>
          </cell>
          <cell r="H23" t="str">
            <v>08000840</v>
          </cell>
          <cell r="I23" t="str">
            <v>MEEZAN BANK LTD - SATIANA ROAD BR - FSD</v>
          </cell>
          <cell r="J23" t="str">
            <v>BANK</v>
          </cell>
          <cell r="K23" t="str">
            <v>M/S Meezan Bank Limited Satiana Road Branch 
User Mr.
M/S Meezan Bank Limited Satiana Road Branch 
User Mr. Muhammad Afzaal</v>
          </cell>
          <cell r="L23" t="str">
            <v>D</v>
          </cell>
          <cell r="M23" t="str">
            <v>09000221</v>
          </cell>
          <cell r="N23">
            <v>100</v>
          </cell>
          <cell r="O23"/>
          <cell r="P23" t="str">
            <v>H No 579 Gulshan E Madina Phase 1 Bhakkar</v>
          </cell>
          <cell r="Q23" t="str">
            <v>11000003</v>
          </cell>
          <cell r="R23" t="str">
            <v>CHANGAN KARVAAN VAN</v>
          </cell>
          <cell r="S23" t="str">
            <v>2022</v>
          </cell>
          <cell r="T23" t="str">
            <v>AKS-689</v>
          </cell>
          <cell r="U23" t="str">
            <v>JL466Q9N69U502416</v>
          </cell>
          <cell r="V23" t="str">
            <v>NKMAAB3D1N1015124</v>
          </cell>
          <cell r="W23"/>
          <cell r="X23"/>
          <cell r="Y23">
            <v>-12150</v>
          </cell>
          <cell r="Z23">
            <v>-156</v>
          </cell>
          <cell r="AA23">
            <v>-182</v>
          </cell>
        </row>
        <row r="24">
          <cell r="B24" t="str">
            <v>KHI/HO/D/MO/PC COMP/P/92035/06/2024</v>
          </cell>
          <cell r="C24" t="str">
            <v>KHI/HO/D/MO/PC COMP/E/43991/00013/07/2024</v>
          </cell>
          <cell r="D24" t="str">
            <v>REN</v>
          </cell>
          <cell r="E24" t="str">
            <v>22/07/24</v>
          </cell>
          <cell r="F24" t="str">
            <v>28/06/2024</v>
          </cell>
          <cell r="G24" t="str">
            <v>27/06/2025</v>
          </cell>
          <cell r="H24" t="str">
            <v>08000840</v>
          </cell>
          <cell r="I24" t="str">
            <v>MEEZAN BANK LTD - SATIANA ROAD BR - FSD</v>
          </cell>
          <cell r="J24" t="str">
            <v>BANK</v>
          </cell>
          <cell r="K24" t="str">
            <v>M/S Meezan Bank Limited Satiana Road Branch 
User Mr.
M/S Meezan Bank Limited Satiana Road Branch 
User Mr. Shams Pervaiz</v>
          </cell>
          <cell r="L24" t="str">
            <v>D</v>
          </cell>
          <cell r="M24" t="str">
            <v>09000221</v>
          </cell>
          <cell r="N24">
            <v>100</v>
          </cell>
          <cell r="O24"/>
          <cell r="P24" t="str">
            <v>P135 B Khayaban Garden Hassan Block Sargodha Road  Faisalabad</v>
          </cell>
          <cell r="Q24" t="str">
            <v>11000003</v>
          </cell>
          <cell r="R24" t="str">
            <v>SUZUKI ALTO VX</v>
          </cell>
          <cell r="S24" t="str">
            <v>2021</v>
          </cell>
          <cell r="T24" t="str">
            <v>AZH-271</v>
          </cell>
          <cell r="U24" t="str">
            <v>6R235224</v>
          </cell>
          <cell r="V24" t="str">
            <v>NF1AET306H1135222</v>
          </cell>
          <cell r="W24"/>
          <cell r="X24"/>
          <cell r="Y24">
            <v>25920</v>
          </cell>
          <cell r="Z24">
            <v>336</v>
          </cell>
          <cell r="AA24">
            <v>389</v>
          </cell>
        </row>
        <row r="25">
          <cell r="B25" t="str">
            <v>KHI/HO/D/MO/PC COMP/P/87876/04/2024</v>
          </cell>
          <cell r="C25" t="str">
            <v>KHI/HO/D/MO/PC COMP/E/43999/00012/07/2024</v>
          </cell>
          <cell r="D25" t="str">
            <v>REN</v>
          </cell>
          <cell r="E25" t="str">
            <v>22/07/24</v>
          </cell>
          <cell r="F25" t="str">
            <v>01/05/2024</v>
          </cell>
          <cell r="G25" t="str">
            <v>30/04/2025</v>
          </cell>
          <cell r="H25" t="str">
            <v>08000025</v>
          </cell>
          <cell r="I25" t="str">
            <v>MEEZAN BANK LIMITED MAIN</v>
          </cell>
          <cell r="J25" t="str">
            <v>BANK</v>
          </cell>
          <cell r="K25" t="str">
            <v>M/S. MEEZAN BANK LIMITED MAIN BRANCH KARACHI
M/s. Meezan Bank Limited Main Branch Karachi
User. Mr. Israr Ullah Khan</v>
          </cell>
          <cell r="L25" t="str">
            <v>D</v>
          </cell>
          <cell r="M25" t="str">
            <v>09000221</v>
          </cell>
          <cell r="N25">
            <v>100</v>
          </cell>
          <cell r="O25" t="str">
            <v>KARACHI</v>
          </cell>
          <cell r="P25" t="str">
            <v>149/1 1st Floor 21st Street Khayaban E Qasim 
DHA Phase 8, Karachi.</v>
          </cell>
          <cell r="Q25" t="str">
            <v>11000003</v>
          </cell>
          <cell r="R25" t="str">
            <v>TOYOTA HILUX VIGO CHAMP G</v>
          </cell>
          <cell r="S25" t="str">
            <v>2015</v>
          </cell>
          <cell r="T25" t="str">
            <v>KU-9728</v>
          </cell>
          <cell r="U25" t="str">
            <v>2KDU-895273</v>
          </cell>
          <cell r="V25" t="str">
            <v>KUN25R-9611654</v>
          </cell>
          <cell r="W25"/>
          <cell r="X25"/>
          <cell r="Y25">
            <v>1771470</v>
          </cell>
          <cell r="Z25">
            <v>-25197</v>
          </cell>
          <cell r="AA25">
            <v>-29229</v>
          </cell>
        </row>
        <row r="26">
          <cell r="B26" t="str">
            <v>KHI/HO/D/MO/PC COMP/P/88977/05/2024</v>
          </cell>
          <cell r="C26" t="str">
            <v>KHI/HO/D/MO/PC COMP/E/44076/00001/07/2024</v>
          </cell>
          <cell r="D26" t="str">
            <v>FRE</v>
          </cell>
          <cell r="E26" t="str">
            <v>24/07/24</v>
          </cell>
          <cell r="F26" t="str">
            <v>03/05/2024</v>
          </cell>
          <cell r="G26" t="str">
            <v>02/05/2025</v>
          </cell>
          <cell r="H26" t="str">
            <v>08000025</v>
          </cell>
          <cell r="I26" t="str">
            <v>MEEZAN BANK LIMITED MAIN</v>
          </cell>
          <cell r="J26" t="str">
            <v>BANK</v>
          </cell>
          <cell r="K26" t="str">
            <v>M/s. Meezan Bank Limited Main Branch Karachi
M/s. Meezan Bank Limited Main Branch Karachi
User Mr. Muhammad Nasir Nakhuda</v>
          </cell>
          <cell r="L26" t="str">
            <v>D</v>
          </cell>
          <cell r="M26" t="str">
            <v>09000221</v>
          </cell>
          <cell r="N26">
            <v>100</v>
          </cell>
          <cell r="O26"/>
          <cell r="P26" t="str">
            <v>RESIDENCE ADDRESS : FLAT NO.E-1, BAB-E-REHMANT, BLOCK-13B, GULSHAN-E-IQBAL, 
KARACHI</v>
          </cell>
          <cell r="Q26" t="str">
            <v>11000003</v>
          </cell>
          <cell r="R26" t="str">
            <v>HONDA CITY 1.2  LS CVT</v>
          </cell>
          <cell r="S26" t="str">
            <v>2022</v>
          </cell>
          <cell r="T26"/>
          <cell r="U26" t="str">
            <v>B51016187</v>
          </cell>
          <cell r="V26" t="str">
            <v>R028553</v>
          </cell>
          <cell r="W26"/>
          <cell r="X26"/>
          <cell r="Y26">
            <v>-3535200</v>
          </cell>
          <cell r="Z26">
            <v>-36159</v>
          </cell>
          <cell r="AA26">
            <v>-41221</v>
          </cell>
        </row>
        <row r="27">
          <cell r="B27" t="str">
            <v>KHI/HO/D/MO/PC COMP/P/90326/06/2024</v>
          </cell>
          <cell r="C27" t="str">
            <v>KHI/HO/D/MO/PC COMP/E/44101/00012/07/2024</v>
          </cell>
          <cell r="D27" t="str">
            <v>FRE</v>
          </cell>
          <cell r="E27" t="str">
            <v>24/07/24</v>
          </cell>
          <cell r="F27" t="str">
            <v>28/06/2024</v>
          </cell>
          <cell r="G27" t="str">
            <v>27/06/2025</v>
          </cell>
          <cell r="H27" t="str">
            <v>08000025</v>
          </cell>
          <cell r="I27" t="str">
            <v>MEEZAN BANK LIMITED MAIN</v>
          </cell>
          <cell r="J27" t="str">
            <v>BANK</v>
          </cell>
          <cell r="K27" t="str">
            <v>M/s. Meezan Bank Limited Main Branch 
User Mr.
M/s. Meezan Bank Limited Main Branch 
User Ms. Ayesha Anwar</v>
          </cell>
          <cell r="L27" t="str">
            <v>D</v>
          </cell>
          <cell r="M27" t="str">
            <v>09000221</v>
          </cell>
          <cell r="N27">
            <v>100</v>
          </cell>
          <cell r="O27"/>
          <cell r="P27" t="str">
            <v>H No 338 , Street No 3 , Sector 5-J, Saeedabad Baldia Town, Karachi</v>
          </cell>
          <cell r="Q27" t="str">
            <v>11000003</v>
          </cell>
          <cell r="R27" t="str">
            <v>HONDA CITY</v>
          </cell>
          <cell r="S27" t="str">
            <v>2019</v>
          </cell>
          <cell r="T27"/>
          <cell r="U27" t="str">
            <v>L15A79794625</v>
          </cell>
          <cell r="V27" t="str">
            <v>NFBGM2640KR245527</v>
          </cell>
          <cell r="W27"/>
          <cell r="X27"/>
          <cell r="Y27">
            <v>350000</v>
          </cell>
          <cell r="Z27">
            <v>4526</v>
          </cell>
          <cell r="AA27">
            <v>5250</v>
          </cell>
        </row>
        <row r="28">
          <cell r="B28" t="str">
            <v>KHI/HO/D/MO/PC COMP/P/76689/10/2023</v>
          </cell>
          <cell r="C28" t="str">
            <v>KHI/HO/D/MO/PC COMP/E/44186/00005/07/2024</v>
          </cell>
          <cell r="D28" t="str">
            <v>REN</v>
          </cell>
          <cell r="E28" t="str">
            <v>26/07/24</v>
          </cell>
          <cell r="F28" t="str">
            <v>29/10/2023</v>
          </cell>
          <cell r="G28" t="str">
            <v>28/10/2024</v>
          </cell>
          <cell r="H28" t="str">
            <v>08000025</v>
          </cell>
          <cell r="I28" t="str">
            <v>MEEZAN BANK LIMITED MAIN</v>
          </cell>
          <cell r="J28" t="str">
            <v>BANK</v>
          </cell>
          <cell r="K28" t="str">
            <v>M/S. MEEZAN BANK LIMITED MAIN BRANCH 
KARACHI
M/s. Meezan Bank Limited Main Branch Karachi 
User. Mufti Muhammad Noor Uz Zaman</v>
          </cell>
          <cell r="L28" t="str">
            <v>D</v>
          </cell>
          <cell r="M28" t="str">
            <v>09000221</v>
          </cell>
          <cell r="N28">
            <v>100</v>
          </cell>
          <cell r="O28" t="str">
            <v>KARACHI</v>
          </cell>
          <cell r="P28" t="str">
            <v>Plot No. 103 Near Mariam Masjid Block 13-D/2 Gulshan-e-Iqbal Karachi</v>
          </cell>
          <cell r="Q28" t="str">
            <v>11000003</v>
          </cell>
          <cell r="R28" t="str">
            <v>TOYOTA COROLLA ALTIS VVT-</v>
          </cell>
          <cell r="S28" t="str">
            <v>2020</v>
          </cell>
          <cell r="T28"/>
          <cell r="U28" t="str">
            <v>Q068429</v>
          </cell>
          <cell r="V28" t="str">
            <v>ZRE171R-6045945</v>
          </cell>
          <cell r="W28"/>
          <cell r="X28" t="str">
            <v>3</v>
          </cell>
          <cell r="Y28">
            <v>-2416635</v>
          </cell>
          <cell r="Z28">
            <v>-11035</v>
          </cell>
          <cell r="AA28">
            <v>-11145</v>
          </cell>
        </row>
        <row r="29">
          <cell r="B29" t="str">
            <v>KHI/HO/D/MO/PC COMP/P/77484/11/2023</v>
          </cell>
          <cell r="C29" t="str">
            <v>KHI/HO/D/MO/PC COMP/E/44299/00002/07/2024</v>
          </cell>
          <cell r="D29" t="str">
            <v>FRE</v>
          </cell>
          <cell r="E29" t="str">
            <v>30/07/24</v>
          </cell>
          <cell r="F29" t="str">
            <v>07/11/2023</v>
          </cell>
          <cell r="G29" t="str">
            <v>06/11/2024</v>
          </cell>
          <cell r="H29" t="str">
            <v>08000495</v>
          </cell>
          <cell r="I29" t="str">
            <v>MEEZAN BANK LTD. - ISLAMABAD BRANCH - ISD</v>
          </cell>
          <cell r="J29" t="str">
            <v>BANK</v>
          </cell>
          <cell r="K29" t="str">
            <v>M/s. Meezan Bank Limited Islamabad Branch 
User Mr.
M/s. Meezan Bank Limited Islamabad Branch 
User Mr. Shakeel Timber Corporation</v>
          </cell>
          <cell r="L29" t="str">
            <v>D</v>
          </cell>
          <cell r="M29" t="str">
            <v>09000221</v>
          </cell>
          <cell r="N29">
            <v>100</v>
          </cell>
          <cell r="O29"/>
          <cell r="P29" t="str">
            <v>Main Service Golra Road Near Darbar Chowk G-11 Islamabad</v>
          </cell>
          <cell r="Q29" t="str">
            <v>11000003</v>
          </cell>
          <cell r="R29" t="str">
            <v>HONDA CITY ASPIRE</v>
          </cell>
          <cell r="S29" t="str">
            <v>2023</v>
          </cell>
          <cell r="T29"/>
          <cell r="U29" t="str">
            <v>L15Z81014239</v>
          </cell>
          <cell r="V29" t="str">
            <v>NFBGN9668PR032842</v>
          </cell>
          <cell r="W29"/>
          <cell r="X29"/>
          <cell r="Y29">
            <v>-6009500</v>
          </cell>
          <cell r="Z29">
            <v>-21880</v>
          </cell>
          <cell r="AA29">
            <v>-22099</v>
          </cell>
        </row>
        <row r="30">
          <cell r="B30" t="str">
            <v>KHI/HO/D/MO/PC COMP/C/91970/2/07/2024</v>
          </cell>
          <cell r="C30"/>
          <cell r="D30" t="str">
            <v>REN</v>
          </cell>
          <cell r="E30" t="str">
            <v>01/07/24</v>
          </cell>
          <cell r="F30" t="str">
            <v>23/06/2024</v>
          </cell>
          <cell r="G30" t="str">
            <v>22/06/2025</v>
          </cell>
          <cell r="H30" t="str">
            <v>08000212</v>
          </cell>
          <cell r="I30" t="str">
            <v>MEEZAN BANK LTD - RAHIM YAR KHAN BRANCH</v>
          </cell>
          <cell r="J30" t="str">
            <v>BANK</v>
          </cell>
          <cell r="K30" t="str">
            <v>M/s. Meezan Bank Limited Rahim Yar Khan
M/s. Meezan Bank Limited 17-18 City Center Rahim Yar Khan
A/c M/s. Ahmed Fahad Flour Mills (Pvt) Limited</v>
          </cell>
          <cell r="L30" t="str">
            <v>D</v>
          </cell>
          <cell r="M30" t="str">
            <v>09000221</v>
          </cell>
          <cell r="N30">
            <v>100</v>
          </cell>
          <cell r="O30" t="str">
            <v>RAHIM YAR KHAN</v>
          </cell>
          <cell r="P30" t="str">
            <v>Dehkan Flour Mills By Pass Road Near Talli Chowk Rahim Yar Khan</v>
          </cell>
          <cell r="Q30" t="str">
            <v>11000003</v>
          </cell>
          <cell r="R30" t="str">
            <v>SUZUKI ALTO VXL AGS E-2</v>
          </cell>
          <cell r="S30" t="str">
            <v>2020</v>
          </cell>
          <cell r="T30"/>
          <cell r="U30" t="str">
            <v>6R125221</v>
          </cell>
          <cell r="V30" t="str">
            <v>NF1AET306H1025193</v>
          </cell>
          <cell r="W30"/>
          <cell r="X30" t="str">
            <v>3</v>
          </cell>
          <cell r="Y30">
            <v>1048448</v>
          </cell>
          <cell r="Z30">
            <v>18077</v>
          </cell>
          <cell r="AA30">
            <v>20969</v>
          </cell>
        </row>
        <row r="31">
          <cell r="B31" t="str">
            <v>KHI/HO/D/MO/PC COMP/C/92039/2/07/2024</v>
          </cell>
          <cell r="C31"/>
          <cell r="D31" t="str">
            <v>REN</v>
          </cell>
          <cell r="E31" t="str">
            <v>01/07/24</v>
          </cell>
          <cell r="F31" t="str">
            <v>08/06/2024</v>
          </cell>
          <cell r="G31" t="str">
            <v>07/06/2025</v>
          </cell>
          <cell r="H31" t="str">
            <v>08000676</v>
          </cell>
          <cell r="I31" t="str">
            <v>MEEZAN BANK LTD CAR IJARAH WEST HUB LAHORE</v>
          </cell>
          <cell r="J31" t="str">
            <v>BANK</v>
          </cell>
          <cell r="K31" t="str">
            <v>M/s. Meezan Bank Limited Car Ijarah West Hub Lahore
M/s. Meezan Bank Limited Gulberg Branch Lahore
A/c M/s I &amp; K Enterprises</v>
          </cell>
          <cell r="L31" t="str">
            <v>D</v>
          </cell>
          <cell r="M31" t="str">
            <v>09000221</v>
          </cell>
          <cell r="N31">
            <v>100</v>
          </cell>
          <cell r="O31" t="str">
            <v>LAHORE</v>
          </cell>
          <cell r="P31" t="str">
            <v>House No. 158, A-Block, New Muslim Town, Lahore</v>
          </cell>
          <cell r="Q31" t="str">
            <v>11000003</v>
          </cell>
          <cell r="R31" t="str">
            <v>SUZUKI CULTUS VXL EURO II</v>
          </cell>
          <cell r="S31" t="str">
            <v>2021</v>
          </cell>
          <cell r="T31" t="str">
            <v>ADG-965</v>
          </cell>
          <cell r="U31" t="str">
            <v>PK10K174858</v>
          </cell>
          <cell r="V31" t="str">
            <v>NF1AVK31H10074846</v>
          </cell>
          <cell r="W31"/>
          <cell r="X31" t="str">
            <v>3</v>
          </cell>
          <cell r="Y31">
            <v>1436130</v>
          </cell>
          <cell r="Z31">
            <v>18571</v>
          </cell>
          <cell r="AA31">
            <v>21542</v>
          </cell>
        </row>
        <row r="32">
          <cell r="B32" t="str">
            <v>KHI/HO/D/MO/PC COMP/C/92039/3/07/2024</v>
          </cell>
          <cell r="C32"/>
          <cell r="D32" t="str">
            <v>REN</v>
          </cell>
          <cell r="E32" t="str">
            <v>01/07/24</v>
          </cell>
          <cell r="F32" t="str">
            <v>08/06/2024</v>
          </cell>
          <cell r="G32" t="str">
            <v>07/06/2025</v>
          </cell>
          <cell r="H32" t="str">
            <v>08000676</v>
          </cell>
          <cell r="I32" t="str">
            <v>MEEZAN BANK LTD CAR IJARAH WEST HUB LAHORE</v>
          </cell>
          <cell r="J32" t="str">
            <v>BANK</v>
          </cell>
          <cell r="K32" t="str">
            <v>M/s. Meezan Bank Limited Car Ijarah West Hub Lahore
M/s. Meezan Bank Limited Gulberg Branch Lahore
A/c M/s I &amp; K Enterprises</v>
          </cell>
          <cell r="L32" t="str">
            <v>D</v>
          </cell>
          <cell r="M32" t="str">
            <v>09000221</v>
          </cell>
          <cell r="N32">
            <v>100</v>
          </cell>
          <cell r="O32" t="str">
            <v>LAHORE</v>
          </cell>
          <cell r="P32" t="str">
            <v>House No. 158, A-Block, New Muslim Town, Lahore</v>
          </cell>
          <cell r="Q32" t="str">
            <v>11000003</v>
          </cell>
          <cell r="R32" t="str">
            <v>SUZUKI CULTUS VXL EURO II</v>
          </cell>
          <cell r="S32"/>
          <cell r="T32" t="str">
            <v>ADG-870</v>
          </cell>
          <cell r="U32" t="str">
            <v>PK10K174887</v>
          </cell>
          <cell r="V32" t="str">
            <v>NF1AVK31H10074869</v>
          </cell>
          <cell r="W32"/>
          <cell r="X32" t="str">
            <v>3</v>
          </cell>
          <cell r="Y32">
            <v>1436130</v>
          </cell>
          <cell r="Z32">
            <v>18571</v>
          </cell>
          <cell r="AA32">
            <v>21542</v>
          </cell>
        </row>
        <row r="33">
          <cell r="B33" t="str">
            <v>KHI/HO/D/MO/PC COMP/C/92132/1/07/2024</v>
          </cell>
          <cell r="C33"/>
          <cell r="D33" t="str">
            <v>FRE</v>
          </cell>
          <cell r="E33" t="str">
            <v>02/07/24</v>
          </cell>
          <cell r="F33" t="str">
            <v>26/06/2024</v>
          </cell>
          <cell r="G33" t="str">
            <v>25/06/2025</v>
          </cell>
          <cell r="H33" t="str">
            <v>08000025</v>
          </cell>
          <cell r="I33" t="str">
            <v>MEEZAN BANK LIMITED MAIN</v>
          </cell>
          <cell r="J33" t="str">
            <v>BANK</v>
          </cell>
          <cell r="K33" t="str">
            <v>M/s. Meezan Bank Limited Main Branch Karachi .
M/s. Meezan Bank Limited Main Branch Karachi .
User Mr. Sultan Salamat</v>
          </cell>
          <cell r="L33" t="str">
            <v>D</v>
          </cell>
          <cell r="M33" t="str">
            <v>09000221</v>
          </cell>
          <cell r="N33">
            <v>100</v>
          </cell>
          <cell r="O33"/>
          <cell r="P33" t="str">
            <v>APARTMENT NO-201, PLOT NO 86-B, BLOCK-2, PECHS, KARACHI</v>
          </cell>
          <cell r="Q33" t="str">
            <v>11000003</v>
          </cell>
          <cell r="R33" t="str">
            <v>TOYOTA Yaris ATIV 1.3 (CV</v>
          </cell>
          <cell r="S33" t="str">
            <v>2024</v>
          </cell>
          <cell r="T33"/>
          <cell r="U33" t="str">
            <v>2A67057</v>
          </cell>
          <cell r="V33" t="str">
            <v>NSP150R7044620</v>
          </cell>
          <cell r="W33"/>
          <cell r="X33" t="str">
            <v>3</v>
          </cell>
          <cell r="Y33">
            <v>4766000</v>
          </cell>
          <cell r="Z33">
            <v>61198</v>
          </cell>
          <cell r="AA33">
            <v>71490</v>
          </cell>
        </row>
        <row r="34">
          <cell r="B34" t="str">
            <v>KHI/HO/D/MO/PC COMP/C/92132/2/07/2024</v>
          </cell>
          <cell r="C34"/>
          <cell r="D34" t="str">
            <v>FRE</v>
          </cell>
          <cell r="E34" t="str">
            <v>02/07/24</v>
          </cell>
          <cell r="F34" t="str">
            <v>26/06/2024</v>
          </cell>
          <cell r="G34" t="str">
            <v>25/06/2025</v>
          </cell>
          <cell r="H34" t="str">
            <v>08000025</v>
          </cell>
          <cell r="I34" t="str">
            <v>MEEZAN BANK LIMITED MAIN</v>
          </cell>
          <cell r="J34" t="str">
            <v>BANK</v>
          </cell>
          <cell r="K34" t="str">
            <v>M/s. Meezan Bank Limited Main Branch Karachi .
M/s. Meezan Bank Limited Main Branch Karachi .
User Mr. Mumtaz Ahmed</v>
          </cell>
          <cell r="L34" t="str">
            <v>D</v>
          </cell>
          <cell r="M34" t="str">
            <v>09000221</v>
          </cell>
          <cell r="N34">
            <v>100</v>
          </cell>
          <cell r="O34"/>
          <cell r="P34" t="str">
            <v>MUHALLAH, CHAHAT ALI WARD NO 05, DAULATPUR, TEHSIL QAZI AHMED DISTRICT SHAHEED BENAZIR ABAD</v>
          </cell>
          <cell r="Q34" t="str">
            <v>11000003</v>
          </cell>
          <cell r="R34" t="str">
            <v>TOYOTA COROLLA XLI M/T 1.</v>
          </cell>
          <cell r="S34" t="str">
            <v>2016</v>
          </cell>
          <cell r="T34"/>
          <cell r="U34" t="str">
            <v>Z440842</v>
          </cell>
          <cell r="V34" t="str">
            <v>NZE170R4076730</v>
          </cell>
          <cell r="W34"/>
          <cell r="X34" t="str">
            <v>3</v>
          </cell>
          <cell r="Y34">
            <v>3000000</v>
          </cell>
          <cell r="Z34">
            <v>38793</v>
          </cell>
          <cell r="AA34">
            <v>45000</v>
          </cell>
        </row>
        <row r="35">
          <cell r="B35" t="str">
            <v>KHI/HO/D/MO/PC COMP/C/92155/1/07/2024</v>
          </cell>
          <cell r="C35"/>
          <cell r="D35" t="str">
            <v>FRE</v>
          </cell>
          <cell r="E35" t="str">
            <v>02/07/24</v>
          </cell>
          <cell r="F35" t="str">
            <v>02/07/2024</v>
          </cell>
          <cell r="G35" t="str">
            <v>01/07/2025</v>
          </cell>
          <cell r="H35" t="str">
            <v>08000208</v>
          </cell>
          <cell r="I35" t="str">
            <v>MEEZAN BANK LTD. GULBERG BRANCH LAHORE</v>
          </cell>
          <cell r="J35" t="str">
            <v>BANK</v>
          </cell>
          <cell r="K35" t="str">
            <v>M/s. Meezan Bank limited Gulberg II Lahore Branch
User Mr. 
M/s. Meezan Bank limited Gulberg II Lahore Branch
User Mr. UMER MAHMOOD</v>
          </cell>
          <cell r="L35" t="str">
            <v>D</v>
          </cell>
          <cell r="M35" t="str">
            <v>09000221</v>
          </cell>
          <cell r="N35">
            <v>100</v>
          </cell>
          <cell r="O35" t="str">
            <v>LAHORE</v>
          </cell>
          <cell r="P35" t="str">
            <v>H.NO. E-27/28,, GHOUSIA COLONY, WALTON ROAD LAHORE</v>
          </cell>
          <cell r="Q35" t="str">
            <v>11000003</v>
          </cell>
          <cell r="R35" t="str">
            <v>SUZUKI Swift GLX CVT</v>
          </cell>
          <cell r="S35" t="str">
            <v>2024</v>
          </cell>
          <cell r="T35"/>
          <cell r="U35" t="str">
            <v>K12MR1020460</v>
          </cell>
          <cell r="V35" t="str">
            <v>NF1SZC63S00203106</v>
          </cell>
          <cell r="W35"/>
          <cell r="X35"/>
          <cell r="Y35">
            <v>4719000</v>
          </cell>
          <cell r="Z35">
            <v>60978</v>
          </cell>
          <cell r="AA35">
            <v>70785</v>
          </cell>
        </row>
        <row r="36">
          <cell r="B36" t="str">
            <v>KHI/HO/D/MO/PC COMP/C/92178/1/07/2024</v>
          </cell>
          <cell r="C36"/>
          <cell r="D36" t="str">
            <v>FRE</v>
          </cell>
          <cell r="E36" t="str">
            <v>02/07/24</v>
          </cell>
          <cell r="F36" t="str">
            <v>02/07/2024</v>
          </cell>
          <cell r="G36" t="str">
            <v>01/07/2025</v>
          </cell>
          <cell r="H36" t="str">
            <v>08000840</v>
          </cell>
          <cell r="I36" t="str">
            <v>MEEZAN BANK LTD - SATIANA ROAD BR - FSD</v>
          </cell>
          <cell r="J36" t="str">
            <v>BANK</v>
          </cell>
          <cell r="K36" t="str">
            <v>M/s. Meezan Bank Limited Satiana Road Faisalabad Branch
User Mr. 
M/s. Meezan Bank Limited Satiana Road Faisalabad Branch
User Mr. Riaz Ul Haq</v>
          </cell>
          <cell r="L36" t="str">
            <v>D</v>
          </cell>
          <cell r="M36" t="str">
            <v>09000221</v>
          </cell>
          <cell r="N36">
            <v>100</v>
          </cell>
          <cell r="O36"/>
          <cell r="P36" t="str">
            <v>PO Khas Chak 371 JB Ganda Singh Gojra Distt Toba Tek Singh</v>
          </cell>
          <cell r="Q36" t="str">
            <v>11000003</v>
          </cell>
          <cell r="R36" t="str">
            <v>SUZUKI WAGON-R VXR</v>
          </cell>
          <cell r="S36" t="str">
            <v>2024</v>
          </cell>
          <cell r="T36"/>
          <cell r="U36" t="str">
            <v>PK10B247038</v>
          </cell>
          <cell r="V36" t="str">
            <v>A1J310PK10147038</v>
          </cell>
          <cell r="W36"/>
          <cell r="X36"/>
          <cell r="Y36">
            <v>3164000</v>
          </cell>
          <cell r="Z36">
            <v>40483</v>
          </cell>
          <cell r="AA36">
            <v>47460</v>
          </cell>
        </row>
        <row r="37">
          <cell r="B37" t="str">
            <v>KHI/HO/D/MO/PC COMP/C/92202/1/07/2024</v>
          </cell>
          <cell r="C37"/>
          <cell r="D37" t="str">
            <v>FRE</v>
          </cell>
          <cell r="E37" t="str">
            <v>02/07/24</v>
          </cell>
          <cell r="F37" t="str">
            <v>02/07/2024</v>
          </cell>
          <cell r="G37" t="str">
            <v>01/07/2025</v>
          </cell>
          <cell r="H37" t="str">
            <v>08000213</v>
          </cell>
          <cell r="I37" t="str">
            <v>MEEZAN BANK LTD - BHAWALPUR BRANCH</v>
          </cell>
          <cell r="J37" t="str">
            <v>BANK</v>
          </cell>
          <cell r="K37" t="str">
            <v>M/s. Meezan Bank Limited Bahawalpur Branch 
User Mr. 
M/s. Meezan Bank Limited Bahawalpur Branch 
User Mr. ABDUL RASHID</v>
          </cell>
          <cell r="L37" t="str">
            <v>D</v>
          </cell>
          <cell r="M37" t="str">
            <v>09000221</v>
          </cell>
          <cell r="N37">
            <v>100</v>
          </cell>
          <cell r="O37" t="str">
            <v>MULTAN</v>
          </cell>
          <cell r="P37" t="str">
            <v>VEHARI MULTAN ROAD, GARAHMORE, TEHSIL MAILSI, DIST VEHARI,</v>
          </cell>
          <cell r="Q37" t="str">
            <v>11000003</v>
          </cell>
          <cell r="R37" t="str">
            <v>SUZUKI Swift GLX CVT</v>
          </cell>
          <cell r="S37" t="str">
            <v>2024</v>
          </cell>
          <cell r="T37"/>
          <cell r="U37" t="str">
            <v>K12MR1020656</v>
          </cell>
          <cell r="V37" t="str">
            <v>NF1SZC63S00203317</v>
          </cell>
          <cell r="W37"/>
          <cell r="X37"/>
          <cell r="Y37">
            <v>4719000</v>
          </cell>
          <cell r="Z37">
            <v>60590</v>
          </cell>
          <cell r="AA37">
            <v>70785</v>
          </cell>
        </row>
        <row r="38">
          <cell r="B38" t="str">
            <v>KHI/HO/D/MO/PC COMP/C/92208/1/07/2024</v>
          </cell>
          <cell r="C38"/>
          <cell r="D38" t="str">
            <v>FRE</v>
          </cell>
          <cell r="E38" t="str">
            <v>02/07/24</v>
          </cell>
          <cell r="F38" t="str">
            <v>02/07/2024</v>
          </cell>
          <cell r="G38" t="str">
            <v>01/07/2025</v>
          </cell>
          <cell r="H38" t="str">
            <v>08001078</v>
          </cell>
          <cell r="I38" t="str">
            <v>MEEZAN BANK LTD - KASHMIR ROAD BR - SIALKOT</v>
          </cell>
          <cell r="J38" t="str">
            <v>BANK</v>
          </cell>
          <cell r="K38" t="str">
            <v>M/s. Meezan Bank Limited Sialkot Branch 
User Mr. 
M/s. Meezan Bank Limited Sialkot Branch 
User Mr. Zeeshan Zahid</v>
          </cell>
          <cell r="L38" t="str">
            <v>D</v>
          </cell>
          <cell r="M38" t="str">
            <v>09000221</v>
          </cell>
          <cell r="N38">
            <v>100</v>
          </cell>
          <cell r="O38" t="str">
            <v>SIALKOT</v>
          </cell>
          <cell r="P38" t="str">
            <v>Askari Colony 1 H No 155 St No 6 Sialkot Colony Cantt Area Teh And Distt Sialkot</v>
          </cell>
          <cell r="Q38" t="str">
            <v>11000003</v>
          </cell>
          <cell r="R38" t="str">
            <v>SUZUKI Swift GLX CVT</v>
          </cell>
          <cell r="S38" t="str">
            <v>2024</v>
          </cell>
          <cell r="T38"/>
          <cell r="U38" t="str">
            <v>K12MR1020698</v>
          </cell>
          <cell r="V38" t="str">
            <v>NF1SZC63S00203350</v>
          </cell>
          <cell r="W38"/>
          <cell r="X38"/>
          <cell r="Y38">
            <v>4719000</v>
          </cell>
          <cell r="Z38">
            <v>60590</v>
          </cell>
          <cell r="AA38">
            <v>70785</v>
          </cell>
        </row>
        <row r="39">
          <cell r="B39" t="str">
            <v>KHI/HO/D/MO/PC COMP/C/92209/1/07/2024</v>
          </cell>
          <cell r="C39"/>
          <cell r="D39" t="str">
            <v>FRE</v>
          </cell>
          <cell r="E39" t="str">
            <v>02/07/24</v>
          </cell>
          <cell r="F39" t="str">
            <v>02/07/2024</v>
          </cell>
          <cell r="G39" t="str">
            <v>01/07/2025</v>
          </cell>
          <cell r="H39" t="str">
            <v>08000156</v>
          </cell>
          <cell r="I39" t="str">
            <v>MEEZAN BANK LIMITED, ABDALI ROAD BRANCH, MULTAN</v>
          </cell>
          <cell r="J39" t="str">
            <v>BANK</v>
          </cell>
          <cell r="K39" t="str">
            <v>M/s. Meezan Bank Limited Multan Branch 
User Mr. 
M/s. Meezan Bank Limited Multan Branch 
User Mr. MUHAMMAD SHARAZ</v>
          </cell>
          <cell r="L39" t="str">
            <v>D</v>
          </cell>
          <cell r="M39" t="str">
            <v>09000221</v>
          </cell>
          <cell r="N39">
            <v>100</v>
          </cell>
          <cell r="O39" t="str">
            <v>MULTAN</v>
          </cell>
          <cell r="P39" t="str">
            <v>HOUSE NO 45 A , MADINA TOWN, CHAK 111 P, RAHIM YAR KHAN</v>
          </cell>
          <cell r="Q39" t="str">
            <v>11000003</v>
          </cell>
          <cell r="R39" t="str">
            <v>HONDA CITY I-VTEC 1.2</v>
          </cell>
          <cell r="S39" t="str">
            <v>2024</v>
          </cell>
          <cell r="T39"/>
          <cell r="U39" t="str">
            <v>L12B51025178</v>
          </cell>
          <cell r="V39" t="str">
            <v>NFBGN8629RR041396</v>
          </cell>
          <cell r="W39"/>
          <cell r="X39"/>
          <cell r="Y39">
            <v>4714000</v>
          </cell>
          <cell r="Z39">
            <v>60526</v>
          </cell>
          <cell r="AA39">
            <v>70710</v>
          </cell>
        </row>
        <row r="40">
          <cell r="B40" t="str">
            <v>KHI/HO/D/MO/PC COMP/C/92219/1/07/2024</v>
          </cell>
          <cell r="C40"/>
          <cell r="D40" t="str">
            <v>FRE</v>
          </cell>
          <cell r="E40" t="str">
            <v>03/07/24</v>
          </cell>
          <cell r="F40" t="str">
            <v>03/07/2024</v>
          </cell>
          <cell r="G40" t="str">
            <v>02/07/2025</v>
          </cell>
          <cell r="H40" t="str">
            <v>08000495</v>
          </cell>
          <cell r="I40" t="str">
            <v>MEEZAN BANK LTD. - ISLAMABAD BRANCH - ISD</v>
          </cell>
          <cell r="J40" t="str">
            <v>BANK</v>
          </cell>
          <cell r="K40" t="str">
            <v>M/s. Meezan Bank Limited Jinnah Avenue Blue Area Islamabad 
M/s. Meezan Bank Limited Jinnah Avenue Blue Area Islamabad
User Mr. Mobeen Ahmad</v>
          </cell>
          <cell r="L40" t="str">
            <v>D</v>
          </cell>
          <cell r="M40" t="str">
            <v>09000221</v>
          </cell>
          <cell r="N40">
            <v>100</v>
          </cell>
          <cell r="O40" t="str">
            <v>ISLAMABAD</v>
          </cell>
          <cell r="P40" t="str">
            <v>HOUSE NO 13 BLOCK B, MEHRAN ROAD, SOAN GARDEN, ISLAMABAD</v>
          </cell>
          <cell r="Q40" t="str">
            <v>11000003</v>
          </cell>
          <cell r="R40" t="str">
            <v>HONDA CITY 1.2  LS CVT</v>
          </cell>
          <cell r="S40" t="str">
            <v>2024</v>
          </cell>
          <cell r="T40"/>
          <cell r="U40" t="str">
            <v>L12B51025190</v>
          </cell>
          <cell r="V40" t="str">
            <v>NFBGN8623RR041412</v>
          </cell>
          <cell r="W40"/>
          <cell r="X40" t="str">
            <v>3</v>
          </cell>
          <cell r="Y40">
            <v>4714000</v>
          </cell>
          <cell r="Z40">
            <v>60526</v>
          </cell>
          <cell r="AA40">
            <v>70710</v>
          </cell>
        </row>
        <row r="41">
          <cell r="B41" t="str">
            <v>KHI/HO/D/MO/PC COMP/C/92178/2/07/2024</v>
          </cell>
          <cell r="C41"/>
          <cell r="D41" t="str">
            <v>FRE</v>
          </cell>
          <cell r="E41" t="str">
            <v>03/07/24</v>
          </cell>
          <cell r="F41" t="str">
            <v>18/07/2024</v>
          </cell>
          <cell r="G41" t="str">
            <v>17/07/2025</v>
          </cell>
          <cell r="H41" t="str">
            <v>08000840</v>
          </cell>
          <cell r="I41" t="str">
            <v>MEEZAN BANK LTD - SATIANA ROAD BR - FSD</v>
          </cell>
          <cell r="J41" t="str">
            <v>BANK</v>
          </cell>
          <cell r="K41" t="str">
            <v>M/s. Meezan Bank Limited Satiana Road Faisalabad Branch
User Mr. 
M/s. Meezan Bank Limited Satiana Road Faisalabad Branch
User Mr. Faisal Mehmood</v>
          </cell>
          <cell r="L41" t="str">
            <v>D</v>
          </cell>
          <cell r="M41" t="str">
            <v>09000221</v>
          </cell>
          <cell r="N41">
            <v>100</v>
          </cell>
          <cell r="O41"/>
          <cell r="P41" t="str">
            <v>H No 206 Sitara Gold City Satiyana Road Faisalabad</v>
          </cell>
          <cell r="Q41" t="str">
            <v>11000003</v>
          </cell>
          <cell r="R41" t="str">
            <v>SUZUKI Swift GLX CVT</v>
          </cell>
          <cell r="S41" t="str">
            <v>2024</v>
          </cell>
          <cell r="T41"/>
          <cell r="U41" t="str">
            <v>K12MR1020591</v>
          </cell>
          <cell r="V41" t="str">
            <v>NF1SZC63S00203401</v>
          </cell>
          <cell r="W41"/>
          <cell r="X41"/>
          <cell r="Y41">
            <v>4719000</v>
          </cell>
          <cell r="Z41">
            <v>61022</v>
          </cell>
          <cell r="AA41">
            <v>70785</v>
          </cell>
        </row>
        <row r="42">
          <cell r="B42" t="str">
            <v>KHI/HO/D/MO/PC COMP/C/92132/3/07/2024</v>
          </cell>
          <cell r="C42"/>
          <cell r="D42" t="str">
            <v>FRE</v>
          </cell>
          <cell r="E42" t="str">
            <v>03/07/24</v>
          </cell>
          <cell r="F42" t="str">
            <v>03/07/2024</v>
          </cell>
          <cell r="G42" t="str">
            <v>02/07/2025</v>
          </cell>
          <cell r="H42" t="str">
            <v>08000025</v>
          </cell>
          <cell r="I42" t="str">
            <v>MEEZAN BANK LIMITED MAIN</v>
          </cell>
          <cell r="J42" t="str">
            <v>BANK</v>
          </cell>
          <cell r="K42" t="str">
            <v>M/s. Meezan Bank Limited Main Branch Karachi .
M/s. Meezan Bank Limited Main Branch Karachi .
User Mr. Kanwar Lal</v>
          </cell>
          <cell r="L42" t="str">
            <v>D</v>
          </cell>
          <cell r="M42" t="str">
            <v>09000221</v>
          </cell>
          <cell r="N42">
            <v>100</v>
          </cell>
          <cell r="O42" t="str">
            <v>HYDERABAD</v>
          </cell>
          <cell r="P42" t="str">
            <v>HOUSE NO 232, MUHALLA USTA GALI, USTA MUHAMMAD, TEH USTA MUHAMMAD, DISTT JAFFARABAD</v>
          </cell>
          <cell r="Q42" t="str">
            <v>11000003</v>
          </cell>
          <cell r="R42" t="str">
            <v>SUZUKI Swift GLX CVT</v>
          </cell>
          <cell r="S42" t="str">
            <v>2024</v>
          </cell>
          <cell r="T42" t="str">
            <v>CAC-109</v>
          </cell>
          <cell r="U42" t="str">
            <v>K12MR1020774</v>
          </cell>
          <cell r="V42" t="str">
            <v>NF1SZC63S00203447</v>
          </cell>
          <cell r="W42"/>
          <cell r="X42" t="str">
            <v>3</v>
          </cell>
          <cell r="Y42">
            <v>4719000</v>
          </cell>
          <cell r="Z42">
            <v>61022</v>
          </cell>
          <cell r="AA42">
            <v>70785</v>
          </cell>
        </row>
        <row r="43">
          <cell r="B43" t="str">
            <v>KHI/HO/D/MO/PC COMP/C/92202/2/07/2024</v>
          </cell>
          <cell r="C43"/>
          <cell r="D43" t="str">
            <v>FRE</v>
          </cell>
          <cell r="E43" t="str">
            <v>03/07/24</v>
          </cell>
          <cell r="F43" t="str">
            <v>03/07/2024</v>
          </cell>
          <cell r="G43" t="str">
            <v>02/07/2025</v>
          </cell>
          <cell r="H43" t="str">
            <v>08000213</v>
          </cell>
          <cell r="I43" t="str">
            <v>MEEZAN BANK LTD - BHAWALPUR BRANCH</v>
          </cell>
          <cell r="J43" t="str">
            <v>BANK</v>
          </cell>
          <cell r="K43" t="str">
            <v>M/s. Meezan Bank Limited Bahawalpur Branch 
User Mr. 
M/s. Meezan Bank Limited Bahawalpur Branch 
User Mr. MUHAMMAD AWAIS KHAN</v>
          </cell>
          <cell r="L43" t="str">
            <v>D</v>
          </cell>
          <cell r="M43" t="str">
            <v>09000221</v>
          </cell>
          <cell r="N43">
            <v>100</v>
          </cell>
          <cell r="O43" t="str">
            <v>MULTAN</v>
          </cell>
          <cell r="P43" t="str">
            <v>MUHALLAH DEWAN, PO KHAS MUBARIKPUR, TEH AHMADPUR EAT DIST, BAHAWALPUR</v>
          </cell>
          <cell r="Q43" t="str">
            <v>11000003</v>
          </cell>
          <cell r="R43" t="str">
            <v>HONDA CITY I-VTEC 1.2</v>
          </cell>
          <cell r="S43" t="str">
            <v>2024</v>
          </cell>
          <cell r="T43"/>
          <cell r="U43" t="str">
            <v>L12B51025229</v>
          </cell>
          <cell r="V43" t="str">
            <v>NFBGN8629RR041446</v>
          </cell>
          <cell r="W43"/>
          <cell r="X43"/>
          <cell r="Y43">
            <v>4714000</v>
          </cell>
          <cell r="Z43">
            <v>60956</v>
          </cell>
          <cell r="AA43">
            <v>70710</v>
          </cell>
        </row>
        <row r="44">
          <cell r="B44" t="str">
            <v>KHI/HO/D/MO/PC COMP/C/92275/1/07/2024</v>
          </cell>
          <cell r="C44"/>
          <cell r="D44" t="str">
            <v>FRE</v>
          </cell>
          <cell r="E44" t="str">
            <v>03/07/24</v>
          </cell>
          <cell r="F44" t="str">
            <v>03/07/2024</v>
          </cell>
          <cell r="G44" t="str">
            <v>02/07/2025</v>
          </cell>
          <cell r="H44" t="str">
            <v>08000692</v>
          </cell>
          <cell r="I44" t="str">
            <v>MEEZAN BANK LTD - SADDAR BRANCH - RAWALPINDI</v>
          </cell>
          <cell r="J44" t="str">
            <v>BANK</v>
          </cell>
          <cell r="K44" t="str">
            <v>M/s. Meezan Bank Limited Saddar Branch Rawalpindi 
User Mr. 
M/s. Meezan Bank Limited Saddar Branch Rawalpindi 
User Mr. Farab Hussain Qurashi</v>
          </cell>
          <cell r="L44" t="str">
            <v>D</v>
          </cell>
          <cell r="M44" t="str">
            <v>09000221</v>
          </cell>
          <cell r="N44">
            <v>100</v>
          </cell>
          <cell r="O44" t="str">
            <v>RAWALPINDI</v>
          </cell>
          <cell r="P44" t="str">
            <v>H No 141 B Street No 6 Medina Town Rawalpindi</v>
          </cell>
          <cell r="Q44" t="str">
            <v>11000003</v>
          </cell>
          <cell r="R44" t="str">
            <v>SUZUKI WAGON R VXL AGS</v>
          </cell>
          <cell r="S44" t="str">
            <v>2020</v>
          </cell>
          <cell r="T44"/>
          <cell r="U44" t="str">
            <v>PK10B241678</v>
          </cell>
          <cell r="V44" t="str">
            <v>A1J310PK10141675</v>
          </cell>
          <cell r="W44"/>
          <cell r="X44"/>
          <cell r="Y44">
            <v>2960000</v>
          </cell>
          <cell r="Z44">
            <v>37845</v>
          </cell>
          <cell r="AA44">
            <v>44400</v>
          </cell>
        </row>
        <row r="45">
          <cell r="B45" t="str">
            <v>KHI/HO/D/MO/PC COMP/C/92132/4/07/2024</v>
          </cell>
          <cell r="C45"/>
          <cell r="D45" t="str">
            <v>FRE</v>
          </cell>
          <cell r="E45" t="str">
            <v>03/07/24</v>
          </cell>
          <cell r="F45" t="str">
            <v>03/07/2024</v>
          </cell>
          <cell r="G45" t="str">
            <v>02/07/2025</v>
          </cell>
          <cell r="H45" t="str">
            <v>08000025</v>
          </cell>
          <cell r="I45" t="str">
            <v>MEEZAN BANK LIMITED MAIN</v>
          </cell>
          <cell r="J45" t="str">
            <v>BANK</v>
          </cell>
          <cell r="K45" t="str">
            <v>M/s. Meezan Bank Limited Main Branch Karachi .
M/s. Meezan Bank Limited Main Branch Karachi .
User Mr. Muhammad Farooq</v>
          </cell>
          <cell r="L45" t="str">
            <v>D</v>
          </cell>
          <cell r="M45" t="str">
            <v>09000221</v>
          </cell>
          <cell r="N45">
            <v>100</v>
          </cell>
          <cell r="O45"/>
          <cell r="P45" t="str">
            <v>House No. 792 / b , Muhalla Meero Dero, Larkana, Larkana</v>
          </cell>
          <cell r="Q45" t="str">
            <v>11000003</v>
          </cell>
          <cell r="R45" t="str">
            <v>SUZUKI Swift GLX CVT</v>
          </cell>
          <cell r="S45" t="str">
            <v>2024</v>
          </cell>
          <cell r="T45"/>
          <cell r="U45" t="str">
            <v>K12MR1020710</v>
          </cell>
          <cell r="V45" t="str">
            <v>NF1SZC63S00203359</v>
          </cell>
          <cell r="W45"/>
          <cell r="X45"/>
          <cell r="Y45">
            <v>4719000</v>
          </cell>
          <cell r="Z45">
            <v>61022</v>
          </cell>
          <cell r="AA45">
            <v>70785</v>
          </cell>
        </row>
        <row r="46">
          <cell r="B46" t="str">
            <v>KHI/HO/D/MO/PC COMP/C/92132/5/07/2024</v>
          </cell>
          <cell r="C46"/>
          <cell r="D46" t="str">
            <v>FRE</v>
          </cell>
          <cell r="E46" t="str">
            <v>03/07/24</v>
          </cell>
          <cell r="F46" t="str">
            <v>03/07/2024</v>
          </cell>
          <cell r="G46" t="str">
            <v>02/07/2025</v>
          </cell>
          <cell r="H46" t="str">
            <v>08000025</v>
          </cell>
          <cell r="I46" t="str">
            <v>MEEZAN BANK LIMITED MAIN</v>
          </cell>
          <cell r="J46" t="str">
            <v>BANK</v>
          </cell>
          <cell r="K46" t="str">
            <v>M/s. Meezan Bank Limited Main Branch Karachi .
M/s. Meezan Bank Limited Main Branch Karachi .
User Mr. Khalid Khan</v>
          </cell>
          <cell r="L46" t="str">
            <v>D</v>
          </cell>
          <cell r="M46" t="str">
            <v>09000221</v>
          </cell>
          <cell r="N46">
            <v>100</v>
          </cell>
          <cell r="O46" t="str">
            <v>KARACHI</v>
          </cell>
          <cell r="P46" t="str">
            <v>Muhalla , Waheedabad, Dera Allah Yar, Teshil Jhatpat Distt 
Jaffarabad</v>
          </cell>
          <cell r="Q46" t="str">
            <v>11000003</v>
          </cell>
          <cell r="R46" t="str">
            <v>SUZUKI ALTO VXR</v>
          </cell>
          <cell r="S46" t="str">
            <v>2024</v>
          </cell>
          <cell r="T46"/>
          <cell r="U46" t="str">
            <v>6R310884</v>
          </cell>
          <cell r="V46" t="str">
            <v>NF1AET306H1210833</v>
          </cell>
          <cell r="W46"/>
          <cell r="X46"/>
          <cell r="Y46">
            <v>2707000</v>
          </cell>
          <cell r="Z46">
            <v>35004</v>
          </cell>
          <cell r="AA46">
            <v>40605</v>
          </cell>
        </row>
        <row r="47">
          <cell r="B47" t="str">
            <v>KHI/HO/D/MO/PC COMP/C/92209/2/07/2024</v>
          </cell>
          <cell r="C47"/>
          <cell r="D47" t="str">
            <v>FRE</v>
          </cell>
          <cell r="E47" t="str">
            <v>04/07/24</v>
          </cell>
          <cell r="F47" t="str">
            <v>03/07/2024</v>
          </cell>
          <cell r="G47" t="str">
            <v>02/07/2025</v>
          </cell>
          <cell r="H47" t="str">
            <v>08000156</v>
          </cell>
          <cell r="I47" t="str">
            <v>MEEZAN BANK LIMITED, ABDALI ROAD BRANCH, MULTAN</v>
          </cell>
          <cell r="J47" t="str">
            <v>BANK</v>
          </cell>
          <cell r="K47" t="str">
            <v>M/s. Meezan Bank Limited Multan Branch 
User Mr. 
M/s. Meezan Bank Limited Multan Branch 
User Mr. MUHAMMAD ANWAR</v>
          </cell>
          <cell r="L47" t="str">
            <v>D</v>
          </cell>
          <cell r="M47" t="str">
            <v>09000221</v>
          </cell>
          <cell r="N47">
            <v>100</v>
          </cell>
          <cell r="O47" t="str">
            <v>MULTAN</v>
          </cell>
          <cell r="P47" t="str">
            <v>CHAK NO 3D PO KHAS , RAJOWAL, TEHSIL DEPALPUR , OKARA</v>
          </cell>
          <cell r="Q47" t="str">
            <v>11000003</v>
          </cell>
          <cell r="R47" t="str">
            <v>HONDA CITY 1.2  LS CVT</v>
          </cell>
          <cell r="S47" t="str">
            <v>2024</v>
          </cell>
          <cell r="T47"/>
          <cell r="U47" t="str">
            <v>L12B51025120</v>
          </cell>
          <cell r="V47" t="str">
            <v>NFBGN8626RR041341</v>
          </cell>
          <cell r="W47"/>
          <cell r="X47"/>
          <cell r="Y47">
            <v>4714000</v>
          </cell>
          <cell r="Z47">
            <v>60956</v>
          </cell>
          <cell r="AA47">
            <v>70710</v>
          </cell>
        </row>
        <row r="48">
          <cell r="B48" t="str">
            <v>KHI/HO/D/MO/PC COMP/C/92209/3/07/2024</v>
          </cell>
          <cell r="C48"/>
          <cell r="D48" t="str">
            <v>FRE</v>
          </cell>
          <cell r="E48" t="str">
            <v>04/07/24</v>
          </cell>
          <cell r="F48" t="str">
            <v>04/07/2024</v>
          </cell>
          <cell r="G48" t="str">
            <v>03/07/2025</v>
          </cell>
          <cell r="H48" t="str">
            <v>08000156</v>
          </cell>
          <cell r="I48" t="str">
            <v>MEEZAN BANK LIMITED, ABDALI ROAD BRANCH, MULTAN</v>
          </cell>
          <cell r="J48" t="str">
            <v>BANK</v>
          </cell>
          <cell r="K48" t="str">
            <v>M/s. Meezan Bank Limited Multan Branch 
User Mr. 
M/s. Meezan Bank Limited Multan Branch
User Mr. MUHAMMAD ASIF</v>
          </cell>
          <cell r="L48" t="str">
            <v>D</v>
          </cell>
          <cell r="M48" t="str">
            <v>09000221</v>
          </cell>
          <cell r="N48">
            <v>100</v>
          </cell>
          <cell r="O48" t="str">
            <v>MULTAN</v>
          </cell>
          <cell r="P48" t="str">
            <v>BASTI SHAHANI, PO KHAS MAMOORI, TEH AND DISTT DERA GHAZI KHAN, DERA GHAZI KHAN (ADDA HAIDARABAD CHOTI ZARIN DERA GHAZI KHAN</v>
          </cell>
          <cell r="Q48" t="str">
            <v>11000003</v>
          </cell>
          <cell r="R48" t="str">
            <v>SUZUKI ALTO VXL AGS</v>
          </cell>
          <cell r="S48" t="str">
            <v>2024</v>
          </cell>
          <cell r="T48"/>
          <cell r="U48" t="str">
            <v>6R310167</v>
          </cell>
          <cell r="V48" t="str">
            <v>NF1AET306H1210208</v>
          </cell>
          <cell r="W48"/>
          <cell r="X48"/>
          <cell r="Y48">
            <v>3045000</v>
          </cell>
          <cell r="Z48">
            <v>39375</v>
          </cell>
          <cell r="AA48">
            <v>45675</v>
          </cell>
        </row>
        <row r="49">
          <cell r="B49" t="str">
            <v>KHI/HO/D/MO/PC COMP/C/92209/4/07/2024</v>
          </cell>
          <cell r="C49"/>
          <cell r="D49" t="str">
            <v>FRE</v>
          </cell>
          <cell r="E49" t="str">
            <v>04/07/24</v>
          </cell>
          <cell r="F49" t="str">
            <v>03/07/2024</v>
          </cell>
          <cell r="G49" t="str">
            <v>02/07/2025</v>
          </cell>
          <cell r="H49" t="str">
            <v>08000156</v>
          </cell>
          <cell r="I49" t="str">
            <v>MEEZAN BANK LIMITED, ABDALI ROAD BRANCH, MULTAN</v>
          </cell>
          <cell r="J49" t="str">
            <v>BANK</v>
          </cell>
          <cell r="K49" t="str">
            <v>M/s. Meezan Bank Limited Multan Branch 
User Mr. 
M/s. Meezan Bank Limited Multan Branch
User Mr. MUHAMMAD ASIF</v>
          </cell>
          <cell r="L49" t="str">
            <v>D</v>
          </cell>
          <cell r="M49" t="str">
            <v>09000221</v>
          </cell>
          <cell r="N49">
            <v>100</v>
          </cell>
          <cell r="O49" t="str">
            <v>MULTAN</v>
          </cell>
          <cell r="P49" t="str">
            <v xml:space="preserve"> 100, CHAH PEER JAMATI WALA , MOHALLAH BILAL NAGAR, CHUNGI NO 11, MULTAN</v>
          </cell>
          <cell r="Q49" t="str">
            <v>11000003</v>
          </cell>
          <cell r="R49" t="str">
            <v>HONDA CITY I-VTEC 1.2</v>
          </cell>
          <cell r="S49" t="str">
            <v>2024</v>
          </cell>
          <cell r="T49" t="str">
            <v>ASE-657</v>
          </cell>
          <cell r="U49" t="str">
            <v>L12B51025304</v>
          </cell>
          <cell r="V49" t="str">
            <v>NFBGN8624RR041290</v>
          </cell>
          <cell r="W49"/>
          <cell r="X49"/>
          <cell r="Y49">
            <v>4714000</v>
          </cell>
          <cell r="Z49">
            <v>60956</v>
          </cell>
          <cell r="AA49">
            <v>70710</v>
          </cell>
        </row>
        <row r="50">
          <cell r="B50" t="str">
            <v>KHI/HO/D/MO/PC COMP/C/92155/2/07/2024</v>
          </cell>
          <cell r="C50"/>
          <cell r="D50" t="str">
            <v>FRE</v>
          </cell>
          <cell r="E50" t="str">
            <v>04/07/24</v>
          </cell>
          <cell r="F50" t="str">
            <v>04/07/2024</v>
          </cell>
          <cell r="G50" t="str">
            <v>03/07/2025</v>
          </cell>
          <cell r="H50" t="str">
            <v>08000208</v>
          </cell>
          <cell r="I50" t="str">
            <v>MEEZAN BANK LTD. GULBERG BRANCH LAHORE</v>
          </cell>
          <cell r="J50" t="str">
            <v>BANK</v>
          </cell>
          <cell r="K50" t="str">
            <v>M/s. Meezan Bank limited Gulberg II Lahore Branch
User Mr. 
M/s. Meezan Bank limited Gulberg II Lahore Branch
User Mr. SHAH NAWAZ</v>
          </cell>
          <cell r="L50" t="str">
            <v>D</v>
          </cell>
          <cell r="M50" t="str">
            <v>09000221</v>
          </cell>
          <cell r="N50">
            <v>100</v>
          </cell>
          <cell r="O50" t="str">
            <v>LAHORE</v>
          </cell>
          <cell r="P50" t="str">
            <v>House No 48-G, Street No 01 Model Colony, GULBERG 3, LAHORE</v>
          </cell>
          <cell r="Q50" t="str">
            <v>11000003</v>
          </cell>
          <cell r="R50" t="str">
            <v>SUZUKI ALTO VXL AGS</v>
          </cell>
          <cell r="S50" t="str">
            <v>2024</v>
          </cell>
          <cell r="T50"/>
          <cell r="U50" t="str">
            <v>6R314176</v>
          </cell>
          <cell r="V50" t="str">
            <v>NF1AET306H1214191</v>
          </cell>
          <cell r="W50"/>
          <cell r="X50"/>
          <cell r="Y50">
            <v>3045000</v>
          </cell>
          <cell r="Z50">
            <v>39375</v>
          </cell>
          <cell r="AA50">
            <v>45675</v>
          </cell>
        </row>
        <row r="51">
          <cell r="B51" t="str">
            <v>KHI/HO/D/MO/PC COMP/C/92132/6/07/2024</v>
          </cell>
          <cell r="C51"/>
          <cell r="D51" t="str">
            <v>FRE</v>
          </cell>
          <cell r="E51" t="str">
            <v>04/07/24</v>
          </cell>
          <cell r="F51" t="str">
            <v>04/07/2024</v>
          </cell>
          <cell r="G51" t="str">
            <v>03/07/2025</v>
          </cell>
          <cell r="H51" t="str">
            <v>08000025</v>
          </cell>
          <cell r="I51" t="str">
            <v>MEEZAN BANK LIMITED MAIN</v>
          </cell>
          <cell r="J51" t="str">
            <v>BANK</v>
          </cell>
          <cell r="K51" t="str">
            <v>M/s. Meezan Bank Limited Main Branch Karachi .
M/s. Meezan Bank Limited Main Branch Karachi 
User Mr. MUHAMMAD FAYYAZ</v>
          </cell>
          <cell r="L51" t="str">
            <v>D</v>
          </cell>
          <cell r="M51" t="str">
            <v>09000221</v>
          </cell>
          <cell r="N51">
            <v>100</v>
          </cell>
          <cell r="O51" t="str">
            <v>KARACHI</v>
          </cell>
          <cell r="P51" t="str">
            <v>FLAT NO. 503, GULSHAN MANZIL, HASHIM STREET BHIMPURA, KARACHI</v>
          </cell>
          <cell r="Q51" t="str">
            <v>11000003</v>
          </cell>
          <cell r="R51" t="str">
            <v>SUZUKI ALTO VXL</v>
          </cell>
          <cell r="S51" t="str">
            <v>2023</v>
          </cell>
          <cell r="T51" t="str">
            <v>BYP-515</v>
          </cell>
          <cell r="U51" t="str">
            <v>6R271617</v>
          </cell>
          <cell r="V51" t="str">
            <v>NF1AET306H1171613</v>
          </cell>
          <cell r="W51"/>
          <cell r="X51"/>
          <cell r="Y51">
            <v>2800000</v>
          </cell>
          <cell r="Z51">
            <v>36207</v>
          </cell>
          <cell r="AA51">
            <v>42000</v>
          </cell>
        </row>
        <row r="52">
          <cell r="B52" t="str">
            <v>KHI/HO/D/MO/PC COMP/C/92209/5/07/2024</v>
          </cell>
          <cell r="C52"/>
          <cell r="D52" t="str">
            <v>FRE</v>
          </cell>
          <cell r="E52" t="str">
            <v>04/07/24</v>
          </cell>
          <cell r="F52" t="str">
            <v>04/07/2024</v>
          </cell>
          <cell r="G52" t="str">
            <v>03/07/2025</v>
          </cell>
          <cell r="H52" t="str">
            <v>08000156</v>
          </cell>
          <cell r="I52" t="str">
            <v>MEEZAN BANK LIMITED, ABDALI ROAD BRANCH, MULTAN</v>
          </cell>
          <cell r="J52" t="str">
            <v>BANK</v>
          </cell>
          <cell r="K52" t="str">
            <v>M/s. Meezan Bank Limited Multan Branch 
User Mr. 
M/s. Meezan Bank Limited Multan Branch 
User Mr. HASHIM KHALIL</v>
          </cell>
          <cell r="L52" t="str">
            <v>D</v>
          </cell>
          <cell r="M52" t="str">
            <v>09000221</v>
          </cell>
          <cell r="N52">
            <v>100</v>
          </cell>
          <cell r="O52"/>
          <cell r="P52" t="str">
            <v>MOHALLAH FARID ABAD COLONY, JAMPUR, DISTRICT RAJANPUR</v>
          </cell>
          <cell r="Q52" t="str">
            <v>11000003</v>
          </cell>
          <cell r="R52" t="str">
            <v>SUZUKI Swift GL</v>
          </cell>
          <cell r="S52" t="str">
            <v>2022</v>
          </cell>
          <cell r="T52"/>
          <cell r="U52" t="str">
            <v>K12MR1004510</v>
          </cell>
          <cell r="V52" t="str">
            <v>NF1SZC63S00104505</v>
          </cell>
          <cell r="W52"/>
          <cell r="X52"/>
          <cell r="Y52">
            <v>3600000</v>
          </cell>
          <cell r="Z52">
            <v>46551</v>
          </cell>
          <cell r="AA52">
            <v>54000</v>
          </cell>
        </row>
        <row r="53">
          <cell r="B53" t="str">
            <v>KHI/HO/D/MO/PC COMP/C/92132/7/07/2024</v>
          </cell>
          <cell r="C53"/>
          <cell r="D53" t="str">
            <v>FRE</v>
          </cell>
          <cell r="E53" t="str">
            <v>05/07/24</v>
          </cell>
          <cell r="F53" t="str">
            <v>05/07/2024</v>
          </cell>
          <cell r="G53" t="str">
            <v>04/07/2025</v>
          </cell>
          <cell r="H53" t="str">
            <v>08000025</v>
          </cell>
          <cell r="I53" t="str">
            <v>MEEZAN BANK LIMITED MAIN</v>
          </cell>
          <cell r="J53" t="str">
            <v>BANK</v>
          </cell>
          <cell r="K53" t="str">
            <v>M/s. Meezan Bank Limited Main Branch Karachi .
M/s. Meezan Bank Limited Main Branch Karachi
User Mr. MUHAMMED ZUBAIR</v>
          </cell>
          <cell r="L53" t="str">
            <v>D</v>
          </cell>
          <cell r="M53" t="str">
            <v>09000221</v>
          </cell>
          <cell r="N53">
            <v>100</v>
          </cell>
          <cell r="O53" t="str">
            <v>KARACHI</v>
          </cell>
          <cell r="P53" t="str">
            <v>HOUSE NO A 72 SECTOR 18 A, QUETTA TOWN COOPERATIVE , HOUSING SOCIETY, KDA SCH 33, KARACHI</v>
          </cell>
          <cell r="Q53" t="str">
            <v>11000003</v>
          </cell>
          <cell r="R53" t="str">
            <v>KIA PICANTO 1.0L A/T</v>
          </cell>
          <cell r="S53" t="str">
            <v>2024</v>
          </cell>
          <cell r="T53"/>
          <cell r="U53" t="str">
            <v>G3LARP034248</v>
          </cell>
          <cell r="V53" t="str">
            <v>NNATA52AZRP713642</v>
          </cell>
          <cell r="W53"/>
          <cell r="X53"/>
          <cell r="Y53">
            <v>3860000</v>
          </cell>
          <cell r="Z53">
            <v>49914</v>
          </cell>
          <cell r="AA53">
            <v>57900</v>
          </cell>
        </row>
        <row r="54">
          <cell r="B54" t="str">
            <v>KHI/HO/D/MO/PC COMP/C/92178/3/07/2024</v>
          </cell>
          <cell r="C54"/>
          <cell r="D54" t="str">
            <v>FRE</v>
          </cell>
          <cell r="E54" t="str">
            <v>05/07/24</v>
          </cell>
          <cell r="F54" t="str">
            <v>05/07/2024</v>
          </cell>
          <cell r="G54" t="str">
            <v>04/07/2025</v>
          </cell>
          <cell r="H54" t="str">
            <v>08000840</v>
          </cell>
          <cell r="I54" t="str">
            <v>MEEZAN BANK LTD - SATIANA ROAD BR - FSD</v>
          </cell>
          <cell r="J54" t="str">
            <v>BANK</v>
          </cell>
          <cell r="K54" t="str">
            <v>M/s. Meezan Bank Limited Satiana Road Faisalabad Branch
User Mr. 
M/s. Meezan Bank Limited Satiana Road Faisalabad Branch
User Mr. Israr Hussain</v>
          </cell>
          <cell r="L54" t="str">
            <v>D</v>
          </cell>
          <cell r="M54" t="str">
            <v>09000221</v>
          </cell>
          <cell r="N54">
            <v>100</v>
          </cell>
          <cell r="O54" t="str">
            <v>FAISALABAD</v>
          </cell>
          <cell r="P54" t="str">
            <v>H No 1290 Block C Millat Town Society C Faisalabad</v>
          </cell>
          <cell r="Q54" t="str">
            <v>11000003</v>
          </cell>
          <cell r="R54" t="str">
            <v>SUZUKI ALTO VXL AGS</v>
          </cell>
          <cell r="S54" t="str">
            <v>2024</v>
          </cell>
          <cell r="T54" t="str">
            <v>ASF-378</v>
          </cell>
          <cell r="U54" t="str">
            <v>6R312482</v>
          </cell>
          <cell r="V54" t="str">
            <v>NF1AET306H1212476</v>
          </cell>
          <cell r="W54"/>
          <cell r="X54"/>
          <cell r="Y54">
            <v>3045000</v>
          </cell>
          <cell r="Z54">
            <v>39375</v>
          </cell>
          <cell r="AA54">
            <v>45675</v>
          </cell>
        </row>
        <row r="55">
          <cell r="B55" t="str">
            <v>KHI/HO/D/MO/PC COMP/C/92209/6/07/2024</v>
          </cell>
          <cell r="C55"/>
          <cell r="D55" t="str">
            <v>FRE</v>
          </cell>
          <cell r="E55" t="str">
            <v>05/07/24</v>
          </cell>
          <cell r="F55" t="str">
            <v>05/07/2024</v>
          </cell>
          <cell r="G55" t="str">
            <v>04/07/2025</v>
          </cell>
          <cell r="H55" t="str">
            <v>08000156</v>
          </cell>
          <cell r="I55" t="str">
            <v>MEEZAN BANK LIMITED, ABDALI ROAD BRANCH, MULTAN</v>
          </cell>
          <cell r="J55" t="str">
            <v>BANK</v>
          </cell>
          <cell r="K55" t="str">
            <v>M/s. Meezan Bank Limited Multan Branch 
User Mr. 
M/s. Meezan Bank Limited Multan Branch 
User Mr. Muhammad Mustafa Bilal</v>
          </cell>
          <cell r="L55" t="str">
            <v>D</v>
          </cell>
          <cell r="M55" t="str">
            <v>09000221</v>
          </cell>
          <cell r="N55">
            <v>100</v>
          </cell>
          <cell r="O55" t="str">
            <v>MULTAN</v>
          </cell>
          <cell r="P55" t="str">
            <v>Multan Whole Sale Cloth Market Chungi No 14 Moh Manzoor abad Street No 2 Multan</v>
          </cell>
          <cell r="Q55" t="str">
            <v>11000003</v>
          </cell>
          <cell r="R55" t="str">
            <v>PRINCE PEARL</v>
          </cell>
          <cell r="S55" t="str">
            <v>2024</v>
          </cell>
          <cell r="T55"/>
          <cell r="U55" t="str">
            <v>N05603966W</v>
          </cell>
          <cell r="V55" t="str">
            <v>RAILPPM24E04544</v>
          </cell>
          <cell r="W55"/>
          <cell r="X55"/>
          <cell r="Y55">
            <v>1866100</v>
          </cell>
          <cell r="Z55">
            <v>24131</v>
          </cell>
          <cell r="AA55">
            <v>27992</v>
          </cell>
        </row>
        <row r="56">
          <cell r="B56" t="str">
            <v>KHI/HO/D/MO/PC COMP/C/92155/3/07/2024</v>
          </cell>
          <cell r="C56"/>
          <cell r="D56" t="str">
            <v>FRE</v>
          </cell>
          <cell r="E56" t="str">
            <v>05/07/24</v>
          </cell>
          <cell r="F56" t="str">
            <v>05/07/2024</v>
          </cell>
          <cell r="G56" t="str">
            <v>04/07/2025</v>
          </cell>
          <cell r="H56" t="str">
            <v>08000208</v>
          </cell>
          <cell r="I56" t="str">
            <v>MEEZAN BANK LTD. GULBERG BRANCH LAHORE</v>
          </cell>
          <cell r="J56" t="str">
            <v>BANK</v>
          </cell>
          <cell r="K56" t="str">
            <v>M/s. Meezan Bank limited Gulberg II Lahore Branch
User Mr. 
M/s. Meezan Bank limited Gulberg II Lahore Branch
User Mr. IRSHAD MOHSIN</v>
          </cell>
          <cell r="L56" t="str">
            <v>D</v>
          </cell>
          <cell r="M56" t="str">
            <v>09000221</v>
          </cell>
          <cell r="N56">
            <v>100</v>
          </cell>
          <cell r="O56" t="str">
            <v>FAISALABAD</v>
          </cell>
          <cell r="P56" t="str">
            <v>H NO 345, ST NO 5, BLOCK A, MEHAR FAYYAZ COLONY, PUNJAB</v>
          </cell>
          <cell r="Q56" t="str">
            <v>11000003</v>
          </cell>
          <cell r="R56" t="str">
            <v>HONDA CITY</v>
          </cell>
          <cell r="S56" t="str">
            <v>2022</v>
          </cell>
          <cell r="T56" t="str">
            <v>ALD-899</v>
          </cell>
          <cell r="U56" t="str">
            <v>L15Z81008458</v>
          </cell>
          <cell r="V56" t="str">
            <v>NFBGN9646NR019552</v>
          </cell>
          <cell r="W56"/>
          <cell r="X56"/>
          <cell r="Y56">
            <v>4500000</v>
          </cell>
          <cell r="Z56">
            <v>58190</v>
          </cell>
          <cell r="AA56">
            <v>67500</v>
          </cell>
        </row>
        <row r="57">
          <cell r="B57" t="str">
            <v>KHI/HO/D/MO/PC COMP/C/92178/4/07/2024</v>
          </cell>
          <cell r="C57"/>
          <cell r="D57" t="str">
            <v>FRE</v>
          </cell>
          <cell r="E57" t="str">
            <v>05/07/24</v>
          </cell>
          <cell r="F57" t="str">
            <v>05/07/2024</v>
          </cell>
          <cell r="G57" t="str">
            <v>04/07/2025</v>
          </cell>
          <cell r="H57" t="str">
            <v>08000840</v>
          </cell>
          <cell r="I57" t="str">
            <v>MEEZAN BANK LTD - SATIANA ROAD BR - FSD</v>
          </cell>
          <cell r="J57" t="str">
            <v>BANK</v>
          </cell>
          <cell r="K57" t="str">
            <v>M/s. Meezan Bank Limited Satiana Road Faisalabad Branch
User Mr. 
M/s. Meezan Bank Limited Satiana Road Faisalabad Branch
User Mr. Asif Saeed</v>
          </cell>
          <cell r="L57" t="str">
            <v>D</v>
          </cell>
          <cell r="M57" t="str">
            <v>09000221</v>
          </cell>
          <cell r="N57">
            <v>100</v>
          </cell>
          <cell r="O57" t="str">
            <v>FAISALABAD</v>
          </cell>
          <cell r="P57" t="str">
            <v>H No 284 D Eden Valley Canal Road Faisalabad City</v>
          </cell>
          <cell r="Q57" t="str">
            <v>11000003</v>
          </cell>
          <cell r="R57" t="str">
            <v>SUZUKI Swift GLX CVT</v>
          </cell>
          <cell r="S57" t="str">
            <v>2024</v>
          </cell>
          <cell r="T57" t="str">
            <v>BEB-284</v>
          </cell>
          <cell r="U57" t="str">
            <v>K12MR1020773</v>
          </cell>
          <cell r="V57" t="str">
            <v>NF1SZC63S00203470</v>
          </cell>
          <cell r="W57"/>
          <cell r="X57"/>
          <cell r="Y57">
            <v>4719000</v>
          </cell>
          <cell r="Z57">
            <v>61022</v>
          </cell>
          <cell r="AA57">
            <v>70785</v>
          </cell>
        </row>
        <row r="58">
          <cell r="B58" t="str">
            <v>KHI/HO/D/MO/PC COMP/C/92178/5/07/2024</v>
          </cell>
          <cell r="C58"/>
          <cell r="D58" t="str">
            <v>FRE</v>
          </cell>
          <cell r="E58" t="str">
            <v>05/07/24</v>
          </cell>
          <cell r="F58" t="str">
            <v>05/07/2024</v>
          </cell>
          <cell r="G58" t="str">
            <v>04/07/2025</v>
          </cell>
          <cell r="H58" t="str">
            <v>08000840</v>
          </cell>
          <cell r="I58" t="str">
            <v>MEEZAN BANK LTD - SATIANA ROAD BR - FSD</v>
          </cell>
          <cell r="J58" t="str">
            <v>BANK</v>
          </cell>
          <cell r="K58" t="str">
            <v>M/s. Meezan Bank Limited Satiana Road Faisalabad Branch
User Mr. 
M/s. Meezan Bank Limited Satiana Road Faisalabad Branch
User Mr. Abdul Ghafoor</v>
          </cell>
          <cell r="L58" t="str">
            <v>D</v>
          </cell>
          <cell r="M58" t="str">
            <v>09000221</v>
          </cell>
          <cell r="N58">
            <v>100</v>
          </cell>
          <cell r="O58" t="str">
            <v>FAISALABAD</v>
          </cell>
          <cell r="P58" t="str">
            <v>P-480 Sehgal City Samundari Road Faisalabad</v>
          </cell>
          <cell r="Q58" t="str">
            <v>11000003</v>
          </cell>
          <cell r="R58" t="str">
            <v>SUZUKI ALTO VXL AGS</v>
          </cell>
          <cell r="S58" t="str">
            <v>2024</v>
          </cell>
          <cell r="T58"/>
          <cell r="U58" t="str">
            <v>6R313071</v>
          </cell>
          <cell r="V58" t="str">
            <v>NF1AET306H1213019</v>
          </cell>
          <cell r="W58"/>
          <cell r="X58"/>
          <cell r="Y58">
            <v>3045000</v>
          </cell>
          <cell r="Z58">
            <v>39375</v>
          </cell>
          <cell r="AA58">
            <v>45675</v>
          </cell>
        </row>
        <row r="59">
          <cell r="B59" t="str">
            <v>KHI/HO/D/MO/PC COMP/C/92208/2/07/2024</v>
          </cell>
          <cell r="C59"/>
          <cell r="D59" t="str">
            <v>FRE</v>
          </cell>
          <cell r="E59" t="str">
            <v>05/07/24</v>
          </cell>
          <cell r="F59" t="str">
            <v>05/07/2024</v>
          </cell>
          <cell r="G59" t="str">
            <v>04/07/2025</v>
          </cell>
          <cell r="H59" t="str">
            <v>08001078</v>
          </cell>
          <cell r="I59" t="str">
            <v>MEEZAN BANK LTD - KASHMIR ROAD BR - SIALKOT</v>
          </cell>
          <cell r="J59" t="str">
            <v>BANK</v>
          </cell>
          <cell r="K59" t="str">
            <v>M/s. Meezan Bank Limited Sialkot Branch 
User Mr. 
M/s. Meezan Bank Limited Gujrat  Branch 
User Mr. Waqas Ali</v>
          </cell>
          <cell r="L59" t="str">
            <v>D</v>
          </cell>
          <cell r="M59" t="str">
            <v>09000221</v>
          </cell>
          <cell r="N59">
            <v>100</v>
          </cell>
          <cell r="O59" t="str">
            <v>GUJRAT</v>
          </cell>
          <cell r="P59" t="str">
            <v>H No 15/13 Moh Defence Officers Colony Kharian Cantt Teh Kharian Distt Gujrat Teh Kharian Gujrat</v>
          </cell>
          <cell r="Q59" t="str">
            <v>11000003</v>
          </cell>
          <cell r="R59" t="str">
            <v>SUZUKI ALTO VXL AGS</v>
          </cell>
          <cell r="S59" t="str">
            <v>2022</v>
          </cell>
          <cell r="T59"/>
          <cell r="U59" t="str">
            <v>6R227657</v>
          </cell>
          <cell r="V59" t="str">
            <v>NF1AET306H1127673</v>
          </cell>
          <cell r="W59"/>
          <cell r="X59"/>
          <cell r="Y59">
            <v>1747000</v>
          </cell>
          <cell r="Z59">
            <v>22590</v>
          </cell>
          <cell r="AA59">
            <v>26205</v>
          </cell>
        </row>
        <row r="60">
          <cell r="B60" t="str">
            <v>KHI/HO/D/MO/PC COMP/C/92202/3/07/2024</v>
          </cell>
          <cell r="C60"/>
          <cell r="D60" t="str">
            <v>FRE</v>
          </cell>
          <cell r="E60" t="str">
            <v>05/07/24</v>
          </cell>
          <cell r="F60" t="str">
            <v>05/07/2024</v>
          </cell>
          <cell r="G60" t="str">
            <v>04/07/2025</v>
          </cell>
          <cell r="H60" t="str">
            <v>08000213</v>
          </cell>
          <cell r="I60" t="str">
            <v>MEEZAN BANK LTD - BHAWALPUR BRANCH</v>
          </cell>
          <cell r="J60" t="str">
            <v>BANK</v>
          </cell>
          <cell r="K60" t="str">
            <v>M/s. Meezan Bank Limited Bahawalpur Branch 
User Mr. 
M/s. Meezan Bank Limited Bahawalpur Branch 
User Mr. SHAFIQ AHMAD</v>
          </cell>
          <cell r="L60" t="str">
            <v>D</v>
          </cell>
          <cell r="M60" t="str">
            <v>09000221</v>
          </cell>
          <cell r="N60">
            <v>100</v>
          </cell>
          <cell r="O60"/>
          <cell r="P60" t="str">
            <v>CHAK NO 173 EB, TEHSIL BUREWALA, DISTRICT VEHARI (MASTER SUPER</v>
          </cell>
          <cell r="Q60" t="str">
            <v>11000003</v>
          </cell>
          <cell r="R60" t="str">
            <v>SUZUKI CULTUS</v>
          </cell>
          <cell r="S60" t="str">
            <v>2024</v>
          </cell>
          <cell r="T60"/>
          <cell r="U60" t="str">
            <v>PK10K210490</v>
          </cell>
          <cell r="V60" t="str">
            <v>NF1AVK31H10110476</v>
          </cell>
          <cell r="W60"/>
          <cell r="X60"/>
          <cell r="Y60">
            <v>4244000</v>
          </cell>
          <cell r="Z60">
            <v>54879</v>
          </cell>
          <cell r="AA60">
            <v>63660</v>
          </cell>
        </row>
        <row r="61">
          <cell r="B61" t="str">
            <v>KHI/HO/D/MO/PC COMP/C/92132/8/07/2024</v>
          </cell>
          <cell r="C61"/>
          <cell r="D61" t="str">
            <v>FRE</v>
          </cell>
          <cell r="E61" t="str">
            <v>05/07/24</v>
          </cell>
          <cell r="F61" t="str">
            <v>05/07/2024</v>
          </cell>
          <cell r="G61" t="str">
            <v>04/07/2025</v>
          </cell>
          <cell r="H61" t="str">
            <v>08000025</v>
          </cell>
          <cell r="I61" t="str">
            <v>MEEZAN BANK LIMITED MAIN</v>
          </cell>
          <cell r="J61" t="str">
            <v>BANK</v>
          </cell>
          <cell r="K61" t="str">
            <v>M/s. Meezan Bank Limited Main Branch Karachi .
M/s. Meezan Bank Limited Main Branch Karachi
User Mr. Habib Ur Rehman</v>
          </cell>
          <cell r="L61" t="str">
            <v>D</v>
          </cell>
          <cell r="M61" t="str">
            <v>09000221</v>
          </cell>
          <cell r="N61">
            <v>100</v>
          </cell>
          <cell r="O61" t="str">
            <v>LAHORE</v>
          </cell>
          <cell r="P61" t="str">
            <v>House #.44, Naval Colony, Street No.6 Sector No.4, Haroon Bahria Cooperative 
Housing Society, Baldia Town (Marwa Bakery)</v>
          </cell>
          <cell r="Q61" t="str">
            <v>11000003</v>
          </cell>
          <cell r="R61" t="str">
            <v>SUZUKI ALTO VXL</v>
          </cell>
          <cell r="S61" t="str">
            <v>2024</v>
          </cell>
          <cell r="T61"/>
          <cell r="U61" t="str">
            <v>6R313320</v>
          </cell>
          <cell r="V61" t="str">
            <v>NF1AET306H1213244</v>
          </cell>
          <cell r="W61"/>
          <cell r="X61"/>
          <cell r="Y61">
            <v>3045000</v>
          </cell>
          <cell r="Z61">
            <v>39375</v>
          </cell>
          <cell r="AA61">
            <v>45675</v>
          </cell>
        </row>
        <row r="62">
          <cell r="B62" t="str">
            <v>KHI/HO/D/MO/PC COMP/C/92209/7/07/2024</v>
          </cell>
          <cell r="C62"/>
          <cell r="D62" t="str">
            <v>FRE</v>
          </cell>
          <cell r="E62" t="str">
            <v>08/07/24</v>
          </cell>
          <cell r="F62" t="str">
            <v>08/07/2024</v>
          </cell>
          <cell r="G62" t="str">
            <v>07/07/2025</v>
          </cell>
          <cell r="H62" t="str">
            <v>08000156</v>
          </cell>
          <cell r="I62" t="str">
            <v>MEEZAN BANK LIMITED, ABDALI ROAD BRANCH, MULTAN</v>
          </cell>
          <cell r="J62" t="str">
            <v>BANK</v>
          </cell>
          <cell r="K62" t="str">
            <v>M/s. Meezan Bank Limited Multan Branch 
User Mr. 
M/s. Meezan Bank Limited Multan Branch 
User Mr. Muhammad Hassan</v>
          </cell>
          <cell r="L62" t="str">
            <v>D</v>
          </cell>
          <cell r="M62" t="str">
            <v>09000221</v>
          </cell>
          <cell r="N62">
            <v>100</v>
          </cell>
          <cell r="O62" t="str">
            <v>MULTAN</v>
          </cell>
          <cell r="P62" t="str">
            <v>F-37, Street No 15, Buch Villas</v>
          </cell>
          <cell r="Q62" t="str">
            <v>11000003</v>
          </cell>
          <cell r="R62" t="str">
            <v>KIA STONIC EX PLUS 1.368</v>
          </cell>
          <cell r="S62" t="str">
            <v>2024</v>
          </cell>
          <cell r="T62" t="str">
            <v>ALV-707</v>
          </cell>
          <cell r="U62" t="str">
            <v>G4LCNS875528</v>
          </cell>
          <cell r="V62" t="str">
            <v>NNAYB54BZMP701844</v>
          </cell>
          <cell r="W62"/>
          <cell r="X62"/>
          <cell r="Y62">
            <v>4750000</v>
          </cell>
          <cell r="Z62">
            <v>61423</v>
          </cell>
          <cell r="AA62">
            <v>71250</v>
          </cell>
        </row>
        <row r="63">
          <cell r="B63" t="str">
            <v>KHI/HO/D/MO/PC COMP/C/92209/8/07/2024</v>
          </cell>
          <cell r="C63"/>
          <cell r="D63" t="str">
            <v>FRE</v>
          </cell>
          <cell r="E63" t="str">
            <v>09/07/24</v>
          </cell>
          <cell r="F63" t="str">
            <v>04/07/2024</v>
          </cell>
          <cell r="G63" t="str">
            <v>03/07/2025</v>
          </cell>
          <cell r="H63" t="str">
            <v>08000156</v>
          </cell>
          <cell r="I63" t="str">
            <v>MEEZAN BANK LIMITED, ABDALI ROAD BRANCH, MULTAN</v>
          </cell>
          <cell r="J63" t="str">
            <v>BANK</v>
          </cell>
          <cell r="K63" t="str">
            <v>M/s. Meezan Bank Limited Multan Branch 
User Mr. 
M/s. Meezan Bank Limited Multan Branch 
User Mr. AHMED SAEED</v>
          </cell>
          <cell r="L63" t="str">
            <v>D</v>
          </cell>
          <cell r="M63" t="str">
            <v>09000221</v>
          </cell>
          <cell r="N63">
            <v>100</v>
          </cell>
          <cell r="O63"/>
          <cell r="P63" t="str">
            <v>NASIR GATA FACTORY, PO, PAKPATTAN, RAKH PAKPATTAN, TEH AND DISTT PAKPATTAN (NASIR GATA FACTORY)</v>
          </cell>
          <cell r="Q63" t="str">
            <v>11000003</v>
          </cell>
          <cell r="R63" t="str">
            <v>HONDA CITY A/T</v>
          </cell>
          <cell r="S63" t="str">
            <v>2024</v>
          </cell>
          <cell r="T63" t="str">
            <v>BEB-180</v>
          </cell>
          <cell r="U63" t="str">
            <v>L12B51025161</v>
          </cell>
          <cell r="V63" t="str">
            <v>NFBGN8629RR041382</v>
          </cell>
          <cell r="W63"/>
          <cell r="X63"/>
          <cell r="Y63">
            <v>4714000</v>
          </cell>
          <cell r="Z63">
            <v>60956</v>
          </cell>
          <cell r="AA63">
            <v>70710</v>
          </cell>
        </row>
        <row r="64">
          <cell r="B64" t="str">
            <v>KHI/HO/D/MO/PC COMP/C/92178/6/07/2024</v>
          </cell>
          <cell r="C64"/>
          <cell r="D64" t="str">
            <v>FRE</v>
          </cell>
          <cell r="E64" t="str">
            <v>09/07/24</v>
          </cell>
          <cell r="F64" t="str">
            <v>09/07/2024</v>
          </cell>
          <cell r="G64" t="str">
            <v>08/07/2025</v>
          </cell>
          <cell r="H64" t="str">
            <v>08000840</v>
          </cell>
          <cell r="I64" t="str">
            <v>MEEZAN BANK LTD - SATIANA ROAD BR - FSD</v>
          </cell>
          <cell r="J64" t="str">
            <v>BANK</v>
          </cell>
          <cell r="K64" t="str">
            <v>M/s. Meezan Bank Limited Satiana Road Faisalabad Branch
User Mr. 
M/s. Meezan Bank Limited Satiana Road Faisalabad Branch
User Mr. Muhammad yar Fiaz</v>
          </cell>
          <cell r="L64" t="str">
            <v>D</v>
          </cell>
          <cell r="M64" t="str">
            <v>09000221</v>
          </cell>
          <cell r="N64">
            <v>100</v>
          </cell>
          <cell r="O64"/>
          <cell r="P64" t="str">
            <v>H No 368 Block B Moh Gulistan Colony No 2 Faisalabad</v>
          </cell>
          <cell r="Q64" t="str">
            <v>11000003</v>
          </cell>
          <cell r="R64" t="str">
            <v>SUZUKI CULTUS VXL</v>
          </cell>
          <cell r="S64" t="str">
            <v>2019</v>
          </cell>
          <cell r="T64"/>
          <cell r="U64" t="str">
            <v>PK10K144302</v>
          </cell>
          <cell r="V64" t="str">
            <v>NF1AVT31H10044262</v>
          </cell>
          <cell r="W64"/>
          <cell r="X64"/>
          <cell r="Y64">
            <v>2500000</v>
          </cell>
          <cell r="Z64">
            <v>32328</v>
          </cell>
          <cell r="AA64">
            <v>37500</v>
          </cell>
        </row>
        <row r="65">
          <cell r="B65" t="str">
            <v>KHI/HO/D/MO/PC COMP/C/92155/4/07/2024</v>
          </cell>
          <cell r="C65"/>
          <cell r="D65" t="str">
            <v>FRE</v>
          </cell>
          <cell r="E65" t="str">
            <v>10/07/24</v>
          </cell>
          <cell r="F65" t="str">
            <v>10/07/2024</v>
          </cell>
          <cell r="G65" t="str">
            <v>09/07/2025</v>
          </cell>
          <cell r="H65" t="str">
            <v>08000208</v>
          </cell>
          <cell r="I65" t="str">
            <v>MEEZAN BANK LTD. GULBERG BRANCH LAHORE</v>
          </cell>
          <cell r="J65" t="str">
            <v>BANK</v>
          </cell>
          <cell r="K65" t="str">
            <v>M/s. Meezan Bank limited Gulberg II Lahore Branch
User Mr. 
M/s. Meezan Bank limited Gulberg II Lahore Branch
User Mr. AQEEL AMIN</v>
          </cell>
          <cell r="L65" t="str">
            <v>D</v>
          </cell>
          <cell r="M65" t="str">
            <v>09000221</v>
          </cell>
          <cell r="N65">
            <v>100</v>
          </cell>
          <cell r="O65" t="str">
            <v>LAHORE</v>
          </cell>
          <cell r="P65" t="str">
            <v>HOUSE NO 21 , BLOCK K3, WAPDA TOWN, LAHORE</v>
          </cell>
          <cell r="Q65" t="str">
            <v>11000003</v>
          </cell>
          <cell r="R65" t="str">
            <v>SUZUKI Swift GLX CVT</v>
          </cell>
          <cell r="S65" t="str">
            <v>2024</v>
          </cell>
          <cell r="T65"/>
          <cell r="U65" t="str">
            <v>K12MR1020896</v>
          </cell>
          <cell r="V65" t="str">
            <v>NF1SZC63S00203552</v>
          </cell>
          <cell r="W65"/>
          <cell r="X65"/>
          <cell r="Y65">
            <v>4719000</v>
          </cell>
          <cell r="Z65">
            <v>61022</v>
          </cell>
          <cell r="AA65">
            <v>70785</v>
          </cell>
        </row>
        <row r="66">
          <cell r="B66" t="str">
            <v>KHI/HO/D/MO/PC COMP/C/92209/9/07/2024</v>
          </cell>
          <cell r="C66"/>
          <cell r="D66" t="str">
            <v>FRE</v>
          </cell>
          <cell r="E66" t="str">
            <v>10/07/24</v>
          </cell>
          <cell r="F66" t="str">
            <v>10/07/2024</v>
          </cell>
          <cell r="G66" t="str">
            <v>09/07/2025</v>
          </cell>
          <cell r="H66" t="str">
            <v>08000156</v>
          </cell>
          <cell r="I66" t="str">
            <v>MEEZAN BANK LIMITED, ABDALI ROAD BRANCH, MULTAN</v>
          </cell>
          <cell r="J66" t="str">
            <v>BANK</v>
          </cell>
          <cell r="K66" t="str">
            <v>M/s. Meezan Bank Limited Multan Branch 
User Mr. 
M/s. Meezan Bank Limited Multan Branch 
User Mr. ABU HARRARA</v>
          </cell>
          <cell r="L66" t="str">
            <v>D</v>
          </cell>
          <cell r="M66" t="str">
            <v>09000221</v>
          </cell>
          <cell r="N66">
            <v>100</v>
          </cell>
          <cell r="O66" t="str">
            <v>MULTAN</v>
          </cell>
          <cell r="P66" t="str">
            <v>P O NAI WALA , BANGLA CHAK NO , 143/9 L TEHSIL, AND DISTRICT, SAHIWAL (KARYANA STORE)</v>
          </cell>
          <cell r="Q66" t="str">
            <v>11000003</v>
          </cell>
          <cell r="R66" t="str">
            <v>HONDA CITY 1.2  LS CVT</v>
          </cell>
          <cell r="S66" t="str">
            <v>2017</v>
          </cell>
          <cell r="T66"/>
          <cell r="U66" t="str">
            <v>L13Z17504719</v>
          </cell>
          <cell r="V66" t="str">
            <v>NFBGM1540HR216095</v>
          </cell>
          <cell r="W66"/>
          <cell r="X66"/>
          <cell r="Y66">
            <v>3200000</v>
          </cell>
          <cell r="Z66">
            <v>41379</v>
          </cell>
          <cell r="AA66">
            <v>48000</v>
          </cell>
        </row>
        <row r="67">
          <cell r="B67" t="str">
            <v>KHI/HO/D/MO/PC COMP/C/92178/7/07/2024</v>
          </cell>
          <cell r="C67"/>
          <cell r="D67" t="str">
            <v>FRE</v>
          </cell>
          <cell r="E67" t="str">
            <v>10/07/24</v>
          </cell>
          <cell r="F67" t="str">
            <v>10/07/2024</v>
          </cell>
          <cell r="G67" t="str">
            <v>09/07/2025</v>
          </cell>
          <cell r="H67" t="str">
            <v>08000840</v>
          </cell>
          <cell r="I67" t="str">
            <v>MEEZAN BANK LTD - SATIANA ROAD BR - FSD</v>
          </cell>
          <cell r="J67" t="str">
            <v>BANK</v>
          </cell>
          <cell r="K67" t="str">
            <v>M/s. Meezan Bank Limited Satiana Road Faisalabad Branch
User Mr. 
M/s. Meezan Bank Limited Satiana Road Faisalabad Branch
User Mr. Muhammad Faisal Shahzad</v>
          </cell>
          <cell r="L67" t="str">
            <v>D</v>
          </cell>
          <cell r="M67" t="str">
            <v>09000221</v>
          </cell>
          <cell r="N67">
            <v>100</v>
          </cell>
          <cell r="O67" t="str">
            <v>SARGODHA</v>
          </cell>
          <cell r="P67" t="str">
            <v>H No 303/304 Street No 1 Mohallah Islam Nagar Sillanwali Distt Sargodh</v>
          </cell>
          <cell r="Q67" t="str">
            <v>11000003</v>
          </cell>
          <cell r="R67" t="str">
            <v>SUZUKI WAGON-R VXR</v>
          </cell>
          <cell r="S67" t="str">
            <v>2024</v>
          </cell>
          <cell r="T67"/>
          <cell r="U67" t="str">
            <v>PK10B247103</v>
          </cell>
          <cell r="V67" t="str">
            <v>A1J310PK10147119</v>
          </cell>
          <cell r="W67"/>
          <cell r="X67"/>
          <cell r="Y67">
            <v>3214000</v>
          </cell>
          <cell r="Z67">
            <v>41560</v>
          </cell>
          <cell r="AA67">
            <v>48210</v>
          </cell>
        </row>
        <row r="68">
          <cell r="B68" t="str">
            <v>KHI/HO/D/MO/PC COMP/C/92178/8/07/2024</v>
          </cell>
          <cell r="C68"/>
          <cell r="D68" t="str">
            <v>FRE</v>
          </cell>
          <cell r="E68" t="str">
            <v>10/07/24</v>
          </cell>
          <cell r="F68" t="str">
            <v>10/07/2024</v>
          </cell>
          <cell r="G68" t="str">
            <v>09/07/2025</v>
          </cell>
          <cell r="H68" t="str">
            <v>08000840</v>
          </cell>
          <cell r="I68" t="str">
            <v>MEEZAN BANK LTD - SATIANA ROAD BR - FSD</v>
          </cell>
          <cell r="J68" t="str">
            <v>BANK</v>
          </cell>
          <cell r="K68" t="str">
            <v>M/s. Meezan Bank Limited Satiana Road Faisalabad Branch
User Mr. 
M/s. Meezan Bank Limited Satiana Road Faisalabad Branch
User Mr. Zawar Hussain</v>
          </cell>
          <cell r="L68" t="str">
            <v>D</v>
          </cell>
          <cell r="M68" t="str">
            <v>09000221</v>
          </cell>
          <cell r="N68">
            <v>100</v>
          </cell>
          <cell r="O68" t="str">
            <v>FAISALABAD</v>
          </cell>
          <cell r="P68" t="str">
            <v>H No 78 Gulshan Madina Phase 1 Super Gulshan Block Bhakkar Mughal Chowk</v>
          </cell>
          <cell r="Q68" t="str">
            <v>11000003</v>
          </cell>
          <cell r="R68" t="str">
            <v>SUZUKI Swift GLX CVT</v>
          </cell>
          <cell r="S68" t="str">
            <v>2024</v>
          </cell>
          <cell r="T68"/>
          <cell r="U68" t="str">
            <v>K12MR1020712</v>
          </cell>
          <cell r="V68" t="str">
            <v>NF1SZC63S00203376</v>
          </cell>
          <cell r="W68"/>
          <cell r="X68"/>
          <cell r="Y68">
            <v>4719000</v>
          </cell>
          <cell r="Z68">
            <v>61022</v>
          </cell>
          <cell r="AA68">
            <v>70785</v>
          </cell>
        </row>
        <row r="69">
          <cell r="B69" t="str">
            <v>KHI/HO/D/MO/PC COMP/C/92219/2/07/2024</v>
          </cell>
          <cell r="C69"/>
          <cell r="D69" t="str">
            <v>FRE</v>
          </cell>
          <cell r="E69" t="str">
            <v>10/07/24</v>
          </cell>
          <cell r="F69" t="str">
            <v>10/07/2024</v>
          </cell>
          <cell r="G69" t="str">
            <v>09/07/2025</v>
          </cell>
          <cell r="H69" t="str">
            <v>08000495</v>
          </cell>
          <cell r="I69" t="str">
            <v>MEEZAN BANK LTD. - ISLAMABAD BRANCH - ISD</v>
          </cell>
          <cell r="J69" t="str">
            <v>BANK</v>
          </cell>
          <cell r="K69" t="str">
            <v>M/s. Meezan Bank Limited Jinnah Avenue Blue Area Islamabad 
M/s. Meezan Bank Limited Jinnah Avenue Blue Area Islamabad
User Mr. Shafaq Ahmed</v>
          </cell>
          <cell r="L69" t="str">
            <v>D</v>
          </cell>
          <cell r="M69" t="str">
            <v>09000221</v>
          </cell>
          <cell r="N69">
            <v>100</v>
          </cell>
          <cell r="O69" t="str">
            <v>ISLAMABAD</v>
          </cell>
          <cell r="P69" t="str">
            <v>House No. 1- B, Street No. 56, Sector F - 6/4, Islamabad (f-6 Markaz) Islamabad</v>
          </cell>
          <cell r="Q69" t="str">
            <v>11000003</v>
          </cell>
          <cell r="R69" t="str">
            <v>CHANGAN ALSVIN LUMEIRE</v>
          </cell>
          <cell r="S69" t="str">
            <v>2024</v>
          </cell>
          <cell r="T69"/>
          <cell r="U69" t="str">
            <v>JL473Q4R3EE501722</v>
          </cell>
          <cell r="V69" t="str">
            <v>NKMA2CBR4R1002041</v>
          </cell>
          <cell r="W69"/>
          <cell r="X69"/>
          <cell r="Y69">
            <v>3799000</v>
          </cell>
          <cell r="Z69">
            <v>49125</v>
          </cell>
          <cell r="AA69">
            <v>56985</v>
          </cell>
        </row>
        <row r="70">
          <cell r="B70" t="str">
            <v>KHI/HO/D/MO/PC COMP/C/92178/9/07/2024</v>
          </cell>
          <cell r="C70"/>
          <cell r="D70" t="str">
            <v>FRE</v>
          </cell>
          <cell r="E70" t="str">
            <v>12/07/24</v>
          </cell>
          <cell r="F70" t="str">
            <v>11/07/2024</v>
          </cell>
          <cell r="G70" t="str">
            <v>10/07/2025</v>
          </cell>
          <cell r="H70" t="str">
            <v>08000840</v>
          </cell>
          <cell r="I70" t="str">
            <v>MEEZAN BANK LTD - SATIANA ROAD BR - FSD</v>
          </cell>
          <cell r="J70" t="str">
            <v>BANK</v>
          </cell>
          <cell r="K70" t="str">
            <v>M/s. Meezan Bank Limited Satiana Road Faisalabad Branch
User Mr. 
M/s. Meezan Bank Limited Satiana Road Faisalabad Branch
User Mr. Muhammad Zaman</v>
          </cell>
          <cell r="L70" t="str">
            <v>D</v>
          </cell>
          <cell r="M70" t="str">
            <v>09000221</v>
          </cell>
          <cell r="N70">
            <v>100</v>
          </cell>
          <cell r="O70" t="str">
            <v>FAISALABAD</v>
          </cell>
          <cell r="P70" t="str">
            <v>H No P-471 Street No 02 Muhallah Mukhtar Colony Faisalabad</v>
          </cell>
          <cell r="Q70" t="str">
            <v>11000003</v>
          </cell>
          <cell r="R70" t="str">
            <v>HONDA CIVIC I-VTEC</v>
          </cell>
          <cell r="S70" t="str">
            <v>2017</v>
          </cell>
          <cell r="T70"/>
          <cell r="U70" t="str">
            <v>R18Z12907381</v>
          </cell>
          <cell r="V70" t="str">
            <v>NFBFC6660HR010206</v>
          </cell>
          <cell r="W70"/>
          <cell r="X70"/>
          <cell r="Y70">
            <v>4250000</v>
          </cell>
          <cell r="Z70">
            <v>54956</v>
          </cell>
          <cell r="AA70">
            <v>63750</v>
          </cell>
        </row>
        <row r="71">
          <cell r="B71" t="str">
            <v>KHI/HO/D/MO/PC COMP/C/92178/10/07/2024</v>
          </cell>
          <cell r="C71"/>
          <cell r="D71" t="str">
            <v>FRE</v>
          </cell>
          <cell r="E71" t="str">
            <v>12/07/24</v>
          </cell>
          <cell r="F71" t="str">
            <v>12/07/2024</v>
          </cell>
          <cell r="G71" t="str">
            <v>11/07/2025</v>
          </cell>
          <cell r="H71" t="str">
            <v>08000840</v>
          </cell>
          <cell r="I71" t="str">
            <v>MEEZAN BANK LTD - SATIANA ROAD BR - FSD</v>
          </cell>
          <cell r="J71" t="str">
            <v>BANK</v>
          </cell>
          <cell r="K71" t="str">
            <v>M/s. Meezan Bank Limited Satiana Road Faisalabad Branch
User Mr. 
M/s. Meezan Bank Limited Satiana Road Faisalabad Branch
User Mr. Zafar Iqbal Shahid</v>
          </cell>
          <cell r="L71" t="str">
            <v>D</v>
          </cell>
          <cell r="M71" t="str">
            <v>09000221</v>
          </cell>
          <cell r="N71">
            <v>100</v>
          </cell>
          <cell r="O71" t="str">
            <v>FAISALABAD</v>
          </cell>
          <cell r="P71" t="str">
            <v>Moh Islamabad Kundian Piplan Mianwal</v>
          </cell>
          <cell r="Q71" t="str">
            <v>11000003</v>
          </cell>
          <cell r="R71" t="str">
            <v>KIA STONIC EX PLUS 1.368</v>
          </cell>
          <cell r="S71" t="str">
            <v>2022</v>
          </cell>
          <cell r="T71"/>
          <cell r="U71" t="str">
            <v>G4LCMS812933</v>
          </cell>
          <cell r="V71" t="str">
            <v>NNAYB54BZMP700934</v>
          </cell>
          <cell r="W71"/>
          <cell r="X71"/>
          <cell r="Y71">
            <v>4450000</v>
          </cell>
          <cell r="Z71">
            <v>57544</v>
          </cell>
          <cell r="AA71">
            <v>66750</v>
          </cell>
        </row>
        <row r="72">
          <cell r="B72" t="str">
            <v>KHI/HO/D/MO/PC COMP/C/92178/11/07/2024</v>
          </cell>
          <cell r="C72"/>
          <cell r="D72" t="str">
            <v>FRE</v>
          </cell>
          <cell r="E72" t="str">
            <v>15/07/24</v>
          </cell>
          <cell r="F72" t="str">
            <v>12/07/2024</v>
          </cell>
          <cell r="G72" t="str">
            <v>11/07/2025</v>
          </cell>
          <cell r="H72" t="str">
            <v>08000840</v>
          </cell>
          <cell r="I72" t="str">
            <v>MEEZAN BANK LTD - SATIANA ROAD BR - FSD</v>
          </cell>
          <cell r="J72" t="str">
            <v>BANK</v>
          </cell>
          <cell r="K72" t="str">
            <v>M/s. Meezan Bank Limited Satiana Road Faisalabad Branch
User Mr. 
M/s. Meezan Bank Limited Satiana Road Faisalabad Branch
User Mr. Muhammad Nasir</v>
          </cell>
          <cell r="L72" t="str">
            <v>D</v>
          </cell>
          <cell r="M72" t="str">
            <v>09000221</v>
          </cell>
          <cell r="N72">
            <v>100</v>
          </cell>
          <cell r="O72" t="str">
            <v>FAISALABAD</v>
          </cell>
          <cell r="P72" t="str">
            <v>Bangla Road Mohallah Jamia Masjid Lalian Distt Chiniot Lalian</v>
          </cell>
          <cell r="Q72" t="str">
            <v>11000003</v>
          </cell>
          <cell r="R72" t="str">
            <v>SUZUKI SWIFT DLX M/T NAV.</v>
          </cell>
          <cell r="S72" t="str">
            <v>2020</v>
          </cell>
          <cell r="T72" t="str">
            <v>AQX-601</v>
          </cell>
          <cell r="U72" t="str">
            <v>PKS13046792</v>
          </cell>
          <cell r="V72" t="str">
            <v>RS413PK10046784</v>
          </cell>
          <cell r="W72"/>
          <cell r="X72"/>
          <cell r="Y72">
            <v>2300000</v>
          </cell>
          <cell r="Z72">
            <v>29742</v>
          </cell>
          <cell r="AA72">
            <v>34500</v>
          </cell>
        </row>
        <row r="73">
          <cell r="B73" t="str">
            <v>KHI/HO/D/MO/PC COMP/C/92208/3/07/2024</v>
          </cell>
          <cell r="C73"/>
          <cell r="D73" t="str">
            <v>FRE</v>
          </cell>
          <cell r="E73" t="str">
            <v>15/07/24</v>
          </cell>
          <cell r="F73" t="str">
            <v>15/07/2024</v>
          </cell>
          <cell r="G73" t="str">
            <v>14/07/2025</v>
          </cell>
          <cell r="H73" t="str">
            <v>08001078</v>
          </cell>
          <cell r="I73" t="str">
            <v>MEEZAN BANK LTD - KASHMIR ROAD BR - SIALKOT</v>
          </cell>
          <cell r="J73" t="str">
            <v>BANK</v>
          </cell>
          <cell r="K73" t="str">
            <v>M/s. Meezan Bank Limited Sialkot Branch 
User Mr. 
M/s. Meezan Bank Limited Sialkot Branch 
User Mr. Iftikhar Ahmed</v>
          </cell>
          <cell r="L73" t="str">
            <v>D</v>
          </cell>
          <cell r="M73" t="str">
            <v>09000221</v>
          </cell>
          <cell r="N73">
            <v>100</v>
          </cell>
          <cell r="O73" t="str">
            <v>SIALKOT</v>
          </cell>
          <cell r="P73" t="str">
            <v>Gujjar Town Jerampur PO Khas Kharota Syedan Sialkot</v>
          </cell>
          <cell r="Q73" t="str">
            <v>11000003</v>
          </cell>
          <cell r="R73" t="str">
            <v>SUZUKI WAGON-R VXL E2</v>
          </cell>
          <cell r="S73" t="str">
            <v>2024</v>
          </cell>
          <cell r="T73"/>
          <cell r="U73" t="str">
            <v>PK10B247955</v>
          </cell>
          <cell r="V73" t="str">
            <v>A1J310PK10147951</v>
          </cell>
          <cell r="W73"/>
          <cell r="X73" t="str">
            <v>3</v>
          </cell>
          <cell r="Y73">
            <v>3412000</v>
          </cell>
          <cell r="Z73">
            <v>44121</v>
          </cell>
          <cell r="AA73">
            <v>51180</v>
          </cell>
        </row>
        <row r="74">
          <cell r="B74" t="str">
            <v>KHI/HO/D/MO/PC COMP/C/92275/2/07/2024</v>
          </cell>
          <cell r="C74"/>
          <cell r="D74" t="str">
            <v>FRE</v>
          </cell>
          <cell r="E74" t="str">
            <v>15/07/24</v>
          </cell>
          <cell r="F74" t="str">
            <v>15/07/2024</v>
          </cell>
          <cell r="G74" t="str">
            <v>14/07/2025</v>
          </cell>
          <cell r="H74" t="str">
            <v>08000692</v>
          </cell>
          <cell r="I74" t="str">
            <v>MEEZAN BANK LTD - SADDAR BRANCH - RAWALPINDI</v>
          </cell>
          <cell r="J74" t="str">
            <v>BANK</v>
          </cell>
          <cell r="K74" t="str">
            <v>M/s. Meezan Bank Limited Saddar Branch Rawalpindi 
User Mr. 
M/s. Meezan Bank Limited Saddar Branch Rawalpindi 
User Mr. Imran Khan</v>
          </cell>
          <cell r="L74" t="str">
            <v>D</v>
          </cell>
          <cell r="M74" t="str">
            <v>09000221</v>
          </cell>
          <cell r="N74">
            <v>100</v>
          </cell>
          <cell r="O74" t="str">
            <v>RAWALPINDI</v>
          </cell>
          <cell r="P74" t="str">
            <v>H No 4 Street No.1 Muslim Town Near Chakwal K2 Factory GT Road Mandra Tehsil Gujar Khan Rawalpindi</v>
          </cell>
          <cell r="Q74" t="str">
            <v>11000003</v>
          </cell>
          <cell r="R74" t="str">
            <v>KIA STONIC EX+</v>
          </cell>
          <cell r="S74" t="str">
            <v>2022</v>
          </cell>
          <cell r="T74" t="str">
            <v>ANN-896</v>
          </cell>
          <cell r="U74" t="str">
            <v>GLCM5869282</v>
          </cell>
          <cell r="V74" t="str">
            <v>NNAYB54BZMP701469</v>
          </cell>
          <cell r="W74"/>
          <cell r="X74"/>
          <cell r="Y74">
            <v>4550000</v>
          </cell>
          <cell r="Z74">
            <v>58837</v>
          </cell>
          <cell r="AA74">
            <v>68250</v>
          </cell>
        </row>
        <row r="75">
          <cell r="B75" t="str">
            <v>KHI/HO/D/MO/PC COMP/C/92219/3/07/2024</v>
          </cell>
          <cell r="C75"/>
          <cell r="D75" t="str">
            <v>FRE</v>
          </cell>
          <cell r="E75" t="str">
            <v>15/07/24</v>
          </cell>
          <cell r="F75" t="str">
            <v>15/07/2024</v>
          </cell>
          <cell r="G75" t="str">
            <v>14/07/2025</v>
          </cell>
          <cell r="H75" t="str">
            <v>08000495</v>
          </cell>
          <cell r="I75" t="str">
            <v>MEEZAN BANK LTD. - ISLAMABAD BRANCH - ISD</v>
          </cell>
          <cell r="J75" t="str">
            <v>BANK</v>
          </cell>
          <cell r="K75" t="str">
            <v>M/s. Meezan Bank Limited Jinnah Avenue Blue Area Islamabad 
M/s. Meezan Bank Limited Jinnah Avenue Blue Area Islamabad
User Mr. Zahir Shah</v>
          </cell>
          <cell r="L75" t="str">
            <v>D</v>
          </cell>
          <cell r="M75" t="str">
            <v>09000221</v>
          </cell>
          <cell r="N75">
            <v>100</v>
          </cell>
          <cell r="O75" t="str">
            <v>ISLAMABAD</v>
          </cell>
          <cell r="P75" t="str">
            <v>HOUSE NO AC 54, STREET NO 67 , SECTOR I 10 1, ISLAMABAD</v>
          </cell>
          <cell r="Q75" t="str">
            <v>11000003</v>
          </cell>
          <cell r="R75" t="str">
            <v>SUZUKI ALTO VXR E-2</v>
          </cell>
          <cell r="S75" t="str">
            <v>2024</v>
          </cell>
          <cell r="T75"/>
          <cell r="U75" t="str">
            <v>6R307721</v>
          </cell>
          <cell r="V75" t="str">
            <v>NF1AET306H1207627</v>
          </cell>
          <cell r="W75"/>
          <cell r="X75" t="str">
            <v>3</v>
          </cell>
          <cell r="Y75">
            <v>2707000</v>
          </cell>
          <cell r="Z75">
            <v>35004</v>
          </cell>
          <cell r="AA75">
            <v>40605</v>
          </cell>
        </row>
        <row r="76">
          <cell r="B76" t="str">
            <v>KHI/HO/D/MO/PC COMP/C/92132/9/07/2024</v>
          </cell>
          <cell r="C76"/>
          <cell r="D76" t="str">
            <v>FRE</v>
          </cell>
          <cell r="E76" t="str">
            <v>19/07/24</v>
          </cell>
          <cell r="F76" t="str">
            <v>19/07/2024</v>
          </cell>
          <cell r="G76" t="str">
            <v>18/07/2025</v>
          </cell>
          <cell r="H76" t="str">
            <v>08000025</v>
          </cell>
          <cell r="I76" t="str">
            <v>MEEZAN BANK LIMITED MAIN</v>
          </cell>
          <cell r="J76" t="str">
            <v>BANK</v>
          </cell>
          <cell r="K76" t="str">
            <v>M/s. Meezan Bank Limited Main Branch Karachi .
M/s. Meezan Bank Limited Main Branch Karachi .
User Mr. Rashid Jamil</v>
          </cell>
          <cell r="L76" t="str">
            <v>D</v>
          </cell>
          <cell r="M76" t="str">
            <v>09000221</v>
          </cell>
          <cell r="N76">
            <v>100</v>
          </cell>
          <cell r="O76" t="str">
            <v>KARACHI</v>
          </cell>
          <cell r="P76" t="str">
            <v>House # B-109, First Floor, Block J, North Nazimabad, Karachi</v>
          </cell>
          <cell r="Q76" t="str">
            <v>11000003</v>
          </cell>
          <cell r="R76" t="str">
            <v>SUZUKI ALTO VXL</v>
          </cell>
          <cell r="S76" t="str">
            <v>2021</v>
          </cell>
          <cell r="T76"/>
          <cell r="U76" t="str">
            <v>6R167018</v>
          </cell>
          <cell r="V76" t="str">
            <v>NF1AET306H1066987</v>
          </cell>
          <cell r="W76"/>
          <cell r="X76"/>
          <cell r="Y76">
            <v>2700000</v>
          </cell>
          <cell r="Z76">
            <v>34914</v>
          </cell>
          <cell r="AA76">
            <v>40500</v>
          </cell>
        </row>
        <row r="77">
          <cell r="B77" t="str">
            <v>KHI/HO/D/MO/PC COMP/C/93462/1/07/2024</v>
          </cell>
          <cell r="C77"/>
          <cell r="D77" t="str">
            <v>REN</v>
          </cell>
          <cell r="E77" t="str">
            <v>22/07/24</v>
          </cell>
          <cell r="F77" t="str">
            <v>29/07/2024</v>
          </cell>
          <cell r="G77" t="str">
            <v>28/07/2025</v>
          </cell>
          <cell r="H77" t="str">
            <v>08000495</v>
          </cell>
          <cell r="I77" t="str">
            <v>MEEZAN BANK LTD. - ISLAMABAD BRANCH - ISD</v>
          </cell>
          <cell r="J77" t="str">
            <v>BANK</v>
          </cell>
          <cell r="K77" t="str">
            <v>M/s.Meezan Bank Limited Blue Area Jinnah Avenue Islamabad   
M/s. Meezan Bank Limited 33 Buland Markaz Jinnah Avenue Blue Area
Islamabad
User Mr. Afsar Khan</v>
          </cell>
          <cell r="L77" t="str">
            <v>D</v>
          </cell>
          <cell r="M77" t="str">
            <v>09000221</v>
          </cell>
          <cell r="N77">
            <v>100</v>
          </cell>
          <cell r="O77" t="str">
            <v>ISLAMABAD</v>
          </cell>
          <cell r="P77" t="str">
            <v>HAZARA ROAD, ST RIAZ KHAN, MOH RAHAM PURA, HASSAN ABDAL ,HASSAN ABDAL HAZARA ROAD</v>
          </cell>
          <cell r="Q77" t="str">
            <v>11000003</v>
          </cell>
          <cell r="R77" t="str">
            <v>SUZUKI ALTO VXR E-2</v>
          </cell>
          <cell r="S77" t="str">
            <v>2022</v>
          </cell>
          <cell r="T77"/>
          <cell r="U77" t="str">
            <v>6R232148</v>
          </cell>
          <cell r="V77" t="str">
            <v>NF1AET306H1132140</v>
          </cell>
          <cell r="W77"/>
          <cell r="X77" t="str">
            <v>3</v>
          </cell>
          <cell r="Y77">
            <v>1252260</v>
          </cell>
          <cell r="Z77">
            <v>15762</v>
          </cell>
          <cell r="AA77">
            <v>18784</v>
          </cell>
        </row>
        <row r="78">
          <cell r="B78" t="str">
            <v>KHI/HO/D/MO/PC COMP/C/93463/1/07/2024</v>
          </cell>
          <cell r="C78"/>
          <cell r="D78" t="str">
            <v>REN</v>
          </cell>
          <cell r="E78" t="str">
            <v>22/07/24</v>
          </cell>
          <cell r="F78" t="str">
            <v>17/07/2024</v>
          </cell>
          <cell r="G78" t="str">
            <v>16/07/2025</v>
          </cell>
          <cell r="H78" t="str">
            <v>08000156</v>
          </cell>
          <cell r="I78" t="str">
            <v>MEEZAN BANK LIMITED, ABDALI ROAD BRANCH, MULTAN</v>
          </cell>
          <cell r="J78" t="str">
            <v>BANK</v>
          </cell>
          <cell r="K78" t="str">
            <v>M/s. Meezan Bank Limited Nawan Shehar Chowk Br Multan
M/s. Meezan Bank Limited Nawan Shehar Chowk Branch Multan
User. Mr. Ghulam Mustafa</v>
          </cell>
          <cell r="L78" t="str">
            <v>D</v>
          </cell>
          <cell r="M78" t="str">
            <v>09000221</v>
          </cell>
          <cell r="N78">
            <v>100</v>
          </cell>
          <cell r="O78" t="str">
            <v>MULTAN</v>
          </cell>
          <cell r="P78" t="str">
            <v>Staff Colony Reliance Weaving Mills Unit 2 Near 500 KVA Grid Station 17-Km
Khanewal Road Multan</v>
          </cell>
          <cell r="Q78" t="str">
            <v>11000003</v>
          </cell>
          <cell r="R78" t="str">
            <v>SUZUKI ALTO VXR E-2</v>
          </cell>
          <cell r="S78" t="str">
            <v>2020</v>
          </cell>
          <cell r="T78" t="str">
            <v>MN-20-984</v>
          </cell>
          <cell r="U78" t="str">
            <v>6R133830</v>
          </cell>
          <cell r="V78" t="str">
            <v>NF1AET306H1033830</v>
          </cell>
          <cell r="W78"/>
          <cell r="X78" t="str">
            <v>3</v>
          </cell>
          <cell r="Y78">
            <v>917228</v>
          </cell>
          <cell r="Z78">
            <v>15383</v>
          </cell>
          <cell r="AA78">
            <v>18345</v>
          </cell>
        </row>
        <row r="79">
          <cell r="B79" t="str">
            <v>KHI/HO/D/MO/PC COMP/C/92155/5/07/2024</v>
          </cell>
          <cell r="C79"/>
          <cell r="D79" t="str">
            <v>FRE</v>
          </cell>
          <cell r="E79" t="str">
            <v>22/07/24</v>
          </cell>
          <cell r="F79" t="str">
            <v>22/07/2024</v>
          </cell>
          <cell r="G79" t="str">
            <v>21/07/2025</v>
          </cell>
          <cell r="H79" t="str">
            <v>08000208</v>
          </cell>
          <cell r="I79" t="str">
            <v>MEEZAN BANK LTD. GULBERG BRANCH LAHORE</v>
          </cell>
          <cell r="J79" t="str">
            <v>BANK</v>
          </cell>
          <cell r="K79" t="str">
            <v>M/s. Meezan Bank limited Gulberg II Lahore Branch
User Mr. 
M/s. Meezan Bank limited Gulberg II Lahore Branch
User Mr. KHURRUM MEHMOOD CHAUDHRY</v>
          </cell>
          <cell r="L79" t="str">
            <v>D</v>
          </cell>
          <cell r="M79" t="str">
            <v>09000221</v>
          </cell>
          <cell r="N79">
            <v>100</v>
          </cell>
          <cell r="O79" t="str">
            <v>KARACHI</v>
          </cell>
          <cell r="P79" t="str">
            <v>H NO 124-N , PHASE 1, DHA</v>
          </cell>
          <cell r="Q79" t="str">
            <v>11000003</v>
          </cell>
          <cell r="R79" t="str">
            <v>TOYOTA COROLLA GRAND X</v>
          </cell>
          <cell r="S79" t="str">
            <v>2024</v>
          </cell>
          <cell r="T79" t="str">
            <v>ASH-545</v>
          </cell>
          <cell r="U79" t="str">
            <v>Q370186</v>
          </cell>
          <cell r="V79" t="str">
            <v>ZRE172R-7069372</v>
          </cell>
          <cell r="W79"/>
          <cell r="X79"/>
          <cell r="Y79">
            <v>7631000</v>
          </cell>
          <cell r="Z79">
            <v>98676</v>
          </cell>
          <cell r="AA79">
            <v>114465</v>
          </cell>
        </row>
        <row r="80">
          <cell r="B80" t="str">
            <v>KHI/HO/D/MO/PC COMP/C/92132/10/07/2024</v>
          </cell>
          <cell r="C80"/>
          <cell r="D80" t="str">
            <v>FRE</v>
          </cell>
          <cell r="E80" t="str">
            <v>22/07/24</v>
          </cell>
          <cell r="F80" t="str">
            <v>22/07/2024</v>
          </cell>
          <cell r="G80" t="str">
            <v>21/07/2025</v>
          </cell>
          <cell r="H80" t="str">
            <v>08000025</v>
          </cell>
          <cell r="I80" t="str">
            <v>MEEZAN BANK LIMITED MAIN</v>
          </cell>
          <cell r="J80" t="str">
            <v>BANK</v>
          </cell>
          <cell r="K80" t="str">
            <v>M/s. Meezan Bank Limited Main Branch Karachi .
M/s. Meezan Bank Limited Main Branch Karachi .
User Mr. Islam Uddin</v>
          </cell>
          <cell r="L80" t="str">
            <v>D</v>
          </cell>
          <cell r="M80" t="str">
            <v>09000221</v>
          </cell>
          <cell r="N80">
            <v>100</v>
          </cell>
          <cell r="O80" t="str">
            <v>KARACHI</v>
          </cell>
          <cell r="P80" t="str">
            <v>House No 40, C 4, Muhallah Pathan Colony, West Karachi (Near Rabbani Masjid)</v>
          </cell>
          <cell r="Q80" t="str">
            <v>11000003</v>
          </cell>
          <cell r="R80" t="str">
            <v>HONDA CITY CVT PT 1.2</v>
          </cell>
          <cell r="S80" t="str">
            <v>2024</v>
          </cell>
          <cell r="T80"/>
          <cell r="U80" t="str">
            <v>L12B51025095</v>
          </cell>
          <cell r="V80" t="str">
            <v>NFBGN8622RR041305</v>
          </cell>
          <cell r="W80"/>
          <cell r="X80"/>
          <cell r="Y80">
            <v>4714000</v>
          </cell>
          <cell r="Z80">
            <v>60956</v>
          </cell>
          <cell r="AA80">
            <v>70710</v>
          </cell>
        </row>
        <row r="81">
          <cell r="B81" t="str">
            <v>KHI/HO/D/MO/PC COMP/C/92219/4/07/2024</v>
          </cell>
          <cell r="C81"/>
          <cell r="D81" t="str">
            <v>FRE</v>
          </cell>
          <cell r="E81" t="str">
            <v>23/07/24</v>
          </cell>
          <cell r="F81" t="str">
            <v>23/07/2024</v>
          </cell>
          <cell r="G81" t="str">
            <v>22/07/2025</v>
          </cell>
          <cell r="H81" t="str">
            <v>08000495</v>
          </cell>
          <cell r="I81" t="str">
            <v>MEEZAN BANK LTD. - ISLAMABAD BRANCH - ISD</v>
          </cell>
          <cell r="J81" t="str">
            <v>BANK</v>
          </cell>
          <cell r="K81" t="str">
            <v>M/s. Meezan Bank Limited Jinnah Avenue Blue Area Islamabad 
M/s. Meezan Bank Limited Jinnah Avenue Blue Area Islamabad
User Mr. Sheikh Tanveer Liaquat</v>
          </cell>
          <cell r="L81" t="str">
            <v>D</v>
          </cell>
          <cell r="M81" t="str">
            <v>09000221</v>
          </cell>
          <cell r="N81">
            <v>100</v>
          </cell>
          <cell r="O81" t="str">
            <v>ISLAMABAD</v>
          </cell>
          <cell r="P81" t="str">
            <v>House No 638, Street No 10 Multi, Garden Block C, Sector B 17 , Islamabad</v>
          </cell>
          <cell r="Q81" t="str">
            <v>11000003</v>
          </cell>
          <cell r="R81" t="str">
            <v>SUZUKI ALTO VXL AGS</v>
          </cell>
          <cell r="S81" t="str">
            <v>2024</v>
          </cell>
          <cell r="T81" t="str">
            <v>BEC-638</v>
          </cell>
          <cell r="U81" t="str">
            <v>6R310508</v>
          </cell>
          <cell r="V81" t="str">
            <v>NF1AET306H1210593</v>
          </cell>
          <cell r="W81"/>
          <cell r="X81"/>
          <cell r="Y81">
            <v>3045000</v>
          </cell>
          <cell r="Z81">
            <v>39375</v>
          </cell>
          <cell r="AA81">
            <v>45675</v>
          </cell>
        </row>
        <row r="82">
          <cell r="B82" t="str">
            <v>KHI/HO/D/MO/MC COMP/C/93613/1/07/2024</v>
          </cell>
          <cell r="C82"/>
          <cell r="D82" t="str">
            <v>FRE</v>
          </cell>
          <cell r="E82" t="str">
            <v>23/07/24</v>
          </cell>
          <cell r="F82" t="str">
            <v>23/07/2024</v>
          </cell>
          <cell r="G82" t="str">
            <v>22/07/2025</v>
          </cell>
          <cell r="H82" t="str">
            <v>08000025</v>
          </cell>
          <cell r="I82" t="str">
            <v>MEEZAN BANK LIMITED MAIN</v>
          </cell>
          <cell r="J82" t="str">
            <v>BANK</v>
          </cell>
          <cell r="K82" t="str">
            <v>M/s. Meezan Bank Limited Main Branch 
User Mr. 
M/s. Meezan Bank Limited Main Branch 
User Ms. Lush Crush Icepops</v>
          </cell>
          <cell r="L82" t="str">
            <v>D</v>
          </cell>
          <cell r="M82" t="str">
            <v>09000221</v>
          </cell>
          <cell r="N82">
            <v>100</v>
          </cell>
          <cell r="O82"/>
          <cell r="P82" t="str">
            <v>Shop 6 St 16 Khayaban Bukhari Phase 6 Dha Karachi</v>
          </cell>
          <cell r="Q82" t="str">
            <v>11000003</v>
          </cell>
          <cell r="R82" t="str">
            <v>SUPER POWER SP-70 M/CYCLE</v>
          </cell>
          <cell r="S82" t="str">
            <v>2024</v>
          </cell>
          <cell r="T82"/>
          <cell r="U82" t="str">
            <v>1586180</v>
          </cell>
          <cell r="V82" t="str">
            <v>1642681</v>
          </cell>
          <cell r="W82"/>
          <cell r="X82"/>
          <cell r="Y82">
            <v>116000</v>
          </cell>
          <cell r="Z82">
            <v>3569</v>
          </cell>
          <cell r="AA82">
            <v>4640</v>
          </cell>
        </row>
        <row r="83">
          <cell r="B83" t="str">
            <v>KHI/HO/D/MO/PC COMP/C/92178/12/07/2024</v>
          </cell>
          <cell r="C83"/>
          <cell r="D83" t="str">
            <v>FRE</v>
          </cell>
          <cell r="E83" t="str">
            <v>24/07/24</v>
          </cell>
          <cell r="F83" t="str">
            <v>24/07/2024</v>
          </cell>
          <cell r="G83" t="str">
            <v>23/07/2025</v>
          </cell>
          <cell r="H83" t="str">
            <v>08000840</v>
          </cell>
          <cell r="I83" t="str">
            <v>MEEZAN BANK LTD - SATIANA ROAD BR - FSD</v>
          </cell>
          <cell r="J83" t="str">
            <v>BANK</v>
          </cell>
          <cell r="K83" t="str">
            <v>M/s. Meezan Bank Limited Satiana Road Faisalabad Branch
User Mr. 
M/s. Meezan Bank Limited Satiana Road Faisalabad Branch
User Mr. Sheikh Muhammad Azeem</v>
          </cell>
          <cell r="L83" t="str">
            <v>D</v>
          </cell>
          <cell r="M83" t="str">
            <v>09000221</v>
          </cell>
          <cell r="N83">
            <v>100</v>
          </cell>
          <cell r="O83" t="str">
            <v>KARACHI</v>
          </cell>
          <cell r="P83" t="str">
            <v>Banglow No. 9 House No 74 Street No 2 Sargodha</v>
          </cell>
          <cell r="Q83" t="str">
            <v>11000003</v>
          </cell>
          <cell r="R83" t="str">
            <v>HONDA CITY 1.3 PT</v>
          </cell>
          <cell r="S83" t="str">
            <v>2017</v>
          </cell>
          <cell r="T83"/>
          <cell r="U83" t="str">
            <v>L13Z17464726</v>
          </cell>
          <cell r="V83" t="str">
            <v>NFBGM1643HR208104</v>
          </cell>
          <cell r="W83"/>
          <cell r="X83"/>
          <cell r="Y83">
            <v>3350000</v>
          </cell>
          <cell r="Z83">
            <v>43319</v>
          </cell>
          <cell r="AA83">
            <v>50250</v>
          </cell>
        </row>
        <row r="84">
          <cell r="B84" t="str">
            <v>KHI/HO/D/MO/PC COMP/C/93671/1/07/2024</v>
          </cell>
          <cell r="C84"/>
          <cell r="D84" t="str">
            <v>REN</v>
          </cell>
          <cell r="E84" t="str">
            <v>24/07/24</v>
          </cell>
          <cell r="F84" t="str">
            <v>15/07/2024</v>
          </cell>
          <cell r="G84" t="str">
            <v>14/07/2025</v>
          </cell>
          <cell r="H84" t="str">
            <v>08000025</v>
          </cell>
          <cell r="I84" t="str">
            <v>MEEZAN BANK LIMITED MAIN</v>
          </cell>
          <cell r="J84" t="str">
            <v>BANK</v>
          </cell>
          <cell r="K84" t="str">
            <v>M/s. Meezan Bank Limited Main Branch Karachi 
M/s. Meezan Bank Limited Main Branch Karachi
A/c M/s. National Data Consultants Pvt Ltd</v>
          </cell>
          <cell r="L84" t="str">
            <v>D</v>
          </cell>
          <cell r="M84" t="str">
            <v>09000221</v>
          </cell>
          <cell r="N84">
            <v>100</v>
          </cell>
          <cell r="O84" t="str">
            <v>KARACHI</v>
          </cell>
          <cell r="P84" t="str">
            <v>2-C Nishat commercial Lane 12 Phase 6 DHA Karachi</v>
          </cell>
          <cell r="Q84" t="str">
            <v>11000003</v>
          </cell>
          <cell r="R84" t="str">
            <v>KIA SPORTAGE AWD</v>
          </cell>
          <cell r="S84" t="str">
            <v>2021</v>
          </cell>
          <cell r="T84" t="str">
            <v>BJ-4871</v>
          </cell>
          <cell r="U84" t="str">
            <v>311665</v>
          </cell>
          <cell r="V84" t="str">
            <v>512585</v>
          </cell>
          <cell r="W84"/>
          <cell r="X84" t="str">
            <v>3</v>
          </cell>
          <cell r="Y84">
            <v>3846204</v>
          </cell>
          <cell r="Z84">
            <v>49304</v>
          </cell>
          <cell r="AA84">
            <v>57693</v>
          </cell>
        </row>
        <row r="85">
          <cell r="B85" t="str">
            <v>KHI/HO/D/MO/PC COMP/C/92132/11/07/2024</v>
          </cell>
          <cell r="C85"/>
          <cell r="D85" t="str">
            <v>FRE</v>
          </cell>
          <cell r="E85" t="str">
            <v>24/07/24</v>
          </cell>
          <cell r="F85" t="str">
            <v>24/07/2024</v>
          </cell>
          <cell r="G85" t="str">
            <v>23/07/2025</v>
          </cell>
          <cell r="H85" t="str">
            <v>08000025</v>
          </cell>
          <cell r="I85" t="str">
            <v>MEEZAN BANK LIMITED MAIN</v>
          </cell>
          <cell r="J85" t="str">
            <v>BANK</v>
          </cell>
          <cell r="K85" t="str">
            <v>M/s. Meezan Bank Limited Main Branch Karachi .
M/s. Meezan Bank Limited Main Branch Karachi .
User Mr. Rasheed Ahmed Bhatti</v>
          </cell>
          <cell r="L85" t="str">
            <v>D</v>
          </cell>
          <cell r="M85" t="str">
            <v>09000221</v>
          </cell>
          <cell r="N85">
            <v>100</v>
          </cell>
          <cell r="O85" t="str">
            <v>KARACHI</v>
          </cell>
          <cell r="P85" t="str">
            <v>House No C 10, BLOCK D, North Nazimabad, Karachi</v>
          </cell>
          <cell r="Q85" t="str">
            <v>11000003</v>
          </cell>
          <cell r="R85" t="str">
            <v>KIA PICANTO 1.0L A/T</v>
          </cell>
          <cell r="S85" t="str">
            <v>2022</v>
          </cell>
          <cell r="T85"/>
          <cell r="U85" t="str">
            <v>G3LANP075335</v>
          </cell>
          <cell r="V85" t="str">
            <v>NNATA52AZKP710945</v>
          </cell>
          <cell r="W85"/>
          <cell r="X85"/>
          <cell r="Y85">
            <v>3000000</v>
          </cell>
          <cell r="Z85">
            <v>38793</v>
          </cell>
          <cell r="AA85">
            <v>45000</v>
          </cell>
        </row>
        <row r="86">
          <cell r="B86" t="str">
            <v>KHI/HO/D/MO/PC COMP/C/92178/13/07/2024</v>
          </cell>
          <cell r="C86"/>
          <cell r="D86" t="str">
            <v>FRE</v>
          </cell>
          <cell r="E86" t="str">
            <v>25/07/24</v>
          </cell>
          <cell r="F86" t="str">
            <v>25/07/2024</v>
          </cell>
          <cell r="G86" t="str">
            <v>24/07/2025</v>
          </cell>
          <cell r="H86" t="str">
            <v>08000840</v>
          </cell>
          <cell r="I86" t="str">
            <v>MEEZAN BANK LTD - SATIANA ROAD BR - FSD</v>
          </cell>
          <cell r="J86" t="str">
            <v>BANK</v>
          </cell>
          <cell r="K86" t="str">
            <v>M/s. Meezan Bank Limited Satiana Road Faisalabad Branch
User Mr. 
M/s. Meezan Bank Limited Satiana Road Faisalabad Branch
User Mr. Muhammad Qaiser</v>
          </cell>
          <cell r="L86" t="str">
            <v>D</v>
          </cell>
          <cell r="M86" t="str">
            <v>09000221</v>
          </cell>
          <cell r="N86">
            <v>100</v>
          </cell>
          <cell r="O86" t="str">
            <v>FAISALABAD</v>
          </cell>
          <cell r="P86" t="str">
            <v>H No P226 St No 06 Muhala latif Park Faisalabad</v>
          </cell>
          <cell r="Q86" t="str">
            <v>11000003</v>
          </cell>
          <cell r="R86" t="str">
            <v>SUZUKI ALTO VXL AGS</v>
          </cell>
          <cell r="S86" t="str">
            <v>2024</v>
          </cell>
          <cell r="T86"/>
          <cell r="U86" t="str">
            <v>6R314570</v>
          </cell>
          <cell r="V86" t="str">
            <v>NF1AET306H1215854</v>
          </cell>
          <cell r="W86"/>
          <cell r="X86"/>
          <cell r="Y86">
            <v>3045000</v>
          </cell>
          <cell r="Z86">
            <v>39375</v>
          </cell>
          <cell r="AA86">
            <v>45675</v>
          </cell>
        </row>
        <row r="87">
          <cell r="B87" t="str">
            <v>KHI/HO/D/MO/PC COMP/C/92155/6/07/2024</v>
          </cell>
          <cell r="C87"/>
          <cell r="D87" t="str">
            <v>FRE</v>
          </cell>
          <cell r="E87" t="str">
            <v>25/07/24</v>
          </cell>
          <cell r="F87" t="str">
            <v>25/07/2024</v>
          </cell>
          <cell r="G87" t="str">
            <v>24/07/2025</v>
          </cell>
          <cell r="H87" t="str">
            <v>08000208</v>
          </cell>
          <cell r="I87" t="str">
            <v>MEEZAN BANK LTD. GULBERG BRANCH LAHORE</v>
          </cell>
          <cell r="J87" t="str">
            <v>BANK</v>
          </cell>
          <cell r="K87" t="str">
            <v>M/s. Meezan Bank limited Gulberg II Lahore Branch
User Mr. 
M/s. Meezan Bank limited Gulberg II Lahore Branch
User Mr. SHEIKH MUHAMMAD SAEED</v>
          </cell>
          <cell r="L87" t="str">
            <v>D</v>
          </cell>
          <cell r="M87" t="str">
            <v>09000221</v>
          </cell>
          <cell r="N87">
            <v>100</v>
          </cell>
          <cell r="O87"/>
          <cell r="P87" t="str">
            <v>NEAR UBL, BALAI MANZIL, MUHALLAH BAZAR, SHEIKHAN ALHAKEEM MARKET FAROOQABAD, SHEIKHUPURA (AL HAKEEM MARKET)</v>
          </cell>
          <cell r="Q87" t="str">
            <v>11000003</v>
          </cell>
          <cell r="R87" t="str">
            <v>SUZUKI ALTO VXR</v>
          </cell>
          <cell r="S87" t="str">
            <v>2024</v>
          </cell>
          <cell r="T87" t="str">
            <v>ASH-236</v>
          </cell>
          <cell r="U87" t="str">
            <v>6R315363</v>
          </cell>
          <cell r="V87" t="str">
            <v>NF1AET306H1215367</v>
          </cell>
          <cell r="W87"/>
          <cell r="X87"/>
          <cell r="Y87">
            <v>2707000</v>
          </cell>
          <cell r="Z87">
            <v>35004</v>
          </cell>
          <cell r="AA87">
            <v>40605</v>
          </cell>
        </row>
        <row r="88">
          <cell r="B88" t="str">
            <v>KHI/HO/D/MO/PC COMP/C/92219/5/07/2024</v>
          </cell>
          <cell r="C88"/>
          <cell r="D88" t="str">
            <v>FRE</v>
          </cell>
          <cell r="E88" t="str">
            <v>25/07/24</v>
          </cell>
          <cell r="F88" t="str">
            <v>25/07/2024</v>
          </cell>
          <cell r="G88" t="str">
            <v>24/07/2025</v>
          </cell>
          <cell r="H88" t="str">
            <v>08000495</v>
          </cell>
          <cell r="I88" t="str">
            <v>MEEZAN BANK LTD. - ISLAMABAD BRANCH - ISD</v>
          </cell>
          <cell r="J88" t="str">
            <v>BANK</v>
          </cell>
          <cell r="K88" t="str">
            <v>M/s. Meezan Bank Limited Jinnah Avenue Blue Area Islamabad 
M/s. Meezan Bank Limited Jinnah Avenue Blue Area Islamabad
User Ms. Sarah Asghar Barokzay</v>
          </cell>
          <cell r="L88" t="str">
            <v>D</v>
          </cell>
          <cell r="M88" t="str">
            <v>09000221</v>
          </cell>
          <cell r="N88">
            <v>100</v>
          </cell>
          <cell r="O88" t="str">
            <v>RAWALPINDI</v>
          </cell>
          <cell r="P88" t="str">
            <v>House No 14-B Street No 1 , National Housing, Scheme 2 , 
Rawalpindi</v>
          </cell>
          <cell r="Q88" t="str">
            <v>11000003</v>
          </cell>
          <cell r="R88" t="str">
            <v>KIA PICANTO 1.0L A/T</v>
          </cell>
          <cell r="S88" t="str">
            <v>2024</v>
          </cell>
          <cell r="T88"/>
          <cell r="U88" t="str">
            <v>G3LAPP194360</v>
          </cell>
          <cell r="V88" t="str">
            <v>NNATA52AZRP713243</v>
          </cell>
          <cell r="W88"/>
          <cell r="X88"/>
          <cell r="Y88">
            <v>3915000</v>
          </cell>
          <cell r="Z88">
            <v>50625</v>
          </cell>
          <cell r="AA88">
            <v>58725</v>
          </cell>
        </row>
        <row r="89">
          <cell r="B89" t="str">
            <v>KHI/HO/D/MO/PC COMP/C/92219/6/07/2024</v>
          </cell>
          <cell r="C89"/>
          <cell r="D89" t="str">
            <v>FRE</v>
          </cell>
          <cell r="E89" t="str">
            <v>25/07/24</v>
          </cell>
          <cell r="F89" t="str">
            <v>23/07/2024</v>
          </cell>
          <cell r="G89" t="str">
            <v>22/07/2025</v>
          </cell>
          <cell r="H89" t="str">
            <v>08000495</v>
          </cell>
          <cell r="I89" t="str">
            <v>MEEZAN BANK LTD. - ISLAMABAD BRANCH - ISD</v>
          </cell>
          <cell r="J89" t="str">
            <v>BANK</v>
          </cell>
          <cell r="K89" t="str">
            <v>M/s. Meezan Bank Limited Jinnah Avenue Blue Area Islamabad 
M/s. Meezan Bank Limited Jinnah Avenue Blue Area Islamabad
User Mr. Banut Khan Masood</v>
          </cell>
          <cell r="L89" t="str">
            <v>D</v>
          </cell>
          <cell r="M89" t="str">
            <v>09000221</v>
          </cell>
          <cell r="N89">
            <v>100</v>
          </cell>
          <cell r="O89"/>
          <cell r="P89" t="str">
            <v>Flat No 2167, St No 34, Sector I-10/2, Islamabad (I-10 Markaz)</v>
          </cell>
          <cell r="Q89" t="str">
            <v>11000003</v>
          </cell>
          <cell r="R89" t="str">
            <v>SUZUKI ALTO VXL AGS</v>
          </cell>
          <cell r="S89" t="str">
            <v>2024</v>
          </cell>
          <cell r="T89"/>
          <cell r="U89" t="str">
            <v>6R314378</v>
          </cell>
          <cell r="V89" t="str">
            <v>NF1AET306H1214250</v>
          </cell>
          <cell r="W89"/>
          <cell r="X89"/>
          <cell r="Y89">
            <v>3045000</v>
          </cell>
          <cell r="Z89">
            <v>39375</v>
          </cell>
          <cell r="AA89">
            <v>45675</v>
          </cell>
        </row>
        <row r="90">
          <cell r="B90" t="str">
            <v>KHI/HO/D/MO/PC COMP/C/92132/12/07/2024</v>
          </cell>
          <cell r="C90"/>
          <cell r="D90" t="str">
            <v>FRE</v>
          </cell>
          <cell r="E90" t="str">
            <v>26/07/24</v>
          </cell>
          <cell r="F90" t="str">
            <v>25/07/2024</v>
          </cell>
          <cell r="G90" t="str">
            <v>24/07/2025</v>
          </cell>
          <cell r="H90" t="str">
            <v>08000025</v>
          </cell>
          <cell r="I90" t="str">
            <v>MEEZAN BANK LIMITED MAIN</v>
          </cell>
          <cell r="J90" t="str">
            <v>BANK</v>
          </cell>
          <cell r="K90" t="str">
            <v>M/s. Meezan Bank Limited Main Branch Karachi .
M/s. Meezan Bank Limited Main Branch Karachi .
User Mr. Ali Yar</v>
          </cell>
          <cell r="L90" t="str">
            <v>D</v>
          </cell>
          <cell r="M90" t="str">
            <v>09000221</v>
          </cell>
          <cell r="N90">
            <v>100</v>
          </cell>
          <cell r="O90"/>
          <cell r="P90" t="str">
            <v>HOUSE NO. D - 702 , STREET NO. 17, NEW MUZAFFARABAD COLONY, 
LANDHI, KARACHI</v>
          </cell>
          <cell r="Q90" t="str">
            <v>11000003</v>
          </cell>
          <cell r="R90" t="str">
            <v>TOYOTA COROLLA GLI M/T 1.</v>
          </cell>
          <cell r="S90"/>
          <cell r="T90" t="str">
            <v>BNH-081</v>
          </cell>
          <cell r="U90" t="str">
            <v>Z534700</v>
          </cell>
          <cell r="V90" t="str">
            <v>NZE170R4160537</v>
          </cell>
          <cell r="W90"/>
          <cell r="X90" t="str">
            <v>3</v>
          </cell>
          <cell r="Y90">
            <v>3000000</v>
          </cell>
          <cell r="Z90">
            <v>38793</v>
          </cell>
          <cell r="AA90">
            <v>45000</v>
          </cell>
        </row>
        <row r="91">
          <cell r="B91" t="str">
            <v>KHI/HO/D/MO/PC COMP/C/92132/13/07/2024</v>
          </cell>
          <cell r="C91"/>
          <cell r="D91" t="str">
            <v>FRE</v>
          </cell>
          <cell r="E91" t="str">
            <v>26/07/24</v>
          </cell>
          <cell r="F91" t="str">
            <v>05/07/2024</v>
          </cell>
          <cell r="G91" t="str">
            <v>04/07/2025</v>
          </cell>
          <cell r="H91" t="str">
            <v>08000025</v>
          </cell>
          <cell r="I91" t="str">
            <v>MEEZAN BANK LIMITED MAIN</v>
          </cell>
          <cell r="J91" t="str">
            <v>BANK</v>
          </cell>
          <cell r="K91" t="str">
            <v>M/s. Meezan Bank Limited Main Branch Karachi .
M/s. Meezan Bank Limited Main Branch Karachi 
User Mr. Irfan</v>
          </cell>
          <cell r="L91" t="str">
            <v>D</v>
          </cell>
          <cell r="M91" t="str">
            <v>09000221</v>
          </cell>
          <cell r="N91">
            <v>100</v>
          </cell>
          <cell r="O91" t="str">
            <v>KARACHI</v>
          </cell>
          <cell r="P91" t="str">
            <v>23-C, Badar Commercial , Street 10, Phase V, Dha  
Karachi</v>
          </cell>
          <cell r="Q91" t="str">
            <v>11000003</v>
          </cell>
          <cell r="R91" t="str">
            <v>SUZUKI Swift GLX CVT</v>
          </cell>
          <cell r="S91" t="str">
            <v>2024</v>
          </cell>
          <cell r="T91"/>
          <cell r="U91" t="str">
            <v>K12MR1020164</v>
          </cell>
          <cell r="V91" t="str">
            <v>NF1SZC63S00202869</v>
          </cell>
          <cell r="W91"/>
          <cell r="X91"/>
          <cell r="Y91">
            <v>4719000</v>
          </cell>
          <cell r="Z91">
            <v>61022</v>
          </cell>
          <cell r="AA91">
            <v>70785</v>
          </cell>
        </row>
        <row r="92">
          <cell r="B92" t="str">
            <v>KHI/HO/D/MO/PC COMP/C/92178/14/07/2024</v>
          </cell>
          <cell r="C92"/>
          <cell r="D92" t="str">
            <v>FRE</v>
          </cell>
          <cell r="E92" t="str">
            <v>26/07/24</v>
          </cell>
          <cell r="F92" t="str">
            <v>23/07/2024</v>
          </cell>
          <cell r="G92" t="str">
            <v>22/07/2025</v>
          </cell>
          <cell r="H92" t="str">
            <v>08000840</v>
          </cell>
          <cell r="I92" t="str">
            <v>MEEZAN BANK LTD - SATIANA ROAD BR - FSD</v>
          </cell>
          <cell r="J92" t="str">
            <v>BANK</v>
          </cell>
          <cell r="K92" t="str">
            <v>M/s. Meezan Bank Limited Satiana Road Faisalabad Branch
User Mr. 
M/s. Meezan Bank Limited Satiana Road Faisalabad Branch
User Mr. Amir Farooq</v>
          </cell>
          <cell r="L92" t="str">
            <v>D</v>
          </cell>
          <cell r="M92" t="str">
            <v>09000221</v>
          </cell>
          <cell r="N92">
            <v>100</v>
          </cell>
          <cell r="O92" t="str">
            <v>FAISALABAD</v>
          </cell>
          <cell r="P92" t="str">
            <v>PO Khas Mangat Tehsil And District Mandi Bahauddin</v>
          </cell>
          <cell r="Q92" t="str">
            <v>11000003</v>
          </cell>
          <cell r="R92" t="str">
            <v>HONDA CITY ASPIRE M/T</v>
          </cell>
          <cell r="S92" t="str">
            <v>2019</v>
          </cell>
          <cell r="T92"/>
          <cell r="U92" t="str">
            <v>L13Z17529524</v>
          </cell>
          <cell r="V92" t="str">
            <v>NFBGM1540KR247726</v>
          </cell>
          <cell r="W92"/>
          <cell r="X92"/>
          <cell r="Y92">
            <v>3800000</v>
          </cell>
          <cell r="Z92">
            <v>49138</v>
          </cell>
          <cell r="AA92">
            <v>57000</v>
          </cell>
        </row>
        <row r="93">
          <cell r="B93" t="str">
            <v>KHI/HO/D/MO/PC COMP/C/92178/15/07/2024</v>
          </cell>
          <cell r="C93"/>
          <cell r="D93" t="str">
            <v>FRE</v>
          </cell>
          <cell r="E93" t="str">
            <v>26/07/24</v>
          </cell>
          <cell r="F93" t="str">
            <v>26/07/2024</v>
          </cell>
          <cell r="G93" t="str">
            <v>25/07/2025</v>
          </cell>
          <cell r="H93" t="str">
            <v>08000840</v>
          </cell>
          <cell r="I93" t="str">
            <v>MEEZAN BANK LTD - SATIANA ROAD BR - FSD</v>
          </cell>
          <cell r="J93" t="str">
            <v>BANK</v>
          </cell>
          <cell r="K93" t="str">
            <v>M/s. Meezan Bank Limited Satiana Road Faisalabad Branch
User Mr. 
M/s. Meezan Bank Limited Satiana Road Faisalabad Branch
User Mr. Asghar Ali</v>
          </cell>
          <cell r="L93" t="str">
            <v>D</v>
          </cell>
          <cell r="M93" t="str">
            <v>09000221</v>
          </cell>
          <cell r="N93">
            <v>100</v>
          </cell>
          <cell r="O93" t="str">
            <v>FAISALABAD</v>
          </cell>
          <cell r="P93" t="str">
            <v>H No 129 Lasani Town Sargodha Road Faisalabad</v>
          </cell>
          <cell r="Q93" t="str">
            <v>11000003</v>
          </cell>
          <cell r="R93" t="str">
            <v>HONDA BRV - S</v>
          </cell>
          <cell r="S93" t="str">
            <v>2018</v>
          </cell>
          <cell r="T93" t="str">
            <v>LEB-18-7045</v>
          </cell>
          <cell r="U93" t="str">
            <v>L15Z13507860</v>
          </cell>
          <cell r="V93" t="str">
            <v>NFBDG1834JR007798</v>
          </cell>
          <cell r="W93"/>
          <cell r="X93"/>
          <cell r="Y93">
            <v>3900000</v>
          </cell>
          <cell r="Z93">
            <v>50431</v>
          </cell>
          <cell r="AA93">
            <v>58500</v>
          </cell>
        </row>
        <row r="94">
          <cell r="B94" t="str">
            <v>KHI/HO/D/MO/PC COMP/C/92178/16/07/2024</v>
          </cell>
          <cell r="C94"/>
          <cell r="D94" t="str">
            <v>FRE</v>
          </cell>
          <cell r="E94" t="str">
            <v>29/07/24</v>
          </cell>
          <cell r="F94" t="str">
            <v>29/07/2024</v>
          </cell>
          <cell r="G94" t="str">
            <v>28/07/2025</v>
          </cell>
          <cell r="H94" t="str">
            <v>08000840</v>
          </cell>
          <cell r="I94" t="str">
            <v>MEEZAN BANK LTD - SATIANA ROAD BR - FSD</v>
          </cell>
          <cell r="J94" t="str">
            <v>BANK</v>
          </cell>
          <cell r="K94" t="str">
            <v>M/s. Meezan Bank Limited Satiana Road Faisalabad Branch
User Mr. 
M/s. Meezan Bank Limited Satiana Road Faisalabad Branch
User Mr. Salma Shafi</v>
          </cell>
          <cell r="L94" t="str">
            <v>D</v>
          </cell>
          <cell r="M94" t="str">
            <v>09000221</v>
          </cell>
          <cell r="N94">
            <v>100</v>
          </cell>
          <cell r="O94" t="str">
            <v>FAISALABAD</v>
          </cell>
          <cell r="P94" t="str">
            <v>Marrar PO Same Chak No 42 RB Morr Sangla Hill Nankana Sahib</v>
          </cell>
          <cell r="Q94" t="str">
            <v>11000003</v>
          </cell>
          <cell r="R94" t="str">
            <v>CHANGAN Changan Alsvin 1.</v>
          </cell>
          <cell r="S94" t="str">
            <v>2024</v>
          </cell>
          <cell r="T94"/>
          <cell r="U94" t="str">
            <v>JL473QFN3CAD506144</v>
          </cell>
          <cell r="V94" t="str">
            <v>NKMA2ASE5R1011630</v>
          </cell>
          <cell r="W94"/>
          <cell r="X94"/>
          <cell r="Y94">
            <v>4549000</v>
          </cell>
          <cell r="Z94">
            <v>58824</v>
          </cell>
          <cell r="AA94">
            <v>68235</v>
          </cell>
        </row>
        <row r="95">
          <cell r="B95" t="str">
            <v>KHI/HO/D/MO/PC COMP/C/92132/14/07/2024</v>
          </cell>
          <cell r="C95"/>
          <cell r="D95" t="str">
            <v>FRE</v>
          </cell>
          <cell r="E95" t="str">
            <v>29/07/24</v>
          </cell>
          <cell r="F95" t="str">
            <v>29/07/2024</v>
          </cell>
          <cell r="G95" t="str">
            <v>28/07/2025</v>
          </cell>
          <cell r="H95" t="str">
            <v>08000025</v>
          </cell>
          <cell r="I95" t="str">
            <v>MEEZAN BANK LIMITED MAIN</v>
          </cell>
          <cell r="J95" t="str">
            <v>BANK</v>
          </cell>
          <cell r="K95" t="str">
            <v>M/s. Meezan Bank Limited Main Branch Karachi .
M/s. Meezan Bank Limited Main Branch Karachi .
Uesr Mr. Zaid Wajih</v>
          </cell>
          <cell r="L95" t="str">
            <v>D</v>
          </cell>
          <cell r="M95" t="str">
            <v>09000221</v>
          </cell>
          <cell r="N95">
            <v>100</v>
          </cell>
          <cell r="O95" t="str">
            <v>KARACHI</v>
          </cell>
          <cell r="P95" t="str">
            <v>House No R-74, Heaven City, Scheme 33, Ahsanabad, Gadap Town Karachi</v>
          </cell>
          <cell r="Q95" t="str">
            <v>11000003</v>
          </cell>
          <cell r="R95" t="str">
            <v>SUZUKI ALTO VXR</v>
          </cell>
          <cell r="S95" t="str">
            <v>2021</v>
          </cell>
          <cell r="T95"/>
          <cell r="U95" t="str">
            <v>6R162719</v>
          </cell>
          <cell r="V95" t="str">
            <v>NF1AET306H1062693</v>
          </cell>
          <cell r="W95"/>
          <cell r="X95"/>
          <cell r="Y95">
            <v>2100000</v>
          </cell>
          <cell r="Z95">
            <v>27155</v>
          </cell>
          <cell r="AA95">
            <v>31500</v>
          </cell>
        </row>
        <row r="96">
          <cell r="B96" t="str">
            <v>KHI/HO/D/MO/PC COMP/C/92155/7/07/2024</v>
          </cell>
          <cell r="C96"/>
          <cell r="D96" t="str">
            <v>FRE</v>
          </cell>
          <cell r="E96" t="str">
            <v>29/07/24</v>
          </cell>
          <cell r="F96" t="str">
            <v>29/07/2024</v>
          </cell>
          <cell r="G96" t="str">
            <v>28/07/2025</v>
          </cell>
          <cell r="H96" t="str">
            <v>08000208</v>
          </cell>
          <cell r="I96" t="str">
            <v>MEEZAN BANK LTD. GULBERG BRANCH LAHORE</v>
          </cell>
          <cell r="J96" t="str">
            <v>BANK</v>
          </cell>
          <cell r="K96" t="str">
            <v>M/s. Meezan Bank limited Gulberg II Lahore Branch
User Mr. 
M/s. Meezan Bank limited Gulberg II Lahore Branch
User Mr. MUHAMMAD AHSAN</v>
          </cell>
          <cell r="L96" t="str">
            <v>D</v>
          </cell>
          <cell r="M96" t="str">
            <v>09000221</v>
          </cell>
          <cell r="N96">
            <v>100</v>
          </cell>
          <cell r="O96" t="str">
            <v>LAHORE</v>
          </cell>
          <cell r="P96" t="str">
            <v>H NO 188, DHA, C, BANKERS COOPERATIVE HOUSING SOCIETY, LAHORE</v>
          </cell>
          <cell r="Q96" t="str">
            <v>11000003</v>
          </cell>
          <cell r="R96" t="str">
            <v>TOYOTA YARIS GLI A/T</v>
          </cell>
          <cell r="S96" t="str">
            <v>2024</v>
          </cell>
          <cell r="T96"/>
          <cell r="U96" t="str">
            <v>2A67411</v>
          </cell>
          <cell r="V96" t="str">
            <v>NSP150R-7044835</v>
          </cell>
          <cell r="W96"/>
          <cell r="X96"/>
          <cell r="Y96">
            <v>4760000</v>
          </cell>
          <cell r="Z96">
            <v>61551</v>
          </cell>
          <cell r="AA96">
            <v>71400</v>
          </cell>
        </row>
        <row r="97">
          <cell r="B97" t="str">
            <v>KHI/HO/D/MO/PC COMP/C/92219/7/07/2024</v>
          </cell>
          <cell r="C97"/>
          <cell r="D97" t="str">
            <v>FRE</v>
          </cell>
          <cell r="E97" t="str">
            <v>30/07/24</v>
          </cell>
          <cell r="F97" t="str">
            <v>30/07/2024</v>
          </cell>
          <cell r="G97" t="str">
            <v>29/07/2025</v>
          </cell>
          <cell r="H97" t="str">
            <v>08000495</v>
          </cell>
          <cell r="I97" t="str">
            <v>MEEZAN BANK LTD. - ISLAMABAD BRANCH - ISD</v>
          </cell>
          <cell r="J97" t="str">
            <v>BANK</v>
          </cell>
          <cell r="K97" t="str">
            <v>M/s. Meezan Bank Limited Jinnah Avenue Blue Area Islamabad 
M/s. Meezan Bank Limited Jinnah Avenue Blue Area Islamabad
User Mr. Rao Muhammad Asif</v>
          </cell>
          <cell r="L97" t="str">
            <v>D</v>
          </cell>
          <cell r="M97" t="str">
            <v>09000221</v>
          </cell>
          <cell r="N97">
            <v>100</v>
          </cell>
          <cell r="O97" t="str">
            <v>ISLAMABAD</v>
          </cell>
          <cell r="P97" t="str">
            <v>BLOCK NO. 8-D, FLAT NO: 1, SECTOR - G-9/2, ISLAMABAD</v>
          </cell>
          <cell r="Q97" t="str">
            <v>11000003</v>
          </cell>
          <cell r="R97" t="str">
            <v>HONDA CITY 1.2  LS CVT</v>
          </cell>
          <cell r="S97" t="str">
            <v>2024</v>
          </cell>
          <cell r="T97"/>
          <cell r="U97" t="str">
            <v>L12B51025505</v>
          </cell>
          <cell r="V97" t="str">
            <v>NFBGN8626RR041825</v>
          </cell>
          <cell r="W97"/>
          <cell r="X97" t="str">
            <v>3</v>
          </cell>
          <cell r="Y97">
            <v>4719000</v>
          </cell>
          <cell r="Z97">
            <v>61022</v>
          </cell>
          <cell r="AA97">
            <v>70785</v>
          </cell>
        </row>
        <row r="98">
          <cell r="B98" t="str">
            <v>KHI/HO/D/MO/PC COMP/C/92132/15/07/2024</v>
          </cell>
          <cell r="C98"/>
          <cell r="D98" t="str">
            <v>FRE</v>
          </cell>
          <cell r="E98" t="str">
            <v>30/07/24</v>
          </cell>
          <cell r="F98" t="str">
            <v>08/04/2024</v>
          </cell>
          <cell r="G98" t="str">
            <v>07/04/2025</v>
          </cell>
          <cell r="H98" t="str">
            <v>08000025</v>
          </cell>
          <cell r="I98" t="str">
            <v>MEEZAN BANK LIMITED MAIN</v>
          </cell>
          <cell r="J98" t="str">
            <v>BANK</v>
          </cell>
          <cell r="K98" t="str">
            <v>M/s. Meezan Bank Limited Main Branch Karachi .
M/s. Meezan Bank Limited Main Branch Karachi .
User Mr. Muhammad Yousuf Munim Muhajir</v>
          </cell>
          <cell r="L98" t="str">
            <v>D</v>
          </cell>
          <cell r="M98" t="str">
            <v>09000221</v>
          </cell>
          <cell r="N98">
            <v>100</v>
          </cell>
          <cell r="O98" t="str">
            <v>KARACHI</v>
          </cell>
          <cell r="P98" t="str">
            <v>SDH 359, FALCON COMPLEX, NEW MALIR, KARACHI (MALIR CANTT CHECPOST 5)</v>
          </cell>
          <cell r="Q98" t="str">
            <v>11000003</v>
          </cell>
          <cell r="R98" t="str">
            <v>SUZUKI ALTO VXL AGS E-2</v>
          </cell>
          <cell r="S98" t="str">
            <v>2024</v>
          </cell>
          <cell r="T98"/>
          <cell r="U98" t="str">
            <v>6R297940</v>
          </cell>
          <cell r="V98" t="str">
            <v>NF1AET306H1197915</v>
          </cell>
          <cell r="W98"/>
          <cell r="X98" t="str">
            <v>3</v>
          </cell>
          <cell r="Y98">
            <v>2894000</v>
          </cell>
          <cell r="Z98">
            <v>37423</v>
          </cell>
          <cell r="AA98">
            <v>43410</v>
          </cell>
        </row>
        <row r="99">
          <cell r="B99" t="str">
            <v>KHI/HO/D/MO/PC COMP/C/92208/4/07/2024</v>
          </cell>
          <cell r="C99"/>
          <cell r="D99" t="str">
            <v>FRE</v>
          </cell>
          <cell r="E99" t="str">
            <v>30/07/24</v>
          </cell>
          <cell r="F99" t="str">
            <v>30/07/2024</v>
          </cell>
          <cell r="G99" t="str">
            <v>29/07/2025</v>
          </cell>
          <cell r="H99" t="str">
            <v>08001078</v>
          </cell>
          <cell r="I99" t="str">
            <v>MEEZAN BANK LTD - KASHMIR ROAD BR - SIALKOT</v>
          </cell>
          <cell r="J99" t="str">
            <v>BANK</v>
          </cell>
          <cell r="K99" t="str">
            <v>M/s. Meezan Bank Limited Sialkot Branch 
User Mr. 
M/s. Meezan Bank Limited Sialkot Branch 
User Mr. Muhammad Shoaib</v>
          </cell>
          <cell r="L99" t="str">
            <v>D</v>
          </cell>
          <cell r="M99" t="str">
            <v>09000221</v>
          </cell>
          <cell r="N99">
            <v>100</v>
          </cell>
          <cell r="O99" t="str">
            <v>SIALKOT</v>
          </cell>
          <cell r="P99" t="str">
            <v>Ameer St Opp Eid Gah GT Road House No 3 Moh Sharifabad</v>
          </cell>
          <cell r="Q99" t="str">
            <v>11000003</v>
          </cell>
          <cell r="R99" t="str">
            <v>TOYOTA YARIS ATIV X CVT</v>
          </cell>
          <cell r="S99" t="str">
            <v>2024</v>
          </cell>
          <cell r="T99"/>
          <cell r="U99" t="str">
            <v>2A67382</v>
          </cell>
          <cell r="V99" t="str">
            <v>NSP151R9522559</v>
          </cell>
          <cell r="W99"/>
          <cell r="X99"/>
          <cell r="Y99">
            <v>6401000</v>
          </cell>
          <cell r="Z99">
            <v>82771</v>
          </cell>
          <cell r="AA99">
            <v>96015</v>
          </cell>
        </row>
        <row r="100">
          <cell r="B100" t="str">
            <v>KHI/HO/D/MO/PC COMP/C/94183/1/07/2024</v>
          </cell>
          <cell r="C100"/>
          <cell r="D100" t="str">
            <v>REN</v>
          </cell>
          <cell r="E100" t="str">
            <v>30/07/24</v>
          </cell>
          <cell r="F100" t="str">
            <v>05/07/2024</v>
          </cell>
          <cell r="G100" t="str">
            <v>04/07/2025</v>
          </cell>
          <cell r="H100" t="str">
            <v>08000025</v>
          </cell>
          <cell r="I100" t="str">
            <v>MEEZAN BANK LIMITED MAIN</v>
          </cell>
          <cell r="J100" t="str">
            <v>BANK</v>
          </cell>
          <cell r="K100" t="str">
            <v>M/s.  Meezan Bank Limited Main Branch 
User Mr. 
M/s.  Meezan Bank Limited Main Branch 
User Mr. ZUBAIR</v>
          </cell>
          <cell r="L100" t="str">
            <v>D</v>
          </cell>
          <cell r="M100" t="str">
            <v>09000221</v>
          </cell>
          <cell r="N100">
            <v>100</v>
          </cell>
          <cell r="O100" t="str">
            <v>KARACHI</v>
          </cell>
          <cell r="P100" t="str">
            <v>PLOT #30 , SECTOR 4/F , ORANGI TOWN KARACHI</v>
          </cell>
          <cell r="Q100" t="str">
            <v>11000003</v>
          </cell>
          <cell r="R100" t="str">
            <v>KIA PICANTO 1.0L A/T</v>
          </cell>
          <cell r="S100" t="str">
            <v>2023</v>
          </cell>
          <cell r="T100"/>
          <cell r="U100" t="str">
            <v>P236391</v>
          </cell>
          <cell r="V100" t="str">
            <v>P712488</v>
          </cell>
          <cell r="W100"/>
          <cell r="X100"/>
          <cell r="Y100">
            <v>3271500</v>
          </cell>
          <cell r="Z100">
            <v>41873</v>
          </cell>
          <cell r="AA100">
            <v>49073</v>
          </cell>
        </row>
        <row r="101">
          <cell r="B101" t="str">
            <v>KHI/HO/D/MO/PC COMP/C/94183/2/07/2024</v>
          </cell>
          <cell r="C101"/>
          <cell r="D101" t="str">
            <v>REN</v>
          </cell>
          <cell r="E101" t="str">
            <v>30/07/24</v>
          </cell>
          <cell r="F101" t="str">
            <v>11/07/2024</v>
          </cell>
          <cell r="G101" t="str">
            <v>10/07/2025</v>
          </cell>
          <cell r="H101" t="str">
            <v>08000025</v>
          </cell>
          <cell r="I101" t="str">
            <v>MEEZAN BANK LIMITED MAIN</v>
          </cell>
          <cell r="J101" t="str">
            <v>BANK</v>
          </cell>
          <cell r="K101" t="str">
            <v>M/s.  Meezan Bank Limited Main Branch 
User Mr. 
M/s.  Meezan Bank Limited Main Branch Karachi
User Ms. Tafseer Fatima</v>
          </cell>
          <cell r="L101" t="str">
            <v>D</v>
          </cell>
          <cell r="M101" t="str">
            <v>09000221</v>
          </cell>
          <cell r="N101">
            <v>100</v>
          </cell>
          <cell r="O101" t="str">
            <v>KARACHI</v>
          </cell>
          <cell r="P101" t="str">
            <v>House No A-355, ., BLOCK-J, NORTH NAZIMABAD, Karachi</v>
          </cell>
          <cell r="Q101" t="str">
            <v>11000003</v>
          </cell>
          <cell r="R101" t="str">
            <v>SUZUKI ALTO VXL AGS E-2</v>
          </cell>
          <cell r="S101" t="str">
            <v>2021</v>
          </cell>
          <cell r="T101" t="str">
            <v>BUE-119</v>
          </cell>
          <cell r="U101" t="str">
            <v>R176927</v>
          </cell>
          <cell r="V101" t="str">
            <v>H1076873</v>
          </cell>
          <cell r="W101"/>
          <cell r="X101" t="str">
            <v>3</v>
          </cell>
          <cell r="Y101">
            <v>2385000</v>
          </cell>
          <cell r="Z101">
            <v>30841</v>
          </cell>
          <cell r="AA101">
            <v>35775</v>
          </cell>
        </row>
        <row r="102">
          <cell r="B102" t="str">
            <v>KHI/HO/D/MO/PC COMP/C/94183/3/07/2024</v>
          </cell>
          <cell r="C102"/>
          <cell r="D102" t="str">
            <v>REN</v>
          </cell>
          <cell r="E102" t="str">
            <v>30/07/24</v>
          </cell>
          <cell r="F102" t="str">
            <v>13/07/2024</v>
          </cell>
          <cell r="G102" t="str">
            <v>12/07/2025</v>
          </cell>
          <cell r="H102" t="str">
            <v>08000025</v>
          </cell>
          <cell r="I102" t="str">
            <v>MEEZAN BANK LIMITED MAIN</v>
          </cell>
          <cell r="J102" t="str">
            <v>BANK</v>
          </cell>
          <cell r="K102" t="str">
            <v>M/s.  Meezan Bank Limited Main Branch 
User Mr. 
M/s.  Meezan Bank Limited Main Branch 
User Mr. ALI IMRAN</v>
          </cell>
          <cell r="L102" t="str">
            <v>D</v>
          </cell>
          <cell r="M102" t="str">
            <v>09000221</v>
          </cell>
          <cell r="N102">
            <v>100</v>
          </cell>
          <cell r="O102" t="str">
            <v>KARACHI</v>
          </cell>
          <cell r="P102" t="str">
            <v>HOUSE NO L-32, SECTOR 20-A, SHAH LATIF TOWN, MALIR BIN QASIM 
TOWN, KARACHI</v>
          </cell>
          <cell r="Q102" t="str">
            <v>11000003</v>
          </cell>
          <cell r="R102" t="str">
            <v>SUZUKI WAGON R VXL</v>
          </cell>
          <cell r="S102" t="str">
            <v>2018</v>
          </cell>
          <cell r="T102"/>
          <cell r="U102" t="str">
            <v>K10057535</v>
          </cell>
          <cell r="V102" t="str">
            <v>B157486</v>
          </cell>
          <cell r="W102"/>
          <cell r="X102"/>
          <cell r="Y102">
            <v>1710000</v>
          </cell>
          <cell r="Z102">
            <v>22112</v>
          </cell>
          <cell r="AA102">
            <v>25650</v>
          </cell>
        </row>
        <row r="103">
          <cell r="B103" t="str">
            <v>KHI/HO/D/MO/PC COMP/C/94183/4/07/2024</v>
          </cell>
          <cell r="C103"/>
          <cell r="D103" t="str">
            <v>REN</v>
          </cell>
          <cell r="E103" t="str">
            <v>30/07/24</v>
          </cell>
          <cell r="F103" t="str">
            <v>14/07/2024</v>
          </cell>
          <cell r="G103" t="str">
            <v>13/07/2025</v>
          </cell>
          <cell r="H103" t="str">
            <v>08000025</v>
          </cell>
          <cell r="I103" t="str">
            <v>MEEZAN BANK LIMITED MAIN</v>
          </cell>
          <cell r="J103" t="str">
            <v>BANK</v>
          </cell>
          <cell r="K103" t="str">
            <v>M/s.  Meezan Bank Limited Main Branch 
User Mr. 
M/s.  Meezan Bank Limited Main Branch 
User Mr. Muhammad Jamil</v>
          </cell>
          <cell r="L103" t="str">
            <v>D</v>
          </cell>
          <cell r="M103" t="str">
            <v>09000221</v>
          </cell>
          <cell r="N103">
            <v>100</v>
          </cell>
          <cell r="O103"/>
          <cell r="P103" t="str">
            <v>H NO.L-152 STREET NO 02 SECTOR NO G-C , MUSHRAF COLONY 
HAWKSBAY ROAD KARACHI, MUSHRAF COLONY HAWKSBAY ROAD</v>
          </cell>
          <cell r="Q103" t="str">
            <v>11000003</v>
          </cell>
          <cell r="R103" t="str">
            <v>TOYOTA COROLLA GLI M/T 1.</v>
          </cell>
          <cell r="S103" t="str">
            <v>2017</v>
          </cell>
          <cell r="T103"/>
          <cell r="U103" t="str">
            <v>Z510464</v>
          </cell>
          <cell r="V103" t="str">
            <v>R4136369</v>
          </cell>
          <cell r="W103"/>
          <cell r="X103"/>
          <cell r="Y103">
            <v>3150000</v>
          </cell>
          <cell r="Z103">
            <v>40733</v>
          </cell>
          <cell r="AA103">
            <v>47250</v>
          </cell>
        </row>
        <row r="104">
          <cell r="B104" t="str">
            <v>KHI/HO/D/MO/PC COMP/C/94183/5/07/2024</v>
          </cell>
          <cell r="C104"/>
          <cell r="D104" t="str">
            <v>REN</v>
          </cell>
          <cell r="E104" t="str">
            <v>30/07/24</v>
          </cell>
          <cell r="F104" t="str">
            <v>25/07/2024</v>
          </cell>
          <cell r="G104" t="str">
            <v>24/07/2025</v>
          </cell>
          <cell r="H104" t="str">
            <v>08000025</v>
          </cell>
          <cell r="I104" t="str">
            <v>MEEZAN BANK LIMITED MAIN</v>
          </cell>
          <cell r="J104" t="str">
            <v>BANK</v>
          </cell>
          <cell r="K104" t="str">
            <v>M/s.  Meezan Bank Limited Main Branch 
User Mr. 
M/s.  Meezan Bank Limited Main Branch 
User Mr. Kashif Ali Akhter</v>
          </cell>
          <cell r="L104" t="str">
            <v>D</v>
          </cell>
          <cell r="M104" t="str">
            <v>09000221</v>
          </cell>
          <cell r="N104">
            <v>100</v>
          </cell>
          <cell r="O104" t="str">
            <v>KARACHI</v>
          </cell>
          <cell r="P104" t="str">
            <v>Flat No 705, Bismillah Castle, Dmchs, Karachi</v>
          </cell>
          <cell r="Q104" t="str">
            <v>11000003</v>
          </cell>
          <cell r="R104" t="str">
            <v>SUZUKI ALTO VXL</v>
          </cell>
          <cell r="S104" t="str">
            <v>2021</v>
          </cell>
          <cell r="T104" t="str">
            <v>BUZ-746</v>
          </cell>
          <cell r="U104" t="str">
            <v>R177207</v>
          </cell>
          <cell r="V104" t="str">
            <v>H1077192</v>
          </cell>
          <cell r="W104"/>
          <cell r="X104"/>
          <cell r="Y104">
            <v>2326500</v>
          </cell>
          <cell r="Z104">
            <v>30084</v>
          </cell>
          <cell r="AA104">
            <v>34898</v>
          </cell>
        </row>
        <row r="105">
          <cell r="B105" t="str">
            <v>KHI/HO/D/MO/PC COMP/C/94183/6/07/2024</v>
          </cell>
          <cell r="C105"/>
          <cell r="D105" t="str">
            <v>REN</v>
          </cell>
          <cell r="E105" t="str">
            <v>30/07/24</v>
          </cell>
          <cell r="F105" t="str">
            <v>27/07/2024</v>
          </cell>
          <cell r="G105" t="str">
            <v>26/07/2025</v>
          </cell>
          <cell r="H105" t="str">
            <v>08000025</v>
          </cell>
          <cell r="I105" t="str">
            <v>MEEZAN BANK LIMITED MAIN</v>
          </cell>
          <cell r="J105" t="str">
            <v>BANK</v>
          </cell>
          <cell r="K105" t="str">
            <v>M/s.  Meezan Bank Limited Main Branch 
User Mr. 
M/s.  Meezan Bank Limited Main Branch 
User Mr. Muhamamd Naseem Habib</v>
          </cell>
          <cell r="L105" t="str">
            <v>D</v>
          </cell>
          <cell r="M105" t="str">
            <v>09000221</v>
          </cell>
          <cell r="N105">
            <v>100</v>
          </cell>
          <cell r="O105" t="str">
            <v>KARACHI</v>
          </cell>
          <cell r="P105" t="str">
            <v>C-2, Shah Town, Phase-3 Karachi</v>
          </cell>
          <cell r="Q105" t="str">
            <v>11000003</v>
          </cell>
          <cell r="R105" t="str">
            <v>SUZUKI ALTO VXR</v>
          </cell>
          <cell r="S105" t="str">
            <v>2022</v>
          </cell>
          <cell r="T105"/>
          <cell r="U105" t="str">
            <v>R277089</v>
          </cell>
          <cell r="V105" t="str">
            <v>H1177090</v>
          </cell>
          <cell r="W105"/>
          <cell r="X105"/>
          <cell r="Y105">
            <v>2350800</v>
          </cell>
          <cell r="Z105">
            <v>30398</v>
          </cell>
          <cell r="AA105">
            <v>35262</v>
          </cell>
        </row>
        <row r="106">
          <cell r="B106" t="str">
            <v>KHI/HO/D/MO/PC COMP/C/94184/1/07/2024</v>
          </cell>
          <cell r="C106"/>
          <cell r="D106" t="str">
            <v>REN</v>
          </cell>
          <cell r="E106" t="str">
            <v>30/07/24</v>
          </cell>
          <cell r="F106" t="str">
            <v>04/07/2024</v>
          </cell>
          <cell r="G106" t="str">
            <v>03/07/2025</v>
          </cell>
          <cell r="H106" t="str">
            <v>08000025</v>
          </cell>
          <cell r="I106" t="str">
            <v>MEEZAN BANK LIMITED MAIN</v>
          </cell>
          <cell r="J106" t="str">
            <v>BANK</v>
          </cell>
          <cell r="K106" t="str">
            <v>M/S Meezan Bank Limited Main Branch 
User Mr.
M/S Meezan Bank Limited Main Branch 
User Mr. Syed Nawaz</v>
          </cell>
          <cell r="L106" t="str">
            <v>D</v>
          </cell>
          <cell r="M106" t="str">
            <v>09000221</v>
          </cell>
          <cell r="N106">
            <v>100</v>
          </cell>
          <cell r="O106" t="str">
            <v>KARACHI</v>
          </cell>
          <cell r="P106" t="str">
            <v>HOUSE NO B-43, GULSHAN E IQBAL , BLOCK 4-A, IQBAL, KARACHI</v>
          </cell>
          <cell r="Q106" t="str">
            <v>11000003</v>
          </cell>
          <cell r="R106" t="str">
            <v>SUZUKI ALTO AGS A/T</v>
          </cell>
          <cell r="S106" t="str">
            <v>2022</v>
          </cell>
          <cell r="T106" t="str">
            <v>BXC-985</v>
          </cell>
          <cell r="U106" t="str">
            <v>R238565</v>
          </cell>
          <cell r="V106" t="str">
            <v>H1139559</v>
          </cell>
          <cell r="W106"/>
          <cell r="X106"/>
          <cell r="Y106">
            <v>1580310</v>
          </cell>
          <cell r="Z106">
            <v>20004</v>
          </cell>
          <cell r="AA106">
            <v>23705</v>
          </cell>
        </row>
        <row r="107">
          <cell r="B107" t="str">
            <v>KHI/HO/D/MO/PC COMP/C/94184/2/07/2024</v>
          </cell>
          <cell r="C107"/>
          <cell r="D107" t="str">
            <v>REN</v>
          </cell>
          <cell r="E107" t="str">
            <v>30/07/24</v>
          </cell>
          <cell r="F107" t="str">
            <v>04/07/2024</v>
          </cell>
          <cell r="G107" t="str">
            <v>03/07/2025</v>
          </cell>
          <cell r="H107" t="str">
            <v>08000025</v>
          </cell>
          <cell r="I107" t="str">
            <v>MEEZAN BANK LIMITED MAIN</v>
          </cell>
          <cell r="J107" t="str">
            <v>BANK</v>
          </cell>
          <cell r="K107" t="str">
            <v>M/S Meezan Bank Limited Main Branch 
User Mr.
M/S Meezan Bank Limited Main Branch 
User Mr. Shuhab Uddin Soomro</v>
          </cell>
          <cell r="L107" t="str">
            <v>D</v>
          </cell>
          <cell r="M107" t="str">
            <v>09000221</v>
          </cell>
          <cell r="N107">
            <v>100</v>
          </cell>
          <cell r="O107" t="str">
            <v>KARACHI</v>
          </cell>
          <cell r="P107" t="str">
            <v>WARD NO,04, MUHALLA SOOMRA, NAUSHEHRO FEROZE (HETHAI CHOWK 
NAUSHAHRO FEROZE)</v>
          </cell>
          <cell r="Q107" t="str">
            <v>11000003</v>
          </cell>
          <cell r="R107" t="str">
            <v>SUZUKI ALTO VXR</v>
          </cell>
          <cell r="S107" t="str">
            <v>2022</v>
          </cell>
          <cell r="T107"/>
          <cell r="U107" t="str">
            <v>R237353</v>
          </cell>
          <cell r="V107" t="str">
            <v>H1137364</v>
          </cell>
          <cell r="W107"/>
          <cell r="X107"/>
          <cell r="Y107">
            <v>1252260</v>
          </cell>
          <cell r="Z107">
            <v>16193</v>
          </cell>
          <cell r="AA107">
            <v>18784</v>
          </cell>
        </row>
        <row r="108">
          <cell r="B108" t="str">
            <v>KHI/HO/D/MO/PC COMP/C/94184/3/07/2024</v>
          </cell>
          <cell r="C108"/>
          <cell r="D108" t="str">
            <v>REN</v>
          </cell>
          <cell r="E108" t="str">
            <v>30/07/24</v>
          </cell>
          <cell r="F108" t="str">
            <v>06/07/2024</v>
          </cell>
          <cell r="G108" t="str">
            <v>05/07/2025</v>
          </cell>
          <cell r="H108" t="str">
            <v>08000025</v>
          </cell>
          <cell r="I108" t="str">
            <v>MEEZAN BANK LIMITED MAIN</v>
          </cell>
          <cell r="J108" t="str">
            <v>BANK</v>
          </cell>
          <cell r="K108" t="str">
            <v>M/S Meezan Bank Limited Main Branch 
User Mr.
M/S Meezan Bank Limited Main Branch
User Mr. Ahmed Nawaz Urf Nawaz Shaikh</v>
          </cell>
          <cell r="L108" t="str">
            <v>D</v>
          </cell>
          <cell r="M108" t="str">
            <v>09000221</v>
          </cell>
          <cell r="N108">
            <v>100</v>
          </cell>
          <cell r="O108" t="str">
            <v>KARACHI</v>
          </cell>
          <cell r="P108" t="str">
            <v>MUHALLA ALI RAZA , SHAH THALA , KHAIRPUR</v>
          </cell>
          <cell r="Q108" t="str">
            <v>11000003</v>
          </cell>
          <cell r="R108" t="str">
            <v>SUZUKI ALTO VXR E-2</v>
          </cell>
          <cell r="S108" t="str">
            <v>2022</v>
          </cell>
          <cell r="T108" t="str">
            <v>BXD-816</v>
          </cell>
          <cell r="U108" t="str">
            <v>R240723</v>
          </cell>
          <cell r="V108" t="str">
            <v>H1140726</v>
          </cell>
          <cell r="W108"/>
          <cell r="X108" t="str">
            <v>3</v>
          </cell>
          <cell r="Y108">
            <v>1252260</v>
          </cell>
          <cell r="Z108">
            <v>16193</v>
          </cell>
          <cell r="AA108">
            <v>18784</v>
          </cell>
        </row>
        <row r="109">
          <cell r="B109" t="str">
            <v>KHI/HO/D/MO/PC COMP/C/94184/4/07/2024</v>
          </cell>
          <cell r="C109"/>
          <cell r="D109" t="str">
            <v>REN</v>
          </cell>
          <cell r="E109" t="str">
            <v>30/07/24</v>
          </cell>
          <cell r="F109" t="str">
            <v>06/07/2024</v>
          </cell>
          <cell r="G109" t="str">
            <v>05/07/2025</v>
          </cell>
          <cell r="H109" t="str">
            <v>08000025</v>
          </cell>
          <cell r="I109" t="str">
            <v>MEEZAN BANK LIMITED MAIN</v>
          </cell>
          <cell r="J109" t="str">
            <v>BANK</v>
          </cell>
          <cell r="K109" t="str">
            <v>M/S Meezan Bank Limited Main Branch 
User Mr.
M/S Meezan Bank Limited Main Branch
User Ms. Nimra Siddiqui</v>
          </cell>
          <cell r="L109" t="str">
            <v>D</v>
          </cell>
          <cell r="M109" t="str">
            <v>09000221</v>
          </cell>
          <cell r="N109">
            <v>100</v>
          </cell>
          <cell r="O109" t="str">
            <v>HYDERABAD</v>
          </cell>
          <cell r="P109" t="str">
            <v>H NO.43 D , FEROZABAD COLONY, UNIT NO.12 LATIFABAD  HYDERABAD</v>
          </cell>
          <cell r="Q109" t="str">
            <v>11000003</v>
          </cell>
          <cell r="R109" t="str">
            <v>SUZUKI ALTO VXL AGS E-2</v>
          </cell>
          <cell r="S109" t="str">
            <v>2022</v>
          </cell>
          <cell r="T109"/>
          <cell r="U109" t="str">
            <v>R240766</v>
          </cell>
          <cell r="V109" t="str">
            <v>H1140791</v>
          </cell>
          <cell r="W109"/>
          <cell r="X109" t="str">
            <v>3</v>
          </cell>
          <cell r="Y109">
            <v>1415070</v>
          </cell>
          <cell r="Z109">
            <v>18298</v>
          </cell>
          <cell r="AA109">
            <v>21226</v>
          </cell>
        </row>
        <row r="110">
          <cell r="B110" t="str">
            <v>KHI/HO/D/MO/PC COMP/C/94184/5/07/2024</v>
          </cell>
          <cell r="C110"/>
          <cell r="D110" t="str">
            <v>REN</v>
          </cell>
          <cell r="E110" t="str">
            <v>30/07/24</v>
          </cell>
          <cell r="F110" t="str">
            <v>06/07/2024</v>
          </cell>
          <cell r="G110" t="str">
            <v>05/07/2025</v>
          </cell>
          <cell r="H110" t="str">
            <v>08000025</v>
          </cell>
          <cell r="I110" t="str">
            <v>MEEZAN BANK LIMITED MAIN</v>
          </cell>
          <cell r="J110" t="str">
            <v>BANK</v>
          </cell>
          <cell r="K110" t="str">
            <v>M/S Meezan Bank Limited Main Branch 
User Mr.
M/S Meezan Bank Limited Main Branch Karachi 
User Ms. Shabeer Khatoon</v>
          </cell>
          <cell r="L110" t="str">
            <v>D</v>
          </cell>
          <cell r="M110" t="str">
            <v>09000221</v>
          </cell>
          <cell r="N110">
            <v>100</v>
          </cell>
          <cell r="O110" t="str">
            <v>KARACHI</v>
          </cell>
          <cell r="P110" t="str">
            <v>MUHALLA , DABBAR , KHAIRPUR (MARIAM TOP)</v>
          </cell>
          <cell r="Q110" t="str">
            <v>11000003</v>
          </cell>
          <cell r="R110" t="str">
            <v>SUZUKI ALTO VX EURO II</v>
          </cell>
          <cell r="S110" t="str">
            <v>2022</v>
          </cell>
          <cell r="T110" t="str">
            <v>BXD-809</v>
          </cell>
          <cell r="U110" t="str">
            <v>R238104</v>
          </cell>
          <cell r="V110" t="str">
            <v>H1138140</v>
          </cell>
          <cell r="W110"/>
          <cell r="X110" t="str">
            <v>3</v>
          </cell>
          <cell r="Y110">
            <v>1057860</v>
          </cell>
          <cell r="Z110">
            <v>13679</v>
          </cell>
          <cell r="AA110">
            <v>15868</v>
          </cell>
        </row>
        <row r="111">
          <cell r="B111" t="str">
            <v>KHI/HO/D/MO/PC COMP/C/94184/6/07/2024</v>
          </cell>
          <cell r="C111"/>
          <cell r="D111" t="str">
            <v>REN</v>
          </cell>
          <cell r="E111" t="str">
            <v>30/07/24</v>
          </cell>
          <cell r="F111" t="str">
            <v>14/07/2024</v>
          </cell>
          <cell r="G111" t="str">
            <v>13/07/2025</v>
          </cell>
          <cell r="H111" t="str">
            <v>08000025</v>
          </cell>
          <cell r="I111" t="str">
            <v>MEEZAN BANK LIMITED MAIN</v>
          </cell>
          <cell r="J111" t="str">
            <v>BANK</v>
          </cell>
          <cell r="K111" t="str">
            <v>M/S Meezan Bank Limited Main Branch 
User Mr.
M/S Meezan Bank Limited Main Branch Karachi
User Mr. Liaqat</v>
          </cell>
          <cell r="L111" t="str">
            <v>D</v>
          </cell>
          <cell r="M111" t="str">
            <v>09000221</v>
          </cell>
          <cell r="N111">
            <v>100</v>
          </cell>
          <cell r="O111" t="str">
            <v>KARACHI</v>
          </cell>
          <cell r="P111" t="str">
            <v>ZAINAB TARRACE, LIAQUAT COLONY, GATE NO 301, NEAR MARIYAM MASJID , LYARI, KARACHI</v>
          </cell>
          <cell r="Q111" t="str">
            <v>11000003</v>
          </cell>
          <cell r="R111" t="str">
            <v>SUZUKI WAGON R VXL AGS</v>
          </cell>
          <cell r="S111" t="str">
            <v>2022</v>
          </cell>
          <cell r="T111" t="str">
            <v>BWR-261</v>
          </cell>
          <cell r="U111" t="str">
            <v>B234946</v>
          </cell>
          <cell r="V111" t="str">
            <v>K10134881</v>
          </cell>
          <cell r="W111"/>
          <cell r="X111"/>
          <cell r="Y111">
            <v>1984500</v>
          </cell>
          <cell r="Z111">
            <v>25662</v>
          </cell>
          <cell r="AA111">
            <v>29768</v>
          </cell>
        </row>
        <row r="112">
          <cell r="B112" t="str">
            <v>KHI/HO/D/MO/PC COMP/C/94184/7/07/2024</v>
          </cell>
          <cell r="C112"/>
          <cell r="D112" t="str">
            <v>REN</v>
          </cell>
          <cell r="E112" t="str">
            <v>30/07/24</v>
          </cell>
          <cell r="F112" t="str">
            <v>18/07/2024</v>
          </cell>
          <cell r="G112" t="str">
            <v>17/07/2025</v>
          </cell>
          <cell r="H112" t="str">
            <v>08000025</v>
          </cell>
          <cell r="I112" t="str">
            <v>MEEZAN BANK LIMITED MAIN</v>
          </cell>
          <cell r="J112" t="str">
            <v>BANK</v>
          </cell>
          <cell r="K112" t="str">
            <v>M/S Meezan Bank Limited Main Branch 
User Mr.
M/S Meezan Bank Limited Main Branch Karachi
User Mr. Muhammad Amir Khan</v>
          </cell>
          <cell r="L112" t="str">
            <v>D</v>
          </cell>
          <cell r="M112" t="str">
            <v>09000221</v>
          </cell>
          <cell r="N112">
            <v>100</v>
          </cell>
          <cell r="O112" t="str">
            <v>KARACHI</v>
          </cell>
          <cell r="P112" t="str">
            <v>H NO : B/38 , Hassan Ali Afandi Town, Block 4, HYDERABAD</v>
          </cell>
          <cell r="Q112" t="str">
            <v>11000003</v>
          </cell>
          <cell r="R112" t="str">
            <v>SUZUKI ALTO VXR</v>
          </cell>
          <cell r="S112" t="str">
            <v>2022</v>
          </cell>
          <cell r="T112"/>
          <cell r="U112" t="str">
            <v>R239247</v>
          </cell>
          <cell r="V112" t="str">
            <v>H1139176</v>
          </cell>
          <cell r="W112"/>
          <cell r="X112"/>
          <cell r="Y112">
            <v>1252260</v>
          </cell>
          <cell r="Z112">
            <v>16193</v>
          </cell>
          <cell r="AA112">
            <v>18784</v>
          </cell>
        </row>
        <row r="113">
          <cell r="B113" t="str">
            <v>KHI/HO/D/MO/PC COMP/C/94184/8/07/2024</v>
          </cell>
          <cell r="C113"/>
          <cell r="D113" t="str">
            <v>REN</v>
          </cell>
          <cell r="E113" t="str">
            <v>30/07/24</v>
          </cell>
          <cell r="F113" t="str">
            <v>22/07/2024</v>
          </cell>
          <cell r="G113" t="str">
            <v>21/07/2025</v>
          </cell>
          <cell r="H113" t="str">
            <v>08000025</v>
          </cell>
          <cell r="I113" t="str">
            <v>MEEZAN BANK LIMITED MAIN</v>
          </cell>
          <cell r="J113" t="str">
            <v>BANK</v>
          </cell>
          <cell r="K113" t="str">
            <v>M/S Meezan Bank Limited Main Branch 
User Mr.
M/S Meezan Bank Limited Main Branch Karachi
User Mr. Muhammad Sumair</v>
          </cell>
          <cell r="L113" t="str">
            <v>D</v>
          </cell>
          <cell r="M113" t="str">
            <v>09000221</v>
          </cell>
          <cell r="N113">
            <v>100</v>
          </cell>
          <cell r="O113" t="str">
            <v>KARACHI</v>
          </cell>
          <cell r="P113" t="str">
            <v>BUNGLOW # 22/1, 7TH COMMERCIAL STREET, PHASE 4, D.H.A, KARACHI</v>
          </cell>
          <cell r="Q113" t="str">
            <v>11000003</v>
          </cell>
          <cell r="R113" t="str">
            <v>SUZUKI ALTO VX EURO II</v>
          </cell>
          <cell r="S113" t="str">
            <v>2022</v>
          </cell>
          <cell r="T113" t="str">
            <v>BXG-835</v>
          </cell>
          <cell r="U113" t="str">
            <v>R239947</v>
          </cell>
          <cell r="V113" t="str">
            <v>H1139863</v>
          </cell>
          <cell r="W113"/>
          <cell r="X113" t="str">
            <v>3</v>
          </cell>
          <cell r="Y113">
            <v>1057860</v>
          </cell>
          <cell r="Z113">
            <v>13679</v>
          </cell>
          <cell r="AA113">
            <v>15868</v>
          </cell>
        </row>
        <row r="114">
          <cell r="B114" t="str">
            <v>KHI/HO/D/MO/PC COMP/C/94184/9/07/2024</v>
          </cell>
          <cell r="C114"/>
          <cell r="D114" t="str">
            <v>REN</v>
          </cell>
          <cell r="E114" t="str">
            <v>30/07/24</v>
          </cell>
          <cell r="F114" t="str">
            <v>28/07/2024</v>
          </cell>
          <cell r="G114" t="str">
            <v>27/07/2025</v>
          </cell>
          <cell r="H114" t="str">
            <v>08000025</v>
          </cell>
          <cell r="I114" t="str">
            <v>MEEZAN BANK LIMITED MAIN</v>
          </cell>
          <cell r="J114" t="str">
            <v>BANK</v>
          </cell>
          <cell r="K114" t="str">
            <v>M/S Meezan Bank Limited Main Branch 
User Mr.
M/S Meezan Bank Limited Main Branch Karachi
User Mr. Muhammad Sharif</v>
          </cell>
          <cell r="L114" t="str">
            <v>D</v>
          </cell>
          <cell r="M114" t="str">
            <v>09000221</v>
          </cell>
          <cell r="N114">
            <v>100</v>
          </cell>
          <cell r="O114" t="str">
            <v>KARACHI</v>
          </cell>
          <cell r="P114" t="str">
            <v>House NO KMC-150 , MUHALLAH MIANWALI, COLONY MOMINABAD , SITE, KARACHI</v>
          </cell>
          <cell r="Q114" t="str">
            <v>11000003</v>
          </cell>
          <cell r="R114" t="str">
            <v>HONDA CITY ASPIRE P/T</v>
          </cell>
          <cell r="S114" t="str">
            <v>2022</v>
          </cell>
          <cell r="T114" t="str">
            <v>BXG-678</v>
          </cell>
          <cell r="U114" t="str">
            <v>Z81009533</v>
          </cell>
          <cell r="V114" t="str">
            <v>R021534</v>
          </cell>
          <cell r="W114"/>
          <cell r="X114"/>
          <cell r="Y114">
            <v>3055320</v>
          </cell>
          <cell r="Z114">
            <v>39509</v>
          </cell>
          <cell r="AA114">
            <v>45830</v>
          </cell>
        </row>
        <row r="115">
          <cell r="B115" t="str">
            <v>KHI/HO/D/MO/PC COMP/C/94185/1/07/2024</v>
          </cell>
          <cell r="C115"/>
          <cell r="D115" t="str">
            <v>REN</v>
          </cell>
          <cell r="E115" t="str">
            <v>30/07/24</v>
          </cell>
          <cell r="F115" t="str">
            <v>02/07/2024</v>
          </cell>
          <cell r="G115" t="str">
            <v>01/07/2025</v>
          </cell>
          <cell r="H115" t="str">
            <v>08000025</v>
          </cell>
          <cell r="I115" t="str">
            <v>MEEZAN BANK LIMITED MAIN</v>
          </cell>
          <cell r="J115" t="str">
            <v>BANK</v>
          </cell>
          <cell r="K115" t="str">
            <v>M/s. Meezan Bank Limited Main Branch Karachi
M/s. Meezan Bank Limited Main Branch Karachi 
User Mr. Sajid Ali Khan</v>
          </cell>
          <cell r="L115" t="str">
            <v>D</v>
          </cell>
          <cell r="M115" t="str">
            <v>09000221</v>
          </cell>
          <cell r="N115">
            <v>100</v>
          </cell>
          <cell r="O115" t="str">
            <v>KARACHI</v>
          </cell>
          <cell r="P115" t="str">
            <v>House No. 20 Street No. 20 Area 36-B Landhi No. 5 Karachi</v>
          </cell>
          <cell r="Q115" t="str">
            <v>11000003</v>
          </cell>
          <cell r="R115" t="str">
            <v>CHANGAN KARVAAN VAN</v>
          </cell>
          <cell r="S115" t="str">
            <v>2021</v>
          </cell>
          <cell r="T115" t="str">
            <v>CZ-3403</v>
          </cell>
          <cell r="U115" t="str">
            <v>NKMAAB3D1M1007070</v>
          </cell>
          <cell r="V115" t="str">
            <v>JL466O9M69U502439</v>
          </cell>
          <cell r="W115"/>
          <cell r="X115" t="str">
            <v>3</v>
          </cell>
          <cell r="Y115">
            <v>1155465</v>
          </cell>
          <cell r="Z115">
            <v>14510</v>
          </cell>
          <cell r="AA115">
            <v>17332</v>
          </cell>
        </row>
        <row r="116">
          <cell r="B116" t="str">
            <v>KHI/HO/D/MO/PC COMP/C/94185/2/07/2024</v>
          </cell>
          <cell r="C116"/>
          <cell r="D116" t="str">
            <v>REN</v>
          </cell>
          <cell r="E116" t="str">
            <v>30/07/24</v>
          </cell>
          <cell r="F116" t="str">
            <v>05/07/2024</v>
          </cell>
          <cell r="G116" t="str">
            <v>04/07/2025</v>
          </cell>
          <cell r="H116" t="str">
            <v>08000025</v>
          </cell>
          <cell r="I116" t="str">
            <v>MEEZAN BANK LIMITED MAIN</v>
          </cell>
          <cell r="J116" t="str">
            <v>BANK</v>
          </cell>
          <cell r="K116" t="str">
            <v>M/s. Meezan Bank Limited Main Branch Karachi
M/s. Meezan Bank Limited Main Branch Karachi 
User Mr. Abdul Majid Khan</v>
          </cell>
          <cell r="L116" t="str">
            <v>D</v>
          </cell>
          <cell r="M116" t="str">
            <v>09000221</v>
          </cell>
          <cell r="N116">
            <v>100</v>
          </cell>
          <cell r="O116" t="str">
            <v>MIRPURKHAS</v>
          </cell>
          <cell r="P116" t="str">
            <v>Street 04 Area Khar Para Mirpurkhas</v>
          </cell>
          <cell r="Q116" t="str">
            <v>11000003</v>
          </cell>
          <cell r="R116" t="str">
            <v>SUZUKI CULTUS VXL EURO II</v>
          </cell>
          <cell r="S116" t="str">
            <v>2021</v>
          </cell>
          <cell r="T116"/>
          <cell r="U116" t="str">
            <v>K176592</v>
          </cell>
          <cell r="V116" t="str">
            <v>H10076573</v>
          </cell>
          <cell r="W116"/>
          <cell r="X116" t="str">
            <v>3</v>
          </cell>
          <cell r="Y116">
            <v>1436130</v>
          </cell>
          <cell r="Z116">
            <v>18570</v>
          </cell>
          <cell r="AA116">
            <v>21542</v>
          </cell>
        </row>
        <row r="117">
          <cell r="B117" t="str">
            <v>KHI/HO/D/MO/PC COMP/C/94185/3/07/2024</v>
          </cell>
          <cell r="C117"/>
          <cell r="D117" t="str">
            <v>REN</v>
          </cell>
          <cell r="E117" t="str">
            <v>30/07/24</v>
          </cell>
          <cell r="F117" t="str">
            <v>13/07/2024</v>
          </cell>
          <cell r="G117" t="str">
            <v>12/07/2025</v>
          </cell>
          <cell r="H117" t="str">
            <v>08000025</v>
          </cell>
          <cell r="I117" t="str">
            <v>MEEZAN BANK LIMITED MAIN</v>
          </cell>
          <cell r="J117" t="str">
            <v>BANK</v>
          </cell>
          <cell r="K117" t="str">
            <v>M/s. Meezan Bank Limited Main Branch Karachi
M/s. Meezan Bank Limited Main Branch Karachi 
User Mr. Muhammad Asad Ullah</v>
          </cell>
          <cell r="L117" t="str">
            <v>D</v>
          </cell>
          <cell r="M117" t="str">
            <v>09000221</v>
          </cell>
          <cell r="N117">
            <v>100</v>
          </cell>
          <cell r="O117" t="str">
            <v>KARACHI</v>
          </cell>
          <cell r="P117" t="str">
            <v>1-7 Cantt Bazar Area Malir Cantt Karachi</v>
          </cell>
          <cell r="Q117" t="str">
            <v>11000003</v>
          </cell>
          <cell r="R117" t="str">
            <v>TOYOTA COROLLA GLI M/T 1.</v>
          </cell>
          <cell r="S117" t="str">
            <v>2015</v>
          </cell>
          <cell r="T117" t="str">
            <v>BDW-090</v>
          </cell>
          <cell r="U117" t="str">
            <v>Z286954</v>
          </cell>
          <cell r="V117" t="str">
            <v>NZE170R-4039096</v>
          </cell>
          <cell r="W117"/>
          <cell r="X117" t="str">
            <v>3</v>
          </cell>
          <cell r="Y117">
            <v>1277573</v>
          </cell>
          <cell r="Z117">
            <v>16521</v>
          </cell>
          <cell r="AA117">
            <v>19164</v>
          </cell>
        </row>
        <row r="118">
          <cell r="B118" t="str">
            <v>KHI/HO/D/MO/PC COMP/C/94185/4/07/2024</v>
          </cell>
          <cell r="C118"/>
          <cell r="D118" t="str">
            <v>REN</v>
          </cell>
          <cell r="E118" t="str">
            <v>30/07/24</v>
          </cell>
          <cell r="F118" t="str">
            <v>15/07/2024</v>
          </cell>
          <cell r="G118" t="str">
            <v>14/07/2025</v>
          </cell>
          <cell r="H118" t="str">
            <v>08000025</v>
          </cell>
          <cell r="I118" t="str">
            <v>MEEZAN BANK LIMITED MAIN</v>
          </cell>
          <cell r="J118" t="str">
            <v>BANK</v>
          </cell>
          <cell r="K118" t="str">
            <v>M/s. Meezan Bank Limited Main Branch Karachi
M/s. Meezan Bank Limited Main Branch Karachi 
User Mr. Deen Muhammad</v>
          </cell>
          <cell r="L118" t="str">
            <v>D</v>
          </cell>
          <cell r="M118" t="str">
            <v>09000221</v>
          </cell>
          <cell r="N118">
            <v>100</v>
          </cell>
          <cell r="O118" t="str">
            <v>KARACHI</v>
          </cell>
          <cell r="P118" t="str">
            <v>House No. R-18 Gulshan-e-Dad Rahim Malir 15 Karachi</v>
          </cell>
          <cell r="Q118" t="str">
            <v>11000003</v>
          </cell>
          <cell r="R118" t="str">
            <v>KIA SPORTAGE AWD-CW</v>
          </cell>
          <cell r="S118" t="str">
            <v>2021</v>
          </cell>
          <cell r="T118" t="str">
            <v>BJ-4970</v>
          </cell>
          <cell r="U118" t="str">
            <v>G4NALMH307023</v>
          </cell>
          <cell r="V118" t="str">
            <v>NNAQL51AZKP511979</v>
          </cell>
          <cell r="W118"/>
          <cell r="X118" t="str">
            <v>3</v>
          </cell>
          <cell r="Y118">
            <v>3952638</v>
          </cell>
          <cell r="Z118">
            <v>51112</v>
          </cell>
          <cell r="AA118">
            <v>59290</v>
          </cell>
        </row>
        <row r="119">
          <cell r="B119" t="str">
            <v>KHI/HO/D/MO/PC COMP/C/94185/5/07/2024</v>
          </cell>
          <cell r="C119"/>
          <cell r="D119" t="str">
            <v>REN</v>
          </cell>
          <cell r="E119" t="str">
            <v>30/07/24</v>
          </cell>
          <cell r="F119" t="str">
            <v>15/07/2024</v>
          </cell>
          <cell r="G119" t="str">
            <v>14/07/2025</v>
          </cell>
          <cell r="H119" t="str">
            <v>08000025</v>
          </cell>
          <cell r="I119" t="str">
            <v>MEEZAN BANK LIMITED MAIN</v>
          </cell>
          <cell r="J119" t="str">
            <v>BANK</v>
          </cell>
          <cell r="K119" t="str">
            <v>M/s. Meezan Bank Limited Main Branch Karachi
M/s. Meezan Bank Limited Main Branch Karachi 
User Mr. Ghulam Murtaza Sahito</v>
          </cell>
          <cell r="L119" t="str">
            <v>D</v>
          </cell>
          <cell r="M119" t="str">
            <v>09000221</v>
          </cell>
          <cell r="N119">
            <v>100</v>
          </cell>
          <cell r="O119" t="str">
            <v>NAWABSHAH</v>
          </cell>
          <cell r="P119" t="str">
            <v>Sahta Mohallah Noshehroferoze</v>
          </cell>
          <cell r="Q119" t="str">
            <v>11000003</v>
          </cell>
          <cell r="R119" t="str">
            <v>KIA PICANTO 1.0L A/T</v>
          </cell>
          <cell r="S119" t="str">
            <v>2021</v>
          </cell>
          <cell r="T119"/>
          <cell r="U119" t="str">
            <v>072527</v>
          </cell>
          <cell r="V119" t="str">
            <v>706890</v>
          </cell>
          <cell r="W119"/>
          <cell r="X119" t="str">
            <v>3</v>
          </cell>
          <cell r="Y119">
            <v>1404783</v>
          </cell>
          <cell r="Z119">
            <v>18165</v>
          </cell>
          <cell r="AA119">
            <v>21072</v>
          </cell>
        </row>
        <row r="120">
          <cell r="B120" t="str">
            <v>KHI/HO/D/MO/PC COMP/C/94186/1/07/2024</v>
          </cell>
          <cell r="C120"/>
          <cell r="D120" t="str">
            <v>REN</v>
          </cell>
          <cell r="E120" t="str">
            <v>30/07/24</v>
          </cell>
          <cell r="F120" t="str">
            <v>13/07/2024</v>
          </cell>
          <cell r="G120" t="str">
            <v>12/07/2025</v>
          </cell>
          <cell r="H120" t="str">
            <v>08000025</v>
          </cell>
          <cell r="I120" t="str">
            <v>MEEZAN BANK LIMITED MAIN</v>
          </cell>
          <cell r="J120" t="str">
            <v>BANK</v>
          </cell>
          <cell r="K120" t="str">
            <v>M/S MEEZAN BANK LIMITED MAIN BRACH
M/s Meezan Bank Limited Main Brach
Ms.  Ayesha Siddiqa</v>
          </cell>
          <cell r="L120" t="str">
            <v>D</v>
          </cell>
          <cell r="M120" t="str">
            <v>09000221</v>
          </cell>
          <cell r="N120">
            <v>100</v>
          </cell>
          <cell r="O120" t="str">
            <v>KARACHI</v>
          </cell>
          <cell r="P120" t="str">
            <v>House No. L-17 Sector 36-E Taiser Town Surjani Karachi</v>
          </cell>
          <cell r="Q120" t="str">
            <v>11000003</v>
          </cell>
          <cell r="R120" t="str">
            <v>SUZUKI WAGON-R VXL E2</v>
          </cell>
          <cell r="S120" t="str">
            <v>2020</v>
          </cell>
          <cell r="T120" t="str">
            <v>BRW-506</v>
          </cell>
          <cell r="U120" t="str">
            <v>B195936</v>
          </cell>
          <cell r="V120" t="str">
            <v>10095919</v>
          </cell>
          <cell r="W120"/>
          <cell r="X120" t="str">
            <v>3</v>
          </cell>
          <cell r="Y120">
            <v>1053041</v>
          </cell>
          <cell r="Z120">
            <v>17725</v>
          </cell>
          <cell r="AA120">
            <v>21061</v>
          </cell>
        </row>
        <row r="121">
          <cell r="B121" t="str">
            <v>KHI/HO/D/MO/PC COMP/C/94186/2/07/2024</v>
          </cell>
          <cell r="C121"/>
          <cell r="D121" t="str">
            <v>REN</v>
          </cell>
          <cell r="E121" t="str">
            <v>30/07/24</v>
          </cell>
          <cell r="F121" t="str">
            <v>29/07/2024</v>
          </cell>
          <cell r="G121" t="str">
            <v>28/07/2025</v>
          </cell>
          <cell r="H121" t="str">
            <v>08000025</v>
          </cell>
          <cell r="I121" t="str">
            <v>MEEZAN BANK LIMITED MAIN</v>
          </cell>
          <cell r="J121" t="str">
            <v>BANK</v>
          </cell>
          <cell r="K121" t="str">
            <v>M/S MEEZAN BANK LIMITED MAIN BRACH
M/s Meezan Bank Limited Main Branch
User Mr. Syed Asif Mujtaba</v>
          </cell>
          <cell r="L121" t="str">
            <v>D</v>
          </cell>
          <cell r="M121" t="str">
            <v>09000221</v>
          </cell>
          <cell r="N121">
            <v>100</v>
          </cell>
          <cell r="O121" t="str">
            <v>KARACHI</v>
          </cell>
          <cell r="P121" t="str">
            <v>House No. R-866 Block 19 Al Noor Society F.B. Area Karachi</v>
          </cell>
          <cell r="Q121" t="str">
            <v>11000003</v>
          </cell>
          <cell r="R121" t="str">
            <v>DAIHATSU MIRA EIS</v>
          </cell>
          <cell r="S121" t="str">
            <v>2017</v>
          </cell>
          <cell r="T121" t="str">
            <v>BRY-845</v>
          </cell>
          <cell r="U121" t="str">
            <v>KF-J463101</v>
          </cell>
          <cell r="V121" t="str">
            <v>LA300S-1414662</v>
          </cell>
          <cell r="W121"/>
          <cell r="X121" t="str">
            <v>3</v>
          </cell>
          <cell r="Y121">
            <v>1115370</v>
          </cell>
          <cell r="Z121">
            <v>19230</v>
          </cell>
          <cell r="AA121">
            <v>22307</v>
          </cell>
        </row>
        <row r="122">
          <cell r="B122" t="str">
            <v>KHI/HO/D/MO/PC COMP/C/94186/3/07/2024</v>
          </cell>
          <cell r="C122"/>
          <cell r="D122" t="str">
            <v>REN</v>
          </cell>
          <cell r="E122" t="str">
            <v>30/07/24</v>
          </cell>
          <cell r="F122" t="str">
            <v>29/07/2024</v>
          </cell>
          <cell r="G122" t="str">
            <v>28/07/2025</v>
          </cell>
          <cell r="H122" t="str">
            <v>08000025</v>
          </cell>
          <cell r="I122" t="str">
            <v>MEEZAN BANK LIMITED MAIN</v>
          </cell>
          <cell r="J122" t="str">
            <v>BANK</v>
          </cell>
          <cell r="K122" t="str">
            <v>M/S MEEZAN BANK LIMITED MAIN BRACH
M/s Meezan Bank Limited Main Branch
User Mr. Muhammad Haris Khan</v>
          </cell>
          <cell r="L122" t="str">
            <v>D</v>
          </cell>
          <cell r="M122" t="str">
            <v>09000221</v>
          </cell>
          <cell r="N122">
            <v>100</v>
          </cell>
          <cell r="O122" t="str">
            <v>KARACHI</v>
          </cell>
          <cell r="P122" t="str">
            <v>House NO. 1895-2 Azizabad No.2 F.B. Area Karachi</v>
          </cell>
          <cell r="Q122" t="str">
            <v>11000003</v>
          </cell>
          <cell r="R122" t="str">
            <v>SUZUKI SWIFT DLX EURO II</v>
          </cell>
          <cell r="S122" t="str">
            <v>2015</v>
          </cell>
          <cell r="T122" t="str">
            <v>BEQ-573</v>
          </cell>
          <cell r="U122" t="str">
            <v>13029953</v>
          </cell>
          <cell r="V122" t="str">
            <v>10029950</v>
          </cell>
          <cell r="W122"/>
          <cell r="X122" t="str">
            <v>3</v>
          </cell>
          <cell r="Y122">
            <v>829967</v>
          </cell>
          <cell r="Z122">
            <v>14310</v>
          </cell>
          <cell r="AA122">
            <v>16599</v>
          </cell>
        </row>
        <row r="123">
          <cell r="B123" t="str">
            <v>KHI/HO/D/MO/PC COMP/C/94188/1/07/2024</v>
          </cell>
          <cell r="C123"/>
          <cell r="D123" t="str">
            <v>REN</v>
          </cell>
          <cell r="E123" t="str">
            <v>30/07/24</v>
          </cell>
          <cell r="F123" t="str">
            <v>04/07/2024</v>
          </cell>
          <cell r="G123" t="str">
            <v>03/07/2025</v>
          </cell>
          <cell r="H123" t="str">
            <v>08000156</v>
          </cell>
          <cell r="I123" t="str">
            <v>MEEZAN BANK LIMITED, ABDALI ROAD BRANCH, MULTAN</v>
          </cell>
          <cell r="J123" t="str">
            <v>BANK</v>
          </cell>
          <cell r="K123" t="str">
            <v>M/s. Meezan Bank Limited Nawan Shehar Chowk Branch Multan
M/s. Meezan Bank Limited Nawan Shehar Chowk Branch Multan
User Mr. Asif Nawaz</v>
          </cell>
          <cell r="L123" t="str">
            <v>D</v>
          </cell>
          <cell r="M123" t="str">
            <v>09000221</v>
          </cell>
          <cell r="N123">
            <v>100</v>
          </cell>
          <cell r="O123" t="str">
            <v>MULTAN</v>
          </cell>
          <cell r="P123" t="str">
            <v>CHAH PIPLY WALA CHAK SANJAR P/O SHADAN LUND TAUNSA, HOUSE, DERA GHAZI KHAN,</v>
          </cell>
          <cell r="Q123" t="str">
            <v>11000003</v>
          </cell>
          <cell r="R123" t="str">
            <v>SUZUKI CULTUS VXL EURO II</v>
          </cell>
          <cell r="S123" t="str">
            <v>2018</v>
          </cell>
          <cell r="T123" t="str">
            <v>LEC-6620</v>
          </cell>
          <cell r="U123" t="str">
            <v>PK10K129998</v>
          </cell>
          <cell r="V123" t="str">
            <v>NF1AVK31H10029989</v>
          </cell>
          <cell r="W123"/>
          <cell r="X123" t="str">
            <v>3</v>
          </cell>
          <cell r="Y123">
            <v>2250000</v>
          </cell>
          <cell r="Z123">
            <v>28663</v>
          </cell>
          <cell r="AA123">
            <v>33750</v>
          </cell>
        </row>
        <row r="124">
          <cell r="B124" t="str">
            <v>KHI/HO/D/MO/PC COMP/C/94188/2/07/2024</v>
          </cell>
          <cell r="C124"/>
          <cell r="D124" t="str">
            <v>REN</v>
          </cell>
          <cell r="E124" t="str">
            <v>30/07/24</v>
          </cell>
          <cell r="F124" t="str">
            <v>20/07/2024</v>
          </cell>
          <cell r="G124" t="str">
            <v>19/07/2025</v>
          </cell>
          <cell r="H124" t="str">
            <v>08000156</v>
          </cell>
          <cell r="I124" t="str">
            <v>MEEZAN BANK LIMITED, ABDALI ROAD BRANCH, MULTAN</v>
          </cell>
          <cell r="J124" t="str">
            <v>BANK</v>
          </cell>
          <cell r="K124" t="str">
            <v>M/s. Meezan Bank Limited Nawan Shehar Chowk Branch Multan
M/s. Meezan Bank Limited Nawan Shehar Chowk Branch Multan
User Mr. MUHAMMAD RIZWAN</v>
          </cell>
          <cell r="L124" t="str">
            <v>D</v>
          </cell>
          <cell r="M124" t="str">
            <v>09000221</v>
          </cell>
          <cell r="N124">
            <v>100</v>
          </cell>
          <cell r="O124" t="str">
            <v>MULTAN</v>
          </cell>
          <cell r="P124" t="str">
            <v>H NO 4 , BLOCK 11, SODIWAL COLONY, LAHORE, LAHORE (CHOWK YATEEM KHANA)</v>
          </cell>
          <cell r="Q124" t="str">
            <v>11000003</v>
          </cell>
          <cell r="R124" t="str">
            <v>SUZUKI ALTO VXL</v>
          </cell>
          <cell r="S124" t="str">
            <v>2023</v>
          </cell>
          <cell r="T124" t="str">
            <v>APL-396</v>
          </cell>
          <cell r="U124" t="str">
            <v>6R276084</v>
          </cell>
          <cell r="V124" t="str">
            <v>NF1AET306H1176099</v>
          </cell>
          <cell r="W124"/>
          <cell r="X124"/>
          <cell r="Y124">
            <v>2641500</v>
          </cell>
          <cell r="Z124">
            <v>34157</v>
          </cell>
          <cell r="AA124">
            <v>39623</v>
          </cell>
        </row>
        <row r="125">
          <cell r="B125" t="str">
            <v>KHI/HO/D/MO/PC COMP/C/94188/3/07/2024</v>
          </cell>
          <cell r="C125"/>
          <cell r="D125" t="str">
            <v>REN</v>
          </cell>
          <cell r="E125" t="str">
            <v>30/07/24</v>
          </cell>
          <cell r="F125" t="str">
            <v>24/07/2024</v>
          </cell>
          <cell r="G125" t="str">
            <v>23/07/2025</v>
          </cell>
          <cell r="H125" t="str">
            <v>08000156</v>
          </cell>
          <cell r="I125" t="str">
            <v>MEEZAN BANK LIMITED, ABDALI ROAD BRANCH, MULTAN</v>
          </cell>
          <cell r="J125" t="str">
            <v>BANK</v>
          </cell>
          <cell r="K125" t="str">
            <v>M/s. Meezan Bank Limited Nawan Shehar Chowk Branch Multan
M/s. Meezan Bank Limited Nawan Shehar Chowk Branch Multan
User Mr. ALAM SHER</v>
          </cell>
          <cell r="L125" t="str">
            <v>D</v>
          </cell>
          <cell r="M125" t="str">
            <v>09000221</v>
          </cell>
          <cell r="N125">
            <v>100</v>
          </cell>
          <cell r="O125" t="str">
            <v>SAHIWAL</v>
          </cell>
          <cell r="P125" t="str">
            <v>H NO 196-B, JEEWAN CITY PHASE 1, SAHIWAL, SAHIWAL</v>
          </cell>
          <cell r="Q125" t="str">
            <v>11000003</v>
          </cell>
          <cell r="R125" t="str">
            <v>SUZUKI MEHRAN VXR</v>
          </cell>
          <cell r="S125" t="str">
            <v>2015</v>
          </cell>
          <cell r="T125" t="str">
            <v>OK-1545</v>
          </cell>
          <cell r="U125" t="str">
            <v>PKB605234</v>
          </cell>
          <cell r="V125" t="str">
            <v>SB308PK01143796</v>
          </cell>
          <cell r="W125"/>
          <cell r="X125"/>
          <cell r="Y125">
            <v>900000</v>
          </cell>
          <cell r="Z125">
            <v>11638</v>
          </cell>
          <cell r="AA125">
            <v>13500</v>
          </cell>
        </row>
        <row r="126">
          <cell r="B126" t="str">
            <v>KHI/HO/D/MO/PC COMP/C/94188/4/07/2024</v>
          </cell>
          <cell r="C126"/>
          <cell r="D126" t="str">
            <v>REN</v>
          </cell>
          <cell r="E126" t="str">
            <v>30/07/24</v>
          </cell>
          <cell r="F126" t="str">
            <v>26/07/2024</v>
          </cell>
          <cell r="G126" t="str">
            <v>25/07/2025</v>
          </cell>
          <cell r="H126" t="str">
            <v>08000156</v>
          </cell>
          <cell r="I126" t="str">
            <v>MEEZAN BANK LIMITED, ABDALI ROAD BRANCH, MULTAN</v>
          </cell>
          <cell r="J126" t="str">
            <v>BANK</v>
          </cell>
          <cell r="K126" t="str">
            <v>M/s. Meezan Bank Limited Nawan Shehar Chowk Branch Multan
M/s. Meezan Bank Limited Nawan Shehar Chowk Branch Multan
User Mr. Maqbool Hussain Ansari</v>
          </cell>
          <cell r="L126" t="str">
            <v>D</v>
          </cell>
          <cell r="M126" t="str">
            <v>09000221</v>
          </cell>
          <cell r="N126">
            <v>100</v>
          </cell>
          <cell r="O126" t="str">
            <v>MULTAN</v>
          </cell>
          <cell r="P126" t="str">
            <v>SURAJ MIANI MDA ROAD, MOH NOOR UL ISLAM COLONY, MULTAN,</v>
          </cell>
          <cell r="Q126" t="str">
            <v>11000003</v>
          </cell>
          <cell r="R126" t="str">
            <v>HONDA BRV S CVT</v>
          </cell>
          <cell r="S126" t="str">
            <v>2018</v>
          </cell>
          <cell r="T126"/>
          <cell r="U126" t="str">
            <v>L15Z13513548</v>
          </cell>
          <cell r="V126" t="str">
            <v>NFBDG1830JR013520</v>
          </cell>
          <cell r="W126"/>
          <cell r="X126" t="str">
            <v>3</v>
          </cell>
          <cell r="Y126">
            <v>3240000</v>
          </cell>
          <cell r="Z126">
            <v>41897</v>
          </cell>
          <cell r="AA126">
            <v>48600</v>
          </cell>
        </row>
        <row r="127">
          <cell r="B127" t="str">
            <v>KHI/HO/D/MO/PC COMP/C/94190/1/07/2024</v>
          </cell>
          <cell r="C127"/>
          <cell r="D127" t="str">
            <v>REN</v>
          </cell>
          <cell r="E127" t="str">
            <v>30/07/24</v>
          </cell>
          <cell r="F127" t="str">
            <v>15/07/2024</v>
          </cell>
          <cell r="G127" t="str">
            <v>14/07/2025</v>
          </cell>
          <cell r="H127" t="str">
            <v>08000156</v>
          </cell>
          <cell r="I127" t="str">
            <v>MEEZAN BANK LIMITED, ABDALI ROAD BRANCH, MULTAN</v>
          </cell>
          <cell r="J127" t="str">
            <v>BANK</v>
          </cell>
          <cell r="K127" t="str">
            <v>M/s. Meezan Bank Limited Nawan Shehar Chowk Branch Multan
M/s. Meezan Bank Limited Nawan Shehar Chowk Branch Multan
User Mr. Arshad Ahmed Khan</v>
          </cell>
          <cell r="L127" t="str">
            <v>D</v>
          </cell>
          <cell r="M127" t="str">
            <v>09000221</v>
          </cell>
          <cell r="N127">
            <v>100</v>
          </cell>
          <cell r="O127" t="str">
            <v>MULTAN</v>
          </cell>
          <cell r="P127" t="str">
            <v>GALI PURANI TOWN COMMETTI , LOHANI HOUSE H NO 1070/8, HAVELI
LAKHA , TEHSIL DEPALPUR , DISTT OKARA</v>
          </cell>
          <cell r="Q127" t="str">
            <v>11000003</v>
          </cell>
          <cell r="R127" t="str">
            <v>CHANGAN KARVAAN PLUS</v>
          </cell>
          <cell r="S127" t="str">
            <v>2022</v>
          </cell>
          <cell r="T127" t="str">
            <v>ACL-784</v>
          </cell>
          <cell r="U127" t="str">
            <v>JL466Q9M69U506628</v>
          </cell>
          <cell r="V127" t="str">
            <v>NKMAAB3D1N1014308</v>
          </cell>
          <cell r="W127"/>
          <cell r="X127"/>
          <cell r="Y127">
            <v>1797390</v>
          </cell>
          <cell r="Z127">
            <v>22811</v>
          </cell>
          <cell r="AA127">
            <v>26961</v>
          </cell>
        </row>
        <row r="128">
          <cell r="B128" t="str">
            <v>KHI/HO/D/MO/PC COMP/C/94192/1/07/2024</v>
          </cell>
          <cell r="C128"/>
          <cell r="D128" t="str">
            <v>REN</v>
          </cell>
          <cell r="E128" t="str">
            <v>30/07/24</v>
          </cell>
          <cell r="F128" t="str">
            <v>17/07/2024</v>
          </cell>
          <cell r="G128" t="str">
            <v>16/07/2025</v>
          </cell>
          <cell r="H128" t="str">
            <v>08000156</v>
          </cell>
          <cell r="I128" t="str">
            <v>MEEZAN BANK LIMITED, ABDALI ROAD BRANCH, MULTAN</v>
          </cell>
          <cell r="J128" t="str">
            <v>BANK</v>
          </cell>
          <cell r="K128" t="str">
            <v>M/s Meezan Bank Limited Nawan Shehar Chowk Branch, Multan.
M/s. Meezan Bank  Limited Nawan Shehar Chowk Branch Multan
User Mr. Arif Rehan</v>
          </cell>
          <cell r="L128" t="str">
            <v>D</v>
          </cell>
          <cell r="M128" t="str">
            <v>09000221</v>
          </cell>
          <cell r="N128">
            <v>100</v>
          </cell>
          <cell r="O128" t="str">
            <v>MULTAN</v>
          </cell>
          <cell r="P128" t="str">
            <v>House No. 26 Satellite Town, Mian Channu.</v>
          </cell>
          <cell r="Q128" t="str">
            <v>11000003</v>
          </cell>
          <cell r="R128" t="str">
            <v>TOYOTA YARIS ATIV CVT</v>
          </cell>
          <cell r="S128" t="str">
            <v>2021</v>
          </cell>
          <cell r="T128" t="str">
            <v>ADU-826</v>
          </cell>
          <cell r="U128" t="str">
            <v>2A32108</v>
          </cell>
          <cell r="V128" t="str">
            <v>NSP150R-7019741</v>
          </cell>
          <cell r="W128"/>
          <cell r="X128" t="str">
            <v>3</v>
          </cell>
          <cell r="Y128">
            <v>1965384</v>
          </cell>
          <cell r="Z128">
            <v>24983</v>
          </cell>
          <cell r="AA128">
            <v>29481</v>
          </cell>
        </row>
        <row r="129">
          <cell r="B129" t="str">
            <v>KHI/HO/D/MO/PC COMP/C/94192/2/07/2024</v>
          </cell>
          <cell r="C129"/>
          <cell r="D129" t="str">
            <v>REN</v>
          </cell>
          <cell r="E129" t="str">
            <v>30/07/24</v>
          </cell>
          <cell r="F129" t="str">
            <v>29/07/2024</v>
          </cell>
          <cell r="G129" t="str">
            <v>28/07/2025</v>
          </cell>
          <cell r="H129" t="str">
            <v>08000156</v>
          </cell>
          <cell r="I129" t="str">
            <v>MEEZAN BANK LIMITED, ABDALI ROAD BRANCH, MULTAN</v>
          </cell>
          <cell r="J129" t="str">
            <v>BANK</v>
          </cell>
          <cell r="K129" t="str">
            <v>M/s Meezan Bank Limited Nawan Shehar Chowk Branch, Multan.
M/s. Meezan Bank  Limited Nawan Shehar Chowk Branch Multan
User Mr. Saad Ali</v>
          </cell>
          <cell r="L129" t="str">
            <v>D</v>
          </cell>
          <cell r="M129" t="str">
            <v>09000221</v>
          </cell>
          <cell r="N129">
            <v>100</v>
          </cell>
          <cell r="O129" t="str">
            <v>LAYYAH</v>
          </cell>
          <cell r="P129" t="str">
            <v>Ward 02 Fateh Pur Teh Karoor Lal Hassan Layyah</v>
          </cell>
          <cell r="Q129" t="str">
            <v>11000003</v>
          </cell>
          <cell r="R129" t="str">
            <v>SUZUKI CULTUS VXL EURO II</v>
          </cell>
          <cell r="S129" t="str">
            <v>2021</v>
          </cell>
          <cell r="T129" t="str">
            <v>ADW-453</v>
          </cell>
          <cell r="U129" t="str">
            <v>PK10K178024</v>
          </cell>
          <cell r="V129" t="str">
            <v>NF1AVK31H10078043</v>
          </cell>
          <cell r="W129"/>
          <cell r="X129" t="str">
            <v>3</v>
          </cell>
          <cell r="Y129">
            <v>1394509</v>
          </cell>
          <cell r="Z129">
            <v>18033</v>
          </cell>
          <cell r="AA129">
            <v>20918</v>
          </cell>
        </row>
        <row r="130">
          <cell r="B130" t="str">
            <v>KHI/HO/D/MO/PC COMP/C/94192/3/07/2024</v>
          </cell>
          <cell r="C130"/>
          <cell r="D130" t="str">
            <v>REN</v>
          </cell>
          <cell r="E130" t="str">
            <v>30/07/24</v>
          </cell>
          <cell r="F130" t="str">
            <v>29/07/2024</v>
          </cell>
          <cell r="G130" t="str">
            <v>28/07/2025</v>
          </cell>
          <cell r="H130" t="str">
            <v>08000156</v>
          </cell>
          <cell r="I130" t="str">
            <v>MEEZAN BANK LIMITED, ABDALI ROAD BRANCH, MULTAN</v>
          </cell>
          <cell r="J130" t="str">
            <v>BANK</v>
          </cell>
          <cell r="K130" t="str">
            <v>M/s Meezan Bank Limited Nawan Shehar Chowk Branch, Multan.
M/s. Meezan Bank  Limited Nawan Shehar Chowk Branch Multan
User Mr. Maaz Khawaja</v>
          </cell>
          <cell r="L130" t="str">
            <v>D</v>
          </cell>
          <cell r="M130" t="str">
            <v>09000221</v>
          </cell>
          <cell r="N130">
            <v>100</v>
          </cell>
          <cell r="O130" t="str">
            <v>MULTAN</v>
          </cell>
          <cell r="P130" t="str">
            <v>Rouch Power Plant Colony XB01 Abdul Hakim Multan</v>
          </cell>
          <cell r="Q130" t="str">
            <v>11000003</v>
          </cell>
          <cell r="R130" t="str">
            <v>TOYOTA YARIS ATIV CVT</v>
          </cell>
          <cell r="S130" t="str">
            <v>2021</v>
          </cell>
          <cell r="T130" t="str">
            <v>ADX-354</v>
          </cell>
          <cell r="U130" t="str">
            <v>2A31878</v>
          </cell>
          <cell r="V130" t="str">
            <v>NSP150R-7019589</v>
          </cell>
          <cell r="W130"/>
          <cell r="X130" t="str">
            <v>3</v>
          </cell>
          <cell r="Y130">
            <v>1857492</v>
          </cell>
          <cell r="Z130">
            <v>24019</v>
          </cell>
          <cell r="AA130">
            <v>27862</v>
          </cell>
        </row>
        <row r="131">
          <cell r="B131" t="str">
            <v>KHI/HO/D/MO/PC COMP/C/94193/1/07/2024</v>
          </cell>
          <cell r="C131"/>
          <cell r="D131" t="str">
            <v>REN</v>
          </cell>
          <cell r="E131" t="str">
            <v>30/07/24</v>
          </cell>
          <cell r="F131" t="str">
            <v>17/07/2024</v>
          </cell>
          <cell r="G131" t="str">
            <v>16/07/2025</v>
          </cell>
          <cell r="H131" t="str">
            <v>08000156</v>
          </cell>
          <cell r="I131" t="str">
            <v>MEEZAN BANK LIMITED, ABDALI ROAD BRANCH, MULTAN</v>
          </cell>
          <cell r="J131" t="str">
            <v>BANK</v>
          </cell>
          <cell r="K131" t="str">
            <v>M/S. MEEZAN BANK LIMITED NAWAN SHEHAR CHOWK
BRANCH MULTAN
M/s. Meezan Bank Limited Nawan Shehar Chowk Branch Multan 
User. Mr. Khawaja Muhammad Abid Siddiqui</v>
          </cell>
          <cell r="L131" t="str">
            <v>D</v>
          </cell>
          <cell r="M131" t="str">
            <v>09000221</v>
          </cell>
          <cell r="N131">
            <v>100</v>
          </cell>
          <cell r="O131" t="str">
            <v>MULTAN</v>
          </cell>
          <cell r="P131" t="str">
            <v>House No.401 Bahawalpur Chowk Near Motorways Check Post Bahawalpur Road Multan</v>
          </cell>
          <cell r="Q131" t="str">
            <v>11000003</v>
          </cell>
          <cell r="R131" t="str">
            <v>SUZUKI WAGON-R VXL E2</v>
          </cell>
          <cell r="S131" t="str">
            <v>2020</v>
          </cell>
          <cell r="T131" t="str">
            <v>MNA-20-588</v>
          </cell>
          <cell r="U131" t="str">
            <v>PK10B203559</v>
          </cell>
          <cell r="V131" t="str">
            <v>A1J310PK10103552</v>
          </cell>
          <cell r="W131"/>
          <cell r="X131" t="str">
            <v>3</v>
          </cell>
          <cell r="Y131">
            <v>1240029</v>
          </cell>
          <cell r="Z131">
            <v>20950</v>
          </cell>
          <cell r="AA131">
            <v>24801</v>
          </cell>
        </row>
        <row r="132">
          <cell r="B132" t="str">
            <v>KHI/HO/D/MO/PC COMP/C/94193/2/07/2024</v>
          </cell>
          <cell r="C132"/>
          <cell r="D132" t="str">
            <v>REN</v>
          </cell>
          <cell r="E132" t="str">
            <v>30/07/24</v>
          </cell>
          <cell r="F132" t="str">
            <v>17/07/2024</v>
          </cell>
          <cell r="G132" t="str">
            <v>16/07/2025</v>
          </cell>
          <cell r="H132" t="str">
            <v>08000156</v>
          </cell>
          <cell r="I132" t="str">
            <v>MEEZAN BANK LIMITED, ABDALI ROAD BRANCH, MULTAN</v>
          </cell>
          <cell r="J132" t="str">
            <v>BANK</v>
          </cell>
          <cell r="K132" t="str">
            <v>M/S. MEEZAN BANK LIMITED NAWAN SHEHAR CHOWK
BRANCH MULTAN
M/s. Meezan Bank Limited Nawan Shehar Chowk Branch Multan 
User. Mr. Ghulam Mustafa</v>
          </cell>
          <cell r="L132" t="str">
            <v>D</v>
          </cell>
          <cell r="M132" t="str">
            <v>09000221</v>
          </cell>
          <cell r="N132">
            <v>100</v>
          </cell>
          <cell r="O132" t="str">
            <v>MULTAN</v>
          </cell>
          <cell r="P132" t="str">
            <v>Staff Colony Reliance Weaving Mills Unit 2 Near 500 KVA Grid Station 17-Km Khanewal Road Multan</v>
          </cell>
          <cell r="Q132" t="str">
            <v>11000003</v>
          </cell>
          <cell r="R132" t="str">
            <v>SUZUKI ALTO VXR</v>
          </cell>
          <cell r="S132" t="str">
            <v>2020</v>
          </cell>
          <cell r="T132" t="str">
            <v>MN-20-984</v>
          </cell>
          <cell r="U132" t="str">
            <v>6R133830</v>
          </cell>
          <cell r="V132" t="str">
            <v>NF1AET306H1033830</v>
          </cell>
          <cell r="W132"/>
          <cell r="X132" t="str">
            <v>3</v>
          </cell>
          <cell r="Y132">
            <v>917228</v>
          </cell>
          <cell r="Z132">
            <v>15815</v>
          </cell>
          <cell r="AA132">
            <v>18345</v>
          </cell>
        </row>
        <row r="133">
          <cell r="B133" t="str">
            <v>KHI/HO/D/MO/PC COMP/C/94193/3/07/2024</v>
          </cell>
          <cell r="C133"/>
          <cell r="D133" t="str">
            <v>REN</v>
          </cell>
          <cell r="E133" t="str">
            <v>30/07/24</v>
          </cell>
          <cell r="F133" t="str">
            <v>21/07/2024</v>
          </cell>
          <cell r="G133" t="str">
            <v>20/07/2025</v>
          </cell>
          <cell r="H133" t="str">
            <v>08000156</v>
          </cell>
          <cell r="I133" t="str">
            <v>MEEZAN BANK LIMITED, ABDALI ROAD BRANCH, MULTAN</v>
          </cell>
          <cell r="J133" t="str">
            <v>BANK</v>
          </cell>
          <cell r="K133" t="str">
            <v>M/S. MEEZAN BANK LIMITED NAWAN SHEHAR CHOWK
BRANCH MULTAN
M/s. Meezan Bank Limited Nawan Shehar Chowk Branch Multan 
User. Mr. Naveed Ikram</v>
          </cell>
          <cell r="L133" t="str">
            <v>D</v>
          </cell>
          <cell r="M133" t="str">
            <v>09000221</v>
          </cell>
          <cell r="N133">
            <v>100</v>
          </cell>
          <cell r="O133" t="str">
            <v>SAHIWAL</v>
          </cell>
          <cell r="P133" t="str">
            <v>House No. 196/2 Zafar Colony Okara</v>
          </cell>
          <cell r="Q133" t="str">
            <v>11000003</v>
          </cell>
          <cell r="R133" t="str">
            <v>SUZUKI ALTO VXL</v>
          </cell>
          <cell r="S133" t="str">
            <v>2020</v>
          </cell>
          <cell r="T133" t="str">
            <v>AQY-803</v>
          </cell>
          <cell r="U133" t="str">
            <v>6R127806</v>
          </cell>
          <cell r="V133" t="str">
            <v>NF1AET306H1027739</v>
          </cell>
          <cell r="W133"/>
          <cell r="X133" t="str">
            <v>3</v>
          </cell>
          <cell r="Y133">
            <v>1048448</v>
          </cell>
          <cell r="Z133">
            <v>18076</v>
          </cell>
          <cell r="AA133">
            <v>20969</v>
          </cell>
        </row>
        <row r="134">
          <cell r="B134" t="str">
            <v>KHI/HO/D/MO/PC COMP/C/94193/4/07/2024</v>
          </cell>
          <cell r="C134"/>
          <cell r="D134" t="str">
            <v>REN</v>
          </cell>
          <cell r="E134" t="str">
            <v>30/07/24</v>
          </cell>
          <cell r="F134" t="str">
            <v>23/07/2024</v>
          </cell>
          <cell r="G134" t="str">
            <v>22/07/2025</v>
          </cell>
          <cell r="H134" t="str">
            <v>08000156</v>
          </cell>
          <cell r="I134" t="str">
            <v>MEEZAN BANK LIMITED, ABDALI ROAD BRANCH, MULTAN</v>
          </cell>
          <cell r="J134" t="str">
            <v>BANK</v>
          </cell>
          <cell r="K134" t="str">
            <v>M/S. MEEZAN BANK LIMITED NAWAN SHEHAR CHOWK
BRANCH MULTAN
M/s. Meezan Bank Limited Nawan Shehar Chowk Branch Multan
User. Mr. Liaqat Ali</v>
          </cell>
          <cell r="L134" t="str">
            <v>D</v>
          </cell>
          <cell r="M134" t="str">
            <v>09000221</v>
          </cell>
          <cell r="N134">
            <v>100</v>
          </cell>
          <cell r="O134"/>
          <cell r="P134" t="str">
            <v>Madina town, chowk sarwar shahid grassy ground, kot addu Road, chowk munda.</v>
          </cell>
          <cell r="Q134" t="str">
            <v>11000003</v>
          </cell>
          <cell r="R134" t="str">
            <v>SUZUKI WAGON R VXL AGS</v>
          </cell>
          <cell r="S134" t="str">
            <v>2020</v>
          </cell>
          <cell r="T134" t="str">
            <v>AQY-706</v>
          </cell>
          <cell r="U134" t="str">
            <v>PK10B201542</v>
          </cell>
          <cell r="V134" t="str">
            <v>A1J310PK10101492</v>
          </cell>
          <cell r="W134"/>
          <cell r="X134"/>
          <cell r="Y134">
            <v>1112090</v>
          </cell>
          <cell r="Z134">
            <v>19174</v>
          </cell>
          <cell r="AA134">
            <v>22242</v>
          </cell>
        </row>
        <row r="135">
          <cell r="B135" t="str">
            <v>KHI/HO/D/MO/PC COMP/C/94194/1/07/2024</v>
          </cell>
          <cell r="C135"/>
          <cell r="D135" t="str">
            <v>REN</v>
          </cell>
          <cell r="E135" t="str">
            <v>30/07/24</v>
          </cell>
          <cell r="F135" t="str">
            <v>04/07/2024</v>
          </cell>
          <cell r="G135" t="str">
            <v>03/07/2025</v>
          </cell>
          <cell r="H135" t="str">
            <v>08000213</v>
          </cell>
          <cell r="I135" t="str">
            <v>MEEZAN BANK LTD - BHAWALPUR BRANCH</v>
          </cell>
          <cell r="J135" t="str">
            <v>BANK</v>
          </cell>
          <cell r="K135" t="str">
            <v>M/s. Meezan Bank Limited Bahawalpur Branch 
User Mr.  
M/s. Meezan Bank Limited Bahawalpur Branch 
User Mr. IRTAZA ABID</v>
          </cell>
          <cell r="L135" t="str">
            <v>D</v>
          </cell>
          <cell r="M135" t="str">
            <v>09000221</v>
          </cell>
          <cell r="N135">
            <v>100</v>
          </cell>
          <cell r="O135" t="str">
            <v>BHAWALPUR</v>
          </cell>
          <cell r="P135" t="str">
            <v>VILLA NO 196 , SECTOR , D, DHA , BAHAWALPUR</v>
          </cell>
          <cell r="Q135" t="str">
            <v>11000003</v>
          </cell>
          <cell r="R135" t="str">
            <v>TOYOTA Yaris ATIV 1.3 (CV</v>
          </cell>
          <cell r="S135" t="str">
            <v>2023</v>
          </cell>
          <cell r="T135"/>
          <cell r="U135" t="str">
            <v>2A61662</v>
          </cell>
          <cell r="V135" t="str">
            <v>NSP150R-7039540</v>
          </cell>
          <cell r="W135"/>
          <cell r="X135"/>
          <cell r="Y135">
            <v>4549050</v>
          </cell>
          <cell r="Z135">
            <v>58393</v>
          </cell>
          <cell r="AA135">
            <v>68236</v>
          </cell>
        </row>
        <row r="136">
          <cell r="B136" t="str">
            <v>KHI/HO/D/MO/PC COMP/C/94195/1/07/2024</v>
          </cell>
          <cell r="C136"/>
          <cell r="D136" t="str">
            <v>REN</v>
          </cell>
          <cell r="E136" t="str">
            <v>30/07/24</v>
          </cell>
          <cell r="F136" t="str">
            <v>06/07/2024</v>
          </cell>
          <cell r="G136" t="str">
            <v>05/07/2025</v>
          </cell>
          <cell r="H136" t="str">
            <v>08000213</v>
          </cell>
          <cell r="I136" t="str">
            <v>MEEZAN BANK LTD - BHAWALPUR BRANCH</v>
          </cell>
          <cell r="J136" t="str">
            <v>BANK</v>
          </cell>
          <cell r="K136" t="str">
            <v>M/s. Meezan Bank Limited Circular Road Branch Bahawalpur
M/s. Meezan Bank Limited Circular Road Branch Bahawalpur 
User. Mr. Khawaja Faheem Arshad</v>
          </cell>
          <cell r="L136" t="str">
            <v>D</v>
          </cell>
          <cell r="M136" t="str">
            <v>09000221</v>
          </cell>
          <cell r="N136">
            <v>100</v>
          </cell>
          <cell r="O136" t="str">
            <v>BHAWALPUR</v>
          </cell>
          <cell r="P136" t="str">
            <v>House No. 25 Z Block  Satellite Town Chishtian Dist Bahawalnagar</v>
          </cell>
          <cell r="Q136" t="str">
            <v>11000003</v>
          </cell>
          <cell r="R136" t="str">
            <v>TOYOTA COROLLA ALTIS CVT</v>
          </cell>
          <cell r="S136" t="str">
            <v>2021</v>
          </cell>
          <cell r="T136" t="str">
            <v>AUD-908</v>
          </cell>
          <cell r="U136" t="str">
            <v>Q350440</v>
          </cell>
          <cell r="V136" t="str">
            <v>ZRE172R-7049638</v>
          </cell>
          <cell r="W136"/>
          <cell r="X136" t="str">
            <v>3</v>
          </cell>
          <cell r="Y136">
            <v>2940057</v>
          </cell>
          <cell r="Z136">
            <v>50259</v>
          </cell>
          <cell r="AA136">
            <v>58801</v>
          </cell>
        </row>
        <row r="137">
          <cell r="B137" t="str">
            <v>KHI/HO/D/MO/PC COMP/C/94195/2/07/2024</v>
          </cell>
          <cell r="C137"/>
          <cell r="D137" t="str">
            <v>REN</v>
          </cell>
          <cell r="E137" t="str">
            <v>30/07/24</v>
          </cell>
          <cell r="F137" t="str">
            <v>06/07/2024</v>
          </cell>
          <cell r="G137" t="str">
            <v>05/07/2025</v>
          </cell>
          <cell r="H137" t="str">
            <v>08000213</v>
          </cell>
          <cell r="I137" t="str">
            <v>MEEZAN BANK LTD - BHAWALPUR BRANCH</v>
          </cell>
          <cell r="J137" t="str">
            <v>BANK</v>
          </cell>
          <cell r="K137" t="str">
            <v>M/s. Meezan Bank Limited Circular Road Branch Bahawalpur
M/s. Meezan Bank Limited Circular Road Branch Bahawalpur 
User. Mr. Zaheer Ullah Sattar</v>
          </cell>
          <cell r="L137" t="str">
            <v>D</v>
          </cell>
          <cell r="M137" t="str">
            <v>09000221</v>
          </cell>
          <cell r="N137">
            <v>100</v>
          </cell>
          <cell r="O137" t="str">
            <v>BHAWALPUR</v>
          </cell>
          <cell r="P137" t="str">
            <v>House No. 80 Street 01 Muslim Town Fort Abbas</v>
          </cell>
          <cell r="Q137" t="str">
            <v>11000003</v>
          </cell>
          <cell r="R137" t="str">
            <v>TOYOTA YARIS ATIV X CVT</v>
          </cell>
          <cell r="S137" t="str">
            <v>2021</v>
          </cell>
          <cell r="T137" t="str">
            <v>AUD-705</v>
          </cell>
          <cell r="U137" t="str">
            <v>2A25062</v>
          </cell>
          <cell r="V137" t="str">
            <v>NSP151R-9510117</v>
          </cell>
          <cell r="W137"/>
          <cell r="X137" t="str">
            <v>3</v>
          </cell>
          <cell r="Y137">
            <v>2190672</v>
          </cell>
          <cell r="Z137">
            <v>28328</v>
          </cell>
          <cell r="AA137">
            <v>32860</v>
          </cell>
        </row>
        <row r="138">
          <cell r="B138" t="str">
            <v>KHI/HO/D/MO/PC COMP/C/94195/3/07/2024</v>
          </cell>
          <cell r="C138"/>
          <cell r="D138" t="str">
            <v>REN</v>
          </cell>
          <cell r="E138" t="str">
            <v>30/07/24</v>
          </cell>
          <cell r="F138" t="str">
            <v>06/07/2024</v>
          </cell>
          <cell r="G138" t="str">
            <v>05/07/2025</v>
          </cell>
          <cell r="H138" t="str">
            <v>08000213</v>
          </cell>
          <cell r="I138" t="str">
            <v>MEEZAN BANK LTD - BHAWALPUR BRANCH</v>
          </cell>
          <cell r="J138" t="str">
            <v>BANK</v>
          </cell>
          <cell r="K138" t="str">
            <v>M/s. Meezan Bank Limited Circular Road Branch Bahawalpur
M/s. Meezan Bank Limited Circular Road Branch Bahawalpur 
User. Mr. Saqib Ishaq</v>
          </cell>
          <cell r="L138" t="str">
            <v>D</v>
          </cell>
          <cell r="M138" t="str">
            <v>09000221</v>
          </cell>
          <cell r="N138">
            <v>100</v>
          </cell>
          <cell r="O138" t="str">
            <v>BHAWALPUR</v>
          </cell>
          <cell r="P138" t="str">
            <v>House No. 5 street 2 Near Telephone Exchange Gaggo Mandi</v>
          </cell>
          <cell r="Q138" t="str">
            <v>11000003</v>
          </cell>
          <cell r="R138" t="str">
            <v>HONDA CITY ASPIRE P/T NAV</v>
          </cell>
          <cell r="S138" t="str">
            <v>2021</v>
          </cell>
          <cell r="T138" t="str">
            <v>LE-16A-9403</v>
          </cell>
          <cell r="U138" t="str">
            <v>L15A79754581</v>
          </cell>
          <cell r="V138" t="str">
            <v>NFBGM2560GR187719</v>
          </cell>
          <cell r="W138"/>
          <cell r="X138" t="str">
            <v>3</v>
          </cell>
          <cell r="Y138">
            <v>1222560</v>
          </cell>
          <cell r="Z138">
            <v>15809</v>
          </cell>
          <cell r="AA138">
            <v>18338</v>
          </cell>
        </row>
        <row r="139">
          <cell r="B139" t="str">
            <v>KHI/HO/D/MO/PC COMP/C/94195/4/07/2024</v>
          </cell>
          <cell r="C139"/>
          <cell r="D139" t="str">
            <v>REN</v>
          </cell>
          <cell r="E139" t="str">
            <v>30/07/24</v>
          </cell>
          <cell r="F139" t="str">
            <v>06/07/2024</v>
          </cell>
          <cell r="G139" t="str">
            <v>05/07/2025</v>
          </cell>
          <cell r="H139" t="str">
            <v>08000213</v>
          </cell>
          <cell r="I139" t="str">
            <v>MEEZAN BANK LTD - BHAWALPUR BRANCH</v>
          </cell>
          <cell r="J139" t="str">
            <v>BANK</v>
          </cell>
          <cell r="K139" t="str">
            <v>M/s. Meezan Bank Limited Circular Road Branch Bahawalpur
M/s. Meezan Bank Limited Circular Road Branch Bahawalpur 
User. Mr. Fawad Taqi</v>
          </cell>
          <cell r="L139" t="str">
            <v>D</v>
          </cell>
          <cell r="M139" t="str">
            <v>09000221</v>
          </cell>
          <cell r="N139">
            <v>100</v>
          </cell>
          <cell r="O139" t="str">
            <v>BHAWALPUR</v>
          </cell>
          <cell r="P139" t="str">
            <v>Rana Wahin PO Same Kehror Pakka</v>
          </cell>
          <cell r="Q139" t="str">
            <v>11000003</v>
          </cell>
          <cell r="R139" t="str">
            <v>TOYOTA YARIS ATIV CVT</v>
          </cell>
          <cell r="S139" t="str">
            <v>2021</v>
          </cell>
          <cell r="T139" t="str">
            <v>ADR-539</v>
          </cell>
          <cell r="U139" t="str">
            <v>2A31340</v>
          </cell>
          <cell r="V139" t="str">
            <v>NSP150R-7019349</v>
          </cell>
          <cell r="W139"/>
          <cell r="X139" t="str">
            <v>3</v>
          </cell>
          <cell r="Y139">
            <v>1965384</v>
          </cell>
          <cell r="Z139">
            <v>25415</v>
          </cell>
          <cell r="AA139">
            <v>29481</v>
          </cell>
        </row>
        <row r="140">
          <cell r="B140" t="str">
            <v>KHI/HO/D/MO/PC COMP/C/94195/5/07/2024</v>
          </cell>
          <cell r="C140"/>
          <cell r="D140" t="str">
            <v>REN</v>
          </cell>
          <cell r="E140" t="str">
            <v>30/07/24</v>
          </cell>
          <cell r="F140" t="str">
            <v>06/07/2024</v>
          </cell>
          <cell r="G140" t="str">
            <v>05/07/2025</v>
          </cell>
          <cell r="H140" t="str">
            <v>08000213</v>
          </cell>
          <cell r="I140" t="str">
            <v>MEEZAN BANK LTD - BHAWALPUR BRANCH</v>
          </cell>
          <cell r="J140" t="str">
            <v>BANK</v>
          </cell>
          <cell r="K140" t="str">
            <v>M/s. Meezan Bank Limited Circular Road Branch Bahawalpur
M/s. Meezan Bank Limited Circular Road Branch Bahawalpur 
User. Mr. Umair Ahmed Zaif Sharif</v>
          </cell>
          <cell r="L140" t="str">
            <v>D</v>
          </cell>
          <cell r="M140" t="str">
            <v>09000221</v>
          </cell>
          <cell r="N140">
            <v>100</v>
          </cell>
          <cell r="O140" t="str">
            <v>BUREWALA</v>
          </cell>
          <cell r="P140" t="str">
            <v>Ghalla Mandi House No 23  Gagga PO Gagga Tehsil Burewala</v>
          </cell>
          <cell r="Q140" t="str">
            <v>11000003</v>
          </cell>
          <cell r="R140" t="str">
            <v>SUZUKI SWIFT DLX EURO II</v>
          </cell>
          <cell r="S140" t="str">
            <v>2021</v>
          </cell>
          <cell r="T140" t="str">
            <v>AEE-281</v>
          </cell>
          <cell r="U140" t="str">
            <v>PKS13050616</v>
          </cell>
          <cell r="V140" t="str">
            <v>RS413PK10050573</v>
          </cell>
          <cell r="W140"/>
          <cell r="X140" t="str">
            <v>3</v>
          </cell>
          <cell r="Y140">
            <v>1565892</v>
          </cell>
          <cell r="Z140">
            <v>20249</v>
          </cell>
          <cell r="AA140">
            <v>23488</v>
          </cell>
        </row>
        <row r="141">
          <cell r="B141" t="str">
            <v>KHI/HO/D/MO/PC COMP/C/94195/6/07/2024</v>
          </cell>
          <cell r="C141"/>
          <cell r="D141" t="str">
            <v>REN</v>
          </cell>
          <cell r="E141" t="str">
            <v>30/07/24</v>
          </cell>
          <cell r="F141" t="str">
            <v>28/07/2024</v>
          </cell>
          <cell r="G141" t="str">
            <v>27/07/2025</v>
          </cell>
          <cell r="H141" t="str">
            <v>08000213</v>
          </cell>
          <cell r="I141" t="str">
            <v>MEEZAN BANK LTD - BHAWALPUR BRANCH</v>
          </cell>
          <cell r="J141" t="str">
            <v>BANK</v>
          </cell>
          <cell r="K141" t="str">
            <v>M/s. Meezan Bank Limited Circular Road Branch Bahawalpur
M/s. Meezan Bank Limited Circular Road Branch Bahawalpur
User. Mr. Abdul Basit</v>
          </cell>
          <cell r="L141" t="str">
            <v>D</v>
          </cell>
          <cell r="M141" t="str">
            <v>09000221</v>
          </cell>
          <cell r="N141">
            <v>100</v>
          </cell>
          <cell r="O141" t="str">
            <v>BHAWALPUR</v>
          </cell>
          <cell r="P141" t="str">
            <v>KOCHA GUL HASSAN H # 171/1 SHAHI BAZAR BAHAWALPUR</v>
          </cell>
          <cell r="Q141" t="str">
            <v>11000003</v>
          </cell>
          <cell r="R141" t="str">
            <v>SUZUKI WAGON-R VXL E2</v>
          </cell>
          <cell r="S141" t="str">
            <v>2021</v>
          </cell>
          <cell r="T141"/>
          <cell r="U141" t="str">
            <v>PK10B217249</v>
          </cell>
          <cell r="V141" t="str">
            <v>A1J310PK10117244</v>
          </cell>
          <cell r="W141"/>
          <cell r="X141" t="str">
            <v>3</v>
          </cell>
          <cell r="Y141">
            <v>1226527</v>
          </cell>
          <cell r="Z141">
            <v>15860</v>
          </cell>
          <cell r="AA141">
            <v>18398</v>
          </cell>
        </row>
        <row r="142">
          <cell r="B142" t="str">
            <v>KHI/HO/D/MO/PC COMP/C/94195/7/07/2024</v>
          </cell>
          <cell r="C142"/>
          <cell r="D142" t="str">
            <v>REN</v>
          </cell>
          <cell r="E142" t="str">
            <v>30/07/24</v>
          </cell>
          <cell r="F142" t="str">
            <v>28/07/2024</v>
          </cell>
          <cell r="G142" t="str">
            <v>27/07/2025</v>
          </cell>
          <cell r="H142" t="str">
            <v>08000213</v>
          </cell>
          <cell r="I142" t="str">
            <v>MEEZAN BANK LTD - BHAWALPUR BRANCH</v>
          </cell>
          <cell r="J142" t="str">
            <v>BANK</v>
          </cell>
          <cell r="K142" t="str">
            <v>M/s. Meezan Bank Limited Circular Road Branch Bahawalpur
M/s. Meezan Bank Limited Circular Road Branch Bahawalpur
User. Mr. Gohar Mahmood</v>
          </cell>
          <cell r="L142" t="str">
            <v>D</v>
          </cell>
          <cell r="M142" t="str">
            <v>09000221</v>
          </cell>
          <cell r="N142">
            <v>100</v>
          </cell>
          <cell r="O142" t="str">
            <v>BUREWALA</v>
          </cell>
          <cell r="P142" t="str">
            <v>HOUSE # 755/91 A MOAHLLA LASHKAR KHAN KHAIRPUR TAMEWALI</v>
          </cell>
          <cell r="Q142" t="str">
            <v>11000003</v>
          </cell>
          <cell r="R142" t="str">
            <v>SUZUKI ALTO VXR E-2</v>
          </cell>
          <cell r="S142" t="str">
            <v>2021</v>
          </cell>
          <cell r="T142" t="str">
            <v>ADY-603</v>
          </cell>
          <cell r="U142" t="str">
            <v>6R173265</v>
          </cell>
          <cell r="V142" t="str">
            <v>NF1AET306H1073265</v>
          </cell>
          <cell r="W142"/>
          <cell r="X142" t="str">
            <v>3</v>
          </cell>
          <cell r="Y142">
            <v>1016869</v>
          </cell>
          <cell r="Z142">
            <v>13150</v>
          </cell>
          <cell r="AA142">
            <v>15253</v>
          </cell>
        </row>
        <row r="143">
          <cell r="B143" t="str">
            <v>KHI/HO/D/MO/PC COMP/C/94195/8/07/2024</v>
          </cell>
          <cell r="C143"/>
          <cell r="D143" t="str">
            <v>REN</v>
          </cell>
          <cell r="E143" t="str">
            <v>30/07/24</v>
          </cell>
          <cell r="F143" t="str">
            <v>28/07/2024</v>
          </cell>
          <cell r="G143" t="str">
            <v>27/07/2025</v>
          </cell>
          <cell r="H143" t="str">
            <v>08000213</v>
          </cell>
          <cell r="I143" t="str">
            <v>MEEZAN BANK LTD - BHAWALPUR BRANCH</v>
          </cell>
          <cell r="J143" t="str">
            <v>BANK</v>
          </cell>
          <cell r="K143" t="str">
            <v>M/s. Meezan Bank Limited Circular Road Branch Bahawalpur
M/s. Meezan Bank Limited Circular Road Branch Bahawalpur
User. Mr. Arif Ali</v>
          </cell>
          <cell r="L143" t="str">
            <v>D</v>
          </cell>
          <cell r="M143" t="str">
            <v>09000221</v>
          </cell>
          <cell r="N143">
            <v>100</v>
          </cell>
          <cell r="O143" t="str">
            <v>RAHIM YAR KHAN</v>
          </cell>
          <cell r="P143" t="str">
            <v>NEAR MAILSI CHOWK PO KEHROR PACCA</v>
          </cell>
          <cell r="Q143" t="str">
            <v>11000003</v>
          </cell>
          <cell r="R143" t="str">
            <v>SUZUKI WAGON-R VXL E2</v>
          </cell>
          <cell r="S143" t="str">
            <v>2021</v>
          </cell>
          <cell r="T143" t="str">
            <v>ADZ-667</v>
          </cell>
          <cell r="U143" t="str">
            <v>PK10B217304</v>
          </cell>
          <cell r="V143" t="str">
            <v>A1J310PK10117309</v>
          </cell>
          <cell r="W143"/>
          <cell r="X143" t="str">
            <v>3</v>
          </cell>
          <cell r="Y143">
            <v>1226527</v>
          </cell>
          <cell r="Z143">
            <v>15860</v>
          </cell>
          <cell r="AA143">
            <v>18398</v>
          </cell>
        </row>
        <row r="144">
          <cell r="B144" t="str">
            <v>KHI/HO/D/MO/PC COMP/C/94198/1/07/2024</v>
          </cell>
          <cell r="C144"/>
          <cell r="D144" t="str">
            <v>REN</v>
          </cell>
          <cell r="E144" t="str">
            <v>30/07/24</v>
          </cell>
          <cell r="F144" t="str">
            <v>14/07/2024</v>
          </cell>
          <cell r="G144" t="str">
            <v>13/07/2025</v>
          </cell>
          <cell r="H144" t="str">
            <v>08000213</v>
          </cell>
          <cell r="I144" t="str">
            <v>MEEZAN BANK LTD - BHAWALPUR BRANCH</v>
          </cell>
          <cell r="J144" t="str">
            <v>BANK</v>
          </cell>
          <cell r="K144" t="str">
            <v>M/s. Meezan Bank Limited Circular Road Branch Bhawalpur
M/s. Meezan Bank Limited Circular Road Branch Bhawalpur
User Mr. Asim Sultan</v>
          </cell>
          <cell r="L144" t="str">
            <v>D</v>
          </cell>
          <cell r="M144" t="str">
            <v>09000221</v>
          </cell>
          <cell r="N144">
            <v>100</v>
          </cell>
          <cell r="O144" t="str">
            <v>BHAWALPUR</v>
          </cell>
          <cell r="P144" t="str">
            <v>HOUSE NO 56 , AL RAHIM VILLA , BAHAWALPUR  NEAR NEW SATELLITE TOWN</v>
          </cell>
          <cell r="Q144" t="str">
            <v>11000003</v>
          </cell>
          <cell r="R144" t="str">
            <v>HONDA CITY 1.2  LS CVT</v>
          </cell>
          <cell r="S144" t="str">
            <v>2022</v>
          </cell>
          <cell r="T144" t="str">
            <v>AZT-476</v>
          </cell>
          <cell r="U144" t="str">
            <v>L12B51011959</v>
          </cell>
          <cell r="V144" t="str">
            <v>NFBGN8621NR021427</v>
          </cell>
          <cell r="W144"/>
          <cell r="X144" t="str">
            <v>3</v>
          </cell>
          <cell r="Y144">
            <v>2648700</v>
          </cell>
          <cell r="Z144">
            <v>34250</v>
          </cell>
          <cell r="AA144">
            <v>39731</v>
          </cell>
        </row>
        <row r="145">
          <cell r="B145" t="str">
            <v>KHI/HO/D/MO/PC COMP/C/94198/2/07/2024</v>
          </cell>
          <cell r="C145"/>
          <cell r="D145" t="str">
            <v>REN</v>
          </cell>
          <cell r="E145" t="str">
            <v>30/07/24</v>
          </cell>
          <cell r="F145" t="str">
            <v>27/07/2024</v>
          </cell>
          <cell r="G145" t="str">
            <v>26/07/2025</v>
          </cell>
          <cell r="H145" t="str">
            <v>08000213</v>
          </cell>
          <cell r="I145" t="str">
            <v>MEEZAN BANK LTD - BHAWALPUR BRANCH</v>
          </cell>
          <cell r="J145" t="str">
            <v>BANK</v>
          </cell>
          <cell r="K145" t="str">
            <v>M/s. Meezan Bank Limited Circular Road Branch Bhawalpur
M/s. Meezan Bank Limited Circular Road Branch Bhawalpur
User Mr. Muhammad Bilal</v>
          </cell>
          <cell r="L145" t="str">
            <v>D</v>
          </cell>
          <cell r="M145" t="str">
            <v>09000221</v>
          </cell>
          <cell r="N145">
            <v>100</v>
          </cell>
          <cell r="O145" t="str">
            <v>Lodhran</v>
          </cell>
          <cell r="P145" t="str">
            <v>MOHALLAH SHORA MANDI, W#25, LODHRAN, LODHRAN</v>
          </cell>
          <cell r="Q145" t="str">
            <v>11000003</v>
          </cell>
          <cell r="R145" t="str">
            <v>SUZUKI WAGON-R VXL E2</v>
          </cell>
          <cell r="S145" t="str">
            <v>2022</v>
          </cell>
          <cell r="T145"/>
          <cell r="U145" t="str">
            <v>PK10B238273</v>
          </cell>
          <cell r="V145" t="str">
            <v>A1J1310PK10138275</v>
          </cell>
          <cell r="W145"/>
          <cell r="X145" t="str">
            <v>3</v>
          </cell>
          <cell r="Y145">
            <v>1781190</v>
          </cell>
          <cell r="Z145">
            <v>23033</v>
          </cell>
          <cell r="AA145">
            <v>26718</v>
          </cell>
        </row>
        <row r="146">
          <cell r="B146" t="str">
            <v>KHI/HO/D/MO/PC COMP/C/94198/3/07/2024</v>
          </cell>
          <cell r="C146"/>
          <cell r="D146" t="str">
            <v>REN</v>
          </cell>
          <cell r="E146" t="str">
            <v>30/07/24</v>
          </cell>
          <cell r="F146" t="str">
            <v>28/07/2024</v>
          </cell>
          <cell r="G146" t="str">
            <v>27/07/2025</v>
          </cell>
          <cell r="H146" t="str">
            <v>08000213</v>
          </cell>
          <cell r="I146" t="str">
            <v>MEEZAN BANK LTD - BHAWALPUR BRANCH</v>
          </cell>
          <cell r="J146" t="str">
            <v>BANK</v>
          </cell>
          <cell r="K146" t="str">
            <v>M/s. Meezan Bank Limited Circular Road Branch Bhawalpur
M/s. Meezan Bank Limited Circular Road Branch Bhawalpur
User Mr. EJAZ AHMAD</v>
          </cell>
          <cell r="L146" t="str">
            <v>D</v>
          </cell>
          <cell r="M146" t="str">
            <v>09000221</v>
          </cell>
          <cell r="N146">
            <v>100</v>
          </cell>
          <cell r="O146" t="str">
            <v>BHAWALPUR</v>
          </cell>
          <cell r="P146" t="str">
            <v>HOUSE NO 44, MODEL TOWN, BLOCK W, BAHAWALNAGAR</v>
          </cell>
          <cell r="Q146" t="str">
            <v>11000003</v>
          </cell>
          <cell r="R146" t="str">
            <v>HONDA CITY ASPIRE P/T</v>
          </cell>
          <cell r="S146" t="str">
            <v>2022</v>
          </cell>
          <cell r="T146" t="str">
            <v>ALH-332</v>
          </cell>
          <cell r="U146" t="str">
            <v>L15Z81009659</v>
          </cell>
          <cell r="V146" t="str">
            <v>NFBGN9663NR021650</v>
          </cell>
          <cell r="W146"/>
          <cell r="X146"/>
          <cell r="Y146">
            <v>3055320</v>
          </cell>
          <cell r="Z146">
            <v>39509</v>
          </cell>
          <cell r="AA146">
            <v>45830</v>
          </cell>
        </row>
        <row r="147">
          <cell r="B147" t="str">
            <v>KHI/HO/D/MO/PC COMP/C/94199/1/07/2024</v>
          </cell>
          <cell r="C147"/>
          <cell r="D147" t="str">
            <v>REN</v>
          </cell>
          <cell r="E147" t="str">
            <v>30/07/24</v>
          </cell>
          <cell r="F147" t="str">
            <v>05/07/2024</v>
          </cell>
          <cell r="G147" t="str">
            <v>04/07/2025</v>
          </cell>
          <cell r="H147" t="str">
            <v>08000687</v>
          </cell>
          <cell r="I147" t="str">
            <v>MEEZAN BANK LTD - KASHMIR PLAZA BRANCH GUJRANWALA</v>
          </cell>
          <cell r="J147" t="str">
            <v>BANK</v>
          </cell>
          <cell r="K147" t="str">
            <v>M/s. Meezan Bank Limited Kashmir Plaza Branch Gujranwala
M/s. Meezan Bank Limited Kashmir Plaza Branch Gujranwala 
User Mr. Huzaifa Zahid</v>
          </cell>
          <cell r="L147" t="str">
            <v>D</v>
          </cell>
          <cell r="M147" t="str">
            <v>09000221</v>
          </cell>
          <cell r="N147">
            <v>100</v>
          </cell>
          <cell r="O147" t="str">
            <v>GUJRANWALA</v>
          </cell>
          <cell r="P147" t="str">
            <v>Lodhi Street Mohalla Dina Chakiyan Lalamusa Gujrat</v>
          </cell>
          <cell r="Q147" t="str">
            <v>11000003</v>
          </cell>
          <cell r="R147" t="str">
            <v>SUZUKI WAGON R VXL AGS</v>
          </cell>
          <cell r="S147" t="str">
            <v>2022</v>
          </cell>
          <cell r="T147" t="str">
            <v>AGV-522</v>
          </cell>
          <cell r="U147" t="str">
            <v>PK10B235628</v>
          </cell>
          <cell r="V147" t="str">
            <v>A1J310PK10135645</v>
          </cell>
          <cell r="W147"/>
          <cell r="X147" t="str">
            <v>3</v>
          </cell>
          <cell r="Y147">
            <v>1943190</v>
          </cell>
          <cell r="Z147">
            <v>24697</v>
          </cell>
          <cell r="AA147">
            <v>29148</v>
          </cell>
        </row>
        <row r="148">
          <cell r="B148" t="str">
            <v>KHI/HO/D/MO/PC COMP/C/94199/2/07/2024</v>
          </cell>
          <cell r="C148"/>
          <cell r="D148" t="str">
            <v>REN</v>
          </cell>
          <cell r="E148" t="str">
            <v>30/07/24</v>
          </cell>
          <cell r="F148" t="str">
            <v>06/07/2024</v>
          </cell>
          <cell r="G148" t="str">
            <v>05/07/2025</v>
          </cell>
          <cell r="H148" t="str">
            <v>08000687</v>
          </cell>
          <cell r="I148" t="str">
            <v>MEEZAN BANK LTD - KASHMIR PLAZA BRANCH GUJRANWALA</v>
          </cell>
          <cell r="J148" t="str">
            <v>BANK</v>
          </cell>
          <cell r="K148" t="str">
            <v>M/s. Meezan Bank Limited Kashmir Plaza Branch Gujranwala
M/s. Meezan Bank Limited Kashmir Plaza Branch Gujranwala
User Mr. Ameer Jamal</v>
          </cell>
          <cell r="L148" t="str">
            <v>D</v>
          </cell>
          <cell r="M148" t="str">
            <v>09000221</v>
          </cell>
          <cell r="N148">
            <v>100</v>
          </cell>
          <cell r="O148"/>
          <cell r="P148" t="str">
            <v>Riaz Town Sargodha Road Mangowal Gharbi Gujrat</v>
          </cell>
          <cell r="Q148" t="str">
            <v>11000003</v>
          </cell>
          <cell r="R148" t="str">
            <v>SUZUKI WAGON R VXL</v>
          </cell>
          <cell r="S148" t="str">
            <v>2022</v>
          </cell>
          <cell r="T148" t="str">
            <v>AZS-956</v>
          </cell>
          <cell r="U148" t="str">
            <v>PK10B237247</v>
          </cell>
          <cell r="V148" t="str">
            <v>A1J310PK10137232</v>
          </cell>
          <cell r="W148"/>
          <cell r="X148"/>
          <cell r="Y148">
            <v>1599750</v>
          </cell>
          <cell r="Z148">
            <v>20686</v>
          </cell>
          <cell r="AA148">
            <v>23996</v>
          </cell>
        </row>
        <row r="149">
          <cell r="B149" t="str">
            <v>KHI/HO/D/MO/PC COMP/C/94199/3/07/2024</v>
          </cell>
          <cell r="C149"/>
          <cell r="D149" t="str">
            <v>REN</v>
          </cell>
          <cell r="E149" t="str">
            <v>30/07/24</v>
          </cell>
          <cell r="F149" t="str">
            <v>06/07/2024</v>
          </cell>
          <cell r="G149" t="str">
            <v>05/07/2025</v>
          </cell>
          <cell r="H149" t="str">
            <v>08000687</v>
          </cell>
          <cell r="I149" t="str">
            <v>MEEZAN BANK LTD - KASHMIR PLAZA BRANCH GUJRANWALA</v>
          </cell>
          <cell r="J149" t="str">
            <v>BANK</v>
          </cell>
          <cell r="K149" t="str">
            <v>M/s. Meezan Bank Limited Kashmir Plaza Branch Gujranwala
M/s. Meezan Bank Limited Kashmir Plaza Branch Gujranwala
User Mr. Rizwan Akbar</v>
          </cell>
          <cell r="L149" t="str">
            <v>D</v>
          </cell>
          <cell r="M149" t="str">
            <v>09000221</v>
          </cell>
          <cell r="N149">
            <v>100</v>
          </cell>
          <cell r="O149" t="str">
            <v>GUJRANWALA</v>
          </cell>
          <cell r="P149" t="str">
            <v>P O Ferozwala Machik Goraya Teh &amp; Distt Gujranwala</v>
          </cell>
          <cell r="Q149" t="str">
            <v>11000003</v>
          </cell>
          <cell r="R149" t="str">
            <v>SUZUKI WAGON R VXL</v>
          </cell>
          <cell r="S149" t="str">
            <v>2022</v>
          </cell>
          <cell r="T149" t="str">
            <v>ALB-764</v>
          </cell>
          <cell r="U149" t="str">
            <v>PK10B238663</v>
          </cell>
          <cell r="V149" t="str">
            <v>A1J310PK10138680</v>
          </cell>
          <cell r="W149"/>
          <cell r="X149"/>
          <cell r="Y149">
            <v>1781190</v>
          </cell>
          <cell r="Z149">
            <v>23033</v>
          </cell>
          <cell r="AA149">
            <v>26718</v>
          </cell>
        </row>
        <row r="150">
          <cell r="B150" t="str">
            <v>KHI/HO/D/MO/PC COMP/C/94199/4/07/2024</v>
          </cell>
          <cell r="C150"/>
          <cell r="D150" t="str">
            <v>REN</v>
          </cell>
          <cell r="E150" t="str">
            <v>30/07/24</v>
          </cell>
          <cell r="F150" t="str">
            <v>07/07/2024</v>
          </cell>
          <cell r="G150" t="str">
            <v>06/07/2025</v>
          </cell>
          <cell r="H150" t="str">
            <v>08000687</v>
          </cell>
          <cell r="I150" t="str">
            <v>MEEZAN BANK LTD - KASHMIR PLAZA BRANCH GUJRANWALA</v>
          </cell>
          <cell r="J150" t="str">
            <v>BANK</v>
          </cell>
          <cell r="K150" t="str">
            <v>M/s. Meezan Bank Limited Kashmir Plaza Branch Gujranwala
M/s. Meezan Bank Limited Kashmir Plaza Branch Gujranwala
User Mr. Muhammad Naeem</v>
          </cell>
          <cell r="L150" t="str">
            <v>D</v>
          </cell>
          <cell r="M150" t="str">
            <v>09000221</v>
          </cell>
          <cell r="N150">
            <v>100</v>
          </cell>
          <cell r="O150" t="str">
            <v>GUJRANWALA</v>
          </cell>
          <cell r="P150" t="str">
            <v>Bara Bahi Masroor Narowal Shakargarh</v>
          </cell>
          <cell r="Q150" t="str">
            <v>11000003</v>
          </cell>
          <cell r="R150" t="str">
            <v>SUZUKI WAGON-R VXL E2</v>
          </cell>
          <cell r="S150" t="str">
            <v>2022</v>
          </cell>
          <cell r="T150" t="str">
            <v>ALC-964</v>
          </cell>
          <cell r="U150" t="str">
            <v>PK10B238613</v>
          </cell>
          <cell r="V150" t="str">
            <v>A1J310PK10138611</v>
          </cell>
          <cell r="W150"/>
          <cell r="X150" t="str">
            <v>3</v>
          </cell>
          <cell r="Y150">
            <v>1781190</v>
          </cell>
          <cell r="Z150">
            <v>23033</v>
          </cell>
          <cell r="AA150">
            <v>26718</v>
          </cell>
        </row>
        <row r="151">
          <cell r="B151" t="str">
            <v>KHI/HO/D/MO/PC COMP/C/94199/5/07/2024</v>
          </cell>
          <cell r="C151"/>
          <cell r="D151" t="str">
            <v>REN</v>
          </cell>
          <cell r="E151" t="str">
            <v>30/07/24</v>
          </cell>
          <cell r="F151" t="str">
            <v>14/07/2024</v>
          </cell>
          <cell r="G151" t="str">
            <v>13/07/2025</v>
          </cell>
          <cell r="H151" t="str">
            <v>08000687</v>
          </cell>
          <cell r="I151" t="str">
            <v>MEEZAN BANK LTD - KASHMIR PLAZA BRANCH GUJRANWALA</v>
          </cell>
          <cell r="J151" t="str">
            <v>BANK</v>
          </cell>
          <cell r="K151" t="str">
            <v>M/s. Meezan Bank Limited Kashmir Plaza Branch Gujranwala
M/s. Meezan Bank Limited Kashmir Plaza Branch Gujranwala
User Mr. Usman Nasrullah Khan</v>
          </cell>
          <cell r="L151" t="str">
            <v>D</v>
          </cell>
          <cell r="M151" t="str">
            <v>09000221</v>
          </cell>
          <cell r="N151">
            <v>100</v>
          </cell>
          <cell r="O151" t="str">
            <v>GUJRANWALA</v>
          </cell>
          <cell r="P151" t="str">
            <v>H No 106/12 Khalid Road Sialkot Cantt</v>
          </cell>
          <cell r="Q151" t="str">
            <v>11000003</v>
          </cell>
          <cell r="R151" t="str">
            <v>KIA STONIC EX+</v>
          </cell>
          <cell r="S151" t="str">
            <v>2022</v>
          </cell>
          <cell r="T151" t="str">
            <v>AZT-823</v>
          </cell>
          <cell r="U151" t="str">
            <v>G4LCNS974635</v>
          </cell>
          <cell r="V151" t="str">
            <v>NNAYB54BZMP701740</v>
          </cell>
          <cell r="W151"/>
          <cell r="X151"/>
          <cell r="Y151">
            <v>3630420</v>
          </cell>
          <cell r="Z151">
            <v>46945</v>
          </cell>
          <cell r="AA151">
            <v>54456</v>
          </cell>
        </row>
        <row r="152">
          <cell r="B152" t="str">
            <v>KHI/HO/D/MO/PC COMP/C/94201/1/07/2024</v>
          </cell>
          <cell r="C152"/>
          <cell r="D152" t="str">
            <v>REN</v>
          </cell>
          <cell r="E152" t="str">
            <v>30/07/24</v>
          </cell>
          <cell r="F152" t="str">
            <v>09/07/2024</v>
          </cell>
          <cell r="G152" t="str">
            <v>08/07/2025</v>
          </cell>
          <cell r="H152" t="str">
            <v>08001078</v>
          </cell>
          <cell r="I152" t="str">
            <v>MEEZAN BANK LTD - KASHMIR ROAD BR - SIALKOT</v>
          </cell>
          <cell r="J152" t="str">
            <v>BANK</v>
          </cell>
          <cell r="K152" t="str">
            <v>M/S. MEEZAN BANK LIMITED KASHMIR ROAD BRANCH 
SIALKOT
M/s. Meezan Bank Limited Kashmir Road
Branch Sialkot
Mr. Ahmad Saeed Ul Hassan</v>
          </cell>
          <cell r="L152" t="str">
            <v>D</v>
          </cell>
          <cell r="M152" t="str">
            <v>09000221</v>
          </cell>
          <cell r="N152">
            <v>100</v>
          </cell>
          <cell r="O152" t="str">
            <v>NOSHERA</v>
          </cell>
          <cell r="P152" t="str">
            <v>Dhabli Wala Post Office Khas Tehsil &amp; District Narowal</v>
          </cell>
          <cell r="Q152" t="str">
            <v>11000003</v>
          </cell>
          <cell r="R152" t="str">
            <v>KIA SPORTAGE AWD-CW</v>
          </cell>
          <cell r="S152" t="str">
            <v>2020</v>
          </cell>
          <cell r="T152" t="str">
            <v>AQV-367</v>
          </cell>
          <cell r="U152" t="str">
            <v>G4NALH306554</v>
          </cell>
          <cell r="V152" t="str">
            <v>NNAQL51AZKP503134</v>
          </cell>
          <cell r="W152"/>
          <cell r="X152" t="str">
            <v>3</v>
          </cell>
          <cell r="Y152">
            <v>3542284</v>
          </cell>
          <cell r="Z152">
            <v>60644</v>
          </cell>
          <cell r="AA152">
            <v>70846</v>
          </cell>
        </row>
        <row r="153">
          <cell r="B153" t="str">
            <v>KHI/HO/D/MO/PC COMP/C/94201/2/07/2024</v>
          </cell>
          <cell r="C153"/>
          <cell r="D153" t="str">
            <v>REN</v>
          </cell>
          <cell r="E153" t="str">
            <v>30/07/24</v>
          </cell>
          <cell r="F153" t="str">
            <v>15/07/2024</v>
          </cell>
          <cell r="G153" t="str">
            <v>14/07/2025</v>
          </cell>
          <cell r="H153" t="str">
            <v>08001078</v>
          </cell>
          <cell r="I153" t="str">
            <v>MEEZAN BANK LTD - KASHMIR ROAD BR - SIALKOT</v>
          </cell>
          <cell r="J153" t="str">
            <v>BANK</v>
          </cell>
          <cell r="K153" t="str">
            <v>M/S. MEEZAN BANK LIMITED KASHMIR ROAD BRANCH 
SIALKOT
M/s. Meezan Bank Limited Kashmir Road
Branch Sialkot
Mr. Waqas Latif</v>
          </cell>
          <cell r="L153" t="str">
            <v>D</v>
          </cell>
          <cell r="M153" t="str">
            <v>09000221</v>
          </cell>
          <cell r="N153">
            <v>100</v>
          </cell>
          <cell r="O153" t="str">
            <v>SIALKOT</v>
          </cell>
          <cell r="P153" t="str">
            <v>Millat Street House No. 10 Pacca Garha Sialkot</v>
          </cell>
          <cell r="Q153" t="str">
            <v>11000003</v>
          </cell>
          <cell r="R153" t="str">
            <v>TOYOTA COROLLA ALTIS VVT-</v>
          </cell>
          <cell r="S153" t="str">
            <v>2020</v>
          </cell>
          <cell r="T153" t="str">
            <v>AQV-981</v>
          </cell>
          <cell r="U153" t="str">
            <v>Q065636</v>
          </cell>
          <cell r="V153" t="str">
            <v>ZRE171R-6043141</v>
          </cell>
          <cell r="W153"/>
          <cell r="X153" t="str">
            <v>3</v>
          </cell>
          <cell r="Y153">
            <v>2085086</v>
          </cell>
          <cell r="Z153">
            <v>35949</v>
          </cell>
          <cell r="AA153">
            <v>41702</v>
          </cell>
        </row>
        <row r="154">
          <cell r="B154" t="str">
            <v>KHI/HO/D/MO/PC COMP/C/94201/3/07/2024</v>
          </cell>
          <cell r="C154"/>
          <cell r="D154" t="str">
            <v>REN</v>
          </cell>
          <cell r="E154" t="str">
            <v>30/07/24</v>
          </cell>
          <cell r="F154" t="str">
            <v>22/07/2024</v>
          </cell>
          <cell r="G154" t="str">
            <v>21/07/2025</v>
          </cell>
          <cell r="H154" t="str">
            <v>08001078</v>
          </cell>
          <cell r="I154" t="str">
            <v>MEEZAN BANK LTD - KASHMIR ROAD BR - SIALKOT</v>
          </cell>
          <cell r="J154" t="str">
            <v>BANK</v>
          </cell>
          <cell r="K154" t="str">
            <v>M/S. MEEZAN BANK LIMITED KASHMIR ROAD BRANCH 
SIALKOT
M/s. Meezan Bank Limited Kashmir Road
Branch Sialkot
User. Mr. Muhammad Umar Zaman</v>
          </cell>
          <cell r="L154" t="str">
            <v>D</v>
          </cell>
          <cell r="M154" t="str">
            <v>09000221</v>
          </cell>
          <cell r="N154">
            <v>100</v>
          </cell>
          <cell r="O154" t="str">
            <v>SIALKOT</v>
          </cell>
          <cell r="P154" t="str">
            <v>Uchli Post Office Noor kot Tehsil Shakargarh Distt
Norwal</v>
          </cell>
          <cell r="Q154" t="str">
            <v>11000003</v>
          </cell>
          <cell r="R154" t="str">
            <v>SUZUKI ALTO VXR</v>
          </cell>
          <cell r="S154" t="str">
            <v>2020</v>
          </cell>
          <cell r="T154" t="str">
            <v>LEB-20-3585</v>
          </cell>
          <cell r="U154" t="str">
            <v>6R134672</v>
          </cell>
          <cell r="V154" t="str">
            <v>NF1AET306H1034674</v>
          </cell>
          <cell r="W154"/>
          <cell r="X154"/>
          <cell r="Y154">
            <v>917228</v>
          </cell>
          <cell r="Z154">
            <v>15815</v>
          </cell>
          <cell r="AA154">
            <v>18345</v>
          </cell>
        </row>
        <row r="155">
          <cell r="B155" t="str">
            <v>KHI/HO/D/MO/PC COMP/C/94201/4/07/2024</v>
          </cell>
          <cell r="C155"/>
          <cell r="D155" t="str">
            <v>REN</v>
          </cell>
          <cell r="E155" t="str">
            <v>30/07/24</v>
          </cell>
          <cell r="F155" t="str">
            <v>23/07/2024</v>
          </cell>
          <cell r="G155" t="str">
            <v>22/07/2025</v>
          </cell>
          <cell r="H155" t="str">
            <v>08001078</v>
          </cell>
          <cell r="I155" t="str">
            <v>MEEZAN BANK LTD - KASHMIR ROAD BR - SIALKOT</v>
          </cell>
          <cell r="J155" t="str">
            <v>BANK</v>
          </cell>
          <cell r="K155" t="str">
            <v>M/S. MEEZAN BANK LIMITED KASHMIR ROAD BRANCH 
SIALKOT
M/s. Meezan Bank Limited Kashmir Road
Branch Sialkot
User. Mr. Imran</v>
          </cell>
          <cell r="L155" t="str">
            <v>D</v>
          </cell>
          <cell r="M155" t="str">
            <v>09000221</v>
          </cell>
          <cell r="N155">
            <v>100</v>
          </cell>
          <cell r="O155" t="str">
            <v>GUJRAT</v>
          </cell>
          <cell r="P155" t="str">
            <v>Mohallah Ghari Ahmadabd Tehsil &amp; District Gujrat</v>
          </cell>
          <cell r="Q155" t="str">
            <v>11000003</v>
          </cell>
          <cell r="R155" t="str">
            <v>SUZUKI ALTO VXL AGS E-2</v>
          </cell>
          <cell r="S155" t="str">
            <v>2020</v>
          </cell>
          <cell r="T155" t="str">
            <v>AQX-784</v>
          </cell>
          <cell r="U155" t="str">
            <v>6R129989</v>
          </cell>
          <cell r="V155" t="str">
            <v>NF1AET306H1029988</v>
          </cell>
          <cell r="W155"/>
          <cell r="X155" t="str">
            <v>3</v>
          </cell>
          <cell r="Y155">
            <v>1048448</v>
          </cell>
          <cell r="Z155">
            <v>18076</v>
          </cell>
          <cell r="AA155">
            <v>20969</v>
          </cell>
        </row>
        <row r="156">
          <cell r="B156" t="str">
            <v>KHI/HO/D/MO/PC COMP/C/94201/5/07/2024</v>
          </cell>
          <cell r="C156"/>
          <cell r="D156" t="str">
            <v>REN</v>
          </cell>
          <cell r="E156" t="str">
            <v>30/07/24</v>
          </cell>
          <cell r="F156" t="str">
            <v>23/07/2024</v>
          </cell>
          <cell r="G156" t="str">
            <v>22/07/2025</v>
          </cell>
          <cell r="H156" t="str">
            <v>08001078</v>
          </cell>
          <cell r="I156" t="str">
            <v>MEEZAN BANK LTD - KASHMIR ROAD BR - SIALKOT</v>
          </cell>
          <cell r="J156" t="str">
            <v>BANK</v>
          </cell>
          <cell r="K156" t="str">
            <v>M/S. MEEZAN BANK LIMITED KASHMIR ROAD BRANCH 
SIALKOT
M/s. Meezan Bank Limited Kashmir Road
Branch Sialkot
User. Mr. Hafiz Hammad Ahmed</v>
          </cell>
          <cell r="L156" t="str">
            <v>D</v>
          </cell>
          <cell r="M156" t="str">
            <v>09000221</v>
          </cell>
          <cell r="N156">
            <v>100</v>
          </cell>
          <cell r="O156" t="str">
            <v>GUJRANWALA</v>
          </cell>
          <cell r="P156" t="str">
            <v>Moh Malik Par Band Street 1 Link Road Near  Masjid Khurshid Sugas Road Gujranwala</v>
          </cell>
          <cell r="Q156" t="str">
            <v>11000003</v>
          </cell>
          <cell r="R156" t="str">
            <v>HONDA CITY I-VTEC (M/T)</v>
          </cell>
          <cell r="S156" t="str">
            <v>2020</v>
          </cell>
          <cell r="T156" t="str">
            <v>AQY-638</v>
          </cell>
          <cell r="U156" t="str">
            <v>L13Z17538848</v>
          </cell>
          <cell r="V156" t="str">
            <v>NFBGM1643LR260776</v>
          </cell>
          <cell r="W156"/>
          <cell r="X156" t="str">
            <v>3</v>
          </cell>
          <cell r="Y156">
            <v>1692738</v>
          </cell>
          <cell r="Z156">
            <v>29185</v>
          </cell>
          <cell r="AA156">
            <v>33855</v>
          </cell>
        </row>
        <row r="157">
          <cell r="B157" t="str">
            <v>KHI/HO/D/MO/PC COMP/C/94201/6/07/2024</v>
          </cell>
          <cell r="C157"/>
          <cell r="D157" t="str">
            <v>REN</v>
          </cell>
          <cell r="E157" t="str">
            <v>30/07/24</v>
          </cell>
          <cell r="F157" t="str">
            <v>08/07/2024</v>
          </cell>
          <cell r="G157" t="str">
            <v>07/07/2025</v>
          </cell>
          <cell r="H157" t="str">
            <v>08001078</v>
          </cell>
          <cell r="I157" t="str">
            <v>MEEZAN BANK LTD - KASHMIR ROAD BR - SIALKOT</v>
          </cell>
          <cell r="J157" t="str">
            <v>BANK</v>
          </cell>
          <cell r="K157" t="str">
            <v>M/S. MEEZAN BANK LIMITED KASHMIR ROAD BRANCH 
SIALKOT
M/s. Meezan Bank Limited Kashmir Road Branch Sialkot 
User. Mr. Abdul Jabbar</v>
          </cell>
          <cell r="L157" t="str">
            <v>D</v>
          </cell>
          <cell r="M157" t="str">
            <v>09000221</v>
          </cell>
          <cell r="N157">
            <v>100</v>
          </cell>
          <cell r="O157" t="str">
            <v>SIALKOT</v>
          </cell>
          <cell r="P157" t="str">
            <v>Shaikh Pur PO Bharwal Tehsil Shakargarh District Naroval</v>
          </cell>
          <cell r="Q157" t="str">
            <v>11000003</v>
          </cell>
          <cell r="R157" t="str">
            <v>CHANGAN KARVAAN VAN</v>
          </cell>
          <cell r="S157" t="str">
            <v>2020</v>
          </cell>
          <cell r="T157" t="str">
            <v>LEB-20-7969</v>
          </cell>
          <cell r="U157" t="str">
            <v>JL466Q9K69U501552</v>
          </cell>
          <cell r="V157" t="str">
            <v>NKMAAB3D1L1001517</v>
          </cell>
          <cell r="W157"/>
          <cell r="X157" t="str">
            <v>3</v>
          </cell>
          <cell r="Y157">
            <v>878518</v>
          </cell>
          <cell r="Z157">
            <v>15147</v>
          </cell>
          <cell r="AA157">
            <v>17570</v>
          </cell>
        </row>
        <row r="158">
          <cell r="B158" t="str">
            <v>KHI/HO/D/MO/PC COMP/C/92209/10/07/2024</v>
          </cell>
          <cell r="C158"/>
          <cell r="D158" t="str">
            <v>FRE</v>
          </cell>
          <cell r="E158" t="str">
            <v>30/07/24</v>
          </cell>
          <cell r="F158" t="str">
            <v>30/07/2024</v>
          </cell>
          <cell r="G158" t="str">
            <v>29/07/2025</v>
          </cell>
          <cell r="H158" t="str">
            <v>08000156</v>
          </cell>
          <cell r="I158" t="str">
            <v>MEEZAN BANK LIMITED, ABDALI ROAD BRANCH, MULTAN</v>
          </cell>
          <cell r="J158" t="str">
            <v>BANK</v>
          </cell>
          <cell r="K158" t="str">
            <v>M/s. Meezan Bank Limited Multan Branch 
User Mr. 
M/s. Meezan Bank Limited Multan Branch 
User Mr.  Adeel Ahmed</v>
          </cell>
          <cell r="L158" t="str">
            <v>D</v>
          </cell>
          <cell r="M158" t="str">
            <v>09000221</v>
          </cell>
          <cell r="N158">
            <v>100</v>
          </cell>
          <cell r="O158" t="str">
            <v>MULTAN</v>
          </cell>
          <cell r="P158" t="str">
            <v>H NO BANGLOW MT 3/7, SNGPL EXECUTIVE COLONY, PIRAN GHAIB ROAD, MULTAN</v>
          </cell>
          <cell r="Q158" t="str">
            <v>11000003</v>
          </cell>
          <cell r="R158" t="str">
            <v>SUZUKI ALTO VXL AGS E-2</v>
          </cell>
          <cell r="S158" t="str">
            <v>2024</v>
          </cell>
          <cell r="T158" t="str">
            <v>ASJ-712</v>
          </cell>
          <cell r="U158" t="str">
            <v>6R313483</v>
          </cell>
          <cell r="V158" t="str">
            <v>NF1AET306H1213494</v>
          </cell>
          <cell r="W158"/>
          <cell r="X158" t="str">
            <v>3</v>
          </cell>
          <cell r="Y158">
            <v>3045000</v>
          </cell>
          <cell r="Z158">
            <v>39375</v>
          </cell>
          <cell r="AA158">
            <v>45675</v>
          </cell>
        </row>
        <row r="159">
          <cell r="B159" t="str">
            <v>KHI/HO/D/MO/PC COMP/C/94202/1/07/2024</v>
          </cell>
          <cell r="C159"/>
          <cell r="D159" t="str">
            <v>REN</v>
          </cell>
          <cell r="E159" t="str">
            <v>30/07/24</v>
          </cell>
          <cell r="F159" t="str">
            <v>06/07/2024</v>
          </cell>
          <cell r="G159" t="str">
            <v>05/07/2025</v>
          </cell>
          <cell r="H159" t="str">
            <v>08001078</v>
          </cell>
          <cell r="I159" t="str">
            <v>MEEZAN BANK LTD - KASHMIR ROAD BR - SIALKOT</v>
          </cell>
          <cell r="J159" t="str">
            <v>BANK</v>
          </cell>
          <cell r="K159" t="str">
            <v>M/s Meezan Bank Limited Kashmir Road Branch Sialkot 
User Mr. 
M/s Meezan Bank Limited Kashmir Road Branch Sialkot 
User Mr. Imtiaz Hussain</v>
          </cell>
          <cell r="L159" t="str">
            <v>D</v>
          </cell>
          <cell r="M159" t="str">
            <v>09000221</v>
          </cell>
          <cell r="N159">
            <v>100</v>
          </cell>
          <cell r="O159" t="str">
            <v>SIALKOT</v>
          </cell>
          <cell r="P159" t="str">
            <v>Near Darghar Petrolium Gujranwala</v>
          </cell>
          <cell r="Q159" t="str">
            <v>11000003</v>
          </cell>
          <cell r="R159" t="str">
            <v>SUZUKI CULTUS AGS</v>
          </cell>
          <cell r="S159" t="str">
            <v>2023</v>
          </cell>
          <cell r="T159" t="str">
            <v>APL-931</v>
          </cell>
          <cell r="U159" t="str">
            <v>PK10K206391</v>
          </cell>
          <cell r="V159" t="str">
            <v>NF1AVK31H10106352</v>
          </cell>
          <cell r="W159"/>
          <cell r="X159"/>
          <cell r="Y159">
            <v>3929400</v>
          </cell>
          <cell r="Z159">
            <v>50380</v>
          </cell>
          <cell r="AA159">
            <v>58941</v>
          </cell>
        </row>
        <row r="160">
          <cell r="B160" t="str">
            <v>KHI/HO/D/MO/PC COMP/C/94202/2/07/2024</v>
          </cell>
          <cell r="C160"/>
          <cell r="D160" t="str">
            <v>REN</v>
          </cell>
          <cell r="E160" t="str">
            <v>30/07/24</v>
          </cell>
          <cell r="F160" t="str">
            <v>19/07/2024</v>
          </cell>
          <cell r="G160" t="str">
            <v>18/07/2025</v>
          </cell>
          <cell r="H160" t="str">
            <v>08001078</v>
          </cell>
          <cell r="I160" t="str">
            <v>MEEZAN BANK LTD - KASHMIR ROAD BR - SIALKOT</v>
          </cell>
          <cell r="J160" t="str">
            <v>BANK</v>
          </cell>
          <cell r="K160" t="str">
            <v>M/s Meezan Bank Limited Kashmir Road Branch Sialkot 
User Mr. 
M/s Meezan Bank Limited Kashmir Road Branch Sialkot 
User Mr. Muhammad Akil</v>
          </cell>
          <cell r="L160" t="str">
            <v>D</v>
          </cell>
          <cell r="M160" t="str">
            <v>09000221</v>
          </cell>
          <cell r="N160">
            <v>100</v>
          </cell>
          <cell r="O160" t="str">
            <v>SIALKOT</v>
          </cell>
          <cell r="P160" t="str">
            <v>H No 132 Moh Satellite Town Block B Gujranwala</v>
          </cell>
          <cell r="Q160" t="str">
            <v>11000003</v>
          </cell>
          <cell r="R160" t="str">
            <v>SUZUKI ALTO VXL AGS</v>
          </cell>
          <cell r="S160" t="str">
            <v>2023</v>
          </cell>
          <cell r="T160"/>
          <cell r="U160" t="str">
            <v>6R276957</v>
          </cell>
          <cell r="V160" t="str">
            <v>NF1AET306H1176944</v>
          </cell>
          <cell r="W160"/>
          <cell r="X160"/>
          <cell r="Y160">
            <v>2641500</v>
          </cell>
          <cell r="Z160">
            <v>34157</v>
          </cell>
          <cell r="AA160">
            <v>39623</v>
          </cell>
        </row>
        <row r="161">
          <cell r="B161" t="str">
            <v>KHI/HO/D/MO/PC COMP/C/94202/3/07/2024</v>
          </cell>
          <cell r="C161"/>
          <cell r="D161" t="str">
            <v>REN</v>
          </cell>
          <cell r="E161" t="str">
            <v>30/07/24</v>
          </cell>
          <cell r="F161" t="str">
            <v>25/07/2024</v>
          </cell>
          <cell r="G161" t="str">
            <v>24/07/2025</v>
          </cell>
          <cell r="H161" t="str">
            <v>08001078</v>
          </cell>
          <cell r="I161" t="str">
            <v>MEEZAN BANK LTD - KASHMIR ROAD BR - SIALKOT</v>
          </cell>
          <cell r="J161" t="str">
            <v>BANK</v>
          </cell>
          <cell r="K161" t="str">
            <v>M/s Meezan Bank Limited Kashmir Road Branch Sialkot 
User Mr. 
M/s Meezan Bank Limited Kashmir Road Branch Sialkot 
User Mr. Salman Arshad Ghouri</v>
          </cell>
          <cell r="L161" t="str">
            <v>D</v>
          </cell>
          <cell r="M161" t="str">
            <v>09000221</v>
          </cell>
          <cell r="N161">
            <v>100</v>
          </cell>
          <cell r="O161" t="str">
            <v>SIALKOT</v>
          </cell>
          <cell r="P161" t="str">
            <v>Sargodha Road Street 4 Moh Aminabad Gujrat</v>
          </cell>
          <cell r="Q161" t="str">
            <v>11000003</v>
          </cell>
          <cell r="R161" t="str">
            <v>SUZUKI CULTUS VXL AGS EUR</v>
          </cell>
          <cell r="S161" t="str">
            <v>2019</v>
          </cell>
          <cell r="T161" t="str">
            <v>LEB-19-890</v>
          </cell>
          <cell r="U161" t="str">
            <v>PK10K138205</v>
          </cell>
          <cell r="V161" t="str">
            <v>NF1AVK31H10038643</v>
          </cell>
          <cell r="W161"/>
          <cell r="X161" t="str">
            <v>3</v>
          </cell>
          <cell r="Y161">
            <v>2340000</v>
          </cell>
          <cell r="Z161">
            <v>30258</v>
          </cell>
          <cell r="AA161">
            <v>35100</v>
          </cell>
        </row>
        <row r="162">
          <cell r="B162" t="str">
            <v>KHI/HO/D/MO/PC COMP/C/94203/1/07/2024</v>
          </cell>
          <cell r="C162"/>
          <cell r="D162" t="str">
            <v>REN</v>
          </cell>
          <cell r="E162" t="str">
            <v>30/07/24</v>
          </cell>
          <cell r="F162" t="str">
            <v>23/07/2024</v>
          </cell>
          <cell r="G162" t="str">
            <v>22/07/2025</v>
          </cell>
          <cell r="H162" t="str">
            <v>08001078</v>
          </cell>
          <cell r="I162" t="str">
            <v>MEEZAN BANK LTD - KASHMIR ROAD BR - SIALKOT</v>
          </cell>
          <cell r="J162" t="str">
            <v>BANK</v>
          </cell>
          <cell r="K162" t="str">
            <v>M/s. Meezan Bank Limited Kashmir Road Branch Sialkot
M/s. Meezan Bank Limited Kashmir Road Branch Sialkot 
User Mr. Anjum Shahzad</v>
          </cell>
          <cell r="L162" t="str">
            <v>D</v>
          </cell>
          <cell r="M162" t="str">
            <v>09000221</v>
          </cell>
          <cell r="N162">
            <v>100</v>
          </cell>
          <cell r="O162" t="str">
            <v>GUJRANWALA</v>
          </cell>
          <cell r="P162" t="str">
            <v>Nowshehra Road Street 06  Moh Chah Talian Wala Gujranwala</v>
          </cell>
          <cell r="Q162" t="str">
            <v>11000003</v>
          </cell>
          <cell r="R162" t="str">
            <v>SUZUKI CULTUS VXL EURO II</v>
          </cell>
          <cell r="S162" t="str">
            <v>2020</v>
          </cell>
          <cell r="T162" t="str">
            <v>ADV-301</v>
          </cell>
          <cell r="U162" t="str">
            <v>PK10K178917</v>
          </cell>
          <cell r="V162" t="str">
            <v>NF1AVK31H10078924</v>
          </cell>
          <cell r="W162"/>
          <cell r="X162" t="str">
            <v>3</v>
          </cell>
          <cell r="Y162">
            <v>1394509</v>
          </cell>
          <cell r="Z162">
            <v>24044</v>
          </cell>
          <cell r="AA162">
            <v>27890</v>
          </cell>
        </row>
        <row r="163">
          <cell r="B163" t="str">
            <v>KHI/HO/D/MO/PC COMP/C/92178/17/07/2024</v>
          </cell>
          <cell r="C163"/>
          <cell r="D163" t="str">
            <v>FRE</v>
          </cell>
          <cell r="E163" t="str">
            <v>30/07/24</v>
          </cell>
          <cell r="F163" t="str">
            <v>30/07/2024</v>
          </cell>
          <cell r="G163" t="str">
            <v>29/07/2025</v>
          </cell>
          <cell r="H163" t="str">
            <v>08000840</v>
          </cell>
          <cell r="I163" t="str">
            <v>MEEZAN BANK LTD - SATIANA ROAD BR - FSD</v>
          </cell>
          <cell r="J163" t="str">
            <v>BANK</v>
          </cell>
          <cell r="K163" t="str">
            <v>M/s. Meezan Bank Limited Satiana Road Faisalabad Branch
User Mr. 
M/s. Meezan Bank Limited Satiana Road Faisalabad Branch
User Ms. Nazish Maddah</v>
          </cell>
          <cell r="L163" t="str">
            <v>D</v>
          </cell>
          <cell r="M163" t="str">
            <v>09000221</v>
          </cell>
          <cell r="N163">
            <v>100</v>
          </cell>
          <cell r="O163" t="str">
            <v>FAISALABAD</v>
          </cell>
          <cell r="P163" t="str">
            <v>H No 162 C Mohallah Zee Garden Shiekhpura Road Faisalabad</v>
          </cell>
          <cell r="Q163" t="str">
            <v>11000003</v>
          </cell>
          <cell r="R163" t="str">
            <v>SUZUKI ALTO VXR</v>
          </cell>
          <cell r="S163" t="str">
            <v>2024</v>
          </cell>
          <cell r="T163"/>
          <cell r="U163" t="str">
            <v>6R314847</v>
          </cell>
          <cell r="V163" t="str">
            <v>NF1AET306H1214892</v>
          </cell>
          <cell r="W163"/>
          <cell r="X163"/>
          <cell r="Y163">
            <v>2707000</v>
          </cell>
          <cell r="Z163">
            <v>35004</v>
          </cell>
          <cell r="AA163">
            <v>40605</v>
          </cell>
        </row>
        <row r="164">
          <cell r="B164" t="str">
            <v>KHI/HO/D/MO/PC COMP/C/94205/1/07/2024</v>
          </cell>
          <cell r="C164"/>
          <cell r="D164" t="str">
            <v>REN</v>
          </cell>
          <cell r="E164" t="str">
            <v>30/07/24</v>
          </cell>
          <cell r="F164" t="str">
            <v>07/07/2024</v>
          </cell>
          <cell r="G164" t="str">
            <v>06/07/2025</v>
          </cell>
          <cell r="H164" t="str">
            <v>08000501</v>
          </cell>
          <cell r="I164" t="str">
            <v>MEEZAN BANK LTD - PESHAWAR BRANCH</v>
          </cell>
          <cell r="J164" t="str">
            <v>BANK</v>
          </cell>
          <cell r="K164" t="str">
            <v>M/s. Meezan Bank Limited Khattak Plaza University Road Peshawar
M/s. Meezan Bank Limited Khattak Plaza University Road Peshawar
User Mr. Imran Khan</v>
          </cell>
          <cell r="L164" t="str">
            <v>D</v>
          </cell>
          <cell r="M164" t="str">
            <v>09000221</v>
          </cell>
          <cell r="N164">
            <v>100</v>
          </cell>
          <cell r="O164" t="str">
            <v>PESHAWAR</v>
          </cell>
          <cell r="P164" t="str">
            <v>Moh Banr Mangora Teh &amp; Distr Swat</v>
          </cell>
          <cell r="Q164" t="str">
            <v>11000003</v>
          </cell>
          <cell r="R164" t="str">
            <v>SUZUKI ALTO VXL AGS E-2</v>
          </cell>
          <cell r="S164" t="str">
            <v>2023</v>
          </cell>
          <cell r="T164" t="str">
            <v>BCD-967</v>
          </cell>
          <cell r="U164" t="str">
            <v>6R274166</v>
          </cell>
          <cell r="V164" t="str">
            <v>NF1AET306H1174110</v>
          </cell>
          <cell r="W164"/>
          <cell r="X164" t="str">
            <v>3</v>
          </cell>
          <cell r="Y164">
            <v>2641500</v>
          </cell>
          <cell r="Z164">
            <v>33727</v>
          </cell>
          <cell r="AA164">
            <v>39623</v>
          </cell>
        </row>
        <row r="165">
          <cell r="B165" t="str">
            <v>KHI/HO/D/MO/PC COMP/C/94206/1/07/2024</v>
          </cell>
          <cell r="C165"/>
          <cell r="D165" t="str">
            <v>REN</v>
          </cell>
          <cell r="E165" t="str">
            <v>30/07/24</v>
          </cell>
          <cell r="F165" t="str">
            <v>09/07/2024</v>
          </cell>
          <cell r="G165" t="str">
            <v>08/07/2025</v>
          </cell>
          <cell r="H165" t="str">
            <v>08000212</v>
          </cell>
          <cell r="I165" t="str">
            <v>MEEZAN BANK LTD - RAHIM YAR KHAN BRANCH</v>
          </cell>
          <cell r="J165" t="str">
            <v>BANK</v>
          </cell>
          <cell r="K165" t="str">
            <v>M/S. MEEZAN BANK LIMITED 17-18 CITY CENTER 
RAHIM YAR KHAN
M/s. Meezan Bank Limited 17-18 City Center Rahim Yar Khan 
A/c M/s. Ahmed Fahad Flour Mills (Pvt) Limited</v>
          </cell>
          <cell r="L165" t="str">
            <v>D</v>
          </cell>
          <cell r="M165" t="str">
            <v>09000221</v>
          </cell>
          <cell r="N165">
            <v>100</v>
          </cell>
          <cell r="O165" t="str">
            <v>RAHIM YAR KHAN</v>
          </cell>
          <cell r="P165" t="str">
            <v>Dehkan Flour Mills By Pass Road Near Talli Chowk Rahim Yar Khan</v>
          </cell>
          <cell r="Q165" t="str">
            <v>11000003</v>
          </cell>
          <cell r="R165" t="str">
            <v>HONDA CIVIC 1.8 I-VTEC VT</v>
          </cell>
          <cell r="S165" t="str">
            <v>2020</v>
          </cell>
          <cell r="T165" t="str">
            <v>AQK-888</v>
          </cell>
          <cell r="U165" t="str">
            <v>R18Z12957399</v>
          </cell>
          <cell r="V165" t="str">
            <v>NFBFC6661LR061612</v>
          </cell>
          <cell r="W165"/>
          <cell r="X165" t="str">
            <v>3</v>
          </cell>
          <cell r="Y165">
            <v>2663110</v>
          </cell>
          <cell r="Z165">
            <v>45484</v>
          </cell>
          <cell r="AA165">
            <v>53262</v>
          </cell>
        </row>
        <row r="166">
          <cell r="B166" t="str">
            <v>KHI/HO/D/MO/PC COMP/C/94206/2/07/2024</v>
          </cell>
          <cell r="C166"/>
          <cell r="D166" t="str">
            <v>REN</v>
          </cell>
          <cell r="E166" t="str">
            <v>30/07/24</v>
          </cell>
          <cell r="F166" t="str">
            <v>13/07/2024</v>
          </cell>
          <cell r="G166" t="str">
            <v>12/07/2025</v>
          </cell>
          <cell r="H166" t="str">
            <v>08000212</v>
          </cell>
          <cell r="I166" t="str">
            <v>MEEZAN BANK LTD - RAHIM YAR KHAN BRANCH</v>
          </cell>
          <cell r="J166" t="str">
            <v>BANK</v>
          </cell>
          <cell r="K166" t="str">
            <v>M/S. MEEZAN BANK LIMITED 17-18 CITY CENTER 
RAHIM YAR KHAN
M/s. Meezan Bank Limited 17-18 City Center Rahim Yar Khan 
User Mr. Hafiz Ali Mazhar</v>
          </cell>
          <cell r="L166" t="str">
            <v>D</v>
          </cell>
          <cell r="M166" t="str">
            <v>09000221</v>
          </cell>
          <cell r="N166">
            <v>100</v>
          </cell>
          <cell r="O166" t="str">
            <v>RAHIM YAR KHAN</v>
          </cell>
          <cell r="P166" t="str">
            <v>Abdullah House Near Noorani Masjid Street 7 Mohallah Jinnah Park Rahim Yar Khan</v>
          </cell>
          <cell r="Q166" t="str">
            <v>11000003</v>
          </cell>
          <cell r="R166" t="str">
            <v>SUZUKI WAGON-R VXL E2</v>
          </cell>
          <cell r="S166" t="str">
            <v>2020</v>
          </cell>
          <cell r="T166" t="str">
            <v>BRX-142</v>
          </cell>
          <cell r="U166" t="str">
            <v>PK10B202871</v>
          </cell>
          <cell r="V166" t="str">
            <v>A1J310PK10102839</v>
          </cell>
          <cell r="W166"/>
          <cell r="X166" t="str">
            <v>3</v>
          </cell>
          <cell r="Y166">
            <v>1112090</v>
          </cell>
          <cell r="Z166">
            <v>19174</v>
          </cell>
          <cell r="AA166">
            <v>22242</v>
          </cell>
        </row>
        <row r="167">
          <cell r="B167" t="str">
            <v>KHI/HO/D/MO/PC COMP/C/94206/3/07/2024</v>
          </cell>
          <cell r="C167"/>
          <cell r="D167" t="str">
            <v>REN</v>
          </cell>
          <cell r="E167" t="str">
            <v>30/07/24</v>
          </cell>
          <cell r="F167" t="str">
            <v>13/07/2024</v>
          </cell>
          <cell r="G167" t="str">
            <v>12/07/2025</v>
          </cell>
          <cell r="H167" t="str">
            <v>08000212</v>
          </cell>
          <cell r="I167" t="str">
            <v>MEEZAN BANK LTD - RAHIM YAR KHAN BRANCH</v>
          </cell>
          <cell r="J167" t="str">
            <v>BANK</v>
          </cell>
          <cell r="K167" t="str">
            <v>M/S. MEEZAN BANK LIMITED 17-18 CITY CENTER 
RAHIM YAR KHAN
M/s. Meezan Bank Limited 17-18 City Center Rahim Yar Khan 
User Mr. Muhammad Ahmed Abbasi</v>
          </cell>
          <cell r="L167" t="str">
            <v>D</v>
          </cell>
          <cell r="M167" t="str">
            <v>09000221</v>
          </cell>
          <cell r="N167">
            <v>100</v>
          </cell>
          <cell r="O167" t="str">
            <v>RAHIM YAR KHAN</v>
          </cell>
          <cell r="P167" t="str">
            <v>House No.307 Block Z Scheme 3 Gulshan-e-Iqbal Rahim Yar Khan</v>
          </cell>
          <cell r="Q167" t="str">
            <v>11000003</v>
          </cell>
          <cell r="R167" t="str">
            <v>HONDA CITY ASPIRE 1.5  I-</v>
          </cell>
          <cell r="S167" t="str">
            <v>2020</v>
          </cell>
          <cell r="T167" t="str">
            <v>AQV-712</v>
          </cell>
          <cell r="U167" t="str">
            <v>L15A79798625</v>
          </cell>
          <cell r="V167" t="str">
            <v>NFBGM2664LR260616</v>
          </cell>
          <cell r="W167"/>
          <cell r="X167" t="str">
            <v>3</v>
          </cell>
          <cell r="Y167">
            <v>1839442</v>
          </cell>
          <cell r="Z167">
            <v>31715</v>
          </cell>
          <cell r="AA167">
            <v>36789</v>
          </cell>
        </row>
        <row r="168">
          <cell r="B168" t="str">
            <v>KHI/HO/D/MO/PC COMP/C/94206/4/07/2024</v>
          </cell>
          <cell r="C168"/>
          <cell r="D168" t="str">
            <v>REN</v>
          </cell>
          <cell r="E168" t="str">
            <v>30/07/24</v>
          </cell>
          <cell r="F168" t="str">
            <v>13/07/2024</v>
          </cell>
          <cell r="G168" t="str">
            <v>12/07/2025</v>
          </cell>
          <cell r="H168" t="str">
            <v>08000212</v>
          </cell>
          <cell r="I168" t="str">
            <v>MEEZAN BANK LTD - RAHIM YAR KHAN BRANCH</v>
          </cell>
          <cell r="J168" t="str">
            <v>BANK</v>
          </cell>
          <cell r="K168" t="str">
            <v>M/S. MEEZAN BANK LIMITED 17-18 CITY CENTER 
RAHIM YAR KHAN
M/s. Meezan Bank Limited 17-18 City Center Rahim Yar Khan 
User Mr. Muhammad Tariq</v>
          </cell>
          <cell r="L168" t="str">
            <v>D</v>
          </cell>
          <cell r="M168" t="str">
            <v>09000221</v>
          </cell>
          <cell r="N168">
            <v>100</v>
          </cell>
          <cell r="O168" t="str">
            <v>RAHIM YAR KHAN</v>
          </cell>
          <cell r="P168" t="str">
            <v>House No. 8/B Street 1 Scheme 2 Block W Gulshan-e-Iqbal Rahim Yar Khan</v>
          </cell>
          <cell r="Q168" t="str">
            <v>11000003</v>
          </cell>
          <cell r="R168" t="str">
            <v>TOYOTA COROLLA ALTIS VVT-</v>
          </cell>
          <cell r="S168" t="str">
            <v>2020</v>
          </cell>
          <cell r="T168" t="str">
            <v>LEB-20-7948</v>
          </cell>
          <cell r="U168" t="str">
            <v>Q065205</v>
          </cell>
          <cell r="V168" t="str">
            <v>ZRE171R-6042835</v>
          </cell>
          <cell r="W168"/>
          <cell r="X168" t="str">
            <v>3</v>
          </cell>
          <cell r="Y168">
            <v>2085086</v>
          </cell>
          <cell r="Z168">
            <v>35949</v>
          </cell>
          <cell r="AA168">
            <v>41702</v>
          </cell>
        </row>
        <row r="169">
          <cell r="B169" t="str">
            <v>KHI/HO/D/MO/PC COMP/C/94206/5/07/2024</v>
          </cell>
          <cell r="C169"/>
          <cell r="D169" t="str">
            <v>REN</v>
          </cell>
          <cell r="E169" t="str">
            <v>30/07/24</v>
          </cell>
          <cell r="F169" t="str">
            <v>22/07/2024</v>
          </cell>
          <cell r="G169" t="str">
            <v>21/07/2025</v>
          </cell>
          <cell r="H169" t="str">
            <v>08000212</v>
          </cell>
          <cell r="I169" t="str">
            <v>MEEZAN BANK LTD - RAHIM YAR KHAN BRANCH</v>
          </cell>
          <cell r="J169" t="str">
            <v>BANK</v>
          </cell>
          <cell r="K169" t="str">
            <v>M/S. MEEZAN BANK LIMITED 17-18 CITY CENTER 
RAHIM YAR KHAN
M/s. Meezan Bank Limited 17-18 City Center Rahim Yar Khan 
User Mr. Javed Ali</v>
          </cell>
          <cell r="L169" t="str">
            <v>D</v>
          </cell>
          <cell r="M169" t="str">
            <v>09000221</v>
          </cell>
          <cell r="N169">
            <v>100</v>
          </cell>
          <cell r="O169" t="str">
            <v>SADIQABAD</v>
          </cell>
          <cell r="P169" t="str">
            <v>Main Street Jinnah Town Sadiqabad</v>
          </cell>
          <cell r="Q169" t="str">
            <v>11000003</v>
          </cell>
          <cell r="R169" t="str">
            <v>TOYOTA COROLLA ALTIS VVT-</v>
          </cell>
          <cell r="S169" t="str">
            <v>2020</v>
          </cell>
          <cell r="T169" t="str">
            <v>AQZ-185</v>
          </cell>
          <cell r="U169" t="str">
            <v>Q065740</v>
          </cell>
          <cell r="V169" t="str">
            <v>NZE171R-6043208</v>
          </cell>
          <cell r="W169"/>
          <cell r="X169" t="str">
            <v>3</v>
          </cell>
          <cell r="Y169">
            <v>2069996</v>
          </cell>
          <cell r="Z169">
            <v>35690</v>
          </cell>
          <cell r="AA169">
            <v>41400</v>
          </cell>
        </row>
        <row r="170">
          <cell r="B170" t="str">
            <v>KHI/HO/D/MO/PC COMP/C/94206/6/07/2024</v>
          </cell>
          <cell r="C170"/>
          <cell r="D170" t="str">
            <v>REN</v>
          </cell>
          <cell r="E170" t="str">
            <v>30/07/24</v>
          </cell>
          <cell r="F170" t="str">
            <v>28/07/2024</v>
          </cell>
          <cell r="G170" t="str">
            <v>27/07/2025</v>
          </cell>
          <cell r="H170" t="str">
            <v>08000212</v>
          </cell>
          <cell r="I170" t="str">
            <v>MEEZAN BANK LTD - RAHIM YAR KHAN BRANCH</v>
          </cell>
          <cell r="J170" t="str">
            <v>BANK</v>
          </cell>
          <cell r="K170" t="str">
            <v>M/S. MEEZAN BANK LIMITED 17-18 CITY CENTER 
RAHIM YAR KHAN
M/s. Meezan Bank Limited 17-18 City Center Rahim Yar Khan 
User Mr. Muhammad Aslam</v>
          </cell>
          <cell r="L170" t="str">
            <v>D</v>
          </cell>
          <cell r="M170" t="str">
            <v>09000221</v>
          </cell>
          <cell r="N170">
            <v>100</v>
          </cell>
          <cell r="O170" t="str">
            <v>RAHIM YAR KHAN</v>
          </cell>
          <cell r="P170" t="str">
            <v>House No. 177 Allama Iqbal Town Liaquatpur Dist. Rahim Yar Khan</v>
          </cell>
          <cell r="Q170" t="str">
            <v>11000003</v>
          </cell>
          <cell r="R170" t="str">
            <v>HONDA BRV MTI I-VTEC 1.5L</v>
          </cell>
          <cell r="S170" t="str">
            <v>2020</v>
          </cell>
          <cell r="T170" t="str">
            <v>AQY-523</v>
          </cell>
          <cell r="U170" t="str">
            <v>L15Z14801910</v>
          </cell>
          <cell r="V170" t="str">
            <v>NFBDG1831LR018583</v>
          </cell>
          <cell r="W170"/>
          <cell r="X170" t="str">
            <v>3</v>
          </cell>
          <cell r="Y170">
            <v>2234021</v>
          </cell>
          <cell r="Z170">
            <v>38517</v>
          </cell>
          <cell r="AA170">
            <v>44680</v>
          </cell>
        </row>
        <row r="171">
          <cell r="B171" t="str">
            <v>KHI/HO/D/MO/PC COMP/C/94209/1/07/2024</v>
          </cell>
          <cell r="C171"/>
          <cell r="D171" t="str">
            <v>REN</v>
          </cell>
          <cell r="E171" t="str">
            <v>30/07/24</v>
          </cell>
          <cell r="F171" t="str">
            <v>28/07/2024</v>
          </cell>
          <cell r="G171" t="str">
            <v>27/07/2025</v>
          </cell>
          <cell r="H171" t="str">
            <v>08000212</v>
          </cell>
          <cell r="I171" t="str">
            <v>MEEZAN BANK LTD - RAHIM YAR KHAN BRANCH</v>
          </cell>
          <cell r="J171" t="str">
            <v>BANK</v>
          </cell>
          <cell r="K171" t="str">
            <v>M/s. Meezan Bank Limited Rahim Yar Khan Branch
Meezan Bank Limited RahimYar Khan Branch
User. Mr. Husnain Asif</v>
          </cell>
          <cell r="L171" t="str">
            <v>D</v>
          </cell>
          <cell r="M171" t="str">
            <v>09000221</v>
          </cell>
          <cell r="N171">
            <v>100</v>
          </cell>
          <cell r="O171" t="str">
            <v>RAHIM YAR KHAN</v>
          </cell>
          <cell r="P171" t="str">
            <v>6 New Officer Colony Rahim Yar Khan</v>
          </cell>
          <cell r="Q171" t="str">
            <v>11000003</v>
          </cell>
          <cell r="R171" t="str">
            <v>TOYOTA YARIS ATIV X CVT 1</v>
          </cell>
          <cell r="S171" t="str">
            <v>2021</v>
          </cell>
          <cell r="T171" t="str">
            <v>AYD-496</v>
          </cell>
          <cell r="U171" t="str">
            <v>2A32172</v>
          </cell>
          <cell r="V171" t="str">
            <v>NSP150R-7019770</v>
          </cell>
          <cell r="W171"/>
          <cell r="X171" t="str">
            <v>3</v>
          </cell>
          <cell r="Y171">
            <v>1775844</v>
          </cell>
          <cell r="Z171">
            <v>22533</v>
          </cell>
          <cell r="AA171">
            <v>26638</v>
          </cell>
        </row>
        <row r="172">
          <cell r="B172" t="str">
            <v>KHI/HO/D/MO/PC COMP/C/94209/2/07/2024</v>
          </cell>
          <cell r="C172"/>
          <cell r="D172" t="str">
            <v>REN</v>
          </cell>
          <cell r="E172" t="str">
            <v>30/07/24</v>
          </cell>
          <cell r="F172" t="str">
            <v>06/07/2024</v>
          </cell>
          <cell r="G172" t="str">
            <v>05/07/2025</v>
          </cell>
          <cell r="H172" t="str">
            <v>08000212</v>
          </cell>
          <cell r="I172" t="str">
            <v>MEEZAN BANK LTD - RAHIM YAR KHAN BRANCH</v>
          </cell>
          <cell r="J172" t="str">
            <v>BANK</v>
          </cell>
          <cell r="K172" t="str">
            <v>M/s. Meezan Bank Limited Rahim Yar Khan Branch
M/s. Meezan Bank Limited 17-18 City Center Rahim Yar Khan 
A/c M/s. A.Hameed &amp; Co</v>
          </cell>
          <cell r="L172" t="str">
            <v>D</v>
          </cell>
          <cell r="M172" t="str">
            <v>09000221</v>
          </cell>
          <cell r="N172">
            <v>100</v>
          </cell>
          <cell r="O172" t="str">
            <v>RAHIM YAR KHAN</v>
          </cell>
          <cell r="P172" t="str">
            <v>House No. 45-A Satellite Town Rahim Yar Khan</v>
          </cell>
          <cell r="Q172" t="str">
            <v>11000003</v>
          </cell>
          <cell r="R172" t="str">
            <v>KIA SPORTAGE AWD-CW</v>
          </cell>
          <cell r="S172" t="str">
            <v>2020</v>
          </cell>
          <cell r="T172" t="str">
            <v>AQV-455</v>
          </cell>
          <cell r="U172" t="str">
            <v>G4NALH302610</v>
          </cell>
          <cell r="V172" t="str">
            <v>NNAQL51AZKP302057</v>
          </cell>
          <cell r="W172"/>
          <cell r="X172" t="str">
            <v>3</v>
          </cell>
          <cell r="Y172">
            <v>3017404</v>
          </cell>
          <cell r="Z172">
            <v>52024</v>
          </cell>
          <cell r="AA172">
            <v>60348</v>
          </cell>
        </row>
        <row r="173">
          <cell r="B173" t="str">
            <v>KHI/HO/D/MO/PC COMP/C/94212/1/07/2024</v>
          </cell>
          <cell r="C173"/>
          <cell r="D173" t="str">
            <v>REN</v>
          </cell>
          <cell r="E173" t="str">
            <v>30/07/24</v>
          </cell>
          <cell r="F173" t="str">
            <v>04/07/2024</v>
          </cell>
          <cell r="G173" t="str">
            <v>03/07/2025</v>
          </cell>
          <cell r="H173" t="str">
            <v>08000692</v>
          </cell>
          <cell r="I173" t="str">
            <v>MEEZAN BANK LTD - SADDAR BRANCH - RAWALPINDI</v>
          </cell>
          <cell r="J173" t="str">
            <v>BANK</v>
          </cell>
          <cell r="K173" t="str">
            <v>M/s. Meezan Bank Limited Saddar Branch Rawalpindi
M/s. Meezan Bank Limited Saddar Branch Rawalpindi 
User Mr. Azhar Mahmood</v>
          </cell>
          <cell r="L173" t="str">
            <v>D</v>
          </cell>
          <cell r="M173" t="str">
            <v>09000221</v>
          </cell>
          <cell r="N173">
            <v>100</v>
          </cell>
          <cell r="O173" t="str">
            <v>RAWALPINDI</v>
          </cell>
          <cell r="P173" t="str">
            <v>H # 178 Maryam Banglows NHS 1 Jinnah Street Adyala Road Rawalpindi</v>
          </cell>
          <cell r="Q173" t="str">
            <v>11000003</v>
          </cell>
          <cell r="R173" t="str">
            <v>SUZUKI BOLAN STD VX EURO</v>
          </cell>
          <cell r="S173" t="str">
            <v>2022</v>
          </cell>
          <cell r="T173"/>
          <cell r="U173" t="str">
            <v>PKT1023942</v>
          </cell>
          <cell r="V173" t="str">
            <v>SV308PK01139439</v>
          </cell>
          <cell r="W173"/>
          <cell r="X173" t="str">
            <v>3</v>
          </cell>
          <cell r="Y173">
            <v>1075680</v>
          </cell>
          <cell r="Z173">
            <v>13478</v>
          </cell>
          <cell r="AA173">
            <v>16135</v>
          </cell>
        </row>
        <row r="174">
          <cell r="B174" t="str">
            <v>KHI/HO/D/MO/PC COMP/C/94212/2/07/2024</v>
          </cell>
          <cell r="C174"/>
          <cell r="D174" t="str">
            <v>REN</v>
          </cell>
          <cell r="E174" t="str">
            <v>30/07/24</v>
          </cell>
          <cell r="F174" t="str">
            <v>05/07/2024</v>
          </cell>
          <cell r="G174" t="str">
            <v>04/07/2025</v>
          </cell>
          <cell r="H174" t="str">
            <v>08000692</v>
          </cell>
          <cell r="I174" t="str">
            <v>MEEZAN BANK LTD - SADDAR BRANCH - RAWALPINDI</v>
          </cell>
          <cell r="J174" t="str">
            <v>BANK</v>
          </cell>
          <cell r="K174" t="str">
            <v>M/s. Meezan Bank Limited Saddar Branch Rawalpindi
M/s. Meezan Bank Limited Saddar Branch Rawalpindi
User Mr. Rashad Hussain Shah</v>
          </cell>
          <cell r="L174" t="str">
            <v>D</v>
          </cell>
          <cell r="M174" t="str">
            <v>09000221</v>
          </cell>
          <cell r="N174">
            <v>100</v>
          </cell>
          <cell r="O174" t="str">
            <v>RAWALPINDI</v>
          </cell>
          <cell r="P174" t="str">
            <v>Lower Chatter Muzaffarabad Society 
AJK  Muzaffarabad Bilal Masjid Lower Chatter Muzaffarabad</v>
          </cell>
          <cell r="Q174" t="str">
            <v>11000003</v>
          </cell>
          <cell r="R174" t="str">
            <v>SUZUKI ALTO VXR</v>
          </cell>
          <cell r="S174" t="str">
            <v>2022</v>
          </cell>
          <cell r="T174" t="str">
            <v>AZS-141</v>
          </cell>
          <cell r="U174" t="str">
            <v>6R240192</v>
          </cell>
          <cell r="V174" t="str">
            <v>NF1AET306H1140231</v>
          </cell>
          <cell r="W174"/>
          <cell r="X174"/>
          <cell r="Y174">
            <v>1252260</v>
          </cell>
          <cell r="Z174">
            <v>16193</v>
          </cell>
          <cell r="AA174">
            <v>18784</v>
          </cell>
        </row>
        <row r="175">
          <cell r="B175" t="str">
            <v>KHI/HO/D/MO/PC COMP/C/94212/3/07/2024</v>
          </cell>
          <cell r="C175"/>
          <cell r="D175" t="str">
            <v>REN</v>
          </cell>
          <cell r="E175" t="str">
            <v>30/07/24</v>
          </cell>
          <cell r="F175" t="str">
            <v>05/07/2024</v>
          </cell>
          <cell r="G175" t="str">
            <v>04/07/2025</v>
          </cell>
          <cell r="H175" t="str">
            <v>08000692</v>
          </cell>
          <cell r="I175" t="str">
            <v>MEEZAN BANK LTD - SADDAR BRANCH - RAWALPINDI</v>
          </cell>
          <cell r="J175" t="str">
            <v>BANK</v>
          </cell>
          <cell r="K175" t="str">
            <v>M/s. Meezan Bank Limited Saddar Branch Rawalpindi
M/S Meezan Bank Limited Saddar Branch Rawalpindi 
User Umme Kalsoom</v>
          </cell>
          <cell r="L175" t="str">
            <v>D</v>
          </cell>
          <cell r="M175" t="str">
            <v>09000221</v>
          </cell>
          <cell r="N175">
            <v>100</v>
          </cell>
          <cell r="O175" t="str">
            <v>RAWALPINDI</v>
          </cell>
          <cell r="P175" t="str">
            <v>H No 151 -2 Usman Lane National Housing Scheme Phase 1 Adyala Road Rawalpindi</v>
          </cell>
          <cell r="Q175" t="str">
            <v>11000003</v>
          </cell>
          <cell r="R175" t="str">
            <v>SUZUKI ALTO VXR</v>
          </cell>
          <cell r="S175" t="str">
            <v>2022</v>
          </cell>
          <cell r="T175" t="str">
            <v>AZS-475</v>
          </cell>
          <cell r="U175" t="str">
            <v>6R237758</v>
          </cell>
          <cell r="V175" t="str">
            <v>NF1AET306H1137777</v>
          </cell>
          <cell r="W175"/>
          <cell r="X175"/>
          <cell r="Y175">
            <v>1252260</v>
          </cell>
          <cell r="Z175">
            <v>16193</v>
          </cell>
          <cell r="AA175">
            <v>18784</v>
          </cell>
        </row>
        <row r="176">
          <cell r="B176" t="str">
            <v>KHI/HO/D/MO/PC COMP/C/94212/4/07/2024</v>
          </cell>
          <cell r="C176"/>
          <cell r="D176" t="str">
            <v>REN</v>
          </cell>
          <cell r="E176" t="str">
            <v>30/07/24</v>
          </cell>
          <cell r="F176" t="str">
            <v>20/07/2024</v>
          </cell>
          <cell r="G176" t="str">
            <v>19/07/2025</v>
          </cell>
          <cell r="H176" t="str">
            <v>08000692</v>
          </cell>
          <cell r="I176" t="str">
            <v>MEEZAN BANK LTD - SADDAR BRANCH - RAWALPINDI</v>
          </cell>
          <cell r="J176" t="str">
            <v>BANK</v>
          </cell>
          <cell r="K176" t="str">
            <v>M/s. Meezan Bank Limited Saddar Branch Rawalpindi
M/S Meezan Bank Limited Saddar Branch Rawalpindi 
User Mr. Khalil Ur Razi</v>
          </cell>
          <cell r="L176" t="str">
            <v>D</v>
          </cell>
          <cell r="M176" t="str">
            <v>09000221</v>
          </cell>
          <cell r="N176">
            <v>100</v>
          </cell>
          <cell r="O176"/>
          <cell r="P176" t="str">
            <v>Thorar Khas PO Thorar Distr Poonch</v>
          </cell>
          <cell r="Q176" t="str">
            <v>11000003</v>
          </cell>
          <cell r="R176" t="str">
            <v>SUZUKI ALTO VXL AGS E-2</v>
          </cell>
          <cell r="S176" t="str">
            <v>2021</v>
          </cell>
          <cell r="T176"/>
          <cell r="U176" t="str">
            <v>6R240688</v>
          </cell>
          <cell r="V176" t="str">
            <v>NF1AET306H1140671</v>
          </cell>
          <cell r="W176"/>
          <cell r="X176" t="str">
            <v>3</v>
          </cell>
          <cell r="Y176">
            <v>1415070</v>
          </cell>
          <cell r="Z176">
            <v>18298</v>
          </cell>
          <cell r="AA176">
            <v>21226</v>
          </cell>
        </row>
        <row r="177">
          <cell r="B177" t="str">
            <v>KHI/HO/D/MO/PC COMP/C/94214/1/07/2024</v>
          </cell>
          <cell r="C177"/>
          <cell r="D177" t="str">
            <v>REN</v>
          </cell>
          <cell r="E177" t="str">
            <v>30/07/24</v>
          </cell>
          <cell r="F177" t="str">
            <v>04/07/2024</v>
          </cell>
          <cell r="G177" t="str">
            <v>03/07/2025</v>
          </cell>
          <cell r="H177" t="str">
            <v>08000692</v>
          </cell>
          <cell r="I177" t="str">
            <v>MEEZAN BANK LTD - SADDAR BRANCH - RAWALPINDI</v>
          </cell>
          <cell r="J177" t="str">
            <v>BANK</v>
          </cell>
          <cell r="K177" t="str">
            <v>M/S Meezan Bank Limited Saddar Branch Rawalpindi 
User Mr.
M/S Meezan Bank Limited Saddar Branch Rawalpindi 
User Mr. ATIF CHAMAN</v>
          </cell>
          <cell r="L177" t="str">
            <v>D</v>
          </cell>
          <cell r="M177" t="str">
            <v>09000221</v>
          </cell>
          <cell r="N177">
            <v>100</v>
          </cell>
          <cell r="O177" t="str">
            <v>RAWALPINDI</v>
          </cell>
          <cell r="P177" t="str">
            <v xml:space="preserve"> H#04, ST#17-B, BLOCK F, NAVAL ANCHORAGE , ISLAMABAD</v>
          </cell>
          <cell r="Q177" t="str">
            <v>11000003</v>
          </cell>
          <cell r="R177" t="str">
            <v>SUZUKI ALTO VXL</v>
          </cell>
          <cell r="S177" t="str">
            <v>2022</v>
          </cell>
          <cell r="T177" t="str">
            <v>AZG-547</v>
          </cell>
          <cell r="U177" t="str">
            <v>6R236273</v>
          </cell>
          <cell r="V177" t="str">
            <v>NF1AET306H1136267</v>
          </cell>
          <cell r="W177"/>
          <cell r="X177"/>
          <cell r="Y177">
            <v>1415070</v>
          </cell>
          <cell r="Z177">
            <v>17867</v>
          </cell>
          <cell r="AA177">
            <v>21226</v>
          </cell>
        </row>
        <row r="178">
          <cell r="B178" t="str">
            <v>KHI/HO/D/MO/PC COMP/C/94214/2/07/2024</v>
          </cell>
          <cell r="C178"/>
          <cell r="D178" t="str">
            <v>REN</v>
          </cell>
          <cell r="E178" t="str">
            <v>30/07/24</v>
          </cell>
          <cell r="F178" t="str">
            <v>18/07/2024</v>
          </cell>
          <cell r="G178" t="str">
            <v>17/07/2025</v>
          </cell>
          <cell r="H178" t="str">
            <v>08000692</v>
          </cell>
          <cell r="I178" t="str">
            <v>MEEZAN BANK LTD - SADDAR BRANCH - RAWALPINDI</v>
          </cell>
          <cell r="J178" t="str">
            <v>BANK</v>
          </cell>
          <cell r="K178" t="str">
            <v>M/S Meezan Bank Limited Saddar Branch Rawalpindi 
User Mr.
M/S Meezan Bank Limited Saddar Branch Rawalpindi 
User Mr. Sayem Asif</v>
          </cell>
          <cell r="L178" t="str">
            <v>D</v>
          </cell>
          <cell r="M178" t="str">
            <v>09000221</v>
          </cell>
          <cell r="N178">
            <v>100</v>
          </cell>
          <cell r="O178" t="str">
            <v>RAWALPINDI</v>
          </cell>
          <cell r="P178" t="str">
            <v>H No 4 Sector C Garden Villas DHA 4 Adyala Road Rawalpindi</v>
          </cell>
          <cell r="Q178" t="str">
            <v>11000003</v>
          </cell>
          <cell r="R178" t="str">
            <v>SUZUKI ALTO VXR</v>
          </cell>
          <cell r="S178" t="str">
            <v>2022</v>
          </cell>
          <cell r="T178" t="str">
            <v>AZU-216</v>
          </cell>
          <cell r="U178" t="str">
            <v>6R240509</v>
          </cell>
          <cell r="V178" t="str">
            <v>NF1AET306H1140539</v>
          </cell>
          <cell r="W178"/>
          <cell r="X178"/>
          <cell r="Y178">
            <v>1252260</v>
          </cell>
          <cell r="Z178">
            <v>16193</v>
          </cell>
          <cell r="AA178">
            <v>18784</v>
          </cell>
        </row>
        <row r="179">
          <cell r="B179" t="str">
            <v>KHI/HO/D/MO/PC COMP/C/94217/1/07/2024</v>
          </cell>
          <cell r="C179"/>
          <cell r="D179" t="str">
            <v>REN</v>
          </cell>
          <cell r="E179" t="str">
            <v>30/07/24</v>
          </cell>
          <cell r="F179" t="str">
            <v>28/07/2024</v>
          </cell>
          <cell r="G179" t="str">
            <v>27/07/2025</v>
          </cell>
          <cell r="H179" t="str">
            <v>08000692</v>
          </cell>
          <cell r="I179" t="str">
            <v>MEEZAN BANK LTD - SADDAR BRANCH - RAWALPINDI</v>
          </cell>
          <cell r="J179" t="str">
            <v>BANK</v>
          </cell>
          <cell r="K179" t="str">
            <v>M/s. Meezan Bank Limited Saddar Branch Rawalpindi
M/s. Meezan Bank Limited Saddar Branch Rawalpindi
User Mr. Waseem Akbar</v>
          </cell>
          <cell r="L179" t="str">
            <v>D</v>
          </cell>
          <cell r="M179" t="str">
            <v>09000221</v>
          </cell>
          <cell r="N179">
            <v>100</v>
          </cell>
          <cell r="O179" t="str">
            <v>RAWALPINDI</v>
          </cell>
          <cell r="P179" t="str">
            <v>Flat 104 Alfalah Arcade River View Phase 7 Bahria Town Rawalpindi</v>
          </cell>
          <cell r="Q179" t="str">
            <v>11000003</v>
          </cell>
          <cell r="R179" t="str">
            <v>SUZUKI ALTO VX</v>
          </cell>
          <cell r="S179" t="str">
            <v>2021</v>
          </cell>
          <cell r="T179" t="str">
            <v>AUG-745</v>
          </cell>
          <cell r="U179" t="str">
            <v>6R173967</v>
          </cell>
          <cell r="V179" t="str">
            <v>NF1AE306H1074141</v>
          </cell>
          <cell r="W179"/>
          <cell r="X179"/>
          <cell r="Y179">
            <v>848120</v>
          </cell>
          <cell r="Z179">
            <v>10537</v>
          </cell>
          <cell r="AA179">
            <v>12722</v>
          </cell>
        </row>
        <row r="180">
          <cell r="B180" t="str">
            <v>KHI/HO/D/MO/PC COMP/C/94217/2/07/2024</v>
          </cell>
          <cell r="C180"/>
          <cell r="D180" t="str">
            <v>REN</v>
          </cell>
          <cell r="E180" t="str">
            <v>30/07/24</v>
          </cell>
          <cell r="F180" t="str">
            <v>09/07/2024</v>
          </cell>
          <cell r="G180" t="str">
            <v>08/07/2025</v>
          </cell>
          <cell r="H180" t="str">
            <v>08000692</v>
          </cell>
          <cell r="I180" t="str">
            <v>MEEZAN BANK LTD - SADDAR BRANCH - RAWALPINDI</v>
          </cell>
          <cell r="J180" t="str">
            <v>BANK</v>
          </cell>
          <cell r="K180" t="str">
            <v>M/s. Meezan Bank Limited Saddar Branch Rawalpindi
M/s. Meezan Bank Limited Saddar Branch Rawalpindi
User Mr. Raghib Ul Haq</v>
          </cell>
          <cell r="L180" t="str">
            <v>D</v>
          </cell>
          <cell r="M180" t="str">
            <v>09000221</v>
          </cell>
          <cell r="N180">
            <v>100</v>
          </cell>
          <cell r="O180" t="str">
            <v>RAWALPINDI</v>
          </cell>
          <cell r="P180" t="str">
            <v>House No. 26 Phase 2 Main Road Pakistan Town Islamabad</v>
          </cell>
          <cell r="Q180" t="str">
            <v>11000003</v>
          </cell>
          <cell r="R180" t="str">
            <v>HONDA CITY I-VTEC (M/T)</v>
          </cell>
          <cell r="S180" t="str">
            <v>2019</v>
          </cell>
          <cell r="T180" t="str">
            <v>AMZ-450</v>
          </cell>
          <cell r="U180" t="str">
            <v>L13Z1-7530110</v>
          </cell>
          <cell r="V180" t="str">
            <v>NFBGM1540KR248617</v>
          </cell>
          <cell r="W180"/>
          <cell r="X180"/>
          <cell r="Y180">
            <v>1361408</v>
          </cell>
          <cell r="Z180">
            <v>17604</v>
          </cell>
          <cell r="AA180">
            <v>20421</v>
          </cell>
        </row>
        <row r="181">
          <cell r="B181" t="str">
            <v>KHI/HO/D/MO/PC COMP/C/94217/3/07/2024</v>
          </cell>
          <cell r="C181"/>
          <cell r="D181" t="str">
            <v>REN</v>
          </cell>
          <cell r="E181" t="str">
            <v>30/07/24</v>
          </cell>
          <cell r="F181" t="str">
            <v>09/07/2024</v>
          </cell>
          <cell r="G181" t="str">
            <v>08/07/2025</v>
          </cell>
          <cell r="H181" t="str">
            <v>08000692</v>
          </cell>
          <cell r="I181" t="str">
            <v>MEEZAN BANK LTD - SADDAR BRANCH - RAWALPINDI</v>
          </cell>
          <cell r="J181" t="str">
            <v>BANK</v>
          </cell>
          <cell r="K181" t="str">
            <v>M/s. Meezan Bank Limited Saddar Branch Rawalpindi
M/s. Meezan Bank Limited Saddar Branch Rawalpindi
User Ms. Tahira Yasmeen</v>
          </cell>
          <cell r="L181" t="str">
            <v>D</v>
          </cell>
          <cell r="M181" t="str">
            <v>09000221</v>
          </cell>
          <cell r="N181">
            <v>100</v>
          </cell>
          <cell r="O181" t="str">
            <v>RAWALPINDI</v>
          </cell>
          <cell r="P181" t="str">
            <v>Mohallah Karoli Ward No. 16 Teh Gujjar Khan</v>
          </cell>
          <cell r="Q181" t="str">
            <v>11000003</v>
          </cell>
          <cell r="R181" t="str">
            <v>TOYOTA VITZ</v>
          </cell>
          <cell r="S181" t="str">
            <v>2017</v>
          </cell>
          <cell r="T181" t="str">
            <v>AUD-254</v>
          </cell>
          <cell r="U181" t="str">
            <v>1NZ-8202291</v>
          </cell>
          <cell r="V181" t="str">
            <v>NHP130-2015065</v>
          </cell>
          <cell r="W181"/>
          <cell r="X181"/>
          <cell r="Y181">
            <v>1457271</v>
          </cell>
          <cell r="Z181">
            <v>18844</v>
          </cell>
          <cell r="AA181">
            <v>21859</v>
          </cell>
        </row>
        <row r="182">
          <cell r="B182" t="str">
            <v>KHI/HO/D/MO/PC COMP/C/94217/4/07/2024</v>
          </cell>
          <cell r="C182"/>
          <cell r="D182" t="str">
            <v>REN</v>
          </cell>
          <cell r="E182" t="str">
            <v>30/07/24</v>
          </cell>
          <cell r="F182" t="str">
            <v>07/07/2024</v>
          </cell>
          <cell r="G182" t="str">
            <v>06/07/2025</v>
          </cell>
          <cell r="H182" t="str">
            <v>08000692</v>
          </cell>
          <cell r="I182" t="str">
            <v>MEEZAN BANK LTD - SADDAR BRANCH - RAWALPINDI</v>
          </cell>
          <cell r="J182" t="str">
            <v>BANK</v>
          </cell>
          <cell r="K182" t="str">
            <v>M/s. Meezan Bank Limited Saddar Branch Rawalpindi
M/s. Meezan Bank Limited Saddar Branch Rawalpindi
User Mr. Zardad Khan</v>
          </cell>
          <cell r="L182" t="str">
            <v>D</v>
          </cell>
          <cell r="M182" t="str">
            <v>09000221</v>
          </cell>
          <cell r="N182">
            <v>100</v>
          </cell>
          <cell r="O182" t="str">
            <v>RAWALPINDI</v>
          </cell>
          <cell r="P182" t="str">
            <v>Private Abadi House No. 4 Doctor D-4 Mirpur</v>
          </cell>
          <cell r="Q182" t="str">
            <v>11000003</v>
          </cell>
          <cell r="R182" t="str">
            <v>HONDA BRV - S</v>
          </cell>
          <cell r="S182"/>
          <cell r="T182" t="str">
            <v>AUD-163</v>
          </cell>
          <cell r="U182" t="str">
            <v>L15Z14805618</v>
          </cell>
          <cell r="V182" t="str">
            <v>NFBDG1833MR022314</v>
          </cell>
          <cell r="W182"/>
          <cell r="X182"/>
          <cell r="Y182">
            <v>2547855</v>
          </cell>
          <cell r="Z182">
            <v>32947</v>
          </cell>
          <cell r="AA182">
            <v>38218</v>
          </cell>
        </row>
        <row r="183">
          <cell r="B183" t="str">
            <v>KHI/HO/D/MO/PC COMP/C/94217/5/07/2024</v>
          </cell>
          <cell r="C183"/>
          <cell r="D183" t="str">
            <v>REN</v>
          </cell>
          <cell r="E183" t="str">
            <v>30/07/24</v>
          </cell>
          <cell r="F183" t="str">
            <v>05/07/2024</v>
          </cell>
          <cell r="G183" t="str">
            <v>04/07/2025</v>
          </cell>
          <cell r="H183" t="str">
            <v>08000692</v>
          </cell>
          <cell r="I183" t="str">
            <v>MEEZAN BANK LTD - SADDAR BRANCH - RAWALPINDI</v>
          </cell>
          <cell r="J183" t="str">
            <v>BANK</v>
          </cell>
          <cell r="K183" t="str">
            <v>M/s. Meezan Bank Limited Saddar Branch Rawalpindi
M/s. Meezan Bank Limited Saddar Branch Rawalpindi
User Mr. Syed Ashiq Hussain Shah</v>
          </cell>
          <cell r="L183" t="str">
            <v>D</v>
          </cell>
          <cell r="M183" t="str">
            <v>09000221</v>
          </cell>
          <cell r="N183">
            <v>100</v>
          </cell>
          <cell r="O183" t="str">
            <v>RAWALPINDI</v>
          </cell>
          <cell r="P183" t="str">
            <v>Makhad Sharif Rakhwan jand Attock</v>
          </cell>
          <cell r="Q183" t="str">
            <v>11000003</v>
          </cell>
          <cell r="R183" t="str">
            <v>TOYOTA YARIS ATIV CVT</v>
          </cell>
          <cell r="S183" t="str">
            <v>2021</v>
          </cell>
          <cell r="T183" t="str">
            <v>AUE-566</v>
          </cell>
          <cell r="U183" t="str">
            <v>2A26120</v>
          </cell>
          <cell r="V183" t="str">
            <v>NSP150R-7015709</v>
          </cell>
          <cell r="W183"/>
          <cell r="X183"/>
          <cell r="Y183">
            <v>1934037</v>
          </cell>
          <cell r="Z183">
            <v>25010</v>
          </cell>
          <cell r="AA183">
            <v>29011</v>
          </cell>
        </row>
        <row r="184">
          <cell r="B184" t="str">
            <v>KHI/HO/D/MO/PC COMP/C/94218/1/07/2024</v>
          </cell>
          <cell r="C184"/>
          <cell r="D184" t="str">
            <v>REN</v>
          </cell>
          <cell r="E184" t="str">
            <v>30/07/24</v>
          </cell>
          <cell r="F184" t="str">
            <v>02/07/2024</v>
          </cell>
          <cell r="G184" t="str">
            <v>01/07/2025</v>
          </cell>
          <cell r="H184" t="str">
            <v>08000840</v>
          </cell>
          <cell r="I184" t="str">
            <v>MEEZAN BANK LTD - SATIANA ROAD BR - FSD</v>
          </cell>
          <cell r="J184" t="str">
            <v>BANK</v>
          </cell>
          <cell r="K184" t="str">
            <v>M/s. Meezan Bank Limited Satiyana Road Branch Faisalabad
M/s. Meezan Bank Limited Satiyana Road Branch Faisalabad 
User. Mr. Azeem Sardar</v>
          </cell>
          <cell r="L184" t="str">
            <v>D</v>
          </cell>
          <cell r="M184" t="str">
            <v>09000221</v>
          </cell>
          <cell r="N184">
            <v>100</v>
          </cell>
          <cell r="O184" t="str">
            <v>LAHORE</v>
          </cell>
          <cell r="P184" t="str">
            <v>Islam Block Azam Garden Lahore</v>
          </cell>
          <cell r="Q184" t="str">
            <v>11000003</v>
          </cell>
          <cell r="R184" t="str">
            <v>TOYOTA YARIS ATIV X CVT</v>
          </cell>
          <cell r="S184" t="str">
            <v>2021</v>
          </cell>
          <cell r="T184" t="str">
            <v>ADN-629</v>
          </cell>
          <cell r="U184" t="str">
            <v>2A31024</v>
          </cell>
          <cell r="V184" t="str">
            <v>NSP151R-9511835</v>
          </cell>
          <cell r="W184"/>
          <cell r="X184" t="str">
            <v>3</v>
          </cell>
          <cell r="Y184">
            <v>2211057</v>
          </cell>
          <cell r="Z184">
            <v>28160</v>
          </cell>
          <cell r="AA184">
            <v>33166</v>
          </cell>
        </row>
        <row r="185">
          <cell r="B185" t="str">
            <v>KHI/HO/D/MO/PC COMP/C/94218/2/07/2024</v>
          </cell>
          <cell r="C185"/>
          <cell r="D185" t="str">
            <v>REN</v>
          </cell>
          <cell r="E185" t="str">
            <v>30/07/24</v>
          </cell>
          <cell r="F185" t="str">
            <v>02/07/2024</v>
          </cell>
          <cell r="G185" t="str">
            <v>01/07/2025</v>
          </cell>
          <cell r="H185" t="str">
            <v>08000840</v>
          </cell>
          <cell r="I185" t="str">
            <v>MEEZAN BANK LTD - SATIANA ROAD BR - FSD</v>
          </cell>
          <cell r="J185" t="str">
            <v>BANK</v>
          </cell>
          <cell r="K185" t="str">
            <v>M/s. Meezan Bank Limited Satiyana Road Branch Faisalabad
M/s. Meezan Bank Limited Satiyana Road Branch Faisalabad 
User. Mr. Abbas Ali</v>
          </cell>
          <cell r="L185" t="str">
            <v>D</v>
          </cell>
          <cell r="M185" t="str">
            <v>09000221</v>
          </cell>
          <cell r="N185">
            <v>100</v>
          </cell>
          <cell r="O185" t="str">
            <v>FAISALABAD</v>
          </cell>
          <cell r="P185" t="str">
            <v>House No. 3070 Street No. 10 Zulfiqar Colony Muslim Chowk Near Allama Iqbal High School Faisalabad</v>
          </cell>
          <cell r="Q185" t="str">
            <v>11000003</v>
          </cell>
          <cell r="R185" t="str">
            <v>TOYOTA YARIS ATIV X CVT</v>
          </cell>
          <cell r="S185" t="str">
            <v>2021</v>
          </cell>
          <cell r="T185" t="str">
            <v>AUD-614</v>
          </cell>
          <cell r="U185" t="str">
            <v>2A31134</v>
          </cell>
          <cell r="V185" t="str">
            <v>NSP151R-9511733</v>
          </cell>
          <cell r="W185"/>
          <cell r="X185" t="str">
            <v>3</v>
          </cell>
          <cell r="Y185">
            <v>2211057</v>
          </cell>
          <cell r="Z185">
            <v>28591</v>
          </cell>
          <cell r="AA185">
            <v>33166</v>
          </cell>
        </row>
        <row r="186">
          <cell r="B186" t="str">
            <v>KHI/HO/D/MO/PC COMP/C/94219/1/07/2024</v>
          </cell>
          <cell r="C186"/>
          <cell r="D186" t="str">
            <v>REN</v>
          </cell>
          <cell r="E186" t="str">
            <v>30/07/24</v>
          </cell>
          <cell r="F186" t="str">
            <v>04/07/2024</v>
          </cell>
          <cell r="G186" t="str">
            <v>03/07/2025</v>
          </cell>
          <cell r="H186" t="str">
            <v>08000840</v>
          </cell>
          <cell r="I186" t="str">
            <v>MEEZAN BANK LTD - SATIANA ROAD BR - FSD</v>
          </cell>
          <cell r="J186" t="str">
            <v>BANK</v>
          </cell>
          <cell r="K186" t="str">
            <v>M/s. Meezan Bank Limited Satiyana Road Faisalabad
M/s. Meezan Bank Limited Satiyana Road Faisalabad
User Mr. Muhammad Sharjeel Aslam</v>
          </cell>
          <cell r="L186" t="str">
            <v>D</v>
          </cell>
          <cell r="M186" t="str">
            <v>09000221</v>
          </cell>
          <cell r="N186">
            <v>100</v>
          </cell>
          <cell r="O186" t="str">
            <v>FAISALABAD</v>
          </cell>
          <cell r="P186" t="str">
            <v>H No 11 Street No 2 Block Z Madina Town Faisalabad</v>
          </cell>
          <cell r="Q186" t="str">
            <v>11000003</v>
          </cell>
          <cell r="R186" t="str">
            <v>HONDA CITY 1.2 LS MT</v>
          </cell>
          <cell r="S186" t="str">
            <v>2022</v>
          </cell>
          <cell r="T186" t="str">
            <v>AGX-471</v>
          </cell>
          <cell r="U186" t="str">
            <v>L12B51012405</v>
          </cell>
          <cell r="V186" t="str">
            <v>NFBGN8622NR022330</v>
          </cell>
          <cell r="W186"/>
          <cell r="X186"/>
          <cell r="Y186">
            <v>2520315</v>
          </cell>
          <cell r="Z186">
            <v>32159</v>
          </cell>
          <cell r="AA186">
            <v>37805</v>
          </cell>
        </row>
        <row r="187">
          <cell r="B187" t="str">
            <v>KHI/HO/D/MO/PC COMP/C/94219/2/07/2024</v>
          </cell>
          <cell r="C187"/>
          <cell r="D187" t="str">
            <v>REN</v>
          </cell>
          <cell r="E187" t="str">
            <v>30/07/24</v>
          </cell>
          <cell r="F187" t="str">
            <v>06/07/2024</v>
          </cell>
          <cell r="G187" t="str">
            <v>05/07/2025</v>
          </cell>
          <cell r="H187" t="str">
            <v>08000840</v>
          </cell>
          <cell r="I187" t="str">
            <v>MEEZAN BANK LTD - SATIANA ROAD BR - FSD</v>
          </cell>
          <cell r="J187" t="str">
            <v>BANK</v>
          </cell>
          <cell r="K187" t="str">
            <v>M/s. Meezan Bank Limited Satiyana Road Faisalabad
M/s. Meezan Bank Limited Satiyana Road Faisalabad
User Mr. Yahya Younas</v>
          </cell>
          <cell r="L187" t="str">
            <v>D</v>
          </cell>
          <cell r="M187" t="str">
            <v>09000221</v>
          </cell>
          <cell r="N187">
            <v>100</v>
          </cell>
          <cell r="O187" t="str">
            <v>FAISALABAD</v>
          </cell>
          <cell r="P187" t="str">
            <v>H No 45 Street No 4 Rafique Colony Faisalabad</v>
          </cell>
          <cell r="Q187" t="str">
            <v>11000003</v>
          </cell>
          <cell r="R187" t="str">
            <v>HONDA CITY CVT PT 1.2</v>
          </cell>
          <cell r="S187" t="str">
            <v>2022</v>
          </cell>
          <cell r="T187"/>
          <cell r="U187" t="str">
            <v>L12B51011930</v>
          </cell>
          <cell r="V187" t="str">
            <v>NFBGN8622NR021386</v>
          </cell>
          <cell r="W187"/>
          <cell r="X187"/>
          <cell r="Y187">
            <v>2637360</v>
          </cell>
          <cell r="Z187">
            <v>34103</v>
          </cell>
          <cell r="AA187">
            <v>39560</v>
          </cell>
        </row>
        <row r="188">
          <cell r="B188" t="str">
            <v>KHI/HO/D/MO/PC COMP/C/94219/3/07/2024</v>
          </cell>
          <cell r="C188"/>
          <cell r="D188" t="str">
            <v>REN</v>
          </cell>
          <cell r="E188" t="str">
            <v>30/07/24</v>
          </cell>
          <cell r="F188" t="str">
            <v>15/07/2024</v>
          </cell>
          <cell r="G188" t="str">
            <v>14/07/2025</v>
          </cell>
          <cell r="H188" t="str">
            <v>08000840</v>
          </cell>
          <cell r="I188" t="str">
            <v>MEEZAN BANK LTD - SATIANA ROAD BR - FSD</v>
          </cell>
          <cell r="J188" t="str">
            <v>BANK</v>
          </cell>
          <cell r="K188" t="str">
            <v>M/s. Meezan Bank Limited Satiyana Road Faisalabad
M/s. Meezan Bank Limited Satiyana Road Faisalabad
User Mr. Zain Javeed</v>
          </cell>
          <cell r="L188" t="str">
            <v>D</v>
          </cell>
          <cell r="M188" t="str">
            <v>09000221</v>
          </cell>
          <cell r="N188">
            <v>100</v>
          </cell>
          <cell r="O188" t="str">
            <v>FAISALABAD</v>
          </cell>
          <cell r="P188" t="str">
            <v>H # P-4509 Mansoorabad Mohallah Ashrafpura Street 6 Faisalabad Near Mansoorabad PS</v>
          </cell>
          <cell r="Q188" t="str">
            <v>11000003</v>
          </cell>
          <cell r="R188" t="str">
            <v>HONDA CITY 1.2  LS CVT</v>
          </cell>
          <cell r="S188" t="str">
            <v>2022</v>
          </cell>
          <cell r="T188" t="str">
            <v>AZT-398</v>
          </cell>
          <cell r="U188" t="str">
            <v>L12B51011889</v>
          </cell>
          <cell r="V188" t="str">
            <v>NFBGN8623NR021364</v>
          </cell>
          <cell r="W188"/>
          <cell r="X188" t="str">
            <v>3</v>
          </cell>
          <cell r="Y188">
            <v>2645865</v>
          </cell>
          <cell r="Z188">
            <v>34214</v>
          </cell>
          <cell r="AA188">
            <v>39688</v>
          </cell>
        </row>
        <row r="189">
          <cell r="B189" t="str">
            <v>KHI/HO/D/MO/PC COMP/C/94219/4/07/2024</v>
          </cell>
          <cell r="C189"/>
          <cell r="D189" t="str">
            <v>REN</v>
          </cell>
          <cell r="E189" t="str">
            <v>30/07/24</v>
          </cell>
          <cell r="F189" t="str">
            <v>18/07/2024</v>
          </cell>
          <cell r="G189" t="str">
            <v>17/07/2025</v>
          </cell>
          <cell r="H189" t="str">
            <v>08000840</v>
          </cell>
          <cell r="I189" t="str">
            <v>MEEZAN BANK LTD - SATIANA ROAD BR - FSD</v>
          </cell>
          <cell r="J189" t="str">
            <v>BANK</v>
          </cell>
          <cell r="K189" t="str">
            <v>M/s. Meezan Bank Limited Satiyana Road Faisalabad
M/s. Meezan Bank Limited Satiyana Road Faisalabad
User Mr. Muhammad Yaseen</v>
          </cell>
          <cell r="L189" t="str">
            <v>D</v>
          </cell>
          <cell r="M189" t="str">
            <v>09000221</v>
          </cell>
          <cell r="N189">
            <v>100</v>
          </cell>
          <cell r="O189" t="str">
            <v>FAISALABAD</v>
          </cell>
          <cell r="P189" t="str">
            <v>PO Ahmed Abad Chak No 15 Teh &amp; Distt Chiniot</v>
          </cell>
          <cell r="Q189" t="str">
            <v>11000003</v>
          </cell>
          <cell r="R189" t="str">
            <v>SUZUKI CULTUS VXL</v>
          </cell>
          <cell r="S189" t="str">
            <v>2022</v>
          </cell>
          <cell r="T189" t="str">
            <v>AZT-615</v>
          </cell>
          <cell r="U189" t="str">
            <v>PK10K199658</v>
          </cell>
          <cell r="V189" t="str">
            <v>NF1AVK31H10099653</v>
          </cell>
          <cell r="W189"/>
          <cell r="X189"/>
          <cell r="Y189">
            <v>2003940</v>
          </cell>
          <cell r="Z189">
            <v>25913</v>
          </cell>
          <cell r="AA189">
            <v>30059</v>
          </cell>
        </row>
        <row r="190">
          <cell r="B190" t="str">
            <v>KHI/HO/D/MO/PC COMP/C/94219/5/07/2024</v>
          </cell>
          <cell r="C190"/>
          <cell r="D190" t="str">
            <v>REN</v>
          </cell>
          <cell r="E190" t="str">
            <v>30/07/24</v>
          </cell>
          <cell r="F190" t="str">
            <v>25/07/2024</v>
          </cell>
          <cell r="G190" t="str">
            <v>24/07/2025</v>
          </cell>
          <cell r="H190" t="str">
            <v>08000840</v>
          </cell>
          <cell r="I190" t="str">
            <v>MEEZAN BANK LTD - SATIANA ROAD BR - FSD</v>
          </cell>
          <cell r="J190" t="str">
            <v>BANK</v>
          </cell>
          <cell r="K190" t="str">
            <v>M/s. Meezan Bank Limited Satiyana Road Faisalabad
M/s. Meezan Bank Limited Satiyana Road Faisalabad
Mr. Nauman Shahzad</v>
          </cell>
          <cell r="L190" t="str">
            <v>D</v>
          </cell>
          <cell r="M190" t="str">
            <v>09000221</v>
          </cell>
          <cell r="N190">
            <v>100</v>
          </cell>
          <cell r="O190" t="str">
            <v>FAISALABAD</v>
          </cell>
          <cell r="P190" t="str">
            <v>H No 370 Chibban Road Street No 18 GTS Faisalabad</v>
          </cell>
          <cell r="Q190" t="str">
            <v>11000003</v>
          </cell>
          <cell r="R190" t="str">
            <v>SUZUKI WAGON R VXL</v>
          </cell>
          <cell r="S190" t="str">
            <v>2022</v>
          </cell>
          <cell r="T190" t="str">
            <v>AZU-790</v>
          </cell>
          <cell r="U190" t="str">
            <v>PK10B238743</v>
          </cell>
          <cell r="V190" t="str">
            <v>A1J310Pk10138751</v>
          </cell>
          <cell r="W190"/>
          <cell r="X190"/>
          <cell r="Y190">
            <v>1781190</v>
          </cell>
          <cell r="Z190">
            <v>23033</v>
          </cell>
          <cell r="AA190">
            <v>26718</v>
          </cell>
        </row>
        <row r="191">
          <cell r="B191" t="str">
            <v>KHI/HO/D/MO/PC COMP/C/94234/1/07/2024</v>
          </cell>
          <cell r="C191"/>
          <cell r="D191" t="str">
            <v>REN</v>
          </cell>
          <cell r="E191" t="str">
            <v>30/07/24</v>
          </cell>
          <cell r="F191" t="str">
            <v>07/07/2024</v>
          </cell>
          <cell r="G191" t="str">
            <v>06/07/2025</v>
          </cell>
          <cell r="H191" t="str">
            <v>08000676</v>
          </cell>
          <cell r="I191" t="str">
            <v>MEEZAN BANK LTD CAR IJARAH WEST HUB LAHORE</v>
          </cell>
          <cell r="J191" t="str">
            <v>BANK</v>
          </cell>
          <cell r="K191" t="str">
            <v>M/s. Meezan Bank Limited Car Ijarah West Hub Lahore 
M/s. Meezan Bank Limited Car Ijarah West Hub Lahore
User Mr. CHAUDHARY MUHAMMAD UMAIR</v>
          </cell>
          <cell r="L191" t="str">
            <v>D</v>
          </cell>
          <cell r="M191" t="str">
            <v>09000221</v>
          </cell>
          <cell r="N191">
            <v>100</v>
          </cell>
          <cell r="O191" t="str">
            <v>LAHORE</v>
          </cell>
          <cell r="P191" t="str">
            <v>H NO 642 , SAMNABAD, BLOCK N, LAHORE</v>
          </cell>
          <cell r="Q191" t="str">
            <v>11000003</v>
          </cell>
          <cell r="R191" t="str">
            <v>TOYOTA Yaris ATIV 1.3 (CV</v>
          </cell>
          <cell r="S191" t="str">
            <v>2021</v>
          </cell>
          <cell r="T191" t="str">
            <v>ABS-617</v>
          </cell>
          <cell r="U191" t="str">
            <v>2A16036</v>
          </cell>
          <cell r="V191" t="str">
            <v>NSP150R-7009520</v>
          </cell>
          <cell r="W191"/>
          <cell r="X191"/>
          <cell r="Y191">
            <v>4230000</v>
          </cell>
          <cell r="Z191">
            <v>54698</v>
          </cell>
          <cell r="AA191">
            <v>63450</v>
          </cell>
        </row>
        <row r="192">
          <cell r="B192" t="str">
            <v>KHI/HO/D/MO/PC COMP/C/94236/1/07/2024</v>
          </cell>
          <cell r="C192"/>
          <cell r="D192" t="str">
            <v>REN</v>
          </cell>
          <cell r="E192" t="str">
            <v>30/07/24</v>
          </cell>
          <cell r="F192" t="str">
            <v>24/07/2024</v>
          </cell>
          <cell r="G192" t="str">
            <v>23/07/2025</v>
          </cell>
          <cell r="H192" t="str">
            <v>08000160</v>
          </cell>
          <cell r="I192" t="str">
            <v>MEEZAN BANK LIMITED- SARGODHA BRANCH</v>
          </cell>
          <cell r="J192" t="str">
            <v>BANK</v>
          </cell>
          <cell r="K192" t="str">
            <v>M/S. MEEZAN BANK LIMITED SARGODHA BRANCH
M/s. Meezan Bank Limited 91 Civil Lines University Road Sargodha 
User. Mr. Waqas Nadeem</v>
          </cell>
          <cell r="L192" t="str">
            <v>D</v>
          </cell>
          <cell r="M192" t="str">
            <v>09000221</v>
          </cell>
          <cell r="N192">
            <v>100</v>
          </cell>
          <cell r="O192" t="str">
            <v>SARGODHA</v>
          </cell>
          <cell r="P192" t="str">
            <v>Chak No. 127 SB Silanwali District Sargodha</v>
          </cell>
          <cell r="Q192" t="str">
            <v>11000003</v>
          </cell>
          <cell r="R192" t="str">
            <v>TOYOTA COROLLA ALTIS VVT-</v>
          </cell>
          <cell r="S192" t="str">
            <v>2020</v>
          </cell>
          <cell r="T192" t="str">
            <v>AQZ-127</v>
          </cell>
          <cell r="U192" t="str">
            <v>Q065751</v>
          </cell>
          <cell r="V192" t="str">
            <v>ZRE171R-6043264</v>
          </cell>
          <cell r="W192"/>
          <cell r="X192" t="str">
            <v>3</v>
          </cell>
          <cell r="Y192">
            <v>2085086</v>
          </cell>
          <cell r="Z192">
            <v>35519</v>
          </cell>
          <cell r="AA192">
            <v>41702</v>
          </cell>
        </row>
        <row r="193">
          <cell r="B193" t="str">
            <v>KHI/HO/D/MO/PC COMP/C/94236/2/07/2024</v>
          </cell>
          <cell r="C193"/>
          <cell r="D193" t="str">
            <v>REN</v>
          </cell>
          <cell r="E193" t="str">
            <v>30/07/24</v>
          </cell>
          <cell r="F193" t="str">
            <v>30/07/2024</v>
          </cell>
          <cell r="G193" t="str">
            <v>29/07/2025</v>
          </cell>
          <cell r="H193" t="str">
            <v>08000160</v>
          </cell>
          <cell r="I193" t="str">
            <v>MEEZAN BANK LIMITED- SARGODHA BRANCH</v>
          </cell>
          <cell r="J193" t="str">
            <v>BANK</v>
          </cell>
          <cell r="K193" t="str">
            <v>M/S. MEEZAN BANK LIMITED SARGODHA BRANCH
M/s. Meezan Bank Limited 91 Civil Lines University Road Sargodha 
User. Mr. Muhammad Khawar Akbar</v>
          </cell>
          <cell r="L193" t="str">
            <v>D</v>
          </cell>
          <cell r="M193" t="str">
            <v>09000221</v>
          </cell>
          <cell r="N193">
            <v>100</v>
          </cell>
          <cell r="O193" t="str">
            <v>SARGODHA</v>
          </cell>
          <cell r="P193" t="str">
            <v>Moh Qeeman Old Gujrat Road Phalia</v>
          </cell>
          <cell r="Q193" t="str">
            <v>11000003</v>
          </cell>
          <cell r="R193" t="str">
            <v>TOYOTA COROLLA ALTIS VVT-</v>
          </cell>
          <cell r="S193" t="str">
            <v>2020</v>
          </cell>
          <cell r="T193" t="str">
            <v>AQY-571</v>
          </cell>
          <cell r="U193" t="str">
            <v>Q065813</v>
          </cell>
          <cell r="V193" t="str">
            <v>ZRE171R-6043317</v>
          </cell>
          <cell r="W193"/>
          <cell r="X193" t="str">
            <v>3</v>
          </cell>
          <cell r="Y193">
            <v>2085086</v>
          </cell>
          <cell r="Z193">
            <v>35949</v>
          </cell>
          <cell r="AA193">
            <v>41702</v>
          </cell>
        </row>
        <row r="194">
          <cell r="B194" t="str">
            <v>KHI/HO/D/MO/PC COMP/C/92132/16/07/2024</v>
          </cell>
          <cell r="C194"/>
          <cell r="D194" t="str">
            <v>FRE</v>
          </cell>
          <cell r="E194" t="str">
            <v>31/07/24</v>
          </cell>
          <cell r="F194" t="str">
            <v>30/07/2024</v>
          </cell>
          <cell r="G194" t="str">
            <v>29/07/2025</v>
          </cell>
          <cell r="H194" t="str">
            <v>08000025</v>
          </cell>
          <cell r="I194" t="str">
            <v>MEEZAN BANK LIMITED MAIN</v>
          </cell>
          <cell r="J194" t="str">
            <v>BANK</v>
          </cell>
          <cell r="K194" t="str">
            <v>M/s. Meezan Bank Limited Main Branch Karachi .
M/s. Meezan Bank Limited Main Branch Karachi 
User Mr. GHULAM ASGHAR</v>
          </cell>
          <cell r="L194" t="str">
            <v>D</v>
          </cell>
          <cell r="M194" t="str">
            <v>09000221</v>
          </cell>
          <cell r="N194">
            <v>100</v>
          </cell>
          <cell r="O194"/>
          <cell r="P194" t="str">
            <v>MUHALLA SHAIKH ANSARI, HOTEL BACHAL SHAH MIANI, SUKKUR</v>
          </cell>
          <cell r="Q194" t="str">
            <v>11000003</v>
          </cell>
          <cell r="R194" t="str">
            <v>SUZUKI ALTO VXR</v>
          </cell>
          <cell r="S194" t="str">
            <v>2024</v>
          </cell>
          <cell r="T194"/>
          <cell r="U194" t="str">
            <v>6R314676</v>
          </cell>
          <cell r="V194" t="str">
            <v>NF1AET306H1214597</v>
          </cell>
          <cell r="W194"/>
          <cell r="X194"/>
          <cell r="Y194">
            <v>2707000</v>
          </cell>
          <cell r="Z194">
            <v>35004</v>
          </cell>
          <cell r="AA194">
            <v>40605</v>
          </cell>
        </row>
        <row r="195">
          <cell r="B195" t="str">
            <v>KHI/HO/D/MO/PC COMP/C/94298/1/07/2024</v>
          </cell>
          <cell r="C195"/>
          <cell r="D195" t="str">
            <v>REN</v>
          </cell>
          <cell r="E195" t="str">
            <v>31/07/24</v>
          </cell>
          <cell r="F195" t="str">
            <v>04/07/2024</v>
          </cell>
          <cell r="G195" t="str">
            <v>03/07/2025</v>
          </cell>
          <cell r="H195" t="str">
            <v>08000208</v>
          </cell>
          <cell r="I195" t="str">
            <v>MEEZAN BANK LTD. GULBERG BRANCH LAHORE</v>
          </cell>
          <cell r="J195" t="str">
            <v>BANK</v>
          </cell>
          <cell r="K195" t="str">
            <v>M/s. Meezan Bank Limited Gulberg Branch Lahore 
M/s. Meezan Bank Limited Gulberg Branch Lahore 
User Mr Shah Muhammad Babar</v>
          </cell>
          <cell r="L195" t="str">
            <v>D</v>
          </cell>
          <cell r="M195" t="str">
            <v>09000221</v>
          </cell>
          <cell r="N195">
            <v>100</v>
          </cell>
          <cell r="O195" t="str">
            <v>LAHORE</v>
          </cell>
          <cell r="P195" t="str">
            <v>H NO 28, JOHARTOWN, H2, JOHARTOWN, LAHORE (EMPORIUM MALL)</v>
          </cell>
          <cell r="Q195" t="str">
            <v>11000003</v>
          </cell>
          <cell r="R195" t="str">
            <v>TOYOTA COROLLA ALTIS VVT-</v>
          </cell>
          <cell r="S195" t="str">
            <v>2018</v>
          </cell>
          <cell r="T195" t="str">
            <v>LEA-18A-617</v>
          </cell>
          <cell r="U195" t="str">
            <v>Q049537</v>
          </cell>
          <cell r="V195" t="str">
            <v>ZRE171R-6027031</v>
          </cell>
          <cell r="W195"/>
          <cell r="X195" t="str">
            <v>3</v>
          </cell>
          <cell r="Y195">
            <v>4050000</v>
          </cell>
          <cell r="Z195">
            <v>51940</v>
          </cell>
          <cell r="AA195">
            <v>60750</v>
          </cell>
        </row>
        <row r="196">
          <cell r="B196" t="str">
            <v>KHI/HO/D/MO/PC COMP/C/94298/2/07/2024</v>
          </cell>
          <cell r="C196"/>
          <cell r="D196" t="str">
            <v>REN</v>
          </cell>
          <cell r="E196" t="str">
            <v>31/07/24</v>
          </cell>
          <cell r="F196" t="str">
            <v>04/07/2024</v>
          </cell>
          <cell r="G196" t="str">
            <v>03/07/2025</v>
          </cell>
          <cell r="H196" t="str">
            <v>08000208</v>
          </cell>
          <cell r="I196" t="str">
            <v>MEEZAN BANK LTD. GULBERG BRANCH LAHORE</v>
          </cell>
          <cell r="J196" t="str">
            <v>BANK</v>
          </cell>
          <cell r="K196" t="str">
            <v>M/s. Meezan Bank Limited Gulberg Branch Lahore 
M/s. Meezan Bank Limited Gulberg Branch Lahore
User Mr.  AMMAD MONUS</v>
          </cell>
          <cell r="L196" t="str">
            <v>D</v>
          </cell>
          <cell r="M196" t="str">
            <v>09000221</v>
          </cell>
          <cell r="N196">
            <v>100</v>
          </cell>
          <cell r="O196" t="str">
            <v>LAHORE</v>
          </cell>
          <cell r="P196" t="str">
            <v>H#17-A, PAK ARAB, SOCIETY, FEROZPUR ROAD, LAHORE</v>
          </cell>
          <cell r="Q196" t="str">
            <v>11000003</v>
          </cell>
          <cell r="R196" t="str">
            <v>SUZUKI ALTO VXL AGS</v>
          </cell>
          <cell r="S196" t="str">
            <v>2023</v>
          </cell>
          <cell r="T196" t="str">
            <v>BCE-797</v>
          </cell>
          <cell r="U196" t="str">
            <v>6R273266</v>
          </cell>
          <cell r="V196" t="str">
            <v>NF1AET306H1173219</v>
          </cell>
          <cell r="W196"/>
          <cell r="X196"/>
          <cell r="Y196">
            <v>2641500</v>
          </cell>
          <cell r="Z196">
            <v>34157</v>
          </cell>
          <cell r="AA196">
            <v>39623</v>
          </cell>
        </row>
        <row r="197">
          <cell r="B197" t="str">
            <v>KHI/HO/D/MO/PC COMP/C/94298/3/07/2024</v>
          </cell>
          <cell r="C197"/>
          <cell r="D197" t="str">
            <v>REN</v>
          </cell>
          <cell r="E197" t="str">
            <v>31/07/24</v>
          </cell>
          <cell r="F197" t="str">
            <v>12/07/2024</v>
          </cell>
          <cell r="G197" t="str">
            <v>11/07/2025</v>
          </cell>
          <cell r="H197" t="str">
            <v>08000208</v>
          </cell>
          <cell r="I197" t="str">
            <v>MEEZAN BANK LTD. GULBERG BRANCH LAHORE</v>
          </cell>
          <cell r="J197" t="str">
            <v>BANK</v>
          </cell>
          <cell r="K197" t="str">
            <v>M/s. Meezan Bank Limited Gulberg Branch Lahore 
M/s. Meezan Bank Limited Gulberg Branch Lahore
User Mr. Tanveer Ahmad</v>
          </cell>
          <cell r="L197" t="str">
            <v>D</v>
          </cell>
          <cell r="M197" t="str">
            <v>09000221</v>
          </cell>
          <cell r="N197">
            <v>100</v>
          </cell>
          <cell r="O197" t="str">
            <v>LAHORE</v>
          </cell>
          <cell r="P197" t="str">
            <v>H NO 10/10, RAIL TOWN, BLOCK A, CANAL CITY, LAHORE</v>
          </cell>
          <cell r="Q197" t="str">
            <v>11000003</v>
          </cell>
          <cell r="R197" t="str">
            <v>SUZUKI WAGON R VXL AGS</v>
          </cell>
          <cell r="S197" t="str">
            <v>2021</v>
          </cell>
          <cell r="T197" t="str">
            <v>ASK-319</v>
          </cell>
          <cell r="U197" t="str">
            <v>PK10B204562</v>
          </cell>
          <cell r="V197" t="str">
            <v>A1J310PK10104553</v>
          </cell>
          <cell r="W197"/>
          <cell r="X197" t="str">
            <v>3</v>
          </cell>
          <cell r="Y197">
            <v>2790000</v>
          </cell>
          <cell r="Z197">
            <v>36077</v>
          </cell>
          <cell r="AA197">
            <v>41850</v>
          </cell>
        </row>
        <row r="198">
          <cell r="B198" t="str">
            <v>KHI/HO/D/MO/PC COMP/C/94298/4/07/2024</v>
          </cell>
          <cell r="C198"/>
          <cell r="D198" t="str">
            <v>REN</v>
          </cell>
          <cell r="E198" t="str">
            <v>31/07/24</v>
          </cell>
          <cell r="F198" t="str">
            <v>18/07/2024</v>
          </cell>
          <cell r="G198" t="str">
            <v>17/07/2025</v>
          </cell>
          <cell r="H198" t="str">
            <v>08000208</v>
          </cell>
          <cell r="I198" t="str">
            <v>MEEZAN BANK LTD. GULBERG BRANCH LAHORE</v>
          </cell>
          <cell r="J198" t="str">
            <v>BANK</v>
          </cell>
          <cell r="K198" t="str">
            <v>M/s. Meezan Bank Limited Gulberg Branch Lahore 
M/s. Meezan Bank Limited Gulberg Branch Lahore
User Ms. Sana Iqbal</v>
          </cell>
          <cell r="L198" t="str">
            <v>D</v>
          </cell>
          <cell r="M198" t="str">
            <v>09000221</v>
          </cell>
          <cell r="N198">
            <v>100</v>
          </cell>
          <cell r="O198"/>
          <cell r="P198" t="str">
            <v>HOUSE NO 145, D BLOCK, P.I.A. HOUSING SOCIETY, LAHORE</v>
          </cell>
          <cell r="Q198" t="str">
            <v>11000003</v>
          </cell>
          <cell r="R198" t="str">
            <v>SUZUKI ALTO VXL AGS E-2</v>
          </cell>
          <cell r="S198" t="str">
            <v>2023</v>
          </cell>
          <cell r="T198" t="str">
            <v>ADM-327</v>
          </cell>
          <cell r="U198" t="str">
            <v>6R166550</v>
          </cell>
          <cell r="V198" t="str">
            <v>NF1AET306H1066538</v>
          </cell>
          <cell r="W198"/>
          <cell r="X198" t="str">
            <v>3</v>
          </cell>
          <cell r="Y198">
            <v>2430000</v>
          </cell>
          <cell r="Z198">
            <v>31423</v>
          </cell>
          <cell r="AA198">
            <v>36450</v>
          </cell>
        </row>
        <row r="199">
          <cell r="B199" t="str">
            <v>KHI/HO/D/MO/PC COMP/C/94300/1/07/2024</v>
          </cell>
          <cell r="C199"/>
          <cell r="D199" t="str">
            <v>REN</v>
          </cell>
          <cell r="E199" t="str">
            <v>31/07/24</v>
          </cell>
          <cell r="F199" t="str">
            <v>07/07/2024</v>
          </cell>
          <cell r="G199" t="str">
            <v>06/07/2025</v>
          </cell>
          <cell r="H199" t="str">
            <v>08000495</v>
          </cell>
          <cell r="I199" t="str">
            <v>MEEZAN BANK LTD. - ISLAMABAD BRANCH - ISD</v>
          </cell>
          <cell r="J199" t="str">
            <v>BANK</v>
          </cell>
          <cell r="K199" t="str">
            <v>M/s. Meezan Bank Limited Jinnah Avenue Blue Area Islamabad 
M/s. Meezan Bank Limited Jinnah Avenue Blue Area Islamabad
User Mr. Touqeer Zaman</v>
          </cell>
          <cell r="L199" t="str">
            <v>D</v>
          </cell>
          <cell r="M199" t="str">
            <v>09000221</v>
          </cell>
          <cell r="N199">
            <v>100</v>
          </cell>
          <cell r="O199"/>
          <cell r="P199" t="str">
            <v>H NO B-IV/20 , MOH TAKIA , JAMIA MASJID HASSAN ABDAL (</v>
          </cell>
          <cell r="Q199" t="str">
            <v>11000003</v>
          </cell>
          <cell r="R199" t="str">
            <v>SUZUKI ALTO VXR E-2</v>
          </cell>
          <cell r="S199" t="str">
            <v>2020</v>
          </cell>
          <cell r="T199" t="str">
            <v>D-7983</v>
          </cell>
          <cell r="U199" t="str">
            <v>6R131412</v>
          </cell>
          <cell r="V199" t="str">
            <v>NF1AET306H1031400</v>
          </cell>
          <cell r="W199"/>
          <cell r="X199" t="str">
            <v>3</v>
          </cell>
          <cell r="Y199">
            <v>1800000</v>
          </cell>
          <cell r="Z199">
            <v>22845</v>
          </cell>
          <cell r="AA199">
            <v>27000</v>
          </cell>
        </row>
        <row r="200">
          <cell r="B200" t="str">
            <v>KHI/HO/D/MO/PC COMP/C/94301/1/07/2024</v>
          </cell>
          <cell r="C200"/>
          <cell r="D200" t="str">
            <v>REN</v>
          </cell>
          <cell r="E200" t="str">
            <v>31/07/24</v>
          </cell>
          <cell r="F200" t="str">
            <v>05/07/2024</v>
          </cell>
          <cell r="G200" t="str">
            <v>04/07/2025</v>
          </cell>
          <cell r="H200" t="str">
            <v>08000208</v>
          </cell>
          <cell r="I200" t="str">
            <v>MEEZAN BANK LTD. GULBERG BRANCH LAHORE</v>
          </cell>
          <cell r="J200" t="str">
            <v>BANK</v>
          </cell>
          <cell r="K200" t="str">
            <v>M/s. Meezan Bank Limited Gulberg Branch Lahore
M/s. Meezan Bank Limited Gulberg Branch Lahore 
User Mr. Khakan Babar Burki</v>
          </cell>
          <cell r="L200" t="str">
            <v>D</v>
          </cell>
          <cell r="M200" t="str">
            <v>09000221</v>
          </cell>
          <cell r="N200">
            <v>100</v>
          </cell>
          <cell r="O200" t="str">
            <v>LAHORE</v>
          </cell>
          <cell r="P200" t="str">
            <v>H NO 143 C MEHBOOB GARDEN OPP NISHTER COLONY FEROZPUR ROAD NISHTAR TOWN LAHORE</v>
          </cell>
          <cell r="Q200" t="str">
            <v>11000003</v>
          </cell>
          <cell r="R200" t="str">
            <v>CHANGAN KARVAAN PLUS</v>
          </cell>
          <cell r="S200" t="str">
            <v>2022</v>
          </cell>
          <cell r="T200" t="str">
            <v>AKW-907</v>
          </cell>
          <cell r="U200" t="str">
            <v>JL466Q9N69U501236</v>
          </cell>
          <cell r="V200" t="str">
            <v>NKMAAB3D1N1014850</v>
          </cell>
          <cell r="W200"/>
          <cell r="X200"/>
          <cell r="Y200">
            <v>1797390</v>
          </cell>
          <cell r="Z200">
            <v>22811</v>
          </cell>
          <cell r="AA200">
            <v>26961</v>
          </cell>
        </row>
        <row r="201">
          <cell r="B201" t="str">
            <v>KHI/HO/D/MO/PC COMP/C/94301/2/07/2024</v>
          </cell>
          <cell r="C201"/>
          <cell r="D201" t="str">
            <v>REN</v>
          </cell>
          <cell r="E201" t="str">
            <v>31/07/24</v>
          </cell>
          <cell r="F201" t="str">
            <v>05/07/2024</v>
          </cell>
          <cell r="G201" t="str">
            <v>04/07/2025</v>
          </cell>
          <cell r="H201" t="str">
            <v>08000208</v>
          </cell>
          <cell r="I201" t="str">
            <v>MEEZAN BANK LTD. GULBERG BRANCH LAHORE</v>
          </cell>
          <cell r="J201" t="str">
            <v>BANK</v>
          </cell>
          <cell r="K201" t="str">
            <v>M/s. Meezan Bank Limited Gulberg Branch Lahore
M/s. Meezan Bank Limited Gulberg Branch Lahore 
User Mr. Muzmmal Sharif</v>
          </cell>
          <cell r="L201" t="str">
            <v>D</v>
          </cell>
          <cell r="M201" t="str">
            <v>09000221</v>
          </cell>
          <cell r="N201">
            <v>100</v>
          </cell>
          <cell r="O201" t="str">
            <v>LAHORE</v>
          </cell>
          <cell r="P201" t="str">
            <v>126-B, MADINA PARK, BLOCK B, SABZAZAR SCHEME, MULTAN ROAD LAHORE</v>
          </cell>
          <cell r="Q201" t="str">
            <v>11000003</v>
          </cell>
          <cell r="R201" t="str">
            <v>SUZUKI BOLAN VX  EURO II</v>
          </cell>
          <cell r="S201" t="str">
            <v>2022</v>
          </cell>
          <cell r="T201" t="str">
            <v>ALB-601</v>
          </cell>
          <cell r="U201" t="str">
            <v>PKT1023994</v>
          </cell>
          <cell r="V201" t="str">
            <v>SV308PK01140484</v>
          </cell>
          <cell r="W201"/>
          <cell r="X201" t="str">
            <v>3</v>
          </cell>
          <cell r="Y201">
            <v>1075680</v>
          </cell>
          <cell r="Z201">
            <v>13910</v>
          </cell>
          <cell r="AA201">
            <v>16135</v>
          </cell>
        </row>
        <row r="202">
          <cell r="B202" t="str">
            <v>KHI/HO/D/MO/PC COMP/C/94301/3/07/2024</v>
          </cell>
          <cell r="C202"/>
          <cell r="D202" t="str">
            <v>REN</v>
          </cell>
          <cell r="E202" t="str">
            <v>31/07/24</v>
          </cell>
          <cell r="F202" t="str">
            <v>06/07/2024</v>
          </cell>
          <cell r="G202" t="str">
            <v>05/07/2025</v>
          </cell>
          <cell r="H202" t="str">
            <v>08000208</v>
          </cell>
          <cell r="I202" t="str">
            <v>MEEZAN BANK LTD. GULBERG BRANCH LAHORE</v>
          </cell>
          <cell r="J202" t="str">
            <v>BANK</v>
          </cell>
          <cell r="K202" t="str">
            <v>M/s. Meezan Bank Limited Gulberg Branch Lahore
M/s. Meezan Bank Limited Gulberg Branch Lahore User Mr. MUHAMMAD ASIF KHAN</v>
          </cell>
          <cell r="L202" t="str">
            <v>D</v>
          </cell>
          <cell r="M202" t="str">
            <v>09000221</v>
          </cell>
          <cell r="N202">
            <v>100</v>
          </cell>
          <cell r="O202" t="str">
            <v>LAHORE</v>
          </cell>
          <cell r="P202" t="str">
            <v>HOUSE NO: 34-B, STREET NO. 09, MUHALLA MUJAHID ABAD,</v>
          </cell>
          <cell r="Q202" t="str">
            <v>11000003</v>
          </cell>
          <cell r="R202" t="str">
            <v>SUZUKI WAGON-R VXL E2</v>
          </cell>
          <cell r="S202" t="str">
            <v>2022</v>
          </cell>
          <cell r="T202" t="str">
            <v>ALC-749</v>
          </cell>
          <cell r="U202" t="str">
            <v>PK10B237996</v>
          </cell>
          <cell r="V202" t="str">
            <v>A1J310PK10137987</v>
          </cell>
          <cell r="W202"/>
          <cell r="X202"/>
          <cell r="Y202">
            <v>1781190</v>
          </cell>
          <cell r="Z202">
            <v>23033</v>
          </cell>
          <cell r="AA202">
            <v>26718</v>
          </cell>
        </row>
        <row r="203">
          <cell r="B203" t="str">
            <v>KHI/HO/D/MO/PC COMP/C/94301/4/07/2024</v>
          </cell>
          <cell r="C203"/>
          <cell r="D203" t="str">
            <v>REN</v>
          </cell>
          <cell r="E203" t="str">
            <v>31/07/24</v>
          </cell>
          <cell r="F203" t="str">
            <v>06/07/2024</v>
          </cell>
          <cell r="G203" t="str">
            <v>05/07/2025</v>
          </cell>
          <cell r="H203" t="str">
            <v>08000208</v>
          </cell>
          <cell r="I203" t="str">
            <v>MEEZAN BANK LTD. GULBERG BRANCH LAHORE</v>
          </cell>
          <cell r="J203" t="str">
            <v>BANK</v>
          </cell>
          <cell r="K203" t="str">
            <v>M/s. Meezan Bank Limited Gulberg Branch Lahore
M/s. Meezan Bank Limited Gulberg Branch Lahore
User Mr. AAMIR MEHMOOD</v>
          </cell>
          <cell r="L203" t="str">
            <v>D</v>
          </cell>
          <cell r="M203" t="str">
            <v>09000221</v>
          </cell>
          <cell r="N203">
            <v>100</v>
          </cell>
          <cell r="O203" t="str">
            <v>LAHORE</v>
          </cell>
          <cell r="P203" t="str">
            <v>H.NO.269, ST.NO.28, , M2-BLOCK, LAKE CITY  LAHORE</v>
          </cell>
          <cell r="Q203" t="str">
            <v>11000003</v>
          </cell>
          <cell r="R203" t="str">
            <v>HONDA CITY CVT VARIO</v>
          </cell>
          <cell r="S203" t="str">
            <v>2022</v>
          </cell>
          <cell r="T203" t="str">
            <v>ALA-985</v>
          </cell>
          <cell r="U203" t="str">
            <v>L15Z81008824</v>
          </cell>
          <cell r="V203" t="str">
            <v>NFBGN9666NR020041</v>
          </cell>
          <cell r="W203"/>
          <cell r="X203"/>
          <cell r="Y203">
            <v>3046815</v>
          </cell>
          <cell r="Z203">
            <v>39398</v>
          </cell>
          <cell r="AA203">
            <v>45702</v>
          </cell>
        </row>
        <row r="204">
          <cell r="B204" t="str">
            <v>KHI/HO/D/MO/PC COMP/C/94301/5/07/2024</v>
          </cell>
          <cell r="C204"/>
          <cell r="D204" t="str">
            <v>REN</v>
          </cell>
          <cell r="E204" t="str">
            <v>31/07/24</v>
          </cell>
          <cell r="F204" t="str">
            <v>06/07/2024</v>
          </cell>
          <cell r="G204" t="str">
            <v>05/07/2025</v>
          </cell>
          <cell r="H204" t="str">
            <v>08000208</v>
          </cell>
          <cell r="I204" t="str">
            <v>MEEZAN BANK LTD. GULBERG BRANCH LAHORE</v>
          </cell>
          <cell r="J204" t="str">
            <v>BANK</v>
          </cell>
          <cell r="K204" t="str">
            <v>M/s. Meezan Bank Limited Gulberg Branch Lahore
M/s. Meezan Bank Limited Gulberg Branch Lahore
User Mr. Ahmed Arif</v>
          </cell>
          <cell r="L204" t="str">
            <v>D</v>
          </cell>
          <cell r="M204" t="str">
            <v>09000221</v>
          </cell>
          <cell r="N204">
            <v>100</v>
          </cell>
          <cell r="O204" t="str">
            <v>LAHORE</v>
          </cell>
          <cell r="P204" t="str">
            <v>FLAT 5 A MARCO POLO TOWER SECTOR A, BEDIAN ROAD LAHORE, ASKARI 11, LAHORE</v>
          </cell>
          <cell r="Q204" t="str">
            <v>11000003</v>
          </cell>
          <cell r="R204" t="str">
            <v>HONDA CITY 1.2  LS CVT</v>
          </cell>
          <cell r="S204" t="str">
            <v>2022</v>
          </cell>
          <cell r="T204" t="str">
            <v>ALA-397</v>
          </cell>
          <cell r="U204" t="str">
            <v>L12B51011887</v>
          </cell>
          <cell r="V204" t="str">
            <v>NFBGN8625NR021365</v>
          </cell>
          <cell r="W204"/>
          <cell r="X204" t="str">
            <v>3</v>
          </cell>
          <cell r="Y204">
            <v>2637360</v>
          </cell>
          <cell r="Z204">
            <v>34103</v>
          </cell>
          <cell r="AA204">
            <v>39560</v>
          </cell>
        </row>
        <row r="205">
          <cell r="B205" t="str">
            <v>KHI/HO/D/MO/PC COMP/C/94301/6/07/2024</v>
          </cell>
          <cell r="C205"/>
          <cell r="D205" t="str">
            <v>REN</v>
          </cell>
          <cell r="E205" t="str">
            <v>31/07/24</v>
          </cell>
          <cell r="F205" t="str">
            <v>06/07/2024</v>
          </cell>
          <cell r="G205" t="str">
            <v>05/07/2025</v>
          </cell>
          <cell r="H205" t="str">
            <v>08000208</v>
          </cell>
          <cell r="I205" t="str">
            <v>MEEZAN BANK LTD. GULBERG BRANCH LAHORE</v>
          </cell>
          <cell r="J205" t="str">
            <v>BANK</v>
          </cell>
          <cell r="K205" t="str">
            <v>M/s. Meezan Bank Limited Gulberg Branch Lahore
M/s. Meezan Bank Limited Gulberg Branch Lahore
User Ms. Hira Asim</v>
          </cell>
          <cell r="L205" t="str">
            <v>D</v>
          </cell>
          <cell r="M205" t="str">
            <v>09000221</v>
          </cell>
          <cell r="N205">
            <v>100</v>
          </cell>
          <cell r="O205" t="str">
            <v>LAHORE</v>
          </cell>
          <cell r="P205" t="str">
            <v>H NO: 81 , ARCHITECT SOCIETY, BLOCK - J, JOHAR TOWN, LAHORE</v>
          </cell>
          <cell r="Q205" t="str">
            <v>11000003</v>
          </cell>
          <cell r="R205" t="str">
            <v>SUZUKI ALTO VXL AGS E-2</v>
          </cell>
          <cell r="S205" t="str">
            <v>2022</v>
          </cell>
          <cell r="T205" t="str">
            <v>ALA-589</v>
          </cell>
          <cell r="U205" t="str">
            <v>6R239140</v>
          </cell>
          <cell r="V205" t="str">
            <v>NF1AET306H1139151</v>
          </cell>
          <cell r="W205"/>
          <cell r="X205" t="str">
            <v>3</v>
          </cell>
          <cell r="Y205">
            <v>1415070</v>
          </cell>
          <cell r="Z205">
            <v>18298</v>
          </cell>
          <cell r="AA205">
            <v>21226</v>
          </cell>
        </row>
        <row r="206">
          <cell r="B206" t="str">
            <v>KHI/HO/D/MO/PC COMP/C/94301/7/07/2024</v>
          </cell>
          <cell r="C206"/>
          <cell r="D206" t="str">
            <v>REN</v>
          </cell>
          <cell r="E206" t="str">
            <v>31/07/24</v>
          </cell>
          <cell r="F206" t="str">
            <v>20/07/2024</v>
          </cell>
          <cell r="G206" t="str">
            <v>19/07/2025</v>
          </cell>
          <cell r="H206" t="str">
            <v>08000208</v>
          </cell>
          <cell r="I206" t="str">
            <v>MEEZAN BANK LTD. GULBERG BRANCH LAHORE</v>
          </cell>
          <cell r="J206" t="str">
            <v>BANK</v>
          </cell>
          <cell r="K206" t="str">
            <v>M/s. Meezan Bank Limited Gulberg Branch Lahore
M/s. Meezan Bank Limited Gulberg Branch Lahore
User Ms. SADIA JAVAID</v>
          </cell>
          <cell r="L206" t="str">
            <v>D</v>
          </cell>
          <cell r="M206" t="str">
            <v>09000221</v>
          </cell>
          <cell r="N206">
            <v>100</v>
          </cell>
          <cell r="O206" t="str">
            <v>LAHORE</v>
          </cell>
          <cell r="P206" t="str">
            <v>HOUSE NO 322-K, DHA, PHASE-I, CANTT, LAHORE</v>
          </cell>
          <cell r="Q206" t="str">
            <v>11000003</v>
          </cell>
          <cell r="R206" t="str">
            <v>HONDA CITY ASPIRE P/T</v>
          </cell>
          <cell r="S206" t="str">
            <v>2022</v>
          </cell>
          <cell r="T206" t="str">
            <v>ALF-887</v>
          </cell>
          <cell r="U206" t="str">
            <v>L15Z81009561</v>
          </cell>
          <cell r="V206" t="str">
            <v>NFBGN9669NR021507</v>
          </cell>
          <cell r="W206"/>
          <cell r="X206"/>
          <cell r="Y206">
            <v>3055320</v>
          </cell>
          <cell r="Z206">
            <v>39509</v>
          </cell>
          <cell r="AA206">
            <v>45830</v>
          </cell>
        </row>
        <row r="207">
          <cell r="B207" t="str">
            <v>KHI/HO/D/MO/PC COMP/C/94302/1/07/2024</v>
          </cell>
          <cell r="C207"/>
          <cell r="D207" t="str">
            <v>REN</v>
          </cell>
          <cell r="E207" t="str">
            <v>31/07/24</v>
          </cell>
          <cell r="F207" t="str">
            <v>06/07/2024</v>
          </cell>
          <cell r="G207" t="str">
            <v>05/07/2025</v>
          </cell>
          <cell r="H207" t="str">
            <v>08000208</v>
          </cell>
          <cell r="I207" t="str">
            <v>MEEZAN BANK LTD. GULBERG BRANCH LAHORE</v>
          </cell>
          <cell r="J207" t="str">
            <v>BANK</v>
          </cell>
          <cell r="K207" t="str">
            <v>M/s. Meezan Bank Limited West Hub Lahore Branch
M/s. Meezan Bank Limited West Hub Lahore Branch 
User. Mr. Hafeez Ahmad</v>
          </cell>
          <cell r="L207" t="str">
            <v>D</v>
          </cell>
          <cell r="M207" t="str">
            <v>09000221</v>
          </cell>
          <cell r="N207">
            <v>100</v>
          </cell>
          <cell r="O207" t="str">
            <v>SHEIKHUPURA</v>
          </cell>
          <cell r="P207" t="str">
            <v>Bangla Naher Moh Siddiqabad Farooqabad Teh Sheikhupura</v>
          </cell>
          <cell r="Q207" t="str">
            <v>11000003</v>
          </cell>
          <cell r="R207" t="str">
            <v>HONDA BRV I-VTEC S STD</v>
          </cell>
          <cell r="S207" t="str">
            <v>2021</v>
          </cell>
          <cell r="T207" t="str">
            <v>ADP-284</v>
          </cell>
          <cell r="U207" t="str">
            <v>L15Z14805451</v>
          </cell>
          <cell r="V207" t="str">
            <v>NFBDG1834MR022161</v>
          </cell>
          <cell r="W207"/>
          <cell r="X207" t="str">
            <v>3</v>
          </cell>
          <cell r="Y207">
            <v>2540565</v>
          </cell>
          <cell r="Z207">
            <v>32421</v>
          </cell>
          <cell r="AA207">
            <v>38108</v>
          </cell>
        </row>
        <row r="208">
          <cell r="B208" t="str">
            <v>KHI/HO/D/MO/PC COMP/C/94302/2/07/2024</v>
          </cell>
          <cell r="C208"/>
          <cell r="D208" t="str">
            <v>REN</v>
          </cell>
          <cell r="E208" t="str">
            <v>31/07/24</v>
          </cell>
          <cell r="F208" t="str">
            <v>16/07/2024</v>
          </cell>
          <cell r="G208" t="str">
            <v>15/07/2025</v>
          </cell>
          <cell r="H208" t="str">
            <v>08000208</v>
          </cell>
          <cell r="I208" t="str">
            <v>MEEZAN BANK LTD. GULBERG BRANCH LAHORE</v>
          </cell>
          <cell r="J208" t="str">
            <v>BANK</v>
          </cell>
          <cell r="K208" t="str">
            <v>M/s. Meezan Bank Limited West Hub Lahore Branch
M/s. Meezan Bank Limited West Hub Lahore Branch 
User. Mr. Bilal Khan</v>
          </cell>
          <cell r="L208" t="str">
            <v>D</v>
          </cell>
          <cell r="M208" t="str">
            <v>09000221</v>
          </cell>
          <cell r="N208">
            <v>100</v>
          </cell>
          <cell r="O208" t="str">
            <v>LAHORE</v>
          </cell>
          <cell r="P208" t="str">
            <v>Doltana Housing Scheme Gate 2 Habibullah Road Garhi Shahu Lahore</v>
          </cell>
          <cell r="Q208" t="str">
            <v>11000003</v>
          </cell>
          <cell r="R208" t="str">
            <v>HONDA CIVIC VTI  ORIEL PT</v>
          </cell>
          <cell r="S208" t="str">
            <v>2021</v>
          </cell>
          <cell r="T208" t="str">
            <v>ADT-164</v>
          </cell>
          <cell r="U208" t="str">
            <v>R18Z16923320</v>
          </cell>
          <cell r="V208" t="str">
            <v>NFBFC6668MR075640</v>
          </cell>
          <cell r="W208"/>
          <cell r="X208" t="str">
            <v>3</v>
          </cell>
          <cell r="Y208">
            <v>2924748</v>
          </cell>
          <cell r="Z208">
            <v>37820</v>
          </cell>
          <cell r="AA208">
            <v>43871</v>
          </cell>
        </row>
        <row r="209">
          <cell r="B209" t="str">
            <v>KHI/HO/D/MO/PC COMP/C/94303/1/07/2024</v>
          </cell>
          <cell r="C209"/>
          <cell r="D209" t="str">
            <v>REN</v>
          </cell>
          <cell r="E209" t="str">
            <v>31/07/24</v>
          </cell>
          <cell r="F209" t="str">
            <v>07/07/2024</v>
          </cell>
          <cell r="G209" t="str">
            <v>06/07/2025</v>
          </cell>
          <cell r="H209" t="str">
            <v>08000495</v>
          </cell>
          <cell r="I209" t="str">
            <v>MEEZAN BANK LTD. - ISLAMABAD BRANCH - ISD</v>
          </cell>
          <cell r="J209" t="str">
            <v>BANK</v>
          </cell>
          <cell r="K209" t="str">
            <v>M/s. Meezan Bank Limited Blue Area Jinnah Avenue Islamabad
M/s. Meezan Bank Limited Blue Area Jinnah Avenue Islamabad 
User Mr. Ch Zeeshan Mukhtar</v>
          </cell>
          <cell r="L209" t="str">
            <v>D</v>
          </cell>
          <cell r="M209" t="str">
            <v>09000221</v>
          </cell>
          <cell r="N209">
            <v>100</v>
          </cell>
          <cell r="O209" t="str">
            <v>ISLAMABAD</v>
          </cell>
          <cell r="P209" t="str">
            <v>Zeeshan House New Sari Saral Bilal Mosque Street No Golra Sharif Islamabad</v>
          </cell>
          <cell r="Q209" t="str">
            <v>11000003</v>
          </cell>
          <cell r="R209" t="str">
            <v>SUZUKI ALTO VXR</v>
          </cell>
          <cell r="S209" t="str">
            <v>2022</v>
          </cell>
          <cell r="T209" t="str">
            <v>AZS-912</v>
          </cell>
          <cell r="U209" t="str">
            <v>6R240235</v>
          </cell>
          <cell r="V209" t="str">
            <v>NF1AET306H1140308</v>
          </cell>
          <cell r="W209"/>
          <cell r="X209"/>
          <cell r="Y209">
            <v>1252260</v>
          </cell>
          <cell r="Z209">
            <v>16193</v>
          </cell>
          <cell r="AA209">
            <v>18784</v>
          </cell>
        </row>
        <row r="210">
          <cell r="B210" t="str">
            <v>KHI/HO/D/MO/PC COMP/C/94303/2/07/2024</v>
          </cell>
          <cell r="C210"/>
          <cell r="D210" t="str">
            <v>REN</v>
          </cell>
          <cell r="E210" t="str">
            <v>31/07/24</v>
          </cell>
          <cell r="F210" t="str">
            <v>15/07/2024</v>
          </cell>
          <cell r="G210" t="str">
            <v>14/07/2025</v>
          </cell>
          <cell r="H210" t="str">
            <v>08000495</v>
          </cell>
          <cell r="I210" t="str">
            <v>MEEZAN BANK LTD. - ISLAMABAD BRANCH - ISD</v>
          </cell>
          <cell r="J210" t="str">
            <v>BANK</v>
          </cell>
          <cell r="K210" t="str">
            <v>M/s. Meezan Bank Limited Blue Area Jinnah Avenue Islamabad
M/s. Meezan Bank Limited Blue Area Jinnah Avenue Islamabad
User Mr. Muhammad Javed Khan Afridi</v>
          </cell>
          <cell r="L210" t="str">
            <v>D</v>
          </cell>
          <cell r="M210" t="str">
            <v>09000221</v>
          </cell>
          <cell r="N210">
            <v>100</v>
          </cell>
          <cell r="O210" t="str">
            <v>ISLAMABAD</v>
          </cell>
          <cell r="P210" t="str">
            <v>Al Huda Town 17 Miles Po Ali Pur Farash Islamabad</v>
          </cell>
          <cell r="Q210" t="str">
            <v>11000003</v>
          </cell>
          <cell r="R210" t="str">
            <v>SUZUKI ALTO VXR</v>
          </cell>
          <cell r="S210" t="str">
            <v>2022</v>
          </cell>
          <cell r="T210" t="str">
            <v>AZT-251</v>
          </cell>
          <cell r="U210" t="str">
            <v>6R240503</v>
          </cell>
          <cell r="V210" t="str">
            <v>NF1AET306H1140525</v>
          </cell>
          <cell r="W210"/>
          <cell r="X210"/>
          <cell r="Y210">
            <v>1252260</v>
          </cell>
          <cell r="Z210">
            <v>16193</v>
          </cell>
          <cell r="AA210">
            <v>18784</v>
          </cell>
        </row>
        <row r="211">
          <cell r="B211" t="str">
            <v>KHI/HO/D/MO/PC COMP/C/94304/1/07/2024</v>
          </cell>
          <cell r="C211"/>
          <cell r="D211" t="str">
            <v>REN</v>
          </cell>
          <cell r="E211" t="str">
            <v>31/07/24</v>
          </cell>
          <cell r="F211" t="str">
            <v>02/07/2024</v>
          </cell>
          <cell r="G211" t="str">
            <v>01/07/2025</v>
          </cell>
          <cell r="H211" t="str">
            <v>08000495</v>
          </cell>
          <cell r="I211" t="str">
            <v>MEEZAN BANK LTD. - ISLAMABAD BRANCH - ISD</v>
          </cell>
          <cell r="J211" t="str">
            <v>BANK</v>
          </cell>
          <cell r="K211" t="str">
            <v>M/s. Meezan Bank Limited Jinnah Avenue Blue Area Islamabad
M/s. Meezan Bank Limited Jinnah Avenue Blue Area Islamabad 
User . Mr. Muhammad Azim</v>
          </cell>
          <cell r="L211" t="str">
            <v>D</v>
          </cell>
          <cell r="M211" t="str">
            <v>09000221</v>
          </cell>
          <cell r="N211">
            <v>100</v>
          </cell>
          <cell r="O211" t="str">
            <v>RAWALPINDI</v>
          </cell>
          <cell r="P211" t="str">
            <v>House No. 33-B Satellite Town Rawalpindi</v>
          </cell>
          <cell r="Q211" t="str">
            <v>11000003</v>
          </cell>
          <cell r="R211" t="str">
            <v>HONDA BRV I-VTEC S STD</v>
          </cell>
          <cell r="S211" t="str">
            <v>2021</v>
          </cell>
          <cell r="T211" t="str">
            <v>AUW-747</v>
          </cell>
          <cell r="U211" t="str">
            <v>L15Z14805437</v>
          </cell>
          <cell r="V211" t="str">
            <v>NFBDG1834MR022144</v>
          </cell>
          <cell r="W211"/>
          <cell r="X211" t="str">
            <v>3</v>
          </cell>
          <cell r="Y211">
            <v>2548584</v>
          </cell>
          <cell r="Z211">
            <v>32525</v>
          </cell>
          <cell r="AA211">
            <v>38229</v>
          </cell>
        </row>
        <row r="212">
          <cell r="B212" t="str">
            <v>KHI/HO/D/MO/PC COMP/C/94304/2/07/2024</v>
          </cell>
          <cell r="C212"/>
          <cell r="D212" t="str">
            <v>REN</v>
          </cell>
          <cell r="E212" t="str">
            <v>31/07/24</v>
          </cell>
          <cell r="F212" t="str">
            <v>02/07/2024</v>
          </cell>
          <cell r="G212" t="str">
            <v>01/07/2025</v>
          </cell>
          <cell r="H212" t="str">
            <v>08000495</v>
          </cell>
          <cell r="I212" t="str">
            <v>MEEZAN BANK LTD. - ISLAMABAD BRANCH - ISD</v>
          </cell>
          <cell r="J212" t="str">
            <v>BANK</v>
          </cell>
          <cell r="K212" t="str">
            <v>M/s. Meezan Bank Limited Jinnah Avenue Blue Area Islamabad
M/s. Meezan Bank Limited Jinnah Avenue Blue Area Islamabad 
User . Mr. Muhammad Rizwan</v>
          </cell>
          <cell r="L212" t="str">
            <v>D</v>
          </cell>
          <cell r="M212" t="str">
            <v>09000221</v>
          </cell>
          <cell r="N212">
            <v>100</v>
          </cell>
          <cell r="O212" t="str">
            <v>ISLAMABAD</v>
          </cell>
          <cell r="P212" t="str">
            <v>House No. 818 Street 74 Sector G-9/1 Islamabad</v>
          </cell>
          <cell r="Q212" t="str">
            <v>11000003</v>
          </cell>
          <cell r="R212" t="str">
            <v>KIA SPORTAGE AWD-CW</v>
          </cell>
          <cell r="S212" t="str">
            <v>2021</v>
          </cell>
          <cell r="T212" t="str">
            <v>AUF-818</v>
          </cell>
          <cell r="U212" t="str">
            <v>G4NAMH310460</v>
          </cell>
          <cell r="V212" t="str">
            <v>NNAQL51AZKP512789</v>
          </cell>
          <cell r="W212"/>
          <cell r="X212" t="str">
            <v>3</v>
          </cell>
          <cell r="Y212">
            <v>3868074</v>
          </cell>
          <cell r="Z212">
            <v>50018</v>
          </cell>
          <cell r="AA212">
            <v>58021</v>
          </cell>
        </row>
        <row r="213">
          <cell r="B213" t="str">
            <v>KHI/HO/D/MO/PC COMP/C/94304/3/07/2024</v>
          </cell>
          <cell r="C213"/>
          <cell r="D213" t="str">
            <v>REN</v>
          </cell>
          <cell r="E213" t="str">
            <v>31/07/24</v>
          </cell>
          <cell r="F213" t="str">
            <v>02/07/2024</v>
          </cell>
          <cell r="G213" t="str">
            <v>01/07/2025</v>
          </cell>
          <cell r="H213" t="str">
            <v>08000495</v>
          </cell>
          <cell r="I213" t="str">
            <v>MEEZAN BANK LTD. - ISLAMABAD BRANCH - ISD</v>
          </cell>
          <cell r="J213" t="str">
            <v>BANK</v>
          </cell>
          <cell r="K213" t="str">
            <v>M/s. Meezan Bank Limited Jinnah Avenue Blue Area Islamabad
M/s. Meezan Bank Limited Jinnah Avenue Blue Area Islamabad 
User . Mr. Azhar Javed</v>
          </cell>
          <cell r="L213" t="str">
            <v>D</v>
          </cell>
          <cell r="M213" t="str">
            <v>09000221</v>
          </cell>
          <cell r="N213">
            <v>100</v>
          </cell>
          <cell r="O213" t="str">
            <v>ISLAMABAD</v>
          </cell>
          <cell r="P213" t="str">
            <v>House No. 98-L Street 30-B Sector I-10/4 Islamabad</v>
          </cell>
          <cell r="Q213" t="str">
            <v>11000003</v>
          </cell>
          <cell r="R213" t="str">
            <v>KIA PICANTO 1.0L A/T</v>
          </cell>
          <cell r="S213" t="str">
            <v>2021</v>
          </cell>
          <cell r="T213" t="str">
            <v>AUE-480</v>
          </cell>
          <cell r="U213" t="str">
            <v>G3LAMP049668</v>
          </cell>
          <cell r="V213" t="str">
            <v>NNATA52AZKP70668</v>
          </cell>
          <cell r="W213"/>
          <cell r="X213" t="str">
            <v>3</v>
          </cell>
          <cell r="Y213">
            <v>1423008</v>
          </cell>
          <cell r="Z213">
            <v>18401</v>
          </cell>
          <cell r="AA213">
            <v>21345</v>
          </cell>
        </row>
        <row r="214">
          <cell r="B214" t="str">
            <v>KHI/HO/D/MO/PC COMP/C/94306/1/07/2024</v>
          </cell>
          <cell r="C214"/>
          <cell r="D214" t="str">
            <v>REN</v>
          </cell>
          <cell r="E214" t="str">
            <v>31/07/24</v>
          </cell>
          <cell r="F214" t="str">
            <v>10/03/2025</v>
          </cell>
          <cell r="G214" t="str">
            <v>09/03/2026</v>
          </cell>
          <cell r="H214" t="str">
            <v>08000208</v>
          </cell>
          <cell r="I214" t="str">
            <v>MEEZAN BANK LTD. GULBERG BRANCH LAHORE</v>
          </cell>
          <cell r="J214" t="str">
            <v>BANK</v>
          </cell>
          <cell r="K214" t="str">
            <v>M/s. Meezan Bank Limited Gulberg Branch
Lahore
M/s. Meezan Bank Limited Gulberg Branch 
Lahore
User. Ms. Shabnam Amin</v>
          </cell>
          <cell r="L214" t="str">
            <v>D</v>
          </cell>
          <cell r="M214" t="str">
            <v>09000221</v>
          </cell>
          <cell r="N214">
            <v>100</v>
          </cell>
          <cell r="O214" t="str">
            <v>LAHORE</v>
          </cell>
          <cell r="P214" t="str">
            <v>House No.763 Block G IV Johar Town Lahore</v>
          </cell>
          <cell r="Q214" t="str">
            <v>11000003</v>
          </cell>
          <cell r="R214" t="str">
            <v>SUZUKI CULTUS VXL EURO II</v>
          </cell>
          <cell r="S214" t="str">
            <v>2020</v>
          </cell>
          <cell r="T214" t="str">
            <v>LEB-20-1561</v>
          </cell>
          <cell r="U214" t="str">
            <v>PK10K156545</v>
          </cell>
          <cell r="V214" t="str">
            <v>NF1AVK31H10056529</v>
          </cell>
          <cell r="W214"/>
          <cell r="X214" t="str">
            <v>3</v>
          </cell>
          <cell r="Y214">
            <v>1295798</v>
          </cell>
          <cell r="Z214">
            <v>22342</v>
          </cell>
          <cell r="AA214">
            <v>25916</v>
          </cell>
        </row>
        <row r="215">
          <cell r="B215" t="str">
            <v>KHI/HO/D/MO/PC COMP/C/94307/1/07/2024</v>
          </cell>
          <cell r="C215"/>
          <cell r="D215" t="str">
            <v>REN</v>
          </cell>
          <cell r="E215" t="str">
            <v>31/07/24</v>
          </cell>
          <cell r="F215" t="str">
            <v>01/06/2025</v>
          </cell>
          <cell r="G215" t="str">
            <v>31/05/2026</v>
          </cell>
          <cell r="H215" t="str">
            <v>08000212</v>
          </cell>
          <cell r="I215" t="str">
            <v>MEEZAN BANK LTD - RAHIM YAR KHAN BRANCH</v>
          </cell>
          <cell r="J215" t="str">
            <v>BANK</v>
          </cell>
          <cell r="K215" t="str">
            <v>M/S. MEEZAN BANK LIMITED RAHIM YAR KHAN BRANCH
M/s.  Meezan Bank Limited Rahim Yar Khan Branch 
User Mr. Rasheed Mehmood</v>
          </cell>
          <cell r="L215" t="str">
            <v>D</v>
          </cell>
          <cell r="M215" t="str">
            <v>09000221</v>
          </cell>
          <cell r="N215">
            <v>100</v>
          </cell>
          <cell r="O215" t="str">
            <v>RAHIM YAR KHAN</v>
          </cell>
          <cell r="P215" t="str">
            <v>House No. 66 Mohallah Kothi Anhar Colony Rahim Yar khan</v>
          </cell>
          <cell r="Q215" t="str">
            <v>11000003</v>
          </cell>
          <cell r="R215" t="str">
            <v>SUZUKI ALTO VX EURO II</v>
          </cell>
          <cell r="S215" t="str">
            <v>2021</v>
          </cell>
          <cell r="T215" t="str">
            <v>BRU-415</v>
          </cell>
          <cell r="U215" t="str">
            <v>6R103820</v>
          </cell>
          <cell r="V215" t="str">
            <v>NF1AET306H1003920</v>
          </cell>
          <cell r="W215"/>
          <cell r="X215" t="str">
            <v>3</v>
          </cell>
          <cell r="Y215">
            <v>744674</v>
          </cell>
          <cell r="Z215">
            <v>12839</v>
          </cell>
          <cell r="AA215">
            <v>14893</v>
          </cell>
        </row>
        <row r="216">
          <cell r="B216" t="str">
            <v>KHI/HO/D/MO/PC COMP/C/94305/1/07/2024</v>
          </cell>
          <cell r="C216"/>
          <cell r="D216" t="str">
            <v>REN</v>
          </cell>
          <cell r="E216" t="str">
            <v>31/07/24</v>
          </cell>
          <cell r="F216" t="str">
            <v>09/07/2024</v>
          </cell>
          <cell r="G216" t="str">
            <v>08/07/2025</v>
          </cell>
          <cell r="H216" t="str">
            <v>08000495</v>
          </cell>
          <cell r="I216" t="str">
            <v>MEEZAN BANK LTD. - ISLAMABAD BRANCH - ISD</v>
          </cell>
          <cell r="J216" t="str">
            <v>BANK</v>
          </cell>
          <cell r="K216" t="str">
            <v>M/S. MEEZAN BANK LIMITED 33 BULAND MARKAZ 
JINNAH AVNUE BLUE AREA ISALAMABAD
M/s. Meezan Bank Limited 33 Buland Markaz Jinnah Avenue Blue Area Islamabad 
User. Ms. Rukhsana Ehsan</v>
          </cell>
          <cell r="L216" t="str">
            <v>D</v>
          </cell>
          <cell r="M216" t="str">
            <v>09000221</v>
          </cell>
          <cell r="N216">
            <v>100</v>
          </cell>
          <cell r="O216" t="str">
            <v>ISLAMABAD</v>
          </cell>
          <cell r="P216" t="str">
            <v>Flat No.6 Block 8 -C Sector G-9/2 Islamabad</v>
          </cell>
          <cell r="Q216" t="str">
            <v>11000003</v>
          </cell>
          <cell r="R216" t="str">
            <v>SUZUKI ALTO VXR</v>
          </cell>
          <cell r="S216" t="str">
            <v>2020</v>
          </cell>
          <cell r="T216" t="str">
            <v>AQU-526</v>
          </cell>
          <cell r="U216" t="str">
            <v>6R133328</v>
          </cell>
          <cell r="V216" t="str">
            <v>NF1AET306H1033318</v>
          </cell>
          <cell r="W216"/>
          <cell r="X216" t="str">
            <v>3</v>
          </cell>
          <cell r="Y216">
            <v>917228</v>
          </cell>
          <cell r="Z216">
            <v>15383</v>
          </cell>
          <cell r="AA216">
            <v>18345</v>
          </cell>
        </row>
        <row r="217">
          <cell r="B217" t="str">
            <v>KHI/HO/D/MO/PC COMP/C/94305/2/07/2024</v>
          </cell>
          <cell r="C217"/>
          <cell r="D217" t="str">
            <v>REN</v>
          </cell>
          <cell r="E217" t="str">
            <v>31/07/24</v>
          </cell>
          <cell r="F217" t="str">
            <v>21/07/2024</v>
          </cell>
          <cell r="G217" t="str">
            <v>20/07/2025</v>
          </cell>
          <cell r="H217" t="str">
            <v>08000495</v>
          </cell>
          <cell r="I217" t="str">
            <v>MEEZAN BANK LTD. - ISLAMABAD BRANCH - ISD</v>
          </cell>
          <cell r="J217" t="str">
            <v>BANK</v>
          </cell>
          <cell r="K217" t="str">
            <v>M/S. MEEZAN BANK LIMITED 33 BULAND MARKAZ 
JINNAH AVNUE BLUE AREA ISALAMABAD
M/s. Meezan Bank Limited 33 Buland Markaz Jinnah Avenue Blue Area Islamabad 
User. Mr. Mirza Ejaz Aziz</v>
          </cell>
          <cell r="L217" t="str">
            <v>D</v>
          </cell>
          <cell r="M217" t="str">
            <v>09000221</v>
          </cell>
          <cell r="N217">
            <v>100</v>
          </cell>
          <cell r="O217" t="str">
            <v>ISLAMABAD</v>
          </cell>
          <cell r="P217" t="str">
            <v>House No. 179 Street 4 Sector G-15/1  Islamabad</v>
          </cell>
          <cell r="Q217" t="str">
            <v>11000003</v>
          </cell>
          <cell r="R217" t="str">
            <v>SUZUKI WAGON-R VXL E2</v>
          </cell>
          <cell r="S217" t="str">
            <v>2020</v>
          </cell>
          <cell r="T217" t="str">
            <v>AQX-324</v>
          </cell>
          <cell r="U217" t="str">
            <v>PK10B203092</v>
          </cell>
          <cell r="V217" t="str">
            <v>A1J310PK10103068</v>
          </cell>
          <cell r="W217"/>
          <cell r="X217" t="str">
            <v>3</v>
          </cell>
          <cell r="Y217">
            <v>1112090</v>
          </cell>
          <cell r="Z217">
            <v>19174</v>
          </cell>
          <cell r="AA217">
            <v>22242</v>
          </cell>
        </row>
        <row r="218">
          <cell r="B218" t="str">
            <v>KHI/HO/D/MO/PC COMP/C/94302/3/07/2024</v>
          </cell>
          <cell r="C218"/>
          <cell r="D218" t="str">
            <v>REN</v>
          </cell>
          <cell r="E218" t="str">
            <v>31/07/24</v>
          </cell>
          <cell r="F218" t="str">
            <v>31/07/2024</v>
          </cell>
          <cell r="G218" t="str">
            <v>30/07/2025</v>
          </cell>
          <cell r="H218" t="str">
            <v>08000208</v>
          </cell>
          <cell r="I218" t="str">
            <v>MEEZAN BANK LTD. GULBERG BRANCH LAHORE</v>
          </cell>
          <cell r="J218" t="str">
            <v>BANK</v>
          </cell>
          <cell r="K218" t="str">
            <v>M/s. Meezan Bank Limited West Hub Lahore Branch
User Mr. Hammad Bin Tariq</v>
          </cell>
          <cell r="L218" t="str">
            <v>D</v>
          </cell>
          <cell r="M218" t="str">
            <v>09000221</v>
          </cell>
          <cell r="N218">
            <v>100</v>
          </cell>
          <cell r="O218" t="str">
            <v>LAHORE</v>
          </cell>
          <cell r="P218" t="str">
            <v>Near Pasco Godaam Terbaila Colony Rajana Chak 285 GB Muhammad Abad, Toba Tek Singh</v>
          </cell>
          <cell r="Q218" t="str">
            <v>11000003</v>
          </cell>
          <cell r="R218" t="str">
            <v>SUZUKI ALTO VXR</v>
          </cell>
          <cell r="S218" t="str">
            <v>2022</v>
          </cell>
          <cell r="T218" t="str">
            <v>APG-493</v>
          </cell>
          <cell r="U218" t="str">
            <v>6R258261</v>
          </cell>
          <cell r="V218" t="str">
            <v>NF1AET306H1158235</v>
          </cell>
          <cell r="W218"/>
          <cell r="X218"/>
          <cell r="Y218">
            <v>1559700</v>
          </cell>
          <cell r="Z218">
            <v>20169</v>
          </cell>
          <cell r="AA218">
            <v>23396</v>
          </cell>
        </row>
        <row r="219">
          <cell r="B219" t="str">
            <v>KHI/HO/D/MO/PC COMP/C/94328/1/07/2024</v>
          </cell>
          <cell r="C219"/>
          <cell r="D219" t="str">
            <v>REN</v>
          </cell>
          <cell r="E219" t="str">
            <v>31/07/24</v>
          </cell>
          <cell r="F219" t="str">
            <v>14/07/2024</v>
          </cell>
          <cell r="G219" t="str">
            <v>13/07/2025</v>
          </cell>
          <cell r="H219" t="str">
            <v>08000501</v>
          </cell>
          <cell r="I219" t="str">
            <v>MEEZAN BANK LTD - PESHAWAR BRANCH</v>
          </cell>
          <cell r="J219" t="str">
            <v>BANK</v>
          </cell>
          <cell r="K219" t="str">
            <v>M/s. Meezan Bank Limited Peshawar Branch 
M/s. Meezan Bank Limited  Khattak Plaza University Road Peshawar 
User Ms. Tahira Hadi</v>
          </cell>
          <cell r="L219" t="str">
            <v>D</v>
          </cell>
          <cell r="M219" t="str">
            <v>09000221</v>
          </cell>
          <cell r="N219">
            <v>100</v>
          </cell>
          <cell r="O219"/>
          <cell r="P219" t="str">
            <v>H # 9 Street 2 Shalimar Colony Warsak Road Peshawar</v>
          </cell>
          <cell r="Q219" t="str">
            <v>11000003</v>
          </cell>
          <cell r="R219" t="str">
            <v>SUZUKI BOLAN VX  EURO II</v>
          </cell>
          <cell r="S219" t="str">
            <v>2020</v>
          </cell>
          <cell r="T219"/>
          <cell r="U219" t="str">
            <v>PKT1024106</v>
          </cell>
          <cell r="V219" t="str">
            <v>SV308PK01140614</v>
          </cell>
          <cell r="W219"/>
          <cell r="X219" t="str">
            <v>3</v>
          </cell>
          <cell r="Y219">
            <v>1075680</v>
          </cell>
          <cell r="Z219">
            <v>13910</v>
          </cell>
          <cell r="AA219">
            <v>16135</v>
          </cell>
        </row>
        <row r="220">
          <cell r="B220" t="str">
            <v>KHI/HO/D/MO/PC COMP/C/94362/1/08/2024</v>
          </cell>
          <cell r="C220"/>
          <cell r="D220" t="str">
            <v>FRE</v>
          </cell>
          <cell r="E220" t="str">
            <v>01/08/24</v>
          </cell>
          <cell r="F220" t="str">
            <v>01/08/2024</v>
          </cell>
          <cell r="G220" t="str">
            <v>31/07/2025</v>
          </cell>
          <cell r="H220" t="str">
            <v>08000025</v>
          </cell>
          <cell r="I220" t="str">
            <v>MEEZAN BANK LIMITED MAIN</v>
          </cell>
          <cell r="J220" t="str">
            <v>BANK</v>
          </cell>
          <cell r="K220" t="str">
            <v>M/s. Meezan Bank Limited Main Branch Karachi 
M/s. Meezan Bank Limited Main Branch Karachi 
User Mr. Zakir Hussain</v>
          </cell>
          <cell r="L220" t="str">
            <v>D</v>
          </cell>
          <cell r="M220" t="str">
            <v>09000221</v>
          </cell>
          <cell r="N220">
            <v>100</v>
          </cell>
          <cell r="O220" t="str">
            <v>KARACHI</v>
          </cell>
          <cell r="P220" t="str">
            <v>PLOT-SC-7, P AND T SOCIETY, STREET NO-31/D, KORANGI  KARACHI</v>
          </cell>
          <cell r="Q220" t="str">
            <v>11000003</v>
          </cell>
          <cell r="R220" t="str">
            <v>SUZUKI WAGON-R VXL E2</v>
          </cell>
          <cell r="S220" t="str">
            <v>2024</v>
          </cell>
          <cell r="T220"/>
          <cell r="U220" t="str">
            <v>PK10B247920</v>
          </cell>
          <cell r="V220" t="str">
            <v>A1J310PK10147920</v>
          </cell>
          <cell r="W220"/>
          <cell r="X220" t="str">
            <v>3</v>
          </cell>
          <cell r="Y220">
            <v>3362000</v>
          </cell>
          <cell r="Z220">
            <v>43044</v>
          </cell>
          <cell r="AA220">
            <v>50430</v>
          </cell>
        </row>
        <row r="221">
          <cell r="B221" t="str">
            <v>KHI/HO/D/MO/PC COMP/C/94362/2/08/2024</v>
          </cell>
          <cell r="C221"/>
          <cell r="D221" t="str">
            <v>FRE</v>
          </cell>
          <cell r="E221" t="str">
            <v>01/08/24</v>
          </cell>
          <cell r="F221" t="str">
            <v>01/08/2024</v>
          </cell>
          <cell r="G221" t="str">
            <v>31/07/2025</v>
          </cell>
          <cell r="H221" t="str">
            <v>08000025</v>
          </cell>
          <cell r="I221" t="str">
            <v>MEEZAN BANK LIMITED MAIN</v>
          </cell>
          <cell r="J221" t="str">
            <v>BANK</v>
          </cell>
          <cell r="K221" t="str">
            <v>M/s. Meezan Bank Limited Main Branch Karachi 
M/s. Meezan Bank Limited Main Branch Karachi
User Mr. Shahrukh Amin</v>
          </cell>
          <cell r="L221" t="str">
            <v>D</v>
          </cell>
          <cell r="M221" t="str">
            <v>09000221</v>
          </cell>
          <cell r="N221">
            <v>100</v>
          </cell>
          <cell r="O221" t="str">
            <v>KARACHI</v>
          </cell>
          <cell r="P221" t="str">
            <v>HOUSE C-153/1, KARIMABAD , BLOCK 6, FEDERAL B AREA , KARACHI</v>
          </cell>
          <cell r="Q221" t="str">
            <v>11000003</v>
          </cell>
          <cell r="R221" t="str">
            <v>SUZUKI ALTO VXL AGS E-2</v>
          </cell>
          <cell r="S221" t="str">
            <v>2024</v>
          </cell>
          <cell r="T221"/>
          <cell r="U221" t="str">
            <v>6R313432</v>
          </cell>
          <cell r="V221" t="str">
            <v>NF1AET306H1213458</v>
          </cell>
          <cell r="W221"/>
          <cell r="X221" t="str">
            <v>3</v>
          </cell>
          <cell r="Y221">
            <v>3045000</v>
          </cell>
          <cell r="Z221">
            <v>39375</v>
          </cell>
          <cell r="AA221">
            <v>45675</v>
          </cell>
        </row>
        <row r="222">
          <cell r="B222" t="str">
            <v>KHI/HO/D/MO/PC COMP/C/94368/1/08/2024</v>
          </cell>
          <cell r="C222"/>
          <cell r="D222" t="str">
            <v>FRE</v>
          </cell>
          <cell r="E222" t="str">
            <v>01/08/24</v>
          </cell>
          <cell r="F222" t="str">
            <v>01/08/2024</v>
          </cell>
          <cell r="G222" t="str">
            <v>31/07/2025</v>
          </cell>
          <cell r="H222" t="str">
            <v>08000840</v>
          </cell>
          <cell r="I222" t="str">
            <v>MEEZAN BANK LTD - SATIANA ROAD BR - FSD</v>
          </cell>
          <cell r="J222" t="str">
            <v>BANK</v>
          </cell>
          <cell r="K222" t="str">
            <v>M/s. Meezan Bank Limited Satiyan Road Branch Faisalabad 
M/s. Meezan Bank Limited Satiyan Road Branch Faisalabad 
User Mr. Ahmad Amin</v>
          </cell>
          <cell r="L222" t="str">
            <v>D</v>
          </cell>
          <cell r="M222" t="str">
            <v>09000221</v>
          </cell>
          <cell r="N222">
            <v>100</v>
          </cell>
          <cell r="O222" t="str">
            <v>FAISALABAD</v>
          </cell>
          <cell r="P222" t="str">
            <v>H # 26-C Sheikh Colony Jhang Road Faisalabad</v>
          </cell>
          <cell r="Q222" t="str">
            <v>11000003</v>
          </cell>
          <cell r="R222" t="str">
            <v>TOYOTA COROLLA ALTIS VVT-</v>
          </cell>
          <cell r="S222" t="str">
            <v>2022</v>
          </cell>
          <cell r="T222"/>
          <cell r="U222" t="str">
            <v>Q081211</v>
          </cell>
          <cell r="V222" t="str">
            <v>ZRE171R-6058730</v>
          </cell>
          <cell r="W222"/>
          <cell r="X222" t="str">
            <v>3</v>
          </cell>
          <cell r="Y222">
            <v>4800000</v>
          </cell>
          <cell r="Z222">
            <v>61638</v>
          </cell>
          <cell r="AA222">
            <v>72000</v>
          </cell>
        </row>
        <row r="223">
          <cell r="B223" t="str">
            <v>KHI/HO/D/MO/PC COMP/C/94381/1/08/2024</v>
          </cell>
          <cell r="C223"/>
          <cell r="D223" t="str">
            <v>FRE</v>
          </cell>
          <cell r="E223" t="str">
            <v>01/08/24</v>
          </cell>
          <cell r="F223" t="str">
            <v>01/08/2024</v>
          </cell>
          <cell r="G223" t="str">
            <v>31/07/2025</v>
          </cell>
          <cell r="H223" t="str">
            <v>08000840</v>
          </cell>
          <cell r="I223" t="str">
            <v>MEEZAN BANK LTD - SATIANA ROAD BR - FSD</v>
          </cell>
          <cell r="J223" t="str">
            <v>BANK</v>
          </cell>
          <cell r="K223" t="str">
            <v>M/s. Meezan Bank Limited Satiana Road Branch 
User Mr. 
M/s. Meezan Bank Limited Satiana Road Branch 
User Mr. Ahmed Amin</v>
          </cell>
          <cell r="L223" t="str">
            <v>D</v>
          </cell>
          <cell r="M223" t="str">
            <v>09000221</v>
          </cell>
          <cell r="N223">
            <v>100</v>
          </cell>
          <cell r="O223" t="str">
            <v>FAISALABAD</v>
          </cell>
          <cell r="P223" t="str">
            <v>H No 26 Shiekh Colony Jhang Road Faisalabad</v>
          </cell>
          <cell r="Q223" t="str">
            <v>11000003</v>
          </cell>
          <cell r="R223" t="str">
            <v>TOYOTA COROLLA</v>
          </cell>
          <cell r="S223" t="str">
            <v>2022</v>
          </cell>
          <cell r="T223" t="str">
            <v>AVE-723</v>
          </cell>
          <cell r="U223" t="str">
            <v>Q081211</v>
          </cell>
          <cell r="V223" t="str">
            <v>ZRE171-R6058730</v>
          </cell>
          <cell r="W223"/>
          <cell r="X223"/>
          <cell r="Y223">
            <v>4800000</v>
          </cell>
          <cell r="Z223">
            <v>61638</v>
          </cell>
          <cell r="AA223">
            <v>72000</v>
          </cell>
        </row>
        <row r="224">
          <cell r="B224" t="str">
            <v>KHI/HO/D/MO/PC COMP/C/94384/1/08/2024</v>
          </cell>
          <cell r="C224"/>
          <cell r="D224" t="str">
            <v>FRE</v>
          </cell>
          <cell r="E224" t="str">
            <v>01/08/24</v>
          </cell>
          <cell r="F224" t="str">
            <v>01/08/2024</v>
          </cell>
          <cell r="G224" t="str">
            <v>31/07/2025</v>
          </cell>
          <cell r="H224" t="str">
            <v>08000025</v>
          </cell>
          <cell r="I224" t="str">
            <v>MEEZAN BANK LIMITED MAIN</v>
          </cell>
          <cell r="J224" t="str">
            <v>BANK</v>
          </cell>
          <cell r="K224" t="str">
            <v>M/s. Meezan Bank Limited Mian Branch 
User Mr. 
M/s. Meezan Bank Limited Mian Branch 
User Mr. Shahrukh Amin</v>
          </cell>
          <cell r="L224" t="str">
            <v>D</v>
          </cell>
          <cell r="M224" t="str">
            <v>09000221</v>
          </cell>
          <cell r="N224">
            <v>100</v>
          </cell>
          <cell r="O224" t="str">
            <v>KARACHI</v>
          </cell>
          <cell r="P224" t="str">
            <v>House C-153/1, Karimabad , Block 6, Federal B Area , Karachi</v>
          </cell>
          <cell r="Q224" t="str">
            <v>11000003</v>
          </cell>
          <cell r="R224" t="str">
            <v>SUZUKI ALTO VXL AGS</v>
          </cell>
          <cell r="S224" t="str">
            <v>2024</v>
          </cell>
          <cell r="T224"/>
          <cell r="U224" t="str">
            <v>6R313432</v>
          </cell>
          <cell r="V224" t="str">
            <v>NF1AET306H1213458</v>
          </cell>
          <cell r="W224"/>
          <cell r="X224"/>
          <cell r="Y224">
            <v>3045000</v>
          </cell>
          <cell r="Z224">
            <v>38944</v>
          </cell>
          <cell r="AA224">
            <v>45675</v>
          </cell>
        </row>
        <row r="225">
          <cell r="B225" t="str">
            <v>KHI/HO/D/MO/PC COMP/C/94384/2/08/2024</v>
          </cell>
          <cell r="C225"/>
          <cell r="D225" t="str">
            <v>FRE</v>
          </cell>
          <cell r="E225" t="str">
            <v>01/08/24</v>
          </cell>
          <cell r="F225" t="str">
            <v>01/08/2024</v>
          </cell>
          <cell r="G225" t="str">
            <v>31/07/2025</v>
          </cell>
          <cell r="H225" t="str">
            <v>08000025</v>
          </cell>
          <cell r="I225" t="str">
            <v>MEEZAN BANK LIMITED MAIN</v>
          </cell>
          <cell r="J225" t="str">
            <v>BANK</v>
          </cell>
          <cell r="K225" t="str">
            <v>M/s. Meezan Bank Limited Mian Branch 
User Mr. 
M/s. Meezan Bank Limited Mian Branch 
User Mr. Zakir Hussain</v>
          </cell>
          <cell r="L225" t="str">
            <v>D</v>
          </cell>
          <cell r="M225" t="str">
            <v>09000221</v>
          </cell>
          <cell r="N225">
            <v>100</v>
          </cell>
          <cell r="O225"/>
          <cell r="P225" t="str">
            <v>Plot-Sc-7, P And T Society, Street No-31/D, Korangi karachi</v>
          </cell>
          <cell r="Q225" t="str">
            <v>11000003</v>
          </cell>
          <cell r="R225" t="str">
            <v>SUZUKI WAGON R VXL</v>
          </cell>
          <cell r="S225" t="str">
            <v>2024</v>
          </cell>
          <cell r="T225"/>
          <cell r="U225" t="str">
            <v>PK10B247920</v>
          </cell>
          <cell r="V225" t="str">
            <v>A1J310PK10147920</v>
          </cell>
          <cell r="W225"/>
          <cell r="X225"/>
          <cell r="Y225">
            <v>3362000</v>
          </cell>
          <cell r="Z225">
            <v>43474</v>
          </cell>
          <cell r="AA225">
            <v>50430</v>
          </cell>
        </row>
        <row r="226">
          <cell r="B226" t="str">
            <v>KHI/HO/D/MO/PC COMP/C/94384/3/08/2024</v>
          </cell>
          <cell r="C226"/>
          <cell r="D226" t="str">
            <v>FRE</v>
          </cell>
          <cell r="E226" t="str">
            <v>01/08/24</v>
          </cell>
          <cell r="F226" t="str">
            <v>01/08/2024</v>
          </cell>
          <cell r="G226" t="str">
            <v>31/07/2025</v>
          </cell>
          <cell r="H226" t="str">
            <v>08000025</v>
          </cell>
          <cell r="I226" t="str">
            <v>MEEZAN BANK LIMITED MAIN</v>
          </cell>
          <cell r="J226" t="str">
            <v>BANK</v>
          </cell>
          <cell r="K226" t="str">
            <v>M/s. Meezan Bank Limited Mian Branch 
User Mr. 
M/s. Meezan Bank Limited Mian Branch 
User Mr. Aftab Begum</v>
          </cell>
          <cell r="L226" t="str">
            <v>D</v>
          </cell>
          <cell r="M226" t="str">
            <v>09000221</v>
          </cell>
          <cell r="N226">
            <v>100</v>
          </cell>
          <cell r="O226" t="str">
            <v>HYDERABAD</v>
          </cell>
          <cell r="P226" t="str">
            <v>Flat No 09, Aminabad Colony, Phase 1, Kali Mori, Hyderabad</v>
          </cell>
          <cell r="Q226" t="str">
            <v>11000003</v>
          </cell>
          <cell r="R226" t="str">
            <v>SUZUKI ALTO VXR</v>
          </cell>
          <cell r="S226" t="str">
            <v>2021</v>
          </cell>
          <cell r="T226"/>
          <cell r="U226" t="str">
            <v>6R178507</v>
          </cell>
          <cell r="V226" t="str">
            <v>NF1AET306H1078504</v>
          </cell>
          <cell r="W226"/>
          <cell r="X226"/>
          <cell r="Y226">
            <v>2100000</v>
          </cell>
          <cell r="Z226">
            <v>27155</v>
          </cell>
          <cell r="AA226">
            <v>31500</v>
          </cell>
        </row>
        <row r="227">
          <cell r="B227" t="str">
            <v>KHI/HO/D/MO/PC COMP/C/94384/4/08/2024</v>
          </cell>
          <cell r="C227"/>
          <cell r="D227" t="str">
            <v>FRE</v>
          </cell>
          <cell r="E227" t="str">
            <v>01/08/24</v>
          </cell>
          <cell r="F227" t="str">
            <v>01/08/2024</v>
          </cell>
          <cell r="G227" t="str">
            <v>31/07/2025</v>
          </cell>
          <cell r="H227" t="str">
            <v>08000025</v>
          </cell>
          <cell r="I227" t="str">
            <v>MEEZAN BANK LIMITED MAIN</v>
          </cell>
          <cell r="J227" t="str">
            <v>BANK</v>
          </cell>
          <cell r="K227" t="str">
            <v>M/s. Meezan Bank Limited Mian Branch 
User Mr. 
M/s. Meezan Bank Limited Mian Branch
User Ms. Amna Saleem</v>
          </cell>
          <cell r="L227" t="str">
            <v>D</v>
          </cell>
          <cell r="M227" t="str">
            <v>09000221</v>
          </cell>
          <cell r="N227">
            <v>100</v>
          </cell>
          <cell r="O227" t="str">
            <v>KARACHI</v>
          </cell>
          <cell r="P227" t="str">
            <v>House No 50, Khy E Rizwan, Phase 7, Ext Dha</v>
          </cell>
          <cell r="Q227" t="str">
            <v>11000003</v>
          </cell>
          <cell r="R227" t="str">
            <v>TOYOTA COROLLA GLI A/T</v>
          </cell>
          <cell r="S227" t="str">
            <v>2017</v>
          </cell>
          <cell r="T227"/>
          <cell r="U227" t="str">
            <v>Z492872</v>
          </cell>
          <cell r="V227" t="str">
            <v>NZE170R4117729</v>
          </cell>
          <cell r="W227"/>
          <cell r="X227"/>
          <cell r="Y227">
            <v>3600000</v>
          </cell>
          <cell r="Z227">
            <v>46551</v>
          </cell>
          <cell r="AA227">
            <v>54000</v>
          </cell>
        </row>
        <row r="228">
          <cell r="B228" t="str">
            <v>KHI/HO/D/MO/PC COMP/C/94384/5/08/2024</v>
          </cell>
          <cell r="C228"/>
          <cell r="D228" t="str">
            <v>FRE</v>
          </cell>
          <cell r="E228" t="str">
            <v>01/08/24</v>
          </cell>
          <cell r="F228" t="str">
            <v>01/08/2024</v>
          </cell>
          <cell r="G228" t="str">
            <v>31/07/2025</v>
          </cell>
          <cell r="H228" t="str">
            <v>08000025</v>
          </cell>
          <cell r="I228" t="str">
            <v>MEEZAN BANK LIMITED MAIN</v>
          </cell>
          <cell r="J228" t="str">
            <v>BANK</v>
          </cell>
          <cell r="K228" t="str">
            <v>M/s. Meezan Bank Limited Mian Branch 
User Mr. 
M/s. Meezan Bank Limited Mian Branch
User Mr. Khan Ghalib</v>
          </cell>
          <cell r="L228" t="str">
            <v>D</v>
          </cell>
          <cell r="M228" t="str">
            <v>09000221</v>
          </cell>
          <cell r="N228">
            <v>100</v>
          </cell>
          <cell r="O228" t="str">
            <v>KARACHI</v>
          </cell>
          <cell r="P228" t="str">
            <v>KHILJI HOUSE # 224, STREET NO: 04, SECTOR 6 J1, JUNEJO TOWN, 
DEFANCE VIEW PHASE 03, SOUTH (IQRA UNIVERSITY)</v>
          </cell>
          <cell r="Q228" t="str">
            <v>11000003</v>
          </cell>
          <cell r="R228" t="str">
            <v>SUZUKI Swift GLX CVT</v>
          </cell>
          <cell r="S228" t="str">
            <v>2024</v>
          </cell>
          <cell r="T228"/>
          <cell r="U228" t="str">
            <v>K12MR1021506</v>
          </cell>
          <cell r="V228" t="str">
            <v>NF1SZC63S00204146</v>
          </cell>
          <cell r="W228"/>
          <cell r="X228"/>
          <cell r="Y228">
            <v>4719000</v>
          </cell>
          <cell r="Z228">
            <v>61022</v>
          </cell>
          <cell r="AA228">
            <v>70785</v>
          </cell>
        </row>
        <row r="229">
          <cell r="B229" t="str">
            <v>KHI/HO/D/MO/PC COMP/C/94384/6/08/2024</v>
          </cell>
          <cell r="C229"/>
          <cell r="D229" t="str">
            <v>FRE</v>
          </cell>
          <cell r="E229" t="str">
            <v>01/08/24</v>
          </cell>
          <cell r="F229" t="str">
            <v>01/08/2024</v>
          </cell>
          <cell r="G229" t="str">
            <v>31/07/2025</v>
          </cell>
          <cell r="H229" t="str">
            <v>08000025</v>
          </cell>
          <cell r="I229" t="str">
            <v>MEEZAN BANK LIMITED MAIN</v>
          </cell>
          <cell r="J229" t="str">
            <v>BANK</v>
          </cell>
          <cell r="K229" t="str">
            <v>M/s. Meezan Bank Limited Mian Branch 
User Mr. 
M/s. Meezan Bank Limited Mian Branch
User Mr. Fateh Ul Qareeb</v>
          </cell>
          <cell r="L229" t="str">
            <v>D</v>
          </cell>
          <cell r="M229" t="str">
            <v>09000221</v>
          </cell>
          <cell r="N229">
            <v>100</v>
          </cell>
          <cell r="O229" t="str">
            <v>KARACHI</v>
          </cell>
          <cell r="P229" t="str">
            <v>R 224 , Block, B, Naya Nazimabad Manghopir Road, Khi</v>
          </cell>
          <cell r="Q229" t="str">
            <v>11000003</v>
          </cell>
          <cell r="R229" t="str">
            <v>TOYOTA COROLLA ALTIS  A/T</v>
          </cell>
          <cell r="S229" t="str">
            <v>2019</v>
          </cell>
          <cell r="T229"/>
          <cell r="U229" t="str">
            <v>Q060610</v>
          </cell>
          <cell r="V229" t="str">
            <v>ZRE171R-6038092</v>
          </cell>
          <cell r="W229"/>
          <cell r="X229"/>
          <cell r="Y229">
            <v>4285000</v>
          </cell>
          <cell r="Z229">
            <v>55410</v>
          </cell>
          <cell r="AA229">
            <v>64275</v>
          </cell>
        </row>
        <row r="230">
          <cell r="B230" t="str">
            <v>KHI/HO/D/MO/PC COMP/C/94431/1/08/2024</v>
          </cell>
          <cell r="C230"/>
          <cell r="D230" t="str">
            <v>FRE</v>
          </cell>
          <cell r="E230" t="str">
            <v>01/08/24</v>
          </cell>
          <cell r="F230" t="str">
            <v>01/08/2024</v>
          </cell>
          <cell r="G230" t="str">
            <v>31/07/2025</v>
          </cell>
          <cell r="H230" t="str">
            <v>08000208</v>
          </cell>
          <cell r="I230" t="str">
            <v>MEEZAN BANK LTD. GULBERG BRANCH LAHORE</v>
          </cell>
          <cell r="J230" t="str">
            <v>BANK</v>
          </cell>
          <cell r="K230" t="str">
            <v>M/s. Meezan Bank Limited Gulberg Branch Lahore 
User Mr.  
M/s. Meezan Bank Limited Gulberg Branch Lahore User Mr. JAHANZEB KHAN</v>
          </cell>
          <cell r="L230" t="str">
            <v>D</v>
          </cell>
          <cell r="M230" t="str">
            <v>09000221</v>
          </cell>
          <cell r="N230">
            <v>100</v>
          </cell>
          <cell r="O230" t="str">
            <v>LAHORE</v>
          </cell>
          <cell r="P230" t="str">
            <v>H NO 289, ST 13, BLOCK FF, PHASE 4 DHA, LAHORE</v>
          </cell>
          <cell r="Q230" t="str">
            <v>11000003</v>
          </cell>
          <cell r="R230" t="str">
            <v>TOYOTA YARIS ATIV AT</v>
          </cell>
          <cell r="S230" t="str">
            <v>2022</v>
          </cell>
          <cell r="T230" t="str">
            <v>AXZ-289</v>
          </cell>
          <cell r="U230" t="str">
            <v>2A46900</v>
          </cell>
          <cell r="V230" t="str">
            <v>NSP150R-7029345</v>
          </cell>
          <cell r="W230"/>
          <cell r="X230"/>
          <cell r="Y230">
            <v>4400000</v>
          </cell>
          <cell r="Z230">
            <v>56465</v>
          </cell>
          <cell r="AA230">
            <v>66000</v>
          </cell>
        </row>
        <row r="231">
          <cell r="B231" t="str">
            <v>KHI/HO/D/MO/PC COMP/C/94431/2/08/2024</v>
          </cell>
          <cell r="C231"/>
          <cell r="D231" t="str">
            <v>FRE</v>
          </cell>
          <cell r="E231" t="str">
            <v>01/08/24</v>
          </cell>
          <cell r="F231" t="str">
            <v>01/08/2024</v>
          </cell>
          <cell r="G231" t="str">
            <v>31/07/2025</v>
          </cell>
          <cell r="H231" t="str">
            <v>08000208</v>
          </cell>
          <cell r="I231" t="str">
            <v>MEEZAN BANK LTD. GULBERG BRANCH LAHORE</v>
          </cell>
          <cell r="J231" t="str">
            <v>BANK</v>
          </cell>
          <cell r="K231" t="str">
            <v>M/s. Meezan Bank Limited Gulberg Branch Lahore 
User Mr.  
M/s. Meezan Bank Limited Gulberg Branch Lahore 
User. ZARTASH ASLAM</v>
          </cell>
          <cell r="L231" t="str">
            <v>D</v>
          </cell>
          <cell r="M231" t="str">
            <v>09000221</v>
          </cell>
          <cell r="N231">
            <v>100</v>
          </cell>
          <cell r="O231"/>
          <cell r="P231" t="str">
            <v>HOUSE 17, PGECHS, BLOCK E, PHASE II, LAHORE (MEZAILE CHOWK)</v>
          </cell>
          <cell r="Q231" t="str">
            <v>11000003</v>
          </cell>
          <cell r="R231" t="str">
            <v>KIA SPORTAGE AWD</v>
          </cell>
          <cell r="S231" t="str">
            <v>2021</v>
          </cell>
          <cell r="T231" t="str">
            <v>AFN-527</v>
          </cell>
          <cell r="U231" t="str">
            <v>G4NAMH312163</v>
          </cell>
          <cell r="V231" t="str">
            <v>NNAQL51AZKP513362</v>
          </cell>
          <cell r="W231"/>
          <cell r="X231"/>
          <cell r="Y231">
            <v>6575000</v>
          </cell>
          <cell r="Z231">
            <v>85022</v>
          </cell>
          <cell r="AA231">
            <v>98625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</sheetNames>
    <sheetDataSet>
      <sheetData sheetId="0">
        <row r="2">
          <cell r="B2" t="str">
            <v>KHI/HO/D/MO/PC COMP/C/94201/6/07/2024</v>
          </cell>
          <cell r="C2" t="str">
            <v>070000163381</v>
          </cell>
        </row>
        <row r="3">
          <cell r="B3" t="str">
            <v>KHI/HO/D/MO/PC COMP/C/94209/1/07/2024</v>
          </cell>
          <cell r="C3" t="str">
            <v>070000163399</v>
          </cell>
        </row>
        <row r="4">
          <cell r="B4" t="str">
            <v>KHI/HO/D/MO/PC COMP/C/94214/2/07/2024</v>
          </cell>
          <cell r="C4" t="str">
            <v>070000163407</v>
          </cell>
        </row>
        <row r="5">
          <cell r="B5" t="str">
            <v>KHI/HO/D/MO/PC COMP/C/94184/1/07/2024</v>
          </cell>
          <cell r="C5" t="str">
            <v>070000163302</v>
          </cell>
        </row>
        <row r="6">
          <cell r="B6" t="str">
            <v>KHI/HO/D/MO/PC COMP/C/94184/2/07/2024</v>
          </cell>
          <cell r="C6" t="str">
            <v>070000163303</v>
          </cell>
        </row>
        <row r="7">
          <cell r="B7" t="str">
            <v>KHI/HO/D/MO/PC COMP/C/94184/3/07/2024</v>
          </cell>
          <cell r="C7" t="str">
            <v>070000163306</v>
          </cell>
        </row>
        <row r="8">
          <cell r="B8" t="str">
            <v>KHI/HO/D/MO/PC COMP/C/94184/5/07/2024</v>
          </cell>
          <cell r="C8" t="str">
            <v>070000163308</v>
          </cell>
        </row>
        <row r="9">
          <cell r="B9" t="str">
            <v>KHI/HO/D/MO/PC COMP/C/94184/8/07/2024</v>
          </cell>
          <cell r="C9" t="str">
            <v>070000163312</v>
          </cell>
        </row>
        <row r="10">
          <cell r="B10" t="str">
            <v>KHI/HO/D/MO/PC COMP/C/94214/1/07/2024</v>
          </cell>
          <cell r="C10" t="str">
            <v>070000163406</v>
          </cell>
        </row>
        <row r="11">
          <cell r="B11" t="str">
            <v>KHI/HO/D/MO/PC COMP/C/94195/5/07/2024</v>
          </cell>
          <cell r="C11" t="str">
            <v>070000163355</v>
          </cell>
        </row>
        <row r="12">
          <cell r="B12" t="str">
            <v>KHI/HO/D/MO/PC COMP/C/94195/7/07/2024</v>
          </cell>
          <cell r="C12" t="str">
            <v>070000163359</v>
          </cell>
        </row>
        <row r="13">
          <cell r="B13" t="str">
            <v>KHI/HO/D/MO/PC COMP/C/94195/8/07/2024</v>
          </cell>
          <cell r="C13" t="str">
            <v>070000163360</v>
          </cell>
        </row>
        <row r="14">
          <cell r="B14" t="str">
            <v>KHI/HO/D/MO/PC COMP/C/94195/1/07/2024</v>
          </cell>
          <cell r="C14" t="str">
            <v>070000163350</v>
          </cell>
        </row>
        <row r="15">
          <cell r="B15" t="str">
            <v>KHI/HO/D/MO/PC COMP/C/94195/2/07/2024</v>
          </cell>
          <cell r="C15" t="str">
            <v>070000163351</v>
          </cell>
        </row>
        <row r="16">
          <cell r="B16" t="str">
            <v>KHI/HO/D/MO/PC COMP/C/94195/3/07/2024</v>
          </cell>
          <cell r="C16" t="str">
            <v>070000163352</v>
          </cell>
        </row>
        <row r="17">
          <cell r="B17" t="str">
            <v>KHI/HO/D/MO/PC COMP/C/94195/6/07/2024</v>
          </cell>
          <cell r="C17" t="str">
            <v>070000163356</v>
          </cell>
        </row>
        <row r="18">
          <cell r="B18" t="str">
            <v>KHI/HO/D/MO/PC COMP/C/94183/1/07/2024</v>
          </cell>
          <cell r="C18" t="str">
            <v>070000163296</v>
          </cell>
        </row>
        <row r="19">
          <cell r="B19" t="str">
            <v>KHI/HO/D/MO/PC COMP/C/94183/2/07/2024</v>
          </cell>
          <cell r="C19" t="str">
            <v>070000163297</v>
          </cell>
        </row>
        <row r="20">
          <cell r="B20" t="str">
            <v>KHI/HO/D/MO/PC COMP/C/94183/3/07/2024</v>
          </cell>
          <cell r="C20" t="str">
            <v>070000163298</v>
          </cell>
        </row>
        <row r="21">
          <cell r="B21" t="str">
            <v>KHI/HO/D/MO/PC COMP/C/94185/1/07/2024</v>
          </cell>
          <cell r="C21" t="str">
            <v>070000163314</v>
          </cell>
        </row>
        <row r="22">
          <cell r="B22" t="str">
            <v>KHI/HO/D/MO/PC COMP/C/94186/3/07/2024</v>
          </cell>
          <cell r="C22" t="str">
            <v>070000163331</v>
          </cell>
        </row>
        <row r="23">
          <cell r="B23" t="str">
            <v>KHI/HO/D/MO/PC COMP/C/94192/1/07/2024</v>
          </cell>
          <cell r="C23" t="str">
            <v>070000163338</v>
          </cell>
        </row>
        <row r="24">
          <cell r="B24" t="str">
            <v>KHI/HO/D/MO/PC COMP/C/94192/2/07/2024</v>
          </cell>
          <cell r="C24" t="str">
            <v>070000163339</v>
          </cell>
        </row>
        <row r="25">
          <cell r="B25" t="str">
            <v>KHI/HO/D/MO/PC COMP/C/94192/3/07/2024</v>
          </cell>
          <cell r="C25" t="str">
            <v>070000163340</v>
          </cell>
        </row>
        <row r="26">
          <cell r="B26" t="str">
            <v>KHI/HO/D/MO/PC COMP/C/94185/4/07/2024</v>
          </cell>
          <cell r="C26" t="str">
            <v>070000163321</v>
          </cell>
        </row>
        <row r="27">
          <cell r="B27" t="str">
            <v>KHI/HO/D/MO/PC COMP/C/94185/5/07/2024</v>
          </cell>
          <cell r="C27" t="str">
            <v>070000163322</v>
          </cell>
        </row>
        <row r="28">
          <cell r="B28" t="str">
            <v>KHI/HO/D/MO/PC COMP/C/94185/3/07/2024</v>
          </cell>
          <cell r="C28" t="str">
            <v>070000163318</v>
          </cell>
        </row>
        <row r="29">
          <cell r="B29" t="str">
            <v>KHI/HO/D/MO/PC COMP/C/94186/1/07/2024</v>
          </cell>
          <cell r="C29" t="str">
            <v>070000163325</v>
          </cell>
        </row>
        <row r="30">
          <cell r="B30" t="str">
            <v>KHI/HO/D/MO/PC COMP/C/94186/2/07/2024</v>
          </cell>
          <cell r="C30" t="str">
            <v>070000163330</v>
          </cell>
        </row>
        <row r="31">
          <cell r="B31" t="str">
            <v>KHI/HO/D/MO/PC COMP/C/94185/2/07/2024</v>
          </cell>
          <cell r="C31" t="str">
            <v>070000163316</v>
          </cell>
        </row>
        <row r="32">
          <cell r="B32" t="str">
            <v>KHI/HO/D/MO/PC COMP/C/94183/4/07/2024</v>
          </cell>
          <cell r="C32" t="str">
            <v>070000163299</v>
          </cell>
        </row>
        <row r="33">
          <cell r="B33" t="str">
            <v>KHI/HO/D/MO/PC COMP/C/94183/5/07/2024</v>
          </cell>
          <cell r="C33" t="str">
            <v>070000163300</v>
          </cell>
        </row>
        <row r="34">
          <cell r="B34" t="str">
            <v>KHI/HO/D/MO/PC COMP/C/94183/6/07/2024</v>
          </cell>
          <cell r="C34" t="str">
            <v>070000163301</v>
          </cell>
        </row>
        <row r="35">
          <cell r="B35" t="str">
            <v>KHI/HO/D/MO/PC COMP/C/94195/4/07/2024</v>
          </cell>
          <cell r="C35" t="str">
            <v>070000163354</v>
          </cell>
        </row>
        <row r="36">
          <cell r="B36" t="str">
            <v>KHI/HO/D/MO/PC COMP/C/94219/4/07/2024</v>
          </cell>
          <cell r="C36" t="str">
            <v>070000163420</v>
          </cell>
        </row>
        <row r="37">
          <cell r="B37" t="str">
            <v>KHI/HO/D/MO/PC COMP/C/94219/5/07/2024</v>
          </cell>
          <cell r="C37" t="str">
            <v>070000163422</v>
          </cell>
        </row>
        <row r="38">
          <cell r="B38" t="str">
            <v>KHI/HO/D/MO/PC COMP/C/94234/1/07/2024</v>
          </cell>
          <cell r="C38" t="str">
            <v>070000163424</v>
          </cell>
        </row>
        <row r="39">
          <cell r="B39" t="str">
            <v>KHI/HO/D/MO/PC COMP/C/94307/1/07/2024</v>
          </cell>
          <cell r="C39" t="str">
            <v>070000163476</v>
          </cell>
        </row>
        <row r="40">
          <cell r="B40" t="str">
            <v>KHI/HO/D/MO/PC COMP/C/94206/4/07/2024</v>
          </cell>
          <cell r="C40" t="str">
            <v>070000163395</v>
          </cell>
        </row>
        <row r="41">
          <cell r="B41" t="str">
            <v>KHI/HO/D/MO/PC COMP/C/94206/5/07/2024</v>
          </cell>
          <cell r="C41" t="str">
            <v>070000163396</v>
          </cell>
        </row>
        <row r="42">
          <cell r="B42" t="str">
            <v>KHI/HO/D/MO/PC COMP/C/94206/6/07/2024</v>
          </cell>
          <cell r="C42" t="str">
            <v>070000163397</v>
          </cell>
        </row>
        <row r="43">
          <cell r="B43" t="str">
            <v>KHI/HO/D/MO/PC COMP/C/94212/1/07/2024</v>
          </cell>
          <cell r="C43" t="str">
            <v>070000163401</v>
          </cell>
        </row>
        <row r="44">
          <cell r="B44" t="str">
            <v>KHI/HO/D/MO/PC COMP/C/94212/4/07/2024</v>
          </cell>
          <cell r="C44" t="str">
            <v>070000163405</v>
          </cell>
        </row>
        <row r="45">
          <cell r="B45" t="str">
            <v>KHI/HO/D/MO/PC COMP/C/94217/1/07/2024</v>
          </cell>
          <cell r="C45" t="str">
            <v>070000163408</v>
          </cell>
        </row>
        <row r="46">
          <cell r="B46" t="str">
            <v>KHI/HO/D/MO/PC COMP/C/94217/2/07/2024</v>
          </cell>
          <cell r="C46" t="str">
            <v>070000163409</v>
          </cell>
        </row>
        <row r="47">
          <cell r="B47" t="str">
            <v>KHI/HO/D/MO/PC COMP/C/94217/3/07/2024</v>
          </cell>
          <cell r="C47" t="str">
            <v>070000163410</v>
          </cell>
        </row>
        <row r="48">
          <cell r="B48" t="str">
            <v>KHI/HO/D/MO/PC COMP/C/94217/4/07/2024</v>
          </cell>
          <cell r="C48" t="str">
            <v>070000163411</v>
          </cell>
        </row>
        <row r="49">
          <cell r="B49" t="str">
            <v>KHI/HO/D/MO/PC COMP/C/94217/5/07/2024</v>
          </cell>
          <cell r="C49" t="str">
            <v>070000163412</v>
          </cell>
        </row>
        <row r="50">
          <cell r="B50" t="str">
            <v>KHI/HO/D/MO/PC COMP/C/94218/1/07/2024</v>
          </cell>
          <cell r="C50" t="str">
            <v>070000163413</v>
          </cell>
        </row>
        <row r="51">
          <cell r="B51" t="str">
            <v>KHI/HO/D/MO/PC COMP/C/94218/2/07/2024</v>
          </cell>
          <cell r="C51" t="str">
            <v>070000163414</v>
          </cell>
        </row>
        <row r="52">
          <cell r="B52" t="str">
            <v>KHI/HO/D/MO/PC COMP/C/94219/2/07/2024</v>
          </cell>
          <cell r="C52" t="str">
            <v>070000163418</v>
          </cell>
        </row>
        <row r="53">
          <cell r="B53" t="str">
            <v>KHI/HO/D/MO/PC COMP/C/94219/3/07/2024</v>
          </cell>
          <cell r="C53" t="str">
            <v>070000163419</v>
          </cell>
        </row>
        <row r="54">
          <cell r="B54" t="str">
            <v>KHI/HO/D/MO/PC COMP/C/94205/1/07/2024</v>
          </cell>
          <cell r="C54" t="str">
            <v>070000163391</v>
          </cell>
        </row>
        <row r="55">
          <cell r="B55" t="str">
            <v>KHI/HO/D/MO/PC COMP/C/94206/2/07/2024</v>
          </cell>
          <cell r="C55" t="str">
            <v>070000163393</v>
          </cell>
        </row>
        <row r="56">
          <cell r="B56" t="str">
            <v>KHI/HO/D/MO/PC COMP/C/94206/3/07/2024</v>
          </cell>
          <cell r="C56" t="str">
            <v>070000163394</v>
          </cell>
        </row>
        <row r="57">
          <cell r="B57" t="str">
            <v>KHI/HO/D/MO/PC COMP/C/94212/3/07/2024</v>
          </cell>
          <cell r="C57" t="str">
            <v>070000163404</v>
          </cell>
        </row>
        <row r="58">
          <cell r="B58" t="str">
            <v>KHI/HO/D/MO/PC COMP/C/94212/2/07/2024</v>
          </cell>
          <cell r="C58" t="str">
            <v>070000163402</v>
          </cell>
        </row>
        <row r="59">
          <cell r="B59" t="str">
            <v>KHI/HO/D/MO/PC COMP/C/94219/1/07/2024</v>
          </cell>
          <cell r="C59" t="str">
            <v>070000163416</v>
          </cell>
        </row>
        <row r="60">
          <cell r="B60" t="str">
            <v>KHI/HO/D/MO/PC COMP/C/94236/1/07/2024</v>
          </cell>
          <cell r="C60" t="str">
            <v>070000163426</v>
          </cell>
        </row>
        <row r="61">
          <cell r="B61" t="str">
            <v>KHI/HO/D/MO/PC COMP/C/94236/2/07/2024</v>
          </cell>
          <cell r="C61" t="str">
            <v>070000163427</v>
          </cell>
        </row>
        <row r="62">
          <cell r="B62" t="str">
            <v>KHI/HO/D/MO/PC COMP/C/93463/1/07/2024</v>
          </cell>
          <cell r="C62" t="str">
            <v>070000162432</v>
          </cell>
        </row>
        <row r="63">
          <cell r="B63" t="str">
            <v>KHI/HO/D/MO/PC COMP/C/94305/1/07/2024</v>
          </cell>
          <cell r="C63" t="str">
            <v>070000163488</v>
          </cell>
        </row>
        <row r="64">
          <cell r="B64" t="str">
            <v>KHI/HO/D/MO/PC COMP/C/94305/2/07/2024</v>
          </cell>
          <cell r="C64" t="str">
            <v>070000163489</v>
          </cell>
        </row>
        <row r="65">
          <cell r="B65" t="str">
            <v>KHI/HO/D/MO/PC COMP/C/94328/1/07/2024</v>
          </cell>
          <cell r="C65" t="str">
            <v>070000163516</v>
          </cell>
        </row>
        <row r="66">
          <cell r="B66" t="str">
            <v>KHI/HO/D/MO/PC COMP/C/94301/1/07/2024</v>
          </cell>
          <cell r="C66" t="str">
            <v>070000163446</v>
          </cell>
        </row>
        <row r="67">
          <cell r="B67" t="str">
            <v>KHI/HO/D/MO/PC COMP/C/94301/2/07/2024</v>
          </cell>
          <cell r="C67" t="str">
            <v>070000163447</v>
          </cell>
        </row>
        <row r="68">
          <cell r="B68" t="str">
            <v>KHI/HO/D/MO/PC COMP/C/94301/3/07/2024</v>
          </cell>
          <cell r="C68" t="str">
            <v>070000163448</v>
          </cell>
        </row>
        <row r="69">
          <cell r="B69" t="str">
            <v>KHI/HO/D/MO/PC COMP/C/94301/4/07/2024</v>
          </cell>
          <cell r="C69" t="str">
            <v>070000163449</v>
          </cell>
        </row>
        <row r="70">
          <cell r="B70" t="str">
            <v>KHI/HO/D/MO/PC COMP/C/94301/5/07/2024</v>
          </cell>
          <cell r="C70" t="str">
            <v>070000163450</v>
          </cell>
        </row>
        <row r="71">
          <cell r="B71" t="str">
            <v>KHI/HO/D/MO/PC COMP/C/94301/6/07/2024</v>
          </cell>
          <cell r="C71" t="str">
            <v>070000163451</v>
          </cell>
        </row>
        <row r="72">
          <cell r="B72" t="str">
            <v>KHI/HO/D/MO/PC COMP/C/94301/7/07/2024</v>
          </cell>
          <cell r="C72" t="str">
            <v>070000163452</v>
          </cell>
        </row>
        <row r="73">
          <cell r="B73" t="str">
            <v>KHI/HO/D/MO/PC COMP/C/94306/1/07/2024</v>
          </cell>
          <cell r="C73" t="str">
            <v>070000163473</v>
          </cell>
        </row>
        <row r="74">
          <cell r="B74" t="str">
            <v>KHI/HO/D/MO/PC COMP/C/94202/2/07/2024</v>
          </cell>
          <cell r="C74" t="str">
            <v>070000163384</v>
          </cell>
        </row>
        <row r="75">
          <cell r="B75" t="str">
            <v>KHI/HO/D/MO/PC COMP/C/94202/3/07/2024</v>
          </cell>
          <cell r="C75" t="str">
            <v>070000163386</v>
          </cell>
        </row>
        <row r="76">
          <cell r="B76" t="str">
            <v>KHI/HO/D/MO/PC COMP/C/94188/1/07/2024</v>
          </cell>
          <cell r="C76" t="str">
            <v>070000163332</v>
          </cell>
        </row>
        <row r="77">
          <cell r="B77" t="str">
            <v>KHI/HO/D/MO/PC COMP/C/94201/3/07/2024</v>
          </cell>
          <cell r="C77" t="str">
            <v>070000163378</v>
          </cell>
        </row>
        <row r="78">
          <cell r="B78" t="str">
            <v>KHI/HO/D/MO/PC COMP/C/94201/4/07/2024</v>
          </cell>
          <cell r="C78" t="str">
            <v>070000163379</v>
          </cell>
        </row>
        <row r="79">
          <cell r="B79" t="str">
            <v>KHI/HO/D/MO/PC COMP/C/94201/5/07/2024</v>
          </cell>
          <cell r="C79" t="str">
            <v>070000163380</v>
          </cell>
        </row>
        <row r="80">
          <cell r="B80" t="str">
            <v>KHI/HO/D/MO/PC COMP/C/94199/3/07/2024</v>
          </cell>
          <cell r="C80" t="str">
            <v>070000163372</v>
          </cell>
        </row>
        <row r="81">
          <cell r="B81" t="str">
            <v>KHI/HO/D/MO/PC COMP/C/94199/4/07/2024</v>
          </cell>
          <cell r="C81" t="str">
            <v>070000163373</v>
          </cell>
        </row>
        <row r="82">
          <cell r="B82" t="str">
            <v>KHI/HO/D/MO/PC COMP/C/94198/1/07/2024</v>
          </cell>
          <cell r="C82" t="str">
            <v>070000163367</v>
          </cell>
        </row>
        <row r="83">
          <cell r="B83" t="str">
            <v>KHI/HO/D/MO/PC COMP/C/94198/2/07/2024</v>
          </cell>
          <cell r="C83" t="str">
            <v>070000163368</v>
          </cell>
        </row>
        <row r="84">
          <cell r="B84" t="str">
            <v>KHI/HO/D/MO/PC COMP/C/94198/3/07/2024</v>
          </cell>
          <cell r="C84" t="str">
            <v>070000163369</v>
          </cell>
        </row>
        <row r="85">
          <cell r="B85" t="str">
            <v>KHI/HO/D/MO/PC COMP/C/94199/1/07/2024</v>
          </cell>
          <cell r="C85" t="str">
            <v>070000163370</v>
          </cell>
        </row>
        <row r="86">
          <cell r="B86" t="str">
            <v>KHI/HO/D/MO/PC COMP/C/94199/2/07/2024</v>
          </cell>
          <cell r="C86" t="str">
            <v>070000163371</v>
          </cell>
        </row>
        <row r="87">
          <cell r="B87" t="str">
            <v>KHI/HO/D/MO/PC COMP/C/94199/5/07/2024</v>
          </cell>
          <cell r="C87" t="str">
            <v>070000163374</v>
          </cell>
        </row>
        <row r="88">
          <cell r="B88" t="str">
            <v>KHI/HO/D/MO/PC COMP/C/94201/1/07/2024</v>
          </cell>
          <cell r="C88" t="str">
            <v>070000163375</v>
          </cell>
        </row>
        <row r="89">
          <cell r="B89" t="str">
            <v>KHI/HO/D/MO/PC COMP/C/94201/2/07/2024</v>
          </cell>
          <cell r="C89" t="str">
            <v>070000163377</v>
          </cell>
        </row>
        <row r="90">
          <cell r="B90" t="str">
            <v>KHI/HO/D/MO/PC COMP/C/94194/1/07/2024</v>
          </cell>
          <cell r="C90" t="str">
            <v>070000163349</v>
          </cell>
        </row>
        <row r="91">
          <cell r="B91" t="str">
            <v>KHI/HO/D/MO/PC COMP/C/94190/1/07/2024</v>
          </cell>
          <cell r="C91" t="str">
            <v>070000163337</v>
          </cell>
        </row>
        <row r="92">
          <cell r="B92" t="str">
            <v>KHI/HO/D/MO/PC COMP/C/94193/1/07/2024</v>
          </cell>
          <cell r="C92" t="str">
            <v>070000163341</v>
          </cell>
        </row>
        <row r="93">
          <cell r="B93" t="str">
            <v>KHI/HO/D/MO/PC COMP/C/94193/3/07/2024</v>
          </cell>
          <cell r="C93" t="str">
            <v>070000163344</v>
          </cell>
        </row>
        <row r="94">
          <cell r="B94" t="str">
            <v>KHI/HO/D/MO/PC COMP/C/94193/4/07/2024</v>
          </cell>
          <cell r="C94" t="str">
            <v>070000163346</v>
          </cell>
        </row>
        <row r="95">
          <cell r="B95" t="str">
            <v>KHI/HO/D/MO/PC COMP/C/94202/1/07/2024</v>
          </cell>
          <cell r="C95" t="str">
            <v>070000163383</v>
          </cell>
        </row>
        <row r="96">
          <cell r="B96" t="str">
            <v>KHI/HO/D/MO/PC COMP/C/94203/1/07/2024</v>
          </cell>
          <cell r="C96" t="str">
            <v>070000163388</v>
          </cell>
        </row>
        <row r="97">
          <cell r="B97" t="str">
            <v>KHI/HO/D/MO/PC COMP/C/94188/2/07/2024</v>
          </cell>
          <cell r="C97" t="str">
            <v>070000163334</v>
          </cell>
        </row>
        <row r="98">
          <cell r="B98" t="str">
            <v>KHI/HO/D/MO/PC COMP/C/94188/3/07/2024</v>
          </cell>
          <cell r="C98" t="str">
            <v>070000163335</v>
          </cell>
        </row>
        <row r="99">
          <cell r="B99" t="str">
            <v>KHI/HO/D/MO/PC COMP/C/94188/4/07/2024</v>
          </cell>
          <cell r="C99" t="str">
            <v>070000163336</v>
          </cell>
        </row>
        <row r="100">
          <cell r="B100" t="str">
            <v>KHI/HO/D/MO/PC COMP/C/94302/2/07/2024</v>
          </cell>
          <cell r="C100" t="str">
            <v>070000163456</v>
          </cell>
        </row>
        <row r="101">
          <cell r="B101" t="str">
            <v>KHI/HO/D/MO/PC COMP/C/94302/3/07/2024</v>
          </cell>
          <cell r="C101" t="str">
            <v>070000163509</v>
          </cell>
        </row>
        <row r="102">
          <cell r="B102" t="str">
            <v>KHI/HO/D/MO/PC COMP/C/94298/1/07/2024</v>
          </cell>
          <cell r="C102" t="str">
            <v>070000163441</v>
          </cell>
        </row>
        <row r="103">
          <cell r="B103" t="str">
            <v>KHI/HO/D/MO/PC COMP/C/94298/2/07/2024</v>
          </cell>
          <cell r="C103" t="str">
            <v>070000163442</v>
          </cell>
        </row>
        <row r="104">
          <cell r="B104" t="str">
            <v>KHI/HO/D/MO/PC COMP/C/94298/3/07/2024</v>
          </cell>
          <cell r="C104" t="str">
            <v>070000163443</v>
          </cell>
        </row>
        <row r="105">
          <cell r="B105" t="str">
            <v>KHI/HO/D/MO/PC COMP/C/94302/1/07/2024</v>
          </cell>
          <cell r="C105" t="str">
            <v>070000163455</v>
          </cell>
        </row>
        <row r="106">
          <cell r="B106" t="str">
            <v>KHI/HO/D/MO/PC COMP/C/94303/1/07/2024</v>
          </cell>
          <cell r="C106" t="str">
            <v>070000163460</v>
          </cell>
        </row>
        <row r="107">
          <cell r="B107" t="str">
            <v>KHI/HO/D/MO/PC COMP/C/94303/2/07/2024</v>
          </cell>
          <cell r="C107" t="str">
            <v>070000163461</v>
          </cell>
        </row>
        <row r="108">
          <cell r="B108" t="str">
            <v>KHI/HO/D/MO/PC COMP/C/94304/1/07/2024</v>
          </cell>
          <cell r="C108" t="str">
            <v>070000163464</v>
          </cell>
        </row>
        <row r="109">
          <cell r="B109" t="str">
            <v>KHI/HO/D/MO/PC COMP/C/94304/2/07/2024</v>
          </cell>
          <cell r="C109" t="str">
            <v>070000163465</v>
          </cell>
        </row>
        <row r="110">
          <cell r="B110" t="str">
            <v>KHI/HO/D/MO/PC COMP/C/94304/3/07/2024</v>
          </cell>
          <cell r="C110" t="str">
            <v>070000163466</v>
          </cell>
        </row>
        <row r="111">
          <cell r="B111" t="str">
            <v>KHI/HO/D/MO/PC COMP/C/94298/4/07/2024</v>
          </cell>
          <cell r="C111" t="str">
            <v>070000163444</v>
          </cell>
        </row>
        <row r="112">
          <cell r="B112" t="str">
            <v>KHI/HO/D/MO/PC COMP/C/94300/1/07/2024</v>
          </cell>
          <cell r="C112" t="str">
            <v>070000163445</v>
          </cell>
        </row>
        <row r="113">
          <cell r="B113" t="str">
            <v>KHI/HO/D/MO/PC COMP/C/94184/4/07/2024</v>
          </cell>
          <cell r="C113" t="str">
            <v>070000163307</v>
          </cell>
        </row>
        <row r="114">
          <cell r="B114" t="str">
            <v>KHI/HO/D/MO/PC COMP/C/94184/6/07/2024</v>
          </cell>
          <cell r="C114" t="str">
            <v>070000163309</v>
          </cell>
        </row>
        <row r="115">
          <cell r="B115" t="str">
            <v>KHI/HO/D/MO/PC COMP/C/94184/7/07/2024</v>
          </cell>
          <cell r="C115" t="str">
            <v>070000163311</v>
          </cell>
        </row>
        <row r="116">
          <cell r="B116" t="str">
            <v>KHI/HO/D/MO/PC COMP/C/94184/9/07/2024</v>
          </cell>
          <cell r="C116" t="str">
            <v>070000163313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9"/>
  <sheetViews>
    <sheetView tabSelected="1" topLeftCell="I106" zoomScaleNormal="100" workbookViewId="0">
      <selection activeCell="L116" sqref="L2:L116"/>
    </sheetView>
  </sheetViews>
  <sheetFormatPr defaultRowHeight="15" x14ac:dyDescent="0.25"/>
  <cols>
    <col min="1" max="1" width="18.28515625" bestFit="1" customWidth="1"/>
    <col min="2" max="2" width="11.85546875" bestFit="1" customWidth="1"/>
    <col min="3" max="3" width="35.85546875" bestFit="1" customWidth="1"/>
    <col min="4" max="4" width="39.5703125" bestFit="1" customWidth="1"/>
    <col min="5" max="5" width="21.42578125" bestFit="1" customWidth="1"/>
    <col min="6" max="6" width="21" bestFit="1" customWidth="1"/>
    <col min="7" max="7" width="19.5703125" bestFit="1" customWidth="1"/>
    <col min="8" max="8" width="12" bestFit="1" customWidth="1"/>
    <col min="9" max="9" width="13.28515625" bestFit="1" customWidth="1"/>
    <col min="10" max="10" width="11.7109375" bestFit="1" customWidth="1"/>
    <col min="11" max="11" width="16.42578125" bestFit="1" customWidth="1"/>
    <col min="12" max="12" width="19.28515625" bestFit="1" customWidth="1"/>
    <col min="13" max="13" width="21.28515625" bestFit="1" customWidth="1"/>
    <col min="14" max="14" width="23.28515625" bestFit="1" customWidth="1"/>
    <col min="15" max="15" width="42.28515625" bestFit="1" customWidth="1"/>
    <col min="16" max="16" width="12.5703125" bestFit="1" customWidth="1"/>
    <col min="17" max="17" width="11.5703125" bestFit="1" customWidth="1"/>
    <col min="18" max="18" width="19.140625" bestFit="1" customWidth="1"/>
    <col min="19" max="19" width="22.7109375" bestFit="1" customWidth="1"/>
    <col min="20" max="20" width="45.140625" bestFit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669</v>
      </c>
      <c r="P1" s="1" t="s">
        <v>670</v>
      </c>
      <c r="Q1" s="1" t="s">
        <v>787</v>
      </c>
      <c r="R1" s="1" t="s">
        <v>774</v>
      </c>
      <c r="S1" s="15" t="s">
        <v>788</v>
      </c>
      <c r="T1" s="17" t="s">
        <v>789</v>
      </c>
    </row>
    <row r="2" spans="1:20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3">
        <v>45493</v>
      </c>
      <c r="I2" s="3">
        <v>45858</v>
      </c>
      <c r="J2" s="2" t="s">
        <v>21</v>
      </c>
      <c r="K2" s="4">
        <v>1404783</v>
      </c>
      <c r="L2" s="4">
        <v>21072</v>
      </c>
      <c r="M2" s="2" t="s">
        <v>22</v>
      </c>
      <c r="N2" s="2" t="s">
        <v>151</v>
      </c>
      <c r="O2" s="2" t="s">
        <v>671</v>
      </c>
      <c r="P2" s="4">
        <f>VLOOKUP(O2,[1]working!$B$2:$AA$231,26,0)</f>
        <v>21072</v>
      </c>
      <c r="Q2" s="7">
        <f>L2-P2</f>
        <v>0</v>
      </c>
      <c r="R2" s="4">
        <f>VLOOKUP(O2,[1]working!$B$2:$Y$231,24,0)</f>
        <v>1404783</v>
      </c>
      <c r="S2" s="16">
        <f>K2-R2</f>
        <v>0</v>
      </c>
      <c r="T2" s="2"/>
    </row>
    <row r="3" spans="1:20" x14ac:dyDescent="0.25">
      <c r="A3" s="2" t="s">
        <v>23</v>
      </c>
      <c r="B3" s="2" t="s">
        <v>15</v>
      </c>
      <c r="C3" s="2" t="s">
        <v>24</v>
      </c>
      <c r="D3" s="2" t="s">
        <v>25</v>
      </c>
      <c r="E3" s="2" t="s">
        <v>26</v>
      </c>
      <c r="F3" s="2" t="s">
        <v>27</v>
      </c>
      <c r="G3" s="2" t="s">
        <v>28</v>
      </c>
      <c r="H3" s="3">
        <v>45493</v>
      </c>
      <c r="I3" s="3">
        <v>45858</v>
      </c>
      <c r="J3" s="2" t="s">
        <v>21</v>
      </c>
      <c r="K3" s="4">
        <v>3952638</v>
      </c>
      <c r="L3" s="4">
        <v>59290</v>
      </c>
      <c r="M3" s="2" t="s">
        <v>29</v>
      </c>
      <c r="N3" s="2" t="s">
        <v>151</v>
      </c>
      <c r="O3" s="2" t="s">
        <v>744</v>
      </c>
      <c r="P3" s="4">
        <f>VLOOKUP(O3,[1]working!$B$2:$AA$231,26,0)</f>
        <v>59290</v>
      </c>
      <c r="Q3" s="7">
        <f t="shared" ref="Q3:Q66" si="0">L3-P3</f>
        <v>0</v>
      </c>
      <c r="R3" s="4">
        <f>VLOOKUP(O3,[1]working!$B$2:$Y$231,24,0)</f>
        <v>3952638</v>
      </c>
      <c r="S3" s="16">
        <f t="shared" ref="S3:S66" si="1">K3-R3</f>
        <v>0</v>
      </c>
      <c r="T3" s="2"/>
    </row>
    <row r="4" spans="1:20" x14ac:dyDescent="0.25">
      <c r="A4" s="2" t="s">
        <v>30</v>
      </c>
      <c r="B4" s="2" t="s">
        <v>15</v>
      </c>
      <c r="C4" s="2" t="s">
        <v>31</v>
      </c>
      <c r="D4" s="2" t="s">
        <v>32</v>
      </c>
      <c r="E4" s="2" t="s">
        <v>33</v>
      </c>
      <c r="F4" s="2" t="s">
        <v>34</v>
      </c>
      <c r="G4" s="2" t="s">
        <v>35</v>
      </c>
      <c r="H4" s="3">
        <v>45483</v>
      </c>
      <c r="I4" s="3">
        <v>45848</v>
      </c>
      <c r="J4" s="2" t="s">
        <v>21</v>
      </c>
      <c r="K4" s="4">
        <v>1155465</v>
      </c>
      <c r="L4" s="4">
        <v>17332</v>
      </c>
      <c r="M4" s="2" t="s">
        <v>22</v>
      </c>
      <c r="N4" s="2" t="s">
        <v>151</v>
      </c>
      <c r="O4" s="2" t="s">
        <v>672</v>
      </c>
      <c r="P4" s="4">
        <f>VLOOKUP(O4,[1]working!$B$2:$AA$231,26,0)</f>
        <v>17332</v>
      </c>
      <c r="Q4" s="7">
        <f t="shared" si="0"/>
        <v>0</v>
      </c>
      <c r="R4" s="4">
        <f>VLOOKUP(O4,[1]working!$B$2:$Y$231,24,0)</f>
        <v>1155465</v>
      </c>
      <c r="S4" s="16">
        <f t="shared" si="1"/>
        <v>0</v>
      </c>
      <c r="T4" s="2"/>
    </row>
    <row r="5" spans="1:20" x14ac:dyDescent="0.25">
      <c r="A5" s="2" t="s">
        <v>36</v>
      </c>
      <c r="B5" s="2" t="s">
        <v>15</v>
      </c>
      <c r="C5" s="2" t="s">
        <v>37</v>
      </c>
      <c r="D5" s="2" t="s">
        <v>38</v>
      </c>
      <c r="E5" s="2" t="s">
        <v>39</v>
      </c>
      <c r="F5" s="2" t="s">
        <v>40</v>
      </c>
      <c r="G5" s="2" t="s">
        <v>41</v>
      </c>
      <c r="H5" s="3">
        <v>45498</v>
      </c>
      <c r="I5" s="3">
        <v>45863</v>
      </c>
      <c r="J5" s="2" t="s">
        <v>21</v>
      </c>
      <c r="K5" s="4">
        <v>1252260</v>
      </c>
      <c r="L5" s="4">
        <v>18784</v>
      </c>
      <c r="M5" s="2" t="s">
        <v>22</v>
      </c>
      <c r="N5" s="2" t="s">
        <v>151</v>
      </c>
      <c r="O5" s="2" t="s">
        <v>673</v>
      </c>
      <c r="P5" s="4">
        <f>VLOOKUP(O5,[1]working!$B$2:$AA$231,26,0)</f>
        <v>18784</v>
      </c>
      <c r="Q5" s="7">
        <f t="shared" si="0"/>
        <v>0</v>
      </c>
      <c r="R5" s="4">
        <f>VLOOKUP(O5,[1]working!$B$2:$Y$231,24,0)</f>
        <v>1252260</v>
      </c>
      <c r="S5" s="16">
        <f t="shared" si="1"/>
        <v>0</v>
      </c>
      <c r="T5" s="2"/>
    </row>
    <row r="6" spans="1:20" x14ac:dyDescent="0.25">
      <c r="A6" s="2" t="s">
        <v>42</v>
      </c>
      <c r="B6" s="2" t="s">
        <v>15</v>
      </c>
      <c r="C6" s="2" t="s">
        <v>43</v>
      </c>
      <c r="D6" s="2" t="s">
        <v>44</v>
      </c>
      <c r="E6" s="2" t="s">
        <v>45</v>
      </c>
      <c r="F6" s="2" t="s">
        <v>46</v>
      </c>
      <c r="G6" s="2" t="s">
        <v>47</v>
      </c>
      <c r="H6" s="3">
        <v>45483</v>
      </c>
      <c r="I6" s="3">
        <v>45848</v>
      </c>
      <c r="J6" s="2" t="s">
        <v>21</v>
      </c>
      <c r="K6" s="4">
        <v>1436130</v>
      </c>
      <c r="L6" s="4">
        <v>21542</v>
      </c>
      <c r="M6" s="2" t="s">
        <v>29</v>
      </c>
      <c r="N6" s="2" t="s">
        <v>151</v>
      </c>
      <c r="O6" s="2" t="s">
        <v>674</v>
      </c>
      <c r="P6" s="4">
        <f>VLOOKUP(O6,[1]working!$B$2:$AA$231,26,0)</f>
        <v>21542</v>
      </c>
      <c r="Q6" s="7">
        <f t="shared" si="0"/>
        <v>0</v>
      </c>
      <c r="R6" s="4">
        <f>VLOOKUP(O6,[1]working!$B$2:$Y$231,24,0)</f>
        <v>1436130</v>
      </c>
      <c r="S6" s="16">
        <f t="shared" si="1"/>
        <v>0</v>
      </c>
      <c r="T6" s="2"/>
    </row>
    <row r="7" spans="1:20" x14ac:dyDescent="0.25">
      <c r="A7" s="2" t="s">
        <v>48</v>
      </c>
      <c r="B7" s="2" t="s">
        <v>15</v>
      </c>
      <c r="C7" s="2" t="s">
        <v>49</v>
      </c>
      <c r="D7" s="2" t="s">
        <v>50</v>
      </c>
      <c r="E7" s="2" t="s">
        <v>51</v>
      </c>
      <c r="F7" s="2" t="s">
        <v>52</v>
      </c>
      <c r="G7" s="2" t="s">
        <v>53</v>
      </c>
      <c r="H7" s="3">
        <v>45488</v>
      </c>
      <c r="I7" s="3">
        <v>45853</v>
      </c>
      <c r="J7" s="2" t="s">
        <v>21</v>
      </c>
      <c r="K7" s="4">
        <v>1057860</v>
      </c>
      <c r="L7" s="4">
        <v>15868</v>
      </c>
      <c r="M7" s="2" t="s">
        <v>22</v>
      </c>
      <c r="N7" s="2" t="s">
        <v>151</v>
      </c>
      <c r="O7" s="2" t="s">
        <v>675</v>
      </c>
      <c r="P7" s="4">
        <f>VLOOKUP(O7,[1]working!$B$2:$AA$231,26,0)</f>
        <v>15868</v>
      </c>
      <c r="Q7" s="7">
        <f t="shared" si="0"/>
        <v>0</v>
      </c>
      <c r="R7" s="4">
        <f>VLOOKUP(O7,[1]working!$B$2:$Y$231,24,0)</f>
        <v>1057860</v>
      </c>
      <c r="S7" s="16">
        <f t="shared" si="1"/>
        <v>0</v>
      </c>
      <c r="T7" s="2"/>
    </row>
    <row r="8" spans="1:20" x14ac:dyDescent="0.25">
      <c r="A8" s="2" t="s">
        <v>54</v>
      </c>
      <c r="B8" s="2" t="s">
        <v>15</v>
      </c>
      <c r="C8" s="2" t="s">
        <v>55</v>
      </c>
      <c r="D8" s="2" t="s">
        <v>56</v>
      </c>
      <c r="E8" s="2" t="s">
        <v>57</v>
      </c>
      <c r="F8" s="2" t="s">
        <v>58</v>
      </c>
      <c r="G8" s="2" t="s">
        <v>59</v>
      </c>
      <c r="H8" s="3">
        <v>45493</v>
      </c>
      <c r="I8" s="3">
        <v>45858</v>
      </c>
      <c r="J8" s="2" t="s">
        <v>21</v>
      </c>
      <c r="K8" s="4">
        <v>1277573</v>
      </c>
      <c r="L8" s="4">
        <v>19164</v>
      </c>
      <c r="M8" s="2" t="s">
        <v>29</v>
      </c>
      <c r="N8" s="2" t="s">
        <v>151</v>
      </c>
      <c r="O8" s="2" t="s">
        <v>676</v>
      </c>
      <c r="P8" s="4">
        <f>VLOOKUP(O8,[1]working!$B$2:$AA$231,26,0)</f>
        <v>19164</v>
      </c>
      <c r="Q8" s="7">
        <f t="shared" si="0"/>
        <v>0</v>
      </c>
      <c r="R8" s="4">
        <f>VLOOKUP(O8,[1]working!$B$2:$Y$231,24,0)</f>
        <v>1277573</v>
      </c>
      <c r="S8" s="16">
        <f t="shared" si="1"/>
        <v>0</v>
      </c>
      <c r="T8" s="2"/>
    </row>
    <row r="9" spans="1:20" x14ac:dyDescent="0.25">
      <c r="A9" s="2" t="s">
        <v>60</v>
      </c>
      <c r="B9" s="2" t="s">
        <v>15</v>
      </c>
      <c r="C9" s="2" t="s">
        <v>61</v>
      </c>
      <c r="D9" s="2" t="s">
        <v>50</v>
      </c>
      <c r="E9" s="2" t="s">
        <v>62</v>
      </c>
      <c r="F9" s="2" t="s">
        <v>63</v>
      </c>
      <c r="G9" s="2" t="s">
        <v>64</v>
      </c>
      <c r="H9" s="3">
        <v>45509</v>
      </c>
      <c r="I9" s="3">
        <v>45874</v>
      </c>
      <c r="J9" s="2" t="s">
        <v>21</v>
      </c>
      <c r="K9" s="4">
        <v>1057860</v>
      </c>
      <c r="L9" s="4">
        <v>15868</v>
      </c>
      <c r="M9" s="2" t="s">
        <v>22</v>
      </c>
      <c r="N9" s="2" t="s">
        <v>151</v>
      </c>
      <c r="O9" s="2" t="s">
        <v>677</v>
      </c>
      <c r="P9" s="4">
        <f>VLOOKUP(O9,[1]working!$B$2:$AA$231,26,0)</f>
        <v>15868</v>
      </c>
      <c r="Q9" s="7">
        <f t="shared" si="0"/>
        <v>0</v>
      </c>
      <c r="R9" s="4">
        <f>VLOOKUP(O9,[1]working!$B$2:$Y$231,24,0)</f>
        <v>1057860</v>
      </c>
      <c r="S9" s="16">
        <f t="shared" si="1"/>
        <v>0</v>
      </c>
      <c r="T9" s="2"/>
    </row>
    <row r="10" spans="1:20" x14ac:dyDescent="0.25">
      <c r="A10" s="2" t="s">
        <v>65</v>
      </c>
      <c r="B10" s="2" t="s">
        <v>15</v>
      </c>
      <c r="C10" s="2" t="s">
        <v>66</v>
      </c>
      <c r="D10" s="2" t="s">
        <v>67</v>
      </c>
      <c r="E10" s="2" t="s">
        <v>68</v>
      </c>
      <c r="F10" s="2" t="s">
        <v>69</v>
      </c>
      <c r="G10" s="2" t="s">
        <v>70</v>
      </c>
      <c r="H10" s="3">
        <v>45488</v>
      </c>
      <c r="I10" s="3">
        <v>45853</v>
      </c>
      <c r="J10" s="2" t="s">
        <v>21</v>
      </c>
      <c r="K10" s="4">
        <v>1415070</v>
      </c>
      <c r="L10" s="4">
        <v>21226</v>
      </c>
      <c r="M10" s="2" t="s">
        <v>22</v>
      </c>
      <c r="N10" s="2" t="s">
        <v>151</v>
      </c>
      <c r="O10" s="2" t="s">
        <v>678</v>
      </c>
      <c r="P10" s="4">
        <f>VLOOKUP(O10,[1]working!$B$2:$AA$231,26,0)</f>
        <v>21226</v>
      </c>
      <c r="Q10" s="7">
        <f t="shared" si="0"/>
        <v>0</v>
      </c>
      <c r="R10" s="4">
        <f>VLOOKUP(O10,[1]working!$B$2:$Y$231,24,0)</f>
        <v>1415070</v>
      </c>
      <c r="S10" s="16">
        <f t="shared" si="1"/>
        <v>0</v>
      </c>
      <c r="T10" s="2"/>
    </row>
    <row r="11" spans="1:20" x14ac:dyDescent="0.25">
      <c r="A11" s="2" t="s">
        <v>71</v>
      </c>
      <c r="B11" s="2" t="s">
        <v>15</v>
      </c>
      <c r="C11" s="2" t="s">
        <v>72</v>
      </c>
      <c r="D11" s="2" t="s">
        <v>38</v>
      </c>
      <c r="E11" s="2" t="s">
        <v>73</v>
      </c>
      <c r="F11" s="2" t="s">
        <v>74</v>
      </c>
      <c r="G11" s="2" t="s">
        <v>75</v>
      </c>
      <c r="H11" s="3">
        <v>45488</v>
      </c>
      <c r="I11" s="3">
        <v>45853</v>
      </c>
      <c r="J11" s="2" t="s">
        <v>21</v>
      </c>
      <c r="K11" s="4">
        <v>1252260</v>
      </c>
      <c r="L11" s="4">
        <v>18784</v>
      </c>
      <c r="M11" s="2" t="s">
        <v>22</v>
      </c>
      <c r="N11" s="2" t="s">
        <v>151</v>
      </c>
      <c r="O11" s="2" t="s">
        <v>679</v>
      </c>
      <c r="P11" s="4">
        <f>VLOOKUP(O11,[1]working!$B$2:$AA$231,26,0)</f>
        <v>18784</v>
      </c>
      <c r="Q11" s="7">
        <f t="shared" si="0"/>
        <v>0</v>
      </c>
      <c r="R11" s="4">
        <f>VLOOKUP(O11,[1]working!$B$2:$Y$231,24,0)</f>
        <v>1252260</v>
      </c>
      <c r="S11" s="16">
        <f t="shared" si="1"/>
        <v>0</v>
      </c>
      <c r="T11" s="2"/>
    </row>
    <row r="12" spans="1:20" x14ac:dyDescent="0.25">
      <c r="A12" s="2" t="s">
        <v>76</v>
      </c>
      <c r="B12" s="2" t="s">
        <v>15</v>
      </c>
      <c r="C12" s="2" t="s">
        <v>77</v>
      </c>
      <c r="D12" s="2" t="s">
        <v>38</v>
      </c>
      <c r="E12" s="2" t="s">
        <v>78</v>
      </c>
      <c r="F12" s="2" t="s">
        <v>79</v>
      </c>
      <c r="G12" s="2" t="s">
        <v>80</v>
      </c>
      <c r="H12" s="3">
        <v>45488</v>
      </c>
      <c r="I12" s="3">
        <v>45853</v>
      </c>
      <c r="J12" s="2" t="s">
        <v>21</v>
      </c>
      <c r="K12" s="4">
        <v>1252260</v>
      </c>
      <c r="L12" s="4">
        <v>18784</v>
      </c>
      <c r="M12" s="2" t="s">
        <v>22</v>
      </c>
      <c r="N12" s="2" t="s">
        <v>151</v>
      </c>
      <c r="O12" s="2" t="s">
        <v>680</v>
      </c>
      <c r="P12" s="4">
        <f>VLOOKUP(O12,[1]working!$B$2:$AA$231,26,0)</f>
        <v>18784</v>
      </c>
      <c r="Q12" s="7">
        <f t="shared" si="0"/>
        <v>0</v>
      </c>
      <c r="R12" s="4">
        <f>VLOOKUP(O12,[1]working!$B$2:$Y$231,24,0)</f>
        <v>1252260</v>
      </c>
      <c r="S12" s="16">
        <f t="shared" si="1"/>
        <v>0</v>
      </c>
      <c r="T12" s="2"/>
    </row>
    <row r="13" spans="1:20" x14ac:dyDescent="0.25">
      <c r="A13" s="2" t="s">
        <v>81</v>
      </c>
      <c r="B13" s="2" t="s">
        <v>15</v>
      </c>
      <c r="C13" s="2" t="s">
        <v>82</v>
      </c>
      <c r="D13" s="2" t="s">
        <v>83</v>
      </c>
      <c r="E13" s="2" t="s">
        <v>84</v>
      </c>
      <c r="F13" s="2" t="s">
        <v>85</v>
      </c>
      <c r="G13" s="2" t="s">
        <v>86</v>
      </c>
      <c r="H13" s="3">
        <v>45514</v>
      </c>
      <c r="I13" s="3">
        <v>45879</v>
      </c>
      <c r="J13" s="2" t="s">
        <v>21</v>
      </c>
      <c r="K13" s="4">
        <v>3055320</v>
      </c>
      <c r="L13" s="4">
        <v>45830</v>
      </c>
      <c r="M13" s="2" t="s">
        <v>22</v>
      </c>
      <c r="N13" s="2" t="s">
        <v>151</v>
      </c>
      <c r="O13" s="2" t="s">
        <v>681</v>
      </c>
      <c r="P13" s="4">
        <f>VLOOKUP(O13,[1]working!$B$2:$AA$231,26,0)</f>
        <v>45830</v>
      </c>
      <c r="Q13" s="7">
        <f t="shared" si="0"/>
        <v>0</v>
      </c>
      <c r="R13" s="4">
        <f>VLOOKUP(O13,[1]working!$B$2:$Y$231,24,0)</f>
        <v>3055320</v>
      </c>
      <c r="S13" s="16">
        <f t="shared" si="1"/>
        <v>0</v>
      </c>
      <c r="T13" s="2"/>
    </row>
    <row r="14" spans="1:20" x14ac:dyDescent="0.25">
      <c r="A14" s="2" t="s">
        <v>87</v>
      </c>
      <c r="B14" s="2" t="s">
        <v>15</v>
      </c>
      <c r="C14" s="2" t="s">
        <v>88</v>
      </c>
      <c r="D14" s="2" t="s">
        <v>89</v>
      </c>
      <c r="E14" s="2" t="s">
        <v>90</v>
      </c>
      <c r="F14" s="2" t="s">
        <v>91</v>
      </c>
      <c r="G14" s="2" t="s">
        <v>92</v>
      </c>
      <c r="H14" s="3">
        <v>45488</v>
      </c>
      <c r="I14" s="3">
        <v>45853</v>
      </c>
      <c r="J14" s="2" t="s">
        <v>21</v>
      </c>
      <c r="K14" s="4">
        <v>1580310</v>
      </c>
      <c r="L14" s="4">
        <v>23705</v>
      </c>
      <c r="M14" s="2" t="s">
        <v>22</v>
      </c>
      <c r="N14" s="2" t="s">
        <v>151</v>
      </c>
      <c r="O14" s="2" t="s">
        <v>682</v>
      </c>
      <c r="P14" s="4">
        <f>VLOOKUP(O14,[1]working!$B$2:$AA$231,26,0)</f>
        <v>23705</v>
      </c>
      <c r="Q14" s="7">
        <f t="shared" si="0"/>
        <v>0</v>
      </c>
      <c r="R14" s="4">
        <f>VLOOKUP(O14,[1]working!$B$2:$Y$231,24,0)</f>
        <v>1580310</v>
      </c>
      <c r="S14" s="16">
        <f t="shared" si="1"/>
        <v>0</v>
      </c>
      <c r="T14" s="2"/>
    </row>
    <row r="15" spans="1:20" x14ac:dyDescent="0.25">
      <c r="A15" s="2" t="s">
        <v>93</v>
      </c>
      <c r="B15" s="2" t="s">
        <v>15</v>
      </c>
      <c r="C15" s="2" t="s">
        <v>94</v>
      </c>
      <c r="D15" s="2" t="s">
        <v>95</v>
      </c>
      <c r="E15" s="2" t="s">
        <v>96</v>
      </c>
      <c r="F15" s="2" t="s">
        <v>97</v>
      </c>
      <c r="G15" s="2" t="s">
        <v>98</v>
      </c>
      <c r="H15" s="3">
        <v>45498</v>
      </c>
      <c r="I15" s="3">
        <v>45863</v>
      </c>
      <c r="J15" s="2" t="s">
        <v>21</v>
      </c>
      <c r="K15" s="4">
        <v>1984500</v>
      </c>
      <c r="L15" s="4">
        <v>29768</v>
      </c>
      <c r="M15" s="2" t="s">
        <v>22</v>
      </c>
      <c r="N15" s="2" t="s">
        <v>151</v>
      </c>
      <c r="O15" s="2" t="s">
        <v>683</v>
      </c>
      <c r="P15" s="4">
        <f>VLOOKUP(O15,[1]working!$B$2:$AA$231,26,0)</f>
        <v>29768</v>
      </c>
      <c r="Q15" s="7">
        <f t="shared" si="0"/>
        <v>0</v>
      </c>
      <c r="R15" s="4">
        <f>VLOOKUP(O15,[1]working!$B$2:$Y$231,24,0)</f>
        <v>1984500</v>
      </c>
      <c r="S15" s="16">
        <f t="shared" si="1"/>
        <v>0</v>
      </c>
      <c r="T15" s="2"/>
    </row>
    <row r="16" spans="1:20" x14ac:dyDescent="0.25">
      <c r="A16" s="2" t="s">
        <v>99</v>
      </c>
      <c r="B16" s="2" t="s">
        <v>15</v>
      </c>
      <c r="C16" s="2" t="s">
        <v>100</v>
      </c>
      <c r="D16" s="2" t="s">
        <v>67</v>
      </c>
      <c r="E16" s="2" t="s">
        <v>101</v>
      </c>
      <c r="F16" s="2" t="s">
        <v>102</v>
      </c>
      <c r="G16" s="2" t="s">
        <v>103</v>
      </c>
      <c r="H16" s="3">
        <v>45488</v>
      </c>
      <c r="I16" s="3">
        <v>45853</v>
      </c>
      <c r="J16" s="2" t="s">
        <v>21</v>
      </c>
      <c r="K16" s="4">
        <v>2385000</v>
      </c>
      <c r="L16" s="4">
        <v>35775</v>
      </c>
      <c r="M16" s="2" t="s">
        <v>22</v>
      </c>
      <c r="N16" s="2" t="s">
        <v>151</v>
      </c>
      <c r="O16" s="2" t="s">
        <v>684</v>
      </c>
      <c r="P16" s="4">
        <f>VLOOKUP(O16,[1]working!$B$2:$AA$231,26,0)</f>
        <v>35775</v>
      </c>
      <c r="Q16" s="7">
        <f t="shared" si="0"/>
        <v>0</v>
      </c>
      <c r="R16" s="4">
        <f>VLOOKUP(O16,[1]working!$B$2:$Y$231,24,0)</f>
        <v>2385000</v>
      </c>
      <c r="S16" s="16">
        <f t="shared" si="1"/>
        <v>0</v>
      </c>
      <c r="T16" s="2"/>
    </row>
    <row r="17" spans="1:20" x14ac:dyDescent="0.25">
      <c r="A17" s="2" t="s">
        <v>104</v>
      </c>
      <c r="B17" s="2" t="s">
        <v>15</v>
      </c>
      <c r="C17" s="2" t="s">
        <v>105</v>
      </c>
      <c r="D17" s="2" t="s">
        <v>67</v>
      </c>
      <c r="E17" s="2" t="s">
        <v>106</v>
      </c>
      <c r="F17" s="2" t="s">
        <v>107</v>
      </c>
      <c r="G17" s="2" t="s">
        <v>108</v>
      </c>
      <c r="H17" s="3">
        <v>45509</v>
      </c>
      <c r="I17" s="3">
        <v>45874</v>
      </c>
      <c r="J17" s="2" t="s">
        <v>21</v>
      </c>
      <c r="K17" s="4">
        <v>2326500</v>
      </c>
      <c r="L17" s="4">
        <v>34898</v>
      </c>
      <c r="M17" s="2" t="s">
        <v>22</v>
      </c>
      <c r="N17" s="2" t="s">
        <v>151</v>
      </c>
      <c r="O17" s="2" t="s">
        <v>685</v>
      </c>
      <c r="P17" s="4">
        <f>VLOOKUP(O17,[1]working!$B$2:$AA$231,26,0)</f>
        <v>34898</v>
      </c>
      <c r="Q17" s="7">
        <f t="shared" si="0"/>
        <v>0</v>
      </c>
      <c r="R17" s="4">
        <f>VLOOKUP(O17,[1]working!$B$2:$Y$231,24,0)</f>
        <v>2326500</v>
      </c>
      <c r="S17" s="16">
        <f t="shared" si="1"/>
        <v>0</v>
      </c>
      <c r="T17" s="2"/>
    </row>
    <row r="18" spans="1:20" x14ac:dyDescent="0.25">
      <c r="A18" s="2" t="s">
        <v>109</v>
      </c>
      <c r="B18" s="2" t="s">
        <v>15</v>
      </c>
      <c r="C18" s="2" t="s">
        <v>110</v>
      </c>
      <c r="D18" s="2" t="s">
        <v>111</v>
      </c>
      <c r="E18" s="2" t="s">
        <v>112</v>
      </c>
      <c r="F18" s="2" t="s">
        <v>113</v>
      </c>
      <c r="G18" s="2" t="s">
        <v>114</v>
      </c>
      <c r="H18" s="3">
        <v>45493</v>
      </c>
      <c r="I18" s="3">
        <v>45858</v>
      </c>
      <c r="J18" s="2" t="s">
        <v>21</v>
      </c>
      <c r="K18" s="4">
        <v>1710000</v>
      </c>
      <c r="L18" s="4">
        <v>25650</v>
      </c>
      <c r="M18" s="2" t="s">
        <v>22</v>
      </c>
      <c r="N18" s="2" t="s">
        <v>151</v>
      </c>
      <c r="O18" s="6" t="s">
        <v>773</v>
      </c>
      <c r="P18" s="4">
        <f>VLOOKUP(O18,[1]working!$B$2:$AA$231,26,0)</f>
        <v>25650</v>
      </c>
      <c r="Q18" s="7">
        <f t="shared" si="0"/>
        <v>0</v>
      </c>
      <c r="R18" s="4">
        <f>VLOOKUP(O18,[1]working!$B$2:$Y$231,24,0)</f>
        <v>1710000</v>
      </c>
      <c r="S18" s="16">
        <f t="shared" si="1"/>
        <v>0</v>
      </c>
      <c r="T18" s="2"/>
    </row>
    <row r="19" spans="1:20" x14ac:dyDescent="0.25">
      <c r="A19" s="2" t="s">
        <v>115</v>
      </c>
      <c r="B19" s="2" t="s">
        <v>15</v>
      </c>
      <c r="C19" s="2" t="s">
        <v>116</v>
      </c>
      <c r="D19" s="2" t="s">
        <v>38</v>
      </c>
      <c r="E19" s="2" t="s">
        <v>117</v>
      </c>
      <c r="F19" s="2" t="s">
        <v>118</v>
      </c>
      <c r="G19" s="2" t="s">
        <v>119</v>
      </c>
      <c r="H19" s="3">
        <v>45519</v>
      </c>
      <c r="I19" s="3">
        <v>45884</v>
      </c>
      <c r="J19" s="2" t="s">
        <v>21</v>
      </c>
      <c r="K19" s="4">
        <v>2350800</v>
      </c>
      <c r="L19" s="4">
        <v>35262</v>
      </c>
      <c r="M19" s="2" t="s">
        <v>22</v>
      </c>
      <c r="N19" s="2" t="s">
        <v>151</v>
      </c>
      <c r="O19" s="2" t="s">
        <v>686</v>
      </c>
      <c r="P19" s="4">
        <f>VLOOKUP(O19,[1]working!$B$2:$AA$231,26,0)</f>
        <v>35262</v>
      </c>
      <c r="Q19" s="7">
        <f t="shared" si="0"/>
        <v>0</v>
      </c>
      <c r="R19" s="4">
        <f>VLOOKUP(O19,[1]working!$B$2:$Y$231,24,0)</f>
        <v>2350800</v>
      </c>
      <c r="S19" s="16">
        <f t="shared" si="1"/>
        <v>0</v>
      </c>
      <c r="T19" s="2"/>
    </row>
    <row r="20" spans="1:20" x14ac:dyDescent="0.25">
      <c r="A20" s="2" t="s">
        <v>120</v>
      </c>
      <c r="B20" s="2" t="s">
        <v>15</v>
      </c>
      <c r="C20" s="2" t="s">
        <v>121</v>
      </c>
      <c r="D20" s="2" t="s">
        <v>122</v>
      </c>
      <c r="E20" s="2" t="s">
        <v>123</v>
      </c>
      <c r="F20" s="2" t="s">
        <v>124</v>
      </c>
      <c r="G20" s="2" t="s">
        <v>125</v>
      </c>
      <c r="H20" s="3">
        <v>45493</v>
      </c>
      <c r="I20" s="3">
        <v>45858</v>
      </c>
      <c r="J20" s="2" t="s">
        <v>21</v>
      </c>
      <c r="K20" s="4">
        <v>3150000</v>
      </c>
      <c r="L20" s="4">
        <v>47250</v>
      </c>
      <c r="M20" s="2" t="s">
        <v>22</v>
      </c>
      <c r="N20" s="2" t="s">
        <v>151</v>
      </c>
      <c r="O20" s="2" t="s">
        <v>687</v>
      </c>
      <c r="P20" s="4">
        <f>VLOOKUP(O20,[1]working!$B$2:$AA$231,26,0)</f>
        <v>47250</v>
      </c>
      <c r="Q20" s="7">
        <f t="shared" si="0"/>
        <v>0</v>
      </c>
      <c r="R20" s="4">
        <f>VLOOKUP(O20,[1]working!$B$2:$Y$231,24,0)</f>
        <v>3150000</v>
      </c>
      <c r="S20" s="16">
        <f t="shared" si="1"/>
        <v>0</v>
      </c>
      <c r="T20" s="2"/>
    </row>
    <row r="21" spans="1:20" x14ac:dyDescent="0.25">
      <c r="A21" s="2" t="s">
        <v>126</v>
      </c>
      <c r="B21" s="2" t="s">
        <v>15</v>
      </c>
      <c r="C21" s="2" t="s">
        <v>127</v>
      </c>
      <c r="D21" s="2" t="s">
        <v>128</v>
      </c>
      <c r="E21" s="2" t="s">
        <v>129</v>
      </c>
      <c r="F21" s="2" t="s">
        <v>130</v>
      </c>
      <c r="G21" s="2" t="s">
        <v>131</v>
      </c>
      <c r="H21" s="3">
        <v>45478</v>
      </c>
      <c r="I21" s="3">
        <v>45843</v>
      </c>
      <c r="J21" s="2" t="s">
        <v>21</v>
      </c>
      <c r="K21" s="4">
        <v>3271500</v>
      </c>
      <c r="L21" s="4">
        <v>49073</v>
      </c>
      <c r="M21" s="2" t="s">
        <v>22</v>
      </c>
      <c r="N21" s="2" t="s">
        <v>151</v>
      </c>
      <c r="O21" s="2" t="s">
        <v>688</v>
      </c>
      <c r="P21" s="4">
        <f>VLOOKUP(O21,[1]working!$B$2:$AA$231,26,0)</f>
        <v>49073</v>
      </c>
      <c r="Q21" s="7">
        <f t="shared" si="0"/>
        <v>0</v>
      </c>
      <c r="R21" s="4">
        <f>VLOOKUP(O21,[1]working!$B$2:$Y$231,24,0)</f>
        <v>3271500</v>
      </c>
      <c r="S21" s="16">
        <f t="shared" si="1"/>
        <v>0</v>
      </c>
      <c r="T21" s="2"/>
    </row>
    <row r="22" spans="1:20" x14ac:dyDescent="0.25">
      <c r="A22" s="2" t="s">
        <v>132</v>
      </c>
      <c r="B22" s="2" t="s">
        <v>15</v>
      </c>
      <c r="C22" s="2" t="s">
        <v>133</v>
      </c>
      <c r="D22" s="2" t="s">
        <v>134</v>
      </c>
      <c r="E22" s="2" t="s">
        <v>135</v>
      </c>
      <c r="F22" s="2" t="s">
        <v>136</v>
      </c>
      <c r="G22" s="2" t="s">
        <v>137</v>
      </c>
      <c r="H22" s="3">
        <v>45509</v>
      </c>
      <c r="I22" s="3">
        <v>45874</v>
      </c>
      <c r="J22" s="2" t="s">
        <v>21</v>
      </c>
      <c r="K22" s="4">
        <v>1115370</v>
      </c>
      <c r="L22" s="4">
        <v>22307</v>
      </c>
      <c r="M22" s="2" t="s">
        <v>138</v>
      </c>
      <c r="N22" s="2" t="s">
        <v>151</v>
      </c>
      <c r="O22" t="s">
        <v>775</v>
      </c>
      <c r="P22" s="4">
        <f>VLOOKUP(O22,[1]working!$B$2:$AA$231,26,0)</f>
        <v>22307</v>
      </c>
      <c r="Q22" s="7">
        <f t="shared" si="0"/>
        <v>0</v>
      </c>
      <c r="R22" s="4">
        <f>VLOOKUP(O22,[1]working!$B$2:$Y$231,24,0)</f>
        <v>1115370</v>
      </c>
      <c r="S22" s="16">
        <f t="shared" si="1"/>
        <v>0</v>
      </c>
      <c r="T22" s="2"/>
    </row>
    <row r="23" spans="1:20" x14ac:dyDescent="0.25">
      <c r="A23" s="2" t="s">
        <v>139</v>
      </c>
      <c r="B23" s="2" t="s">
        <v>15</v>
      </c>
      <c r="C23" s="2" t="s">
        <v>140</v>
      </c>
      <c r="D23" s="2" t="s">
        <v>141</v>
      </c>
      <c r="E23" s="2" t="s">
        <v>142</v>
      </c>
      <c r="F23" s="2" t="s">
        <v>143</v>
      </c>
      <c r="G23" s="2" t="s">
        <v>144</v>
      </c>
      <c r="H23" s="3">
        <v>45509</v>
      </c>
      <c r="I23" s="3">
        <v>45874</v>
      </c>
      <c r="J23" s="2" t="s">
        <v>21</v>
      </c>
      <c r="K23" s="4">
        <v>829967</v>
      </c>
      <c r="L23" s="4">
        <v>16599</v>
      </c>
      <c r="M23" s="2" t="s">
        <v>138</v>
      </c>
      <c r="N23" s="2" t="s">
        <v>151</v>
      </c>
      <c r="O23" t="s">
        <v>689</v>
      </c>
      <c r="P23" s="4">
        <f>VLOOKUP(O23,[1]working!$B$2:$AA$231,26,0)</f>
        <v>16599</v>
      </c>
      <c r="Q23" s="7">
        <f t="shared" si="0"/>
        <v>0</v>
      </c>
      <c r="R23" s="4">
        <f>VLOOKUP(O23,[1]working!$B$2:$Y$231,24,0)</f>
        <v>829967</v>
      </c>
      <c r="S23" s="16">
        <f t="shared" si="1"/>
        <v>0</v>
      </c>
      <c r="T23" s="2"/>
    </row>
    <row r="24" spans="1:20" x14ac:dyDescent="0.25">
      <c r="A24" s="2" t="s">
        <v>145</v>
      </c>
      <c r="B24" s="2" t="s">
        <v>15</v>
      </c>
      <c r="C24" s="2" t="s">
        <v>146</v>
      </c>
      <c r="D24" s="2" t="s">
        <v>147</v>
      </c>
      <c r="E24" s="2" t="s">
        <v>148</v>
      </c>
      <c r="F24" s="2" t="s">
        <v>149</v>
      </c>
      <c r="G24" s="2" t="s">
        <v>150</v>
      </c>
      <c r="H24" s="3">
        <v>45493</v>
      </c>
      <c r="I24" s="3">
        <v>45858</v>
      </c>
      <c r="J24" s="2" t="s">
        <v>21</v>
      </c>
      <c r="K24" s="4">
        <v>1053041</v>
      </c>
      <c r="L24" s="4">
        <v>21061</v>
      </c>
      <c r="M24" s="2" t="s">
        <v>138</v>
      </c>
      <c r="N24" s="2" t="s">
        <v>151</v>
      </c>
      <c r="O24" s="2" t="s">
        <v>690</v>
      </c>
      <c r="P24" s="4">
        <f>VLOOKUP(O24,[1]working!$B$2:$AA$231,26,0)</f>
        <v>21061</v>
      </c>
      <c r="Q24" s="7">
        <f t="shared" si="0"/>
        <v>0</v>
      </c>
      <c r="R24" s="4">
        <f>VLOOKUP(O24,[1]working!$B$2:$Y$231,24,0)</f>
        <v>1053041</v>
      </c>
      <c r="S24" s="16">
        <f t="shared" si="1"/>
        <v>0</v>
      </c>
      <c r="T24" s="2"/>
    </row>
    <row r="25" spans="1:20" x14ac:dyDescent="0.25">
      <c r="A25" s="2" t="s">
        <v>152</v>
      </c>
      <c r="B25" s="2" t="s">
        <v>153</v>
      </c>
      <c r="C25" s="2" t="s">
        <v>154</v>
      </c>
      <c r="D25" s="2" t="s">
        <v>155</v>
      </c>
      <c r="E25" s="2" t="s">
        <v>156</v>
      </c>
      <c r="F25" s="2" t="s">
        <v>157</v>
      </c>
      <c r="G25" s="2" t="s">
        <v>158</v>
      </c>
      <c r="H25" s="3">
        <v>45503</v>
      </c>
      <c r="I25" s="3">
        <v>45868</v>
      </c>
      <c r="J25" s="2" t="s">
        <v>21</v>
      </c>
      <c r="K25" s="4">
        <v>1075680</v>
      </c>
      <c r="L25" s="4">
        <v>16135</v>
      </c>
      <c r="M25" s="2" t="s">
        <v>22</v>
      </c>
      <c r="N25" s="2" t="s">
        <v>151</v>
      </c>
      <c r="O25" s="2" t="s">
        <v>748</v>
      </c>
      <c r="P25" s="4">
        <f>VLOOKUP(O25,[1]working!$B$2:$AA$231,26,0)</f>
        <v>16135</v>
      </c>
      <c r="Q25" s="7">
        <f t="shared" si="0"/>
        <v>0</v>
      </c>
      <c r="R25" s="4">
        <f>VLOOKUP(O25,[1]working!$B$2:$Y$231,24,0)</f>
        <v>1075680</v>
      </c>
      <c r="S25" s="16">
        <f t="shared" si="1"/>
        <v>0</v>
      </c>
      <c r="T25" s="2"/>
    </row>
    <row r="26" spans="1:20" x14ac:dyDescent="0.25">
      <c r="A26" s="2" t="s">
        <v>159</v>
      </c>
      <c r="B26" s="2" t="s">
        <v>153</v>
      </c>
      <c r="C26" s="2" t="s">
        <v>160</v>
      </c>
      <c r="D26" s="2" t="s">
        <v>67</v>
      </c>
      <c r="E26" s="12" t="s">
        <v>161</v>
      </c>
      <c r="F26" s="2" t="s">
        <v>162</v>
      </c>
      <c r="G26" s="8" t="s">
        <v>163</v>
      </c>
      <c r="H26" s="3">
        <v>45493</v>
      </c>
      <c r="I26" s="3">
        <v>45858</v>
      </c>
      <c r="J26" s="2" t="s">
        <v>21</v>
      </c>
      <c r="K26" s="9">
        <v>2641500</v>
      </c>
      <c r="L26" s="4">
        <v>39623</v>
      </c>
      <c r="M26" s="2" t="s">
        <v>22</v>
      </c>
      <c r="N26" s="2" t="s">
        <v>151</v>
      </c>
      <c r="O26" s="2" t="s">
        <v>747</v>
      </c>
      <c r="P26" s="4">
        <f>VLOOKUP(O26,[1]working!$B$2:$AA$231,26,0)</f>
        <v>39623</v>
      </c>
      <c r="Q26" s="7">
        <f t="shared" si="0"/>
        <v>0</v>
      </c>
      <c r="R26" s="4">
        <f>VLOOKUP(O26,[1]working!$B$2:$Y$231,24,0)</f>
        <v>2641500</v>
      </c>
      <c r="S26" s="16">
        <f t="shared" si="1"/>
        <v>0</v>
      </c>
      <c r="T26" s="2"/>
    </row>
    <row r="27" spans="1:20" x14ac:dyDescent="0.25">
      <c r="A27" s="2" t="s">
        <v>164</v>
      </c>
      <c r="B27" s="2" t="s">
        <v>165</v>
      </c>
      <c r="C27" s="2" t="s">
        <v>166</v>
      </c>
      <c r="D27" s="2" t="s">
        <v>167</v>
      </c>
      <c r="E27" s="2" t="s">
        <v>168</v>
      </c>
      <c r="F27" s="2" t="s">
        <v>169</v>
      </c>
      <c r="G27" s="8" t="s">
        <v>170</v>
      </c>
      <c r="H27" s="3">
        <v>45509</v>
      </c>
      <c r="I27" s="3">
        <v>45874</v>
      </c>
      <c r="J27" s="2" t="s">
        <v>21</v>
      </c>
      <c r="K27" s="9">
        <v>2085086</v>
      </c>
      <c r="L27" s="4">
        <v>41702</v>
      </c>
      <c r="M27" s="2" t="s">
        <v>138</v>
      </c>
      <c r="N27" s="2" t="s">
        <v>151</v>
      </c>
      <c r="O27" s="2" t="s">
        <v>691</v>
      </c>
      <c r="P27" s="4">
        <f>VLOOKUP(O27,[1]working!$B$2:$AA$231,26,0)</f>
        <v>41702</v>
      </c>
      <c r="Q27" s="7">
        <f t="shared" si="0"/>
        <v>0</v>
      </c>
      <c r="R27" s="4">
        <f>VLOOKUP(O27,[1]working!$B$2:$Y$231,24,0)</f>
        <v>2085086</v>
      </c>
      <c r="S27" s="16">
        <f t="shared" si="1"/>
        <v>0</v>
      </c>
      <c r="T27" s="2"/>
    </row>
    <row r="28" spans="1:20" x14ac:dyDescent="0.25">
      <c r="A28" s="2" t="s">
        <v>171</v>
      </c>
      <c r="B28" s="2" t="s">
        <v>165</v>
      </c>
      <c r="C28" s="2" t="s">
        <v>172</v>
      </c>
      <c r="D28" s="2" t="s">
        <v>167</v>
      </c>
      <c r="E28" s="2" t="s">
        <v>173</v>
      </c>
      <c r="F28" s="2" t="s">
        <v>174</v>
      </c>
      <c r="G28" s="8" t="s">
        <v>175</v>
      </c>
      <c r="H28" s="3">
        <v>45509</v>
      </c>
      <c r="I28" s="3">
        <v>45874</v>
      </c>
      <c r="J28" s="2" t="s">
        <v>21</v>
      </c>
      <c r="K28" s="9">
        <v>2085086</v>
      </c>
      <c r="L28" s="4">
        <v>41702</v>
      </c>
      <c r="M28" s="2" t="s">
        <v>138</v>
      </c>
      <c r="N28" s="2" t="s">
        <v>151</v>
      </c>
      <c r="O28" s="2" t="s">
        <v>692</v>
      </c>
      <c r="P28" s="4">
        <f>VLOOKUP(O28,[1]working!$B$2:$AA$231,26,0)</f>
        <v>41702</v>
      </c>
      <c r="Q28" s="7">
        <f t="shared" si="0"/>
        <v>0</v>
      </c>
      <c r="R28" s="4">
        <f>VLOOKUP(O28,[1]working!$B$2:$Y$231,24,0)</f>
        <v>2085086</v>
      </c>
      <c r="S28" s="16">
        <f t="shared" si="1"/>
        <v>0</v>
      </c>
      <c r="T28" s="2"/>
    </row>
    <row r="29" spans="1:20" x14ac:dyDescent="0.25">
      <c r="A29" s="2" t="s">
        <v>176</v>
      </c>
      <c r="B29" s="2" t="s">
        <v>177</v>
      </c>
      <c r="C29" s="2" t="s">
        <v>178</v>
      </c>
      <c r="D29" s="2" t="s">
        <v>179</v>
      </c>
      <c r="E29" s="2" t="s">
        <v>180</v>
      </c>
      <c r="F29" s="2" t="s">
        <v>181</v>
      </c>
      <c r="G29" s="8" t="s">
        <v>182</v>
      </c>
      <c r="H29" s="3">
        <v>45498</v>
      </c>
      <c r="I29" s="3">
        <v>45863</v>
      </c>
      <c r="J29" s="2" t="s">
        <v>21</v>
      </c>
      <c r="K29" s="9">
        <v>1797390</v>
      </c>
      <c r="L29" s="4">
        <v>26961</v>
      </c>
      <c r="M29" s="2" t="s">
        <v>22</v>
      </c>
      <c r="N29" s="2" t="s">
        <v>151</v>
      </c>
      <c r="O29" s="2" t="s">
        <v>693</v>
      </c>
      <c r="P29" s="4">
        <f>VLOOKUP(O29,[1]working!$B$2:$AA$231,26,0)</f>
        <v>26961</v>
      </c>
      <c r="Q29" s="7">
        <f t="shared" si="0"/>
        <v>0</v>
      </c>
      <c r="R29" s="4">
        <f>VLOOKUP(O29,[1]working!$B$2:$Y$231,24,0)</f>
        <v>1797390</v>
      </c>
      <c r="S29" s="16">
        <f t="shared" si="1"/>
        <v>0</v>
      </c>
      <c r="T29" s="2"/>
    </row>
    <row r="30" spans="1:20" x14ac:dyDescent="0.25">
      <c r="A30" s="2" t="s">
        <v>183</v>
      </c>
      <c r="B30" s="2" t="s">
        <v>177</v>
      </c>
      <c r="C30" s="2" t="s">
        <v>184</v>
      </c>
      <c r="D30" s="2" t="s">
        <v>185</v>
      </c>
      <c r="E30" s="2" t="s">
        <v>186</v>
      </c>
      <c r="F30" s="2" t="s">
        <v>187</v>
      </c>
      <c r="G30" s="8" t="s">
        <v>188</v>
      </c>
      <c r="H30" s="3">
        <v>45514</v>
      </c>
      <c r="I30" s="3">
        <v>45879</v>
      </c>
      <c r="J30" s="2" t="s">
        <v>21</v>
      </c>
      <c r="K30" s="9">
        <v>3240000</v>
      </c>
      <c r="L30" s="4">
        <v>48600</v>
      </c>
      <c r="M30" s="2" t="s">
        <v>22</v>
      </c>
      <c r="N30" s="2" t="s">
        <v>151</v>
      </c>
      <c r="O30" s="2" t="s">
        <v>695</v>
      </c>
      <c r="P30" s="4">
        <f>VLOOKUP(O30,[1]working!$B$2:$AA$231,26,0)</f>
        <v>48600</v>
      </c>
      <c r="Q30" s="7">
        <f t="shared" si="0"/>
        <v>0</v>
      </c>
      <c r="R30" s="4">
        <f>VLOOKUP(O30,[1]working!$B$2:$Y$231,24,0)</f>
        <v>3240000</v>
      </c>
      <c r="S30" s="16">
        <f t="shared" si="1"/>
        <v>0</v>
      </c>
      <c r="T30" s="2"/>
    </row>
    <row r="31" spans="1:20" x14ac:dyDescent="0.25">
      <c r="A31" s="2" t="s">
        <v>189</v>
      </c>
      <c r="B31" s="2" t="s">
        <v>177</v>
      </c>
      <c r="C31" s="2" t="s">
        <v>190</v>
      </c>
      <c r="D31" s="2" t="s">
        <v>191</v>
      </c>
      <c r="E31" s="2" t="s">
        <v>192</v>
      </c>
      <c r="F31" s="2" t="s">
        <v>193</v>
      </c>
      <c r="G31" s="8" t="s">
        <v>194</v>
      </c>
      <c r="H31" s="3">
        <v>45493</v>
      </c>
      <c r="I31" s="3">
        <v>45858</v>
      </c>
      <c r="J31" s="2" t="s">
        <v>21</v>
      </c>
      <c r="K31" s="9">
        <v>2250000</v>
      </c>
      <c r="L31" s="4">
        <v>33750</v>
      </c>
      <c r="M31" s="2" t="s">
        <v>22</v>
      </c>
      <c r="N31" s="2" t="s">
        <v>151</v>
      </c>
      <c r="O31" s="2" t="s">
        <v>694</v>
      </c>
      <c r="P31" s="4">
        <f>VLOOKUP(O31,[1]working!$B$2:$AA$231,26,0)</f>
        <v>33750</v>
      </c>
      <c r="Q31" s="7">
        <f t="shared" si="0"/>
        <v>0</v>
      </c>
      <c r="R31" s="4">
        <f>VLOOKUP(O31,[1]working!$B$2:$Y$231,24,0)</f>
        <v>2250000</v>
      </c>
      <c r="S31" s="16">
        <f t="shared" si="1"/>
        <v>0</v>
      </c>
      <c r="T31" s="2"/>
    </row>
    <row r="32" spans="1:20" x14ac:dyDescent="0.25">
      <c r="A32" s="2" t="s">
        <v>195</v>
      </c>
      <c r="B32" s="2" t="s">
        <v>177</v>
      </c>
      <c r="C32" s="2" t="s">
        <v>196</v>
      </c>
      <c r="D32" s="2" t="s">
        <v>197</v>
      </c>
      <c r="E32" s="2" t="s">
        <v>198</v>
      </c>
      <c r="F32" s="2" t="s">
        <v>199</v>
      </c>
      <c r="G32" s="8" t="s">
        <v>200</v>
      </c>
      <c r="H32" s="3">
        <v>45514</v>
      </c>
      <c r="I32" s="3">
        <v>45879</v>
      </c>
      <c r="J32" s="2" t="s">
        <v>21</v>
      </c>
      <c r="K32" s="9">
        <v>900000</v>
      </c>
      <c r="L32" s="4">
        <v>13500</v>
      </c>
      <c r="M32" s="2" t="s">
        <v>22</v>
      </c>
      <c r="N32" s="2" t="s">
        <v>151</v>
      </c>
      <c r="O32" s="2" t="s">
        <v>696</v>
      </c>
      <c r="P32" s="4">
        <f>VLOOKUP(O32,[1]working!$B$2:$AA$231,26,0)</f>
        <v>13500</v>
      </c>
      <c r="Q32" s="7">
        <f t="shared" si="0"/>
        <v>0</v>
      </c>
      <c r="R32" s="4">
        <f>VLOOKUP(O32,[1]working!$B$2:$Y$231,24,0)</f>
        <v>900000</v>
      </c>
      <c r="S32" s="16">
        <f t="shared" si="1"/>
        <v>0</v>
      </c>
      <c r="T32" s="2"/>
    </row>
    <row r="33" spans="1:20" x14ac:dyDescent="0.25">
      <c r="A33" s="2" t="s">
        <v>201</v>
      </c>
      <c r="B33" s="2" t="s">
        <v>177</v>
      </c>
      <c r="C33" s="2" t="s">
        <v>202</v>
      </c>
      <c r="D33" s="2" t="s">
        <v>67</v>
      </c>
      <c r="E33" s="2" t="s">
        <v>203</v>
      </c>
      <c r="F33" s="2" t="s">
        <v>204</v>
      </c>
      <c r="G33" s="8" t="s">
        <v>205</v>
      </c>
      <c r="H33" s="3">
        <v>45509</v>
      </c>
      <c r="I33" s="3">
        <v>45874</v>
      </c>
      <c r="J33" s="2" t="s">
        <v>21</v>
      </c>
      <c r="K33" s="9">
        <v>2641500</v>
      </c>
      <c r="L33" s="4">
        <v>39623</v>
      </c>
      <c r="M33" s="2" t="s">
        <v>22</v>
      </c>
      <c r="N33" s="2" t="s">
        <v>151</v>
      </c>
      <c r="O33" s="2" t="s">
        <v>776</v>
      </c>
      <c r="P33" s="4">
        <f>VLOOKUP(O33,[1]working!$B$2:$AA$231,26,0)</f>
        <v>39623</v>
      </c>
      <c r="Q33" s="7">
        <f t="shared" si="0"/>
        <v>0</v>
      </c>
      <c r="R33" s="4">
        <f>VLOOKUP(O33,[1]working!$B$2:$Y$231,24,0)</f>
        <v>2641500</v>
      </c>
      <c r="S33" s="16">
        <f t="shared" si="1"/>
        <v>0</v>
      </c>
      <c r="T33" s="2"/>
    </row>
    <row r="34" spans="1:20" x14ac:dyDescent="0.25">
      <c r="A34" s="2" t="s">
        <v>206</v>
      </c>
      <c r="B34" s="2" t="s">
        <v>177</v>
      </c>
      <c r="C34" s="2" t="s">
        <v>207</v>
      </c>
      <c r="D34" s="2" t="s">
        <v>208</v>
      </c>
      <c r="E34" s="2" t="s">
        <v>209</v>
      </c>
      <c r="F34" s="2" t="s">
        <v>210</v>
      </c>
      <c r="G34" s="2" t="s">
        <v>211</v>
      </c>
      <c r="H34" s="3">
        <v>45498</v>
      </c>
      <c r="I34" s="3">
        <v>45863</v>
      </c>
      <c r="J34" s="2" t="s">
        <v>21</v>
      </c>
      <c r="K34" s="4">
        <v>917228</v>
      </c>
      <c r="L34" s="4">
        <v>18345</v>
      </c>
      <c r="M34" s="2" t="s">
        <v>138</v>
      </c>
      <c r="N34" s="2" t="s">
        <v>151</v>
      </c>
      <c r="O34" s="2" t="s">
        <v>697</v>
      </c>
      <c r="P34" s="4">
        <f>VLOOKUP(O34,[1]working!$B$2:$AA$231,26,0)</f>
        <v>18345</v>
      </c>
      <c r="Q34" s="7">
        <f t="shared" si="0"/>
        <v>0</v>
      </c>
      <c r="R34" s="4">
        <f>VLOOKUP(O34,[1]working!$B$2:$Y$231,24,0)</f>
        <v>917228</v>
      </c>
      <c r="S34" s="16">
        <f t="shared" si="1"/>
        <v>0</v>
      </c>
      <c r="T34" s="2"/>
    </row>
    <row r="35" spans="1:20" x14ac:dyDescent="0.25">
      <c r="A35" s="2" t="s">
        <v>212</v>
      </c>
      <c r="B35" s="2" t="s">
        <v>177</v>
      </c>
      <c r="C35" s="2" t="s">
        <v>213</v>
      </c>
      <c r="D35" s="2" t="s">
        <v>214</v>
      </c>
      <c r="E35" s="2" t="s">
        <v>215</v>
      </c>
      <c r="F35" s="2" t="s">
        <v>216</v>
      </c>
      <c r="G35" s="8" t="s">
        <v>217</v>
      </c>
      <c r="H35" s="3">
        <v>45498</v>
      </c>
      <c r="I35" s="3">
        <v>45863</v>
      </c>
      <c r="J35" s="2" t="s">
        <v>21</v>
      </c>
      <c r="K35" s="9">
        <v>1240029</v>
      </c>
      <c r="L35" s="4">
        <v>24801</v>
      </c>
      <c r="M35" s="2" t="s">
        <v>138</v>
      </c>
      <c r="N35" s="2" t="s">
        <v>151</v>
      </c>
      <c r="O35" s="2" t="s">
        <v>698</v>
      </c>
      <c r="P35" s="4">
        <f>VLOOKUP(O35,[1]working!$B$2:$AA$231,26,0)</f>
        <v>24801</v>
      </c>
      <c r="Q35" s="7">
        <f t="shared" si="0"/>
        <v>0</v>
      </c>
      <c r="R35" s="4">
        <f>VLOOKUP(O35,[1]working!$B$2:$Y$231,24,0)</f>
        <v>1240029</v>
      </c>
      <c r="S35" s="16">
        <f t="shared" si="1"/>
        <v>0</v>
      </c>
      <c r="T35" s="2"/>
    </row>
    <row r="36" spans="1:20" x14ac:dyDescent="0.25">
      <c r="A36" s="2" t="s">
        <v>218</v>
      </c>
      <c r="B36" s="2" t="s">
        <v>177</v>
      </c>
      <c r="C36" s="2" t="s">
        <v>219</v>
      </c>
      <c r="D36" s="2" t="s">
        <v>220</v>
      </c>
      <c r="E36" s="2" t="s">
        <v>221</v>
      </c>
      <c r="F36" s="2" t="s">
        <v>222</v>
      </c>
      <c r="G36" s="8" t="s">
        <v>223</v>
      </c>
      <c r="H36" s="3">
        <v>45505</v>
      </c>
      <c r="I36" s="3">
        <v>45870</v>
      </c>
      <c r="J36" s="2" t="s">
        <v>21</v>
      </c>
      <c r="K36" s="9">
        <v>1048448</v>
      </c>
      <c r="L36" s="4">
        <v>20969</v>
      </c>
      <c r="M36" s="2" t="s">
        <v>138</v>
      </c>
      <c r="N36" s="2" t="s">
        <v>151</v>
      </c>
      <c r="O36" s="2" t="s">
        <v>777</v>
      </c>
      <c r="P36" s="4">
        <f>VLOOKUP(O36,[1]working!$B$2:$AA$231,26,0)</f>
        <v>20969</v>
      </c>
      <c r="Q36" s="7">
        <f t="shared" si="0"/>
        <v>0</v>
      </c>
      <c r="R36" s="4">
        <f>VLOOKUP(O36,[1]working!$B$2:$Y$231,24,0)</f>
        <v>1048448</v>
      </c>
      <c r="S36" s="16">
        <f t="shared" si="1"/>
        <v>0</v>
      </c>
      <c r="T36" s="2"/>
    </row>
    <row r="37" spans="1:20" x14ac:dyDescent="0.25">
      <c r="A37" s="2" t="s">
        <v>224</v>
      </c>
      <c r="B37" s="2" t="s">
        <v>177</v>
      </c>
      <c r="C37" s="2" t="s">
        <v>225</v>
      </c>
      <c r="D37" s="2" t="s">
        <v>226</v>
      </c>
      <c r="E37" s="2" t="s">
        <v>227</v>
      </c>
      <c r="F37" s="2" t="s">
        <v>228</v>
      </c>
      <c r="G37" s="8" t="s">
        <v>229</v>
      </c>
      <c r="H37" s="3">
        <v>45505</v>
      </c>
      <c r="I37" s="3">
        <v>45870</v>
      </c>
      <c r="J37" s="2" t="s">
        <v>21</v>
      </c>
      <c r="K37" s="9">
        <v>1112090</v>
      </c>
      <c r="L37" s="4">
        <v>22242</v>
      </c>
      <c r="M37" s="2" t="s">
        <v>138</v>
      </c>
      <c r="N37" s="2" t="s">
        <v>151</v>
      </c>
      <c r="O37" s="2" t="s">
        <v>699</v>
      </c>
      <c r="P37" s="4">
        <f>VLOOKUP(O37,[1]working!$B$2:$AA$231,26,0)</f>
        <v>22242</v>
      </c>
      <c r="Q37" s="7">
        <f t="shared" si="0"/>
        <v>0</v>
      </c>
      <c r="R37" s="4">
        <f>VLOOKUP(O37,[1]working!$B$2:$Y$231,24,0)</f>
        <v>1112090</v>
      </c>
      <c r="S37" s="16">
        <f t="shared" si="1"/>
        <v>0</v>
      </c>
      <c r="T37" s="2"/>
    </row>
    <row r="38" spans="1:20" x14ac:dyDescent="0.25">
      <c r="A38" s="2" t="s">
        <v>230</v>
      </c>
      <c r="B38" s="2" t="s">
        <v>177</v>
      </c>
      <c r="C38" s="2" t="s">
        <v>231</v>
      </c>
      <c r="D38" s="2" t="s">
        <v>232</v>
      </c>
      <c r="E38" s="2" t="s">
        <v>233</v>
      </c>
      <c r="F38" s="2" t="s">
        <v>234</v>
      </c>
      <c r="G38" s="8" t="s">
        <v>235</v>
      </c>
      <c r="H38" s="3">
        <v>45514</v>
      </c>
      <c r="I38" s="3">
        <v>45879</v>
      </c>
      <c r="J38" s="2" t="s">
        <v>21</v>
      </c>
      <c r="K38" s="9">
        <v>1857492</v>
      </c>
      <c r="L38" s="4">
        <v>27862</v>
      </c>
      <c r="M38" s="2" t="s">
        <v>29</v>
      </c>
      <c r="N38" s="2" t="s">
        <v>151</v>
      </c>
      <c r="O38" s="2" t="s">
        <v>700</v>
      </c>
      <c r="P38" s="4">
        <f>VLOOKUP(O38,[1]working!$B$2:$AA$231,26,0)</f>
        <v>27862</v>
      </c>
      <c r="Q38" s="7">
        <f t="shared" si="0"/>
        <v>0</v>
      </c>
      <c r="R38" s="4">
        <f>VLOOKUP(O38,[1]working!$B$2:$Y$231,24,0)</f>
        <v>1857492</v>
      </c>
      <c r="S38" s="16">
        <f t="shared" si="1"/>
        <v>0</v>
      </c>
      <c r="T38" s="2"/>
    </row>
    <row r="39" spans="1:20" x14ac:dyDescent="0.25">
      <c r="A39" s="2" t="s">
        <v>236</v>
      </c>
      <c r="B39" s="2" t="s">
        <v>177</v>
      </c>
      <c r="C39" s="2" t="s">
        <v>237</v>
      </c>
      <c r="D39" s="2" t="s">
        <v>238</v>
      </c>
      <c r="E39" s="2" t="s">
        <v>239</v>
      </c>
      <c r="F39" s="2" t="s">
        <v>240</v>
      </c>
      <c r="G39" s="8" t="s">
        <v>241</v>
      </c>
      <c r="H39" s="3">
        <v>45498</v>
      </c>
      <c r="I39" s="3">
        <v>45863</v>
      </c>
      <c r="J39" s="2" t="s">
        <v>21</v>
      </c>
      <c r="K39" s="9">
        <v>1965384</v>
      </c>
      <c r="L39" s="4">
        <v>29481</v>
      </c>
      <c r="M39" s="2" t="s">
        <v>29</v>
      </c>
      <c r="N39" s="2" t="s">
        <v>151</v>
      </c>
      <c r="O39" s="2" t="s">
        <v>701</v>
      </c>
      <c r="P39" s="4">
        <f>VLOOKUP(O39,[1]working!$B$2:$AA$231,26,0)</f>
        <v>29481</v>
      </c>
      <c r="Q39" s="7">
        <f t="shared" si="0"/>
        <v>0</v>
      </c>
      <c r="R39" s="4">
        <f>VLOOKUP(O39,[1]working!$B$2:$Y$231,24,0)</f>
        <v>1965384</v>
      </c>
      <c r="S39" s="16">
        <f t="shared" si="1"/>
        <v>0</v>
      </c>
      <c r="T39" s="2"/>
    </row>
    <row r="40" spans="1:20" x14ac:dyDescent="0.25">
      <c r="A40" s="2" t="s">
        <v>242</v>
      </c>
      <c r="B40" s="2" t="s">
        <v>177</v>
      </c>
      <c r="C40" s="2" t="s">
        <v>243</v>
      </c>
      <c r="D40" s="2" t="s">
        <v>44</v>
      </c>
      <c r="E40" s="2" t="s">
        <v>244</v>
      </c>
      <c r="F40" s="2" t="s">
        <v>245</v>
      </c>
      <c r="G40" s="8" t="s">
        <v>246</v>
      </c>
      <c r="H40" s="3">
        <v>45514</v>
      </c>
      <c r="I40" s="3">
        <v>45879</v>
      </c>
      <c r="J40" s="2" t="s">
        <v>21</v>
      </c>
      <c r="K40" s="9">
        <v>1394509</v>
      </c>
      <c r="L40" s="4">
        <v>20918</v>
      </c>
      <c r="M40" s="2" t="s">
        <v>29</v>
      </c>
      <c r="N40" s="2" t="s">
        <v>151</v>
      </c>
      <c r="O40" s="2" t="s">
        <v>702</v>
      </c>
      <c r="P40" s="4">
        <f>VLOOKUP(O40,[1]working!$B$2:$AA$231,26,0)</f>
        <v>20918</v>
      </c>
      <c r="Q40" s="7">
        <f t="shared" si="0"/>
        <v>0</v>
      </c>
      <c r="R40" s="4">
        <f>VLOOKUP(O40,[1]working!$B$2:$Y$231,24,0)</f>
        <v>1394509</v>
      </c>
      <c r="S40" s="16">
        <f t="shared" si="1"/>
        <v>0</v>
      </c>
      <c r="T40" s="2"/>
    </row>
    <row r="41" spans="1:20" x14ac:dyDescent="0.25">
      <c r="A41" s="2" t="s">
        <v>247</v>
      </c>
      <c r="B41" s="2" t="s">
        <v>248</v>
      </c>
      <c r="C41" s="2" t="s">
        <v>249</v>
      </c>
      <c r="D41" s="2" t="s">
        <v>250</v>
      </c>
      <c r="E41" s="2" t="s">
        <v>251</v>
      </c>
      <c r="F41" s="2" t="s">
        <v>252</v>
      </c>
      <c r="G41" s="8" t="s">
        <v>253</v>
      </c>
      <c r="H41" s="3">
        <v>45498</v>
      </c>
      <c r="I41" s="3">
        <v>45863</v>
      </c>
      <c r="J41" s="2" t="s">
        <v>21</v>
      </c>
      <c r="K41" s="9">
        <v>2648700</v>
      </c>
      <c r="L41" s="4">
        <v>39731</v>
      </c>
      <c r="M41" s="2" t="s">
        <v>22</v>
      </c>
      <c r="N41" s="2" t="s">
        <v>151</v>
      </c>
      <c r="O41" s="2" t="s">
        <v>778</v>
      </c>
      <c r="P41" s="4">
        <f>VLOOKUP(O41,[1]working!$B$2:$AA$231,26,0)</f>
        <v>39731</v>
      </c>
      <c r="Q41" s="7">
        <f t="shared" si="0"/>
        <v>0</v>
      </c>
      <c r="R41" s="4">
        <f>VLOOKUP(O41,[1]working!$B$2:$Y$231,24,0)</f>
        <v>2648700</v>
      </c>
      <c r="S41" s="16">
        <f t="shared" si="1"/>
        <v>0</v>
      </c>
      <c r="T41" s="2"/>
    </row>
    <row r="42" spans="1:20" x14ac:dyDescent="0.25">
      <c r="A42" s="2" t="s">
        <v>254</v>
      </c>
      <c r="B42" s="2" t="s">
        <v>248</v>
      </c>
      <c r="C42" s="2" t="s">
        <v>255</v>
      </c>
      <c r="D42" s="2" t="s">
        <v>111</v>
      </c>
      <c r="E42" s="2" t="s">
        <v>256</v>
      </c>
      <c r="F42" s="8" t="s">
        <v>257</v>
      </c>
      <c r="G42" s="2" t="s">
        <v>258</v>
      </c>
      <c r="H42" s="3">
        <v>45514</v>
      </c>
      <c r="I42" s="3">
        <v>45879</v>
      </c>
      <c r="J42" s="2" t="s">
        <v>21</v>
      </c>
      <c r="K42" s="9">
        <v>1781190</v>
      </c>
      <c r="L42" s="4">
        <v>26718</v>
      </c>
      <c r="M42" s="2" t="s">
        <v>22</v>
      </c>
      <c r="N42" s="2" t="s">
        <v>151</v>
      </c>
      <c r="O42" t="s">
        <v>703</v>
      </c>
      <c r="P42" s="4">
        <f>VLOOKUP(O42,[1]working!$B$2:$AA$231,26,0)</f>
        <v>26718</v>
      </c>
      <c r="Q42" s="7">
        <f t="shared" si="0"/>
        <v>0</v>
      </c>
      <c r="R42" s="4">
        <f>VLOOKUP(O42,[1]working!$B$2:$Y$231,24,0)</f>
        <v>1781190</v>
      </c>
      <c r="S42" s="16">
        <f t="shared" si="1"/>
        <v>0</v>
      </c>
      <c r="T42" s="2"/>
    </row>
    <row r="43" spans="1:20" x14ac:dyDescent="0.25">
      <c r="A43" s="2" t="s">
        <v>259</v>
      </c>
      <c r="B43" s="2" t="s">
        <v>248</v>
      </c>
      <c r="C43" s="2" t="s">
        <v>260</v>
      </c>
      <c r="D43" s="2" t="s">
        <v>83</v>
      </c>
      <c r="E43" s="2" t="s">
        <v>261</v>
      </c>
      <c r="F43" s="2" t="s">
        <v>262</v>
      </c>
      <c r="G43" s="8" t="s">
        <v>263</v>
      </c>
      <c r="H43" s="3">
        <v>45519</v>
      </c>
      <c r="I43" s="3">
        <v>45884</v>
      </c>
      <c r="J43" s="2" t="s">
        <v>21</v>
      </c>
      <c r="K43" s="9">
        <v>3055320</v>
      </c>
      <c r="L43" s="4">
        <v>45830</v>
      </c>
      <c r="M43" s="2" t="s">
        <v>22</v>
      </c>
      <c r="N43" s="2" t="s">
        <v>151</v>
      </c>
      <c r="O43" s="2" t="s">
        <v>704</v>
      </c>
      <c r="P43" s="4">
        <f>VLOOKUP(O43,[1]working!$B$2:$AA$231,26,0)</f>
        <v>45830</v>
      </c>
      <c r="Q43" s="7">
        <f t="shared" si="0"/>
        <v>0</v>
      </c>
      <c r="R43" s="4">
        <f>VLOOKUP(O43,[1]working!$B$2:$Y$231,24,0)</f>
        <v>3055320</v>
      </c>
      <c r="S43" s="16">
        <f t="shared" si="1"/>
        <v>0</v>
      </c>
      <c r="T43" s="2"/>
    </row>
    <row r="44" spans="1:20" x14ac:dyDescent="0.25">
      <c r="A44" s="2" t="s">
        <v>264</v>
      </c>
      <c r="B44" s="2" t="s">
        <v>248</v>
      </c>
      <c r="C44" s="2" t="s">
        <v>265</v>
      </c>
      <c r="D44" s="2" t="s">
        <v>266</v>
      </c>
      <c r="E44" s="2" t="s">
        <v>267</v>
      </c>
      <c r="F44" s="2" t="s">
        <v>268</v>
      </c>
      <c r="G44" s="2" t="s">
        <v>269</v>
      </c>
      <c r="H44" s="3">
        <v>45488</v>
      </c>
      <c r="I44" s="3">
        <v>45853</v>
      </c>
      <c r="J44" s="2" t="s">
        <v>21</v>
      </c>
      <c r="K44" s="9">
        <v>4549050</v>
      </c>
      <c r="L44" s="4">
        <v>68236</v>
      </c>
      <c r="M44" s="2" t="s">
        <v>22</v>
      </c>
      <c r="N44" s="2" t="s">
        <v>151</v>
      </c>
      <c r="O44" s="2" t="s">
        <v>705</v>
      </c>
      <c r="P44" s="4">
        <f>VLOOKUP(O44,[1]working!$B$2:$AA$231,26,0)</f>
        <v>68236</v>
      </c>
      <c r="Q44" s="7">
        <f t="shared" si="0"/>
        <v>0</v>
      </c>
      <c r="R44" s="4">
        <f>VLOOKUP(O44,[1]working!$B$2:$Y$231,24,0)</f>
        <v>4549050</v>
      </c>
      <c r="S44" s="16">
        <f t="shared" si="1"/>
        <v>0</v>
      </c>
      <c r="T44" s="2"/>
    </row>
    <row r="45" spans="1:20" x14ac:dyDescent="0.25">
      <c r="A45" s="2" t="s">
        <v>270</v>
      </c>
      <c r="B45" s="2" t="s">
        <v>248</v>
      </c>
      <c r="C45" s="2" t="s">
        <v>271</v>
      </c>
      <c r="D45" s="2" t="s">
        <v>272</v>
      </c>
      <c r="E45" s="2" t="s">
        <v>273</v>
      </c>
      <c r="F45" s="2" t="s">
        <v>274</v>
      </c>
      <c r="G45" s="8" t="s">
        <v>275</v>
      </c>
      <c r="H45" s="3">
        <v>45514</v>
      </c>
      <c r="I45" s="3">
        <v>45879</v>
      </c>
      <c r="J45" s="2" t="s">
        <v>21</v>
      </c>
      <c r="K45" s="9">
        <v>1226527</v>
      </c>
      <c r="L45" s="4">
        <v>18398</v>
      </c>
      <c r="M45" s="2" t="s">
        <v>22</v>
      </c>
      <c r="N45" s="2" t="s">
        <v>151</v>
      </c>
      <c r="O45" s="2" t="s">
        <v>711</v>
      </c>
      <c r="P45" s="4">
        <f>VLOOKUP(O45,[1]working!$B$2:$AA$231,26,0)</f>
        <v>18398</v>
      </c>
      <c r="Q45" s="7">
        <f t="shared" si="0"/>
        <v>0</v>
      </c>
      <c r="R45" s="4">
        <f>VLOOKUP(O45,[1]working!$B$2:$Y$231,24,0)</f>
        <v>1226527</v>
      </c>
      <c r="S45" s="16">
        <f t="shared" si="1"/>
        <v>0</v>
      </c>
      <c r="T45" s="2"/>
    </row>
    <row r="46" spans="1:20" x14ac:dyDescent="0.25">
      <c r="A46" s="2" t="s">
        <v>276</v>
      </c>
      <c r="B46" s="2" t="s">
        <v>248</v>
      </c>
      <c r="C46" s="2" t="s">
        <v>277</v>
      </c>
      <c r="D46" s="2" t="s">
        <v>278</v>
      </c>
      <c r="E46" s="2" t="s">
        <v>279</v>
      </c>
      <c r="F46" s="2" t="s">
        <v>280</v>
      </c>
      <c r="G46" s="8" t="s">
        <v>281</v>
      </c>
      <c r="H46" s="3">
        <v>45488</v>
      </c>
      <c r="I46" s="3">
        <v>45853</v>
      </c>
      <c r="J46" s="2" t="s">
        <v>21</v>
      </c>
      <c r="K46" s="10">
        <v>1222533</v>
      </c>
      <c r="L46" s="4">
        <v>18338</v>
      </c>
      <c r="M46" s="2" t="s">
        <v>29</v>
      </c>
      <c r="N46" s="2" t="s">
        <v>151</v>
      </c>
      <c r="O46" s="2" t="s">
        <v>707</v>
      </c>
      <c r="P46" s="4">
        <f>VLOOKUP(O46,[1]working!$B$2:$AA$231,26,0)</f>
        <v>18338</v>
      </c>
      <c r="Q46" s="7">
        <f t="shared" si="0"/>
        <v>0</v>
      </c>
      <c r="R46" s="4">
        <f>VLOOKUP(O46,[1]working!$B$2:$Y$231,24,0)</f>
        <v>1222560</v>
      </c>
      <c r="S46" s="16">
        <f t="shared" si="1"/>
        <v>-27</v>
      </c>
      <c r="T46" s="2"/>
    </row>
    <row r="47" spans="1:20" x14ac:dyDescent="0.25">
      <c r="A47" s="2" t="s">
        <v>282</v>
      </c>
      <c r="B47" s="2" t="s">
        <v>248</v>
      </c>
      <c r="C47" s="2" t="s">
        <v>283</v>
      </c>
      <c r="D47" s="2" t="s">
        <v>284</v>
      </c>
      <c r="E47" s="2" t="s">
        <v>285</v>
      </c>
      <c r="F47" s="2" t="s">
        <v>286</v>
      </c>
      <c r="G47" s="8" t="s">
        <v>287</v>
      </c>
      <c r="H47" s="3">
        <v>45488</v>
      </c>
      <c r="I47" s="3">
        <v>45853</v>
      </c>
      <c r="J47" s="2" t="s">
        <v>21</v>
      </c>
      <c r="K47" s="9">
        <v>2940057</v>
      </c>
      <c r="L47" s="4">
        <v>44101</v>
      </c>
      <c r="M47" s="2" t="s">
        <v>29</v>
      </c>
      <c r="N47" s="2" t="s">
        <v>151</v>
      </c>
      <c r="O47" s="14" t="s">
        <v>708</v>
      </c>
      <c r="P47" s="4">
        <f>VLOOKUP(O47,[1]working!$B$2:$AA$231,26,0)</f>
        <v>58801</v>
      </c>
      <c r="Q47" s="7">
        <f t="shared" si="0"/>
        <v>-14700</v>
      </c>
      <c r="R47" s="4">
        <f>VLOOKUP(O47,[1]working!$B$2:$Y$231,24,0)</f>
        <v>2940057</v>
      </c>
      <c r="S47" s="16">
        <f t="shared" si="1"/>
        <v>0</v>
      </c>
      <c r="T47" s="2" t="s">
        <v>790</v>
      </c>
    </row>
    <row r="48" spans="1:20" x14ac:dyDescent="0.25">
      <c r="A48" s="2" t="s">
        <v>288</v>
      </c>
      <c r="B48" s="2" t="s">
        <v>248</v>
      </c>
      <c r="C48" s="2" t="s">
        <v>289</v>
      </c>
      <c r="D48" s="2" t="s">
        <v>290</v>
      </c>
      <c r="E48" s="2" t="s">
        <v>291</v>
      </c>
      <c r="F48" s="2" t="s">
        <v>292</v>
      </c>
      <c r="G48" s="8" t="s">
        <v>293</v>
      </c>
      <c r="H48" s="3">
        <v>45514</v>
      </c>
      <c r="I48" s="3">
        <v>45879</v>
      </c>
      <c r="J48" s="2" t="s">
        <v>21</v>
      </c>
      <c r="K48" s="9">
        <v>1226527</v>
      </c>
      <c r="L48" s="4">
        <v>18398</v>
      </c>
      <c r="M48" s="2" t="s">
        <v>22</v>
      </c>
      <c r="N48" s="2" t="s">
        <v>151</v>
      </c>
      <c r="O48" s="2" t="s">
        <v>779</v>
      </c>
      <c r="P48" s="4">
        <f>VLOOKUP(O48,[1]working!$B$2:$AA$231,26,0)</f>
        <v>18398</v>
      </c>
      <c r="Q48" s="7">
        <f t="shared" si="0"/>
        <v>0</v>
      </c>
      <c r="R48" s="4">
        <f>VLOOKUP(O48,[1]working!$B$2:$Y$231,24,0)</f>
        <v>1226527</v>
      </c>
      <c r="S48" s="16">
        <f t="shared" si="1"/>
        <v>0</v>
      </c>
      <c r="T48" s="2"/>
    </row>
    <row r="49" spans="1:20" x14ac:dyDescent="0.25">
      <c r="A49" s="2" t="s">
        <v>294</v>
      </c>
      <c r="B49" s="2" t="s">
        <v>248</v>
      </c>
      <c r="C49" s="2" t="s">
        <v>295</v>
      </c>
      <c r="D49" s="2" t="s">
        <v>296</v>
      </c>
      <c r="E49" s="2" t="s">
        <v>297</v>
      </c>
      <c r="F49" s="2" t="s">
        <v>298</v>
      </c>
      <c r="G49" s="8" t="s">
        <v>299</v>
      </c>
      <c r="H49" s="3">
        <v>45498</v>
      </c>
      <c r="I49" s="3">
        <v>45863</v>
      </c>
      <c r="J49" s="2" t="s">
        <v>21</v>
      </c>
      <c r="K49" s="9">
        <v>1965384</v>
      </c>
      <c r="L49" s="4">
        <v>29481</v>
      </c>
      <c r="M49" s="2" t="s">
        <v>29</v>
      </c>
      <c r="N49" s="2" t="s">
        <v>151</v>
      </c>
      <c r="O49" s="2" t="s">
        <v>780</v>
      </c>
      <c r="P49" s="4">
        <f>VLOOKUP(O49,[1]working!$B$2:$AA$231,26,0)</f>
        <v>29481</v>
      </c>
      <c r="Q49" s="7">
        <f t="shared" si="0"/>
        <v>0</v>
      </c>
      <c r="R49" s="4">
        <f>VLOOKUP(O49,[1]working!$B$2:$Y$231,24,0)</f>
        <v>1965384</v>
      </c>
      <c r="S49" s="16">
        <f t="shared" si="1"/>
        <v>0</v>
      </c>
      <c r="T49" s="2"/>
    </row>
    <row r="50" spans="1:20" x14ac:dyDescent="0.25">
      <c r="A50" s="2" t="s">
        <v>300</v>
      </c>
      <c r="B50" s="2" t="s">
        <v>248</v>
      </c>
      <c r="C50" s="2" t="s">
        <v>301</v>
      </c>
      <c r="D50" s="2" t="s">
        <v>302</v>
      </c>
      <c r="E50" s="2" t="s">
        <v>303</v>
      </c>
      <c r="F50" s="2" t="s">
        <v>304</v>
      </c>
      <c r="G50" s="8" t="s">
        <v>305</v>
      </c>
      <c r="H50" s="3">
        <v>45488</v>
      </c>
      <c r="I50" s="3">
        <v>45853</v>
      </c>
      <c r="J50" s="2" t="s">
        <v>21</v>
      </c>
      <c r="K50" s="10">
        <v>2190645</v>
      </c>
      <c r="L50" s="4">
        <v>32860</v>
      </c>
      <c r="M50" s="2" t="s">
        <v>29</v>
      </c>
      <c r="N50" s="2" t="s">
        <v>151</v>
      </c>
      <c r="O50" s="2" t="s">
        <v>710</v>
      </c>
      <c r="P50" s="4">
        <f>VLOOKUP(O50,[1]working!$B$2:$AA$231,26,0)</f>
        <v>32860</v>
      </c>
      <c r="Q50" s="7">
        <f t="shared" si="0"/>
        <v>0</v>
      </c>
      <c r="R50" s="4">
        <f>VLOOKUP(O50,[1]working!$B$2:$Y$231,24,0)</f>
        <v>2190672</v>
      </c>
      <c r="S50" s="16">
        <f t="shared" si="1"/>
        <v>-27</v>
      </c>
      <c r="T50" s="2"/>
    </row>
    <row r="51" spans="1:20" x14ac:dyDescent="0.25">
      <c r="A51" s="2" t="s">
        <v>306</v>
      </c>
      <c r="B51" s="2" t="s">
        <v>248</v>
      </c>
      <c r="C51" s="2" t="s">
        <v>307</v>
      </c>
      <c r="D51" s="2" t="s">
        <v>308</v>
      </c>
      <c r="E51" s="2" t="s">
        <v>309</v>
      </c>
      <c r="F51" s="2" t="s">
        <v>310</v>
      </c>
      <c r="G51" s="8" t="s">
        <v>275</v>
      </c>
      <c r="H51" s="3">
        <v>45505</v>
      </c>
      <c r="I51" s="3">
        <v>45870</v>
      </c>
      <c r="J51" s="2" t="s">
        <v>21</v>
      </c>
      <c r="K51" s="9">
        <v>1565892</v>
      </c>
      <c r="L51" s="4">
        <v>23488</v>
      </c>
      <c r="M51" s="2" t="s">
        <v>22</v>
      </c>
      <c r="N51" s="2" t="s">
        <v>151</v>
      </c>
      <c r="O51" s="2" t="s">
        <v>709</v>
      </c>
      <c r="P51" s="4">
        <f>VLOOKUP(O51,[1]working!$B$2:$AA$231,26,0)</f>
        <v>23488</v>
      </c>
      <c r="Q51" s="7">
        <f t="shared" si="0"/>
        <v>0</v>
      </c>
      <c r="R51" s="4">
        <f>VLOOKUP(O51,[1]working!$B$2:$Y$231,24,0)</f>
        <v>1565892</v>
      </c>
      <c r="S51" s="16">
        <f t="shared" si="1"/>
        <v>0</v>
      </c>
      <c r="T51" s="2"/>
    </row>
    <row r="52" spans="1:20" x14ac:dyDescent="0.25">
      <c r="A52" s="2" t="s">
        <v>311</v>
      </c>
      <c r="B52" s="2" t="s">
        <v>248</v>
      </c>
      <c r="C52" s="2" t="s">
        <v>312</v>
      </c>
      <c r="D52" s="2" t="s">
        <v>208</v>
      </c>
      <c r="E52" s="2" t="s">
        <v>313</v>
      </c>
      <c r="F52" s="2" t="s">
        <v>314</v>
      </c>
      <c r="G52" s="8" t="s">
        <v>315</v>
      </c>
      <c r="H52" s="3">
        <v>45514</v>
      </c>
      <c r="I52" s="3">
        <v>45879</v>
      </c>
      <c r="J52" s="2" t="s">
        <v>21</v>
      </c>
      <c r="K52" s="9">
        <v>1016869</v>
      </c>
      <c r="L52" s="4">
        <v>15253</v>
      </c>
      <c r="M52" s="2" t="s">
        <v>29</v>
      </c>
      <c r="N52" s="2" t="s">
        <v>151</v>
      </c>
      <c r="O52" s="2" t="s">
        <v>706</v>
      </c>
      <c r="P52" s="4">
        <f>VLOOKUP(O52,[1]working!$B$2:$AA$231,26,0)</f>
        <v>15253</v>
      </c>
      <c r="Q52" s="7">
        <f t="shared" si="0"/>
        <v>0</v>
      </c>
      <c r="R52" s="4">
        <f>VLOOKUP(O52,[1]working!$B$2:$Y$231,24,0)</f>
        <v>1016869</v>
      </c>
      <c r="S52" s="16">
        <f t="shared" si="1"/>
        <v>0</v>
      </c>
      <c r="T52" s="2"/>
    </row>
    <row r="53" spans="1:20" x14ac:dyDescent="0.25">
      <c r="A53" s="2" t="s">
        <v>316</v>
      </c>
      <c r="B53" s="2" t="s">
        <v>317</v>
      </c>
      <c r="C53" s="2" t="s">
        <v>318</v>
      </c>
      <c r="D53" s="2" t="s">
        <v>319</v>
      </c>
      <c r="E53" s="2" t="s">
        <v>320</v>
      </c>
      <c r="F53" s="2" t="s">
        <v>321</v>
      </c>
      <c r="G53" s="2" t="s">
        <v>322</v>
      </c>
      <c r="H53" s="3">
        <v>45493</v>
      </c>
      <c r="I53" s="3">
        <v>45858</v>
      </c>
      <c r="J53" s="2" t="s">
        <v>21</v>
      </c>
      <c r="K53" s="9">
        <v>3630420</v>
      </c>
      <c r="L53" s="4">
        <v>54456</v>
      </c>
      <c r="M53" s="2" t="s">
        <v>22</v>
      </c>
      <c r="N53" s="2" t="s">
        <v>151</v>
      </c>
      <c r="O53" s="2" t="s">
        <v>712</v>
      </c>
      <c r="P53" s="4">
        <f>VLOOKUP(O53,[1]working!$B$2:$AA$231,26,0)</f>
        <v>54456</v>
      </c>
      <c r="Q53" s="7">
        <f t="shared" si="0"/>
        <v>0</v>
      </c>
      <c r="R53" s="4">
        <f>VLOOKUP(O53,[1]working!$B$2:$Y$231,24,0)</f>
        <v>3630420</v>
      </c>
      <c r="S53" s="16">
        <f t="shared" si="1"/>
        <v>0</v>
      </c>
      <c r="T53" s="2"/>
    </row>
    <row r="54" spans="1:20" x14ac:dyDescent="0.25">
      <c r="A54" s="2" t="s">
        <v>323</v>
      </c>
      <c r="B54" s="2" t="s">
        <v>317</v>
      </c>
      <c r="C54" s="2" t="s">
        <v>324</v>
      </c>
      <c r="D54" s="2" t="s">
        <v>111</v>
      </c>
      <c r="E54" s="2" t="s">
        <v>325</v>
      </c>
      <c r="F54" s="2" t="s">
        <v>326</v>
      </c>
      <c r="G54" s="2" t="s">
        <v>327</v>
      </c>
      <c r="H54" s="3">
        <v>45493</v>
      </c>
      <c r="I54" s="3">
        <v>45858</v>
      </c>
      <c r="J54" s="2" t="s">
        <v>21</v>
      </c>
      <c r="K54" s="9">
        <v>1781190</v>
      </c>
      <c r="L54" s="4">
        <v>26718</v>
      </c>
      <c r="M54" s="2" t="s">
        <v>22</v>
      </c>
      <c r="N54" s="2" t="s">
        <v>151</v>
      </c>
      <c r="O54" s="2" t="s">
        <v>713</v>
      </c>
      <c r="P54" s="4">
        <f>VLOOKUP(O54,[1]working!$B$2:$AA$231,26,0)</f>
        <v>26718</v>
      </c>
      <c r="Q54" s="7">
        <f t="shared" si="0"/>
        <v>0</v>
      </c>
      <c r="R54" s="4">
        <f>VLOOKUP(O54,[1]working!$B$2:$Y$231,24,0)</f>
        <v>1781190</v>
      </c>
      <c r="S54" s="16">
        <f t="shared" si="1"/>
        <v>0</v>
      </c>
      <c r="T54" s="2"/>
    </row>
    <row r="55" spans="1:20" x14ac:dyDescent="0.25">
      <c r="A55" s="2" t="s">
        <v>328</v>
      </c>
      <c r="B55" s="2" t="s">
        <v>317</v>
      </c>
      <c r="C55" s="2" t="s">
        <v>329</v>
      </c>
      <c r="D55" s="2" t="s">
        <v>330</v>
      </c>
      <c r="E55" s="2" t="s">
        <v>331</v>
      </c>
      <c r="F55" s="2" t="s">
        <v>332</v>
      </c>
      <c r="G55" s="2" t="s">
        <v>333</v>
      </c>
      <c r="H55" s="3">
        <v>45493</v>
      </c>
      <c r="I55" s="3">
        <v>45858</v>
      </c>
      <c r="J55" s="2" t="s">
        <v>21</v>
      </c>
      <c r="K55" s="9">
        <v>3929400</v>
      </c>
      <c r="L55" s="4">
        <v>58941</v>
      </c>
      <c r="M55" s="2" t="s">
        <v>22</v>
      </c>
      <c r="N55" s="2" t="s">
        <v>151</v>
      </c>
      <c r="O55" s="2" t="s">
        <v>714</v>
      </c>
      <c r="P55" s="4">
        <f>VLOOKUP(O55,[1]working!$B$2:$AA$231,26,0)</f>
        <v>58941</v>
      </c>
      <c r="Q55" s="7">
        <f t="shared" si="0"/>
        <v>0</v>
      </c>
      <c r="R55" s="4">
        <f>VLOOKUP(O55,[1]working!$B$2:$Y$231,24,0)</f>
        <v>3929400</v>
      </c>
      <c r="S55" s="16">
        <f t="shared" si="1"/>
        <v>0</v>
      </c>
      <c r="T55" s="2"/>
    </row>
    <row r="56" spans="1:20" x14ac:dyDescent="0.25">
      <c r="A56" s="2" t="s">
        <v>334</v>
      </c>
      <c r="B56" s="2" t="s">
        <v>317</v>
      </c>
      <c r="C56" s="2" t="s">
        <v>335</v>
      </c>
      <c r="D56" s="2" t="s">
        <v>111</v>
      </c>
      <c r="E56" s="2" t="s">
        <v>336</v>
      </c>
      <c r="F56" s="2" t="s">
        <v>337</v>
      </c>
      <c r="G56" s="2" t="s">
        <v>338</v>
      </c>
      <c r="H56" s="3">
        <v>45493</v>
      </c>
      <c r="I56" s="3">
        <v>45858</v>
      </c>
      <c r="J56" s="2" t="s">
        <v>21</v>
      </c>
      <c r="K56" s="9">
        <v>1599750</v>
      </c>
      <c r="L56" s="4">
        <v>23996</v>
      </c>
      <c r="M56" s="2" t="s">
        <v>22</v>
      </c>
      <c r="N56" s="2" t="s">
        <v>151</v>
      </c>
      <c r="O56" s="2" t="s">
        <v>715</v>
      </c>
      <c r="P56" s="4">
        <f>VLOOKUP(O56,[1]working!$B$2:$AA$231,26,0)</f>
        <v>23996</v>
      </c>
      <c r="Q56" s="7">
        <f t="shared" si="0"/>
        <v>0</v>
      </c>
      <c r="R56" s="4">
        <f>VLOOKUP(O56,[1]working!$B$2:$Y$231,24,0)</f>
        <v>1599750</v>
      </c>
      <c r="S56" s="16">
        <f t="shared" si="1"/>
        <v>0</v>
      </c>
      <c r="T56" s="2"/>
    </row>
    <row r="57" spans="1:20" x14ac:dyDescent="0.25">
      <c r="A57" s="2" t="s">
        <v>339</v>
      </c>
      <c r="B57" s="2" t="s">
        <v>317</v>
      </c>
      <c r="C57" s="2" t="s">
        <v>340</v>
      </c>
      <c r="D57" s="2" t="s">
        <v>95</v>
      </c>
      <c r="E57" s="2" t="s">
        <v>341</v>
      </c>
      <c r="F57" s="2" t="s">
        <v>342</v>
      </c>
      <c r="G57" s="2" t="s">
        <v>343</v>
      </c>
      <c r="H57" s="3">
        <v>45488</v>
      </c>
      <c r="I57" s="3">
        <v>45853</v>
      </c>
      <c r="J57" s="2" t="s">
        <v>21</v>
      </c>
      <c r="K57" s="9">
        <v>1943190</v>
      </c>
      <c r="L57" s="4">
        <v>29148</v>
      </c>
      <c r="M57" s="2" t="s">
        <v>22</v>
      </c>
      <c r="N57" s="2" t="s">
        <v>151</v>
      </c>
      <c r="O57" s="2" t="s">
        <v>716</v>
      </c>
      <c r="P57" s="4">
        <f>VLOOKUP(O57,[1]working!$B$2:$AA$231,26,0)</f>
        <v>29148</v>
      </c>
      <c r="Q57" s="7">
        <f t="shared" si="0"/>
        <v>0</v>
      </c>
      <c r="R57" s="4">
        <f>VLOOKUP(O57,[1]working!$B$2:$Y$231,24,0)</f>
        <v>1943190</v>
      </c>
      <c r="S57" s="16">
        <f t="shared" si="1"/>
        <v>0</v>
      </c>
      <c r="T57" s="2"/>
    </row>
    <row r="58" spans="1:20" x14ac:dyDescent="0.25">
      <c r="A58" s="2" t="s">
        <v>344</v>
      </c>
      <c r="B58" s="2" t="s">
        <v>317</v>
      </c>
      <c r="C58" s="2" t="s">
        <v>345</v>
      </c>
      <c r="D58" s="2" t="s">
        <v>111</v>
      </c>
      <c r="E58" s="2" t="s">
        <v>346</v>
      </c>
      <c r="F58" s="2" t="s">
        <v>347</v>
      </c>
      <c r="G58" s="2" t="s">
        <v>348</v>
      </c>
      <c r="H58" s="3">
        <v>45493</v>
      </c>
      <c r="I58" s="3">
        <v>45858</v>
      </c>
      <c r="J58" s="2" t="s">
        <v>21</v>
      </c>
      <c r="K58" s="9">
        <v>1781190</v>
      </c>
      <c r="L58" s="4">
        <v>26718</v>
      </c>
      <c r="M58" s="2" t="s">
        <v>22</v>
      </c>
      <c r="N58" s="2" t="s">
        <v>151</v>
      </c>
      <c r="O58" s="2" t="s">
        <v>717</v>
      </c>
      <c r="P58" s="4">
        <f>VLOOKUP(O58,[1]working!$B$2:$AA$231,26,0)</f>
        <v>26718</v>
      </c>
      <c r="Q58" s="7">
        <f t="shared" si="0"/>
        <v>0</v>
      </c>
      <c r="R58" s="4">
        <f>VLOOKUP(O58,[1]working!$B$2:$Y$231,24,0)</f>
        <v>1781190</v>
      </c>
      <c r="S58" s="16">
        <f t="shared" si="1"/>
        <v>0</v>
      </c>
      <c r="T58" s="2"/>
    </row>
    <row r="59" spans="1:20" x14ac:dyDescent="0.25">
      <c r="A59" s="2" t="s">
        <v>349</v>
      </c>
      <c r="B59" s="2" t="s">
        <v>317</v>
      </c>
      <c r="C59" s="2" t="s">
        <v>350</v>
      </c>
      <c r="D59" s="2" t="s">
        <v>351</v>
      </c>
      <c r="E59" s="2" t="s">
        <v>352</v>
      </c>
      <c r="F59" s="2" t="s">
        <v>353</v>
      </c>
      <c r="G59" s="2" t="s">
        <v>354</v>
      </c>
      <c r="H59" s="3">
        <v>45509</v>
      </c>
      <c r="I59" s="3">
        <v>45874</v>
      </c>
      <c r="J59" s="2" t="s">
        <v>21</v>
      </c>
      <c r="K59" s="9">
        <v>2641500</v>
      </c>
      <c r="L59" s="4">
        <v>39623</v>
      </c>
      <c r="M59" s="2" t="s">
        <v>22</v>
      </c>
      <c r="N59" s="2" t="s">
        <v>151</v>
      </c>
      <c r="O59" s="2" t="s">
        <v>718</v>
      </c>
      <c r="P59" s="4">
        <f>VLOOKUP(O59,[1]working!$B$2:$AA$231,26,0)</f>
        <v>39623</v>
      </c>
      <c r="Q59" s="7">
        <f t="shared" si="0"/>
        <v>0</v>
      </c>
      <c r="R59" s="4">
        <f>VLOOKUP(O59,[1]working!$B$2:$Y$231,24,0)</f>
        <v>2641500</v>
      </c>
      <c r="S59" s="16">
        <f t="shared" si="1"/>
        <v>0</v>
      </c>
      <c r="T59" s="2"/>
    </row>
    <row r="60" spans="1:20" x14ac:dyDescent="0.25">
      <c r="A60" s="2" t="s">
        <v>355</v>
      </c>
      <c r="B60" s="2" t="s">
        <v>317</v>
      </c>
      <c r="C60" s="2" t="s">
        <v>356</v>
      </c>
      <c r="D60" s="2" t="s">
        <v>330</v>
      </c>
      <c r="E60" s="2" t="s">
        <v>357</v>
      </c>
      <c r="F60" s="2" t="s">
        <v>358</v>
      </c>
      <c r="G60" s="2" t="s">
        <v>359</v>
      </c>
      <c r="H60" s="3">
        <v>45509</v>
      </c>
      <c r="I60" s="3">
        <v>45874</v>
      </c>
      <c r="J60" s="2" t="s">
        <v>21</v>
      </c>
      <c r="K60" s="9">
        <v>2340000</v>
      </c>
      <c r="L60" s="4">
        <v>35100</v>
      </c>
      <c r="M60" s="2" t="s">
        <v>22</v>
      </c>
      <c r="N60" s="2" t="s">
        <v>151</v>
      </c>
      <c r="O60" s="2" t="s">
        <v>781</v>
      </c>
      <c r="P60" s="4">
        <f>VLOOKUP(O60,[1]working!$B$2:$AA$231,26,0)</f>
        <v>35100</v>
      </c>
      <c r="Q60" s="7">
        <f t="shared" si="0"/>
        <v>0</v>
      </c>
      <c r="R60" s="4">
        <f>VLOOKUP(O60,[1]working!$B$2:$Y$231,24,0)</f>
        <v>2340000</v>
      </c>
      <c r="S60" s="16">
        <f t="shared" si="1"/>
        <v>0</v>
      </c>
      <c r="T60" s="2"/>
    </row>
    <row r="61" spans="1:20" x14ac:dyDescent="0.25">
      <c r="A61" s="2" t="s">
        <v>360</v>
      </c>
      <c r="B61" s="2" t="s">
        <v>317</v>
      </c>
      <c r="C61" s="2" t="s">
        <v>361</v>
      </c>
      <c r="D61" s="2" t="s">
        <v>362</v>
      </c>
      <c r="E61" s="2" t="s">
        <v>363</v>
      </c>
      <c r="F61" s="2" t="s">
        <v>364</v>
      </c>
      <c r="G61" s="2" t="s">
        <v>365</v>
      </c>
      <c r="H61" s="3">
        <v>45493</v>
      </c>
      <c r="I61" s="3">
        <v>45858</v>
      </c>
      <c r="J61" s="2" t="s">
        <v>21</v>
      </c>
      <c r="K61" s="9">
        <v>2085086</v>
      </c>
      <c r="L61" s="4">
        <v>41702</v>
      </c>
      <c r="M61" s="2" t="s">
        <v>138</v>
      </c>
      <c r="N61" s="2" t="s">
        <v>151</v>
      </c>
      <c r="O61" s="2" t="s">
        <v>782</v>
      </c>
      <c r="P61" s="4">
        <f>VLOOKUP(O61,[1]working!$B$2:$AA$231,26,0)</f>
        <v>41702</v>
      </c>
      <c r="Q61" s="7">
        <f t="shared" si="0"/>
        <v>0</v>
      </c>
      <c r="R61" s="4">
        <f>VLOOKUP(O61,[1]working!$B$2:$Y$231,24,0)</f>
        <v>2085086</v>
      </c>
      <c r="S61" s="16">
        <f t="shared" si="1"/>
        <v>0</v>
      </c>
      <c r="T61" s="2"/>
    </row>
    <row r="62" spans="1:20" x14ac:dyDescent="0.25">
      <c r="A62" s="2" t="s">
        <v>366</v>
      </c>
      <c r="B62" s="2" t="s">
        <v>317</v>
      </c>
      <c r="C62" s="2" t="s">
        <v>367</v>
      </c>
      <c r="D62" s="2" t="s">
        <v>368</v>
      </c>
      <c r="E62" s="2" t="s">
        <v>369</v>
      </c>
      <c r="F62" s="2" t="s">
        <v>370</v>
      </c>
      <c r="G62" s="2" t="s">
        <v>371</v>
      </c>
      <c r="H62" s="3">
        <v>45509</v>
      </c>
      <c r="I62" s="3">
        <v>45874</v>
      </c>
      <c r="J62" s="2" t="s">
        <v>21</v>
      </c>
      <c r="K62" s="9">
        <v>1692738</v>
      </c>
      <c r="L62" s="4">
        <v>33855</v>
      </c>
      <c r="M62" s="2" t="s">
        <v>138</v>
      </c>
      <c r="N62" s="2" t="s">
        <v>151</v>
      </c>
      <c r="O62" s="2" t="s">
        <v>721</v>
      </c>
      <c r="P62" s="4">
        <f>VLOOKUP(O62,[1]working!$B$2:$AA$231,26,0)</f>
        <v>33855</v>
      </c>
      <c r="Q62" s="7">
        <f t="shared" si="0"/>
        <v>0</v>
      </c>
      <c r="R62" s="4">
        <f>VLOOKUP(O62,[1]working!$B$2:$Y$231,24,0)</f>
        <v>1692738</v>
      </c>
      <c r="S62" s="16">
        <f t="shared" si="1"/>
        <v>0</v>
      </c>
      <c r="T62" s="2"/>
    </row>
    <row r="63" spans="1:20" x14ac:dyDescent="0.25">
      <c r="A63" s="2" t="s">
        <v>372</v>
      </c>
      <c r="B63" s="2" t="s">
        <v>317</v>
      </c>
      <c r="C63" s="2" t="s">
        <v>373</v>
      </c>
      <c r="D63" s="2" t="s">
        <v>374</v>
      </c>
      <c r="E63" s="2" t="s">
        <v>375</v>
      </c>
      <c r="F63" s="2" t="s">
        <v>376</v>
      </c>
      <c r="G63" s="2" t="s">
        <v>377</v>
      </c>
      <c r="H63" s="3">
        <v>45498</v>
      </c>
      <c r="I63" s="3">
        <v>45863</v>
      </c>
      <c r="J63" s="2" t="s">
        <v>21</v>
      </c>
      <c r="K63" s="9">
        <v>1048448</v>
      </c>
      <c r="L63" s="4">
        <v>20969</v>
      </c>
      <c r="M63" s="2" t="s">
        <v>138</v>
      </c>
      <c r="N63" s="2" t="s">
        <v>151</v>
      </c>
      <c r="O63" s="2" t="s">
        <v>723</v>
      </c>
      <c r="P63" s="4">
        <f>VLOOKUP(O63,[1]working!$B$2:$AA$231,26,0)</f>
        <v>20969</v>
      </c>
      <c r="Q63" s="7">
        <f t="shared" si="0"/>
        <v>0</v>
      </c>
      <c r="R63" s="4">
        <f>VLOOKUP(O63,[1]working!$B$2:$Y$231,24,0)</f>
        <v>1048448</v>
      </c>
      <c r="S63" s="16">
        <f t="shared" si="1"/>
        <v>0</v>
      </c>
      <c r="T63" s="2"/>
    </row>
    <row r="64" spans="1:20" x14ac:dyDescent="0.25">
      <c r="A64" s="2" t="s">
        <v>378</v>
      </c>
      <c r="B64" s="2" t="s">
        <v>317</v>
      </c>
      <c r="C64" s="2" t="s">
        <v>379</v>
      </c>
      <c r="D64" s="2" t="s">
        <v>380</v>
      </c>
      <c r="E64" s="2" t="s">
        <v>381</v>
      </c>
      <c r="F64" s="2" t="s">
        <v>382</v>
      </c>
      <c r="G64" s="2" t="s">
        <v>383</v>
      </c>
      <c r="H64" s="3">
        <v>45483</v>
      </c>
      <c r="I64" s="3">
        <v>45848</v>
      </c>
      <c r="J64" s="2" t="s">
        <v>21</v>
      </c>
      <c r="K64" s="9">
        <v>3542284</v>
      </c>
      <c r="L64" s="4">
        <v>70846</v>
      </c>
      <c r="M64" s="2" t="s">
        <v>138</v>
      </c>
      <c r="N64" s="2" t="s">
        <v>151</v>
      </c>
      <c r="O64" s="2" t="s">
        <v>722</v>
      </c>
      <c r="P64" s="4">
        <f>VLOOKUP(O64,[1]working!$B$2:$AA$231,26,0)</f>
        <v>70846</v>
      </c>
      <c r="Q64" s="7">
        <f t="shared" si="0"/>
        <v>0</v>
      </c>
      <c r="R64" s="4">
        <f>VLOOKUP(O64,[1]working!$B$2:$Y$231,24,0)</f>
        <v>3542284</v>
      </c>
      <c r="S64" s="16">
        <f t="shared" si="1"/>
        <v>0</v>
      </c>
      <c r="T64" s="2"/>
    </row>
    <row r="65" spans="1:20" x14ac:dyDescent="0.25">
      <c r="A65" s="2" t="s">
        <v>384</v>
      </c>
      <c r="B65" s="2" t="s">
        <v>317</v>
      </c>
      <c r="C65" s="2" t="s">
        <v>385</v>
      </c>
      <c r="D65" s="2" t="s">
        <v>386</v>
      </c>
      <c r="E65" s="2" t="s">
        <v>387</v>
      </c>
      <c r="F65" s="2" t="s">
        <v>388</v>
      </c>
      <c r="G65" s="2" t="s">
        <v>389</v>
      </c>
      <c r="H65" s="3">
        <v>45498</v>
      </c>
      <c r="I65" s="3">
        <v>45863</v>
      </c>
      <c r="J65" s="2" t="s">
        <v>21</v>
      </c>
      <c r="K65" s="9">
        <v>878518</v>
      </c>
      <c r="L65" s="4">
        <v>17570</v>
      </c>
      <c r="M65" s="2" t="s">
        <v>138</v>
      </c>
      <c r="N65" s="2" t="s">
        <v>151</v>
      </c>
      <c r="O65" s="2" t="s">
        <v>720</v>
      </c>
      <c r="P65" s="4">
        <f>VLOOKUP(O65,[1]working!$B$2:$AA$231,26,0)</f>
        <v>17570</v>
      </c>
      <c r="Q65" s="7">
        <f t="shared" si="0"/>
        <v>0</v>
      </c>
      <c r="R65" s="4">
        <f>VLOOKUP(O65,[1]working!$B$2:$Y$231,24,0)</f>
        <v>878518</v>
      </c>
      <c r="S65" s="16">
        <f t="shared" si="1"/>
        <v>0</v>
      </c>
      <c r="T65" s="2"/>
    </row>
    <row r="66" spans="1:20" x14ac:dyDescent="0.25">
      <c r="A66" s="2" t="s">
        <v>390</v>
      </c>
      <c r="B66" s="2" t="s">
        <v>317</v>
      </c>
      <c r="C66" s="2" t="s">
        <v>391</v>
      </c>
      <c r="D66" s="2" t="s">
        <v>208</v>
      </c>
      <c r="E66" s="2" t="s">
        <v>392</v>
      </c>
      <c r="F66" s="2" t="s">
        <v>393</v>
      </c>
      <c r="G66" s="2" t="s">
        <v>394</v>
      </c>
      <c r="H66" s="3">
        <v>45498</v>
      </c>
      <c r="I66" s="3">
        <v>45863</v>
      </c>
      <c r="J66" s="2" t="s">
        <v>21</v>
      </c>
      <c r="K66" s="9">
        <v>917228</v>
      </c>
      <c r="L66" s="4">
        <v>18345</v>
      </c>
      <c r="M66" s="2" t="s">
        <v>138</v>
      </c>
      <c r="N66" s="2" t="s">
        <v>151</v>
      </c>
      <c r="O66" s="2" t="s">
        <v>719</v>
      </c>
      <c r="P66" s="4">
        <f>VLOOKUP(O66,[1]working!$B$2:$AA$231,26,0)</f>
        <v>18345</v>
      </c>
      <c r="Q66" s="7">
        <f t="shared" si="0"/>
        <v>0</v>
      </c>
      <c r="R66" s="4">
        <f>VLOOKUP(O66,[1]working!$B$2:$Y$231,24,0)</f>
        <v>917228</v>
      </c>
      <c r="S66" s="16">
        <f t="shared" si="1"/>
        <v>0</v>
      </c>
      <c r="T66" s="2"/>
    </row>
    <row r="67" spans="1:20" x14ac:dyDescent="0.25">
      <c r="A67" s="2" t="s">
        <v>395</v>
      </c>
      <c r="B67" s="2" t="s">
        <v>317</v>
      </c>
      <c r="C67" s="2" t="s">
        <v>396</v>
      </c>
      <c r="D67" s="2" t="s">
        <v>44</v>
      </c>
      <c r="E67" s="2" t="s">
        <v>397</v>
      </c>
      <c r="F67" s="2" t="s">
        <v>398</v>
      </c>
      <c r="G67" s="2" t="s">
        <v>399</v>
      </c>
      <c r="H67" s="3">
        <v>45498</v>
      </c>
      <c r="I67" s="3">
        <v>45863</v>
      </c>
      <c r="J67" s="2" t="s">
        <v>21</v>
      </c>
      <c r="K67" s="9">
        <v>1394509</v>
      </c>
      <c r="L67" s="4">
        <v>27890</v>
      </c>
      <c r="M67" s="2" t="s">
        <v>138</v>
      </c>
      <c r="N67" s="2" t="s">
        <v>151</v>
      </c>
      <c r="O67" s="2" t="s">
        <v>783</v>
      </c>
      <c r="P67" s="4">
        <f>VLOOKUP(O67,[1]working!$B$2:$AA$231,26,0)</f>
        <v>27890</v>
      </c>
      <c r="Q67" s="7">
        <f t="shared" ref="Q67:Q116" si="2">L67-P67</f>
        <v>0</v>
      </c>
      <c r="R67" s="4">
        <f>VLOOKUP(O67,[1]working!$B$2:$Y$231,24,0)</f>
        <v>1394509</v>
      </c>
      <c r="S67" s="16">
        <f t="shared" ref="S67:S116" si="3">K67-R67</f>
        <v>0</v>
      </c>
      <c r="T67" s="2"/>
    </row>
    <row r="68" spans="1:20" x14ac:dyDescent="0.25">
      <c r="A68" s="2" t="s">
        <v>400</v>
      </c>
      <c r="B68" s="2" t="s">
        <v>401</v>
      </c>
      <c r="C68" s="2" t="s">
        <v>402</v>
      </c>
      <c r="D68" s="2" t="s">
        <v>38</v>
      </c>
      <c r="E68" s="2" t="s">
        <v>403</v>
      </c>
      <c r="F68" s="2" t="s">
        <v>404</v>
      </c>
      <c r="G68" s="2" t="s">
        <v>405</v>
      </c>
      <c r="H68" s="3">
        <v>45488</v>
      </c>
      <c r="I68" s="3">
        <v>45853</v>
      </c>
      <c r="J68" s="2" t="s">
        <v>21</v>
      </c>
      <c r="K68" s="9">
        <v>1252260</v>
      </c>
      <c r="L68" s="4">
        <v>18784</v>
      </c>
      <c r="M68" s="2" t="s">
        <v>22</v>
      </c>
      <c r="N68" s="2" t="s">
        <v>151</v>
      </c>
      <c r="O68" s="2" t="s">
        <v>784</v>
      </c>
      <c r="P68" s="4">
        <f>VLOOKUP(O68,[1]working!$B$2:$AA$231,26,0)</f>
        <v>18784</v>
      </c>
      <c r="Q68" s="7">
        <f t="shared" si="2"/>
        <v>0</v>
      </c>
      <c r="R68" s="4">
        <f>VLOOKUP(O68,[1]working!$B$2:$Y$231,24,0)</f>
        <v>1252260</v>
      </c>
      <c r="S68" s="16">
        <f t="shared" si="3"/>
        <v>0</v>
      </c>
      <c r="T68" s="2"/>
    </row>
    <row r="69" spans="1:20" x14ac:dyDescent="0.25">
      <c r="A69" s="2" t="s">
        <v>406</v>
      </c>
      <c r="B69" s="2" t="s">
        <v>401</v>
      </c>
      <c r="C69" s="2" t="s">
        <v>407</v>
      </c>
      <c r="D69" s="2" t="s">
        <v>67</v>
      </c>
      <c r="E69" s="2" t="s">
        <v>408</v>
      </c>
      <c r="F69" s="2" t="s">
        <v>409</v>
      </c>
      <c r="G69" s="2" t="s">
        <v>410</v>
      </c>
      <c r="H69" s="3">
        <v>45478</v>
      </c>
      <c r="I69" s="3">
        <v>45843</v>
      </c>
      <c r="J69" s="2" t="s">
        <v>21</v>
      </c>
      <c r="K69" s="9">
        <v>1415070</v>
      </c>
      <c r="L69" s="4">
        <v>21226</v>
      </c>
      <c r="M69" s="2" t="s">
        <v>22</v>
      </c>
      <c r="N69" s="2" t="s">
        <v>151</v>
      </c>
      <c r="O69" s="2" t="s">
        <v>725</v>
      </c>
      <c r="P69" s="4">
        <f>VLOOKUP(O69,[1]working!$B$2:$AA$231,26,0)</f>
        <v>21226</v>
      </c>
      <c r="Q69" s="7">
        <f t="shared" si="2"/>
        <v>0</v>
      </c>
      <c r="R69" s="4">
        <f>VLOOKUP(O69,[1]working!$B$2:$Y$231,24,0)</f>
        <v>1415070</v>
      </c>
      <c r="S69" s="16">
        <f t="shared" si="3"/>
        <v>0</v>
      </c>
      <c r="T69" s="2"/>
    </row>
    <row r="70" spans="1:20" x14ac:dyDescent="0.25">
      <c r="A70" s="2" t="s">
        <v>411</v>
      </c>
      <c r="B70" s="2" t="s">
        <v>401</v>
      </c>
      <c r="C70" s="2" t="s">
        <v>412</v>
      </c>
      <c r="D70" s="2" t="s">
        <v>67</v>
      </c>
      <c r="E70" s="2" t="s">
        <v>413</v>
      </c>
      <c r="F70" s="2" t="s">
        <v>414</v>
      </c>
      <c r="G70" s="2" t="s">
        <v>415</v>
      </c>
      <c r="H70" s="3">
        <v>45498</v>
      </c>
      <c r="I70" s="3">
        <v>45863</v>
      </c>
      <c r="J70" s="2" t="s">
        <v>21</v>
      </c>
      <c r="K70" s="9">
        <v>1415070</v>
      </c>
      <c r="L70" s="4">
        <v>21226</v>
      </c>
      <c r="M70" s="2" t="s">
        <v>22</v>
      </c>
      <c r="N70" s="2" t="s">
        <v>151</v>
      </c>
      <c r="O70" s="2" t="s">
        <v>724</v>
      </c>
      <c r="P70" s="4">
        <f>VLOOKUP(O70,[1]working!$B$2:$AA$231,26,0)</f>
        <v>21226</v>
      </c>
      <c r="Q70" s="7">
        <f t="shared" si="2"/>
        <v>0</v>
      </c>
      <c r="R70" s="4">
        <f>VLOOKUP(O70,[1]working!$B$2:$Y$231,24,0)</f>
        <v>1415070</v>
      </c>
      <c r="S70" s="16">
        <f t="shared" si="3"/>
        <v>0</v>
      </c>
      <c r="T70" s="2"/>
    </row>
    <row r="71" spans="1:20" x14ac:dyDescent="0.25">
      <c r="A71" s="2" t="s">
        <v>416</v>
      </c>
      <c r="B71" s="2" t="s">
        <v>401</v>
      </c>
      <c r="C71" s="2" t="s">
        <v>417</v>
      </c>
      <c r="D71" s="2" t="s">
        <v>38</v>
      </c>
      <c r="E71" s="2" t="s">
        <v>418</v>
      </c>
      <c r="F71" s="2" t="s">
        <v>419</v>
      </c>
      <c r="G71" s="2" t="s">
        <v>420</v>
      </c>
      <c r="H71" s="3">
        <v>45498</v>
      </c>
      <c r="I71" s="3">
        <v>45863</v>
      </c>
      <c r="J71" s="2" t="s">
        <v>21</v>
      </c>
      <c r="K71" s="9">
        <v>1252260</v>
      </c>
      <c r="L71" s="4">
        <v>18784</v>
      </c>
      <c r="M71" s="2" t="s">
        <v>22</v>
      </c>
      <c r="N71" s="2" t="s">
        <v>151</v>
      </c>
      <c r="O71" s="2" t="s">
        <v>745</v>
      </c>
      <c r="P71" s="4">
        <f>VLOOKUP(O71,[1]working!$B$2:$AA$231,26,0)</f>
        <v>18784</v>
      </c>
      <c r="Q71" s="7">
        <f t="shared" si="2"/>
        <v>0</v>
      </c>
      <c r="R71" s="4">
        <f>VLOOKUP(O71,[1]working!$B$2:$Y$231,24,0)</f>
        <v>1252260</v>
      </c>
      <c r="S71" s="16">
        <f t="shared" si="3"/>
        <v>0</v>
      </c>
      <c r="T71" s="2"/>
    </row>
    <row r="72" spans="1:20" x14ac:dyDescent="0.25">
      <c r="A72" s="2" t="s">
        <v>421</v>
      </c>
      <c r="B72" s="2" t="s">
        <v>401</v>
      </c>
      <c r="C72" s="2" t="s">
        <v>422</v>
      </c>
      <c r="D72" s="2" t="s">
        <v>155</v>
      </c>
      <c r="E72" s="2" t="s">
        <v>423</v>
      </c>
      <c r="F72" s="2" t="s">
        <v>424</v>
      </c>
      <c r="G72" s="2" t="s">
        <v>425</v>
      </c>
      <c r="H72" s="3">
        <v>45478</v>
      </c>
      <c r="I72" s="3">
        <v>45843</v>
      </c>
      <c r="J72" s="2" t="s">
        <v>21</v>
      </c>
      <c r="K72" s="9">
        <v>1075680</v>
      </c>
      <c r="L72" s="4">
        <v>16135</v>
      </c>
      <c r="M72" s="2" t="s">
        <v>22</v>
      </c>
      <c r="N72" s="2" t="s">
        <v>151</v>
      </c>
      <c r="O72" t="s">
        <v>726</v>
      </c>
      <c r="P72" s="4">
        <f>VLOOKUP(O72,[1]working!$B$2:$AA$231,26,0)</f>
        <v>16135</v>
      </c>
      <c r="Q72" s="7">
        <f t="shared" si="2"/>
        <v>0</v>
      </c>
      <c r="R72" s="4">
        <f>VLOOKUP(O72,[1]working!$B$2:$Y$231,24,0)</f>
        <v>1075680</v>
      </c>
      <c r="S72" s="16">
        <f t="shared" si="3"/>
        <v>0</v>
      </c>
      <c r="T72" s="2"/>
    </row>
    <row r="73" spans="1:20" x14ac:dyDescent="0.25">
      <c r="A73" s="2" t="s">
        <v>426</v>
      </c>
      <c r="B73" s="2" t="s">
        <v>401</v>
      </c>
      <c r="C73" s="2" t="s">
        <v>427</v>
      </c>
      <c r="D73" s="2" t="s">
        <v>38</v>
      </c>
      <c r="E73" s="2" t="s">
        <v>428</v>
      </c>
      <c r="F73" s="2" t="s">
        <v>429</v>
      </c>
      <c r="G73" s="2" t="s">
        <v>430</v>
      </c>
      <c r="H73" s="3">
        <v>45488</v>
      </c>
      <c r="I73" s="3">
        <v>45853</v>
      </c>
      <c r="J73" s="2" t="s">
        <v>21</v>
      </c>
      <c r="K73" s="9">
        <v>1252260</v>
      </c>
      <c r="L73" s="4">
        <v>18784</v>
      </c>
      <c r="M73" s="2" t="s">
        <v>22</v>
      </c>
      <c r="N73" s="2" t="s">
        <v>151</v>
      </c>
      <c r="O73" s="2" t="s">
        <v>727</v>
      </c>
      <c r="P73" s="4">
        <f>VLOOKUP(O73,[1]working!$B$2:$AA$231,26,0)</f>
        <v>18784</v>
      </c>
      <c r="Q73" s="7">
        <f t="shared" si="2"/>
        <v>0</v>
      </c>
      <c r="R73" s="4">
        <f>VLOOKUP(O73,[1]working!$B$2:$Y$231,24,0)</f>
        <v>1252260</v>
      </c>
      <c r="S73" s="16">
        <f t="shared" si="3"/>
        <v>0</v>
      </c>
      <c r="T73" s="2"/>
    </row>
    <row r="74" spans="1:20" x14ac:dyDescent="0.25">
      <c r="A74" s="2" t="s">
        <v>431</v>
      </c>
      <c r="B74" s="2" t="s">
        <v>401</v>
      </c>
      <c r="C74" s="2" t="s">
        <v>432</v>
      </c>
      <c r="D74" s="2" t="s">
        <v>433</v>
      </c>
      <c r="E74" s="2" t="s">
        <v>434</v>
      </c>
      <c r="F74" s="2" t="s">
        <v>435</v>
      </c>
      <c r="G74" s="2" t="s">
        <v>436</v>
      </c>
      <c r="H74" s="3">
        <v>45509</v>
      </c>
      <c r="I74" s="3">
        <v>45874</v>
      </c>
      <c r="J74" s="2" t="s">
        <v>21</v>
      </c>
      <c r="K74" s="9">
        <v>848120</v>
      </c>
      <c r="L74" s="4">
        <v>12722</v>
      </c>
      <c r="M74" s="2" t="s">
        <v>29</v>
      </c>
      <c r="N74" s="2" t="s">
        <v>151</v>
      </c>
      <c r="O74" t="s">
        <v>728</v>
      </c>
      <c r="P74" s="4">
        <f>VLOOKUP(O74,[1]working!$B$2:$AA$231,26,0)</f>
        <v>12722</v>
      </c>
      <c r="Q74" s="7">
        <f t="shared" si="2"/>
        <v>0</v>
      </c>
      <c r="R74" s="4">
        <f>VLOOKUP(O74,[1]working!$B$2:$Y$231,24,0)</f>
        <v>848120</v>
      </c>
      <c r="S74" s="16">
        <f t="shared" si="3"/>
        <v>0</v>
      </c>
      <c r="T74" s="2"/>
    </row>
    <row r="75" spans="1:20" x14ac:dyDescent="0.25">
      <c r="A75" s="2" t="s">
        <v>437</v>
      </c>
      <c r="B75" s="2" t="s">
        <v>401</v>
      </c>
      <c r="C75" s="2" t="s">
        <v>438</v>
      </c>
      <c r="D75" s="2" t="s">
        <v>439</v>
      </c>
      <c r="E75" s="2" t="s">
        <v>440</v>
      </c>
      <c r="F75" s="2" t="s">
        <v>441</v>
      </c>
      <c r="G75" s="2" t="s">
        <v>442</v>
      </c>
      <c r="H75" s="3">
        <v>45483</v>
      </c>
      <c r="I75" s="3">
        <v>45848</v>
      </c>
      <c r="J75" s="2" t="s">
        <v>21</v>
      </c>
      <c r="K75" s="9">
        <v>1934037</v>
      </c>
      <c r="L75" s="4">
        <v>29011</v>
      </c>
      <c r="M75" s="2" t="s">
        <v>29</v>
      </c>
      <c r="N75" s="2" t="s">
        <v>151</v>
      </c>
      <c r="O75" s="2" t="s">
        <v>729</v>
      </c>
      <c r="P75" s="4">
        <f>VLOOKUP(O75,[1]working!$B$2:$AA$231,26,0)</f>
        <v>29011</v>
      </c>
      <c r="Q75" s="7">
        <f t="shared" si="2"/>
        <v>0</v>
      </c>
      <c r="R75" s="4">
        <f>VLOOKUP(O75,[1]working!$B$2:$Y$231,24,0)</f>
        <v>1934037</v>
      </c>
      <c r="S75" s="16">
        <f t="shared" si="3"/>
        <v>0</v>
      </c>
      <c r="T75" s="2"/>
    </row>
    <row r="76" spans="1:20" x14ac:dyDescent="0.25">
      <c r="A76" s="2" t="s">
        <v>443</v>
      </c>
      <c r="B76" s="2" t="s">
        <v>401</v>
      </c>
      <c r="C76" s="2" t="s">
        <v>444</v>
      </c>
      <c r="D76" s="2" t="s">
        <v>445</v>
      </c>
      <c r="E76" s="2" t="s">
        <v>446</v>
      </c>
      <c r="F76" s="2" t="s">
        <v>447</v>
      </c>
      <c r="G76" s="2" t="s">
        <v>448</v>
      </c>
      <c r="H76" s="3">
        <v>45488</v>
      </c>
      <c r="I76" s="3">
        <v>45853</v>
      </c>
      <c r="J76" s="2" t="s">
        <v>21</v>
      </c>
      <c r="K76" s="9">
        <v>1457271</v>
      </c>
      <c r="L76" s="4">
        <v>21859</v>
      </c>
      <c r="M76" s="2" t="s">
        <v>29</v>
      </c>
      <c r="N76" s="2" t="s">
        <v>151</v>
      </c>
      <c r="O76" s="2" t="s">
        <v>730</v>
      </c>
      <c r="P76" s="4">
        <f>VLOOKUP(O76,[1]working!$B$2:$AA$231,26,0)</f>
        <v>21859</v>
      </c>
      <c r="Q76" s="7">
        <f t="shared" si="2"/>
        <v>0</v>
      </c>
      <c r="R76" s="4">
        <f>VLOOKUP(O76,[1]working!$B$2:$Y$231,24,0)</f>
        <v>1457271</v>
      </c>
      <c r="S76" s="16">
        <f t="shared" si="3"/>
        <v>0</v>
      </c>
      <c r="T76" s="2"/>
    </row>
    <row r="77" spans="1:20" x14ac:dyDescent="0.25">
      <c r="A77" s="2" t="s">
        <v>449</v>
      </c>
      <c r="B77" s="2" t="s">
        <v>401</v>
      </c>
      <c r="C77" s="2" t="s">
        <v>450</v>
      </c>
      <c r="D77" s="2" t="s">
        <v>451</v>
      </c>
      <c r="E77" s="2" t="s">
        <v>452</v>
      </c>
      <c r="F77" s="2" t="s">
        <v>453</v>
      </c>
      <c r="G77" s="2" t="s">
        <v>454</v>
      </c>
      <c r="H77" s="3">
        <v>45488</v>
      </c>
      <c r="I77" s="3">
        <v>45853</v>
      </c>
      <c r="J77" s="2" t="s">
        <v>21</v>
      </c>
      <c r="K77" s="9">
        <v>2547855</v>
      </c>
      <c r="L77" s="4">
        <v>38218</v>
      </c>
      <c r="M77" s="2" t="s">
        <v>29</v>
      </c>
      <c r="N77" s="2" t="s">
        <v>151</v>
      </c>
      <c r="O77" s="2" t="s">
        <v>746</v>
      </c>
      <c r="P77" s="4">
        <f>VLOOKUP(O77,[1]working!$B$2:$AA$231,26,0)</f>
        <v>38218</v>
      </c>
      <c r="Q77" s="7">
        <f t="shared" si="2"/>
        <v>0</v>
      </c>
      <c r="R77" s="4">
        <f>VLOOKUP(O77,[1]working!$B$2:$Y$231,24,0)</f>
        <v>2547855</v>
      </c>
      <c r="S77" s="16">
        <f t="shared" si="3"/>
        <v>0</v>
      </c>
      <c r="T77" s="2"/>
    </row>
    <row r="78" spans="1:20" x14ac:dyDescent="0.25">
      <c r="A78" s="2" t="s">
        <v>455</v>
      </c>
      <c r="B78" s="2" t="s">
        <v>401</v>
      </c>
      <c r="C78" s="2" t="s">
        <v>456</v>
      </c>
      <c r="D78" s="2" t="s">
        <v>457</v>
      </c>
      <c r="E78" s="2" t="s">
        <v>458</v>
      </c>
      <c r="F78" s="2" t="s">
        <v>459</v>
      </c>
      <c r="G78" s="2" t="s">
        <v>460</v>
      </c>
      <c r="H78" s="3">
        <v>45488</v>
      </c>
      <c r="I78" s="3">
        <v>45853</v>
      </c>
      <c r="J78" s="2" t="s">
        <v>21</v>
      </c>
      <c r="K78" s="9">
        <v>1361408</v>
      </c>
      <c r="L78" s="4">
        <v>20421</v>
      </c>
      <c r="M78" s="2" t="s">
        <v>29</v>
      </c>
      <c r="N78" s="2" t="s">
        <v>151</v>
      </c>
      <c r="O78" s="2" t="s">
        <v>731</v>
      </c>
      <c r="P78" s="4">
        <f>VLOOKUP(O78,[1]working!$B$2:$AA$231,26,0)</f>
        <v>20421</v>
      </c>
      <c r="Q78" s="7">
        <f t="shared" si="2"/>
        <v>0</v>
      </c>
      <c r="R78" s="4">
        <f>VLOOKUP(O78,[1]working!$B$2:$Y$231,24,0)</f>
        <v>1361408</v>
      </c>
      <c r="S78" s="16">
        <f t="shared" si="3"/>
        <v>0</v>
      </c>
      <c r="T78" s="2"/>
    </row>
    <row r="79" spans="1:20" x14ac:dyDescent="0.25">
      <c r="A79" s="2" t="s">
        <v>461</v>
      </c>
      <c r="B79" s="2" t="s">
        <v>462</v>
      </c>
      <c r="C79" s="2" t="s">
        <v>463</v>
      </c>
      <c r="D79" s="2" t="s">
        <v>464</v>
      </c>
      <c r="E79" s="2" t="s">
        <v>465</v>
      </c>
      <c r="F79" s="2" t="s">
        <v>466</v>
      </c>
      <c r="G79" s="2" t="s">
        <v>467</v>
      </c>
      <c r="H79" s="3">
        <v>45505</v>
      </c>
      <c r="I79" s="3">
        <v>45870</v>
      </c>
      <c r="J79" s="2" t="s">
        <v>21</v>
      </c>
      <c r="K79" s="9">
        <v>2069996</v>
      </c>
      <c r="L79" s="4">
        <v>41400</v>
      </c>
      <c r="M79" s="2" t="s">
        <v>138</v>
      </c>
      <c r="N79" s="2" t="s">
        <v>151</v>
      </c>
      <c r="O79" s="2" t="s">
        <v>732</v>
      </c>
      <c r="P79" s="4">
        <f>VLOOKUP(O79,[1]working!$B$2:$AA$231,26,0)</f>
        <v>41400</v>
      </c>
      <c r="Q79" s="7">
        <f t="shared" si="2"/>
        <v>0</v>
      </c>
      <c r="R79" s="4">
        <f>VLOOKUP(O79,[1]working!$B$2:$Y$231,24,0)</f>
        <v>2069996</v>
      </c>
      <c r="S79" s="16">
        <f t="shared" si="3"/>
        <v>0</v>
      </c>
      <c r="T79" s="2"/>
    </row>
    <row r="80" spans="1:20" x14ac:dyDescent="0.25">
      <c r="A80" s="2" t="s">
        <v>468</v>
      </c>
      <c r="B80" s="2" t="s">
        <v>462</v>
      </c>
      <c r="C80" s="2" t="s">
        <v>469</v>
      </c>
      <c r="D80" s="2" t="s">
        <v>464</v>
      </c>
      <c r="E80" s="2" t="s">
        <v>470</v>
      </c>
      <c r="F80" s="2" t="s">
        <v>471</v>
      </c>
      <c r="G80" s="2" t="s">
        <v>472</v>
      </c>
      <c r="H80" s="3">
        <v>45493</v>
      </c>
      <c r="I80" s="3">
        <v>45858</v>
      </c>
      <c r="J80" s="2" t="s">
        <v>21</v>
      </c>
      <c r="K80" s="9">
        <v>2085086</v>
      </c>
      <c r="L80" s="4">
        <v>41702</v>
      </c>
      <c r="M80" s="2" t="s">
        <v>138</v>
      </c>
      <c r="N80" s="2" t="s">
        <v>151</v>
      </c>
      <c r="O80" s="2" t="s">
        <v>733</v>
      </c>
      <c r="P80" s="4">
        <f>VLOOKUP(O80,[1]working!$B$2:$AA$231,26,0)</f>
        <v>41702</v>
      </c>
      <c r="Q80" s="7">
        <f t="shared" si="2"/>
        <v>0</v>
      </c>
      <c r="R80" s="4">
        <f>VLOOKUP(O80,[1]working!$B$2:$Y$231,24,0)</f>
        <v>2085086</v>
      </c>
      <c r="S80" s="16">
        <f t="shared" si="3"/>
        <v>0</v>
      </c>
      <c r="T80" s="2"/>
    </row>
    <row r="81" spans="1:20" x14ac:dyDescent="0.25">
      <c r="A81" s="2" t="s">
        <v>473</v>
      </c>
      <c r="B81" s="2" t="s">
        <v>462</v>
      </c>
      <c r="C81" s="2" t="s">
        <v>474</v>
      </c>
      <c r="D81" s="2" t="s">
        <v>475</v>
      </c>
      <c r="E81" s="2" t="s">
        <v>476</v>
      </c>
      <c r="F81" s="2" t="s">
        <v>477</v>
      </c>
      <c r="G81" s="2" t="s">
        <v>478</v>
      </c>
      <c r="H81" s="3">
        <v>45493</v>
      </c>
      <c r="I81" s="3">
        <v>45858</v>
      </c>
      <c r="J81" s="2" t="s">
        <v>21</v>
      </c>
      <c r="K81" s="9">
        <v>1112090</v>
      </c>
      <c r="L81" s="4">
        <v>22242</v>
      </c>
      <c r="M81" s="2" t="s">
        <v>138</v>
      </c>
      <c r="N81" s="2" t="s">
        <v>151</v>
      </c>
      <c r="O81" s="2" t="s">
        <v>734</v>
      </c>
      <c r="P81" s="4">
        <f>VLOOKUP(O81,[1]working!$B$2:$AA$231,26,0)</f>
        <v>22242</v>
      </c>
      <c r="Q81" s="7">
        <f t="shared" si="2"/>
        <v>0</v>
      </c>
      <c r="R81" s="4">
        <f>VLOOKUP(O81,[1]working!$B$2:$Y$231,24,0)</f>
        <v>1112090</v>
      </c>
      <c r="S81" s="16">
        <f t="shared" si="3"/>
        <v>0</v>
      </c>
      <c r="T81" s="2"/>
    </row>
    <row r="82" spans="1:20" x14ac:dyDescent="0.25">
      <c r="A82" s="2" t="s">
        <v>479</v>
      </c>
      <c r="B82" s="2" t="s">
        <v>462</v>
      </c>
      <c r="C82" s="2" t="s">
        <v>480</v>
      </c>
      <c r="D82" s="2" t="s">
        <v>481</v>
      </c>
      <c r="E82" s="2" t="s">
        <v>482</v>
      </c>
      <c r="F82" s="2" t="s">
        <v>483</v>
      </c>
      <c r="G82" s="2" t="s">
        <v>484</v>
      </c>
      <c r="H82" s="3">
        <v>45493</v>
      </c>
      <c r="I82" s="3">
        <v>45858</v>
      </c>
      <c r="J82" s="2" t="s">
        <v>21</v>
      </c>
      <c r="K82" s="9">
        <v>1839442</v>
      </c>
      <c r="L82" s="4">
        <v>36789</v>
      </c>
      <c r="M82" s="2" t="s">
        <v>138</v>
      </c>
      <c r="N82" s="2" t="s">
        <v>151</v>
      </c>
      <c r="O82" s="2" t="s">
        <v>735</v>
      </c>
      <c r="P82" s="4">
        <f>VLOOKUP(O82,[1]working!$B$2:$AA$231,26,0)</f>
        <v>36789</v>
      </c>
      <c r="Q82" s="7">
        <f t="shared" si="2"/>
        <v>0</v>
      </c>
      <c r="R82" s="4">
        <f>VLOOKUP(O82,[1]working!$B$2:$Y$231,24,0)</f>
        <v>1839442</v>
      </c>
      <c r="S82" s="16">
        <f t="shared" si="3"/>
        <v>0</v>
      </c>
      <c r="T82" s="2"/>
    </row>
    <row r="83" spans="1:20" x14ac:dyDescent="0.25">
      <c r="A83" s="2" t="s">
        <v>485</v>
      </c>
      <c r="B83" s="2" t="s">
        <v>462</v>
      </c>
      <c r="C83" s="2" t="s">
        <v>486</v>
      </c>
      <c r="D83" s="2" t="s">
        <v>451</v>
      </c>
      <c r="E83" s="2" t="s">
        <v>487</v>
      </c>
      <c r="F83" s="2" t="s">
        <v>488</v>
      </c>
      <c r="G83" s="2" t="s">
        <v>489</v>
      </c>
      <c r="H83" s="3">
        <v>45509</v>
      </c>
      <c r="I83" s="3">
        <v>45874</v>
      </c>
      <c r="J83" s="2" t="s">
        <v>21</v>
      </c>
      <c r="K83" s="9">
        <v>2234021</v>
      </c>
      <c r="L83" s="4">
        <v>44680</v>
      </c>
      <c r="M83" s="2" t="s">
        <v>138</v>
      </c>
      <c r="N83" s="2" t="s">
        <v>151</v>
      </c>
      <c r="O83" s="2" t="s">
        <v>736</v>
      </c>
      <c r="P83" s="4">
        <f>VLOOKUP(O83,[1]working!$B$2:$AA$231,26,0)</f>
        <v>44680</v>
      </c>
      <c r="Q83" s="7">
        <f t="shared" si="2"/>
        <v>0</v>
      </c>
      <c r="R83" s="4">
        <f>VLOOKUP(O83,[1]working!$B$2:$Y$231,24,0)</f>
        <v>2234021</v>
      </c>
      <c r="S83" s="16">
        <f t="shared" si="3"/>
        <v>0</v>
      </c>
      <c r="T83" s="2"/>
    </row>
    <row r="84" spans="1:20" x14ac:dyDescent="0.25">
      <c r="A84" s="2" t="s">
        <v>490</v>
      </c>
      <c r="B84" s="2" t="s">
        <v>462</v>
      </c>
      <c r="C84" s="2" t="s">
        <v>491</v>
      </c>
      <c r="D84" s="2" t="s">
        <v>492</v>
      </c>
      <c r="E84" s="2" t="s">
        <v>493</v>
      </c>
      <c r="F84" s="2" t="s">
        <v>494</v>
      </c>
      <c r="G84" s="2" t="s">
        <v>495</v>
      </c>
      <c r="H84" s="3">
        <v>45509</v>
      </c>
      <c r="I84" s="3">
        <v>45874</v>
      </c>
      <c r="J84" s="2" t="s">
        <v>21</v>
      </c>
      <c r="K84" s="9">
        <v>1775844</v>
      </c>
      <c r="L84" s="4">
        <v>26638</v>
      </c>
      <c r="M84" s="2" t="s">
        <v>29</v>
      </c>
      <c r="N84" s="2" t="s">
        <v>151</v>
      </c>
      <c r="O84" s="2" t="s">
        <v>737</v>
      </c>
      <c r="P84" s="4">
        <f>VLOOKUP(O84,[1]working!$B$2:$AA$231,26,0)</f>
        <v>26638</v>
      </c>
      <c r="Q84" s="7">
        <f t="shared" si="2"/>
        <v>0</v>
      </c>
      <c r="R84" s="4">
        <f>VLOOKUP(O84,[1]working!$B$2:$Y$231,24,0)</f>
        <v>1775844</v>
      </c>
      <c r="S84" s="16">
        <f t="shared" si="3"/>
        <v>0</v>
      </c>
      <c r="T84" s="2"/>
    </row>
    <row r="85" spans="1:20" x14ac:dyDescent="0.25">
      <c r="A85" s="2" t="s">
        <v>496</v>
      </c>
      <c r="B85" s="2" t="s">
        <v>497</v>
      </c>
      <c r="C85" s="2" t="s">
        <v>498</v>
      </c>
      <c r="D85" s="2" t="s">
        <v>208</v>
      </c>
      <c r="E85" s="2" t="s">
        <v>499</v>
      </c>
      <c r="F85" s="2" t="s">
        <v>500</v>
      </c>
      <c r="G85" s="2" t="s">
        <v>501</v>
      </c>
      <c r="H85" s="3">
        <v>45488</v>
      </c>
      <c r="I85" s="3">
        <v>45853</v>
      </c>
      <c r="J85" s="2" t="s">
        <v>21</v>
      </c>
      <c r="K85" s="4">
        <v>917228</v>
      </c>
      <c r="L85" s="4">
        <v>18345</v>
      </c>
      <c r="M85" s="2" t="s">
        <v>138</v>
      </c>
      <c r="N85" s="2" t="s">
        <v>151</v>
      </c>
      <c r="O85" s="2" t="s">
        <v>749</v>
      </c>
      <c r="P85" s="4">
        <f>VLOOKUP(O85,[1]working!$B$2:$AA$231,26,0)</f>
        <v>18345</v>
      </c>
      <c r="Q85" s="7">
        <f t="shared" si="2"/>
        <v>0</v>
      </c>
      <c r="R85" s="4">
        <f>VLOOKUP(O85,[1]working!$B$2:$Y$231,24,0)</f>
        <v>917228</v>
      </c>
      <c r="S85" s="16">
        <f t="shared" si="3"/>
        <v>0</v>
      </c>
      <c r="T85" s="2"/>
    </row>
    <row r="86" spans="1:20" x14ac:dyDescent="0.25">
      <c r="A86" s="2" t="s">
        <v>502</v>
      </c>
      <c r="B86" s="2" t="s">
        <v>497</v>
      </c>
      <c r="C86" s="2" t="s">
        <v>503</v>
      </c>
      <c r="D86" s="2" t="s">
        <v>38</v>
      </c>
      <c r="E86" s="2" t="s">
        <v>504</v>
      </c>
      <c r="F86" s="2" t="s">
        <v>505</v>
      </c>
      <c r="G86" s="2" t="s">
        <v>506</v>
      </c>
      <c r="H86" s="3">
        <v>45488</v>
      </c>
      <c r="I86" s="3">
        <v>45853</v>
      </c>
      <c r="J86" s="2" t="s">
        <v>21</v>
      </c>
      <c r="K86" s="4">
        <v>1252260</v>
      </c>
      <c r="L86" s="4">
        <v>18784</v>
      </c>
      <c r="M86" s="2" t="s">
        <v>22</v>
      </c>
      <c r="N86" s="2" t="s">
        <v>151</v>
      </c>
      <c r="O86" s="2" t="s">
        <v>750</v>
      </c>
      <c r="P86" s="4">
        <f>VLOOKUP(O86,[1]working!$B$2:$AA$231,26,0)</f>
        <v>18784</v>
      </c>
      <c r="Q86" s="7">
        <f t="shared" si="2"/>
        <v>0</v>
      </c>
      <c r="R86" s="4">
        <f>VLOOKUP(O86,[1]working!$B$2:$Y$231,24,0)</f>
        <v>1252260</v>
      </c>
      <c r="S86" s="16">
        <f t="shared" si="3"/>
        <v>0</v>
      </c>
      <c r="T86" s="2"/>
    </row>
    <row r="87" spans="1:20" x14ac:dyDescent="0.25">
      <c r="A87" s="2" t="s">
        <v>507</v>
      </c>
      <c r="B87" s="2" t="s">
        <v>497</v>
      </c>
      <c r="C87" s="2" t="s">
        <v>508</v>
      </c>
      <c r="D87" s="2" t="s">
        <v>38</v>
      </c>
      <c r="E87" s="2" t="s">
        <v>509</v>
      </c>
      <c r="F87" s="2" t="s">
        <v>510</v>
      </c>
      <c r="G87" s="2" t="s">
        <v>511</v>
      </c>
      <c r="H87" s="3">
        <v>45488</v>
      </c>
      <c r="I87" s="3">
        <v>45853</v>
      </c>
      <c r="J87" s="2" t="s">
        <v>21</v>
      </c>
      <c r="K87" s="4">
        <v>1800000</v>
      </c>
      <c r="L87" s="4">
        <v>27000</v>
      </c>
      <c r="M87" s="2" t="s">
        <v>22</v>
      </c>
      <c r="N87" s="2" t="s">
        <v>151</v>
      </c>
      <c r="O87" s="2" t="s">
        <v>751</v>
      </c>
      <c r="P87" s="4">
        <f>VLOOKUP(O87,[1]working!$B$2:$AA$231,26,0)</f>
        <v>27000</v>
      </c>
      <c r="Q87" s="7">
        <f t="shared" si="2"/>
        <v>0</v>
      </c>
      <c r="R87" s="4">
        <f>VLOOKUP(O87,[1]working!$B$2:$Y$231,24,0)</f>
        <v>1800000</v>
      </c>
      <c r="S87" s="16">
        <f t="shared" si="3"/>
        <v>0</v>
      </c>
      <c r="T87" s="2"/>
    </row>
    <row r="88" spans="1:20" x14ac:dyDescent="0.25">
      <c r="A88" s="2" t="s">
        <v>512</v>
      </c>
      <c r="B88" s="2" t="s">
        <v>513</v>
      </c>
      <c r="C88" s="2" t="s">
        <v>514</v>
      </c>
      <c r="D88" s="2" t="s">
        <v>266</v>
      </c>
      <c r="E88" s="2" t="s">
        <v>515</v>
      </c>
      <c r="F88" s="2" t="s">
        <v>516</v>
      </c>
      <c r="G88" s="2" t="s">
        <v>517</v>
      </c>
      <c r="H88" s="3">
        <v>45488</v>
      </c>
      <c r="I88" s="3">
        <v>45853</v>
      </c>
      <c r="J88" s="2" t="s">
        <v>21</v>
      </c>
      <c r="K88" s="9">
        <v>4230000</v>
      </c>
      <c r="L88" s="4">
        <v>63450</v>
      </c>
      <c r="M88" s="2" t="s">
        <v>22</v>
      </c>
      <c r="N88" s="2" t="s">
        <v>151</v>
      </c>
      <c r="O88" s="2" t="s">
        <v>785</v>
      </c>
      <c r="P88" s="4">
        <f>VLOOKUP(O88,[1]working!$B$2:$AA$231,26,0)</f>
        <v>63450</v>
      </c>
      <c r="Q88" s="7">
        <f t="shared" si="2"/>
        <v>0</v>
      </c>
      <c r="R88" s="4">
        <f>VLOOKUP(O88,[1]working!$B$2:$Y$231,24,0)</f>
        <v>4230000</v>
      </c>
      <c r="S88" s="16">
        <f t="shared" si="3"/>
        <v>0</v>
      </c>
      <c r="T88" s="2"/>
    </row>
    <row r="89" spans="1:20" x14ac:dyDescent="0.25">
      <c r="A89" s="2" t="s">
        <v>518</v>
      </c>
      <c r="B89" s="2" t="s">
        <v>497</v>
      </c>
      <c r="C89" s="2" t="s">
        <v>519</v>
      </c>
      <c r="D89" s="2" t="s">
        <v>520</v>
      </c>
      <c r="E89" s="2" t="s">
        <v>521</v>
      </c>
      <c r="F89" s="2" t="s">
        <v>522</v>
      </c>
      <c r="G89" s="2" t="s">
        <v>523</v>
      </c>
      <c r="H89" s="3">
        <v>45493</v>
      </c>
      <c r="I89" s="3">
        <v>45858</v>
      </c>
      <c r="J89" s="2" t="s">
        <v>21</v>
      </c>
      <c r="K89" s="4">
        <v>2548584</v>
      </c>
      <c r="L89" s="4">
        <v>38229</v>
      </c>
      <c r="M89" s="2" t="s">
        <v>29</v>
      </c>
      <c r="N89" s="2" t="s">
        <v>151</v>
      </c>
      <c r="O89" s="2" t="s">
        <v>752</v>
      </c>
      <c r="P89" s="4">
        <f>VLOOKUP(O89,[1]working!$B$2:$AA$231,26,0)</f>
        <v>38229</v>
      </c>
      <c r="Q89" s="7">
        <f t="shared" si="2"/>
        <v>0</v>
      </c>
      <c r="R89" s="4">
        <f>VLOOKUP(O89,[1]working!$B$2:$Y$231,24,0)</f>
        <v>2548584</v>
      </c>
      <c r="S89" s="16">
        <f t="shared" si="3"/>
        <v>0</v>
      </c>
      <c r="T89" s="2"/>
    </row>
    <row r="90" spans="1:20" x14ac:dyDescent="0.25">
      <c r="A90" s="2" t="s">
        <v>524</v>
      </c>
      <c r="B90" s="2" t="s">
        <v>497</v>
      </c>
      <c r="C90" s="2" t="s">
        <v>525</v>
      </c>
      <c r="D90" s="2" t="s">
        <v>526</v>
      </c>
      <c r="E90" s="2" t="s">
        <v>527</v>
      </c>
      <c r="F90" s="2" t="s">
        <v>528</v>
      </c>
      <c r="G90" s="2" t="s">
        <v>529</v>
      </c>
      <c r="H90" s="3">
        <v>45493</v>
      </c>
      <c r="I90" s="3">
        <v>45858</v>
      </c>
      <c r="J90" s="2" t="s">
        <v>21</v>
      </c>
      <c r="K90" s="4">
        <v>1423008</v>
      </c>
      <c r="L90" s="4">
        <v>21345</v>
      </c>
      <c r="M90" s="2" t="s">
        <v>29</v>
      </c>
      <c r="N90" s="2" t="s">
        <v>151</v>
      </c>
      <c r="O90" s="2" t="s">
        <v>753</v>
      </c>
      <c r="P90" s="4">
        <f>VLOOKUP(O90,[1]working!$B$2:$AA$231,26,0)</f>
        <v>21345</v>
      </c>
      <c r="Q90" s="7">
        <f t="shared" si="2"/>
        <v>0</v>
      </c>
      <c r="R90" s="4">
        <f>VLOOKUP(O90,[1]working!$B$2:$Y$231,24,0)</f>
        <v>1423008</v>
      </c>
      <c r="S90" s="16">
        <f t="shared" si="3"/>
        <v>0</v>
      </c>
      <c r="T90" s="2"/>
    </row>
    <row r="91" spans="1:20" x14ac:dyDescent="0.25">
      <c r="A91" s="2" t="s">
        <v>530</v>
      </c>
      <c r="B91" s="2" t="s">
        <v>497</v>
      </c>
      <c r="C91" s="2" t="s">
        <v>531</v>
      </c>
      <c r="D91" s="2" t="s">
        <v>272</v>
      </c>
      <c r="E91" s="2" t="s">
        <v>532</v>
      </c>
      <c r="F91" s="2" t="s">
        <v>533</v>
      </c>
      <c r="G91" s="2" t="s">
        <v>534</v>
      </c>
      <c r="H91" s="3">
        <v>45498</v>
      </c>
      <c r="I91" s="3">
        <v>45863</v>
      </c>
      <c r="J91" s="2" t="s">
        <v>21</v>
      </c>
      <c r="K91" s="4">
        <v>1112090</v>
      </c>
      <c r="L91" s="4">
        <v>22242</v>
      </c>
      <c r="M91" s="2" t="s">
        <v>138</v>
      </c>
      <c r="N91" s="2" t="s">
        <v>151</v>
      </c>
      <c r="O91" s="2" t="s">
        <v>754</v>
      </c>
      <c r="P91" s="4">
        <f>VLOOKUP(O91,[1]working!$B$2:$AA$231,26,0)</f>
        <v>22242</v>
      </c>
      <c r="Q91" s="7">
        <f t="shared" si="2"/>
        <v>0</v>
      </c>
      <c r="R91" s="4">
        <f>VLOOKUP(O91,[1]working!$B$2:$Y$231,24,0)</f>
        <v>1112090</v>
      </c>
      <c r="S91" s="16">
        <f t="shared" si="3"/>
        <v>0</v>
      </c>
      <c r="T91" s="2"/>
    </row>
    <row r="92" spans="1:20" x14ac:dyDescent="0.25">
      <c r="A92" s="2" t="s">
        <v>535</v>
      </c>
      <c r="B92" s="2" t="s">
        <v>497</v>
      </c>
      <c r="C92" s="2" t="s">
        <v>202</v>
      </c>
      <c r="D92" s="2" t="s">
        <v>536</v>
      </c>
      <c r="E92" s="2" t="s">
        <v>537</v>
      </c>
      <c r="F92" s="2" t="s">
        <v>538</v>
      </c>
      <c r="G92" s="2" t="s">
        <v>539</v>
      </c>
      <c r="H92" s="3">
        <v>45498</v>
      </c>
      <c r="I92" s="3">
        <v>45863</v>
      </c>
      <c r="J92" s="2" t="s">
        <v>21</v>
      </c>
      <c r="K92" s="4">
        <v>3868074</v>
      </c>
      <c r="L92" s="4">
        <v>58021</v>
      </c>
      <c r="M92" s="2" t="s">
        <v>29</v>
      </c>
      <c r="N92" s="2" t="s">
        <v>151</v>
      </c>
      <c r="O92" s="2" t="s">
        <v>755</v>
      </c>
      <c r="P92" s="4">
        <f>VLOOKUP(O92,[1]working!$B$2:$AA$231,26,0)</f>
        <v>58021</v>
      </c>
      <c r="Q92" s="7">
        <f t="shared" si="2"/>
        <v>0</v>
      </c>
      <c r="R92" s="4">
        <f>VLOOKUP(O92,[1]working!$B$2:$Y$231,24,0)</f>
        <v>3868074</v>
      </c>
      <c r="S92" s="16">
        <f t="shared" si="3"/>
        <v>0</v>
      </c>
      <c r="T92" s="2"/>
    </row>
    <row r="93" spans="1:20" x14ac:dyDescent="0.25">
      <c r="A93" s="2" t="s">
        <v>540</v>
      </c>
      <c r="B93" s="2" t="s">
        <v>497</v>
      </c>
      <c r="C93" s="2" t="s">
        <v>541</v>
      </c>
      <c r="D93" s="2" t="s">
        <v>38</v>
      </c>
      <c r="E93" s="2" t="s">
        <v>542</v>
      </c>
      <c r="F93" s="2" t="s">
        <v>543</v>
      </c>
      <c r="G93" s="2" t="s">
        <v>544</v>
      </c>
      <c r="H93" s="3">
        <v>45498</v>
      </c>
      <c r="I93" s="3">
        <v>45863</v>
      </c>
      <c r="J93" s="2" t="s">
        <v>21</v>
      </c>
      <c r="K93" s="4">
        <v>1252260</v>
      </c>
      <c r="L93" s="4">
        <v>18784</v>
      </c>
      <c r="M93" s="2" t="s">
        <v>22</v>
      </c>
      <c r="N93" s="2" t="s">
        <v>151</v>
      </c>
      <c r="O93" s="2" t="s">
        <v>756</v>
      </c>
      <c r="P93" s="4">
        <f>VLOOKUP(O93,[1]working!$B$2:$AA$231,26,0)</f>
        <v>18784</v>
      </c>
      <c r="Q93" s="7">
        <f t="shared" si="2"/>
        <v>0</v>
      </c>
      <c r="R93" s="4">
        <f>VLOOKUP(O93,[1]working!$B$2:$Y$231,24,0)</f>
        <v>1252260</v>
      </c>
      <c r="S93" s="16">
        <f t="shared" si="3"/>
        <v>0</v>
      </c>
      <c r="T93" s="2"/>
    </row>
    <row r="94" spans="1:20" x14ac:dyDescent="0.25">
      <c r="A94" s="2" t="s">
        <v>545</v>
      </c>
      <c r="B94" s="2" t="s">
        <v>462</v>
      </c>
      <c r="C94" s="2" t="s">
        <v>546</v>
      </c>
      <c r="D94" s="2" t="s">
        <v>433</v>
      </c>
      <c r="E94" s="2" t="s">
        <v>547</v>
      </c>
      <c r="F94" s="2" t="s">
        <v>548</v>
      </c>
      <c r="G94" s="2" t="s">
        <v>549</v>
      </c>
      <c r="H94" s="3">
        <v>45474</v>
      </c>
      <c r="I94" s="3">
        <v>45839</v>
      </c>
      <c r="J94" s="2" t="s">
        <v>21</v>
      </c>
      <c r="K94" s="4">
        <v>744674</v>
      </c>
      <c r="L94" s="4">
        <v>14893</v>
      </c>
      <c r="M94" s="2" t="s">
        <v>138</v>
      </c>
      <c r="N94" s="2" t="s">
        <v>151</v>
      </c>
      <c r="O94" s="2" t="s">
        <v>757</v>
      </c>
      <c r="P94" s="4">
        <f>VLOOKUP(O94,[1]working!$B$2:$AA$231,26,0)</f>
        <v>14893</v>
      </c>
      <c r="Q94" s="7">
        <f t="shared" si="2"/>
        <v>0</v>
      </c>
      <c r="R94" s="4">
        <f>VLOOKUP(O94,[1]working!$B$2:$Y$231,24,0)</f>
        <v>744674</v>
      </c>
      <c r="S94" s="16">
        <f t="shared" si="3"/>
        <v>0</v>
      </c>
      <c r="T94" s="2"/>
    </row>
    <row r="95" spans="1:20" x14ac:dyDescent="0.25">
      <c r="A95" s="2" t="s">
        <v>550</v>
      </c>
      <c r="B95" s="2" t="s">
        <v>513</v>
      </c>
      <c r="C95" s="2" t="s">
        <v>551</v>
      </c>
      <c r="D95" s="2" t="s">
        <v>552</v>
      </c>
      <c r="E95" s="2" t="s">
        <v>553</v>
      </c>
      <c r="F95" s="2" t="s">
        <v>554</v>
      </c>
      <c r="G95" s="2" t="s">
        <v>555</v>
      </c>
      <c r="H95" s="3">
        <v>45478</v>
      </c>
      <c r="I95" s="3">
        <v>45843</v>
      </c>
      <c r="J95" s="2" t="s">
        <v>21</v>
      </c>
      <c r="K95" s="4">
        <v>1295798</v>
      </c>
      <c r="L95" s="4">
        <v>25916</v>
      </c>
      <c r="M95" s="2" t="s">
        <v>138</v>
      </c>
      <c r="N95" s="2" t="s">
        <v>151</v>
      </c>
      <c r="O95" s="2" t="s">
        <v>758</v>
      </c>
      <c r="P95" s="4">
        <f>VLOOKUP(O95,[1]working!$B$2:$AA$231,26,0)</f>
        <v>25916</v>
      </c>
      <c r="Q95" s="7">
        <f t="shared" si="2"/>
        <v>0</v>
      </c>
      <c r="R95" s="4">
        <f>VLOOKUP(O95,[1]working!$B$2:$Y$231,24,0)</f>
        <v>1295798</v>
      </c>
      <c r="S95" s="16">
        <f t="shared" si="3"/>
        <v>0</v>
      </c>
      <c r="T95" s="2"/>
    </row>
    <row r="96" spans="1:20" x14ac:dyDescent="0.25">
      <c r="A96" s="2" t="s">
        <v>556</v>
      </c>
      <c r="B96" s="2" t="s">
        <v>513</v>
      </c>
      <c r="C96" s="2" t="s">
        <v>557</v>
      </c>
      <c r="D96" s="2" t="s">
        <v>558</v>
      </c>
      <c r="E96" s="2" t="s">
        <v>559</v>
      </c>
      <c r="F96" s="2" t="s">
        <v>560</v>
      </c>
      <c r="G96" s="2" t="s">
        <v>561</v>
      </c>
      <c r="H96" s="3">
        <v>45483</v>
      </c>
      <c r="I96" s="3">
        <v>45848</v>
      </c>
      <c r="J96" s="2" t="s">
        <v>21</v>
      </c>
      <c r="K96" s="4">
        <v>1797390</v>
      </c>
      <c r="L96" s="4">
        <v>26961</v>
      </c>
      <c r="M96" s="2" t="s">
        <v>22</v>
      </c>
      <c r="N96" s="2" t="s">
        <v>151</v>
      </c>
      <c r="O96" s="2" t="s">
        <v>759</v>
      </c>
      <c r="P96" s="4">
        <f>VLOOKUP(O96,[1]working!$B$2:$AA$231,26,0)</f>
        <v>26961</v>
      </c>
      <c r="Q96" s="7">
        <f t="shared" si="2"/>
        <v>0</v>
      </c>
      <c r="R96" s="4">
        <f>VLOOKUP(O96,[1]working!$B$2:$Y$231,24,0)</f>
        <v>1797390</v>
      </c>
      <c r="S96" s="16">
        <f t="shared" si="3"/>
        <v>0</v>
      </c>
      <c r="T96" s="2"/>
    </row>
    <row r="97" spans="1:20" x14ac:dyDescent="0.25">
      <c r="A97" s="2" t="s">
        <v>562</v>
      </c>
      <c r="B97" s="2" t="s">
        <v>513</v>
      </c>
      <c r="C97" s="2" t="s">
        <v>563</v>
      </c>
      <c r="D97" s="2" t="s">
        <v>155</v>
      </c>
      <c r="E97" s="2" t="s">
        <v>564</v>
      </c>
      <c r="F97" s="2" t="s">
        <v>565</v>
      </c>
      <c r="G97" s="2" t="s">
        <v>566</v>
      </c>
      <c r="H97" s="3">
        <v>45488</v>
      </c>
      <c r="I97" s="3">
        <v>45853</v>
      </c>
      <c r="J97" s="2" t="s">
        <v>21</v>
      </c>
      <c r="K97" s="4">
        <v>1075680</v>
      </c>
      <c r="L97" s="4">
        <v>16135</v>
      </c>
      <c r="M97" s="2" t="s">
        <v>22</v>
      </c>
      <c r="N97" s="2" t="s">
        <v>151</v>
      </c>
      <c r="O97" s="2" t="s">
        <v>760</v>
      </c>
      <c r="P97" s="4">
        <f>VLOOKUP(O97,[1]working!$B$2:$AA$231,26,0)</f>
        <v>16135</v>
      </c>
      <c r="Q97" s="7">
        <f t="shared" si="2"/>
        <v>0</v>
      </c>
      <c r="R97" s="4">
        <f>VLOOKUP(O97,[1]working!$B$2:$Y$231,24,0)</f>
        <v>1075680</v>
      </c>
      <c r="S97" s="16">
        <f t="shared" si="3"/>
        <v>0</v>
      </c>
      <c r="T97" s="2"/>
    </row>
    <row r="98" spans="1:20" x14ac:dyDescent="0.25">
      <c r="A98" s="2" t="s">
        <v>567</v>
      </c>
      <c r="B98" s="2" t="s">
        <v>513</v>
      </c>
      <c r="C98" s="2" t="s">
        <v>568</v>
      </c>
      <c r="D98" s="2" t="s">
        <v>569</v>
      </c>
      <c r="E98" s="2" t="s">
        <v>570</v>
      </c>
      <c r="F98" s="2" t="s">
        <v>571</v>
      </c>
      <c r="G98" s="2" t="s">
        <v>572</v>
      </c>
      <c r="H98" s="3">
        <v>45488</v>
      </c>
      <c r="I98" s="3">
        <v>45853</v>
      </c>
      <c r="J98" s="2" t="s">
        <v>21</v>
      </c>
      <c r="K98" s="4">
        <v>4050000</v>
      </c>
      <c r="L98" s="4">
        <v>60750</v>
      </c>
      <c r="M98" s="2" t="s">
        <v>22</v>
      </c>
      <c r="N98" s="2" t="s">
        <v>151</v>
      </c>
      <c r="O98" s="2" t="s">
        <v>761</v>
      </c>
      <c r="P98" s="4">
        <f>VLOOKUP(O98,[1]working!$B$2:$AA$231,26,0)</f>
        <v>60750</v>
      </c>
      <c r="Q98" s="7">
        <f t="shared" si="2"/>
        <v>0</v>
      </c>
      <c r="R98" s="4">
        <f>VLOOKUP(O98,[1]working!$B$2:$Y$231,24,0)</f>
        <v>4050000</v>
      </c>
      <c r="S98" s="16">
        <f t="shared" si="3"/>
        <v>0</v>
      </c>
      <c r="T98" s="2"/>
    </row>
    <row r="99" spans="1:20" x14ac:dyDescent="0.25">
      <c r="A99" s="2" t="s">
        <v>573</v>
      </c>
      <c r="B99" s="2" t="s">
        <v>513</v>
      </c>
      <c r="C99" s="2" t="s">
        <v>574</v>
      </c>
      <c r="D99" s="2" t="s">
        <v>351</v>
      </c>
      <c r="E99" s="2" t="s">
        <v>575</v>
      </c>
      <c r="F99" s="2" t="s">
        <v>576</v>
      </c>
      <c r="G99" s="2" t="s">
        <v>577</v>
      </c>
      <c r="H99" s="3">
        <v>45488</v>
      </c>
      <c r="I99" s="3">
        <v>45853</v>
      </c>
      <c r="J99" s="2" t="s">
        <v>21</v>
      </c>
      <c r="K99" s="4">
        <v>2641500</v>
      </c>
      <c r="L99" s="4">
        <v>39623</v>
      </c>
      <c r="M99" s="2" t="s">
        <v>22</v>
      </c>
      <c r="N99" s="2" t="s">
        <v>151</v>
      </c>
      <c r="O99" s="2" t="s">
        <v>762</v>
      </c>
      <c r="P99" s="4">
        <f>VLOOKUP(O99,[1]working!$B$2:$AA$231,26,0)</f>
        <v>39623</v>
      </c>
      <c r="Q99" s="7">
        <f t="shared" si="2"/>
        <v>0</v>
      </c>
      <c r="R99" s="4">
        <f>VLOOKUP(O99,[1]working!$B$2:$Y$231,24,0)</f>
        <v>2641500</v>
      </c>
      <c r="S99" s="16">
        <f t="shared" si="3"/>
        <v>0</v>
      </c>
      <c r="T99" s="2"/>
    </row>
    <row r="100" spans="1:20" x14ac:dyDescent="0.25">
      <c r="A100" s="2" t="s">
        <v>578</v>
      </c>
      <c r="B100" s="2" t="s">
        <v>513</v>
      </c>
      <c r="C100" s="2" t="s">
        <v>579</v>
      </c>
      <c r="D100" s="2" t="s">
        <v>250</v>
      </c>
      <c r="E100" s="2" t="s">
        <v>580</v>
      </c>
      <c r="F100" s="2" t="s">
        <v>581</v>
      </c>
      <c r="G100" s="2" t="s">
        <v>582</v>
      </c>
      <c r="H100" s="3">
        <v>45493</v>
      </c>
      <c r="I100" s="3">
        <v>45858</v>
      </c>
      <c r="J100" s="2" t="s">
        <v>21</v>
      </c>
      <c r="K100" s="4">
        <v>2637360</v>
      </c>
      <c r="L100" s="4">
        <v>39560</v>
      </c>
      <c r="M100" s="2" t="s">
        <v>22</v>
      </c>
      <c r="N100" s="2" t="s">
        <v>151</v>
      </c>
      <c r="O100" s="2" t="s">
        <v>763</v>
      </c>
      <c r="P100" s="4">
        <f>VLOOKUP(O100,[1]working!$B$2:$AA$231,26,0)</f>
        <v>39560</v>
      </c>
      <c r="Q100" s="7">
        <f t="shared" si="2"/>
        <v>0</v>
      </c>
      <c r="R100" s="4">
        <f>VLOOKUP(O100,[1]working!$B$2:$Y$231,24,0)</f>
        <v>2637360</v>
      </c>
      <c r="S100" s="16">
        <f t="shared" si="3"/>
        <v>0</v>
      </c>
      <c r="T100" s="2"/>
    </row>
    <row r="101" spans="1:20" x14ac:dyDescent="0.25">
      <c r="A101" s="2" t="s">
        <v>583</v>
      </c>
      <c r="B101" s="2" t="s">
        <v>513</v>
      </c>
      <c r="C101" s="2" t="s">
        <v>584</v>
      </c>
      <c r="D101" s="2" t="s">
        <v>351</v>
      </c>
      <c r="E101" s="2" t="s">
        <v>585</v>
      </c>
      <c r="F101" s="2" t="s">
        <v>586</v>
      </c>
      <c r="G101" s="2" t="s">
        <v>587</v>
      </c>
      <c r="H101" s="3">
        <v>45493</v>
      </c>
      <c r="I101" s="3">
        <v>45858</v>
      </c>
      <c r="J101" s="2" t="s">
        <v>21</v>
      </c>
      <c r="K101" s="4">
        <v>1415070</v>
      </c>
      <c r="L101" s="4">
        <v>21226</v>
      </c>
      <c r="M101" s="2" t="s">
        <v>22</v>
      </c>
      <c r="N101" s="2" t="s">
        <v>151</v>
      </c>
      <c r="O101" s="2" t="s">
        <v>764</v>
      </c>
      <c r="P101" s="4">
        <f>VLOOKUP(O101,[1]working!$B$2:$AA$231,26,0)</f>
        <v>21226</v>
      </c>
      <c r="Q101" s="7">
        <f t="shared" si="2"/>
        <v>0</v>
      </c>
      <c r="R101" s="4">
        <f>VLOOKUP(O101,[1]working!$B$2:$Y$231,24,0)</f>
        <v>1415070</v>
      </c>
      <c r="S101" s="16">
        <f t="shared" si="3"/>
        <v>0</v>
      </c>
      <c r="T101" s="2"/>
    </row>
    <row r="102" spans="1:20" x14ac:dyDescent="0.25">
      <c r="A102" s="2" t="s">
        <v>588</v>
      </c>
      <c r="B102" s="2" t="s">
        <v>513</v>
      </c>
      <c r="C102" s="2" t="s">
        <v>589</v>
      </c>
      <c r="D102" s="2" t="s">
        <v>590</v>
      </c>
      <c r="E102" s="2" t="s">
        <v>591</v>
      </c>
      <c r="F102" s="2" t="s">
        <v>592</v>
      </c>
      <c r="G102" s="2" t="s">
        <v>593</v>
      </c>
      <c r="H102" s="3">
        <v>45493</v>
      </c>
      <c r="I102" s="3">
        <v>45858</v>
      </c>
      <c r="J102" s="2" t="s">
        <v>21</v>
      </c>
      <c r="K102" s="4">
        <v>3046815</v>
      </c>
      <c r="L102" s="4">
        <v>45702</v>
      </c>
      <c r="M102" s="2" t="s">
        <v>22</v>
      </c>
      <c r="N102" s="2" t="s">
        <v>151</v>
      </c>
      <c r="O102" s="2" t="s">
        <v>765</v>
      </c>
      <c r="P102" s="4">
        <f>VLOOKUP(O102,[1]working!$B$2:$AA$231,26,0)</f>
        <v>45702</v>
      </c>
      <c r="Q102" s="7">
        <f t="shared" si="2"/>
        <v>0</v>
      </c>
      <c r="R102" s="4">
        <f>VLOOKUP(O102,[1]working!$B$2:$Y$231,24,0)</f>
        <v>3046815</v>
      </c>
      <c r="S102" s="16">
        <f t="shared" si="3"/>
        <v>0</v>
      </c>
      <c r="T102" s="2"/>
    </row>
    <row r="103" spans="1:20" x14ac:dyDescent="0.25">
      <c r="A103" s="2" t="s">
        <v>594</v>
      </c>
      <c r="B103" s="2" t="s">
        <v>513</v>
      </c>
      <c r="C103" s="2" t="s">
        <v>595</v>
      </c>
      <c r="D103" s="2" t="s">
        <v>111</v>
      </c>
      <c r="E103" s="2" t="s">
        <v>596</v>
      </c>
      <c r="F103" s="2" t="s">
        <v>597</v>
      </c>
      <c r="G103" s="2" t="s">
        <v>598</v>
      </c>
      <c r="H103" s="3">
        <v>45493</v>
      </c>
      <c r="I103" s="3">
        <v>45858</v>
      </c>
      <c r="J103" s="2" t="s">
        <v>21</v>
      </c>
      <c r="K103" s="4">
        <v>1781190</v>
      </c>
      <c r="L103" s="4">
        <v>26718</v>
      </c>
      <c r="M103" s="2" t="s">
        <v>22</v>
      </c>
      <c r="N103" s="2" t="s">
        <v>151</v>
      </c>
      <c r="O103" s="2" t="s">
        <v>766</v>
      </c>
      <c r="P103" s="4">
        <f>VLOOKUP(O103,[1]working!$B$2:$AA$231,26,0)</f>
        <v>26718</v>
      </c>
      <c r="Q103" s="7">
        <f t="shared" si="2"/>
        <v>0</v>
      </c>
      <c r="R103" s="4">
        <f>VLOOKUP(O103,[1]working!$B$2:$Y$231,24,0)</f>
        <v>1781190</v>
      </c>
      <c r="S103" s="16">
        <f t="shared" si="3"/>
        <v>0</v>
      </c>
      <c r="T103" s="2"/>
    </row>
    <row r="104" spans="1:20" x14ac:dyDescent="0.25">
      <c r="A104" s="2" t="s">
        <v>599</v>
      </c>
      <c r="B104" s="2" t="s">
        <v>513</v>
      </c>
      <c r="C104" s="2" t="s">
        <v>600</v>
      </c>
      <c r="D104" s="2" t="s">
        <v>95</v>
      </c>
      <c r="E104" s="2" t="s">
        <v>601</v>
      </c>
      <c r="F104" s="2" t="s">
        <v>602</v>
      </c>
      <c r="G104" s="2" t="s">
        <v>603</v>
      </c>
      <c r="H104" s="3">
        <v>45493</v>
      </c>
      <c r="I104" s="3">
        <v>45858</v>
      </c>
      <c r="J104" s="2" t="s">
        <v>21</v>
      </c>
      <c r="K104" s="4">
        <v>2790000</v>
      </c>
      <c r="L104" s="4">
        <v>41850</v>
      </c>
      <c r="M104" s="2" t="s">
        <v>22</v>
      </c>
      <c r="N104" s="2" t="s">
        <v>151</v>
      </c>
      <c r="O104" s="2" t="s">
        <v>767</v>
      </c>
      <c r="P104" s="4">
        <f>VLOOKUP(O104,[1]working!$B$2:$AA$231,26,0)</f>
        <v>41850</v>
      </c>
      <c r="Q104" s="7">
        <f t="shared" si="2"/>
        <v>0</v>
      </c>
      <c r="R104" s="4">
        <f>VLOOKUP(O104,[1]working!$B$2:$Y$231,24,0)</f>
        <v>2790000</v>
      </c>
      <c r="S104" s="16">
        <f t="shared" si="3"/>
        <v>0</v>
      </c>
      <c r="T104" s="2"/>
    </row>
    <row r="105" spans="1:20" x14ac:dyDescent="0.25">
      <c r="A105" s="2" t="s">
        <v>604</v>
      </c>
      <c r="B105" s="2" t="s">
        <v>513</v>
      </c>
      <c r="C105" s="2" t="s">
        <v>605</v>
      </c>
      <c r="D105" s="2" t="s">
        <v>83</v>
      </c>
      <c r="E105" s="2" t="s">
        <v>606</v>
      </c>
      <c r="F105" s="2" t="s">
        <v>607</v>
      </c>
      <c r="G105" s="2" t="s">
        <v>608</v>
      </c>
      <c r="H105" s="3">
        <v>45498</v>
      </c>
      <c r="I105" s="3">
        <v>45863</v>
      </c>
      <c r="J105" s="2" t="s">
        <v>21</v>
      </c>
      <c r="K105" s="4">
        <v>3055320</v>
      </c>
      <c r="L105" s="4">
        <v>45830</v>
      </c>
      <c r="M105" s="2" t="s">
        <v>22</v>
      </c>
      <c r="N105" s="2" t="s">
        <v>151</v>
      </c>
      <c r="O105" s="2" t="s">
        <v>768</v>
      </c>
      <c r="P105" s="4">
        <f>VLOOKUP(O105,[1]working!$B$2:$AA$231,26,0)</f>
        <v>45830</v>
      </c>
      <c r="Q105" s="7">
        <f t="shared" si="2"/>
        <v>0</v>
      </c>
      <c r="R105" s="4">
        <f>VLOOKUP(O105,[1]working!$B$2:$Y$231,24,0)</f>
        <v>3055320</v>
      </c>
      <c r="S105" s="16">
        <f t="shared" si="3"/>
        <v>0</v>
      </c>
      <c r="T105" s="2"/>
    </row>
    <row r="106" spans="1:20" x14ac:dyDescent="0.25">
      <c r="A106" s="2" t="s">
        <v>609</v>
      </c>
      <c r="B106" s="2" t="s">
        <v>513</v>
      </c>
      <c r="C106" s="2" t="s">
        <v>610</v>
      </c>
      <c r="D106" s="2" t="s">
        <v>67</v>
      </c>
      <c r="E106" s="2" t="s">
        <v>611</v>
      </c>
      <c r="F106" s="2" t="s">
        <v>612</v>
      </c>
      <c r="G106" s="2" t="s">
        <v>613</v>
      </c>
      <c r="H106" s="3">
        <v>45498</v>
      </c>
      <c r="I106" s="3">
        <v>45863</v>
      </c>
      <c r="J106" s="2" t="s">
        <v>21</v>
      </c>
      <c r="K106" s="4">
        <v>2430000</v>
      </c>
      <c r="L106" s="4">
        <v>36450</v>
      </c>
      <c r="M106" s="2" t="s">
        <v>22</v>
      </c>
      <c r="N106" s="2" t="s">
        <v>151</v>
      </c>
      <c r="O106" s="2" t="s">
        <v>769</v>
      </c>
      <c r="P106" s="4">
        <f>VLOOKUP(O106,[1]working!$B$2:$AA$231,26,0)</f>
        <v>36450</v>
      </c>
      <c r="Q106" s="7">
        <f t="shared" si="2"/>
        <v>0</v>
      </c>
      <c r="R106" s="4">
        <f>VLOOKUP(O106,[1]working!$B$2:$Y$231,24,0)</f>
        <v>2430000</v>
      </c>
      <c r="S106" s="16">
        <f t="shared" si="3"/>
        <v>0</v>
      </c>
      <c r="T106" s="2"/>
    </row>
    <row r="107" spans="1:20" x14ac:dyDescent="0.25">
      <c r="A107" s="2" t="s">
        <v>614</v>
      </c>
      <c r="B107" s="2" t="s">
        <v>615</v>
      </c>
      <c r="C107" s="2" t="s">
        <v>616</v>
      </c>
      <c r="D107" s="2" t="s">
        <v>617</v>
      </c>
      <c r="E107" s="2" t="s">
        <v>618</v>
      </c>
      <c r="F107" s="2" t="s">
        <v>619</v>
      </c>
      <c r="G107" s="2" t="s">
        <v>620</v>
      </c>
      <c r="H107" s="3">
        <v>45483</v>
      </c>
      <c r="I107" s="3">
        <v>45848</v>
      </c>
      <c r="J107" s="2" t="s">
        <v>21</v>
      </c>
      <c r="K107" s="4">
        <v>2540565</v>
      </c>
      <c r="L107" s="4">
        <v>38108</v>
      </c>
      <c r="M107" s="2" t="s">
        <v>29</v>
      </c>
      <c r="N107" s="2" t="s">
        <v>151</v>
      </c>
      <c r="O107" s="2" t="s">
        <v>770</v>
      </c>
      <c r="P107" s="4">
        <f>VLOOKUP(O107,[1]working!$B$2:$AA$231,26,0)</f>
        <v>38108</v>
      </c>
      <c r="Q107" s="7">
        <f t="shared" si="2"/>
        <v>0</v>
      </c>
      <c r="R107" s="4">
        <f>VLOOKUP(O107,[1]working!$B$2:$Y$231,24,0)</f>
        <v>2540565</v>
      </c>
      <c r="S107" s="16">
        <f t="shared" si="3"/>
        <v>0</v>
      </c>
      <c r="T107" s="2"/>
    </row>
    <row r="108" spans="1:20" x14ac:dyDescent="0.25">
      <c r="A108" s="2" t="s">
        <v>621</v>
      </c>
      <c r="B108" s="2" t="s">
        <v>615</v>
      </c>
      <c r="C108" s="2" t="s">
        <v>622</v>
      </c>
      <c r="D108" s="2" t="s">
        <v>623</v>
      </c>
      <c r="E108" s="2" t="s">
        <v>624</v>
      </c>
      <c r="F108" s="2" t="s">
        <v>625</v>
      </c>
      <c r="G108" s="2" t="s">
        <v>626</v>
      </c>
      <c r="H108" s="3">
        <v>45493</v>
      </c>
      <c r="I108" s="3">
        <v>45858</v>
      </c>
      <c r="J108" s="2" t="s">
        <v>21</v>
      </c>
      <c r="K108" s="4">
        <v>2924748</v>
      </c>
      <c r="L108" s="4">
        <v>43871</v>
      </c>
      <c r="M108" s="2" t="s">
        <v>29</v>
      </c>
      <c r="N108" s="2" t="s">
        <v>151</v>
      </c>
      <c r="O108" s="2" t="s">
        <v>771</v>
      </c>
      <c r="P108" s="4">
        <f>VLOOKUP(O108,[1]working!$B$2:$AA$231,26,0)</f>
        <v>43871</v>
      </c>
      <c r="Q108" s="7">
        <f t="shared" si="2"/>
        <v>0</v>
      </c>
      <c r="R108" s="4">
        <f>VLOOKUP(O108,[1]working!$B$2:$Y$231,24,0)</f>
        <v>2924748</v>
      </c>
      <c r="S108" s="16">
        <f t="shared" si="3"/>
        <v>0</v>
      </c>
      <c r="T108" s="2"/>
    </row>
    <row r="109" spans="1:20" x14ac:dyDescent="0.25">
      <c r="A109" s="2" t="s">
        <v>627</v>
      </c>
      <c r="B109" s="2" t="s">
        <v>628</v>
      </c>
      <c r="C109" s="2" t="s">
        <v>629</v>
      </c>
      <c r="D109" s="2" t="s">
        <v>250</v>
      </c>
      <c r="E109" s="2" t="s">
        <v>630</v>
      </c>
      <c r="F109" s="2" t="s">
        <v>631</v>
      </c>
      <c r="G109" s="2" t="s">
        <v>632</v>
      </c>
      <c r="H109" s="3">
        <v>45488</v>
      </c>
      <c r="I109" s="3">
        <v>45853</v>
      </c>
      <c r="J109" s="2" t="s">
        <v>21</v>
      </c>
      <c r="K109" s="9">
        <v>2520315</v>
      </c>
      <c r="L109" s="4">
        <v>37805</v>
      </c>
      <c r="M109" s="2" t="s">
        <v>22</v>
      </c>
      <c r="N109" s="2" t="s">
        <v>151</v>
      </c>
      <c r="O109" s="2" t="s">
        <v>738</v>
      </c>
      <c r="P109" s="4">
        <f>VLOOKUP(O109,[1]working!$B$2:$AA$231,26,0)</f>
        <v>37805</v>
      </c>
      <c r="Q109" s="7">
        <f t="shared" si="2"/>
        <v>0</v>
      </c>
      <c r="R109" s="4">
        <f>VLOOKUP(O109,[1]working!$B$2:$Y$231,24,0)</f>
        <v>2520315</v>
      </c>
      <c r="S109" s="16">
        <f t="shared" si="3"/>
        <v>0</v>
      </c>
      <c r="T109" s="2"/>
    </row>
    <row r="110" spans="1:20" x14ac:dyDescent="0.25">
      <c r="A110" s="2" t="s">
        <v>633</v>
      </c>
      <c r="B110" s="2" t="s">
        <v>628</v>
      </c>
      <c r="C110" s="2" t="s">
        <v>634</v>
      </c>
      <c r="D110" s="2" t="s">
        <v>111</v>
      </c>
      <c r="E110" s="2" t="s">
        <v>635</v>
      </c>
      <c r="F110" s="2" t="s">
        <v>636</v>
      </c>
      <c r="G110" s="2" t="s">
        <v>637</v>
      </c>
      <c r="H110" s="3">
        <v>45509</v>
      </c>
      <c r="I110" s="3">
        <v>45874</v>
      </c>
      <c r="J110" s="2" t="s">
        <v>21</v>
      </c>
      <c r="K110" s="9">
        <v>1781190</v>
      </c>
      <c r="L110" s="4">
        <v>26718</v>
      </c>
      <c r="M110" s="2" t="s">
        <v>22</v>
      </c>
      <c r="N110" s="2" t="s">
        <v>151</v>
      </c>
      <c r="O110" s="2" t="s">
        <v>741</v>
      </c>
      <c r="P110" s="4">
        <f>VLOOKUP(O110,[1]working!$B$2:$AA$231,26,0)</f>
        <v>26718</v>
      </c>
      <c r="Q110" s="7">
        <f t="shared" si="2"/>
        <v>0</v>
      </c>
      <c r="R110" s="4">
        <f>VLOOKUP(O110,[1]working!$B$2:$Y$231,24,0)</f>
        <v>1781190</v>
      </c>
      <c r="S110" s="16">
        <f t="shared" si="3"/>
        <v>0</v>
      </c>
      <c r="T110" s="2"/>
    </row>
    <row r="111" spans="1:20" x14ac:dyDescent="0.25">
      <c r="A111" s="2" t="s">
        <v>638</v>
      </c>
      <c r="B111" s="2" t="s">
        <v>628</v>
      </c>
      <c r="C111" s="2" t="s">
        <v>639</v>
      </c>
      <c r="D111" s="2" t="s">
        <v>250</v>
      </c>
      <c r="E111" s="2" t="s">
        <v>640</v>
      </c>
      <c r="F111" s="2" t="s">
        <v>641</v>
      </c>
      <c r="G111" s="2" t="s">
        <v>642</v>
      </c>
      <c r="H111" s="3">
        <v>45493</v>
      </c>
      <c r="I111" s="3">
        <v>45858</v>
      </c>
      <c r="J111" s="2" t="s">
        <v>21</v>
      </c>
      <c r="K111" s="9">
        <v>2637360</v>
      </c>
      <c r="L111" s="4">
        <v>39560</v>
      </c>
      <c r="M111" s="2" t="s">
        <v>22</v>
      </c>
      <c r="N111" s="2" t="s">
        <v>151</v>
      </c>
      <c r="O111" s="2" t="s">
        <v>786</v>
      </c>
      <c r="P111" s="4">
        <f>VLOOKUP(O111,[1]working!$B$2:$AA$231,26,0)</f>
        <v>39560</v>
      </c>
      <c r="Q111" s="7">
        <f t="shared" si="2"/>
        <v>0</v>
      </c>
      <c r="R111" s="4">
        <f>VLOOKUP(O111,[1]working!$B$2:$Y$231,24,0)</f>
        <v>2637360</v>
      </c>
      <c r="S111" s="16">
        <f t="shared" si="3"/>
        <v>0</v>
      </c>
      <c r="T111" s="2"/>
    </row>
    <row r="112" spans="1:20" x14ac:dyDescent="0.25">
      <c r="A112" s="2" t="s">
        <v>643</v>
      </c>
      <c r="B112" s="2" t="s">
        <v>628</v>
      </c>
      <c r="C112" s="2" t="s">
        <v>644</v>
      </c>
      <c r="D112" s="2" t="s">
        <v>250</v>
      </c>
      <c r="E112" s="2" t="s">
        <v>645</v>
      </c>
      <c r="F112" s="2" t="s">
        <v>646</v>
      </c>
      <c r="G112" s="2" t="s">
        <v>642</v>
      </c>
      <c r="H112" s="3">
        <v>45498</v>
      </c>
      <c r="I112" s="3">
        <v>45863</v>
      </c>
      <c r="J112" s="2" t="s">
        <v>21</v>
      </c>
      <c r="K112" s="9">
        <v>2645865</v>
      </c>
      <c r="L112" s="4">
        <v>39688</v>
      </c>
      <c r="M112" s="2" t="s">
        <v>22</v>
      </c>
      <c r="N112" s="2" t="s">
        <v>151</v>
      </c>
      <c r="O112" s="2" t="s">
        <v>739</v>
      </c>
      <c r="P112" s="4">
        <f>VLOOKUP(O112,[1]working!$B$2:$AA$231,26,0)</f>
        <v>39688</v>
      </c>
      <c r="Q112" s="7">
        <f t="shared" si="2"/>
        <v>0</v>
      </c>
      <c r="R112" s="4">
        <f>VLOOKUP(O112,[1]working!$B$2:$Y$231,24,0)</f>
        <v>2645865</v>
      </c>
      <c r="S112" s="16">
        <f t="shared" si="3"/>
        <v>0</v>
      </c>
      <c r="T112" s="2"/>
    </row>
    <row r="113" spans="1:20" x14ac:dyDescent="0.25">
      <c r="A113" s="2" t="s">
        <v>647</v>
      </c>
      <c r="B113" s="2" t="s">
        <v>628</v>
      </c>
      <c r="C113" s="2" t="s">
        <v>648</v>
      </c>
      <c r="D113" s="2" t="s">
        <v>191</v>
      </c>
      <c r="E113" s="2" t="s">
        <v>649</v>
      </c>
      <c r="F113" s="2" t="s">
        <v>650</v>
      </c>
      <c r="G113" s="2" t="s">
        <v>651</v>
      </c>
      <c r="H113" s="3">
        <v>45498</v>
      </c>
      <c r="I113" s="3">
        <v>45863</v>
      </c>
      <c r="J113" s="2" t="s">
        <v>21</v>
      </c>
      <c r="K113" s="9">
        <v>2003940</v>
      </c>
      <c r="L113" s="4">
        <v>30059</v>
      </c>
      <c r="M113" s="2" t="s">
        <v>22</v>
      </c>
      <c r="N113" s="2" t="s">
        <v>151</v>
      </c>
      <c r="O113" s="2" t="s">
        <v>740</v>
      </c>
      <c r="P113" s="4">
        <f>VLOOKUP(O113,[1]working!$B$2:$AA$231,26,0)</f>
        <v>30059</v>
      </c>
      <c r="Q113" s="7">
        <f t="shared" si="2"/>
        <v>0</v>
      </c>
      <c r="R113" s="4">
        <f>VLOOKUP(O113,[1]working!$B$2:$Y$231,24,0)</f>
        <v>2003940</v>
      </c>
      <c r="S113" s="16">
        <f t="shared" si="3"/>
        <v>0</v>
      </c>
      <c r="T113" s="2"/>
    </row>
    <row r="114" spans="1:20" x14ac:dyDescent="0.25">
      <c r="A114" s="2" t="s">
        <v>652</v>
      </c>
      <c r="B114" s="2" t="s">
        <v>628</v>
      </c>
      <c r="C114" s="2" t="s">
        <v>653</v>
      </c>
      <c r="D114" s="2" t="s">
        <v>654</v>
      </c>
      <c r="E114" s="2" t="s">
        <v>655</v>
      </c>
      <c r="F114" s="2" t="s">
        <v>656</v>
      </c>
      <c r="G114" s="2" t="s">
        <v>657</v>
      </c>
      <c r="H114" s="3">
        <v>45478</v>
      </c>
      <c r="I114" s="3">
        <v>45843</v>
      </c>
      <c r="J114" s="2" t="s">
        <v>21</v>
      </c>
      <c r="K114" s="9">
        <v>2211057</v>
      </c>
      <c r="L114" s="4">
        <v>33166</v>
      </c>
      <c r="M114" s="2" t="s">
        <v>29</v>
      </c>
      <c r="N114" s="2" t="s">
        <v>151</v>
      </c>
      <c r="O114" s="2" t="s">
        <v>742</v>
      </c>
      <c r="P114" s="4">
        <f>VLOOKUP(O114,[1]working!$B$2:$AA$231,26,0)</f>
        <v>33166</v>
      </c>
      <c r="Q114" s="7">
        <f t="shared" si="2"/>
        <v>0</v>
      </c>
      <c r="R114" s="4">
        <f>VLOOKUP(O114,[1]working!$B$2:$Y$231,24,0)</f>
        <v>2211057</v>
      </c>
      <c r="S114" s="16">
        <f t="shared" si="3"/>
        <v>0</v>
      </c>
      <c r="T114" s="2"/>
    </row>
    <row r="115" spans="1:20" x14ac:dyDescent="0.25">
      <c r="A115" s="2" t="s">
        <v>658</v>
      </c>
      <c r="B115" s="2" t="s">
        <v>628</v>
      </c>
      <c r="C115" s="2" t="s">
        <v>659</v>
      </c>
      <c r="D115" s="2" t="s">
        <v>660</v>
      </c>
      <c r="E115" s="2" t="s">
        <v>661</v>
      </c>
      <c r="F115" s="2" t="s">
        <v>662</v>
      </c>
      <c r="G115" s="2" t="s">
        <v>663</v>
      </c>
      <c r="H115" s="3">
        <v>45478</v>
      </c>
      <c r="I115" s="3">
        <v>45843</v>
      </c>
      <c r="J115" s="2" t="s">
        <v>21</v>
      </c>
      <c r="K115" s="9">
        <v>2211057</v>
      </c>
      <c r="L115" s="4">
        <v>33166</v>
      </c>
      <c r="M115" s="2" t="s">
        <v>29</v>
      </c>
      <c r="N115" s="2" t="s">
        <v>151</v>
      </c>
      <c r="O115" s="2" t="s">
        <v>743</v>
      </c>
      <c r="P115" s="4">
        <f>VLOOKUP(O115,[1]working!$B$2:$AA$231,26,0)</f>
        <v>33166</v>
      </c>
      <c r="Q115" s="7">
        <f t="shared" si="2"/>
        <v>0</v>
      </c>
      <c r="R115" s="4">
        <f>VLOOKUP(O115,[1]working!$B$2:$Y$231,24,0)</f>
        <v>2211057</v>
      </c>
      <c r="S115" s="16">
        <f t="shared" si="3"/>
        <v>0</v>
      </c>
      <c r="T115" s="2"/>
    </row>
    <row r="116" spans="1:20" x14ac:dyDescent="0.25">
      <c r="A116" s="2" t="s">
        <v>664</v>
      </c>
      <c r="B116" s="2" t="s">
        <v>628</v>
      </c>
      <c r="C116" s="2" t="s">
        <v>665</v>
      </c>
      <c r="D116" s="2" t="s">
        <v>38</v>
      </c>
      <c r="E116" s="2" t="s">
        <v>666</v>
      </c>
      <c r="F116" s="2" t="s">
        <v>667</v>
      </c>
      <c r="G116" s="2" t="s">
        <v>668</v>
      </c>
      <c r="H116" s="3">
        <v>45488</v>
      </c>
      <c r="I116" s="3">
        <v>45853</v>
      </c>
      <c r="J116" s="2" t="s">
        <v>21</v>
      </c>
      <c r="K116" s="4">
        <v>1559700</v>
      </c>
      <c r="L116" s="4">
        <v>23396</v>
      </c>
      <c r="M116" s="2" t="s">
        <v>22</v>
      </c>
      <c r="N116" s="2" t="s">
        <v>151</v>
      </c>
      <c r="O116" s="2" t="s">
        <v>772</v>
      </c>
      <c r="P116" s="4">
        <f>VLOOKUP(O116,[1]working!$B$2:$AA$231,26,0)</f>
        <v>23396</v>
      </c>
      <c r="Q116" s="7">
        <f t="shared" si="2"/>
        <v>0</v>
      </c>
      <c r="R116" s="4">
        <f>VLOOKUP(O116,[1]working!$B$2:$Y$231,24,0)</f>
        <v>1559700</v>
      </c>
      <c r="S116" s="16">
        <f t="shared" si="3"/>
        <v>0</v>
      </c>
      <c r="T116" s="2"/>
    </row>
    <row r="117" spans="1:20" x14ac:dyDescent="0.25">
      <c r="L117" s="5">
        <v>3531787</v>
      </c>
      <c r="S117" s="11"/>
    </row>
    <row r="119" spans="1:20" x14ac:dyDescent="0.25">
      <c r="O119" s="13"/>
    </row>
  </sheetData>
  <autoFilter ref="A1:S117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A05A8-785E-4F6E-AF7A-29585B318DF4}">
  <dimension ref="A1:H115"/>
  <sheetViews>
    <sheetView topLeftCell="F113" workbookViewId="0">
      <selection activeCell="H1" sqref="H1:H115"/>
    </sheetView>
  </sheetViews>
  <sheetFormatPr defaultRowHeight="15" x14ac:dyDescent="0.25"/>
  <cols>
    <col min="1" max="1" width="39.85546875" bestFit="1" customWidth="1"/>
    <col min="2" max="2" width="26.28515625" customWidth="1"/>
    <col min="3" max="3" width="14" bestFit="1" customWidth="1"/>
    <col min="4" max="4" width="9.5703125" bestFit="1" customWidth="1"/>
    <col min="5" max="5" width="13.7109375" bestFit="1" customWidth="1"/>
    <col min="6" max="6" width="77.28515625" customWidth="1"/>
    <col min="7" max="7" width="75.140625" customWidth="1"/>
    <col min="8" max="8" width="69.140625" customWidth="1"/>
  </cols>
  <sheetData>
    <row r="1" spans="1:8" ht="108.75" customHeight="1" x14ac:dyDescent="0.25">
      <c r="A1" s="2" t="s">
        <v>671</v>
      </c>
      <c r="B1" s="19" t="str">
        <f>VLOOKUP(A1,[2]Sheet1!$B$2:$C$116,2,0)</f>
        <v>070000163322</v>
      </c>
      <c r="C1" s="4">
        <v>21072</v>
      </c>
      <c r="D1" s="24">
        <f>ROUND(C1,0)</f>
        <v>21072</v>
      </c>
      <c r="E1" s="20" t="s">
        <v>801</v>
      </c>
      <c r="F1" s="21" t="str">
        <f t="shared" ref="F1:F64" si="0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1" s="22" t="str">
        <f>"('"&amp;E1&amp;"','"&amp;B1&amp;"','"&amp;D1&amp;"',(select max(to_number(i.premium_rcv_detail_code))+1
from ins_premium_det i),'"&amp;D1&amp;"','"&amp;D1&amp;"','02', '11000003','00','Request by Mr. SAQIB SALEEM 23-Aug-2024');"</f>
        <v>('23Aug240066','070000163322','21072',(select max(to_number(i.premium_rcv_detail_code))+1
from ins_premium_det i),'21072','21072','02', '11000003','00','Request by Mr. SAQIB SALEEM 23-Aug-2024');</v>
      </c>
      <c r="H1" s="23" t="str">
        <f>F1&amp;G1</f>
        <v>insert into ins_premium_det (premium_rcv_code,assorted_code, rec_amount,premium_rcv_detail_code,remaining_amt, payrec, mode_code,coinsurance_code,class_cd,it_remarks) values('23Aug240066','070000163322','21072',(select max(to_number(i.premium_rcv_detail_code))+1
from ins_premium_det i),'21072','21072','02', '11000003','00','Request by Mr. SAQIB SALEEM 23-Aug-2024');</v>
      </c>
    </row>
    <row r="2" spans="1:8" ht="105" x14ac:dyDescent="0.25">
      <c r="A2" s="2" t="s">
        <v>744</v>
      </c>
      <c r="B2" s="19" t="str">
        <f>VLOOKUP(A2,[2]Sheet1!$B$2:$C$116,2,0)</f>
        <v>070000163321</v>
      </c>
      <c r="C2" s="4">
        <v>59290</v>
      </c>
      <c r="D2" s="24">
        <f t="shared" ref="D2:D65" si="1">ROUND(C2,0)</f>
        <v>59290</v>
      </c>
      <c r="E2" s="20" t="s">
        <v>801</v>
      </c>
      <c r="F2" s="21" t="str">
        <f t="shared" si="0"/>
        <v>insert into ins_premium_det (premium_rcv_code,assorted_code, rec_amount,premium_rcv_detail_code,remaining_amt, payrec, mode_code,coinsurance_code,class_cd,it_remarks) values</v>
      </c>
      <c r="G2" s="22" t="str">
        <f t="shared" ref="G2:G65" si="2">"('"&amp;E2&amp;"','"&amp;B2&amp;"','"&amp;D2&amp;"',(select max(to_number(i.premium_rcv_detail_code))+1
from ins_premium_det i),'"&amp;D2&amp;"','"&amp;D2&amp;"','02', '11000003','00','Request by Mr. SAQIB SALEEM 23-Aug-2024');"</f>
        <v>('23Aug240066','070000163321','59290',(select max(to_number(i.premium_rcv_detail_code))+1
from ins_premium_det i),'59290','59290','02', '11000003','00','Request by Mr. SAQIB SALEEM 23-Aug-2024');</v>
      </c>
      <c r="H2" s="23" t="str">
        <f t="shared" ref="H2:H65" si="3">F2&amp;G2</f>
        <v>insert into ins_premium_det (premium_rcv_code,assorted_code, rec_amount,premium_rcv_detail_code,remaining_amt, payrec, mode_code,coinsurance_code,class_cd,it_remarks) values('23Aug240066','070000163321','59290',(select max(to_number(i.premium_rcv_detail_code))+1
from ins_premium_det i),'59290','59290','02', '11000003','00','Request by Mr. SAQIB SALEEM 23-Aug-2024');</v>
      </c>
    </row>
    <row r="3" spans="1:8" ht="105" x14ac:dyDescent="0.25">
      <c r="A3" s="2" t="s">
        <v>672</v>
      </c>
      <c r="B3" s="19" t="str">
        <f>VLOOKUP(A3,[2]Sheet1!$B$2:$C$116,2,0)</f>
        <v>070000163314</v>
      </c>
      <c r="C3" s="4">
        <v>17332</v>
      </c>
      <c r="D3" s="24">
        <f t="shared" si="1"/>
        <v>17332</v>
      </c>
      <c r="E3" s="20" t="s">
        <v>801</v>
      </c>
      <c r="F3" s="21" t="str">
        <f t="shared" si="0"/>
        <v>insert into ins_premium_det (premium_rcv_code,assorted_code, rec_amount,premium_rcv_detail_code,remaining_amt, payrec, mode_code,coinsurance_code,class_cd,it_remarks) values</v>
      </c>
      <c r="G3" s="22" t="str">
        <f t="shared" si="2"/>
        <v>('23Aug240066','070000163314','17332',(select max(to_number(i.premium_rcv_detail_code))+1
from ins_premium_det i),'17332','17332','02', '11000003','00','Request by Mr. SAQIB SALEEM 23-Aug-2024');</v>
      </c>
      <c r="H3" s="23" t="str">
        <f t="shared" si="3"/>
        <v>insert into ins_premium_det (premium_rcv_code,assorted_code, rec_amount,premium_rcv_detail_code,remaining_amt, payrec, mode_code,coinsurance_code,class_cd,it_remarks) values('23Aug240066','070000163314','17332',(select max(to_number(i.premium_rcv_detail_code))+1
from ins_premium_det i),'17332','17332','02', '11000003','00','Request by Mr. SAQIB SALEEM 23-Aug-2024');</v>
      </c>
    </row>
    <row r="4" spans="1:8" ht="105" x14ac:dyDescent="0.25">
      <c r="A4" s="2" t="s">
        <v>673</v>
      </c>
      <c r="B4" s="19" t="str">
        <f>VLOOKUP(A4,[2]Sheet1!$B$2:$C$116,2,0)</f>
        <v>070000163311</v>
      </c>
      <c r="C4" s="4">
        <v>18784</v>
      </c>
      <c r="D4" s="24">
        <f t="shared" si="1"/>
        <v>18784</v>
      </c>
      <c r="E4" s="20" t="s">
        <v>801</v>
      </c>
      <c r="F4" s="21" t="str">
        <f t="shared" si="0"/>
        <v>insert into ins_premium_det (premium_rcv_code,assorted_code, rec_amount,premium_rcv_detail_code,remaining_amt, payrec, mode_code,coinsurance_code,class_cd,it_remarks) values</v>
      </c>
      <c r="G4" s="22" t="str">
        <f t="shared" si="2"/>
        <v>('23Aug240066','070000163311','18784',(select max(to_number(i.premium_rcv_detail_code))+1
from ins_premium_det i),'18784','18784','02', '11000003','00','Request by Mr. SAQIB SALEEM 23-Aug-2024');</v>
      </c>
      <c r="H4" s="23" t="str">
        <f t="shared" si="3"/>
        <v>insert into ins_premium_det (premium_rcv_code,assorted_code, rec_amount,premium_rcv_detail_code,remaining_amt, payrec, mode_code,coinsurance_code,class_cd,it_remarks) values('23Aug240066','070000163311','18784',(select max(to_number(i.premium_rcv_detail_code))+1
from ins_premium_det i),'18784','18784','02', '11000003','00','Request by Mr. SAQIB SALEEM 23-Aug-2024');</v>
      </c>
    </row>
    <row r="5" spans="1:8" ht="105" x14ac:dyDescent="0.25">
      <c r="A5" s="2" t="s">
        <v>674</v>
      </c>
      <c r="B5" s="19" t="str">
        <f>VLOOKUP(A5,[2]Sheet1!$B$2:$C$116,2,0)</f>
        <v>070000163316</v>
      </c>
      <c r="C5" s="4">
        <v>21542</v>
      </c>
      <c r="D5" s="24">
        <f t="shared" si="1"/>
        <v>21542</v>
      </c>
      <c r="E5" s="20" t="s">
        <v>801</v>
      </c>
      <c r="F5" s="21" t="str">
        <f t="shared" si="0"/>
        <v>insert into ins_premium_det (premium_rcv_code,assorted_code, rec_amount,premium_rcv_detail_code,remaining_amt, payrec, mode_code,coinsurance_code,class_cd,it_remarks) values</v>
      </c>
      <c r="G5" s="22" t="str">
        <f t="shared" si="2"/>
        <v>('23Aug240066','070000163316','21542',(select max(to_number(i.premium_rcv_detail_code))+1
from ins_premium_det i),'21542','21542','02', '11000003','00','Request by Mr. SAQIB SALEEM 23-Aug-2024');</v>
      </c>
      <c r="H5" s="23" t="str">
        <f t="shared" si="3"/>
        <v>insert into ins_premium_det (premium_rcv_code,assorted_code, rec_amount,premium_rcv_detail_code,remaining_amt, payrec, mode_code,coinsurance_code,class_cd,it_remarks) values('23Aug240066','070000163316','21542',(select max(to_number(i.premium_rcv_detail_code))+1
from ins_premium_det i),'21542','21542','02', '11000003','00','Request by Mr. SAQIB SALEEM 23-Aug-2024');</v>
      </c>
    </row>
    <row r="6" spans="1:8" ht="105" x14ac:dyDescent="0.25">
      <c r="A6" s="2" t="s">
        <v>675</v>
      </c>
      <c r="B6" s="19" t="str">
        <f>VLOOKUP(A6,[2]Sheet1!$B$2:$C$116,2,0)</f>
        <v>070000163308</v>
      </c>
      <c r="C6" s="4">
        <v>15868</v>
      </c>
      <c r="D6" s="24">
        <f t="shared" si="1"/>
        <v>15868</v>
      </c>
      <c r="E6" s="20" t="s">
        <v>801</v>
      </c>
      <c r="F6" s="21" t="str">
        <f t="shared" si="0"/>
        <v>insert into ins_premium_det (premium_rcv_code,assorted_code, rec_amount,premium_rcv_detail_code,remaining_amt, payrec, mode_code,coinsurance_code,class_cd,it_remarks) values</v>
      </c>
      <c r="G6" s="22" t="str">
        <f t="shared" si="2"/>
        <v>('23Aug240066','070000163308','15868',(select max(to_number(i.premium_rcv_detail_code))+1
from ins_premium_det i),'15868','15868','02', '11000003','00','Request by Mr. SAQIB SALEEM 23-Aug-2024');</v>
      </c>
      <c r="H6" s="23" t="str">
        <f t="shared" si="3"/>
        <v>insert into ins_premium_det (premium_rcv_code,assorted_code, rec_amount,premium_rcv_detail_code,remaining_amt, payrec, mode_code,coinsurance_code,class_cd,it_remarks) values('23Aug240066','070000163308','15868',(select max(to_number(i.premium_rcv_detail_code))+1
from ins_premium_det i),'15868','15868','02', '11000003','00','Request by Mr. SAQIB SALEEM 23-Aug-2024');</v>
      </c>
    </row>
    <row r="7" spans="1:8" ht="105" x14ac:dyDescent="0.25">
      <c r="A7" s="2" t="s">
        <v>676</v>
      </c>
      <c r="B7" s="19" t="str">
        <f>VLOOKUP(A7,[2]Sheet1!$B$2:$C$116,2,0)</f>
        <v>070000163318</v>
      </c>
      <c r="C7" s="4">
        <v>19164</v>
      </c>
      <c r="D7" s="24">
        <f t="shared" si="1"/>
        <v>19164</v>
      </c>
      <c r="E7" s="20" t="s">
        <v>801</v>
      </c>
      <c r="F7" s="21" t="str">
        <f t="shared" si="0"/>
        <v>insert into ins_premium_det (premium_rcv_code,assorted_code, rec_amount,premium_rcv_detail_code,remaining_amt, payrec, mode_code,coinsurance_code,class_cd,it_remarks) values</v>
      </c>
      <c r="G7" s="22" t="str">
        <f t="shared" si="2"/>
        <v>('23Aug240066','070000163318','19164',(select max(to_number(i.premium_rcv_detail_code))+1
from ins_premium_det i),'19164','19164','02', '11000003','00','Request by Mr. SAQIB SALEEM 23-Aug-2024');</v>
      </c>
      <c r="H7" s="23" t="str">
        <f t="shared" si="3"/>
        <v>insert into ins_premium_det (premium_rcv_code,assorted_code, rec_amount,premium_rcv_detail_code,remaining_amt, payrec, mode_code,coinsurance_code,class_cd,it_remarks) values('23Aug240066','070000163318','19164',(select max(to_number(i.premium_rcv_detail_code))+1
from ins_premium_det i),'19164','19164','02', '11000003','00','Request by Mr. SAQIB SALEEM 23-Aug-2024');</v>
      </c>
    </row>
    <row r="8" spans="1:8" ht="105" x14ac:dyDescent="0.25">
      <c r="A8" s="2" t="s">
        <v>677</v>
      </c>
      <c r="B8" s="19" t="str">
        <f>VLOOKUP(A8,[2]Sheet1!$B$2:$C$116,2,0)</f>
        <v>070000163312</v>
      </c>
      <c r="C8" s="4">
        <v>15868</v>
      </c>
      <c r="D8" s="24">
        <f t="shared" si="1"/>
        <v>15868</v>
      </c>
      <c r="E8" s="20" t="s">
        <v>801</v>
      </c>
      <c r="F8" s="21" t="str">
        <f t="shared" si="0"/>
        <v>insert into ins_premium_det (premium_rcv_code,assorted_code, rec_amount,premium_rcv_detail_code,remaining_amt, payrec, mode_code,coinsurance_code,class_cd,it_remarks) values</v>
      </c>
      <c r="G8" s="22" t="str">
        <f t="shared" si="2"/>
        <v>('23Aug240066','070000163312','15868',(select max(to_number(i.premium_rcv_detail_code))+1
from ins_premium_det i),'15868','15868','02', '11000003','00','Request by Mr. SAQIB SALEEM 23-Aug-2024');</v>
      </c>
      <c r="H8" s="23" t="str">
        <f t="shared" si="3"/>
        <v>insert into ins_premium_det (premium_rcv_code,assorted_code, rec_amount,premium_rcv_detail_code,remaining_amt, payrec, mode_code,coinsurance_code,class_cd,it_remarks) values('23Aug240066','070000163312','15868',(select max(to_number(i.premium_rcv_detail_code))+1
from ins_premium_det i),'15868','15868','02', '11000003','00','Request by Mr. SAQIB SALEEM 23-Aug-2024');</v>
      </c>
    </row>
    <row r="9" spans="1:8" ht="105" x14ac:dyDescent="0.25">
      <c r="A9" s="2" t="s">
        <v>678</v>
      </c>
      <c r="B9" s="19" t="str">
        <f>VLOOKUP(A9,[2]Sheet1!$B$2:$C$116,2,0)</f>
        <v>070000163307</v>
      </c>
      <c r="C9" s="4">
        <v>21226</v>
      </c>
      <c r="D9" s="24">
        <f t="shared" si="1"/>
        <v>21226</v>
      </c>
      <c r="E9" s="20" t="s">
        <v>801</v>
      </c>
      <c r="F9" s="21" t="str">
        <f t="shared" si="0"/>
        <v>insert into ins_premium_det (premium_rcv_code,assorted_code, rec_amount,premium_rcv_detail_code,remaining_amt, payrec, mode_code,coinsurance_code,class_cd,it_remarks) values</v>
      </c>
      <c r="G9" s="22" t="str">
        <f t="shared" si="2"/>
        <v>('23Aug240066','070000163307','21226',(select max(to_number(i.premium_rcv_detail_code))+1
from ins_premium_det i),'21226','21226','02', '11000003','00','Request by Mr. SAQIB SALEEM 23-Aug-2024');</v>
      </c>
      <c r="H9" s="23" t="str">
        <f t="shared" si="3"/>
        <v>insert into ins_premium_det (premium_rcv_code,assorted_code, rec_amount,premium_rcv_detail_code,remaining_amt, payrec, mode_code,coinsurance_code,class_cd,it_remarks) values('23Aug240066','070000163307','21226',(select max(to_number(i.premium_rcv_detail_code))+1
from ins_premium_det i),'21226','21226','02', '11000003','00','Request by Mr. SAQIB SALEEM 23-Aug-2024');</v>
      </c>
    </row>
    <row r="10" spans="1:8" ht="105" x14ac:dyDescent="0.25">
      <c r="A10" s="2" t="s">
        <v>679</v>
      </c>
      <c r="B10" s="19" t="str">
        <f>VLOOKUP(A10,[2]Sheet1!$B$2:$C$116,2,0)</f>
        <v>070000163306</v>
      </c>
      <c r="C10" s="4">
        <v>18784</v>
      </c>
      <c r="D10" s="24">
        <f t="shared" si="1"/>
        <v>18784</v>
      </c>
      <c r="E10" s="20" t="s">
        <v>801</v>
      </c>
      <c r="F10" s="21" t="str">
        <f t="shared" si="0"/>
        <v>insert into ins_premium_det (premium_rcv_code,assorted_code, rec_amount,premium_rcv_detail_code,remaining_amt, payrec, mode_code,coinsurance_code,class_cd,it_remarks) values</v>
      </c>
      <c r="G10" s="22" t="str">
        <f t="shared" si="2"/>
        <v>('23Aug240066','070000163306','18784',(select max(to_number(i.premium_rcv_detail_code))+1
from ins_premium_det i),'18784','18784','02', '11000003','00','Request by Mr. SAQIB SALEEM 23-Aug-2024');</v>
      </c>
      <c r="H10" s="23" t="str">
        <f t="shared" si="3"/>
        <v>insert into ins_premium_det (premium_rcv_code,assorted_code, rec_amount,premium_rcv_detail_code,remaining_amt, payrec, mode_code,coinsurance_code,class_cd,it_remarks) values('23Aug240066','070000163306','18784',(select max(to_number(i.premium_rcv_detail_code))+1
from ins_premium_det i),'18784','18784','02', '11000003','00','Request by Mr. SAQIB SALEEM 23-Aug-2024');</v>
      </c>
    </row>
    <row r="11" spans="1:8" ht="105" x14ac:dyDescent="0.25">
      <c r="A11" s="2" t="s">
        <v>680</v>
      </c>
      <c r="B11" s="19" t="str">
        <f>VLOOKUP(A11,[2]Sheet1!$B$2:$C$116,2,0)</f>
        <v>070000163303</v>
      </c>
      <c r="C11" s="4">
        <v>18784</v>
      </c>
      <c r="D11" s="24">
        <f t="shared" si="1"/>
        <v>18784</v>
      </c>
      <c r="E11" s="20" t="s">
        <v>801</v>
      </c>
      <c r="F11" s="21" t="str">
        <f t="shared" si="0"/>
        <v>insert into ins_premium_det (premium_rcv_code,assorted_code, rec_amount,premium_rcv_detail_code,remaining_amt, payrec, mode_code,coinsurance_code,class_cd,it_remarks) values</v>
      </c>
      <c r="G11" s="22" t="str">
        <f t="shared" si="2"/>
        <v>('23Aug240066','070000163303','18784',(select max(to_number(i.premium_rcv_detail_code))+1
from ins_premium_det i),'18784','18784','02', '11000003','00','Request by Mr. SAQIB SALEEM 23-Aug-2024');</v>
      </c>
      <c r="H11" s="23" t="str">
        <f t="shared" si="3"/>
        <v>insert into ins_premium_det (premium_rcv_code,assorted_code, rec_amount,premium_rcv_detail_code,remaining_amt, payrec, mode_code,coinsurance_code,class_cd,it_remarks) values('23Aug240066','070000163303','18784',(select max(to_number(i.premium_rcv_detail_code))+1
from ins_premium_det i),'18784','18784','02', '11000003','00','Request by Mr. SAQIB SALEEM 23-Aug-2024');</v>
      </c>
    </row>
    <row r="12" spans="1:8" ht="105" x14ac:dyDescent="0.25">
      <c r="A12" s="2" t="s">
        <v>681</v>
      </c>
      <c r="B12" s="19" t="str">
        <f>VLOOKUP(A12,[2]Sheet1!$B$2:$C$116,2,0)</f>
        <v>070000163313</v>
      </c>
      <c r="C12" s="4">
        <v>45830</v>
      </c>
      <c r="D12" s="24">
        <f t="shared" si="1"/>
        <v>45830</v>
      </c>
      <c r="E12" s="20" t="s">
        <v>801</v>
      </c>
      <c r="F12" s="21" t="str">
        <f t="shared" si="0"/>
        <v>insert into ins_premium_det (premium_rcv_code,assorted_code, rec_amount,premium_rcv_detail_code,remaining_amt, payrec, mode_code,coinsurance_code,class_cd,it_remarks) values</v>
      </c>
      <c r="G12" s="22" t="str">
        <f t="shared" si="2"/>
        <v>('23Aug240066','070000163313','45830',(select max(to_number(i.premium_rcv_detail_code))+1
from ins_premium_det i),'45830','45830','02', '11000003','00','Request by Mr. SAQIB SALEEM 23-Aug-2024');</v>
      </c>
      <c r="H12" s="23" t="str">
        <f t="shared" si="3"/>
        <v>insert into ins_premium_det (premium_rcv_code,assorted_code, rec_amount,premium_rcv_detail_code,remaining_amt, payrec, mode_code,coinsurance_code,class_cd,it_remarks) values('23Aug240066','070000163313','45830',(select max(to_number(i.premium_rcv_detail_code))+1
from ins_premium_det i),'45830','45830','02', '11000003','00','Request by Mr. SAQIB SALEEM 23-Aug-2024');</v>
      </c>
    </row>
    <row r="13" spans="1:8" ht="105" x14ac:dyDescent="0.25">
      <c r="A13" s="2" t="s">
        <v>682</v>
      </c>
      <c r="B13" s="19" t="str">
        <f>VLOOKUP(A13,[2]Sheet1!$B$2:$C$116,2,0)</f>
        <v>070000163302</v>
      </c>
      <c r="C13" s="4">
        <v>23705</v>
      </c>
      <c r="D13" s="24">
        <f t="shared" si="1"/>
        <v>23705</v>
      </c>
      <c r="E13" s="20" t="s">
        <v>801</v>
      </c>
      <c r="F13" s="21" t="str">
        <f t="shared" si="0"/>
        <v>insert into ins_premium_det (premium_rcv_code,assorted_code, rec_amount,premium_rcv_detail_code,remaining_amt, payrec, mode_code,coinsurance_code,class_cd,it_remarks) values</v>
      </c>
      <c r="G13" s="22" t="str">
        <f t="shared" si="2"/>
        <v>('23Aug240066','070000163302','23705',(select max(to_number(i.premium_rcv_detail_code))+1
from ins_premium_det i),'23705','23705','02', '11000003','00','Request by Mr. SAQIB SALEEM 23-Aug-2024');</v>
      </c>
      <c r="H13" s="23" t="str">
        <f t="shared" si="3"/>
        <v>insert into ins_premium_det (premium_rcv_code,assorted_code, rec_amount,premium_rcv_detail_code,remaining_amt, payrec, mode_code,coinsurance_code,class_cd,it_remarks) values('23Aug240066','070000163302','23705',(select max(to_number(i.premium_rcv_detail_code))+1
from ins_premium_det i),'23705','23705','02', '11000003','00','Request by Mr. SAQIB SALEEM 23-Aug-2024');</v>
      </c>
    </row>
    <row r="14" spans="1:8" ht="105" x14ac:dyDescent="0.25">
      <c r="A14" s="2" t="s">
        <v>683</v>
      </c>
      <c r="B14" s="19" t="str">
        <f>VLOOKUP(A14,[2]Sheet1!$B$2:$C$116,2,0)</f>
        <v>070000163309</v>
      </c>
      <c r="C14" s="4">
        <v>29768</v>
      </c>
      <c r="D14" s="24">
        <f t="shared" si="1"/>
        <v>29768</v>
      </c>
      <c r="E14" s="20" t="s">
        <v>801</v>
      </c>
      <c r="F14" s="21" t="str">
        <f t="shared" si="0"/>
        <v>insert into ins_premium_det (premium_rcv_code,assorted_code, rec_amount,premium_rcv_detail_code,remaining_amt, payrec, mode_code,coinsurance_code,class_cd,it_remarks) values</v>
      </c>
      <c r="G14" s="22" t="str">
        <f t="shared" si="2"/>
        <v>('23Aug240066','070000163309','29768',(select max(to_number(i.premium_rcv_detail_code))+1
from ins_premium_det i),'29768','29768','02', '11000003','00','Request by Mr. SAQIB SALEEM 23-Aug-2024');</v>
      </c>
      <c r="H14" s="23" t="str">
        <f t="shared" si="3"/>
        <v>insert into ins_premium_det (premium_rcv_code,assorted_code, rec_amount,premium_rcv_detail_code,remaining_amt, payrec, mode_code,coinsurance_code,class_cd,it_remarks) values('23Aug240066','070000163309','29768',(select max(to_number(i.premium_rcv_detail_code))+1
from ins_premium_det i),'29768','29768','02', '11000003','00','Request by Mr. SAQIB SALEEM 23-Aug-2024');</v>
      </c>
    </row>
    <row r="15" spans="1:8" ht="105" x14ac:dyDescent="0.25">
      <c r="A15" s="2" t="s">
        <v>684</v>
      </c>
      <c r="B15" s="19" t="str">
        <f>VLOOKUP(A15,[2]Sheet1!$B$2:$C$116,2,0)</f>
        <v>070000163297</v>
      </c>
      <c r="C15" s="4">
        <v>35775</v>
      </c>
      <c r="D15" s="24">
        <f t="shared" si="1"/>
        <v>35775</v>
      </c>
      <c r="E15" s="20" t="s">
        <v>801</v>
      </c>
      <c r="F15" s="21" t="str">
        <f t="shared" si="0"/>
        <v>insert into ins_premium_det (premium_rcv_code,assorted_code, rec_amount,premium_rcv_detail_code,remaining_amt, payrec, mode_code,coinsurance_code,class_cd,it_remarks) values</v>
      </c>
      <c r="G15" s="22" t="str">
        <f t="shared" si="2"/>
        <v>('23Aug240066','070000163297','35775',(select max(to_number(i.premium_rcv_detail_code))+1
from ins_premium_det i),'35775','35775','02', '11000003','00','Request by Mr. SAQIB SALEEM 23-Aug-2024');</v>
      </c>
      <c r="H15" s="23" t="str">
        <f t="shared" si="3"/>
        <v>insert into ins_premium_det (premium_rcv_code,assorted_code, rec_amount,premium_rcv_detail_code,remaining_amt, payrec, mode_code,coinsurance_code,class_cd,it_remarks) values('23Aug240066','070000163297','35775',(select max(to_number(i.premium_rcv_detail_code))+1
from ins_premium_det i),'35775','35775','02', '11000003','00','Request by Mr. SAQIB SALEEM 23-Aug-2024');</v>
      </c>
    </row>
    <row r="16" spans="1:8" ht="105" x14ac:dyDescent="0.25">
      <c r="A16" s="2" t="s">
        <v>685</v>
      </c>
      <c r="B16" s="19" t="str">
        <f>VLOOKUP(A16,[2]Sheet1!$B$2:$C$116,2,0)</f>
        <v>070000163300</v>
      </c>
      <c r="C16" s="4">
        <v>34898</v>
      </c>
      <c r="D16" s="24">
        <f t="shared" si="1"/>
        <v>34898</v>
      </c>
      <c r="E16" s="20" t="s">
        <v>801</v>
      </c>
      <c r="F16" s="21" t="str">
        <f t="shared" si="0"/>
        <v>insert into ins_premium_det (premium_rcv_code,assorted_code, rec_amount,premium_rcv_detail_code,remaining_amt, payrec, mode_code,coinsurance_code,class_cd,it_remarks) values</v>
      </c>
      <c r="G16" s="22" t="str">
        <f t="shared" si="2"/>
        <v>('23Aug240066','070000163300','34898',(select max(to_number(i.premium_rcv_detail_code))+1
from ins_premium_det i),'34898','34898','02', '11000003','00','Request by Mr. SAQIB SALEEM 23-Aug-2024');</v>
      </c>
      <c r="H16" s="23" t="str">
        <f t="shared" si="3"/>
        <v>insert into ins_premium_det (premium_rcv_code,assorted_code, rec_amount,premium_rcv_detail_code,remaining_amt, payrec, mode_code,coinsurance_code,class_cd,it_remarks) values('23Aug240066','070000163300','34898',(select max(to_number(i.premium_rcv_detail_code))+1
from ins_premium_det i),'34898','34898','02', '11000003','00','Request by Mr. SAQIB SALEEM 23-Aug-2024');</v>
      </c>
    </row>
    <row r="17" spans="1:8" ht="105" x14ac:dyDescent="0.25">
      <c r="A17" s="6" t="s">
        <v>773</v>
      </c>
      <c r="B17" s="19" t="str">
        <f>VLOOKUP(A17,[2]Sheet1!$B$2:$C$116,2,0)</f>
        <v>070000163298</v>
      </c>
      <c r="C17" s="4">
        <v>25650</v>
      </c>
      <c r="D17" s="24">
        <f t="shared" si="1"/>
        <v>25650</v>
      </c>
      <c r="E17" s="20" t="s">
        <v>801</v>
      </c>
      <c r="F17" s="21" t="str">
        <f t="shared" si="0"/>
        <v>insert into ins_premium_det (premium_rcv_code,assorted_code, rec_amount,premium_rcv_detail_code,remaining_amt, payrec, mode_code,coinsurance_code,class_cd,it_remarks) values</v>
      </c>
      <c r="G17" s="22" t="str">
        <f t="shared" si="2"/>
        <v>('23Aug240066','070000163298','25650',(select max(to_number(i.premium_rcv_detail_code))+1
from ins_premium_det i),'25650','25650','02', '11000003','00','Request by Mr. SAQIB SALEEM 23-Aug-2024');</v>
      </c>
      <c r="H17" s="23" t="str">
        <f t="shared" si="3"/>
        <v>insert into ins_premium_det (premium_rcv_code,assorted_code, rec_amount,premium_rcv_detail_code,remaining_amt, payrec, mode_code,coinsurance_code,class_cd,it_remarks) values('23Aug240066','070000163298','25650',(select max(to_number(i.premium_rcv_detail_code))+1
from ins_premium_det i),'25650','25650','02', '11000003','00','Request by Mr. SAQIB SALEEM 23-Aug-2024');</v>
      </c>
    </row>
    <row r="18" spans="1:8" ht="105" x14ac:dyDescent="0.25">
      <c r="A18" s="2" t="s">
        <v>686</v>
      </c>
      <c r="B18" s="19" t="str">
        <f>VLOOKUP(A18,[2]Sheet1!$B$2:$C$116,2,0)</f>
        <v>070000163301</v>
      </c>
      <c r="C18" s="4">
        <v>35262</v>
      </c>
      <c r="D18" s="24">
        <f t="shared" si="1"/>
        <v>35262</v>
      </c>
      <c r="E18" s="20" t="s">
        <v>801</v>
      </c>
      <c r="F18" s="21" t="str">
        <f t="shared" si="0"/>
        <v>insert into ins_premium_det (premium_rcv_code,assorted_code, rec_amount,premium_rcv_detail_code,remaining_amt, payrec, mode_code,coinsurance_code,class_cd,it_remarks) values</v>
      </c>
      <c r="G18" s="22" t="str">
        <f t="shared" si="2"/>
        <v>('23Aug240066','070000163301','35262',(select max(to_number(i.premium_rcv_detail_code))+1
from ins_premium_det i),'35262','35262','02', '11000003','00','Request by Mr. SAQIB SALEEM 23-Aug-2024');</v>
      </c>
      <c r="H18" s="23" t="str">
        <f t="shared" si="3"/>
        <v>insert into ins_premium_det (premium_rcv_code,assorted_code, rec_amount,premium_rcv_detail_code,remaining_amt, payrec, mode_code,coinsurance_code,class_cd,it_remarks) values('23Aug240066','070000163301','35262',(select max(to_number(i.premium_rcv_detail_code))+1
from ins_premium_det i),'35262','35262','02', '11000003','00','Request by Mr. SAQIB SALEEM 23-Aug-2024');</v>
      </c>
    </row>
    <row r="19" spans="1:8" ht="105" x14ac:dyDescent="0.25">
      <c r="A19" s="2" t="s">
        <v>687</v>
      </c>
      <c r="B19" s="19" t="str">
        <f>VLOOKUP(A19,[2]Sheet1!$B$2:$C$116,2,0)</f>
        <v>070000163299</v>
      </c>
      <c r="C19" s="4">
        <v>47250</v>
      </c>
      <c r="D19" s="24">
        <f t="shared" si="1"/>
        <v>47250</v>
      </c>
      <c r="E19" s="20" t="s">
        <v>801</v>
      </c>
      <c r="F19" s="21" t="str">
        <f t="shared" si="0"/>
        <v>insert into ins_premium_det (premium_rcv_code,assorted_code, rec_amount,premium_rcv_detail_code,remaining_amt, payrec, mode_code,coinsurance_code,class_cd,it_remarks) values</v>
      </c>
      <c r="G19" s="22" t="str">
        <f t="shared" si="2"/>
        <v>('23Aug240066','070000163299','47250',(select max(to_number(i.premium_rcv_detail_code))+1
from ins_premium_det i),'47250','47250','02', '11000003','00','Request by Mr. SAQIB SALEEM 23-Aug-2024');</v>
      </c>
      <c r="H19" s="23" t="str">
        <f t="shared" si="3"/>
        <v>insert into ins_premium_det (premium_rcv_code,assorted_code, rec_amount,premium_rcv_detail_code,remaining_amt, payrec, mode_code,coinsurance_code,class_cd,it_remarks) values('23Aug240066','070000163299','47250',(select max(to_number(i.premium_rcv_detail_code))+1
from ins_premium_det i),'47250','47250','02', '11000003','00','Request by Mr. SAQIB SALEEM 23-Aug-2024');</v>
      </c>
    </row>
    <row r="20" spans="1:8" ht="105" x14ac:dyDescent="0.25">
      <c r="A20" s="2" t="s">
        <v>688</v>
      </c>
      <c r="B20" s="19" t="str">
        <f>VLOOKUP(A20,[2]Sheet1!$B$2:$C$116,2,0)</f>
        <v>070000163296</v>
      </c>
      <c r="C20" s="4">
        <v>49073</v>
      </c>
      <c r="D20" s="24">
        <f t="shared" si="1"/>
        <v>49073</v>
      </c>
      <c r="E20" s="20" t="s">
        <v>801</v>
      </c>
      <c r="F20" s="21" t="str">
        <f t="shared" si="0"/>
        <v>insert into ins_premium_det (premium_rcv_code,assorted_code, rec_amount,premium_rcv_detail_code,remaining_amt, payrec, mode_code,coinsurance_code,class_cd,it_remarks) values</v>
      </c>
      <c r="G20" s="22" t="str">
        <f t="shared" si="2"/>
        <v>('23Aug240066','070000163296','49073',(select max(to_number(i.premium_rcv_detail_code))+1
from ins_premium_det i),'49073','49073','02', '11000003','00','Request by Mr. SAQIB SALEEM 23-Aug-2024');</v>
      </c>
      <c r="H20" s="23" t="str">
        <f t="shared" si="3"/>
        <v>insert into ins_premium_det (premium_rcv_code,assorted_code, rec_amount,premium_rcv_detail_code,remaining_amt, payrec, mode_code,coinsurance_code,class_cd,it_remarks) values('23Aug240066','070000163296','49073',(select max(to_number(i.premium_rcv_detail_code))+1
from ins_premium_det i),'49073','49073','02', '11000003','00','Request by Mr. SAQIB SALEEM 23-Aug-2024');</v>
      </c>
    </row>
    <row r="21" spans="1:8" ht="105" x14ac:dyDescent="0.25">
      <c r="A21" s="18" t="s">
        <v>775</v>
      </c>
      <c r="B21" s="19" t="str">
        <f>VLOOKUP(A21,[2]Sheet1!$B$2:$C$116,2,0)</f>
        <v>070000163330</v>
      </c>
      <c r="C21" s="4">
        <v>22307</v>
      </c>
      <c r="D21" s="24">
        <f t="shared" si="1"/>
        <v>22307</v>
      </c>
      <c r="E21" s="20" t="s">
        <v>801</v>
      </c>
      <c r="F21" s="21" t="str">
        <f t="shared" si="0"/>
        <v>insert into ins_premium_det (premium_rcv_code,assorted_code, rec_amount,premium_rcv_detail_code,remaining_amt, payrec, mode_code,coinsurance_code,class_cd,it_remarks) values</v>
      </c>
      <c r="G21" s="22" t="str">
        <f t="shared" si="2"/>
        <v>('23Aug240066','070000163330','22307',(select max(to_number(i.premium_rcv_detail_code))+1
from ins_premium_det i),'22307','22307','02', '11000003','00','Request by Mr. SAQIB SALEEM 23-Aug-2024');</v>
      </c>
      <c r="H21" s="23" t="str">
        <f t="shared" si="3"/>
        <v>insert into ins_premium_det (premium_rcv_code,assorted_code, rec_amount,premium_rcv_detail_code,remaining_amt, payrec, mode_code,coinsurance_code,class_cd,it_remarks) values('23Aug240066','070000163330','22307',(select max(to_number(i.premium_rcv_detail_code))+1
from ins_premium_det i),'22307','22307','02', '11000003','00','Request by Mr. SAQIB SALEEM 23-Aug-2024');</v>
      </c>
    </row>
    <row r="22" spans="1:8" ht="105" x14ac:dyDescent="0.25">
      <c r="A22" s="18" t="s">
        <v>689</v>
      </c>
      <c r="B22" s="19" t="str">
        <f>VLOOKUP(A22,[2]Sheet1!$B$2:$C$116,2,0)</f>
        <v>070000163331</v>
      </c>
      <c r="C22" s="4">
        <v>16599</v>
      </c>
      <c r="D22" s="24">
        <f t="shared" si="1"/>
        <v>16599</v>
      </c>
      <c r="E22" s="20" t="s">
        <v>801</v>
      </c>
      <c r="F22" s="21" t="str">
        <f t="shared" si="0"/>
        <v>insert into ins_premium_det (premium_rcv_code,assorted_code, rec_amount,premium_rcv_detail_code,remaining_amt, payrec, mode_code,coinsurance_code,class_cd,it_remarks) values</v>
      </c>
      <c r="G22" s="22" t="str">
        <f t="shared" si="2"/>
        <v>('23Aug240066','070000163331','16599',(select max(to_number(i.premium_rcv_detail_code))+1
from ins_premium_det i),'16599','16599','02', '11000003','00','Request by Mr. SAQIB SALEEM 23-Aug-2024');</v>
      </c>
      <c r="H22" s="23" t="str">
        <f t="shared" si="3"/>
        <v>insert into ins_premium_det (premium_rcv_code,assorted_code, rec_amount,premium_rcv_detail_code,remaining_amt, payrec, mode_code,coinsurance_code,class_cd,it_remarks) values('23Aug240066','070000163331','16599',(select max(to_number(i.premium_rcv_detail_code))+1
from ins_premium_det i),'16599','16599','02', '11000003','00','Request by Mr. SAQIB SALEEM 23-Aug-2024');</v>
      </c>
    </row>
    <row r="23" spans="1:8" ht="105" x14ac:dyDescent="0.25">
      <c r="A23" s="2" t="s">
        <v>690</v>
      </c>
      <c r="B23" s="19" t="str">
        <f>VLOOKUP(A23,[2]Sheet1!$B$2:$C$116,2,0)</f>
        <v>070000163325</v>
      </c>
      <c r="C23" s="4">
        <v>21061</v>
      </c>
      <c r="D23" s="24">
        <f t="shared" si="1"/>
        <v>21061</v>
      </c>
      <c r="E23" s="20" t="s">
        <v>801</v>
      </c>
      <c r="F23" s="21" t="str">
        <f t="shared" si="0"/>
        <v>insert into ins_premium_det (premium_rcv_code,assorted_code, rec_amount,premium_rcv_detail_code,remaining_amt, payrec, mode_code,coinsurance_code,class_cd,it_remarks) values</v>
      </c>
      <c r="G23" s="22" t="str">
        <f t="shared" si="2"/>
        <v>('23Aug240066','070000163325','21061',(select max(to_number(i.premium_rcv_detail_code))+1
from ins_premium_det i),'21061','21061','02', '11000003','00','Request by Mr. SAQIB SALEEM 23-Aug-2024');</v>
      </c>
      <c r="H23" s="23" t="str">
        <f t="shared" si="3"/>
        <v>insert into ins_premium_det (premium_rcv_code,assorted_code, rec_amount,premium_rcv_detail_code,remaining_amt, payrec, mode_code,coinsurance_code,class_cd,it_remarks) values('23Aug240066','070000163325','21061',(select max(to_number(i.premium_rcv_detail_code))+1
from ins_premium_det i),'21061','21061','02', '11000003','00','Request by Mr. SAQIB SALEEM 23-Aug-2024');</v>
      </c>
    </row>
    <row r="24" spans="1:8" ht="105" x14ac:dyDescent="0.25">
      <c r="A24" s="2" t="s">
        <v>748</v>
      </c>
      <c r="B24" s="19" t="str">
        <f>VLOOKUP(A24,[2]Sheet1!$B$2:$C$116,2,0)</f>
        <v>070000163516</v>
      </c>
      <c r="C24" s="4">
        <v>16135</v>
      </c>
      <c r="D24" s="24">
        <f t="shared" si="1"/>
        <v>16135</v>
      </c>
      <c r="E24" s="20" t="s">
        <v>801</v>
      </c>
      <c r="F24" s="21" t="str">
        <f t="shared" si="0"/>
        <v>insert into ins_premium_det (premium_rcv_code,assorted_code, rec_amount,premium_rcv_detail_code,remaining_amt, payrec, mode_code,coinsurance_code,class_cd,it_remarks) values</v>
      </c>
      <c r="G24" s="22" t="str">
        <f t="shared" si="2"/>
        <v>('23Aug240066','070000163516','16135',(select max(to_number(i.premium_rcv_detail_code))+1
from ins_premium_det i),'16135','16135','02', '11000003','00','Request by Mr. SAQIB SALEEM 23-Aug-2024');</v>
      </c>
      <c r="H24" s="23" t="str">
        <f t="shared" si="3"/>
        <v>insert into ins_premium_det (premium_rcv_code,assorted_code, rec_amount,premium_rcv_detail_code,remaining_amt, payrec, mode_code,coinsurance_code,class_cd,it_remarks) values('23Aug240066','070000163516','16135',(select max(to_number(i.premium_rcv_detail_code))+1
from ins_premium_det i),'16135','16135','02', '11000003','00','Request by Mr. SAQIB SALEEM 23-Aug-2024');</v>
      </c>
    </row>
    <row r="25" spans="1:8" ht="105" x14ac:dyDescent="0.25">
      <c r="A25" s="2" t="s">
        <v>747</v>
      </c>
      <c r="B25" s="19" t="str">
        <f>VLOOKUP(A25,[2]Sheet1!$B$2:$C$116,2,0)</f>
        <v>070000163391</v>
      </c>
      <c r="C25" s="4">
        <v>39623</v>
      </c>
      <c r="D25" s="24">
        <f t="shared" si="1"/>
        <v>39623</v>
      </c>
      <c r="E25" s="20" t="s">
        <v>801</v>
      </c>
      <c r="F25" s="21" t="str">
        <f t="shared" si="0"/>
        <v>insert into ins_premium_det (premium_rcv_code,assorted_code, rec_amount,premium_rcv_detail_code,remaining_amt, payrec, mode_code,coinsurance_code,class_cd,it_remarks) values</v>
      </c>
      <c r="G25" s="22" t="str">
        <f t="shared" si="2"/>
        <v>('23Aug240066','070000163391','39623',(select max(to_number(i.premium_rcv_detail_code))+1
from ins_premium_det i),'39623','39623','02', '11000003','00','Request by Mr. SAQIB SALEEM 23-Aug-2024');</v>
      </c>
      <c r="H25" s="23" t="str">
        <f t="shared" si="3"/>
        <v>insert into ins_premium_det (premium_rcv_code,assorted_code, rec_amount,premium_rcv_detail_code,remaining_amt, payrec, mode_code,coinsurance_code,class_cd,it_remarks) values('23Aug240066','070000163391','39623',(select max(to_number(i.premium_rcv_detail_code))+1
from ins_premium_det i),'39623','39623','02', '11000003','00','Request by Mr. SAQIB SALEEM 23-Aug-2024');</v>
      </c>
    </row>
    <row r="26" spans="1:8" ht="105" x14ac:dyDescent="0.25">
      <c r="A26" s="2" t="s">
        <v>691</v>
      </c>
      <c r="B26" s="19" t="str">
        <f>VLOOKUP(A26,[2]Sheet1!$B$2:$C$116,2,0)</f>
        <v>070000163426</v>
      </c>
      <c r="C26" s="4">
        <v>41702</v>
      </c>
      <c r="D26" s="24">
        <f t="shared" si="1"/>
        <v>41702</v>
      </c>
      <c r="E26" s="20" t="s">
        <v>801</v>
      </c>
      <c r="F26" s="21" t="str">
        <f t="shared" si="0"/>
        <v>insert into ins_premium_det (premium_rcv_code,assorted_code, rec_amount,premium_rcv_detail_code,remaining_amt, payrec, mode_code,coinsurance_code,class_cd,it_remarks) values</v>
      </c>
      <c r="G26" s="22" t="str">
        <f t="shared" si="2"/>
        <v>('23Aug240066','070000163426','41702',(select max(to_number(i.premium_rcv_detail_code))+1
from ins_premium_det i),'41702','41702','02', '11000003','00','Request by Mr. SAQIB SALEEM 23-Aug-2024');</v>
      </c>
      <c r="H26" s="23" t="str">
        <f t="shared" si="3"/>
        <v>insert into ins_premium_det (premium_rcv_code,assorted_code, rec_amount,premium_rcv_detail_code,remaining_amt, payrec, mode_code,coinsurance_code,class_cd,it_remarks) values('23Aug240066','070000163426','41702',(select max(to_number(i.premium_rcv_detail_code))+1
from ins_premium_det i),'41702','41702','02', '11000003','00','Request by Mr. SAQIB SALEEM 23-Aug-2024');</v>
      </c>
    </row>
    <row r="27" spans="1:8" ht="105" x14ac:dyDescent="0.25">
      <c r="A27" s="2" t="s">
        <v>692</v>
      </c>
      <c r="B27" s="19" t="str">
        <f>VLOOKUP(A27,[2]Sheet1!$B$2:$C$116,2,0)</f>
        <v>070000163427</v>
      </c>
      <c r="C27" s="4">
        <v>41702</v>
      </c>
      <c r="D27" s="24">
        <f t="shared" si="1"/>
        <v>41702</v>
      </c>
      <c r="E27" s="20" t="s">
        <v>801</v>
      </c>
      <c r="F27" s="21" t="str">
        <f t="shared" si="0"/>
        <v>insert into ins_premium_det (premium_rcv_code,assorted_code, rec_amount,premium_rcv_detail_code,remaining_amt, payrec, mode_code,coinsurance_code,class_cd,it_remarks) values</v>
      </c>
      <c r="G27" s="22" t="str">
        <f t="shared" si="2"/>
        <v>('23Aug240066','070000163427','41702',(select max(to_number(i.premium_rcv_detail_code))+1
from ins_premium_det i),'41702','41702','02', '11000003','00','Request by Mr. SAQIB SALEEM 23-Aug-2024');</v>
      </c>
      <c r="H27" s="23" t="str">
        <f t="shared" si="3"/>
        <v>insert into ins_premium_det (premium_rcv_code,assorted_code, rec_amount,premium_rcv_detail_code,remaining_amt, payrec, mode_code,coinsurance_code,class_cd,it_remarks) values('23Aug240066','070000163427','41702',(select max(to_number(i.premium_rcv_detail_code))+1
from ins_premium_det i),'41702','41702','02', '11000003','00','Request by Mr. SAQIB SALEEM 23-Aug-2024');</v>
      </c>
    </row>
    <row r="28" spans="1:8" ht="105" x14ac:dyDescent="0.25">
      <c r="A28" s="2" t="s">
        <v>693</v>
      </c>
      <c r="B28" s="19" t="str">
        <f>VLOOKUP(A28,[2]Sheet1!$B$2:$C$116,2,0)</f>
        <v>070000163337</v>
      </c>
      <c r="C28" s="4">
        <v>26961</v>
      </c>
      <c r="D28" s="24">
        <f t="shared" si="1"/>
        <v>26961</v>
      </c>
      <c r="E28" s="20" t="s">
        <v>801</v>
      </c>
      <c r="F28" s="21" t="str">
        <f t="shared" si="0"/>
        <v>insert into ins_premium_det (premium_rcv_code,assorted_code, rec_amount,premium_rcv_detail_code,remaining_amt, payrec, mode_code,coinsurance_code,class_cd,it_remarks) values</v>
      </c>
      <c r="G28" s="22" t="str">
        <f t="shared" si="2"/>
        <v>('23Aug240066','070000163337','26961',(select max(to_number(i.premium_rcv_detail_code))+1
from ins_premium_det i),'26961','26961','02', '11000003','00','Request by Mr. SAQIB SALEEM 23-Aug-2024');</v>
      </c>
      <c r="H28" s="23" t="str">
        <f t="shared" si="3"/>
        <v>insert into ins_premium_det (premium_rcv_code,assorted_code, rec_amount,premium_rcv_detail_code,remaining_amt, payrec, mode_code,coinsurance_code,class_cd,it_remarks) values('23Aug240066','070000163337','26961',(select max(to_number(i.premium_rcv_detail_code))+1
from ins_premium_det i),'26961','26961','02', '11000003','00','Request by Mr. SAQIB SALEEM 23-Aug-2024');</v>
      </c>
    </row>
    <row r="29" spans="1:8" ht="105" x14ac:dyDescent="0.25">
      <c r="A29" s="2" t="s">
        <v>695</v>
      </c>
      <c r="B29" s="19" t="str">
        <f>VLOOKUP(A29,[2]Sheet1!$B$2:$C$116,2,0)</f>
        <v>070000163336</v>
      </c>
      <c r="C29" s="4">
        <v>48600</v>
      </c>
      <c r="D29" s="24">
        <f t="shared" si="1"/>
        <v>48600</v>
      </c>
      <c r="E29" s="20" t="s">
        <v>801</v>
      </c>
      <c r="F29" s="21" t="str">
        <f t="shared" si="0"/>
        <v>insert into ins_premium_det (premium_rcv_code,assorted_code, rec_amount,premium_rcv_detail_code,remaining_amt, payrec, mode_code,coinsurance_code,class_cd,it_remarks) values</v>
      </c>
      <c r="G29" s="22" t="str">
        <f t="shared" si="2"/>
        <v>('23Aug240066','070000163336','48600',(select max(to_number(i.premium_rcv_detail_code))+1
from ins_premium_det i),'48600','48600','02', '11000003','00','Request by Mr. SAQIB SALEEM 23-Aug-2024');</v>
      </c>
      <c r="H29" s="23" t="str">
        <f t="shared" si="3"/>
        <v>insert into ins_premium_det (premium_rcv_code,assorted_code, rec_amount,premium_rcv_detail_code,remaining_amt, payrec, mode_code,coinsurance_code,class_cd,it_remarks) values('23Aug240066','070000163336','48600',(select max(to_number(i.premium_rcv_detail_code))+1
from ins_premium_det i),'48600','48600','02', '11000003','00','Request by Mr. SAQIB SALEEM 23-Aug-2024');</v>
      </c>
    </row>
    <row r="30" spans="1:8" ht="105" x14ac:dyDescent="0.25">
      <c r="A30" s="2" t="s">
        <v>694</v>
      </c>
      <c r="B30" s="19" t="str">
        <f>VLOOKUP(A30,[2]Sheet1!$B$2:$C$116,2,0)</f>
        <v>070000163332</v>
      </c>
      <c r="C30" s="4">
        <v>33750</v>
      </c>
      <c r="D30" s="24">
        <f t="shared" si="1"/>
        <v>33750</v>
      </c>
      <c r="E30" s="20" t="s">
        <v>801</v>
      </c>
      <c r="F30" s="21" t="str">
        <f t="shared" si="0"/>
        <v>insert into ins_premium_det (premium_rcv_code,assorted_code, rec_amount,premium_rcv_detail_code,remaining_amt, payrec, mode_code,coinsurance_code,class_cd,it_remarks) values</v>
      </c>
      <c r="G30" s="22" t="str">
        <f t="shared" si="2"/>
        <v>('23Aug240066','070000163332','33750',(select max(to_number(i.premium_rcv_detail_code))+1
from ins_premium_det i),'33750','33750','02', '11000003','00','Request by Mr. SAQIB SALEEM 23-Aug-2024');</v>
      </c>
      <c r="H30" s="23" t="str">
        <f t="shared" si="3"/>
        <v>insert into ins_premium_det (premium_rcv_code,assorted_code, rec_amount,premium_rcv_detail_code,remaining_amt, payrec, mode_code,coinsurance_code,class_cd,it_remarks) values('23Aug240066','070000163332','33750',(select max(to_number(i.premium_rcv_detail_code))+1
from ins_premium_det i),'33750','33750','02', '11000003','00','Request by Mr. SAQIB SALEEM 23-Aug-2024');</v>
      </c>
    </row>
    <row r="31" spans="1:8" ht="105" x14ac:dyDescent="0.25">
      <c r="A31" s="2" t="s">
        <v>696</v>
      </c>
      <c r="B31" s="19" t="str">
        <f>VLOOKUP(A31,[2]Sheet1!$B$2:$C$116,2,0)</f>
        <v>070000163335</v>
      </c>
      <c r="C31" s="4">
        <v>13500</v>
      </c>
      <c r="D31" s="24">
        <f t="shared" si="1"/>
        <v>13500</v>
      </c>
      <c r="E31" s="20" t="s">
        <v>801</v>
      </c>
      <c r="F31" s="21" t="str">
        <f t="shared" si="0"/>
        <v>insert into ins_premium_det (premium_rcv_code,assorted_code, rec_amount,premium_rcv_detail_code,remaining_amt, payrec, mode_code,coinsurance_code,class_cd,it_remarks) values</v>
      </c>
      <c r="G31" s="22" t="str">
        <f t="shared" si="2"/>
        <v>('23Aug240066','070000163335','13500',(select max(to_number(i.premium_rcv_detail_code))+1
from ins_premium_det i),'13500','13500','02', '11000003','00','Request by Mr. SAQIB SALEEM 23-Aug-2024');</v>
      </c>
      <c r="H31" s="23" t="str">
        <f t="shared" si="3"/>
        <v>insert into ins_premium_det (premium_rcv_code,assorted_code, rec_amount,premium_rcv_detail_code,remaining_amt, payrec, mode_code,coinsurance_code,class_cd,it_remarks) values('23Aug240066','070000163335','13500',(select max(to_number(i.premium_rcv_detail_code))+1
from ins_premium_det i),'13500','13500','02', '11000003','00','Request by Mr. SAQIB SALEEM 23-Aug-2024');</v>
      </c>
    </row>
    <row r="32" spans="1:8" ht="105" x14ac:dyDescent="0.25">
      <c r="A32" s="2" t="s">
        <v>776</v>
      </c>
      <c r="B32" s="19" t="str">
        <f>VLOOKUP(A32,[2]Sheet1!$B$2:$C$116,2,0)</f>
        <v>070000163334</v>
      </c>
      <c r="C32" s="4">
        <v>39623</v>
      </c>
      <c r="D32" s="24">
        <f t="shared" si="1"/>
        <v>39623</v>
      </c>
      <c r="E32" s="20" t="s">
        <v>801</v>
      </c>
      <c r="F32" s="21" t="str">
        <f t="shared" si="0"/>
        <v>insert into ins_premium_det (premium_rcv_code,assorted_code, rec_amount,premium_rcv_detail_code,remaining_amt, payrec, mode_code,coinsurance_code,class_cd,it_remarks) values</v>
      </c>
      <c r="G32" s="22" t="str">
        <f t="shared" si="2"/>
        <v>('23Aug240066','070000163334','39623',(select max(to_number(i.premium_rcv_detail_code))+1
from ins_premium_det i),'39623','39623','02', '11000003','00','Request by Mr. SAQIB SALEEM 23-Aug-2024');</v>
      </c>
      <c r="H32" s="23" t="str">
        <f t="shared" si="3"/>
        <v>insert into ins_premium_det (premium_rcv_code,assorted_code, rec_amount,premium_rcv_detail_code,remaining_amt, payrec, mode_code,coinsurance_code,class_cd,it_remarks) values('23Aug240066','070000163334','39623',(select max(to_number(i.premium_rcv_detail_code))+1
from ins_premium_det i),'39623','39623','02', '11000003','00','Request by Mr. SAQIB SALEEM 23-Aug-2024');</v>
      </c>
    </row>
    <row r="33" spans="1:8" ht="105" x14ac:dyDescent="0.25">
      <c r="A33" s="2" t="s">
        <v>697</v>
      </c>
      <c r="B33" s="19" t="str">
        <f>VLOOKUP(A33,[2]Sheet1!$B$2:$C$116,2,0)</f>
        <v>070000162432</v>
      </c>
      <c r="C33" s="4">
        <v>18345</v>
      </c>
      <c r="D33" s="24">
        <f t="shared" si="1"/>
        <v>18345</v>
      </c>
      <c r="E33" s="20" t="s">
        <v>801</v>
      </c>
      <c r="F33" s="21" t="str">
        <f t="shared" si="0"/>
        <v>insert into ins_premium_det (premium_rcv_code,assorted_code, rec_amount,premium_rcv_detail_code,remaining_amt, payrec, mode_code,coinsurance_code,class_cd,it_remarks) values</v>
      </c>
      <c r="G33" s="22" t="str">
        <f t="shared" si="2"/>
        <v>('23Aug240066','070000162432','18345',(select max(to_number(i.premium_rcv_detail_code))+1
from ins_premium_det i),'18345','18345','02', '11000003','00','Request by Mr. SAQIB SALEEM 23-Aug-2024');</v>
      </c>
      <c r="H33" s="23" t="str">
        <f t="shared" si="3"/>
        <v>insert into ins_premium_det (premium_rcv_code,assorted_code, rec_amount,premium_rcv_detail_code,remaining_amt, payrec, mode_code,coinsurance_code,class_cd,it_remarks) values('23Aug240066','070000162432','18345',(select max(to_number(i.premium_rcv_detail_code))+1
from ins_premium_det i),'18345','18345','02', '11000003','00','Request by Mr. SAQIB SALEEM 23-Aug-2024');</v>
      </c>
    </row>
    <row r="34" spans="1:8" ht="105" x14ac:dyDescent="0.25">
      <c r="A34" s="2" t="s">
        <v>698</v>
      </c>
      <c r="B34" s="19" t="str">
        <f>VLOOKUP(A34,[2]Sheet1!$B$2:$C$116,2,0)</f>
        <v>070000163341</v>
      </c>
      <c r="C34" s="4">
        <v>24801</v>
      </c>
      <c r="D34" s="24">
        <f t="shared" si="1"/>
        <v>24801</v>
      </c>
      <c r="E34" s="20" t="s">
        <v>801</v>
      </c>
      <c r="F34" s="21" t="str">
        <f t="shared" si="0"/>
        <v>insert into ins_premium_det (premium_rcv_code,assorted_code, rec_amount,premium_rcv_detail_code,remaining_amt, payrec, mode_code,coinsurance_code,class_cd,it_remarks) values</v>
      </c>
      <c r="G34" s="22" t="str">
        <f t="shared" si="2"/>
        <v>('23Aug240066','070000163341','24801',(select max(to_number(i.premium_rcv_detail_code))+1
from ins_premium_det i),'24801','24801','02', '11000003','00','Request by Mr. SAQIB SALEEM 23-Aug-2024');</v>
      </c>
      <c r="H34" s="23" t="str">
        <f t="shared" si="3"/>
        <v>insert into ins_premium_det (premium_rcv_code,assorted_code, rec_amount,premium_rcv_detail_code,remaining_amt, payrec, mode_code,coinsurance_code,class_cd,it_remarks) values('23Aug240066','070000163341','24801',(select max(to_number(i.premium_rcv_detail_code))+1
from ins_premium_det i),'24801','24801','02', '11000003','00','Request by Mr. SAQIB SALEEM 23-Aug-2024');</v>
      </c>
    </row>
    <row r="35" spans="1:8" ht="105" x14ac:dyDescent="0.25">
      <c r="A35" s="2" t="s">
        <v>777</v>
      </c>
      <c r="B35" s="19" t="str">
        <f>VLOOKUP(A35,[2]Sheet1!$B$2:$C$116,2,0)</f>
        <v>070000163344</v>
      </c>
      <c r="C35" s="4">
        <v>20969</v>
      </c>
      <c r="D35" s="24">
        <f t="shared" si="1"/>
        <v>20969</v>
      </c>
      <c r="E35" s="20" t="s">
        <v>801</v>
      </c>
      <c r="F35" s="21" t="str">
        <f t="shared" si="0"/>
        <v>insert into ins_premium_det (premium_rcv_code,assorted_code, rec_amount,premium_rcv_detail_code,remaining_amt, payrec, mode_code,coinsurance_code,class_cd,it_remarks) values</v>
      </c>
      <c r="G35" s="22" t="str">
        <f t="shared" si="2"/>
        <v>('23Aug240066','070000163344','20969',(select max(to_number(i.premium_rcv_detail_code))+1
from ins_premium_det i),'20969','20969','02', '11000003','00','Request by Mr. SAQIB SALEEM 23-Aug-2024');</v>
      </c>
      <c r="H35" s="23" t="str">
        <f t="shared" si="3"/>
        <v>insert into ins_premium_det (premium_rcv_code,assorted_code, rec_amount,premium_rcv_detail_code,remaining_amt, payrec, mode_code,coinsurance_code,class_cd,it_remarks) values('23Aug240066','070000163344','20969',(select max(to_number(i.premium_rcv_detail_code))+1
from ins_premium_det i),'20969','20969','02', '11000003','00','Request by Mr. SAQIB SALEEM 23-Aug-2024');</v>
      </c>
    </row>
    <row r="36" spans="1:8" ht="105" x14ac:dyDescent="0.25">
      <c r="A36" s="2" t="s">
        <v>699</v>
      </c>
      <c r="B36" s="19" t="str">
        <f>VLOOKUP(A36,[2]Sheet1!$B$2:$C$116,2,0)</f>
        <v>070000163346</v>
      </c>
      <c r="C36" s="4">
        <v>22242</v>
      </c>
      <c r="D36" s="24">
        <f t="shared" si="1"/>
        <v>22242</v>
      </c>
      <c r="E36" s="20" t="s">
        <v>801</v>
      </c>
      <c r="F36" s="21" t="str">
        <f t="shared" si="0"/>
        <v>insert into ins_premium_det (premium_rcv_code,assorted_code, rec_amount,premium_rcv_detail_code,remaining_amt, payrec, mode_code,coinsurance_code,class_cd,it_remarks) values</v>
      </c>
      <c r="G36" s="22" t="str">
        <f t="shared" si="2"/>
        <v>('23Aug240066','070000163346','22242',(select max(to_number(i.premium_rcv_detail_code))+1
from ins_premium_det i),'22242','22242','02', '11000003','00','Request by Mr. SAQIB SALEEM 23-Aug-2024');</v>
      </c>
      <c r="H36" s="23" t="str">
        <f t="shared" si="3"/>
        <v>insert into ins_premium_det (premium_rcv_code,assorted_code, rec_amount,premium_rcv_detail_code,remaining_amt, payrec, mode_code,coinsurance_code,class_cd,it_remarks) values('23Aug240066','070000163346','22242',(select max(to_number(i.premium_rcv_detail_code))+1
from ins_premium_det i),'22242','22242','02', '11000003','00','Request by Mr. SAQIB SALEEM 23-Aug-2024');</v>
      </c>
    </row>
    <row r="37" spans="1:8" ht="105" x14ac:dyDescent="0.25">
      <c r="A37" s="2" t="s">
        <v>700</v>
      </c>
      <c r="B37" s="19" t="str">
        <f>VLOOKUP(A37,[2]Sheet1!$B$2:$C$116,2,0)</f>
        <v>070000163340</v>
      </c>
      <c r="C37" s="4">
        <v>27862</v>
      </c>
      <c r="D37" s="24">
        <f t="shared" si="1"/>
        <v>27862</v>
      </c>
      <c r="E37" s="20" t="s">
        <v>801</v>
      </c>
      <c r="F37" s="21" t="str">
        <f t="shared" si="0"/>
        <v>insert into ins_premium_det (premium_rcv_code,assorted_code, rec_amount,premium_rcv_detail_code,remaining_amt, payrec, mode_code,coinsurance_code,class_cd,it_remarks) values</v>
      </c>
      <c r="G37" s="22" t="str">
        <f t="shared" si="2"/>
        <v>('23Aug240066','070000163340','27862',(select max(to_number(i.premium_rcv_detail_code))+1
from ins_premium_det i),'27862','27862','02', '11000003','00','Request by Mr. SAQIB SALEEM 23-Aug-2024');</v>
      </c>
      <c r="H37" s="23" t="str">
        <f t="shared" si="3"/>
        <v>insert into ins_premium_det (premium_rcv_code,assorted_code, rec_amount,premium_rcv_detail_code,remaining_amt, payrec, mode_code,coinsurance_code,class_cd,it_remarks) values('23Aug240066','070000163340','27862',(select max(to_number(i.premium_rcv_detail_code))+1
from ins_premium_det i),'27862','27862','02', '11000003','00','Request by Mr. SAQIB SALEEM 23-Aug-2024');</v>
      </c>
    </row>
    <row r="38" spans="1:8" ht="105" x14ac:dyDescent="0.25">
      <c r="A38" s="2" t="s">
        <v>701</v>
      </c>
      <c r="B38" s="19" t="str">
        <f>VLOOKUP(A38,[2]Sheet1!$B$2:$C$116,2,0)</f>
        <v>070000163338</v>
      </c>
      <c r="C38" s="4">
        <v>29481</v>
      </c>
      <c r="D38" s="24">
        <f t="shared" si="1"/>
        <v>29481</v>
      </c>
      <c r="E38" s="20" t="s">
        <v>801</v>
      </c>
      <c r="F38" s="21" t="str">
        <f t="shared" si="0"/>
        <v>insert into ins_premium_det (premium_rcv_code,assorted_code, rec_amount,premium_rcv_detail_code,remaining_amt, payrec, mode_code,coinsurance_code,class_cd,it_remarks) values</v>
      </c>
      <c r="G38" s="22" t="str">
        <f t="shared" si="2"/>
        <v>('23Aug240066','070000163338','29481',(select max(to_number(i.premium_rcv_detail_code))+1
from ins_premium_det i),'29481','29481','02', '11000003','00','Request by Mr. SAQIB SALEEM 23-Aug-2024');</v>
      </c>
      <c r="H38" s="23" t="str">
        <f t="shared" si="3"/>
        <v>insert into ins_premium_det (premium_rcv_code,assorted_code, rec_amount,premium_rcv_detail_code,remaining_amt, payrec, mode_code,coinsurance_code,class_cd,it_remarks) values('23Aug240066','070000163338','29481',(select max(to_number(i.premium_rcv_detail_code))+1
from ins_premium_det i),'29481','29481','02', '11000003','00','Request by Mr. SAQIB SALEEM 23-Aug-2024');</v>
      </c>
    </row>
    <row r="39" spans="1:8" ht="105" x14ac:dyDescent="0.25">
      <c r="A39" s="2" t="s">
        <v>702</v>
      </c>
      <c r="B39" s="19" t="str">
        <f>VLOOKUP(A39,[2]Sheet1!$B$2:$C$116,2,0)</f>
        <v>070000163339</v>
      </c>
      <c r="C39" s="4">
        <v>20918</v>
      </c>
      <c r="D39" s="24">
        <f t="shared" si="1"/>
        <v>20918</v>
      </c>
      <c r="E39" s="20" t="s">
        <v>801</v>
      </c>
      <c r="F39" s="21" t="str">
        <f t="shared" si="0"/>
        <v>insert into ins_premium_det (premium_rcv_code,assorted_code, rec_amount,premium_rcv_detail_code,remaining_amt, payrec, mode_code,coinsurance_code,class_cd,it_remarks) values</v>
      </c>
      <c r="G39" s="22" t="str">
        <f t="shared" si="2"/>
        <v>('23Aug240066','070000163339','20918',(select max(to_number(i.premium_rcv_detail_code))+1
from ins_premium_det i),'20918','20918','02', '11000003','00','Request by Mr. SAQIB SALEEM 23-Aug-2024');</v>
      </c>
      <c r="H39" s="23" t="str">
        <f t="shared" si="3"/>
        <v>insert into ins_premium_det (premium_rcv_code,assorted_code, rec_amount,premium_rcv_detail_code,remaining_amt, payrec, mode_code,coinsurance_code,class_cd,it_remarks) values('23Aug240066','070000163339','20918',(select max(to_number(i.premium_rcv_detail_code))+1
from ins_premium_det i),'20918','20918','02', '11000003','00','Request by Mr. SAQIB SALEEM 23-Aug-2024');</v>
      </c>
    </row>
    <row r="40" spans="1:8" ht="105" x14ac:dyDescent="0.25">
      <c r="A40" s="2" t="s">
        <v>778</v>
      </c>
      <c r="B40" s="19" t="str">
        <f>VLOOKUP(A40,[2]Sheet1!$B$2:$C$116,2,0)</f>
        <v>070000163367</v>
      </c>
      <c r="C40" s="4">
        <v>39731</v>
      </c>
      <c r="D40" s="24">
        <f t="shared" si="1"/>
        <v>39731</v>
      </c>
      <c r="E40" s="20" t="s">
        <v>801</v>
      </c>
      <c r="F40" s="21" t="str">
        <f t="shared" si="0"/>
        <v>insert into ins_premium_det (premium_rcv_code,assorted_code, rec_amount,premium_rcv_detail_code,remaining_amt, payrec, mode_code,coinsurance_code,class_cd,it_remarks) values</v>
      </c>
      <c r="G40" s="22" t="str">
        <f t="shared" si="2"/>
        <v>('23Aug240066','070000163367','39731',(select max(to_number(i.premium_rcv_detail_code))+1
from ins_premium_det i),'39731','39731','02', '11000003','00','Request by Mr. SAQIB SALEEM 23-Aug-2024');</v>
      </c>
      <c r="H40" s="23" t="str">
        <f t="shared" si="3"/>
        <v>insert into ins_premium_det (premium_rcv_code,assorted_code, rec_amount,premium_rcv_detail_code,remaining_amt, payrec, mode_code,coinsurance_code,class_cd,it_remarks) values('23Aug240066','070000163367','39731',(select max(to_number(i.premium_rcv_detail_code))+1
from ins_premium_det i),'39731','39731','02', '11000003','00','Request by Mr. SAQIB SALEEM 23-Aug-2024');</v>
      </c>
    </row>
    <row r="41" spans="1:8" ht="105" x14ac:dyDescent="0.25">
      <c r="A41" s="18" t="s">
        <v>703</v>
      </c>
      <c r="B41" s="19" t="str">
        <f>VLOOKUP(A41,[2]Sheet1!$B$2:$C$116,2,0)</f>
        <v>070000163368</v>
      </c>
      <c r="C41" s="4">
        <v>26718</v>
      </c>
      <c r="D41" s="24">
        <f t="shared" si="1"/>
        <v>26718</v>
      </c>
      <c r="E41" s="20" t="s">
        <v>801</v>
      </c>
      <c r="F41" s="21" t="str">
        <f t="shared" si="0"/>
        <v>insert into ins_premium_det (premium_rcv_code,assorted_code, rec_amount,premium_rcv_detail_code,remaining_amt, payrec, mode_code,coinsurance_code,class_cd,it_remarks) values</v>
      </c>
      <c r="G41" s="22" t="str">
        <f t="shared" si="2"/>
        <v>('23Aug240066','070000163368','26718',(select max(to_number(i.premium_rcv_detail_code))+1
from ins_premium_det i),'26718','26718','02', '11000003','00','Request by Mr. SAQIB SALEEM 23-Aug-2024');</v>
      </c>
      <c r="H41" s="23" t="str">
        <f t="shared" si="3"/>
        <v>insert into ins_premium_det (premium_rcv_code,assorted_code, rec_amount,premium_rcv_detail_code,remaining_amt, payrec, mode_code,coinsurance_code,class_cd,it_remarks) values('23Aug240066','070000163368','26718',(select max(to_number(i.premium_rcv_detail_code))+1
from ins_premium_det i),'26718','26718','02', '11000003','00','Request by Mr. SAQIB SALEEM 23-Aug-2024');</v>
      </c>
    </row>
    <row r="42" spans="1:8" ht="105" x14ac:dyDescent="0.25">
      <c r="A42" s="2" t="s">
        <v>704</v>
      </c>
      <c r="B42" s="19" t="str">
        <f>VLOOKUP(A42,[2]Sheet1!$B$2:$C$116,2,0)</f>
        <v>070000163369</v>
      </c>
      <c r="C42" s="4">
        <v>45830</v>
      </c>
      <c r="D42" s="24">
        <f t="shared" si="1"/>
        <v>45830</v>
      </c>
      <c r="E42" s="20" t="s">
        <v>801</v>
      </c>
      <c r="F42" s="21" t="str">
        <f t="shared" si="0"/>
        <v>insert into ins_premium_det (premium_rcv_code,assorted_code, rec_amount,premium_rcv_detail_code,remaining_amt, payrec, mode_code,coinsurance_code,class_cd,it_remarks) values</v>
      </c>
      <c r="G42" s="22" t="str">
        <f t="shared" si="2"/>
        <v>('23Aug240066','070000163369','45830',(select max(to_number(i.premium_rcv_detail_code))+1
from ins_premium_det i),'45830','45830','02', '11000003','00','Request by Mr. SAQIB SALEEM 23-Aug-2024');</v>
      </c>
      <c r="H42" s="23" t="str">
        <f t="shared" si="3"/>
        <v>insert into ins_premium_det (premium_rcv_code,assorted_code, rec_amount,premium_rcv_detail_code,remaining_amt, payrec, mode_code,coinsurance_code,class_cd,it_remarks) values('23Aug240066','070000163369','45830',(select max(to_number(i.premium_rcv_detail_code))+1
from ins_premium_det i),'45830','45830','02', '11000003','00','Request by Mr. SAQIB SALEEM 23-Aug-2024');</v>
      </c>
    </row>
    <row r="43" spans="1:8" ht="105" x14ac:dyDescent="0.25">
      <c r="A43" s="2" t="s">
        <v>705</v>
      </c>
      <c r="B43" s="19" t="str">
        <f>VLOOKUP(A43,[2]Sheet1!$B$2:$C$116,2,0)</f>
        <v>070000163349</v>
      </c>
      <c r="C43" s="4">
        <v>68236</v>
      </c>
      <c r="D43" s="24">
        <f t="shared" si="1"/>
        <v>68236</v>
      </c>
      <c r="E43" s="20" t="s">
        <v>801</v>
      </c>
      <c r="F43" s="21" t="str">
        <f t="shared" si="0"/>
        <v>insert into ins_premium_det (premium_rcv_code,assorted_code, rec_amount,premium_rcv_detail_code,remaining_amt, payrec, mode_code,coinsurance_code,class_cd,it_remarks) values</v>
      </c>
      <c r="G43" s="22" t="str">
        <f t="shared" si="2"/>
        <v>('23Aug240066','070000163349','68236',(select max(to_number(i.premium_rcv_detail_code))+1
from ins_premium_det i),'68236','68236','02', '11000003','00','Request by Mr. SAQIB SALEEM 23-Aug-2024');</v>
      </c>
      <c r="H43" s="23" t="str">
        <f t="shared" si="3"/>
        <v>insert into ins_premium_det (premium_rcv_code,assorted_code, rec_amount,premium_rcv_detail_code,remaining_amt, payrec, mode_code,coinsurance_code,class_cd,it_remarks) values('23Aug240066','070000163349','68236',(select max(to_number(i.premium_rcv_detail_code))+1
from ins_premium_det i),'68236','68236','02', '11000003','00','Request by Mr. SAQIB SALEEM 23-Aug-2024');</v>
      </c>
    </row>
    <row r="44" spans="1:8" ht="105" x14ac:dyDescent="0.25">
      <c r="A44" s="2" t="s">
        <v>711</v>
      </c>
      <c r="B44" s="19" t="str">
        <f>VLOOKUP(A44,[2]Sheet1!$B$2:$C$116,2,0)</f>
        <v>070000163356</v>
      </c>
      <c r="C44" s="4">
        <v>18398</v>
      </c>
      <c r="D44" s="24">
        <f t="shared" si="1"/>
        <v>18398</v>
      </c>
      <c r="E44" s="20" t="s">
        <v>801</v>
      </c>
      <c r="F44" s="21" t="str">
        <f t="shared" si="0"/>
        <v>insert into ins_premium_det (premium_rcv_code,assorted_code, rec_amount,premium_rcv_detail_code,remaining_amt, payrec, mode_code,coinsurance_code,class_cd,it_remarks) values</v>
      </c>
      <c r="G44" s="22" t="str">
        <f t="shared" si="2"/>
        <v>('23Aug240066','070000163356','18398',(select max(to_number(i.premium_rcv_detail_code))+1
from ins_premium_det i),'18398','18398','02', '11000003','00','Request by Mr. SAQIB SALEEM 23-Aug-2024');</v>
      </c>
      <c r="H44" s="23" t="str">
        <f t="shared" si="3"/>
        <v>insert into ins_premium_det (premium_rcv_code,assorted_code, rec_amount,premium_rcv_detail_code,remaining_amt, payrec, mode_code,coinsurance_code,class_cd,it_remarks) values('23Aug240066','070000163356','18398',(select max(to_number(i.premium_rcv_detail_code))+1
from ins_premium_det i),'18398','18398','02', '11000003','00','Request by Mr. SAQIB SALEEM 23-Aug-2024');</v>
      </c>
    </row>
    <row r="45" spans="1:8" ht="105" x14ac:dyDescent="0.25">
      <c r="A45" s="2" t="s">
        <v>707</v>
      </c>
      <c r="B45" s="19" t="str">
        <f>VLOOKUP(A45,[2]Sheet1!$B$2:$C$116,2,0)</f>
        <v>070000163352</v>
      </c>
      <c r="C45" s="4">
        <v>18338</v>
      </c>
      <c r="D45" s="24">
        <f t="shared" si="1"/>
        <v>18338</v>
      </c>
      <c r="E45" s="20" t="s">
        <v>801</v>
      </c>
      <c r="F45" s="21" t="str">
        <f t="shared" si="0"/>
        <v>insert into ins_premium_det (premium_rcv_code,assorted_code, rec_amount,premium_rcv_detail_code,remaining_amt, payrec, mode_code,coinsurance_code,class_cd,it_remarks) values</v>
      </c>
      <c r="G45" s="22" t="str">
        <f t="shared" si="2"/>
        <v>('23Aug240066','070000163352','18338',(select max(to_number(i.premium_rcv_detail_code))+1
from ins_premium_det i),'18338','18338','02', '11000003','00','Request by Mr. SAQIB SALEEM 23-Aug-2024');</v>
      </c>
      <c r="H45" s="23" t="str">
        <f t="shared" si="3"/>
        <v>insert into ins_premium_det (premium_rcv_code,assorted_code, rec_amount,premium_rcv_detail_code,remaining_amt, payrec, mode_code,coinsurance_code,class_cd,it_remarks) values('23Aug240066','070000163352','18338',(select max(to_number(i.premium_rcv_detail_code))+1
from ins_premium_det i),'18338','18338','02', '11000003','00','Request by Mr. SAQIB SALEEM 23-Aug-2024');</v>
      </c>
    </row>
    <row r="46" spans="1:8" ht="105" x14ac:dyDescent="0.25">
      <c r="A46" s="14" t="s">
        <v>708</v>
      </c>
      <c r="B46" s="19" t="str">
        <f>VLOOKUP(A46,[2]Sheet1!$B$2:$C$116,2,0)</f>
        <v>070000163350</v>
      </c>
      <c r="C46" s="4">
        <v>44101</v>
      </c>
      <c r="D46" s="24">
        <f t="shared" si="1"/>
        <v>44101</v>
      </c>
      <c r="E46" s="20" t="s">
        <v>801</v>
      </c>
      <c r="F46" s="21" t="str">
        <f t="shared" si="0"/>
        <v>insert into ins_premium_det (premium_rcv_code,assorted_code, rec_amount,premium_rcv_detail_code,remaining_amt, payrec, mode_code,coinsurance_code,class_cd,it_remarks) values</v>
      </c>
      <c r="G46" s="22" t="str">
        <f t="shared" si="2"/>
        <v>('23Aug240066','070000163350','44101',(select max(to_number(i.premium_rcv_detail_code))+1
from ins_premium_det i),'44101','44101','02', '11000003','00','Request by Mr. SAQIB SALEEM 23-Aug-2024');</v>
      </c>
      <c r="H46" s="23" t="str">
        <f t="shared" si="3"/>
        <v>insert into ins_premium_det (premium_rcv_code,assorted_code, rec_amount,premium_rcv_detail_code,remaining_amt, payrec, mode_code,coinsurance_code,class_cd,it_remarks) values('23Aug240066','070000163350','44101',(select max(to_number(i.premium_rcv_detail_code))+1
from ins_premium_det i),'44101','44101','02', '11000003','00','Request by Mr. SAQIB SALEEM 23-Aug-2024');</v>
      </c>
    </row>
    <row r="47" spans="1:8" ht="105" x14ac:dyDescent="0.25">
      <c r="A47" s="2" t="s">
        <v>779</v>
      </c>
      <c r="B47" s="19" t="str">
        <f>VLOOKUP(A47,[2]Sheet1!$B$2:$C$116,2,0)</f>
        <v>070000163360</v>
      </c>
      <c r="C47" s="4">
        <v>18398</v>
      </c>
      <c r="D47" s="24">
        <f t="shared" si="1"/>
        <v>18398</v>
      </c>
      <c r="E47" s="20" t="s">
        <v>801</v>
      </c>
      <c r="F47" s="21" t="str">
        <f t="shared" si="0"/>
        <v>insert into ins_premium_det (premium_rcv_code,assorted_code, rec_amount,premium_rcv_detail_code,remaining_amt, payrec, mode_code,coinsurance_code,class_cd,it_remarks) values</v>
      </c>
      <c r="G47" s="22" t="str">
        <f t="shared" si="2"/>
        <v>('23Aug240066','070000163360','18398',(select max(to_number(i.premium_rcv_detail_code))+1
from ins_premium_det i),'18398','18398','02', '11000003','00','Request by Mr. SAQIB SALEEM 23-Aug-2024');</v>
      </c>
      <c r="H47" s="23" t="str">
        <f t="shared" si="3"/>
        <v>insert into ins_premium_det (premium_rcv_code,assorted_code, rec_amount,premium_rcv_detail_code,remaining_amt, payrec, mode_code,coinsurance_code,class_cd,it_remarks) values('23Aug240066','070000163360','18398',(select max(to_number(i.premium_rcv_detail_code))+1
from ins_premium_det i),'18398','18398','02', '11000003','00','Request by Mr. SAQIB SALEEM 23-Aug-2024');</v>
      </c>
    </row>
    <row r="48" spans="1:8" ht="105" x14ac:dyDescent="0.25">
      <c r="A48" s="2" t="s">
        <v>780</v>
      </c>
      <c r="B48" s="19" t="str">
        <f>VLOOKUP(A48,[2]Sheet1!$B$2:$C$116,2,0)</f>
        <v>070000163354</v>
      </c>
      <c r="C48" s="4">
        <v>29481</v>
      </c>
      <c r="D48" s="24">
        <f t="shared" si="1"/>
        <v>29481</v>
      </c>
      <c r="E48" s="20" t="s">
        <v>801</v>
      </c>
      <c r="F48" s="21" t="str">
        <f t="shared" si="0"/>
        <v>insert into ins_premium_det (premium_rcv_code,assorted_code, rec_amount,premium_rcv_detail_code,remaining_amt, payrec, mode_code,coinsurance_code,class_cd,it_remarks) values</v>
      </c>
      <c r="G48" s="22" t="str">
        <f t="shared" si="2"/>
        <v>('23Aug240066','070000163354','29481',(select max(to_number(i.premium_rcv_detail_code))+1
from ins_premium_det i),'29481','29481','02', '11000003','00','Request by Mr. SAQIB SALEEM 23-Aug-2024');</v>
      </c>
      <c r="H48" s="23" t="str">
        <f t="shared" si="3"/>
        <v>insert into ins_premium_det (premium_rcv_code,assorted_code, rec_amount,premium_rcv_detail_code,remaining_amt, payrec, mode_code,coinsurance_code,class_cd,it_remarks) values('23Aug240066','070000163354','29481',(select max(to_number(i.premium_rcv_detail_code))+1
from ins_premium_det i),'29481','29481','02', '11000003','00','Request by Mr. SAQIB SALEEM 23-Aug-2024');</v>
      </c>
    </row>
    <row r="49" spans="1:8" ht="105" x14ac:dyDescent="0.25">
      <c r="A49" s="2" t="s">
        <v>710</v>
      </c>
      <c r="B49" s="19" t="str">
        <f>VLOOKUP(A49,[2]Sheet1!$B$2:$C$116,2,0)</f>
        <v>070000163351</v>
      </c>
      <c r="C49" s="4">
        <v>32860</v>
      </c>
      <c r="D49" s="24">
        <f t="shared" si="1"/>
        <v>32860</v>
      </c>
      <c r="E49" s="20" t="s">
        <v>801</v>
      </c>
      <c r="F49" s="21" t="str">
        <f t="shared" si="0"/>
        <v>insert into ins_premium_det (premium_rcv_code,assorted_code, rec_amount,premium_rcv_detail_code,remaining_amt, payrec, mode_code,coinsurance_code,class_cd,it_remarks) values</v>
      </c>
      <c r="G49" s="22" t="str">
        <f t="shared" si="2"/>
        <v>('23Aug240066','070000163351','32860',(select max(to_number(i.premium_rcv_detail_code))+1
from ins_premium_det i),'32860','32860','02', '11000003','00','Request by Mr. SAQIB SALEEM 23-Aug-2024');</v>
      </c>
      <c r="H49" s="23" t="str">
        <f t="shared" si="3"/>
        <v>insert into ins_premium_det (premium_rcv_code,assorted_code, rec_amount,premium_rcv_detail_code,remaining_amt, payrec, mode_code,coinsurance_code,class_cd,it_remarks) values('23Aug240066','070000163351','32860',(select max(to_number(i.premium_rcv_detail_code))+1
from ins_premium_det i),'32860','32860','02', '11000003','00','Request by Mr. SAQIB SALEEM 23-Aug-2024');</v>
      </c>
    </row>
    <row r="50" spans="1:8" ht="105" x14ac:dyDescent="0.25">
      <c r="A50" s="2" t="s">
        <v>709</v>
      </c>
      <c r="B50" s="19" t="str">
        <f>VLOOKUP(A50,[2]Sheet1!$B$2:$C$116,2,0)</f>
        <v>070000163355</v>
      </c>
      <c r="C50" s="4">
        <v>23488</v>
      </c>
      <c r="D50" s="24">
        <f t="shared" si="1"/>
        <v>23488</v>
      </c>
      <c r="E50" s="20" t="s">
        <v>801</v>
      </c>
      <c r="F50" s="21" t="str">
        <f t="shared" si="0"/>
        <v>insert into ins_premium_det (premium_rcv_code,assorted_code, rec_amount,premium_rcv_detail_code,remaining_amt, payrec, mode_code,coinsurance_code,class_cd,it_remarks) values</v>
      </c>
      <c r="G50" s="22" t="str">
        <f t="shared" si="2"/>
        <v>('23Aug240066','070000163355','23488',(select max(to_number(i.premium_rcv_detail_code))+1
from ins_premium_det i),'23488','23488','02', '11000003','00','Request by Mr. SAQIB SALEEM 23-Aug-2024');</v>
      </c>
      <c r="H50" s="23" t="str">
        <f t="shared" si="3"/>
        <v>insert into ins_premium_det (premium_rcv_code,assorted_code, rec_amount,premium_rcv_detail_code,remaining_amt, payrec, mode_code,coinsurance_code,class_cd,it_remarks) values('23Aug240066','070000163355','23488',(select max(to_number(i.premium_rcv_detail_code))+1
from ins_premium_det i),'23488','23488','02', '11000003','00','Request by Mr. SAQIB SALEEM 23-Aug-2024');</v>
      </c>
    </row>
    <row r="51" spans="1:8" ht="105" x14ac:dyDescent="0.25">
      <c r="A51" s="2" t="s">
        <v>706</v>
      </c>
      <c r="B51" s="19" t="str">
        <f>VLOOKUP(A51,[2]Sheet1!$B$2:$C$116,2,0)</f>
        <v>070000163359</v>
      </c>
      <c r="C51" s="4">
        <v>15253</v>
      </c>
      <c r="D51" s="24">
        <f t="shared" si="1"/>
        <v>15253</v>
      </c>
      <c r="E51" s="20" t="s">
        <v>801</v>
      </c>
      <c r="F51" s="21" t="str">
        <f t="shared" si="0"/>
        <v>insert into ins_premium_det (premium_rcv_code,assorted_code, rec_amount,premium_rcv_detail_code,remaining_amt, payrec, mode_code,coinsurance_code,class_cd,it_remarks) values</v>
      </c>
      <c r="G51" s="22" t="str">
        <f t="shared" si="2"/>
        <v>('23Aug240066','070000163359','15253',(select max(to_number(i.premium_rcv_detail_code))+1
from ins_premium_det i),'15253','15253','02', '11000003','00','Request by Mr. SAQIB SALEEM 23-Aug-2024');</v>
      </c>
      <c r="H51" s="23" t="str">
        <f t="shared" si="3"/>
        <v>insert into ins_premium_det (premium_rcv_code,assorted_code, rec_amount,premium_rcv_detail_code,remaining_amt, payrec, mode_code,coinsurance_code,class_cd,it_remarks) values('23Aug240066','070000163359','15253',(select max(to_number(i.premium_rcv_detail_code))+1
from ins_premium_det i),'15253','15253','02', '11000003','00','Request by Mr. SAQIB SALEEM 23-Aug-2024');</v>
      </c>
    </row>
    <row r="52" spans="1:8" ht="105" x14ac:dyDescent="0.25">
      <c r="A52" s="2" t="s">
        <v>712</v>
      </c>
      <c r="B52" s="19" t="str">
        <f>VLOOKUP(A52,[2]Sheet1!$B$2:$C$116,2,0)</f>
        <v>070000163374</v>
      </c>
      <c r="C52" s="4">
        <v>54456</v>
      </c>
      <c r="D52" s="24">
        <f t="shared" si="1"/>
        <v>54456</v>
      </c>
      <c r="E52" s="20" t="s">
        <v>801</v>
      </c>
      <c r="F52" s="21" t="str">
        <f t="shared" si="0"/>
        <v>insert into ins_premium_det (premium_rcv_code,assorted_code, rec_amount,premium_rcv_detail_code,remaining_amt, payrec, mode_code,coinsurance_code,class_cd,it_remarks) values</v>
      </c>
      <c r="G52" s="22" t="str">
        <f t="shared" si="2"/>
        <v>('23Aug240066','070000163374','54456',(select max(to_number(i.premium_rcv_detail_code))+1
from ins_premium_det i),'54456','54456','02', '11000003','00','Request by Mr. SAQIB SALEEM 23-Aug-2024');</v>
      </c>
      <c r="H52" s="23" t="str">
        <f t="shared" si="3"/>
        <v>insert into ins_premium_det (premium_rcv_code,assorted_code, rec_amount,premium_rcv_detail_code,remaining_amt, payrec, mode_code,coinsurance_code,class_cd,it_remarks) values('23Aug240066','070000163374','54456',(select max(to_number(i.premium_rcv_detail_code))+1
from ins_premium_det i),'54456','54456','02', '11000003','00','Request by Mr. SAQIB SALEEM 23-Aug-2024');</v>
      </c>
    </row>
    <row r="53" spans="1:8" ht="105" x14ac:dyDescent="0.25">
      <c r="A53" s="2" t="s">
        <v>713</v>
      </c>
      <c r="B53" s="19" t="str">
        <f>VLOOKUP(A53,[2]Sheet1!$B$2:$C$116,2,0)</f>
        <v>070000163372</v>
      </c>
      <c r="C53" s="4">
        <v>26718</v>
      </c>
      <c r="D53" s="24">
        <f t="shared" si="1"/>
        <v>26718</v>
      </c>
      <c r="E53" s="20" t="s">
        <v>801</v>
      </c>
      <c r="F53" s="21" t="str">
        <f t="shared" si="0"/>
        <v>insert into ins_premium_det (premium_rcv_code,assorted_code, rec_amount,premium_rcv_detail_code,remaining_amt, payrec, mode_code,coinsurance_code,class_cd,it_remarks) values</v>
      </c>
      <c r="G53" s="22" t="str">
        <f t="shared" si="2"/>
        <v>('23Aug240066','070000163372','26718',(select max(to_number(i.premium_rcv_detail_code))+1
from ins_premium_det i),'26718','26718','02', '11000003','00','Request by Mr. SAQIB SALEEM 23-Aug-2024');</v>
      </c>
      <c r="H53" s="23" t="str">
        <f t="shared" si="3"/>
        <v>insert into ins_premium_det (premium_rcv_code,assorted_code, rec_amount,premium_rcv_detail_code,remaining_amt, payrec, mode_code,coinsurance_code,class_cd,it_remarks) values('23Aug240066','070000163372','26718',(select max(to_number(i.premium_rcv_detail_code))+1
from ins_premium_det i),'26718','26718','02', '11000003','00','Request by Mr. SAQIB SALEEM 23-Aug-2024');</v>
      </c>
    </row>
    <row r="54" spans="1:8" ht="105" x14ac:dyDescent="0.25">
      <c r="A54" s="2" t="s">
        <v>714</v>
      </c>
      <c r="B54" s="19" t="str">
        <f>VLOOKUP(A54,[2]Sheet1!$B$2:$C$116,2,0)</f>
        <v>070000163383</v>
      </c>
      <c r="C54" s="4">
        <v>58941</v>
      </c>
      <c r="D54" s="24">
        <f t="shared" si="1"/>
        <v>58941</v>
      </c>
      <c r="E54" s="20" t="s">
        <v>801</v>
      </c>
      <c r="F54" s="21" t="str">
        <f t="shared" si="0"/>
        <v>insert into ins_premium_det (premium_rcv_code,assorted_code, rec_amount,premium_rcv_detail_code,remaining_amt, payrec, mode_code,coinsurance_code,class_cd,it_remarks) values</v>
      </c>
      <c r="G54" s="22" t="str">
        <f t="shared" si="2"/>
        <v>('23Aug240066','070000163383','58941',(select max(to_number(i.premium_rcv_detail_code))+1
from ins_premium_det i),'58941','58941','02', '11000003','00','Request by Mr. SAQIB SALEEM 23-Aug-2024');</v>
      </c>
      <c r="H54" s="23" t="str">
        <f t="shared" si="3"/>
        <v>insert into ins_premium_det (premium_rcv_code,assorted_code, rec_amount,premium_rcv_detail_code,remaining_amt, payrec, mode_code,coinsurance_code,class_cd,it_remarks) values('23Aug240066','070000163383','58941',(select max(to_number(i.premium_rcv_detail_code))+1
from ins_premium_det i),'58941','58941','02', '11000003','00','Request by Mr. SAQIB SALEEM 23-Aug-2024');</v>
      </c>
    </row>
    <row r="55" spans="1:8" ht="105" x14ac:dyDescent="0.25">
      <c r="A55" s="2" t="s">
        <v>715</v>
      </c>
      <c r="B55" s="19" t="str">
        <f>VLOOKUP(A55,[2]Sheet1!$B$2:$C$116,2,0)</f>
        <v>070000163371</v>
      </c>
      <c r="C55" s="4">
        <v>23996</v>
      </c>
      <c r="D55" s="24">
        <f t="shared" si="1"/>
        <v>23996</v>
      </c>
      <c r="E55" s="20" t="s">
        <v>801</v>
      </c>
      <c r="F55" s="21" t="str">
        <f t="shared" si="0"/>
        <v>insert into ins_premium_det (premium_rcv_code,assorted_code, rec_amount,premium_rcv_detail_code,remaining_amt, payrec, mode_code,coinsurance_code,class_cd,it_remarks) values</v>
      </c>
      <c r="G55" s="22" t="str">
        <f t="shared" si="2"/>
        <v>('23Aug240066','070000163371','23996',(select max(to_number(i.premium_rcv_detail_code))+1
from ins_premium_det i),'23996','23996','02', '11000003','00','Request by Mr. SAQIB SALEEM 23-Aug-2024');</v>
      </c>
      <c r="H55" s="23" t="str">
        <f t="shared" si="3"/>
        <v>insert into ins_premium_det (premium_rcv_code,assorted_code, rec_amount,premium_rcv_detail_code,remaining_amt, payrec, mode_code,coinsurance_code,class_cd,it_remarks) values('23Aug240066','070000163371','23996',(select max(to_number(i.premium_rcv_detail_code))+1
from ins_premium_det i),'23996','23996','02', '11000003','00','Request by Mr. SAQIB SALEEM 23-Aug-2024');</v>
      </c>
    </row>
    <row r="56" spans="1:8" ht="105" x14ac:dyDescent="0.25">
      <c r="A56" s="2" t="s">
        <v>716</v>
      </c>
      <c r="B56" s="19" t="str">
        <f>VLOOKUP(A56,[2]Sheet1!$B$2:$C$116,2,0)</f>
        <v>070000163370</v>
      </c>
      <c r="C56" s="4">
        <v>29148</v>
      </c>
      <c r="D56" s="24">
        <f t="shared" si="1"/>
        <v>29148</v>
      </c>
      <c r="E56" s="20" t="s">
        <v>801</v>
      </c>
      <c r="F56" s="21" t="str">
        <f t="shared" si="0"/>
        <v>insert into ins_premium_det (premium_rcv_code,assorted_code, rec_amount,premium_rcv_detail_code,remaining_amt, payrec, mode_code,coinsurance_code,class_cd,it_remarks) values</v>
      </c>
      <c r="G56" s="22" t="str">
        <f t="shared" si="2"/>
        <v>('23Aug240066','070000163370','29148',(select max(to_number(i.premium_rcv_detail_code))+1
from ins_premium_det i),'29148','29148','02', '11000003','00','Request by Mr. SAQIB SALEEM 23-Aug-2024');</v>
      </c>
      <c r="H56" s="23" t="str">
        <f t="shared" si="3"/>
        <v>insert into ins_premium_det (premium_rcv_code,assorted_code, rec_amount,premium_rcv_detail_code,remaining_amt, payrec, mode_code,coinsurance_code,class_cd,it_remarks) values('23Aug240066','070000163370','29148',(select max(to_number(i.premium_rcv_detail_code))+1
from ins_premium_det i),'29148','29148','02', '11000003','00','Request by Mr. SAQIB SALEEM 23-Aug-2024');</v>
      </c>
    </row>
    <row r="57" spans="1:8" ht="105" x14ac:dyDescent="0.25">
      <c r="A57" s="2" t="s">
        <v>717</v>
      </c>
      <c r="B57" s="19" t="str">
        <f>VLOOKUP(A57,[2]Sheet1!$B$2:$C$116,2,0)</f>
        <v>070000163373</v>
      </c>
      <c r="C57" s="4">
        <v>26718</v>
      </c>
      <c r="D57" s="24">
        <f t="shared" si="1"/>
        <v>26718</v>
      </c>
      <c r="E57" s="20" t="s">
        <v>801</v>
      </c>
      <c r="F57" s="21" t="str">
        <f t="shared" si="0"/>
        <v>insert into ins_premium_det (premium_rcv_code,assorted_code, rec_amount,premium_rcv_detail_code,remaining_amt, payrec, mode_code,coinsurance_code,class_cd,it_remarks) values</v>
      </c>
      <c r="G57" s="22" t="str">
        <f t="shared" si="2"/>
        <v>('23Aug240066','070000163373','26718',(select max(to_number(i.premium_rcv_detail_code))+1
from ins_premium_det i),'26718','26718','02', '11000003','00','Request by Mr. SAQIB SALEEM 23-Aug-2024');</v>
      </c>
      <c r="H57" s="23" t="str">
        <f t="shared" si="3"/>
        <v>insert into ins_premium_det (premium_rcv_code,assorted_code, rec_amount,premium_rcv_detail_code,remaining_amt, payrec, mode_code,coinsurance_code,class_cd,it_remarks) values('23Aug240066','070000163373','26718',(select max(to_number(i.premium_rcv_detail_code))+1
from ins_premium_det i),'26718','26718','02', '11000003','00','Request by Mr. SAQIB SALEEM 23-Aug-2024');</v>
      </c>
    </row>
    <row r="58" spans="1:8" ht="105" x14ac:dyDescent="0.25">
      <c r="A58" s="2" t="s">
        <v>718</v>
      </c>
      <c r="B58" s="19" t="str">
        <f>VLOOKUP(A58,[2]Sheet1!$B$2:$C$116,2,0)</f>
        <v>070000163384</v>
      </c>
      <c r="C58" s="4">
        <v>39623</v>
      </c>
      <c r="D58" s="24">
        <f t="shared" si="1"/>
        <v>39623</v>
      </c>
      <c r="E58" s="20" t="s">
        <v>801</v>
      </c>
      <c r="F58" s="21" t="str">
        <f t="shared" si="0"/>
        <v>insert into ins_premium_det (premium_rcv_code,assorted_code, rec_amount,premium_rcv_detail_code,remaining_amt, payrec, mode_code,coinsurance_code,class_cd,it_remarks) values</v>
      </c>
      <c r="G58" s="22" t="str">
        <f t="shared" si="2"/>
        <v>('23Aug240066','070000163384','39623',(select max(to_number(i.premium_rcv_detail_code))+1
from ins_premium_det i),'39623','39623','02', '11000003','00','Request by Mr. SAQIB SALEEM 23-Aug-2024');</v>
      </c>
      <c r="H58" s="23" t="str">
        <f t="shared" si="3"/>
        <v>insert into ins_premium_det (premium_rcv_code,assorted_code, rec_amount,premium_rcv_detail_code,remaining_amt, payrec, mode_code,coinsurance_code,class_cd,it_remarks) values('23Aug240066','070000163384','39623',(select max(to_number(i.premium_rcv_detail_code))+1
from ins_premium_det i),'39623','39623','02', '11000003','00','Request by Mr. SAQIB SALEEM 23-Aug-2024');</v>
      </c>
    </row>
    <row r="59" spans="1:8" ht="105" x14ac:dyDescent="0.25">
      <c r="A59" s="2" t="s">
        <v>781</v>
      </c>
      <c r="B59" s="19" t="str">
        <f>VLOOKUP(A59,[2]Sheet1!$B$2:$C$116,2,0)</f>
        <v>070000163386</v>
      </c>
      <c r="C59" s="4">
        <v>35100</v>
      </c>
      <c r="D59" s="24">
        <f t="shared" si="1"/>
        <v>35100</v>
      </c>
      <c r="E59" s="20" t="s">
        <v>801</v>
      </c>
      <c r="F59" s="21" t="str">
        <f t="shared" si="0"/>
        <v>insert into ins_premium_det (premium_rcv_code,assorted_code, rec_amount,premium_rcv_detail_code,remaining_amt, payrec, mode_code,coinsurance_code,class_cd,it_remarks) values</v>
      </c>
      <c r="G59" s="22" t="str">
        <f t="shared" si="2"/>
        <v>('23Aug240066','070000163386','35100',(select max(to_number(i.premium_rcv_detail_code))+1
from ins_premium_det i),'35100','35100','02', '11000003','00','Request by Mr. SAQIB SALEEM 23-Aug-2024');</v>
      </c>
      <c r="H59" s="23" t="str">
        <f t="shared" si="3"/>
        <v>insert into ins_premium_det (premium_rcv_code,assorted_code, rec_amount,premium_rcv_detail_code,remaining_amt, payrec, mode_code,coinsurance_code,class_cd,it_remarks) values('23Aug240066','070000163386','35100',(select max(to_number(i.premium_rcv_detail_code))+1
from ins_premium_det i),'35100','35100','02', '11000003','00','Request by Mr. SAQIB SALEEM 23-Aug-2024');</v>
      </c>
    </row>
    <row r="60" spans="1:8" ht="105" x14ac:dyDescent="0.25">
      <c r="A60" s="2" t="s">
        <v>782</v>
      </c>
      <c r="B60" s="19" t="str">
        <f>VLOOKUP(A60,[2]Sheet1!$B$2:$C$116,2,0)</f>
        <v>070000163377</v>
      </c>
      <c r="C60" s="4">
        <v>41702</v>
      </c>
      <c r="D60" s="24">
        <f t="shared" si="1"/>
        <v>41702</v>
      </c>
      <c r="E60" s="20" t="s">
        <v>801</v>
      </c>
      <c r="F60" s="21" t="str">
        <f t="shared" si="0"/>
        <v>insert into ins_premium_det (premium_rcv_code,assorted_code, rec_amount,premium_rcv_detail_code,remaining_amt, payrec, mode_code,coinsurance_code,class_cd,it_remarks) values</v>
      </c>
      <c r="G60" s="22" t="str">
        <f t="shared" si="2"/>
        <v>('23Aug240066','070000163377','41702',(select max(to_number(i.premium_rcv_detail_code))+1
from ins_premium_det i),'41702','41702','02', '11000003','00','Request by Mr. SAQIB SALEEM 23-Aug-2024');</v>
      </c>
      <c r="H60" s="23" t="str">
        <f t="shared" si="3"/>
        <v>insert into ins_premium_det (premium_rcv_code,assorted_code, rec_amount,premium_rcv_detail_code,remaining_amt, payrec, mode_code,coinsurance_code,class_cd,it_remarks) values('23Aug240066','070000163377','41702',(select max(to_number(i.premium_rcv_detail_code))+1
from ins_premium_det i),'41702','41702','02', '11000003','00','Request by Mr. SAQIB SALEEM 23-Aug-2024');</v>
      </c>
    </row>
    <row r="61" spans="1:8" ht="105" x14ac:dyDescent="0.25">
      <c r="A61" s="2" t="s">
        <v>721</v>
      </c>
      <c r="B61" s="19" t="str">
        <f>VLOOKUP(A61,[2]Sheet1!$B$2:$C$116,2,0)</f>
        <v>070000163380</v>
      </c>
      <c r="C61" s="4">
        <v>33855</v>
      </c>
      <c r="D61" s="24">
        <f t="shared" si="1"/>
        <v>33855</v>
      </c>
      <c r="E61" s="20" t="s">
        <v>801</v>
      </c>
      <c r="F61" s="21" t="str">
        <f t="shared" si="0"/>
        <v>insert into ins_premium_det (premium_rcv_code,assorted_code, rec_amount,premium_rcv_detail_code,remaining_amt, payrec, mode_code,coinsurance_code,class_cd,it_remarks) values</v>
      </c>
      <c r="G61" s="22" t="str">
        <f t="shared" si="2"/>
        <v>('23Aug240066','070000163380','33855',(select max(to_number(i.premium_rcv_detail_code))+1
from ins_premium_det i),'33855','33855','02', '11000003','00','Request by Mr. SAQIB SALEEM 23-Aug-2024');</v>
      </c>
      <c r="H61" s="23" t="str">
        <f t="shared" si="3"/>
        <v>insert into ins_premium_det (premium_rcv_code,assorted_code, rec_amount,premium_rcv_detail_code,remaining_amt, payrec, mode_code,coinsurance_code,class_cd,it_remarks) values('23Aug240066','070000163380','33855',(select max(to_number(i.premium_rcv_detail_code))+1
from ins_premium_det i),'33855','33855','02', '11000003','00','Request by Mr. SAQIB SALEEM 23-Aug-2024');</v>
      </c>
    </row>
    <row r="62" spans="1:8" ht="105" x14ac:dyDescent="0.25">
      <c r="A62" s="2" t="s">
        <v>723</v>
      </c>
      <c r="B62" s="19" t="str">
        <f>VLOOKUP(A62,[2]Sheet1!$B$2:$C$116,2,0)</f>
        <v>070000163379</v>
      </c>
      <c r="C62" s="4">
        <v>20969</v>
      </c>
      <c r="D62" s="24">
        <f t="shared" si="1"/>
        <v>20969</v>
      </c>
      <c r="E62" s="20" t="s">
        <v>801</v>
      </c>
      <c r="F62" s="21" t="str">
        <f t="shared" si="0"/>
        <v>insert into ins_premium_det (premium_rcv_code,assorted_code, rec_amount,premium_rcv_detail_code,remaining_amt, payrec, mode_code,coinsurance_code,class_cd,it_remarks) values</v>
      </c>
      <c r="G62" s="22" t="str">
        <f t="shared" si="2"/>
        <v>('23Aug240066','070000163379','20969',(select max(to_number(i.premium_rcv_detail_code))+1
from ins_premium_det i),'20969','20969','02', '11000003','00','Request by Mr. SAQIB SALEEM 23-Aug-2024');</v>
      </c>
      <c r="H62" s="23" t="str">
        <f t="shared" si="3"/>
        <v>insert into ins_premium_det (premium_rcv_code,assorted_code, rec_amount,premium_rcv_detail_code,remaining_amt, payrec, mode_code,coinsurance_code,class_cd,it_remarks) values('23Aug240066','070000163379','20969',(select max(to_number(i.premium_rcv_detail_code))+1
from ins_premium_det i),'20969','20969','02', '11000003','00','Request by Mr. SAQIB SALEEM 23-Aug-2024');</v>
      </c>
    </row>
    <row r="63" spans="1:8" ht="105" x14ac:dyDescent="0.25">
      <c r="A63" s="2" t="s">
        <v>722</v>
      </c>
      <c r="B63" s="19" t="str">
        <f>VLOOKUP(A63,[2]Sheet1!$B$2:$C$116,2,0)</f>
        <v>070000163375</v>
      </c>
      <c r="C63" s="4">
        <v>70846</v>
      </c>
      <c r="D63" s="24">
        <f t="shared" si="1"/>
        <v>70846</v>
      </c>
      <c r="E63" s="20" t="s">
        <v>801</v>
      </c>
      <c r="F63" s="21" t="str">
        <f t="shared" si="0"/>
        <v>insert into ins_premium_det (premium_rcv_code,assorted_code, rec_amount,premium_rcv_detail_code,remaining_amt, payrec, mode_code,coinsurance_code,class_cd,it_remarks) values</v>
      </c>
      <c r="G63" s="22" t="str">
        <f t="shared" si="2"/>
        <v>('23Aug240066','070000163375','70846',(select max(to_number(i.premium_rcv_detail_code))+1
from ins_premium_det i),'70846','70846','02', '11000003','00','Request by Mr. SAQIB SALEEM 23-Aug-2024');</v>
      </c>
      <c r="H63" s="23" t="str">
        <f t="shared" si="3"/>
        <v>insert into ins_premium_det (premium_rcv_code,assorted_code, rec_amount,premium_rcv_detail_code,remaining_amt, payrec, mode_code,coinsurance_code,class_cd,it_remarks) values('23Aug240066','070000163375','70846',(select max(to_number(i.premium_rcv_detail_code))+1
from ins_premium_det i),'70846','70846','02', '11000003','00','Request by Mr. SAQIB SALEEM 23-Aug-2024');</v>
      </c>
    </row>
    <row r="64" spans="1:8" ht="105" x14ac:dyDescent="0.25">
      <c r="A64" s="2" t="s">
        <v>720</v>
      </c>
      <c r="B64" s="19" t="str">
        <f>VLOOKUP(A64,[2]Sheet1!$B$2:$C$116,2,0)</f>
        <v>070000163381</v>
      </c>
      <c r="C64" s="4">
        <v>17570</v>
      </c>
      <c r="D64" s="24">
        <f t="shared" si="1"/>
        <v>17570</v>
      </c>
      <c r="E64" s="20" t="s">
        <v>801</v>
      </c>
      <c r="F64" s="21" t="str">
        <f t="shared" si="0"/>
        <v>insert into ins_premium_det (premium_rcv_code,assorted_code, rec_amount,premium_rcv_detail_code,remaining_amt, payrec, mode_code,coinsurance_code,class_cd,it_remarks) values</v>
      </c>
      <c r="G64" s="22" t="str">
        <f t="shared" si="2"/>
        <v>('23Aug240066','070000163381','17570',(select max(to_number(i.premium_rcv_detail_code))+1
from ins_premium_det i),'17570','17570','02', '11000003','00','Request by Mr. SAQIB SALEEM 23-Aug-2024');</v>
      </c>
      <c r="H64" s="23" t="str">
        <f t="shared" si="3"/>
        <v>insert into ins_premium_det (premium_rcv_code,assorted_code, rec_amount,premium_rcv_detail_code,remaining_amt, payrec, mode_code,coinsurance_code,class_cd,it_remarks) values('23Aug240066','070000163381','17570',(select max(to_number(i.premium_rcv_detail_code))+1
from ins_premium_det i),'17570','17570','02', '11000003','00','Request by Mr. SAQIB SALEEM 23-Aug-2024');</v>
      </c>
    </row>
    <row r="65" spans="1:8" ht="105" x14ac:dyDescent="0.25">
      <c r="A65" s="2" t="s">
        <v>719</v>
      </c>
      <c r="B65" s="19" t="str">
        <f>VLOOKUP(A65,[2]Sheet1!$B$2:$C$116,2,0)</f>
        <v>070000163378</v>
      </c>
      <c r="C65" s="4">
        <v>18345</v>
      </c>
      <c r="D65" s="24">
        <f t="shared" si="1"/>
        <v>18345</v>
      </c>
      <c r="E65" s="20" t="s">
        <v>801</v>
      </c>
      <c r="F65" s="21" t="str">
        <f t="shared" ref="F65:F115" si="4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65" s="22" t="str">
        <f t="shared" si="2"/>
        <v>('23Aug240066','070000163378','18345',(select max(to_number(i.premium_rcv_detail_code))+1
from ins_premium_det i),'18345','18345','02', '11000003','00','Request by Mr. SAQIB SALEEM 23-Aug-2024');</v>
      </c>
      <c r="H65" s="23" t="str">
        <f t="shared" si="3"/>
        <v>insert into ins_premium_det (premium_rcv_code,assorted_code, rec_amount,premium_rcv_detail_code,remaining_amt, payrec, mode_code,coinsurance_code,class_cd,it_remarks) values('23Aug240066','070000163378','18345',(select max(to_number(i.premium_rcv_detail_code))+1
from ins_premium_det i),'18345','18345','02', '11000003','00','Request by Mr. SAQIB SALEEM 23-Aug-2024');</v>
      </c>
    </row>
    <row r="66" spans="1:8" ht="105" x14ac:dyDescent="0.25">
      <c r="A66" s="2" t="s">
        <v>783</v>
      </c>
      <c r="B66" s="19" t="str">
        <f>VLOOKUP(A66,[2]Sheet1!$B$2:$C$116,2,0)</f>
        <v>070000163388</v>
      </c>
      <c r="C66" s="4">
        <v>27890</v>
      </c>
      <c r="D66" s="24">
        <f t="shared" ref="D66:D115" si="5">ROUND(C66,0)</f>
        <v>27890</v>
      </c>
      <c r="E66" s="20" t="s">
        <v>801</v>
      </c>
      <c r="F66" s="21" t="str">
        <f t="shared" si="4"/>
        <v>insert into ins_premium_det (premium_rcv_code,assorted_code, rec_amount,premium_rcv_detail_code,remaining_amt, payrec, mode_code,coinsurance_code,class_cd,it_remarks) values</v>
      </c>
      <c r="G66" s="22" t="str">
        <f t="shared" ref="G66:G115" si="6">"('"&amp;E66&amp;"','"&amp;B66&amp;"','"&amp;D66&amp;"',(select max(to_number(i.premium_rcv_detail_code))+1
from ins_premium_det i),'"&amp;D66&amp;"','"&amp;D66&amp;"','02', '11000003','00','Request by Mr. SAQIB SALEEM 23-Aug-2024');"</f>
        <v>('23Aug240066','070000163388','27890',(select max(to_number(i.premium_rcv_detail_code))+1
from ins_premium_det i),'27890','27890','02', '11000003','00','Request by Mr. SAQIB SALEEM 23-Aug-2024');</v>
      </c>
      <c r="H66" s="23" t="str">
        <f t="shared" ref="H66:H115" si="7">F66&amp;G66</f>
        <v>insert into ins_premium_det (premium_rcv_code,assorted_code, rec_amount,premium_rcv_detail_code,remaining_amt, payrec, mode_code,coinsurance_code,class_cd,it_remarks) values('23Aug240066','070000163388','27890',(select max(to_number(i.premium_rcv_detail_code))+1
from ins_premium_det i),'27890','27890','02', '11000003','00','Request by Mr. SAQIB SALEEM 23-Aug-2024');</v>
      </c>
    </row>
    <row r="67" spans="1:8" ht="105" x14ac:dyDescent="0.25">
      <c r="A67" s="2" t="s">
        <v>784</v>
      </c>
      <c r="B67" s="19" t="str">
        <f>VLOOKUP(A67,[2]Sheet1!$B$2:$C$116,2,0)</f>
        <v>070000163404</v>
      </c>
      <c r="C67" s="4">
        <v>18784</v>
      </c>
      <c r="D67" s="24">
        <f t="shared" si="5"/>
        <v>18784</v>
      </c>
      <c r="E67" s="20" t="s">
        <v>801</v>
      </c>
      <c r="F67" s="21" t="str">
        <f t="shared" si="4"/>
        <v>insert into ins_premium_det (premium_rcv_code,assorted_code, rec_amount,premium_rcv_detail_code,remaining_amt, payrec, mode_code,coinsurance_code,class_cd,it_remarks) values</v>
      </c>
      <c r="G67" s="22" t="str">
        <f t="shared" si="6"/>
        <v>('23Aug240066','070000163404','18784',(select max(to_number(i.premium_rcv_detail_code))+1
from ins_premium_det i),'18784','18784','02', '11000003','00','Request by Mr. SAQIB SALEEM 23-Aug-2024');</v>
      </c>
      <c r="H67" s="23" t="str">
        <f t="shared" si="7"/>
        <v>insert into ins_premium_det (premium_rcv_code,assorted_code, rec_amount,premium_rcv_detail_code,remaining_amt, payrec, mode_code,coinsurance_code,class_cd,it_remarks) values('23Aug240066','070000163404','18784',(select max(to_number(i.premium_rcv_detail_code))+1
from ins_premium_det i),'18784','18784','02', '11000003','00','Request by Mr. SAQIB SALEEM 23-Aug-2024');</v>
      </c>
    </row>
    <row r="68" spans="1:8" ht="105" x14ac:dyDescent="0.25">
      <c r="A68" s="2" t="s">
        <v>725</v>
      </c>
      <c r="B68" s="19" t="str">
        <f>VLOOKUP(A68,[2]Sheet1!$B$2:$C$116,2,0)</f>
        <v>070000163406</v>
      </c>
      <c r="C68" s="4">
        <v>21226</v>
      </c>
      <c r="D68" s="24">
        <f t="shared" si="5"/>
        <v>21226</v>
      </c>
      <c r="E68" s="20" t="s">
        <v>801</v>
      </c>
      <c r="F68" s="21" t="str">
        <f t="shared" si="4"/>
        <v>insert into ins_premium_det (premium_rcv_code,assorted_code, rec_amount,premium_rcv_detail_code,remaining_amt, payrec, mode_code,coinsurance_code,class_cd,it_remarks) values</v>
      </c>
      <c r="G68" s="22" t="str">
        <f t="shared" si="6"/>
        <v>('23Aug240066','070000163406','21226',(select max(to_number(i.premium_rcv_detail_code))+1
from ins_premium_det i),'21226','21226','02', '11000003','00','Request by Mr. SAQIB SALEEM 23-Aug-2024');</v>
      </c>
      <c r="H68" s="23" t="str">
        <f t="shared" si="7"/>
        <v>insert into ins_premium_det (premium_rcv_code,assorted_code, rec_amount,premium_rcv_detail_code,remaining_amt, payrec, mode_code,coinsurance_code,class_cd,it_remarks) values('23Aug240066','070000163406','21226',(select max(to_number(i.premium_rcv_detail_code))+1
from ins_premium_det i),'21226','21226','02', '11000003','00','Request by Mr. SAQIB SALEEM 23-Aug-2024');</v>
      </c>
    </row>
    <row r="69" spans="1:8" ht="105" x14ac:dyDescent="0.25">
      <c r="A69" s="2" t="s">
        <v>724</v>
      </c>
      <c r="B69" s="19" t="str">
        <f>VLOOKUP(A69,[2]Sheet1!$B$2:$C$116,2,0)</f>
        <v>070000163405</v>
      </c>
      <c r="C69" s="4">
        <v>21226</v>
      </c>
      <c r="D69" s="24">
        <f t="shared" si="5"/>
        <v>21226</v>
      </c>
      <c r="E69" s="20" t="s">
        <v>801</v>
      </c>
      <c r="F69" s="21" t="str">
        <f t="shared" si="4"/>
        <v>insert into ins_premium_det (premium_rcv_code,assorted_code, rec_amount,premium_rcv_detail_code,remaining_amt, payrec, mode_code,coinsurance_code,class_cd,it_remarks) values</v>
      </c>
      <c r="G69" s="22" t="str">
        <f t="shared" si="6"/>
        <v>('23Aug240066','070000163405','21226',(select max(to_number(i.premium_rcv_detail_code))+1
from ins_premium_det i),'21226','21226','02', '11000003','00','Request by Mr. SAQIB SALEEM 23-Aug-2024');</v>
      </c>
      <c r="H69" s="23" t="str">
        <f t="shared" si="7"/>
        <v>insert into ins_premium_det (premium_rcv_code,assorted_code, rec_amount,premium_rcv_detail_code,remaining_amt, payrec, mode_code,coinsurance_code,class_cd,it_remarks) values('23Aug240066','070000163405','21226',(select max(to_number(i.premium_rcv_detail_code))+1
from ins_premium_det i),'21226','21226','02', '11000003','00','Request by Mr. SAQIB SALEEM 23-Aug-2024');</v>
      </c>
    </row>
    <row r="70" spans="1:8" ht="105" x14ac:dyDescent="0.25">
      <c r="A70" s="2" t="s">
        <v>745</v>
      </c>
      <c r="B70" s="19" t="str">
        <f>VLOOKUP(A70,[2]Sheet1!$B$2:$C$116,2,0)</f>
        <v>070000163407</v>
      </c>
      <c r="C70" s="4">
        <v>18784</v>
      </c>
      <c r="D70" s="24">
        <f t="shared" si="5"/>
        <v>18784</v>
      </c>
      <c r="E70" s="20" t="s">
        <v>801</v>
      </c>
      <c r="F70" s="21" t="str">
        <f t="shared" si="4"/>
        <v>insert into ins_premium_det (premium_rcv_code,assorted_code, rec_amount,premium_rcv_detail_code,remaining_amt, payrec, mode_code,coinsurance_code,class_cd,it_remarks) values</v>
      </c>
      <c r="G70" s="22" t="str">
        <f t="shared" si="6"/>
        <v>('23Aug240066','070000163407','18784',(select max(to_number(i.premium_rcv_detail_code))+1
from ins_premium_det i),'18784','18784','02', '11000003','00','Request by Mr. SAQIB SALEEM 23-Aug-2024');</v>
      </c>
      <c r="H70" s="23" t="str">
        <f t="shared" si="7"/>
        <v>insert into ins_premium_det (premium_rcv_code,assorted_code, rec_amount,premium_rcv_detail_code,remaining_amt, payrec, mode_code,coinsurance_code,class_cd,it_remarks) values('23Aug240066','070000163407','18784',(select max(to_number(i.premium_rcv_detail_code))+1
from ins_premium_det i),'18784','18784','02', '11000003','00','Request by Mr. SAQIB SALEEM 23-Aug-2024');</v>
      </c>
    </row>
    <row r="71" spans="1:8" ht="105" x14ac:dyDescent="0.25">
      <c r="A71" s="18" t="s">
        <v>726</v>
      </c>
      <c r="B71" s="19" t="str">
        <f>VLOOKUP(A71,[2]Sheet1!$B$2:$C$116,2,0)</f>
        <v>070000163401</v>
      </c>
      <c r="C71" s="4">
        <v>16135</v>
      </c>
      <c r="D71" s="24">
        <f t="shared" si="5"/>
        <v>16135</v>
      </c>
      <c r="E71" s="20" t="s">
        <v>801</v>
      </c>
      <c r="F71" s="21" t="str">
        <f t="shared" si="4"/>
        <v>insert into ins_premium_det (premium_rcv_code,assorted_code, rec_amount,premium_rcv_detail_code,remaining_amt, payrec, mode_code,coinsurance_code,class_cd,it_remarks) values</v>
      </c>
      <c r="G71" s="22" t="str">
        <f t="shared" si="6"/>
        <v>('23Aug240066','070000163401','16135',(select max(to_number(i.premium_rcv_detail_code))+1
from ins_premium_det i),'16135','16135','02', '11000003','00','Request by Mr. SAQIB SALEEM 23-Aug-2024');</v>
      </c>
      <c r="H71" s="23" t="str">
        <f t="shared" si="7"/>
        <v>insert into ins_premium_det (premium_rcv_code,assorted_code, rec_amount,premium_rcv_detail_code,remaining_amt, payrec, mode_code,coinsurance_code,class_cd,it_remarks) values('23Aug240066','070000163401','16135',(select max(to_number(i.premium_rcv_detail_code))+1
from ins_premium_det i),'16135','16135','02', '11000003','00','Request by Mr. SAQIB SALEEM 23-Aug-2024');</v>
      </c>
    </row>
    <row r="72" spans="1:8" ht="105" x14ac:dyDescent="0.25">
      <c r="A72" s="2" t="s">
        <v>727</v>
      </c>
      <c r="B72" s="19" t="str">
        <f>VLOOKUP(A72,[2]Sheet1!$B$2:$C$116,2,0)</f>
        <v>070000163402</v>
      </c>
      <c r="C72" s="4">
        <v>18784</v>
      </c>
      <c r="D72" s="24">
        <f t="shared" si="5"/>
        <v>18784</v>
      </c>
      <c r="E72" s="20" t="s">
        <v>801</v>
      </c>
      <c r="F72" s="21" t="str">
        <f t="shared" si="4"/>
        <v>insert into ins_premium_det (premium_rcv_code,assorted_code, rec_amount,premium_rcv_detail_code,remaining_amt, payrec, mode_code,coinsurance_code,class_cd,it_remarks) values</v>
      </c>
      <c r="G72" s="22" t="str">
        <f t="shared" si="6"/>
        <v>('23Aug240066','070000163402','18784',(select max(to_number(i.premium_rcv_detail_code))+1
from ins_premium_det i),'18784','18784','02', '11000003','00','Request by Mr. SAQIB SALEEM 23-Aug-2024');</v>
      </c>
      <c r="H72" s="23" t="str">
        <f t="shared" si="7"/>
        <v>insert into ins_premium_det (premium_rcv_code,assorted_code, rec_amount,premium_rcv_detail_code,remaining_amt, payrec, mode_code,coinsurance_code,class_cd,it_remarks) values('23Aug240066','070000163402','18784',(select max(to_number(i.premium_rcv_detail_code))+1
from ins_premium_det i),'18784','18784','02', '11000003','00','Request by Mr. SAQIB SALEEM 23-Aug-2024');</v>
      </c>
    </row>
    <row r="73" spans="1:8" ht="105" x14ac:dyDescent="0.25">
      <c r="A73" s="18" t="s">
        <v>728</v>
      </c>
      <c r="B73" s="19" t="str">
        <f>VLOOKUP(A73,[2]Sheet1!$B$2:$C$116,2,0)</f>
        <v>070000163408</v>
      </c>
      <c r="C73" s="4">
        <v>12722</v>
      </c>
      <c r="D73" s="24">
        <f t="shared" si="5"/>
        <v>12722</v>
      </c>
      <c r="E73" s="20" t="s">
        <v>801</v>
      </c>
      <c r="F73" s="21" t="str">
        <f t="shared" si="4"/>
        <v>insert into ins_premium_det (premium_rcv_code,assorted_code, rec_amount,premium_rcv_detail_code,remaining_amt, payrec, mode_code,coinsurance_code,class_cd,it_remarks) values</v>
      </c>
      <c r="G73" s="22" t="str">
        <f t="shared" si="6"/>
        <v>('23Aug240066','070000163408','12722',(select max(to_number(i.premium_rcv_detail_code))+1
from ins_premium_det i),'12722','12722','02', '11000003','00','Request by Mr. SAQIB SALEEM 23-Aug-2024');</v>
      </c>
      <c r="H73" s="23" t="str">
        <f t="shared" si="7"/>
        <v>insert into ins_premium_det (premium_rcv_code,assorted_code, rec_amount,premium_rcv_detail_code,remaining_amt, payrec, mode_code,coinsurance_code,class_cd,it_remarks) values('23Aug240066','070000163408','12722',(select max(to_number(i.premium_rcv_detail_code))+1
from ins_premium_det i),'12722','12722','02', '11000003','00','Request by Mr. SAQIB SALEEM 23-Aug-2024');</v>
      </c>
    </row>
    <row r="74" spans="1:8" ht="105" x14ac:dyDescent="0.25">
      <c r="A74" s="2" t="s">
        <v>729</v>
      </c>
      <c r="B74" s="19" t="str">
        <f>VLOOKUP(A74,[2]Sheet1!$B$2:$C$116,2,0)</f>
        <v>070000163412</v>
      </c>
      <c r="C74" s="4">
        <v>29011</v>
      </c>
      <c r="D74" s="24">
        <f t="shared" si="5"/>
        <v>29011</v>
      </c>
      <c r="E74" s="20" t="s">
        <v>801</v>
      </c>
      <c r="F74" s="21" t="str">
        <f t="shared" si="4"/>
        <v>insert into ins_premium_det (premium_rcv_code,assorted_code, rec_amount,premium_rcv_detail_code,remaining_amt, payrec, mode_code,coinsurance_code,class_cd,it_remarks) values</v>
      </c>
      <c r="G74" s="22" t="str">
        <f t="shared" si="6"/>
        <v>('23Aug240066','070000163412','29011',(select max(to_number(i.premium_rcv_detail_code))+1
from ins_premium_det i),'29011','29011','02', '11000003','00','Request by Mr. SAQIB SALEEM 23-Aug-2024');</v>
      </c>
      <c r="H74" s="23" t="str">
        <f t="shared" si="7"/>
        <v>insert into ins_premium_det (premium_rcv_code,assorted_code, rec_amount,premium_rcv_detail_code,remaining_amt, payrec, mode_code,coinsurance_code,class_cd,it_remarks) values('23Aug240066','070000163412','29011',(select max(to_number(i.premium_rcv_detail_code))+1
from ins_premium_det i),'29011','29011','02', '11000003','00','Request by Mr. SAQIB SALEEM 23-Aug-2024');</v>
      </c>
    </row>
    <row r="75" spans="1:8" ht="105" x14ac:dyDescent="0.25">
      <c r="A75" s="2" t="s">
        <v>730</v>
      </c>
      <c r="B75" s="19" t="str">
        <f>VLOOKUP(A75,[2]Sheet1!$B$2:$C$116,2,0)</f>
        <v>070000163410</v>
      </c>
      <c r="C75" s="4">
        <v>21859</v>
      </c>
      <c r="D75" s="24">
        <f t="shared" si="5"/>
        <v>21859</v>
      </c>
      <c r="E75" s="20" t="s">
        <v>801</v>
      </c>
      <c r="F75" s="21" t="str">
        <f t="shared" si="4"/>
        <v>insert into ins_premium_det (premium_rcv_code,assorted_code, rec_amount,premium_rcv_detail_code,remaining_amt, payrec, mode_code,coinsurance_code,class_cd,it_remarks) values</v>
      </c>
      <c r="G75" s="22" t="str">
        <f t="shared" si="6"/>
        <v>('23Aug240066','070000163410','21859',(select max(to_number(i.premium_rcv_detail_code))+1
from ins_premium_det i),'21859','21859','02', '11000003','00','Request by Mr. SAQIB SALEEM 23-Aug-2024');</v>
      </c>
      <c r="H75" s="23" t="str">
        <f t="shared" si="7"/>
        <v>insert into ins_premium_det (premium_rcv_code,assorted_code, rec_amount,premium_rcv_detail_code,remaining_amt, payrec, mode_code,coinsurance_code,class_cd,it_remarks) values('23Aug240066','070000163410','21859',(select max(to_number(i.premium_rcv_detail_code))+1
from ins_premium_det i),'21859','21859','02', '11000003','00','Request by Mr. SAQIB SALEEM 23-Aug-2024');</v>
      </c>
    </row>
    <row r="76" spans="1:8" ht="105" x14ac:dyDescent="0.25">
      <c r="A76" s="2" t="s">
        <v>746</v>
      </c>
      <c r="B76" s="19" t="str">
        <f>VLOOKUP(A76,[2]Sheet1!$B$2:$C$116,2,0)</f>
        <v>070000163411</v>
      </c>
      <c r="C76" s="4">
        <v>38218</v>
      </c>
      <c r="D76" s="24">
        <f t="shared" si="5"/>
        <v>38218</v>
      </c>
      <c r="E76" s="20" t="s">
        <v>801</v>
      </c>
      <c r="F76" s="21" t="str">
        <f t="shared" si="4"/>
        <v>insert into ins_premium_det (premium_rcv_code,assorted_code, rec_amount,premium_rcv_detail_code,remaining_amt, payrec, mode_code,coinsurance_code,class_cd,it_remarks) values</v>
      </c>
      <c r="G76" s="22" t="str">
        <f t="shared" si="6"/>
        <v>('23Aug240066','070000163411','38218',(select max(to_number(i.premium_rcv_detail_code))+1
from ins_premium_det i),'38218','38218','02', '11000003','00','Request by Mr. SAQIB SALEEM 23-Aug-2024');</v>
      </c>
      <c r="H76" s="23" t="str">
        <f t="shared" si="7"/>
        <v>insert into ins_premium_det (premium_rcv_code,assorted_code, rec_amount,premium_rcv_detail_code,remaining_amt, payrec, mode_code,coinsurance_code,class_cd,it_remarks) values('23Aug240066','070000163411','38218',(select max(to_number(i.premium_rcv_detail_code))+1
from ins_premium_det i),'38218','38218','02', '11000003','00','Request by Mr. SAQIB SALEEM 23-Aug-2024');</v>
      </c>
    </row>
    <row r="77" spans="1:8" ht="105" x14ac:dyDescent="0.25">
      <c r="A77" s="2" t="s">
        <v>731</v>
      </c>
      <c r="B77" s="19" t="str">
        <f>VLOOKUP(A77,[2]Sheet1!$B$2:$C$116,2,0)</f>
        <v>070000163409</v>
      </c>
      <c r="C77" s="4">
        <v>20421</v>
      </c>
      <c r="D77" s="24">
        <f t="shared" si="5"/>
        <v>20421</v>
      </c>
      <c r="E77" s="20" t="s">
        <v>801</v>
      </c>
      <c r="F77" s="21" t="str">
        <f t="shared" si="4"/>
        <v>insert into ins_premium_det (premium_rcv_code,assorted_code, rec_amount,premium_rcv_detail_code,remaining_amt, payrec, mode_code,coinsurance_code,class_cd,it_remarks) values</v>
      </c>
      <c r="G77" s="22" t="str">
        <f t="shared" si="6"/>
        <v>('23Aug240066','070000163409','20421',(select max(to_number(i.premium_rcv_detail_code))+1
from ins_premium_det i),'20421','20421','02', '11000003','00','Request by Mr. SAQIB SALEEM 23-Aug-2024');</v>
      </c>
      <c r="H77" s="23" t="str">
        <f t="shared" si="7"/>
        <v>insert into ins_premium_det (premium_rcv_code,assorted_code, rec_amount,premium_rcv_detail_code,remaining_amt, payrec, mode_code,coinsurance_code,class_cd,it_remarks) values('23Aug240066','070000163409','20421',(select max(to_number(i.premium_rcv_detail_code))+1
from ins_premium_det i),'20421','20421','02', '11000003','00','Request by Mr. SAQIB SALEEM 23-Aug-2024');</v>
      </c>
    </row>
    <row r="78" spans="1:8" ht="105" x14ac:dyDescent="0.25">
      <c r="A78" s="2" t="s">
        <v>732</v>
      </c>
      <c r="B78" s="19" t="str">
        <f>VLOOKUP(A78,[2]Sheet1!$B$2:$C$116,2,0)</f>
        <v>070000163396</v>
      </c>
      <c r="C78" s="4">
        <v>41400</v>
      </c>
      <c r="D78" s="24">
        <f t="shared" si="5"/>
        <v>41400</v>
      </c>
      <c r="E78" s="20" t="s">
        <v>801</v>
      </c>
      <c r="F78" s="21" t="str">
        <f t="shared" si="4"/>
        <v>insert into ins_premium_det (premium_rcv_code,assorted_code, rec_amount,premium_rcv_detail_code,remaining_amt, payrec, mode_code,coinsurance_code,class_cd,it_remarks) values</v>
      </c>
      <c r="G78" s="22" t="str">
        <f t="shared" si="6"/>
        <v>('23Aug240066','070000163396','41400',(select max(to_number(i.premium_rcv_detail_code))+1
from ins_premium_det i),'41400','41400','02', '11000003','00','Request by Mr. SAQIB SALEEM 23-Aug-2024');</v>
      </c>
      <c r="H78" s="23" t="str">
        <f t="shared" si="7"/>
        <v>insert into ins_premium_det (premium_rcv_code,assorted_code, rec_amount,premium_rcv_detail_code,remaining_amt, payrec, mode_code,coinsurance_code,class_cd,it_remarks) values('23Aug240066','070000163396','41400',(select max(to_number(i.premium_rcv_detail_code))+1
from ins_premium_det i),'41400','41400','02', '11000003','00','Request by Mr. SAQIB SALEEM 23-Aug-2024');</v>
      </c>
    </row>
    <row r="79" spans="1:8" ht="105" x14ac:dyDescent="0.25">
      <c r="A79" s="2" t="s">
        <v>733</v>
      </c>
      <c r="B79" s="19" t="str">
        <f>VLOOKUP(A79,[2]Sheet1!$B$2:$C$116,2,0)</f>
        <v>070000163395</v>
      </c>
      <c r="C79" s="4">
        <v>41702</v>
      </c>
      <c r="D79" s="24">
        <f t="shared" si="5"/>
        <v>41702</v>
      </c>
      <c r="E79" s="20" t="s">
        <v>801</v>
      </c>
      <c r="F79" s="21" t="str">
        <f t="shared" si="4"/>
        <v>insert into ins_premium_det (premium_rcv_code,assorted_code, rec_amount,premium_rcv_detail_code,remaining_amt, payrec, mode_code,coinsurance_code,class_cd,it_remarks) values</v>
      </c>
      <c r="G79" s="22" t="str">
        <f t="shared" si="6"/>
        <v>('23Aug240066','070000163395','41702',(select max(to_number(i.premium_rcv_detail_code))+1
from ins_premium_det i),'41702','41702','02', '11000003','00','Request by Mr. SAQIB SALEEM 23-Aug-2024');</v>
      </c>
      <c r="H79" s="23" t="str">
        <f t="shared" si="7"/>
        <v>insert into ins_premium_det (premium_rcv_code,assorted_code, rec_amount,premium_rcv_detail_code,remaining_amt, payrec, mode_code,coinsurance_code,class_cd,it_remarks) values('23Aug240066','070000163395','41702',(select max(to_number(i.premium_rcv_detail_code))+1
from ins_premium_det i),'41702','41702','02', '11000003','00','Request by Mr. SAQIB SALEEM 23-Aug-2024');</v>
      </c>
    </row>
    <row r="80" spans="1:8" ht="105" x14ac:dyDescent="0.25">
      <c r="A80" s="2" t="s">
        <v>734</v>
      </c>
      <c r="B80" s="19" t="str">
        <f>VLOOKUP(A80,[2]Sheet1!$B$2:$C$116,2,0)</f>
        <v>070000163393</v>
      </c>
      <c r="C80" s="4">
        <v>22242</v>
      </c>
      <c r="D80" s="24">
        <f t="shared" si="5"/>
        <v>22242</v>
      </c>
      <c r="E80" s="20" t="s">
        <v>801</v>
      </c>
      <c r="F80" s="21" t="str">
        <f t="shared" si="4"/>
        <v>insert into ins_premium_det (premium_rcv_code,assorted_code, rec_amount,premium_rcv_detail_code,remaining_amt, payrec, mode_code,coinsurance_code,class_cd,it_remarks) values</v>
      </c>
      <c r="G80" s="22" t="str">
        <f t="shared" si="6"/>
        <v>('23Aug240066','070000163393','22242',(select max(to_number(i.premium_rcv_detail_code))+1
from ins_premium_det i),'22242','22242','02', '11000003','00','Request by Mr. SAQIB SALEEM 23-Aug-2024');</v>
      </c>
      <c r="H80" s="23" t="str">
        <f t="shared" si="7"/>
        <v>insert into ins_premium_det (premium_rcv_code,assorted_code, rec_amount,premium_rcv_detail_code,remaining_amt, payrec, mode_code,coinsurance_code,class_cd,it_remarks) values('23Aug240066','070000163393','22242',(select max(to_number(i.premium_rcv_detail_code))+1
from ins_premium_det i),'22242','22242','02', '11000003','00','Request by Mr. SAQIB SALEEM 23-Aug-2024');</v>
      </c>
    </row>
    <row r="81" spans="1:8" ht="105" x14ac:dyDescent="0.25">
      <c r="A81" s="2" t="s">
        <v>735</v>
      </c>
      <c r="B81" s="19" t="str">
        <f>VLOOKUP(A81,[2]Sheet1!$B$2:$C$116,2,0)</f>
        <v>070000163394</v>
      </c>
      <c r="C81" s="4">
        <v>36789</v>
      </c>
      <c r="D81" s="24">
        <f t="shared" si="5"/>
        <v>36789</v>
      </c>
      <c r="E81" s="20" t="s">
        <v>801</v>
      </c>
      <c r="F81" s="21" t="str">
        <f t="shared" si="4"/>
        <v>insert into ins_premium_det (premium_rcv_code,assorted_code, rec_amount,premium_rcv_detail_code,remaining_amt, payrec, mode_code,coinsurance_code,class_cd,it_remarks) values</v>
      </c>
      <c r="G81" s="22" t="str">
        <f t="shared" si="6"/>
        <v>('23Aug240066','070000163394','36789',(select max(to_number(i.premium_rcv_detail_code))+1
from ins_premium_det i),'36789','36789','02', '11000003','00','Request by Mr. SAQIB SALEEM 23-Aug-2024');</v>
      </c>
      <c r="H81" s="23" t="str">
        <f t="shared" si="7"/>
        <v>insert into ins_premium_det (premium_rcv_code,assorted_code, rec_amount,premium_rcv_detail_code,remaining_amt, payrec, mode_code,coinsurance_code,class_cd,it_remarks) values('23Aug240066','070000163394','36789',(select max(to_number(i.premium_rcv_detail_code))+1
from ins_premium_det i),'36789','36789','02', '11000003','00','Request by Mr. SAQIB SALEEM 23-Aug-2024');</v>
      </c>
    </row>
    <row r="82" spans="1:8" ht="105" x14ac:dyDescent="0.25">
      <c r="A82" s="2" t="s">
        <v>736</v>
      </c>
      <c r="B82" s="19" t="str">
        <f>VLOOKUP(A82,[2]Sheet1!$B$2:$C$116,2,0)</f>
        <v>070000163397</v>
      </c>
      <c r="C82" s="4">
        <v>44680</v>
      </c>
      <c r="D82" s="24">
        <f t="shared" si="5"/>
        <v>44680</v>
      </c>
      <c r="E82" s="20" t="s">
        <v>801</v>
      </c>
      <c r="F82" s="21" t="str">
        <f t="shared" si="4"/>
        <v>insert into ins_premium_det (premium_rcv_code,assorted_code, rec_amount,premium_rcv_detail_code,remaining_amt, payrec, mode_code,coinsurance_code,class_cd,it_remarks) values</v>
      </c>
      <c r="G82" s="22" t="str">
        <f t="shared" si="6"/>
        <v>('23Aug240066','070000163397','44680',(select max(to_number(i.premium_rcv_detail_code))+1
from ins_premium_det i),'44680','44680','02', '11000003','00','Request by Mr. SAQIB SALEEM 23-Aug-2024');</v>
      </c>
      <c r="H82" s="23" t="str">
        <f t="shared" si="7"/>
        <v>insert into ins_premium_det (premium_rcv_code,assorted_code, rec_amount,premium_rcv_detail_code,remaining_amt, payrec, mode_code,coinsurance_code,class_cd,it_remarks) values('23Aug240066','070000163397','44680',(select max(to_number(i.premium_rcv_detail_code))+1
from ins_premium_det i),'44680','44680','02', '11000003','00','Request by Mr. SAQIB SALEEM 23-Aug-2024');</v>
      </c>
    </row>
    <row r="83" spans="1:8" ht="105" x14ac:dyDescent="0.25">
      <c r="A83" s="2" t="s">
        <v>737</v>
      </c>
      <c r="B83" s="19" t="str">
        <f>VLOOKUP(A83,[2]Sheet1!$B$2:$C$116,2,0)</f>
        <v>070000163399</v>
      </c>
      <c r="C83" s="4">
        <v>26638</v>
      </c>
      <c r="D83" s="24">
        <f t="shared" si="5"/>
        <v>26638</v>
      </c>
      <c r="E83" s="20" t="s">
        <v>801</v>
      </c>
      <c r="F83" s="21" t="str">
        <f t="shared" si="4"/>
        <v>insert into ins_premium_det (premium_rcv_code,assorted_code, rec_amount,premium_rcv_detail_code,remaining_amt, payrec, mode_code,coinsurance_code,class_cd,it_remarks) values</v>
      </c>
      <c r="G83" s="22" t="str">
        <f t="shared" si="6"/>
        <v>('23Aug240066','070000163399','26638',(select max(to_number(i.premium_rcv_detail_code))+1
from ins_premium_det i),'26638','26638','02', '11000003','00','Request by Mr. SAQIB SALEEM 23-Aug-2024');</v>
      </c>
      <c r="H83" s="23" t="str">
        <f t="shared" si="7"/>
        <v>insert into ins_premium_det (premium_rcv_code,assorted_code, rec_amount,premium_rcv_detail_code,remaining_amt, payrec, mode_code,coinsurance_code,class_cd,it_remarks) values('23Aug240066','070000163399','26638',(select max(to_number(i.premium_rcv_detail_code))+1
from ins_premium_det i),'26638','26638','02', '11000003','00','Request by Mr. SAQIB SALEEM 23-Aug-2024');</v>
      </c>
    </row>
    <row r="84" spans="1:8" ht="105" x14ac:dyDescent="0.25">
      <c r="A84" s="2" t="s">
        <v>749</v>
      </c>
      <c r="B84" s="19" t="str">
        <f>VLOOKUP(A84,[2]Sheet1!$B$2:$C$116,2,0)</f>
        <v>070000163488</v>
      </c>
      <c r="C84" s="4">
        <v>18345</v>
      </c>
      <c r="D84" s="24">
        <f t="shared" si="5"/>
        <v>18345</v>
      </c>
      <c r="E84" s="20" t="s">
        <v>801</v>
      </c>
      <c r="F84" s="21" t="str">
        <f t="shared" si="4"/>
        <v>insert into ins_premium_det (premium_rcv_code,assorted_code, rec_amount,premium_rcv_detail_code,remaining_amt, payrec, mode_code,coinsurance_code,class_cd,it_remarks) values</v>
      </c>
      <c r="G84" s="22" t="str">
        <f t="shared" si="6"/>
        <v>('23Aug240066','070000163488','18345',(select max(to_number(i.premium_rcv_detail_code))+1
from ins_premium_det i),'18345','18345','02', '11000003','00','Request by Mr. SAQIB SALEEM 23-Aug-2024');</v>
      </c>
      <c r="H84" s="23" t="str">
        <f t="shared" si="7"/>
        <v>insert into ins_premium_det (premium_rcv_code,assorted_code, rec_amount,premium_rcv_detail_code,remaining_amt, payrec, mode_code,coinsurance_code,class_cd,it_remarks) values('23Aug240066','070000163488','18345',(select max(to_number(i.premium_rcv_detail_code))+1
from ins_premium_det i),'18345','18345','02', '11000003','00','Request by Mr. SAQIB SALEEM 23-Aug-2024');</v>
      </c>
    </row>
    <row r="85" spans="1:8" ht="105" x14ac:dyDescent="0.25">
      <c r="A85" s="2" t="s">
        <v>750</v>
      </c>
      <c r="B85" s="19" t="str">
        <f>VLOOKUP(A85,[2]Sheet1!$B$2:$C$116,2,0)</f>
        <v>070000163460</v>
      </c>
      <c r="C85" s="4">
        <v>18784</v>
      </c>
      <c r="D85" s="24">
        <f t="shared" si="5"/>
        <v>18784</v>
      </c>
      <c r="E85" s="20" t="s">
        <v>801</v>
      </c>
      <c r="F85" s="21" t="str">
        <f t="shared" si="4"/>
        <v>insert into ins_premium_det (premium_rcv_code,assorted_code, rec_amount,premium_rcv_detail_code,remaining_amt, payrec, mode_code,coinsurance_code,class_cd,it_remarks) values</v>
      </c>
      <c r="G85" s="22" t="str">
        <f t="shared" si="6"/>
        <v>('23Aug240066','070000163460','18784',(select max(to_number(i.premium_rcv_detail_code))+1
from ins_premium_det i),'18784','18784','02', '11000003','00','Request by Mr. SAQIB SALEEM 23-Aug-2024');</v>
      </c>
      <c r="H85" s="23" t="str">
        <f t="shared" si="7"/>
        <v>insert into ins_premium_det (premium_rcv_code,assorted_code, rec_amount,premium_rcv_detail_code,remaining_amt, payrec, mode_code,coinsurance_code,class_cd,it_remarks) values('23Aug240066','070000163460','18784',(select max(to_number(i.premium_rcv_detail_code))+1
from ins_premium_det i),'18784','18784','02', '11000003','00','Request by Mr. SAQIB SALEEM 23-Aug-2024');</v>
      </c>
    </row>
    <row r="86" spans="1:8" ht="105" x14ac:dyDescent="0.25">
      <c r="A86" s="2" t="s">
        <v>751</v>
      </c>
      <c r="B86" s="19" t="str">
        <f>VLOOKUP(A86,[2]Sheet1!$B$2:$C$116,2,0)</f>
        <v>070000163445</v>
      </c>
      <c r="C86" s="4">
        <v>27000</v>
      </c>
      <c r="D86" s="24">
        <f t="shared" si="5"/>
        <v>27000</v>
      </c>
      <c r="E86" s="20" t="s">
        <v>801</v>
      </c>
      <c r="F86" s="21" t="str">
        <f t="shared" si="4"/>
        <v>insert into ins_premium_det (premium_rcv_code,assorted_code, rec_amount,premium_rcv_detail_code,remaining_amt, payrec, mode_code,coinsurance_code,class_cd,it_remarks) values</v>
      </c>
      <c r="G86" s="22" t="str">
        <f t="shared" si="6"/>
        <v>('23Aug240066','070000163445','27000',(select max(to_number(i.premium_rcv_detail_code))+1
from ins_premium_det i),'27000','27000','02', '11000003','00','Request by Mr. SAQIB SALEEM 23-Aug-2024');</v>
      </c>
      <c r="H86" s="23" t="str">
        <f t="shared" si="7"/>
        <v>insert into ins_premium_det (premium_rcv_code,assorted_code, rec_amount,premium_rcv_detail_code,remaining_amt, payrec, mode_code,coinsurance_code,class_cd,it_remarks) values('23Aug240066','070000163445','27000',(select max(to_number(i.premium_rcv_detail_code))+1
from ins_premium_det i),'27000','27000','02', '11000003','00','Request by Mr. SAQIB SALEEM 23-Aug-2024');</v>
      </c>
    </row>
    <row r="87" spans="1:8" ht="105" x14ac:dyDescent="0.25">
      <c r="A87" s="2" t="s">
        <v>785</v>
      </c>
      <c r="B87" s="19" t="str">
        <f>VLOOKUP(A87,[2]Sheet1!$B$2:$C$116,2,0)</f>
        <v>070000163424</v>
      </c>
      <c r="C87" s="4">
        <v>63450</v>
      </c>
      <c r="D87" s="24">
        <f t="shared" si="5"/>
        <v>63450</v>
      </c>
      <c r="E87" s="20" t="s">
        <v>801</v>
      </c>
      <c r="F87" s="21" t="str">
        <f t="shared" si="4"/>
        <v>insert into ins_premium_det (premium_rcv_code,assorted_code, rec_amount,premium_rcv_detail_code,remaining_amt, payrec, mode_code,coinsurance_code,class_cd,it_remarks) values</v>
      </c>
      <c r="G87" s="22" t="str">
        <f t="shared" si="6"/>
        <v>('23Aug240066','070000163424','63450',(select max(to_number(i.premium_rcv_detail_code))+1
from ins_premium_det i),'63450','63450','02', '11000003','00','Request by Mr. SAQIB SALEEM 23-Aug-2024');</v>
      </c>
      <c r="H87" s="23" t="str">
        <f t="shared" si="7"/>
        <v>insert into ins_premium_det (premium_rcv_code,assorted_code, rec_amount,premium_rcv_detail_code,remaining_amt, payrec, mode_code,coinsurance_code,class_cd,it_remarks) values('23Aug240066','070000163424','63450',(select max(to_number(i.premium_rcv_detail_code))+1
from ins_premium_det i),'63450','63450','02', '11000003','00','Request by Mr. SAQIB SALEEM 23-Aug-2024');</v>
      </c>
    </row>
    <row r="88" spans="1:8" ht="105" x14ac:dyDescent="0.25">
      <c r="A88" s="2" t="s">
        <v>752</v>
      </c>
      <c r="B88" s="19" t="str">
        <f>VLOOKUP(A88,[2]Sheet1!$B$2:$C$116,2,0)</f>
        <v>070000163464</v>
      </c>
      <c r="C88" s="4">
        <v>38229</v>
      </c>
      <c r="D88" s="24">
        <f t="shared" si="5"/>
        <v>38229</v>
      </c>
      <c r="E88" s="20" t="s">
        <v>801</v>
      </c>
      <c r="F88" s="21" t="str">
        <f t="shared" si="4"/>
        <v>insert into ins_premium_det (premium_rcv_code,assorted_code, rec_amount,premium_rcv_detail_code,remaining_amt, payrec, mode_code,coinsurance_code,class_cd,it_remarks) values</v>
      </c>
      <c r="G88" s="22" t="str">
        <f t="shared" si="6"/>
        <v>('23Aug240066','070000163464','38229',(select max(to_number(i.premium_rcv_detail_code))+1
from ins_premium_det i),'38229','38229','02', '11000003','00','Request by Mr. SAQIB SALEEM 23-Aug-2024');</v>
      </c>
      <c r="H88" s="23" t="str">
        <f t="shared" si="7"/>
        <v>insert into ins_premium_det (premium_rcv_code,assorted_code, rec_amount,premium_rcv_detail_code,remaining_amt, payrec, mode_code,coinsurance_code,class_cd,it_remarks) values('23Aug240066','070000163464','38229',(select max(to_number(i.premium_rcv_detail_code))+1
from ins_premium_det i),'38229','38229','02', '11000003','00','Request by Mr. SAQIB SALEEM 23-Aug-2024');</v>
      </c>
    </row>
    <row r="89" spans="1:8" ht="105" x14ac:dyDescent="0.25">
      <c r="A89" s="2" t="s">
        <v>753</v>
      </c>
      <c r="B89" s="19" t="str">
        <f>VLOOKUP(A89,[2]Sheet1!$B$2:$C$116,2,0)</f>
        <v>070000163466</v>
      </c>
      <c r="C89" s="4">
        <v>21345</v>
      </c>
      <c r="D89" s="24">
        <f t="shared" si="5"/>
        <v>21345</v>
      </c>
      <c r="E89" s="20" t="s">
        <v>801</v>
      </c>
      <c r="F89" s="21" t="str">
        <f t="shared" si="4"/>
        <v>insert into ins_premium_det (premium_rcv_code,assorted_code, rec_amount,premium_rcv_detail_code,remaining_amt, payrec, mode_code,coinsurance_code,class_cd,it_remarks) values</v>
      </c>
      <c r="G89" s="22" t="str">
        <f t="shared" si="6"/>
        <v>('23Aug240066','070000163466','21345',(select max(to_number(i.premium_rcv_detail_code))+1
from ins_premium_det i),'21345','21345','02', '11000003','00','Request by Mr. SAQIB SALEEM 23-Aug-2024');</v>
      </c>
      <c r="H89" s="23" t="str">
        <f t="shared" si="7"/>
        <v>insert into ins_premium_det (premium_rcv_code,assorted_code, rec_amount,premium_rcv_detail_code,remaining_amt, payrec, mode_code,coinsurance_code,class_cd,it_remarks) values('23Aug240066','070000163466','21345',(select max(to_number(i.premium_rcv_detail_code))+1
from ins_premium_det i),'21345','21345','02', '11000003','00','Request by Mr. SAQIB SALEEM 23-Aug-2024');</v>
      </c>
    </row>
    <row r="90" spans="1:8" ht="105" x14ac:dyDescent="0.25">
      <c r="A90" s="2" t="s">
        <v>754</v>
      </c>
      <c r="B90" s="19" t="str">
        <f>VLOOKUP(A90,[2]Sheet1!$B$2:$C$116,2,0)</f>
        <v>070000163489</v>
      </c>
      <c r="C90" s="4">
        <v>22242</v>
      </c>
      <c r="D90" s="24">
        <f t="shared" si="5"/>
        <v>22242</v>
      </c>
      <c r="E90" s="20" t="s">
        <v>801</v>
      </c>
      <c r="F90" s="21" t="str">
        <f t="shared" si="4"/>
        <v>insert into ins_premium_det (premium_rcv_code,assorted_code, rec_amount,premium_rcv_detail_code,remaining_amt, payrec, mode_code,coinsurance_code,class_cd,it_remarks) values</v>
      </c>
      <c r="G90" s="22" t="str">
        <f t="shared" si="6"/>
        <v>('23Aug240066','070000163489','22242',(select max(to_number(i.premium_rcv_detail_code))+1
from ins_premium_det i),'22242','22242','02', '11000003','00','Request by Mr. SAQIB SALEEM 23-Aug-2024');</v>
      </c>
      <c r="H90" s="23" t="str">
        <f t="shared" si="7"/>
        <v>insert into ins_premium_det (premium_rcv_code,assorted_code, rec_amount,premium_rcv_detail_code,remaining_amt, payrec, mode_code,coinsurance_code,class_cd,it_remarks) values('23Aug240066','070000163489','22242',(select max(to_number(i.premium_rcv_detail_code))+1
from ins_premium_det i),'22242','22242','02', '11000003','00','Request by Mr. SAQIB SALEEM 23-Aug-2024');</v>
      </c>
    </row>
    <row r="91" spans="1:8" ht="105" x14ac:dyDescent="0.25">
      <c r="A91" s="2" t="s">
        <v>755</v>
      </c>
      <c r="B91" s="19" t="str">
        <f>VLOOKUP(A91,[2]Sheet1!$B$2:$C$116,2,0)</f>
        <v>070000163465</v>
      </c>
      <c r="C91" s="4">
        <v>58021</v>
      </c>
      <c r="D91" s="24">
        <f t="shared" si="5"/>
        <v>58021</v>
      </c>
      <c r="E91" s="20" t="s">
        <v>801</v>
      </c>
      <c r="F91" s="21" t="str">
        <f t="shared" si="4"/>
        <v>insert into ins_premium_det (premium_rcv_code,assorted_code, rec_amount,premium_rcv_detail_code,remaining_amt, payrec, mode_code,coinsurance_code,class_cd,it_remarks) values</v>
      </c>
      <c r="G91" s="22" t="str">
        <f t="shared" si="6"/>
        <v>('23Aug240066','070000163465','58021',(select max(to_number(i.premium_rcv_detail_code))+1
from ins_premium_det i),'58021','58021','02', '11000003','00','Request by Mr. SAQIB SALEEM 23-Aug-2024');</v>
      </c>
      <c r="H91" s="23" t="str">
        <f t="shared" si="7"/>
        <v>insert into ins_premium_det (premium_rcv_code,assorted_code, rec_amount,premium_rcv_detail_code,remaining_amt, payrec, mode_code,coinsurance_code,class_cd,it_remarks) values('23Aug240066','070000163465','58021',(select max(to_number(i.premium_rcv_detail_code))+1
from ins_premium_det i),'58021','58021','02', '11000003','00','Request by Mr. SAQIB SALEEM 23-Aug-2024');</v>
      </c>
    </row>
    <row r="92" spans="1:8" ht="105" x14ac:dyDescent="0.25">
      <c r="A92" s="2" t="s">
        <v>756</v>
      </c>
      <c r="B92" s="19" t="str">
        <f>VLOOKUP(A92,[2]Sheet1!$B$2:$C$116,2,0)</f>
        <v>070000163461</v>
      </c>
      <c r="C92" s="4">
        <v>18784</v>
      </c>
      <c r="D92" s="24">
        <f t="shared" si="5"/>
        <v>18784</v>
      </c>
      <c r="E92" s="20" t="s">
        <v>801</v>
      </c>
      <c r="F92" s="21" t="str">
        <f t="shared" si="4"/>
        <v>insert into ins_premium_det (premium_rcv_code,assorted_code, rec_amount,premium_rcv_detail_code,remaining_amt, payrec, mode_code,coinsurance_code,class_cd,it_remarks) values</v>
      </c>
      <c r="G92" s="22" t="str">
        <f t="shared" si="6"/>
        <v>('23Aug240066','070000163461','18784',(select max(to_number(i.premium_rcv_detail_code))+1
from ins_premium_det i),'18784','18784','02', '11000003','00','Request by Mr. SAQIB SALEEM 23-Aug-2024');</v>
      </c>
      <c r="H92" s="23" t="str">
        <f t="shared" si="7"/>
        <v>insert into ins_premium_det (premium_rcv_code,assorted_code, rec_amount,premium_rcv_detail_code,remaining_amt, payrec, mode_code,coinsurance_code,class_cd,it_remarks) values('23Aug240066','070000163461','18784',(select max(to_number(i.premium_rcv_detail_code))+1
from ins_premium_det i),'18784','18784','02', '11000003','00','Request by Mr. SAQIB SALEEM 23-Aug-2024');</v>
      </c>
    </row>
    <row r="93" spans="1:8" ht="105" x14ac:dyDescent="0.25">
      <c r="A93" s="2" t="s">
        <v>757</v>
      </c>
      <c r="B93" s="19" t="str">
        <f>VLOOKUP(A93,[2]Sheet1!$B$2:$C$116,2,0)</f>
        <v>070000163476</v>
      </c>
      <c r="C93" s="4">
        <v>14893</v>
      </c>
      <c r="D93" s="24">
        <f t="shared" si="5"/>
        <v>14893</v>
      </c>
      <c r="E93" s="20" t="s">
        <v>801</v>
      </c>
      <c r="F93" s="21" t="str">
        <f t="shared" si="4"/>
        <v>insert into ins_premium_det (premium_rcv_code,assorted_code, rec_amount,premium_rcv_detail_code,remaining_amt, payrec, mode_code,coinsurance_code,class_cd,it_remarks) values</v>
      </c>
      <c r="G93" s="22" t="str">
        <f t="shared" si="6"/>
        <v>('23Aug240066','070000163476','14893',(select max(to_number(i.premium_rcv_detail_code))+1
from ins_premium_det i),'14893','14893','02', '11000003','00','Request by Mr. SAQIB SALEEM 23-Aug-2024');</v>
      </c>
      <c r="H93" s="23" t="str">
        <f t="shared" si="7"/>
        <v>insert into ins_premium_det (premium_rcv_code,assorted_code, rec_amount,premium_rcv_detail_code,remaining_amt, payrec, mode_code,coinsurance_code,class_cd,it_remarks) values('23Aug240066','070000163476','14893',(select max(to_number(i.premium_rcv_detail_code))+1
from ins_premium_det i),'14893','14893','02', '11000003','00','Request by Mr. SAQIB SALEEM 23-Aug-2024');</v>
      </c>
    </row>
    <row r="94" spans="1:8" ht="105" x14ac:dyDescent="0.25">
      <c r="A94" s="2" t="s">
        <v>758</v>
      </c>
      <c r="B94" s="19" t="str">
        <f>VLOOKUP(A94,[2]Sheet1!$B$2:$C$116,2,0)</f>
        <v>070000163473</v>
      </c>
      <c r="C94" s="4">
        <v>25916</v>
      </c>
      <c r="D94" s="24">
        <f t="shared" si="5"/>
        <v>25916</v>
      </c>
      <c r="E94" s="20" t="s">
        <v>801</v>
      </c>
      <c r="F94" s="21" t="str">
        <f t="shared" si="4"/>
        <v>insert into ins_premium_det (premium_rcv_code,assorted_code, rec_amount,premium_rcv_detail_code,remaining_amt, payrec, mode_code,coinsurance_code,class_cd,it_remarks) values</v>
      </c>
      <c r="G94" s="22" t="str">
        <f t="shared" si="6"/>
        <v>('23Aug240066','070000163473','25916',(select max(to_number(i.premium_rcv_detail_code))+1
from ins_premium_det i),'25916','25916','02', '11000003','00','Request by Mr. SAQIB SALEEM 23-Aug-2024');</v>
      </c>
      <c r="H94" s="23" t="str">
        <f t="shared" si="7"/>
        <v>insert into ins_premium_det (premium_rcv_code,assorted_code, rec_amount,premium_rcv_detail_code,remaining_amt, payrec, mode_code,coinsurance_code,class_cd,it_remarks) values('23Aug240066','070000163473','25916',(select max(to_number(i.premium_rcv_detail_code))+1
from ins_premium_det i),'25916','25916','02', '11000003','00','Request by Mr. SAQIB SALEEM 23-Aug-2024');</v>
      </c>
    </row>
    <row r="95" spans="1:8" ht="105" x14ac:dyDescent="0.25">
      <c r="A95" s="2" t="s">
        <v>759</v>
      </c>
      <c r="B95" s="19" t="str">
        <f>VLOOKUP(A95,[2]Sheet1!$B$2:$C$116,2,0)</f>
        <v>070000163446</v>
      </c>
      <c r="C95" s="4">
        <v>26961</v>
      </c>
      <c r="D95" s="24">
        <f t="shared" si="5"/>
        <v>26961</v>
      </c>
      <c r="E95" s="20" t="s">
        <v>801</v>
      </c>
      <c r="F95" s="21" t="str">
        <f t="shared" si="4"/>
        <v>insert into ins_premium_det (premium_rcv_code,assorted_code, rec_amount,premium_rcv_detail_code,remaining_amt, payrec, mode_code,coinsurance_code,class_cd,it_remarks) values</v>
      </c>
      <c r="G95" s="22" t="str">
        <f t="shared" si="6"/>
        <v>('23Aug240066','070000163446','26961',(select max(to_number(i.premium_rcv_detail_code))+1
from ins_premium_det i),'26961','26961','02', '11000003','00','Request by Mr. SAQIB SALEEM 23-Aug-2024');</v>
      </c>
      <c r="H95" s="23" t="str">
        <f t="shared" si="7"/>
        <v>insert into ins_premium_det (premium_rcv_code,assorted_code, rec_amount,premium_rcv_detail_code,remaining_amt, payrec, mode_code,coinsurance_code,class_cd,it_remarks) values('23Aug240066','070000163446','26961',(select max(to_number(i.premium_rcv_detail_code))+1
from ins_premium_det i),'26961','26961','02', '11000003','00','Request by Mr. SAQIB SALEEM 23-Aug-2024');</v>
      </c>
    </row>
    <row r="96" spans="1:8" ht="105" x14ac:dyDescent="0.25">
      <c r="A96" s="2" t="s">
        <v>760</v>
      </c>
      <c r="B96" s="19" t="str">
        <f>VLOOKUP(A96,[2]Sheet1!$B$2:$C$116,2,0)</f>
        <v>070000163447</v>
      </c>
      <c r="C96" s="4">
        <v>16135</v>
      </c>
      <c r="D96" s="24">
        <f t="shared" si="5"/>
        <v>16135</v>
      </c>
      <c r="E96" s="20" t="s">
        <v>801</v>
      </c>
      <c r="F96" s="21" t="str">
        <f t="shared" si="4"/>
        <v>insert into ins_premium_det (premium_rcv_code,assorted_code, rec_amount,premium_rcv_detail_code,remaining_amt, payrec, mode_code,coinsurance_code,class_cd,it_remarks) values</v>
      </c>
      <c r="G96" s="22" t="str">
        <f t="shared" si="6"/>
        <v>('23Aug240066','070000163447','16135',(select max(to_number(i.premium_rcv_detail_code))+1
from ins_premium_det i),'16135','16135','02', '11000003','00','Request by Mr. SAQIB SALEEM 23-Aug-2024');</v>
      </c>
      <c r="H96" s="23" t="str">
        <f t="shared" si="7"/>
        <v>insert into ins_premium_det (premium_rcv_code,assorted_code, rec_amount,premium_rcv_detail_code,remaining_amt, payrec, mode_code,coinsurance_code,class_cd,it_remarks) values('23Aug240066','070000163447','16135',(select max(to_number(i.premium_rcv_detail_code))+1
from ins_premium_det i),'16135','16135','02', '11000003','00','Request by Mr. SAQIB SALEEM 23-Aug-2024');</v>
      </c>
    </row>
    <row r="97" spans="1:8" ht="105" x14ac:dyDescent="0.25">
      <c r="A97" s="2" t="s">
        <v>761</v>
      </c>
      <c r="B97" s="19" t="str">
        <f>VLOOKUP(A97,[2]Sheet1!$B$2:$C$116,2,0)</f>
        <v>070000163441</v>
      </c>
      <c r="C97" s="4">
        <v>60750</v>
      </c>
      <c r="D97" s="24">
        <f t="shared" si="5"/>
        <v>60750</v>
      </c>
      <c r="E97" s="20" t="s">
        <v>801</v>
      </c>
      <c r="F97" s="21" t="str">
        <f t="shared" si="4"/>
        <v>insert into ins_premium_det (premium_rcv_code,assorted_code, rec_amount,premium_rcv_detail_code,remaining_amt, payrec, mode_code,coinsurance_code,class_cd,it_remarks) values</v>
      </c>
      <c r="G97" s="22" t="str">
        <f t="shared" si="6"/>
        <v>('23Aug240066','070000163441','60750',(select max(to_number(i.premium_rcv_detail_code))+1
from ins_premium_det i),'60750','60750','02', '11000003','00','Request by Mr. SAQIB SALEEM 23-Aug-2024');</v>
      </c>
      <c r="H97" s="23" t="str">
        <f t="shared" si="7"/>
        <v>insert into ins_premium_det (premium_rcv_code,assorted_code, rec_amount,premium_rcv_detail_code,remaining_amt, payrec, mode_code,coinsurance_code,class_cd,it_remarks) values('23Aug240066','070000163441','60750',(select max(to_number(i.premium_rcv_detail_code))+1
from ins_premium_det i),'60750','60750','02', '11000003','00','Request by Mr. SAQIB SALEEM 23-Aug-2024');</v>
      </c>
    </row>
    <row r="98" spans="1:8" ht="105" x14ac:dyDescent="0.25">
      <c r="A98" s="2" t="s">
        <v>762</v>
      </c>
      <c r="B98" s="19" t="str">
        <f>VLOOKUP(A98,[2]Sheet1!$B$2:$C$116,2,0)</f>
        <v>070000163442</v>
      </c>
      <c r="C98" s="4">
        <v>39623</v>
      </c>
      <c r="D98" s="24">
        <f t="shared" si="5"/>
        <v>39623</v>
      </c>
      <c r="E98" s="20" t="s">
        <v>801</v>
      </c>
      <c r="F98" s="21" t="str">
        <f t="shared" si="4"/>
        <v>insert into ins_premium_det (premium_rcv_code,assorted_code, rec_amount,premium_rcv_detail_code,remaining_amt, payrec, mode_code,coinsurance_code,class_cd,it_remarks) values</v>
      </c>
      <c r="G98" s="22" t="str">
        <f t="shared" si="6"/>
        <v>('23Aug240066','070000163442','39623',(select max(to_number(i.premium_rcv_detail_code))+1
from ins_premium_det i),'39623','39623','02', '11000003','00','Request by Mr. SAQIB SALEEM 23-Aug-2024');</v>
      </c>
      <c r="H98" s="23" t="str">
        <f t="shared" si="7"/>
        <v>insert into ins_premium_det (premium_rcv_code,assorted_code, rec_amount,premium_rcv_detail_code,remaining_amt, payrec, mode_code,coinsurance_code,class_cd,it_remarks) values('23Aug240066','070000163442','39623',(select max(to_number(i.premium_rcv_detail_code))+1
from ins_premium_det i),'39623','39623','02', '11000003','00','Request by Mr. SAQIB SALEEM 23-Aug-2024');</v>
      </c>
    </row>
    <row r="99" spans="1:8" ht="105" x14ac:dyDescent="0.25">
      <c r="A99" s="2" t="s">
        <v>763</v>
      </c>
      <c r="B99" s="19" t="str">
        <f>VLOOKUP(A99,[2]Sheet1!$B$2:$C$116,2,0)</f>
        <v>070000163450</v>
      </c>
      <c r="C99" s="4">
        <v>39560</v>
      </c>
      <c r="D99" s="24">
        <f t="shared" si="5"/>
        <v>39560</v>
      </c>
      <c r="E99" s="20" t="s">
        <v>801</v>
      </c>
      <c r="F99" s="21" t="str">
        <f t="shared" si="4"/>
        <v>insert into ins_premium_det (premium_rcv_code,assorted_code, rec_amount,premium_rcv_detail_code,remaining_amt, payrec, mode_code,coinsurance_code,class_cd,it_remarks) values</v>
      </c>
      <c r="G99" s="22" t="str">
        <f t="shared" si="6"/>
        <v>('23Aug240066','070000163450','39560',(select max(to_number(i.premium_rcv_detail_code))+1
from ins_premium_det i),'39560','39560','02', '11000003','00','Request by Mr. SAQIB SALEEM 23-Aug-2024');</v>
      </c>
      <c r="H99" s="23" t="str">
        <f t="shared" si="7"/>
        <v>insert into ins_premium_det (premium_rcv_code,assorted_code, rec_amount,premium_rcv_detail_code,remaining_amt, payrec, mode_code,coinsurance_code,class_cd,it_remarks) values('23Aug240066','070000163450','39560',(select max(to_number(i.premium_rcv_detail_code))+1
from ins_premium_det i),'39560','39560','02', '11000003','00','Request by Mr. SAQIB SALEEM 23-Aug-2024');</v>
      </c>
    </row>
    <row r="100" spans="1:8" ht="105" x14ac:dyDescent="0.25">
      <c r="A100" s="2" t="s">
        <v>764</v>
      </c>
      <c r="B100" s="19" t="str">
        <f>VLOOKUP(A100,[2]Sheet1!$B$2:$C$116,2,0)</f>
        <v>070000163451</v>
      </c>
      <c r="C100" s="4">
        <v>21226</v>
      </c>
      <c r="D100" s="24">
        <f t="shared" si="5"/>
        <v>21226</v>
      </c>
      <c r="E100" s="20" t="s">
        <v>801</v>
      </c>
      <c r="F100" s="21" t="str">
        <f t="shared" si="4"/>
        <v>insert into ins_premium_det (premium_rcv_code,assorted_code, rec_amount,premium_rcv_detail_code,remaining_amt, payrec, mode_code,coinsurance_code,class_cd,it_remarks) values</v>
      </c>
      <c r="G100" s="22" t="str">
        <f t="shared" si="6"/>
        <v>('23Aug240066','070000163451','21226',(select max(to_number(i.premium_rcv_detail_code))+1
from ins_premium_det i),'21226','21226','02', '11000003','00','Request by Mr. SAQIB SALEEM 23-Aug-2024');</v>
      </c>
      <c r="H100" s="23" t="str">
        <f t="shared" si="7"/>
        <v>insert into ins_premium_det (premium_rcv_code,assorted_code, rec_amount,premium_rcv_detail_code,remaining_amt, payrec, mode_code,coinsurance_code,class_cd,it_remarks) values('23Aug240066','070000163451','21226',(select max(to_number(i.premium_rcv_detail_code))+1
from ins_premium_det i),'21226','21226','02', '11000003','00','Request by Mr. SAQIB SALEEM 23-Aug-2024');</v>
      </c>
    </row>
    <row r="101" spans="1:8" ht="105" x14ac:dyDescent="0.25">
      <c r="A101" s="2" t="s">
        <v>765</v>
      </c>
      <c r="B101" s="19" t="str">
        <f>VLOOKUP(A101,[2]Sheet1!$B$2:$C$116,2,0)</f>
        <v>070000163449</v>
      </c>
      <c r="C101" s="4">
        <v>45702</v>
      </c>
      <c r="D101" s="24">
        <f t="shared" si="5"/>
        <v>45702</v>
      </c>
      <c r="E101" s="20" t="s">
        <v>801</v>
      </c>
      <c r="F101" s="21" t="str">
        <f t="shared" si="4"/>
        <v>insert into ins_premium_det (premium_rcv_code,assorted_code, rec_amount,premium_rcv_detail_code,remaining_amt, payrec, mode_code,coinsurance_code,class_cd,it_remarks) values</v>
      </c>
      <c r="G101" s="22" t="str">
        <f t="shared" si="6"/>
        <v>('23Aug240066','070000163449','45702',(select max(to_number(i.premium_rcv_detail_code))+1
from ins_premium_det i),'45702','45702','02', '11000003','00','Request by Mr. SAQIB SALEEM 23-Aug-2024');</v>
      </c>
      <c r="H101" s="23" t="str">
        <f t="shared" si="7"/>
        <v>insert into ins_premium_det (premium_rcv_code,assorted_code, rec_amount,premium_rcv_detail_code,remaining_amt, payrec, mode_code,coinsurance_code,class_cd,it_remarks) values('23Aug240066','070000163449','45702',(select max(to_number(i.premium_rcv_detail_code))+1
from ins_premium_det i),'45702','45702','02', '11000003','00','Request by Mr. SAQIB SALEEM 23-Aug-2024');</v>
      </c>
    </row>
    <row r="102" spans="1:8" ht="105" x14ac:dyDescent="0.25">
      <c r="A102" s="2" t="s">
        <v>766</v>
      </c>
      <c r="B102" s="19" t="str">
        <f>VLOOKUP(A102,[2]Sheet1!$B$2:$C$116,2,0)</f>
        <v>070000163448</v>
      </c>
      <c r="C102" s="4">
        <v>26718</v>
      </c>
      <c r="D102" s="24">
        <f t="shared" si="5"/>
        <v>26718</v>
      </c>
      <c r="E102" s="20" t="s">
        <v>801</v>
      </c>
      <c r="F102" s="21" t="str">
        <f t="shared" si="4"/>
        <v>insert into ins_premium_det (premium_rcv_code,assorted_code, rec_amount,premium_rcv_detail_code,remaining_amt, payrec, mode_code,coinsurance_code,class_cd,it_remarks) values</v>
      </c>
      <c r="G102" s="22" t="str">
        <f t="shared" si="6"/>
        <v>('23Aug240066','070000163448','26718',(select max(to_number(i.premium_rcv_detail_code))+1
from ins_premium_det i),'26718','26718','02', '11000003','00','Request by Mr. SAQIB SALEEM 23-Aug-2024');</v>
      </c>
      <c r="H102" s="23" t="str">
        <f t="shared" si="7"/>
        <v>insert into ins_premium_det (premium_rcv_code,assorted_code, rec_amount,premium_rcv_detail_code,remaining_amt, payrec, mode_code,coinsurance_code,class_cd,it_remarks) values('23Aug240066','070000163448','26718',(select max(to_number(i.premium_rcv_detail_code))+1
from ins_premium_det i),'26718','26718','02', '11000003','00','Request by Mr. SAQIB SALEEM 23-Aug-2024');</v>
      </c>
    </row>
    <row r="103" spans="1:8" ht="105" x14ac:dyDescent="0.25">
      <c r="A103" s="2" t="s">
        <v>767</v>
      </c>
      <c r="B103" s="19" t="str">
        <f>VLOOKUP(A103,[2]Sheet1!$B$2:$C$116,2,0)</f>
        <v>070000163443</v>
      </c>
      <c r="C103" s="4">
        <v>41850</v>
      </c>
      <c r="D103" s="24">
        <f t="shared" si="5"/>
        <v>41850</v>
      </c>
      <c r="E103" s="20" t="s">
        <v>801</v>
      </c>
      <c r="F103" s="21" t="str">
        <f t="shared" si="4"/>
        <v>insert into ins_premium_det (premium_rcv_code,assorted_code, rec_amount,premium_rcv_detail_code,remaining_amt, payrec, mode_code,coinsurance_code,class_cd,it_remarks) values</v>
      </c>
      <c r="G103" s="22" t="str">
        <f t="shared" si="6"/>
        <v>('23Aug240066','070000163443','41850',(select max(to_number(i.premium_rcv_detail_code))+1
from ins_premium_det i),'41850','41850','02', '11000003','00','Request by Mr. SAQIB SALEEM 23-Aug-2024');</v>
      </c>
      <c r="H103" s="23" t="str">
        <f t="shared" si="7"/>
        <v>insert into ins_premium_det (premium_rcv_code,assorted_code, rec_amount,premium_rcv_detail_code,remaining_amt, payrec, mode_code,coinsurance_code,class_cd,it_remarks) values('23Aug240066','070000163443','41850',(select max(to_number(i.premium_rcv_detail_code))+1
from ins_premium_det i),'41850','41850','02', '11000003','00','Request by Mr. SAQIB SALEEM 23-Aug-2024');</v>
      </c>
    </row>
    <row r="104" spans="1:8" ht="105" x14ac:dyDescent="0.25">
      <c r="A104" s="2" t="s">
        <v>768</v>
      </c>
      <c r="B104" s="19" t="str">
        <f>VLOOKUP(A104,[2]Sheet1!$B$2:$C$116,2,0)</f>
        <v>070000163452</v>
      </c>
      <c r="C104" s="4">
        <v>45830</v>
      </c>
      <c r="D104" s="24">
        <f t="shared" si="5"/>
        <v>45830</v>
      </c>
      <c r="E104" s="20" t="s">
        <v>801</v>
      </c>
      <c r="F104" s="21" t="str">
        <f t="shared" si="4"/>
        <v>insert into ins_premium_det (premium_rcv_code,assorted_code, rec_amount,premium_rcv_detail_code,remaining_amt, payrec, mode_code,coinsurance_code,class_cd,it_remarks) values</v>
      </c>
      <c r="G104" s="22" t="str">
        <f t="shared" si="6"/>
        <v>('23Aug240066','070000163452','45830',(select max(to_number(i.premium_rcv_detail_code))+1
from ins_premium_det i),'45830','45830','02', '11000003','00','Request by Mr. SAQIB SALEEM 23-Aug-2024');</v>
      </c>
      <c r="H104" s="23" t="str">
        <f t="shared" si="7"/>
        <v>insert into ins_premium_det (premium_rcv_code,assorted_code, rec_amount,premium_rcv_detail_code,remaining_amt, payrec, mode_code,coinsurance_code,class_cd,it_remarks) values('23Aug240066','070000163452','45830',(select max(to_number(i.premium_rcv_detail_code))+1
from ins_premium_det i),'45830','45830','02', '11000003','00','Request by Mr. SAQIB SALEEM 23-Aug-2024');</v>
      </c>
    </row>
    <row r="105" spans="1:8" ht="105" x14ac:dyDescent="0.25">
      <c r="A105" s="2" t="s">
        <v>769</v>
      </c>
      <c r="B105" s="19" t="str">
        <f>VLOOKUP(A105,[2]Sheet1!$B$2:$C$116,2,0)</f>
        <v>070000163444</v>
      </c>
      <c r="C105" s="4">
        <v>36450</v>
      </c>
      <c r="D105" s="24">
        <f t="shared" si="5"/>
        <v>36450</v>
      </c>
      <c r="E105" s="20" t="s">
        <v>801</v>
      </c>
      <c r="F105" s="21" t="str">
        <f t="shared" si="4"/>
        <v>insert into ins_premium_det (premium_rcv_code,assorted_code, rec_amount,premium_rcv_detail_code,remaining_amt, payrec, mode_code,coinsurance_code,class_cd,it_remarks) values</v>
      </c>
      <c r="G105" s="22" t="str">
        <f t="shared" si="6"/>
        <v>('23Aug240066','070000163444','36450',(select max(to_number(i.premium_rcv_detail_code))+1
from ins_premium_det i),'36450','36450','02', '11000003','00','Request by Mr. SAQIB SALEEM 23-Aug-2024');</v>
      </c>
      <c r="H105" s="23" t="str">
        <f t="shared" si="7"/>
        <v>insert into ins_premium_det (premium_rcv_code,assorted_code, rec_amount,premium_rcv_detail_code,remaining_amt, payrec, mode_code,coinsurance_code,class_cd,it_remarks) values('23Aug240066','070000163444','36450',(select max(to_number(i.premium_rcv_detail_code))+1
from ins_premium_det i),'36450','36450','02', '11000003','00','Request by Mr. SAQIB SALEEM 23-Aug-2024');</v>
      </c>
    </row>
    <row r="106" spans="1:8" ht="105" x14ac:dyDescent="0.25">
      <c r="A106" s="2" t="s">
        <v>770</v>
      </c>
      <c r="B106" s="19" t="str">
        <f>VLOOKUP(A106,[2]Sheet1!$B$2:$C$116,2,0)</f>
        <v>070000163455</v>
      </c>
      <c r="C106" s="4">
        <v>38108</v>
      </c>
      <c r="D106" s="24">
        <f t="shared" si="5"/>
        <v>38108</v>
      </c>
      <c r="E106" s="20" t="s">
        <v>801</v>
      </c>
      <c r="F106" s="21" t="str">
        <f t="shared" si="4"/>
        <v>insert into ins_premium_det (premium_rcv_code,assorted_code, rec_amount,premium_rcv_detail_code,remaining_amt, payrec, mode_code,coinsurance_code,class_cd,it_remarks) values</v>
      </c>
      <c r="G106" s="22" t="str">
        <f t="shared" si="6"/>
        <v>('23Aug240066','070000163455','38108',(select max(to_number(i.premium_rcv_detail_code))+1
from ins_premium_det i),'38108','38108','02', '11000003','00','Request by Mr. SAQIB SALEEM 23-Aug-2024');</v>
      </c>
      <c r="H106" s="23" t="str">
        <f t="shared" si="7"/>
        <v>insert into ins_premium_det (premium_rcv_code,assorted_code, rec_amount,premium_rcv_detail_code,remaining_amt, payrec, mode_code,coinsurance_code,class_cd,it_remarks) values('23Aug240066','070000163455','38108',(select max(to_number(i.premium_rcv_detail_code))+1
from ins_premium_det i),'38108','38108','02', '11000003','00','Request by Mr. SAQIB SALEEM 23-Aug-2024');</v>
      </c>
    </row>
    <row r="107" spans="1:8" ht="105" x14ac:dyDescent="0.25">
      <c r="A107" s="2" t="s">
        <v>771</v>
      </c>
      <c r="B107" s="19" t="str">
        <f>VLOOKUP(A107,[2]Sheet1!$B$2:$C$116,2,0)</f>
        <v>070000163456</v>
      </c>
      <c r="C107" s="4">
        <v>43871</v>
      </c>
      <c r="D107" s="24">
        <f t="shared" si="5"/>
        <v>43871</v>
      </c>
      <c r="E107" s="20" t="s">
        <v>801</v>
      </c>
      <c r="F107" s="21" t="str">
        <f t="shared" si="4"/>
        <v>insert into ins_premium_det (premium_rcv_code,assorted_code, rec_amount,premium_rcv_detail_code,remaining_amt, payrec, mode_code,coinsurance_code,class_cd,it_remarks) values</v>
      </c>
      <c r="G107" s="22" t="str">
        <f t="shared" si="6"/>
        <v>('23Aug240066','070000163456','43871',(select max(to_number(i.premium_rcv_detail_code))+1
from ins_premium_det i),'43871','43871','02', '11000003','00','Request by Mr. SAQIB SALEEM 23-Aug-2024');</v>
      </c>
      <c r="H107" s="23" t="str">
        <f t="shared" si="7"/>
        <v>insert into ins_premium_det (premium_rcv_code,assorted_code, rec_amount,premium_rcv_detail_code,remaining_amt, payrec, mode_code,coinsurance_code,class_cd,it_remarks) values('23Aug240066','070000163456','43871',(select max(to_number(i.premium_rcv_detail_code))+1
from ins_premium_det i),'43871','43871','02', '11000003','00','Request by Mr. SAQIB SALEEM 23-Aug-2024');</v>
      </c>
    </row>
    <row r="108" spans="1:8" ht="105" x14ac:dyDescent="0.25">
      <c r="A108" s="2" t="s">
        <v>738</v>
      </c>
      <c r="B108" s="19" t="str">
        <f>VLOOKUP(A108,[2]Sheet1!$B$2:$C$116,2,0)</f>
        <v>070000163416</v>
      </c>
      <c r="C108" s="4">
        <v>37805</v>
      </c>
      <c r="D108" s="24">
        <f t="shared" si="5"/>
        <v>37805</v>
      </c>
      <c r="E108" s="20" t="s">
        <v>801</v>
      </c>
      <c r="F108" s="21" t="str">
        <f t="shared" si="4"/>
        <v>insert into ins_premium_det (premium_rcv_code,assorted_code, rec_amount,premium_rcv_detail_code,remaining_amt, payrec, mode_code,coinsurance_code,class_cd,it_remarks) values</v>
      </c>
      <c r="G108" s="22" t="str">
        <f t="shared" si="6"/>
        <v>('23Aug240066','070000163416','37805',(select max(to_number(i.premium_rcv_detail_code))+1
from ins_premium_det i),'37805','37805','02', '11000003','00','Request by Mr. SAQIB SALEEM 23-Aug-2024');</v>
      </c>
      <c r="H108" s="23" t="str">
        <f t="shared" si="7"/>
        <v>insert into ins_premium_det (premium_rcv_code,assorted_code, rec_amount,premium_rcv_detail_code,remaining_amt, payrec, mode_code,coinsurance_code,class_cd,it_remarks) values('23Aug240066','070000163416','37805',(select max(to_number(i.premium_rcv_detail_code))+1
from ins_premium_det i),'37805','37805','02', '11000003','00','Request by Mr. SAQIB SALEEM 23-Aug-2024');</v>
      </c>
    </row>
    <row r="109" spans="1:8" ht="105" x14ac:dyDescent="0.25">
      <c r="A109" s="2" t="s">
        <v>741</v>
      </c>
      <c r="B109" s="19" t="str">
        <f>VLOOKUP(A109,[2]Sheet1!$B$2:$C$116,2,0)</f>
        <v>070000163422</v>
      </c>
      <c r="C109" s="4">
        <v>26718</v>
      </c>
      <c r="D109" s="24">
        <f t="shared" si="5"/>
        <v>26718</v>
      </c>
      <c r="E109" s="20" t="s">
        <v>801</v>
      </c>
      <c r="F109" s="21" t="str">
        <f t="shared" si="4"/>
        <v>insert into ins_premium_det (premium_rcv_code,assorted_code, rec_amount,premium_rcv_detail_code,remaining_amt, payrec, mode_code,coinsurance_code,class_cd,it_remarks) values</v>
      </c>
      <c r="G109" s="22" t="str">
        <f t="shared" si="6"/>
        <v>('23Aug240066','070000163422','26718',(select max(to_number(i.premium_rcv_detail_code))+1
from ins_premium_det i),'26718','26718','02', '11000003','00','Request by Mr. SAQIB SALEEM 23-Aug-2024');</v>
      </c>
      <c r="H109" s="23" t="str">
        <f t="shared" si="7"/>
        <v>insert into ins_premium_det (premium_rcv_code,assorted_code, rec_amount,premium_rcv_detail_code,remaining_amt, payrec, mode_code,coinsurance_code,class_cd,it_remarks) values('23Aug240066','070000163422','26718',(select max(to_number(i.premium_rcv_detail_code))+1
from ins_premium_det i),'26718','26718','02', '11000003','00','Request by Mr. SAQIB SALEEM 23-Aug-2024');</v>
      </c>
    </row>
    <row r="110" spans="1:8" ht="105" x14ac:dyDescent="0.25">
      <c r="A110" s="2" t="s">
        <v>786</v>
      </c>
      <c r="B110" s="19" t="str">
        <f>VLOOKUP(A110,[2]Sheet1!$B$2:$C$116,2,0)</f>
        <v>070000163418</v>
      </c>
      <c r="C110" s="4">
        <v>39560</v>
      </c>
      <c r="D110" s="24">
        <f t="shared" si="5"/>
        <v>39560</v>
      </c>
      <c r="E110" s="20" t="s">
        <v>801</v>
      </c>
      <c r="F110" s="21" t="str">
        <f t="shared" si="4"/>
        <v>insert into ins_premium_det (premium_rcv_code,assorted_code, rec_amount,premium_rcv_detail_code,remaining_amt, payrec, mode_code,coinsurance_code,class_cd,it_remarks) values</v>
      </c>
      <c r="G110" s="22" t="str">
        <f t="shared" si="6"/>
        <v>('23Aug240066','070000163418','39560',(select max(to_number(i.premium_rcv_detail_code))+1
from ins_premium_det i),'39560','39560','02', '11000003','00','Request by Mr. SAQIB SALEEM 23-Aug-2024');</v>
      </c>
      <c r="H110" s="23" t="str">
        <f t="shared" si="7"/>
        <v>insert into ins_premium_det (premium_rcv_code,assorted_code, rec_amount,premium_rcv_detail_code,remaining_amt, payrec, mode_code,coinsurance_code,class_cd,it_remarks) values('23Aug240066','070000163418','39560',(select max(to_number(i.premium_rcv_detail_code))+1
from ins_premium_det i),'39560','39560','02', '11000003','00','Request by Mr. SAQIB SALEEM 23-Aug-2024');</v>
      </c>
    </row>
    <row r="111" spans="1:8" ht="105" x14ac:dyDescent="0.25">
      <c r="A111" s="2" t="s">
        <v>739</v>
      </c>
      <c r="B111" s="19" t="str">
        <f>VLOOKUP(A111,[2]Sheet1!$B$2:$C$116,2,0)</f>
        <v>070000163419</v>
      </c>
      <c r="C111" s="4">
        <v>39688</v>
      </c>
      <c r="D111" s="24">
        <f t="shared" si="5"/>
        <v>39688</v>
      </c>
      <c r="E111" s="20" t="s">
        <v>801</v>
      </c>
      <c r="F111" s="21" t="str">
        <f t="shared" si="4"/>
        <v>insert into ins_premium_det (premium_rcv_code,assorted_code, rec_amount,premium_rcv_detail_code,remaining_amt, payrec, mode_code,coinsurance_code,class_cd,it_remarks) values</v>
      </c>
      <c r="G111" s="22" t="str">
        <f t="shared" si="6"/>
        <v>('23Aug240066','070000163419','39688',(select max(to_number(i.premium_rcv_detail_code))+1
from ins_premium_det i),'39688','39688','02', '11000003','00','Request by Mr. SAQIB SALEEM 23-Aug-2024');</v>
      </c>
      <c r="H111" s="23" t="str">
        <f t="shared" si="7"/>
        <v>insert into ins_premium_det (premium_rcv_code,assorted_code, rec_amount,premium_rcv_detail_code,remaining_amt, payrec, mode_code,coinsurance_code,class_cd,it_remarks) values('23Aug240066','070000163419','39688',(select max(to_number(i.premium_rcv_detail_code))+1
from ins_premium_det i),'39688','39688','02', '11000003','00','Request by Mr. SAQIB SALEEM 23-Aug-2024');</v>
      </c>
    </row>
    <row r="112" spans="1:8" ht="105" x14ac:dyDescent="0.25">
      <c r="A112" s="2" t="s">
        <v>740</v>
      </c>
      <c r="B112" s="19" t="str">
        <f>VLOOKUP(A112,[2]Sheet1!$B$2:$C$116,2,0)</f>
        <v>070000163420</v>
      </c>
      <c r="C112" s="4">
        <v>30059</v>
      </c>
      <c r="D112" s="24">
        <f t="shared" si="5"/>
        <v>30059</v>
      </c>
      <c r="E112" s="20" t="s">
        <v>801</v>
      </c>
      <c r="F112" s="21" t="str">
        <f t="shared" si="4"/>
        <v>insert into ins_premium_det (premium_rcv_code,assorted_code, rec_amount,premium_rcv_detail_code,remaining_amt, payrec, mode_code,coinsurance_code,class_cd,it_remarks) values</v>
      </c>
      <c r="G112" s="22" t="str">
        <f t="shared" si="6"/>
        <v>('23Aug240066','070000163420','30059',(select max(to_number(i.premium_rcv_detail_code))+1
from ins_premium_det i),'30059','30059','02', '11000003','00','Request by Mr. SAQIB SALEEM 23-Aug-2024');</v>
      </c>
      <c r="H112" s="23" t="str">
        <f t="shared" si="7"/>
        <v>insert into ins_premium_det (premium_rcv_code,assorted_code, rec_amount,premium_rcv_detail_code,remaining_amt, payrec, mode_code,coinsurance_code,class_cd,it_remarks) values('23Aug240066','070000163420','30059',(select max(to_number(i.premium_rcv_detail_code))+1
from ins_premium_det i),'30059','30059','02', '11000003','00','Request by Mr. SAQIB SALEEM 23-Aug-2024');</v>
      </c>
    </row>
    <row r="113" spans="1:8" ht="105" x14ac:dyDescent="0.25">
      <c r="A113" s="2" t="s">
        <v>742</v>
      </c>
      <c r="B113" s="19" t="str">
        <f>VLOOKUP(A113,[2]Sheet1!$B$2:$C$116,2,0)</f>
        <v>070000163413</v>
      </c>
      <c r="C113" s="4">
        <v>33166</v>
      </c>
      <c r="D113" s="24">
        <f t="shared" si="5"/>
        <v>33166</v>
      </c>
      <c r="E113" s="20" t="s">
        <v>801</v>
      </c>
      <c r="F113" s="21" t="str">
        <f t="shared" si="4"/>
        <v>insert into ins_premium_det (premium_rcv_code,assorted_code, rec_amount,premium_rcv_detail_code,remaining_amt, payrec, mode_code,coinsurance_code,class_cd,it_remarks) values</v>
      </c>
      <c r="G113" s="22" t="str">
        <f t="shared" si="6"/>
        <v>('23Aug240066','070000163413','33166',(select max(to_number(i.premium_rcv_detail_code))+1
from ins_premium_det i),'33166','33166','02', '11000003','00','Request by Mr. SAQIB SALEEM 23-Aug-2024');</v>
      </c>
      <c r="H113" s="23" t="str">
        <f t="shared" si="7"/>
        <v>insert into ins_premium_det (premium_rcv_code,assorted_code, rec_amount,premium_rcv_detail_code,remaining_amt, payrec, mode_code,coinsurance_code,class_cd,it_remarks) values('23Aug240066','070000163413','33166',(select max(to_number(i.premium_rcv_detail_code))+1
from ins_premium_det i),'33166','33166','02', '11000003','00','Request by Mr. SAQIB SALEEM 23-Aug-2024');</v>
      </c>
    </row>
    <row r="114" spans="1:8" ht="105" x14ac:dyDescent="0.25">
      <c r="A114" s="2" t="s">
        <v>743</v>
      </c>
      <c r="B114" s="19" t="str">
        <f>VLOOKUP(A114,[2]Sheet1!$B$2:$C$116,2,0)</f>
        <v>070000163414</v>
      </c>
      <c r="C114" s="4">
        <v>33166</v>
      </c>
      <c r="D114" s="24">
        <f t="shared" si="5"/>
        <v>33166</v>
      </c>
      <c r="E114" s="20" t="s">
        <v>801</v>
      </c>
      <c r="F114" s="21" t="str">
        <f t="shared" si="4"/>
        <v>insert into ins_premium_det (premium_rcv_code,assorted_code, rec_amount,premium_rcv_detail_code,remaining_amt, payrec, mode_code,coinsurance_code,class_cd,it_remarks) values</v>
      </c>
      <c r="G114" s="22" t="str">
        <f t="shared" si="6"/>
        <v>('23Aug240066','070000163414','33166',(select max(to_number(i.premium_rcv_detail_code))+1
from ins_premium_det i),'33166','33166','02', '11000003','00','Request by Mr. SAQIB SALEEM 23-Aug-2024');</v>
      </c>
      <c r="H114" s="23" t="str">
        <f t="shared" si="7"/>
        <v>insert into ins_premium_det (premium_rcv_code,assorted_code, rec_amount,premium_rcv_detail_code,remaining_amt, payrec, mode_code,coinsurance_code,class_cd,it_remarks) values('23Aug240066','070000163414','33166',(select max(to_number(i.premium_rcv_detail_code))+1
from ins_premium_det i),'33166','33166','02', '11000003','00','Request by Mr. SAQIB SALEEM 23-Aug-2024');</v>
      </c>
    </row>
    <row r="115" spans="1:8" ht="105" x14ac:dyDescent="0.25">
      <c r="A115" s="2" t="s">
        <v>772</v>
      </c>
      <c r="B115" s="19" t="str">
        <f>VLOOKUP(A115,[2]Sheet1!$B$2:$C$116,2,0)</f>
        <v>070000163509</v>
      </c>
      <c r="C115" s="4">
        <v>23396</v>
      </c>
      <c r="D115" s="24">
        <f t="shared" si="5"/>
        <v>23396</v>
      </c>
      <c r="E115" s="20" t="s">
        <v>801</v>
      </c>
      <c r="F115" s="21" t="str">
        <f t="shared" si="4"/>
        <v>insert into ins_premium_det (premium_rcv_code,assorted_code, rec_amount,premium_rcv_detail_code,remaining_amt, payrec, mode_code,coinsurance_code,class_cd,it_remarks) values</v>
      </c>
      <c r="G115" s="22" t="str">
        <f t="shared" si="6"/>
        <v>('23Aug240066','070000163509','23396',(select max(to_number(i.premium_rcv_detail_code))+1
from ins_premium_det i),'23396','23396','02', '11000003','00','Request by Mr. SAQIB SALEEM 23-Aug-2024');</v>
      </c>
      <c r="H115" s="23" t="str">
        <f t="shared" si="7"/>
        <v>insert into ins_premium_det (premium_rcv_code,assorted_code, rec_amount,premium_rcv_detail_code,remaining_amt, payrec, mode_code,coinsurance_code,class_cd,it_remarks) values('23Aug240066','070000163509','23396',(select max(to_number(i.premium_rcv_detail_code))+1
from ins_premium_det i),'23396','23396','02', '11000003','00','Request by Mr. SAQIB SALEEM 23-Aug-2024');</v>
      </c>
    </row>
  </sheetData>
  <conditionalFormatting sqref="A1:B1 B2:B115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7E1E1-B523-427D-BE02-3E653BAA1F23}">
  <dimension ref="A1:J115"/>
  <sheetViews>
    <sheetView workbookViewId="0">
      <selection activeCell="A115" sqref="A1:A115"/>
    </sheetView>
  </sheetViews>
  <sheetFormatPr defaultRowHeight="15" x14ac:dyDescent="0.25"/>
  <cols>
    <col min="1" max="1" width="41.42578125" bestFit="1" customWidth="1"/>
    <col min="10" max="10" width="46.5703125" bestFit="1" customWidth="1"/>
  </cols>
  <sheetData>
    <row r="1" spans="1:10" x14ac:dyDescent="0.25">
      <c r="A1" s="2" t="s">
        <v>671</v>
      </c>
      <c r="B1" t="s">
        <v>791</v>
      </c>
      <c r="H1">
        <v>94185</v>
      </c>
      <c r="I1" t="s">
        <v>792</v>
      </c>
      <c r="J1" t="str">
        <f>"ia.assorted_string like '%"&amp;H1&amp;"-"&amp;I1&amp;B1&amp;"%' or"</f>
        <v>ia.assorted_string like '%94185-00005-07-2024%' or</v>
      </c>
    </row>
    <row r="2" spans="1:10" x14ac:dyDescent="0.25">
      <c r="A2" s="2" t="s">
        <v>744</v>
      </c>
      <c r="B2" t="s">
        <v>791</v>
      </c>
      <c r="H2">
        <v>94185</v>
      </c>
      <c r="I2" t="s">
        <v>793</v>
      </c>
      <c r="J2" t="str">
        <f t="shared" ref="J2:J65" si="0">"ia.assorted_string like '%"&amp;H2&amp;"-"&amp;I2&amp;B2&amp;"%' or"</f>
        <v>ia.assorted_string like '%94185-00004-07-2024%' or</v>
      </c>
    </row>
    <row r="3" spans="1:10" x14ac:dyDescent="0.25">
      <c r="A3" s="2" t="s">
        <v>672</v>
      </c>
      <c r="B3" t="s">
        <v>791</v>
      </c>
      <c r="H3">
        <v>94185</v>
      </c>
      <c r="I3" t="s">
        <v>794</v>
      </c>
      <c r="J3" t="str">
        <f t="shared" si="0"/>
        <v>ia.assorted_string like '%94185-00001-07-2024%' or</v>
      </c>
    </row>
    <row r="4" spans="1:10" x14ac:dyDescent="0.25">
      <c r="A4" s="2" t="s">
        <v>673</v>
      </c>
      <c r="B4" t="s">
        <v>791</v>
      </c>
      <c r="H4">
        <v>94184</v>
      </c>
      <c r="I4" t="s">
        <v>795</v>
      </c>
      <c r="J4" t="str">
        <f t="shared" si="0"/>
        <v>ia.assorted_string like '%94184-00007-07-2024%' or</v>
      </c>
    </row>
    <row r="5" spans="1:10" x14ac:dyDescent="0.25">
      <c r="A5" s="2" t="s">
        <v>674</v>
      </c>
      <c r="B5" t="s">
        <v>791</v>
      </c>
      <c r="H5">
        <v>94185</v>
      </c>
      <c r="I5" t="s">
        <v>796</v>
      </c>
      <c r="J5" t="str">
        <f t="shared" si="0"/>
        <v>ia.assorted_string like '%94185-00002-07-2024%' or</v>
      </c>
    </row>
    <row r="6" spans="1:10" x14ac:dyDescent="0.25">
      <c r="A6" s="2" t="s">
        <v>675</v>
      </c>
      <c r="B6" t="s">
        <v>791</v>
      </c>
      <c r="H6">
        <v>94184</v>
      </c>
      <c r="I6" t="s">
        <v>792</v>
      </c>
      <c r="J6" t="str">
        <f t="shared" si="0"/>
        <v>ia.assorted_string like '%94184-00005-07-2024%' or</v>
      </c>
    </row>
    <row r="7" spans="1:10" x14ac:dyDescent="0.25">
      <c r="A7" s="2" t="s">
        <v>676</v>
      </c>
      <c r="B7" t="s">
        <v>791</v>
      </c>
      <c r="H7">
        <v>94185</v>
      </c>
      <c r="I7" t="s">
        <v>797</v>
      </c>
      <c r="J7" t="str">
        <f t="shared" si="0"/>
        <v>ia.assorted_string like '%94185-00003-07-2024%' or</v>
      </c>
    </row>
    <row r="8" spans="1:10" x14ac:dyDescent="0.25">
      <c r="A8" s="2" t="s">
        <v>677</v>
      </c>
      <c r="B8" t="s">
        <v>791</v>
      </c>
      <c r="H8">
        <v>94184</v>
      </c>
      <c r="I8" t="s">
        <v>798</v>
      </c>
      <c r="J8" t="str">
        <f t="shared" si="0"/>
        <v>ia.assorted_string like '%94184-00008-07-2024%' or</v>
      </c>
    </row>
    <row r="9" spans="1:10" x14ac:dyDescent="0.25">
      <c r="A9" s="2" t="s">
        <v>678</v>
      </c>
      <c r="B9" t="s">
        <v>791</v>
      </c>
      <c r="H9">
        <v>94184</v>
      </c>
      <c r="I9" t="s">
        <v>793</v>
      </c>
      <c r="J9" t="str">
        <f t="shared" si="0"/>
        <v>ia.assorted_string like '%94184-00004-07-2024%' or</v>
      </c>
    </row>
    <row r="10" spans="1:10" x14ac:dyDescent="0.25">
      <c r="A10" s="2" t="s">
        <v>679</v>
      </c>
      <c r="B10" t="s">
        <v>791</v>
      </c>
      <c r="H10">
        <v>94184</v>
      </c>
      <c r="I10" t="s">
        <v>797</v>
      </c>
      <c r="J10" t="str">
        <f t="shared" si="0"/>
        <v>ia.assorted_string like '%94184-00003-07-2024%' or</v>
      </c>
    </row>
    <row r="11" spans="1:10" x14ac:dyDescent="0.25">
      <c r="A11" s="2" t="s">
        <v>680</v>
      </c>
      <c r="B11" t="s">
        <v>791</v>
      </c>
      <c r="H11">
        <v>94184</v>
      </c>
      <c r="I11" t="s">
        <v>796</v>
      </c>
      <c r="J11" t="str">
        <f t="shared" si="0"/>
        <v>ia.assorted_string like '%94184-00002-07-2024%' or</v>
      </c>
    </row>
    <row r="12" spans="1:10" x14ac:dyDescent="0.25">
      <c r="A12" s="2" t="s">
        <v>681</v>
      </c>
      <c r="B12" t="s">
        <v>791</v>
      </c>
      <c r="H12">
        <v>94184</v>
      </c>
      <c r="I12" t="s">
        <v>799</v>
      </c>
      <c r="J12" t="str">
        <f t="shared" si="0"/>
        <v>ia.assorted_string like '%94184-00009-07-2024%' or</v>
      </c>
    </row>
    <row r="13" spans="1:10" x14ac:dyDescent="0.25">
      <c r="A13" s="2" t="s">
        <v>682</v>
      </c>
      <c r="B13" t="s">
        <v>791</v>
      </c>
      <c r="H13">
        <v>94184</v>
      </c>
      <c r="I13" t="s">
        <v>794</v>
      </c>
      <c r="J13" t="str">
        <f t="shared" si="0"/>
        <v>ia.assorted_string like '%94184-00001-07-2024%' or</v>
      </c>
    </row>
    <row r="14" spans="1:10" x14ac:dyDescent="0.25">
      <c r="A14" s="2" t="s">
        <v>683</v>
      </c>
      <c r="B14" t="s">
        <v>791</v>
      </c>
      <c r="H14">
        <v>94184</v>
      </c>
      <c r="I14" t="s">
        <v>800</v>
      </c>
      <c r="J14" t="str">
        <f t="shared" si="0"/>
        <v>ia.assorted_string like '%94184-00006-07-2024%' or</v>
      </c>
    </row>
    <row r="15" spans="1:10" x14ac:dyDescent="0.25">
      <c r="A15" s="2" t="s">
        <v>684</v>
      </c>
      <c r="B15" t="s">
        <v>791</v>
      </c>
      <c r="H15">
        <v>94183</v>
      </c>
      <c r="I15" t="s">
        <v>796</v>
      </c>
      <c r="J15" t="str">
        <f t="shared" si="0"/>
        <v>ia.assorted_string like '%94183-00002-07-2024%' or</v>
      </c>
    </row>
    <row r="16" spans="1:10" x14ac:dyDescent="0.25">
      <c r="A16" s="2" t="s">
        <v>685</v>
      </c>
      <c r="B16" t="s">
        <v>791</v>
      </c>
      <c r="H16">
        <v>94183</v>
      </c>
      <c r="I16" t="s">
        <v>792</v>
      </c>
      <c r="J16" t="str">
        <f t="shared" si="0"/>
        <v>ia.assorted_string like '%94183-00005-07-2024%' or</v>
      </c>
    </row>
    <row r="17" spans="1:10" x14ac:dyDescent="0.25">
      <c r="A17" s="6" t="s">
        <v>773</v>
      </c>
      <c r="B17" t="s">
        <v>791</v>
      </c>
      <c r="H17">
        <v>94183</v>
      </c>
      <c r="I17" t="s">
        <v>797</v>
      </c>
      <c r="J17" t="str">
        <f t="shared" si="0"/>
        <v>ia.assorted_string like '%94183-00003-07-2024%' or</v>
      </c>
    </row>
    <row r="18" spans="1:10" x14ac:dyDescent="0.25">
      <c r="A18" s="2" t="s">
        <v>686</v>
      </c>
      <c r="B18" t="s">
        <v>791</v>
      </c>
      <c r="H18">
        <v>94183</v>
      </c>
      <c r="I18" t="s">
        <v>800</v>
      </c>
      <c r="J18" t="str">
        <f t="shared" si="0"/>
        <v>ia.assorted_string like '%94183-00006-07-2024%' or</v>
      </c>
    </row>
    <row r="19" spans="1:10" x14ac:dyDescent="0.25">
      <c r="A19" s="2" t="s">
        <v>687</v>
      </c>
      <c r="B19" t="s">
        <v>791</v>
      </c>
      <c r="H19">
        <v>94183</v>
      </c>
      <c r="I19" t="s">
        <v>793</v>
      </c>
      <c r="J19" t="str">
        <f t="shared" si="0"/>
        <v>ia.assorted_string like '%94183-00004-07-2024%' or</v>
      </c>
    </row>
    <row r="20" spans="1:10" x14ac:dyDescent="0.25">
      <c r="A20" s="2" t="s">
        <v>688</v>
      </c>
      <c r="B20" t="s">
        <v>791</v>
      </c>
      <c r="H20">
        <v>94183</v>
      </c>
      <c r="I20" t="s">
        <v>794</v>
      </c>
      <c r="J20" t="str">
        <f t="shared" si="0"/>
        <v>ia.assorted_string like '%94183-00001-07-2024%' or</v>
      </c>
    </row>
    <row r="21" spans="1:10" x14ac:dyDescent="0.25">
      <c r="A21" t="s">
        <v>775</v>
      </c>
      <c r="B21" t="s">
        <v>791</v>
      </c>
      <c r="H21">
        <v>94186</v>
      </c>
      <c r="I21" t="s">
        <v>796</v>
      </c>
      <c r="J21" t="str">
        <f t="shared" si="0"/>
        <v>ia.assorted_string like '%94186-00002-07-2024%' or</v>
      </c>
    </row>
    <row r="22" spans="1:10" x14ac:dyDescent="0.25">
      <c r="A22" t="s">
        <v>689</v>
      </c>
      <c r="B22" t="s">
        <v>791</v>
      </c>
      <c r="H22">
        <v>94186</v>
      </c>
      <c r="I22" t="s">
        <v>797</v>
      </c>
      <c r="J22" t="str">
        <f t="shared" si="0"/>
        <v>ia.assorted_string like '%94186-00003-07-2024%' or</v>
      </c>
    </row>
    <row r="23" spans="1:10" x14ac:dyDescent="0.25">
      <c r="A23" s="2" t="s">
        <v>690</v>
      </c>
      <c r="B23" t="s">
        <v>791</v>
      </c>
      <c r="H23">
        <v>94186</v>
      </c>
      <c r="I23" t="s">
        <v>794</v>
      </c>
      <c r="J23" t="str">
        <f t="shared" si="0"/>
        <v>ia.assorted_string like '%94186-00001-07-2024%' or</v>
      </c>
    </row>
    <row r="24" spans="1:10" x14ac:dyDescent="0.25">
      <c r="A24" s="2" t="s">
        <v>748</v>
      </c>
      <c r="B24" t="s">
        <v>791</v>
      </c>
      <c r="H24">
        <v>94328</v>
      </c>
      <c r="I24" t="s">
        <v>794</v>
      </c>
      <c r="J24" t="str">
        <f t="shared" si="0"/>
        <v>ia.assorted_string like '%94328-00001-07-2024%' or</v>
      </c>
    </row>
    <row r="25" spans="1:10" x14ac:dyDescent="0.25">
      <c r="A25" s="2" t="s">
        <v>747</v>
      </c>
      <c r="B25" t="s">
        <v>791</v>
      </c>
      <c r="H25">
        <v>94205</v>
      </c>
      <c r="I25" t="s">
        <v>794</v>
      </c>
      <c r="J25" t="str">
        <f t="shared" si="0"/>
        <v>ia.assorted_string like '%94205-00001-07-2024%' or</v>
      </c>
    </row>
    <row r="26" spans="1:10" x14ac:dyDescent="0.25">
      <c r="A26" s="2" t="s">
        <v>691</v>
      </c>
      <c r="B26" t="s">
        <v>791</v>
      </c>
      <c r="H26">
        <v>94236</v>
      </c>
      <c r="I26" t="s">
        <v>794</v>
      </c>
      <c r="J26" t="str">
        <f t="shared" si="0"/>
        <v>ia.assorted_string like '%94236-00001-07-2024%' or</v>
      </c>
    </row>
    <row r="27" spans="1:10" x14ac:dyDescent="0.25">
      <c r="A27" s="2" t="s">
        <v>692</v>
      </c>
      <c r="B27" t="s">
        <v>791</v>
      </c>
      <c r="H27">
        <v>94236</v>
      </c>
      <c r="I27" t="s">
        <v>796</v>
      </c>
      <c r="J27" t="str">
        <f t="shared" si="0"/>
        <v>ia.assorted_string like '%94236-00002-07-2024%' or</v>
      </c>
    </row>
    <row r="28" spans="1:10" x14ac:dyDescent="0.25">
      <c r="A28" s="2" t="s">
        <v>693</v>
      </c>
      <c r="B28" t="s">
        <v>791</v>
      </c>
      <c r="H28">
        <v>94190</v>
      </c>
      <c r="I28" t="s">
        <v>794</v>
      </c>
      <c r="J28" t="str">
        <f t="shared" si="0"/>
        <v>ia.assorted_string like '%94190-00001-07-2024%' or</v>
      </c>
    </row>
    <row r="29" spans="1:10" x14ac:dyDescent="0.25">
      <c r="A29" s="2" t="s">
        <v>695</v>
      </c>
      <c r="B29" t="s">
        <v>791</v>
      </c>
      <c r="H29">
        <v>94188</v>
      </c>
      <c r="I29" t="s">
        <v>793</v>
      </c>
      <c r="J29" t="str">
        <f t="shared" si="0"/>
        <v>ia.assorted_string like '%94188-00004-07-2024%' or</v>
      </c>
    </row>
    <row r="30" spans="1:10" x14ac:dyDescent="0.25">
      <c r="A30" s="2" t="s">
        <v>694</v>
      </c>
      <c r="B30" t="s">
        <v>791</v>
      </c>
      <c r="H30">
        <v>94188</v>
      </c>
      <c r="I30" t="s">
        <v>794</v>
      </c>
      <c r="J30" t="str">
        <f t="shared" si="0"/>
        <v>ia.assorted_string like '%94188-00001-07-2024%' or</v>
      </c>
    </row>
    <row r="31" spans="1:10" x14ac:dyDescent="0.25">
      <c r="A31" s="2" t="s">
        <v>696</v>
      </c>
      <c r="B31" t="s">
        <v>791</v>
      </c>
      <c r="H31">
        <v>94188</v>
      </c>
      <c r="I31" t="s">
        <v>797</v>
      </c>
      <c r="J31" t="str">
        <f t="shared" si="0"/>
        <v>ia.assorted_string like '%94188-00003-07-2024%' or</v>
      </c>
    </row>
    <row r="32" spans="1:10" x14ac:dyDescent="0.25">
      <c r="A32" s="2" t="s">
        <v>776</v>
      </c>
      <c r="B32" t="s">
        <v>791</v>
      </c>
      <c r="H32">
        <v>94188</v>
      </c>
      <c r="I32" t="s">
        <v>796</v>
      </c>
      <c r="J32" t="str">
        <f t="shared" si="0"/>
        <v>ia.assorted_string like '%94188-00002-07-2024%' or</v>
      </c>
    </row>
    <row r="33" spans="1:10" x14ac:dyDescent="0.25">
      <c r="A33" s="2" t="s">
        <v>697</v>
      </c>
      <c r="B33" t="s">
        <v>791</v>
      </c>
      <c r="H33">
        <v>93463</v>
      </c>
      <c r="I33" t="s">
        <v>794</v>
      </c>
      <c r="J33" t="str">
        <f t="shared" si="0"/>
        <v>ia.assorted_string like '%93463-00001-07-2024%' or</v>
      </c>
    </row>
    <row r="34" spans="1:10" x14ac:dyDescent="0.25">
      <c r="A34" s="2" t="s">
        <v>698</v>
      </c>
      <c r="B34" t="s">
        <v>791</v>
      </c>
      <c r="H34">
        <v>94193</v>
      </c>
      <c r="I34" t="s">
        <v>794</v>
      </c>
      <c r="J34" t="str">
        <f t="shared" si="0"/>
        <v>ia.assorted_string like '%94193-00001-07-2024%' or</v>
      </c>
    </row>
    <row r="35" spans="1:10" x14ac:dyDescent="0.25">
      <c r="A35" s="2" t="s">
        <v>777</v>
      </c>
      <c r="B35" t="s">
        <v>791</v>
      </c>
      <c r="H35">
        <v>94193</v>
      </c>
      <c r="I35" t="s">
        <v>797</v>
      </c>
      <c r="J35" t="str">
        <f t="shared" si="0"/>
        <v>ia.assorted_string like '%94193-00003-07-2024%' or</v>
      </c>
    </row>
    <row r="36" spans="1:10" x14ac:dyDescent="0.25">
      <c r="A36" s="2" t="s">
        <v>699</v>
      </c>
      <c r="B36" t="s">
        <v>791</v>
      </c>
      <c r="H36">
        <v>94193</v>
      </c>
      <c r="I36" t="s">
        <v>793</v>
      </c>
      <c r="J36" t="str">
        <f t="shared" si="0"/>
        <v>ia.assorted_string like '%94193-00004-07-2024%' or</v>
      </c>
    </row>
    <row r="37" spans="1:10" x14ac:dyDescent="0.25">
      <c r="A37" s="2" t="s">
        <v>700</v>
      </c>
      <c r="B37" t="s">
        <v>791</v>
      </c>
      <c r="H37">
        <v>94192</v>
      </c>
      <c r="I37" t="s">
        <v>797</v>
      </c>
      <c r="J37" t="str">
        <f t="shared" si="0"/>
        <v>ia.assorted_string like '%94192-00003-07-2024%' or</v>
      </c>
    </row>
    <row r="38" spans="1:10" x14ac:dyDescent="0.25">
      <c r="A38" s="2" t="s">
        <v>701</v>
      </c>
      <c r="B38" t="s">
        <v>791</v>
      </c>
      <c r="H38">
        <v>94192</v>
      </c>
      <c r="I38" t="s">
        <v>794</v>
      </c>
      <c r="J38" t="str">
        <f t="shared" si="0"/>
        <v>ia.assorted_string like '%94192-00001-07-2024%' or</v>
      </c>
    </row>
    <row r="39" spans="1:10" x14ac:dyDescent="0.25">
      <c r="A39" s="2" t="s">
        <v>702</v>
      </c>
      <c r="B39" t="s">
        <v>791</v>
      </c>
      <c r="H39">
        <v>94192</v>
      </c>
      <c r="I39" t="s">
        <v>796</v>
      </c>
      <c r="J39" t="str">
        <f t="shared" si="0"/>
        <v>ia.assorted_string like '%94192-00002-07-2024%' or</v>
      </c>
    </row>
    <row r="40" spans="1:10" x14ac:dyDescent="0.25">
      <c r="A40" s="2" t="s">
        <v>778</v>
      </c>
      <c r="B40" t="s">
        <v>791</v>
      </c>
      <c r="H40">
        <v>94198</v>
      </c>
      <c r="I40" t="s">
        <v>794</v>
      </c>
      <c r="J40" t="str">
        <f t="shared" si="0"/>
        <v>ia.assorted_string like '%94198-00001-07-2024%' or</v>
      </c>
    </row>
    <row r="41" spans="1:10" x14ac:dyDescent="0.25">
      <c r="A41" t="s">
        <v>703</v>
      </c>
      <c r="B41" t="s">
        <v>791</v>
      </c>
      <c r="H41">
        <v>94198</v>
      </c>
      <c r="I41" t="s">
        <v>796</v>
      </c>
      <c r="J41" t="str">
        <f t="shared" si="0"/>
        <v>ia.assorted_string like '%94198-00002-07-2024%' or</v>
      </c>
    </row>
    <row r="42" spans="1:10" x14ac:dyDescent="0.25">
      <c r="A42" s="2" t="s">
        <v>704</v>
      </c>
      <c r="B42" t="s">
        <v>791</v>
      </c>
      <c r="H42">
        <v>94198</v>
      </c>
      <c r="I42" t="s">
        <v>797</v>
      </c>
      <c r="J42" t="str">
        <f t="shared" si="0"/>
        <v>ia.assorted_string like '%94198-00003-07-2024%' or</v>
      </c>
    </row>
    <row r="43" spans="1:10" x14ac:dyDescent="0.25">
      <c r="A43" s="2" t="s">
        <v>705</v>
      </c>
      <c r="B43" t="s">
        <v>791</v>
      </c>
      <c r="H43">
        <v>94194</v>
      </c>
      <c r="I43" t="s">
        <v>794</v>
      </c>
      <c r="J43" t="str">
        <f t="shared" si="0"/>
        <v>ia.assorted_string like '%94194-00001-07-2024%' or</v>
      </c>
    </row>
    <row r="44" spans="1:10" x14ac:dyDescent="0.25">
      <c r="A44" s="2" t="s">
        <v>711</v>
      </c>
      <c r="B44" t="s">
        <v>791</v>
      </c>
      <c r="H44">
        <v>94195</v>
      </c>
      <c r="I44" t="s">
        <v>800</v>
      </c>
      <c r="J44" t="str">
        <f t="shared" si="0"/>
        <v>ia.assorted_string like '%94195-00006-07-2024%' or</v>
      </c>
    </row>
    <row r="45" spans="1:10" x14ac:dyDescent="0.25">
      <c r="A45" s="2" t="s">
        <v>707</v>
      </c>
      <c r="B45" t="s">
        <v>791</v>
      </c>
      <c r="H45">
        <v>94195</v>
      </c>
      <c r="I45" t="s">
        <v>797</v>
      </c>
      <c r="J45" t="str">
        <f t="shared" si="0"/>
        <v>ia.assorted_string like '%94195-00003-07-2024%' or</v>
      </c>
    </row>
    <row r="46" spans="1:10" x14ac:dyDescent="0.25">
      <c r="A46" s="14" t="s">
        <v>708</v>
      </c>
      <c r="B46" t="s">
        <v>791</v>
      </c>
      <c r="H46">
        <v>94195</v>
      </c>
      <c r="I46" t="s">
        <v>794</v>
      </c>
      <c r="J46" t="str">
        <f t="shared" si="0"/>
        <v>ia.assorted_string like '%94195-00001-07-2024%' or</v>
      </c>
    </row>
    <row r="47" spans="1:10" x14ac:dyDescent="0.25">
      <c r="A47" s="2" t="s">
        <v>779</v>
      </c>
      <c r="B47" t="s">
        <v>791</v>
      </c>
      <c r="H47">
        <v>94195</v>
      </c>
      <c r="I47" t="s">
        <v>798</v>
      </c>
      <c r="J47" t="str">
        <f t="shared" si="0"/>
        <v>ia.assorted_string like '%94195-00008-07-2024%' or</v>
      </c>
    </row>
    <row r="48" spans="1:10" x14ac:dyDescent="0.25">
      <c r="A48" s="2" t="s">
        <v>780</v>
      </c>
      <c r="B48" t="s">
        <v>791</v>
      </c>
      <c r="H48">
        <v>94195</v>
      </c>
      <c r="I48" t="s">
        <v>793</v>
      </c>
      <c r="J48" t="str">
        <f t="shared" si="0"/>
        <v>ia.assorted_string like '%94195-00004-07-2024%' or</v>
      </c>
    </row>
    <row r="49" spans="1:10" x14ac:dyDescent="0.25">
      <c r="A49" s="2" t="s">
        <v>710</v>
      </c>
      <c r="B49" t="s">
        <v>791</v>
      </c>
      <c r="H49">
        <v>94195</v>
      </c>
      <c r="I49" t="s">
        <v>796</v>
      </c>
      <c r="J49" t="str">
        <f t="shared" si="0"/>
        <v>ia.assorted_string like '%94195-00002-07-2024%' or</v>
      </c>
    </row>
    <row r="50" spans="1:10" x14ac:dyDescent="0.25">
      <c r="A50" s="2" t="s">
        <v>709</v>
      </c>
      <c r="B50" t="s">
        <v>791</v>
      </c>
      <c r="H50">
        <v>94195</v>
      </c>
      <c r="I50" t="s">
        <v>792</v>
      </c>
      <c r="J50" t="str">
        <f t="shared" si="0"/>
        <v>ia.assorted_string like '%94195-00005-07-2024%' or</v>
      </c>
    </row>
    <row r="51" spans="1:10" x14ac:dyDescent="0.25">
      <c r="A51" s="2" t="s">
        <v>706</v>
      </c>
      <c r="B51" t="s">
        <v>791</v>
      </c>
      <c r="H51">
        <v>94195</v>
      </c>
      <c r="I51" t="s">
        <v>795</v>
      </c>
      <c r="J51" t="str">
        <f t="shared" si="0"/>
        <v>ia.assorted_string like '%94195-00007-07-2024%' or</v>
      </c>
    </row>
    <row r="52" spans="1:10" x14ac:dyDescent="0.25">
      <c r="A52" s="2" t="s">
        <v>712</v>
      </c>
      <c r="B52" t="s">
        <v>791</v>
      </c>
      <c r="H52">
        <v>94199</v>
      </c>
      <c r="I52" t="s">
        <v>792</v>
      </c>
      <c r="J52" t="str">
        <f t="shared" si="0"/>
        <v>ia.assorted_string like '%94199-00005-07-2024%' or</v>
      </c>
    </row>
    <row r="53" spans="1:10" x14ac:dyDescent="0.25">
      <c r="A53" s="2" t="s">
        <v>713</v>
      </c>
      <c r="B53" t="s">
        <v>791</v>
      </c>
      <c r="H53">
        <v>94199</v>
      </c>
      <c r="I53" t="s">
        <v>797</v>
      </c>
      <c r="J53" t="str">
        <f t="shared" si="0"/>
        <v>ia.assorted_string like '%94199-00003-07-2024%' or</v>
      </c>
    </row>
    <row r="54" spans="1:10" x14ac:dyDescent="0.25">
      <c r="A54" s="2" t="s">
        <v>714</v>
      </c>
      <c r="B54" t="s">
        <v>791</v>
      </c>
      <c r="H54">
        <v>94202</v>
      </c>
      <c r="I54" t="s">
        <v>794</v>
      </c>
      <c r="J54" t="str">
        <f t="shared" si="0"/>
        <v>ia.assorted_string like '%94202-00001-07-2024%' or</v>
      </c>
    </row>
    <row r="55" spans="1:10" x14ac:dyDescent="0.25">
      <c r="A55" s="2" t="s">
        <v>715</v>
      </c>
      <c r="B55" t="s">
        <v>791</v>
      </c>
      <c r="H55">
        <v>94199</v>
      </c>
      <c r="I55" t="s">
        <v>796</v>
      </c>
      <c r="J55" t="str">
        <f t="shared" si="0"/>
        <v>ia.assorted_string like '%94199-00002-07-2024%' or</v>
      </c>
    </row>
    <row r="56" spans="1:10" x14ac:dyDescent="0.25">
      <c r="A56" s="2" t="s">
        <v>716</v>
      </c>
      <c r="B56" t="s">
        <v>791</v>
      </c>
      <c r="H56">
        <v>94199</v>
      </c>
      <c r="I56" t="s">
        <v>794</v>
      </c>
      <c r="J56" t="str">
        <f t="shared" si="0"/>
        <v>ia.assorted_string like '%94199-00001-07-2024%' or</v>
      </c>
    </row>
    <row r="57" spans="1:10" x14ac:dyDescent="0.25">
      <c r="A57" s="2" t="s">
        <v>717</v>
      </c>
      <c r="B57" t="s">
        <v>791</v>
      </c>
      <c r="H57">
        <v>94199</v>
      </c>
      <c r="I57" t="s">
        <v>793</v>
      </c>
      <c r="J57" t="str">
        <f t="shared" si="0"/>
        <v>ia.assorted_string like '%94199-00004-07-2024%' or</v>
      </c>
    </row>
    <row r="58" spans="1:10" x14ac:dyDescent="0.25">
      <c r="A58" s="2" t="s">
        <v>718</v>
      </c>
      <c r="B58" t="s">
        <v>791</v>
      </c>
      <c r="H58">
        <v>94202</v>
      </c>
      <c r="I58" t="s">
        <v>796</v>
      </c>
      <c r="J58" t="str">
        <f t="shared" si="0"/>
        <v>ia.assorted_string like '%94202-00002-07-2024%' or</v>
      </c>
    </row>
    <row r="59" spans="1:10" x14ac:dyDescent="0.25">
      <c r="A59" s="2" t="s">
        <v>781</v>
      </c>
      <c r="B59" t="s">
        <v>791</v>
      </c>
      <c r="H59">
        <v>94202</v>
      </c>
      <c r="I59" t="s">
        <v>797</v>
      </c>
      <c r="J59" t="str">
        <f t="shared" si="0"/>
        <v>ia.assorted_string like '%94202-00003-07-2024%' or</v>
      </c>
    </row>
    <row r="60" spans="1:10" x14ac:dyDescent="0.25">
      <c r="A60" s="2" t="s">
        <v>782</v>
      </c>
      <c r="B60" t="s">
        <v>791</v>
      </c>
      <c r="H60">
        <v>94201</v>
      </c>
      <c r="I60" t="s">
        <v>796</v>
      </c>
      <c r="J60" t="str">
        <f t="shared" si="0"/>
        <v>ia.assorted_string like '%94201-00002-07-2024%' or</v>
      </c>
    </row>
    <row r="61" spans="1:10" x14ac:dyDescent="0.25">
      <c r="A61" s="2" t="s">
        <v>721</v>
      </c>
      <c r="B61" t="s">
        <v>791</v>
      </c>
      <c r="H61">
        <v>94201</v>
      </c>
      <c r="I61" t="s">
        <v>792</v>
      </c>
      <c r="J61" t="str">
        <f t="shared" si="0"/>
        <v>ia.assorted_string like '%94201-00005-07-2024%' or</v>
      </c>
    </row>
    <row r="62" spans="1:10" x14ac:dyDescent="0.25">
      <c r="A62" s="2" t="s">
        <v>723</v>
      </c>
      <c r="B62" t="s">
        <v>791</v>
      </c>
      <c r="H62">
        <v>94201</v>
      </c>
      <c r="I62" t="s">
        <v>793</v>
      </c>
      <c r="J62" t="str">
        <f t="shared" si="0"/>
        <v>ia.assorted_string like '%94201-00004-07-2024%' or</v>
      </c>
    </row>
    <row r="63" spans="1:10" x14ac:dyDescent="0.25">
      <c r="A63" s="2" t="s">
        <v>722</v>
      </c>
      <c r="B63" t="s">
        <v>791</v>
      </c>
      <c r="H63">
        <v>94201</v>
      </c>
      <c r="I63" t="s">
        <v>794</v>
      </c>
      <c r="J63" t="str">
        <f t="shared" si="0"/>
        <v>ia.assorted_string like '%94201-00001-07-2024%' or</v>
      </c>
    </row>
    <row r="64" spans="1:10" x14ac:dyDescent="0.25">
      <c r="A64" s="2" t="s">
        <v>720</v>
      </c>
      <c r="B64" t="s">
        <v>791</v>
      </c>
      <c r="H64">
        <v>94201</v>
      </c>
      <c r="I64" t="s">
        <v>800</v>
      </c>
      <c r="J64" t="str">
        <f t="shared" si="0"/>
        <v>ia.assorted_string like '%94201-00006-07-2024%' or</v>
      </c>
    </row>
    <row r="65" spans="1:10" x14ac:dyDescent="0.25">
      <c r="A65" s="2" t="s">
        <v>719</v>
      </c>
      <c r="B65" t="s">
        <v>791</v>
      </c>
      <c r="H65">
        <v>94201</v>
      </c>
      <c r="I65" t="s">
        <v>797</v>
      </c>
      <c r="J65" t="str">
        <f t="shared" si="0"/>
        <v>ia.assorted_string like '%94201-00003-07-2024%' or</v>
      </c>
    </row>
    <row r="66" spans="1:10" x14ac:dyDescent="0.25">
      <c r="A66" s="2" t="s">
        <v>783</v>
      </c>
      <c r="B66" t="s">
        <v>791</v>
      </c>
      <c r="H66">
        <v>94203</v>
      </c>
      <c r="I66" t="s">
        <v>794</v>
      </c>
      <c r="J66" t="str">
        <f t="shared" ref="J66:J115" si="1">"ia.assorted_string like '%"&amp;H66&amp;"-"&amp;I66&amp;B66&amp;"%' or"</f>
        <v>ia.assorted_string like '%94203-00001-07-2024%' or</v>
      </c>
    </row>
    <row r="67" spans="1:10" x14ac:dyDescent="0.25">
      <c r="A67" s="2" t="s">
        <v>784</v>
      </c>
      <c r="B67" t="s">
        <v>791</v>
      </c>
      <c r="H67">
        <v>94212</v>
      </c>
      <c r="I67" t="s">
        <v>797</v>
      </c>
      <c r="J67" t="str">
        <f t="shared" si="1"/>
        <v>ia.assorted_string like '%94212-00003-07-2024%' or</v>
      </c>
    </row>
    <row r="68" spans="1:10" x14ac:dyDescent="0.25">
      <c r="A68" s="2" t="s">
        <v>725</v>
      </c>
      <c r="B68" t="s">
        <v>791</v>
      </c>
      <c r="H68">
        <v>94214</v>
      </c>
      <c r="I68" t="s">
        <v>794</v>
      </c>
      <c r="J68" t="str">
        <f t="shared" si="1"/>
        <v>ia.assorted_string like '%94214-00001-07-2024%' or</v>
      </c>
    </row>
    <row r="69" spans="1:10" x14ac:dyDescent="0.25">
      <c r="A69" s="2" t="s">
        <v>724</v>
      </c>
      <c r="B69" t="s">
        <v>791</v>
      </c>
      <c r="H69">
        <v>94212</v>
      </c>
      <c r="I69" t="s">
        <v>793</v>
      </c>
      <c r="J69" t="str">
        <f t="shared" si="1"/>
        <v>ia.assorted_string like '%94212-00004-07-2024%' or</v>
      </c>
    </row>
    <row r="70" spans="1:10" x14ac:dyDescent="0.25">
      <c r="A70" s="2" t="s">
        <v>745</v>
      </c>
      <c r="B70" t="s">
        <v>791</v>
      </c>
      <c r="H70">
        <v>94214</v>
      </c>
      <c r="I70" t="s">
        <v>796</v>
      </c>
      <c r="J70" t="str">
        <f t="shared" si="1"/>
        <v>ia.assorted_string like '%94214-00002-07-2024%' or</v>
      </c>
    </row>
    <row r="71" spans="1:10" x14ac:dyDescent="0.25">
      <c r="A71" t="s">
        <v>726</v>
      </c>
      <c r="B71" t="s">
        <v>791</v>
      </c>
      <c r="H71">
        <v>94212</v>
      </c>
      <c r="I71" t="s">
        <v>794</v>
      </c>
      <c r="J71" t="str">
        <f t="shared" si="1"/>
        <v>ia.assorted_string like '%94212-00001-07-2024%' or</v>
      </c>
    </row>
    <row r="72" spans="1:10" x14ac:dyDescent="0.25">
      <c r="A72" s="2" t="s">
        <v>727</v>
      </c>
      <c r="B72" t="s">
        <v>791</v>
      </c>
      <c r="H72">
        <v>94212</v>
      </c>
      <c r="I72" t="s">
        <v>796</v>
      </c>
      <c r="J72" t="str">
        <f t="shared" si="1"/>
        <v>ia.assorted_string like '%94212-00002-07-2024%' or</v>
      </c>
    </row>
    <row r="73" spans="1:10" x14ac:dyDescent="0.25">
      <c r="A73" t="s">
        <v>728</v>
      </c>
      <c r="B73" t="s">
        <v>791</v>
      </c>
      <c r="H73">
        <v>94217</v>
      </c>
      <c r="I73" t="s">
        <v>794</v>
      </c>
      <c r="J73" t="str">
        <f t="shared" si="1"/>
        <v>ia.assorted_string like '%94217-00001-07-2024%' or</v>
      </c>
    </row>
    <row r="74" spans="1:10" x14ac:dyDescent="0.25">
      <c r="A74" s="2" t="s">
        <v>729</v>
      </c>
      <c r="B74" t="s">
        <v>791</v>
      </c>
      <c r="H74">
        <v>94217</v>
      </c>
      <c r="I74" t="s">
        <v>792</v>
      </c>
      <c r="J74" t="str">
        <f t="shared" si="1"/>
        <v>ia.assorted_string like '%94217-00005-07-2024%' or</v>
      </c>
    </row>
    <row r="75" spans="1:10" x14ac:dyDescent="0.25">
      <c r="A75" s="2" t="s">
        <v>730</v>
      </c>
      <c r="B75" t="s">
        <v>791</v>
      </c>
      <c r="H75">
        <v>94217</v>
      </c>
      <c r="I75" t="s">
        <v>797</v>
      </c>
      <c r="J75" t="str">
        <f t="shared" si="1"/>
        <v>ia.assorted_string like '%94217-00003-07-2024%' or</v>
      </c>
    </row>
    <row r="76" spans="1:10" x14ac:dyDescent="0.25">
      <c r="A76" s="2" t="s">
        <v>746</v>
      </c>
      <c r="B76" t="s">
        <v>791</v>
      </c>
      <c r="H76">
        <v>94217</v>
      </c>
      <c r="I76" t="s">
        <v>793</v>
      </c>
      <c r="J76" t="str">
        <f t="shared" si="1"/>
        <v>ia.assorted_string like '%94217-00004-07-2024%' or</v>
      </c>
    </row>
    <row r="77" spans="1:10" x14ac:dyDescent="0.25">
      <c r="A77" s="2" t="s">
        <v>731</v>
      </c>
      <c r="B77" t="s">
        <v>791</v>
      </c>
      <c r="H77">
        <v>94217</v>
      </c>
      <c r="I77" t="s">
        <v>796</v>
      </c>
      <c r="J77" t="str">
        <f t="shared" si="1"/>
        <v>ia.assorted_string like '%94217-00002-07-2024%' or</v>
      </c>
    </row>
    <row r="78" spans="1:10" x14ac:dyDescent="0.25">
      <c r="A78" s="2" t="s">
        <v>732</v>
      </c>
      <c r="B78" t="s">
        <v>791</v>
      </c>
      <c r="H78">
        <v>94206</v>
      </c>
      <c r="I78" t="s">
        <v>792</v>
      </c>
      <c r="J78" t="str">
        <f t="shared" si="1"/>
        <v>ia.assorted_string like '%94206-00005-07-2024%' or</v>
      </c>
    </row>
    <row r="79" spans="1:10" x14ac:dyDescent="0.25">
      <c r="A79" s="2" t="s">
        <v>733</v>
      </c>
      <c r="B79" t="s">
        <v>791</v>
      </c>
      <c r="H79">
        <v>94206</v>
      </c>
      <c r="I79" t="s">
        <v>793</v>
      </c>
      <c r="J79" t="str">
        <f t="shared" si="1"/>
        <v>ia.assorted_string like '%94206-00004-07-2024%' or</v>
      </c>
    </row>
    <row r="80" spans="1:10" x14ac:dyDescent="0.25">
      <c r="A80" s="2" t="s">
        <v>734</v>
      </c>
      <c r="B80" t="s">
        <v>791</v>
      </c>
      <c r="H80">
        <v>94206</v>
      </c>
      <c r="I80" t="s">
        <v>796</v>
      </c>
      <c r="J80" t="str">
        <f t="shared" si="1"/>
        <v>ia.assorted_string like '%94206-00002-07-2024%' or</v>
      </c>
    </row>
    <row r="81" spans="1:10" x14ac:dyDescent="0.25">
      <c r="A81" s="2" t="s">
        <v>735</v>
      </c>
      <c r="B81" t="s">
        <v>791</v>
      </c>
      <c r="H81">
        <v>94206</v>
      </c>
      <c r="I81" t="s">
        <v>797</v>
      </c>
      <c r="J81" t="str">
        <f t="shared" si="1"/>
        <v>ia.assorted_string like '%94206-00003-07-2024%' or</v>
      </c>
    </row>
    <row r="82" spans="1:10" x14ac:dyDescent="0.25">
      <c r="A82" s="2" t="s">
        <v>736</v>
      </c>
      <c r="B82" t="s">
        <v>791</v>
      </c>
      <c r="H82">
        <v>94206</v>
      </c>
      <c r="I82" t="s">
        <v>800</v>
      </c>
      <c r="J82" t="str">
        <f t="shared" si="1"/>
        <v>ia.assorted_string like '%94206-00006-07-2024%' or</v>
      </c>
    </row>
    <row r="83" spans="1:10" x14ac:dyDescent="0.25">
      <c r="A83" s="2" t="s">
        <v>737</v>
      </c>
      <c r="B83" t="s">
        <v>791</v>
      </c>
      <c r="H83">
        <v>94209</v>
      </c>
      <c r="I83" t="s">
        <v>794</v>
      </c>
      <c r="J83" t="str">
        <f t="shared" si="1"/>
        <v>ia.assorted_string like '%94209-00001-07-2024%' or</v>
      </c>
    </row>
    <row r="84" spans="1:10" x14ac:dyDescent="0.25">
      <c r="A84" s="2" t="s">
        <v>749</v>
      </c>
      <c r="B84" t="s">
        <v>791</v>
      </c>
      <c r="H84">
        <v>94305</v>
      </c>
      <c r="I84" t="s">
        <v>794</v>
      </c>
      <c r="J84" t="str">
        <f t="shared" si="1"/>
        <v>ia.assorted_string like '%94305-00001-07-2024%' or</v>
      </c>
    </row>
    <row r="85" spans="1:10" x14ac:dyDescent="0.25">
      <c r="A85" s="2" t="s">
        <v>750</v>
      </c>
      <c r="B85" t="s">
        <v>791</v>
      </c>
      <c r="H85">
        <v>94303</v>
      </c>
      <c r="I85" t="s">
        <v>794</v>
      </c>
      <c r="J85" t="str">
        <f t="shared" si="1"/>
        <v>ia.assorted_string like '%94303-00001-07-2024%' or</v>
      </c>
    </row>
    <row r="86" spans="1:10" x14ac:dyDescent="0.25">
      <c r="A86" s="2" t="s">
        <v>751</v>
      </c>
      <c r="B86" t="s">
        <v>791</v>
      </c>
      <c r="H86">
        <v>94300</v>
      </c>
      <c r="I86" t="s">
        <v>794</v>
      </c>
      <c r="J86" t="str">
        <f t="shared" si="1"/>
        <v>ia.assorted_string like '%94300-00001-07-2024%' or</v>
      </c>
    </row>
    <row r="87" spans="1:10" x14ac:dyDescent="0.25">
      <c r="A87" s="2" t="s">
        <v>785</v>
      </c>
      <c r="B87" t="s">
        <v>791</v>
      </c>
      <c r="H87">
        <v>94234</v>
      </c>
      <c r="I87" t="s">
        <v>794</v>
      </c>
      <c r="J87" t="str">
        <f t="shared" si="1"/>
        <v>ia.assorted_string like '%94234-00001-07-2024%' or</v>
      </c>
    </row>
    <row r="88" spans="1:10" x14ac:dyDescent="0.25">
      <c r="A88" s="2" t="s">
        <v>752</v>
      </c>
      <c r="B88" t="s">
        <v>791</v>
      </c>
      <c r="H88">
        <v>94304</v>
      </c>
      <c r="I88" t="s">
        <v>794</v>
      </c>
      <c r="J88" t="str">
        <f t="shared" si="1"/>
        <v>ia.assorted_string like '%94304-00001-07-2024%' or</v>
      </c>
    </row>
    <row r="89" spans="1:10" x14ac:dyDescent="0.25">
      <c r="A89" s="2" t="s">
        <v>753</v>
      </c>
      <c r="B89" t="s">
        <v>791</v>
      </c>
      <c r="H89">
        <v>94304</v>
      </c>
      <c r="I89" t="s">
        <v>797</v>
      </c>
      <c r="J89" t="str">
        <f t="shared" si="1"/>
        <v>ia.assorted_string like '%94304-00003-07-2024%' or</v>
      </c>
    </row>
    <row r="90" spans="1:10" x14ac:dyDescent="0.25">
      <c r="A90" s="2" t="s">
        <v>754</v>
      </c>
      <c r="B90" t="s">
        <v>791</v>
      </c>
      <c r="H90">
        <v>94305</v>
      </c>
      <c r="I90" t="s">
        <v>796</v>
      </c>
      <c r="J90" t="str">
        <f t="shared" si="1"/>
        <v>ia.assorted_string like '%94305-00002-07-2024%' or</v>
      </c>
    </row>
    <row r="91" spans="1:10" x14ac:dyDescent="0.25">
      <c r="A91" s="2" t="s">
        <v>755</v>
      </c>
      <c r="B91" t="s">
        <v>791</v>
      </c>
      <c r="H91">
        <v>94304</v>
      </c>
      <c r="I91" t="s">
        <v>796</v>
      </c>
      <c r="J91" t="str">
        <f t="shared" si="1"/>
        <v>ia.assorted_string like '%94304-00002-07-2024%' or</v>
      </c>
    </row>
    <row r="92" spans="1:10" x14ac:dyDescent="0.25">
      <c r="A92" s="2" t="s">
        <v>756</v>
      </c>
      <c r="B92" t="s">
        <v>791</v>
      </c>
      <c r="H92">
        <v>94303</v>
      </c>
      <c r="I92" t="s">
        <v>796</v>
      </c>
      <c r="J92" t="str">
        <f t="shared" si="1"/>
        <v>ia.assorted_string like '%94303-00002-07-2024%' or</v>
      </c>
    </row>
    <row r="93" spans="1:10" x14ac:dyDescent="0.25">
      <c r="A93" s="2" t="s">
        <v>757</v>
      </c>
      <c r="B93" t="s">
        <v>791</v>
      </c>
      <c r="H93">
        <v>94307</v>
      </c>
      <c r="I93" t="s">
        <v>794</v>
      </c>
      <c r="J93" t="str">
        <f t="shared" si="1"/>
        <v>ia.assorted_string like '%94307-00001-07-2024%' or</v>
      </c>
    </row>
    <row r="94" spans="1:10" x14ac:dyDescent="0.25">
      <c r="A94" s="2" t="s">
        <v>758</v>
      </c>
      <c r="B94" t="s">
        <v>791</v>
      </c>
      <c r="H94">
        <v>94306</v>
      </c>
      <c r="I94" t="s">
        <v>794</v>
      </c>
      <c r="J94" t="str">
        <f t="shared" si="1"/>
        <v>ia.assorted_string like '%94306-00001-07-2024%' or</v>
      </c>
    </row>
    <row r="95" spans="1:10" x14ac:dyDescent="0.25">
      <c r="A95" s="2" t="s">
        <v>759</v>
      </c>
      <c r="B95" t="s">
        <v>791</v>
      </c>
      <c r="H95">
        <v>94301</v>
      </c>
      <c r="I95" t="s">
        <v>794</v>
      </c>
      <c r="J95" t="str">
        <f t="shared" si="1"/>
        <v>ia.assorted_string like '%94301-00001-07-2024%' or</v>
      </c>
    </row>
    <row r="96" spans="1:10" x14ac:dyDescent="0.25">
      <c r="A96" s="2" t="s">
        <v>760</v>
      </c>
      <c r="B96" t="s">
        <v>791</v>
      </c>
      <c r="H96">
        <v>94301</v>
      </c>
      <c r="I96" t="s">
        <v>796</v>
      </c>
      <c r="J96" t="str">
        <f t="shared" si="1"/>
        <v>ia.assorted_string like '%94301-00002-07-2024%' or</v>
      </c>
    </row>
    <row r="97" spans="1:10" x14ac:dyDescent="0.25">
      <c r="A97" s="2" t="s">
        <v>761</v>
      </c>
      <c r="B97" t="s">
        <v>791</v>
      </c>
      <c r="H97">
        <v>94298</v>
      </c>
      <c r="I97" t="s">
        <v>794</v>
      </c>
      <c r="J97" t="str">
        <f t="shared" si="1"/>
        <v>ia.assorted_string like '%94298-00001-07-2024%' or</v>
      </c>
    </row>
    <row r="98" spans="1:10" x14ac:dyDescent="0.25">
      <c r="A98" s="2" t="s">
        <v>762</v>
      </c>
      <c r="B98" t="s">
        <v>791</v>
      </c>
      <c r="H98">
        <v>94298</v>
      </c>
      <c r="I98" t="s">
        <v>796</v>
      </c>
      <c r="J98" t="str">
        <f t="shared" si="1"/>
        <v>ia.assorted_string like '%94298-00002-07-2024%' or</v>
      </c>
    </row>
    <row r="99" spans="1:10" x14ac:dyDescent="0.25">
      <c r="A99" s="2" t="s">
        <v>763</v>
      </c>
      <c r="B99" t="s">
        <v>791</v>
      </c>
      <c r="H99">
        <v>94301</v>
      </c>
      <c r="I99" t="s">
        <v>792</v>
      </c>
      <c r="J99" t="str">
        <f t="shared" si="1"/>
        <v>ia.assorted_string like '%94301-00005-07-2024%' or</v>
      </c>
    </row>
    <row r="100" spans="1:10" x14ac:dyDescent="0.25">
      <c r="A100" s="2" t="s">
        <v>764</v>
      </c>
      <c r="B100" t="s">
        <v>791</v>
      </c>
      <c r="H100">
        <v>94301</v>
      </c>
      <c r="I100" t="s">
        <v>800</v>
      </c>
      <c r="J100" t="str">
        <f t="shared" si="1"/>
        <v>ia.assorted_string like '%94301-00006-07-2024%' or</v>
      </c>
    </row>
    <row r="101" spans="1:10" x14ac:dyDescent="0.25">
      <c r="A101" s="2" t="s">
        <v>765</v>
      </c>
      <c r="B101" t="s">
        <v>791</v>
      </c>
      <c r="H101">
        <v>94301</v>
      </c>
      <c r="I101" t="s">
        <v>793</v>
      </c>
      <c r="J101" t="str">
        <f t="shared" si="1"/>
        <v>ia.assorted_string like '%94301-00004-07-2024%' or</v>
      </c>
    </row>
    <row r="102" spans="1:10" x14ac:dyDescent="0.25">
      <c r="A102" s="2" t="s">
        <v>766</v>
      </c>
      <c r="B102" t="s">
        <v>791</v>
      </c>
      <c r="H102">
        <v>94301</v>
      </c>
      <c r="I102" t="s">
        <v>797</v>
      </c>
      <c r="J102" t="str">
        <f t="shared" si="1"/>
        <v>ia.assorted_string like '%94301-00003-07-2024%' or</v>
      </c>
    </row>
    <row r="103" spans="1:10" x14ac:dyDescent="0.25">
      <c r="A103" s="2" t="s">
        <v>767</v>
      </c>
      <c r="B103" t="s">
        <v>791</v>
      </c>
      <c r="H103">
        <v>94298</v>
      </c>
      <c r="I103" t="s">
        <v>797</v>
      </c>
      <c r="J103" t="str">
        <f t="shared" si="1"/>
        <v>ia.assorted_string like '%94298-00003-07-2024%' or</v>
      </c>
    </row>
    <row r="104" spans="1:10" x14ac:dyDescent="0.25">
      <c r="A104" s="2" t="s">
        <v>768</v>
      </c>
      <c r="B104" t="s">
        <v>791</v>
      </c>
      <c r="H104">
        <v>94301</v>
      </c>
      <c r="I104" t="s">
        <v>795</v>
      </c>
      <c r="J104" t="str">
        <f t="shared" si="1"/>
        <v>ia.assorted_string like '%94301-00007-07-2024%' or</v>
      </c>
    </row>
    <row r="105" spans="1:10" x14ac:dyDescent="0.25">
      <c r="A105" s="2" t="s">
        <v>769</v>
      </c>
      <c r="B105" t="s">
        <v>791</v>
      </c>
      <c r="H105">
        <v>94298</v>
      </c>
      <c r="I105" t="s">
        <v>793</v>
      </c>
      <c r="J105" t="str">
        <f t="shared" si="1"/>
        <v>ia.assorted_string like '%94298-00004-07-2024%' or</v>
      </c>
    </row>
    <row r="106" spans="1:10" x14ac:dyDescent="0.25">
      <c r="A106" s="2" t="s">
        <v>770</v>
      </c>
      <c r="B106" t="s">
        <v>791</v>
      </c>
      <c r="H106">
        <v>94302</v>
      </c>
      <c r="I106" t="s">
        <v>794</v>
      </c>
      <c r="J106" t="str">
        <f t="shared" si="1"/>
        <v>ia.assorted_string like '%94302-00001-07-2024%' or</v>
      </c>
    </row>
    <row r="107" spans="1:10" x14ac:dyDescent="0.25">
      <c r="A107" s="2" t="s">
        <v>771</v>
      </c>
      <c r="B107" t="s">
        <v>791</v>
      </c>
      <c r="H107">
        <v>94302</v>
      </c>
      <c r="I107" t="s">
        <v>796</v>
      </c>
      <c r="J107" t="str">
        <f t="shared" si="1"/>
        <v>ia.assorted_string like '%94302-00002-07-2024%' or</v>
      </c>
    </row>
    <row r="108" spans="1:10" x14ac:dyDescent="0.25">
      <c r="A108" s="2" t="s">
        <v>738</v>
      </c>
      <c r="B108" t="s">
        <v>791</v>
      </c>
      <c r="H108">
        <v>94219</v>
      </c>
      <c r="I108" t="s">
        <v>794</v>
      </c>
      <c r="J108" t="str">
        <f t="shared" si="1"/>
        <v>ia.assorted_string like '%94219-00001-07-2024%' or</v>
      </c>
    </row>
    <row r="109" spans="1:10" x14ac:dyDescent="0.25">
      <c r="A109" s="2" t="s">
        <v>741</v>
      </c>
      <c r="B109" t="s">
        <v>791</v>
      </c>
      <c r="H109">
        <v>94219</v>
      </c>
      <c r="I109" t="s">
        <v>792</v>
      </c>
      <c r="J109" t="str">
        <f t="shared" si="1"/>
        <v>ia.assorted_string like '%94219-00005-07-2024%' or</v>
      </c>
    </row>
    <row r="110" spans="1:10" x14ac:dyDescent="0.25">
      <c r="A110" s="2" t="s">
        <v>786</v>
      </c>
      <c r="B110" t="s">
        <v>791</v>
      </c>
      <c r="H110">
        <v>94219</v>
      </c>
      <c r="I110" t="s">
        <v>796</v>
      </c>
      <c r="J110" t="str">
        <f t="shared" si="1"/>
        <v>ia.assorted_string like '%94219-00002-07-2024%' or</v>
      </c>
    </row>
    <row r="111" spans="1:10" x14ac:dyDescent="0.25">
      <c r="A111" s="2" t="s">
        <v>739</v>
      </c>
      <c r="B111" t="s">
        <v>791</v>
      </c>
      <c r="H111">
        <v>94219</v>
      </c>
      <c r="I111" t="s">
        <v>797</v>
      </c>
      <c r="J111" t="str">
        <f t="shared" si="1"/>
        <v>ia.assorted_string like '%94219-00003-07-2024%' or</v>
      </c>
    </row>
    <row r="112" spans="1:10" x14ac:dyDescent="0.25">
      <c r="A112" s="2" t="s">
        <v>740</v>
      </c>
      <c r="B112" t="s">
        <v>791</v>
      </c>
      <c r="H112">
        <v>94219</v>
      </c>
      <c r="I112" t="s">
        <v>793</v>
      </c>
      <c r="J112" t="str">
        <f t="shared" si="1"/>
        <v>ia.assorted_string like '%94219-00004-07-2024%' or</v>
      </c>
    </row>
    <row r="113" spans="1:10" x14ac:dyDescent="0.25">
      <c r="A113" s="2" t="s">
        <v>742</v>
      </c>
      <c r="B113" t="s">
        <v>791</v>
      </c>
      <c r="H113">
        <v>94218</v>
      </c>
      <c r="I113" t="s">
        <v>794</v>
      </c>
      <c r="J113" t="str">
        <f t="shared" si="1"/>
        <v>ia.assorted_string like '%94218-00001-07-2024%' or</v>
      </c>
    </row>
    <row r="114" spans="1:10" x14ac:dyDescent="0.25">
      <c r="A114" s="2" t="s">
        <v>743</v>
      </c>
      <c r="B114" t="s">
        <v>791</v>
      </c>
      <c r="H114">
        <v>94218</v>
      </c>
      <c r="I114" t="s">
        <v>796</v>
      </c>
      <c r="J114" t="str">
        <f t="shared" si="1"/>
        <v>ia.assorted_string like '%94218-00002-07-2024%' or</v>
      </c>
    </row>
    <row r="115" spans="1:10" x14ac:dyDescent="0.25">
      <c r="A115" s="2" t="s">
        <v>772</v>
      </c>
      <c r="B115" t="s">
        <v>791</v>
      </c>
      <c r="H115">
        <v>94302</v>
      </c>
      <c r="I115" t="s">
        <v>797</v>
      </c>
      <c r="J115" t="str">
        <f t="shared" si="1"/>
        <v>ia.assorted_string like '%94302-00003-07-2024%' or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working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2024-08-23T12:30:01Z</dcterms:modified>
</cp:coreProperties>
</file>