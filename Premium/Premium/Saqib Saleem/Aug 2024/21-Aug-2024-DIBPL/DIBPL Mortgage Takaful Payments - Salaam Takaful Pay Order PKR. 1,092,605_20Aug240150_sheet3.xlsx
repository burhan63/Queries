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emium\Saqib\21-Aug-2024\"/>
    </mc:Choice>
  </mc:AlternateContent>
  <xr:revisionPtr revIDLastSave="0" documentId="13_ncr:1_{880BC136-9451-47C0-AC21-97FA9DD859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-2024 Renewals" sheetId="1" r:id="rId1"/>
    <sheet name="working" sheetId="3" r:id="rId2"/>
    <sheet name="Liqvidate Cases" sheetId="2" r:id="rId3"/>
    <sheet name="Sheet2" sheetId="4" r:id="rId4"/>
  </sheets>
  <externalReferences>
    <externalReference r:id="rId5"/>
  </externalReferences>
  <definedNames>
    <definedName name="_xlnm._FilterDatabase" localSheetId="0" hidden="1">'Mar-2024 Renewals'!$A$2:$M$2</definedName>
    <definedName name="_xlnm._FilterDatabase" localSheetId="1" hidden="1">working!$A$1:$E$1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2" i="3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" i="4"/>
  <c r="E1" i="4" s="1"/>
  <c r="H14" i="3" l="1"/>
  <c r="H18" i="3"/>
  <c r="H30" i="3"/>
  <c r="H34" i="3"/>
  <c r="H46" i="3"/>
  <c r="H50" i="3"/>
  <c r="H62" i="3"/>
  <c r="H66" i="3"/>
  <c r="H78" i="3"/>
  <c r="H82" i="3"/>
  <c r="H94" i="3"/>
  <c r="H98" i="3"/>
  <c r="H110" i="3"/>
  <c r="H114" i="3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G15" i="3"/>
  <c r="H15" i="3" s="1"/>
  <c r="G16" i="3"/>
  <c r="H16" i="3" s="1"/>
  <c r="G17" i="3"/>
  <c r="H17" i="3" s="1"/>
  <c r="G18" i="3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G31" i="3"/>
  <c r="H31" i="3" s="1"/>
  <c r="G32" i="3"/>
  <c r="H32" i="3" s="1"/>
  <c r="G33" i="3"/>
  <c r="H33" i="3" s="1"/>
  <c r="G34" i="3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G47" i="3"/>
  <c r="H47" i="3" s="1"/>
  <c r="G48" i="3"/>
  <c r="H48" i="3" s="1"/>
  <c r="G49" i="3"/>
  <c r="H49" i="3" s="1"/>
  <c r="G50" i="3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G63" i="3"/>
  <c r="H63" i="3" s="1"/>
  <c r="G64" i="3"/>
  <c r="H64" i="3" s="1"/>
  <c r="G65" i="3"/>
  <c r="H65" i="3" s="1"/>
  <c r="G66" i="3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H73" i="3" s="1"/>
  <c r="G74" i="3"/>
  <c r="H74" i="3" s="1"/>
  <c r="G75" i="3"/>
  <c r="H75" i="3" s="1"/>
  <c r="G76" i="3"/>
  <c r="H76" i="3" s="1"/>
  <c r="G77" i="3"/>
  <c r="H77" i="3" s="1"/>
  <c r="G78" i="3"/>
  <c r="G79" i="3"/>
  <c r="H79" i="3" s="1"/>
  <c r="G80" i="3"/>
  <c r="H80" i="3" s="1"/>
  <c r="G81" i="3"/>
  <c r="H81" i="3" s="1"/>
  <c r="G82" i="3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G95" i="3"/>
  <c r="H95" i="3" s="1"/>
  <c r="G96" i="3"/>
  <c r="H96" i="3" s="1"/>
  <c r="G97" i="3"/>
  <c r="H97" i="3" s="1"/>
  <c r="G98" i="3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G111" i="3"/>
  <c r="H111" i="3" s="1"/>
  <c r="G112" i="3"/>
  <c r="H112" i="3" s="1"/>
  <c r="G113" i="3"/>
  <c r="H113" i="3" s="1"/>
  <c r="G114" i="3"/>
  <c r="G115" i="3"/>
  <c r="H115" i="3" s="1"/>
  <c r="G116" i="3"/>
  <c r="H116" i="3" s="1"/>
  <c r="G117" i="3"/>
  <c r="H117" i="3" s="1"/>
  <c r="G118" i="3"/>
  <c r="H118" i="3" s="1"/>
  <c r="G119" i="3"/>
  <c r="H119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F2" i="3"/>
  <c r="D2" i="3"/>
  <c r="G2" i="3" s="1"/>
  <c r="H2" i="3" l="1"/>
  <c r="K122" i="1" l="1"/>
  <c r="I122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</calcChain>
</file>

<file path=xl/sharedStrings.xml><?xml version="1.0" encoding="utf-8"?>
<sst xmlns="http://schemas.openxmlformats.org/spreadsheetml/2006/main" count="2137" uniqueCount="898">
  <si>
    <t>S.No.</t>
  </si>
  <si>
    <t>Contract Number</t>
  </si>
  <si>
    <t>Customer Name</t>
  </si>
  <si>
    <t>City</t>
  </si>
  <si>
    <t>New NIC</t>
  </si>
  <si>
    <t>Effective Date</t>
  </si>
  <si>
    <t xml:space="preserve">Property Address </t>
  </si>
  <si>
    <t>Sum Insured</t>
  </si>
  <si>
    <t>FAISALABAD</t>
  </si>
  <si>
    <t>KARACHI</t>
  </si>
  <si>
    <t>LAHORE</t>
  </si>
  <si>
    <t>RAWALPINDI</t>
  </si>
  <si>
    <t>ISLAMABAD</t>
  </si>
  <si>
    <t>HYDERABAD</t>
  </si>
  <si>
    <t>Contract Status</t>
  </si>
  <si>
    <t>Old Contract Number</t>
  </si>
  <si>
    <t>MUHAMMAD IRFAN</t>
  </si>
  <si>
    <t>MUHAMMAD ASIF</t>
  </si>
  <si>
    <t>9976BFN150900001</t>
  </si>
  <si>
    <t>SARWAN KUMAR</t>
  </si>
  <si>
    <t>43104-0546306-7</t>
  </si>
  <si>
    <t>FLAT # A-205, 2ND FLOOR, MEHRAN VIP APARTMENTS, PLOT # 18/3, SUB PLOT # 18/3/A-5, SURVEY SHEET # CL-7, CIVIL LINES, DR DAWOOD POTA ROAD KARACHI</t>
  </si>
  <si>
    <t>9976BUY100900001</t>
  </si>
  <si>
    <t>RIAZ AHMAD</t>
  </si>
  <si>
    <t>35202-8419044-7</t>
  </si>
  <si>
    <t>HOUSE # 494, BLOCK# H-2, M.A JOHAR TOWN, LAHORE</t>
  </si>
  <si>
    <t>9976BUY120680001</t>
  </si>
  <si>
    <t>FAROOQ AHMED</t>
  </si>
  <si>
    <t>42101-8886159-7</t>
  </si>
  <si>
    <t>BUNGALOW # C-142/1, BLOCK C, KDA SCHEME# 2, NORTH NAZIMABAD, KARACHI</t>
  </si>
  <si>
    <t>9976BUY150630002</t>
  </si>
  <si>
    <t>KHALID ALI</t>
  </si>
  <si>
    <t>35202-1539874-5</t>
  </si>
  <si>
    <t>HOUSE # 160, ATTA TURK BLOCK, NEW GARDEN TOWN, LAHORE</t>
  </si>
  <si>
    <t>9976BUY150860001</t>
  </si>
  <si>
    <t>MUHAMMAD ADNAN SARWAR</t>
  </si>
  <si>
    <t>61101-7788749-5</t>
  </si>
  <si>
    <t>PLOT # 878, STREET # 27, SECTOR G-15/1, JAMMU &amp; KASHMIR CO-OPERATIVE HOUSING SOCIETY, ISLAMABAD</t>
  </si>
  <si>
    <t>9976BUY160900001</t>
  </si>
  <si>
    <t>KAMRAN AHMAD</t>
  </si>
  <si>
    <t>35202-2810062-3</t>
  </si>
  <si>
    <t>HOUSE # 100, SECTOR -G, PHASE -1, STATE LIFE INSURANCE EMPLOYEES CO-OPERATIVE HOUSING SOCIETY LTD. LAHORE</t>
  </si>
  <si>
    <t>9976BUY160900002</t>
  </si>
  <si>
    <t>MUHAMMAD TAHIR ABBASI</t>
  </si>
  <si>
    <t>37405-0312682-1</t>
  </si>
  <si>
    <t>HOUSE # 30, STREET# 14, FECHS, KORANG TOWN, ISLAMABAD</t>
  </si>
  <si>
    <t>9976BUY160910002</t>
  </si>
  <si>
    <t>TASHARRAF JAVED</t>
  </si>
  <si>
    <t>35202-5463737-9</t>
  </si>
  <si>
    <t>HOUSE # 74, GARDEN BLOCK, NEW GARDEN TOWN, LAHORE</t>
  </si>
  <si>
    <t>9976BUY170860001</t>
  </si>
  <si>
    <t>MUHAMMAD SOHAIL</t>
  </si>
  <si>
    <t>35202-9209188-9</t>
  </si>
  <si>
    <t>HOUSE # 192 BLOCK P-1 VALANCIA TOWN LAHORE</t>
  </si>
  <si>
    <t>9976BUY180880001</t>
  </si>
  <si>
    <t>TAYYAB MAHMOOD</t>
  </si>
  <si>
    <t>33201-8451115-9</t>
  </si>
  <si>
    <t>HOUSE #  95-D Block D LINE # 4 SECTOR # 4 AIRPORT HOUSING SOCIETY RAWALPINDI.</t>
  </si>
  <si>
    <t>9976BUY180890004</t>
  </si>
  <si>
    <t>SADQAIN SIBGHATULLAH MONGAH</t>
  </si>
  <si>
    <t>33104-5674624-3</t>
  </si>
  <si>
    <t>HOUSE # 174-F, PHASE I, PUNJAB CO-OPERATIVE HOUSING SOCIETY LTD. GHAZI ROAD, LAHORE.</t>
  </si>
  <si>
    <t>9976BUY190880001</t>
  </si>
  <si>
    <t>SARFRAZ ALI TAGAR</t>
  </si>
  <si>
    <t>45304-4052502-1</t>
  </si>
  <si>
    <t>APARTMENT # GF-04, D-TYPE, BLOCK-19, SECTOR G-10/2, PAKISTAN HOUSING AUTHORITY, ISLAMABAD</t>
  </si>
  <si>
    <t>9976BUY150750004</t>
  </si>
  <si>
    <t>9976BUY201710005</t>
  </si>
  <si>
    <t>IRFAN AMIR</t>
  </si>
  <si>
    <t>35202-4669805-5</t>
  </si>
  <si>
    <t>HOUSE # 636, BLOCK-E, GULSHAN-E-RAVI SCHEME, LAHORE</t>
  </si>
  <si>
    <t>9976BUY160670001</t>
  </si>
  <si>
    <t>9976BUY201710007</t>
  </si>
  <si>
    <t>FAISAL ABBAS</t>
  </si>
  <si>
    <t>35202-0980624-5</t>
  </si>
  <si>
    <t>HOUSE # 304, BLOCK-Q, JOHAR TOWN, LAHORE</t>
  </si>
  <si>
    <t>9976BUY190860001</t>
  </si>
  <si>
    <t>9976BUY201810004</t>
  </si>
  <si>
    <t>ZEESHAN SHAKIR BUTT</t>
  </si>
  <si>
    <t>35202-2966386-7</t>
  </si>
  <si>
    <t>HOUSE # 73, BLOCK-A2, SITUATED AT PAKISTAN LAHORE</t>
  </si>
  <si>
    <t>9976BUY180900001</t>
  </si>
  <si>
    <t>9976BUY201810005</t>
  </si>
  <si>
    <t>FAIZ ALI</t>
  </si>
  <si>
    <t>35202-9357613-3</t>
  </si>
  <si>
    <t>HOUSE # 111, BLOCK F/2, M.A.JOHAR TOWN, LAHORE.</t>
  </si>
  <si>
    <t>9976BUY170880003</t>
  </si>
  <si>
    <t>9976BUY201820010</t>
  </si>
  <si>
    <t>MUKHTAR AHMED KHAN</t>
  </si>
  <si>
    <t>42301-5822607-3</t>
  </si>
  <si>
    <t>HOUSE # 452 BLOCK N SABZAZAR SCHEME MULTAN ROAD LAHORE</t>
  </si>
  <si>
    <t>9976BUY180740001</t>
  </si>
  <si>
    <t>9976BUY203050003</t>
  </si>
  <si>
    <t>HUMAYUN ALI</t>
  </si>
  <si>
    <t>35201-9920962-7</t>
  </si>
  <si>
    <t>HOUSE # 876, BLOCK B, FAISAL TOWN, LAHORE.</t>
  </si>
  <si>
    <t>9976PUS120880001</t>
  </si>
  <si>
    <t>ISHAQUE NAGRI</t>
  </si>
  <si>
    <t>42101-6960666-1</t>
  </si>
  <si>
    <t>BUNGALOW # D-12, BLOCK-6, KDA SCHEME# 16, F.B AREA, KARACHI</t>
  </si>
  <si>
    <t>9976REN180880002</t>
  </si>
  <si>
    <t>KHURRAM SHAHZAD</t>
  </si>
  <si>
    <t>61101-1974481-7</t>
  </si>
  <si>
    <t>HOUSE # 995, BLOCK C, MULTI GARDEN HOUSING SOCIETY, B-17, ISLAMABAD.</t>
  </si>
  <si>
    <t>997BFIN170760002</t>
  </si>
  <si>
    <t>MUHAMMAD HAMEED</t>
  </si>
  <si>
    <t>35202-2526081-3</t>
  </si>
  <si>
    <t>HOUSE # 167 BLOCK D1 NESPAK EMPLOYEES COOPERATIVE HOUSING SOCIETY LTD LAHORE</t>
  </si>
  <si>
    <t>997BFIN180850001</t>
  </si>
  <si>
    <t>AZEEM AMIN</t>
  </si>
  <si>
    <t>33102-3372101-5</t>
  </si>
  <si>
    <t>HOUSE # 327, NAZIMABAD CITY, NAZIMABAD, FAISALABAD.</t>
  </si>
  <si>
    <t>997BFIN180890001</t>
  </si>
  <si>
    <t>MUHAMMAD YOUSUF</t>
  </si>
  <si>
    <t>421011-254378-5</t>
  </si>
  <si>
    <t>FLAT # B-24, 2ND FLOOR, HANIF CENTER, PLOT # SF-10, BLOCK B, KDA SCHEME # 2, NORTH NAZIMABAD, KARACHI</t>
  </si>
  <si>
    <t>997BFIN190870001</t>
  </si>
  <si>
    <t>JAVED IQBAL</t>
  </si>
  <si>
    <t>33100-0588121-1</t>
  </si>
  <si>
    <t>HOUSE # 20, VIP BLOCK # 02, SITARA SAPNA CITY, FAISALABAD</t>
  </si>
  <si>
    <t>997BFIN190880001</t>
  </si>
  <si>
    <t>AHSAN FAWAD RANA</t>
  </si>
  <si>
    <t>33100-7791827-7</t>
  </si>
  <si>
    <t>HOUSE # 132, STREET # 05, CANAL GARDEN, CANAL ROAD, FAISALABAD</t>
  </si>
  <si>
    <t>997BFIN190890001</t>
  </si>
  <si>
    <t>MUHAMMAD MAJID</t>
  </si>
  <si>
    <t>33100-0746718-1</t>
  </si>
  <si>
    <t>HOUSE # P-2/E, CHENAB GARDEN, SAMMUNDARI ROAD, FAISALABAD</t>
  </si>
  <si>
    <t>997BFIN200760001</t>
  </si>
  <si>
    <t>MUHAMMAD PERVAIZ</t>
  </si>
  <si>
    <t>33100-6175412-7</t>
  </si>
  <si>
    <t>HOUSE # 60, STREET # 01, AMIN PARK, FAISALABAD</t>
  </si>
  <si>
    <t>997HBUY070860001</t>
  </si>
  <si>
    <t>CHAUDHRY IMRAN MEHMOOD</t>
  </si>
  <si>
    <t>33100-0574876-5</t>
  </si>
  <si>
    <t>HOUSE # P 1824,P 1825, P 1826, BLOCK NO D, GHULAM MOHAMMAD ABAD, FAISALABAD</t>
  </si>
  <si>
    <t>997HBUY080650002</t>
  </si>
  <si>
    <t>TAHIR FAWAD KHAN</t>
  </si>
  <si>
    <t>37405-9926291-5</t>
  </si>
  <si>
    <t>HOUSE # 832, STREET NO.10/2, BLOCK-B, O-9, NATIONAL POLICE FOUNDATION, ISLAMABAD.</t>
  </si>
  <si>
    <t>997HBUY080790001</t>
  </si>
  <si>
    <t>MUHAMMAD SALEEM</t>
  </si>
  <si>
    <t>42301-0756036-7</t>
  </si>
  <si>
    <t>PLOT # D-1, BLOCK# 11, SECHME# 2, STANMORE, F.B AREA, KARACHI</t>
  </si>
  <si>
    <t>997HBUY080840001</t>
  </si>
  <si>
    <t>ADEEL AHMED ALVI</t>
  </si>
  <si>
    <t>37405-3132979-5</t>
  </si>
  <si>
    <t>KHASRA # 1301-945-3,MAIN STREET, DAIYALA ROAD, NEAR AWAN CNG, NATIONAL HOUSING SCHEME, RAWALPINDI</t>
  </si>
  <si>
    <t>997HBUY080860002</t>
  </si>
  <si>
    <t>IMRAN PASHA</t>
  </si>
  <si>
    <t>33100-3378482-7</t>
  </si>
  <si>
    <t>HOUSE # P-176-C, RAZA TOWN, FAISALABAD</t>
  </si>
  <si>
    <t>997HBUY140660001</t>
  </si>
  <si>
    <t>MUHAMMAD AYAZ KHAN</t>
  </si>
  <si>
    <t>42101-7518504-3</t>
  </si>
  <si>
    <t>HOUSE # R-802, BLOCK-15, F.B AREA, KARACHI</t>
  </si>
  <si>
    <t>997HBUY160750001</t>
  </si>
  <si>
    <t>MUSTAJAB ALI SIDDIQI</t>
  </si>
  <si>
    <t>33100-9491658-9</t>
  </si>
  <si>
    <t xml:space="preserve"> HOUSE # 61/A, PARADISE VALLEY, SHEKHOPURA ROAD, FAISALABAD</t>
  </si>
  <si>
    <t>997HBUY160890001</t>
  </si>
  <si>
    <t>MUHAMMAD IRFAN AKHTAR</t>
  </si>
  <si>
    <t>42301-6493522-7</t>
  </si>
  <si>
    <t>HOUSE # 207-E, EXECUTIVE BLOCK, EDEN GARDEN FAISALABAD</t>
  </si>
  <si>
    <t>997HBUY160890002</t>
  </si>
  <si>
    <t>NAVEED AHMED SOLANGI</t>
  </si>
  <si>
    <t>45203-4906551-5</t>
  </si>
  <si>
    <t>FLAT # Y-1, GROUND FLOOR, PARSA VIEW, PLOT#18, SHEET# FT-2, FRERE TOWN, KARACHI</t>
  </si>
  <si>
    <t>997HBUY160910001</t>
  </si>
  <si>
    <t>MOBEEN UL HAQ</t>
  </si>
  <si>
    <t>42201-0591191-9</t>
  </si>
  <si>
    <t>HOUSE # A-165, BLOCK-13-C-1, KDA SCHEME 24, GULSHAN-E-IQBAL, KARACHI</t>
  </si>
  <si>
    <t>997HBUY180710001</t>
  </si>
  <si>
    <t>RAJESH KUMAR</t>
  </si>
  <si>
    <t>45502-8512937-1</t>
  </si>
  <si>
    <t>FLAT # 701-A, 7TH FLOOR, HAMEEDA HEIGHTS, PLOT # 5/4, SURVEY SHEET # 35-P/1, BLOCK # 3, SHAHEED-E-MILLAT ROAD, KARACHI.</t>
  </si>
  <si>
    <t>997HBUY190660001</t>
  </si>
  <si>
    <t>SARFARAZ NAZEER</t>
  </si>
  <si>
    <t>420008-397429-7</t>
  </si>
  <si>
    <t>FLAT # 07, B-TYPE, 4TH FLOOR, 18TH COMM STREET PHASE II 2, EXT, DHA, KARACHI</t>
  </si>
  <si>
    <t>997HBUY190880001</t>
  </si>
  <si>
    <t>MIRZA MUDDASIR BAIG</t>
  </si>
  <si>
    <t>MULTAN</t>
  </si>
  <si>
    <t>36302-6926665-3</t>
  </si>
  <si>
    <t>HOUSE # 251, BLOCK-D, WAPDA TOWN NORTHERN BY PASS ROAD, MULTAN</t>
  </si>
  <si>
    <t>997HBUY190880002</t>
  </si>
  <si>
    <t>MAZHAR ALI</t>
  </si>
  <si>
    <t>44205-2297550-9</t>
  </si>
  <si>
    <t>HOUSE # 15, BLOCK-02, BISMILLAH GARDEN HOUSING SCHEME, LATIFABAD HYDERABAD</t>
  </si>
  <si>
    <t>997HBUY200630001</t>
  </si>
  <si>
    <t>OMER UL ISLAM</t>
  </si>
  <si>
    <t>42101-8882968-5</t>
  </si>
  <si>
    <t>HOUSE # IH-86, AIR FORCE OFFICER HOUSING SOCIETY SCHEME FAISAL, KARACHI</t>
  </si>
  <si>
    <t>997HBUY200770001</t>
  </si>
  <si>
    <t>SYED SALMAN UDDIN</t>
  </si>
  <si>
    <t>42201-1078105-1</t>
  </si>
  <si>
    <t>HOUSE # A-29, SECTOR “U”, SUB SECTOR II, GULSHAN-E-MAYMAR, KARACHI.</t>
  </si>
  <si>
    <t>997HBUY140870001</t>
  </si>
  <si>
    <t>997HBUY201810005</t>
  </si>
  <si>
    <t>ARSHAD ALI</t>
  </si>
  <si>
    <t>42201-9337284-1</t>
  </si>
  <si>
    <t>HOUSE # 40, BLOCK-C, JOHAR TOWN, LAHORE</t>
  </si>
  <si>
    <t>997HREN070640001</t>
  </si>
  <si>
    <t>MUHAMMAD RASHEED</t>
  </si>
  <si>
    <t>33100-0688684-3</t>
  </si>
  <si>
    <t>HOUSE # P 21/4,ZAFAR STREET,KHAYABAN COLONY NO.2,FAISALABAD.</t>
  </si>
  <si>
    <t>997HREN080640001</t>
  </si>
  <si>
    <t>33100-3920314-5</t>
  </si>
  <si>
    <t>HOUSE # P-19/10, NEELAM STREET, GREEN VIEW, RAJA WALA, FAISALABAD.</t>
  </si>
  <si>
    <t>997HREN170810001</t>
  </si>
  <si>
    <t>ASIF AYUB</t>
  </si>
  <si>
    <t>42201-0389437-3</t>
  </si>
  <si>
    <t>FLAT # L-30 THIRD FLOOR NOMAN GRAND CITY SUB PLOT NO 187/L-6 SURVEY NO 187 DEH OKEWARI BLOCK NO 17 KDA SCHEME 36 GULISTANE JOHAR KARACHI</t>
  </si>
  <si>
    <t>997HREN170900001</t>
  </si>
  <si>
    <t>RASHID MUSTAFA CHAUDHARY</t>
  </si>
  <si>
    <t>35202-2549498-1</t>
  </si>
  <si>
    <t>HOUSE # 385/2 BLOCK A STREET # 1 ALI HOUSING COLONY NEAR GHOUSIA CHOWK MAIN ABC ROAD FSD</t>
  </si>
  <si>
    <t>997HREN200780001</t>
  </si>
  <si>
    <t>ABDULLAH</t>
  </si>
  <si>
    <t>42301-9738159-1</t>
  </si>
  <si>
    <t>FLAT # 202, 2ND FLOOR, AL HARAM TOWER, PLOT / SURVEY # CL-9/7/1, CIVIL LINES QUARTERS, KARACHI.</t>
  </si>
  <si>
    <t>9976BUY210620003</t>
  </si>
  <si>
    <t>RAJA IBRAR NAZIR MINHAS</t>
  </si>
  <si>
    <t>ISLAMABAD.</t>
  </si>
  <si>
    <t>37405-8929846-7</t>
  </si>
  <si>
    <t>HOUSE # 08, STREET # 23, BLOCK-G, NAVAL ANCHORAGE, ISLAMABAD.</t>
  </si>
  <si>
    <t>997HBUY210690001</t>
  </si>
  <si>
    <t>MUHAMMAD SHARYAR AYUB</t>
  </si>
  <si>
    <t>KARACHI.</t>
  </si>
  <si>
    <t>42101-9593414-9</t>
  </si>
  <si>
    <t>FLAT # D-202, 2ND FLOOR, SAIMA CLASSIC SUB PLOT # 118/B/D II, BLOCK-D, NA CLASS # 118/B, KDA SCHEME # 24, GULSHAN-E-IQBAL, KARACHI.</t>
  </si>
  <si>
    <t>9976BUY210700001</t>
  </si>
  <si>
    <t>HAFIZ MUHAMMAD HASHIM SHIEKH</t>
  </si>
  <si>
    <t>LAHORE.</t>
  </si>
  <si>
    <t>35201-3846203-3</t>
  </si>
  <si>
    <t>HOUSE # 1034, BLOCK-Q, PHASE-7, DHA LAHORE CANTT.</t>
  </si>
  <si>
    <t>997HBUY210760003</t>
  </si>
  <si>
    <t>ASIF ALI</t>
  </si>
  <si>
    <t>42201-0725429-9</t>
  </si>
  <si>
    <t>HOUSE # 6-A/1, 33RD STREET, PHASE-V, EXT DHA KARACHI.</t>
  </si>
  <si>
    <t>997HBUY210760002</t>
  </si>
  <si>
    <t>RIZWAN UMER SHAIKH</t>
  </si>
  <si>
    <t>42201-9931314-5</t>
  </si>
  <si>
    <t>HOUSE # C-199/32, BLOCK-14, KDA SCHEME # 36, GULISTAN-E-JAUHAR, KARACHI.</t>
  </si>
  <si>
    <t>9976BUY210830003</t>
  </si>
  <si>
    <t>LUBNA NAZ</t>
  </si>
  <si>
    <t>42301-1578081-4</t>
  </si>
  <si>
    <t>HOUSE # Y-6, 20TH EAST STREET, PHASE-1, DHA KARACHI.</t>
  </si>
  <si>
    <t>997HBUY210830004</t>
  </si>
  <si>
    <t>WAHID MASOOD</t>
  </si>
  <si>
    <t>42401-2212631-7</t>
  </si>
  <si>
    <t>HOUSE # 11, STREET # 11, PAKISTAN NAVY OFFICERS HOUSING SCHEME HAWKSBAY ROAD, KARACHI.</t>
  </si>
  <si>
    <t>9976BUY210850004</t>
  </si>
  <si>
    <t>ASAD ULLAH KHAN</t>
  </si>
  <si>
    <t>RAWALPINDI.</t>
  </si>
  <si>
    <t>37405-7524853-3</t>
  </si>
  <si>
    <t>HOUSE # C-9/6, BLOCK-C, SATELLITE TOWN, RAWALPINDI.</t>
  </si>
  <si>
    <t>9976BUY210880001</t>
  </si>
  <si>
    <t>FARHAN QAMAR</t>
  </si>
  <si>
    <t>37405-4306816-3</t>
  </si>
  <si>
    <t>HOUSE # 244, STREET # 23, SECTOR E-7, ISLAMABAD</t>
  </si>
  <si>
    <t>997HBUY210880001</t>
  </si>
  <si>
    <t>ASIF FARHAN</t>
  </si>
  <si>
    <t>42201-0361768-5</t>
  </si>
  <si>
    <t>HOUSE # R-135, “CAPITAL CO-OPERATIVE HOUSING SOCIETY LTD, SECTOR 35-A, BLOCK-5, DEH DOZAN, KDA SCHEME # 33, KARACHI</t>
  </si>
  <si>
    <t>997HREN210880001</t>
  </si>
  <si>
    <t>MUHAMMAD SARIM ISHAQ</t>
  </si>
  <si>
    <t>42201-1542443-7</t>
  </si>
  <si>
    <t>HOUSE # R-135, BLOCK-09, KDA IMPROVEMENT SCHEME # 16, FB AREA KARACHI</t>
  </si>
  <si>
    <t>9976BUY210880002</t>
  </si>
  <si>
    <t>IMRAN NAEEM</t>
  </si>
  <si>
    <t>35202-6077712-1</t>
  </si>
  <si>
    <t>HOUSE # 115, SECTOR A/1, THE GOVT EMPLOYEES CO-OPERATIVE HOUSING SOCIETY LTD, TOWNSHIP LAHORE</t>
  </si>
  <si>
    <t>9976BUY210890003</t>
  </si>
  <si>
    <t>HARRIS SHAHZAD</t>
  </si>
  <si>
    <t>42301-3057633-3</t>
  </si>
  <si>
    <t>APAETMENT # RT-1, P-2 P-206, REEF TOWER 1, CRESCENT BAY, EMAAR GIGA KARACHI LIMITED PHASE VIII, DHA, KARACHI</t>
  </si>
  <si>
    <t>997BFIN210900001</t>
  </si>
  <si>
    <t>MUHAMMAD KASHIF</t>
  </si>
  <si>
    <t>FAISALABAD.</t>
  </si>
  <si>
    <t>33100-0597475-5</t>
  </si>
  <si>
    <t>HOUSE # 40, BLOCK-B, TNT COLONY, TECH TOWN, SATYANA ROAD, FAISALABAD</t>
  </si>
  <si>
    <t>997NPHF220630002</t>
  </si>
  <si>
    <t>997NPHF220660001</t>
  </si>
  <si>
    <t>997NPHF220800002</t>
  </si>
  <si>
    <t>997NPHF220810006</t>
  </si>
  <si>
    <t>997HCON220810001</t>
  </si>
  <si>
    <t>997NPHF220840001</t>
  </si>
  <si>
    <t>997NPHF220680008</t>
  </si>
  <si>
    <t>997NPHF220800005</t>
  </si>
  <si>
    <t>9976BUY220620003</t>
  </si>
  <si>
    <t>9976BUY220660001</t>
  </si>
  <si>
    <t>9976BUY220700003</t>
  </si>
  <si>
    <t>997NPHF220750017</t>
  </si>
  <si>
    <t>997NPHF220760019</t>
  </si>
  <si>
    <t>997NPHF220800001</t>
  </si>
  <si>
    <t>997NPHF220840004</t>
  </si>
  <si>
    <t>997NPHF220840009</t>
  </si>
  <si>
    <t>997NPHF220840008</t>
  </si>
  <si>
    <t>997NPHF220680005</t>
  </si>
  <si>
    <t>997BFIN220680001</t>
  </si>
  <si>
    <t>997NPHF220690010</t>
  </si>
  <si>
    <t>997NPHF220690011</t>
  </si>
  <si>
    <t>997NPHF220750016</t>
  </si>
  <si>
    <t>997NPHF220750018</t>
  </si>
  <si>
    <t>997NPHF220760022</t>
  </si>
  <si>
    <t>997NPHF220760023</t>
  </si>
  <si>
    <t>997NPHF220800003</t>
  </si>
  <si>
    <t>997NPHF220840005</t>
  </si>
  <si>
    <t>997BFIN220600002</t>
  </si>
  <si>
    <t>997NPHF220740013</t>
  </si>
  <si>
    <t>997NPHF220750014</t>
  </si>
  <si>
    <t>997NPHF220750015</t>
  </si>
  <si>
    <t>9976BUY220830004</t>
  </si>
  <si>
    <t>997HPUS220630002</t>
  </si>
  <si>
    <t>997NPHF220740012</t>
  </si>
  <si>
    <t>997NPHF220760020</t>
  </si>
  <si>
    <t>997NPHF220760021</t>
  </si>
  <si>
    <t>997NPHF220840003</t>
  </si>
  <si>
    <t>997NPHF220670003</t>
  </si>
  <si>
    <t>997NPHF220670004</t>
  </si>
  <si>
    <t>997NPHF220690009</t>
  </si>
  <si>
    <t>997HBUY220770001</t>
  </si>
  <si>
    <t>997NPHF220770029</t>
  </si>
  <si>
    <t>997NPHF220610001</t>
  </si>
  <si>
    <t>997NPHF220670002</t>
  </si>
  <si>
    <t>9976BUY220700002</t>
  </si>
  <si>
    <t>997NPHF220770026</t>
  </si>
  <si>
    <t>997NPHF220830007</t>
  </si>
  <si>
    <t>997NPHF220870010</t>
  </si>
  <si>
    <t>997NPHF220870011</t>
  </si>
  <si>
    <t>997NPHF220890022</t>
  </si>
  <si>
    <t>997NPHF220900002</t>
  </si>
  <si>
    <t>997NPHF220900003</t>
  </si>
  <si>
    <t>997NPHF220900006</t>
  </si>
  <si>
    <t>997NPHF220900009</t>
  </si>
  <si>
    <t>997NPHF220870016</t>
  </si>
  <si>
    <t>997NPHF220870015</t>
  </si>
  <si>
    <t>997NPHF220880017</t>
  </si>
  <si>
    <t>997NPHF220900005</t>
  </si>
  <si>
    <t>997HBUY220900004</t>
  </si>
  <si>
    <t>997NPHF220900011</t>
  </si>
  <si>
    <t>997BFIN220900004</t>
  </si>
  <si>
    <t>997NPHF220890021</t>
  </si>
  <si>
    <t>997NPHF220870014</t>
  </si>
  <si>
    <t>997NPHF220890019</t>
  </si>
  <si>
    <t>997NPHF220900007</t>
  </si>
  <si>
    <t>997HCON220900003</t>
  </si>
  <si>
    <t>997NPHF220900012</t>
  </si>
  <si>
    <t>997NPHF220870013</t>
  </si>
  <si>
    <t>997NPHF220890018</t>
  </si>
  <si>
    <t>997NPHF220900008</t>
  </si>
  <si>
    <t>997HCON220900002</t>
  </si>
  <si>
    <t>997NPHF220900001</t>
  </si>
  <si>
    <t>997BFIN220900005</t>
  </si>
  <si>
    <t>997HREN220900001</t>
  </si>
  <si>
    <t>997BFIN220900003</t>
  </si>
  <si>
    <t>997HCON220900004</t>
  </si>
  <si>
    <t>9973PMR220900001</t>
  </si>
  <si>
    <t>TALHA MAHBOOB</t>
  </si>
  <si>
    <t>35201-9142865-3</t>
  </si>
  <si>
    <t>HOUSE # 391, BLOCK # A, AL AHMED GARDEN HOUSING SCHEME, LAHORE.</t>
  </si>
  <si>
    <t>ANTHONY</t>
  </si>
  <si>
    <t>42201-5642615-7</t>
  </si>
  <si>
    <t>FLAT # 301, 3RD FLOOR, PLOT # 7-C, SUNSET LANE # 08, PHASE II, EXT, DHA, KARACHI.</t>
  </si>
  <si>
    <t>SAMREEN BUKHARI</t>
  </si>
  <si>
    <t>35202-6153942-6</t>
  </si>
  <si>
    <t>HOUSE # 180, G-5, PHASE - I, WAPDA EMPLOYEES COOPERATIVE HOUSING SOCIETY, F-2, WAPDA TOWN, LAHORE.</t>
  </si>
  <si>
    <t>UZMA MASOOD</t>
  </si>
  <si>
    <t>33100-0590061-6</t>
  </si>
  <si>
    <t>HOUSE # 214, STREET # 9, VIP BLOCK , AL NOOR GARDEN, FAISALABAD.</t>
  </si>
  <si>
    <t>SYED HASSAN TALLAL</t>
  </si>
  <si>
    <t>61101-2681305-3</t>
  </si>
  <si>
    <t>PLOT # 244, ST # 14, BLOCK # A, MULTI GARDES B-17, ISLAMABAD.</t>
  </si>
  <si>
    <t>AZAM RASHEED</t>
  </si>
  <si>
    <t>37405-1464401-1</t>
  </si>
  <si>
    <t>HOUSE # 58-D, SECTOR # 4/B, KHAYABAN E SIR SYED, RAWALPINDI.</t>
  </si>
  <si>
    <t>MUHAMMAD ASLAM</t>
  </si>
  <si>
    <t>37405-0350449-7</t>
  </si>
  <si>
    <t>HOUSE # P-154, ST # 08 KHASRA # 11/10, KHEWAT # 2386, CHAK # 219/RB, TARIQ COLONY, AGHA TOWN, FAISALABAD.</t>
  </si>
  <si>
    <t>TAUQIR FATIMA</t>
  </si>
  <si>
    <t>42201-1617134-0</t>
  </si>
  <si>
    <t>HOUSE # R-1074, BLOCK 20, KDA SCHEME # 16, FEDERAL B AREA, KARACHI.</t>
  </si>
  <si>
    <t>MUHAMMAD ILYAS VOHRA</t>
  </si>
  <si>
    <t>42101-1509541-5</t>
  </si>
  <si>
    <t>BUNGALOW # B-129, BLOCK # A, KDA OFFICERS, COOPERATIVE HOUSING SOCIETY LTD, KARACHI.</t>
  </si>
  <si>
    <t>CHANDER LAL</t>
  </si>
  <si>
    <t>42301-8329145-9</t>
  </si>
  <si>
    <t>HOUSE # 74/II, 31ST STREET, PHASE V, EXTN, SURVEY # 26, DHA KARACHI.</t>
  </si>
  <si>
    <t>ZAHID MAJEED</t>
  </si>
  <si>
    <t>36502-1339159-9</t>
  </si>
  <si>
    <t>HOUSE PLOT # 230, STREET 5, BLOCK ALI, KHEWAT 114/101, KHATOONI # 497 TO 524, QITAT 198, BAHRIA TOWN, JALIYANA RAIWIND, LAHORE.</t>
  </si>
  <si>
    <t>NAUMAN SAGHEER</t>
  </si>
  <si>
    <t>35201-1651468-5</t>
  </si>
  <si>
    <t>PLOT # 156, BLOCK # A, VENUES HOUSING SCHEME, FEROZ PUR ROAD, LAHORE.</t>
  </si>
  <si>
    <t>ISRAR NAWAB</t>
  </si>
  <si>
    <t>37405-2301155-9</t>
  </si>
  <si>
    <t>HOUSE BUILD ON KHEWAT # 82, KHATOONI # 180, KHASRA # 1608, MOUZA SIHAM, RAWALPINDI.</t>
  </si>
  <si>
    <t>33100-0928447-9</t>
  </si>
  <si>
    <t>HOUSE # 436, STREET # 8, ABDULLAH COLONY, NEAR ABDULLAH PUL, SAMUNDARI ROAD, FAISALABAD.</t>
  </si>
  <si>
    <t>SALMAN AHMED QURESHI-ASAAN ACCOUNT</t>
  </si>
  <si>
    <t>42201-0487816-3</t>
  </si>
  <si>
    <t>FLAT # CLS-204, TYPE D, 2ND FLOOR, GOHAR TOWERS, BLOCK 1, LEH GUJRO, TAPO SONGAL, GULSAHNA IQBAL, KARACHI.</t>
  </si>
  <si>
    <t>SYED SIRAJ UL HAQ</t>
  </si>
  <si>
    <t>42201-7817632-5</t>
  </si>
  <si>
    <t>house # R-61, measureing 120 SQ Sector Q Sub sector</t>
  </si>
  <si>
    <t>MUHAMMAD SHAFIQ ALAM</t>
  </si>
  <si>
    <t>42201-0492765-5</t>
  </si>
  <si>
    <t>FLAT # D-28, 3RD FLOOR, SHERTON BRIGHTS, SUB PLOT # FL-1/D-22, PLOT NP FL-1, SECTOR # 5-I. NORTH KARACHI, TOWNSHIP, KARACHI.</t>
  </si>
  <si>
    <t>SYED YAWAR AZEEM</t>
  </si>
  <si>
    <t>42101-5040158-9</t>
  </si>
  <si>
    <t>FLAT # B-38, 3RD-FLOOR, SUNNY CASTLE, SUB PLOT # FL-3/B-2, PLOT # FL-3, BLOCK 14, KDA SCHEME # 36, GULISTAN E JOHAR, KARACHI.</t>
  </si>
  <si>
    <t>AWAIS KHURSHEED</t>
  </si>
  <si>
    <t>33100-3156069-9</t>
  </si>
  <si>
    <t>HOUSE NO. 80, BLOCK A, NEAR FAISALABAD CADET SCHOOL, LIAQUAT TOWN, JHANG ROAD, FAISALABAD.</t>
  </si>
  <si>
    <t>WAQAS ALI KHAN</t>
  </si>
  <si>
    <t>42101-6805179-9</t>
  </si>
  <si>
    <t>FLAT # B-10, 10TH FLOOR, MASHAALLAH TOWER, PLOT # 24, ROW # 01, SUB BLOCK # A, BLOCK # 1, NAZIMABAD, KARACHI.</t>
  </si>
  <si>
    <t>SOHAIL AMIR</t>
  </si>
  <si>
    <t>33100-4931708-9</t>
  </si>
  <si>
    <t>HOUSE # 32-C, SHAHBAZ TOWN, FAISALABAD.</t>
  </si>
  <si>
    <t>shahid liaqat</t>
  </si>
  <si>
    <t>33100-7921814-9</t>
  </si>
  <si>
    <t>P-123, ROSE-BLOCK, FOUR SEASON, SAMUNDRI ROAD, FAISALABAD.</t>
  </si>
  <si>
    <t>RAMEEZ RIAZ</t>
  </si>
  <si>
    <t>35202-7002305-9</t>
  </si>
  <si>
    <t>HOUSE # 102, BLOCK C, SALAM KHATA, QITA 26, KHEWAT 67, KAHTOONI 114 TO 115, ALRAHIM GARDEN, PHA V, HADBAST MOZA, HANDO, TEHSIL SHALIMAR, DIST. LAHORE.</t>
  </si>
  <si>
    <t>SHAZIA SHAHID</t>
  </si>
  <si>
    <t>37405-0603577-6</t>
  </si>
  <si>
    <t>APPARTMENT # SF-06, BLOCK 30, TYPE D, SECTOR I-II, ISLAMABAD.</t>
  </si>
  <si>
    <t>ATTAULLAH BHATTI</t>
  </si>
  <si>
    <t>43205-2790415-7</t>
  </si>
  <si>
    <t>HOUSE # A-65, BLOCK # V, SAADI TOWN PAKLAND HOUSING SOCIETY PVT LTD, KDA SCHEME 33, KARACHI.</t>
  </si>
  <si>
    <t>MUHAMMAD FAIZAN</t>
  </si>
  <si>
    <t>33100-2809941-7</t>
  </si>
  <si>
    <t>HOUSE # 39, DAFFODIL ENCLAVE, THE FOUR SEASON HOUSING SOCIETY, PHASE II, SAMUNDARI ROAD, CHAK # 234/RB, FAISALABAD.</t>
  </si>
  <si>
    <t>CHANDO</t>
  </si>
  <si>
    <t>44303-2460458-3</t>
  </si>
  <si>
    <t>FLAT # 13, 4TH FLOOR, S.R RESEDENCY, PLOT -L, HAD COMMERCIAL HOUSING SCHEME, TALUKA QASIMABAD, DISTRICT HYDERABAD.</t>
  </si>
  <si>
    <t>ASIF SIDDIQUE KHAN</t>
  </si>
  <si>
    <t>41304-8116296-9</t>
  </si>
  <si>
    <t>PENT HOUSE # 01, INDUS HEIGHTS, SUB PLOT NO 6 TO 10, SURVEY # 310, WARD H, AUTO BHAN ROAD, HYDERABAD.</t>
  </si>
  <si>
    <t>MUHAMMAD FAHAD</t>
  </si>
  <si>
    <t>35202-8687847-9</t>
  </si>
  <si>
    <t>HOUSE # 69, STREET # 2, BLOCK A, KHEWAT # 121, KHATONI # 15, QITAT # 32, EDEN BOULEVARD HOUSING SCHEME, TEHSIL MODEL TOWN, LAHORE.</t>
  </si>
  <si>
    <t>MUDASIR KHALID</t>
  </si>
  <si>
    <t>42101-9414771-9</t>
  </si>
  <si>
    <t>FLAT # F-506, 5TH FLOOR, RUFI PARADISE,BLOCK 18, KDA SCHEME 33, GULISTAN E JOUHAR, KARACHI.</t>
  </si>
  <si>
    <t>USAMA BIN SADIQ</t>
  </si>
  <si>
    <t>42301-7842198-5</t>
  </si>
  <si>
    <t>FLAT # 17, 4TH FLOOR, ITEFAQ TERRACE, SUB PLOT # SB-12/III, PLOT #SB-12, BLOCK 1, KDA SCHEME # 24, GULSHAN E IQBAL, KARACHI.</t>
  </si>
  <si>
    <t>MUHAMMAD SALEEM ANSARI</t>
  </si>
  <si>
    <t>42101-1308822-1</t>
  </si>
  <si>
    <t>HOUSE # B-283, SECTOR # 11/B, NORTH KARACHI, TOWNSHIP, KARACHI.</t>
  </si>
  <si>
    <t>MALIK IRFAN AHMED</t>
  </si>
  <si>
    <t>42101-9096151-1</t>
  </si>
  <si>
    <t>FLAT # 102, 1ST FLOOR, SUB PLOT # FL-2, BLOCK 2, KDA SCHEME # 5, CLIFTON, KARACHI.</t>
  </si>
  <si>
    <t>HASSAN KHAN</t>
  </si>
  <si>
    <t>61101-3589940-1</t>
  </si>
  <si>
    <t>APPARTMENT # SF 11, BLOCK # 19, TYPE D, PHA, SECTOR G-10/2,ISLAMABAD.</t>
  </si>
  <si>
    <t>FARHAN BAIG</t>
  </si>
  <si>
    <t>42501-7496706-1</t>
  </si>
  <si>
    <t>FLAT # 405, TYPE A, BLOCK 4, 4TH FLOOR, ASAISH APARTMENT , SUB PLOT # 4/5, PLOT # FL-10, BLOCK 16, GULISTAN E JAUHAR, KARACHI.</t>
  </si>
  <si>
    <t>AZHAR IRFAN</t>
  </si>
  <si>
    <t>33202-0625546-7</t>
  </si>
  <si>
    <t>HOUSE OR PLOT # 61/B, ST # 07, PROFESSOR BLOCK, SHALIMAR PARK # 2, GHMGOOL, HILAL ROAD, FAISALABAD.</t>
  </si>
  <si>
    <t>SYED ASIF ALI</t>
  </si>
  <si>
    <t>42201-5409288-5</t>
  </si>
  <si>
    <t>FLAT # 4002, 4TH FLOOR, KARACHI UNIVERSITY EMPLOYEES COOPERATIVE HOUSING SOCIETY LTD, PLOT # CM-13, BLOCK B, SECTOR 18-A, KDA SCHEME # 33, KARACHI.</t>
  </si>
  <si>
    <t>IMRAN KHAN</t>
  </si>
  <si>
    <t>37405-0730896-3</t>
  </si>
  <si>
    <t>PLOT # CB# 4109/1 KHASRA -431 MUSA MISRIAL STREET 60 ALLMA IQBAL COLONY RWP CANTT</t>
  </si>
  <si>
    <t>ABDUL BASIT</t>
  </si>
  <si>
    <t>33100-8293823-5</t>
  </si>
  <si>
    <t>HOUSE # 220 GULSHAN E HARAM PHASE 1 NEAR ABDULLAH PULL SAMUNDRI ROAD FSD</t>
  </si>
  <si>
    <t>MUHAMMAD FAROOQ-ASAAN ACCOUNT</t>
  </si>
  <si>
    <t>33100-6172160-7</t>
  </si>
  <si>
    <t>HOUSE # PLOT # 451, ISMAIL VALLEY, DAEWOO ROAD, CHAK # 7-JB, FAISALABAD.</t>
  </si>
  <si>
    <t>AMJAD MAHMOOD</t>
  </si>
  <si>
    <t>33100-0749923-9</t>
  </si>
  <si>
    <t>HOUSE # 157, BLOCK B, EDEN GARDEN, CHAK # 208/RB, FAISALABAD.</t>
  </si>
  <si>
    <t>MIAN QAMAR EJAZ</t>
  </si>
  <si>
    <t>33100-1002917-7</t>
  </si>
  <si>
    <t>PLOT # 173, ST # 39, BLOCK L,GULBERG RESIDENCIA , ISLAMABAD.</t>
  </si>
  <si>
    <t>MUHAMMAD ISRAR</t>
  </si>
  <si>
    <t>61101-1984908-9</t>
  </si>
  <si>
    <t>HOUSE # 4, STREET # 6, KORANG EXTENSION, SAFARI BLOCK, FECHS, ISLAMABAD.</t>
  </si>
  <si>
    <t>WASEEM IQBAL DAWAR</t>
  </si>
  <si>
    <t>61101-2094626-7</t>
  </si>
  <si>
    <t>FLAT # SF-10 SITUATED AT BLOCK 23 E TYPE PHA APPARTMENT G-11/3 ISB</t>
  </si>
  <si>
    <t>JALIL UR RAHMAN</t>
  </si>
  <si>
    <t>42201-3082118-1</t>
  </si>
  <si>
    <t>HOUSE # 72/III, 24TH STREET, PHASE VI, DHA, KARACHI.</t>
  </si>
  <si>
    <t>NOOR UZ ZAMAN</t>
  </si>
  <si>
    <t>42501-1581197-5</t>
  </si>
  <si>
    <t>FLAT # B-8, 1ST FLOOR, ARIF ARCADE, SUB PLOT # CM-1, SECTOR 38-A, KDA SCHEME 33, KARACHI.</t>
  </si>
  <si>
    <t>MIR SOHRAB ZEHRI</t>
  </si>
  <si>
    <t>42201-1998629-5</t>
  </si>
  <si>
    <t>FLAT # 101, TYPE # B, 1ST FLOOR, PLOT # 17-C, SUN SET LANE # 5, PHASE-II EXT, DHA, KARACHI.</t>
  </si>
  <si>
    <t>FAISAL GUL</t>
  </si>
  <si>
    <t>41303-2435224-9</t>
  </si>
  <si>
    <t>FLAT # 21/A 4TH FLOOR, RABI CENTER, SURVEY # 41/496, PLOT # 496, CIVIL LINES HYDERABAD COMTONMENT, HYDERABAD.</t>
  </si>
  <si>
    <t>MUHAMMAD KASHIF KHAN</t>
  </si>
  <si>
    <t>37405-7496746-9</t>
  </si>
  <si>
    <t>HOUSE # 60, STREET # 3, KHASRA # 1973/783, KHEWAT # 357, KHATOONI # 582, MUZAMIL TOWN, MOUZA SHAKRIAL, RAWALPINDI.</t>
  </si>
  <si>
    <t>MUHAMMAD TAHIR</t>
  </si>
  <si>
    <t>42101-7497375-1</t>
  </si>
  <si>
    <t>FLAT # B-3, 2ND FLOOR, HASIM ARCADE, SUB PLOT # S-3, PLOT # SB-6, BLOCK 1, KDA SCHEME # 24, GULSHAN E IQBAL, KARACHI.</t>
  </si>
  <si>
    <t>33100-6819888-3</t>
  </si>
  <si>
    <t>HOUSE # 14086, STREET # 4, MOHALLAH AMDAD TOWN, NEAR MANAWALA STOP, SHEKHUPURA ROAD, CHAK # 203/RB, FAISALABAD.</t>
  </si>
  <si>
    <t>ARSHAD NOOR</t>
  </si>
  <si>
    <t>37405-7388698-7</t>
  </si>
  <si>
    <t>HOUSE # CB 1028/A, KHEWAT 143, KHATTONI 165, KHASRA # 1133, MOUZA CHOHAR HARPAL CANTT, RAWALPINDI.</t>
  </si>
  <si>
    <t>SAIRA MALIK</t>
  </si>
  <si>
    <t>31303-8937866-0</t>
  </si>
  <si>
    <t>HOUSE # 2, IFTIKHAR STREET, NEW SAMANABAD, LAHORE.</t>
  </si>
  <si>
    <t>SUMMIYA TASNEEM</t>
  </si>
  <si>
    <t>42201-6091628-0</t>
  </si>
  <si>
    <t>FLAT # A-215, 2ND FLOOR, BLOCK A-/1, BILLYS GARDEN, SUB PLOT # FL-8/1/15, PLOT # FL-08, BLOCK 2, METROVILL III, SECTOR 14/A, SCHEME 33, KARACHI.</t>
  </si>
  <si>
    <t>MUSSANIS RAZA</t>
  </si>
  <si>
    <t>36601-7025010-9</t>
  </si>
  <si>
    <t>HOUSE # 330, EDEN GARDEN, 208 CHAK ROAD, OFF CANAL ROAD, FAISALABAD.</t>
  </si>
  <si>
    <t>MUHAMMAD MUQTADIR KHAN</t>
  </si>
  <si>
    <t>42101-5428424-1</t>
  </si>
  <si>
    <t>FLAT # C-402/4, 4TH FLOOR, LARAIB GARDEN, SUB PLOT # ST-8/1, BLOCK 1, KDA SCHEME # 24, GULSHAN E IQBAL, KARACHI.</t>
  </si>
  <si>
    <t>FAREED UZ ZAMAN</t>
  </si>
  <si>
    <t>42201-7843886-1</t>
  </si>
  <si>
    <t>PLT # 197-A, BLK # 1, PIR AHMED ZAMAN TOWN, PHASE II, SUR # 53TO57,61,62,63,64,65,68,69,138,139,140,141 DEH DOZAN TAPPO GADAP, KDA SCHEME 33, KARACHI.</t>
  </si>
  <si>
    <t>SALMAN ZAHID</t>
  </si>
  <si>
    <t>35201-7692439-9</t>
  </si>
  <si>
    <t>PLOT # 867, JANIPER BLOCK, SECTOR-C, BAHRIA TOWN, LAHORE.</t>
  </si>
  <si>
    <t>AZEEM  HUSSAIN</t>
  </si>
  <si>
    <t>33100-5833487-9</t>
  </si>
  <si>
    <t>HOUSE # 15-A, STREET # 8, CANAL PARK, VIP BLOCK, EAST CANAL ROAD, CHAK # 204/RB, FAISALABAD.</t>
  </si>
  <si>
    <t>MUSTAFA KHAN</t>
  </si>
  <si>
    <t>42101-8831794-9</t>
  </si>
  <si>
    <t>FLAT # B1-002, GF, OLYMPIC PRIDE II, SUB PLOT NO. A-1/6, BLOCK A, SURJANI TOWN, KARACHI.</t>
  </si>
  <si>
    <t>SADDAM HUSSAIN</t>
  </si>
  <si>
    <t>33104-6411691-9</t>
  </si>
  <si>
    <t>HOUSE # 212, UNIVERSITY TOWN, MILLAT ROAD, FAISALABAD.</t>
  </si>
  <si>
    <t>MUHAMMAD SADAQAT  MEHMOOD</t>
  </si>
  <si>
    <t>37405-7310412-9</t>
  </si>
  <si>
    <t>HOUSE AT KHASRA # 318, KHEWAT # 167, KHATOONI # 209, BEARING INTIQAT # 9607, MOUZA MOHRI GHAZAN RAWALPINDI.</t>
  </si>
  <si>
    <t>SAMEERA IDRIS</t>
  </si>
  <si>
    <t>42301-4642826-2</t>
  </si>
  <si>
    <t>FLAT # 4, 2ND FLOOR, PLOT # 50/C, STREET # 02, PHASE VI, MUSLIM COMMERCIAL STREET, DHA KARACHI.</t>
  </si>
  <si>
    <t>FAZAL HAQUE</t>
  </si>
  <si>
    <t>41306-4811609-9</t>
  </si>
  <si>
    <t>HOUSE # 26, MODEL TOWN HOUSING SCHEME, R.S NO. 613,614,517,123, DEH JAMSHORO, TAPPA &amp; TALUKA QASIMABADM DISTRICT HYDERABAD, SINDH.</t>
  </si>
  <si>
    <t>MUHAMMAD TAUSEEF</t>
  </si>
  <si>
    <t>42201-7178294-9</t>
  </si>
  <si>
    <t>PLOT # 119, AL JADEED RESIDENCY, SURVEY # 15, DEH KHARKHARO, TAPPO KONKAR, TALUKA MURAD MEMON, DISTRICT MALIR, KARACHI.</t>
  </si>
  <si>
    <t>MUHAMMAD NAEEM</t>
  </si>
  <si>
    <t>54400-7039660-1</t>
  </si>
  <si>
    <t>PLOT # 1119, BLOCK -T, PHASE 7, DHA, LAHORE.</t>
  </si>
  <si>
    <t>MUHAMMAD IMRAN</t>
  </si>
  <si>
    <t>33100-4324204-3</t>
  </si>
  <si>
    <t>HOUSE # 344, SEHGAL CITY, MADINA BLOCK, SAMUNDRI ROAD, FAISALABAD.</t>
  </si>
  <si>
    <t>AMNA JAWAD</t>
  </si>
  <si>
    <t>42201-9544919-6</t>
  </si>
  <si>
    <t>HOUSE # D-187/1, BLOCK 7, KDA SCHEME 24, GULSHAN E IQBAL, KARACHI.</t>
  </si>
  <si>
    <t>MUBASHAR IQBAL</t>
  </si>
  <si>
    <t>37104-8587599-5</t>
  </si>
  <si>
    <t>HOUSE # 318-G, LANE 8, GREEN VILLAS BLOCK SNOBER CITY HOUSING SCHEME ADYALA ROAD, RAWALPINDI.</t>
  </si>
  <si>
    <t>MUNAZZAH IRUM SHOAIB</t>
  </si>
  <si>
    <t>42201-0314545-4</t>
  </si>
  <si>
    <t>FLAT # D-02, GF, GREY NOOR APARTMENT, PLOT # COM-2, SECTOR # 29, DEH SONGAL, KDA SCHEME # 33, KARACHI.</t>
  </si>
  <si>
    <t>IMRAN EHSAN</t>
  </si>
  <si>
    <t>35201-4080850-1</t>
  </si>
  <si>
    <t>PLOT # 1025, BLOCK T, SITUATED PHASE 8, DEFENSE HOUSING AUTHORITY LAHORE.</t>
  </si>
  <si>
    <t>AFTAB AZEEM</t>
  </si>
  <si>
    <t>32203-8431715-1</t>
  </si>
  <si>
    <t>HOUSE # CA-311, AS PER ETO CA 308/C, CHRISTIABAD PINDORA, SAIDPUR ROAD, RAWALPINDI.</t>
  </si>
  <si>
    <t>MUHAMMAD  AFZAL</t>
  </si>
  <si>
    <t>35201-1206998-3</t>
  </si>
  <si>
    <t>HOUSE # 59, BLOCK G-3, PHASE 1, WAPDA EMPLOYEES CO-OPERATIVE HOUSING SOCIETY LTD. LAHORE.</t>
  </si>
  <si>
    <t>SYED MUSTAJEEB AHME ZAIDI</t>
  </si>
  <si>
    <t>42201-9178169-9</t>
  </si>
  <si>
    <t>FLT # 215, TYPE B, 2 FLOOR, RAZA EXCELLENCY, SUB PLOT # SB-01/3, PLOT # SB-1, SURVEY # 10 &amp; PART 179, BLK 7, KDA SCHEME 36, GULISTAN E JOHAR, KARACHI.</t>
  </si>
  <si>
    <t>SYED ZIA UDDIN</t>
  </si>
  <si>
    <t>42201-9125039-3</t>
  </si>
  <si>
    <t>FLAT # 101, FIRST FLOOR, GULSHAN E FAISAL COOPERATIVE HOUSING SOCIETY, BATH ISLAND, KARACHI.</t>
  </si>
  <si>
    <t>AHMED ZIA UD DIN</t>
  </si>
  <si>
    <t>35202-5068290-3</t>
  </si>
  <si>
    <t>PLOT WITH KHEWAT # 341/335.218 213, KHATOONI #543, 5332 QITA # 3, 6 MOUZA HEIR TEHSIL CANTT DISTRICT LAHORE.</t>
  </si>
  <si>
    <t>MUHAMMAD FAHEEM</t>
  </si>
  <si>
    <t>42201-0773603-9</t>
  </si>
  <si>
    <t>HOUSE # 35-B/362, BLOCK # 7&amp;8, C.P BERAR COOPERATIVE HOUSING SOCIETY LTD. KARACHI COOPERATIVE HOUSING SOCIETIES UNION LTD. KARACHI</t>
  </si>
  <si>
    <t>A</t>
  </si>
  <si>
    <t>L</t>
  </si>
  <si>
    <t>ADIL KHAN</t>
  </si>
  <si>
    <t>Karachi</t>
  </si>
  <si>
    <t>32102-1196565-9</t>
  </si>
  <si>
    <t>H # C 10 BLK A NORTH NAZIMABAD KDA SCHEME NO 2 KARACHI</t>
  </si>
  <si>
    <t>SYED RAJAB ALI</t>
  </si>
  <si>
    <t>Lahore</t>
  </si>
  <si>
    <t>35202-2488349-9</t>
  </si>
  <si>
    <t>H # 119 &amp; 120 BLOCK SIKANDAR ALLAMA IQBAL TOWN LAHORE</t>
  </si>
  <si>
    <t>MUHAMMAD AALAM KHAN</t>
  </si>
  <si>
    <t>Faisalabad</t>
  </si>
  <si>
    <t>33100-1274837-9</t>
  </si>
  <si>
    <t>H # 231 UMAR BLOCK RIAZ UL JANNAH HOUSING SCHEME MASJID ISMAIL ROAD CHAK NO 7/JB FSD</t>
  </si>
  <si>
    <t>AHMAD NAVEED IQBAL</t>
  </si>
  <si>
    <t>35202-2937895-3</t>
  </si>
  <si>
    <t>H # 469 BLK 2 L PHASE 11 RAHBAR DHA LAHORE</t>
  </si>
  <si>
    <t>NOOR MUHAMMAD KHAN</t>
  </si>
  <si>
    <t>54303-1131179-5</t>
  </si>
  <si>
    <t>HOUSE NO 82-B FAISAL STREET NO 2 PHASE VIII-B DHA KARACHI</t>
  </si>
  <si>
    <t>ZEESHAN ASLAM</t>
  </si>
  <si>
    <t>33100-5311372-9</t>
  </si>
  <si>
    <t>H # 25/C SHEIKH COLONY NEAR GOVT FAROOQIA HIGH SCHOOL JHANG ROAD TEHSIL CITY DISTT FAISALABAD</t>
  </si>
  <si>
    <t>MAJEED SHAHID</t>
  </si>
  <si>
    <t>35201-5786262-7</t>
  </si>
  <si>
    <t>H NO 217-C SITUATED AT PHASE 1 PUNJAB CO OPERATIVE HOUSING SOCIETY DEFENCE ROAD LAHORE</t>
  </si>
  <si>
    <t>JAHANGIR KHAN</t>
  </si>
  <si>
    <t>42201-4977869-1</t>
  </si>
  <si>
    <t>H # IH-15 SURVEY # 39/1/1 AIR FORCE HOUSING SCHEME MALIR CANTOMENT KARACHI</t>
  </si>
  <si>
    <t>MUHAMMAD FAISAL WARIS</t>
  </si>
  <si>
    <t>Islamabad</t>
  </si>
  <si>
    <t>34603-2281925-9</t>
  </si>
  <si>
    <t>H # E 021 SITUATED AT KHEWAT # 126 KHATOONI 147 KHASRA 411/2 OLD 433 NEW MAUZA PHALRA KNOWN AS ELITTE REVERLE EIGHTEEN PAKISTAN ROAD 28 SEC E EIGHTEE</t>
  </si>
  <si>
    <t>RUKHSHANDA ANJUM</t>
  </si>
  <si>
    <t>13101-4989187-4</t>
  </si>
  <si>
    <t>H # 149 BLK E TIP EMPLOYEES COOPERATIVE HOUSING SOCIETY LTD SITUATED AT DEFENCE ROAD LAHORE</t>
  </si>
  <si>
    <t>ABDUR REHMAN</t>
  </si>
  <si>
    <t>33100-5670314-5</t>
  </si>
  <si>
    <t>H # 33/A MUHAMMAD NAGAR ADJCAENT BILAL ESTATE AGENCY STYANA ROAD TEHSIL CITY DISTRICT FAISALABAD</t>
  </si>
  <si>
    <t>CHAUDHRY MOHSIN SIDDIQUE</t>
  </si>
  <si>
    <t>35201-9834740-7</t>
  </si>
  <si>
    <t>PLOT NO 828 SECTOR E PHASE 6 SITUATED AT DHA LAHORE</t>
  </si>
  <si>
    <t>FARAN ANWAR</t>
  </si>
  <si>
    <t>35200-8532129-7</t>
  </si>
  <si>
    <t>SU HOUSE NO 232 SECTOR F AOHS ASKARI 10 LAHORE</t>
  </si>
  <si>
    <t>KHADEESH UL HASSAN</t>
  </si>
  <si>
    <t>42101-0961889-7</t>
  </si>
  <si>
    <t>P # E 19/1 BLOCK F NORTH NAZIMABAD KDA SCHEME # 2 KARACHI</t>
  </si>
  <si>
    <t>997HREN230800001</t>
  </si>
  <si>
    <t>997BFIN230600006</t>
  </si>
  <si>
    <t>997BFIN230730007</t>
  </si>
  <si>
    <t>9976BUY230810001</t>
  </si>
  <si>
    <t>997HBUY230900004</t>
  </si>
  <si>
    <t>997HREN230900001</t>
  </si>
  <si>
    <t>9976BUY230890001</t>
  </si>
  <si>
    <t>997HBUY230880001</t>
  </si>
  <si>
    <t>997HBUY230890003</t>
  </si>
  <si>
    <t>997HCON230900002</t>
  </si>
  <si>
    <t>9973PMR230670002</t>
  </si>
  <si>
    <t>9973PMR230880001</t>
  </si>
  <si>
    <t>9973PMR230900002</t>
  </si>
  <si>
    <t>9973PMR230760001</t>
  </si>
  <si>
    <t>KHI/HO/D/FR/ND/P/21859/03/2024</t>
  </si>
  <si>
    <t>KHI/HO/D/FR/ND/P/21860/03/2024</t>
  </si>
  <si>
    <t>KHI/HO/D/FR/ND/P/21861/03/2024</t>
  </si>
  <si>
    <t>KHI/HO/D/FR/ND/P/21862/03/2024</t>
  </si>
  <si>
    <t>KHI/HO/D/FR/ND/P/21863/03/2024</t>
  </si>
  <si>
    <t>KHI/HO/D/FR/ND/P/21864/03/2024</t>
  </si>
  <si>
    <t>KHI/HO/D/FR/ND/P/21865/03/2024</t>
  </si>
  <si>
    <t>KHI/HO/D/FR/ND/P/21866/03/2024</t>
  </si>
  <si>
    <t>KHI/HO/D/FR/ND/P/21867/03/2024</t>
  </si>
  <si>
    <t>KHI/HO/D/FR/ND/P/21868/03/2024</t>
  </si>
  <si>
    <t>KHI/HO/D/FR/ND/P/21869/03/2024</t>
  </si>
  <si>
    <t>KHI/HO/D/FR/ND/P/21870/03/2024</t>
  </si>
  <si>
    <t>KHI/HO/D/FR/ND/P/21871/03/2024</t>
  </si>
  <si>
    <t>KHI/HO/D/FR/ND/P/21872/03/2024</t>
  </si>
  <si>
    <t>KHI/HO/D/FR/ND/P/21873/03/2024</t>
  </si>
  <si>
    <t>KHI/HO/D/FR/ND/P/21874/03/2024</t>
  </si>
  <si>
    <t>KHI/HO/D/FR/ND/P/21875/03/2024</t>
  </si>
  <si>
    <t>KHI/HO/D/FR/ND/P/21876/03/2024</t>
  </si>
  <si>
    <t>KHI/HO/D/FR/ND/P/21883/03/2024</t>
  </si>
  <si>
    <t>KHI/HO/D/FR/ND/P/21884/03/2024</t>
  </si>
  <si>
    <t>KHI/HO/D/FR/ND/P/21885/03/2024</t>
  </si>
  <si>
    <t>KHI/HO/D/FR/ND/P/21886/03/2024</t>
  </si>
  <si>
    <t>KHI/HO/D/FR/ND/P/21887/03/2024</t>
  </si>
  <si>
    <t>KHI/HO/D/FR/ND/P/21888/03/2024</t>
  </si>
  <si>
    <t>KHI/HO/D/FR/ND/P/21889/03/2024</t>
  </si>
  <si>
    <t>KHI/HO/D/FR/ND/P/21890/03/2024</t>
  </si>
  <si>
    <t>KHI/HO/D/FR/ND/P/21891/03/2024</t>
  </si>
  <si>
    <t>KHI/HO/D/FR/ND/P/21892/03/2024</t>
  </si>
  <si>
    <t>KHI/HO/D/FR/ND/P/21893/03/2024</t>
  </si>
  <si>
    <t>KHI/HO/D/FR/ND/P/21894/03/2024</t>
  </si>
  <si>
    <t>KHI/HO/D/FR/ND/P/21895/03/2024</t>
  </si>
  <si>
    <t>KHI/HO/D/FR/ND/P/21896/03/2024</t>
  </si>
  <si>
    <t>KHI/HO/D/FR/ND/P/21897/03/2024</t>
  </si>
  <si>
    <t>KHI/HO/D/FR/ND/P/21898/03/2024</t>
  </si>
  <si>
    <t>KHI/HO/D/FR/ND/P/21899/03/2024</t>
  </si>
  <si>
    <t>KHI/HO/D/FR/ND/P/21900/03/2024</t>
  </si>
  <si>
    <t>KHI/HO/D/FR/ND/P/21901/03/2024</t>
  </si>
  <si>
    <t>KHI/HO/D/FR/ND/P/21902/03/2024</t>
  </si>
  <si>
    <t>KHI/HO/D/FR/ND/P/21903/03/2024</t>
  </si>
  <si>
    <t>KHI/HO/D/FR/ND/P/21904/03/2024</t>
  </si>
  <si>
    <t>KHI/HO/D/FR/ND/P/21905/03/2024</t>
  </si>
  <si>
    <t>KHI/HO/D/FR/ND/P/21906/03/2024</t>
  </si>
  <si>
    <t>KHI/HO/D/FR/ND/P/21907/03/2024</t>
  </si>
  <si>
    <t>KHI/HO/D/FR/ND/P/21908/03/2024</t>
  </si>
  <si>
    <t>KHI/HO/D/FR/ND/P/21909/03/2024</t>
  </si>
  <si>
    <t>KHI/HO/D/FR/ND/P/21910/03/2024</t>
  </si>
  <si>
    <t>KHI/HO/D/FR/ND/P/21911/03/2024</t>
  </si>
  <si>
    <t>KHI/HO/D/FR/ND/P/21912/03/2024</t>
  </si>
  <si>
    <t>KHI/HO/D/FR/ND/P/21913/03/2024</t>
  </si>
  <si>
    <t>KHI/HO/D/FR/ND/P/21914/03/2024</t>
  </si>
  <si>
    <t>KHI/HO/D/FR/ND/P/21915/03/2024</t>
  </si>
  <si>
    <t>KHI/HO/D/FR/ND/P/21916/03/2024</t>
  </si>
  <si>
    <t>KHI/HO/D/FR/ND/P/21917/03/2024</t>
  </si>
  <si>
    <t>KHI/HO/D/FR/ND/P/21918/03/2024</t>
  </si>
  <si>
    <t>KHI/HO/D/FR/ND/P/21919/03/2024</t>
  </si>
  <si>
    <t>KHI/HO/D/FR/ND/P/21920/03/2024</t>
  </si>
  <si>
    <t>KHI/HO/D/FR/ND/P/21921/03/2024</t>
  </si>
  <si>
    <t>KHI/HO/D/FR/ND/P/21922/03/2024</t>
  </si>
  <si>
    <t>KHI/HO/D/FR/ND/P/21923/03/2024</t>
  </si>
  <si>
    <t>KHI/HO/D/FR/ND/P/21924/03/2024</t>
  </si>
  <si>
    <t>KHI/HO/D/FR/ND/P/21925/03/2024</t>
  </si>
  <si>
    <t>KHI/HO/D/FR/ND/P/21926/03/2024</t>
  </si>
  <si>
    <t>KHI/HO/D/FR/ND/P/21927/03/2024</t>
  </si>
  <si>
    <t>KHI/HO/D/FR/ND/P/21928/03/2024</t>
  </si>
  <si>
    <t>KHI/HO/D/FR/ND/P/21929/03/2024</t>
  </si>
  <si>
    <t>KHI/HO/D/FR/ND/P/21930/03/2024</t>
  </si>
  <si>
    <t>KHI/HO/D/FR/ND/P/21931/03/2024</t>
  </si>
  <si>
    <t>KHI/HO/D/FR/ND/P/21932/03/2024</t>
  </si>
  <si>
    <t>KHI/HO/D/FR/ND/P/21933/03/2024</t>
  </si>
  <si>
    <t>KHI/HO/D/FR/ND/P/21934/03/2024</t>
  </si>
  <si>
    <t>KHI/HO/D/FR/ND/P/21935/03/2024</t>
  </si>
  <si>
    <t>KHI/HO/D/FR/ND/P/21936/03/2024</t>
  </si>
  <si>
    <t>KHI/HO/D/FR/ND/P/21937/03/2024</t>
  </si>
  <si>
    <t>KHI/HO/D/FR/ND/P/21938/03/2024</t>
  </si>
  <si>
    <t>KHI/HO/D/FR/ND/P/21939/03/2024</t>
  </si>
  <si>
    <t>KHI/HO/D/FR/ND/P/21940/03/2024</t>
  </si>
  <si>
    <t>KHI/HO/D/FR/ND/P/21941/03/2024</t>
  </si>
  <si>
    <t>KHI/HO/D/FR/ND/P/21942/03/2024</t>
  </si>
  <si>
    <t>KHI/HO/D/FR/ND/P/21943/03/2024</t>
  </si>
  <si>
    <t>KHI/HO/D/FR/ND/P/21944/03/2024</t>
  </si>
  <si>
    <t>KHI/HO/D/FR/ND/P/21945/03/2024</t>
  </si>
  <si>
    <t>KHI/HO/D/FR/ND/P/21946/03/2024</t>
  </si>
  <si>
    <t>KHI/HO/D/FR/ND/P/21947/03/2024</t>
  </si>
  <si>
    <t>KHI/HO/D/FR/ND/P/21948/03/2024</t>
  </si>
  <si>
    <t>KHI/HO/D/FR/ND/P/21949/03/2024</t>
  </si>
  <si>
    <t>KHI/HO/D/FR/ND/P/21950/03/2024</t>
  </si>
  <si>
    <t>KHI/HO/D/FR/ND/P/21951/03/2024</t>
  </si>
  <si>
    <t>KHI/HO/D/FR/ND/P/21952/03/2024</t>
  </si>
  <si>
    <t>KHI/HO/D/FR/ND/P/21953/03/2024</t>
  </si>
  <si>
    <t>KHI/HO/D/FR/ND/P/21954/03/2024</t>
  </si>
  <si>
    <t>KHI/HO/D/FR/ND/P/21955/03/2024</t>
  </si>
  <si>
    <t>KHI/HO/D/FR/ND/P/21956/03/2024</t>
  </si>
  <si>
    <t>KHI/HO/D/FR/ND/P/21957/03/2024</t>
  </si>
  <si>
    <t>KHI/HO/D/FR/ND/P/21958/03/2024</t>
  </si>
  <si>
    <t>KHI/HO/D/FR/ND/P/21959/03/2024</t>
  </si>
  <si>
    <t>KHI/HO/D/FR/ND/P/21960/03/2024</t>
  </si>
  <si>
    <t>KHI/HO/D/FR/ND/P/21961/03/2024</t>
  </si>
  <si>
    <t>KHI/HO/D/FR/ND/P/21962/03/2024</t>
  </si>
  <si>
    <t>KHI/HO/D/FR/ND/P/21963/03/2024</t>
  </si>
  <si>
    <t>KHI/HO/D/FR/ND/P/21964/03/2024</t>
  </si>
  <si>
    <t>KHI/HO/D/FR/ND/P/21965/03/2024</t>
  </si>
  <si>
    <t>KHI/HO/D/FR/ND/P/21966/03/2024</t>
  </si>
  <si>
    <t>KHI/HO/D/FR/ND/P/21967/03/2024</t>
  </si>
  <si>
    <t>KHI/HO/D/FR/ND/P/21968/03/2024</t>
  </si>
  <si>
    <t>KHI/HO/D/FR/ND/P/21969/03/2024</t>
  </si>
  <si>
    <t>KHI/HO/D/FR/ND/P/21970/03/2024</t>
  </si>
  <si>
    <t>KHI/HO/D/FR/ND/P/21971/03/2024</t>
  </si>
  <si>
    <t>KHI/HO/D/FR/ND/P/21972/03/2024</t>
  </si>
  <si>
    <t>KHI/HO/D/FR/ND/P/21973/03/2024</t>
  </si>
  <si>
    <t>KHI/HO/D/FR/ND/P/21974/03/2024</t>
  </si>
  <si>
    <t>KHI/HO/D/FR/ND/P/21975/03/2024</t>
  </si>
  <si>
    <t>KHI/HO/D/FR/ND/P/21976/03/2024</t>
  </si>
  <si>
    <t>KHI/HO/D/FR/ND/P/21977/03/2024</t>
  </si>
  <si>
    <t>KHI/HO/D/FR/ND/P/21978/03/2024</t>
  </si>
  <si>
    <t>KHI/HO/D/FR/ND/P/21979/03/2024</t>
  </si>
  <si>
    <t>KHI/HO/D/FR/ND/P/21980/03/2024</t>
  </si>
  <si>
    <t>KHI/HO/D/FR/ND/P/21981/03/2024</t>
  </si>
  <si>
    <t>KHI/HO/D/FR/ND/P/21982/03/2024</t>
  </si>
  <si>
    <t>Net Contribution</t>
  </si>
  <si>
    <t>STL PMD #</t>
  </si>
  <si>
    <t>POLICY NO.</t>
  </si>
  <si>
    <t>Assorted_code</t>
  </si>
  <si>
    <t>Premium</t>
  </si>
  <si>
    <t>20Aug240150</t>
  </si>
  <si>
    <t>KHI-HO-D-FR-ND-P-21859-03-2024</t>
  </si>
  <si>
    <t>KHI-HO-D-FR-ND-P-21860-03-2024</t>
  </si>
  <si>
    <t>KHI-HO-D-FR-ND-P-21861-03-2024</t>
  </si>
  <si>
    <t>KHI-HO-D-FR-ND-P-21862-03-2024</t>
  </si>
  <si>
    <t>KHI-HO-D-FR-ND-P-21863-03-2024</t>
  </si>
  <si>
    <t>KHI-HO-D-FR-ND-P-21864-03-2024</t>
  </si>
  <si>
    <t>KHI-HO-D-FR-ND-P-21865-03-2024</t>
  </si>
  <si>
    <t>KHI-HO-D-FR-ND-P-21866-03-2024</t>
  </si>
  <si>
    <t>KHI-HO-D-FR-ND-P-21867-03-2024</t>
  </si>
  <si>
    <t>KHI-HO-D-FR-ND-P-21868-03-2024</t>
  </si>
  <si>
    <t>KHI-HO-D-FR-ND-P-21869-03-2024</t>
  </si>
  <si>
    <t>KHI-HO-D-FR-ND-P-21870-03-2024</t>
  </si>
  <si>
    <t>KHI-HO-D-FR-ND-P-21871-03-2024</t>
  </si>
  <si>
    <t>KHI-HO-D-FR-ND-P-21872-03-2024</t>
  </si>
  <si>
    <t>KHI-HO-D-FR-ND-P-21873-03-2024</t>
  </si>
  <si>
    <t>KHI-HO-D-FR-ND-P-21874-03-2024</t>
  </si>
  <si>
    <t>KHI-HO-D-FR-ND-P-21875-03-2024</t>
  </si>
  <si>
    <t>KHI-HO-D-FR-ND-P-21876-03-2024</t>
  </si>
  <si>
    <t>KHI-HO-D-FR-ND-P-21883-03-2024</t>
  </si>
  <si>
    <t>KHI-HO-D-FR-ND-P-21884-03-2024</t>
  </si>
  <si>
    <t>KHI-HO-D-FR-ND-P-21885-03-2024</t>
  </si>
  <si>
    <t>KHI-HO-D-FR-ND-P-21886-03-2024</t>
  </si>
  <si>
    <t>KHI-HO-D-FR-ND-P-21887-03-2024</t>
  </si>
  <si>
    <t>KHI-HO-D-FR-ND-P-21888-03-2024</t>
  </si>
  <si>
    <t>KHI-HO-D-FR-ND-P-21889-03-2024</t>
  </si>
  <si>
    <t>KHI-HO-D-FR-ND-P-21890-03-2024</t>
  </si>
  <si>
    <t>KHI-HO-D-FR-ND-P-21891-03-2024</t>
  </si>
  <si>
    <t>KHI-HO-D-FR-ND-P-21892-03-2024</t>
  </si>
  <si>
    <t>KHI-HO-D-FR-ND-P-21893-03-2024</t>
  </si>
  <si>
    <t>KHI-HO-D-FR-ND-P-21894-03-2024</t>
  </si>
  <si>
    <t>KHI-HO-D-FR-ND-P-21895-03-2024</t>
  </si>
  <si>
    <t>KHI-HO-D-FR-ND-P-21896-03-2024</t>
  </si>
  <si>
    <t>KHI-HO-D-FR-ND-P-21897-03-2024</t>
  </si>
  <si>
    <t>KHI-HO-D-FR-ND-P-21898-03-2024</t>
  </si>
  <si>
    <t>KHI-HO-D-FR-ND-P-21899-03-2024</t>
  </si>
  <si>
    <t>KHI-HO-D-FR-ND-P-21900-03-2024</t>
  </si>
  <si>
    <t>KHI-HO-D-FR-ND-P-21901-03-2024</t>
  </si>
  <si>
    <t>KHI-HO-D-FR-ND-P-21902-03-2024</t>
  </si>
  <si>
    <t>KHI-HO-D-FR-ND-P-21903-03-2024</t>
  </si>
  <si>
    <t>KHI-HO-D-FR-ND-P-21904-03-2024</t>
  </si>
  <si>
    <t>KHI-HO-D-FR-ND-P-21905-03-2024</t>
  </si>
  <si>
    <t>KHI-HO-D-FR-ND-P-21906-03-2024</t>
  </si>
  <si>
    <t>KHI-HO-D-FR-ND-P-21907-03-2024</t>
  </si>
  <si>
    <t>KHI-HO-D-FR-ND-P-21908-03-2024</t>
  </si>
  <si>
    <t>KHI-HO-D-FR-ND-P-21909-03-2024</t>
  </si>
  <si>
    <t>KHI-HO-D-FR-ND-P-21910-03-2024</t>
  </si>
  <si>
    <t>KHI-HO-D-FR-ND-P-21911-03-2024</t>
  </si>
  <si>
    <t>KHI-HO-D-FR-ND-P-21912-03-2024</t>
  </si>
  <si>
    <t>KHI-HO-D-FR-ND-P-21913-03-2024</t>
  </si>
  <si>
    <t>KHI-HO-D-FR-ND-P-21914-03-2024</t>
  </si>
  <si>
    <t>KHI-HO-D-FR-ND-P-21915-03-2024</t>
  </si>
  <si>
    <t>KHI-HO-D-FR-ND-P-21916-03-2024</t>
  </si>
  <si>
    <t>KHI-HO-D-FR-ND-P-21917-03-2024</t>
  </si>
  <si>
    <t>KHI-HO-D-FR-ND-P-21918-03-2024</t>
  </si>
  <si>
    <t>KHI-HO-D-FR-ND-P-21919-03-2024</t>
  </si>
  <si>
    <t>KHI-HO-D-FR-ND-P-21920-03-2024</t>
  </si>
  <si>
    <t>KHI-HO-D-FR-ND-P-21921-03-2024</t>
  </si>
  <si>
    <t>KHI-HO-D-FR-ND-P-21922-03-2024</t>
  </si>
  <si>
    <t>KHI-HO-D-FR-ND-P-21923-03-2024</t>
  </si>
  <si>
    <t>KHI-HO-D-FR-ND-P-21924-03-2024</t>
  </si>
  <si>
    <t>KHI-HO-D-FR-ND-P-21925-03-2024</t>
  </si>
  <si>
    <t>KHI-HO-D-FR-ND-P-21926-03-2024</t>
  </si>
  <si>
    <t>KHI-HO-D-FR-ND-P-21927-03-2024</t>
  </si>
  <si>
    <t>KHI-HO-D-FR-ND-P-21928-03-2024</t>
  </si>
  <si>
    <t>KHI-HO-D-FR-ND-P-21929-03-2024</t>
  </si>
  <si>
    <t>KHI-HO-D-FR-ND-P-21930-03-2024</t>
  </si>
  <si>
    <t>KHI-HO-D-FR-ND-P-21931-03-2024</t>
  </si>
  <si>
    <t>KHI-HO-D-FR-ND-P-21932-03-2024</t>
  </si>
  <si>
    <t>KHI-HO-D-FR-ND-P-21933-03-2024</t>
  </si>
  <si>
    <t>KHI-HO-D-FR-ND-P-21934-03-2024</t>
  </si>
  <si>
    <t>KHI-HO-D-FR-ND-P-21935-03-2024</t>
  </si>
  <si>
    <t>KHI-HO-D-FR-ND-P-21936-03-2024</t>
  </si>
  <si>
    <t>KHI-HO-D-FR-ND-P-21937-03-2024</t>
  </si>
  <si>
    <t>KHI-HO-D-FR-ND-P-21938-03-2024</t>
  </si>
  <si>
    <t>KHI-HO-D-FR-ND-P-21939-03-2024</t>
  </si>
  <si>
    <t>KHI-HO-D-FR-ND-P-21940-03-2024</t>
  </si>
  <si>
    <t>KHI-HO-D-FR-ND-P-21941-03-2024</t>
  </si>
  <si>
    <t>KHI-HO-D-FR-ND-P-21942-03-2024</t>
  </si>
  <si>
    <t>KHI-HO-D-FR-ND-P-21943-03-2024</t>
  </si>
  <si>
    <t>KHI-HO-D-FR-ND-P-21944-03-2024</t>
  </si>
  <si>
    <t>KHI-HO-D-FR-ND-P-21945-03-2024</t>
  </si>
  <si>
    <t>KHI-HO-D-FR-ND-P-21946-03-2024</t>
  </si>
  <si>
    <t>KHI-HO-D-FR-ND-P-21947-03-2024</t>
  </si>
  <si>
    <t>KHI-HO-D-FR-ND-P-21948-03-2024</t>
  </si>
  <si>
    <t>KHI-HO-D-FR-ND-P-21949-03-2024</t>
  </si>
  <si>
    <t>KHI-HO-D-FR-ND-P-21950-03-2024</t>
  </si>
  <si>
    <t>KHI-HO-D-FR-ND-P-21951-03-2024</t>
  </si>
  <si>
    <t>KHI-HO-D-FR-ND-P-21952-03-2024</t>
  </si>
  <si>
    <t>KHI-HO-D-FR-ND-P-21953-03-2024</t>
  </si>
  <si>
    <t>KHI-HO-D-FR-ND-P-21954-03-2024</t>
  </si>
  <si>
    <t>KHI-HO-D-FR-ND-P-21955-03-2024</t>
  </si>
  <si>
    <t>KHI-HO-D-FR-ND-P-21956-03-2024</t>
  </si>
  <si>
    <t>KHI-HO-D-FR-ND-P-21957-03-2024</t>
  </si>
  <si>
    <t>KHI-HO-D-FR-ND-P-21958-03-2024</t>
  </si>
  <si>
    <t>KHI-HO-D-FR-ND-P-21959-03-2024</t>
  </si>
  <si>
    <t>KHI-HO-D-FR-ND-P-21960-03-2024</t>
  </si>
  <si>
    <t>KHI-HO-D-FR-ND-P-21961-03-2024</t>
  </si>
  <si>
    <t>KHI-HO-D-FR-ND-P-21962-03-2024</t>
  </si>
  <si>
    <t>KHI-HO-D-FR-ND-P-21963-03-2024</t>
  </si>
  <si>
    <t>KHI-HO-D-FR-ND-P-21964-03-2024</t>
  </si>
  <si>
    <t>KHI-HO-D-FR-ND-P-21965-03-2024</t>
  </si>
  <si>
    <t>KHI-HO-D-FR-ND-P-21966-03-2024</t>
  </si>
  <si>
    <t>KHI-HO-D-FR-ND-P-21967-03-2024</t>
  </si>
  <si>
    <t>KHI-HO-D-FR-ND-P-21968-03-2024</t>
  </si>
  <si>
    <t>KHI-HO-D-FR-ND-P-21969-03-2024</t>
  </si>
  <si>
    <t>KHI-HO-D-FR-ND-P-21970-03-2024</t>
  </si>
  <si>
    <t>KHI-HO-D-FR-ND-P-21971-03-2024</t>
  </si>
  <si>
    <t>KHI-HO-D-FR-ND-P-21972-03-2024</t>
  </si>
  <si>
    <t>KHI-HO-D-FR-ND-P-21973-03-2024</t>
  </si>
  <si>
    <t>KHI-HO-D-FR-ND-P-21974-03-2024</t>
  </si>
  <si>
    <t>KHI-HO-D-FR-ND-P-21975-03-2024</t>
  </si>
  <si>
    <t>KHI-HO-D-FR-ND-P-21976-03-2024</t>
  </si>
  <si>
    <t>KHI-HO-D-FR-ND-P-21977-03-2024</t>
  </si>
  <si>
    <t>KHI-HO-D-FR-ND-P-21978-03-2024</t>
  </si>
  <si>
    <t>KHI-HO-D-FR-ND-P-21979-03-2024</t>
  </si>
  <si>
    <t>KHI-HO-D-FR-ND-P-21980-03-2024</t>
  </si>
  <si>
    <t>KHI-HO-D-FR-ND-P-21981-03-2024</t>
  </si>
  <si>
    <t>KHI-HO-D-FR-ND-P-21982-03-2024</t>
  </si>
  <si>
    <t>KHI</t>
  </si>
  <si>
    <t>HO</t>
  </si>
  <si>
    <t>D</t>
  </si>
  <si>
    <t>FR</t>
  </si>
  <si>
    <t>ND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</si>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</sst>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\-mmm\-yy;@"/>
    <numFmt numFmtId="166" formatCode="#,##0_);\(#,##0\)"/>
    <numFmt numFmtId="170" formatCode="_-* #,##0.00_-;\-* #,##0.00_-;_-* &quot;-&quot;??_-;_-@_-"/>
    <numFmt numFmtId="171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i/>
      <sz val="9"/>
      <color indexed="9"/>
      <name val="Trebuchet MS"/>
      <family val="2"/>
    </font>
    <font>
      <i/>
      <sz val="9"/>
      <color theme="1"/>
      <name val="Trebuchet MS"/>
      <family val="2"/>
    </font>
    <font>
      <i/>
      <sz val="9"/>
      <name val="Trebuchet MS"/>
      <family val="2"/>
    </font>
    <font>
      <b/>
      <i/>
      <sz val="9"/>
      <color theme="1"/>
      <name val="Trebuchet MS"/>
      <family val="2"/>
    </font>
    <font>
      <sz val="9"/>
      <name val="Trebuchet MS"/>
      <family val="2"/>
    </font>
    <font>
      <b/>
      <sz val="9"/>
      <color indexed="9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2"/>
      </patternFill>
    </fill>
    <fill>
      <patternFill patternType="solid">
        <fgColor indexed="65"/>
        <bgColor indexed="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170" fontId="7" fillId="0" borderId="0" applyFont="0" applyFill="0" applyBorder="0" applyAlignment="0" applyProtection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8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" fontId="3" fillId="3" borderId="1" xfId="0" applyNumberFormat="1" applyFont="1" applyFill="1" applyBorder="1" applyAlignment="1">
      <alignment horizontal="right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38" fontId="2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right"/>
    </xf>
    <xf numFmtId="38" fontId="4" fillId="0" borderId="3" xfId="0" applyNumberFormat="1" applyFont="1" applyBorder="1"/>
    <xf numFmtId="1" fontId="3" fillId="3" borderId="0" xfId="0" applyNumberFormat="1" applyFont="1" applyFill="1" applyAlignment="1">
      <alignment horizontal="righ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" fontId="3" fillId="3" borderId="0" xfId="0" applyNumberFormat="1" applyFont="1" applyFill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3" fillId="3" borderId="6" xfId="0" applyNumberFormat="1" applyFont="1" applyFill="1" applyBorder="1" applyAlignment="1">
      <alignment horizontal="right" vertical="center"/>
    </xf>
    <xf numFmtId="1" fontId="3" fillId="3" borderId="6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164" fontId="3" fillId="3" borderId="1" xfId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3" borderId="0" xfId="1" applyFont="1" applyFill="1" applyBorder="1" applyAlignment="1">
      <alignment horizontal="left" vertical="center"/>
    </xf>
    <xf numFmtId="165" fontId="3" fillId="3" borderId="6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38" fontId="4" fillId="0" borderId="2" xfId="0" applyNumberFormat="1" applyFont="1" applyBorder="1"/>
    <xf numFmtId="0" fontId="0" fillId="0" borderId="0" xfId="0"/>
    <xf numFmtId="0" fontId="0" fillId="0" borderId="0" xfId="0" applyAlignment="1">
      <alignment vertical="top"/>
    </xf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171" fontId="9" fillId="0" borderId="0" xfId="1" applyNumberFormat="1" applyFont="1" applyAlignment="1">
      <alignment vertical="top"/>
    </xf>
    <xf numFmtId="0" fontId="10" fillId="0" borderId="0" xfId="0" applyFont="1"/>
  </cellXfs>
  <cellStyles count="3">
    <cellStyle name="Comma" xfId="1" builtinId="3"/>
    <cellStyle name="Comma 2" xfId="2" xr:uid="{156CA48E-BDE6-43DF-9F4B-767F9EE73725}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.hassan\Downloads\SHEET3.xlsx" TargetMode="External"/><Relationship Id="rId1" Type="http://schemas.openxmlformats.org/officeDocument/2006/relationships/externalLinkPath" Target="file:///C:\Users\adil.hassan\Downloads\SHEE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B2" t="str">
            <v>KHI/HO/D/FR/ND/P/21874/03/2024</v>
          </cell>
          <cell r="C2" t="str">
            <v>040000169382</v>
          </cell>
        </row>
        <row r="3">
          <cell r="B3" t="str">
            <v>KHI/HO/D/FR/ND/P/21859/03/2024</v>
          </cell>
          <cell r="C3" t="str">
            <v>040000169367</v>
          </cell>
        </row>
        <row r="4">
          <cell r="B4" t="str">
            <v>KHI/HO/D/FR/ND/P/21863/03/2024</v>
          </cell>
          <cell r="C4" t="str">
            <v>040000169371</v>
          </cell>
        </row>
        <row r="5">
          <cell r="B5" t="str">
            <v>KHI/HO/D/FR/ND/P/21868/03/2024</v>
          </cell>
          <cell r="C5" t="str">
            <v>040000169376</v>
          </cell>
        </row>
        <row r="6">
          <cell r="B6" t="str">
            <v>KHI/HO/D/FR/ND/P/21942/03/2024</v>
          </cell>
          <cell r="C6" t="str">
            <v>040000169450</v>
          </cell>
        </row>
        <row r="7">
          <cell r="B7" t="str">
            <v>KHI/HO/D/FR/ND/P/21943/03/2024</v>
          </cell>
          <cell r="C7" t="str">
            <v>040000169451</v>
          </cell>
        </row>
        <row r="8">
          <cell r="B8" t="str">
            <v>KHI/HO/D/FR/ND/P/21944/03/2024</v>
          </cell>
          <cell r="C8" t="str">
            <v>040000169452</v>
          </cell>
        </row>
        <row r="9">
          <cell r="B9" t="str">
            <v>KHI/HO/D/FR/ND/P/21933/03/2024</v>
          </cell>
          <cell r="C9" t="str">
            <v>040000169441</v>
          </cell>
        </row>
        <row r="10">
          <cell r="B10" t="str">
            <v>KHI/HO/D/FR/ND/P/21937/03/2024</v>
          </cell>
          <cell r="C10" t="str">
            <v>040000169445</v>
          </cell>
        </row>
        <row r="11">
          <cell r="B11" t="str">
            <v>KHI/HO/D/FR/ND/P/21941/03/2024</v>
          </cell>
          <cell r="C11" t="str">
            <v>040000169449</v>
          </cell>
        </row>
        <row r="12">
          <cell r="B12" t="str">
            <v>KHI/HO/D/FR/ND/P/21945/03/2024</v>
          </cell>
          <cell r="C12" t="str">
            <v>040000169453</v>
          </cell>
        </row>
        <row r="13">
          <cell r="B13" t="str">
            <v>KHI/HO/D/FR/ND/P/21949/03/2024</v>
          </cell>
          <cell r="C13" t="str">
            <v>040000169457</v>
          </cell>
        </row>
        <row r="14">
          <cell r="B14" t="str">
            <v>KHI/HO/D/FR/ND/P/21953/03/2024</v>
          </cell>
          <cell r="C14" t="str">
            <v>040000169461</v>
          </cell>
        </row>
        <row r="15">
          <cell r="B15" t="str">
            <v>KHI/HO/D/FR/ND/P/21957/03/2024</v>
          </cell>
          <cell r="C15" t="str">
            <v>040000169465</v>
          </cell>
        </row>
        <row r="16">
          <cell r="B16" t="str">
            <v>KHI/HO/D/FR/ND/P/21962/03/2024</v>
          </cell>
          <cell r="C16" t="str">
            <v>040000169470</v>
          </cell>
        </row>
        <row r="17">
          <cell r="B17" t="str">
            <v>KHI/HO/D/FR/ND/P/21946/03/2024</v>
          </cell>
          <cell r="C17" t="str">
            <v>040000169454</v>
          </cell>
        </row>
        <row r="18">
          <cell r="B18" t="str">
            <v>KHI/HO/D/FR/ND/P/21947/03/2024</v>
          </cell>
          <cell r="C18" t="str">
            <v>040000169455</v>
          </cell>
        </row>
        <row r="19">
          <cell r="B19" t="str">
            <v>KHI/HO/D/FR/ND/P/21948/03/2024</v>
          </cell>
          <cell r="C19" t="str">
            <v>040000169456</v>
          </cell>
        </row>
        <row r="20">
          <cell r="B20" t="str">
            <v>KHI/HO/D/FR/ND/P/21894/03/2024</v>
          </cell>
          <cell r="C20" t="str">
            <v>040000169402</v>
          </cell>
        </row>
        <row r="21">
          <cell r="B21" t="str">
            <v>KHI/HO/D/FR/ND/P/21895/03/2024</v>
          </cell>
          <cell r="C21" t="str">
            <v>040000169403</v>
          </cell>
        </row>
        <row r="22">
          <cell r="B22" t="str">
            <v>KHI/HO/D/FR/ND/P/21897/03/2024</v>
          </cell>
          <cell r="C22" t="str">
            <v>040000169405</v>
          </cell>
        </row>
        <row r="23">
          <cell r="B23" t="str">
            <v>KHI/HO/D/FR/ND/P/21950/03/2024</v>
          </cell>
          <cell r="C23" t="str">
            <v>040000169458</v>
          </cell>
        </row>
        <row r="24">
          <cell r="B24" t="str">
            <v>KHI/HO/D/FR/ND/P/21951/03/2024</v>
          </cell>
          <cell r="C24" t="str">
            <v>040000169459</v>
          </cell>
        </row>
        <row r="25">
          <cell r="B25" t="str">
            <v>KHI/HO/D/FR/ND/P/21952/03/2024</v>
          </cell>
          <cell r="C25" t="str">
            <v>040000169460</v>
          </cell>
        </row>
        <row r="26">
          <cell r="B26" t="str">
            <v>KHI/HO/D/FR/ND/P/21954/03/2024</v>
          </cell>
          <cell r="C26" t="str">
            <v>040000169462</v>
          </cell>
        </row>
        <row r="27">
          <cell r="B27" t="str">
            <v>KHI/HO/D/FR/ND/P/21956/03/2024</v>
          </cell>
          <cell r="C27" t="str">
            <v>040000169464</v>
          </cell>
        </row>
        <row r="28">
          <cell r="B28" t="str">
            <v>KHI/HO/D/FR/ND/P/21955/03/2024</v>
          </cell>
          <cell r="C28" t="str">
            <v>040000169463</v>
          </cell>
        </row>
        <row r="29">
          <cell r="B29" t="str">
            <v>KHI/HO/D/FR/ND/P/21958/03/2024</v>
          </cell>
          <cell r="C29" t="str">
            <v>040000169466</v>
          </cell>
        </row>
        <row r="30">
          <cell r="B30" t="str">
            <v>KHI/HO/D/FR/ND/P/21959/03/2024</v>
          </cell>
          <cell r="C30" t="str">
            <v>040000169467</v>
          </cell>
        </row>
        <row r="31">
          <cell r="B31" t="str">
            <v>KHI/HO/D/FR/ND/P/21980/03/2024</v>
          </cell>
          <cell r="C31" t="str">
            <v>040000169488</v>
          </cell>
        </row>
        <row r="32">
          <cell r="B32" t="str">
            <v>KHI/HO/D/FR/ND/P/21898/03/2024</v>
          </cell>
          <cell r="C32" t="str">
            <v>040000169406</v>
          </cell>
        </row>
        <row r="33">
          <cell r="B33" t="str">
            <v>KHI/HO/D/FR/ND/P/21899/03/2024</v>
          </cell>
          <cell r="C33" t="str">
            <v>040000169407</v>
          </cell>
        </row>
        <row r="34">
          <cell r="B34" t="str">
            <v>KHI/HO/D/FR/ND/P/21901/03/2024</v>
          </cell>
          <cell r="C34" t="str">
            <v>040000169409</v>
          </cell>
        </row>
        <row r="35">
          <cell r="B35" t="str">
            <v>KHI/HO/D/FR/ND/P/21902/03/2024</v>
          </cell>
          <cell r="C35" t="str">
            <v>040000169410</v>
          </cell>
        </row>
        <row r="36">
          <cell r="B36" t="str">
            <v>KHI/HO/D/FR/ND/P/21905/03/2024</v>
          </cell>
          <cell r="C36" t="str">
            <v>040000169413</v>
          </cell>
        </row>
        <row r="37">
          <cell r="B37" t="str">
            <v>KHI/HO/D/FR/ND/P/21903/03/2024</v>
          </cell>
          <cell r="C37" t="str">
            <v>040000169411</v>
          </cell>
        </row>
        <row r="38">
          <cell r="B38" t="str">
            <v>KHI/HO/D/FR/ND/P/21906/03/2024</v>
          </cell>
          <cell r="C38" t="str">
            <v>040000169414</v>
          </cell>
        </row>
        <row r="39">
          <cell r="B39" t="str">
            <v>KHI/HO/D/FR/ND/P/21907/03/2024</v>
          </cell>
          <cell r="C39" t="str">
            <v>040000169415</v>
          </cell>
        </row>
        <row r="40">
          <cell r="B40" t="str">
            <v>KHI/HO/D/FR/ND/P/21960/03/2024</v>
          </cell>
          <cell r="C40" t="str">
            <v>040000169468</v>
          </cell>
        </row>
        <row r="41">
          <cell r="B41" t="str">
            <v>KHI/HO/D/FR/ND/P/21963/03/2024</v>
          </cell>
          <cell r="C41" t="str">
            <v>040000169471</v>
          </cell>
        </row>
        <row r="42">
          <cell r="B42" t="str">
            <v>KHI/HO/D/FR/ND/P/21964/03/2024</v>
          </cell>
          <cell r="C42" t="str">
            <v>040000169472</v>
          </cell>
        </row>
        <row r="43">
          <cell r="B43" t="str">
            <v>KHI/HO/D/FR/ND/P/21966/03/2024</v>
          </cell>
          <cell r="C43" t="str">
            <v>040000169474</v>
          </cell>
        </row>
        <row r="44">
          <cell r="B44" t="str">
            <v>KHI/HO/D/FR/ND/P/21967/03/2024</v>
          </cell>
          <cell r="C44" t="str">
            <v>040000169475</v>
          </cell>
        </row>
        <row r="45">
          <cell r="B45" t="str">
            <v>KHI/HO/D/FR/ND/P/21968/03/2024</v>
          </cell>
          <cell r="C45" t="str">
            <v>040000169476</v>
          </cell>
        </row>
        <row r="46">
          <cell r="B46" t="str">
            <v>KHI/HO/D/FR/ND/P/21970/03/2024</v>
          </cell>
          <cell r="C46" t="str">
            <v>040000169478</v>
          </cell>
        </row>
        <row r="47">
          <cell r="B47" t="str">
            <v>KHI/HO/D/FR/ND/P/21910/03/2024</v>
          </cell>
          <cell r="C47" t="str">
            <v>040000169418</v>
          </cell>
        </row>
        <row r="48">
          <cell r="B48" t="str">
            <v>KHI/HO/D/FR/ND/P/21909/03/2024</v>
          </cell>
          <cell r="C48" t="str">
            <v>040000169417</v>
          </cell>
        </row>
        <row r="49">
          <cell r="B49" t="str">
            <v>KHI/HO/D/FR/ND/P/21911/03/2024</v>
          </cell>
          <cell r="C49" t="str">
            <v>040000169419</v>
          </cell>
        </row>
        <row r="50">
          <cell r="B50" t="str">
            <v>KHI/HO/D/FR/ND/P/21934/03/2024</v>
          </cell>
          <cell r="C50" t="str">
            <v>040000169442</v>
          </cell>
        </row>
        <row r="51">
          <cell r="B51" t="str">
            <v>KHI/HO/D/FR/ND/P/21915/03/2024</v>
          </cell>
          <cell r="C51" t="str">
            <v>040000169423</v>
          </cell>
        </row>
        <row r="52">
          <cell r="B52" t="str">
            <v>KHI/HO/D/FR/ND/P/21917/03/2024</v>
          </cell>
          <cell r="C52" t="str">
            <v>040000169425</v>
          </cell>
        </row>
        <row r="53">
          <cell r="B53" t="str">
            <v>KHI/HO/D/FR/ND/P/21918/03/2024</v>
          </cell>
          <cell r="C53" t="str">
            <v>040000169426</v>
          </cell>
        </row>
        <row r="54">
          <cell r="B54" t="str">
            <v>KHI/HO/D/FR/ND/P/21928/03/2024</v>
          </cell>
          <cell r="C54" t="str">
            <v>040000169436</v>
          </cell>
        </row>
        <row r="55">
          <cell r="B55" t="str">
            <v>KHI/HO/D/FR/ND/P/21920/03/2024</v>
          </cell>
          <cell r="C55" t="str">
            <v>040000169428</v>
          </cell>
        </row>
        <row r="56">
          <cell r="B56" t="str">
            <v>KHI/HO/D/FR/ND/P/21921/03/2024</v>
          </cell>
          <cell r="C56" t="str">
            <v>040000169429</v>
          </cell>
        </row>
        <row r="57">
          <cell r="B57" t="str">
            <v>KHI/HO/D/FR/ND/P/21922/03/2024</v>
          </cell>
          <cell r="C57" t="str">
            <v>040000169430</v>
          </cell>
        </row>
        <row r="58">
          <cell r="B58" t="str">
            <v>KHI/HO/D/FR/ND/P/21924/03/2024</v>
          </cell>
          <cell r="C58" t="str">
            <v>040000169432</v>
          </cell>
        </row>
        <row r="59">
          <cell r="B59" t="str">
            <v>KHI/HO/D/FR/ND/P/21925/03/2024</v>
          </cell>
          <cell r="C59" t="str">
            <v>040000169433</v>
          </cell>
        </row>
        <row r="60">
          <cell r="B60" t="str">
            <v>KHI/HO/D/FR/ND/P/21926/03/2024</v>
          </cell>
          <cell r="C60" t="str">
            <v>040000169434</v>
          </cell>
        </row>
        <row r="61">
          <cell r="B61" t="str">
            <v>KHI/HO/D/FR/ND/P/21927/03/2024</v>
          </cell>
          <cell r="C61" t="str">
            <v>040000169435</v>
          </cell>
        </row>
        <row r="62">
          <cell r="B62" t="str">
            <v>KHI/HO/D/FR/ND/P/21929/03/2024</v>
          </cell>
          <cell r="C62" t="str">
            <v>040000169437</v>
          </cell>
        </row>
        <row r="63">
          <cell r="B63" t="str">
            <v>KHI/HO/D/FR/ND/P/21930/03/2024</v>
          </cell>
          <cell r="C63" t="str">
            <v>040000169438</v>
          </cell>
        </row>
        <row r="64">
          <cell r="B64" t="str">
            <v>KHI/HO/D/FR/ND/P/21912/03/2024</v>
          </cell>
          <cell r="C64" t="str">
            <v>040000169420</v>
          </cell>
        </row>
        <row r="65">
          <cell r="B65" t="str">
            <v>KHI/HO/D/FR/ND/P/21889/03/2024</v>
          </cell>
          <cell r="C65" t="str">
            <v>040000169397</v>
          </cell>
        </row>
        <row r="66">
          <cell r="B66" t="str">
            <v>KHI/HO/D/FR/ND/P/21890/03/2024</v>
          </cell>
          <cell r="C66" t="str">
            <v>040000169398</v>
          </cell>
        </row>
        <row r="67">
          <cell r="B67" t="str">
            <v>KHI/HO/D/FR/ND/P/21891/03/2024</v>
          </cell>
          <cell r="C67" t="str">
            <v>040000169399</v>
          </cell>
        </row>
        <row r="68">
          <cell r="B68" t="str">
            <v>KHI/HO/D/FR/ND/P/21893/03/2024</v>
          </cell>
          <cell r="C68" t="str">
            <v>040000169401</v>
          </cell>
        </row>
        <row r="69">
          <cell r="B69" t="str">
            <v>KHI/HO/D/FR/ND/P/21931/03/2024</v>
          </cell>
          <cell r="C69" t="str">
            <v>040000169439</v>
          </cell>
        </row>
        <row r="70">
          <cell r="B70" t="str">
            <v>KHI/HO/D/FR/ND/P/21932/03/2024</v>
          </cell>
          <cell r="C70" t="str">
            <v>040000169440</v>
          </cell>
        </row>
        <row r="71">
          <cell r="B71" t="str">
            <v>KHI/HO/D/FR/ND/P/21961/03/2024</v>
          </cell>
          <cell r="C71" t="str">
            <v>040000169469</v>
          </cell>
        </row>
        <row r="72">
          <cell r="B72" t="str">
            <v>KHI/HO/D/FR/ND/P/21936/03/2024</v>
          </cell>
          <cell r="C72" t="str">
            <v>040000169444</v>
          </cell>
        </row>
        <row r="73">
          <cell r="B73" t="str">
            <v>KHI/HO/D/FR/ND/P/21935/03/2024</v>
          </cell>
          <cell r="C73" t="str">
            <v>040000169443</v>
          </cell>
        </row>
        <row r="74">
          <cell r="B74" t="str">
            <v>KHI/HO/D/FR/ND/P/21938/03/2024</v>
          </cell>
          <cell r="C74" t="str">
            <v>040000169446</v>
          </cell>
        </row>
        <row r="75">
          <cell r="B75" t="str">
            <v>KHI/HO/D/FR/ND/P/21939/03/2024</v>
          </cell>
          <cell r="C75" t="str">
            <v>040000169447</v>
          </cell>
        </row>
        <row r="76">
          <cell r="B76" t="str">
            <v>KHI/HO/D/FR/ND/P/21940/03/2024</v>
          </cell>
          <cell r="C76" t="str">
            <v>040000169448</v>
          </cell>
        </row>
        <row r="77">
          <cell r="B77" t="str">
            <v>KHI/HO/D/FR/ND/P/21871/03/2024</v>
          </cell>
          <cell r="C77" t="str">
            <v>040000169379</v>
          </cell>
        </row>
        <row r="78">
          <cell r="B78" t="str">
            <v>KHI/HO/D/FR/ND/P/21872/03/2024</v>
          </cell>
          <cell r="C78" t="str">
            <v>040000169380</v>
          </cell>
        </row>
        <row r="79">
          <cell r="B79" t="str">
            <v>KHI/HO/D/FR/ND/P/21873/03/2024</v>
          </cell>
          <cell r="C79" t="str">
            <v>040000169381</v>
          </cell>
        </row>
        <row r="80">
          <cell r="B80" t="str">
            <v>KHI/HO/D/FR/ND/P/21875/03/2024</v>
          </cell>
          <cell r="C80" t="str">
            <v>040000169383</v>
          </cell>
        </row>
        <row r="81">
          <cell r="B81" t="str">
            <v>KHI/HO/D/FR/ND/P/21860/03/2024</v>
          </cell>
          <cell r="C81" t="str">
            <v>040000169368</v>
          </cell>
        </row>
        <row r="82">
          <cell r="B82" t="str">
            <v>KHI/HO/D/FR/ND/P/21861/03/2024</v>
          </cell>
          <cell r="C82" t="str">
            <v>040000169369</v>
          </cell>
        </row>
        <row r="83">
          <cell r="B83" t="str">
            <v>KHI/HO/D/FR/ND/P/21862/03/2024</v>
          </cell>
          <cell r="C83" t="str">
            <v>040000169370</v>
          </cell>
        </row>
        <row r="84">
          <cell r="B84" t="str">
            <v>KHI/HO/D/FR/ND/P/21864/03/2024</v>
          </cell>
          <cell r="C84" t="str">
            <v>040000169372</v>
          </cell>
        </row>
        <row r="85">
          <cell r="B85" t="str">
            <v>KHI/HO/D/FR/ND/P/21865/03/2024</v>
          </cell>
          <cell r="C85" t="str">
            <v>040000169373</v>
          </cell>
        </row>
        <row r="86">
          <cell r="B86" t="str">
            <v>KHI/HO/D/FR/ND/P/21866/03/2024</v>
          </cell>
          <cell r="C86" t="str">
            <v>040000169374</v>
          </cell>
        </row>
        <row r="87">
          <cell r="B87" t="str">
            <v>KHI/HO/D/FR/ND/P/21867/03/2024</v>
          </cell>
          <cell r="C87" t="str">
            <v>040000169375</v>
          </cell>
        </row>
        <row r="88">
          <cell r="B88" t="str">
            <v>KHI/HO/D/FR/ND/P/21869/03/2024</v>
          </cell>
          <cell r="C88" t="str">
            <v>040000169377</v>
          </cell>
        </row>
        <row r="89">
          <cell r="B89" t="str">
            <v>KHI/HO/D/FR/ND/P/21870/03/2024</v>
          </cell>
          <cell r="C89" t="str">
            <v>040000169378</v>
          </cell>
        </row>
        <row r="90">
          <cell r="B90" t="str">
            <v>KHI/HO/D/FR/ND/P/21914/03/2024</v>
          </cell>
          <cell r="C90" t="str">
            <v>040000169422</v>
          </cell>
        </row>
        <row r="91">
          <cell r="B91" t="str">
            <v>KHI/HO/D/FR/ND/P/21916/03/2024</v>
          </cell>
          <cell r="C91" t="str">
            <v>040000169424</v>
          </cell>
        </row>
        <row r="92">
          <cell r="B92" t="str">
            <v>KHI/HO/D/FR/ND/P/21919/03/2024</v>
          </cell>
          <cell r="C92" t="str">
            <v>040000169427</v>
          </cell>
        </row>
        <row r="93">
          <cell r="B93" t="str">
            <v>KHI/HO/D/FR/ND/P/21923/03/2024</v>
          </cell>
          <cell r="C93" t="str">
            <v>040000169431</v>
          </cell>
        </row>
        <row r="94">
          <cell r="B94" t="str">
            <v>KHI/HO/D/FR/ND/P/21965/03/2024</v>
          </cell>
          <cell r="C94" t="str">
            <v>040000169473</v>
          </cell>
        </row>
        <row r="95">
          <cell r="B95" t="str">
            <v>KHI/HO/D/FR/ND/P/21969/03/2024</v>
          </cell>
          <cell r="C95" t="str">
            <v>040000169477</v>
          </cell>
        </row>
        <row r="96">
          <cell r="B96" t="str">
            <v>KHI/HO/D/FR/ND/P/21973/03/2024</v>
          </cell>
          <cell r="C96" t="str">
            <v>040000169481</v>
          </cell>
        </row>
        <row r="97">
          <cell r="B97" t="str">
            <v>KHI/HO/D/FR/ND/P/21977/03/2024</v>
          </cell>
          <cell r="C97" t="str">
            <v>040000169485</v>
          </cell>
        </row>
        <row r="98">
          <cell r="B98" t="str">
            <v>KHI/HO/D/FR/ND/P/21981/03/2024</v>
          </cell>
          <cell r="C98" t="str">
            <v>040000169489</v>
          </cell>
        </row>
        <row r="99">
          <cell r="B99" t="str">
            <v>KHI/HO/D/FR/ND/P/21971/03/2024</v>
          </cell>
          <cell r="C99" t="str">
            <v>040000169479</v>
          </cell>
        </row>
        <row r="100">
          <cell r="B100" t="str">
            <v>KHI/HO/D/FR/ND/P/21972/03/2024</v>
          </cell>
          <cell r="C100" t="str">
            <v>040000169480</v>
          </cell>
        </row>
        <row r="101">
          <cell r="B101" t="str">
            <v>KHI/HO/D/FR/ND/P/21974/03/2024</v>
          </cell>
          <cell r="C101" t="str">
            <v>040000169482</v>
          </cell>
        </row>
        <row r="102">
          <cell r="B102" t="str">
            <v>KHI/HO/D/FR/ND/P/21975/03/2024</v>
          </cell>
          <cell r="C102" t="str">
            <v>040000169483</v>
          </cell>
        </row>
        <row r="103">
          <cell r="B103" t="str">
            <v>KHI/HO/D/FR/ND/P/21976/03/2024</v>
          </cell>
          <cell r="C103" t="str">
            <v>040000169484</v>
          </cell>
        </row>
        <row r="104">
          <cell r="B104" t="str">
            <v>KHI/HO/D/FR/ND/P/21978/03/2024</v>
          </cell>
          <cell r="C104" t="str">
            <v>040000169486</v>
          </cell>
        </row>
        <row r="105">
          <cell r="B105" t="str">
            <v>KHI/HO/D/FR/ND/P/21979/03/2024</v>
          </cell>
          <cell r="C105" t="str">
            <v>040000169487</v>
          </cell>
        </row>
        <row r="106">
          <cell r="B106" t="str">
            <v>KHI/HO/D/FR/ND/P/21886/03/2024</v>
          </cell>
          <cell r="C106" t="str">
            <v>040000169394</v>
          </cell>
        </row>
        <row r="107">
          <cell r="B107" t="str">
            <v>KHI/HO/D/FR/ND/P/21982/03/2024</v>
          </cell>
          <cell r="C107" t="str">
            <v>040000169490</v>
          </cell>
        </row>
        <row r="108">
          <cell r="B108" t="str">
            <v>KHI/HO/D/FR/ND/P/21883/03/2024</v>
          </cell>
          <cell r="C108" t="str">
            <v>040000169391</v>
          </cell>
        </row>
        <row r="109">
          <cell r="B109" t="str">
            <v>KHI/HO/D/FR/ND/P/21884/03/2024</v>
          </cell>
          <cell r="C109" t="str">
            <v>040000169392</v>
          </cell>
        </row>
        <row r="110">
          <cell r="B110" t="str">
            <v>KHI/HO/D/FR/ND/P/21885/03/2024</v>
          </cell>
          <cell r="C110" t="str">
            <v>040000169393</v>
          </cell>
        </row>
        <row r="111">
          <cell r="B111" t="str">
            <v>KHI/HO/D/FR/ND/P/21887/03/2024</v>
          </cell>
          <cell r="C111" t="str">
            <v>040000169395</v>
          </cell>
        </row>
        <row r="112">
          <cell r="B112" t="str">
            <v>KHI/HO/D/FR/ND/P/21888/03/2024</v>
          </cell>
          <cell r="C112" t="str">
            <v>040000169396</v>
          </cell>
        </row>
        <row r="113">
          <cell r="B113" t="str">
            <v>KHI/HO/D/FR/ND/P/21892/03/2024</v>
          </cell>
          <cell r="C113" t="str">
            <v>040000169400</v>
          </cell>
        </row>
        <row r="114">
          <cell r="B114" t="str">
            <v>KHI/HO/D/FR/ND/P/21896/03/2024</v>
          </cell>
          <cell r="C114" t="str">
            <v>040000169404</v>
          </cell>
        </row>
        <row r="115">
          <cell r="B115" t="str">
            <v>KHI/HO/D/FR/ND/P/21900/03/2024</v>
          </cell>
          <cell r="C115" t="str">
            <v>040000169408</v>
          </cell>
        </row>
        <row r="116">
          <cell r="B116" t="str">
            <v>KHI/HO/D/FR/ND/P/21904/03/2024</v>
          </cell>
          <cell r="C116" t="str">
            <v>040000169412</v>
          </cell>
        </row>
        <row r="117">
          <cell r="B117" t="str">
            <v>KHI/HO/D/FR/ND/P/21908/03/2024</v>
          </cell>
          <cell r="C117" t="str">
            <v>040000169416</v>
          </cell>
        </row>
        <row r="118">
          <cell r="B118" t="str">
            <v>KHI/HO/D/FR/ND/P/21913/03/2024</v>
          </cell>
          <cell r="C118" t="str">
            <v>040000169421</v>
          </cell>
        </row>
        <row r="119">
          <cell r="B119" t="str">
            <v>KHI/HO/D/FR/ND/P/21876/03/2024</v>
          </cell>
          <cell r="C119" t="str">
            <v>040000169384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2"/>
  <sheetViews>
    <sheetView tabSelected="1" topLeftCell="I108" workbookViewId="0">
      <selection activeCell="M117" sqref="M117"/>
    </sheetView>
  </sheetViews>
  <sheetFormatPr defaultRowHeight="14.25" customHeight="1" x14ac:dyDescent="0.35"/>
  <cols>
    <col min="1" max="1" width="10.28515625" style="4" bestFit="1" customWidth="1"/>
    <col min="2" max="2" width="16.28515625" style="4" bestFit="1" customWidth="1"/>
    <col min="3" max="3" width="20.140625" style="5" bestFit="1" customWidth="1"/>
    <col min="4" max="4" width="19" style="5" bestFit="1" customWidth="1"/>
    <col min="5" max="5" width="28.28515625" style="4" bestFit="1" customWidth="1"/>
    <col min="6" max="6" width="11.5703125" style="4" bestFit="1" customWidth="1"/>
    <col min="7" max="7" width="14" style="4" bestFit="1" customWidth="1"/>
    <col min="8" max="8" width="139.85546875" style="4" bestFit="1" customWidth="1"/>
    <col min="9" max="9" width="16.140625" style="8" bestFit="1" customWidth="1"/>
    <col min="10" max="10" width="18.42578125" style="4" bestFit="1" customWidth="1"/>
    <col min="11" max="11" width="15.42578125" style="4" bestFit="1" customWidth="1"/>
    <col min="12" max="12" width="32.5703125" style="4" bestFit="1" customWidth="1"/>
    <col min="13" max="16384" width="9.140625" style="4"/>
  </cols>
  <sheetData>
    <row r="2" spans="1:12" s="9" customFormat="1" ht="14.25" customHeight="1" x14ac:dyDescent="0.35">
      <c r="A2" s="1" t="s">
        <v>0</v>
      </c>
      <c r="B2" s="17" t="s">
        <v>15</v>
      </c>
      <c r="C2" s="30" t="s">
        <v>1</v>
      </c>
      <c r="D2" s="30" t="s">
        <v>14</v>
      </c>
      <c r="E2" s="1" t="s">
        <v>2</v>
      </c>
      <c r="F2" s="1" t="s">
        <v>3</v>
      </c>
      <c r="G2" s="1" t="s">
        <v>4</v>
      </c>
      <c r="H2" s="1" t="s">
        <v>6</v>
      </c>
      <c r="I2" s="2" t="s">
        <v>7</v>
      </c>
      <c r="J2" s="3" t="s">
        <v>5</v>
      </c>
      <c r="K2" s="38" t="s">
        <v>768</v>
      </c>
      <c r="L2" s="38" t="s">
        <v>769</v>
      </c>
    </row>
    <row r="3" spans="1:12" ht="14.25" customHeight="1" x14ac:dyDescent="0.35">
      <c r="A3" s="6">
        <v>1</v>
      </c>
      <c r="B3" s="27"/>
      <c r="C3" s="16" t="s">
        <v>202</v>
      </c>
      <c r="D3" s="31" t="s">
        <v>588</v>
      </c>
      <c r="E3" s="31" t="s">
        <v>203</v>
      </c>
      <c r="F3" s="29" t="s">
        <v>8</v>
      </c>
      <c r="G3" s="14" t="s">
        <v>204</v>
      </c>
      <c r="H3" s="15" t="s">
        <v>205</v>
      </c>
      <c r="I3" s="32">
        <v>561147</v>
      </c>
      <c r="J3" s="37">
        <v>45352</v>
      </c>
      <c r="K3" s="39">
        <v>200</v>
      </c>
      <c r="L3" s="40" t="s">
        <v>650</v>
      </c>
    </row>
    <row r="4" spans="1:12" ht="14.25" customHeight="1" x14ac:dyDescent="0.35">
      <c r="A4" s="6">
        <f t="shared" ref="A4:A35" si="0">+A3+1</f>
        <v>2</v>
      </c>
      <c r="B4" s="26"/>
      <c r="C4" s="21" t="s">
        <v>18</v>
      </c>
      <c r="D4" s="31" t="s">
        <v>588</v>
      </c>
      <c r="E4" s="31" t="s">
        <v>19</v>
      </c>
      <c r="F4" s="28" t="s">
        <v>9</v>
      </c>
      <c r="G4" s="18" t="s">
        <v>20</v>
      </c>
      <c r="H4" s="19" t="s">
        <v>21</v>
      </c>
      <c r="I4" s="32">
        <v>991785</v>
      </c>
      <c r="J4" s="37">
        <v>45352</v>
      </c>
      <c r="K4" s="39">
        <v>200</v>
      </c>
      <c r="L4" s="40" t="s">
        <v>651</v>
      </c>
    </row>
    <row r="5" spans="1:12" ht="14.25" customHeight="1" x14ac:dyDescent="0.35">
      <c r="A5" s="6">
        <f t="shared" si="0"/>
        <v>3</v>
      </c>
      <c r="B5" s="26"/>
      <c r="C5" s="23" t="s">
        <v>288</v>
      </c>
      <c r="D5" s="31" t="s">
        <v>588</v>
      </c>
      <c r="E5" s="31" t="s">
        <v>377</v>
      </c>
      <c r="F5" s="28" t="s">
        <v>8</v>
      </c>
      <c r="G5" s="25" t="s">
        <v>378</v>
      </c>
      <c r="H5" s="24" t="s">
        <v>379</v>
      </c>
      <c r="I5" s="32">
        <v>1126484</v>
      </c>
      <c r="J5" s="37">
        <v>45352</v>
      </c>
      <c r="K5" s="39">
        <v>200</v>
      </c>
      <c r="L5" s="40" t="s">
        <v>652</v>
      </c>
    </row>
    <row r="6" spans="1:12" ht="14.25" customHeight="1" x14ac:dyDescent="0.35">
      <c r="A6" s="6">
        <f t="shared" si="0"/>
        <v>4</v>
      </c>
      <c r="B6" s="27"/>
      <c r="C6" s="16" t="s">
        <v>152</v>
      </c>
      <c r="D6" s="31" t="s">
        <v>588</v>
      </c>
      <c r="E6" s="31" t="s">
        <v>153</v>
      </c>
      <c r="F6" s="29" t="s">
        <v>9</v>
      </c>
      <c r="G6" s="14" t="s">
        <v>154</v>
      </c>
      <c r="H6" s="15" t="s">
        <v>155</v>
      </c>
      <c r="I6" s="32">
        <v>1402252</v>
      </c>
      <c r="J6" s="37">
        <v>45352</v>
      </c>
      <c r="K6" s="39">
        <v>210</v>
      </c>
      <c r="L6" s="40" t="s">
        <v>653</v>
      </c>
    </row>
    <row r="7" spans="1:12" ht="14.25" customHeight="1" x14ac:dyDescent="0.35">
      <c r="A7" s="6">
        <f t="shared" si="0"/>
        <v>5</v>
      </c>
      <c r="B7" s="26"/>
      <c r="C7" s="21" t="s">
        <v>100</v>
      </c>
      <c r="D7" s="31" t="s">
        <v>588</v>
      </c>
      <c r="E7" s="31" t="s">
        <v>101</v>
      </c>
      <c r="F7" s="28" t="s">
        <v>12</v>
      </c>
      <c r="G7" s="18" t="s">
        <v>102</v>
      </c>
      <c r="H7" s="19" t="s">
        <v>103</v>
      </c>
      <c r="I7" s="32">
        <v>1413653</v>
      </c>
      <c r="J7" s="37">
        <v>45352</v>
      </c>
      <c r="K7" s="39">
        <v>212</v>
      </c>
      <c r="L7" s="40" t="s">
        <v>654</v>
      </c>
    </row>
    <row r="8" spans="1:12" ht="14.25" customHeight="1" x14ac:dyDescent="0.35">
      <c r="A8" s="6">
        <f t="shared" si="0"/>
        <v>6</v>
      </c>
      <c r="B8" s="26"/>
      <c r="C8" s="21" t="s">
        <v>128</v>
      </c>
      <c r="D8" s="31" t="s">
        <v>588</v>
      </c>
      <c r="E8" s="31" t="s">
        <v>129</v>
      </c>
      <c r="F8" s="28" t="s">
        <v>8</v>
      </c>
      <c r="G8" s="18" t="s">
        <v>130</v>
      </c>
      <c r="H8" s="19" t="s">
        <v>131</v>
      </c>
      <c r="I8" s="32">
        <v>1858913</v>
      </c>
      <c r="J8" s="37">
        <v>45352</v>
      </c>
      <c r="K8" s="39">
        <v>279</v>
      </c>
      <c r="L8" s="40" t="s">
        <v>655</v>
      </c>
    </row>
    <row r="9" spans="1:12" ht="14.25" customHeight="1" x14ac:dyDescent="0.35">
      <c r="A9" s="6">
        <f t="shared" si="0"/>
        <v>7</v>
      </c>
      <c r="B9" s="26"/>
      <c r="C9" s="21" t="s">
        <v>124</v>
      </c>
      <c r="D9" s="31" t="s">
        <v>588</v>
      </c>
      <c r="E9" s="31" t="s">
        <v>125</v>
      </c>
      <c r="F9" s="28" t="s">
        <v>8</v>
      </c>
      <c r="G9" s="18" t="s">
        <v>126</v>
      </c>
      <c r="H9" s="19" t="s">
        <v>127</v>
      </c>
      <c r="I9" s="32">
        <v>1929258</v>
      </c>
      <c r="J9" s="37">
        <v>45352</v>
      </c>
      <c r="K9" s="39">
        <v>289</v>
      </c>
      <c r="L9" s="40" t="s">
        <v>656</v>
      </c>
    </row>
    <row r="10" spans="1:12" ht="14.25" customHeight="1" x14ac:dyDescent="0.35">
      <c r="A10" s="6">
        <f t="shared" si="0"/>
        <v>8</v>
      </c>
      <c r="B10" s="27"/>
      <c r="C10" s="16" t="s">
        <v>185</v>
      </c>
      <c r="D10" s="31" t="s">
        <v>588</v>
      </c>
      <c r="E10" s="31" t="s">
        <v>186</v>
      </c>
      <c r="F10" s="29" t="s">
        <v>13</v>
      </c>
      <c r="G10" s="14" t="s">
        <v>187</v>
      </c>
      <c r="H10" s="15" t="s">
        <v>188</v>
      </c>
      <c r="I10" s="32">
        <v>2259693</v>
      </c>
      <c r="J10" s="37">
        <v>45352</v>
      </c>
      <c r="K10" s="39">
        <v>339</v>
      </c>
      <c r="L10" s="40" t="s">
        <v>657</v>
      </c>
    </row>
    <row r="11" spans="1:12" ht="14.25" customHeight="1" x14ac:dyDescent="0.35">
      <c r="A11" s="6">
        <f t="shared" si="0"/>
        <v>9</v>
      </c>
      <c r="B11" s="27"/>
      <c r="C11" s="16" t="s">
        <v>176</v>
      </c>
      <c r="D11" s="31" t="s">
        <v>588</v>
      </c>
      <c r="E11" s="31" t="s">
        <v>177</v>
      </c>
      <c r="F11" s="29" t="s">
        <v>9</v>
      </c>
      <c r="G11" s="14" t="s">
        <v>178</v>
      </c>
      <c r="H11" s="15" t="s">
        <v>179</v>
      </c>
      <c r="I11" s="32">
        <v>2360384</v>
      </c>
      <c r="J11" s="37">
        <v>45352</v>
      </c>
      <c r="K11" s="39">
        <v>354</v>
      </c>
      <c r="L11" s="40" t="s">
        <v>658</v>
      </c>
    </row>
    <row r="12" spans="1:12" ht="14.25" customHeight="1" x14ac:dyDescent="0.35">
      <c r="A12" s="6">
        <f t="shared" si="0"/>
        <v>10</v>
      </c>
      <c r="B12" s="26"/>
      <c r="C12" s="21" t="s">
        <v>34</v>
      </c>
      <c r="D12" s="31" t="s">
        <v>588</v>
      </c>
      <c r="E12" s="31" t="s">
        <v>35</v>
      </c>
      <c r="F12" s="28" t="s">
        <v>12</v>
      </c>
      <c r="G12" s="18" t="s">
        <v>36</v>
      </c>
      <c r="H12" s="19" t="s">
        <v>37</v>
      </c>
      <c r="I12" s="32">
        <v>2530695</v>
      </c>
      <c r="J12" s="37">
        <v>45352</v>
      </c>
      <c r="K12" s="39">
        <v>380</v>
      </c>
      <c r="L12" s="40" t="s">
        <v>659</v>
      </c>
    </row>
    <row r="13" spans="1:12" ht="14.25" customHeight="1" x14ac:dyDescent="0.35">
      <c r="A13" s="6">
        <f t="shared" si="0"/>
        <v>11</v>
      </c>
      <c r="B13" s="26"/>
      <c r="C13" s="21" t="s">
        <v>58</v>
      </c>
      <c r="D13" s="31" t="s">
        <v>588</v>
      </c>
      <c r="E13" s="31" t="s">
        <v>59</v>
      </c>
      <c r="F13" s="28" t="s">
        <v>10</v>
      </c>
      <c r="G13" s="18" t="s">
        <v>60</v>
      </c>
      <c r="H13" s="19" t="s">
        <v>61</v>
      </c>
      <c r="I13" s="32">
        <v>2652475</v>
      </c>
      <c r="J13" s="37">
        <v>45352</v>
      </c>
      <c r="K13" s="39">
        <v>398</v>
      </c>
      <c r="L13" s="40" t="s">
        <v>660</v>
      </c>
    </row>
    <row r="14" spans="1:12" ht="14.25" customHeight="1" x14ac:dyDescent="0.35">
      <c r="A14" s="6">
        <f t="shared" si="0"/>
        <v>12</v>
      </c>
      <c r="B14" s="27" t="s">
        <v>66</v>
      </c>
      <c r="C14" s="16" t="s">
        <v>67</v>
      </c>
      <c r="D14" s="31" t="s">
        <v>588</v>
      </c>
      <c r="E14" s="31" t="s">
        <v>68</v>
      </c>
      <c r="F14" s="29" t="s">
        <v>10</v>
      </c>
      <c r="G14" s="14" t="s">
        <v>69</v>
      </c>
      <c r="H14" s="15" t="s">
        <v>70</v>
      </c>
      <c r="I14" s="32">
        <v>2876058</v>
      </c>
      <c r="J14" s="37">
        <v>45352</v>
      </c>
      <c r="K14" s="39">
        <v>431</v>
      </c>
      <c r="L14" s="40" t="s">
        <v>661</v>
      </c>
    </row>
    <row r="15" spans="1:12" ht="14.25" customHeight="1" x14ac:dyDescent="0.35">
      <c r="A15" s="6">
        <f t="shared" si="0"/>
        <v>13</v>
      </c>
      <c r="B15" s="26"/>
      <c r="C15" s="23" t="s">
        <v>295</v>
      </c>
      <c r="D15" s="31" t="s">
        <v>588</v>
      </c>
      <c r="E15" s="31" t="s">
        <v>16</v>
      </c>
      <c r="F15" s="28" t="s">
        <v>8</v>
      </c>
      <c r="G15" s="25" t="s">
        <v>398</v>
      </c>
      <c r="H15" s="24" t="s">
        <v>399</v>
      </c>
      <c r="I15" s="32">
        <v>2910314</v>
      </c>
      <c r="J15" s="37">
        <v>45352</v>
      </c>
      <c r="K15" s="39">
        <v>437</v>
      </c>
      <c r="L15" s="40" t="s">
        <v>662</v>
      </c>
    </row>
    <row r="16" spans="1:12" ht="14.25" customHeight="1" x14ac:dyDescent="0.35">
      <c r="A16" s="6">
        <f t="shared" si="0"/>
        <v>14</v>
      </c>
      <c r="B16" s="26"/>
      <c r="C16" s="23" t="s">
        <v>283</v>
      </c>
      <c r="D16" s="31" t="s">
        <v>588</v>
      </c>
      <c r="E16" s="31" t="s">
        <v>362</v>
      </c>
      <c r="F16" s="28" t="s">
        <v>9</v>
      </c>
      <c r="G16" s="25" t="s">
        <v>363</v>
      </c>
      <c r="H16" s="24" t="s">
        <v>364</v>
      </c>
      <c r="I16" s="32">
        <v>3007325</v>
      </c>
      <c r="J16" s="37">
        <v>45352</v>
      </c>
      <c r="K16" s="39">
        <v>451</v>
      </c>
      <c r="L16" s="40" t="s">
        <v>663</v>
      </c>
    </row>
    <row r="17" spans="1:12" ht="14.25" customHeight="1" x14ac:dyDescent="0.35">
      <c r="A17" s="6">
        <f t="shared" si="0"/>
        <v>15</v>
      </c>
      <c r="B17" s="26"/>
      <c r="C17" s="21" t="s">
        <v>22</v>
      </c>
      <c r="D17" s="31" t="s">
        <v>588</v>
      </c>
      <c r="E17" s="31" t="s">
        <v>23</v>
      </c>
      <c r="F17" s="28" t="s">
        <v>10</v>
      </c>
      <c r="G17" s="18" t="s">
        <v>24</v>
      </c>
      <c r="H17" s="19" t="s">
        <v>25</v>
      </c>
      <c r="I17" s="32">
        <v>3073952</v>
      </c>
      <c r="J17" s="37">
        <v>45352</v>
      </c>
      <c r="K17" s="39">
        <v>461</v>
      </c>
      <c r="L17" s="40" t="s">
        <v>664</v>
      </c>
    </row>
    <row r="18" spans="1:12" ht="14.25" customHeight="1" x14ac:dyDescent="0.35">
      <c r="A18" s="6">
        <f t="shared" si="0"/>
        <v>16</v>
      </c>
      <c r="B18" s="26"/>
      <c r="C18" s="23" t="s">
        <v>355</v>
      </c>
      <c r="D18" s="31" t="s">
        <v>588</v>
      </c>
      <c r="E18" s="31" t="s">
        <v>576</v>
      </c>
      <c r="F18" s="28" t="s">
        <v>9</v>
      </c>
      <c r="G18" s="25" t="s">
        <v>577</v>
      </c>
      <c r="H18" s="24" t="s">
        <v>578</v>
      </c>
      <c r="I18" s="32">
        <v>3126985</v>
      </c>
      <c r="J18" s="37">
        <v>45352</v>
      </c>
      <c r="K18" s="39">
        <v>469</v>
      </c>
      <c r="L18" s="40" t="s">
        <v>665</v>
      </c>
    </row>
    <row r="19" spans="1:12" ht="14.25" customHeight="1" x14ac:dyDescent="0.35">
      <c r="A19" s="6">
        <f t="shared" si="0"/>
        <v>17</v>
      </c>
      <c r="B19" s="26"/>
      <c r="C19" s="23" t="s">
        <v>289</v>
      </c>
      <c r="D19" s="31" t="s">
        <v>588</v>
      </c>
      <c r="E19" s="31" t="s">
        <v>380</v>
      </c>
      <c r="F19" s="28" t="s">
        <v>9</v>
      </c>
      <c r="G19" s="25" t="s">
        <v>381</v>
      </c>
      <c r="H19" s="24" t="s">
        <v>382</v>
      </c>
      <c r="I19" s="32">
        <v>3223167</v>
      </c>
      <c r="J19" s="37">
        <v>45352</v>
      </c>
      <c r="K19" s="39">
        <v>483</v>
      </c>
      <c r="L19" s="40" t="s">
        <v>666</v>
      </c>
    </row>
    <row r="20" spans="1:12" ht="14.25" customHeight="1" x14ac:dyDescent="0.35">
      <c r="A20" s="6">
        <f t="shared" si="0"/>
        <v>18</v>
      </c>
      <c r="B20" s="26" t="s">
        <v>197</v>
      </c>
      <c r="C20" s="21" t="s">
        <v>198</v>
      </c>
      <c r="D20" s="31" t="s">
        <v>588</v>
      </c>
      <c r="E20" s="31" t="s">
        <v>199</v>
      </c>
      <c r="F20" s="28" t="s">
        <v>10</v>
      </c>
      <c r="G20" s="18" t="s">
        <v>200</v>
      </c>
      <c r="H20" s="19" t="s">
        <v>201</v>
      </c>
      <c r="I20" s="32">
        <v>3250338</v>
      </c>
      <c r="J20" s="37">
        <v>45352</v>
      </c>
      <c r="K20" s="39">
        <v>488</v>
      </c>
      <c r="L20" s="40" t="s">
        <v>667</v>
      </c>
    </row>
    <row r="21" spans="1:12" ht="14.25" customHeight="1" x14ac:dyDescent="0.35">
      <c r="A21" s="6">
        <f t="shared" si="0"/>
        <v>19</v>
      </c>
      <c r="B21" s="26"/>
      <c r="C21" s="23" t="s">
        <v>319</v>
      </c>
      <c r="D21" s="31" t="s">
        <v>588</v>
      </c>
      <c r="E21" s="31" t="s">
        <v>469</v>
      </c>
      <c r="F21" s="28" t="s">
        <v>11</v>
      </c>
      <c r="G21" s="25" t="s">
        <v>470</v>
      </c>
      <c r="H21" s="24" t="s">
        <v>471</v>
      </c>
      <c r="I21" s="32">
        <v>3288653</v>
      </c>
      <c r="J21" s="37">
        <v>45352</v>
      </c>
      <c r="K21" s="39">
        <v>493</v>
      </c>
      <c r="L21" s="40" t="s">
        <v>668</v>
      </c>
    </row>
    <row r="22" spans="1:12" ht="14.25" customHeight="1" x14ac:dyDescent="0.35">
      <c r="A22" s="6">
        <f t="shared" si="0"/>
        <v>20</v>
      </c>
      <c r="B22" s="26"/>
      <c r="C22" s="23" t="s">
        <v>323</v>
      </c>
      <c r="D22" s="31" t="s">
        <v>588</v>
      </c>
      <c r="E22" s="31" t="s">
        <v>481</v>
      </c>
      <c r="F22" s="28" t="s">
        <v>12</v>
      </c>
      <c r="G22" s="25" t="s">
        <v>482</v>
      </c>
      <c r="H22" s="24" t="s">
        <v>483</v>
      </c>
      <c r="I22" s="32">
        <v>3328678</v>
      </c>
      <c r="J22" s="37">
        <v>45352</v>
      </c>
      <c r="K22" s="39">
        <v>499</v>
      </c>
      <c r="L22" s="40" t="s">
        <v>669</v>
      </c>
    </row>
    <row r="23" spans="1:12" ht="14.25" customHeight="1" x14ac:dyDescent="0.35">
      <c r="A23" s="6">
        <f t="shared" si="0"/>
        <v>21</v>
      </c>
      <c r="B23" s="26"/>
      <c r="C23" s="23" t="s">
        <v>351</v>
      </c>
      <c r="D23" s="31" t="s">
        <v>588</v>
      </c>
      <c r="E23" s="31" t="s">
        <v>564</v>
      </c>
      <c r="F23" s="28" t="s">
        <v>9</v>
      </c>
      <c r="G23" s="25" t="s">
        <v>565</v>
      </c>
      <c r="H23" s="24" t="s">
        <v>566</v>
      </c>
      <c r="I23" s="32">
        <v>3449221</v>
      </c>
      <c r="J23" s="37">
        <v>45352</v>
      </c>
      <c r="K23" s="39">
        <v>517</v>
      </c>
      <c r="L23" s="40" t="s">
        <v>670</v>
      </c>
    </row>
    <row r="24" spans="1:12" ht="14.25" customHeight="1" x14ac:dyDescent="0.35">
      <c r="A24" s="6">
        <f t="shared" si="0"/>
        <v>22</v>
      </c>
      <c r="B24" s="26"/>
      <c r="C24" s="23" t="s">
        <v>332</v>
      </c>
      <c r="D24" s="31" t="s">
        <v>588</v>
      </c>
      <c r="E24" s="31" t="s">
        <v>17</v>
      </c>
      <c r="F24" s="28" t="s">
        <v>8</v>
      </c>
      <c r="G24" s="25" t="s">
        <v>508</v>
      </c>
      <c r="H24" s="24" t="s">
        <v>509</v>
      </c>
      <c r="I24" s="32">
        <v>3501270</v>
      </c>
      <c r="J24" s="37">
        <v>45352</v>
      </c>
      <c r="K24" s="39">
        <v>525</v>
      </c>
      <c r="L24" s="40" t="s">
        <v>671</v>
      </c>
    </row>
    <row r="25" spans="1:12" ht="14.25" customHeight="1" x14ac:dyDescent="0.35">
      <c r="A25" s="6">
        <f t="shared" si="0"/>
        <v>23</v>
      </c>
      <c r="B25" s="26"/>
      <c r="C25" s="21" t="s">
        <v>108</v>
      </c>
      <c r="D25" s="31" t="s">
        <v>588</v>
      </c>
      <c r="E25" s="31" t="s">
        <v>109</v>
      </c>
      <c r="F25" s="28" t="s">
        <v>8</v>
      </c>
      <c r="G25" s="18" t="s">
        <v>110</v>
      </c>
      <c r="H25" s="19" t="s">
        <v>111</v>
      </c>
      <c r="I25" s="32">
        <v>3536278</v>
      </c>
      <c r="J25" s="37">
        <v>45352</v>
      </c>
      <c r="K25" s="39">
        <v>530</v>
      </c>
      <c r="L25" s="40" t="s">
        <v>672</v>
      </c>
    </row>
    <row r="26" spans="1:12" ht="14.25" customHeight="1" x14ac:dyDescent="0.35">
      <c r="A26" s="6">
        <f t="shared" si="0"/>
        <v>24</v>
      </c>
      <c r="B26" s="26"/>
      <c r="C26" s="21" t="s">
        <v>50</v>
      </c>
      <c r="D26" s="31" t="s">
        <v>588</v>
      </c>
      <c r="E26" s="31" t="s">
        <v>51</v>
      </c>
      <c r="F26" s="28" t="s">
        <v>10</v>
      </c>
      <c r="G26" s="18" t="s">
        <v>52</v>
      </c>
      <c r="H26" s="19" t="s">
        <v>53</v>
      </c>
      <c r="I26" s="32">
        <v>3617508</v>
      </c>
      <c r="J26" s="37">
        <v>45352</v>
      </c>
      <c r="K26" s="39">
        <v>543</v>
      </c>
      <c r="L26" s="40" t="s">
        <v>673</v>
      </c>
    </row>
    <row r="27" spans="1:12" ht="14.25" customHeight="1" x14ac:dyDescent="0.35">
      <c r="A27" s="6">
        <f t="shared" si="0"/>
        <v>25</v>
      </c>
      <c r="B27" s="26"/>
      <c r="C27" s="21" t="s">
        <v>42</v>
      </c>
      <c r="D27" s="31" t="s">
        <v>588</v>
      </c>
      <c r="E27" s="31" t="s">
        <v>43</v>
      </c>
      <c r="F27" s="28" t="s">
        <v>12</v>
      </c>
      <c r="G27" s="18" t="s">
        <v>44</v>
      </c>
      <c r="H27" s="19" t="s">
        <v>45</v>
      </c>
      <c r="I27" s="32">
        <v>3659041</v>
      </c>
      <c r="J27" s="37">
        <v>45352</v>
      </c>
      <c r="K27" s="39">
        <v>549</v>
      </c>
      <c r="L27" s="40" t="s">
        <v>674</v>
      </c>
    </row>
    <row r="28" spans="1:12" ht="14.25" customHeight="1" x14ac:dyDescent="0.35">
      <c r="A28" s="6">
        <f t="shared" si="0"/>
        <v>26</v>
      </c>
      <c r="B28" s="26"/>
      <c r="C28" s="23" t="s">
        <v>341</v>
      </c>
      <c r="D28" s="31" t="s">
        <v>588</v>
      </c>
      <c r="E28" s="31" t="s">
        <v>534</v>
      </c>
      <c r="F28" s="28" t="s">
        <v>9</v>
      </c>
      <c r="G28" s="25" t="s">
        <v>535</v>
      </c>
      <c r="H28" s="24" t="s">
        <v>536</v>
      </c>
      <c r="I28" s="32">
        <v>3720102</v>
      </c>
      <c r="J28" s="37">
        <v>45352</v>
      </c>
      <c r="K28" s="39">
        <v>558</v>
      </c>
      <c r="L28" s="40" t="s">
        <v>675</v>
      </c>
    </row>
    <row r="29" spans="1:12" ht="14.25" customHeight="1" x14ac:dyDescent="0.35">
      <c r="A29" s="6">
        <f t="shared" si="0"/>
        <v>27</v>
      </c>
      <c r="B29" s="27"/>
      <c r="C29" s="16" t="s">
        <v>217</v>
      </c>
      <c r="D29" s="31" t="s">
        <v>588</v>
      </c>
      <c r="E29" s="31" t="s">
        <v>218</v>
      </c>
      <c r="F29" s="29" t="s">
        <v>9</v>
      </c>
      <c r="G29" s="14" t="s">
        <v>219</v>
      </c>
      <c r="H29" s="15" t="s">
        <v>220</v>
      </c>
      <c r="I29" s="32">
        <v>3809061</v>
      </c>
      <c r="J29" s="37">
        <v>45352</v>
      </c>
      <c r="K29" s="39">
        <v>571</v>
      </c>
      <c r="L29" s="40" t="s">
        <v>676</v>
      </c>
    </row>
    <row r="30" spans="1:12" ht="14.25" customHeight="1" x14ac:dyDescent="0.35">
      <c r="A30" s="6">
        <f t="shared" si="0"/>
        <v>28</v>
      </c>
      <c r="B30" s="26"/>
      <c r="C30" s="23" t="s">
        <v>298</v>
      </c>
      <c r="D30" s="31" t="s">
        <v>588</v>
      </c>
      <c r="E30" s="31" t="s">
        <v>406</v>
      </c>
      <c r="F30" s="28" t="s">
        <v>9</v>
      </c>
      <c r="G30" s="25" t="s">
        <v>407</v>
      </c>
      <c r="H30" s="24" t="s">
        <v>408</v>
      </c>
      <c r="I30" s="32">
        <v>3851269</v>
      </c>
      <c r="J30" s="37">
        <v>45352</v>
      </c>
      <c r="K30" s="39">
        <v>578</v>
      </c>
      <c r="L30" s="40" t="s">
        <v>677</v>
      </c>
    </row>
    <row r="31" spans="1:12" ht="14.25" customHeight="1" x14ac:dyDescent="0.35">
      <c r="A31" s="6">
        <f t="shared" si="0"/>
        <v>29</v>
      </c>
      <c r="B31" s="26"/>
      <c r="C31" s="23" t="s">
        <v>320</v>
      </c>
      <c r="D31" s="31" t="s">
        <v>588</v>
      </c>
      <c r="E31" s="31" t="s">
        <v>472</v>
      </c>
      <c r="F31" s="28" t="s">
        <v>8</v>
      </c>
      <c r="G31" s="25" t="s">
        <v>473</v>
      </c>
      <c r="H31" s="24" t="s">
        <v>474</v>
      </c>
      <c r="I31" s="32">
        <v>3891892</v>
      </c>
      <c r="J31" s="37">
        <v>45352</v>
      </c>
      <c r="K31" s="39">
        <v>584</v>
      </c>
      <c r="L31" s="40" t="s">
        <v>678</v>
      </c>
    </row>
    <row r="32" spans="1:12" ht="14.25" customHeight="1" x14ac:dyDescent="0.35">
      <c r="A32" s="6">
        <f t="shared" si="0"/>
        <v>30</v>
      </c>
      <c r="B32" s="26"/>
      <c r="C32" s="23" t="s">
        <v>308</v>
      </c>
      <c r="D32" s="31" t="s">
        <v>588</v>
      </c>
      <c r="E32" s="31" t="s">
        <v>436</v>
      </c>
      <c r="F32" s="28" t="s">
        <v>13</v>
      </c>
      <c r="G32" s="25" t="s">
        <v>437</v>
      </c>
      <c r="H32" s="24" t="s">
        <v>438</v>
      </c>
      <c r="I32" s="32">
        <v>3891892</v>
      </c>
      <c r="J32" s="37">
        <v>45352</v>
      </c>
      <c r="K32" s="39">
        <v>584</v>
      </c>
      <c r="L32" s="40" t="s">
        <v>679</v>
      </c>
    </row>
    <row r="33" spans="1:12" ht="14.25" customHeight="1" x14ac:dyDescent="0.35">
      <c r="A33" s="6">
        <f t="shared" si="0"/>
        <v>31</v>
      </c>
      <c r="B33" s="26"/>
      <c r="C33" s="23" t="s">
        <v>356</v>
      </c>
      <c r="D33" s="31" t="s">
        <v>588</v>
      </c>
      <c r="E33" s="31" t="s">
        <v>579</v>
      </c>
      <c r="F33" s="28" t="s">
        <v>9</v>
      </c>
      <c r="G33" s="25" t="s">
        <v>580</v>
      </c>
      <c r="H33" s="24" t="s">
        <v>581</v>
      </c>
      <c r="I33" s="32">
        <v>3931054</v>
      </c>
      <c r="J33" s="37">
        <v>45352</v>
      </c>
      <c r="K33" s="39">
        <v>590</v>
      </c>
      <c r="L33" s="40" t="s">
        <v>680</v>
      </c>
    </row>
    <row r="34" spans="1:12" ht="14.25" customHeight="1" x14ac:dyDescent="0.35">
      <c r="A34" s="6">
        <f t="shared" si="0"/>
        <v>32</v>
      </c>
      <c r="B34" s="26"/>
      <c r="C34" s="23" t="s">
        <v>346</v>
      </c>
      <c r="D34" s="31" t="s">
        <v>588</v>
      </c>
      <c r="E34" s="31" t="s">
        <v>549</v>
      </c>
      <c r="F34" s="28" t="s">
        <v>9</v>
      </c>
      <c r="G34" s="25" t="s">
        <v>550</v>
      </c>
      <c r="H34" s="24" t="s">
        <v>551</v>
      </c>
      <c r="I34" s="32">
        <v>3931617</v>
      </c>
      <c r="J34" s="37">
        <v>45352</v>
      </c>
      <c r="K34" s="39">
        <v>590</v>
      </c>
      <c r="L34" s="40" t="s">
        <v>681</v>
      </c>
    </row>
    <row r="35" spans="1:12" ht="14.25" customHeight="1" x14ac:dyDescent="0.35">
      <c r="A35" s="6">
        <f t="shared" si="0"/>
        <v>33</v>
      </c>
      <c r="B35" s="26"/>
      <c r="C35" s="23" t="s">
        <v>337</v>
      </c>
      <c r="D35" s="31" t="s">
        <v>588</v>
      </c>
      <c r="E35" s="31" t="s">
        <v>522</v>
      </c>
      <c r="F35" s="28" t="s">
        <v>9</v>
      </c>
      <c r="G35" s="25" t="s">
        <v>523</v>
      </c>
      <c r="H35" s="24" t="s">
        <v>524</v>
      </c>
      <c r="I35" s="32">
        <v>3968102</v>
      </c>
      <c r="J35" s="37">
        <v>45352</v>
      </c>
      <c r="K35" s="39">
        <v>595</v>
      </c>
      <c r="L35" s="40" t="s">
        <v>682</v>
      </c>
    </row>
    <row r="36" spans="1:12" ht="14.25" customHeight="1" x14ac:dyDescent="0.35">
      <c r="A36" s="6">
        <f t="shared" ref="A36:A67" si="1">+A35+1</f>
        <v>34</v>
      </c>
      <c r="B36" s="20"/>
      <c r="C36" s="23" t="s">
        <v>285</v>
      </c>
      <c r="D36" s="31" t="s">
        <v>588</v>
      </c>
      <c r="E36" s="31" t="s">
        <v>368</v>
      </c>
      <c r="F36" s="28" t="s">
        <v>8</v>
      </c>
      <c r="G36" s="24" t="s">
        <v>369</v>
      </c>
      <c r="H36" s="24" t="s">
        <v>370</v>
      </c>
      <c r="I36" s="32">
        <v>4051979</v>
      </c>
      <c r="J36" s="37">
        <v>45352</v>
      </c>
      <c r="K36" s="39">
        <v>608</v>
      </c>
      <c r="L36" s="40" t="s">
        <v>683</v>
      </c>
    </row>
    <row r="37" spans="1:12" ht="14.25" customHeight="1" x14ac:dyDescent="0.35">
      <c r="A37" s="6">
        <f t="shared" si="1"/>
        <v>35</v>
      </c>
      <c r="B37" s="20"/>
      <c r="C37" s="23" t="s">
        <v>348</v>
      </c>
      <c r="D37" s="31" t="s">
        <v>588</v>
      </c>
      <c r="E37" s="31" t="s">
        <v>555</v>
      </c>
      <c r="F37" s="28" t="s">
        <v>8</v>
      </c>
      <c r="G37" s="24" t="s">
        <v>556</v>
      </c>
      <c r="H37" s="24" t="s">
        <v>557</v>
      </c>
      <c r="I37" s="32">
        <v>4112884</v>
      </c>
      <c r="J37" s="37">
        <v>45352</v>
      </c>
      <c r="K37" s="39">
        <v>617</v>
      </c>
      <c r="L37" s="40" t="s">
        <v>684</v>
      </c>
    </row>
    <row r="38" spans="1:12" ht="14.25" customHeight="1" x14ac:dyDescent="0.35">
      <c r="A38" s="6">
        <f t="shared" si="1"/>
        <v>36</v>
      </c>
      <c r="B38" s="20"/>
      <c r="C38" s="23" t="s">
        <v>265</v>
      </c>
      <c r="D38" s="31" t="s">
        <v>588</v>
      </c>
      <c r="E38" s="31" t="s">
        <v>266</v>
      </c>
      <c r="F38" s="28" t="s">
        <v>228</v>
      </c>
      <c r="G38" s="24" t="s">
        <v>267</v>
      </c>
      <c r="H38" s="24" t="s">
        <v>268</v>
      </c>
      <c r="I38" s="32">
        <v>4080798</v>
      </c>
      <c r="J38" s="37">
        <v>45352</v>
      </c>
      <c r="K38" s="39">
        <v>612</v>
      </c>
      <c r="L38" s="40" t="s">
        <v>685</v>
      </c>
    </row>
    <row r="39" spans="1:12" ht="14.25" customHeight="1" x14ac:dyDescent="0.35">
      <c r="A39" s="6">
        <f t="shared" si="1"/>
        <v>37</v>
      </c>
      <c r="B39" s="20"/>
      <c r="C39" s="23" t="s">
        <v>343</v>
      </c>
      <c r="D39" s="31" t="s">
        <v>588</v>
      </c>
      <c r="E39" s="31" t="s">
        <v>540</v>
      </c>
      <c r="F39" s="28" t="s">
        <v>11</v>
      </c>
      <c r="G39" s="24" t="s">
        <v>541</v>
      </c>
      <c r="H39" s="24" t="s">
        <v>542</v>
      </c>
      <c r="I39" s="32">
        <v>4172257</v>
      </c>
      <c r="J39" s="37">
        <v>45352</v>
      </c>
      <c r="K39" s="39">
        <v>626</v>
      </c>
      <c r="L39" s="40" t="s">
        <v>686</v>
      </c>
    </row>
    <row r="40" spans="1:12" ht="14.25" customHeight="1" x14ac:dyDescent="0.35">
      <c r="A40" s="6">
        <f t="shared" si="1"/>
        <v>38</v>
      </c>
      <c r="B40" s="20"/>
      <c r="C40" s="23" t="s">
        <v>338</v>
      </c>
      <c r="D40" s="31" t="s">
        <v>588</v>
      </c>
      <c r="E40" s="31" t="s">
        <v>525</v>
      </c>
      <c r="F40" s="28" t="s">
        <v>9</v>
      </c>
      <c r="G40" s="24" t="s">
        <v>526</v>
      </c>
      <c r="H40" s="24" t="s">
        <v>527</v>
      </c>
      <c r="I40" s="32">
        <v>4179082</v>
      </c>
      <c r="J40" s="37">
        <v>45352</v>
      </c>
      <c r="K40" s="39">
        <v>627</v>
      </c>
      <c r="L40" s="40" t="s">
        <v>687</v>
      </c>
    </row>
    <row r="41" spans="1:12" ht="14.25" customHeight="1" x14ac:dyDescent="0.35">
      <c r="A41" s="6">
        <f t="shared" si="1"/>
        <v>39</v>
      </c>
      <c r="B41" s="12"/>
      <c r="C41" s="16" t="s">
        <v>221</v>
      </c>
      <c r="D41" s="31" t="s">
        <v>588</v>
      </c>
      <c r="E41" s="31" t="s">
        <v>222</v>
      </c>
      <c r="F41" s="29" t="s">
        <v>223</v>
      </c>
      <c r="G41" s="15" t="s">
        <v>224</v>
      </c>
      <c r="H41" s="15" t="s">
        <v>225</v>
      </c>
      <c r="I41" s="32">
        <v>4288655</v>
      </c>
      <c r="J41" s="37">
        <v>45352</v>
      </c>
      <c r="K41" s="39">
        <v>643</v>
      </c>
      <c r="L41" s="40" t="s">
        <v>688</v>
      </c>
    </row>
    <row r="42" spans="1:12" ht="14.25" customHeight="1" x14ac:dyDescent="0.35">
      <c r="A42" s="6">
        <f t="shared" si="1"/>
        <v>40</v>
      </c>
      <c r="B42" s="20"/>
      <c r="C42" s="23" t="s">
        <v>329</v>
      </c>
      <c r="D42" s="31" t="s">
        <v>588</v>
      </c>
      <c r="E42" s="31" t="s">
        <v>499</v>
      </c>
      <c r="F42" s="28" t="s">
        <v>13</v>
      </c>
      <c r="G42" s="24" t="s">
        <v>500</v>
      </c>
      <c r="H42" s="24" t="s">
        <v>501</v>
      </c>
      <c r="I42" s="32">
        <v>4772437</v>
      </c>
      <c r="J42" s="37">
        <v>45352</v>
      </c>
      <c r="K42" s="39">
        <v>716</v>
      </c>
      <c r="L42" s="40" t="s">
        <v>689</v>
      </c>
    </row>
    <row r="43" spans="1:12" ht="14.25" customHeight="1" x14ac:dyDescent="0.35">
      <c r="A43" s="6">
        <f t="shared" si="1"/>
        <v>41</v>
      </c>
      <c r="B43" s="20"/>
      <c r="C43" s="23" t="s">
        <v>299</v>
      </c>
      <c r="D43" s="31" t="s">
        <v>588</v>
      </c>
      <c r="E43" s="31" t="s">
        <v>409</v>
      </c>
      <c r="F43" s="28" t="s">
        <v>9</v>
      </c>
      <c r="G43" s="24" t="s">
        <v>410</v>
      </c>
      <c r="H43" s="24" t="s">
        <v>411</v>
      </c>
      <c r="I43" s="32">
        <v>4850517</v>
      </c>
      <c r="J43" s="37">
        <v>45352</v>
      </c>
      <c r="K43" s="39">
        <v>728</v>
      </c>
      <c r="L43" s="40" t="s">
        <v>690</v>
      </c>
    </row>
    <row r="44" spans="1:12" ht="14.25" customHeight="1" x14ac:dyDescent="0.35">
      <c r="A44" s="6">
        <f t="shared" si="1"/>
        <v>42</v>
      </c>
      <c r="B44" s="20"/>
      <c r="C44" s="23" t="s">
        <v>305</v>
      </c>
      <c r="D44" s="31" t="s">
        <v>588</v>
      </c>
      <c r="E44" s="31" t="s">
        <v>427</v>
      </c>
      <c r="F44" s="28" t="s">
        <v>12</v>
      </c>
      <c r="G44" s="24" t="s">
        <v>428</v>
      </c>
      <c r="H44" s="24" t="s">
        <v>429</v>
      </c>
      <c r="I44" s="32">
        <v>4904509</v>
      </c>
      <c r="J44" s="37">
        <v>45352</v>
      </c>
      <c r="K44" s="39">
        <v>736</v>
      </c>
      <c r="L44" s="40" t="s">
        <v>691</v>
      </c>
    </row>
    <row r="45" spans="1:12" ht="14.25" customHeight="1" x14ac:dyDescent="0.35">
      <c r="A45" s="6">
        <f t="shared" si="1"/>
        <v>43</v>
      </c>
      <c r="B45" s="27"/>
      <c r="C45" s="16" t="s">
        <v>116</v>
      </c>
      <c r="D45" s="31" t="s">
        <v>588</v>
      </c>
      <c r="E45" s="31" t="s">
        <v>117</v>
      </c>
      <c r="F45" s="29" t="s">
        <v>8</v>
      </c>
      <c r="G45" s="15" t="s">
        <v>118</v>
      </c>
      <c r="H45" s="15" t="s">
        <v>119</v>
      </c>
      <c r="I45" s="32">
        <v>4894526</v>
      </c>
      <c r="J45" s="37">
        <v>45352</v>
      </c>
      <c r="K45" s="39">
        <v>734</v>
      </c>
      <c r="L45" s="40" t="s">
        <v>692</v>
      </c>
    </row>
    <row r="46" spans="1:12" ht="14.25" customHeight="1" x14ac:dyDescent="0.35">
      <c r="A46" s="6">
        <f t="shared" si="1"/>
        <v>44</v>
      </c>
      <c r="B46" s="20"/>
      <c r="C46" s="23" t="s">
        <v>136</v>
      </c>
      <c r="D46" s="31" t="s">
        <v>588</v>
      </c>
      <c r="E46" s="31" t="s">
        <v>137</v>
      </c>
      <c r="F46" s="28" t="s">
        <v>12</v>
      </c>
      <c r="G46" s="24" t="s">
        <v>138</v>
      </c>
      <c r="H46" s="24" t="s">
        <v>139</v>
      </c>
      <c r="I46" s="32">
        <v>4945090</v>
      </c>
      <c r="J46" s="37">
        <v>45352</v>
      </c>
      <c r="K46" s="39">
        <v>742</v>
      </c>
      <c r="L46" s="40" t="s">
        <v>693</v>
      </c>
    </row>
    <row r="47" spans="1:12" ht="14.25" customHeight="1" x14ac:dyDescent="0.35">
      <c r="A47" s="6">
        <f t="shared" si="1"/>
        <v>45</v>
      </c>
      <c r="B47" s="20"/>
      <c r="C47" s="23" t="s">
        <v>294</v>
      </c>
      <c r="D47" s="31" t="s">
        <v>588</v>
      </c>
      <c r="E47" s="31" t="s">
        <v>395</v>
      </c>
      <c r="F47" s="28" t="s">
        <v>11</v>
      </c>
      <c r="G47" s="24" t="s">
        <v>396</v>
      </c>
      <c r="H47" s="24" t="s">
        <v>397</v>
      </c>
      <c r="I47" s="32">
        <v>5068369</v>
      </c>
      <c r="J47" s="37">
        <v>45352</v>
      </c>
      <c r="K47" s="39">
        <v>760</v>
      </c>
      <c r="L47" s="40" t="s">
        <v>694</v>
      </c>
    </row>
    <row r="48" spans="1:12" ht="14.25" customHeight="1" x14ac:dyDescent="0.35">
      <c r="A48" s="6">
        <f t="shared" si="1"/>
        <v>46</v>
      </c>
      <c r="B48" s="20"/>
      <c r="C48" s="23" t="s">
        <v>344</v>
      </c>
      <c r="D48" s="31" t="s">
        <v>588</v>
      </c>
      <c r="E48" s="31" t="s">
        <v>543</v>
      </c>
      <c r="F48" s="28" t="s">
        <v>9</v>
      </c>
      <c r="G48" s="24" t="s">
        <v>544</v>
      </c>
      <c r="H48" s="24" t="s">
        <v>545</v>
      </c>
      <c r="I48" s="32">
        <v>5125471</v>
      </c>
      <c r="J48" s="37">
        <v>45352</v>
      </c>
      <c r="K48" s="39">
        <v>769</v>
      </c>
      <c r="L48" s="40" t="s">
        <v>695</v>
      </c>
    </row>
    <row r="49" spans="1:12" ht="14.25" customHeight="1" x14ac:dyDescent="0.35">
      <c r="A49" s="6">
        <f t="shared" si="1"/>
        <v>47</v>
      </c>
      <c r="B49" s="20"/>
      <c r="C49" s="23" t="s">
        <v>327</v>
      </c>
      <c r="D49" s="31" t="s">
        <v>588</v>
      </c>
      <c r="E49" s="31" t="s">
        <v>493</v>
      </c>
      <c r="F49" s="28" t="s">
        <v>9</v>
      </c>
      <c r="G49" s="24" t="s">
        <v>494</v>
      </c>
      <c r="H49" s="24" t="s">
        <v>495</v>
      </c>
      <c r="I49" s="32">
        <v>5139934</v>
      </c>
      <c r="J49" s="37">
        <v>45352</v>
      </c>
      <c r="K49" s="39">
        <v>771</v>
      </c>
      <c r="L49" s="40" t="s">
        <v>696</v>
      </c>
    </row>
    <row r="50" spans="1:12" ht="14.25" customHeight="1" x14ac:dyDescent="0.35">
      <c r="A50" s="6">
        <f t="shared" si="1"/>
        <v>48</v>
      </c>
      <c r="B50" s="26"/>
      <c r="C50" s="23" t="s">
        <v>302</v>
      </c>
      <c r="D50" s="31" t="s">
        <v>588</v>
      </c>
      <c r="E50" s="31" t="s">
        <v>418</v>
      </c>
      <c r="F50" s="28" t="s">
        <v>8</v>
      </c>
      <c r="G50" s="24" t="s">
        <v>419</v>
      </c>
      <c r="H50" s="24" t="s">
        <v>420</v>
      </c>
      <c r="I50" s="32">
        <v>5203093</v>
      </c>
      <c r="J50" s="37">
        <v>45352</v>
      </c>
      <c r="K50" s="39">
        <v>780</v>
      </c>
      <c r="L50" s="40" t="s">
        <v>697</v>
      </c>
    </row>
    <row r="51" spans="1:12" ht="14.25" customHeight="1" x14ac:dyDescent="0.35">
      <c r="A51" s="6">
        <f t="shared" si="1"/>
        <v>49</v>
      </c>
      <c r="B51" s="20"/>
      <c r="C51" s="23" t="s">
        <v>336</v>
      </c>
      <c r="D51" s="31" t="s">
        <v>588</v>
      </c>
      <c r="E51" s="31" t="s">
        <v>519</v>
      </c>
      <c r="F51" s="28" t="s">
        <v>8</v>
      </c>
      <c r="G51" s="24" t="s">
        <v>520</v>
      </c>
      <c r="H51" s="24" t="s">
        <v>521</v>
      </c>
      <c r="I51" s="32">
        <v>5349168</v>
      </c>
      <c r="J51" s="37">
        <v>45352</v>
      </c>
      <c r="K51" s="39">
        <v>802</v>
      </c>
      <c r="L51" s="40" t="s">
        <v>698</v>
      </c>
    </row>
    <row r="52" spans="1:12" ht="14.25" customHeight="1" x14ac:dyDescent="0.35">
      <c r="A52" s="6">
        <f t="shared" si="1"/>
        <v>50</v>
      </c>
      <c r="B52" s="20"/>
      <c r="C52" s="23" t="s">
        <v>312</v>
      </c>
      <c r="D52" s="31" t="s">
        <v>588</v>
      </c>
      <c r="E52" s="31" t="s">
        <v>448</v>
      </c>
      <c r="F52" s="28" t="s">
        <v>9</v>
      </c>
      <c r="G52" s="24" t="s">
        <v>449</v>
      </c>
      <c r="H52" s="24" t="s">
        <v>450</v>
      </c>
      <c r="I52" s="32">
        <v>5359823</v>
      </c>
      <c r="J52" s="37">
        <v>45352</v>
      </c>
      <c r="K52" s="39">
        <v>804</v>
      </c>
      <c r="L52" s="40" t="s">
        <v>699</v>
      </c>
    </row>
    <row r="53" spans="1:12" ht="14.25" customHeight="1" x14ac:dyDescent="0.35">
      <c r="A53" s="6">
        <f t="shared" si="1"/>
        <v>51</v>
      </c>
      <c r="B53" s="26"/>
      <c r="C53" s="23" t="s">
        <v>325</v>
      </c>
      <c r="D53" s="31" t="s">
        <v>588</v>
      </c>
      <c r="E53" s="31" t="s">
        <v>487</v>
      </c>
      <c r="F53" s="28" t="s">
        <v>12</v>
      </c>
      <c r="G53" s="24" t="s">
        <v>488</v>
      </c>
      <c r="H53" s="24" t="s">
        <v>489</v>
      </c>
      <c r="I53" s="32">
        <v>5529584</v>
      </c>
      <c r="J53" s="37">
        <v>45352</v>
      </c>
      <c r="K53" s="39">
        <v>829</v>
      </c>
      <c r="L53" s="40" t="s">
        <v>700</v>
      </c>
    </row>
    <row r="54" spans="1:12" ht="14.25" customHeight="1" x14ac:dyDescent="0.35">
      <c r="A54" s="6">
        <f t="shared" si="1"/>
        <v>52</v>
      </c>
      <c r="B54" s="20"/>
      <c r="C54" s="23" t="s">
        <v>321</v>
      </c>
      <c r="D54" s="31" t="s">
        <v>588</v>
      </c>
      <c r="E54" s="31" t="s">
        <v>475</v>
      </c>
      <c r="F54" s="28" t="s">
        <v>8</v>
      </c>
      <c r="G54" s="24" t="s">
        <v>476</v>
      </c>
      <c r="H54" s="24" t="s">
        <v>477</v>
      </c>
      <c r="I54" s="32">
        <v>5626598</v>
      </c>
      <c r="J54" s="37">
        <v>45352</v>
      </c>
      <c r="K54" s="39">
        <v>844</v>
      </c>
      <c r="L54" s="40" t="s">
        <v>701</v>
      </c>
    </row>
    <row r="55" spans="1:12" ht="14.25" customHeight="1" x14ac:dyDescent="0.35">
      <c r="A55" s="6">
        <f t="shared" si="1"/>
        <v>53</v>
      </c>
      <c r="B55" s="20" t="s">
        <v>71</v>
      </c>
      <c r="C55" s="21" t="s">
        <v>72</v>
      </c>
      <c r="D55" s="31" t="s">
        <v>588</v>
      </c>
      <c r="E55" s="31" t="s">
        <v>73</v>
      </c>
      <c r="F55" s="28" t="s">
        <v>10</v>
      </c>
      <c r="G55" s="22" t="s">
        <v>74</v>
      </c>
      <c r="H55" s="19" t="s">
        <v>75</v>
      </c>
      <c r="I55" s="32">
        <v>5700227</v>
      </c>
      <c r="J55" s="37">
        <v>45352</v>
      </c>
      <c r="K55" s="39">
        <v>855</v>
      </c>
      <c r="L55" s="40" t="s">
        <v>702</v>
      </c>
    </row>
    <row r="56" spans="1:12" ht="14.25" customHeight="1" x14ac:dyDescent="0.35">
      <c r="A56" s="6">
        <f t="shared" si="1"/>
        <v>54</v>
      </c>
      <c r="B56" s="20"/>
      <c r="C56" s="23" t="s">
        <v>335</v>
      </c>
      <c r="D56" s="31" t="s">
        <v>588</v>
      </c>
      <c r="E56" s="31" t="s">
        <v>516</v>
      </c>
      <c r="F56" s="28" t="s">
        <v>9</v>
      </c>
      <c r="G56" s="24" t="s">
        <v>517</v>
      </c>
      <c r="H56" s="24" t="s">
        <v>518</v>
      </c>
      <c r="I56" s="32">
        <v>5786824</v>
      </c>
      <c r="J56" s="37">
        <v>45352</v>
      </c>
      <c r="K56" s="39">
        <v>868</v>
      </c>
      <c r="L56" s="40" t="s">
        <v>703</v>
      </c>
    </row>
    <row r="57" spans="1:12" ht="14.25" customHeight="1" x14ac:dyDescent="0.35">
      <c r="A57" s="6">
        <f t="shared" si="1"/>
        <v>55</v>
      </c>
      <c r="B57" s="20"/>
      <c r="C57" s="23" t="s">
        <v>333</v>
      </c>
      <c r="D57" s="31" t="s">
        <v>588</v>
      </c>
      <c r="E57" s="31" t="s">
        <v>510</v>
      </c>
      <c r="F57" s="28" t="s">
        <v>11</v>
      </c>
      <c r="G57" s="24" t="s">
        <v>511</v>
      </c>
      <c r="H57" s="24" t="s">
        <v>512</v>
      </c>
      <c r="I57" s="32">
        <v>5806423</v>
      </c>
      <c r="J57" s="37">
        <v>45352</v>
      </c>
      <c r="K57" s="39">
        <v>871</v>
      </c>
      <c r="L57" s="40" t="s">
        <v>704</v>
      </c>
    </row>
    <row r="58" spans="1:12" ht="14.25" customHeight="1" x14ac:dyDescent="0.35">
      <c r="A58" s="6">
        <f t="shared" si="1"/>
        <v>56</v>
      </c>
      <c r="B58" s="20"/>
      <c r="C58" s="23" t="s">
        <v>282</v>
      </c>
      <c r="D58" s="31" t="s">
        <v>588</v>
      </c>
      <c r="E58" s="31" t="s">
        <v>359</v>
      </c>
      <c r="F58" s="28" t="s">
        <v>10</v>
      </c>
      <c r="G58" s="24" t="s">
        <v>360</v>
      </c>
      <c r="H58" s="24" t="s">
        <v>361</v>
      </c>
      <c r="I58" s="32">
        <v>5820625</v>
      </c>
      <c r="J58" s="37">
        <v>45352</v>
      </c>
      <c r="K58" s="39">
        <v>873</v>
      </c>
      <c r="L58" s="40" t="s">
        <v>705</v>
      </c>
    </row>
    <row r="59" spans="1:12" ht="14.25" customHeight="1" x14ac:dyDescent="0.35">
      <c r="A59" s="6">
        <f t="shared" si="1"/>
        <v>57</v>
      </c>
      <c r="B59" s="26"/>
      <c r="C59" s="23" t="s">
        <v>304</v>
      </c>
      <c r="D59" s="31" t="s">
        <v>588</v>
      </c>
      <c r="E59" s="31" t="s">
        <v>424</v>
      </c>
      <c r="F59" s="28" t="s">
        <v>10</v>
      </c>
      <c r="G59" s="25" t="s">
        <v>425</v>
      </c>
      <c r="H59" s="24" t="s">
        <v>426</v>
      </c>
      <c r="I59" s="32">
        <v>5820625</v>
      </c>
      <c r="J59" s="37">
        <v>45352</v>
      </c>
      <c r="K59" s="39">
        <v>873</v>
      </c>
      <c r="L59" s="40" t="s">
        <v>706</v>
      </c>
    </row>
    <row r="60" spans="1:12" ht="14.25" customHeight="1" x14ac:dyDescent="0.35">
      <c r="A60" s="6">
        <f t="shared" si="1"/>
        <v>58</v>
      </c>
      <c r="B60" s="26"/>
      <c r="C60" s="23" t="s">
        <v>317</v>
      </c>
      <c r="D60" s="31" t="s">
        <v>588</v>
      </c>
      <c r="E60" s="31" t="s">
        <v>463</v>
      </c>
      <c r="F60" s="28" t="s">
        <v>8</v>
      </c>
      <c r="G60" s="25" t="s">
        <v>464</v>
      </c>
      <c r="H60" s="24" t="s">
        <v>465</v>
      </c>
      <c r="I60" s="32">
        <v>5820625</v>
      </c>
      <c r="J60" s="37">
        <v>45352</v>
      </c>
      <c r="K60" s="39">
        <v>873</v>
      </c>
      <c r="L60" s="40" t="s">
        <v>707</v>
      </c>
    </row>
    <row r="61" spans="1:12" ht="14.25" customHeight="1" x14ac:dyDescent="0.35">
      <c r="A61" s="6">
        <f t="shared" si="1"/>
        <v>59</v>
      </c>
      <c r="B61" s="26"/>
      <c r="C61" s="23" t="s">
        <v>318</v>
      </c>
      <c r="D61" s="31" t="s">
        <v>588</v>
      </c>
      <c r="E61" s="31" t="s">
        <v>466</v>
      </c>
      <c r="F61" s="28" t="s">
        <v>9</v>
      </c>
      <c r="G61" s="25" t="s">
        <v>467</v>
      </c>
      <c r="H61" s="24" t="s">
        <v>468</v>
      </c>
      <c r="I61" s="32">
        <v>5820625</v>
      </c>
      <c r="J61" s="37">
        <v>45352</v>
      </c>
      <c r="K61" s="39">
        <v>873</v>
      </c>
      <c r="L61" s="40" t="s">
        <v>708</v>
      </c>
    </row>
    <row r="62" spans="1:12" ht="14.25" customHeight="1" x14ac:dyDescent="0.35">
      <c r="A62" s="6">
        <f t="shared" si="1"/>
        <v>60</v>
      </c>
      <c r="B62" s="26"/>
      <c r="C62" s="23" t="s">
        <v>331</v>
      </c>
      <c r="D62" s="31" t="s">
        <v>588</v>
      </c>
      <c r="E62" s="31" t="s">
        <v>505</v>
      </c>
      <c r="F62" s="28" t="s">
        <v>9</v>
      </c>
      <c r="G62" s="25" t="s">
        <v>506</v>
      </c>
      <c r="H62" s="24" t="s">
        <v>507</v>
      </c>
      <c r="I62" s="32">
        <v>5835455</v>
      </c>
      <c r="J62" s="37">
        <v>45352</v>
      </c>
      <c r="K62" s="39">
        <v>875</v>
      </c>
      <c r="L62" s="40" t="s">
        <v>709</v>
      </c>
    </row>
    <row r="63" spans="1:12" ht="14.25" customHeight="1" x14ac:dyDescent="0.35">
      <c r="A63" s="6">
        <f t="shared" si="1"/>
        <v>61</v>
      </c>
      <c r="B63" s="27"/>
      <c r="C63" s="16" t="s">
        <v>226</v>
      </c>
      <c r="D63" s="31" t="s">
        <v>588</v>
      </c>
      <c r="E63" s="31" t="s">
        <v>227</v>
      </c>
      <c r="F63" s="29" t="s">
        <v>228</v>
      </c>
      <c r="G63" s="14" t="s">
        <v>229</v>
      </c>
      <c r="H63" s="15" t="s">
        <v>230</v>
      </c>
      <c r="I63" s="32">
        <v>4817036</v>
      </c>
      <c r="J63" s="37">
        <v>45352</v>
      </c>
      <c r="K63" s="39">
        <v>723</v>
      </c>
      <c r="L63" s="40" t="s">
        <v>710</v>
      </c>
    </row>
    <row r="64" spans="1:12" ht="14.25" customHeight="1" x14ac:dyDescent="0.35">
      <c r="A64" s="6">
        <f t="shared" si="1"/>
        <v>62</v>
      </c>
      <c r="B64" s="26"/>
      <c r="C64" s="23" t="s">
        <v>301</v>
      </c>
      <c r="D64" s="31" t="s">
        <v>588</v>
      </c>
      <c r="E64" s="31" t="s">
        <v>415</v>
      </c>
      <c r="F64" s="28" t="s">
        <v>9</v>
      </c>
      <c r="G64" s="25" t="s">
        <v>416</v>
      </c>
      <c r="H64" s="24" t="s">
        <v>417</v>
      </c>
      <c r="I64" s="32">
        <v>6345136</v>
      </c>
      <c r="J64" s="37">
        <v>45352</v>
      </c>
      <c r="K64" s="39">
        <v>952</v>
      </c>
      <c r="L64" s="40" t="s">
        <v>711</v>
      </c>
    </row>
    <row r="65" spans="1:12" ht="14.25" customHeight="1" x14ac:dyDescent="0.35">
      <c r="A65" s="6">
        <f t="shared" si="1"/>
        <v>63</v>
      </c>
      <c r="B65" s="26"/>
      <c r="C65" s="23" t="s">
        <v>339</v>
      </c>
      <c r="D65" s="31" t="s">
        <v>588</v>
      </c>
      <c r="E65" s="31" t="s">
        <v>528</v>
      </c>
      <c r="F65" s="28" t="s">
        <v>10</v>
      </c>
      <c r="G65" s="25" t="s">
        <v>529</v>
      </c>
      <c r="H65" s="24" t="s">
        <v>530</v>
      </c>
      <c r="I65" s="32">
        <v>6512191</v>
      </c>
      <c r="J65" s="37">
        <v>45352</v>
      </c>
      <c r="K65" s="39">
        <v>977</v>
      </c>
      <c r="L65" s="40" t="s">
        <v>712</v>
      </c>
    </row>
    <row r="66" spans="1:12" ht="14.25" customHeight="1" x14ac:dyDescent="0.35">
      <c r="A66" s="6">
        <f t="shared" si="1"/>
        <v>64</v>
      </c>
      <c r="B66" s="26"/>
      <c r="C66" s="23" t="s">
        <v>311</v>
      </c>
      <c r="D66" s="31" t="s">
        <v>588</v>
      </c>
      <c r="E66" s="31" t="s">
        <v>445</v>
      </c>
      <c r="F66" s="28" t="s">
        <v>9</v>
      </c>
      <c r="G66" s="25" t="s">
        <v>446</v>
      </c>
      <c r="H66" s="24" t="s">
        <v>447</v>
      </c>
      <c r="I66" s="32">
        <v>6735606</v>
      </c>
      <c r="J66" s="37">
        <v>45352</v>
      </c>
      <c r="K66" s="39">
        <v>1010</v>
      </c>
      <c r="L66" s="40" t="s">
        <v>713</v>
      </c>
    </row>
    <row r="67" spans="1:12" ht="14.25" customHeight="1" x14ac:dyDescent="0.35">
      <c r="A67" s="6">
        <f t="shared" si="1"/>
        <v>65</v>
      </c>
      <c r="B67" s="26"/>
      <c r="C67" s="23" t="s">
        <v>293</v>
      </c>
      <c r="D67" s="31" t="s">
        <v>588</v>
      </c>
      <c r="E67" s="31" t="s">
        <v>392</v>
      </c>
      <c r="F67" s="28" t="s">
        <v>10</v>
      </c>
      <c r="G67" s="25" t="s">
        <v>393</v>
      </c>
      <c r="H67" s="24" t="s">
        <v>394</v>
      </c>
      <c r="I67" s="32">
        <v>7054886</v>
      </c>
      <c r="J67" s="37">
        <v>45352</v>
      </c>
      <c r="K67" s="39">
        <v>1058</v>
      </c>
      <c r="L67" s="40" t="s">
        <v>714</v>
      </c>
    </row>
    <row r="68" spans="1:12" ht="14.25" customHeight="1" x14ac:dyDescent="0.35">
      <c r="A68" s="6">
        <f t="shared" ref="A68:A99" si="2">+A67+1</f>
        <v>66</v>
      </c>
      <c r="B68" s="26"/>
      <c r="C68" s="23" t="s">
        <v>322</v>
      </c>
      <c r="D68" s="31" t="s">
        <v>588</v>
      </c>
      <c r="E68" s="31" t="s">
        <v>478</v>
      </c>
      <c r="F68" s="28" t="s">
        <v>8</v>
      </c>
      <c r="G68" s="25" t="s">
        <v>479</v>
      </c>
      <c r="H68" s="24" t="s">
        <v>480</v>
      </c>
      <c r="I68" s="32">
        <v>7194140</v>
      </c>
      <c r="J68" s="37">
        <v>45352</v>
      </c>
      <c r="K68" s="39">
        <v>1079</v>
      </c>
      <c r="L68" s="40" t="s">
        <v>715</v>
      </c>
    </row>
    <row r="69" spans="1:12" ht="14.25" customHeight="1" x14ac:dyDescent="0.35">
      <c r="A69" s="6">
        <f t="shared" si="2"/>
        <v>67</v>
      </c>
      <c r="B69" s="26"/>
      <c r="C69" s="23" t="s">
        <v>315</v>
      </c>
      <c r="D69" s="31" t="s">
        <v>588</v>
      </c>
      <c r="E69" s="31" t="s">
        <v>457</v>
      </c>
      <c r="F69" s="28" t="s">
        <v>12</v>
      </c>
      <c r="G69" s="25" t="s">
        <v>458</v>
      </c>
      <c r="H69" s="24" t="s">
        <v>459</v>
      </c>
      <c r="I69" s="32">
        <v>7223689</v>
      </c>
      <c r="J69" s="37">
        <v>45352</v>
      </c>
      <c r="K69" s="39">
        <v>1084</v>
      </c>
      <c r="L69" s="40" t="s">
        <v>716</v>
      </c>
    </row>
    <row r="70" spans="1:12" ht="14.25" customHeight="1" x14ac:dyDescent="0.35">
      <c r="A70" s="6">
        <f t="shared" si="2"/>
        <v>68</v>
      </c>
      <c r="B70" s="26"/>
      <c r="C70" s="21" t="s">
        <v>38</v>
      </c>
      <c r="D70" s="31" t="s">
        <v>588</v>
      </c>
      <c r="E70" s="31" t="s">
        <v>39</v>
      </c>
      <c r="F70" s="28" t="s">
        <v>10</v>
      </c>
      <c r="G70" s="18" t="s">
        <v>40</v>
      </c>
      <c r="H70" s="19" t="s">
        <v>41</v>
      </c>
      <c r="I70" s="32">
        <v>7510547</v>
      </c>
      <c r="J70" s="37">
        <v>45352</v>
      </c>
      <c r="K70" s="39">
        <v>1127</v>
      </c>
      <c r="L70" s="40" t="s">
        <v>717</v>
      </c>
    </row>
    <row r="71" spans="1:12" ht="14.25" customHeight="1" x14ac:dyDescent="0.35">
      <c r="A71" s="6">
        <f t="shared" si="2"/>
        <v>69</v>
      </c>
      <c r="B71" s="26"/>
      <c r="C71" s="21" t="s">
        <v>193</v>
      </c>
      <c r="D71" s="31" t="s">
        <v>588</v>
      </c>
      <c r="E71" s="31" t="s">
        <v>194</v>
      </c>
      <c r="F71" s="28" t="s">
        <v>9</v>
      </c>
      <c r="G71" s="18" t="s">
        <v>195</v>
      </c>
      <c r="H71" s="19" t="s">
        <v>196</v>
      </c>
      <c r="I71" s="32">
        <v>7550955</v>
      </c>
      <c r="J71" s="37">
        <v>45352</v>
      </c>
      <c r="K71" s="39">
        <v>1133</v>
      </c>
      <c r="L71" s="40" t="s">
        <v>718</v>
      </c>
    </row>
    <row r="72" spans="1:12" ht="14.25" customHeight="1" x14ac:dyDescent="0.35">
      <c r="A72" s="6">
        <f t="shared" si="2"/>
        <v>70</v>
      </c>
      <c r="B72" s="26"/>
      <c r="C72" s="23" t="s">
        <v>330</v>
      </c>
      <c r="D72" s="31" t="s">
        <v>588</v>
      </c>
      <c r="E72" s="31" t="s">
        <v>502</v>
      </c>
      <c r="F72" s="28" t="s">
        <v>11</v>
      </c>
      <c r="G72" s="25" t="s">
        <v>503</v>
      </c>
      <c r="H72" s="24" t="s">
        <v>504</v>
      </c>
      <c r="I72" s="32">
        <v>7824931</v>
      </c>
      <c r="J72" s="37">
        <v>45352</v>
      </c>
      <c r="K72" s="39">
        <v>1174</v>
      </c>
      <c r="L72" s="40" t="s">
        <v>719</v>
      </c>
    </row>
    <row r="73" spans="1:12" ht="14.25" customHeight="1" x14ac:dyDescent="0.35">
      <c r="A73" s="6">
        <f t="shared" si="2"/>
        <v>71</v>
      </c>
      <c r="B73" s="27"/>
      <c r="C73" s="16" t="s">
        <v>168</v>
      </c>
      <c r="D73" s="31" t="s">
        <v>588</v>
      </c>
      <c r="E73" s="31" t="s">
        <v>169</v>
      </c>
      <c r="F73" s="29" t="s">
        <v>9</v>
      </c>
      <c r="G73" s="14" t="s">
        <v>170</v>
      </c>
      <c r="H73" s="15" t="s">
        <v>171</v>
      </c>
      <c r="I73" s="32">
        <v>7906412</v>
      </c>
      <c r="J73" s="37">
        <v>45352</v>
      </c>
      <c r="K73" s="39">
        <v>1186</v>
      </c>
      <c r="L73" s="40" t="s">
        <v>720</v>
      </c>
    </row>
    <row r="74" spans="1:12" ht="14.25" customHeight="1" x14ac:dyDescent="0.35">
      <c r="A74" s="6">
        <f t="shared" si="2"/>
        <v>72</v>
      </c>
      <c r="B74" s="26"/>
      <c r="C74" s="23" t="s">
        <v>350</v>
      </c>
      <c r="D74" s="31" t="s">
        <v>588</v>
      </c>
      <c r="E74" s="31" t="s">
        <v>561</v>
      </c>
      <c r="F74" s="28" t="s">
        <v>11</v>
      </c>
      <c r="G74" s="25" t="s">
        <v>562</v>
      </c>
      <c r="H74" s="24" t="s">
        <v>563</v>
      </c>
      <c r="I74" s="32">
        <v>7981418</v>
      </c>
      <c r="J74" s="37">
        <v>45352</v>
      </c>
      <c r="K74" s="39">
        <v>1197</v>
      </c>
      <c r="L74" s="40" t="s">
        <v>721</v>
      </c>
    </row>
    <row r="75" spans="1:12" ht="14.25" customHeight="1" x14ac:dyDescent="0.35">
      <c r="A75" s="6">
        <f t="shared" si="2"/>
        <v>73</v>
      </c>
      <c r="B75" s="26"/>
      <c r="C75" s="23" t="s">
        <v>303</v>
      </c>
      <c r="D75" s="31" t="s">
        <v>588</v>
      </c>
      <c r="E75" s="31" t="s">
        <v>421</v>
      </c>
      <c r="F75" s="28" t="s">
        <v>8</v>
      </c>
      <c r="G75" s="25" t="s">
        <v>422</v>
      </c>
      <c r="H75" s="24" t="s">
        <v>423</v>
      </c>
      <c r="I75" s="32">
        <v>8199794</v>
      </c>
      <c r="J75" s="37">
        <v>45352</v>
      </c>
      <c r="K75" s="39">
        <v>1230</v>
      </c>
      <c r="L75" s="40" t="s">
        <v>722</v>
      </c>
    </row>
    <row r="76" spans="1:12" ht="14.25" customHeight="1" x14ac:dyDescent="0.35">
      <c r="A76" s="6">
        <f t="shared" si="2"/>
        <v>74</v>
      </c>
      <c r="B76" s="26"/>
      <c r="C76" s="23" t="s">
        <v>296</v>
      </c>
      <c r="D76" s="31" t="s">
        <v>588</v>
      </c>
      <c r="E76" s="31" t="s">
        <v>400</v>
      </c>
      <c r="F76" s="28" t="s">
        <v>9</v>
      </c>
      <c r="G76" s="25" t="s">
        <v>401</v>
      </c>
      <c r="H76" s="24" t="s">
        <v>402</v>
      </c>
      <c r="I76" s="32">
        <v>8277584</v>
      </c>
      <c r="J76" s="37">
        <v>45352</v>
      </c>
      <c r="K76" s="39">
        <v>1242</v>
      </c>
      <c r="L76" s="40" t="s">
        <v>723</v>
      </c>
    </row>
    <row r="77" spans="1:12" ht="14.25" customHeight="1" x14ac:dyDescent="0.35">
      <c r="A77" s="6">
        <f t="shared" si="2"/>
        <v>75</v>
      </c>
      <c r="B77" s="26"/>
      <c r="C77" s="23" t="s">
        <v>353</v>
      </c>
      <c r="D77" s="31" t="s">
        <v>588</v>
      </c>
      <c r="E77" s="31" t="s">
        <v>570</v>
      </c>
      <c r="F77" s="28" t="s">
        <v>11</v>
      </c>
      <c r="G77" s="25" t="s">
        <v>571</v>
      </c>
      <c r="H77" s="24" t="s">
        <v>572</v>
      </c>
      <c r="I77" s="32">
        <v>8362887</v>
      </c>
      <c r="J77" s="37">
        <v>45352</v>
      </c>
      <c r="K77" s="39">
        <v>1254</v>
      </c>
      <c r="L77" s="40" t="s">
        <v>724</v>
      </c>
    </row>
    <row r="78" spans="1:12" ht="14.25" customHeight="1" x14ac:dyDescent="0.35">
      <c r="A78" s="6">
        <f t="shared" si="2"/>
        <v>76</v>
      </c>
      <c r="B78" s="26"/>
      <c r="C78" s="23" t="s">
        <v>314</v>
      </c>
      <c r="D78" s="31" t="s">
        <v>588</v>
      </c>
      <c r="E78" s="31" t="s">
        <v>454</v>
      </c>
      <c r="F78" s="28" t="s">
        <v>9</v>
      </c>
      <c r="G78" s="25" t="s">
        <v>455</v>
      </c>
      <c r="H78" s="24" t="s">
        <v>456</v>
      </c>
      <c r="I78" s="32">
        <v>8476971</v>
      </c>
      <c r="J78" s="37">
        <v>45352</v>
      </c>
      <c r="K78" s="39">
        <v>1272</v>
      </c>
      <c r="L78" s="40" t="s">
        <v>725</v>
      </c>
    </row>
    <row r="79" spans="1:12" ht="14.25" customHeight="1" x14ac:dyDescent="0.35">
      <c r="A79" s="6">
        <f t="shared" si="2"/>
        <v>77</v>
      </c>
      <c r="B79" s="26"/>
      <c r="C79" s="23" t="s">
        <v>307</v>
      </c>
      <c r="D79" s="31" t="s">
        <v>588</v>
      </c>
      <c r="E79" s="31" t="s">
        <v>433</v>
      </c>
      <c r="F79" s="28" t="s">
        <v>8</v>
      </c>
      <c r="G79" s="25" t="s">
        <v>434</v>
      </c>
      <c r="H79" s="24" t="s">
        <v>435</v>
      </c>
      <c r="I79" s="32">
        <v>8680863</v>
      </c>
      <c r="J79" s="37">
        <v>45352</v>
      </c>
      <c r="K79" s="39">
        <v>1302</v>
      </c>
      <c r="L79" s="40" t="s">
        <v>726</v>
      </c>
    </row>
    <row r="80" spans="1:12" ht="14.25" customHeight="1" x14ac:dyDescent="0.35">
      <c r="A80" s="6">
        <f t="shared" si="2"/>
        <v>78</v>
      </c>
      <c r="B80" s="27"/>
      <c r="C80" s="16" t="s">
        <v>172</v>
      </c>
      <c r="D80" s="31" t="s">
        <v>588</v>
      </c>
      <c r="E80" s="31" t="s">
        <v>173</v>
      </c>
      <c r="F80" s="29" t="s">
        <v>9</v>
      </c>
      <c r="G80" s="14" t="s">
        <v>174</v>
      </c>
      <c r="H80" s="15" t="s">
        <v>175</v>
      </c>
      <c r="I80" s="32">
        <v>8683594</v>
      </c>
      <c r="J80" s="37">
        <v>45352</v>
      </c>
      <c r="K80" s="39">
        <v>1303</v>
      </c>
      <c r="L80" s="40" t="s">
        <v>727</v>
      </c>
    </row>
    <row r="81" spans="1:12" ht="14.25" customHeight="1" x14ac:dyDescent="0.35">
      <c r="A81" s="6">
        <f t="shared" si="2"/>
        <v>79</v>
      </c>
      <c r="B81" s="26"/>
      <c r="C81" s="23" t="s">
        <v>345</v>
      </c>
      <c r="D81" s="31" t="s">
        <v>588</v>
      </c>
      <c r="E81" s="31" t="s">
        <v>546</v>
      </c>
      <c r="F81" s="28" t="s">
        <v>13</v>
      </c>
      <c r="G81" s="25" t="s">
        <v>547</v>
      </c>
      <c r="H81" s="24" t="s">
        <v>548</v>
      </c>
      <c r="I81" s="32">
        <v>8881385</v>
      </c>
      <c r="J81" s="37">
        <v>45352</v>
      </c>
      <c r="K81" s="39">
        <v>1332</v>
      </c>
      <c r="L81" s="40" t="s">
        <v>728</v>
      </c>
    </row>
    <row r="82" spans="1:12" ht="14.25" customHeight="1" x14ac:dyDescent="0.35">
      <c r="A82" s="6">
        <f t="shared" si="2"/>
        <v>80</v>
      </c>
      <c r="B82" s="26"/>
      <c r="C82" s="23" t="s">
        <v>342</v>
      </c>
      <c r="D82" s="31" t="s">
        <v>588</v>
      </c>
      <c r="E82" s="31" t="s">
        <v>537</v>
      </c>
      <c r="F82" s="28" t="s">
        <v>8</v>
      </c>
      <c r="G82" s="25" t="s">
        <v>538</v>
      </c>
      <c r="H82" s="24" t="s">
        <v>539</v>
      </c>
      <c r="I82" s="32">
        <v>9225379</v>
      </c>
      <c r="J82" s="37">
        <v>45352</v>
      </c>
      <c r="K82" s="39">
        <v>1384</v>
      </c>
      <c r="L82" s="40" t="s">
        <v>729</v>
      </c>
    </row>
    <row r="83" spans="1:12" ht="14.25" customHeight="1" x14ac:dyDescent="0.35">
      <c r="A83" s="6">
        <f t="shared" si="2"/>
        <v>81</v>
      </c>
      <c r="B83" s="26"/>
      <c r="C83" s="23" t="s">
        <v>328</v>
      </c>
      <c r="D83" s="31" t="s">
        <v>588</v>
      </c>
      <c r="E83" s="31" t="s">
        <v>496</v>
      </c>
      <c r="F83" s="28" t="s">
        <v>9</v>
      </c>
      <c r="G83" s="25" t="s">
        <v>497</v>
      </c>
      <c r="H83" s="24" t="s">
        <v>498</v>
      </c>
      <c r="I83" s="32">
        <v>9283723</v>
      </c>
      <c r="J83" s="37">
        <v>45352</v>
      </c>
      <c r="K83" s="39">
        <v>1393</v>
      </c>
      <c r="L83" s="40" t="s">
        <v>730</v>
      </c>
    </row>
    <row r="84" spans="1:12" ht="14.25" customHeight="1" x14ac:dyDescent="0.35">
      <c r="A84" s="6">
        <f t="shared" si="2"/>
        <v>82</v>
      </c>
      <c r="B84" s="26"/>
      <c r="C84" s="23" t="s">
        <v>324</v>
      </c>
      <c r="D84" s="31" t="s">
        <v>588</v>
      </c>
      <c r="E84" s="31" t="s">
        <v>484</v>
      </c>
      <c r="F84" s="28" t="s">
        <v>12</v>
      </c>
      <c r="G84" s="25" t="s">
        <v>485</v>
      </c>
      <c r="H84" s="24" t="s">
        <v>486</v>
      </c>
      <c r="I84" s="32">
        <v>9373775</v>
      </c>
      <c r="J84" s="37">
        <v>45352</v>
      </c>
      <c r="K84" s="39">
        <v>1406</v>
      </c>
      <c r="L84" s="40" t="s">
        <v>731</v>
      </c>
    </row>
    <row r="85" spans="1:12" ht="14.25" customHeight="1" x14ac:dyDescent="0.35">
      <c r="A85" s="6">
        <f t="shared" si="2"/>
        <v>83</v>
      </c>
      <c r="B85" s="26"/>
      <c r="C85" s="23" t="s">
        <v>287</v>
      </c>
      <c r="D85" s="31" t="s">
        <v>588</v>
      </c>
      <c r="E85" s="31" t="s">
        <v>374</v>
      </c>
      <c r="F85" s="28" t="s">
        <v>11</v>
      </c>
      <c r="G85" s="25" t="s">
        <v>375</v>
      </c>
      <c r="H85" s="24" t="s">
        <v>376</v>
      </c>
      <c r="I85" s="32">
        <v>9563382</v>
      </c>
      <c r="J85" s="37">
        <v>45352</v>
      </c>
      <c r="K85" s="39">
        <v>1435</v>
      </c>
      <c r="L85" s="40" t="s">
        <v>732</v>
      </c>
    </row>
    <row r="86" spans="1:12" ht="14.25" customHeight="1" x14ac:dyDescent="0.35">
      <c r="A86" s="6">
        <f t="shared" si="2"/>
        <v>84</v>
      </c>
      <c r="B86" s="26"/>
      <c r="C86" s="23" t="s">
        <v>306</v>
      </c>
      <c r="D86" s="31" t="s">
        <v>588</v>
      </c>
      <c r="E86" s="31" t="s">
        <v>430</v>
      </c>
      <c r="F86" s="28" t="s">
        <v>9</v>
      </c>
      <c r="G86" s="25" t="s">
        <v>431</v>
      </c>
      <c r="H86" s="24" t="s">
        <v>432</v>
      </c>
      <c r="I86" s="32">
        <v>9608691</v>
      </c>
      <c r="J86" s="37">
        <v>45352</v>
      </c>
      <c r="K86" s="39">
        <v>1441</v>
      </c>
      <c r="L86" s="40" t="s">
        <v>733</v>
      </c>
    </row>
    <row r="87" spans="1:12" ht="14.25" customHeight="1" x14ac:dyDescent="0.35">
      <c r="A87" s="6">
        <f t="shared" si="2"/>
        <v>85</v>
      </c>
      <c r="B87" s="26"/>
      <c r="C87" s="23" t="s">
        <v>297</v>
      </c>
      <c r="D87" s="31" t="s">
        <v>588</v>
      </c>
      <c r="E87" s="31" t="s">
        <v>403</v>
      </c>
      <c r="F87" s="28" t="s">
        <v>9</v>
      </c>
      <c r="G87" s="25" t="s">
        <v>404</v>
      </c>
      <c r="H87" s="24" t="s">
        <v>405</v>
      </c>
      <c r="I87" s="32">
        <v>9682638</v>
      </c>
      <c r="J87" s="37">
        <v>45352</v>
      </c>
      <c r="K87" s="39">
        <v>1452</v>
      </c>
      <c r="L87" s="40" t="s">
        <v>734</v>
      </c>
    </row>
    <row r="88" spans="1:12" ht="14.25" customHeight="1" x14ac:dyDescent="0.35">
      <c r="A88" s="6">
        <f t="shared" si="2"/>
        <v>86</v>
      </c>
      <c r="B88" s="26"/>
      <c r="C88" s="23" t="s">
        <v>349</v>
      </c>
      <c r="D88" s="31" t="s">
        <v>588</v>
      </c>
      <c r="E88" s="31" t="s">
        <v>558</v>
      </c>
      <c r="F88" s="28" t="s">
        <v>9</v>
      </c>
      <c r="G88" s="25" t="s">
        <v>559</v>
      </c>
      <c r="H88" s="24" t="s">
        <v>560</v>
      </c>
      <c r="I88" s="32">
        <v>9735643</v>
      </c>
      <c r="J88" s="37">
        <v>45352</v>
      </c>
      <c r="K88" s="39">
        <v>1460</v>
      </c>
      <c r="L88" s="40" t="s">
        <v>735</v>
      </c>
    </row>
    <row r="89" spans="1:12" ht="14.25" customHeight="1" x14ac:dyDescent="0.35">
      <c r="A89" s="6">
        <f t="shared" si="2"/>
        <v>87</v>
      </c>
      <c r="B89" s="26"/>
      <c r="C89" s="23" t="s">
        <v>310</v>
      </c>
      <c r="D89" s="31" t="s">
        <v>588</v>
      </c>
      <c r="E89" s="31" t="s">
        <v>442</v>
      </c>
      <c r="F89" s="28" t="s">
        <v>10</v>
      </c>
      <c r="G89" s="25" t="s">
        <v>443</v>
      </c>
      <c r="H89" s="24" t="s">
        <v>444</v>
      </c>
      <c r="I89" s="32">
        <v>9761748</v>
      </c>
      <c r="J89" s="37">
        <v>45352</v>
      </c>
      <c r="K89" s="39">
        <v>1464</v>
      </c>
      <c r="L89" s="40" t="s">
        <v>736</v>
      </c>
    </row>
    <row r="90" spans="1:12" ht="14.25" customHeight="1" x14ac:dyDescent="0.35">
      <c r="A90" s="6">
        <f t="shared" si="2"/>
        <v>88</v>
      </c>
      <c r="B90" s="26"/>
      <c r="C90" s="23" t="s">
        <v>316</v>
      </c>
      <c r="D90" s="31" t="s">
        <v>588</v>
      </c>
      <c r="E90" s="31" t="s">
        <v>460</v>
      </c>
      <c r="F90" s="28" t="s">
        <v>9</v>
      </c>
      <c r="G90" s="25" t="s">
        <v>461</v>
      </c>
      <c r="H90" s="24" t="s">
        <v>462</v>
      </c>
      <c r="I90" s="32">
        <v>9761748</v>
      </c>
      <c r="J90" s="37">
        <v>45352</v>
      </c>
      <c r="K90" s="39">
        <v>1464</v>
      </c>
      <c r="L90" s="40" t="s">
        <v>737</v>
      </c>
    </row>
    <row r="91" spans="1:12" ht="14.25" customHeight="1" x14ac:dyDescent="0.35">
      <c r="A91" s="6">
        <f t="shared" si="2"/>
        <v>89</v>
      </c>
      <c r="B91" s="26"/>
      <c r="C91" s="23" t="s">
        <v>334</v>
      </c>
      <c r="D91" s="31" t="s">
        <v>588</v>
      </c>
      <c r="E91" s="31" t="s">
        <v>513</v>
      </c>
      <c r="F91" s="28" t="s">
        <v>10</v>
      </c>
      <c r="G91" s="25" t="s">
        <v>514</v>
      </c>
      <c r="H91" s="24" t="s">
        <v>515</v>
      </c>
      <c r="I91" s="32">
        <v>9781154</v>
      </c>
      <c r="J91" s="37">
        <v>45352</v>
      </c>
      <c r="K91" s="39">
        <v>1467</v>
      </c>
      <c r="L91" s="40" t="s">
        <v>738</v>
      </c>
    </row>
    <row r="92" spans="1:12" ht="14.25" customHeight="1" x14ac:dyDescent="0.35">
      <c r="A92" s="6">
        <f t="shared" si="2"/>
        <v>90</v>
      </c>
      <c r="B92" s="26"/>
      <c r="C92" s="21" t="s">
        <v>30</v>
      </c>
      <c r="D92" s="31" t="s">
        <v>588</v>
      </c>
      <c r="E92" s="31" t="s">
        <v>31</v>
      </c>
      <c r="F92" s="28" t="s">
        <v>10</v>
      </c>
      <c r="G92" s="18" t="s">
        <v>32</v>
      </c>
      <c r="H92" s="19" t="s">
        <v>33</v>
      </c>
      <c r="I92" s="32">
        <v>10236063</v>
      </c>
      <c r="J92" s="37">
        <v>45352</v>
      </c>
      <c r="K92" s="39">
        <v>1535</v>
      </c>
      <c r="L92" s="40" t="s">
        <v>739</v>
      </c>
    </row>
    <row r="93" spans="1:12" ht="14.25" customHeight="1" x14ac:dyDescent="0.35">
      <c r="A93" s="6">
        <f t="shared" si="2"/>
        <v>91</v>
      </c>
      <c r="B93" s="26"/>
      <c r="C93" s="23" t="s">
        <v>252</v>
      </c>
      <c r="D93" s="31" t="s">
        <v>588</v>
      </c>
      <c r="E93" s="31" t="s">
        <v>253</v>
      </c>
      <c r="F93" s="28" t="s">
        <v>254</v>
      </c>
      <c r="G93" s="25" t="s">
        <v>255</v>
      </c>
      <c r="H93" s="24" t="s">
        <v>256</v>
      </c>
      <c r="I93" s="32">
        <v>10802974</v>
      </c>
      <c r="J93" s="37">
        <v>45352</v>
      </c>
      <c r="K93" s="39">
        <v>1620</v>
      </c>
      <c r="L93" s="40" t="s">
        <v>740</v>
      </c>
    </row>
    <row r="94" spans="1:12" ht="14.25" customHeight="1" x14ac:dyDescent="0.35">
      <c r="A94" s="6">
        <f t="shared" si="2"/>
        <v>92</v>
      </c>
      <c r="B94" s="27" t="s">
        <v>76</v>
      </c>
      <c r="C94" s="16" t="s">
        <v>77</v>
      </c>
      <c r="D94" s="31" t="s">
        <v>588</v>
      </c>
      <c r="E94" s="31" t="s">
        <v>78</v>
      </c>
      <c r="F94" s="29" t="s">
        <v>10</v>
      </c>
      <c r="G94" s="14" t="s">
        <v>79</v>
      </c>
      <c r="H94" s="15" t="s">
        <v>80</v>
      </c>
      <c r="I94" s="32">
        <v>12091017</v>
      </c>
      <c r="J94" s="37">
        <v>45352</v>
      </c>
      <c r="K94" s="39">
        <v>1814</v>
      </c>
      <c r="L94" s="40" t="s">
        <v>741</v>
      </c>
    </row>
    <row r="95" spans="1:12" ht="14.25" customHeight="1" x14ac:dyDescent="0.35">
      <c r="A95" s="6">
        <f t="shared" si="2"/>
        <v>93</v>
      </c>
      <c r="B95" s="26"/>
      <c r="C95" s="21" t="s">
        <v>46</v>
      </c>
      <c r="D95" s="31" t="s">
        <v>588</v>
      </c>
      <c r="E95" s="31" t="s">
        <v>47</v>
      </c>
      <c r="F95" s="28" t="s">
        <v>10</v>
      </c>
      <c r="G95" s="18" t="s">
        <v>48</v>
      </c>
      <c r="H95" s="19" t="s">
        <v>49</v>
      </c>
      <c r="I95" s="32">
        <v>13637848</v>
      </c>
      <c r="J95" s="37">
        <v>45352</v>
      </c>
      <c r="K95" s="39">
        <v>2046</v>
      </c>
      <c r="L95" s="40" t="s">
        <v>742</v>
      </c>
    </row>
    <row r="96" spans="1:12" ht="14.25" customHeight="1" x14ac:dyDescent="0.35">
      <c r="A96" s="6">
        <f t="shared" si="2"/>
        <v>94</v>
      </c>
      <c r="B96" s="26"/>
      <c r="C96" s="23" t="s">
        <v>292</v>
      </c>
      <c r="D96" s="31" t="s">
        <v>588</v>
      </c>
      <c r="E96" s="31" t="s">
        <v>389</v>
      </c>
      <c r="F96" s="28" t="s">
        <v>10</v>
      </c>
      <c r="G96" s="25" t="s">
        <v>390</v>
      </c>
      <c r="H96" s="24" t="s">
        <v>391</v>
      </c>
      <c r="I96" s="32">
        <v>15672184</v>
      </c>
      <c r="J96" s="37">
        <v>45352</v>
      </c>
      <c r="K96" s="39">
        <v>2351</v>
      </c>
      <c r="L96" s="40" t="s">
        <v>743</v>
      </c>
    </row>
    <row r="97" spans="1:12" ht="14.25" customHeight="1" x14ac:dyDescent="0.35">
      <c r="A97" s="6">
        <f t="shared" si="2"/>
        <v>95</v>
      </c>
      <c r="B97" s="26"/>
      <c r="C97" s="23" t="s">
        <v>286</v>
      </c>
      <c r="D97" s="31" t="s">
        <v>588</v>
      </c>
      <c r="E97" s="31" t="s">
        <v>371</v>
      </c>
      <c r="F97" s="28" t="s">
        <v>12</v>
      </c>
      <c r="G97" s="25" t="s">
        <v>372</v>
      </c>
      <c r="H97" s="24" t="s">
        <v>373</v>
      </c>
      <c r="I97" s="32">
        <v>24614058</v>
      </c>
      <c r="J97" s="37">
        <v>45352</v>
      </c>
      <c r="K97" s="39">
        <v>3692</v>
      </c>
      <c r="L97" s="40" t="s">
        <v>744</v>
      </c>
    </row>
    <row r="98" spans="1:12" ht="14.25" customHeight="1" x14ac:dyDescent="0.35">
      <c r="A98" s="6">
        <f t="shared" si="2"/>
        <v>96</v>
      </c>
      <c r="B98" s="27"/>
      <c r="C98" s="16" t="s">
        <v>231</v>
      </c>
      <c r="D98" s="31" t="s">
        <v>588</v>
      </c>
      <c r="E98" s="31" t="s">
        <v>232</v>
      </c>
      <c r="F98" s="29" t="s">
        <v>233</v>
      </c>
      <c r="G98" s="14" t="s">
        <v>234</v>
      </c>
      <c r="H98" s="15" t="s">
        <v>235</v>
      </c>
      <c r="I98" s="32">
        <v>22926773</v>
      </c>
      <c r="J98" s="37">
        <v>45352</v>
      </c>
      <c r="K98" s="39">
        <v>3439</v>
      </c>
      <c r="L98" s="40" t="s">
        <v>745</v>
      </c>
    </row>
    <row r="99" spans="1:12" ht="14.25" customHeight="1" x14ac:dyDescent="0.35">
      <c r="A99" s="6">
        <f t="shared" si="2"/>
        <v>97</v>
      </c>
      <c r="B99" s="27"/>
      <c r="C99" s="16" t="s">
        <v>240</v>
      </c>
      <c r="D99" s="31" t="s">
        <v>588</v>
      </c>
      <c r="E99" s="31" t="s">
        <v>241</v>
      </c>
      <c r="F99" s="29" t="s">
        <v>228</v>
      </c>
      <c r="G99" s="14" t="s">
        <v>242</v>
      </c>
      <c r="H99" s="15" t="s">
        <v>243</v>
      </c>
      <c r="I99" s="32">
        <v>27500713</v>
      </c>
      <c r="J99" s="37">
        <v>45352</v>
      </c>
      <c r="K99" s="39">
        <v>4125</v>
      </c>
      <c r="L99" s="40" t="s">
        <v>746</v>
      </c>
    </row>
    <row r="100" spans="1:12" ht="14.25" customHeight="1" x14ac:dyDescent="0.35">
      <c r="A100" s="6">
        <f t="shared" ref="A100:A120" si="3">+A99+1</f>
        <v>98</v>
      </c>
      <c r="B100" s="27"/>
      <c r="C100" s="16" t="s">
        <v>140</v>
      </c>
      <c r="D100" s="31" t="s">
        <v>588</v>
      </c>
      <c r="E100" s="31" t="s">
        <v>141</v>
      </c>
      <c r="F100" s="29" t="s">
        <v>9</v>
      </c>
      <c r="G100" s="14" t="s">
        <v>142</v>
      </c>
      <c r="H100" s="15" t="s">
        <v>143</v>
      </c>
      <c r="I100" s="32">
        <v>37460305</v>
      </c>
      <c r="J100" s="37">
        <v>45352</v>
      </c>
      <c r="K100" s="39">
        <v>5619</v>
      </c>
      <c r="L100" s="40" t="s">
        <v>747</v>
      </c>
    </row>
    <row r="101" spans="1:12" ht="14.25" customHeight="1" x14ac:dyDescent="0.35">
      <c r="A101" s="6">
        <f t="shared" si="3"/>
        <v>99</v>
      </c>
      <c r="B101" s="26"/>
      <c r="C101" s="23" t="s">
        <v>313</v>
      </c>
      <c r="D101" s="31" t="s">
        <v>588</v>
      </c>
      <c r="E101" s="31" t="s">
        <v>451</v>
      </c>
      <c r="F101" s="28" t="s">
        <v>9</v>
      </c>
      <c r="G101" s="25" t="s">
        <v>452</v>
      </c>
      <c r="H101" s="24" t="s">
        <v>453</v>
      </c>
      <c r="I101" s="32">
        <v>41126273</v>
      </c>
      <c r="J101" s="37">
        <v>45352</v>
      </c>
      <c r="K101" s="39">
        <v>6169</v>
      </c>
      <c r="L101" s="40" t="s">
        <v>748</v>
      </c>
    </row>
    <row r="102" spans="1:12" ht="14.25" customHeight="1" x14ac:dyDescent="0.35">
      <c r="A102" s="6">
        <f t="shared" si="3"/>
        <v>100</v>
      </c>
      <c r="B102" s="27"/>
      <c r="C102" s="16" t="s">
        <v>244</v>
      </c>
      <c r="D102" s="31" t="s">
        <v>588</v>
      </c>
      <c r="E102" s="31" t="s">
        <v>245</v>
      </c>
      <c r="F102" s="29" t="s">
        <v>228</v>
      </c>
      <c r="G102" s="14" t="s">
        <v>246</v>
      </c>
      <c r="H102" s="15" t="s">
        <v>247</v>
      </c>
      <c r="I102" s="32">
        <v>47965879</v>
      </c>
      <c r="J102" s="37">
        <v>45352</v>
      </c>
      <c r="K102" s="39">
        <v>7195</v>
      </c>
      <c r="L102" s="40" t="s">
        <v>749</v>
      </c>
    </row>
    <row r="103" spans="1:12" ht="14.25" customHeight="1" x14ac:dyDescent="0.35">
      <c r="A103" s="6">
        <f t="shared" si="3"/>
        <v>101</v>
      </c>
      <c r="B103" s="26"/>
      <c r="C103" s="21" t="s">
        <v>189</v>
      </c>
      <c r="D103" s="31" t="s">
        <v>588</v>
      </c>
      <c r="E103" s="31" t="s">
        <v>190</v>
      </c>
      <c r="F103" s="28" t="s">
        <v>9</v>
      </c>
      <c r="G103" s="18" t="s">
        <v>191</v>
      </c>
      <c r="H103" s="19" t="s">
        <v>192</v>
      </c>
      <c r="I103" s="32">
        <v>66719330</v>
      </c>
      <c r="J103" s="37">
        <v>45352</v>
      </c>
      <c r="K103" s="39">
        <v>10008</v>
      </c>
      <c r="L103" s="40" t="s">
        <v>750</v>
      </c>
    </row>
    <row r="104" spans="1:12" ht="14.25" customHeight="1" x14ac:dyDescent="0.35">
      <c r="A104" s="6">
        <f t="shared" si="3"/>
        <v>102</v>
      </c>
      <c r="B104" s="26"/>
      <c r="C104" s="23" t="s">
        <v>358</v>
      </c>
      <c r="D104" s="31" t="s">
        <v>588</v>
      </c>
      <c r="E104" s="31" t="s">
        <v>585</v>
      </c>
      <c r="F104" s="28" t="s">
        <v>9</v>
      </c>
      <c r="G104" s="25" t="s">
        <v>586</v>
      </c>
      <c r="H104" s="24" t="s">
        <v>587</v>
      </c>
      <c r="I104" s="32">
        <v>73348249</v>
      </c>
      <c r="J104" s="37">
        <v>45352</v>
      </c>
      <c r="K104" s="39">
        <v>11002</v>
      </c>
      <c r="L104" s="40" t="s">
        <v>751</v>
      </c>
    </row>
    <row r="105" spans="1:12" ht="14.25" customHeight="1" x14ac:dyDescent="0.35">
      <c r="A105" s="6">
        <f t="shared" si="3"/>
        <v>103</v>
      </c>
      <c r="B105" s="26"/>
      <c r="C105" s="23" t="s">
        <v>290</v>
      </c>
      <c r="D105" s="31" t="s">
        <v>588</v>
      </c>
      <c r="E105" s="31" t="s">
        <v>383</v>
      </c>
      <c r="F105" s="28" t="s">
        <v>9</v>
      </c>
      <c r="G105" s="25" t="s">
        <v>384</v>
      </c>
      <c r="H105" s="24" t="s">
        <v>385</v>
      </c>
      <c r="I105" s="32">
        <v>76357834</v>
      </c>
      <c r="J105" s="37">
        <v>45352</v>
      </c>
      <c r="K105" s="39">
        <v>11454</v>
      </c>
      <c r="L105" s="40" t="s">
        <v>752</v>
      </c>
    </row>
    <row r="106" spans="1:12" ht="14.25" customHeight="1" x14ac:dyDescent="0.35">
      <c r="A106" s="6">
        <f t="shared" si="3"/>
        <v>104</v>
      </c>
      <c r="B106" s="26"/>
      <c r="C106" s="23" t="s">
        <v>326</v>
      </c>
      <c r="D106" s="31" t="s">
        <v>588</v>
      </c>
      <c r="E106" s="31" t="s">
        <v>490</v>
      </c>
      <c r="F106" s="28" t="s">
        <v>9</v>
      </c>
      <c r="G106" s="25" t="s">
        <v>491</v>
      </c>
      <c r="H106" s="24" t="s">
        <v>492</v>
      </c>
      <c r="I106" s="32">
        <v>69212458</v>
      </c>
      <c r="J106" s="37">
        <v>45352</v>
      </c>
      <c r="K106" s="39">
        <v>10382</v>
      </c>
      <c r="L106" s="40" t="s">
        <v>753</v>
      </c>
    </row>
    <row r="107" spans="1:12" ht="14.25" customHeight="1" x14ac:dyDescent="0.35">
      <c r="A107" s="6">
        <f t="shared" si="3"/>
        <v>105</v>
      </c>
      <c r="B107" s="26"/>
      <c r="C107" s="23" t="s">
        <v>357</v>
      </c>
      <c r="D107" s="31" t="s">
        <v>588</v>
      </c>
      <c r="E107" s="31" t="s">
        <v>582</v>
      </c>
      <c r="F107" s="28" t="s">
        <v>10</v>
      </c>
      <c r="G107" s="25" t="s">
        <v>583</v>
      </c>
      <c r="H107" s="24" t="s">
        <v>584</v>
      </c>
      <c r="I107" s="32">
        <v>79093794</v>
      </c>
      <c r="J107" s="37">
        <v>45352</v>
      </c>
      <c r="K107" s="39">
        <v>11864</v>
      </c>
      <c r="L107" s="40" t="s">
        <v>754</v>
      </c>
    </row>
    <row r="108" spans="1:12" ht="14.25" customHeight="1" x14ac:dyDescent="0.35">
      <c r="A108" s="6">
        <f t="shared" si="3"/>
        <v>106</v>
      </c>
      <c r="B108" s="26"/>
      <c r="C108" s="21" t="s">
        <v>257</v>
      </c>
      <c r="D108" s="31" t="s">
        <v>588</v>
      </c>
      <c r="E108" s="31" t="s">
        <v>258</v>
      </c>
      <c r="F108" s="28" t="s">
        <v>223</v>
      </c>
      <c r="G108" s="18" t="s">
        <v>259</v>
      </c>
      <c r="H108" s="19" t="s">
        <v>260</v>
      </c>
      <c r="I108" s="32">
        <v>154591888</v>
      </c>
      <c r="J108" s="37">
        <v>45352</v>
      </c>
      <c r="K108" s="39">
        <v>23189</v>
      </c>
      <c r="L108" s="40" t="s">
        <v>755</v>
      </c>
    </row>
    <row r="109" spans="1:12" ht="14.25" customHeight="1" x14ac:dyDescent="0.35">
      <c r="A109" s="6">
        <f t="shared" si="3"/>
        <v>107</v>
      </c>
      <c r="B109" s="26"/>
      <c r="C109" s="21" t="s">
        <v>636</v>
      </c>
      <c r="D109" s="31" t="s">
        <v>588</v>
      </c>
      <c r="E109" s="31" t="s">
        <v>590</v>
      </c>
      <c r="F109" s="28" t="s">
        <v>591</v>
      </c>
      <c r="G109" s="18" t="s">
        <v>592</v>
      </c>
      <c r="H109" s="19" t="s">
        <v>593</v>
      </c>
      <c r="I109" s="32">
        <v>10000000</v>
      </c>
      <c r="J109" s="37">
        <v>45352</v>
      </c>
      <c r="K109" s="39">
        <v>1500</v>
      </c>
      <c r="L109" s="40" t="s">
        <v>756</v>
      </c>
    </row>
    <row r="110" spans="1:12" ht="14.25" customHeight="1" x14ac:dyDescent="0.35">
      <c r="A110" s="6">
        <f t="shared" si="3"/>
        <v>108</v>
      </c>
      <c r="B110" s="26"/>
      <c r="C110" s="21" t="s">
        <v>637</v>
      </c>
      <c r="D110" s="31" t="s">
        <v>588</v>
      </c>
      <c r="E110" s="31" t="s">
        <v>594</v>
      </c>
      <c r="F110" s="28" t="s">
        <v>595</v>
      </c>
      <c r="G110" s="18" t="s">
        <v>596</v>
      </c>
      <c r="H110" s="19" t="s">
        <v>597</v>
      </c>
      <c r="I110" s="32">
        <v>15000000</v>
      </c>
      <c r="J110" s="37">
        <v>45352</v>
      </c>
      <c r="K110" s="39">
        <v>2250</v>
      </c>
      <c r="L110" s="40" t="s">
        <v>757</v>
      </c>
    </row>
    <row r="111" spans="1:12" ht="14.25" customHeight="1" x14ac:dyDescent="0.35">
      <c r="A111" s="6">
        <f t="shared" si="3"/>
        <v>109</v>
      </c>
      <c r="B111" s="26"/>
      <c r="C111" s="21" t="s">
        <v>638</v>
      </c>
      <c r="D111" s="31" t="s">
        <v>588</v>
      </c>
      <c r="E111" s="31" t="s">
        <v>598</v>
      </c>
      <c r="F111" s="28" t="s">
        <v>599</v>
      </c>
      <c r="G111" s="18" t="s">
        <v>600</v>
      </c>
      <c r="H111" s="19" t="s">
        <v>601</v>
      </c>
      <c r="I111" s="32">
        <v>15000000</v>
      </c>
      <c r="J111" s="37">
        <v>45352</v>
      </c>
      <c r="K111" s="39">
        <v>2250</v>
      </c>
      <c r="L111" s="40" t="s">
        <v>758</v>
      </c>
    </row>
    <row r="112" spans="1:12" ht="14.25" customHeight="1" x14ac:dyDescent="0.35">
      <c r="A112" s="6">
        <f t="shared" si="3"/>
        <v>110</v>
      </c>
      <c r="B112" s="26"/>
      <c r="C112" s="21" t="s">
        <v>639</v>
      </c>
      <c r="D112" s="31" t="s">
        <v>588</v>
      </c>
      <c r="E112" s="31" t="s">
        <v>602</v>
      </c>
      <c r="F112" s="28" t="s">
        <v>595</v>
      </c>
      <c r="G112" s="18" t="s">
        <v>603</v>
      </c>
      <c r="H112" s="19" t="s">
        <v>604</v>
      </c>
      <c r="I112" s="32">
        <v>12000000</v>
      </c>
      <c r="J112" s="37">
        <v>45352</v>
      </c>
      <c r="K112" s="39">
        <v>1800</v>
      </c>
      <c r="L112" s="40" t="s">
        <v>759</v>
      </c>
    </row>
    <row r="113" spans="1:12" ht="14.25" customHeight="1" x14ac:dyDescent="0.35">
      <c r="A113" s="6">
        <f t="shared" si="3"/>
        <v>111</v>
      </c>
      <c r="B113" s="26"/>
      <c r="C113" s="21" t="s">
        <v>640</v>
      </c>
      <c r="D113" s="31" t="s">
        <v>588</v>
      </c>
      <c r="E113" s="31" t="s">
        <v>605</v>
      </c>
      <c r="F113" s="28" t="s">
        <v>591</v>
      </c>
      <c r="G113" s="18" t="s">
        <v>606</v>
      </c>
      <c r="H113" s="19" t="s">
        <v>607</v>
      </c>
      <c r="I113" s="32">
        <v>70000000</v>
      </c>
      <c r="J113" s="37">
        <v>45352</v>
      </c>
      <c r="K113" s="39">
        <v>10500</v>
      </c>
      <c r="L113" s="40" t="s">
        <v>760</v>
      </c>
    </row>
    <row r="114" spans="1:12" ht="14.25" customHeight="1" x14ac:dyDescent="0.35">
      <c r="A114" s="6">
        <f t="shared" si="3"/>
        <v>112</v>
      </c>
      <c r="B114" s="26"/>
      <c r="C114" s="21" t="s">
        <v>642</v>
      </c>
      <c r="D114" s="31" t="s">
        <v>588</v>
      </c>
      <c r="E114" s="31" t="s">
        <v>611</v>
      </c>
      <c r="F114" s="28" t="s">
        <v>595</v>
      </c>
      <c r="G114" s="18" t="s">
        <v>612</v>
      </c>
      <c r="H114" s="19" t="s">
        <v>613</v>
      </c>
      <c r="I114" s="32">
        <v>23000000</v>
      </c>
      <c r="J114" s="37">
        <v>45352</v>
      </c>
      <c r="K114" s="39">
        <v>3450</v>
      </c>
      <c r="L114" s="40" t="s">
        <v>761</v>
      </c>
    </row>
    <row r="115" spans="1:12" ht="14.25" customHeight="1" x14ac:dyDescent="0.35">
      <c r="A115" s="6">
        <f t="shared" si="3"/>
        <v>113</v>
      </c>
      <c r="B115" s="26"/>
      <c r="C115" s="21" t="s">
        <v>643</v>
      </c>
      <c r="D115" s="31" t="s">
        <v>588</v>
      </c>
      <c r="E115" s="31" t="s">
        <v>614</v>
      </c>
      <c r="F115" s="28" t="s">
        <v>591</v>
      </c>
      <c r="G115" s="18" t="s">
        <v>615</v>
      </c>
      <c r="H115" s="19" t="s">
        <v>616</v>
      </c>
      <c r="I115" s="32">
        <v>45600000</v>
      </c>
      <c r="J115" s="37">
        <v>45352</v>
      </c>
      <c r="K115" s="39">
        <v>6840</v>
      </c>
      <c r="L115" s="40" t="s">
        <v>762</v>
      </c>
    </row>
    <row r="116" spans="1:12" ht="14.25" customHeight="1" x14ac:dyDescent="0.35">
      <c r="A116" s="6">
        <f t="shared" si="3"/>
        <v>114</v>
      </c>
      <c r="B116" s="26"/>
      <c r="C116" s="21" t="s">
        <v>644</v>
      </c>
      <c r="D116" s="31" t="s">
        <v>588</v>
      </c>
      <c r="E116" s="31" t="s">
        <v>617</v>
      </c>
      <c r="F116" s="28" t="s">
        <v>618</v>
      </c>
      <c r="G116" s="18" t="s">
        <v>619</v>
      </c>
      <c r="H116" s="19" t="s">
        <v>620</v>
      </c>
      <c r="I116" s="32">
        <v>62211503</v>
      </c>
      <c r="J116" s="37">
        <v>45352</v>
      </c>
      <c r="K116" s="39">
        <v>9332</v>
      </c>
      <c r="L116" s="40" t="s">
        <v>763</v>
      </c>
    </row>
    <row r="117" spans="1:12" ht="14.25" customHeight="1" x14ac:dyDescent="0.35">
      <c r="A117" s="6">
        <f t="shared" si="3"/>
        <v>115</v>
      </c>
      <c r="B117" s="26"/>
      <c r="C117" s="21" t="s">
        <v>646</v>
      </c>
      <c r="D117" s="31" t="s">
        <v>588</v>
      </c>
      <c r="E117" s="31" t="s">
        <v>624</v>
      </c>
      <c r="F117" s="28" t="s">
        <v>599</v>
      </c>
      <c r="G117" s="18" t="s">
        <v>625</v>
      </c>
      <c r="H117" s="19" t="s">
        <v>626</v>
      </c>
      <c r="I117" s="32">
        <v>25000000</v>
      </c>
      <c r="J117" s="37">
        <v>45352</v>
      </c>
      <c r="K117" s="39">
        <v>3750</v>
      </c>
      <c r="L117" s="40" t="s">
        <v>764</v>
      </c>
    </row>
    <row r="118" spans="1:12" ht="14.25" customHeight="1" x14ac:dyDescent="0.35">
      <c r="A118" s="6">
        <f t="shared" si="3"/>
        <v>116</v>
      </c>
      <c r="B118" s="26"/>
      <c r="C118" s="21" t="s">
        <v>647</v>
      </c>
      <c r="D118" s="31" t="s">
        <v>588</v>
      </c>
      <c r="E118" s="31" t="s">
        <v>627</v>
      </c>
      <c r="F118" s="28" t="s">
        <v>595</v>
      </c>
      <c r="G118" s="18" t="s">
        <v>628</v>
      </c>
      <c r="H118" s="19" t="s">
        <v>629</v>
      </c>
      <c r="I118" s="32">
        <v>44500000</v>
      </c>
      <c r="J118" s="37">
        <v>45352</v>
      </c>
      <c r="K118" s="39">
        <v>6675</v>
      </c>
      <c r="L118" s="40" t="s">
        <v>765</v>
      </c>
    </row>
    <row r="119" spans="1:12" ht="14.25" customHeight="1" x14ac:dyDescent="0.35">
      <c r="A119" s="6">
        <f t="shared" si="3"/>
        <v>117</v>
      </c>
      <c r="B119" s="26"/>
      <c r="C119" s="21" t="s">
        <v>648</v>
      </c>
      <c r="D119" s="31" t="s">
        <v>588</v>
      </c>
      <c r="E119" s="31" t="s">
        <v>630</v>
      </c>
      <c r="F119" s="28" t="s">
        <v>595</v>
      </c>
      <c r="G119" s="18" t="s">
        <v>631</v>
      </c>
      <c r="H119" s="19" t="s">
        <v>632</v>
      </c>
      <c r="I119" s="32">
        <v>37500000</v>
      </c>
      <c r="J119" s="37">
        <v>45352</v>
      </c>
      <c r="K119" s="39">
        <v>5625</v>
      </c>
      <c r="L119" s="40" t="s">
        <v>766</v>
      </c>
    </row>
    <row r="120" spans="1:12" ht="14.25" customHeight="1" x14ac:dyDescent="0.35">
      <c r="A120" s="6">
        <f t="shared" si="3"/>
        <v>118</v>
      </c>
      <c r="B120" s="26"/>
      <c r="C120" s="21" t="s">
        <v>649</v>
      </c>
      <c r="D120" s="31" t="s">
        <v>588</v>
      </c>
      <c r="E120" s="31" t="s">
        <v>633</v>
      </c>
      <c r="F120" s="28" t="s">
        <v>591</v>
      </c>
      <c r="G120" s="18" t="s">
        <v>634</v>
      </c>
      <c r="H120" s="19" t="s">
        <v>635</v>
      </c>
      <c r="I120" s="32">
        <v>39100000</v>
      </c>
      <c r="J120" s="37">
        <v>45352</v>
      </c>
      <c r="K120" s="39">
        <v>5865</v>
      </c>
      <c r="L120" s="40" t="s">
        <v>767</v>
      </c>
    </row>
    <row r="121" spans="1:12" ht="14.25" customHeight="1" thickBot="1" x14ac:dyDescent="0.4">
      <c r="A121" s="12"/>
      <c r="B121" s="20"/>
      <c r="C121" s="33"/>
      <c r="E121" s="5"/>
      <c r="F121" s="33"/>
      <c r="G121" s="34"/>
      <c r="H121" s="35"/>
      <c r="I121" s="36"/>
      <c r="J121" s="13"/>
    </row>
    <row r="122" spans="1:12" ht="14.25" customHeight="1" thickBot="1" x14ac:dyDescent="0.4">
      <c r="H122" s="10"/>
      <c r="I122" s="11">
        <f>SUM(I3:I120)</f>
        <v>1656263768</v>
      </c>
      <c r="K122" s="41">
        <f>SUM(K3:K120)</f>
        <v>248638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2F49-738A-4A1E-8EC8-2D3103FABC46}">
  <dimension ref="A1:H119"/>
  <sheetViews>
    <sheetView topLeftCell="F117" workbookViewId="0">
      <selection activeCell="H2" sqref="H2:H119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4" bestFit="1" customWidth="1"/>
    <col min="4" max="4" width="9.5703125" bestFit="1" customWidth="1"/>
    <col min="5" max="5" width="13.7109375" bestFit="1" customWidth="1"/>
    <col min="6" max="6" width="47.140625" customWidth="1"/>
    <col min="7" max="7" width="52.140625" customWidth="1"/>
    <col min="8" max="8" width="85.5703125" customWidth="1"/>
  </cols>
  <sheetData>
    <row r="1" spans="1:8" x14ac:dyDescent="0.25">
      <c r="A1" s="44" t="s">
        <v>770</v>
      </c>
      <c r="B1" s="42" t="s">
        <v>771</v>
      </c>
      <c r="C1" s="42"/>
      <c r="D1" s="45" t="s">
        <v>772</v>
      </c>
      <c r="E1" s="50" t="s">
        <v>773</v>
      </c>
      <c r="F1" s="42"/>
      <c r="G1" s="42"/>
      <c r="H1" s="42"/>
    </row>
    <row r="2" spans="1:8" ht="116.25" customHeight="1" x14ac:dyDescent="0.25">
      <c r="A2" s="40" t="s">
        <v>650</v>
      </c>
      <c r="B2" s="43" t="str">
        <f>VLOOKUP(A2,[1]Sheet1!$B$2:$C$119,2,0)</f>
        <v>040000169367</v>
      </c>
      <c r="C2" s="39">
        <v>200</v>
      </c>
      <c r="D2" s="49">
        <f>ROUND(C2,0)</f>
        <v>200</v>
      </c>
      <c r="E2" s="50" t="s">
        <v>773</v>
      </c>
      <c r="F2" s="46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7" t="str">
        <f>"('"&amp;E2&amp;"','"&amp;B2&amp;"','"&amp;D2&amp;"',(select max(to_number(i.premium_rcv_detail_code))+1
from ins_premium_det i),'"&amp;D2&amp;"','"&amp;D2&amp;"','02', '11000003','00','Request by Mr. Saqib Saleem 21-Aug-2024 sheet3');"</f>
        <v>('20Aug240150','040000169367','200',(select max(to_number(i.premium_rcv_detail_code))+1
from ins_premium_det i),'200','200','02', '11000003','00','Request by Mr. Saqib Saleem 21-Aug-2024 sheet3');</v>
      </c>
      <c r="H2" s="48" t="str">
        <f>F2&amp;G2</f>
        <v>insert into ins_premium_det (premium_rcv_code,assorted_code, rec_amount,premium_rcv_detail_code,remaining_amt, payrec, mode_code,coinsurance_code,class_cd,it_remarks) values('20Aug240150','040000169367','200',(select max(to_number(i.premium_rcv_detail_code))+1
from ins_premium_det i),'200','200','02', '11000003','00','Request by Mr. Saqib Saleem 21-Aug-2024 sheet3');</v>
      </c>
    </row>
    <row r="3" spans="1:8" ht="90" x14ac:dyDescent="0.25">
      <c r="A3" s="40" t="s">
        <v>651</v>
      </c>
      <c r="B3" s="43" t="str">
        <f>VLOOKUP(A3,[1]Sheet1!$B$2:$C$119,2,0)</f>
        <v>040000169368</v>
      </c>
      <c r="C3" s="39">
        <v>200</v>
      </c>
      <c r="D3" s="49">
        <f t="shared" ref="D3:D66" si="1">ROUND(C3,0)</f>
        <v>200</v>
      </c>
      <c r="E3" s="50" t="s">
        <v>773</v>
      </c>
      <c r="F3" s="46" t="str">
        <f t="shared" si="0"/>
        <v>insert into ins_premium_det (premium_rcv_code,assorted_code, rec_amount,premium_rcv_detail_code,remaining_amt, payrec, mode_code,coinsurance_code,class_cd,it_remarks) values</v>
      </c>
      <c r="G3" s="47" t="str">
        <f t="shared" ref="G3:G66" si="2">"('"&amp;E3&amp;"','"&amp;B3&amp;"','"&amp;D3&amp;"',(select max(to_number(i.premium_rcv_detail_code))+1
from ins_premium_det i),'"&amp;D3&amp;"','"&amp;D3&amp;"','02', '11000003','00','Request by Mr. Saqib Saleem 21-Aug-2024 sheet3');"</f>
        <v>('20Aug240150','040000169368','200',(select max(to_number(i.premium_rcv_detail_code))+1
from ins_premium_det i),'200','200','02', '11000003','00','Request by Mr. Saqib Saleem 21-Aug-2024 sheet3');</v>
      </c>
      <c r="H3" s="48" t="str">
        <f t="shared" ref="H3:H66" si="3">F3&amp;G3</f>
        <v>insert into ins_premium_det (premium_rcv_code,assorted_code, rec_amount,premium_rcv_detail_code,remaining_amt, payrec, mode_code,coinsurance_code,class_cd,it_remarks) values('20Aug240150','040000169368','200',(select max(to_number(i.premium_rcv_detail_code))+1
from ins_premium_det i),'200','200','02', '11000003','00','Request by Mr. Saqib Saleem 21-Aug-2024 sheet3');</v>
      </c>
    </row>
    <row r="4" spans="1:8" ht="90" x14ac:dyDescent="0.25">
      <c r="A4" s="40" t="s">
        <v>652</v>
      </c>
      <c r="B4" s="43" t="str">
        <f>VLOOKUP(A4,[1]Sheet1!$B$2:$C$119,2,0)</f>
        <v>040000169369</v>
      </c>
      <c r="C4" s="39">
        <v>200</v>
      </c>
      <c r="D4" s="49">
        <f t="shared" si="1"/>
        <v>200</v>
      </c>
      <c r="E4" s="50" t="s">
        <v>773</v>
      </c>
      <c r="F4" s="46" t="str">
        <f t="shared" si="0"/>
        <v>insert into ins_premium_det (premium_rcv_code,assorted_code, rec_amount,premium_rcv_detail_code,remaining_amt, payrec, mode_code,coinsurance_code,class_cd,it_remarks) values</v>
      </c>
      <c r="G4" s="47" t="str">
        <f t="shared" si="2"/>
        <v>('20Aug240150','040000169369','200',(select max(to_number(i.premium_rcv_detail_code))+1
from ins_premium_det i),'200','200','02', '11000003','00','Request by Mr. Saqib Saleem 21-Aug-2024 sheet3');</v>
      </c>
      <c r="H4" s="48" t="str">
        <f t="shared" si="3"/>
        <v>insert into ins_premium_det (premium_rcv_code,assorted_code, rec_amount,premium_rcv_detail_code,remaining_amt, payrec, mode_code,coinsurance_code,class_cd,it_remarks) values('20Aug240150','040000169369','200',(select max(to_number(i.premium_rcv_detail_code))+1
from ins_premium_det i),'200','200','02', '11000003','00','Request by Mr. Saqib Saleem 21-Aug-2024 sheet3');</v>
      </c>
    </row>
    <row r="5" spans="1:8" ht="90" x14ac:dyDescent="0.25">
      <c r="A5" s="40" t="s">
        <v>653</v>
      </c>
      <c r="B5" s="43" t="str">
        <f>VLOOKUP(A5,[1]Sheet1!$B$2:$C$119,2,0)</f>
        <v>040000169370</v>
      </c>
      <c r="C5" s="39">
        <v>210</v>
      </c>
      <c r="D5" s="49">
        <f t="shared" si="1"/>
        <v>210</v>
      </c>
      <c r="E5" s="50" t="s">
        <v>773</v>
      </c>
      <c r="F5" s="46" t="str">
        <f t="shared" si="0"/>
        <v>insert into ins_premium_det (premium_rcv_code,assorted_code, rec_amount,premium_rcv_detail_code,remaining_amt, payrec, mode_code,coinsurance_code,class_cd,it_remarks) values</v>
      </c>
      <c r="G5" s="47" t="str">
        <f t="shared" si="2"/>
        <v>('20Aug240150','040000169370','210',(select max(to_number(i.premium_rcv_detail_code))+1
from ins_premium_det i),'210','210','02', '11000003','00','Request by Mr. Saqib Saleem 21-Aug-2024 sheet3');</v>
      </c>
      <c r="H5" s="48" t="str">
        <f t="shared" si="3"/>
        <v>insert into ins_premium_det (premium_rcv_code,assorted_code, rec_amount,premium_rcv_detail_code,remaining_amt, payrec, mode_code,coinsurance_code,class_cd,it_remarks) values('20Aug240150','040000169370','210',(select max(to_number(i.premium_rcv_detail_code))+1
from ins_premium_det i),'210','210','02', '11000003','00','Request by Mr. Saqib Saleem 21-Aug-2024 sheet3');</v>
      </c>
    </row>
    <row r="6" spans="1:8" ht="90" x14ac:dyDescent="0.25">
      <c r="A6" s="40" t="s">
        <v>654</v>
      </c>
      <c r="B6" s="43" t="str">
        <f>VLOOKUP(A6,[1]Sheet1!$B$2:$C$119,2,0)</f>
        <v>040000169371</v>
      </c>
      <c r="C6" s="39">
        <v>212</v>
      </c>
      <c r="D6" s="49">
        <f t="shared" si="1"/>
        <v>212</v>
      </c>
      <c r="E6" s="50" t="s">
        <v>773</v>
      </c>
      <c r="F6" s="46" t="str">
        <f t="shared" si="0"/>
        <v>insert into ins_premium_det (premium_rcv_code,assorted_code, rec_amount,premium_rcv_detail_code,remaining_amt, payrec, mode_code,coinsurance_code,class_cd,it_remarks) values</v>
      </c>
      <c r="G6" s="47" t="str">
        <f t="shared" si="2"/>
        <v>('20Aug240150','040000169371','212',(select max(to_number(i.premium_rcv_detail_code))+1
from ins_premium_det i),'212','212','02', '11000003','00','Request by Mr. Saqib Saleem 21-Aug-2024 sheet3');</v>
      </c>
      <c r="H6" s="48" t="str">
        <f t="shared" si="3"/>
        <v>insert into ins_premium_det (premium_rcv_code,assorted_code, rec_amount,premium_rcv_detail_code,remaining_amt, payrec, mode_code,coinsurance_code,class_cd,it_remarks) values('20Aug240150','040000169371','212',(select max(to_number(i.premium_rcv_detail_code))+1
from ins_premium_det i),'212','212','02', '11000003','00','Request by Mr. Saqib Saleem 21-Aug-2024 sheet3');</v>
      </c>
    </row>
    <row r="7" spans="1:8" ht="90" x14ac:dyDescent="0.25">
      <c r="A7" s="40" t="s">
        <v>655</v>
      </c>
      <c r="B7" s="43" t="str">
        <f>VLOOKUP(A7,[1]Sheet1!$B$2:$C$119,2,0)</f>
        <v>040000169372</v>
      </c>
      <c r="C7" s="39">
        <v>279</v>
      </c>
      <c r="D7" s="49">
        <f t="shared" si="1"/>
        <v>279</v>
      </c>
      <c r="E7" s="50" t="s">
        <v>773</v>
      </c>
      <c r="F7" s="46" t="str">
        <f t="shared" si="0"/>
        <v>insert into ins_premium_det (premium_rcv_code,assorted_code, rec_amount,premium_rcv_detail_code,remaining_amt, payrec, mode_code,coinsurance_code,class_cd,it_remarks) values</v>
      </c>
      <c r="G7" s="47" t="str">
        <f t="shared" si="2"/>
        <v>('20Aug240150','040000169372','279',(select max(to_number(i.premium_rcv_detail_code))+1
from ins_premium_det i),'279','279','02', '11000003','00','Request by Mr. Saqib Saleem 21-Aug-2024 sheet3');</v>
      </c>
      <c r="H7" s="48" t="str">
        <f t="shared" si="3"/>
        <v>insert into ins_premium_det (premium_rcv_code,assorted_code, rec_amount,premium_rcv_detail_code,remaining_amt, payrec, mode_code,coinsurance_code,class_cd,it_remarks) values('20Aug240150','040000169372','279',(select max(to_number(i.premium_rcv_detail_code))+1
from ins_premium_det i),'279','279','02', '11000003','00','Request by Mr. Saqib Saleem 21-Aug-2024 sheet3');</v>
      </c>
    </row>
    <row r="8" spans="1:8" ht="90" x14ac:dyDescent="0.25">
      <c r="A8" s="40" t="s">
        <v>656</v>
      </c>
      <c r="B8" s="43" t="str">
        <f>VLOOKUP(A8,[1]Sheet1!$B$2:$C$119,2,0)</f>
        <v>040000169373</v>
      </c>
      <c r="C8" s="39">
        <v>289</v>
      </c>
      <c r="D8" s="49">
        <f t="shared" si="1"/>
        <v>289</v>
      </c>
      <c r="E8" s="50" t="s">
        <v>773</v>
      </c>
      <c r="F8" s="46" t="str">
        <f t="shared" si="0"/>
        <v>insert into ins_premium_det (premium_rcv_code,assorted_code, rec_amount,premium_rcv_detail_code,remaining_amt, payrec, mode_code,coinsurance_code,class_cd,it_remarks) values</v>
      </c>
      <c r="G8" s="47" t="str">
        <f t="shared" si="2"/>
        <v>('20Aug240150','040000169373','289',(select max(to_number(i.premium_rcv_detail_code))+1
from ins_premium_det i),'289','289','02', '11000003','00','Request by Mr. Saqib Saleem 21-Aug-2024 sheet3');</v>
      </c>
      <c r="H8" s="48" t="str">
        <f t="shared" si="3"/>
        <v>insert into ins_premium_det (premium_rcv_code,assorted_code, rec_amount,premium_rcv_detail_code,remaining_amt, payrec, mode_code,coinsurance_code,class_cd,it_remarks) values('20Aug240150','040000169373','289',(select max(to_number(i.premium_rcv_detail_code))+1
from ins_premium_det i),'289','289','02', '11000003','00','Request by Mr. Saqib Saleem 21-Aug-2024 sheet3');</v>
      </c>
    </row>
    <row r="9" spans="1:8" ht="90" x14ac:dyDescent="0.25">
      <c r="A9" s="40" t="s">
        <v>657</v>
      </c>
      <c r="B9" s="43" t="str">
        <f>VLOOKUP(A9,[1]Sheet1!$B$2:$C$119,2,0)</f>
        <v>040000169374</v>
      </c>
      <c r="C9" s="39">
        <v>339</v>
      </c>
      <c r="D9" s="49">
        <f t="shared" si="1"/>
        <v>339</v>
      </c>
      <c r="E9" s="50" t="s">
        <v>773</v>
      </c>
      <c r="F9" s="46" t="str">
        <f t="shared" si="0"/>
        <v>insert into ins_premium_det (premium_rcv_code,assorted_code, rec_amount,premium_rcv_detail_code,remaining_amt, payrec, mode_code,coinsurance_code,class_cd,it_remarks) values</v>
      </c>
      <c r="G9" s="47" t="str">
        <f t="shared" si="2"/>
        <v>('20Aug240150','040000169374','339',(select max(to_number(i.premium_rcv_detail_code))+1
from ins_premium_det i),'339','339','02', '11000003','00','Request by Mr. Saqib Saleem 21-Aug-2024 sheet3');</v>
      </c>
      <c r="H9" s="48" t="str">
        <f t="shared" si="3"/>
        <v>insert into ins_premium_det (premium_rcv_code,assorted_code, rec_amount,premium_rcv_detail_code,remaining_amt, payrec, mode_code,coinsurance_code,class_cd,it_remarks) values('20Aug240150','040000169374','339',(select max(to_number(i.premium_rcv_detail_code))+1
from ins_premium_det i),'339','339','02', '11000003','00','Request by Mr. Saqib Saleem 21-Aug-2024 sheet3');</v>
      </c>
    </row>
    <row r="10" spans="1:8" ht="90" x14ac:dyDescent="0.25">
      <c r="A10" s="40" t="s">
        <v>658</v>
      </c>
      <c r="B10" s="43" t="str">
        <f>VLOOKUP(A10,[1]Sheet1!$B$2:$C$119,2,0)</f>
        <v>040000169375</v>
      </c>
      <c r="C10" s="39">
        <v>354</v>
      </c>
      <c r="D10" s="49">
        <f t="shared" si="1"/>
        <v>354</v>
      </c>
      <c r="E10" s="50" t="s">
        <v>773</v>
      </c>
      <c r="F10" s="46" t="str">
        <f t="shared" si="0"/>
        <v>insert into ins_premium_det (premium_rcv_code,assorted_code, rec_amount,premium_rcv_detail_code,remaining_amt, payrec, mode_code,coinsurance_code,class_cd,it_remarks) values</v>
      </c>
      <c r="G10" s="47" t="str">
        <f t="shared" si="2"/>
        <v>('20Aug240150','040000169375','354',(select max(to_number(i.premium_rcv_detail_code))+1
from ins_premium_det i),'354','354','02', '11000003','00','Request by Mr. Saqib Saleem 21-Aug-2024 sheet3');</v>
      </c>
      <c r="H10" s="48" t="str">
        <f t="shared" si="3"/>
        <v>insert into ins_premium_det (premium_rcv_code,assorted_code, rec_amount,premium_rcv_detail_code,remaining_amt, payrec, mode_code,coinsurance_code,class_cd,it_remarks) values('20Aug240150','040000169375','354',(select max(to_number(i.premium_rcv_detail_code))+1
from ins_premium_det i),'354','354','02', '11000003','00','Request by Mr. Saqib Saleem 21-Aug-2024 sheet3');</v>
      </c>
    </row>
    <row r="11" spans="1:8" ht="90" x14ac:dyDescent="0.25">
      <c r="A11" s="40" t="s">
        <v>659</v>
      </c>
      <c r="B11" s="43" t="str">
        <f>VLOOKUP(A11,[1]Sheet1!$B$2:$C$119,2,0)</f>
        <v>040000169376</v>
      </c>
      <c r="C11" s="39">
        <v>380</v>
      </c>
      <c r="D11" s="49">
        <f t="shared" si="1"/>
        <v>380</v>
      </c>
      <c r="E11" s="50" t="s">
        <v>773</v>
      </c>
      <c r="F11" s="46" t="str">
        <f t="shared" si="0"/>
        <v>insert into ins_premium_det (premium_rcv_code,assorted_code, rec_amount,premium_rcv_detail_code,remaining_amt, payrec, mode_code,coinsurance_code,class_cd,it_remarks) values</v>
      </c>
      <c r="G11" s="47" t="str">
        <f t="shared" si="2"/>
        <v>('20Aug240150','040000169376','380',(select max(to_number(i.premium_rcv_detail_code))+1
from ins_premium_det i),'380','380','02', '11000003','00','Request by Mr. Saqib Saleem 21-Aug-2024 sheet3');</v>
      </c>
      <c r="H11" s="48" t="str">
        <f t="shared" si="3"/>
        <v>insert into ins_premium_det (premium_rcv_code,assorted_code, rec_amount,premium_rcv_detail_code,remaining_amt, payrec, mode_code,coinsurance_code,class_cd,it_remarks) values('20Aug240150','040000169376','380',(select max(to_number(i.premium_rcv_detail_code))+1
from ins_premium_det i),'380','380','02', '11000003','00','Request by Mr. Saqib Saleem 21-Aug-2024 sheet3');</v>
      </c>
    </row>
    <row r="12" spans="1:8" ht="90" x14ac:dyDescent="0.25">
      <c r="A12" s="40" t="s">
        <v>660</v>
      </c>
      <c r="B12" s="43" t="str">
        <f>VLOOKUP(A12,[1]Sheet1!$B$2:$C$119,2,0)</f>
        <v>040000169377</v>
      </c>
      <c r="C12" s="39">
        <v>398</v>
      </c>
      <c r="D12" s="49">
        <f t="shared" si="1"/>
        <v>398</v>
      </c>
      <c r="E12" s="50" t="s">
        <v>773</v>
      </c>
      <c r="F12" s="46" t="str">
        <f t="shared" si="0"/>
        <v>insert into ins_premium_det (premium_rcv_code,assorted_code, rec_amount,premium_rcv_detail_code,remaining_amt, payrec, mode_code,coinsurance_code,class_cd,it_remarks) values</v>
      </c>
      <c r="G12" s="47" t="str">
        <f t="shared" si="2"/>
        <v>('20Aug240150','040000169377','398',(select max(to_number(i.premium_rcv_detail_code))+1
from ins_premium_det i),'398','398','02', '11000003','00','Request by Mr. Saqib Saleem 21-Aug-2024 sheet3');</v>
      </c>
      <c r="H12" s="48" t="str">
        <f t="shared" si="3"/>
        <v>insert into ins_premium_det (premium_rcv_code,assorted_code, rec_amount,premium_rcv_detail_code,remaining_amt, payrec, mode_code,coinsurance_code,class_cd,it_remarks) values('20Aug240150','040000169377','398',(select max(to_number(i.premium_rcv_detail_code))+1
from ins_premium_det i),'398','398','02', '11000003','00','Request by Mr. Saqib Saleem 21-Aug-2024 sheet3');</v>
      </c>
    </row>
    <row r="13" spans="1:8" ht="90" x14ac:dyDescent="0.25">
      <c r="A13" s="40" t="s">
        <v>661</v>
      </c>
      <c r="B13" s="43" t="str">
        <f>VLOOKUP(A13,[1]Sheet1!$B$2:$C$119,2,0)</f>
        <v>040000169378</v>
      </c>
      <c r="C13" s="39">
        <v>431</v>
      </c>
      <c r="D13" s="49">
        <f t="shared" si="1"/>
        <v>431</v>
      </c>
      <c r="E13" s="50" t="s">
        <v>773</v>
      </c>
      <c r="F13" s="46" t="str">
        <f t="shared" si="0"/>
        <v>insert into ins_premium_det (premium_rcv_code,assorted_code, rec_amount,premium_rcv_detail_code,remaining_amt, payrec, mode_code,coinsurance_code,class_cd,it_remarks) values</v>
      </c>
      <c r="G13" s="47" t="str">
        <f t="shared" si="2"/>
        <v>('20Aug240150','040000169378','431',(select max(to_number(i.premium_rcv_detail_code))+1
from ins_premium_det i),'431','431','02', '11000003','00','Request by Mr. Saqib Saleem 21-Aug-2024 sheet3');</v>
      </c>
      <c r="H13" s="48" t="str">
        <f t="shared" si="3"/>
        <v>insert into ins_premium_det (premium_rcv_code,assorted_code, rec_amount,premium_rcv_detail_code,remaining_amt, payrec, mode_code,coinsurance_code,class_cd,it_remarks) values('20Aug240150','040000169378','431',(select max(to_number(i.premium_rcv_detail_code))+1
from ins_premium_det i),'431','431','02', '11000003','00','Request by Mr. Saqib Saleem 21-Aug-2024 sheet3');</v>
      </c>
    </row>
    <row r="14" spans="1:8" ht="90" x14ac:dyDescent="0.25">
      <c r="A14" s="40" t="s">
        <v>662</v>
      </c>
      <c r="B14" s="43" t="str">
        <f>VLOOKUP(A14,[1]Sheet1!$B$2:$C$119,2,0)</f>
        <v>040000169379</v>
      </c>
      <c r="C14" s="39">
        <v>437</v>
      </c>
      <c r="D14" s="49">
        <f t="shared" si="1"/>
        <v>437</v>
      </c>
      <c r="E14" s="50" t="s">
        <v>773</v>
      </c>
      <c r="F14" s="46" t="str">
        <f t="shared" si="0"/>
        <v>insert into ins_premium_det (premium_rcv_code,assorted_code, rec_amount,premium_rcv_detail_code,remaining_amt, payrec, mode_code,coinsurance_code,class_cd,it_remarks) values</v>
      </c>
      <c r="G14" s="47" t="str">
        <f t="shared" si="2"/>
        <v>('20Aug240150','040000169379','437',(select max(to_number(i.premium_rcv_detail_code))+1
from ins_premium_det i),'437','437','02', '11000003','00','Request by Mr. Saqib Saleem 21-Aug-2024 sheet3');</v>
      </c>
      <c r="H14" s="48" t="str">
        <f t="shared" si="3"/>
        <v>insert into ins_premium_det (premium_rcv_code,assorted_code, rec_amount,premium_rcv_detail_code,remaining_amt, payrec, mode_code,coinsurance_code,class_cd,it_remarks) values('20Aug240150','040000169379','437',(select max(to_number(i.premium_rcv_detail_code))+1
from ins_premium_det i),'437','437','02', '11000003','00','Request by Mr. Saqib Saleem 21-Aug-2024 sheet3');</v>
      </c>
    </row>
    <row r="15" spans="1:8" ht="90" x14ac:dyDescent="0.25">
      <c r="A15" s="40" t="s">
        <v>663</v>
      </c>
      <c r="B15" s="43" t="str">
        <f>VLOOKUP(A15,[1]Sheet1!$B$2:$C$119,2,0)</f>
        <v>040000169380</v>
      </c>
      <c r="C15" s="39">
        <v>451</v>
      </c>
      <c r="D15" s="49">
        <f t="shared" si="1"/>
        <v>451</v>
      </c>
      <c r="E15" s="50" t="s">
        <v>773</v>
      </c>
      <c r="F15" s="46" t="str">
        <f t="shared" si="0"/>
        <v>insert into ins_premium_det (premium_rcv_code,assorted_code, rec_amount,premium_rcv_detail_code,remaining_amt, payrec, mode_code,coinsurance_code,class_cd,it_remarks) values</v>
      </c>
      <c r="G15" s="47" t="str">
        <f t="shared" si="2"/>
        <v>('20Aug240150','040000169380','451',(select max(to_number(i.premium_rcv_detail_code))+1
from ins_premium_det i),'451','451','02', '11000003','00','Request by Mr. Saqib Saleem 21-Aug-2024 sheet3');</v>
      </c>
      <c r="H15" s="48" t="str">
        <f t="shared" si="3"/>
        <v>insert into ins_premium_det (premium_rcv_code,assorted_code, rec_amount,premium_rcv_detail_code,remaining_amt, payrec, mode_code,coinsurance_code,class_cd,it_remarks) values('20Aug240150','040000169380','451',(select max(to_number(i.premium_rcv_detail_code))+1
from ins_premium_det i),'451','451','02', '11000003','00','Request by Mr. Saqib Saleem 21-Aug-2024 sheet3');</v>
      </c>
    </row>
    <row r="16" spans="1:8" ht="90" x14ac:dyDescent="0.25">
      <c r="A16" s="40" t="s">
        <v>664</v>
      </c>
      <c r="B16" s="43" t="str">
        <f>VLOOKUP(A16,[1]Sheet1!$B$2:$C$119,2,0)</f>
        <v>040000169381</v>
      </c>
      <c r="C16" s="39">
        <v>461</v>
      </c>
      <c r="D16" s="49">
        <f t="shared" si="1"/>
        <v>461</v>
      </c>
      <c r="E16" s="50" t="s">
        <v>773</v>
      </c>
      <c r="F16" s="46" t="str">
        <f t="shared" si="0"/>
        <v>insert into ins_premium_det (premium_rcv_code,assorted_code, rec_amount,premium_rcv_detail_code,remaining_amt, payrec, mode_code,coinsurance_code,class_cd,it_remarks) values</v>
      </c>
      <c r="G16" s="47" t="str">
        <f t="shared" si="2"/>
        <v>('20Aug240150','040000169381','461',(select max(to_number(i.premium_rcv_detail_code))+1
from ins_premium_det i),'461','461','02', '11000003','00','Request by Mr. Saqib Saleem 21-Aug-2024 sheet3');</v>
      </c>
      <c r="H16" s="48" t="str">
        <f t="shared" si="3"/>
        <v>insert into ins_premium_det (premium_rcv_code,assorted_code, rec_amount,premium_rcv_detail_code,remaining_amt, payrec, mode_code,coinsurance_code,class_cd,it_remarks) values('20Aug240150','040000169381','461',(select max(to_number(i.premium_rcv_detail_code))+1
from ins_premium_det i),'461','461','02', '11000003','00','Request by Mr. Saqib Saleem 21-Aug-2024 sheet3');</v>
      </c>
    </row>
    <row r="17" spans="1:8" ht="90" x14ac:dyDescent="0.25">
      <c r="A17" s="40" t="s">
        <v>665</v>
      </c>
      <c r="B17" s="43" t="str">
        <f>VLOOKUP(A17,[1]Sheet1!$B$2:$C$119,2,0)</f>
        <v>040000169382</v>
      </c>
      <c r="C17" s="39">
        <v>469</v>
      </c>
      <c r="D17" s="49">
        <f t="shared" si="1"/>
        <v>469</v>
      </c>
      <c r="E17" s="50" t="s">
        <v>773</v>
      </c>
      <c r="F17" s="46" t="str">
        <f t="shared" si="0"/>
        <v>insert into ins_premium_det (premium_rcv_code,assorted_code, rec_amount,premium_rcv_detail_code,remaining_amt, payrec, mode_code,coinsurance_code,class_cd,it_remarks) values</v>
      </c>
      <c r="G17" s="47" t="str">
        <f t="shared" si="2"/>
        <v>('20Aug240150','040000169382','469',(select max(to_number(i.premium_rcv_detail_code))+1
from ins_premium_det i),'469','469','02', '11000003','00','Request by Mr. Saqib Saleem 21-Aug-2024 sheet3');</v>
      </c>
      <c r="H17" s="48" t="str">
        <f t="shared" si="3"/>
        <v>insert into ins_premium_det (premium_rcv_code,assorted_code, rec_amount,premium_rcv_detail_code,remaining_amt, payrec, mode_code,coinsurance_code,class_cd,it_remarks) values('20Aug240150','040000169382','469',(select max(to_number(i.premium_rcv_detail_code))+1
from ins_premium_det i),'469','469','02', '11000003','00','Request by Mr. Saqib Saleem 21-Aug-2024 sheet3');</v>
      </c>
    </row>
    <row r="18" spans="1:8" ht="90" x14ac:dyDescent="0.25">
      <c r="A18" s="40" t="s">
        <v>666</v>
      </c>
      <c r="B18" s="43" t="str">
        <f>VLOOKUP(A18,[1]Sheet1!$B$2:$C$119,2,0)</f>
        <v>040000169383</v>
      </c>
      <c r="C18" s="39">
        <v>483</v>
      </c>
      <c r="D18" s="49">
        <f t="shared" si="1"/>
        <v>483</v>
      </c>
      <c r="E18" s="50" t="s">
        <v>773</v>
      </c>
      <c r="F18" s="46" t="str">
        <f t="shared" si="0"/>
        <v>insert into ins_premium_det (premium_rcv_code,assorted_code, rec_amount,premium_rcv_detail_code,remaining_amt, payrec, mode_code,coinsurance_code,class_cd,it_remarks) values</v>
      </c>
      <c r="G18" s="47" t="str">
        <f t="shared" si="2"/>
        <v>('20Aug240150','040000169383','483',(select max(to_number(i.premium_rcv_detail_code))+1
from ins_premium_det i),'483','483','02', '11000003','00','Request by Mr. Saqib Saleem 21-Aug-2024 sheet3');</v>
      </c>
      <c r="H18" s="48" t="str">
        <f t="shared" si="3"/>
        <v>insert into ins_premium_det (premium_rcv_code,assorted_code, rec_amount,premium_rcv_detail_code,remaining_amt, payrec, mode_code,coinsurance_code,class_cd,it_remarks) values('20Aug240150','040000169383','483',(select max(to_number(i.premium_rcv_detail_code))+1
from ins_premium_det i),'483','483','02', '11000003','00','Request by Mr. Saqib Saleem 21-Aug-2024 sheet3');</v>
      </c>
    </row>
    <row r="19" spans="1:8" ht="90" x14ac:dyDescent="0.25">
      <c r="A19" s="40" t="s">
        <v>667</v>
      </c>
      <c r="B19" s="43" t="str">
        <f>VLOOKUP(A19,[1]Sheet1!$B$2:$C$119,2,0)</f>
        <v>040000169384</v>
      </c>
      <c r="C19" s="39">
        <v>488</v>
      </c>
      <c r="D19" s="49">
        <f t="shared" si="1"/>
        <v>488</v>
      </c>
      <c r="E19" s="50" t="s">
        <v>773</v>
      </c>
      <c r="F19" s="46" t="str">
        <f t="shared" si="0"/>
        <v>insert into ins_premium_det (premium_rcv_code,assorted_code, rec_amount,premium_rcv_detail_code,remaining_amt, payrec, mode_code,coinsurance_code,class_cd,it_remarks) values</v>
      </c>
      <c r="G19" s="47" t="str">
        <f t="shared" si="2"/>
        <v>('20Aug240150','040000169384','488',(select max(to_number(i.premium_rcv_detail_code))+1
from ins_premium_det i),'488','488','02', '11000003','00','Request by Mr. Saqib Saleem 21-Aug-2024 sheet3');</v>
      </c>
      <c r="H19" s="48" t="str">
        <f t="shared" si="3"/>
        <v>insert into ins_premium_det (premium_rcv_code,assorted_code, rec_amount,premium_rcv_detail_code,remaining_amt, payrec, mode_code,coinsurance_code,class_cd,it_remarks) values('20Aug240150','040000169384','488',(select max(to_number(i.premium_rcv_detail_code))+1
from ins_premium_det i),'488','488','02', '11000003','00','Request by Mr. Saqib Saleem 21-Aug-2024 sheet3');</v>
      </c>
    </row>
    <row r="20" spans="1:8" ht="90" x14ac:dyDescent="0.25">
      <c r="A20" s="40" t="s">
        <v>668</v>
      </c>
      <c r="B20" s="43" t="str">
        <f>VLOOKUP(A20,[1]Sheet1!$B$2:$C$119,2,0)</f>
        <v>040000169391</v>
      </c>
      <c r="C20" s="39">
        <v>493</v>
      </c>
      <c r="D20" s="49">
        <f t="shared" si="1"/>
        <v>493</v>
      </c>
      <c r="E20" s="50" t="s">
        <v>773</v>
      </c>
      <c r="F20" s="46" t="str">
        <f t="shared" si="0"/>
        <v>insert into ins_premium_det (premium_rcv_code,assorted_code, rec_amount,premium_rcv_detail_code,remaining_amt, payrec, mode_code,coinsurance_code,class_cd,it_remarks) values</v>
      </c>
      <c r="G20" s="47" t="str">
        <f t="shared" si="2"/>
        <v>('20Aug240150','040000169391','493',(select max(to_number(i.premium_rcv_detail_code))+1
from ins_premium_det i),'493','493','02', '11000003','00','Request by Mr. Saqib Saleem 21-Aug-2024 sheet3');</v>
      </c>
      <c r="H20" s="48" t="str">
        <f t="shared" si="3"/>
        <v>insert into ins_premium_det (premium_rcv_code,assorted_code, rec_amount,premium_rcv_detail_code,remaining_amt, payrec, mode_code,coinsurance_code,class_cd,it_remarks) values('20Aug240150','040000169391','493',(select max(to_number(i.premium_rcv_detail_code))+1
from ins_premium_det i),'493','493','02', '11000003','00','Request by Mr. Saqib Saleem 21-Aug-2024 sheet3');</v>
      </c>
    </row>
    <row r="21" spans="1:8" ht="90" x14ac:dyDescent="0.25">
      <c r="A21" s="40" t="s">
        <v>669</v>
      </c>
      <c r="B21" s="43" t="str">
        <f>VLOOKUP(A21,[1]Sheet1!$B$2:$C$119,2,0)</f>
        <v>040000169392</v>
      </c>
      <c r="C21" s="39">
        <v>499</v>
      </c>
      <c r="D21" s="49">
        <f t="shared" si="1"/>
        <v>499</v>
      </c>
      <c r="E21" s="50" t="s">
        <v>773</v>
      </c>
      <c r="F21" s="46" t="str">
        <f t="shared" si="0"/>
        <v>insert into ins_premium_det (premium_rcv_code,assorted_code, rec_amount,premium_rcv_detail_code,remaining_amt, payrec, mode_code,coinsurance_code,class_cd,it_remarks) values</v>
      </c>
      <c r="G21" s="47" t="str">
        <f t="shared" si="2"/>
        <v>('20Aug240150','040000169392','499',(select max(to_number(i.premium_rcv_detail_code))+1
from ins_premium_det i),'499','499','02', '11000003','00','Request by Mr. Saqib Saleem 21-Aug-2024 sheet3');</v>
      </c>
      <c r="H21" s="48" t="str">
        <f t="shared" si="3"/>
        <v>insert into ins_premium_det (premium_rcv_code,assorted_code, rec_amount,premium_rcv_detail_code,remaining_amt, payrec, mode_code,coinsurance_code,class_cd,it_remarks) values('20Aug240150','040000169392','499',(select max(to_number(i.premium_rcv_detail_code))+1
from ins_premium_det i),'499','499','02', '11000003','00','Request by Mr. Saqib Saleem 21-Aug-2024 sheet3');</v>
      </c>
    </row>
    <row r="22" spans="1:8" ht="90" x14ac:dyDescent="0.25">
      <c r="A22" s="40" t="s">
        <v>670</v>
      </c>
      <c r="B22" s="43" t="str">
        <f>VLOOKUP(A22,[1]Sheet1!$B$2:$C$119,2,0)</f>
        <v>040000169393</v>
      </c>
      <c r="C22" s="39">
        <v>517</v>
      </c>
      <c r="D22" s="49">
        <f t="shared" si="1"/>
        <v>517</v>
      </c>
      <c r="E22" s="50" t="s">
        <v>773</v>
      </c>
      <c r="F22" s="46" t="str">
        <f t="shared" si="0"/>
        <v>insert into ins_premium_det (premium_rcv_code,assorted_code, rec_amount,premium_rcv_detail_code,remaining_amt, payrec, mode_code,coinsurance_code,class_cd,it_remarks) values</v>
      </c>
      <c r="G22" s="47" t="str">
        <f t="shared" si="2"/>
        <v>('20Aug240150','040000169393','517',(select max(to_number(i.premium_rcv_detail_code))+1
from ins_premium_det i),'517','517','02', '11000003','00','Request by Mr. Saqib Saleem 21-Aug-2024 sheet3');</v>
      </c>
      <c r="H22" s="48" t="str">
        <f t="shared" si="3"/>
        <v>insert into ins_premium_det (premium_rcv_code,assorted_code, rec_amount,premium_rcv_detail_code,remaining_amt, payrec, mode_code,coinsurance_code,class_cd,it_remarks) values('20Aug240150','040000169393','517',(select max(to_number(i.premium_rcv_detail_code))+1
from ins_premium_det i),'517','517','02', '11000003','00','Request by Mr. Saqib Saleem 21-Aug-2024 sheet3');</v>
      </c>
    </row>
    <row r="23" spans="1:8" ht="90" x14ac:dyDescent="0.25">
      <c r="A23" s="40" t="s">
        <v>671</v>
      </c>
      <c r="B23" s="43" t="str">
        <f>VLOOKUP(A23,[1]Sheet1!$B$2:$C$119,2,0)</f>
        <v>040000169394</v>
      </c>
      <c r="C23" s="39">
        <v>525</v>
      </c>
      <c r="D23" s="49">
        <f t="shared" si="1"/>
        <v>525</v>
      </c>
      <c r="E23" s="50" t="s">
        <v>773</v>
      </c>
      <c r="F23" s="46" t="str">
        <f t="shared" si="0"/>
        <v>insert into ins_premium_det (premium_rcv_code,assorted_code, rec_amount,premium_rcv_detail_code,remaining_amt, payrec, mode_code,coinsurance_code,class_cd,it_remarks) values</v>
      </c>
      <c r="G23" s="47" t="str">
        <f t="shared" si="2"/>
        <v>('20Aug240150','040000169394','525',(select max(to_number(i.premium_rcv_detail_code))+1
from ins_premium_det i),'525','525','02', '11000003','00','Request by Mr. Saqib Saleem 21-Aug-2024 sheet3');</v>
      </c>
      <c r="H23" s="48" t="str">
        <f t="shared" si="3"/>
        <v>insert into ins_premium_det (premium_rcv_code,assorted_code, rec_amount,premium_rcv_detail_code,remaining_amt, payrec, mode_code,coinsurance_code,class_cd,it_remarks) values('20Aug240150','040000169394','525',(select max(to_number(i.premium_rcv_detail_code))+1
from ins_premium_det i),'525','525','02', '11000003','00','Request by Mr. Saqib Saleem 21-Aug-2024 sheet3');</v>
      </c>
    </row>
    <row r="24" spans="1:8" ht="90" x14ac:dyDescent="0.25">
      <c r="A24" s="40" t="s">
        <v>672</v>
      </c>
      <c r="B24" s="43" t="str">
        <f>VLOOKUP(A24,[1]Sheet1!$B$2:$C$119,2,0)</f>
        <v>040000169395</v>
      </c>
      <c r="C24" s="39">
        <v>530</v>
      </c>
      <c r="D24" s="49">
        <f t="shared" si="1"/>
        <v>530</v>
      </c>
      <c r="E24" s="50" t="s">
        <v>773</v>
      </c>
      <c r="F24" s="46" t="str">
        <f t="shared" si="0"/>
        <v>insert into ins_premium_det (premium_rcv_code,assorted_code, rec_amount,premium_rcv_detail_code,remaining_amt, payrec, mode_code,coinsurance_code,class_cd,it_remarks) values</v>
      </c>
      <c r="G24" s="47" t="str">
        <f t="shared" si="2"/>
        <v>('20Aug240150','040000169395','530',(select max(to_number(i.premium_rcv_detail_code))+1
from ins_premium_det i),'530','530','02', '11000003','00','Request by Mr. Saqib Saleem 21-Aug-2024 sheet3');</v>
      </c>
      <c r="H24" s="48" t="str">
        <f t="shared" si="3"/>
        <v>insert into ins_premium_det (premium_rcv_code,assorted_code, rec_amount,premium_rcv_detail_code,remaining_amt, payrec, mode_code,coinsurance_code,class_cd,it_remarks) values('20Aug240150','040000169395','530',(select max(to_number(i.premium_rcv_detail_code))+1
from ins_premium_det i),'530','530','02', '11000003','00','Request by Mr. Saqib Saleem 21-Aug-2024 sheet3');</v>
      </c>
    </row>
    <row r="25" spans="1:8" ht="90" x14ac:dyDescent="0.25">
      <c r="A25" s="40" t="s">
        <v>673</v>
      </c>
      <c r="B25" s="43" t="str">
        <f>VLOOKUP(A25,[1]Sheet1!$B$2:$C$119,2,0)</f>
        <v>040000169396</v>
      </c>
      <c r="C25" s="39">
        <v>543</v>
      </c>
      <c r="D25" s="49">
        <f t="shared" si="1"/>
        <v>543</v>
      </c>
      <c r="E25" s="50" t="s">
        <v>773</v>
      </c>
      <c r="F25" s="46" t="str">
        <f t="shared" si="0"/>
        <v>insert into ins_premium_det (premium_rcv_code,assorted_code, rec_amount,premium_rcv_detail_code,remaining_amt, payrec, mode_code,coinsurance_code,class_cd,it_remarks) values</v>
      </c>
      <c r="G25" s="47" t="str">
        <f t="shared" si="2"/>
        <v>('20Aug240150','040000169396','543',(select max(to_number(i.premium_rcv_detail_code))+1
from ins_premium_det i),'543','543','02', '11000003','00','Request by Mr. Saqib Saleem 21-Aug-2024 sheet3');</v>
      </c>
      <c r="H25" s="48" t="str">
        <f t="shared" si="3"/>
        <v>insert into ins_premium_det (premium_rcv_code,assorted_code, rec_amount,premium_rcv_detail_code,remaining_amt, payrec, mode_code,coinsurance_code,class_cd,it_remarks) values('20Aug240150','040000169396','543',(select max(to_number(i.premium_rcv_detail_code))+1
from ins_premium_det i),'543','543','02', '11000003','00','Request by Mr. Saqib Saleem 21-Aug-2024 sheet3');</v>
      </c>
    </row>
    <row r="26" spans="1:8" ht="90" x14ac:dyDescent="0.25">
      <c r="A26" s="40" t="s">
        <v>674</v>
      </c>
      <c r="B26" s="43" t="str">
        <f>VLOOKUP(A26,[1]Sheet1!$B$2:$C$119,2,0)</f>
        <v>040000169397</v>
      </c>
      <c r="C26" s="39">
        <v>549</v>
      </c>
      <c r="D26" s="49">
        <f t="shared" si="1"/>
        <v>549</v>
      </c>
      <c r="E26" s="50" t="s">
        <v>773</v>
      </c>
      <c r="F26" s="46" t="str">
        <f t="shared" si="0"/>
        <v>insert into ins_premium_det (premium_rcv_code,assorted_code, rec_amount,premium_rcv_detail_code,remaining_amt, payrec, mode_code,coinsurance_code,class_cd,it_remarks) values</v>
      </c>
      <c r="G26" s="47" t="str">
        <f t="shared" si="2"/>
        <v>('20Aug240150','040000169397','549',(select max(to_number(i.premium_rcv_detail_code))+1
from ins_premium_det i),'549','549','02', '11000003','00','Request by Mr. Saqib Saleem 21-Aug-2024 sheet3');</v>
      </c>
      <c r="H26" s="48" t="str">
        <f t="shared" si="3"/>
        <v>insert into ins_premium_det (premium_rcv_code,assorted_code, rec_amount,premium_rcv_detail_code,remaining_amt, payrec, mode_code,coinsurance_code,class_cd,it_remarks) values('20Aug240150','040000169397','549',(select max(to_number(i.premium_rcv_detail_code))+1
from ins_premium_det i),'549','549','02', '11000003','00','Request by Mr. Saqib Saleem 21-Aug-2024 sheet3');</v>
      </c>
    </row>
    <row r="27" spans="1:8" ht="90" x14ac:dyDescent="0.25">
      <c r="A27" s="40" t="s">
        <v>675</v>
      </c>
      <c r="B27" s="43" t="str">
        <f>VLOOKUP(A27,[1]Sheet1!$B$2:$C$119,2,0)</f>
        <v>040000169398</v>
      </c>
      <c r="C27" s="39">
        <v>558</v>
      </c>
      <c r="D27" s="49">
        <f t="shared" si="1"/>
        <v>558</v>
      </c>
      <c r="E27" s="50" t="s">
        <v>773</v>
      </c>
      <c r="F27" s="46" t="str">
        <f t="shared" si="0"/>
        <v>insert into ins_premium_det (premium_rcv_code,assorted_code, rec_amount,premium_rcv_detail_code,remaining_amt, payrec, mode_code,coinsurance_code,class_cd,it_remarks) values</v>
      </c>
      <c r="G27" s="47" t="str">
        <f t="shared" si="2"/>
        <v>('20Aug240150','040000169398','558',(select max(to_number(i.premium_rcv_detail_code))+1
from ins_premium_det i),'558','558','02', '11000003','00','Request by Mr. Saqib Saleem 21-Aug-2024 sheet3');</v>
      </c>
      <c r="H27" s="48" t="str">
        <f t="shared" si="3"/>
        <v>insert into ins_premium_det (premium_rcv_code,assorted_code, rec_amount,premium_rcv_detail_code,remaining_amt, payrec, mode_code,coinsurance_code,class_cd,it_remarks) values('20Aug240150','040000169398','558',(select max(to_number(i.premium_rcv_detail_code))+1
from ins_premium_det i),'558','558','02', '11000003','00','Request by Mr. Saqib Saleem 21-Aug-2024 sheet3');</v>
      </c>
    </row>
    <row r="28" spans="1:8" ht="90" x14ac:dyDescent="0.25">
      <c r="A28" s="40" t="s">
        <v>676</v>
      </c>
      <c r="B28" s="43" t="str">
        <f>VLOOKUP(A28,[1]Sheet1!$B$2:$C$119,2,0)</f>
        <v>040000169399</v>
      </c>
      <c r="C28" s="39">
        <v>571</v>
      </c>
      <c r="D28" s="49">
        <f t="shared" si="1"/>
        <v>571</v>
      </c>
      <c r="E28" s="50" t="s">
        <v>773</v>
      </c>
      <c r="F28" s="46" t="str">
        <f t="shared" si="0"/>
        <v>insert into ins_premium_det (premium_rcv_code,assorted_code, rec_amount,premium_rcv_detail_code,remaining_amt, payrec, mode_code,coinsurance_code,class_cd,it_remarks) values</v>
      </c>
      <c r="G28" s="47" t="str">
        <f t="shared" si="2"/>
        <v>('20Aug240150','040000169399','571',(select max(to_number(i.premium_rcv_detail_code))+1
from ins_premium_det i),'571','571','02', '11000003','00','Request by Mr. Saqib Saleem 21-Aug-2024 sheet3');</v>
      </c>
      <c r="H28" s="48" t="str">
        <f t="shared" si="3"/>
        <v>insert into ins_premium_det (premium_rcv_code,assorted_code, rec_amount,premium_rcv_detail_code,remaining_amt, payrec, mode_code,coinsurance_code,class_cd,it_remarks) values('20Aug240150','040000169399','571',(select max(to_number(i.premium_rcv_detail_code))+1
from ins_premium_det i),'571','571','02', '11000003','00','Request by Mr. Saqib Saleem 21-Aug-2024 sheet3');</v>
      </c>
    </row>
    <row r="29" spans="1:8" ht="90" x14ac:dyDescent="0.25">
      <c r="A29" s="40" t="s">
        <v>677</v>
      </c>
      <c r="B29" s="43" t="str">
        <f>VLOOKUP(A29,[1]Sheet1!$B$2:$C$119,2,0)</f>
        <v>040000169400</v>
      </c>
      <c r="C29" s="39">
        <v>578</v>
      </c>
      <c r="D29" s="49">
        <f t="shared" si="1"/>
        <v>578</v>
      </c>
      <c r="E29" s="50" t="s">
        <v>773</v>
      </c>
      <c r="F29" s="46" t="str">
        <f t="shared" si="0"/>
        <v>insert into ins_premium_det (premium_rcv_code,assorted_code, rec_amount,premium_rcv_detail_code,remaining_amt, payrec, mode_code,coinsurance_code,class_cd,it_remarks) values</v>
      </c>
      <c r="G29" s="47" t="str">
        <f t="shared" si="2"/>
        <v>('20Aug240150','040000169400','578',(select max(to_number(i.premium_rcv_detail_code))+1
from ins_premium_det i),'578','578','02', '11000003','00','Request by Mr. Saqib Saleem 21-Aug-2024 sheet3');</v>
      </c>
      <c r="H29" s="48" t="str">
        <f t="shared" si="3"/>
        <v>insert into ins_premium_det (premium_rcv_code,assorted_code, rec_amount,premium_rcv_detail_code,remaining_amt, payrec, mode_code,coinsurance_code,class_cd,it_remarks) values('20Aug240150','040000169400','578',(select max(to_number(i.premium_rcv_detail_code))+1
from ins_premium_det i),'578','578','02', '11000003','00','Request by Mr. Saqib Saleem 21-Aug-2024 sheet3');</v>
      </c>
    </row>
    <row r="30" spans="1:8" ht="90" x14ac:dyDescent="0.25">
      <c r="A30" s="40" t="s">
        <v>678</v>
      </c>
      <c r="B30" s="43" t="str">
        <f>VLOOKUP(A30,[1]Sheet1!$B$2:$C$119,2,0)</f>
        <v>040000169401</v>
      </c>
      <c r="C30" s="39">
        <v>584</v>
      </c>
      <c r="D30" s="49">
        <f t="shared" si="1"/>
        <v>584</v>
      </c>
      <c r="E30" s="50" t="s">
        <v>773</v>
      </c>
      <c r="F30" s="46" t="str">
        <f t="shared" si="0"/>
        <v>insert into ins_premium_det (premium_rcv_code,assorted_code, rec_amount,premium_rcv_detail_code,remaining_amt, payrec, mode_code,coinsurance_code,class_cd,it_remarks) values</v>
      </c>
      <c r="G30" s="47" t="str">
        <f t="shared" si="2"/>
        <v>('20Aug240150','040000169401','584',(select max(to_number(i.premium_rcv_detail_code))+1
from ins_premium_det i),'584','584','02', '11000003','00','Request by Mr. Saqib Saleem 21-Aug-2024 sheet3');</v>
      </c>
      <c r="H30" s="48" t="str">
        <f t="shared" si="3"/>
        <v>insert into ins_premium_det (premium_rcv_code,assorted_code, rec_amount,premium_rcv_detail_code,remaining_amt, payrec, mode_code,coinsurance_code,class_cd,it_remarks) values('20Aug240150','040000169401','584',(select max(to_number(i.premium_rcv_detail_code))+1
from ins_premium_det i),'584','584','02', '11000003','00','Request by Mr. Saqib Saleem 21-Aug-2024 sheet3');</v>
      </c>
    </row>
    <row r="31" spans="1:8" ht="90" x14ac:dyDescent="0.25">
      <c r="A31" s="40" t="s">
        <v>679</v>
      </c>
      <c r="B31" s="43" t="str">
        <f>VLOOKUP(A31,[1]Sheet1!$B$2:$C$119,2,0)</f>
        <v>040000169402</v>
      </c>
      <c r="C31" s="39">
        <v>584</v>
      </c>
      <c r="D31" s="49">
        <f t="shared" si="1"/>
        <v>584</v>
      </c>
      <c r="E31" s="50" t="s">
        <v>773</v>
      </c>
      <c r="F31" s="46" t="str">
        <f t="shared" si="0"/>
        <v>insert into ins_premium_det (premium_rcv_code,assorted_code, rec_amount,premium_rcv_detail_code,remaining_amt, payrec, mode_code,coinsurance_code,class_cd,it_remarks) values</v>
      </c>
      <c r="G31" s="47" t="str">
        <f t="shared" si="2"/>
        <v>('20Aug240150','040000169402','584',(select max(to_number(i.premium_rcv_detail_code))+1
from ins_premium_det i),'584','584','02', '11000003','00','Request by Mr. Saqib Saleem 21-Aug-2024 sheet3');</v>
      </c>
      <c r="H31" s="48" t="str">
        <f t="shared" si="3"/>
        <v>insert into ins_premium_det (premium_rcv_code,assorted_code, rec_amount,premium_rcv_detail_code,remaining_amt, payrec, mode_code,coinsurance_code,class_cd,it_remarks) values('20Aug240150','040000169402','584',(select max(to_number(i.premium_rcv_detail_code))+1
from ins_premium_det i),'584','584','02', '11000003','00','Request by Mr. Saqib Saleem 21-Aug-2024 sheet3');</v>
      </c>
    </row>
    <row r="32" spans="1:8" ht="90" x14ac:dyDescent="0.25">
      <c r="A32" s="40" t="s">
        <v>680</v>
      </c>
      <c r="B32" s="43" t="str">
        <f>VLOOKUP(A32,[1]Sheet1!$B$2:$C$119,2,0)</f>
        <v>040000169403</v>
      </c>
      <c r="C32" s="39">
        <v>590</v>
      </c>
      <c r="D32" s="49">
        <f t="shared" si="1"/>
        <v>590</v>
      </c>
      <c r="E32" s="50" t="s">
        <v>773</v>
      </c>
      <c r="F32" s="46" t="str">
        <f t="shared" si="0"/>
        <v>insert into ins_premium_det (premium_rcv_code,assorted_code, rec_amount,premium_rcv_detail_code,remaining_amt, payrec, mode_code,coinsurance_code,class_cd,it_remarks) values</v>
      </c>
      <c r="G32" s="47" t="str">
        <f t="shared" si="2"/>
        <v>('20Aug240150','040000169403','590',(select max(to_number(i.premium_rcv_detail_code))+1
from ins_premium_det i),'590','590','02', '11000003','00','Request by Mr. Saqib Saleem 21-Aug-2024 sheet3');</v>
      </c>
      <c r="H32" s="48" t="str">
        <f t="shared" si="3"/>
        <v>insert into ins_premium_det (premium_rcv_code,assorted_code, rec_amount,premium_rcv_detail_code,remaining_amt, payrec, mode_code,coinsurance_code,class_cd,it_remarks) values('20Aug240150','040000169403','590',(select max(to_number(i.premium_rcv_detail_code))+1
from ins_premium_det i),'590','590','02', '11000003','00','Request by Mr. Saqib Saleem 21-Aug-2024 sheet3');</v>
      </c>
    </row>
    <row r="33" spans="1:8" ht="90" x14ac:dyDescent="0.25">
      <c r="A33" s="40" t="s">
        <v>681</v>
      </c>
      <c r="B33" s="43" t="str">
        <f>VLOOKUP(A33,[1]Sheet1!$B$2:$C$119,2,0)</f>
        <v>040000169404</v>
      </c>
      <c r="C33" s="39">
        <v>590</v>
      </c>
      <c r="D33" s="49">
        <f t="shared" si="1"/>
        <v>590</v>
      </c>
      <c r="E33" s="50" t="s">
        <v>773</v>
      </c>
      <c r="F33" s="46" t="str">
        <f t="shared" si="0"/>
        <v>insert into ins_premium_det (premium_rcv_code,assorted_code, rec_amount,premium_rcv_detail_code,remaining_amt, payrec, mode_code,coinsurance_code,class_cd,it_remarks) values</v>
      </c>
      <c r="G33" s="47" t="str">
        <f t="shared" si="2"/>
        <v>('20Aug240150','040000169404','590',(select max(to_number(i.premium_rcv_detail_code))+1
from ins_premium_det i),'590','590','02', '11000003','00','Request by Mr. Saqib Saleem 21-Aug-2024 sheet3');</v>
      </c>
      <c r="H33" s="48" t="str">
        <f t="shared" si="3"/>
        <v>insert into ins_premium_det (premium_rcv_code,assorted_code, rec_amount,premium_rcv_detail_code,remaining_amt, payrec, mode_code,coinsurance_code,class_cd,it_remarks) values('20Aug240150','040000169404','590',(select max(to_number(i.premium_rcv_detail_code))+1
from ins_premium_det i),'590','590','02', '11000003','00','Request by Mr. Saqib Saleem 21-Aug-2024 sheet3');</v>
      </c>
    </row>
    <row r="34" spans="1:8" ht="90" x14ac:dyDescent="0.25">
      <c r="A34" s="40" t="s">
        <v>682</v>
      </c>
      <c r="B34" s="43" t="str">
        <f>VLOOKUP(A34,[1]Sheet1!$B$2:$C$119,2,0)</f>
        <v>040000169405</v>
      </c>
      <c r="C34" s="39">
        <v>595</v>
      </c>
      <c r="D34" s="49">
        <f t="shared" si="1"/>
        <v>595</v>
      </c>
      <c r="E34" s="50" t="s">
        <v>773</v>
      </c>
      <c r="F34" s="46" t="str">
        <f t="shared" si="0"/>
        <v>insert into ins_premium_det (premium_rcv_code,assorted_code, rec_amount,premium_rcv_detail_code,remaining_amt, payrec, mode_code,coinsurance_code,class_cd,it_remarks) values</v>
      </c>
      <c r="G34" s="47" t="str">
        <f t="shared" si="2"/>
        <v>('20Aug240150','040000169405','595',(select max(to_number(i.premium_rcv_detail_code))+1
from ins_premium_det i),'595','595','02', '11000003','00','Request by Mr. Saqib Saleem 21-Aug-2024 sheet3');</v>
      </c>
      <c r="H34" s="48" t="str">
        <f t="shared" si="3"/>
        <v>insert into ins_premium_det (premium_rcv_code,assorted_code, rec_amount,premium_rcv_detail_code,remaining_amt, payrec, mode_code,coinsurance_code,class_cd,it_remarks) values('20Aug240150','040000169405','595',(select max(to_number(i.premium_rcv_detail_code))+1
from ins_premium_det i),'595','595','02', '11000003','00','Request by Mr. Saqib Saleem 21-Aug-2024 sheet3');</v>
      </c>
    </row>
    <row r="35" spans="1:8" ht="90" x14ac:dyDescent="0.25">
      <c r="A35" s="40" t="s">
        <v>683</v>
      </c>
      <c r="B35" s="43" t="str">
        <f>VLOOKUP(A35,[1]Sheet1!$B$2:$C$119,2,0)</f>
        <v>040000169406</v>
      </c>
      <c r="C35" s="39">
        <v>608</v>
      </c>
      <c r="D35" s="49">
        <f t="shared" si="1"/>
        <v>608</v>
      </c>
      <c r="E35" s="50" t="s">
        <v>773</v>
      </c>
      <c r="F35" s="46" t="str">
        <f t="shared" si="0"/>
        <v>insert into ins_premium_det (premium_rcv_code,assorted_code, rec_amount,premium_rcv_detail_code,remaining_amt, payrec, mode_code,coinsurance_code,class_cd,it_remarks) values</v>
      </c>
      <c r="G35" s="47" t="str">
        <f t="shared" si="2"/>
        <v>('20Aug240150','040000169406','608',(select max(to_number(i.premium_rcv_detail_code))+1
from ins_premium_det i),'608','608','02', '11000003','00','Request by Mr. Saqib Saleem 21-Aug-2024 sheet3');</v>
      </c>
      <c r="H35" s="48" t="str">
        <f t="shared" si="3"/>
        <v>insert into ins_premium_det (premium_rcv_code,assorted_code, rec_amount,premium_rcv_detail_code,remaining_amt, payrec, mode_code,coinsurance_code,class_cd,it_remarks) values('20Aug240150','040000169406','608',(select max(to_number(i.premium_rcv_detail_code))+1
from ins_premium_det i),'608','608','02', '11000003','00','Request by Mr. Saqib Saleem 21-Aug-2024 sheet3');</v>
      </c>
    </row>
    <row r="36" spans="1:8" ht="90" x14ac:dyDescent="0.25">
      <c r="A36" s="40" t="s">
        <v>684</v>
      </c>
      <c r="B36" s="43" t="str">
        <f>VLOOKUP(A36,[1]Sheet1!$B$2:$C$119,2,0)</f>
        <v>040000169407</v>
      </c>
      <c r="C36" s="39">
        <v>617</v>
      </c>
      <c r="D36" s="49">
        <f t="shared" si="1"/>
        <v>617</v>
      </c>
      <c r="E36" s="50" t="s">
        <v>773</v>
      </c>
      <c r="F36" s="46" t="str">
        <f t="shared" si="0"/>
        <v>insert into ins_premium_det (premium_rcv_code,assorted_code, rec_amount,premium_rcv_detail_code,remaining_amt, payrec, mode_code,coinsurance_code,class_cd,it_remarks) values</v>
      </c>
      <c r="G36" s="47" t="str">
        <f t="shared" si="2"/>
        <v>('20Aug240150','040000169407','617',(select max(to_number(i.premium_rcv_detail_code))+1
from ins_premium_det i),'617','617','02', '11000003','00','Request by Mr. Saqib Saleem 21-Aug-2024 sheet3');</v>
      </c>
      <c r="H36" s="48" t="str">
        <f t="shared" si="3"/>
        <v>insert into ins_premium_det (premium_rcv_code,assorted_code, rec_amount,premium_rcv_detail_code,remaining_amt, payrec, mode_code,coinsurance_code,class_cd,it_remarks) values('20Aug240150','040000169407','617',(select max(to_number(i.premium_rcv_detail_code))+1
from ins_premium_det i),'617','617','02', '11000003','00','Request by Mr. Saqib Saleem 21-Aug-2024 sheet3');</v>
      </c>
    </row>
    <row r="37" spans="1:8" ht="90" x14ac:dyDescent="0.25">
      <c r="A37" s="40" t="s">
        <v>685</v>
      </c>
      <c r="B37" s="43" t="str">
        <f>VLOOKUP(A37,[1]Sheet1!$B$2:$C$119,2,0)</f>
        <v>040000169408</v>
      </c>
      <c r="C37" s="39">
        <v>612</v>
      </c>
      <c r="D37" s="49">
        <f t="shared" si="1"/>
        <v>612</v>
      </c>
      <c r="E37" s="50" t="s">
        <v>773</v>
      </c>
      <c r="F37" s="46" t="str">
        <f t="shared" si="0"/>
        <v>insert into ins_premium_det (premium_rcv_code,assorted_code, rec_amount,premium_rcv_detail_code,remaining_amt, payrec, mode_code,coinsurance_code,class_cd,it_remarks) values</v>
      </c>
      <c r="G37" s="47" t="str">
        <f t="shared" si="2"/>
        <v>('20Aug240150','040000169408','612',(select max(to_number(i.premium_rcv_detail_code))+1
from ins_premium_det i),'612','612','02', '11000003','00','Request by Mr. Saqib Saleem 21-Aug-2024 sheet3');</v>
      </c>
      <c r="H37" s="48" t="str">
        <f t="shared" si="3"/>
        <v>insert into ins_premium_det (premium_rcv_code,assorted_code, rec_amount,premium_rcv_detail_code,remaining_amt, payrec, mode_code,coinsurance_code,class_cd,it_remarks) values('20Aug240150','040000169408','612',(select max(to_number(i.premium_rcv_detail_code))+1
from ins_premium_det i),'612','612','02', '11000003','00','Request by Mr. Saqib Saleem 21-Aug-2024 sheet3');</v>
      </c>
    </row>
    <row r="38" spans="1:8" ht="90" x14ac:dyDescent="0.25">
      <c r="A38" s="40" t="s">
        <v>686</v>
      </c>
      <c r="B38" s="43" t="str">
        <f>VLOOKUP(A38,[1]Sheet1!$B$2:$C$119,2,0)</f>
        <v>040000169409</v>
      </c>
      <c r="C38" s="39">
        <v>626</v>
      </c>
      <c r="D38" s="49">
        <f t="shared" si="1"/>
        <v>626</v>
      </c>
      <c r="E38" s="50" t="s">
        <v>773</v>
      </c>
      <c r="F38" s="46" t="str">
        <f t="shared" si="0"/>
        <v>insert into ins_premium_det (premium_rcv_code,assorted_code, rec_amount,premium_rcv_detail_code,remaining_amt, payrec, mode_code,coinsurance_code,class_cd,it_remarks) values</v>
      </c>
      <c r="G38" s="47" t="str">
        <f t="shared" si="2"/>
        <v>('20Aug240150','040000169409','626',(select max(to_number(i.premium_rcv_detail_code))+1
from ins_premium_det i),'626','626','02', '11000003','00','Request by Mr. Saqib Saleem 21-Aug-2024 sheet3');</v>
      </c>
      <c r="H38" s="48" t="str">
        <f t="shared" si="3"/>
        <v>insert into ins_premium_det (premium_rcv_code,assorted_code, rec_amount,premium_rcv_detail_code,remaining_amt, payrec, mode_code,coinsurance_code,class_cd,it_remarks) values('20Aug240150','040000169409','626',(select max(to_number(i.premium_rcv_detail_code))+1
from ins_premium_det i),'626','626','02', '11000003','00','Request by Mr. Saqib Saleem 21-Aug-2024 sheet3');</v>
      </c>
    </row>
    <row r="39" spans="1:8" ht="90" x14ac:dyDescent="0.25">
      <c r="A39" s="40" t="s">
        <v>687</v>
      </c>
      <c r="B39" s="43" t="str">
        <f>VLOOKUP(A39,[1]Sheet1!$B$2:$C$119,2,0)</f>
        <v>040000169410</v>
      </c>
      <c r="C39" s="39">
        <v>627</v>
      </c>
      <c r="D39" s="49">
        <f t="shared" si="1"/>
        <v>627</v>
      </c>
      <c r="E39" s="50" t="s">
        <v>773</v>
      </c>
      <c r="F39" s="46" t="str">
        <f t="shared" si="0"/>
        <v>insert into ins_premium_det (premium_rcv_code,assorted_code, rec_amount,premium_rcv_detail_code,remaining_amt, payrec, mode_code,coinsurance_code,class_cd,it_remarks) values</v>
      </c>
      <c r="G39" s="47" t="str">
        <f t="shared" si="2"/>
        <v>('20Aug240150','040000169410','627',(select max(to_number(i.premium_rcv_detail_code))+1
from ins_premium_det i),'627','627','02', '11000003','00','Request by Mr. Saqib Saleem 21-Aug-2024 sheet3');</v>
      </c>
      <c r="H39" s="48" t="str">
        <f t="shared" si="3"/>
        <v>insert into ins_premium_det (premium_rcv_code,assorted_code, rec_amount,premium_rcv_detail_code,remaining_amt, payrec, mode_code,coinsurance_code,class_cd,it_remarks) values('20Aug240150','040000169410','627',(select max(to_number(i.premium_rcv_detail_code))+1
from ins_premium_det i),'627','627','02', '11000003','00','Request by Mr. Saqib Saleem 21-Aug-2024 sheet3');</v>
      </c>
    </row>
    <row r="40" spans="1:8" ht="90" x14ac:dyDescent="0.25">
      <c r="A40" s="40" t="s">
        <v>688</v>
      </c>
      <c r="B40" s="43" t="str">
        <f>VLOOKUP(A40,[1]Sheet1!$B$2:$C$119,2,0)</f>
        <v>040000169411</v>
      </c>
      <c r="C40" s="39">
        <v>643</v>
      </c>
      <c r="D40" s="49">
        <f t="shared" si="1"/>
        <v>643</v>
      </c>
      <c r="E40" s="50" t="s">
        <v>773</v>
      </c>
      <c r="F40" s="46" t="str">
        <f t="shared" si="0"/>
        <v>insert into ins_premium_det (premium_rcv_code,assorted_code, rec_amount,premium_rcv_detail_code,remaining_amt, payrec, mode_code,coinsurance_code,class_cd,it_remarks) values</v>
      </c>
      <c r="G40" s="47" t="str">
        <f t="shared" si="2"/>
        <v>('20Aug240150','040000169411','643',(select max(to_number(i.premium_rcv_detail_code))+1
from ins_premium_det i),'643','643','02', '11000003','00','Request by Mr. Saqib Saleem 21-Aug-2024 sheet3');</v>
      </c>
      <c r="H40" s="48" t="str">
        <f t="shared" si="3"/>
        <v>insert into ins_premium_det (premium_rcv_code,assorted_code, rec_amount,premium_rcv_detail_code,remaining_amt, payrec, mode_code,coinsurance_code,class_cd,it_remarks) values('20Aug240150','040000169411','643',(select max(to_number(i.premium_rcv_detail_code))+1
from ins_premium_det i),'643','643','02', '11000003','00','Request by Mr. Saqib Saleem 21-Aug-2024 sheet3');</v>
      </c>
    </row>
    <row r="41" spans="1:8" ht="90" x14ac:dyDescent="0.25">
      <c r="A41" s="40" t="s">
        <v>689</v>
      </c>
      <c r="B41" s="43" t="str">
        <f>VLOOKUP(A41,[1]Sheet1!$B$2:$C$119,2,0)</f>
        <v>040000169412</v>
      </c>
      <c r="C41" s="39">
        <v>716</v>
      </c>
      <c r="D41" s="49">
        <f t="shared" si="1"/>
        <v>716</v>
      </c>
      <c r="E41" s="50" t="s">
        <v>773</v>
      </c>
      <c r="F41" s="46" t="str">
        <f t="shared" si="0"/>
        <v>insert into ins_premium_det (premium_rcv_code,assorted_code, rec_amount,premium_rcv_detail_code,remaining_amt, payrec, mode_code,coinsurance_code,class_cd,it_remarks) values</v>
      </c>
      <c r="G41" s="47" t="str">
        <f t="shared" si="2"/>
        <v>('20Aug240150','040000169412','716',(select max(to_number(i.premium_rcv_detail_code))+1
from ins_premium_det i),'716','716','02', '11000003','00','Request by Mr. Saqib Saleem 21-Aug-2024 sheet3');</v>
      </c>
      <c r="H41" s="48" t="str">
        <f t="shared" si="3"/>
        <v>insert into ins_premium_det (premium_rcv_code,assorted_code, rec_amount,premium_rcv_detail_code,remaining_amt, payrec, mode_code,coinsurance_code,class_cd,it_remarks) values('20Aug240150','040000169412','716',(select max(to_number(i.premium_rcv_detail_code))+1
from ins_premium_det i),'716','716','02', '11000003','00','Request by Mr. Saqib Saleem 21-Aug-2024 sheet3');</v>
      </c>
    </row>
    <row r="42" spans="1:8" ht="90" x14ac:dyDescent="0.25">
      <c r="A42" s="40" t="s">
        <v>690</v>
      </c>
      <c r="B42" s="43" t="str">
        <f>VLOOKUP(A42,[1]Sheet1!$B$2:$C$119,2,0)</f>
        <v>040000169413</v>
      </c>
      <c r="C42" s="39">
        <v>728</v>
      </c>
      <c r="D42" s="49">
        <f t="shared" si="1"/>
        <v>728</v>
      </c>
      <c r="E42" s="50" t="s">
        <v>773</v>
      </c>
      <c r="F42" s="46" t="str">
        <f t="shared" si="0"/>
        <v>insert into ins_premium_det (premium_rcv_code,assorted_code, rec_amount,premium_rcv_detail_code,remaining_amt, payrec, mode_code,coinsurance_code,class_cd,it_remarks) values</v>
      </c>
      <c r="G42" s="47" t="str">
        <f t="shared" si="2"/>
        <v>('20Aug240150','040000169413','728',(select max(to_number(i.premium_rcv_detail_code))+1
from ins_premium_det i),'728','728','02', '11000003','00','Request by Mr. Saqib Saleem 21-Aug-2024 sheet3');</v>
      </c>
      <c r="H42" s="48" t="str">
        <f t="shared" si="3"/>
        <v>insert into ins_premium_det (premium_rcv_code,assorted_code, rec_amount,premium_rcv_detail_code,remaining_amt, payrec, mode_code,coinsurance_code,class_cd,it_remarks) values('20Aug240150','040000169413','728',(select max(to_number(i.premium_rcv_detail_code))+1
from ins_premium_det i),'728','728','02', '11000003','00','Request by Mr. Saqib Saleem 21-Aug-2024 sheet3');</v>
      </c>
    </row>
    <row r="43" spans="1:8" ht="90" x14ac:dyDescent="0.25">
      <c r="A43" s="40" t="s">
        <v>691</v>
      </c>
      <c r="B43" s="43" t="str">
        <f>VLOOKUP(A43,[1]Sheet1!$B$2:$C$119,2,0)</f>
        <v>040000169414</v>
      </c>
      <c r="C43" s="39">
        <v>736</v>
      </c>
      <c r="D43" s="49">
        <f t="shared" si="1"/>
        <v>736</v>
      </c>
      <c r="E43" s="50" t="s">
        <v>773</v>
      </c>
      <c r="F43" s="46" t="str">
        <f t="shared" si="0"/>
        <v>insert into ins_premium_det (premium_rcv_code,assorted_code, rec_amount,premium_rcv_detail_code,remaining_amt, payrec, mode_code,coinsurance_code,class_cd,it_remarks) values</v>
      </c>
      <c r="G43" s="47" t="str">
        <f t="shared" si="2"/>
        <v>('20Aug240150','040000169414','736',(select max(to_number(i.premium_rcv_detail_code))+1
from ins_premium_det i),'736','736','02', '11000003','00','Request by Mr. Saqib Saleem 21-Aug-2024 sheet3');</v>
      </c>
      <c r="H43" s="48" t="str">
        <f t="shared" si="3"/>
        <v>insert into ins_premium_det (premium_rcv_code,assorted_code, rec_amount,premium_rcv_detail_code,remaining_amt, payrec, mode_code,coinsurance_code,class_cd,it_remarks) values('20Aug240150','040000169414','736',(select max(to_number(i.premium_rcv_detail_code))+1
from ins_premium_det i),'736','736','02', '11000003','00','Request by Mr. Saqib Saleem 21-Aug-2024 sheet3');</v>
      </c>
    </row>
    <row r="44" spans="1:8" ht="90" x14ac:dyDescent="0.25">
      <c r="A44" s="40" t="s">
        <v>692</v>
      </c>
      <c r="B44" s="43" t="str">
        <f>VLOOKUP(A44,[1]Sheet1!$B$2:$C$119,2,0)</f>
        <v>040000169415</v>
      </c>
      <c r="C44" s="39">
        <v>734</v>
      </c>
      <c r="D44" s="49">
        <f t="shared" si="1"/>
        <v>734</v>
      </c>
      <c r="E44" s="50" t="s">
        <v>773</v>
      </c>
      <c r="F44" s="46" t="str">
        <f t="shared" si="0"/>
        <v>insert into ins_premium_det (premium_rcv_code,assorted_code, rec_amount,premium_rcv_detail_code,remaining_amt, payrec, mode_code,coinsurance_code,class_cd,it_remarks) values</v>
      </c>
      <c r="G44" s="47" t="str">
        <f t="shared" si="2"/>
        <v>('20Aug240150','040000169415','734',(select max(to_number(i.premium_rcv_detail_code))+1
from ins_premium_det i),'734','734','02', '11000003','00','Request by Mr. Saqib Saleem 21-Aug-2024 sheet3');</v>
      </c>
      <c r="H44" s="48" t="str">
        <f t="shared" si="3"/>
        <v>insert into ins_premium_det (premium_rcv_code,assorted_code, rec_amount,premium_rcv_detail_code,remaining_amt, payrec, mode_code,coinsurance_code,class_cd,it_remarks) values('20Aug240150','040000169415','734',(select max(to_number(i.premium_rcv_detail_code))+1
from ins_premium_det i),'734','734','02', '11000003','00','Request by Mr. Saqib Saleem 21-Aug-2024 sheet3');</v>
      </c>
    </row>
    <row r="45" spans="1:8" ht="90" x14ac:dyDescent="0.25">
      <c r="A45" s="40" t="s">
        <v>693</v>
      </c>
      <c r="B45" s="43" t="str">
        <f>VLOOKUP(A45,[1]Sheet1!$B$2:$C$119,2,0)</f>
        <v>040000169416</v>
      </c>
      <c r="C45" s="39">
        <v>742</v>
      </c>
      <c r="D45" s="49">
        <f t="shared" si="1"/>
        <v>742</v>
      </c>
      <c r="E45" s="50" t="s">
        <v>773</v>
      </c>
      <c r="F45" s="46" t="str">
        <f t="shared" si="0"/>
        <v>insert into ins_premium_det (premium_rcv_code,assorted_code, rec_amount,premium_rcv_detail_code,remaining_amt, payrec, mode_code,coinsurance_code,class_cd,it_remarks) values</v>
      </c>
      <c r="G45" s="47" t="str">
        <f t="shared" si="2"/>
        <v>('20Aug240150','040000169416','742',(select max(to_number(i.premium_rcv_detail_code))+1
from ins_premium_det i),'742','742','02', '11000003','00','Request by Mr. Saqib Saleem 21-Aug-2024 sheet3');</v>
      </c>
      <c r="H45" s="48" t="str">
        <f t="shared" si="3"/>
        <v>insert into ins_premium_det (premium_rcv_code,assorted_code, rec_amount,premium_rcv_detail_code,remaining_amt, payrec, mode_code,coinsurance_code,class_cd,it_remarks) values('20Aug240150','040000169416','742',(select max(to_number(i.premium_rcv_detail_code))+1
from ins_premium_det i),'742','742','02', '11000003','00','Request by Mr. Saqib Saleem 21-Aug-2024 sheet3');</v>
      </c>
    </row>
    <row r="46" spans="1:8" ht="90" x14ac:dyDescent="0.25">
      <c r="A46" s="40" t="s">
        <v>694</v>
      </c>
      <c r="B46" s="43" t="str">
        <f>VLOOKUP(A46,[1]Sheet1!$B$2:$C$119,2,0)</f>
        <v>040000169417</v>
      </c>
      <c r="C46" s="39">
        <v>760</v>
      </c>
      <c r="D46" s="49">
        <f t="shared" si="1"/>
        <v>760</v>
      </c>
      <c r="E46" s="50" t="s">
        <v>773</v>
      </c>
      <c r="F46" s="46" t="str">
        <f t="shared" si="0"/>
        <v>insert into ins_premium_det (premium_rcv_code,assorted_code, rec_amount,premium_rcv_detail_code,remaining_amt, payrec, mode_code,coinsurance_code,class_cd,it_remarks) values</v>
      </c>
      <c r="G46" s="47" t="str">
        <f t="shared" si="2"/>
        <v>('20Aug240150','040000169417','760',(select max(to_number(i.premium_rcv_detail_code))+1
from ins_premium_det i),'760','760','02', '11000003','00','Request by Mr. Saqib Saleem 21-Aug-2024 sheet3');</v>
      </c>
      <c r="H46" s="48" t="str">
        <f t="shared" si="3"/>
        <v>insert into ins_premium_det (premium_rcv_code,assorted_code, rec_amount,premium_rcv_detail_code,remaining_amt, payrec, mode_code,coinsurance_code,class_cd,it_remarks) values('20Aug240150','040000169417','760',(select max(to_number(i.premium_rcv_detail_code))+1
from ins_premium_det i),'760','760','02', '11000003','00','Request by Mr. Saqib Saleem 21-Aug-2024 sheet3');</v>
      </c>
    </row>
    <row r="47" spans="1:8" ht="90" x14ac:dyDescent="0.25">
      <c r="A47" s="40" t="s">
        <v>695</v>
      </c>
      <c r="B47" s="43" t="str">
        <f>VLOOKUP(A47,[1]Sheet1!$B$2:$C$119,2,0)</f>
        <v>040000169418</v>
      </c>
      <c r="C47" s="39">
        <v>769</v>
      </c>
      <c r="D47" s="49">
        <f t="shared" si="1"/>
        <v>769</v>
      </c>
      <c r="E47" s="50" t="s">
        <v>773</v>
      </c>
      <c r="F47" s="46" t="str">
        <f t="shared" si="0"/>
        <v>insert into ins_premium_det (premium_rcv_code,assorted_code, rec_amount,premium_rcv_detail_code,remaining_amt, payrec, mode_code,coinsurance_code,class_cd,it_remarks) values</v>
      </c>
      <c r="G47" s="47" t="str">
        <f t="shared" si="2"/>
        <v>('20Aug240150','040000169418','769',(select max(to_number(i.premium_rcv_detail_code))+1
from ins_premium_det i),'769','769','02', '11000003','00','Request by Mr. Saqib Saleem 21-Aug-2024 sheet3');</v>
      </c>
      <c r="H47" s="48" t="str">
        <f t="shared" si="3"/>
        <v>insert into ins_premium_det (premium_rcv_code,assorted_code, rec_amount,premium_rcv_detail_code,remaining_amt, payrec, mode_code,coinsurance_code,class_cd,it_remarks) values('20Aug240150','040000169418','769',(select max(to_number(i.premium_rcv_detail_code))+1
from ins_premium_det i),'769','769','02', '11000003','00','Request by Mr. Saqib Saleem 21-Aug-2024 sheet3');</v>
      </c>
    </row>
    <row r="48" spans="1:8" ht="90" x14ac:dyDescent="0.25">
      <c r="A48" s="40" t="s">
        <v>696</v>
      </c>
      <c r="B48" s="43" t="str">
        <f>VLOOKUP(A48,[1]Sheet1!$B$2:$C$119,2,0)</f>
        <v>040000169419</v>
      </c>
      <c r="C48" s="39">
        <v>771</v>
      </c>
      <c r="D48" s="49">
        <f t="shared" si="1"/>
        <v>771</v>
      </c>
      <c r="E48" s="50" t="s">
        <v>773</v>
      </c>
      <c r="F48" s="46" t="str">
        <f t="shared" si="0"/>
        <v>insert into ins_premium_det (premium_rcv_code,assorted_code, rec_amount,premium_rcv_detail_code,remaining_amt, payrec, mode_code,coinsurance_code,class_cd,it_remarks) values</v>
      </c>
      <c r="G48" s="47" t="str">
        <f t="shared" si="2"/>
        <v>('20Aug240150','040000169419','771',(select max(to_number(i.premium_rcv_detail_code))+1
from ins_premium_det i),'771','771','02', '11000003','00','Request by Mr. Saqib Saleem 21-Aug-2024 sheet3');</v>
      </c>
      <c r="H48" s="48" t="str">
        <f t="shared" si="3"/>
        <v>insert into ins_premium_det (premium_rcv_code,assorted_code, rec_amount,premium_rcv_detail_code,remaining_amt, payrec, mode_code,coinsurance_code,class_cd,it_remarks) values('20Aug240150','040000169419','771',(select max(to_number(i.premium_rcv_detail_code))+1
from ins_premium_det i),'771','771','02', '11000003','00','Request by Mr. Saqib Saleem 21-Aug-2024 sheet3');</v>
      </c>
    </row>
    <row r="49" spans="1:8" ht="90" x14ac:dyDescent="0.25">
      <c r="A49" s="40" t="s">
        <v>697</v>
      </c>
      <c r="B49" s="43" t="str">
        <f>VLOOKUP(A49,[1]Sheet1!$B$2:$C$119,2,0)</f>
        <v>040000169420</v>
      </c>
      <c r="C49" s="39">
        <v>780</v>
      </c>
      <c r="D49" s="49">
        <f t="shared" si="1"/>
        <v>780</v>
      </c>
      <c r="E49" s="50" t="s">
        <v>773</v>
      </c>
      <c r="F49" s="46" t="str">
        <f t="shared" si="0"/>
        <v>insert into ins_premium_det (premium_rcv_code,assorted_code, rec_amount,premium_rcv_detail_code,remaining_amt, payrec, mode_code,coinsurance_code,class_cd,it_remarks) values</v>
      </c>
      <c r="G49" s="47" t="str">
        <f t="shared" si="2"/>
        <v>('20Aug240150','040000169420','780',(select max(to_number(i.premium_rcv_detail_code))+1
from ins_premium_det i),'780','780','02', '11000003','00','Request by Mr. Saqib Saleem 21-Aug-2024 sheet3');</v>
      </c>
      <c r="H49" s="48" t="str">
        <f t="shared" si="3"/>
        <v>insert into ins_premium_det (premium_rcv_code,assorted_code, rec_amount,premium_rcv_detail_code,remaining_amt, payrec, mode_code,coinsurance_code,class_cd,it_remarks) values('20Aug240150','040000169420','780',(select max(to_number(i.premium_rcv_detail_code))+1
from ins_premium_det i),'780','780','02', '11000003','00','Request by Mr. Saqib Saleem 21-Aug-2024 sheet3');</v>
      </c>
    </row>
    <row r="50" spans="1:8" ht="90" x14ac:dyDescent="0.25">
      <c r="A50" s="40" t="s">
        <v>698</v>
      </c>
      <c r="B50" s="43" t="str">
        <f>VLOOKUP(A50,[1]Sheet1!$B$2:$C$119,2,0)</f>
        <v>040000169421</v>
      </c>
      <c r="C50" s="39">
        <v>802</v>
      </c>
      <c r="D50" s="49">
        <f t="shared" si="1"/>
        <v>802</v>
      </c>
      <c r="E50" s="50" t="s">
        <v>773</v>
      </c>
      <c r="F50" s="46" t="str">
        <f t="shared" si="0"/>
        <v>insert into ins_premium_det (premium_rcv_code,assorted_code, rec_amount,premium_rcv_detail_code,remaining_amt, payrec, mode_code,coinsurance_code,class_cd,it_remarks) values</v>
      </c>
      <c r="G50" s="47" t="str">
        <f t="shared" si="2"/>
        <v>('20Aug240150','040000169421','802',(select max(to_number(i.premium_rcv_detail_code))+1
from ins_premium_det i),'802','802','02', '11000003','00','Request by Mr. Saqib Saleem 21-Aug-2024 sheet3');</v>
      </c>
      <c r="H50" s="48" t="str">
        <f t="shared" si="3"/>
        <v>insert into ins_premium_det (premium_rcv_code,assorted_code, rec_amount,premium_rcv_detail_code,remaining_amt, payrec, mode_code,coinsurance_code,class_cd,it_remarks) values('20Aug240150','040000169421','802',(select max(to_number(i.premium_rcv_detail_code))+1
from ins_premium_det i),'802','802','02', '11000003','00','Request by Mr. Saqib Saleem 21-Aug-2024 sheet3');</v>
      </c>
    </row>
    <row r="51" spans="1:8" ht="90" x14ac:dyDescent="0.25">
      <c r="A51" s="40" t="s">
        <v>699</v>
      </c>
      <c r="B51" s="43" t="str">
        <f>VLOOKUP(A51,[1]Sheet1!$B$2:$C$119,2,0)</f>
        <v>040000169422</v>
      </c>
      <c r="C51" s="39">
        <v>804</v>
      </c>
      <c r="D51" s="49">
        <f t="shared" si="1"/>
        <v>804</v>
      </c>
      <c r="E51" s="50" t="s">
        <v>773</v>
      </c>
      <c r="F51" s="46" t="str">
        <f t="shared" si="0"/>
        <v>insert into ins_premium_det (premium_rcv_code,assorted_code, rec_amount,premium_rcv_detail_code,remaining_amt, payrec, mode_code,coinsurance_code,class_cd,it_remarks) values</v>
      </c>
      <c r="G51" s="47" t="str">
        <f t="shared" si="2"/>
        <v>('20Aug240150','040000169422','804',(select max(to_number(i.premium_rcv_detail_code))+1
from ins_premium_det i),'804','804','02', '11000003','00','Request by Mr. Saqib Saleem 21-Aug-2024 sheet3');</v>
      </c>
      <c r="H51" s="48" t="str">
        <f t="shared" si="3"/>
        <v>insert into ins_premium_det (premium_rcv_code,assorted_code, rec_amount,premium_rcv_detail_code,remaining_amt, payrec, mode_code,coinsurance_code,class_cd,it_remarks) values('20Aug240150','040000169422','804',(select max(to_number(i.premium_rcv_detail_code))+1
from ins_premium_det i),'804','804','02', '11000003','00','Request by Mr. Saqib Saleem 21-Aug-2024 sheet3');</v>
      </c>
    </row>
    <row r="52" spans="1:8" ht="90" x14ac:dyDescent="0.25">
      <c r="A52" s="40" t="s">
        <v>700</v>
      </c>
      <c r="B52" s="43" t="str">
        <f>VLOOKUP(A52,[1]Sheet1!$B$2:$C$119,2,0)</f>
        <v>040000169423</v>
      </c>
      <c r="C52" s="39">
        <v>829</v>
      </c>
      <c r="D52" s="49">
        <f t="shared" si="1"/>
        <v>829</v>
      </c>
      <c r="E52" s="50" t="s">
        <v>773</v>
      </c>
      <c r="F52" s="46" t="str">
        <f t="shared" si="0"/>
        <v>insert into ins_premium_det (premium_rcv_code,assorted_code, rec_amount,premium_rcv_detail_code,remaining_amt, payrec, mode_code,coinsurance_code,class_cd,it_remarks) values</v>
      </c>
      <c r="G52" s="47" t="str">
        <f t="shared" si="2"/>
        <v>('20Aug240150','040000169423','829',(select max(to_number(i.premium_rcv_detail_code))+1
from ins_premium_det i),'829','829','02', '11000003','00','Request by Mr. Saqib Saleem 21-Aug-2024 sheet3');</v>
      </c>
      <c r="H52" s="48" t="str">
        <f t="shared" si="3"/>
        <v>insert into ins_premium_det (premium_rcv_code,assorted_code, rec_amount,premium_rcv_detail_code,remaining_amt, payrec, mode_code,coinsurance_code,class_cd,it_remarks) values('20Aug240150','040000169423','829',(select max(to_number(i.premium_rcv_detail_code))+1
from ins_premium_det i),'829','829','02', '11000003','00','Request by Mr. Saqib Saleem 21-Aug-2024 sheet3');</v>
      </c>
    </row>
    <row r="53" spans="1:8" ht="90" x14ac:dyDescent="0.25">
      <c r="A53" s="40" t="s">
        <v>701</v>
      </c>
      <c r="B53" s="43" t="str">
        <f>VLOOKUP(A53,[1]Sheet1!$B$2:$C$119,2,0)</f>
        <v>040000169424</v>
      </c>
      <c r="C53" s="39">
        <v>844</v>
      </c>
      <c r="D53" s="49">
        <f t="shared" si="1"/>
        <v>844</v>
      </c>
      <c r="E53" s="50" t="s">
        <v>773</v>
      </c>
      <c r="F53" s="46" t="str">
        <f t="shared" si="0"/>
        <v>insert into ins_premium_det (premium_rcv_code,assorted_code, rec_amount,premium_rcv_detail_code,remaining_amt, payrec, mode_code,coinsurance_code,class_cd,it_remarks) values</v>
      </c>
      <c r="G53" s="47" t="str">
        <f t="shared" si="2"/>
        <v>('20Aug240150','040000169424','844',(select max(to_number(i.premium_rcv_detail_code))+1
from ins_premium_det i),'844','844','02', '11000003','00','Request by Mr. Saqib Saleem 21-Aug-2024 sheet3');</v>
      </c>
      <c r="H53" s="48" t="str">
        <f t="shared" si="3"/>
        <v>insert into ins_premium_det (premium_rcv_code,assorted_code, rec_amount,premium_rcv_detail_code,remaining_amt, payrec, mode_code,coinsurance_code,class_cd,it_remarks) values('20Aug240150','040000169424','844',(select max(to_number(i.premium_rcv_detail_code))+1
from ins_premium_det i),'844','844','02', '11000003','00','Request by Mr. Saqib Saleem 21-Aug-2024 sheet3');</v>
      </c>
    </row>
    <row r="54" spans="1:8" ht="90" x14ac:dyDescent="0.25">
      <c r="A54" s="40" t="s">
        <v>702</v>
      </c>
      <c r="B54" s="43" t="str">
        <f>VLOOKUP(A54,[1]Sheet1!$B$2:$C$119,2,0)</f>
        <v>040000169425</v>
      </c>
      <c r="C54" s="39">
        <v>855</v>
      </c>
      <c r="D54" s="49">
        <f t="shared" si="1"/>
        <v>855</v>
      </c>
      <c r="E54" s="50" t="s">
        <v>773</v>
      </c>
      <c r="F54" s="46" t="str">
        <f t="shared" si="0"/>
        <v>insert into ins_premium_det (premium_rcv_code,assorted_code, rec_amount,premium_rcv_detail_code,remaining_amt, payrec, mode_code,coinsurance_code,class_cd,it_remarks) values</v>
      </c>
      <c r="G54" s="47" t="str">
        <f t="shared" si="2"/>
        <v>('20Aug240150','040000169425','855',(select max(to_number(i.premium_rcv_detail_code))+1
from ins_premium_det i),'855','855','02', '11000003','00','Request by Mr. Saqib Saleem 21-Aug-2024 sheet3');</v>
      </c>
      <c r="H54" s="48" t="str">
        <f t="shared" si="3"/>
        <v>insert into ins_premium_det (premium_rcv_code,assorted_code, rec_amount,premium_rcv_detail_code,remaining_amt, payrec, mode_code,coinsurance_code,class_cd,it_remarks) values('20Aug240150','040000169425','855',(select max(to_number(i.premium_rcv_detail_code))+1
from ins_premium_det i),'855','855','02', '11000003','00','Request by Mr. Saqib Saleem 21-Aug-2024 sheet3');</v>
      </c>
    </row>
    <row r="55" spans="1:8" ht="90" x14ac:dyDescent="0.25">
      <c r="A55" s="40" t="s">
        <v>703</v>
      </c>
      <c r="B55" s="43" t="str">
        <f>VLOOKUP(A55,[1]Sheet1!$B$2:$C$119,2,0)</f>
        <v>040000169426</v>
      </c>
      <c r="C55" s="39">
        <v>868</v>
      </c>
      <c r="D55" s="49">
        <f t="shared" si="1"/>
        <v>868</v>
      </c>
      <c r="E55" s="50" t="s">
        <v>773</v>
      </c>
      <c r="F55" s="46" t="str">
        <f t="shared" si="0"/>
        <v>insert into ins_premium_det (premium_rcv_code,assorted_code, rec_amount,premium_rcv_detail_code,remaining_amt, payrec, mode_code,coinsurance_code,class_cd,it_remarks) values</v>
      </c>
      <c r="G55" s="47" t="str">
        <f t="shared" si="2"/>
        <v>('20Aug240150','040000169426','868',(select max(to_number(i.premium_rcv_detail_code))+1
from ins_premium_det i),'868','868','02', '11000003','00','Request by Mr. Saqib Saleem 21-Aug-2024 sheet3');</v>
      </c>
      <c r="H55" s="48" t="str">
        <f t="shared" si="3"/>
        <v>insert into ins_premium_det (premium_rcv_code,assorted_code, rec_amount,premium_rcv_detail_code,remaining_amt, payrec, mode_code,coinsurance_code,class_cd,it_remarks) values('20Aug240150','040000169426','868',(select max(to_number(i.premium_rcv_detail_code))+1
from ins_premium_det i),'868','868','02', '11000003','00','Request by Mr. Saqib Saleem 21-Aug-2024 sheet3');</v>
      </c>
    </row>
    <row r="56" spans="1:8" ht="90" x14ac:dyDescent="0.25">
      <c r="A56" s="40" t="s">
        <v>704</v>
      </c>
      <c r="B56" s="43" t="str">
        <f>VLOOKUP(A56,[1]Sheet1!$B$2:$C$119,2,0)</f>
        <v>040000169427</v>
      </c>
      <c r="C56" s="39">
        <v>871</v>
      </c>
      <c r="D56" s="49">
        <f t="shared" si="1"/>
        <v>871</v>
      </c>
      <c r="E56" s="50" t="s">
        <v>773</v>
      </c>
      <c r="F56" s="46" t="str">
        <f t="shared" si="0"/>
        <v>insert into ins_premium_det (premium_rcv_code,assorted_code, rec_amount,premium_rcv_detail_code,remaining_amt, payrec, mode_code,coinsurance_code,class_cd,it_remarks) values</v>
      </c>
      <c r="G56" s="47" t="str">
        <f t="shared" si="2"/>
        <v>('20Aug240150','040000169427','871',(select max(to_number(i.premium_rcv_detail_code))+1
from ins_premium_det i),'871','871','02', '11000003','00','Request by Mr. Saqib Saleem 21-Aug-2024 sheet3');</v>
      </c>
      <c r="H56" s="48" t="str">
        <f t="shared" si="3"/>
        <v>insert into ins_premium_det (premium_rcv_code,assorted_code, rec_amount,premium_rcv_detail_code,remaining_amt, payrec, mode_code,coinsurance_code,class_cd,it_remarks) values('20Aug240150','040000169427','871',(select max(to_number(i.premium_rcv_detail_code))+1
from ins_premium_det i),'871','871','02', '11000003','00','Request by Mr. Saqib Saleem 21-Aug-2024 sheet3');</v>
      </c>
    </row>
    <row r="57" spans="1:8" ht="90" x14ac:dyDescent="0.25">
      <c r="A57" s="40" t="s">
        <v>705</v>
      </c>
      <c r="B57" s="43" t="str">
        <f>VLOOKUP(A57,[1]Sheet1!$B$2:$C$119,2,0)</f>
        <v>040000169428</v>
      </c>
      <c r="C57" s="39">
        <v>873</v>
      </c>
      <c r="D57" s="49">
        <f t="shared" si="1"/>
        <v>873</v>
      </c>
      <c r="E57" s="50" t="s">
        <v>773</v>
      </c>
      <c r="F57" s="46" t="str">
        <f t="shared" si="0"/>
        <v>insert into ins_premium_det (premium_rcv_code,assorted_code, rec_amount,premium_rcv_detail_code,remaining_amt, payrec, mode_code,coinsurance_code,class_cd,it_remarks) values</v>
      </c>
      <c r="G57" s="47" t="str">
        <f t="shared" si="2"/>
        <v>('20Aug240150','040000169428','873',(select max(to_number(i.premium_rcv_detail_code))+1
from ins_premium_det i),'873','873','02', '11000003','00','Request by Mr. Saqib Saleem 21-Aug-2024 sheet3');</v>
      </c>
      <c r="H57" s="48" t="str">
        <f t="shared" si="3"/>
        <v>insert into ins_premium_det (premium_rcv_code,assorted_code, rec_amount,premium_rcv_detail_code,remaining_amt, payrec, mode_code,coinsurance_code,class_cd,it_remarks) values('20Aug240150','040000169428','873',(select max(to_number(i.premium_rcv_detail_code))+1
from ins_premium_det i),'873','873','02', '11000003','00','Request by Mr. Saqib Saleem 21-Aug-2024 sheet3');</v>
      </c>
    </row>
    <row r="58" spans="1:8" ht="90" x14ac:dyDescent="0.25">
      <c r="A58" s="40" t="s">
        <v>706</v>
      </c>
      <c r="B58" s="43" t="str">
        <f>VLOOKUP(A58,[1]Sheet1!$B$2:$C$119,2,0)</f>
        <v>040000169429</v>
      </c>
      <c r="C58" s="39">
        <v>873</v>
      </c>
      <c r="D58" s="49">
        <f t="shared" si="1"/>
        <v>873</v>
      </c>
      <c r="E58" s="50" t="s">
        <v>773</v>
      </c>
      <c r="F58" s="46" t="str">
        <f t="shared" si="0"/>
        <v>insert into ins_premium_det (premium_rcv_code,assorted_code, rec_amount,premium_rcv_detail_code,remaining_amt, payrec, mode_code,coinsurance_code,class_cd,it_remarks) values</v>
      </c>
      <c r="G58" s="47" t="str">
        <f t="shared" si="2"/>
        <v>('20Aug240150','040000169429','873',(select max(to_number(i.premium_rcv_detail_code))+1
from ins_premium_det i),'873','873','02', '11000003','00','Request by Mr. Saqib Saleem 21-Aug-2024 sheet3');</v>
      </c>
      <c r="H58" s="48" t="str">
        <f t="shared" si="3"/>
        <v>insert into ins_premium_det (premium_rcv_code,assorted_code, rec_amount,premium_rcv_detail_code,remaining_amt, payrec, mode_code,coinsurance_code,class_cd,it_remarks) values('20Aug240150','040000169429','873',(select max(to_number(i.premium_rcv_detail_code))+1
from ins_premium_det i),'873','873','02', '11000003','00','Request by Mr. Saqib Saleem 21-Aug-2024 sheet3');</v>
      </c>
    </row>
    <row r="59" spans="1:8" ht="90" x14ac:dyDescent="0.25">
      <c r="A59" s="40" t="s">
        <v>707</v>
      </c>
      <c r="B59" s="43" t="str">
        <f>VLOOKUP(A59,[1]Sheet1!$B$2:$C$119,2,0)</f>
        <v>040000169430</v>
      </c>
      <c r="C59" s="39">
        <v>873</v>
      </c>
      <c r="D59" s="49">
        <f t="shared" si="1"/>
        <v>873</v>
      </c>
      <c r="E59" s="50" t="s">
        <v>773</v>
      </c>
      <c r="F59" s="46" t="str">
        <f t="shared" si="0"/>
        <v>insert into ins_premium_det (premium_rcv_code,assorted_code, rec_amount,premium_rcv_detail_code,remaining_amt, payrec, mode_code,coinsurance_code,class_cd,it_remarks) values</v>
      </c>
      <c r="G59" s="47" t="str">
        <f t="shared" si="2"/>
        <v>('20Aug240150','040000169430','873',(select max(to_number(i.premium_rcv_detail_code))+1
from ins_premium_det i),'873','873','02', '11000003','00','Request by Mr. Saqib Saleem 21-Aug-2024 sheet3');</v>
      </c>
      <c r="H59" s="48" t="str">
        <f t="shared" si="3"/>
        <v>insert into ins_premium_det (premium_rcv_code,assorted_code, rec_amount,premium_rcv_detail_code,remaining_amt, payrec, mode_code,coinsurance_code,class_cd,it_remarks) values('20Aug240150','040000169430','873',(select max(to_number(i.premium_rcv_detail_code))+1
from ins_premium_det i),'873','873','02', '11000003','00','Request by Mr. Saqib Saleem 21-Aug-2024 sheet3');</v>
      </c>
    </row>
    <row r="60" spans="1:8" ht="90" x14ac:dyDescent="0.25">
      <c r="A60" s="40" t="s">
        <v>708</v>
      </c>
      <c r="B60" s="43" t="str">
        <f>VLOOKUP(A60,[1]Sheet1!$B$2:$C$119,2,0)</f>
        <v>040000169431</v>
      </c>
      <c r="C60" s="39">
        <v>873</v>
      </c>
      <c r="D60" s="49">
        <f t="shared" si="1"/>
        <v>873</v>
      </c>
      <c r="E60" s="50" t="s">
        <v>773</v>
      </c>
      <c r="F60" s="46" t="str">
        <f t="shared" si="0"/>
        <v>insert into ins_premium_det (premium_rcv_code,assorted_code, rec_amount,premium_rcv_detail_code,remaining_amt, payrec, mode_code,coinsurance_code,class_cd,it_remarks) values</v>
      </c>
      <c r="G60" s="47" t="str">
        <f t="shared" si="2"/>
        <v>('20Aug240150','040000169431','873',(select max(to_number(i.premium_rcv_detail_code))+1
from ins_premium_det i),'873','873','02', '11000003','00','Request by Mr. Saqib Saleem 21-Aug-2024 sheet3');</v>
      </c>
      <c r="H60" s="48" t="str">
        <f t="shared" si="3"/>
        <v>insert into ins_premium_det (premium_rcv_code,assorted_code, rec_amount,premium_rcv_detail_code,remaining_amt, payrec, mode_code,coinsurance_code,class_cd,it_remarks) values('20Aug240150','040000169431','873',(select max(to_number(i.premium_rcv_detail_code))+1
from ins_premium_det i),'873','873','02', '11000003','00','Request by Mr. Saqib Saleem 21-Aug-2024 sheet3');</v>
      </c>
    </row>
    <row r="61" spans="1:8" ht="90" x14ac:dyDescent="0.25">
      <c r="A61" s="40" t="s">
        <v>709</v>
      </c>
      <c r="B61" s="43" t="str">
        <f>VLOOKUP(A61,[1]Sheet1!$B$2:$C$119,2,0)</f>
        <v>040000169432</v>
      </c>
      <c r="C61" s="39">
        <v>875</v>
      </c>
      <c r="D61" s="49">
        <f t="shared" si="1"/>
        <v>875</v>
      </c>
      <c r="E61" s="50" t="s">
        <v>773</v>
      </c>
      <c r="F61" s="46" t="str">
        <f t="shared" si="0"/>
        <v>insert into ins_premium_det (premium_rcv_code,assorted_code, rec_amount,premium_rcv_detail_code,remaining_amt, payrec, mode_code,coinsurance_code,class_cd,it_remarks) values</v>
      </c>
      <c r="G61" s="47" t="str">
        <f t="shared" si="2"/>
        <v>('20Aug240150','040000169432','875',(select max(to_number(i.premium_rcv_detail_code))+1
from ins_premium_det i),'875','875','02', '11000003','00','Request by Mr. Saqib Saleem 21-Aug-2024 sheet3');</v>
      </c>
      <c r="H61" s="48" t="str">
        <f t="shared" si="3"/>
        <v>insert into ins_premium_det (premium_rcv_code,assorted_code, rec_amount,premium_rcv_detail_code,remaining_amt, payrec, mode_code,coinsurance_code,class_cd,it_remarks) values('20Aug240150','040000169432','875',(select max(to_number(i.premium_rcv_detail_code))+1
from ins_premium_det i),'875','875','02', '11000003','00','Request by Mr. Saqib Saleem 21-Aug-2024 sheet3');</v>
      </c>
    </row>
    <row r="62" spans="1:8" ht="90" x14ac:dyDescent="0.25">
      <c r="A62" s="40" t="s">
        <v>710</v>
      </c>
      <c r="B62" s="43" t="str">
        <f>VLOOKUP(A62,[1]Sheet1!$B$2:$C$119,2,0)</f>
        <v>040000169433</v>
      </c>
      <c r="C62" s="39">
        <v>723</v>
      </c>
      <c r="D62" s="49">
        <f t="shared" si="1"/>
        <v>723</v>
      </c>
      <c r="E62" s="50" t="s">
        <v>773</v>
      </c>
      <c r="F62" s="46" t="str">
        <f t="shared" si="0"/>
        <v>insert into ins_premium_det (premium_rcv_code,assorted_code, rec_amount,premium_rcv_detail_code,remaining_amt, payrec, mode_code,coinsurance_code,class_cd,it_remarks) values</v>
      </c>
      <c r="G62" s="47" t="str">
        <f t="shared" si="2"/>
        <v>('20Aug240150','040000169433','723',(select max(to_number(i.premium_rcv_detail_code))+1
from ins_premium_det i),'723','723','02', '11000003','00','Request by Mr. Saqib Saleem 21-Aug-2024 sheet3');</v>
      </c>
      <c r="H62" s="48" t="str">
        <f t="shared" si="3"/>
        <v>insert into ins_premium_det (premium_rcv_code,assorted_code, rec_amount,premium_rcv_detail_code,remaining_amt, payrec, mode_code,coinsurance_code,class_cd,it_remarks) values('20Aug240150','040000169433','723',(select max(to_number(i.premium_rcv_detail_code))+1
from ins_premium_det i),'723','723','02', '11000003','00','Request by Mr. Saqib Saleem 21-Aug-2024 sheet3');</v>
      </c>
    </row>
    <row r="63" spans="1:8" ht="90" x14ac:dyDescent="0.25">
      <c r="A63" s="40" t="s">
        <v>711</v>
      </c>
      <c r="B63" s="43" t="str">
        <f>VLOOKUP(A63,[1]Sheet1!$B$2:$C$119,2,0)</f>
        <v>040000169434</v>
      </c>
      <c r="C63" s="39">
        <v>952</v>
      </c>
      <c r="D63" s="49">
        <f t="shared" si="1"/>
        <v>952</v>
      </c>
      <c r="E63" s="50" t="s">
        <v>773</v>
      </c>
      <c r="F63" s="46" t="str">
        <f t="shared" si="0"/>
        <v>insert into ins_premium_det (premium_rcv_code,assorted_code, rec_amount,premium_rcv_detail_code,remaining_amt, payrec, mode_code,coinsurance_code,class_cd,it_remarks) values</v>
      </c>
      <c r="G63" s="47" t="str">
        <f t="shared" si="2"/>
        <v>('20Aug240150','040000169434','952',(select max(to_number(i.premium_rcv_detail_code))+1
from ins_premium_det i),'952','952','02', '11000003','00','Request by Mr. Saqib Saleem 21-Aug-2024 sheet3');</v>
      </c>
      <c r="H63" s="48" t="str">
        <f t="shared" si="3"/>
        <v>insert into ins_premium_det (premium_rcv_code,assorted_code, rec_amount,premium_rcv_detail_code,remaining_amt, payrec, mode_code,coinsurance_code,class_cd,it_remarks) values('20Aug240150','040000169434','952',(select max(to_number(i.premium_rcv_detail_code))+1
from ins_premium_det i),'952','952','02', '11000003','00','Request by Mr. Saqib Saleem 21-Aug-2024 sheet3');</v>
      </c>
    </row>
    <row r="64" spans="1:8" ht="90" x14ac:dyDescent="0.25">
      <c r="A64" s="40" t="s">
        <v>712</v>
      </c>
      <c r="B64" s="43" t="str">
        <f>VLOOKUP(A64,[1]Sheet1!$B$2:$C$119,2,0)</f>
        <v>040000169435</v>
      </c>
      <c r="C64" s="39">
        <v>977</v>
      </c>
      <c r="D64" s="49">
        <f t="shared" si="1"/>
        <v>977</v>
      </c>
      <c r="E64" s="50" t="s">
        <v>773</v>
      </c>
      <c r="F64" s="46" t="str">
        <f t="shared" si="0"/>
        <v>insert into ins_premium_det (premium_rcv_code,assorted_code, rec_amount,premium_rcv_detail_code,remaining_amt, payrec, mode_code,coinsurance_code,class_cd,it_remarks) values</v>
      </c>
      <c r="G64" s="47" t="str">
        <f t="shared" si="2"/>
        <v>('20Aug240150','040000169435','977',(select max(to_number(i.premium_rcv_detail_code))+1
from ins_premium_det i),'977','977','02', '11000003','00','Request by Mr. Saqib Saleem 21-Aug-2024 sheet3');</v>
      </c>
      <c r="H64" s="48" t="str">
        <f t="shared" si="3"/>
        <v>insert into ins_premium_det (premium_rcv_code,assorted_code, rec_amount,premium_rcv_detail_code,remaining_amt, payrec, mode_code,coinsurance_code,class_cd,it_remarks) values('20Aug240150','040000169435','977',(select max(to_number(i.premium_rcv_detail_code))+1
from ins_premium_det i),'977','977','02', '11000003','00','Request by Mr. Saqib Saleem 21-Aug-2024 sheet3');</v>
      </c>
    </row>
    <row r="65" spans="1:8" ht="90" x14ac:dyDescent="0.25">
      <c r="A65" s="40" t="s">
        <v>713</v>
      </c>
      <c r="B65" s="43" t="str">
        <f>VLOOKUP(A65,[1]Sheet1!$B$2:$C$119,2,0)</f>
        <v>040000169436</v>
      </c>
      <c r="C65" s="39">
        <v>1010</v>
      </c>
      <c r="D65" s="49">
        <f t="shared" si="1"/>
        <v>1010</v>
      </c>
      <c r="E65" s="50" t="s">
        <v>773</v>
      </c>
      <c r="F65" s="46" t="str">
        <f t="shared" si="0"/>
        <v>insert into ins_premium_det (premium_rcv_code,assorted_code, rec_amount,premium_rcv_detail_code,remaining_amt, payrec, mode_code,coinsurance_code,class_cd,it_remarks) values</v>
      </c>
      <c r="G65" s="47" t="str">
        <f t="shared" si="2"/>
        <v>('20Aug240150','040000169436','1010',(select max(to_number(i.premium_rcv_detail_code))+1
from ins_premium_det i),'1010','1010','02', '11000003','00','Request by Mr. Saqib Saleem 21-Aug-2024 sheet3');</v>
      </c>
      <c r="H65" s="48" t="str">
        <f t="shared" si="3"/>
        <v>insert into ins_premium_det (premium_rcv_code,assorted_code, rec_amount,premium_rcv_detail_code,remaining_amt, payrec, mode_code,coinsurance_code,class_cd,it_remarks) values('20Aug240150','040000169436','1010',(select max(to_number(i.premium_rcv_detail_code))+1
from ins_premium_det i),'1010','1010','02', '11000003','00','Request by Mr. Saqib Saleem 21-Aug-2024 sheet3');</v>
      </c>
    </row>
    <row r="66" spans="1:8" ht="90" x14ac:dyDescent="0.25">
      <c r="A66" s="40" t="s">
        <v>714</v>
      </c>
      <c r="B66" s="43" t="str">
        <f>VLOOKUP(A66,[1]Sheet1!$B$2:$C$119,2,0)</f>
        <v>040000169437</v>
      </c>
      <c r="C66" s="39">
        <v>1058</v>
      </c>
      <c r="D66" s="49">
        <f t="shared" si="1"/>
        <v>1058</v>
      </c>
      <c r="E66" s="50" t="s">
        <v>773</v>
      </c>
      <c r="F66" s="46" t="str">
        <f t="shared" ref="F66:F11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7" t="str">
        <f t="shared" si="2"/>
        <v>('20Aug240150','040000169437','1058',(select max(to_number(i.premium_rcv_detail_code))+1
from ins_premium_det i),'1058','1058','02', '11000003','00','Request by Mr. Saqib Saleem 21-Aug-2024 sheet3');</v>
      </c>
      <c r="H66" s="48" t="str">
        <f t="shared" si="3"/>
        <v>insert into ins_premium_det (premium_rcv_code,assorted_code, rec_amount,premium_rcv_detail_code,remaining_amt, payrec, mode_code,coinsurance_code,class_cd,it_remarks) values('20Aug240150','040000169437','1058',(select max(to_number(i.premium_rcv_detail_code))+1
from ins_premium_det i),'1058','1058','02', '11000003','00','Request by Mr. Saqib Saleem 21-Aug-2024 sheet3');</v>
      </c>
    </row>
    <row r="67" spans="1:8" ht="90" x14ac:dyDescent="0.25">
      <c r="A67" s="40" t="s">
        <v>715</v>
      </c>
      <c r="B67" s="43" t="str">
        <f>VLOOKUP(A67,[1]Sheet1!$B$2:$C$119,2,0)</f>
        <v>040000169438</v>
      </c>
      <c r="C67" s="39">
        <v>1079</v>
      </c>
      <c r="D67" s="49">
        <f t="shared" ref="D67:D119" si="5">ROUND(C67,0)</f>
        <v>1079</v>
      </c>
      <c r="E67" s="50" t="s">
        <v>773</v>
      </c>
      <c r="F67" s="46" t="str">
        <f t="shared" si="4"/>
        <v>insert into ins_premium_det (premium_rcv_code,assorted_code, rec_amount,premium_rcv_detail_code,remaining_amt, payrec, mode_code,coinsurance_code,class_cd,it_remarks) values</v>
      </c>
      <c r="G67" s="47" t="str">
        <f t="shared" ref="G67:G119" si="6">"('"&amp;E67&amp;"','"&amp;B67&amp;"','"&amp;D67&amp;"',(select max(to_number(i.premium_rcv_detail_code))+1
from ins_premium_det i),'"&amp;D67&amp;"','"&amp;D67&amp;"','02', '11000003','00','Request by Mr. Saqib Saleem 21-Aug-2024 sheet3');"</f>
        <v>('20Aug240150','040000169438','1079',(select max(to_number(i.premium_rcv_detail_code))+1
from ins_premium_det i),'1079','1079','02', '11000003','00','Request by Mr. Saqib Saleem 21-Aug-2024 sheet3');</v>
      </c>
      <c r="H67" s="48" t="str">
        <f t="shared" ref="H67:H119" si="7">F67&amp;G67</f>
        <v>insert into ins_premium_det (premium_rcv_code,assorted_code, rec_amount,premium_rcv_detail_code,remaining_amt, payrec, mode_code,coinsurance_code,class_cd,it_remarks) values('20Aug240150','040000169438','1079',(select max(to_number(i.premium_rcv_detail_code))+1
from ins_premium_det i),'1079','1079','02', '11000003','00','Request by Mr. Saqib Saleem 21-Aug-2024 sheet3');</v>
      </c>
    </row>
    <row r="68" spans="1:8" ht="90" x14ac:dyDescent="0.25">
      <c r="A68" s="40" t="s">
        <v>716</v>
      </c>
      <c r="B68" s="43" t="str">
        <f>VLOOKUP(A68,[1]Sheet1!$B$2:$C$119,2,0)</f>
        <v>040000169439</v>
      </c>
      <c r="C68" s="39">
        <v>1084</v>
      </c>
      <c r="D68" s="49">
        <f t="shared" si="5"/>
        <v>1084</v>
      </c>
      <c r="E68" s="50" t="s">
        <v>773</v>
      </c>
      <c r="F68" s="46" t="str">
        <f t="shared" si="4"/>
        <v>insert into ins_premium_det (premium_rcv_code,assorted_code, rec_amount,premium_rcv_detail_code,remaining_amt, payrec, mode_code,coinsurance_code,class_cd,it_remarks) values</v>
      </c>
      <c r="G68" s="47" t="str">
        <f t="shared" si="6"/>
        <v>('20Aug240150','040000169439','1084',(select max(to_number(i.premium_rcv_detail_code))+1
from ins_premium_det i),'1084','1084','02', '11000003','00','Request by Mr. Saqib Saleem 21-Aug-2024 sheet3');</v>
      </c>
      <c r="H68" s="48" t="str">
        <f t="shared" si="7"/>
        <v>insert into ins_premium_det (premium_rcv_code,assorted_code, rec_amount,premium_rcv_detail_code,remaining_amt, payrec, mode_code,coinsurance_code,class_cd,it_remarks) values('20Aug240150','040000169439','1084',(select max(to_number(i.premium_rcv_detail_code))+1
from ins_premium_det i),'1084','1084','02', '11000003','00','Request by Mr. Saqib Saleem 21-Aug-2024 sheet3');</v>
      </c>
    </row>
    <row r="69" spans="1:8" ht="90" x14ac:dyDescent="0.25">
      <c r="A69" s="40" t="s">
        <v>717</v>
      </c>
      <c r="B69" s="43" t="str">
        <f>VLOOKUP(A69,[1]Sheet1!$B$2:$C$119,2,0)</f>
        <v>040000169440</v>
      </c>
      <c r="C69" s="39">
        <v>1127</v>
      </c>
      <c r="D69" s="49">
        <f t="shared" si="5"/>
        <v>1127</v>
      </c>
      <c r="E69" s="50" t="s">
        <v>773</v>
      </c>
      <c r="F69" s="46" t="str">
        <f t="shared" si="4"/>
        <v>insert into ins_premium_det (premium_rcv_code,assorted_code, rec_amount,premium_rcv_detail_code,remaining_amt, payrec, mode_code,coinsurance_code,class_cd,it_remarks) values</v>
      </c>
      <c r="G69" s="47" t="str">
        <f t="shared" si="6"/>
        <v>('20Aug240150','040000169440','1127',(select max(to_number(i.premium_rcv_detail_code))+1
from ins_premium_det i),'1127','1127','02', '11000003','00','Request by Mr. Saqib Saleem 21-Aug-2024 sheet3');</v>
      </c>
      <c r="H69" s="48" t="str">
        <f t="shared" si="7"/>
        <v>insert into ins_premium_det (premium_rcv_code,assorted_code, rec_amount,premium_rcv_detail_code,remaining_amt, payrec, mode_code,coinsurance_code,class_cd,it_remarks) values('20Aug240150','040000169440','1127',(select max(to_number(i.premium_rcv_detail_code))+1
from ins_premium_det i),'1127','1127','02', '11000003','00','Request by Mr. Saqib Saleem 21-Aug-2024 sheet3');</v>
      </c>
    </row>
    <row r="70" spans="1:8" ht="90" x14ac:dyDescent="0.25">
      <c r="A70" s="40" t="s">
        <v>718</v>
      </c>
      <c r="B70" s="43" t="str">
        <f>VLOOKUP(A70,[1]Sheet1!$B$2:$C$119,2,0)</f>
        <v>040000169441</v>
      </c>
      <c r="C70" s="39">
        <v>1133</v>
      </c>
      <c r="D70" s="49">
        <f t="shared" si="5"/>
        <v>1133</v>
      </c>
      <c r="E70" s="50" t="s">
        <v>773</v>
      </c>
      <c r="F70" s="46" t="str">
        <f t="shared" si="4"/>
        <v>insert into ins_premium_det (premium_rcv_code,assorted_code, rec_amount,premium_rcv_detail_code,remaining_amt, payrec, mode_code,coinsurance_code,class_cd,it_remarks) values</v>
      </c>
      <c r="G70" s="47" t="str">
        <f t="shared" si="6"/>
        <v>('20Aug240150','040000169441','1133',(select max(to_number(i.premium_rcv_detail_code))+1
from ins_premium_det i),'1133','1133','02', '11000003','00','Request by Mr. Saqib Saleem 21-Aug-2024 sheet3');</v>
      </c>
      <c r="H70" s="48" t="str">
        <f t="shared" si="7"/>
        <v>insert into ins_premium_det (premium_rcv_code,assorted_code, rec_amount,premium_rcv_detail_code,remaining_amt, payrec, mode_code,coinsurance_code,class_cd,it_remarks) values('20Aug240150','040000169441','1133',(select max(to_number(i.premium_rcv_detail_code))+1
from ins_premium_det i),'1133','1133','02', '11000003','00','Request by Mr. Saqib Saleem 21-Aug-2024 sheet3');</v>
      </c>
    </row>
    <row r="71" spans="1:8" ht="90" x14ac:dyDescent="0.25">
      <c r="A71" s="40" t="s">
        <v>719</v>
      </c>
      <c r="B71" s="43" t="str">
        <f>VLOOKUP(A71,[1]Sheet1!$B$2:$C$119,2,0)</f>
        <v>040000169442</v>
      </c>
      <c r="C71" s="39">
        <v>1174</v>
      </c>
      <c r="D71" s="49">
        <f t="shared" si="5"/>
        <v>1174</v>
      </c>
      <c r="E71" s="50" t="s">
        <v>773</v>
      </c>
      <c r="F71" s="46" t="str">
        <f t="shared" si="4"/>
        <v>insert into ins_premium_det (premium_rcv_code,assorted_code, rec_amount,premium_rcv_detail_code,remaining_amt, payrec, mode_code,coinsurance_code,class_cd,it_remarks) values</v>
      </c>
      <c r="G71" s="47" t="str">
        <f t="shared" si="6"/>
        <v>('20Aug240150','040000169442','1174',(select max(to_number(i.premium_rcv_detail_code))+1
from ins_premium_det i),'1174','1174','02', '11000003','00','Request by Mr. Saqib Saleem 21-Aug-2024 sheet3');</v>
      </c>
      <c r="H71" s="48" t="str">
        <f t="shared" si="7"/>
        <v>insert into ins_premium_det (premium_rcv_code,assorted_code, rec_amount,premium_rcv_detail_code,remaining_amt, payrec, mode_code,coinsurance_code,class_cd,it_remarks) values('20Aug240150','040000169442','1174',(select max(to_number(i.premium_rcv_detail_code))+1
from ins_premium_det i),'1174','1174','02', '11000003','00','Request by Mr. Saqib Saleem 21-Aug-2024 sheet3');</v>
      </c>
    </row>
    <row r="72" spans="1:8" ht="90" x14ac:dyDescent="0.25">
      <c r="A72" s="40" t="s">
        <v>720</v>
      </c>
      <c r="B72" s="43" t="str">
        <f>VLOOKUP(A72,[1]Sheet1!$B$2:$C$119,2,0)</f>
        <v>040000169443</v>
      </c>
      <c r="C72" s="39">
        <v>1186</v>
      </c>
      <c r="D72" s="49">
        <f t="shared" si="5"/>
        <v>1186</v>
      </c>
      <c r="E72" s="50" t="s">
        <v>773</v>
      </c>
      <c r="F72" s="46" t="str">
        <f t="shared" si="4"/>
        <v>insert into ins_premium_det (premium_rcv_code,assorted_code, rec_amount,premium_rcv_detail_code,remaining_amt, payrec, mode_code,coinsurance_code,class_cd,it_remarks) values</v>
      </c>
      <c r="G72" s="47" t="str">
        <f t="shared" si="6"/>
        <v>('20Aug240150','040000169443','1186',(select max(to_number(i.premium_rcv_detail_code))+1
from ins_premium_det i),'1186','1186','02', '11000003','00','Request by Mr. Saqib Saleem 21-Aug-2024 sheet3');</v>
      </c>
      <c r="H72" s="48" t="str">
        <f t="shared" si="7"/>
        <v>insert into ins_premium_det (premium_rcv_code,assorted_code, rec_amount,premium_rcv_detail_code,remaining_amt, payrec, mode_code,coinsurance_code,class_cd,it_remarks) values('20Aug240150','040000169443','1186',(select max(to_number(i.premium_rcv_detail_code))+1
from ins_premium_det i),'1186','1186','02', '11000003','00','Request by Mr. Saqib Saleem 21-Aug-2024 sheet3');</v>
      </c>
    </row>
    <row r="73" spans="1:8" ht="90" x14ac:dyDescent="0.25">
      <c r="A73" s="40" t="s">
        <v>721</v>
      </c>
      <c r="B73" s="43" t="str">
        <f>VLOOKUP(A73,[1]Sheet1!$B$2:$C$119,2,0)</f>
        <v>040000169444</v>
      </c>
      <c r="C73" s="39">
        <v>1197</v>
      </c>
      <c r="D73" s="49">
        <f t="shared" si="5"/>
        <v>1197</v>
      </c>
      <c r="E73" s="50" t="s">
        <v>773</v>
      </c>
      <c r="F73" s="46" t="str">
        <f t="shared" si="4"/>
        <v>insert into ins_premium_det (premium_rcv_code,assorted_code, rec_amount,premium_rcv_detail_code,remaining_amt, payrec, mode_code,coinsurance_code,class_cd,it_remarks) values</v>
      </c>
      <c r="G73" s="47" t="str">
        <f t="shared" si="6"/>
        <v>('20Aug240150','040000169444','1197',(select max(to_number(i.premium_rcv_detail_code))+1
from ins_premium_det i),'1197','1197','02', '11000003','00','Request by Mr. Saqib Saleem 21-Aug-2024 sheet3');</v>
      </c>
      <c r="H73" s="48" t="str">
        <f t="shared" si="7"/>
        <v>insert into ins_premium_det (premium_rcv_code,assorted_code, rec_amount,premium_rcv_detail_code,remaining_amt, payrec, mode_code,coinsurance_code,class_cd,it_remarks) values('20Aug240150','040000169444','1197',(select max(to_number(i.premium_rcv_detail_code))+1
from ins_premium_det i),'1197','1197','02', '11000003','00','Request by Mr. Saqib Saleem 21-Aug-2024 sheet3');</v>
      </c>
    </row>
    <row r="74" spans="1:8" ht="90" x14ac:dyDescent="0.25">
      <c r="A74" s="40" t="s">
        <v>722</v>
      </c>
      <c r="B74" s="43" t="str">
        <f>VLOOKUP(A74,[1]Sheet1!$B$2:$C$119,2,0)</f>
        <v>040000169445</v>
      </c>
      <c r="C74" s="39">
        <v>1230</v>
      </c>
      <c r="D74" s="49">
        <f t="shared" si="5"/>
        <v>1230</v>
      </c>
      <c r="E74" s="50" t="s">
        <v>773</v>
      </c>
      <c r="F74" s="46" t="str">
        <f t="shared" si="4"/>
        <v>insert into ins_premium_det (premium_rcv_code,assorted_code, rec_amount,premium_rcv_detail_code,remaining_amt, payrec, mode_code,coinsurance_code,class_cd,it_remarks) values</v>
      </c>
      <c r="G74" s="47" t="str">
        <f t="shared" si="6"/>
        <v>('20Aug240150','040000169445','1230',(select max(to_number(i.premium_rcv_detail_code))+1
from ins_premium_det i),'1230','1230','02', '11000003','00','Request by Mr. Saqib Saleem 21-Aug-2024 sheet3');</v>
      </c>
      <c r="H74" s="48" t="str">
        <f t="shared" si="7"/>
        <v>insert into ins_premium_det (premium_rcv_code,assorted_code, rec_amount,premium_rcv_detail_code,remaining_amt, payrec, mode_code,coinsurance_code,class_cd,it_remarks) values('20Aug240150','040000169445','1230',(select max(to_number(i.premium_rcv_detail_code))+1
from ins_premium_det i),'1230','1230','02', '11000003','00','Request by Mr. Saqib Saleem 21-Aug-2024 sheet3');</v>
      </c>
    </row>
    <row r="75" spans="1:8" ht="90" x14ac:dyDescent="0.25">
      <c r="A75" s="40" t="s">
        <v>723</v>
      </c>
      <c r="B75" s="43" t="str">
        <f>VLOOKUP(A75,[1]Sheet1!$B$2:$C$119,2,0)</f>
        <v>040000169446</v>
      </c>
      <c r="C75" s="39">
        <v>1242</v>
      </c>
      <c r="D75" s="49">
        <f t="shared" si="5"/>
        <v>1242</v>
      </c>
      <c r="E75" s="50" t="s">
        <v>773</v>
      </c>
      <c r="F75" s="46" t="str">
        <f t="shared" si="4"/>
        <v>insert into ins_premium_det (premium_rcv_code,assorted_code, rec_amount,premium_rcv_detail_code,remaining_amt, payrec, mode_code,coinsurance_code,class_cd,it_remarks) values</v>
      </c>
      <c r="G75" s="47" t="str">
        <f t="shared" si="6"/>
        <v>('20Aug240150','040000169446','1242',(select max(to_number(i.premium_rcv_detail_code))+1
from ins_premium_det i),'1242','1242','02', '11000003','00','Request by Mr. Saqib Saleem 21-Aug-2024 sheet3');</v>
      </c>
      <c r="H75" s="48" t="str">
        <f t="shared" si="7"/>
        <v>insert into ins_premium_det (premium_rcv_code,assorted_code, rec_amount,premium_rcv_detail_code,remaining_amt, payrec, mode_code,coinsurance_code,class_cd,it_remarks) values('20Aug240150','040000169446','1242',(select max(to_number(i.premium_rcv_detail_code))+1
from ins_premium_det i),'1242','1242','02', '11000003','00','Request by Mr. Saqib Saleem 21-Aug-2024 sheet3');</v>
      </c>
    </row>
    <row r="76" spans="1:8" ht="90" x14ac:dyDescent="0.25">
      <c r="A76" s="40" t="s">
        <v>724</v>
      </c>
      <c r="B76" s="43" t="str">
        <f>VLOOKUP(A76,[1]Sheet1!$B$2:$C$119,2,0)</f>
        <v>040000169447</v>
      </c>
      <c r="C76" s="39">
        <v>1254</v>
      </c>
      <c r="D76" s="49">
        <f t="shared" si="5"/>
        <v>1254</v>
      </c>
      <c r="E76" s="50" t="s">
        <v>773</v>
      </c>
      <c r="F76" s="46" t="str">
        <f t="shared" si="4"/>
        <v>insert into ins_premium_det (premium_rcv_code,assorted_code, rec_amount,premium_rcv_detail_code,remaining_amt, payrec, mode_code,coinsurance_code,class_cd,it_remarks) values</v>
      </c>
      <c r="G76" s="47" t="str">
        <f t="shared" si="6"/>
        <v>('20Aug240150','040000169447','1254',(select max(to_number(i.premium_rcv_detail_code))+1
from ins_premium_det i),'1254','1254','02', '11000003','00','Request by Mr. Saqib Saleem 21-Aug-2024 sheet3');</v>
      </c>
      <c r="H76" s="48" t="str">
        <f t="shared" si="7"/>
        <v>insert into ins_premium_det (premium_rcv_code,assorted_code, rec_amount,premium_rcv_detail_code,remaining_amt, payrec, mode_code,coinsurance_code,class_cd,it_remarks) values('20Aug240150','040000169447','1254',(select max(to_number(i.premium_rcv_detail_code))+1
from ins_premium_det i),'1254','1254','02', '11000003','00','Request by Mr. Saqib Saleem 21-Aug-2024 sheet3');</v>
      </c>
    </row>
    <row r="77" spans="1:8" ht="90" x14ac:dyDescent="0.25">
      <c r="A77" s="40" t="s">
        <v>725</v>
      </c>
      <c r="B77" s="43" t="str">
        <f>VLOOKUP(A77,[1]Sheet1!$B$2:$C$119,2,0)</f>
        <v>040000169448</v>
      </c>
      <c r="C77" s="39">
        <v>1272</v>
      </c>
      <c r="D77" s="49">
        <f t="shared" si="5"/>
        <v>1272</v>
      </c>
      <c r="E77" s="50" t="s">
        <v>773</v>
      </c>
      <c r="F77" s="46" t="str">
        <f t="shared" si="4"/>
        <v>insert into ins_premium_det (premium_rcv_code,assorted_code, rec_amount,premium_rcv_detail_code,remaining_amt, payrec, mode_code,coinsurance_code,class_cd,it_remarks) values</v>
      </c>
      <c r="G77" s="47" t="str">
        <f t="shared" si="6"/>
        <v>('20Aug240150','040000169448','1272',(select max(to_number(i.premium_rcv_detail_code))+1
from ins_premium_det i),'1272','1272','02', '11000003','00','Request by Mr. Saqib Saleem 21-Aug-2024 sheet3');</v>
      </c>
      <c r="H77" s="48" t="str">
        <f t="shared" si="7"/>
        <v>insert into ins_premium_det (premium_rcv_code,assorted_code, rec_amount,premium_rcv_detail_code,remaining_amt, payrec, mode_code,coinsurance_code,class_cd,it_remarks) values('20Aug240150','040000169448','1272',(select max(to_number(i.premium_rcv_detail_code))+1
from ins_premium_det i),'1272','1272','02', '11000003','00','Request by Mr. Saqib Saleem 21-Aug-2024 sheet3');</v>
      </c>
    </row>
    <row r="78" spans="1:8" ht="90" x14ac:dyDescent="0.25">
      <c r="A78" s="40" t="s">
        <v>726</v>
      </c>
      <c r="B78" s="43" t="str">
        <f>VLOOKUP(A78,[1]Sheet1!$B$2:$C$119,2,0)</f>
        <v>040000169449</v>
      </c>
      <c r="C78" s="39">
        <v>1302</v>
      </c>
      <c r="D78" s="49">
        <f t="shared" si="5"/>
        <v>1302</v>
      </c>
      <c r="E78" s="50" t="s">
        <v>773</v>
      </c>
      <c r="F78" s="46" t="str">
        <f t="shared" si="4"/>
        <v>insert into ins_premium_det (premium_rcv_code,assorted_code, rec_amount,premium_rcv_detail_code,remaining_amt, payrec, mode_code,coinsurance_code,class_cd,it_remarks) values</v>
      </c>
      <c r="G78" s="47" t="str">
        <f t="shared" si="6"/>
        <v>('20Aug240150','040000169449','1302',(select max(to_number(i.premium_rcv_detail_code))+1
from ins_premium_det i),'1302','1302','02', '11000003','00','Request by Mr. Saqib Saleem 21-Aug-2024 sheet3');</v>
      </c>
      <c r="H78" s="48" t="str">
        <f t="shared" si="7"/>
        <v>insert into ins_premium_det (premium_rcv_code,assorted_code, rec_amount,premium_rcv_detail_code,remaining_amt, payrec, mode_code,coinsurance_code,class_cd,it_remarks) values('20Aug240150','040000169449','1302',(select max(to_number(i.premium_rcv_detail_code))+1
from ins_premium_det i),'1302','1302','02', '11000003','00','Request by Mr. Saqib Saleem 21-Aug-2024 sheet3');</v>
      </c>
    </row>
    <row r="79" spans="1:8" ht="90" x14ac:dyDescent="0.25">
      <c r="A79" s="40" t="s">
        <v>727</v>
      </c>
      <c r="B79" s="43" t="str">
        <f>VLOOKUP(A79,[1]Sheet1!$B$2:$C$119,2,0)</f>
        <v>040000169450</v>
      </c>
      <c r="C79" s="39">
        <v>1303</v>
      </c>
      <c r="D79" s="49">
        <f t="shared" si="5"/>
        <v>1303</v>
      </c>
      <c r="E79" s="50" t="s">
        <v>773</v>
      </c>
      <c r="F79" s="46" t="str">
        <f t="shared" si="4"/>
        <v>insert into ins_premium_det (premium_rcv_code,assorted_code, rec_amount,premium_rcv_detail_code,remaining_amt, payrec, mode_code,coinsurance_code,class_cd,it_remarks) values</v>
      </c>
      <c r="G79" s="47" t="str">
        <f t="shared" si="6"/>
        <v>('20Aug240150','040000169450','1303',(select max(to_number(i.premium_rcv_detail_code))+1
from ins_premium_det i),'1303','1303','02', '11000003','00','Request by Mr. Saqib Saleem 21-Aug-2024 sheet3');</v>
      </c>
      <c r="H79" s="48" t="str">
        <f t="shared" si="7"/>
        <v>insert into ins_premium_det (premium_rcv_code,assorted_code, rec_amount,premium_rcv_detail_code,remaining_amt, payrec, mode_code,coinsurance_code,class_cd,it_remarks) values('20Aug240150','040000169450','1303',(select max(to_number(i.premium_rcv_detail_code))+1
from ins_premium_det i),'1303','1303','02', '11000003','00','Request by Mr. Saqib Saleem 21-Aug-2024 sheet3');</v>
      </c>
    </row>
    <row r="80" spans="1:8" ht="90" x14ac:dyDescent="0.25">
      <c r="A80" s="40" t="s">
        <v>728</v>
      </c>
      <c r="B80" s="43" t="str">
        <f>VLOOKUP(A80,[1]Sheet1!$B$2:$C$119,2,0)</f>
        <v>040000169451</v>
      </c>
      <c r="C80" s="39">
        <v>1332</v>
      </c>
      <c r="D80" s="49">
        <f t="shared" si="5"/>
        <v>1332</v>
      </c>
      <c r="E80" s="50" t="s">
        <v>773</v>
      </c>
      <c r="F80" s="46" t="str">
        <f t="shared" si="4"/>
        <v>insert into ins_premium_det (premium_rcv_code,assorted_code, rec_amount,premium_rcv_detail_code,remaining_amt, payrec, mode_code,coinsurance_code,class_cd,it_remarks) values</v>
      </c>
      <c r="G80" s="47" t="str">
        <f t="shared" si="6"/>
        <v>('20Aug240150','040000169451','1332',(select max(to_number(i.premium_rcv_detail_code))+1
from ins_premium_det i),'1332','1332','02', '11000003','00','Request by Mr. Saqib Saleem 21-Aug-2024 sheet3');</v>
      </c>
      <c r="H80" s="48" t="str">
        <f t="shared" si="7"/>
        <v>insert into ins_premium_det (premium_rcv_code,assorted_code, rec_amount,premium_rcv_detail_code,remaining_amt, payrec, mode_code,coinsurance_code,class_cd,it_remarks) values('20Aug240150','040000169451','1332',(select max(to_number(i.premium_rcv_detail_code))+1
from ins_premium_det i),'1332','1332','02', '11000003','00','Request by Mr. Saqib Saleem 21-Aug-2024 sheet3');</v>
      </c>
    </row>
    <row r="81" spans="1:8" ht="90" x14ac:dyDescent="0.25">
      <c r="A81" s="40" t="s">
        <v>729</v>
      </c>
      <c r="B81" s="43" t="str">
        <f>VLOOKUP(A81,[1]Sheet1!$B$2:$C$119,2,0)</f>
        <v>040000169452</v>
      </c>
      <c r="C81" s="39">
        <v>1384</v>
      </c>
      <c r="D81" s="49">
        <f t="shared" si="5"/>
        <v>1384</v>
      </c>
      <c r="E81" s="50" t="s">
        <v>773</v>
      </c>
      <c r="F81" s="46" t="str">
        <f t="shared" si="4"/>
        <v>insert into ins_premium_det (premium_rcv_code,assorted_code, rec_amount,premium_rcv_detail_code,remaining_amt, payrec, mode_code,coinsurance_code,class_cd,it_remarks) values</v>
      </c>
      <c r="G81" s="47" t="str">
        <f t="shared" si="6"/>
        <v>('20Aug240150','040000169452','1384',(select max(to_number(i.premium_rcv_detail_code))+1
from ins_premium_det i),'1384','1384','02', '11000003','00','Request by Mr. Saqib Saleem 21-Aug-2024 sheet3');</v>
      </c>
      <c r="H81" s="48" t="str">
        <f t="shared" si="7"/>
        <v>insert into ins_premium_det (premium_rcv_code,assorted_code, rec_amount,premium_rcv_detail_code,remaining_amt, payrec, mode_code,coinsurance_code,class_cd,it_remarks) values('20Aug240150','040000169452','1384',(select max(to_number(i.premium_rcv_detail_code))+1
from ins_premium_det i),'1384','1384','02', '11000003','00','Request by Mr. Saqib Saleem 21-Aug-2024 sheet3');</v>
      </c>
    </row>
    <row r="82" spans="1:8" ht="90" x14ac:dyDescent="0.25">
      <c r="A82" s="40" t="s">
        <v>730</v>
      </c>
      <c r="B82" s="43" t="str">
        <f>VLOOKUP(A82,[1]Sheet1!$B$2:$C$119,2,0)</f>
        <v>040000169453</v>
      </c>
      <c r="C82" s="39">
        <v>1393</v>
      </c>
      <c r="D82" s="49">
        <f t="shared" si="5"/>
        <v>1393</v>
      </c>
      <c r="E82" s="50" t="s">
        <v>773</v>
      </c>
      <c r="F82" s="46" t="str">
        <f t="shared" si="4"/>
        <v>insert into ins_premium_det (premium_rcv_code,assorted_code, rec_amount,premium_rcv_detail_code,remaining_amt, payrec, mode_code,coinsurance_code,class_cd,it_remarks) values</v>
      </c>
      <c r="G82" s="47" t="str">
        <f t="shared" si="6"/>
        <v>('20Aug240150','040000169453','1393',(select max(to_number(i.premium_rcv_detail_code))+1
from ins_premium_det i),'1393','1393','02', '11000003','00','Request by Mr. Saqib Saleem 21-Aug-2024 sheet3');</v>
      </c>
      <c r="H82" s="48" t="str">
        <f t="shared" si="7"/>
        <v>insert into ins_premium_det (premium_rcv_code,assorted_code, rec_amount,premium_rcv_detail_code,remaining_amt, payrec, mode_code,coinsurance_code,class_cd,it_remarks) values('20Aug240150','040000169453','1393',(select max(to_number(i.premium_rcv_detail_code))+1
from ins_premium_det i),'1393','1393','02', '11000003','00','Request by Mr. Saqib Saleem 21-Aug-2024 sheet3');</v>
      </c>
    </row>
    <row r="83" spans="1:8" ht="90" x14ac:dyDescent="0.25">
      <c r="A83" s="40" t="s">
        <v>731</v>
      </c>
      <c r="B83" s="43" t="str">
        <f>VLOOKUP(A83,[1]Sheet1!$B$2:$C$119,2,0)</f>
        <v>040000169454</v>
      </c>
      <c r="C83" s="39">
        <v>1406</v>
      </c>
      <c r="D83" s="49">
        <f t="shared" si="5"/>
        <v>1406</v>
      </c>
      <c r="E83" s="50" t="s">
        <v>773</v>
      </c>
      <c r="F83" s="46" t="str">
        <f t="shared" si="4"/>
        <v>insert into ins_premium_det (premium_rcv_code,assorted_code, rec_amount,premium_rcv_detail_code,remaining_amt, payrec, mode_code,coinsurance_code,class_cd,it_remarks) values</v>
      </c>
      <c r="G83" s="47" t="str">
        <f t="shared" si="6"/>
        <v>('20Aug240150','040000169454','1406',(select max(to_number(i.premium_rcv_detail_code))+1
from ins_premium_det i),'1406','1406','02', '11000003','00','Request by Mr. Saqib Saleem 21-Aug-2024 sheet3');</v>
      </c>
      <c r="H83" s="48" t="str">
        <f t="shared" si="7"/>
        <v>insert into ins_premium_det (premium_rcv_code,assorted_code, rec_amount,premium_rcv_detail_code,remaining_amt, payrec, mode_code,coinsurance_code,class_cd,it_remarks) values('20Aug240150','040000169454','1406',(select max(to_number(i.premium_rcv_detail_code))+1
from ins_premium_det i),'1406','1406','02', '11000003','00','Request by Mr. Saqib Saleem 21-Aug-2024 sheet3');</v>
      </c>
    </row>
    <row r="84" spans="1:8" ht="90" x14ac:dyDescent="0.25">
      <c r="A84" s="40" t="s">
        <v>732</v>
      </c>
      <c r="B84" s="43" t="str">
        <f>VLOOKUP(A84,[1]Sheet1!$B$2:$C$119,2,0)</f>
        <v>040000169455</v>
      </c>
      <c r="C84" s="39">
        <v>1435</v>
      </c>
      <c r="D84" s="49">
        <f t="shared" si="5"/>
        <v>1435</v>
      </c>
      <c r="E84" s="50" t="s">
        <v>773</v>
      </c>
      <c r="F84" s="46" t="str">
        <f t="shared" si="4"/>
        <v>insert into ins_premium_det (premium_rcv_code,assorted_code, rec_amount,premium_rcv_detail_code,remaining_amt, payrec, mode_code,coinsurance_code,class_cd,it_remarks) values</v>
      </c>
      <c r="G84" s="47" t="str">
        <f t="shared" si="6"/>
        <v>('20Aug240150','040000169455','1435',(select max(to_number(i.premium_rcv_detail_code))+1
from ins_premium_det i),'1435','1435','02', '11000003','00','Request by Mr. Saqib Saleem 21-Aug-2024 sheet3');</v>
      </c>
      <c r="H84" s="48" t="str">
        <f t="shared" si="7"/>
        <v>insert into ins_premium_det (premium_rcv_code,assorted_code, rec_amount,premium_rcv_detail_code,remaining_amt, payrec, mode_code,coinsurance_code,class_cd,it_remarks) values('20Aug240150','040000169455','1435',(select max(to_number(i.premium_rcv_detail_code))+1
from ins_premium_det i),'1435','1435','02', '11000003','00','Request by Mr. Saqib Saleem 21-Aug-2024 sheet3');</v>
      </c>
    </row>
    <row r="85" spans="1:8" ht="90" x14ac:dyDescent="0.25">
      <c r="A85" s="40" t="s">
        <v>733</v>
      </c>
      <c r="B85" s="43" t="str">
        <f>VLOOKUP(A85,[1]Sheet1!$B$2:$C$119,2,0)</f>
        <v>040000169456</v>
      </c>
      <c r="C85" s="39">
        <v>1441</v>
      </c>
      <c r="D85" s="49">
        <f t="shared" si="5"/>
        <v>1441</v>
      </c>
      <c r="E85" s="50" t="s">
        <v>773</v>
      </c>
      <c r="F85" s="46" t="str">
        <f t="shared" si="4"/>
        <v>insert into ins_premium_det (premium_rcv_code,assorted_code, rec_amount,premium_rcv_detail_code,remaining_amt, payrec, mode_code,coinsurance_code,class_cd,it_remarks) values</v>
      </c>
      <c r="G85" s="47" t="str">
        <f t="shared" si="6"/>
        <v>('20Aug240150','040000169456','1441',(select max(to_number(i.premium_rcv_detail_code))+1
from ins_premium_det i),'1441','1441','02', '11000003','00','Request by Mr. Saqib Saleem 21-Aug-2024 sheet3');</v>
      </c>
      <c r="H85" s="48" t="str">
        <f t="shared" si="7"/>
        <v>insert into ins_premium_det (premium_rcv_code,assorted_code, rec_amount,premium_rcv_detail_code,remaining_amt, payrec, mode_code,coinsurance_code,class_cd,it_remarks) values('20Aug240150','040000169456','1441',(select max(to_number(i.premium_rcv_detail_code))+1
from ins_premium_det i),'1441','1441','02', '11000003','00','Request by Mr. Saqib Saleem 21-Aug-2024 sheet3');</v>
      </c>
    </row>
    <row r="86" spans="1:8" ht="90" x14ac:dyDescent="0.25">
      <c r="A86" s="40" t="s">
        <v>734</v>
      </c>
      <c r="B86" s="43" t="str">
        <f>VLOOKUP(A86,[1]Sheet1!$B$2:$C$119,2,0)</f>
        <v>040000169457</v>
      </c>
      <c r="C86" s="39">
        <v>1452</v>
      </c>
      <c r="D86" s="49">
        <f t="shared" si="5"/>
        <v>1452</v>
      </c>
      <c r="E86" s="50" t="s">
        <v>773</v>
      </c>
      <c r="F86" s="46" t="str">
        <f t="shared" si="4"/>
        <v>insert into ins_premium_det (premium_rcv_code,assorted_code, rec_amount,premium_rcv_detail_code,remaining_amt, payrec, mode_code,coinsurance_code,class_cd,it_remarks) values</v>
      </c>
      <c r="G86" s="47" t="str">
        <f t="shared" si="6"/>
        <v>('20Aug240150','040000169457','1452',(select max(to_number(i.premium_rcv_detail_code))+1
from ins_premium_det i),'1452','1452','02', '11000003','00','Request by Mr. Saqib Saleem 21-Aug-2024 sheet3');</v>
      </c>
      <c r="H86" s="48" t="str">
        <f t="shared" si="7"/>
        <v>insert into ins_premium_det (premium_rcv_code,assorted_code, rec_amount,premium_rcv_detail_code,remaining_amt, payrec, mode_code,coinsurance_code,class_cd,it_remarks) values('20Aug240150','040000169457','1452',(select max(to_number(i.premium_rcv_detail_code))+1
from ins_premium_det i),'1452','1452','02', '11000003','00','Request by Mr. Saqib Saleem 21-Aug-2024 sheet3');</v>
      </c>
    </row>
    <row r="87" spans="1:8" ht="90" x14ac:dyDescent="0.25">
      <c r="A87" s="40" t="s">
        <v>735</v>
      </c>
      <c r="B87" s="43" t="str">
        <f>VLOOKUP(A87,[1]Sheet1!$B$2:$C$119,2,0)</f>
        <v>040000169458</v>
      </c>
      <c r="C87" s="39">
        <v>1460</v>
      </c>
      <c r="D87" s="49">
        <f t="shared" si="5"/>
        <v>1460</v>
      </c>
      <c r="E87" s="50" t="s">
        <v>773</v>
      </c>
      <c r="F87" s="46" t="str">
        <f t="shared" si="4"/>
        <v>insert into ins_premium_det (premium_rcv_code,assorted_code, rec_amount,premium_rcv_detail_code,remaining_amt, payrec, mode_code,coinsurance_code,class_cd,it_remarks) values</v>
      </c>
      <c r="G87" s="47" t="str">
        <f t="shared" si="6"/>
        <v>('20Aug240150','040000169458','1460',(select max(to_number(i.premium_rcv_detail_code))+1
from ins_premium_det i),'1460','1460','02', '11000003','00','Request by Mr. Saqib Saleem 21-Aug-2024 sheet3');</v>
      </c>
      <c r="H87" s="48" t="str">
        <f t="shared" si="7"/>
        <v>insert into ins_premium_det (premium_rcv_code,assorted_code, rec_amount,premium_rcv_detail_code,remaining_amt, payrec, mode_code,coinsurance_code,class_cd,it_remarks) values('20Aug240150','040000169458','1460',(select max(to_number(i.premium_rcv_detail_code))+1
from ins_premium_det i),'1460','1460','02', '11000003','00','Request by Mr. Saqib Saleem 21-Aug-2024 sheet3');</v>
      </c>
    </row>
    <row r="88" spans="1:8" ht="90" x14ac:dyDescent="0.25">
      <c r="A88" s="40" t="s">
        <v>736</v>
      </c>
      <c r="B88" s="43" t="str">
        <f>VLOOKUP(A88,[1]Sheet1!$B$2:$C$119,2,0)</f>
        <v>040000169459</v>
      </c>
      <c r="C88" s="39">
        <v>1464</v>
      </c>
      <c r="D88" s="49">
        <f t="shared" si="5"/>
        <v>1464</v>
      </c>
      <c r="E88" s="50" t="s">
        <v>773</v>
      </c>
      <c r="F88" s="46" t="str">
        <f t="shared" si="4"/>
        <v>insert into ins_premium_det (premium_rcv_code,assorted_code, rec_amount,premium_rcv_detail_code,remaining_amt, payrec, mode_code,coinsurance_code,class_cd,it_remarks) values</v>
      </c>
      <c r="G88" s="47" t="str">
        <f t="shared" si="6"/>
        <v>('20Aug240150','040000169459','1464',(select max(to_number(i.premium_rcv_detail_code))+1
from ins_premium_det i),'1464','1464','02', '11000003','00','Request by Mr. Saqib Saleem 21-Aug-2024 sheet3');</v>
      </c>
      <c r="H88" s="48" t="str">
        <f t="shared" si="7"/>
        <v>insert into ins_premium_det (premium_rcv_code,assorted_code, rec_amount,premium_rcv_detail_code,remaining_amt, payrec, mode_code,coinsurance_code,class_cd,it_remarks) values('20Aug240150','040000169459','1464',(select max(to_number(i.premium_rcv_detail_code))+1
from ins_premium_det i),'1464','1464','02', '11000003','00','Request by Mr. Saqib Saleem 21-Aug-2024 sheet3');</v>
      </c>
    </row>
    <row r="89" spans="1:8" ht="90" x14ac:dyDescent="0.25">
      <c r="A89" s="40" t="s">
        <v>737</v>
      </c>
      <c r="B89" s="43" t="str">
        <f>VLOOKUP(A89,[1]Sheet1!$B$2:$C$119,2,0)</f>
        <v>040000169460</v>
      </c>
      <c r="C89" s="39">
        <v>1464</v>
      </c>
      <c r="D89" s="49">
        <f t="shared" si="5"/>
        <v>1464</v>
      </c>
      <c r="E89" s="50" t="s">
        <v>773</v>
      </c>
      <c r="F89" s="46" t="str">
        <f t="shared" si="4"/>
        <v>insert into ins_premium_det (premium_rcv_code,assorted_code, rec_amount,premium_rcv_detail_code,remaining_amt, payrec, mode_code,coinsurance_code,class_cd,it_remarks) values</v>
      </c>
      <c r="G89" s="47" t="str">
        <f t="shared" si="6"/>
        <v>('20Aug240150','040000169460','1464',(select max(to_number(i.premium_rcv_detail_code))+1
from ins_premium_det i),'1464','1464','02', '11000003','00','Request by Mr. Saqib Saleem 21-Aug-2024 sheet3');</v>
      </c>
      <c r="H89" s="48" t="str">
        <f t="shared" si="7"/>
        <v>insert into ins_premium_det (premium_rcv_code,assorted_code, rec_amount,premium_rcv_detail_code,remaining_amt, payrec, mode_code,coinsurance_code,class_cd,it_remarks) values('20Aug240150','040000169460','1464',(select max(to_number(i.premium_rcv_detail_code))+1
from ins_premium_det i),'1464','1464','02', '11000003','00','Request by Mr. Saqib Saleem 21-Aug-2024 sheet3');</v>
      </c>
    </row>
    <row r="90" spans="1:8" ht="90" x14ac:dyDescent="0.25">
      <c r="A90" s="40" t="s">
        <v>738</v>
      </c>
      <c r="B90" s="43" t="str">
        <f>VLOOKUP(A90,[1]Sheet1!$B$2:$C$119,2,0)</f>
        <v>040000169461</v>
      </c>
      <c r="C90" s="39">
        <v>1467</v>
      </c>
      <c r="D90" s="49">
        <f t="shared" si="5"/>
        <v>1467</v>
      </c>
      <c r="E90" s="50" t="s">
        <v>773</v>
      </c>
      <c r="F90" s="46" t="str">
        <f t="shared" si="4"/>
        <v>insert into ins_premium_det (premium_rcv_code,assorted_code, rec_amount,premium_rcv_detail_code,remaining_amt, payrec, mode_code,coinsurance_code,class_cd,it_remarks) values</v>
      </c>
      <c r="G90" s="47" t="str">
        <f t="shared" si="6"/>
        <v>('20Aug240150','040000169461','1467',(select max(to_number(i.premium_rcv_detail_code))+1
from ins_premium_det i),'1467','1467','02', '11000003','00','Request by Mr. Saqib Saleem 21-Aug-2024 sheet3');</v>
      </c>
      <c r="H90" s="48" t="str">
        <f t="shared" si="7"/>
        <v>insert into ins_premium_det (premium_rcv_code,assorted_code, rec_amount,premium_rcv_detail_code,remaining_amt, payrec, mode_code,coinsurance_code,class_cd,it_remarks) values('20Aug240150','040000169461','1467',(select max(to_number(i.premium_rcv_detail_code))+1
from ins_premium_det i),'1467','1467','02', '11000003','00','Request by Mr. Saqib Saleem 21-Aug-2024 sheet3');</v>
      </c>
    </row>
    <row r="91" spans="1:8" ht="90" x14ac:dyDescent="0.25">
      <c r="A91" s="40" t="s">
        <v>739</v>
      </c>
      <c r="B91" s="43" t="str">
        <f>VLOOKUP(A91,[1]Sheet1!$B$2:$C$119,2,0)</f>
        <v>040000169462</v>
      </c>
      <c r="C91" s="39">
        <v>1535</v>
      </c>
      <c r="D91" s="49">
        <f t="shared" si="5"/>
        <v>1535</v>
      </c>
      <c r="E91" s="50" t="s">
        <v>773</v>
      </c>
      <c r="F91" s="46" t="str">
        <f t="shared" si="4"/>
        <v>insert into ins_premium_det (premium_rcv_code,assorted_code, rec_amount,premium_rcv_detail_code,remaining_amt, payrec, mode_code,coinsurance_code,class_cd,it_remarks) values</v>
      </c>
      <c r="G91" s="47" t="str">
        <f t="shared" si="6"/>
        <v>('20Aug240150','040000169462','1535',(select max(to_number(i.premium_rcv_detail_code))+1
from ins_premium_det i),'1535','1535','02', '11000003','00','Request by Mr. Saqib Saleem 21-Aug-2024 sheet3');</v>
      </c>
      <c r="H91" s="48" t="str">
        <f t="shared" si="7"/>
        <v>insert into ins_premium_det (premium_rcv_code,assorted_code, rec_amount,premium_rcv_detail_code,remaining_amt, payrec, mode_code,coinsurance_code,class_cd,it_remarks) values('20Aug240150','040000169462','1535',(select max(to_number(i.premium_rcv_detail_code))+1
from ins_premium_det i),'1535','1535','02', '11000003','00','Request by Mr. Saqib Saleem 21-Aug-2024 sheet3');</v>
      </c>
    </row>
    <row r="92" spans="1:8" ht="90" x14ac:dyDescent="0.25">
      <c r="A92" s="40" t="s">
        <v>740</v>
      </c>
      <c r="B92" s="43" t="str">
        <f>VLOOKUP(A92,[1]Sheet1!$B$2:$C$119,2,0)</f>
        <v>040000169463</v>
      </c>
      <c r="C92" s="39">
        <v>1620</v>
      </c>
      <c r="D92" s="49">
        <f t="shared" si="5"/>
        <v>1620</v>
      </c>
      <c r="E92" s="50" t="s">
        <v>773</v>
      </c>
      <c r="F92" s="46" t="str">
        <f t="shared" si="4"/>
        <v>insert into ins_premium_det (premium_rcv_code,assorted_code, rec_amount,premium_rcv_detail_code,remaining_amt, payrec, mode_code,coinsurance_code,class_cd,it_remarks) values</v>
      </c>
      <c r="G92" s="47" t="str">
        <f t="shared" si="6"/>
        <v>('20Aug240150','040000169463','1620',(select max(to_number(i.premium_rcv_detail_code))+1
from ins_premium_det i),'1620','1620','02', '11000003','00','Request by Mr. Saqib Saleem 21-Aug-2024 sheet3');</v>
      </c>
      <c r="H92" s="48" t="str">
        <f t="shared" si="7"/>
        <v>insert into ins_premium_det (premium_rcv_code,assorted_code, rec_amount,premium_rcv_detail_code,remaining_amt, payrec, mode_code,coinsurance_code,class_cd,it_remarks) values('20Aug240150','040000169463','1620',(select max(to_number(i.premium_rcv_detail_code))+1
from ins_premium_det i),'1620','1620','02', '11000003','00','Request by Mr. Saqib Saleem 21-Aug-2024 sheet3');</v>
      </c>
    </row>
    <row r="93" spans="1:8" ht="90" x14ac:dyDescent="0.25">
      <c r="A93" s="40" t="s">
        <v>741</v>
      </c>
      <c r="B93" s="43" t="str">
        <f>VLOOKUP(A93,[1]Sheet1!$B$2:$C$119,2,0)</f>
        <v>040000169464</v>
      </c>
      <c r="C93" s="39">
        <v>1814</v>
      </c>
      <c r="D93" s="49">
        <f t="shared" si="5"/>
        <v>1814</v>
      </c>
      <c r="E93" s="50" t="s">
        <v>773</v>
      </c>
      <c r="F93" s="46" t="str">
        <f t="shared" si="4"/>
        <v>insert into ins_premium_det (premium_rcv_code,assorted_code, rec_amount,premium_rcv_detail_code,remaining_amt, payrec, mode_code,coinsurance_code,class_cd,it_remarks) values</v>
      </c>
      <c r="G93" s="47" t="str">
        <f t="shared" si="6"/>
        <v>('20Aug240150','040000169464','1814',(select max(to_number(i.premium_rcv_detail_code))+1
from ins_premium_det i),'1814','1814','02', '11000003','00','Request by Mr. Saqib Saleem 21-Aug-2024 sheet3');</v>
      </c>
      <c r="H93" s="48" t="str">
        <f t="shared" si="7"/>
        <v>insert into ins_premium_det (premium_rcv_code,assorted_code, rec_amount,premium_rcv_detail_code,remaining_amt, payrec, mode_code,coinsurance_code,class_cd,it_remarks) values('20Aug240150','040000169464','1814',(select max(to_number(i.premium_rcv_detail_code))+1
from ins_premium_det i),'1814','1814','02', '11000003','00','Request by Mr. Saqib Saleem 21-Aug-2024 sheet3');</v>
      </c>
    </row>
    <row r="94" spans="1:8" ht="90" x14ac:dyDescent="0.25">
      <c r="A94" s="40" t="s">
        <v>742</v>
      </c>
      <c r="B94" s="43" t="str">
        <f>VLOOKUP(A94,[1]Sheet1!$B$2:$C$119,2,0)</f>
        <v>040000169465</v>
      </c>
      <c r="C94" s="39">
        <v>2046</v>
      </c>
      <c r="D94" s="49">
        <f t="shared" si="5"/>
        <v>2046</v>
      </c>
      <c r="E94" s="50" t="s">
        <v>773</v>
      </c>
      <c r="F94" s="46" t="str">
        <f t="shared" si="4"/>
        <v>insert into ins_premium_det (premium_rcv_code,assorted_code, rec_amount,premium_rcv_detail_code,remaining_amt, payrec, mode_code,coinsurance_code,class_cd,it_remarks) values</v>
      </c>
      <c r="G94" s="47" t="str">
        <f t="shared" si="6"/>
        <v>('20Aug240150','040000169465','2046',(select max(to_number(i.premium_rcv_detail_code))+1
from ins_premium_det i),'2046','2046','02', '11000003','00','Request by Mr. Saqib Saleem 21-Aug-2024 sheet3');</v>
      </c>
      <c r="H94" s="48" t="str">
        <f t="shared" si="7"/>
        <v>insert into ins_premium_det (premium_rcv_code,assorted_code, rec_amount,premium_rcv_detail_code,remaining_amt, payrec, mode_code,coinsurance_code,class_cd,it_remarks) values('20Aug240150','040000169465','2046',(select max(to_number(i.premium_rcv_detail_code))+1
from ins_premium_det i),'2046','2046','02', '11000003','00','Request by Mr. Saqib Saleem 21-Aug-2024 sheet3');</v>
      </c>
    </row>
    <row r="95" spans="1:8" ht="90" x14ac:dyDescent="0.25">
      <c r="A95" s="40" t="s">
        <v>743</v>
      </c>
      <c r="B95" s="43" t="str">
        <f>VLOOKUP(A95,[1]Sheet1!$B$2:$C$119,2,0)</f>
        <v>040000169466</v>
      </c>
      <c r="C95" s="39">
        <v>2351</v>
      </c>
      <c r="D95" s="49">
        <f t="shared" si="5"/>
        <v>2351</v>
      </c>
      <c r="E95" s="50" t="s">
        <v>773</v>
      </c>
      <c r="F95" s="46" t="str">
        <f t="shared" si="4"/>
        <v>insert into ins_premium_det (premium_rcv_code,assorted_code, rec_amount,premium_rcv_detail_code,remaining_amt, payrec, mode_code,coinsurance_code,class_cd,it_remarks) values</v>
      </c>
      <c r="G95" s="47" t="str">
        <f t="shared" si="6"/>
        <v>('20Aug240150','040000169466','2351',(select max(to_number(i.premium_rcv_detail_code))+1
from ins_premium_det i),'2351','2351','02', '11000003','00','Request by Mr. Saqib Saleem 21-Aug-2024 sheet3');</v>
      </c>
      <c r="H95" s="48" t="str">
        <f t="shared" si="7"/>
        <v>insert into ins_premium_det (premium_rcv_code,assorted_code, rec_amount,premium_rcv_detail_code,remaining_amt, payrec, mode_code,coinsurance_code,class_cd,it_remarks) values('20Aug240150','040000169466','2351',(select max(to_number(i.premium_rcv_detail_code))+1
from ins_premium_det i),'2351','2351','02', '11000003','00','Request by Mr. Saqib Saleem 21-Aug-2024 sheet3');</v>
      </c>
    </row>
    <row r="96" spans="1:8" ht="90" x14ac:dyDescent="0.25">
      <c r="A96" s="40" t="s">
        <v>744</v>
      </c>
      <c r="B96" s="43" t="str">
        <f>VLOOKUP(A96,[1]Sheet1!$B$2:$C$119,2,0)</f>
        <v>040000169467</v>
      </c>
      <c r="C96" s="39">
        <v>3692</v>
      </c>
      <c r="D96" s="49">
        <f t="shared" si="5"/>
        <v>3692</v>
      </c>
      <c r="E96" s="50" t="s">
        <v>773</v>
      </c>
      <c r="F96" s="46" t="str">
        <f t="shared" si="4"/>
        <v>insert into ins_premium_det (premium_rcv_code,assorted_code, rec_amount,premium_rcv_detail_code,remaining_amt, payrec, mode_code,coinsurance_code,class_cd,it_remarks) values</v>
      </c>
      <c r="G96" s="47" t="str">
        <f t="shared" si="6"/>
        <v>('20Aug240150','040000169467','3692',(select max(to_number(i.premium_rcv_detail_code))+1
from ins_premium_det i),'3692','3692','02', '11000003','00','Request by Mr. Saqib Saleem 21-Aug-2024 sheet3');</v>
      </c>
      <c r="H96" s="48" t="str">
        <f t="shared" si="7"/>
        <v>insert into ins_premium_det (premium_rcv_code,assorted_code, rec_amount,premium_rcv_detail_code,remaining_amt, payrec, mode_code,coinsurance_code,class_cd,it_remarks) values('20Aug240150','040000169467','3692',(select max(to_number(i.premium_rcv_detail_code))+1
from ins_premium_det i),'3692','3692','02', '11000003','00','Request by Mr. Saqib Saleem 21-Aug-2024 sheet3');</v>
      </c>
    </row>
    <row r="97" spans="1:8" ht="90" x14ac:dyDescent="0.25">
      <c r="A97" s="40" t="s">
        <v>745</v>
      </c>
      <c r="B97" s="43" t="str">
        <f>VLOOKUP(A97,[1]Sheet1!$B$2:$C$119,2,0)</f>
        <v>040000169468</v>
      </c>
      <c r="C97" s="39">
        <v>3439</v>
      </c>
      <c r="D97" s="49">
        <f t="shared" si="5"/>
        <v>3439</v>
      </c>
      <c r="E97" s="50" t="s">
        <v>773</v>
      </c>
      <c r="F97" s="46" t="str">
        <f t="shared" si="4"/>
        <v>insert into ins_premium_det (premium_rcv_code,assorted_code, rec_amount,premium_rcv_detail_code,remaining_amt, payrec, mode_code,coinsurance_code,class_cd,it_remarks) values</v>
      </c>
      <c r="G97" s="47" t="str">
        <f t="shared" si="6"/>
        <v>('20Aug240150','040000169468','3439',(select max(to_number(i.premium_rcv_detail_code))+1
from ins_premium_det i),'3439','3439','02', '11000003','00','Request by Mr. Saqib Saleem 21-Aug-2024 sheet3');</v>
      </c>
      <c r="H97" s="48" t="str">
        <f t="shared" si="7"/>
        <v>insert into ins_premium_det (premium_rcv_code,assorted_code, rec_amount,premium_rcv_detail_code,remaining_amt, payrec, mode_code,coinsurance_code,class_cd,it_remarks) values('20Aug240150','040000169468','3439',(select max(to_number(i.premium_rcv_detail_code))+1
from ins_premium_det i),'3439','3439','02', '11000003','00','Request by Mr. Saqib Saleem 21-Aug-2024 sheet3');</v>
      </c>
    </row>
    <row r="98" spans="1:8" ht="90" x14ac:dyDescent="0.25">
      <c r="A98" s="40" t="s">
        <v>746</v>
      </c>
      <c r="B98" s="43" t="str">
        <f>VLOOKUP(A98,[1]Sheet1!$B$2:$C$119,2,0)</f>
        <v>040000169469</v>
      </c>
      <c r="C98" s="39">
        <v>4125</v>
      </c>
      <c r="D98" s="49">
        <f t="shared" si="5"/>
        <v>4125</v>
      </c>
      <c r="E98" s="50" t="s">
        <v>773</v>
      </c>
      <c r="F98" s="46" t="str">
        <f t="shared" si="4"/>
        <v>insert into ins_premium_det (premium_rcv_code,assorted_code, rec_amount,premium_rcv_detail_code,remaining_amt, payrec, mode_code,coinsurance_code,class_cd,it_remarks) values</v>
      </c>
      <c r="G98" s="47" t="str">
        <f t="shared" si="6"/>
        <v>('20Aug240150','040000169469','4125',(select max(to_number(i.premium_rcv_detail_code))+1
from ins_premium_det i),'4125','4125','02', '11000003','00','Request by Mr. Saqib Saleem 21-Aug-2024 sheet3');</v>
      </c>
      <c r="H98" s="48" t="str">
        <f t="shared" si="7"/>
        <v>insert into ins_premium_det (premium_rcv_code,assorted_code, rec_amount,premium_rcv_detail_code,remaining_amt, payrec, mode_code,coinsurance_code,class_cd,it_remarks) values('20Aug240150','040000169469','4125',(select max(to_number(i.premium_rcv_detail_code))+1
from ins_premium_det i),'4125','4125','02', '11000003','00','Request by Mr. Saqib Saleem 21-Aug-2024 sheet3');</v>
      </c>
    </row>
    <row r="99" spans="1:8" ht="90" x14ac:dyDescent="0.25">
      <c r="A99" s="40" t="s">
        <v>747</v>
      </c>
      <c r="B99" s="43" t="str">
        <f>VLOOKUP(A99,[1]Sheet1!$B$2:$C$119,2,0)</f>
        <v>040000169470</v>
      </c>
      <c r="C99" s="39">
        <v>5619</v>
      </c>
      <c r="D99" s="49">
        <f t="shared" si="5"/>
        <v>5619</v>
      </c>
      <c r="E99" s="50" t="s">
        <v>773</v>
      </c>
      <c r="F99" s="46" t="str">
        <f t="shared" si="4"/>
        <v>insert into ins_premium_det (premium_rcv_code,assorted_code, rec_amount,premium_rcv_detail_code,remaining_amt, payrec, mode_code,coinsurance_code,class_cd,it_remarks) values</v>
      </c>
      <c r="G99" s="47" t="str">
        <f t="shared" si="6"/>
        <v>('20Aug240150','040000169470','5619',(select max(to_number(i.premium_rcv_detail_code))+1
from ins_premium_det i),'5619','5619','02', '11000003','00','Request by Mr. Saqib Saleem 21-Aug-2024 sheet3');</v>
      </c>
      <c r="H99" s="48" t="str">
        <f t="shared" si="7"/>
        <v>insert into ins_premium_det (premium_rcv_code,assorted_code, rec_amount,premium_rcv_detail_code,remaining_amt, payrec, mode_code,coinsurance_code,class_cd,it_remarks) values('20Aug240150','040000169470','5619',(select max(to_number(i.premium_rcv_detail_code))+1
from ins_premium_det i),'5619','5619','02', '11000003','00','Request by Mr. Saqib Saleem 21-Aug-2024 sheet3');</v>
      </c>
    </row>
    <row r="100" spans="1:8" ht="90" x14ac:dyDescent="0.25">
      <c r="A100" s="40" t="s">
        <v>748</v>
      </c>
      <c r="B100" s="43" t="str">
        <f>VLOOKUP(A100,[1]Sheet1!$B$2:$C$119,2,0)</f>
        <v>040000169471</v>
      </c>
      <c r="C100" s="39">
        <v>6169</v>
      </c>
      <c r="D100" s="49">
        <f t="shared" si="5"/>
        <v>6169</v>
      </c>
      <c r="E100" s="50" t="s">
        <v>773</v>
      </c>
      <c r="F100" s="46" t="str">
        <f t="shared" si="4"/>
        <v>insert into ins_premium_det (premium_rcv_code,assorted_code, rec_amount,premium_rcv_detail_code,remaining_amt, payrec, mode_code,coinsurance_code,class_cd,it_remarks) values</v>
      </c>
      <c r="G100" s="47" t="str">
        <f t="shared" si="6"/>
        <v>('20Aug240150','040000169471','6169',(select max(to_number(i.premium_rcv_detail_code))+1
from ins_premium_det i),'6169','6169','02', '11000003','00','Request by Mr. Saqib Saleem 21-Aug-2024 sheet3');</v>
      </c>
      <c r="H100" s="48" t="str">
        <f t="shared" si="7"/>
        <v>insert into ins_premium_det (premium_rcv_code,assorted_code, rec_amount,premium_rcv_detail_code,remaining_amt, payrec, mode_code,coinsurance_code,class_cd,it_remarks) values('20Aug240150','040000169471','6169',(select max(to_number(i.premium_rcv_detail_code))+1
from ins_premium_det i),'6169','6169','02', '11000003','00','Request by Mr. Saqib Saleem 21-Aug-2024 sheet3');</v>
      </c>
    </row>
    <row r="101" spans="1:8" ht="90" x14ac:dyDescent="0.25">
      <c r="A101" s="40" t="s">
        <v>749</v>
      </c>
      <c r="B101" s="43" t="str">
        <f>VLOOKUP(A101,[1]Sheet1!$B$2:$C$119,2,0)</f>
        <v>040000169472</v>
      </c>
      <c r="C101" s="39">
        <v>7195</v>
      </c>
      <c r="D101" s="49">
        <f t="shared" si="5"/>
        <v>7195</v>
      </c>
      <c r="E101" s="50" t="s">
        <v>773</v>
      </c>
      <c r="F101" s="46" t="str">
        <f t="shared" si="4"/>
        <v>insert into ins_premium_det (premium_rcv_code,assorted_code, rec_amount,premium_rcv_detail_code,remaining_amt, payrec, mode_code,coinsurance_code,class_cd,it_remarks) values</v>
      </c>
      <c r="G101" s="47" t="str">
        <f t="shared" si="6"/>
        <v>('20Aug240150','040000169472','7195',(select max(to_number(i.premium_rcv_detail_code))+1
from ins_premium_det i),'7195','7195','02', '11000003','00','Request by Mr. Saqib Saleem 21-Aug-2024 sheet3');</v>
      </c>
      <c r="H101" s="48" t="str">
        <f t="shared" si="7"/>
        <v>insert into ins_premium_det (premium_rcv_code,assorted_code, rec_amount,premium_rcv_detail_code,remaining_amt, payrec, mode_code,coinsurance_code,class_cd,it_remarks) values('20Aug240150','040000169472','7195',(select max(to_number(i.premium_rcv_detail_code))+1
from ins_premium_det i),'7195','7195','02', '11000003','00','Request by Mr. Saqib Saleem 21-Aug-2024 sheet3');</v>
      </c>
    </row>
    <row r="102" spans="1:8" ht="90" x14ac:dyDescent="0.25">
      <c r="A102" s="40" t="s">
        <v>750</v>
      </c>
      <c r="B102" s="43" t="str">
        <f>VLOOKUP(A102,[1]Sheet1!$B$2:$C$119,2,0)</f>
        <v>040000169473</v>
      </c>
      <c r="C102" s="39">
        <v>10008</v>
      </c>
      <c r="D102" s="49">
        <f t="shared" si="5"/>
        <v>10008</v>
      </c>
      <c r="E102" s="50" t="s">
        <v>773</v>
      </c>
      <c r="F102" s="46" t="str">
        <f t="shared" si="4"/>
        <v>insert into ins_premium_det (premium_rcv_code,assorted_code, rec_amount,premium_rcv_detail_code,remaining_amt, payrec, mode_code,coinsurance_code,class_cd,it_remarks) values</v>
      </c>
      <c r="G102" s="47" t="str">
        <f t="shared" si="6"/>
        <v>('20Aug240150','040000169473','10008',(select max(to_number(i.premium_rcv_detail_code))+1
from ins_premium_det i),'10008','10008','02', '11000003','00','Request by Mr. Saqib Saleem 21-Aug-2024 sheet3');</v>
      </c>
      <c r="H102" s="48" t="str">
        <f t="shared" si="7"/>
        <v>insert into ins_premium_det (premium_rcv_code,assorted_code, rec_amount,premium_rcv_detail_code,remaining_amt, payrec, mode_code,coinsurance_code,class_cd,it_remarks) values('20Aug240150','040000169473','10008',(select max(to_number(i.premium_rcv_detail_code))+1
from ins_premium_det i),'10008','10008','02', '11000003','00','Request by Mr. Saqib Saleem 21-Aug-2024 sheet3');</v>
      </c>
    </row>
    <row r="103" spans="1:8" ht="90" x14ac:dyDescent="0.25">
      <c r="A103" s="40" t="s">
        <v>751</v>
      </c>
      <c r="B103" s="43" t="str">
        <f>VLOOKUP(A103,[1]Sheet1!$B$2:$C$119,2,0)</f>
        <v>040000169474</v>
      </c>
      <c r="C103" s="39">
        <v>11002</v>
      </c>
      <c r="D103" s="49">
        <f t="shared" si="5"/>
        <v>11002</v>
      </c>
      <c r="E103" s="50" t="s">
        <v>773</v>
      </c>
      <c r="F103" s="46" t="str">
        <f t="shared" si="4"/>
        <v>insert into ins_premium_det (premium_rcv_code,assorted_code, rec_amount,premium_rcv_detail_code,remaining_amt, payrec, mode_code,coinsurance_code,class_cd,it_remarks) values</v>
      </c>
      <c r="G103" s="47" t="str">
        <f t="shared" si="6"/>
        <v>('20Aug240150','040000169474','11002',(select max(to_number(i.premium_rcv_detail_code))+1
from ins_premium_det i),'11002','11002','02', '11000003','00','Request by Mr. Saqib Saleem 21-Aug-2024 sheet3');</v>
      </c>
      <c r="H103" s="48" t="str">
        <f t="shared" si="7"/>
        <v>insert into ins_premium_det (premium_rcv_code,assorted_code, rec_amount,premium_rcv_detail_code,remaining_amt, payrec, mode_code,coinsurance_code,class_cd,it_remarks) values('20Aug240150','040000169474','11002',(select max(to_number(i.premium_rcv_detail_code))+1
from ins_premium_det i),'11002','11002','02', '11000003','00','Request by Mr. Saqib Saleem 21-Aug-2024 sheet3');</v>
      </c>
    </row>
    <row r="104" spans="1:8" ht="90" x14ac:dyDescent="0.25">
      <c r="A104" s="40" t="s">
        <v>752</v>
      </c>
      <c r="B104" s="43" t="str">
        <f>VLOOKUP(A104,[1]Sheet1!$B$2:$C$119,2,0)</f>
        <v>040000169475</v>
      </c>
      <c r="C104" s="39">
        <v>11454</v>
      </c>
      <c r="D104" s="49">
        <f t="shared" si="5"/>
        <v>11454</v>
      </c>
      <c r="E104" s="50" t="s">
        <v>773</v>
      </c>
      <c r="F104" s="46" t="str">
        <f t="shared" si="4"/>
        <v>insert into ins_premium_det (premium_rcv_code,assorted_code, rec_amount,premium_rcv_detail_code,remaining_amt, payrec, mode_code,coinsurance_code,class_cd,it_remarks) values</v>
      </c>
      <c r="G104" s="47" t="str">
        <f t="shared" si="6"/>
        <v>('20Aug240150','040000169475','11454',(select max(to_number(i.premium_rcv_detail_code))+1
from ins_premium_det i),'11454','11454','02', '11000003','00','Request by Mr. Saqib Saleem 21-Aug-2024 sheet3');</v>
      </c>
      <c r="H104" s="48" t="str">
        <f t="shared" si="7"/>
        <v>insert into ins_premium_det (premium_rcv_code,assorted_code, rec_amount,premium_rcv_detail_code,remaining_amt, payrec, mode_code,coinsurance_code,class_cd,it_remarks) values('20Aug240150','040000169475','11454',(select max(to_number(i.premium_rcv_detail_code))+1
from ins_premium_det i),'11454','11454','02', '11000003','00','Request by Mr. Saqib Saleem 21-Aug-2024 sheet3');</v>
      </c>
    </row>
    <row r="105" spans="1:8" ht="90" x14ac:dyDescent="0.25">
      <c r="A105" s="40" t="s">
        <v>753</v>
      </c>
      <c r="B105" s="43" t="str">
        <f>VLOOKUP(A105,[1]Sheet1!$B$2:$C$119,2,0)</f>
        <v>040000169476</v>
      </c>
      <c r="C105" s="39">
        <v>10382</v>
      </c>
      <c r="D105" s="49">
        <f t="shared" si="5"/>
        <v>10382</v>
      </c>
      <c r="E105" s="50" t="s">
        <v>773</v>
      </c>
      <c r="F105" s="46" t="str">
        <f t="shared" si="4"/>
        <v>insert into ins_premium_det (premium_rcv_code,assorted_code, rec_amount,premium_rcv_detail_code,remaining_amt, payrec, mode_code,coinsurance_code,class_cd,it_remarks) values</v>
      </c>
      <c r="G105" s="47" t="str">
        <f t="shared" si="6"/>
        <v>('20Aug240150','040000169476','10382',(select max(to_number(i.premium_rcv_detail_code))+1
from ins_premium_det i),'10382','10382','02', '11000003','00','Request by Mr. Saqib Saleem 21-Aug-2024 sheet3');</v>
      </c>
      <c r="H105" s="48" t="str">
        <f t="shared" si="7"/>
        <v>insert into ins_premium_det (premium_rcv_code,assorted_code, rec_amount,premium_rcv_detail_code,remaining_amt, payrec, mode_code,coinsurance_code,class_cd,it_remarks) values('20Aug240150','040000169476','10382',(select max(to_number(i.premium_rcv_detail_code))+1
from ins_premium_det i),'10382','10382','02', '11000003','00','Request by Mr. Saqib Saleem 21-Aug-2024 sheet3');</v>
      </c>
    </row>
    <row r="106" spans="1:8" ht="90" x14ac:dyDescent="0.25">
      <c r="A106" s="40" t="s">
        <v>754</v>
      </c>
      <c r="B106" s="43" t="str">
        <f>VLOOKUP(A106,[1]Sheet1!$B$2:$C$119,2,0)</f>
        <v>040000169477</v>
      </c>
      <c r="C106" s="39">
        <v>11864</v>
      </c>
      <c r="D106" s="49">
        <f t="shared" si="5"/>
        <v>11864</v>
      </c>
      <c r="E106" s="50" t="s">
        <v>773</v>
      </c>
      <c r="F106" s="46" t="str">
        <f t="shared" si="4"/>
        <v>insert into ins_premium_det (premium_rcv_code,assorted_code, rec_amount,premium_rcv_detail_code,remaining_amt, payrec, mode_code,coinsurance_code,class_cd,it_remarks) values</v>
      </c>
      <c r="G106" s="47" t="str">
        <f t="shared" si="6"/>
        <v>('20Aug240150','040000169477','11864',(select max(to_number(i.premium_rcv_detail_code))+1
from ins_premium_det i),'11864','11864','02', '11000003','00','Request by Mr. Saqib Saleem 21-Aug-2024 sheet3');</v>
      </c>
      <c r="H106" s="48" t="str">
        <f t="shared" si="7"/>
        <v>insert into ins_premium_det (premium_rcv_code,assorted_code, rec_amount,premium_rcv_detail_code,remaining_amt, payrec, mode_code,coinsurance_code,class_cd,it_remarks) values('20Aug240150','040000169477','11864',(select max(to_number(i.premium_rcv_detail_code))+1
from ins_premium_det i),'11864','11864','02', '11000003','00','Request by Mr. Saqib Saleem 21-Aug-2024 sheet3');</v>
      </c>
    </row>
    <row r="107" spans="1:8" ht="90" x14ac:dyDescent="0.25">
      <c r="A107" s="40" t="s">
        <v>755</v>
      </c>
      <c r="B107" s="43" t="str">
        <f>VLOOKUP(A107,[1]Sheet1!$B$2:$C$119,2,0)</f>
        <v>040000169478</v>
      </c>
      <c r="C107" s="39">
        <v>23189</v>
      </c>
      <c r="D107" s="49">
        <f t="shared" si="5"/>
        <v>23189</v>
      </c>
      <c r="E107" s="50" t="s">
        <v>773</v>
      </c>
      <c r="F107" s="46" t="str">
        <f t="shared" si="4"/>
        <v>insert into ins_premium_det (premium_rcv_code,assorted_code, rec_amount,premium_rcv_detail_code,remaining_amt, payrec, mode_code,coinsurance_code,class_cd,it_remarks) values</v>
      </c>
      <c r="G107" s="47" t="str">
        <f t="shared" si="6"/>
        <v>('20Aug240150','040000169478','23189',(select max(to_number(i.premium_rcv_detail_code))+1
from ins_premium_det i),'23189','23189','02', '11000003','00','Request by Mr. Saqib Saleem 21-Aug-2024 sheet3');</v>
      </c>
      <c r="H107" s="48" t="str">
        <f t="shared" si="7"/>
        <v>insert into ins_premium_det (premium_rcv_code,assorted_code, rec_amount,premium_rcv_detail_code,remaining_amt, payrec, mode_code,coinsurance_code,class_cd,it_remarks) values('20Aug240150','040000169478','23189',(select max(to_number(i.premium_rcv_detail_code))+1
from ins_premium_det i),'23189','23189','02', '11000003','00','Request by Mr. Saqib Saleem 21-Aug-2024 sheet3');</v>
      </c>
    </row>
    <row r="108" spans="1:8" ht="90" x14ac:dyDescent="0.25">
      <c r="A108" s="40" t="s">
        <v>756</v>
      </c>
      <c r="B108" s="43" t="str">
        <f>VLOOKUP(A108,[1]Sheet1!$B$2:$C$119,2,0)</f>
        <v>040000169479</v>
      </c>
      <c r="C108" s="39">
        <v>1500</v>
      </c>
      <c r="D108" s="49">
        <f t="shared" si="5"/>
        <v>1500</v>
      </c>
      <c r="E108" s="50" t="s">
        <v>773</v>
      </c>
      <c r="F108" s="46" t="str">
        <f t="shared" si="4"/>
        <v>insert into ins_premium_det (premium_rcv_code,assorted_code, rec_amount,premium_rcv_detail_code,remaining_amt, payrec, mode_code,coinsurance_code,class_cd,it_remarks) values</v>
      </c>
      <c r="G108" s="47" t="str">
        <f t="shared" si="6"/>
        <v>('20Aug240150','040000169479','1500',(select max(to_number(i.premium_rcv_detail_code))+1
from ins_premium_det i),'1500','1500','02', '11000003','00','Request by Mr. Saqib Saleem 21-Aug-2024 sheet3');</v>
      </c>
      <c r="H108" s="48" t="str">
        <f t="shared" si="7"/>
        <v>insert into ins_premium_det (premium_rcv_code,assorted_code, rec_amount,premium_rcv_detail_code,remaining_amt, payrec, mode_code,coinsurance_code,class_cd,it_remarks) values('20Aug240150','040000169479','1500',(select max(to_number(i.premium_rcv_detail_code))+1
from ins_premium_det i),'1500','1500','02', '11000003','00','Request by Mr. Saqib Saleem 21-Aug-2024 sheet3');</v>
      </c>
    </row>
    <row r="109" spans="1:8" ht="90" x14ac:dyDescent="0.25">
      <c r="A109" s="40" t="s">
        <v>757</v>
      </c>
      <c r="B109" s="43" t="str">
        <f>VLOOKUP(A109,[1]Sheet1!$B$2:$C$119,2,0)</f>
        <v>040000169480</v>
      </c>
      <c r="C109" s="39">
        <v>2250</v>
      </c>
      <c r="D109" s="49">
        <f t="shared" si="5"/>
        <v>2250</v>
      </c>
      <c r="E109" s="50" t="s">
        <v>773</v>
      </c>
      <c r="F109" s="46" t="str">
        <f t="shared" si="4"/>
        <v>insert into ins_premium_det (premium_rcv_code,assorted_code, rec_amount,premium_rcv_detail_code,remaining_amt, payrec, mode_code,coinsurance_code,class_cd,it_remarks) values</v>
      </c>
      <c r="G109" s="47" t="str">
        <f t="shared" si="6"/>
        <v>('20Aug240150','040000169480','2250',(select max(to_number(i.premium_rcv_detail_code))+1
from ins_premium_det i),'2250','2250','02', '11000003','00','Request by Mr. Saqib Saleem 21-Aug-2024 sheet3');</v>
      </c>
      <c r="H109" s="48" t="str">
        <f t="shared" si="7"/>
        <v>insert into ins_premium_det (premium_rcv_code,assorted_code, rec_amount,premium_rcv_detail_code,remaining_amt, payrec, mode_code,coinsurance_code,class_cd,it_remarks) values('20Aug240150','040000169480','2250',(select max(to_number(i.premium_rcv_detail_code))+1
from ins_premium_det i),'2250','2250','02', '11000003','00','Request by Mr. Saqib Saleem 21-Aug-2024 sheet3');</v>
      </c>
    </row>
    <row r="110" spans="1:8" ht="90" x14ac:dyDescent="0.25">
      <c r="A110" s="40" t="s">
        <v>758</v>
      </c>
      <c r="B110" s="43" t="str">
        <f>VLOOKUP(A110,[1]Sheet1!$B$2:$C$119,2,0)</f>
        <v>040000169481</v>
      </c>
      <c r="C110" s="39">
        <v>2250</v>
      </c>
      <c r="D110" s="49">
        <f t="shared" si="5"/>
        <v>2250</v>
      </c>
      <c r="E110" s="50" t="s">
        <v>773</v>
      </c>
      <c r="F110" s="46" t="str">
        <f t="shared" si="4"/>
        <v>insert into ins_premium_det (premium_rcv_code,assorted_code, rec_amount,premium_rcv_detail_code,remaining_amt, payrec, mode_code,coinsurance_code,class_cd,it_remarks) values</v>
      </c>
      <c r="G110" s="47" t="str">
        <f t="shared" si="6"/>
        <v>('20Aug240150','040000169481','2250',(select max(to_number(i.premium_rcv_detail_code))+1
from ins_premium_det i),'2250','2250','02', '11000003','00','Request by Mr. Saqib Saleem 21-Aug-2024 sheet3');</v>
      </c>
      <c r="H110" s="48" t="str">
        <f t="shared" si="7"/>
        <v>insert into ins_premium_det (premium_rcv_code,assorted_code, rec_amount,premium_rcv_detail_code,remaining_amt, payrec, mode_code,coinsurance_code,class_cd,it_remarks) values('20Aug240150','040000169481','2250',(select max(to_number(i.premium_rcv_detail_code))+1
from ins_premium_det i),'2250','2250','02', '11000003','00','Request by Mr. Saqib Saleem 21-Aug-2024 sheet3');</v>
      </c>
    </row>
    <row r="111" spans="1:8" ht="90" x14ac:dyDescent="0.25">
      <c r="A111" s="40" t="s">
        <v>759</v>
      </c>
      <c r="B111" s="43" t="str">
        <f>VLOOKUP(A111,[1]Sheet1!$B$2:$C$119,2,0)</f>
        <v>040000169482</v>
      </c>
      <c r="C111" s="39">
        <v>1800</v>
      </c>
      <c r="D111" s="49">
        <f t="shared" si="5"/>
        <v>1800</v>
      </c>
      <c r="E111" s="50" t="s">
        <v>773</v>
      </c>
      <c r="F111" s="46" t="str">
        <f t="shared" si="4"/>
        <v>insert into ins_premium_det (premium_rcv_code,assorted_code, rec_amount,premium_rcv_detail_code,remaining_amt, payrec, mode_code,coinsurance_code,class_cd,it_remarks) values</v>
      </c>
      <c r="G111" s="47" t="str">
        <f t="shared" si="6"/>
        <v>('20Aug240150','040000169482','1800',(select max(to_number(i.premium_rcv_detail_code))+1
from ins_premium_det i),'1800','1800','02', '11000003','00','Request by Mr. Saqib Saleem 21-Aug-2024 sheet3');</v>
      </c>
      <c r="H111" s="48" t="str">
        <f t="shared" si="7"/>
        <v>insert into ins_premium_det (premium_rcv_code,assorted_code, rec_amount,premium_rcv_detail_code,remaining_amt, payrec, mode_code,coinsurance_code,class_cd,it_remarks) values('20Aug240150','040000169482','1800',(select max(to_number(i.premium_rcv_detail_code))+1
from ins_premium_det i),'1800','1800','02', '11000003','00','Request by Mr. Saqib Saleem 21-Aug-2024 sheet3');</v>
      </c>
    </row>
    <row r="112" spans="1:8" ht="90" x14ac:dyDescent="0.25">
      <c r="A112" s="40" t="s">
        <v>760</v>
      </c>
      <c r="B112" s="43" t="str">
        <f>VLOOKUP(A112,[1]Sheet1!$B$2:$C$119,2,0)</f>
        <v>040000169483</v>
      </c>
      <c r="C112" s="39">
        <v>10500</v>
      </c>
      <c r="D112" s="49">
        <f t="shared" si="5"/>
        <v>10500</v>
      </c>
      <c r="E112" s="50" t="s">
        <v>773</v>
      </c>
      <c r="F112" s="46" t="str">
        <f t="shared" si="4"/>
        <v>insert into ins_premium_det (premium_rcv_code,assorted_code, rec_amount,premium_rcv_detail_code,remaining_amt, payrec, mode_code,coinsurance_code,class_cd,it_remarks) values</v>
      </c>
      <c r="G112" s="47" t="str">
        <f t="shared" si="6"/>
        <v>('20Aug240150','040000169483','10500',(select max(to_number(i.premium_rcv_detail_code))+1
from ins_premium_det i),'10500','10500','02', '11000003','00','Request by Mr. Saqib Saleem 21-Aug-2024 sheet3');</v>
      </c>
      <c r="H112" s="48" t="str">
        <f t="shared" si="7"/>
        <v>insert into ins_premium_det (premium_rcv_code,assorted_code, rec_amount,premium_rcv_detail_code,remaining_amt, payrec, mode_code,coinsurance_code,class_cd,it_remarks) values('20Aug240150','040000169483','10500',(select max(to_number(i.premium_rcv_detail_code))+1
from ins_premium_det i),'10500','10500','02', '11000003','00','Request by Mr. Saqib Saleem 21-Aug-2024 sheet3');</v>
      </c>
    </row>
    <row r="113" spans="1:8" ht="90" x14ac:dyDescent="0.25">
      <c r="A113" s="40" t="s">
        <v>761</v>
      </c>
      <c r="B113" s="43" t="str">
        <f>VLOOKUP(A113,[1]Sheet1!$B$2:$C$119,2,0)</f>
        <v>040000169484</v>
      </c>
      <c r="C113" s="39">
        <v>3450</v>
      </c>
      <c r="D113" s="49">
        <f t="shared" si="5"/>
        <v>3450</v>
      </c>
      <c r="E113" s="50" t="s">
        <v>773</v>
      </c>
      <c r="F113" s="46" t="str">
        <f t="shared" si="4"/>
        <v>insert into ins_premium_det (premium_rcv_code,assorted_code, rec_amount,premium_rcv_detail_code,remaining_amt, payrec, mode_code,coinsurance_code,class_cd,it_remarks) values</v>
      </c>
      <c r="G113" s="47" t="str">
        <f t="shared" si="6"/>
        <v>('20Aug240150','040000169484','3450',(select max(to_number(i.premium_rcv_detail_code))+1
from ins_premium_det i),'3450','3450','02', '11000003','00','Request by Mr. Saqib Saleem 21-Aug-2024 sheet3');</v>
      </c>
      <c r="H113" s="48" t="str">
        <f t="shared" si="7"/>
        <v>insert into ins_premium_det (premium_rcv_code,assorted_code, rec_amount,premium_rcv_detail_code,remaining_amt, payrec, mode_code,coinsurance_code,class_cd,it_remarks) values('20Aug240150','040000169484','3450',(select max(to_number(i.premium_rcv_detail_code))+1
from ins_premium_det i),'3450','3450','02', '11000003','00','Request by Mr. Saqib Saleem 21-Aug-2024 sheet3');</v>
      </c>
    </row>
    <row r="114" spans="1:8" ht="90" x14ac:dyDescent="0.25">
      <c r="A114" s="40" t="s">
        <v>762</v>
      </c>
      <c r="B114" s="43" t="str">
        <f>VLOOKUP(A114,[1]Sheet1!$B$2:$C$119,2,0)</f>
        <v>040000169485</v>
      </c>
      <c r="C114" s="39">
        <v>6840</v>
      </c>
      <c r="D114" s="49">
        <f t="shared" si="5"/>
        <v>6840</v>
      </c>
      <c r="E114" s="50" t="s">
        <v>773</v>
      </c>
      <c r="F114" s="46" t="str">
        <f t="shared" si="4"/>
        <v>insert into ins_premium_det (premium_rcv_code,assorted_code, rec_amount,premium_rcv_detail_code,remaining_amt, payrec, mode_code,coinsurance_code,class_cd,it_remarks) values</v>
      </c>
      <c r="G114" s="47" t="str">
        <f t="shared" si="6"/>
        <v>('20Aug240150','040000169485','6840',(select max(to_number(i.premium_rcv_detail_code))+1
from ins_premium_det i),'6840','6840','02', '11000003','00','Request by Mr. Saqib Saleem 21-Aug-2024 sheet3');</v>
      </c>
      <c r="H114" s="48" t="str">
        <f t="shared" si="7"/>
        <v>insert into ins_premium_det (premium_rcv_code,assorted_code, rec_amount,premium_rcv_detail_code,remaining_amt, payrec, mode_code,coinsurance_code,class_cd,it_remarks) values('20Aug240150','040000169485','6840',(select max(to_number(i.premium_rcv_detail_code))+1
from ins_premium_det i),'6840','6840','02', '11000003','00','Request by Mr. Saqib Saleem 21-Aug-2024 sheet3');</v>
      </c>
    </row>
    <row r="115" spans="1:8" ht="90" x14ac:dyDescent="0.25">
      <c r="A115" s="40" t="s">
        <v>763</v>
      </c>
      <c r="B115" s="43" t="str">
        <f>VLOOKUP(A115,[1]Sheet1!$B$2:$C$119,2,0)</f>
        <v>040000169486</v>
      </c>
      <c r="C115" s="39">
        <v>9332</v>
      </c>
      <c r="D115" s="49">
        <f t="shared" si="5"/>
        <v>9332</v>
      </c>
      <c r="E115" s="50" t="s">
        <v>773</v>
      </c>
      <c r="F115" s="46" t="str">
        <f t="shared" si="4"/>
        <v>insert into ins_premium_det (premium_rcv_code,assorted_code, rec_amount,premium_rcv_detail_code,remaining_amt, payrec, mode_code,coinsurance_code,class_cd,it_remarks) values</v>
      </c>
      <c r="G115" s="47" t="str">
        <f t="shared" si="6"/>
        <v>('20Aug240150','040000169486','9332',(select max(to_number(i.premium_rcv_detail_code))+1
from ins_premium_det i),'9332','9332','02', '11000003','00','Request by Mr. Saqib Saleem 21-Aug-2024 sheet3');</v>
      </c>
      <c r="H115" s="48" t="str">
        <f t="shared" si="7"/>
        <v>insert into ins_premium_det (premium_rcv_code,assorted_code, rec_amount,premium_rcv_detail_code,remaining_amt, payrec, mode_code,coinsurance_code,class_cd,it_remarks) values('20Aug240150','040000169486','9332',(select max(to_number(i.premium_rcv_detail_code))+1
from ins_premium_det i),'9332','9332','02', '11000003','00','Request by Mr. Saqib Saleem 21-Aug-2024 sheet3');</v>
      </c>
    </row>
    <row r="116" spans="1:8" ht="90" x14ac:dyDescent="0.25">
      <c r="A116" s="40" t="s">
        <v>764</v>
      </c>
      <c r="B116" s="43" t="str">
        <f>VLOOKUP(A116,[1]Sheet1!$B$2:$C$119,2,0)</f>
        <v>040000169487</v>
      </c>
      <c r="C116" s="39">
        <v>3750</v>
      </c>
      <c r="D116" s="49">
        <f t="shared" si="5"/>
        <v>3750</v>
      </c>
      <c r="E116" s="50" t="s">
        <v>773</v>
      </c>
      <c r="F116" s="46" t="str">
        <f t="shared" si="4"/>
        <v>insert into ins_premium_det (premium_rcv_code,assorted_code, rec_amount,premium_rcv_detail_code,remaining_amt, payrec, mode_code,coinsurance_code,class_cd,it_remarks) values</v>
      </c>
      <c r="G116" s="47" t="str">
        <f t="shared" si="6"/>
        <v>('20Aug240150','040000169487','3750',(select max(to_number(i.premium_rcv_detail_code))+1
from ins_premium_det i),'3750','3750','02', '11000003','00','Request by Mr. Saqib Saleem 21-Aug-2024 sheet3');</v>
      </c>
      <c r="H116" s="48" t="str">
        <f t="shared" si="7"/>
        <v>insert into ins_premium_det (premium_rcv_code,assorted_code, rec_amount,premium_rcv_detail_code,remaining_amt, payrec, mode_code,coinsurance_code,class_cd,it_remarks) values('20Aug240150','040000169487','3750',(select max(to_number(i.premium_rcv_detail_code))+1
from ins_premium_det i),'3750','3750','02', '11000003','00','Request by Mr. Saqib Saleem 21-Aug-2024 sheet3');</v>
      </c>
    </row>
    <row r="117" spans="1:8" ht="90" x14ac:dyDescent="0.25">
      <c r="A117" s="40" t="s">
        <v>765</v>
      </c>
      <c r="B117" s="43" t="str">
        <f>VLOOKUP(A117,[1]Sheet1!$B$2:$C$119,2,0)</f>
        <v>040000169488</v>
      </c>
      <c r="C117" s="39">
        <v>6675</v>
      </c>
      <c r="D117" s="49">
        <f t="shared" si="5"/>
        <v>6675</v>
      </c>
      <c r="E117" s="50" t="s">
        <v>773</v>
      </c>
      <c r="F117" s="46" t="str">
        <f t="shared" si="4"/>
        <v>insert into ins_premium_det (premium_rcv_code,assorted_code, rec_amount,premium_rcv_detail_code,remaining_amt, payrec, mode_code,coinsurance_code,class_cd,it_remarks) values</v>
      </c>
      <c r="G117" s="47" t="str">
        <f t="shared" si="6"/>
        <v>('20Aug240150','040000169488','6675',(select max(to_number(i.premium_rcv_detail_code))+1
from ins_premium_det i),'6675','6675','02', '11000003','00','Request by Mr. Saqib Saleem 21-Aug-2024 sheet3');</v>
      </c>
      <c r="H117" s="48" t="str">
        <f t="shared" si="7"/>
        <v>insert into ins_premium_det (premium_rcv_code,assorted_code, rec_amount,premium_rcv_detail_code,remaining_amt, payrec, mode_code,coinsurance_code,class_cd,it_remarks) values('20Aug240150','040000169488','6675',(select max(to_number(i.premium_rcv_detail_code))+1
from ins_premium_det i),'6675','6675','02', '11000003','00','Request by Mr. Saqib Saleem 21-Aug-2024 sheet3');</v>
      </c>
    </row>
    <row r="118" spans="1:8" ht="90" x14ac:dyDescent="0.25">
      <c r="A118" s="40" t="s">
        <v>766</v>
      </c>
      <c r="B118" s="43" t="str">
        <f>VLOOKUP(A118,[1]Sheet1!$B$2:$C$119,2,0)</f>
        <v>040000169489</v>
      </c>
      <c r="C118" s="39">
        <v>5625</v>
      </c>
      <c r="D118" s="49">
        <f t="shared" si="5"/>
        <v>5625</v>
      </c>
      <c r="E118" s="50" t="s">
        <v>773</v>
      </c>
      <c r="F118" s="46" t="str">
        <f t="shared" si="4"/>
        <v>insert into ins_premium_det (premium_rcv_code,assorted_code, rec_amount,premium_rcv_detail_code,remaining_amt, payrec, mode_code,coinsurance_code,class_cd,it_remarks) values</v>
      </c>
      <c r="G118" s="47" t="str">
        <f t="shared" si="6"/>
        <v>('20Aug240150','040000169489','5625',(select max(to_number(i.premium_rcv_detail_code))+1
from ins_premium_det i),'5625','5625','02', '11000003','00','Request by Mr. Saqib Saleem 21-Aug-2024 sheet3');</v>
      </c>
      <c r="H118" s="48" t="str">
        <f t="shared" si="7"/>
        <v>insert into ins_premium_det (premium_rcv_code,assorted_code, rec_amount,premium_rcv_detail_code,remaining_amt, payrec, mode_code,coinsurance_code,class_cd,it_remarks) values('20Aug240150','040000169489','5625',(select max(to_number(i.premium_rcv_detail_code))+1
from ins_premium_det i),'5625','5625','02', '11000003','00','Request by Mr. Saqib Saleem 21-Aug-2024 sheet3');</v>
      </c>
    </row>
    <row r="119" spans="1:8" ht="90" x14ac:dyDescent="0.25">
      <c r="A119" s="40" t="s">
        <v>767</v>
      </c>
      <c r="B119" s="43" t="str">
        <f>VLOOKUP(A119,[1]Sheet1!$B$2:$C$119,2,0)</f>
        <v>040000169490</v>
      </c>
      <c r="C119" s="39">
        <v>5865</v>
      </c>
      <c r="D119" s="49">
        <f t="shared" si="5"/>
        <v>5865</v>
      </c>
      <c r="E119" s="50" t="s">
        <v>773</v>
      </c>
      <c r="F119" s="46" t="str">
        <f t="shared" si="4"/>
        <v>insert into ins_premium_det (premium_rcv_code,assorted_code, rec_amount,premium_rcv_detail_code,remaining_amt, payrec, mode_code,coinsurance_code,class_cd,it_remarks) values</v>
      </c>
      <c r="G119" s="47" t="str">
        <f t="shared" si="6"/>
        <v>('20Aug240150','040000169490','5865',(select max(to_number(i.premium_rcv_detail_code))+1
from ins_premium_det i),'5865','5865','02', '11000003','00','Request by Mr. Saqib Saleem 21-Aug-2024 sheet3');</v>
      </c>
      <c r="H119" s="48" t="str">
        <f t="shared" si="7"/>
        <v>insert into ins_premium_det (premium_rcv_code,assorted_code, rec_amount,premium_rcv_detail_code,remaining_amt, payrec, mode_code,coinsurance_code,class_cd,it_remarks) values('20Aug240150','040000169490','5865',(select max(to_number(i.premium_rcv_detail_code))+1
from ins_premium_det i),'5865','5865','02', '11000003','00','Request by Mr. Saqib Saleem 21-Aug-2024 sheet3');</v>
      </c>
    </row>
  </sheetData>
  <conditionalFormatting sqref="A1">
    <cfRule type="duplicateValues" dxfId="9" priority="1"/>
  </conditionalFormatting>
  <conditionalFormatting sqref="A2:B2 B3:B119"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8"/>
  <sheetViews>
    <sheetView topLeftCell="A17" workbookViewId="0">
      <selection activeCell="A39" sqref="A39"/>
    </sheetView>
  </sheetViews>
  <sheetFormatPr defaultRowHeight="15" customHeight="1" x14ac:dyDescent="0.25"/>
  <cols>
    <col min="1" max="1" width="5.7109375" bestFit="1" customWidth="1"/>
    <col min="2" max="2" width="16" bestFit="1" customWidth="1"/>
    <col min="3" max="3" width="16.28515625" bestFit="1" customWidth="1"/>
    <col min="4" max="4" width="14.42578125" bestFit="1" customWidth="1"/>
    <col min="5" max="5" width="24.140625" bestFit="1" customWidth="1"/>
    <col min="6" max="6" width="11.42578125" bestFit="1" customWidth="1"/>
    <col min="7" max="7" width="14" bestFit="1" customWidth="1"/>
    <col min="8" max="8" width="109.28515625" bestFit="1" customWidth="1"/>
    <col min="9" max="9" width="13" bestFit="1" customWidth="1"/>
  </cols>
  <sheetData>
    <row r="2" spans="1:10" s="9" customFormat="1" ht="14.25" customHeight="1" x14ac:dyDescent="0.35">
      <c r="A2" s="1" t="s">
        <v>0</v>
      </c>
      <c r="B2" s="17" t="s">
        <v>15</v>
      </c>
      <c r="C2" s="30" t="s">
        <v>1</v>
      </c>
      <c r="D2" s="30" t="s">
        <v>14</v>
      </c>
      <c r="E2" s="1" t="s">
        <v>2</v>
      </c>
      <c r="F2" s="1" t="s">
        <v>3</v>
      </c>
      <c r="G2" s="1" t="s">
        <v>4</v>
      </c>
      <c r="H2" s="1" t="s">
        <v>6</v>
      </c>
      <c r="I2" s="2" t="s">
        <v>7</v>
      </c>
      <c r="J2" s="3" t="s">
        <v>5</v>
      </c>
    </row>
    <row r="3" spans="1:10" s="4" customFormat="1" ht="14.25" customHeight="1" x14ac:dyDescent="0.35">
      <c r="A3" s="6">
        <v>1</v>
      </c>
      <c r="B3" s="26"/>
      <c r="C3" s="23" t="s">
        <v>112</v>
      </c>
      <c r="D3" s="31" t="s">
        <v>589</v>
      </c>
      <c r="E3" s="31" t="s">
        <v>113</v>
      </c>
      <c r="F3" s="28" t="s">
        <v>9</v>
      </c>
      <c r="G3" s="25" t="s">
        <v>114</v>
      </c>
      <c r="H3" s="24" t="s">
        <v>115</v>
      </c>
      <c r="I3" s="32">
        <v>101109</v>
      </c>
      <c r="J3" s="7">
        <v>45352</v>
      </c>
    </row>
    <row r="4" spans="1:10" s="4" customFormat="1" ht="14.25" customHeight="1" x14ac:dyDescent="0.35">
      <c r="A4" s="6">
        <f>+A3+1</f>
        <v>2</v>
      </c>
      <c r="B4" s="27"/>
      <c r="C4" s="16" t="s">
        <v>209</v>
      </c>
      <c r="D4" s="31" t="s">
        <v>589</v>
      </c>
      <c r="E4" s="31" t="s">
        <v>210</v>
      </c>
      <c r="F4" s="29" t="s">
        <v>9</v>
      </c>
      <c r="G4" s="14" t="s">
        <v>211</v>
      </c>
      <c r="H4" s="15" t="s">
        <v>212</v>
      </c>
      <c r="I4" s="32">
        <v>842991</v>
      </c>
      <c r="J4" s="7">
        <v>45352</v>
      </c>
    </row>
    <row r="5" spans="1:10" s="4" customFormat="1" ht="14.25" customHeight="1" x14ac:dyDescent="0.35">
      <c r="A5" s="6">
        <f t="shared" ref="A5:A38" si="0">+A4+1</f>
        <v>3</v>
      </c>
      <c r="B5" s="26"/>
      <c r="C5" s="21" t="s">
        <v>144</v>
      </c>
      <c r="D5" s="31" t="s">
        <v>589</v>
      </c>
      <c r="E5" s="31" t="s">
        <v>145</v>
      </c>
      <c r="F5" s="28" t="s">
        <v>11</v>
      </c>
      <c r="G5" s="18" t="s">
        <v>146</v>
      </c>
      <c r="H5" s="19" t="s">
        <v>147</v>
      </c>
      <c r="I5" s="32">
        <v>993749</v>
      </c>
      <c r="J5" s="7">
        <v>45352</v>
      </c>
    </row>
    <row r="6" spans="1:10" s="4" customFormat="1" ht="14.25" customHeight="1" x14ac:dyDescent="0.35">
      <c r="A6" s="6">
        <f t="shared" si="0"/>
        <v>4</v>
      </c>
      <c r="B6" s="26"/>
      <c r="C6" s="21" t="s">
        <v>206</v>
      </c>
      <c r="D6" s="31" t="s">
        <v>589</v>
      </c>
      <c r="E6" s="31" t="s">
        <v>17</v>
      </c>
      <c r="F6" s="28" t="s">
        <v>8</v>
      </c>
      <c r="G6" s="18" t="s">
        <v>207</v>
      </c>
      <c r="H6" s="19" t="s">
        <v>208</v>
      </c>
      <c r="I6" s="32">
        <v>1199673</v>
      </c>
      <c r="J6" s="7">
        <v>45352</v>
      </c>
    </row>
    <row r="7" spans="1:10" s="4" customFormat="1" ht="14.25" customHeight="1" x14ac:dyDescent="0.35">
      <c r="A7" s="6">
        <f t="shared" si="0"/>
        <v>5</v>
      </c>
      <c r="B7" s="27"/>
      <c r="C7" s="16" t="s">
        <v>213</v>
      </c>
      <c r="D7" s="31" t="s">
        <v>589</v>
      </c>
      <c r="E7" s="31" t="s">
        <v>214</v>
      </c>
      <c r="F7" s="29" t="s">
        <v>8</v>
      </c>
      <c r="G7" s="14" t="s">
        <v>215</v>
      </c>
      <c r="H7" s="15" t="s">
        <v>216</v>
      </c>
      <c r="I7" s="32">
        <v>1390663</v>
      </c>
      <c r="J7" s="7">
        <v>45352</v>
      </c>
    </row>
    <row r="8" spans="1:10" s="4" customFormat="1" ht="14.25" customHeight="1" x14ac:dyDescent="0.35">
      <c r="A8" s="6">
        <f t="shared" si="0"/>
        <v>6</v>
      </c>
      <c r="B8" s="26"/>
      <c r="C8" s="21" t="s">
        <v>54</v>
      </c>
      <c r="D8" s="31" t="s">
        <v>589</v>
      </c>
      <c r="E8" s="31" t="s">
        <v>55</v>
      </c>
      <c r="F8" s="28" t="s">
        <v>11</v>
      </c>
      <c r="G8" s="18" t="s">
        <v>56</v>
      </c>
      <c r="H8" s="19" t="s">
        <v>57</v>
      </c>
      <c r="I8" s="32">
        <v>1503118</v>
      </c>
      <c r="J8" s="7">
        <v>45352</v>
      </c>
    </row>
    <row r="9" spans="1:10" s="4" customFormat="1" ht="14.25" customHeight="1" x14ac:dyDescent="0.35">
      <c r="A9" s="6">
        <f t="shared" si="0"/>
        <v>7</v>
      </c>
      <c r="B9" s="26"/>
      <c r="C9" s="21" t="s">
        <v>148</v>
      </c>
      <c r="D9" s="31" t="s">
        <v>589</v>
      </c>
      <c r="E9" s="31" t="s">
        <v>149</v>
      </c>
      <c r="F9" s="28" t="s">
        <v>8</v>
      </c>
      <c r="G9" s="18" t="s">
        <v>150</v>
      </c>
      <c r="H9" s="19" t="s">
        <v>151</v>
      </c>
      <c r="I9" s="32">
        <v>1938335</v>
      </c>
      <c r="J9" s="7">
        <v>45352</v>
      </c>
    </row>
    <row r="10" spans="1:10" s="4" customFormat="1" ht="14.25" customHeight="1" x14ac:dyDescent="0.35">
      <c r="A10" s="6">
        <f t="shared" si="0"/>
        <v>8</v>
      </c>
      <c r="B10" s="26"/>
      <c r="C10" s="21" t="s">
        <v>120</v>
      </c>
      <c r="D10" s="31" t="s">
        <v>589</v>
      </c>
      <c r="E10" s="31" t="s">
        <v>121</v>
      </c>
      <c r="F10" s="28" t="s">
        <v>8</v>
      </c>
      <c r="G10" s="18" t="s">
        <v>122</v>
      </c>
      <c r="H10" s="19" t="s">
        <v>123</v>
      </c>
      <c r="I10" s="32">
        <v>3239914</v>
      </c>
      <c r="J10" s="7">
        <v>45352</v>
      </c>
    </row>
    <row r="11" spans="1:10" s="4" customFormat="1" ht="14.25" customHeight="1" x14ac:dyDescent="0.35">
      <c r="A11" s="6">
        <f t="shared" si="0"/>
        <v>9</v>
      </c>
      <c r="B11" s="26"/>
      <c r="C11" s="21" t="s">
        <v>160</v>
      </c>
      <c r="D11" s="31" t="s">
        <v>589</v>
      </c>
      <c r="E11" s="31" t="s">
        <v>161</v>
      </c>
      <c r="F11" s="28" t="s">
        <v>8</v>
      </c>
      <c r="G11" s="18" t="s">
        <v>162</v>
      </c>
      <c r="H11" s="19" t="s">
        <v>163</v>
      </c>
      <c r="I11" s="32">
        <v>3337033</v>
      </c>
      <c r="J11" s="7">
        <v>45352</v>
      </c>
    </row>
    <row r="12" spans="1:10" s="4" customFormat="1" ht="14.25" customHeight="1" x14ac:dyDescent="0.35">
      <c r="A12" s="6">
        <f t="shared" si="0"/>
        <v>10</v>
      </c>
      <c r="B12" s="27"/>
      <c r="C12" s="16" t="s">
        <v>62</v>
      </c>
      <c r="D12" s="31" t="s">
        <v>589</v>
      </c>
      <c r="E12" s="31" t="s">
        <v>63</v>
      </c>
      <c r="F12" s="29" t="s">
        <v>12</v>
      </c>
      <c r="G12" s="14" t="s">
        <v>64</v>
      </c>
      <c r="H12" s="15" t="s">
        <v>65</v>
      </c>
      <c r="I12" s="32">
        <v>4301855</v>
      </c>
      <c r="J12" s="7">
        <v>45352</v>
      </c>
    </row>
    <row r="13" spans="1:10" s="4" customFormat="1" ht="14.25" customHeight="1" x14ac:dyDescent="0.35">
      <c r="A13" s="6">
        <f t="shared" si="0"/>
        <v>11</v>
      </c>
      <c r="B13" s="26"/>
      <c r="C13" s="23" t="s">
        <v>261</v>
      </c>
      <c r="D13" s="31" t="s">
        <v>589</v>
      </c>
      <c r="E13" s="31" t="s">
        <v>262</v>
      </c>
      <c r="F13" s="28" t="s">
        <v>228</v>
      </c>
      <c r="G13" s="25" t="s">
        <v>263</v>
      </c>
      <c r="H13" s="24" t="s">
        <v>264</v>
      </c>
      <c r="I13" s="32">
        <v>4361078</v>
      </c>
      <c r="J13" s="7">
        <v>45352</v>
      </c>
    </row>
    <row r="14" spans="1:10" s="4" customFormat="1" ht="14.25" customHeight="1" x14ac:dyDescent="0.35">
      <c r="A14" s="6">
        <f t="shared" si="0"/>
        <v>12</v>
      </c>
      <c r="B14" s="26"/>
      <c r="C14" s="21" t="s">
        <v>180</v>
      </c>
      <c r="D14" s="31" t="s">
        <v>589</v>
      </c>
      <c r="E14" s="31" t="s">
        <v>181</v>
      </c>
      <c r="F14" s="28" t="s">
        <v>182</v>
      </c>
      <c r="G14" s="18" t="s">
        <v>183</v>
      </c>
      <c r="H14" s="19" t="s">
        <v>184</v>
      </c>
      <c r="I14" s="32">
        <v>4679294</v>
      </c>
      <c r="J14" s="7">
        <v>45352</v>
      </c>
    </row>
    <row r="15" spans="1:10" s="4" customFormat="1" ht="14.25" customHeight="1" x14ac:dyDescent="0.35">
      <c r="A15" s="6">
        <f t="shared" si="0"/>
        <v>13</v>
      </c>
      <c r="B15" s="26"/>
      <c r="C15" s="23" t="s">
        <v>354</v>
      </c>
      <c r="D15" s="31" t="s">
        <v>589</v>
      </c>
      <c r="E15" s="31" t="s">
        <v>573</v>
      </c>
      <c r="F15" s="28" t="s">
        <v>10</v>
      </c>
      <c r="G15" s="25" t="s">
        <v>574</v>
      </c>
      <c r="H15" s="24" t="s">
        <v>575</v>
      </c>
      <c r="I15" s="32">
        <v>5220662</v>
      </c>
      <c r="J15" s="7">
        <v>45352</v>
      </c>
    </row>
    <row r="16" spans="1:10" s="4" customFormat="1" ht="14.25" customHeight="1" x14ac:dyDescent="0.35">
      <c r="A16" s="6">
        <f t="shared" si="0"/>
        <v>14</v>
      </c>
      <c r="B16" s="26"/>
      <c r="C16" s="21" t="s">
        <v>104</v>
      </c>
      <c r="D16" s="31" t="s">
        <v>589</v>
      </c>
      <c r="E16" s="31" t="s">
        <v>105</v>
      </c>
      <c r="F16" s="28" t="s">
        <v>10</v>
      </c>
      <c r="G16" s="18" t="s">
        <v>106</v>
      </c>
      <c r="H16" s="19" t="s">
        <v>107</v>
      </c>
      <c r="I16" s="32">
        <v>5688956</v>
      </c>
      <c r="J16" s="7">
        <v>45352</v>
      </c>
    </row>
    <row r="17" spans="1:10" s="4" customFormat="1" ht="14.25" customHeight="1" x14ac:dyDescent="0.35">
      <c r="A17" s="6">
        <f t="shared" si="0"/>
        <v>15</v>
      </c>
      <c r="B17" s="26"/>
      <c r="C17" s="23" t="s">
        <v>284</v>
      </c>
      <c r="D17" s="31" t="s">
        <v>589</v>
      </c>
      <c r="E17" s="31" t="s">
        <v>365</v>
      </c>
      <c r="F17" s="28" t="s">
        <v>10</v>
      </c>
      <c r="G17" s="25" t="s">
        <v>366</v>
      </c>
      <c r="H17" s="24" t="s">
        <v>367</v>
      </c>
      <c r="I17" s="32">
        <v>5820625</v>
      </c>
      <c r="J17" s="7">
        <v>45352</v>
      </c>
    </row>
    <row r="18" spans="1:10" s="4" customFormat="1" ht="14.25" customHeight="1" x14ac:dyDescent="0.35">
      <c r="A18" s="6">
        <f t="shared" si="0"/>
        <v>16</v>
      </c>
      <c r="B18" s="26" t="s">
        <v>86</v>
      </c>
      <c r="C18" s="21" t="s">
        <v>87</v>
      </c>
      <c r="D18" s="31" t="s">
        <v>589</v>
      </c>
      <c r="E18" s="31" t="s">
        <v>88</v>
      </c>
      <c r="F18" s="28" t="s">
        <v>10</v>
      </c>
      <c r="G18" s="18" t="s">
        <v>89</v>
      </c>
      <c r="H18" s="19" t="s">
        <v>90</v>
      </c>
      <c r="I18" s="32">
        <v>5998383</v>
      </c>
      <c r="J18" s="7">
        <v>45352</v>
      </c>
    </row>
    <row r="19" spans="1:10" s="4" customFormat="1" ht="14.25" customHeight="1" x14ac:dyDescent="0.35">
      <c r="A19" s="6">
        <f t="shared" si="0"/>
        <v>17</v>
      </c>
      <c r="B19" s="26"/>
      <c r="C19" s="21" t="s">
        <v>132</v>
      </c>
      <c r="D19" s="31" t="s">
        <v>589</v>
      </c>
      <c r="E19" s="31" t="s">
        <v>133</v>
      </c>
      <c r="F19" s="28" t="s">
        <v>8</v>
      </c>
      <c r="G19" s="18" t="s">
        <v>134</v>
      </c>
      <c r="H19" s="19" t="s">
        <v>135</v>
      </c>
      <c r="I19" s="32">
        <v>6106053</v>
      </c>
      <c r="J19" s="7">
        <v>45352</v>
      </c>
    </row>
    <row r="20" spans="1:10" s="4" customFormat="1" ht="14.25" customHeight="1" x14ac:dyDescent="0.35">
      <c r="A20" s="6">
        <f t="shared" si="0"/>
        <v>18</v>
      </c>
      <c r="B20" s="26"/>
      <c r="C20" s="21" t="s">
        <v>96</v>
      </c>
      <c r="D20" s="31" t="s">
        <v>589</v>
      </c>
      <c r="E20" s="31" t="s">
        <v>97</v>
      </c>
      <c r="F20" s="28" t="s">
        <v>9</v>
      </c>
      <c r="G20" s="18" t="s">
        <v>98</v>
      </c>
      <c r="H20" s="19" t="s">
        <v>99</v>
      </c>
      <c r="I20" s="32">
        <v>6655138</v>
      </c>
      <c r="J20" s="7">
        <v>45352</v>
      </c>
    </row>
    <row r="21" spans="1:10" s="4" customFormat="1" ht="14.25" customHeight="1" x14ac:dyDescent="0.35">
      <c r="A21" s="6">
        <f t="shared" si="0"/>
        <v>19</v>
      </c>
      <c r="B21" s="26"/>
      <c r="C21" s="23" t="s">
        <v>300</v>
      </c>
      <c r="D21" s="31" t="s">
        <v>589</v>
      </c>
      <c r="E21" s="31" t="s">
        <v>412</v>
      </c>
      <c r="F21" s="28" t="s">
        <v>8</v>
      </c>
      <c r="G21" s="25" t="s">
        <v>413</v>
      </c>
      <c r="H21" s="24" t="s">
        <v>414</v>
      </c>
      <c r="I21" s="32">
        <v>7619818</v>
      </c>
      <c r="J21" s="7">
        <v>45352</v>
      </c>
    </row>
    <row r="22" spans="1:10" s="4" customFormat="1" ht="14.25" customHeight="1" x14ac:dyDescent="0.35">
      <c r="A22" s="6">
        <f t="shared" si="0"/>
        <v>20</v>
      </c>
      <c r="B22" s="26"/>
      <c r="C22" s="23" t="s">
        <v>340</v>
      </c>
      <c r="D22" s="31" t="s">
        <v>589</v>
      </c>
      <c r="E22" s="31" t="s">
        <v>531</v>
      </c>
      <c r="F22" s="28" t="s">
        <v>8</v>
      </c>
      <c r="G22" s="25" t="s">
        <v>532</v>
      </c>
      <c r="H22" s="24" t="s">
        <v>533</v>
      </c>
      <c r="I22" s="32">
        <v>7704254</v>
      </c>
      <c r="J22" s="7">
        <v>45352</v>
      </c>
    </row>
    <row r="23" spans="1:10" s="4" customFormat="1" ht="14.25" customHeight="1" x14ac:dyDescent="0.35">
      <c r="A23" s="6">
        <f t="shared" si="0"/>
        <v>21</v>
      </c>
      <c r="B23" s="26"/>
      <c r="C23" s="21" t="s">
        <v>26</v>
      </c>
      <c r="D23" s="31" t="s">
        <v>589</v>
      </c>
      <c r="E23" s="31" t="s">
        <v>27</v>
      </c>
      <c r="F23" s="28" t="s">
        <v>9</v>
      </c>
      <c r="G23" s="18" t="s">
        <v>28</v>
      </c>
      <c r="H23" s="19" t="s">
        <v>29</v>
      </c>
      <c r="I23" s="32">
        <v>7781948</v>
      </c>
      <c r="J23" s="7">
        <v>45352</v>
      </c>
    </row>
    <row r="24" spans="1:10" s="4" customFormat="1" ht="14.25" customHeight="1" x14ac:dyDescent="0.35">
      <c r="A24" s="6">
        <f t="shared" si="0"/>
        <v>22</v>
      </c>
      <c r="B24" s="27"/>
      <c r="C24" s="16" t="s">
        <v>156</v>
      </c>
      <c r="D24" s="31" t="s">
        <v>589</v>
      </c>
      <c r="E24" s="31" t="s">
        <v>157</v>
      </c>
      <c r="F24" s="29" t="s">
        <v>8</v>
      </c>
      <c r="G24" s="14" t="s">
        <v>158</v>
      </c>
      <c r="H24" s="15" t="s">
        <v>159</v>
      </c>
      <c r="I24" s="32">
        <v>7431182</v>
      </c>
      <c r="J24" s="7">
        <v>45352</v>
      </c>
    </row>
    <row r="25" spans="1:10" s="4" customFormat="1" ht="14.25" customHeight="1" x14ac:dyDescent="0.35">
      <c r="A25" s="6">
        <f t="shared" si="0"/>
        <v>23</v>
      </c>
      <c r="B25" s="26"/>
      <c r="C25" s="23" t="s">
        <v>164</v>
      </c>
      <c r="D25" s="31" t="s">
        <v>589</v>
      </c>
      <c r="E25" s="31" t="s">
        <v>165</v>
      </c>
      <c r="F25" s="28" t="s">
        <v>9</v>
      </c>
      <c r="G25" s="25" t="s">
        <v>166</v>
      </c>
      <c r="H25" s="24" t="s">
        <v>167</v>
      </c>
      <c r="I25" s="32">
        <v>8085582</v>
      </c>
      <c r="J25" s="7">
        <v>45352</v>
      </c>
    </row>
    <row r="26" spans="1:10" s="4" customFormat="1" ht="14.25" customHeight="1" x14ac:dyDescent="0.35">
      <c r="A26" s="6">
        <f t="shared" si="0"/>
        <v>24</v>
      </c>
      <c r="B26" s="27" t="s">
        <v>81</v>
      </c>
      <c r="C26" s="16" t="s">
        <v>82</v>
      </c>
      <c r="D26" s="31" t="s">
        <v>589</v>
      </c>
      <c r="E26" s="31" t="s">
        <v>83</v>
      </c>
      <c r="F26" s="29" t="s">
        <v>10</v>
      </c>
      <c r="G26" s="14" t="s">
        <v>84</v>
      </c>
      <c r="H26" s="15" t="s">
        <v>85</v>
      </c>
      <c r="I26" s="32">
        <v>8769900</v>
      </c>
      <c r="J26" s="7">
        <v>45352</v>
      </c>
    </row>
    <row r="27" spans="1:10" s="4" customFormat="1" ht="14.25" customHeight="1" x14ac:dyDescent="0.35">
      <c r="A27" s="6">
        <f t="shared" si="0"/>
        <v>25</v>
      </c>
      <c r="B27" s="26"/>
      <c r="C27" s="23" t="s">
        <v>269</v>
      </c>
      <c r="D27" s="31" t="s">
        <v>589</v>
      </c>
      <c r="E27" s="31" t="s">
        <v>270</v>
      </c>
      <c r="F27" s="28" t="s">
        <v>233</v>
      </c>
      <c r="G27" s="25" t="s">
        <v>271</v>
      </c>
      <c r="H27" s="24" t="s">
        <v>272</v>
      </c>
      <c r="I27" s="32">
        <v>8970738</v>
      </c>
      <c r="J27" s="7">
        <v>45352</v>
      </c>
    </row>
    <row r="28" spans="1:10" s="4" customFormat="1" ht="14.25" customHeight="1" x14ac:dyDescent="0.35">
      <c r="A28" s="6">
        <f t="shared" si="0"/>
        <v>26</v>
      </c>
      <c r="B28" s="27" t="s">
        <v>91</v>
      </c>
      <c r="C28" s="16" t="s">
        <v>92</v>
      </c>
      <c r="D28" s="31" t="s">
        <v>589</v>
      </c>
      <c r="E28" s="31" t="s">
        <v>93</v>
      </c>
      <c r="F28" s="29" t="s">
        <v>10</v>
      </c>
      <c r="G28" s="14" t="s">
        <v>94</v>
      </c>
      <c r="H28" s="15" t="s">
        <v>95</v>
      </c>
      <c r="I28" s="32">
        <v>10228243</v>
      </c>
      <c r="J28" s="7">
        <v>45352</v>
      </c>
    </row>
    <row r="29" spans="1:10" s="4" customFormat="1" ht="14.25" customHeight="1" x14ac:dyDescent="0.35">
      <c r="A29" s="6">
        <f t="shared" si="0"/>
        <v>27</v>
      </c>
      <c r="B29" s="27"/>
      <c r="C29" s="16" t="s">
        <v>277</v>
      </c>
      <c r="D29" s="31" t="s">
        <v>589</v>
      </c>
      <c r="E29" s="31" t="s">
        <v>278</v>
      </c>
      <c r="F29" s="29" t="s">
        <v>279</v>
      </c>
      <c r="G29" s="14" t="s">
        <v>280</v>
      </c>
      <c r="H29" s="15" t="s">
        <v>281</v>
      </c>
      <c r="I29" s="32">
        <v>10083627</v>
      </c>
      <c r="J29" s="7">
        <v>45352</v>
      </c>
    </row>
    <row r="30" spans="1:10" s="4" customFormat="1" ht="14.25" customHeight="1" x14ac:dyDescent="0.35">
      <c r="A30" s="6">
        <f t="shared" si="0"/>
        <v>28</v>
      </c>
      <c r="B30" s="26"/>
      <c r="C30" s="23" t="s">
        <v>248</v>
      </c>
      <c r="D30" s="31" t="s">
        <v>589</v>
      </c>
      <c r="E30" s="31" t="s">
        <v>249</v>
      </c>
      <c r="F30" s="28" t="s">
        <v>228</v>
      </c>
      <c r="G30" s="25" t="s">
        <v>250</v>
      </c>
      <c r="H30" s="24" t="s">
        <v>251</v>
      </c>
      <c r="I30" s="32">
        <v>13139211</v>
      </c>
      <c r="J30" s="7">
        <v>45352</v>
      </c>
    </row>
    <row r="31" spans="1:10" s="4" customFormat="1" ht="14.25" customHeight="1" x14ac:dyDescent="0.35">
      <c r="A31" s="6">
        <f t="shared" si="0"/>
        <v>29</v>
      </c>
      <c r="B31" s="26"/>
      <c r="C31" s="23" t="s">
        <v>352</v>
      </c>
      <c r="D31" s="31" t="s">
        <v>589</v>
      </c>
      <c r="E31" s="31" t="s">
        <v>567</v>
      </c>
      <c r="F31" s="28" t="s">
        <v>10</v>
      </c>
      <c r="G31" s="25" t="s">
        <v>568</v>
      </c>
      <c r="H31" s="24" t="s">
        <v>569</v>
      </c>
      <c r="I31" s="32">
        <v>14650308</v>
      </c>
      <c r="J31" s="7">
        <v>45352</v>
      </c>
    </row>
    <row r="32" spans="1:10" s="4" customFormat="1" ht="14.25" customHeight="1" x14ac:dyDescent="0.35">
      <c r="A32" s="6">
        <f t="shared" si="0"/>
        <v>30</v>
      </c>
      <c r="B32" s="26"/>
      <c r="C32" s="23" t="s">
        <v>347</v>
      </c>
      <c r="D32" s="31" t="s">
        <v>589</v>
      </c>
      <c r="E32" s="31" t="s">
        <v>552</v>
      </c>
      <c r="F32" s="28" t="s">
        <v>10</v>
      </c>
      <c r="G32" s="25" t="s">
        <v>553</v>
      </c>
      <c r="H32" s="24" t="s">
        <v>554</v>
      </c>
      <c r="I32" s="32">
        <v>14722876</v>
      </c>
      <c r="J32" s="7">
        <v>45352</v>
      </c>
    </row>
    <row r="33" spans="1:10" s="4" customFormat="1" ht="14.25" customHeight="1" x14ac:dyDescent="0.35">
      <c r="A33" s="6">
        <f t="shared" si="0"/>
        <v>31</v>
      </c>
      <c r="B33" s="26"/>
      <c r="C33" s="23" t="s">
        <v>309</v>
      </c>
      <c r="D33" s="31" t="s">
        <v>589</v>
      </c>
      <c r="E33" s="31" t="s">
        <v>439</v>
      </c>
      <c r="F33" s="28" t="s">
        <v>13</v>
      </c>
      <c r="G33" s="25" t="s">
        <v>440</v>
      </c>
      <c r="H33" s="24" t="s">
        <v>441</v>
      </c>
      <c r="I33" s="32">
        <v>16681152</v>
      </c>
      <c r="J33" s="7">
        <v>45352</v>
      </c>
    </row>
    <row r="34" spans="1:10" s="4" customFormat="1" ht="14.25" customHeight="1" x14ac:dyDescent="0.35">
      <c r="A34" s="6">
        <f t="shared" si="0"/>
        <v>32</v>
      </c>
      <c r="B34" s="26"/>
      <c r="C34" s="23" t="s">
        <v>273</v>
      </c>
      <c r="D34" s="31" t="s">
        <v>589</v>
      </c>
      <c r="E34" s="31" t="s">
        <v>274</v>
      </c>
      <c r="F34" s="28" t="s">
        <v>228</v>
      </c>
      <c r="G34" s="25" t="s">
        <v>275</v>
      </c>
      <c r="H34" s="24" t="s">
        <v>276</v>
      </c>
      <c r="I34" s="32">
        <v>39400748</v>
      </c>
      <c r="J34" s="7">
        <v>45352</v>
      </c>
    </row>
    <row r="35" spans="1:10" s="4" customFormat="1" ht="14.25" customHeight="1" x14ac:dyDescent="0.35">
      <c r="A35" s="6">
        <f t="shared" si="0"/>
        <v>33</v>
      </c>
      <c r="B35" s="27"/>
      <c r="C35" s="16" t="s">
        <v>236</v>
      </c>
      <c r="D35" s="31" t="s">
        <v>589</v>
      </c>
      <c r="E35" s="31" t="s">
        <v>237</v>
      </c>
      <c r="F35" s="29" t="s">
        <v>228</v>
      </c>
      <c r="G35" s="14" t="s">
        <v>238</v>
      </c>
      <c r="H35" s="15" t="s">
        <v>239</v>
      </c>
      <c r="I35" s="32">
        <v>51465939</v>
      </c>
      <c r="J35" s="7">
        <v>45352</v>
      </c>
    </row>
    <row r="36" spans="1:10" s="4" customFormat="1" ht="14.25" customHeight="1" x14ac:dyDescent="0.35">
      <c r="A36" s="6">
        <f t="shared" si="0"/>
        <v>34</v>
      </c>
      <c r="B36" s="26"/>
      <c r="C36" s="23" t="s">
        <v>291</v>
      </c>
      <c r="D36" s="31" t="s">
        <v>589</v>
      </c>
      <c r="E36" s="31" t="s">
        <v>386</v>
      </c>
      <c r="F36" s="28" t="s">
        <v>9</v>
      </c>
      <c r="G36" s="25" t="s">
        <v>387</v>
      </c>
      <c r="H36" s="24" t="s">
        <v>388</v>
      </c>
      <c r="I36" s="32">
        <v>53059894</v>
      </c>
      <c r="J36" s="7">
        <v>45352</v>
      </c>
    </row>
    <row r="37" spans="1:10" s="4" customFormat="1" ht="14.25" customHeight="1" x14ac:dyDescent="0.35">
      <c r="A37" s="6">
        <f t="shared" si="0"/>
        <v>35</v>
      </c>
      <c r="B37" s="26"/>
      <c r="C37" s="21" t="s">
        <v>641</v>
      </c>
      <c r="D37" s="31" t="s">
        <v>589</v>
      </c>
      <c r="E37" s="31" t="s">
        <v>608</v>
      </c>
      <c r="F37" s="28" t="s">
        <v>599</v>
      </c>
      <c r="G37" s="18" t="s">
        <v>609</v>
      </c>
      <c r="H37" s="19" t="s">
        <v>610</v>
      </c>
      <c r="I37" s="32">
        <v>6500000</v>
      </c>
      <c r="J37" s="7">
        <v>45352</v>
      </c>
    </row>
    <row r="38" spans="1:10" s="4" customFormat="1" ht="14.25" customHeight="1" x14ac:dyDescent="0.35">
      <c r="A38" s="6">
        <f t="shared" si="0"/>
        <v>36</v>
      </c>
      <c r="B38" s="26"/>
      <c r="C38" s="21" t="s">
        <v>645</v>
      </c>
      <c r="D38" s="31" t="s">
        <v>589</v>
      </c>
      <c r="E38" s="31" t="s">
        <v>621</v>
      </c>
      <c r="F38" s="28" t="s">
        <v>595</v>
      </c>
      <c r="G38" s="18" t="s">
        <v>622</v>
      </c>
      <c r="H38" s="19" t="s">
        <v>623</v>
      </c>
      <c r="I38" s="32">
        <v>3300000</v>
      </c>
      <c r="J38" s="7">
        <v>45352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F110-750D-462C-ACB6-760C2CFF14E6}">
  <dimension ref="A1:Q118"/>
  <sheetViews>
    <sheetView workbookViewId="0">
      <selection activeCell="G111" sqref="G111"/>
    </sheetView>
  </sheetViews>
  <sheetFormatPr defaultRowHeight="15" x14ac:dyDescent="0.25"/>
  <cols>
    <col min="1" max="1" width="39.85546875" bestFit="1" customWidth="1"/>
    <col min="2" max="2" width="8.42578125" bestFit="1" customWidth="1"/>
    <col min="4" max="4" width="6" bestFit="1" customWidth="1"/>
    <col min="5" max="5" width="40.5703125" bestFit="1" customWidth="1"/>
    <col min="9" max="9" width="32.5703125" bestFit="1" customWidth="1"/>
  </cols>
  <sheetData>
    <row r="1" spans="1:17" x14ac:dyDescent="0.25">
      <c r="A1" s="40" t="s">
        <v>774</v>
      </c>
      <c r="B1" s="42" t="str">
        <f>RIGHT(A1,8)</f>
        <v>-03-2024</v>
      </c>
      <c r="C1" s="42"/>
      <c r="D1" s="42">
        <v>21859</v>
      </c>
      <c r="E1" s="42" t="str">
        <f>"ia.assorted_string like '%"&amp;D1&amp;B1&amp;"%' or"</f>
        <v>ia.assorted_string like '%21859-03-2024%' or</v>
      </c>
      <c r="I1" s="40" t="s">
        <v>892</v>
      </c>
      <c r="J1" t="s">
        <v>893</v>
      </c>
      <c r="K1" t="s">
        <v>894</v>
      </c>
      <c r="L1" t="s">
        <v>895</v>
      </c>
      <c r="M1" t="s">
        <v>896</v>
      </c>
      <c r="N1" t="s">
        <v>897</v>
      </c>
      <c r="O1">
        <v>21859</v>
      </c>
      <c r="P1">
        <v>3</v>
      </c>
      <c r="Q1">
        <v>2024</v>
      </c>
    </row>
    <row r="2" spans="1:17" x14ac:dyDescent="0.25">
      <c r="A2" s="40" t="s">
        <v>775</v>
      </c>
      <c r="B2" s="42" t="str">
        <f t="shared" ref="B2:B65" si="0">RIGHT(A2,8)</f>
        <v>-03-2024</v>
      </c>
      <c r="D2" s="42">
        <v>21860</v>
      </c>
      <c r="E2" s="42" t="str">
        <f t="shared" ref="E2:E65" si="1">"ia.assorted_string like '%"&amp;D2&amp;B2&amp;"%' or"</f>
        <v>ia.assorted_string like '%21860-03-2024%' or</v>
      </c>
      <c r="I2" s="40" t="s">
        <v>892</v>
      </c>
      <c r="J2" t="s">
        <v>893</v>
      </c>
      <c r="K2" t="s">
        <v>894</v>
      </c>
      <c r="L2" t="s">
        <v>895</v>
      </c>
      <c r="M2" t="s">
        <v>896</v>
      </c>
      <c r="N2" t="s">
        <v>897</v>
      </c>
      <c r="O2">
        <v>21860</v>
      </c>
      <c r="P2">
        <v>3</v>
      </c>
      <c r="Q2">
        <v>2024</v>
      </c>
    </row>
    <row r="3" spans="1:17" x14ac:dyDescent="0.25">
      <c r="A3" s="40" t="s">
        <v>776</v>
      </c>
      <c r="B3" s="42" t="str">
        <f t="shared" si="0"/>
        <v>-03-2024</v>
      </c>
      <c r="D3" s="42">
        <v>21861</v>
      </c>
      <c r="E3" s="42" t="str">
        <f t="shared" si="1"/>
        <v>ia.assorted_string like '%21861-03-2024%' or</v>
      </c>
      <c r="I3" s="40" t="s">
        <v>892</v>
      </c>
      <c r="J3" t="s">
        <v>893</v>
      </c>
      <c r="K3" t="s">
        <v>894</v>
      </c>
      <c r="L3" t="s">
        <v>895</v>
      </c>
      <c r="M3" t="s">
        <v>896</v>
      </c>
      <c r="N3" t="s">
        <v>897</v>
      </c>
      <c r="O3">
        <v>21861</v>
      </c>
      <c r="P3">
        <v>3</v>
      </c>
      <c r="Q3">
        <v>2024</v>
      </c>
    </row>
    <row r="4" spans="1:17" x14ac:dyDescent="0.25">
      <c r="A4" s="40" t="s">
        <v>777</v>
      </c>
      <c r="B4" s="42" t="str">
        <f t="shared" si="0"/>
        <v>-03-2024</v>
      </c>
      <c r="D4" s="42">
        <v>21862</v>
      </c>
      <c r="E4" s="42" t="str">
        <f t="shared" si="1"/>
        <v>ia.assorted_string like '%21862-03-2024%' or</v>
      </c>
      <c r="I4" s="40" t="s">
        <v>892</v>
      </c>
      <c r="J4" t="s">
        <v>893</v>
      </c>
      <c r="K4" t="s">
        <v>894</v>
      </c>
      <c r="L4" t="s">
        <v>895</v>
      </c>
      <c r="M4" t="s">
        <v>896</v>
      </c>
      <c r="N4" t="s">
        <v>897</v>
      </c>
      <c r="O4">
        <v>21862</v>
      </c>
      <c r="P4">
        <v>3</v>
      </c>
      <c r="Q4">
        <v>2024</v>
      </c>
    </row>
    <row r="5" spans="1:17" x14ac:dyDescent="0.25">
      <c r="A5" s="40" t="s">
        <v>778</v>
      </c>
      <c r="B5" s="42" t="str">
        <f t="shared" si="0"/>
        <v>-03-2024</v>
      </c>
      <c r="D5" s="42">
        <v>21863</v>
      </c>
      <c r="E5" s="42" t="str">
        <f t="shared" si="1"/>
        <v>ia.assorted_string like '%21863-03-2024%' or</v>
      </c>
      <c r="I5" s="40" t="s">
        <v>892</v>
      </c>
      <c r="J5" t="s">
        <v>893</v>
      </c>
      <c r="K5" t="s">
        <v>894</v>
      </c>
      <c r="L5" t="s">
        <v>895</v>
      </c>
      <c r="M5" t="s">
        <v>896</v>
      </c>
      <c r="N5" t="s">
        <v>897</v>
      </c>
      <c r="O5">
        <v>21863</v>
      </c>
      <c r="P5">
        <v>3</v>
      </c>
      <c r="Q5">
        <v>2024</v>
      </c>
    </row>
    <row r="6" spans="1:17" x14ac:dyDescent="0.25">
      <c r="A6" s="40" t="s">
        <v>779</v>
      </c>
      <c r="B6" s="42" t="str">
        <f t="shared" si="0"/>
        <v>-03-2024</v>
      </c>
      <c r="D6" s="42">
        <v>21864</v>
      </c>
      <c r="E6" s="42" t="str">
        <f t="shared" si="1"/>
        <v>ia.assorted_string like '%21864-03-2024%' or</v>
      </c>
      <c r="I6" s="40" t="s">
        <v>892</v>
      </c>
      <c r="J6" t="s">
        <v>893</v>
      </c>
      <c r="K6" t="s">
        <v>894</v>
      </c>
      <c r="L6" t="s">
        <v>895</v>
      </c>
      <c r="M6" t="s">
        <v>896</v>
      </c>
      <c r="N6" t="s">
        <v>897</v>
      </c>
      <c r="O6">
        <v>21864</v>
      </c>
      <c r="P6">
        <v>3</v>
      </c>
      <c r="Q6">
        <v>2024</v>
      </c>
    </row>
    <row r="7" spans="1:17" x14ac:dyDescent="0.25">
      <c r="A7" s="40" t="s">
        <v>780</v>
      </c>
      <c r="B7" s="42" t="str">
        <f t="shared" si="0"/>
        <v>-03-2024</v>
      </c>
      <c r="D7" s="42">
        <v>21865</v>
      </c>
      <c r="E7" s="42" t="str">
        <f t="shared" si="1"/>
        <v>ia.assorted_string like '%21865-03-2024%' or</v>
      </c>
      <c r="I7" s="40" t="s">
        <v>892</v>
      </c>
      <c r="J7" t="s">
        <v>893</v>
      </c>
      <c r="K7" t="s">
        <v>894</v>
      </c>
      <c r="L7" t="s">
        <v>895</v>
      </c>
      <c r="M7" t="s">
        <v>896</v>
      </c>
      <c r="N7" t="s">
        <v>897</v>
      </c>
      <c r="O7">
        <v>21865</v>
      </c>
      <c r="P7">
        <v>3</v>
      </c>
      <c r="Q7">
        <v>2024</v>
      </c>
    </row>
    <row r="8" spans="1:17" x14ac:dyDescent="0.25">
      <c r="A8" s="40" t="s">
        <v>781</v>
      </c>
      <c r="B8" s="42" t="str">
        <f t="shared" si="0"/>
        <v>-03-2024</v>
      </c>
      <c r="D8" s="42">
        <v>21866</v>
      </c>
      <c r="E8" s="42" t="str">
        <f t="shared" si="1"/>
        <v>ia.assorted_string like '%21866-03-2024%' or</v>
      </c>
      <c r="I8" s="40" t="s">
        <v>892</v>
      </c>
      <c r="J8" t="s">
        <v>893</v>
      </c>
      <c r="K8" t="s">
        <v>894</v>
      </c>
      <c r="L8" t="s">
        <v>895</v>
      </c>
      <c r="M8" t="s">
        <v>896</v>
      </c>
      <c r="N8" t="s">
        <v>897</v>
      </c>
      <c r="O8">
        <v>21866</v>
      </c>
      <c r="P8">
        <v>3</v>
      </c>
      <c r="Q8">
        <v>2024</v>
      </c>
    </row>
    <row r="9" spans="1:17" x14ac:dyDescent="0.25">
      <c r="A9" s="40" t="s">
        <v>782</v>
      </c>
      <c r="B9" s="42" t="str">
        <f t="shared" si="0"/>
        <v>-03-2024</v>
      </c>
      <c r="D9" s="42">
        <v>21867</v>
      </c>
      <c r="E9" s="42" t="str">
        <f t="shared" si="1"/>
        <v>ia.assorted_string like '%21867-03-2024%' or</v>
      </c>
      <c r="I9" s="40" t="s">
        <v>892</v>
      </c>
      <c r="J9" t="s">
        <v>893</v>
      </c>
      <c r="K9" t="s">
        <v>894</v>
      </c>
      <c r="L9" t="s">
        <v>895</v>
      </c>
      <c r="M9" t="s">
        <v>896</v>
      </c>
      <c r="N9" t="s">
        <v>897</v>
      </c>
      <c r="O9">
        <v>21867</v>
      </c>
      <c r="P9">
        <v>3</v>
      </c>
      <c r="Q9">
        <v>2024</v>
      </c>
    </row>
    <row r="10" spans="1:17" x14ac:dyDescent="0.25">
      <c r="A10" s="40" t="s">
        <v>783</v>
      </c>
      <c r="B10" s="42" t="str">
        <f t="shared" si="0"/>
        <v>-03-2024</v>
      </c>
      <c r="D10" s="42">
        <v>21868</v>
      </c>
      <c r="E10" s="42" t="str">
        <f t="shared" si="1"/>
        <v>ia.assorted_string like '%21868-03-2024%' or</v>
      </c>
      <c r="I10" s="40" t="s">
        <v>892</v>
      </c>
      <c r="J10" t="s">
        <v>893</v>
      </c>
      <c r="K10" t="s">
        <v>894</v>
      </c>
      <c r="L10" t="s">
        <v>895</v>
      </c>
      <c r="M10" t="s">
        <v>896</v>
      </c>
      <c r="N10" t="s">
        <v>897</v>
      </c>
      <c r="O10">
        <v>21868</v>
      </c>
      <c r="P10">
        <v>3</v>
      </c>
      <c r="Q10">
        <v>2024</v>
      </c>
    </row>
    <row r="11" spans="1:17" x14ac:dyDescent="0.25">
      <c r="A11" s="40" t="s">
        <v>784</v>
      </c>
      <c r="B11" s="42" t="str">
        <f t="shared" si="0"/>
        <v>-03-2024</v>
      </c>
      <c r="D11" s="42">
        <v>21869</v>
      </c>
      <c r="E11" s="42" t="str">
        <f t="shared" si="1"/>
        <v>ia.assorted_string like '%21869-03-2024%' or</v>
      </c>
      <c r="I11" s="40" t="s">
        <v>892</v>
      </c>
      <c r="J11" t="s">
        <v>893</v>
      </c>
      <c r="K11" t="s">
        <v>894</v>
      </c>
      <c r="L11" t="s">
        <v>895</v>
      </c>
      <c r="M11" t="s">
        <v>896</v>
      </c>
      <c r="N11" t="s">
        <v>897</v>
      </c>
      <c r="O11">
        <v>21869</v>
      </c>
      <c r="P11">
        <v>3</v>
      </c>
      <c r="Q11">
        <v>2024</v>
      </c>
    </row>
    <row r="12" spans="1:17" x14ac:dyDescent="0.25">
      <c r="A12" s="40" t="s">
        <v>785</v>
      </c>
      <c r="B12" s="42" t="str">
        <f t="shared" si="0"/>
        <v>-03-2024</v>
      </c>
      <c r="D12" s="42">
        <v>21870</v>
      </c>
      <c r="E12" s="42" t="str">
        <f t="shared" si="1"/>
        <v>ia.assorted_string like '%21870-03-2024%' or</v>
      </c>
      <c r="I12" s="40" t="s">
        <v>892</v>
      </c>
      <c r="J12" t="s">
        <v>893</v>
      </c>
      <c r="K12" t="s">
        <v>894</v>
      </c>
      <c r="L12" t="s">
        <v>895</v>
      </c>
      <c r="M12" t="s">
        <v>896</v>
      </c>
      <c r="N12" t="s">
        <v>897</v>
      </c>
      <c r="O12">
        <v>21870</v>
      </c>
      <c r="P12">
        <v>3</v>
      </c>
      <c r="Q12">
        <v>2024</v>
      </c>
    </row>
    <row r="13" spans="1:17" x14ac:dyDescent="0.25">
      <c r="A13" s="40" t="s">
        <v>786</v>
      </c>
      <c r="B13" s="42" t="str">
        <f t="shared" si="0"/>
        <v>-03-2024</v>
      </c>
      <c r="D13" s="42">
        <v>21871</v>
      </c>
      <c r="E13" s="42" t="str">
        <f t="shared" si="1"/>
        <v>ia.assorted_string like '%21871-03-2024%' or</v>
      </c>
      <c r="I13" s="40" t="s">
        <v>892</v>
      </c>
      <c r="J13" t="s">
        <v>893</v>
      </c>
      <c r="K13" t="s">
        <v>894</v>
      </c>
      <c r="L13" t="s">
        <v>895</v>
      </c>
      <c r="M13" t="s">
        <v>896</v>
      </c>
      <c r="N13" t="s">
        <v>897</v>
      </c>
      <c r="O13">
        <v>21871</v>
      </c>
      <c r="P13">
        <v>3</v>
      </c>
      <c r="Q13">
        <v>2024</v>
      </c>
    </row>
    <row r="14" spans="1:17" x14ac:dyDescent="0.25">
      <c r="A14" s="40" t="s">
        <v>787</v>
      </c>
      <c r="B14" s="42" t="str">
        <f t="shared" si="0"/>
        <v>-03-2024</v>
      </c>
      <c r="D14" s="42">
        <v>21872</v>
      </c>
      <c r="E14" s="42" t="str">
        <f t="shared" si="1"/>
        <v>ia.assorted_string like '%21872-03-2024%' or</v>
      </c>
      <c r="I14" s="40" t="s">
        <v>892</v>
      </c>
      <c r="J14" t="s">
        <v>893</v>
      </c>
      <c r="K14" t="s">
        <v>894</v>
      </c>
      <c r="L14" t="s">
        <v>895</v>
      </c>
      <c r="M14" t="s">
        <v>896</v>
      </c>
      <c r="N14" t="s">
        <v>897</v>
      </c>
      <c r="O14">
        <v>21872</v>
      </c>
      <c r="P14">
        <v>3</v>
      </c>
      <c r="Q14">
        <v>2024</v>
      </c>
    </row>
    <row r="15" spans="1:17" x14ac:dyDescent="0.25">
      <c r="A15" s="40" t="s">
        <v>788</v>
      </c>
      <c r="B15" s="42" t="str">
        <f t="shared" si="0"/>
        <v>-03-2024</v>
      </c>
      <c r="D15" s="42">
        <v>21873</v>
      </c>
      <c r="E15" s="42" t="str">
        <f t="shared" si="1"/>
        <v>ia.assorted_string like '%21873-03-2024%' or</v>
      </c>
      <c r="I15" s="40" t="s">
        <v>892</v>
      </c>
      <c r="J15" t="s">
        <v>893</v>
      </c>
      <c r="K15" t="s">
        <v>894</v>
      </c>
      <c r="L15" t="s">
        <v>895</v>
      </c>
      <c r="M15" t="s">
        <v>896</v>
      </c>
      <c r="N15" t="s">
        <v>897</v>
      </c>
      <c r="O15">
        <v>21873</v>
      </c>
      <c r="P15">
        <v>3</v>
      </c>
      <c r="Q15">
        <v>2024</v>
      </c>
    </row>
    <row r="16" spans="1:17" x14ac:dyDescent="0.25">
      <c r="A16" s="40" t="s">
        <v>789</v>
      </c>
      <c r="B16" s="42" t="str">
        <f t="shared" si="0"/>
        <v>-03-2024</v>
      </c>
      <c r="D16" s="42">
        <v>21874</v>
      </c>
      <c r="E16" s="42" t="str">
        <f t="shared" si="1"/>
        <v>ia.assorted_string like '%21874-03-2024%' or</v>
      </c>
      <c r="I16" s="40" t="s">
        <v>892</v>
      </c>
      <c r="J16" t="s">
        <v>893</v>
      </c>
      <c r="K16" t="s">
        <v>894</v>
      </c>
      <c r="L16" t="s">
        <v>895</v>
      </c>
      <c r="M16" t="s">
        <v>896</v>
      </c>
      <c r="N16" t="s">
        <v>897</v>
      </c>
      <c r="O16">
        <v>21874</v>
      </c>
      <c r="P16">
        <v>3</v>
      </c>
      <c r="Q16">
        <v>2024</v>
      </c>
    </row>
    <row r="17" spans="1:17" x14ac:dyDescent="0.25">
      <c r="A17" s="40" t="s">
        <v>790</v>
      </c>
      <c r="B17" s="42" t="str">
        <f t="shared" si="0"/>
        <v>-03-2024</v>
      </c>
      <c r="D17" s="42">
        <v>21875</v>
      </c>
      <c r="E17" s="42" t="str">
        <f t="shared" si="1"/>
        <v>ia.assorted_string like '%21875-03-2024%' or</v>
      </c>
      <c r="I17" s="40" t="s">
        <v>892</v>
      </c>
      <c r="J17" t="s">
        <v>893</v>
      </c>
      <c r="K17" t="s">
        <v>894</v>
      </c>
      <c r="L17" t="s">
        <v>895</v>
      </c>
      <c r="M17" t="s">
        <v>896</v>
      </c>
      <c r="N17" t="s">
        <v>897</v>
      </c>
      <c r="O17">
        <v>21875</v>
      </c>
      <c r="P17">
        <v>3</v>
      </c>
      <c r="Q17">
        <v>2024</v>
      </c>
    </row>
    <row r="18" spans="1:17" x14ac:dyDescent="0.25">
      <c r="A18" s="40" t="s">
        <v>791</v>
      </c>
      <c r="B18" s="42" t="str">
        <f t="shared" si="0"/>
        <v>-03-2024</v>
      </c>
      <c r="D18" s="42">
        <v>21876</v>
      </c>
      <c r="E18" s="42" t="str">
        <f t="shared" si="1"/>
        <v>ia.assorted_string like '%21876-03-2024%' or</v>
      </c>
      <c r="I18" s="40" t="s">
        <v>892</v>
      </c>
      <c r="J18" t="s">
        <v>893</v>
      </c>
      <c r="K18" t="s">
        <v>894</v>
      </c>
      <c r="L18" t="s">
        <v>895</v>
      </c>
      <c r="M18" t="s">
        <v>896</v>
      </c>
      <c r="N18" t="s">
        <v>897</v>
      </c>
      <c r="O18">
        <v>21876</v>
      </c>
      <c r="P18">
        <v>3</v>
      </c>
      <c r="Q18">
        <v>2024</v>
      </c>
    </row>
    <row r="19" spans="1:17" x14ac:dyDescent="0.25">
      <c r="A19" s="40" t="s">
        <v>792</v>
      </c>
      <c r="B19" s="42" t="str">
        <f t="shared" si="0"/>
        <v>-03-2024</v>
      </c>
      <c r="D19" s="42">
        <v>21883</v>
      </c>
      <c r="E19" s="42" t="str">
        <f t="shared" si="1"/>
        <v>ia.assorted_string like '%21883-03-2024%' or</v>
      </c>
      <c r="I19" s="40" t="s">
        <v>892</v>
      </c>
      <c r="J19" t="s">
        <v>893</v>
      </c>
      <c r="K19" t="s">
        <v>894</v>
      </c>
      <c r="L19" t="s">
        <v>895</v>
      </c>
      <c r="M19" t="s">
        <v>896</v>
      </c>
      <c r="N19" t="s">
        <v>897</v>
      </c>
      <c r="O19">
        <v>21883</v>
      </c>
      <c r="P19">
        <v>3</v>
      </c>
      <c r="Q19">
        <v>2024</v>
      </c>
    </row>
    <row r="20" spans="1:17" x14ac:dyDescent="0.25">
      <c r="A20" s="40" t="s">
        <v>793</v>
      </c>
      <c r="B20" s="42" t="str">
        <f t="shared" si="0"/>
        <v>-03-2024</v>
      </c>
      <c r="D20" s="42">
        <v>21884</v>
      </c>
      <c r="E20" s="42" t="str">
        <f t="shared" si="1"/>
        <v>ia.assorted_string like '%21884-03-2024%' or</v>
      </c>
      <c r="I20" s="40" t="s">
        <v>892</v>
      </c>
      <c r="J20" t="s">
        <v>893</v>
      </c>
      <c r="K20" t="s">
        <v>894</v>
      </c>
      <c r="L20" t="s">
        <v>895</v>
      </c>
      <c r="M20" t="s">
        <v>896</v>
      </c>
      <c r="N20" t="s">
        <v>897</v>
      </c>
      <c r="O20">
        <v>21884</v>
      </c>
      <c r="P20">
        <v>3</v>
      </c>
      <c r="Q20">
        <v>2024</v>
      </c>
    </row>
    <row r="21" spans="1:17" x14ac:dyDescent="0.25">
      <c r="A21" s="40" t="s">
        <v>794</v>
      </c>
      <c r="B21" s="42" t="str">
        <f t="shared" si="0"/>
        <v>-03-2024</v>
      </c>
      <c r="D21" s="42">
        <v>21885</v>
      </c>
      <c r="E21" s="42" t="str">
        <f t="shared" si="1"/>
        <v>ia.assorted_string like '%21885-03-2024%' or</v>
      </c>
      <c r="I21" s="40" t="s">
        <v>892</v>
      </c>
      <c r="J21" t="s">
        <v>893</v>
      </c>
      <c r="K21" t="s">
        <v>894</v>
      </c>
      <c r="L21" t="s">
        <v>895</v>
      </c>
      <c r="M21" t="s">
        <v>896</v>
      </c>
      <c r="N21" t="s">
        <v>897</v>
      </c>
      <c r="O21">
        <v>21885</v>
      </c>
      <c r="P21">
        <v>3</v>
      </c>
      <c r="Q21">
        <v>2024</v>
      </c>
    </row>
    <row r="22" spans="1:17" x14ac:dyDescent="0.25">
      <c r="A22" s="40" t="s">
        <v>795</v>
      </c>
      <c r="B22" s="42" t="str">
        <f t="shared" si="0"/>
        <v>-03-2024</v>
      </c>
      <c r="D22" s="42">
        <v>21886</v>
      </c>
      <c r="E22" s="42" t="str">
        <f t="shared" si="1"/>
        <v>ia.assorted_string like '%21886-03-2024%' or</v>
      </c>
      <c r="I22" s="40" t="s">
        <v>892</v>
      </c>
      <c r="J22" t="s">
        <v>893</v>
      </c>
      <c r="K22" t="s">
        <v>894</v>
      </c>
      <c r="L22" t="s">
        <v>895</v>
      </c>
      <c r="M22" t="s">
        <v>896</v>
      </c>
      <c r="N22" t="s">
        <v>897</v>
      </c>
      <c r="O22">
        <v>21886</v>
      </c>
      <c r="P22">
        <v>3</v>
      </c>
      <c r="Q22">
        <v>2024</v>
      </c>
    </row>
    <row r="23" spans="1:17" x14ac:dyDescent="0.25">
      <c r="A23" s="40" t="s">
        <v>796</v>
      </c>
      <c r="B23" s="42" t="str">
        <f t="shared" si="0"/>
        <v>-03-2024</v>
      </c>
      <c r="D23" s="42">
        <v>21887</v>
      </c>
      <c r="E23" s="42" t="str">
        <f t="shared" si="1"/>
        <v>ia.assorted_string like '%21887-03-2024%' or</v>
      </c>
      <c r="I23" s="40" t="s">
        <v>892</v>
      </c>
      <c r="J23" t="s">
        <v>893</v>
      </c>
      <c r="K23" t="s">
        <v>894</v>
      </c>
      <c r="L23" t="s">
        <v>895</v>
      </c>
      <c r="M23" t="s">
        <v>896</v>
      </c>
      <c r="N23" t="s">
        <v>897</v>
      </c>
      <c r="O23">
        <v>21887</v>
      </c>
      <c r="P23">
        <v>3</v>
      </c>
      <c r="Q23">
        <v>2024</v>
      </c>
    </row>
    <row r="24" spans="1:17" x14ac:dyDescent="0.25">
      <c r="A24" s="40" t="s">
        <v>797</v>
      </c>
      <c r="B24" s="42" t="str">
        <f t="shared" si="0"/>
        <v>-03-2024</v>
      </c>
      <c r="D24" s="42">
        <v>21888</v>
      </c>
      <c r="E24" s="42" t="str">
        <f t="shared" si="1"/>
        <v>ia.assorted_string like '%21888-03-2024%' or</v>
      </c>
      <c r="I24" s="40" t="s">
        <v>892</v>
      </c>
      <c r="J24" t="s">
        <v>893</v>
      </c>
      <c r="K24" t="s">
        <v>894</v>
      </c>
      <c r="L24" t="s">
        <v>895</v>
      </c>
      <c r="M24" t="s">
        <v>896</v>
      </c>
      <c r="N24" t="s">
        <v>897</v>
      </c>
      <c r="O24">
        <v>21888</v>
      </c>
      <c r="P24">
        <v>3</v>
      </c>
      <c r="Q24">
        <v>2024</v>
      </c>
    </row>
    <row r="25" spans="1:17" x14ac:dyDescent="0.25">
      <c r="A25" s="40" t="s">
        <v>798</v>
      </c>
      <c r="B25" s="42" t="str">
        <f t="shared" si="0"/>
        <v>-03-2024</v>
      </c>
      <c r="D25" s="42">
        <v>21889</v>
      </c>
      <c r="E25" s="42" t="str">
        <f t="shared" si="1"/>
        <v>ia.assorted_string like '%21889-03-2024%' or</v>
      </c>
      <c r="I25" s="40" t="s">
        <v>892</v>
      </c>
      <c r="J25" t="s">
        <v>893</v>
      </c>
      <c r="K25" t="s">
        <v>894</v>
      </c>
      <c r="L25" t="s">
        <v>895</v>
      </c>
      <c r="M25" t="s">
        <v>896</v>
      </c>
      <c r="N25" t="s">
        <v>897</v>
      </c>
      <c r="O25">
        <v>21889</v>
      </c>
      <c r="P25">
        <v>3</v>
      </c>
      <c r="Q25">
        <v>2024</v>
      </c>
    </row>
    <row r="26" spans="1:17" x14ac:dyDescent="0.25">
      <c r="A26" s="40" t="s">
        <v>799</v>
      </c>
      <c r="B26" s="42" t="str">
        <f t="shared" si="0"/>
        <v>-03-2024</v>
      </c>
      <c r="D26" s="42">
        <v>21890</v>
      </c>
      <c r="E26" s="42" t="str">
        <f t="shared" si="1"/>
        <v>ia.assorted_string like '%21890-03-2024%' or</v>
      </c>
      <c r="I26" s="40" t="s">
        <v>892</v>
      </c>
      <c r="J26" t="s">
        <v>893</v>
      </c>
      <c r="K26" t="s">
        <v>894</v>
      </c>
      <c r="L26" t="s">
        <v>895</v>
      </c>
      <c r="M26" t="s">
        <v>896</v>
      </c>
      <c r="N26" t="s">
        <v>897</v>
      </c>
      <c r="O26">
        <v>21890</v>
      </c>
      <c r="P26">
        <v>3</v>
      </c>
      <c r="Q26">
        <v>2024</v>
      </c>
    </row>
    <row r="27" spans="1:17" x14ac:dyDescent="0.25">
      <c r="A27" s="40" t="s">
        <v>800</v>
      </c>
      <c r="B27" s="42" t="str">
        <f t="shared" si="0"/>
        <v>-03-2024</v>
      </c>
      <c r="D27" s="42">
        <v>21891</v>
      </c>
      <c r="E27" s="42" t="str">
        <f t="shared" si="1"/>
        <v>ia.assorted_string like '%21891-03-2024%' or</v>
      </c>
      <c r="I27" s="40" t="s">
        <v>892</v>
      </c>
      <c r="J27" t="s">
        <v>893</v>
      </c>
      <c r="K27" t="s">
        <v>894</v>
      </c>
      <c r="L27" t="s">
        <v>895</v>
      </c>
      <c r="M27" t="s">
        <v>896</v>
      </c>
      <c r="N27" t="s">
        <v>897</v>
      </c>
      <c r="O27">
        <v>21891</v>
      </c>
      <c r="P27">
        <v>3</v>
      </c>
      <c r="Q27">
        <v>2024</v>
      </c>
    </row>
    <row r="28" spans="1:17" x14ac:dyDescent="0.25">
      <c r="A28" s="40" t="s">
        <v>801</v>
      </c>
      <c r="B28" s="42" t="str">
        <f t="shared" si="0"/>
        <v>-03-2024</v>
      </c>
      <c r="D28" s="42">
        <v>21892</v>
      </c>
      <c r="E28" s="42" t="str">
        <f t="shared" si="1"/>
        <v>ia.assorted_string like '%21892-03-2024%' or</v>
      </c>
      <c r="I28" s="40" t="s">
        <v>892</v>
      </c>
      <c r="J28" t="s">
        <v>893</v>
      </c>
      <c r="K28" t="s">
        <v>894</v>
      </c>
      <c r="L28" t="s">
        <v>895</v>
      </c>
      <c r="M28" t="s">
        <v>896</v>
      </c>
      <c r="N28" t="s">
        <v>897</v>
      </c>
      <c r="O28">
        <v>21892</v>
      </c>
      <c r="P28">
        <v>3</v>
      </c>
      <c r="Q28">
        <v>2024</v>
      </c>
    </row>
    <row r="29" spans="1:17" x14ac:dyDescent="0.25">
      <c r="A29" s="40" t="s">
        <v>802</v>
      </c>
      <c r="B29" s="42" t="str">
        <f t="shared" si="0"/>
        <v>-03-2024</v>
      </c>
      <c r="D29" s="42">
        <v>21893</v>
      </c>
      <c r="E29" s="42" t="str">
        <f t="shared" si="1"/>
        <v>ia.assorted_string like '%21893-03-2024%' or</v>
      </c>
      <c r="I29" s="40" t="s">
        <v>892</v>
      </c>
      <c r="J29" t="s">
        <v>893</v>
      </c>
      <c r="K29" t="s">
        <v>894</v>
      </c>
      <c r="L29" t="s">
        <v>895</v>
      </c>
      <c r="M29" t="s">
        <v>896</v>
      </c>
      <c r="N29" t="s">
        <v>897</v>
      </c>
      <c r="O29">
        <v>21893</v>
      </c>
      <c r="P29">
        <v>3</v>
      </c>
      <c r="Q29">
        <v>2024</v>
      </c>
    </row>
    <row r="30" spans="1:17" x14ac:dyDescent="0.25">
      <c r="A30" s="40" t="s">
        <v>803</v>
      </c>
      <c r="B30" s="42" t="str">
        <f t="shared" si="0"/>
        <v>-03-2024</v>
      </c>
      <c r="D30" s="42">
        <v>21894</v>
      </c>
      <c r="E30" s="42" t="str">
        <f t="shared" si="1"/>
        <v>ia.assorted_string like '%21894-03-2024%' or</v>
      </c>
      <c r="I30" s="40" t="s">
        <v>892</v>
      </c>
      <c r="J30" t="s">
        <v>893</v>
      </c>
      <c r="K30" t="s">
        <v>894</v>
      </c>
      <c r="L30" t="s">
        <v>895</v>
      </c>
      <c r="M30" t="s">
        <v>896</v>
      </c>
      <c r="N30" t="s">
        <v>897</v>
      </c>
      <c r="O30">
        <v>21894</v>
      </c>
      <c r="P30">
        <v>3</v>
      </c>
      <c r="Q30">
        <v>2024</v>
      </c>
    </row>
    <row r="31" spans="1:17" x14ac:dyDescent="0.25">
      <c r="A31" s="40" t="s">
        <v>804</v>
      </c>
      <c r="B31" s="42" t="str">
        <f t="shared" si="0"/>
        <v>-03-2024</v>
      </c>
      <c r="D31" s="42">
        <v>21895</v>
      </c>
      <c r="E31" s="42" t="str">
        <f t="shared" si="1"/>
        <v>ia.assorted_string like '%21895-03-2024%' or</v>
      </c>
      <c r="I31" s="40" t="s">
        <v>892</v>
      </c>
      <c r="J31" t="s">
        <v>893</v>
      </c>
      <c r="K31" t="s">
        <v>894</v>
      </c>
      <c r="L31" t="s">
        <v>895</v>
      </c>
      <c r="M31" t="s">
        <v>896</v>
      </c>
      <c r="N31" t="s">
        <v>897</v>
      </c>
      <c r="O31">
        <v>21895</v>
      </c>
      <c r="P31">
        <v>3</v>
      </c>
      <c r="Q31">
        <v>2024</v>
      </c>
    </row>
    <row r="32" spans="1:17" x14ac:dyDescent="0.25">
      <c r="A32" s="40" t="s">
        <v>805</v>
      </c>
      <c r="B32" s="42" t="str">
        <f t="shared" si="0"/>
        <v>-03-2024</v>
      </c>
      <c r="D32" s="42">
        <v>21896</v>
      </c>
      <c r="E32" s="42" t="str">
        <f t="shared" si="1"/>
        <v>ia.assorted_string like '%21896-03-2024%' or</v>
      </c>
      <c r="I32" s="40" t="s">
        <v>892</v>
      </c>
      <c r="J32" t="s">
        <v>893</v>
      </c>
      <c r="K32" t="s">
        <v>894</v>
      </c>
      <c r="L32" t="s">
        <v>895</v>
      </c>
      <c r="M32" t="s">
        <v>896</v>
      </c>
      <c r="N32" t="s">
        <v>897</v>
      </c>
      <c r="O32">
        <v>21896</v>
      </c>
      <c r="P32">
        <v>3</v>
      </c>
      <c r="Q32">
        <v>2024</v>
      </c>
    </row>
    <row r="33" spans="1:17" x14ac:dyDescent="0.25">
      <c r="A33" s="40" t="s">
        <v>806</v>
      </c>
      <c r="B33" s="42" t="str">
        <f t="shared" si="0"/>
        <v>-03-2024</v>
      </c>
      <c r="D33" s="42">
        <v>21897</v>
      </c>
      <c r="E33" s="42" t="str">
        <f t="shared" si="1"/>
        <v>ia.assorted_string like '%21897-03-2024%' or</v>
      </c>
      <c r="I33" s="40" t="s">
        <v>892</v>
      </c>
      <c r="J33" t="s">
        <v>893</v>
      </c>
      <c r="K33" t="s">
        <v>894</v>
      </c>
      <c r="L33" t="s">
        <v>895</v>
      </c>
      <c r="M33" t="s">
        <v>896</v>
      </c>
      <c r="N33" t="s">
        <v>897</v>
      </c>
      <c r="O33">
        <v>21897</v>
      </c>
      <c r="P33">
        <v>3</v>
      </c>
      <c r="Q33">
        <v>2024</v>
      </c>
    </row>
    <row r="34" spans="1:17" x14ac:dyDescent="0.25">
      <c r="A34" s="40" t="s">
        <v>807</v>
      </c>
      <c r="B34" s="42" t="str">
        <f t="shared" si="0"/>
        <v>-03-2024</v>
      </c>
      <c r="D34" s="42">
        <v>21898</v>
      </c>
      <c r="E34" s="42" t="str">
        <f t="shared" si="1"/>
        <v>ia.assorted_string like '%21898-03-2024%' or</v>
      </c>
      <c r="I34" s="40" t="s">
        <v>892</v>
      </c>
      <c r="J34" t="s">
        <v>893</v>
      </c>
      <c r="K34" t="s">
        <v>894</v>
      </c>
      <c r="L34" t="s">
        <v>895</v>
      </c>
      <c r="M34" t="s">
        <v>896</v>
      </c>
      <c r="N34" t="s">
        <v>897</v>
      </c>
      <c r="O34">
        <v>21898</v>
      </c>
      <c r="P34">
        <v>3</v>
      </c>
      <c r="Q34">
        <v>2024</v>
      </c>
    </row>
    <row r="35" spans="1:17" x14ac:dyDescent="0.25">
      <c r="A35" s="40" t="s">
        <v>808</v>
      </c>
      <c r="B35" s="42" t="str">
        <f t="shared" si="0"/>
        <v>-03-2024</v>
      </c>
      <c r="D35" s="42">
        <v>21899</v>
      </c>
      <c r="E35" s="42" t="str">
        <f t="shared" si="1"/>
        <v>ia.assorted_string like '%21899-03-2024%' or</v>
      </c>
      <c r="I35" s="40" t="s">
        <v>892</v>
      </c>
      <c r="J35" t="s">
        <v>893</v>
      </c>
      <c r="K35" t="s">
        <v>894</v>
      </c>
      <c r="L35" t="s">
        <v>895</v>
      </c>
      <c r="M35" t="s">
        <v>896</v>
      </c>
      <c r="N35" t="s">
        <v>897</v>
      </c>
      <c r="O35">
        <v>21899</v>
      </c>
      <c r="P35">
        <v>3</v>
      </c>
      <c r="Q35">
        <v>2024</v>
      </c>
    </row>
    <row r="36" spans="1:17" x14ac:dyDescent="0.25">
      <c r="A36" s="40" t="s">
        <v>809</v>
      </c>
      <c r="B36" s="42" t="str">
        <f t="shared" si="0"/>
        <v>-03-2024</v>
      </c>
      <c r="D36" s="42">
        <v>21900</v>
      </c>
      <c r="E36" s="42" t="str">
        <f t="shared" si="1"/>
        <v>ia.assorted_string like '%21900-03-2024%' or</v>
      </c>
      <c r="I36" s="40" t="s">
        <v>892</v>
      </c>
      <c r="J36" t="s">
        <v>893</v>
      </c>
      <c r="K36" t="s">
        <v>894</v>
      </c>
      <c r="L36" t="s">
        <v>895</v>
      </c>
      <c r="M36" t="s">
        <v>896</v>
      </c>
      <c r="N36" t="s">
        <v>897</v>
      </c>
      <c r="O36">
        <v>21900</v>
      </c>
      <c r="P36">
        <v>3</v>
      </c>
      <c r="Q36">
        <v>2024</v>
      </c>
    </row>
    <row r="37" spans="1:17" x14ac:dyDescent="0.25">
      <c r="A37" s="40" t="s">
        <v>810</v>
      </c>
      <c r="B37" s="42" t="str">
        <f t="shared" si="0"/>
        <v>-03-2024</v>
      </c>
      <c r="D37" s="42">
        <v>21901</v>
      </c>
      <c r="E37" s="42" t="str">
        <f t="shared" si="1"/>
        <v>ia.assorted_string like '%21901-03-2024%' or</v>
      </c>
      <c r="I37" s="40" t="s">
        <v>892</v>
      </c>
      <c r="J37" t="s">
        <v>893</v>
      </c>
      <c r="K37" t="s">
        <v>894</v>
      </c>
      <c r="L37" t="s">
        <v>895</v>
      </c>
      <c r="M37" t="s">
        <v>896</v>
      </c>
      <c r="N37" t="s">
        <v>897</v>
      </c>
      <c r="O37">
        <v>21901</v>
      </c>
      <c r="P37">
        <v>3</v>
      </c>
      <c r="Q37">
        <v>2024</v>
      </c>
    </row>
    <row r="38" spans="1:17" x14ac:dyDescent="0.25">
      <c r="A38" s="40" t="s">
        <v>811</v>
      </c>
      <c r="B38" s="42" t="str">
        <f t="shared" si="0"/>
        <v>-03-2024</v>
      </c>
      <c r="D38" s="42">
        <v>21902</v>
      </c>
      <c r="E38" s="42" t="str">
        <f t="shared" si="1"/>
        <v>ia.assorted_string like '%21902-03-2024%' or</v>
      </c>
      <c r="I38" s="40" t="s">
        <v>892</v>
      </c>
      <c r="J38" t="s">
        <v>893</v>
      </c>
      <c r="K38" t="s">
        <v>894</v>
      </c>
      <c r="L38" t="s">
        <v>895</v>
      </c>
      <c r="M38" t="s">
        <v>896</v>
      </c>
      <c r="N38" t="s">
        <v>897</v>
      </c>
      <c r="O38">
        <v>21902</v>
      </c>
      <c r="P38">
        <v>3</v>
      </c>
      <c r="Q38">
        <v>2024</v>
      </c>
    </row>
    <row r="39" spans="1:17" x14ac:dyDescent="0.25">
      <c r="A39" s="40" t="s">
        <v>812</v>
      </c>
      <c r="B39" s="42" t="str">
        <f t="shared" si="0"/>
        <v>-03-2024</v>
      </c>
      <c r="D39" s="42">
        <v>21903</v>
      </c>
      <c r="E39" s="42" t="str">
        <f t="shared" si="1"/>
        <v>ia.assorted_string like '%21903-03-2024%' or</v>
      </c>
      <c r="I39" s="40" t="s">
        <v>892</v>
      </c>
      <c r="J39" t="s">
        <v>893</v>
      </c>
      <c r="K39" t="s">
        <v>894</v>
      </c>
      <c r="L39" t="s">
        <v>895</v>
      </c>
      <c r="M39" t="s">
        <v>896</v>
      </c>
      <c r="N39" t="s">
        <v>897</v>
      </c>
      <c r="O39">
        <v>21903</v>
      </c>
      <c r="P39">
        <v>3</v>
      </c>
      <c r="Q39">
        <v>2024</v>
      </c>
    </row>
    <row r="40" spans="1:17" x14ac:dyDescent="0.25">
      <c r="A40" s="40" t="s">
        <v>813</v>
      </c>
      <c r="B40" s="42" t="str">
        <f t="shared" si="0"/>
        <v>-03-2024</v>
      </c>
      <c r="D40" s="42">
        <v>21904</v>
      </c>
      <c r="E40" s="42" t="str">
        <f t="shared" si="1"/>
        <v>ia.assorted_string like '%21904-03-2024%' or</v>
      </c>
      <c r="I40" s="40" t="s">
        <v>892</v>
      </c>
      <c r="J40" t="s">
        <v>893</v>
      </c>
      <c r="K40" t="s">
        <v>894</v>
      </c>
      <c r="L40" t="s">
        <v>895</v>
      </c>
      <c r="M40" t="s">
        <v>896</v>
      </c>
      <c r="N40" t="s">
        <v>897</v>
      </c>
      <c r="O40">
        <v>21904</v>
      </c>
      <c r="P40">
        <v>3</v>
      </c>
      <c r="Q40">
        <v>2024</v>
      </c>
    </row>
    <row r="41" spans="1:17" x14ac:dyDescent="0.25">
      <c r="A41" s="40" t="s">
        <v>814</v>
      </c>
      <c r="B41" s="42" t="str">
        <f t="shared" si="0"/>
        <v>-03-2024</v>
      </c>
      <c r="D41" s="42">
        <v>21905</v>
      </c>
      <c r="E41" s="42" t="str">
        <f t="shared" si="1"/>
        <v>ia.assorted_string like '%21905-03-2024%' or</v>
      </c>
      <c r="I41" s="40" t="s">
        <v>892</v>
      </c>
      <c r="J41" t="s">
        <v>893</v>
      </c>
      <c r="K41" t="s">
        <v>894</v>
      </c>
      <c r="L41" t="s">
        <v>895</v>
      </c>
      <c r="M41" t="s">
        <v>896</v>
      </c>
      <c r="N41" t="s">
        <v>897</v>
      </c>
      <c r="O41">
        <v>21905</v>
      </c>
      <c r="P41">
        <v>3</v>
      </c>
      <c r="Q41">
        <v>2024</v>
      </c>
    </row>
    <row r="42" spans="1:17" x14ac:dyDescent="0.25">
      <c r="A42" s="40" t="s">
        <v>815</v>
      </c>
      <c r="B42" s="42" t="str">
        <f t="shared" si="0"/>
        <v>-03-2024</v>
      </c>
      <c r="D42" s="42">
        <v>21906</v>
      </c>
      <c r="E42" s="42" t="str">
        <f t="shared" si="1"/>
        <v>ia.assorted_string like '%21906-03-2024%' or</v>
      </c>
      <c r="I42" s="40" t="s">
        <v>892</v>
      </c>
      <c r="J42" t="s">
        <v>893</v>
      </c>
      <c r="K42" t="s">
        <v>894</v>
      </c>
      <c r="L42" t="s">
        <v>895</v>
      </c>
      <c r="M42" t="s">
        <v>896</v>
      </c>
      <c r="N42" t="s">
        <v>897</v>
      </c>
      <c r="O42">
        <v>21906</v>
      </c>
      <c r="P42">
        <v>3</v>
      </c>
      <c r="Q42">
        <v>2024</v>
      </c>
    </row>
    <row r="43" spans="1:17" x14ac:dyDescent="0.25">
      <c r="A43" s="40" t="s">
        <v>816</v>
      </c>
      <c r="B43" s="42" t="str">
        <f t="shared" si="0"/>
        <v>-03-2024</v>
      </c>
      <c r="D43" s="42">
        <v>21907</v>
      </c>
      <c r="E43" s="42" t="str">
        <f t="shared" si="1"/>
        <v>ia.assorted_string like '%21907-03-2024%' or</v>
      </c>
      <c r="I43" s="40" t="s">
        <v>892</v>
      </c>
      <c r="J43" t="s">
        <v>893</v>
      </c>
      <c r="K43" t="s">
        <v>894</v>
      </c>
      <c r="L43" t="s">
        <v>895</v>
      </c>
      <c r="M43" t="s">
        <v>896</v>
      </c>
      <c r="N43" t="s">
        <v>897</v>
      </c>
      <c r="O43">
        <v>21907</v>
      </c>
      <c r="P43">
        <v>3</v>
      </c>
      <c r="Q43">
        <v>2024</v>
      </c>
    </row>
    <row r="44" spans="1:17" x14ac:dyDescent="0.25">
      <c r="A44" s="40" t="s">
        <v>817</v>
      </c>
      <c r="B44" s="42" t="str">
        <f t="shared" si="0"/>
        <v>-03-2024</v>
      </c>
      <c r="D44" s="42">
        <v>21908</v>
      </c>
      <c r="E44" s="42" t="str">
        <f t="shared" si="1"/>
        <v>ia.assorted_string like '%21908-03-2024%' or</v>
      </c>
      <c r="I44" s="40" t="s">
        <v>892</v>
      </c>
      <c r="J44" t="s">
        <v>893</v>
      </c>
      <c r="K44" t="s">
        <v>894</v>
      </c>
      <c r="L44" t="s">
        <v>895</v>
      </c>
      <c r="M44" t="s">
        <v>896</v>
      </c>
      <c r="N44" t="s">
        <v>897</v>
      </c>
      <c r="O44">
        <v>21908</v>
      </c>
      <c r="P44">
        <v>3</v>
      </c>
      <c r="Q44">
        <v>2024</v>
      </c>
    </row>
    <row r="45" spans="1:17" x14ac:dyDescent="0.25">
      <c r="A45" s="40" t="s">
        <v>818</v>
      </c>
      <c r="B45" s="42" t="str">
        <f t="shared" si="0"/>
        <v>-03-2024</v>
      </c>
      <c r="D45" s="42">
        <v>21909</v>
      </c>
      <c r="E45" s="42" t="str">
        <f t="shared" si="1"/>
        <v>ia.assorted_string like '%21909-03-2024%' or</v>
      </c>
      <c r="I45" s="40" t="s">
        <v>892</v>
      </c>
      <c r="J45" t="s">
        <v>893</v>
      </c>
      <c r="K45" t="s">
        <v>894</v>
      </c>
      <c r="L45" t="s">
        <v>895</v>
      </c>
      <c r="M45" t="s">
        <v>896</v>
      </c>
      <c r="N45" t="s">
        <v>897</v>
      </c>
      <c r="O45">
        <v>21909</v>
      </c>
      <c r="P45">
        <v>3</v>
      </c>
      <c r="Q45">
        <v>2024</v>
      </c>
    </row>
    <row r="46" spans="1:17" x14ac:dyDescent="0.25">
      <c r="A46" s="40" t="s">
        <v>819</v>
      </c>
      <c r="B46" s="42" t="str">
        <f t="shared" si="0"/>
        <v>-03-2024</v>
      </c>
      <c r="D46" s="42">
        <v>21910</v>
      </c>
      <c r="E46" s="42" t="str">
        <f t="shared" si="1"/>
        <v>ia.assorted_string like '%21910-03-2024%' or</v>
      </c>
      <c r="I46" s="40" t="s">
        <v>892</v>
      </c>
      <c r="J46" t="s">
        <v>893</v>
      </c>
      <c r="K46" t="s">
        <v>894</v>
      </c>
      <c r="L46" t="s">
        <v>895</v>
      </c>
      <c r="M46" t="s">
        <v>896</v>
      </c>
      <c r="N46" t="s">
        <v>897</v>
      </c>
      <c r="O46">
        <v>21910</v>
      </c>
      <c r="P46">
        <v>3</v>
      </c>
      <c r="Q46">
        <v>2024</v>
      </c>
    </row>
    <row r="47" spans="1:17" x14ac:dyDescent="0.25">
      <c r="A47" s="40" t="s">
        <v>820</v>
      </c>
      <c r="B47" s="42" t="str">
        <f t="shared" si="0"/>
        <v>-03-2024</v>
      </c>
      <c r="D47" s="42">
        <v>21911</v>
      </c>
      <c r="E47" s="42" t="str">
        <f t="shared" si="1"/>
        <v>ia.assorted_string like '%21911-03-2024%' or</v>
      </c>
      <c r="I47" s="40" t="s">
        <v>892</v>
      </c>
      <c r="J47" t="s">
        <v>893</v>
      </c>
      <c r="K47" t="s">
        <v>894</v>
      </c>
      <c r="L47" t="s">
        <v>895</v>
      </c>
      <c r="M47" t="s">
        <v>896</v>
      </c>
      <c r="N47" t="s">
        <v>897</v>
      </c>
      <c r="O47">
        <v>21911</v>
      </c>
      <c r="P47">
        <v>3</v>
      </c>
      <c r="Q47">
        <v>2024</v>
      </c>
    </row>
    <row r="48" spans="1:17" x14ac:dyDescent="0.25">
      <c r="A48" s="40" t="s">
        <v>821</v>
      </c>
      <c r="B48" s="42" t="str">
        <f t="shared" si="0"/>
        <v>-03-2024</v>
      </c>
      <c r="D48" s="42">
        <v>21912</v>
      </c>
      <c r="E48" s="42" t="str">
        <f t="shared" si="1"/>
        <v>ia.assorted_string like '%21912-03-2024%' or</v>
      </c>
      <c r="I48" s="40" t="s">
        <v>892</v>
      </c>
      <c r="J48" t="s">
        <v>893</v>
      </c>
      <c r="K48" t="s">
        <v>894</v>
      </c>
      <c r="L48" t="s">
        <v>895</v>
      </c>
      <c r="M48" t="s">
        <v>896</v>
      </c>
      <c r="N48" t="s">
        <v>897</v>
      </c>
      <c r="O48">
        <v>21912</v>
      </c>
      <c r="P48">
        <v>3</v>
      </c>
      <c r="Q48">
        <v>2024</v>
      </c>
    </row>
    <row r="49" spans="1:17" x14ac:dyDescent="0.25">
      <c r="A49" s="40" t="s">
        <v>822</v>
      </c>
      <c r="B49" s="42" t="str">
        <f t="shared" si="0"/>
        <v>-03-2024</v>
      </c>
      <c r="D49" s="42">
        <v>21913</v>
      </c>
      <c r="E49" s="42" t="str">
        <f t="shared" si="1"/>
        <v>ia.assorted_string like '%21913-03-2024%' or</v>
      </c>
      <c r="I49" s="40" t="s">
        <v>892</v>
      </c>
      <c r="J49" t="s">
        <v>893</v>
      </c>
      <c r="K49" t="s">
        <v>894</v>
      </c>
      <c r="L49" t="s">
        <v>895</v>
      </c>
      <c r="M49" t="s">
        <v>896</v>
      </c>
      <c r="N49" t="s">
        <v>897</v>
      </c>
      <c r="O49">
        <v>21913</v>
      </c>
      <c r="P49">
        <v>3</v>
      </c>
      <c r="Q49">
        <v>2024</v>
      </c>
    </row>
    <row r="50" spans="1:17" x14ac:dyDescent="0.25">
      <c r="A50" s="40" t="s">
        <v>823</v>
      </c>
      <c r="B50" s="42" t="str">
        <f t="shared" si="0"/>
        <v>-03-2024</v>
      </c>
      <c r="D50" s="42">
        <v>21914</v>
      </c>
      <c r="E50" s="42" t="str">
        <f t="shared" si="1"/>
        <v>ia.assorted_string like '%21914-03-2024%' or</v>
      </c>
      <c r="I50" s="40" t="s">
        <v>892</v>
      </c>
      <c r="J50" t="s">
        <v>893</v>
      </c>
      <c r="K50" t="s">
        <v>894</v>
      </c>
      <c r="L50" t="s">
        <v>895</v>
      </c>
      <c r="M50" t="s">
        <v>896</v>
      </c>
      <c r="N50" t="s">
        <v>897</v>
      </c>
      <c r="O50">
        <v>21914</v>
      </c>
      <c r="P50">
        <v>3</v>
      </c>
      <c r="Q50">
        <v>2024</v>
      </c>
    </row>
    <row r="51" spans="1:17" x14ac:dyDescent="0.25">
      <c r="A51" s="40" t="s">
        <v>824</v>
      </c>
      <c r="B51" s="42" t="str">
        <f t="shared" si="0"/>
        <v>-03-2024</v>
      </c>
      <c r="D51" s="42">
        <v>21915</v>
      </c>
      <c r="E51" s="42" t="str">
        <f t="shared" si="1"/>
        <v>ia.assorted_string like '%21915-03-2024%' or</v>
      </c>
      <c r="I51" s="40" t="s">
        <v>892</v>
      </c>
      <c r="J51" t="s">
        <v>893</v>
      </c>
      <c r="K51" t="s">
        <v>894</v>
      </c>
      <c r="L51" t="s">
        <v>895</v>
      </c>
      <c r="M51" t="s">
        <v>896</v>
      </c>
      <c r="N51" t="s">
        <v>897</v>
      </c>
      <c r="O51">
        <v>21915</v>
      </c>
      <c r="P51">
        <v>3</v>
      </c>
      <c r="Q51">
        <v>2024</v>
      </c>
    </row>
    <row r="52" spans="1:17" x14ac:dyDescent="0.25">
      <c r="A52" s="40" t="s">
        <v>825</v>
      </c>
      <c r="B52" s="42" t="str">
        <f t="shared" si="0"/>
        <v>-03-2024</v>
      </c>
      <c r="D52" s="42">
        <v>21916</v>
      </c>
      <c r="E52" s="42" t="str">
        <f t="shared" si="1"/>
        <v>ia.assorted_string like '%21916-03-2024%' or</v>
      </c>
      <c r="I52" s="40" t="s">
        <v>892</v>
      </c>
      <c r="J52" t="s">
        <v>893</v>
      </c>
      <c r="K52" t="s">
        <v>894</v>
      </c>
      <c r="L52" t="s">
        <v>895</v>
      </c>
      <c r="M52" t="s">
        <v>896</v>
      </c>
      <c r="N52" t="s">
        <v>897</v>
      </c>
      <c r="O52">
        <v>21916</v>
      </c>
      <c r="P52">
        <v>3</v>
      </c>
      <c r="Q52">
        <v>2024</v>
      </c>
    </row>
    <row r="53" spans="1:17" x14ac:dyDescent="0.25">
      <c r="A53" s="40" t="s">
        <v>826</v>
      </c>
      <c r="B53" s="42" t="str">
        <f t="shared" si="0"/>
        <v>-03-2024</v>
      </c>
      <c r="D53" s="42">
        <v>21917</v>
      </c>
      <c r="E53" s="42" t="str">
        <f t="shared" si="1"/>
        <v>ia.assorted_string like '%21917-03-2024%' or</v>
      </c>
      <c r="I53" s="40" t="s">
        <v>892</v>
      </c>
      <c r="J53" t="s">
        <v>893</v>
      </c>
      <c r="K53" t="s">
        <v>894</v>
      </c>
      <c r="L53" t="s">
        <v>895</v>
      </c>
      <c r="M53" t="s">
        <v>896</v>
      </c>
      <c r="N53" t="s">
        <v>897</v>
      </c>
      <c r="O53">
        <v>21917</v>
      </c>
      <c r="P53">
        <v>3</v>
      </c>
      <c r="Q53">
        <v>2024</v>
      </c>
    </row>
    <row r="54" spans="1:17" x14ac:dyDescent="0.25">
      <c r="A54" s="40" t="s">
        <v>827</v>
      </c>
      <c r="B54" s="42" t="str">
        <f t="shared" si="0"/>
        <v>-03-2024</v>
      </c>
      <c r="D54" s="42">
        <v>21918</v>
      </c>
      <c r="E54" s="42" t="str">
        <f t="shared" si="1"/>
        <v>ia.assorted_string like '%21918-03-2024%' or</v>
      </c>
      <c r="I54" s="40" t="s">
        <v>892</v>
      </c>
      <c r="J54" t="s">
        <v>893</v>
      </c>
      <c r="K54" t="s">
        <v>894</v>
      </c>
      <c r="L54" t="s">
        <v>895</v>
      </c>
      <c r="M54" t="s">
        <v>896</v>
      </c>
      <c r="N54" t="s">
        <v>897</v>
      </c>
      <c r="O54">
        <v>21918</v>
      </c>
      <c r="P54">
        <v>3</v>
      </c>
      <c r="Q54">
        <v>2024</v>
      </c>
    </row>
    <row r="55" spans="1:17" x14ac:dyDescent="0.25">
      <c r="A55" s="40" t="s">
        <v>828</v>
      </c>
      <c r="B55" s="42" t="str">
        <f t="shared" si="0"/>
        <v>-03-2024</v>
      </c>
      <c r="D55" s="42">
        <v>21919</v>
      </c>
      <c r="E55" s="42" t="str">
        <f t="shared" si="1"/>
        <v>ia.assorted_string like '%21919-03-2024%' or</v>
      </c>
      <c r="I55" s="40" t="s">
        <v>892</v>
      </c>
      <c r="J55" t="s">
        <v>893</v>
      </c>
      <c r="K55" t="s">
        <v>894</v>
      </c>
      <c r="L55" t="s">
        <v>895</v>
      </c>
      <c r="M55" t="s">
        <v>896</v>
      </c>
      <c r="N55" t="s">
        <v>897</v>
      </c>
      <c r="O55">
        <v>21919</v>
      </c>
      <c r="P55">
        <v>3</v>
      </c>
      <c r="Q55">
        <v>2024</v>
      </c>
    </row>
    <row r="56" spans="1:17" x14ac:dyDescent="0.25">
      <c r="A56" s="40" t="s">
        <v>829</v>
      </c>
      <c r="B56" s="42" t="str">
        <f t="shared" si="0"/>
        <v>-03-2024</v>
      </c>
      <c r="D56" s="42">
        <v>21920</v>
      </c>
      <c r="E56" s="42" t="str">
        <f t="shared" si="1"/>
        <v>ia.assorted_string like '%21920-03-2024%' or</v>
      </c>
      <c r="I56" s="40" t="s">
        <v>892</v>
      </c>
      <c r="J56" t="s">
        <v>893</v>
      </c>
      <c r="K56" t="s">
        <v>894</v>
      </c>
      <c r="L56" t="s">
        <v>895</v>
      </c>
      <c r="M56" t="s">
        <v>896</v>
      </c>
      <c r="N56" t="s">
        <v>897</v>
      </c>
      <c r="O56">
        <v>21920</v>
      </c>
      <c r="P56">
        <v>3</v>
      </c>
      <c r="Q56">
        <v>2024</v>
      </c>
    </row>
    <row r="57" spans="1:17" x14ac:dyDescent="0.25">
      <c r="A57" s="40" t="s">
        <v>830</v>
      </c>
      <c r="B57" s="42" t="str">
        <f t="shared" si="0"/>
        <v>-03-2024</v>
      </c>
      <c r="D57" s="42">
        <v>21921</v>
      </c>
      <c r="E57" s="42" t="str">
        <f t="shared" si="1"/>
        <v>ia.assorted_string like '%21921-03-2024%' or</v>
      </c>
      <c r="I57" s="40" t="s">
        <v>892</v>
      </c>
      <c r="J57" t="s">
        <v>893</v>
      </c>
      <c r="K57" t="s">
        <v>894</v>
      </c>
      <c r="L57" t="s">
        <v>895</v>
      </c>
      <c r="M57" t="s">
        <v>896</v>
      </c>
      <c r="N57" t="s">
        <v>897</v>
      </c>
      <c r="O57">
        <v>21921</v>
      </c>
      <c r="P57">
        <v>3</v>
      </c>
      <c r="Q57">
        <v>2024</v>
      </c>
    </row>
    <row r="58" spans="1:17" x14ac:dyDescent="0.25">
      <c r="A58" s="40" t="s">
        <v>831</v>
      </c>
      <c r="B58" s="42" t="str">
        <f t="shared" si="0"/>
        <v>-03-2024</v>
      </c>
      <c r="D58" s="42">
        <v>21922</v>
      </c>
      <c r="E58" s="42" t="str">
        <f t="shared" si="1"/>
        <v>ia.assorted_string like '%21922-03-2024%' or</v>
      </c>
      <c r="I58" s="40" t="s">
        <v>892</v>
      </c>
      <c r="J58" t="s">
        <v>893</v>
      </c>
      <c r="K58" t="s">
        <v>894</v>
      </c>
      <c r="L58" t="s">
        <v>895</v>
      </c>
      <c r="M58" t="s">
        <v>896</v>
      </c>
      <c r="N58" t="s">
        <v>897</v>
      </c>
      <c r="O58">
        <v>21922</v>
      </c>
      <c r="P58">
        <v>3</v>
      </c>
      <c r="Q58">
        <v>2024</v>
      </c>
    </row>
    <row r="59" spans="1:17" x14ac:dyDescent="0.25">
      <c r="A59" s="40" t="s">
        <v>832</v>
      </c>
      <c r="B59" s="42" t="str">
        <f t="shared" si="0"/>
        <v>-03-2024</v>
      </c>
      <c r="D59" s="42">
        <v>21923</v>
      </c>
      <c r="E59" s="42" t="str">
        <f t="shared" si="1"/>
        <v>ia.assorted_string like '%21923-03-2024%' or</v>
      </c>
      <c r="I59" s="40" t="s">
        <v>892</v>
      </c>
      <c r="J59" t="s">
        <v>893</v>
      </c>
      <c r="K59" t="s">
        <v>894</v>
      </c>
      <c r="L59" t="s">
        <v>895</v>
      </c>
      <c r="M59" t="s">
        <v>896</v>
      </c>
      <c r="N59" t="s">
        <v>897</v>
      </c>
      <c r="O59">
        <v>21923</v>
      </c>
      <c r="P59">
        <v>3</v>
      </c>
      <c r="Q59">
        <v>2024</v>
      </c>
    </row>
    <row r="60" spans="1:17" x14ac:dyDescent="0.25">
      <c r="A60" s="40" t="s">
        <v>833</v>
      </c>
      <c r="B60" s="42" t="str">
        <f t="shared" si="0"/>
        <v>-03-2024</v>
      </c>
      <c r="D60" s="42">
        <v>21924</v>
      </c>
      <c r="E60" s="42" t="str">
        <f t="shared" si="1"/>
        <v>ia.assorted_string like '%21924-03-2024%' or</v>
      </c>
      <c r="I60" s="40" t="s">
        <v>892</v>
      </c>
      <c r="J60" t="s">
        <v>893</v>
      </c>
      <c r="K60" t="s">
        <v>894</v>
      </c>
      <c r="L60" t="s">
        <v>895</v>
      </c>
      <c r="M60" t="s">
        <v>896</v>
      </c>
      <c r="N60" t="s">
        <v>897</v>
      </c>
      <c r="O60">
        <v>21924</v>
      </c>
      <c r="P60">
        <v>3</v>
      </c>
      <c r="Q60">
        <v>2024</v>
      </c>
    </row>
    <row r="61" spans="1:17" x14ac:dyDescent="0.25">
      <c r="A61" s="40" t="s">
        <v>834</v>
      </c>
      <c r="B61" s="42" t="str">
        <f t="shared" si="0"/>
        <v>-03-2024</v>
      </c>
      <c r="D61" s="42">
        <v>21925</v>
      </c>
      <c r="E61" s="42" t="str">
        <f t="shared" si="1"/>
        <v>ia.assorted_string like '%21925-03-2024%' or</v>
      </c>
      <c r="I61" s="40" t="s">
        <v>892</v>
      </c>
      <c r="J61" t="s">
        <v>893</v>
      </c>
      <c r="K61" t="s">
        <v>894</v>
      </c>
      <c r="L61" t="s">
        <v>895</v>
      </c>
      <c r="M61" t="s">
        <v>896</v>
      </c>
      <c r="N61" t="s">
        <v>897</v>
      </c>
      <c r="O61">
        <v>21925</v>
      </c>
      <c r="P61">
        <v>3</v>
      </c>
      <c r="Q61">
        <v>2024</v>
      </c>
    </row>
    <row r="62" spans="1:17" x14ac:dyDescent="0.25">
      <c r="A62" s="40" t="s">
        <v>835</v>
      </c>
      <c r="B62" s="42" t="str">
        <f t="shared" si="0"/>
        <v>-03-2024</v>
      </c>
      <c r="D62" s="42">
        <v>21926</v>
      </c>
      <c r="E62" s="42" t="str">
        <f t="shared" si="1"/>
        <v>ia.assorted_string like '%21926-03-2024%' or</v>
      </c>
      <c r="I62" s="40" t="s">
        <v>892</v>
      </c>
      <c r="J62" t="s">
        <v>893</v>
      </c>
      <c r="K62" t="s">
        <v>894</v>
      </c>
      <c r="L62" t="s">
        <v>895</v>
      </c>
      <c r="M62" t="s">
        <v>896</v>
      </c>
      <c r="N62" t="s">
        <v>897</v>
      </c>
      <c r="O62">
        <v>21926</v>
      </c>
      <c r="P62">
        <v>3</v>
      </c>
      <c r="Q62">
        <v>2024</v>
      </c>
    </row>
    <row r="63" spans="1:17" x14ac:dyDescent="0.25">
      <c r="A63" s="40" t="s">
        <v>836</v>
      </c>
      <c r="B63" s="42" t="str">
        <f t="shared" si="0"/>
        <v>-03-2024</v>
      </c>
      <c r="D63" s="42">
        <v>21927</v>
      </c>
      <c r="E63" s="42" t="str">
        <f t="shared" si="1"/>
        <v>ia.assorted_string like '%21927-03-2024%' or</v>
      </c>
      <c r="I63" s="40" t="s">
        <v>892</v>
      </c>
      <c r="J63" t="s">
        <v>893</v>
      </c>
      <c r="K63" t="s">
        <v>894</v>
      </c>
      <c r="L63" t="s">
        <v>895</v>
      </c>
      <c r="M63" t="s">
        <v>896</v>
      </c>
      <c r="N63" t="s">
        <v>897</v>
      </c>
      <c r="O63">
        <v>21927</v>
      </c>
      <c r="P63">
        <v>3</v>
      </c>
      <c r="Q63">
        <v>2024</v>
      </c>
    </row>
    <row r="64" spans="1:17" x14ac:dyDescent="0.25">
      <c r="A64" s="40" t="s">
        <v>837</v>
      </c>
      <c r="B64" s="42" t="str">
        <f t="shared" si="0"/>
        <v>-03-2024</v>
      </c>
      <c r="D64" s="42">
        <v>21928</v>
      </c>
      <c r="E64" s="42" t="str">
        <f t="shared" si="1"/>
        <v>ia.assorted_string like '%21928-03-2024%' or</v>
      </c>
      <c r="I64" s="40" t="s">
        <v>892</v>
      </c>
      <c r="J64" t="s">
        <v>893</v>
      </c>
      <c r="K64" t="s">
        <v>894</v>
      </c>
      <c r="L64" t="s">
        <v>895</v>
      </c>
      <c r="M64" t="s">
        <v>896</v>
      </c>
      <c r="N64" t="s">
        <v>897</v>
      </c>
      <c r="O64">
        <v>21928</v>
      </c>
      <c r="P64">
        <v>3</v>
      </c>
      <c r="Q64">
        <v>2024</v>
      </c>
    </row>
    <row r="65" spans="1:17" x14ac:dyDescent="0.25">
      <c r="A65" s="40" t="s">
        <v>838</v>
      </c>
      <c r="B65" s="42" t="str">
        <f t="shared" si="0"/>
        <v>-03-2024</v>
      </c>
      <c r="D65" s="42">
        <v>21929</v>
      </c>
      <c r="E65" s="42" t="str">
        <f t="shared" si="1"/>
        <v>ia.assorted_string like '%21929-03-2024%' or</v>
      </c>
      <c r="I65" s="40" t="s">
        <v>892</v>
      </c>
      <c r="J65" t="s">
        <v>893</v>
      </c>
      <c r="K65" t="s">
        <v>894</v>
      </c>
      <c r="L65" t="s">
        <v>895</v>
      </c>
      <c r="M65" t="s">
        <v>896</v>
      </c>
      <c r="N65" t="s">
        <v>897</v>
      </c>
      <c r="O65">
        <v>21929</v>
      </c>
      <c r="P65">
        <v>3</v>
      </c>
      <c r="Q65">
        <v>2024</v>
      </c>
    </row>
    <row r="66" spans="1:17" x14ac:dyDescent="0.25">
      <c r="A66" s="40" t="s">
        <v>839</v>
      </c>
      <c r="B66" s="42" t="str">
        <f t="shared" ref="B66:B118" si="2">RIGHT(A66,8)</f>
        <v>-03-2024</v>
      </c>
      <c r="D66" s="42">
        <v>21930</v>
      </c>
      <c r="E66" s="42" t="str">
        <f t="shared" ref="E66:E118" si="3">"ia.assorted_string like '%"&amp;D66&amp;B66&amp;"%' or"</f>
        <v>ia.assorted_string like '%21930-03-2024%' or</v>
      </c>
      <c r="I66" s="40" t="s">
        <v>892</v>
      </c>
      <c r="J66" t="s">
        <v>893</v>
      </c>
      <c r="K66" t="s">
        <v>894</v>
      </c>
      <c r="L66" t="s">
        <v>895</v>
      </c>
      <c r="M66" t="s">
        <v>896</v>
      </c>
      <c r="N66" t="s">
        <v>897</v>
      </c>
      <c r="O66">
        <v>21930</v>
      </c>
      <c r="P66">
        <v>3</v>
      </c>
      <c r="Q66">
        <v>2024</v>
      </c>
    </row>
    <row r="67" spans="1:17" x14ac:dyDescent="0.25">
      <c r="A67" s="40" t="s">
        <v>840</v>
      </c>
      <c r="B67" s="42" t="str">
        <f t="shared" si="2"/>
        <v>-03-2024</v>
      </c>
      <c r="D67" s="42">
        <v>21931</v>
      </c>
      <c r="E67" s="42" t="str">
        <f t="shared" si="3"/>
        <v>ia.assorted_string like '%21931-03-2024%' or</v>
      </c>
      <c r="I67" s="40" t="s">
        <v>892</v>
      </c>
      <c r="J67" t="s">
        <v>893</v>
      </c>
      <c r="K67" t="s">
        <v>894</v>
      </c>
      <c r="L67" t="s">
        <v>895</v>
      </c>
      <c r="M67" t="s">
        <v>896</v>
      </c>
      <c r="N67" t="s">
        <v>897</v>
      </c>
      <c r="O67">
        <v>21931</v>
      </c>
      <c r="P67">
        <v>3</v>
      </c>
      <c r="Q67">
        <v>2024</v>
      </c>
    </row>
    <row r="68" spans="1:17" x14ac:dyDescent="0.25">
      <c r="A68" s="40" t="s">
        <v>841</v>
      </c>
      <c r="B68" s="42" t="str">
        <f t="shared" si="2"/>
        <v>-03-2024</v>
      </c>
      <c r="D68" s="42">
        <v>21932</v>
      </c>
      <c r="E68" s="42" t="str">
        <f t="shared" si="3"/>
        <v>ia.assorted_string like '%21932-03-2024%' or</v>
      </c>
      <c r="I68" s="40" t="s">
        <v>892</v>
      </c>
      <c r="J68" t="s">
        <v>893</v>
      </c>
      <c r="K68" t="s">
        <v>894</v>
      </c>
      <c r="L68" t="s">
        <v>895</v>
      </c>
      <c r="M68" t="s">
        <v>896</v>
      </c>
      <c r="N68" t="s">
        <v>897</v>
      </c>
      <c r="O68">
        <v>21932</v>
      </c>
      <c r="P68">
        <v>3</v>
      </c>
      <c r="Q68">
        <v>2024</v>
      </c>
    </row>
    <row r="69" spans="1:17" x14ac:dyDescent="0.25">
      <c r="A69" s="40" t="s">
        <v>842</v>
      </c>
      <c r="B69" s="42" t="str">
        <f t="shared" si="2"/>
        <v>-03-2024</v>
      </c>
      <c r="D69" s="42">
        <v>21933</v>
      </c>
      <c r="E69" s="42" t="str">
        <f t="shared" si="3"/>
        <v>ia.assorted_string like '%21933-03-2024%' or</v>
      </c>
      <c r="I69" s="40" t="s">
        <v>892</v>
      </c>
      <c r="J69" t="s">
        <v>893</v>
      </c>
      <c r="K69" t="s">
        <v>894</v>
      </c>
      <c r="L69" t="s">
        <v>895</v>
      </c>
      <c r="M69" t="s">
        <v>896</v>
      </c>
      <c r="N69" t="s">
        <v>897</v>
      </c>
      <c r="O69">
        <v>21933</v>
      </c>
      <c r="P69">
        <v>3</v>
      </c>
      <c r="Q69">
        <v>2024</v>
      </c>
    </row>
    <row r="70" spans="1:17" x14ac:dyDescent="0.25">
      <c r="A70" s="40" t="s">
        <v>843</v>
      </c>
      <c r="B70" s="42" t="str">
        <f t="shared" si="2"/>
        <v>-03-2024</v>
      </c>
      <c r="D70" s="42">
        <v>21934</v>
      </c>
      <c r="E70" s="42" t="str">
        <f t="shared" si="3"/>
        <v>ia.assorted_string like '%21934-03-2024%' or</v>
      </c>
      <c r="I70" s="40" t="s">
        <v>892</v>
      </c>
      <c r="J70" t="s">
        <v>893</v>
      </c>
      <c r="K70" t="s">
        <v>894</v>
      </c>
      <c r="L70" t="s">
        <v>895</v>
      </c>
      <c r="M70" t="s">
        <v>896</v>
      </c>
      <c r="N70" t="s">
        <v>897</v>
      </c>
      <c r="O70">
        <v>21934</v>
      </c>
      <c r="P70">
        <v>3</v>
      </c>
      <c r="Q70">
        <v>2024</v>
      </c>
    </row>
    <row r="71" spans="1:17" x14ac:dyDescent="0.25">
      <c r="A71" s="40" t="s">
        <v>844</v>
      </c>
      <c r="B71" s="42" t="str">
        <f t="shared" si="2"/>
        <v>-03-2024</v>
      </c>
      <c r="D71" s="42">
        <v>21935</v>
      </c>
      <c r="E71" s="42" t="str">
        <f t="shared" si="3"/>
        <v>ia.assorted_string like '%21935-03-2024%' or</v>
      </c>
      <c r="I71" s="40" t="s">
        <v>892</v>
      </c>
      <c r="J71" t="s">
        <v>893</v>
      </c>
      <c r="K71" t="s">
        <v>894</v>
      </c>
      <c r="L71" t="s">
        <v>895</v>
      </c>
      <c r="M71" t="s">
        <v>896</v>
      </c>
      <c r="N71" t="s">
        <v>897</v>
      </c>
      <c r="O71">
        <v>21935</v>
      </c>
      <c r="P71">
        <v>3</v>
      </c>
      <c r="Q71">
        <v>2024</v>
      </c>
    </row>
    <row r="72" spans="1:17" x14ac:dyDescent="0.25">
      <c r="A72" s="40" t="s">
        <v>845</v>
      </c>
      <c r="B72" s="42" t="str">
        <f t="shared" si="2"/>
        <v>-03-2024</v>
      </c>
      <c r="D72" s="42">
        <v>21936</v>
      </c>
      <c r="E72" s="42" t="str">
        <f t="shared" si="3"/>
        <v>ia.assorted_string like '%21936-03-2024%' or</v>
      </c>
      <c r="I72" s="40" t="s">
        <v>892</v>
      </c>
      <c r="J72" t="s">
        <v>893</v>
      </c>
      <c r="K72" t="s">
        <v>894</v>
      </c>
      <c r="L72" t="s">
        <v>895</v>
      </c>
      <c r="M72" t="s">
        <v>896</v>
      </c>
      <c r="N72" t="s">
        <v>897</v>
      </c>
      <c r="O72">
        <v>21936</v>
      </c>
      <c r="P72">
        <v>3</v>
      </c>
      <c r="Q72">
        <v>2024</v>
      </c>
    </row>
    <row r="73" spans="1:17" x14ac:dyDescent="0.25">
      <c r="A73" s="40" t="s">
        <v>846</v>
      </c>
      <c r="B73" s="42" t="str">
        <f t="shared" si="2"/>
        <v>-03-2024</v>
      </c>
      <c r="D73" s="42">
        <v>21937</v>
      </c>
      <c r="E73" s="42" t="str">
        <f t="shared" si="3"/>
        <v>ia.assorted_string like '%21937-03-2024%' or</v>
      </c>
      <c r="I73" s="40" t="s">
        <v>892</v>
      </c>
      <c r="J73" t="s">
        <v>893</v>
      </c>
      <c r="K73" t="s">
        <v>894</v>
      </c>
      <c r="L73" t="s">
        <v>895</v>
      </c>
      <c r="M73" t="s">
        <v>896</v>
      </c>
      <c r="N73" t="s">
        <v>897</v>
      </c>
      <c r="O73">
        <v>21937</v>
      </c>
      <c r="P73">
        <v>3</v>
      </c>
      <c r="Q73">
        <v>2024</v>
      </c>
    </row>
    <row r="74" spans="1:17" x14ac:dyDescent="0.25">
      <c r="A74" s="40" t="s">
        <v>847</v>
      </c>
      <c r="B74" s="42" t="str">
        <f t="shared" si="2"/>
        <v>-03-2024</v>
      </c>
      <c r="D74" s="42">
        <v>21938</v>
      </c>
      <c r="E74" s="42" t="str">
        <f t="shared" si="3"/>
        <v>ia.assorted_string like '%21938-03-2024%' or</v>
      </c>
      <c r="I74" s="40" t="s">
        <v>892</v>
      </c>
      <c r="J74" t="s">
        <v>893</v>
      </c>
      <c r="K74" t="s">
        <v>894</v>
      </c>
      <c r="L74" t="s">
        <v>895</v>
      </c>
      <c r="M74" t="s">
        <v>896</v>
      </c>
      <c r="N74" t="s">
        <v>897</v>
      </c>
      <c r="O74">
        <v>21938</v>
      </c>
      <c r="P74">
        <v>3</v>
      </c>
      <c r="Q74">
        <v>2024</v>
      </c>
    </row>
    <row r="75" spans="1:17" x14ac:dyDescent="0.25">
      <c r="A75" s="40" t="s">
        <v>848</v>
      </c>
      <c r="B75" s="42" t="str">
        <f t="shared" si="2"/>
        <v>-03-2024</v>
      </c>
      <c r="D75" s="42">
        <v>21939</v>
      </c>
      <c r="E75" s="42" t="str">
        <f t="shared" si="3"/>
        <v>ia.assorted_string like '%21939-03-2024%' or</v>
      </c>
      <c r="I75" s="40" t="s">
        <v>892</v>
      </c>
      <c r="J75" t="s">
        <v>893</v>
      </c>
      <c r="K75" t="s">
        <v>894</v>
      </c>
      <c r="L75" t="s">
        <v>895</v>
      </c>
      <c r="M75" t="s">
        <v>896</v>
      </c>
      <c r="N75" t="s">
        <v>897</v>
      </c>
      <c r="O75">
        <v>21939</v>
      </c>
      <c r="P75">
        <v>3</v>
      </c>
      <c r="Q75">
        <v>2024</v>
      </c>
    </row>
    <row r="76" spans="1:17" x14ac:dyDescent="0.25">
      <c r="A76" s="40" t="s">
        <v>849</v>
      </c>
      <c r="B76" s="42" t="str">
        <f t="shared" si="2"/>
        <v>-03-2024</v>
      </c>
      <c r="D76" s="42">
        <v>21940</v>
      </c>
      <c r="E76" s="42" t="str">
        <f t="shared" si="3"/>
        <v>ia.assorted_string like '%21940-03-2024%' or</v>
      </c>
      <c r="I76" s="40" t="s">
        <v>892</v>
      </c>
      <c r="J76" t="s">
        <v>893</v>
      </c>
      <c r="K76" t="s">
        <v>894</v>
      </c>
      <c r="L76" t="s">
        <v>895</v>
      </c>
      <c r="M76" t="s">
        <v>896</v>
      </c>
      <c r="N76" t="s">
        <v>897</v>
      </c>
      <c r="O76">
        <v>21940</v>
      </c>
      <c r="P76">
        <v>3</v>
      </c>
      <c r="Q76">
        <v>2024</v>
      </c>
    </row>
    <row r="77" spans="1:17" x14ac:dyDescent="0.25">
      <c r="A77" s="40" t="s">
        <v>850</v>
      </c>
      <c r="B77" s="42" t="str">
        <f t="shared" si="2"/>
        <v>-03-2024</v>
      </c>
      <c r="D77" s="42">
        <v>21941</v>
      </c>
      <c r="E77" s="42" t="str">
        <f t="shared" si="3"/>
        <v>ia.assorted_string like '%21941-03-2024%' or</v>
      </c>
      <c r="I77" s="40" t="s">
        <v>892</v>
      </c>
      <c r="J77" t="s">
        <v>893</v>
      </c>
      <c r="K77" t="s">
        <v>894</v>
      </c>
      <c r="L77" t="s">
        <v>895</v>
      </c>
      <c r="M77" t="s">
        <v>896</v>
      </c>
      <c r="N77" t="s">
        <v>897</v>
      </c>
      <c r="O77">
        <v>21941</v>
      </c>
      <c r="P77">
        <v>3</v>
      </c>
      <c r="Q77">
        <v>2024</v>
      </c>
    </row>
    <row r="78" spans="1:17" x14ac:dyDescent="0.25">
      <c r="A78" s="40" t="s">
        <v>851</v>
      </c>
      <c r="B78" s="42" t="str">
        <f t="shared" si="2"/>
        <v>-03-2024</v>
      </c>
      <c r="D78" s="42">
        <v>21942</v>
      </c>
      <c r="E78" s="42" t="str">
        <f t="shared" si="3"/>
        <v>ia.assorted_string like '%21942-03-2024%' or</v>
      </c>
      <c r="I78" s="40" t="s">
        <v>892</v>
      </c>
      <c r="J78" t="s">
        <v>893</v>
      </c>
      <c r="K78" t="s">
        <v>894</v>
      </c>
      <c r="L78" t="s">
        <v>895</v>
      </c>
      <c r="M78" t="s">
        <v>896</v>
      </c>
      <c r="N78" t="s">
        <v>897</v>
      </c>
      <c r="O78">
        <v>21942</v>
      </c>
      <c r="P78">
        <v>3</v>
      </c>
      <c r="Q78">
        <v>2024</v>
      </c>
    </row>
    <row r="79" spans="1:17" x14ac:dyDescent="0.25">
      <c r="A79" s="40" t="s">
        <v>852</v>
      </c>
      <c r="B79" s="42" t="str">
        <f t="shared" si="2"/>
        <v>-03-2024</v>
      </c>
      <c r="D79" s="42">
        <v>21943</v>
      </c>
      <c r="E79" s="42" t="str">
        <f t="shared" si="3"/>
        <v>ia.assorted_string like '%21943-03-2024%' or</v>
      </c>
      <c r="I79" s="40" t="s">
        <v>892</v>
      </c>
      <c r="J79" t="s">
        <v>893</v>
      </c>
      <c r="K79" t="s">
        <v>894</v>
      </c>
      <c r="L79" t="s">
        <v>895</v>
      </c>
      <c r="M79" t="s">
        <v>896</v>
      </c>
      <c r="N79" t="s">
        <v>897</v>
      </c>
      <c r="O79">
        <v>21943</v>
      </c>
      <c r="P79">
        <v>3</v>
      </c>
      <c r="Q79">
        <v>2024</v>
      </c>
    </row>
    <row r="80" spans="1:17" x14ac:dyDescent="0.25">
      <c r="A80" s="40" t="s">
        <v>853</v>
      </c>
      <c r="B80" s="42" t="str">
        <f t="shared" si="2"/>
        <v>-03-2024</v>
      </c>
      <c r="D80" s="42">
        <v>21944</v>
      </c>
      <c r="E80" s="42" t="str">
        <f t="shared" si="3"/>
        <v>ia.assorted_string like '%21944-03-2024%' or</v>
      </c>
      <c r="I80" s="40" t="s">
        <v>892</v>
      </c>
      <c r="J80" t="s">
        <v>893</v>
      </c>
      <c r="K80" t="s">
        <v>894</v>
      </c>
      <c r="L80" t="s">
        <v>895</v>
      </c>
      <c r="M80" t="s">
        <v>896</v>
      </c>
      <c r="N80" t="s">
        <v>897</v>
      </c>
      <c r="O80">
        <v>21944</v>
      </c>
      <c r="P80">
        <v>3</v>
      </c>
      <c r="Q80">
        <v>2024</v>
      </c>
    </row>
    <row r="81" spans="1:17" x14ac:dyDescent="0.25">
      <c r="A81" s="40" t="s">
        <v>854</v>
      </c>
      <c r="B81" s="42" t="str">
        <f t="shared" si="2"/>
        <v>-03-2024</v>
      </c>
      <c r="D81" s="42">
        <v>21945</v>
      </c>
      <c r="E81" s="42" t="str">
        <f t="shared" si="3"/>
        <v>ia.assorted_string like '%21945-03-2024%' or</v>
      </c>
      <c r="I81" s="40" t="s">
        <v>892</v>
      </c>
      <c r="J81" t="s">
        <v>893</v>
      </c>
      <c r="K81" t="s">
        <v>894</v>
      </c>
      <c r="L81" t="s">
        <v>895</v>
      </c>
      <c r="M81" t="s">
        <v>896</v>
      </c>
      <c r="N81" t="s">
        <v>897</v>
      </c>
      <c r="O81">
        <v>21945</v>
      </c>
      <c r="P81">
        <v>3</v>
      </c>
      <c r="Q81">
        <v>2024</v>
      </c>
    </row>
    <row r="82" spans="1:17" x14ac:dyDescent="0.25">
      <c r="A82" s="40" t="s">
        <v>855</v>
      </c>
      <c r="B82" s="42" t="str">
        <f t="shared" si="2"/>
        <v>-03-2024</v>
      </c>
      <c r="D82" s="42">
        <v>21946</v>
      </c>
      <c r="E82" s="42" t="str">
        <f t="shared" si="3"/>
        <v>ia.assorted_string like '%21946-03-2024%' or</v>
      </c>
      <c r="I82" s="40" t="s">
        <v>892</v>
      </c>
      <c r="J82" t="s">
        <v>893</v>
      </c>
      <c r="K82" t="s">
        <v>894</v>
      </c>
      <c r="L82" t="s">
        <v>895</v>
      </c>
      <c r="M82" t="s">
        <v>896</v>
      </c>
      <c r="N82" t="s">
        <v>897</v>
      </c>
      <c r="O82">
        <v>21946</v>
      </c>
      <c r="P82">
        <v>3</v>
      </c>
      <c r="Q82">
        <v>2024</v>
      </c>
    </row>
    <row r="83" spans="1:17" x14ac:dyDescent="0.25">
      <c r="A83" s="40" t="s">
        <v>856</v>
      </c>
      <c r="B83" s="42" t="str">
        <f t="shared" si="2"/>
        <v>-03-2024</v>
      </c>
      <c r="D83" s="42">
        <v>21947</v>
      </c>
      <c r="E83" s="42" t="str">
        <f t="shared" si="3"/>
        <v>ia.assorted_string like '%21947-03-2024%' or</v>
      </c>
      <c r="I83" s="40" t="s">
        <v>892</v>
      </c>
      <c r="J83" t="s">
        <v>893</v>
      </c>
      <c r="K83" t="s">
        <v>894</v>
      </c>
      <c r="L83" t="s">
        <v>895</v>
      </c>
      <c r="M83" t="s">
        <v>896</v>
      </c>
      <c r="N83" t="s">
        <v>897</v>
      </c>
      <c r="O83">
        <v>21947</v>
      </c>
      <c r="P83">
        <v>3</v>
      </c>
      <c r="Q83">
        <v>2024</v>
      </c>
    </row>
    <row r="84" spans="1:17" x14ac:dyDescent="0.25">
      <c r="A84" s="40" t="s">
        <v>857</v>
      </c>
      <c r="B84" s="42" t="str">
        <f t="shared" si="2"/>
        <v>-03-2024</v>
      </c>
      <c r="D84" s="42">
        <v>21948</v>
      </c>
      <c r="E84" s="42" t="str">
        <f t="shared" si="3"/>
        <v>ia.assorted_string like '%21948-03-2024%' or</v>
      </c>
      <c r="I84" s="40" t="s">
        <v>892</v>
      </c>
      <c r="J84" t="s">
        <v>893</v>
      </c>
      <c r="K84" t="s">
        <v>894</v>
      </c>
      <c r="L84" t="s">
        <v>895</v>
      </c>
      <c r="M84" t="s">
        <v>896</v>
      </c>
      <c r="N84" t="s">
        <v>897</v>
      </c>
      <c r="O84">
        <v>21948</v>
      </c>
      <c r="P84">
        <v>3</v>
      </c>
      <c r="Q84">
        <v>2024</v>
      </c>
    </row>
    <row r="85" spans="1:17" x14ac:dyDescent="0.25">
      <c r="A85" s="40" t="s">
        <v>858</v>
      </c>
      <c r="B85" s="42" t="str">
        <f t="shared" si="2"/>
        <v>-03-2024</v>
      </c>
      <c r="D85" s="42">
        <v>21949</v>
      </c>
      <c r="E85" s="42" t="str">
        <f t="shared" si="3"/>
        <v>ia.assorted_string like '%21949-03-2024%' or</v>
      </c>
      <c r="I85" s="40" t="s">
        <v>892</v>
      </c>
      <c r="J85" t="s">
        <v>893</v>
      </c>
      <c r="K85" t="s">
        <v>894</v>
      </c>
      <c r="L85" t="s">
        <v>895</v>
      </c>
      <c r="M85" t="s">
        <v>896</v>
      </c>
      <c r="N85" t="s">
        <v>897</v>
      </c>
      <c r="O85">
        <v>21949</v>
      </c>
      <c r="P85">
        <v>3</v>
      </c>
      <c r="Q85">
        <v>2024</v>
      </c>
    </row>
    <row r="86" spans="1:17" x14ac:dyDescent="0.25">
      <c r="A86" s="40" t="s">
        <v>859</v>
      </c>
      <c r="B86" s="42" t="str">
        <f t="shared" si="2"/>
        <v>-03-2024</v>
      </c>
      <c r="D86" s="42">
        <v>21950</v>
      </c>
      <c r="E86" s="42" t="str">
        <f t="shared" si="3"/>
        <v>ia.assorted_string like '%21950-03-2024%' or</v>
      </c>
      <c r="I86" s="40" t="s">
        <v>892</v>
      </c>
      <c r="J86" t="s">
        <v>893</v>
      </c>
      <c r="K86" t="s">
        <v>894</v>
      </c>
      <c r="L86" t="s">
        <v>895</v>
      </c>
      <c r="M86" t="s">
        <v>896</v>
      </c>
      <c r="N86" t="s">
        <v>897</v>
      </c>
      <c r="O86">
        <v>21950</v>
      </c>
      <c r="P86">
        <v>3</v>
      </c>
      <c r="Q86">
        <v>2024</v>
      </c>
    </row>
    <row r="87" spans="1:17" x14ac:dyDescent="0.25">
      <c r="A87" s="40" t="s">
        <v>860</v>
      </c>
      <c r="B87" s="42" t="str">
        <f t="shared" si="2"/>
        <v>-03-2024</v>
      </c>
      <c r="D87" s="42">
        <v>21951</v>
      </c>
      <c r="E87" s="42" t="str">
        <f t="shared" si="3"/>
        <v>ia.assorted_string like '%21951-03-2024%' or</v>
      </c>
      <c r="I87" s="40" t="s">
        <v>892</v>
      </c>
      <c r="J87" t="s">
        <v>893</v>
      </c>
      <c r="K87" t="s">
        <v>894</v>
      </c>
      <c r="L87" t="s">
        <v>895</v>
      </c>
      <c r="M87" t="s">
        <v>896</v>
      </c>
      <c r="N87" t="s">
        <v>897</v>
      </c>
      <c r="O87">
        <v>21951</v>
      </c>
      <c r="P87">
        <v>3</v>
      </c>
      <c r="Q87">
        <v>2024</v>
      </c>
    </row>
    <row r="88" spans="1:17" x14ac:dyDescent="0.25">
      <c r="A88" s="40" t="s">
        <v>861</v>
      </c>
      <c r="B88" s="42" t="str">
        <f t="shared" si="2"/>
        <v>-03-2024</v>
      </c>
      <c r="D88" s="42">
        <v>21952</v>
      </c>
      <c r="E88" s="42" t="str">
        <f t="shared" si="3"/>
        <v>ia.assorted_string like '%21952-03-2024%' or</v>
      </c>
      <c r="I88" s="40" t="s">
        <v>892</v>
      </c>
      <c r="J88" t="s">
        <v>893</v>
      </c>
      <c r="K88" t="s">
        <v>894</v>
      </c>
      <c r="L88" t="s">
        <v>895</v>
      </c>
      <c r="M88" t="s">
        <v>896</v>
      </c>
      <c r="N88" t="s">
        <v>897</v>
      </c>
      <c r="O88">
        <v>21952</v>
      </c>
      <c r="P88">
        <v>3</v>
      </c>
      <c r="Q88">
        <v>2024</v>
      </c>
    </row>
    <row r="89" spans="1:17" x14ac:dyDescent="0.25">
      <c r="A89" s="40" t="s">
        <v>862</v>
      </c>
      <c r="B89" s="42" t="str">
        <f t="shared" si="2"/>
        <v>-03-2024</v>
      </c>
      <c r="D89" s="42">
        <v>21953</v>
      </c>
      <c r="E89" s="42" t="str">
        <f t="shared" si="3"/>
        <v>ia.assorted_string like '%21953-03-2024%' or</v>
      </c>
      <c r="I89" s="40" t="s">
        <v>892</v>
      </c>
      <c r="J89" t="s">
        <v>893</v>
      </c>
      <c r="K89" t="s">
        <v>894</v>
      </c>
      <c r="L89" t="s">
        <v>895</v>
      </c>
      <c r="M89" t="s">
        <v>896</v>
      </c>
      <c r="N89" t="s">
        <v>897</v>
      </c>
      <c r="O89">
        <v>21953</v>
      </c>
      <c r="P89">
        <v>3</v>
      </c>
      <c r="Q89">
        <v>2024</v>
      </c>
    </row>
    <row r="90" spans="1:17" x14ac:dyDescent="0.25">
      <c r="A90" s="40" t="s">
        <v>863</v>
      </c>
      <c r="B90" s="42" t="str">
        <f t="shared" si="2"/>
        <v>-03-2024</v>
      </c>
      <c r="D90" s="42">
        <v>21954</v>
      </c>
      <c r="E90" s="42" t="str">
        <f t="shared" si="3"/>
        <v>ia.assorted_string like '%21954-03-2024%' or</v>
      </c>
      <c r="I90" s="40" t="s">
        <v>892</v>
      </c>
      <c r="J90" t="s">
        <v>893</v>
      </c>
      <c r="K90" t="s">
        <v>894</v>
      </c>
      <c r="L90" t="s">
        <v>895</v>
      </c>
      <c r="M90" t="s">
        <v>896</v>
      </c>
      <c r="N90" t="s">
        <v>897</v>
      </c>
      <c r="O90">
        <v>21954</v>
      </c>
      <c r="P90">
        <v>3</v>
      </c>
      <c r="Q90">
        <v>2024</v>
      </c>
    </row>
    <row r="91" spans="1:17" x14ac:dyDescent="0.25">
      <c r="A91" s="40" t="s">
        <v>864</v>
      </c>
      <c r="B91" s="42" t="str">
        <f t="shared" si="2"/>
        <v>-03-2024</v>
      </c>
      <c r="D91" s="42">
        <v>21955</v>
      </c>
      <c r="E91" s="42" t="str">
        <f t="shared" si="3"/>
        <v>ia.assorted_string like '%21955-03-2024%' or</v>
      </c>
      <c r="I91" s="40" t="s">
        <v>892</v>
      </c>
      <c r="J91" t="s">
        <v>893</v>
      </c>
      <c r="K91" t="s">
        <v>894</v>
      </c>
      <c r="L91" t="s">
        <v>895</v>
      </c>
      <c r="M91" t="s">
        <v>896</v>
      </c>
      <c r="N91" t="s">
        <v>897</v>
      </c>
      <c r="O91">
        <v>21955</v>
      </c>
      <c r="P91">
        <v>3</v>
      </c>
      <c r="Q91">
        <v>2024</v>
      </c>
    </row>
    <row r="92" spans="1:17" x14ac:dyDescent="0.25">
      <c r="A92" s="40" t="s">
        <v>865</v>
      </c>
      <c r="B92" s="42" t="str">
        <f t="shared" si="2"/>
        <v>-03-2024</v>
      </c>
      <c r="D92" s="42">
        <v>21956</v>
      </c>
      <c r="E92" s="42" t="str">
        <f t="shared" si="3"/>
        <v>ia.assorted_string like '%21956-03-2024%' or</v>
      </c>
      <c r="I92" s="40" t="s">
        <v>892</v>
      </c>
      <c r="J92" t="s">
        <v>893</v>
      </c>
      <c r="K92" t="s">
        <v>894</v>
      </c>
      <c r="L92" t="s">
        <v>895</v>
      </c>
      <c r="M92" t="s">
        <v>896</v>
      </c>
      <c r="N92" t="s">
        <v>897</v>
      </c>
      <c r="O92">
        <v>21956</v>
      </c>
      <c r="P92">
        <v>3</v>
      </c>
      <c r="Q92">
        <v>2024</v>
      </c>
    </row>
    <row r="93" spans="1:17" x14ac:dyDescent="0.25">
      <c r="A93" s="40" t="s">
        <v>866</v>
      </c>
      <c r="B93" s="42" t="str">
        <f t="shared" si="2"/>
        <v>-03-2024</v>
      </c>
      <c r="D93" s="42">
        <v>21957</v>
      </c>
      <c r="E93" s="42" t="str">
        <f t="shared" si="3"/>
        <v>ia.assorted_string like '%21957-03-2024%' or</v>
      </c>
      <c r="I93" s="40" t="s">
        <v>892</v>
      </c>
      <c r="J93" t="s">
        <v>893</v>
      </c>
      <c r="K93" t="s">
        <v>894</v>
      </c>
      <c r="L93" t="s">
        <v>895</v>
      </c>
      <c r="M93" t="s">
        <v>896</v>
      </c>
      <c r="N93" t="s">
        <v>897</v>
      </c>
      <c r="O93">
        <v>21957</v>
      </c>
      <c r="P93">
        <v>3</v>
      </c>
      <c r="Q93">
        <v>2024</v>
      </c>
    </row>
    <row r="94" spans="1:17" x14ac:dyDescent="0.25">
      <c r="A94" s="40" t="s">
        <v>867</v>
      </c>
      <c r="B94" s="42" t="str">
        <f t="shared" si="2"/>
        <v>-03-2024</v>
      </c>
      <c r="D94" s="42">
        <v>21958</v>
      </c>
      <c r="E94" s="42" t="str">
        <f t="shared" si="3"/>
        <v>ia.assorted_string like '%21958-03-2024%' or</v>
      </c>
      <c r="I94" s="40" t="s">
        <v>892</v>
      </c>
      <c r="J94" t="s">
        <v>893</v>
      </c>
      <c r="K94" t="s">
        <v>894</v>
      </c>
      <c r="L94" t="s">
        <v>895</v>
      </c>
      <c r="M94" t="s">
        <v>896</v>
      </c>
      <c r="N94" t="s">
        <v>897</v>
      </c>
      <c r="O94">
        <v>21958</v>
      </c>
      <c r="P94">
        <v>3</v>
      </c>
      <c r="Q94">
        <v>2024</v>
      </c>
    </row>
    <row r="95" spans="1:17" x14ac:dyDescent="0.25">
      <c r="A95" s="40" t="s">
        <v>868</v>
      </c>
      <c r="B95" s="42" t="str">
        <f t="shared" si="2"/>
        <v>-03-2024</v>
      </c>
      <c r="D95" s="42">
        <v>21959</v>
      </c>
      <c r="E95" s="42" t="str">
        <f t="shared" si="3"/>
        <v>ia.assorted_string like '%21959-03-2024%' or</v>
      </c>
      <c r="I95" s="40" t="s">
        <v>892</v>
      </c>
      <c r="J95" t="s">
        <v>893</v>
      </c>
      <c r="K95" t="s">
        <v>894</v>
      </c>
      <c r="L95" t="s">
        <v>895</v>
      </c>
      <c r="M95" t="s">
        <v>896</v>
      </c>
      <c r="N95" t="s">
        <v>897</v>
      </c>
      <c r="O95">
        <v>21959</v>
      </c>
      <c r="P95">
        <v>3</v>
      </c>
      <c r="Q95">
        <v>2024</v>
      </c>
    </row>
    <row r="96" spans="1:17" x14ac:dyDescent="0.25">
      <c r="A96" s="40" t="s">
        <v>869</v>
      </c>
      <c r="B96" s="42" t="str">
        <f t="shared" si="2"/>
        <v>-03-2024</v>
      </c>
      <c r="D96" s="42">
        <v>21960</v>
      </c>
      <c r="E96" s="42" t="str">
        <f t="shared" si="3"/>
        <v>ia.assorted_string like '%21960-03-2024%' or</v>
      </c>
      <c r="I96" s="40" t="s">
        <v>892</v>
      </c>
      <c r="J96" t="s">
        <v>893</v>
      </c>
      <c r="K96" t="s">
        <v>894</v>
      </c>
      <c r="L96" t="s">
        <v>895</v>
      </c>
      <c r="M96" t="s">
        <v>896</v>
      </c>
      <c r="N96" t="s">
        <v>897</v>
      </c>
      <c r="O96">
        <v>21960</v>
      </c>
      <c r="P96">
        <v>3</v>
      </c>
      <c r="Q96">
        <v>2024</v>
      </c>
    </row>
    <row r="97" spans="1:17" x14ac:dyDescent="0.25">
      <c r="A97" s="40" t="s">
        <v>870</v>
      </c>
      <c r="B97" s="42" t="str">
        <f t="shared" si="2"/>
        <v>-03-2024</v>
      </c>
      <c r="D97" s="42">
        <v>21961</v>
      </c>
      <c r="E97" s="42" t="str">
        <f t="shared" si="3"/>
        <v>ia.assorted_string like '%21961-03-2024%' or</v>
      </c>
      <c r="I97" s="40" t="s">
        <v>892</v>
      </c>
      <c r="J97" t="s">
        <v>893</v>
      </c>
      <c r="K97" t="s">
        <v>894</v>
      </c>
      <c r="L97" t="s">
        <v>895</v>
      </c>
      <c r="M97" t="s">
        <v>896</v>
      </c>
      <c r="N97" t="s">
        <v>897</v>
      </c>
      <c r="O97">
        <v>21961</v>
      </c>
      <c r="P97">
        <v>3</v>
      </c>
      <c r="Q97">
        <v>2024</v>
      </c>
    </row>
    <row r="98" spans="1:17" x14ac:dyDescent="0.25">
      <c r="A98" s="40" t="s">
        <v>871</v>
      </c>
      <c r="B98" s="42" t="str">
        <f t="shared" si="2"/>
        <v>-03-2024</v>
      </c>
      <c r="D98" s="42">
        <v>21962</v>
      </c>
      <c r="E98" s="42" t="str">
        <f t="shared" si="3"/>
        <v>ia.assorted_string like '%21962-03-2024%' or</v>
      </c>
      <c r="I98" s="40" t="s">
        <v>892</v>
      </c>
      <c r="J98" t="s">
        <v>893</v>
      </c>
      <c r="K98" t="s">
        <v>894</v>
      </c>
      <c r="L98" t="s">
        <v>895</v>
      </c>
      <c r="M98" t="s">
        <v>896</v>
      </c>
      <c r="N98" t="s">
        <v>897</v>
      </c>
      <c r="O98">
        <v>21962</v>
      </c>
      <c r="P98">
        <v>3</v>
      </c>
      <c r="Q98">
        <v>2024</v>
      </c>
    </row>
    <row r="99" spans="1:17" x14ac:dyDescent="0.25">
      <c r="A99" s="40" t="s">
        <v>872</v>
      </c>
      <c r="B99" s="42" t="str">
        <f t="shared" si="2"/>
        <v>-03-2024</v>
      </c>
      <c r="D99" s="42">
        <v>21963</v>
      </c>
      <c r="E99" s="42" t="str">
        <f t="shared" si="3"/>
        <v>ia.assorted_string like '%21963-03-2024%' or</v>
      </c>
      <c r="I99" s="40" t="s">
        <v>892</v>
      </c>
      <c r="J99" t="s">
        <v>893</v>
      </c>
      <c r="K99" t="s">
        <v>894</v>
      </c>
      <c r="L99" t="s">
        <v>895</v>
      </c>
      <c r="M99" t="s">
        <v>896</v>
      </c>
      <c r="N99" t="s">
        <v>897</v>
      </c>
      <c r="O99">
        <v>21963</v>
      </c>
      <c r="P99">
        <v>3</v>
      </c>
      <c r="Q99">
        <v>2024</v>
      </c>
    </row>
    <row r="100" spans="1:17" x14ac:dyDescent="0.25">
      <c r="A100" s="40" t="s">
        <v>873</v>
      </c>
      <c r="B100" s="42" t="str">
        <f t="shared" si="2"/>
        <v>-03-2024</v>
      </c>
      <c r="D100" s="42">
        <v>21964</v>
      </c>
      <c r="E100" s="42" t="str">
        <f t="shared" si="3"/>
        <v>ia.assorted_string like '%21964-03-2024%' or</v>
      </c>
      <c r="I100" s="40" t="s">
        <v>892</v>
      </c>
      <c r="J100" t="s">
        <v>893</v>
      </c>
      <c r="K100" t="s">
        <v>894</v>
      </c>
      <c r="L100" t="s">
        <v>895</v>
      </c>
      <c r="M100" t="s">
        <v>896</v>
      </c>
      <c r="N100" t="s">
        <v>897</v>
      </c>
      <c r="O100">
        <v>21964</v>
      </c>
      <c r="P100">
        <v>3</v>
      </c>
      <c r="Q100">
        <v>2024</v>
      </c>
    </row>
    <row r="101" spans="1:17" x14ac:dyDescent="0.25">
      <c r="A101" s="40" t="s">
        <v>874</v>
      </c>
      <c r="B101" s="42" t="str">
        <f t="shared" si="2"/>
        <v>-03-2024</v>
      </c>
      <c r="D101" s="42">
        <v>21965</v>
      </c>
      <c r="E101" s="42" t="str">
        <f t="shared" si="3"/>
        <v>ia.assorted_string like '%21965-03-2024%' or</v>
      </c>
      <c r="I101" s="40" t="s">
        <v>892</v>
      </c>
      <c r="J101" t="s">
        <v>893</v>
      </c>
      <c r="K101" t="s">
        <v>894</v>
      </c>
      <c r="L101" t="s">
        <v>895</v>
      </c>
      <c r="M101" t="s">
        <v>896</v>
      </c>
      <c r="N101" t="s">
        <v>897</v>
      </c>
      <c r="O101">
        <v>21965</v>
      </c>
      <c r="P101">
        <v>3</v>
      </c>
      <c r="Q101">
        <v>2024</v>
      </c>
    </row>
    <row r="102" spans="1:17" x14ac:dyDescent="0.25">
      <c r="A102" s="40" t="s">
        <v>875</v>
      </c>
      <c r="B102" s="42" t="str">
        <f t="shared" si="2"/>
        <v>-03-2024</v>
      </c>
      <c r="D102" s="42">
        <v>21966</v>
      </c>
      <c r="E102" s="42" t="str">
        <f t="shared" si="3"/>
        <v>ia.assorted_string like '%21966-03-2024%' or</v>
      </c>
      <c r="I102" s="40" t="s">
        <v>892</v>
      </c>
      <c r="J102" t="s">
        <v>893</v>
      </c>
      <c r="K102" t="s">
        <v>894</v>
      </c>
      <c r="L102" t="s">
        <v>895</v>
      </c>
      <c r="M102" t="s">
        <v>896</v>
      </c>
      <c r="N102" t="s">
        <v>897</v>
      </c>
      <c r="O102">
        <v>21966</v>
      </c>
      <c r="P102">
        <v>3</v>
      </c>
      <c r="Q102">
        <v>2024</v>
      </c>
    </row>
    <row r="103" spans="1:17" x14ac:dyDescent="0.25">
      <c r="A103" s="40" t="s">
        <v>876</v>
      </c>
      <c r="B103" s="42" t="str">
        <f t="shared" si="2"/>
        <v>-03-2024</v>
      </c>
      <c r="D103" s="42">
        <v>21967</v>
      </c>
      <c r="E103" s="42" t="str">
        <f t="shared" si="3"/>
        <v>ia.assorted_string like '%21967-03-2024%' or</v>
      </c>
      <c r="I103" s="40" t="s">
        <v>892</v>
      </c>
      <c r="J103" t="s">
        <v>893</v>
      </c>
      <c r="K103" t="s">
        <v>894</v>
      </c>
      <c r="L103" t="s">
        <v>895</v>
      </c>
      <c r="M103" t="s">
        <v>896</v>
      </c>
      <c r="N103" t="s">
        <v>897</v>
      </c>
      <c r="O103">
        <v>21967</v>
      </c>
      <c r="P103">
        <v>3</v>
      </c>
      <c r="Q103">
        <v>2024</v>
      </c>
    </row>
    <row r="104" spans="1:17" x14ac:dyDescent="0.25">
      <c r="A104" s="40" t="s">
        <v>877</v>
      </c>
      <c r="B104" s="42" t="str">
        <f t="shared" si="2"/>
        <v>-03-2024</v>
      </c>
      <c r="D104" s="42">
        <v>21968</v>
      </c>
      <c r="E104" s="42" t="str">
        <f t="shared" si="3"/>
        <v>ia.assorted_string like '%21968-03-2024%' or</v>
      </c>
      <c r="I104" s="40" t="s">
        <v>892</v>
      </c>
      <c r="J104" t="s">
        <v>893</v>
      </c>
      <c r="K104" t="s">
        <v>894</v>
      </c>
      <c r="L104" t="s">
        <v>895</v>
      </c>
      <c r="M104" t="s">
        <v>896</v>
      </c>
      <c r="N104" t="s">
        <v>897</v>
      </c>
      <c r="O104">
        <v>21968</v>
      </c>
      <c r="P104">
        <v>3</v>
      </c>
      <c r="Q104">
        <v>2024</v>
      </c>
    </row>
    <row r="105" spans="1:17" x14ac:dyDescent="0.25">
      <c r="A105" s="40" t="s">
        <v>878</v>
      </c>
      <c r="B105" s="42" t="str">
        <f t="shared" si="2"/>
        <v>-03-2024</v>
      </c>
      <c r="D105" s="42">
        <v>21969</v>
      </c>
      <c r="E105" s="42" t="str">
        <f t="shared" si="3"/>
        <v>ia.assorted_string like '%21969-03-2024%' or</v>
      </c>
      <c r="I105" s="40" t="s">
        <v>892</v>
      </c>
      <c r="J105" t="s">
        <v>893</v>
      </c>
      <c r="K105" t="s">
        <v>894</v>
      </c>
      <c r="L105" t="s">
        <v>895</v>
      </c>
      <c r="M105" t="s">
        <v>896</v>
      </c>
      <c r="N105" t="s">
        <v>897</v>
      </c>
      <c r="O105">
        <v>21969</v>
      </c>
      <c r="P105">
        <v>3</v>
      </c>
      <c r="Q105">
        <v>2024</v>
      </c>
    </row>
    <row r="106" spans="1:17" x14ac:dyDescent="0.25">
      <c r="A106" s="40" t="s">
        <v>879</v>
      </c>
      <c r="B106" s="42" t="str">
        <f t="shared" si="2"/>
        <v>-03-2024</v>
      </c>
      <c r="D106" s="42">
        <v>21970</v>
      </c>
      <c r="E106" s="42" t="str">
        <f t="shared" si="3"/>
        <v>ia.assorted_string like '%21970-03-2024%' or</v>
      </c>
      <c r="I106" s="40" t="s">
        <v>892</v>
      </c>
      <c r="J106" t="s">
        <v>893</v>
      </c>
      <c r="K106" t="s">
        <v>894</v>
      </c>
      <c r="L106" t="s">
        <v>895</v>
      </c>
      <c r="M106" t="s">
        <v>896</v>
      </c>
      <c r="N106" t="s">
        <v>897</v>
      </c>
      <c r="O106">
        <v>21970</v>
      </c>
      <c r="P106">
        <v>3</v>
      </c>
      <c r="Q106">
        <v>2024</v>
      </c>
    </row>
    <row r="107" spans="1:17" x14ac:dyDescent="0.25">
      <c r="A107" s="40" t="s">
        <v>880</v>
      </c>
      <c r="B107" s="42" t="str">
        <f t="shared" si="2"/>
        <v>-03-2024</v>
      </c>
      <c r="D107" s="42">
        <v>21971</v>
      </c>
      <c r="E107" s="42" t="str">
        <f t="shared" si="3"/>
        <v>ia.assorted_string like '%21971-03-2024%' or</v>
      </c>
      <c r="I107" s="40" t="s">
        <v>892</v>
      </c>
      <c r="J107" t="s">
        <v>893</v>
      </c>
      <c r="K107" t="s">
        <v>894</v>
      </c>
      <c r="L107" t="s">
        <v>895</v>
      </c>
      <c r="M107" t="s">
        <v>896</v>
      </c>
      <c r="N107" t="s">
        <v>897</v>
      </c>
      <c r="O107">
        <v>21971</v>
      </c>
      <c r="P107">
        <v>3</v>
      </c>
      <c r="Q107">
        <v>2024</v>
      </c>
    </row>
    <row r="108" spans="1:17" x14ac:dyDescent="0.25">
      <c r="A108" s="40" t="s">
        <v>881</v>
      </c>
      <c r="B108" s="42" t="str">
        <f t="shared" si="2"/>
        <v>-03-2024</v>
      </c>
      <c r="D108" s="42">
        <v>21972</v>
      </c>
      <c r="E108" s="42" t="str">
        <f t="shared" si="3"/>
        <v>ia.assorted_string like '%21972-03-2024%' or</v>
      </c>
      <c r="I108" s="40" t="s">
        <v>892</v>
      </c>
      <c r="J108" t="s">
        <v>893</v>
      </c>
      <c r="K108" t="s">
        <v>894</v>
      </c>
      <c r="L108" t="s">
        <v>895</v>
      </c>
      <c r="M108" t="s">
        <v>896</v>
      </c>
      <c r="N108" t="s">
        <v>897</v>
      </c>
      <c r="O108">
        <v>21972</v>
      </c>
      <c r="P108">
        <v>3</v>
      </c>
      <c r="Q108">
        <v>2024</v>
      </c>
    </row>
    <row r="109" spans="1:17" x14ac:dyDescent="0.25">
      <c r="A109" s="40" t="s">
        <v>882</v>
      </c>
      <c r="B109" s="42" t="str">
        <f t="shared" si="2"/>
        <v>-03-2024</v>
      </c>
      <c r="D109" s="42">
        <v>21973</v>
      </c>
      <c r="E109" s="42" t="str">
        <f t="shared" si="3"/>
        <v>ia.assorted_string like '%21973-03-2024%' or</v>
      </c>
      <c r="I109" s="40" t="s">
        <v>892</v>
      </c>
      <c r="J109" t="s">
        <v>893</v>
      </c>
      <c r="K109" t="s">
        <v>894</v>
      </c>
      <c r="L109" t="s">
        <v>895</v>
      </c>
      <c r="M109" t="s">
        <v>896</v>
      </c>
      <c r="N109" t="s">
        <v>897</v>
      </c>
      <c r="O109">
        <v>21973</v>
      </c>
      <c r="P109">
        <v>3</v>
      </c>
      <c r="Q109">
        <v>2024</v>
      </c>
    </row>
    <row r="110" spans="1:17" x14ac:dyDescent="0.25">
      <c r="A110" s="40" t="s">
        <v>883</v>
      </c>
      <c r="B110" s="42" t="str">
        <f t="shared" si="2"/>
        <v>-03-2024</v>
      </c>
      <c r="D110" s="42">
        <v>21974</v>
      </c>
      <c r="E110" s="42" t="str">
        <f t="shared" si="3"/>
        <v>ia.assorted_string like '%21974-03-2024%' or</v>
      </c>
      <c r="I110" s="40" t="s">
        <v>892</v>
      </c>
      <c r="J110" t="s">
        <v>893</v>
      </c>
      <c r="K110" t="s">
        <v>894</v>
      </c>
      <c r="L110" t="s">
        <v>895</v>
      </c>
      <c r="M110" t="s">
        <v>896</v>
      </c>
      <c r="N110" t="s">
        <v>897</v>
      </c>
      <c r="O110">
        <v>21974</v>
      </c>
      <c r="P110">
        <v>3</v>
      </c>
      <c r="Q110">
        <v>2024</v>
      </c>
    </row>
    <row r="111" spans="1:17" x14ac:dyDescent="0.25">
      <c r="A111" s="40" t="s">
        <v>884</v>
      </c>
      <c r="B111" s="42" t="str">
        <f t="shared" si="2"/>
        <v>-03-2024</v>
      </c>
      <c r="D111" s="42">
        <v>21975</v>
      </c>
      <c r="E111" s="42" t="str">
        <f t="shared" si="3"/>
        <v>ia.assorted_string like '%21975-03-2024%' or</v>
      </c>
      <c r="I111" s="40" t="s">
        <v>892</v>
      </c>
      <c r="J111" t="s">
        <v>893</v>
      </c>
      <c r="K111" t="s">
        <v>894</v>
      </c>
      <c r="L111" t="s">
        <v>895</v>
      </c>
      <c r="M111" t="s">
        <v>896</v>
      </c>
      <c r="N111" t="s">
        <v>897</v>
      </c>
      <c r="O111">
        <v>21975</v>
      </c>
      <c r="P111">
        <v>3</v>
      </c>
      <c r="Q111">
        <v>2024</v>
      </c>
    </row>
    <row r="112" spans="1:17" x14ac:dyDescent="0.25">
      <c r="A112" s="40" t="s">
        <v>885</v>
      </c>
      <c r="B112" s="42" t="str">
        <f t="shared" si="2"/>
        <v>-03-2024</v>
      </c>
      <c r="D112" s="42">
        <v>21976</v>
      </c>
      <c r="E112" s="42" t="str">
        <f t="shared" si="3"/>
        <v>ia.assorted_string like '%21976-03-2024%' or</v>
      </c>
      <c r="I112" s="40" t="s">
        <v>892</v>
      </c>
      <c r="J112" t="s">
        <v>893</v>
      </c>
      <c r="K112" t="s">
        <v>894</v>
      </c>
      <c r="L112" t="s">
        <v>895</v>
      </c>
      <c r="M112" t="s">
        <v>896</v>
      </c>
      <c r="N112" t="s">
        <v>897</v>
      </c>
      <c r="O112">
        <v>21976</v>
      </c>
      <c r="P112">
        <v>3</v>
      </c>
      <c r="Q112">
        <v>2024</v>
      </c>
    </row>
    <row r="113" spans="1:17" x14ac:dyDescent="0.25">
      <c r="A113" s="40" t="s">
        <v>886</v>
      </c>
      <c r="B113" s="42" t="str">
        <f t="shared" si="2"/>
        <v>-03-2024</v>
      </c>
      <c r="D113" s="42">
        <v>21977</v>
      </c>
      <c r="E113" s="42" t="str">
        <f t="shared" si="3"/>
        <v>ia.assorted_string like '%21977-03-2024%' or</v>
      </c>
      <c r="I113" s="40" t="s">
        <v>892</v>
      </c>
      <c r="J113" t="s">
        <v>893</v>
      </c>
      <c r="K113" t="s">
        <v>894</v>
      </c>
      <c r="L113" t="s">
        <v>895</v>
      </c>
      <c r="M113" t="s">
        <v>896</v>
      </c>
      <c r="N113" t="s">
        <v>897</v>
      </c>
      <c r="O113">
        <v>21977</v>
      </c>
      <c r="P113">
        <v>3</v>
      </c>
      <c r="Q113">
        <v>2024</v>
      </c>
    </row>
    <row r="114" spans="1:17" x14ac:dyDescent="0.25">
      <c r="A114" s="40" t="s">
        <v>887</v>
      </c>
      <c r="B114" s="42" t="str">
        <f t="shared" si="2"/>
        <v>-03-2024</v>
      </c>
      <c r="D114" s="42">
        <v>21978</v>
      </c>
      <c r="E114" s="42" t="str">
        <f t="shared" si="3"/>
        <v>ia.assorted_string like '%21978-03-2024%' or</v>
      </c>
      <c r="I114" s="40" t="s">
        <v>892</v>
      </c>
      <c r="J114" t="s">
        <v>893</v>
      </c>
      <c r="K114" t="s">
        <v>894</v>
      </c>
      <c r="L114" t="s">
        <v>895</v>
      </c>
      <c r="M114" t="s">
        <v>896</v>
      </c>
      <c r="N114" t="s">
        <v>897</v>
      </c>
      <c r="O114">
        <v>21978</v>
      </c>
      <c r="P114">
        <v>3</v>
      </c>
      <c r="Q114">
        <v>2024</v>
      </c>
    </row>
    <row r="115" spans="1:17" x14ac:dyDescent="0.25">
      <c r="A115" s="40" t="s">
        <v>888</v>
      </c>
      <c r="B115" s="42" t="str">
        <f t="shared" si="2"/>
        <v>-03-2024</v>
      </c>
      <c r="D115" s="42">
        <v>21979</v>
      </c>
      <c r="E115" s="42" t="str">
        <f t="shared" si="3"/>
        <v>ia.assorted_string like '%21979-03-2024%' or</v>
      </c>
      <c r="I115" s="40" t="s">
        <v>892</v>
      </c>
      <c r="J115" t="s">
        <v>893</v>
      </c>
      <c r="K115" t="s">
        <v>894</v>
      </c>
      <c r="L115" t="s">
        <v>895</v>
      </c>
      <c r="M115" t="s">
        <v>896</v>
      </c>
      <c r="N115" t="s">
        <v>897</v>
      </c>
      <c r="O115">
        <v>21979</v>
      </c>
      <c r="P115">
        <v>3</v>
      </c>
      <c r="Q115">
        <v>2024</v>
      </c>
    </row>
    <row r="116" spans="1:17" x14ac:dyDescent="0.25">
      <c r="A116" s="40" t="s">
        <v>889</v>
      </c>
      <c r="B116" s="42" t="str">
        <f t="shared" si="2"/>
        <v>-03-2024</v>
      </c>
      <c r="D116" s="42">
        <v>21980</v>
      </c>
      <c r="E116" s="42" t="str">
        <f t="shared" si="3"/>
        <v>ia.assorted_string like '%21980-03-2024%' or</v>
      </c>
      <c r="I116" s="40" t="s">
        <v>892</v>
      </c>
      <c r="J116" t="s">
        <v>893</v>
      </c>
      <c r="K116" t="s">
        <v>894</v>
      </c>
      <c r="L116" t="s">
        <v>895</v>
      </c>
      <c r="M116" t="s">
        <v>896</v>
      </c>
      <c r="N116" t="s">
        <v>897</v>
      </c>
      <c r="O116">
        <v>21980</v>
      </c>
      <c r="P116">
        <v>3</v>
      </c>
      <c r="Q116">
        <v>2024</v>
      </c>
    </row>
    <row r="117" spans="1:17" x14ac:dyDescent="0.25">
      <c r="A117" s="40" t="s">
        <v>890</v>
      </c>
      <c r="B117" s="42" t="str">
        <f t="shared" si="2"/>
        <v>-03-2024</v>
      </c>
      <c r="D117" s="42">
        <v>21981</v>
      </c>
      <c r="E117" s="42" t="str">
        <f t="shared" si="3"/>
        <v>ia.assorted_string like '%21981-03-2024%' or</v>
      </c>
      <c r="I117" s="40" t="s">
        <v>892</v>
      </c>
      <c r="J117" t="s">
        <v>893</v>
      </c>
      <c r="K117" t="s">
        <v>894</v>
      </c>
      <c r="L117" t="s">
        <v>895</v>
      </c>
      <c r="M117" t="s">
        <v>896</v>
      </c>
      <c r="N117" t="s">
        <v>897</v>
      </c>
      <c r="O117">
        <v>21981</v>
      </c>
      <c r="P117">
        <v>3</v>
      </c>
      <c r="Q117">
        <v>2024</v>
      </c>
    </row>
    <row r="118" spans="1:17" x14ac:dyDescent="0.25">
      <c r="A118" s="40" t="s">
        <v>891</v>
      </c>
      <c r="B118" s="42" t="str">
        <f t="shared" si="2"/>
        <v>-03-2024</v>
      </c>
      <c r="D118" s="42">
        <v>21982</v>
      </c>
      <c r="E118" s="42" t="str">
        <f t="shared" si="3"/>
        <v>ia.assorted_string like '%21982-03-2024%' or</v>
      </c>
      <c r="I118" s="40" t="s">
        <v>892</v>
      </c>
      <c r="J118" t="s">
        <v>893</v>
      </c>
      <c r="K118" t="s">
        <v>894</v>
      </c>
      <c r="L118" t="s">
        <v>895</v>
      </c>
      <c r="M118" t="s">
        <v>896</v>
      </c>
      <c r="N118" t="s">
        <v>897</v>
      </c>
      <c r="O118">
        <v>21982</v>
      </c>
      <c r="P118">
        <v>3</v>
      </c>
      <c r="Q118">
        <v>2024</v>
      </c>
    </row>
  </sheetData>
  <conditionalFormatting sqref="A1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Mar-2024 Renewals</vt:lpstr>
      <vt:lpstr>working</vt:lpstr>
      <vt:lpstr>Liqvidate Cases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Pyar Ali Pirwani</dc:creator>
  <cp:lastModifiedBy>IT User Software</cp:lastModifiedBy>
  <dcterms:created xsi:type="dcterms:W3CDTF">2017-02-15T07:30:48Z</dcterms:created>
  <dcterms:modified xsi:type="dcterms:W3CDTF">2024-08-21T07:33:21Z</dcterms:modified>
</cp:coreProperties>
</file>