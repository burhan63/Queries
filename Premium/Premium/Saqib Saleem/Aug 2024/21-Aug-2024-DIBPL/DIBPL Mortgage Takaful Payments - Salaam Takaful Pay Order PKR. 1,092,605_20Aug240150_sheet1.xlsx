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remium\"/>
    </mc:Choice>
  </mc:AlternateContent>
  <xr:revisionPtr revIDLastSave="0" documentId="8_{DEA3ECA7-5038-49CA-B959-5B6CFDBB12D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Feb-2024 Renewals" sheetId="1" r:id="rId1"/>
    <sheet name="Renewal Working" sheetId="3" r:id="rId2"/>
    <sheet name="Liqvidate Cases" sheetId="2" r:id="rId3"/>
  </sheets>
  <externalReferences>
    <externalReference r:id="rId4"/>
  </externalReferences>
  <definedNames>
    <definedName name="_xlnm._FilterDatabase" localSheetId="0" hidden="1">'Feb-2024 Renewals'!$A$2:$M$2</definedName>
    <definedName name="_xlnm._FilterDatabase" localSheetId="1" hidden="1">'Renewal Working'!$A$1:$H$113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H3" i="3" s="1"/>
  <c r="F4" i="3"/>
  <c r="H4" i="3" s="1"/>
  <c r="G4" i="3"/>
  <c r="F5" i="3"/>
  <c r="H5" i="3" s="1"/>
  <c r="G5" i="3"/>
  <c r="F6" i="3"/>
  <c r="G6" i="3"/>
  <c r="H6" i="3" s="1"/>
  <c r="F7" i="3"/>
  <c r="G7" i="3"/>
  <c r="H7" i="3" s="1"/>
  <c r="F8" i="3"/>
  <c r="G8" i="3"/>
  <c r="F9" i="3"/>
  <c r="H9" i="3" s="1"/>
  <c r="G9" i="3"/>
  <c r="F10" i="3"/>
  <c r="G10" i="3"/>
  <c r="H10" i="3"/>
  <c r="F11" i="3"/>
  <c r="G11" i="3"/>
  <c r="H11" i="3"/>
  <c r="F12" i="3"/>
  <c r="H12" i="3" s="1"/>
  <c r="G12" i="3"/>
  <c r="F13" i="3"/>
  <c r="G13" i="3"/>
  <c r="F14" i="3"/>
  <c r="G14" i="3"/>
  <c r="H14" i="3" s="1"/>
  <c r="F15" i="3"/>
  <c r="G15" i="3"/>
  <c r="H15" i="3" s="1"/>
  <c r="F16" i="3"/>
  <c r="G16" i="3"/>
  <c r="F17" i="3"/>
  <c r="H17" i="3" s="1"/>
  <c r="G17" i="3"/>
  <c r="F18" i="3"/>
  <c r="G18" i="3"/>
  <c r="H18" i="3"/>
  <c r="F19" i="3"/>
  <c r="G19" i="3"/>
  <c r="H19" i="3"/>
  <c r="F20" i="3"/>
  <c r="H20" i="3" s="1"/>
  <c r="G20" i="3"/>
  <c r="F21" i="3"/>
  <c r="G21" i="3"/>
  <c r="F22" i="3"/>
  <c r="G22" i="3"/>
  <c r="H22" i="3" s="1"/>
  <c r="F23" i="3"/>
  <c r="G23" i="3"/>
  <c r="H23" i="3" s="1"/>
  <c r="F24" i="3"/>
  <c r="G24" i="3"/>
  <c r="F25" i="3"/>
  <c r="H25" i="3" s="1"/>
  <c r="G25" i="3"/>
  <c r="F26" i="3"/>
  <c r="G26" i="3"/>
  <c r="H26" i="3"/>
  <c r="F27" i="3"/>
  <c r="G27" i="3"/>
  <c r="H27" i="3"/>
  <c r="F28" i="3"/>
  <c r="H28" i="3" s="1"/>
  <c r="G28" i="3"/>
  <c r="F29" i="3"/>
  <c r="G29" i="3"/>
  <c r="F30" i="3"/>
  <c r="G30" i="3"/>
  <c r="H30" i="3" s="1"/>
  <c r="F31" i="3"/>
  <c r="G31" i="3"/>
  <c r="H31" i="3" s="1"/>
  <c r="F32" i="3"/>
  <c r="G32" i="3"/>
  <c r="F33" i="3"/>
  <c r="H33" i="3" s="1"/>
  <c r="G33" i="3"/>
  <c r="F34" i="3"/>
  <c r="G34" i="3"/>
  <c r="H34" i="3"/>
  <c r="F35" i="3"/>
  <c r="G35" i="3"/>
  <c r="H35" i="3"/>
  <c r="F36" i="3"/>
  <c r="H36" i="3" s="1"/>
  <c r="G36" i="3"/>
  <c r="F37" i="3"/>
  <c r="G37" i="3"/>
  <c r="F38" i="3"/>
  <c r="G38" i="3"/>
  <c r="H38" i="3" s="1"/>
  <c r="F39" i="3"/>
  <c r="G39" i="3"/>
  <c r="H39" i="3" s="1"/>
  <c r="F40" i="3"/>
  <c r="G40" i="3"/>
  <c r="F41" i="3"/>
  <c r="H41" i="3" s="1"/>
  <c r="G41" i="3"/>
  <c r="F42" i="3"/>
  <c r="G42" i="3"/>
  <c r="H42" i="3"/>
  <c r="F43" i="3"/>
  <c r="G43" i="3"/>
  <c r="H43" i="3"/>
  <c r="F44" i="3"/>
  <c r="H44" i="3" s="1"/>
  <c r="G44" i="3"/>
  <c r="F45" i="3"/>
  <c r="G45" i="3"/>
  <c r="F46" i="3"/>
  <c r="G46" i="3"/>
  <c r="H46" i="3" s="1"/>
  <c r="F47" i="3"/>
  <c r="G47" i="3"/>
  <c r="H47" i="3" s="1"/>
  <c r="F48" i="3"/>
  <c r="G48" i="3"/>
  <c r="F49" i="3"/>
  <c r="H49" i="3" s="1"/>
  <c r="G49" i="3"/>
  <c r="F50" i="3"/>
  <c r="G50" i="3"/>
  <c r="H50" i="3"/>
  <c r="F51" i="3"/>
  <c r="G51" i="3"/>
  <c r="H51" i="3"/>
  <c r="F52" i="3"/>
  <c r="H52" i="3" s="1"/>
  <c r="G52" i="3"/>
  <c r="F53" i="3"/>
  <c r="G53" i="3"/>
  <c r="F54" i="3"/>
  <c r="G54" i="3"/>
  <c r="H54" i="3" s="1"/>
  <c r="F55" i="3"/>
  <c r="G55" i="3"/>
  <c r="H55" i="3" s="1"/>
  <c r="F56" i="3"/>
  <c r="G56" i="3"/>
  <c r="F57" i="3"/>
  <c r="H57" i="3" s="1"/>
  <c r="G57" i="3"/>
  <c r="F58" i="3"/>
  <c r="G58" i="3"/>
  <c r="H58" i="3"/>
  <c r="F59" i="3"/>
  <c r="G59" i="3"/>
  <c r="H59" i="3"/>
  <c r="F60" i="3"/>
  <c r="H60" i="3" s="1"/>
  <c r="G60" i="3"/>
  <c r="F61" i="3"/>
  <c r="G61" i="3"/>
  <c r="F62" i="3"/>
  <c r="G62" i="3"/>
  <c r="H62" i="3" s="1"/>
  <c r="F63" i="3"/>
  <c r="G63" i="3"/>
  <c r="H63" i="3" s="1"/>
  <c r="F64" i="3"/>
  <c r="G64" i="3"/>
  <c r="F65" i="3"/>
  <c r="H65" i="3" s="1"/>
  <c r="G65" i="3"/>
  <c r="F66" i="3"/>
  <c r="G66" i="3"/>
  <c r="H66" i="3"/>
  <c r="F67" i="3"/>
  <c r="G67" i="3"/>
  <c r="H67" i="3"/>
  <c r="F68" i="3"/>
  <c r="H68" i="3" s="1"/>
  <c r="G68" i="3"/>
  <c r="F69" i="3"/>
  <c r="G69" i="3"/>
  <c r="F70" i="3"/>
  <c r="G70" i="3"/>
  <c r="H70" i="3" s="1"/>
  <c r="F71" i="3"/>
  <c r="G71" i="3"/>
  <c r="H71" i="3" s="1"/>
  <c r="F72" i="3"/>
  <c r="G72" i="3"/>
  <c r="F73" i="3"/>
  <c r="H73" i="3" s="1"/>
  <c r="G73" i="3"/>
  <c r="F74" i="3"/>
  <c r="G74" i="3"/>
  <c r="H74" i="3"/>
  <c r="F75" i="3"/>
  <c r="G75" i="3"/>
  <c r="H75" i="3"/>
  <c r="F76" i="3"/>
  <c r="H76" i="3" s="1"/>
  <c r="G76" i="3"/>
  <c r="F77" i="3"/>
  <c r="G77" i="3"/>
  <c r="F78" i="3"/>
  <c r="G78" i="3"/>
  <c r="H78" i="3" s="1"/>
  <c r="F79" i="3"/>
  <c r="G79" i="3"/>
  <c r="H79" i="3" s="1"/>
  <c r="F80" i="3"/>
  <c r="G80" i="3"/>
  <c r="F81" i="3"/>
  <c r="H81" i="3" s="1"/>
  <c r="G81" i="3"/>
  <c r="F82" i="3"/>
  <c r="G82" i="3"/>
  <c r="H82" i="3"/>
  <c r="F83" i="3"/>
  <c r="G83" i="3"/>
  <c r="H83" i="3"/>
  <c r="F84" i="3"/>
  <c r="H84" i="3" s="1"/>
  <c r="G84" i="3"/>
  <c r="F85" i="3"/>
  <c r="G85" i="3"/>
  <c r="F86" i="3"/>
  <c r="G86" i="3"/>
  <c r="H86" i="3" s="1"/>
  <c r="F87" i="3"/>
  <c r="G87" i="3"/>
  <c r="H87" i="3" s="1"/>
  <c r="F88" i="3"/>
  <c r="G88" i="3"/>
  <c r="F89" i="3"/>
  <c r="H89" i="3" s="1"/>
  <c r="G89" i="3"/>
  <c r="F90" i="3"/>
  <c r="G90" i="3"/>
  <c r="H90" i="3"/>
  <c r="F91" i="3"/>
  <c r="G91" i="3"/>
  <c r="H91" i="3"/>
  <c r="F92" i="3"/>
  <c r="H92" i="3" s="1"/>
  <c r="G92" i="3"/>
  <c r="F93" i="3"/>
  <c r="G93" i="3"/>
  <c r="F94" i="3"/>
  <c r="G94" i="3"/>
  <c r="H94" i="3" s="1"/>
  <c r="F95" i="3"/>
  <c r="G95" i="3"/>
  <c r="H95" i="3" s="1"/>
  <c r="F96" i="3"/>
  <c r="G96" i="3"/>
  <c r="F97" i="3"/>
  <c r="H97" i="3" s="1"/>
  <c r="G97" i="3"/>
  <c r="F98" i="3"/>
  <c r="G98" i="3"/>
  <c r="H98" i="3"/>
  <c r="F99" i="3"/>
  <c r="G99" i="3"/>
  <c r="H99" i="3"/>
  <c r="F100" i="3"/>
  <c r="H100" i="3" s="1"/>
  <c r="G100" i="3"/>
  <c r="F101" i="3"/>
  <c r="G101" i="3"/>
  <c r="F102" i="3"/>
  <c r="G102" i="3"/>
  <c r="H102" i="3" s="1"/>
  <c r="F103" i="3"/>
  <c r="G103" i="3"/>
  <c r="H103" i="3" s="1"/>
  <c r="F104" i="3"/>
  <c r="G104" i="3"/>
  <c r="F105" i="3"/>
  <c r="H105" i="3" s="1"/>
  <c r="G105" i="3"/>
  <c r="F106" i="3"/>
  <c r="G106" i="3"/>
  <c r="H106" i="3"/>
  <c r="F107" i="3"/>
  <c r="G107" i="3"/>
  <c r="H107" i="3"/>
  <c r="F108" i="3"/>
  <c r="H108" i="3" s="1"/>
  <c r="G108" i="3"/>
  <c r="F109" i="3"/>
  <c r="G109" i="3"/>
  <c r="F110" i="3"/>
  <c r="G110" i="3"/>
  <c r="H110" i="3" s="1"/>
  <c r="F111" i="3"/>
  <c r="G111" i="3"/>
  <c r="H111" i="3" s="1"/>
  <c r="F112" i="3"/>
  <c r="G112" i="3"/>
  <c r="F113" i="3"/>
  <c r="H113" i="3" s="1"/>
  <c r="G113" i="3"/>
  <c r="G2" i="3"/>
  <c r="F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2" i="3"/>
  <c r="H112" i="3" l="1"/>
  <c r="H109" i="3"/>
  <c r="H104" i="3"/>
  <c r="H101" i="3"/>
  <c r="H96" i="3"/>
  <c r="H93" i="3"/>
  <c r="H88" i="3"/>
  <c r="H85" i="3"/>
  <c r="H80" i="3"/>
  <c r="H77" i="3"/>
  <c r="H72" i="3"/>
  <c r="H69" i="3"/>
  <c r="H64" i="3"/>
  <c r="H61" i="3"/>
  <c r="H56" i="3"/>
  <c r="H53" i="3"/>
  <c r="H48" i="3"/>
  <c r="H45" i="3"/>
  <c r="H40" i="3"/>
  <c r="H37" i="3"/>
  <c r="H32" i="3"/>
  <c r="H29" i="3"/>
  <c r="H24" i="3"/>
  <c r="H21" i="3"/>
  <c r="H16" i="3"/>
  <c r="H13" i="3"/>
  <c r="H8" i="3"/>
  <c r="H2" i="3"/>
  <c r="K116" i="1"/>
  <c r="I116" i="1" l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</calcChain>
</file>

<file path=xl/sharedStrings.xml><?xml version="1.0" encoding="utf-8"?>
<sst xmlns="http://schemas.openxmlformats.org/spreadsheetml/2006/main" count="1216" uniqueCount="714">
  <si>
    <t>S.No.</t>
  </si>
  <si>
    <t>Contract Number</t>
  </si>
  <si>
    <t>Customer Name</t>
  </si>
  <si>
    <t>City</t>
  </si>
  <si>
    <t>New NIC</t>
  </si>
  <si>
    <t>Effective Date</t>
  </si>
  <si>
    <t xml:space="preserve">Property Address </t>
  </si>
  <si>
    <t>Sum Insured</t>
  </si>
  <si>
    <t>FAISALABAD</t>
  </si>
  <si>
    <t>KARACHI</t>
  </si>
  <si>
    <t>LAHORE</t>
  </si>
  <si>
    <t>RAWALPINDI</t>
  </si>
  <si>
    <t>ISLAMABAD</t>
  </si>
  <si>
    <t>MUHAMMAD ASLAM</t>
  </si>
  <si>
    <t>MUHAMMAD ZUBAIR</t>
  </si>
  <si>
    <t>HYDERABAD</t>
  </si>
  <si>
    <t>SYED MOHSIN RAZA</t>
  </si>
  <si>
    <t>33100-7448450-7</t>
  </si>
  <si>
    <t>Contract Status</t>
  </si>
  <si>
    <t>997HREN090440001</t>
  </si>
  <si>
    <t>997HREN201600002</t>
  </si>
  <si>
    <t>997HBUY080600001</t>
  </si>
  <si>
    <t>997HPUS070590002</t>
  </si>
  <si>
    <t>997HREN180380001</t>
  </si>
  <si>
    <t>9976BUY170580001</t>
  </si>
  <si>
    <t>997HREN140590001</t>
  </si>
  <si>
    <t>9976BUY130590001</t>
  </si>
  <si>
    <t>9976BUY160410001</t>
  </si>
  <si>
    <t>997HBUY090580001</t>
  </si>
  <si>
    <t>997BFIN150590003</t>
  </si>
  <si>
    <t>9976BUY140580001</t>
  </si>
  <si>
    <t>9976BUY160540001</t>
  </si>
  <si>
    <t>9976BUY160490001</t>
  </si>
  <si>
    <t>997BFIN150480001</t>
  </si>
  <si>
    <t>997BFIN170590001</t>
  </si>
  <si>
    <t>997HBUY170510001</t>
  </si>
  <si>
    <t>997HBUY180530001</t>
  </si>
  <si>
    <t>997HBUY201640002</t>
  </si>
  <si>
    <t>9976REN190590001</t>
  </si>
  <si>
    <t>9976BUY190580001</t>
  </si>
  <si>
    <t>9976BUY190580002</t>
  </si>
  <si>
    <t>997HBUY150440002</t>
  </si>
  <si>
    <t>997HBUY201420003</t>
  </si>
  <si>
    <t>997HBUY190490001</t>
  </si>
  <si>
    <t>997HBUY160560001</t>
  </si>
  <si>
    <t>997HBUY160570001</t>
  </si>
  <si>
    <t>997BFIN160600001</t>
  </si>
  <si>
    <t>9976BUY190570001</t>
  </si>
  <si>
    <t>9976REN130590001</t>
  </si>
  <si>
    <t>9976BUY130460001</t>
  </si>
  <si>
    <t>9976BUY160580002</t>
  </si>
  <si>
    <t>9976BUY190590001</t>
  </si>
  <si>
    <t>9976BUY140580002</t>
  </si>
  <si>
    <t>997HBUY190380001</t>
  </si>
  <si>
    <t>997BFIN170590002</t>
  </si>
  <si>
    <t>997HBUY150500001</t>
  </si>
  <si>
    <t>997HCON190990001</t>
  </si>
  <si>
    <t>997BFIN190590001</t>
  </si>
  <si>
    <t>997HBUY190590001</t>
  </si>
  <si>
    <t>9976BUY190430001</t>
  </si>
  <si>
    <t>9976BUY160410002</t>
  </si>
  <si>
    <t>9976BUY201510005</t>
  </si>
  <si>
    <t>997HBUY170530001</t>
  </si>
  <si>
    <t>997BFIN180580001</t>
  </si>
  <si>
    <t>997HREN190390001</t>
  </si>
  <si>
    <t>997HREN201640005</t>
  </si>
  <si>
    <t>9976BUY180590003</t>
  </si>
  <si>
    <t>997HBUY190560001</t>
  </si>
  <si>
    <t>997HBUY201420006</t>
  </si>
  <si>
    <t>997BFIN200580001</t>
  </si>
  <si>
    <t>9976BFN180510001</t>
  </si>
  <si>
    <t>997HRNP190530001</t>
  </si>
  <si>
    <t>9976BUY180400001</t>
  </si>
  <si>
    <t>997BFIN110590001</t>
  </si>
  <si>
    <t>997HBUY200600001</t>
  </si>
  <si>
    <t>9976BUY150510002</t>
  </si>
  <si>
    <t>9976BUY180390001</t>
  </si>
  <si>
    <t>9976BUY201990001</t>
  </si>
  <si>
    <t>9976BUY190390001</t>
  </si>
  <si>
    <t>9976BUY170590001</t>
  </si>
  <si>
    <t>9976BUY201690001</t>
  </si>
  <si>
    <t>997HBUY200440001</t>
  </si>
  <si>
    <t>997HBUY190380002</t>
  </si>
  <si>
    <t>997HBUY210330001</t>
  </si>
  <si>
    <t>997HRNP210350001</t>
  </si>
  <si>
    <t>997HBUY210390002</t>
  </si>
  <si>
    <t>9976BUY210390001</t>
  </si>
  <si>
    <t>997HBUY210400002</t>
  </si>
  <si>
    <t>997HBUY210400003</t>
  </si>
  <si>
    <t>997HBUY210460001</t>
  </si>
  <si>
    <t>9976BUY210470001</t>
  </si>
  <si>
    <t>9976BUY210490001</t>
  </si>
  <si>
    <t>9976BUY210500003</t>
  </si>
  <si>
    <t>997HBUY210550001</t>
  </si>
  <si>
    <t>997HBUY210560002</t>
  </si>
  <si>
    <t>9976BUY210570001</t>
  </si>
  <si>
    <t>9976BUY210580001</t>
  </si>
  <si>
    <t>997HBUY210580001</t>
  </si>
  <si>
    <t>997BFIN210580001</t>
  </si>
  <si>
    <t>Old Contract Number</t>
  </si>
  <si>
    <t>IMRAN FARYAD</t>
  </si>
  <si>
    <t>37405-6237053-5</t>
  </si>
  <si>
    <t>HOUSE# 18, NEW MILLAT COLONY, RAWALPINDI</t>
  </si>
  <si>
    <t>GULRAIZ JAHANGIR</t>
  </si>
  <si>
    <t>33100-4185894-3</t>
  </si>
  <si>
    <t>HOUSE# 1127/B, PEOPLES COLONY# 2, FAISALABAD</t>
  </si>
  <si>
    <t>FAISAL MEHMOOD</t>
  </si>
  <si>
    <t>33100-4231534-9</t>
  </si>
  <si>
    <t>HOUSE# P-123 KOHINOOR TOWN, FAISALABAD</t>
  </si>
  <si>
    <t>AKBER</t>
  </si>
  <si>
    <t>42101-1657005-5</t>
  </si>
  <si>
    <t>FLAT # 305, 3RD FLOOR, BLOCK 3, KARIMABAD COLONY, F.B. AREA, SCHEME # 16, KARACHI.</t>
  </si>
  <si>
    <t>JUNAID HASSAN</t>
  </si>
  <si>
    <t>34601-8029978-9</t>
  </si>
  <si>
    <t>HOUSE NO. 342, BLOCK D, PUNJAB GOVT SERVANTS HOUSING FOUNDATION SCHEME, MOHLANWAL, LAHORE</t>
  </si>
  <si>
    <t>HOUSE# 183, SABINA TOWN, NEAR MANA WALA, SHEIKHUPURA ROAD, FAISALABAD</t>
  </si>
  <si>
    <t>MUHAMMAD FARRUKH KHAN</t>
  </si>
  <si>
    <t>42201-2781337-9</t>
  </si>
  <si>
    <t>FLAT# A-301, 3rd FLOOR, ON PLOT# FL-5, SUB PLOT# FL-5/A/1, BLOCK-17, KDA SCHEME# 36, GULISTAN-E-JAUHAR, KARACHI</t>
  </si>
  <si>
    <t>ALTAFAT HUSSAIN</t>
  </si>
  <si>
    <t>33100-0715052-1</t>
  </si>
  <si>
    <t>HOUSE # 465, BLOCK-D, PUNJAB GOVERNMENT SERVANTS HOUSING SCHEME, MOHLANWAL, LAHORE</t>
  </si>
  <si>
    <t>WAHEED MURAD</t>
  </si>
  <si>
    <t>41303-2149005-1</t>
  </si>
  <si>
    <t>FLAT# C-603, 6th FLOOR, RIM JHIM TOWERS, K.E.S.C EMPLOYEES CO-OPERATIVE HOUSING SOCIETY, SECTOR 34-A, SCHEME# 33, KARACHI</t>
  </si>
  <si>
    <t>MUHAMMAD MUZAMIL SHAH</t>
  </si>
  <si>
    <t>33100-0947181-1</t>
  </si>
  <si>
    <t>HOUSE # 573, BLOCK-K, GULISTAN COLONY # 1, FAISALABAD</t>
  </si>
  <si>
    <t>MUHAMMAD KAMRAN</t>
  </si>
  <si>
    <t>35202-0945551-9</t>
  </si>
  <si>
    <t>HOUSE# 336-B, BLOCK-A, REVENUE EMPLOYEES CO-OPERATIVE HOUSING SOCIETY LTD, LAHORE</t>
  </si>
  <si>
    <t>ABDUL HAYEE</t>
  </si>
  <si>
    <t>35202-7240720-5</t>
  </si>
  <si>
    <t>HOUSE # 397, BLOCK-B-1, M.A JOHAR TOWN, LAHORE</t>
  </si>
  <si>
    <t>MUHAMMAD ASIF</t>
  </si>
  <si>
    <t>42301-4534851-7</t>
  </si>
  <si>
    <t>FLAT # A-207, 2ND FLOOR, SABBAR LUXURY APARTMENT, PLOT # 02, SURVEY #205, DEH GOJRA, TAPPO SONGAL, BLOCK 13-E, GULSHAN-E-IQBAL, KDA SCHEME 24, KARACHI</t>
  </si>
  <si>
    <t>NAVEED SHAHZAD</t>
  </si>
  <si>
    <t>35200-1442215-7</t>
  </si>
  <si>
    <t>HOUSE # 108/A, BLOCK-A, PHASE-II, GOVT. EMPLOYEES COOPERATIVE HOUSING SOCIETY LTD, MODEL TOWN LINK ROAD, LAHORE</t>
  </si>
  <si>
    <t>AHMAD KHALID</t>
  </si>
  <si>
    <t>35202-2339818-3</t>
  </si>
  <si>
    <t>HOUSE NO. 122, BLOCK L, MODEL TOWN EXTENSION, LAHORE</t>
  </si>
  <si>
    <t>ALINA ASGHAR</t>
  </si>
  <si>
    <t>42201-4011718-6</t>
  </si>
  <si>
    <t>FLAT NO. 102, FIRST FLOOR, GHAZIANI ARCADE, SUB PLOT NO. SB-17/2, PLOT NO. SB-17, BLOCK NO. 2, GULISTAN-E-JAUHAR, KARACHI</t>
  </si>
  <si>
    <t>NADEEM AKHTAR</t>
  </si>
  <si>
    <t>41304-2284298-5</t>
  </si>
  <si>
    <t>HOUSE # 104, HAFIZA TOWN HOUSING SCHEME, R.S # 372, DEH GIDDU BUNDAR TALUKA LATIFABAD, HYDERABAD</t>
  </si>
  <si>
    <t>KHALIDA NOREEN</t>
  </si>
  <si>
    <t>35202-8808233-4</t>
  </si>
  <si>
    <t>HOUSE # 592/A,BLOCK-M, SABAZAR SCHEME, LAHORE</t>
  </si>
  <si>
    <t>GHULAM ALI</t>
  </si>
  <si>
    <t>36104-8544479-3</t>
  </si>
  <si>
    <t>HOUSE # 278, BLOCK-B, SITUATED IN TAJPURA SCHEME, LAHORE</t>
  </si>
  <si>
    <t>MUHAMMAD YASIR</t>
  </si>
  <si>
    <t>36501-1820974-9</t>
  </si>
  <si>
    <t>HOUSE # 454, BLOCK-D, PUNJAB GOVERNMENT SERVANTS HOUSING SCHEME, MOHLANWAL LAHORE</t>
  </si>
  <si>
    <t>FIDA HUSSAIN MUGHAL</t>
  </si>
  <si>
    <t>42201-0409940-3</t>
  </si>
  <si>
    <t>FLAT # 4, 4TH FLOOR, PLOT # 55-C, JAMI COMMERCIAL, STREET # 6, PHASE VII, DHA, KARACHI.</t>
  </si>
  <si>
    <t>SYED RASHID ALI</t>
  </si>
  <si>
    <t>42401-9407592-9</t>
  </si>
  <si>
    <t>HOUSE # L-254, SECTOR # 5-C/3, NORTH KARACHI,</t>
  </si>
  <si>
    <t>MUHAMMAD SHAFIQUE</t>
  </si>
  <si>
    <t>33100-0913065-9</t>
  </si>
  <si>
    <t>HOUSE # 191, EDEN VALLEY, FAISALABAD</t>
  </si>
  <si>
    <t>REHAN KASHIF</t>
  </si>
  <si>
    <t>42201-8998314-9</t>
  </si>
  <si>
    <t>FLAT # 504, EMPIRE SQURE, COMMERCIAL PLOT # 2, SURVEY # 15, SURVEY SHEET # 35 P/1, BIHAR MUSLIM COPERATIVE HOUSING SOCIETY KARACHI</t>
  </si>
  <si>
    <t>MUHAMMAD KHURRAM YAQOOB</t>
  </si>
  <si>
    <t>35202-8405727-5</t>
  </si>
  <si>
    <t>HOUSE # 15, BLOCK-A, PHASE-I, MARGHAZAR COLONY, LAHORE</t>
  </si>
  <si>
    <t>AYESHA SHAHID</t>
  </si>
  <si>
    <t>34602-8689688-8</t>
  </si>
  <si>
    <t>HOUSE # 66-A, SITUATED IN LANE # 30, SECTOR VIP EXTENSION, AECHS, RAWALPINDI</t>
  </si>
  <si>
    <t>MASUMA MAHNAZ ZAIDI</t>
  </si>
  <si>
    <t>42301-6094484-8</t>
  </si>
  <si>
    <t>HOUSE# 386, STREET# 14, SECTOR# G-10/2, ISLAMABAD</t>
  </si>
  <si>
    <t>EHSAN UL HAQ</t>
  </si>
  <si>
    <t>15202-0841147-9</t>
  </si>
  <si>
    <t>HOUSE# 124-A, G-8/1, ISLAMABAD</t>
  </si>
  <si>
    <t>RAHEEL SHEIKH</t>
  </si>
  <si>
    <t>37405-0673295-1</t>
  </si>
  <si>
    <t>HOUSE # 91-B/1, SECTOR-II, AREA DEVELOPMENT SCHEME-1, KHAYABAN-E-SIR SYED RAWALPINDI</t>
  </si>
  <si>
    <t>SYED HAIDER ALI NAQVI</t>
  </si>
  <si>
    <t>31303-2412859-5</t>
  </si>
  <si>
    <t>HOUSE # 284, SITUATED IN STREET 30, WIDE ROAD, SECTOR-2, AECHS, CHAKLALA, RAWALPINDI</t>
  </si>
  <si>
    <t>NASIR NAWAZ</t>
  </si>
  <si>
    <t>37405-1866639-1</t>
  </si>
  <si>
    <t>HOUSE# CB-485 (OLD 15-T), STREET ZIARAT WALI, AFSHAN COLONY, RAWALPINDI</t>
  </si>
  <si>
    <t>MUSHARRAF HUSSAIN</t>
  </si>
  <si>
    <t>42201-4277324-3</t>
  </si>
  <si>
    <t>FLAT # 4, 4TH FLOOR, PLOT # C-5-C/II, NISHAT LANE # 02, PHASE VI, DHA, KARACHI.</t>
  </si>
  <si>
    <t>MUHAMMAD TARIQ SAEED</t>
  </si>
  <si>
    <t>33104-6732318-1</t>
  </si>
  <si>
    <t>HOUSE NO. 565/14, AMIN TOWN, CANAL ROAD,  FAISALABAD</t>
  </si>
  <si>
    <t>TARIQ MEHMOOD</t>
  </si>
  <si>
    <t>42301-0804130-9</t>
  </si>
  <si>
    <t>HOUSE # A-248, BLOCK-5, GULSHAN-E-IQBAL, KARACHI</t>
  </si>
  <si>
    <t>AHMAD ZEESHAN</t>
  </si>
  <si>
    <t>33100-8912731-9</t>
  </si>
  <si>
    <t>PLOT # 49, BLOCK-F, WAPDA CITY, CANAL ROAD, FAISALABAD</t>
  </si>
  <si>
    <t>ZEESHAN ALI</t>
  </si>
  <si>
    <t>33202-7015377-9</t>
  </si>
  <si>
    <t>HOUSE # 03, BLOCK-G, NEW GARDEN BLOCK, SAEED COLONY # 02, FAISALABAD</t>
  </si>
  <si>
    <t>MOHBAT SHAH</t>
  </si>
  <si>
    <t>17301-7759340-9</t>
  </si>
  <si>
    <t>HOUSE # 162-G, EXECUTIVE BLOCK, EDEN GARDEN, FAISALABAD</t>
  </si>
  <si>
    <t>SHAHZAD AHMAD</t>
  </si>
  <si>
    <t>34602-0780262-1</t>
  </si>
  <si>
    <t>HOUSE # 406,BLOCK-J, SABZAZAR SCHEME, LAHORE</t>
  </si>
  <si>
    <t>SYED MUHAMMAD ALI MUSHARAF</t>
  </si>
  <si>
    <t>42201-1296036-5</t>
  </si>
  <si>
    <t>FLAT # 204, 2ND FLR, AVANTI PARK VIEW, PLOT # 2/141-A, SURVEY SHEET #35-P/1, BLOCK-2, PECHS, KARACHI</t>
  </si>
  <si>
    <t>SYED HUSSAIN ABBAS</t>
  </si>
  <si>
    <t>42501-1551298-9</t>
  </si>
  <si>
    <t>HOUSE NO. D-71, BLOCK IV, SAADI TOWN, SCHEME NO. 33, DEH DOZAN TAPPO, GADDAP SURVEY NO. 36 TO 49, 133, 136, 137 &amp; 158/03 KARACHI</t>
  </si>
  <si>
    <t>MUHAMMAD SHAHID HAIDER</t>
  </si>
  <si>
    <t>34602-0674492-3</t>
  </si>
  <si>
    <t>HOUSE # 43/J, SECTOR B, PHASE 1, STATE LIFE INSURANCE EMPLOYEES CO-OPERATIVE HOUSING SOCIETY LTD. LAHORE</t>
  </si>
  <si>
    <t>MEHBOOB UL HAQ</t>
  </si>
  <si>
    <t>42301-3115406-1</t>
  </si>
  <si>
    <t>FLAT # 015, GROUND FLOOR, CRYSTAL HILL APPARTMENTS, BATH ISLAND QUARTERS, KARACHI.</t>
  </si>
  <si>
    <t>SHAKEEL ZAMAN</t>
  </si>
  <si>
    <t>36502-7119798-5</t>
  </si>
  <si>
    <t>HOUSE # SD355, SECTOR E, ASKARI X, LAHORE.</t>
  </si>
  <si>
    <t>ABDUL JABBAR KHAN</t>
  </si>
  <si>
    <t>33100-7268442-5</t>
  </si>
  <si>
    <t>HOUSE # 39-G/2, EXECUTIVE BLOCK,EDEN GARDEN,FAISALABAD</t>
  </si>
  <si>
    <t>SARWAR IJAZ YOUSAF</t>
  </si>
  <si>
    <t>35201-1366351-9</t>
  </si>
  <si>
    <t>HOUSE # 95, BLOCK N, PHASE 8, DHA, LAHORE</t>
  </si>
  <si>
    <t>MUHAMMAD SHAHID</t>
  </si>
  <si>
    <t>34101-7007738-5</t>
  </si>
  <si>
    <t>HOUSE # 1409, STREET # 14, SECTOR I-10/2, ISLAMABAD</t>
  </si>
  <si>
    <t>MURAD ANSARI</t>
  </si>
  <si>
    <t>42201-0616835-5</t>
  </si>
  <si>
    <t>FLAT # 703, 7TH FLOOR, SAPPHIRE RESIDENCY, BATH ISLAND QUARTHERS, KARACHI</t>
  </si>
  <si>
    <t>TARIQ DASTGIR KHAN</t>
  </si>
  <si>
    <t>35202-2884397-7</t>
  </si>
  <si>
    <t>HOUSE # 278, BLOCK A, PHASE 1, STATE LIFE INSURANCE EMPLOYEES CO-OPERATIVE HOUSING SOCIETY LTD, LAHORE.</t>
  </si>
  <si>
    <t>NADEEM AHMAD</t>
  </si>
  <si>
    <t>35202-9332773-3</t>
  </si>
  <si>
    <t>HOUSE# 04, BLOCK# C-I, GULBERG III, LAHORE</t>
  </si>
  <si>
    <t>MUHAMMAD AYUB</t>
  </si>
  <si>
    <t>33100-8129003-3</t>
  </si>
  <si>
    <t>HOUSE # 135-C, STREET # 15, WAPDA CITY COOPERATIVE HOUSING SOCIETY LTD, FAISALABAD</t>
  </si>
  <si>
    <t>ABU OMAR</t>
  </si>
  <si>
    <t>35202-6351696-7</t>
  </si>
  <si>
    <t>HOUSE # 559, BLOCK-XX, PHASE-3, DHA, LAHORE CANTT.</t>
  </si>
  <si>
    <t>SYEDA MEHER ZEHRA</t>
  </si>
  <si>
    <t>35202-2507379-4</t>
  </si>
  <si>
    <t>HOUSE # 283, BLOCK L, MODEL TOWN EXTENSION SCHEME, LAHORE.</t>
  </si>
  <si>
    <t>MUHAMMAD KHALIQ</t>
  </si>
  <si>
    <t>35202-3007350-5</t>
  </si>
  <si>
    <t>HOUSE # 363, BLOCK B, PHASE III, THE GOVERNMENT EMPLOYEES CO-OPERATIVE HOUSING SOCIETY LTD MODEL TOWN LINK ROAD, LAHORE.</t>
  </si>
  <si>
    <t>MUHAMMAD MUSTAFA KAMAL</t>
  </si>
  <si>
    <t>35202-2628934-9</t>
  </si>
  <si>
    <t>HOUSE NO. 30, BLOCK E, MODEL TOWN, LAHORE</t>
  </si>
  <si>
    <t>SYED HASAN BILAL GARDEZI</t>
  </si>
  <si>
    <t>42301-5589511-5</t>
  </si>
  <si>
    <t>HOUSE # 30-B, NATIONAL HIGHWAY, PHASE II, DHA, KARACHI</t>
  </si>
  <si>
    <t>FAHAD  SALAHUDDIN</t>
  </si>
  <si>
    <t>42201-7196926-3</t>
  </si>
  <si>
    <t>BUNGALOW # 293, 32ND STREET, PHASE VIII, DHA, KARACHI.</t>
  </si>
  <si>
    <t>MUHAMMAD OMER NAJAM</t>
  </si>
  <si>
    <t>42201-8378237-3</t>
  </si>
  <si>
    <t>FLAT # 303, 3RD FLOOR, “ROYAL RESIDENCY” PLOT # SB-18, GULSHAN-E-RABIA, BLOCK # 13D/2, KDA SCHEME # 24, KARACHI.</t>
  </si>
  <si>
    <t>SYED KASHIF GHAFOOR</t>
  </si>
  <si>
    <t>42101-1834743-5</t>
  </si>
  <si>
    <t>HOUSE # 60/1, 7TH COMMERICAL STREET, PHASE-IV, DHA KARACHI.</t>
  </si>
  <si>
    <t>OBAID YOUNUS</t>
  </si>
  <si>
    <t>42101-4624010-3</t>
  </si>
  <si>
    <t>FLAT # F-102, 1ST FLOOR, “SAIMA TOWER” PLOT # ST-2/2, SECTOR 15/A-5, BUFFER ZONE, NORTH KARACHI, KARACHI.</t>
  </si>
  <si>
    <t>ZAHIR ALI BURKI</t>
  </si>
  <si>
    <t>42501-1504594-5</t>
  </si>
  <si>
    <t>PN FARM # 58, STREET # 05, PHASE-I, PN FARMS SCHEME, BARA KAHU, ISLAMABAD.</t>
  </si>
  <si>
    <t>BABAR AHMED</t>
  </si>
  <si>
    <t>42401-8888238-5</t>
  </si>
  <si>
    <t>FLAT # C-28, 3RD FLOOR, “BEHAYANI HEIGHTS” SUB PLOT # C-4, PLOT SURVEY # 26, DEH GUJRO, TAPO SONDAL, SCHEME # 33, ABDL HASAN ISPHANI ROAD, KARACHI.</t>
  </si>
  <si>
    <t>FARRUKH MAZHAR</t>
  </si>
  <si>
    <t>42101-2349209-5</t>
  </si>
  <si>
    <t>HOUSE # B-14, BLOCK IV, KDA SCHEME # 33, PAKLAND HOUSING LIMITED, SAADI TOWN, MALIR CANTT, KARACHI.</t>
  </si>
  <si>
    <t>AARIF SAJJAD</t>
  </si>
  <si>
    <t>42101-1417258-1</t>
  </si>
  <si>
    <t>FLAT # 1004, BLOCK-B1, 10TH FLOOR, PLOT # C-13, BLOCK # 02, KDA SCHEME # 24, GULSHAN-E-IQBAL, KARACHI.</t>
  </si>
  <si>
    <t>AAMIR  JABBAR</t>
  </si>
  <si>
    <t>42301-0709350-7</t>
  </si>
  <si>
    <t>APARTMENT # 6-C, BLOCK-1, 6TH FLOOR, ARMY OFFICERS HOUSING SCHEME, ASKAR TOWN-II, DHAI, PHASE-II, ISLAMABAD.</t>
  </si>
  <si>
    <t>ALI HAIDER AFRIDI</t>
  </si>
  <si>
    <t>35202-7523345-5</t>
  </si>
  <si>
    <t>HOUSE # 130, BLOCK-D, PAKISTAN EXPATRIATES CO-OPERATIVE HOUING SOCIETY LIMITED, VALANCIA TOWN, LAHORE.</t>
  </si>
  <si>
    <t>MOHAMMAD JAVAID AKHTER</t>
  </si>
  <si>
    <t>37405-6500974-3</t>
  </si>
  <si>
    <t>HOUSE # DK-61/62, STREET # 01, BILAL COLONY, SHAMSABAD, NEAR FAROOQ-E-AZAM ROAD, DHOK KASHMIRIAN, RAWALPINDI.</t>
  </si>
  <si>
    <t>MIAN MUHAMMAD SHAHERYAR</t>
  </si>
  <si>
    <t>35201-1662338-1</t>
  </si>
  <si>
    <t>HOUSE # 84, BLOCK-B, PHASE 1 BANKER COOPERATIVE HOUSING SOCIETY LTD LAHORE.</t>
  </si>
  <si>
    <t>33100-0671947-7</t>
  </si>
  <si>
    <t>HOUSE # 344/E, GHULAM MUHAMMAD ABAD, NEAR SADAR BAZAR, FAISALABAD.</t>
  </si>
  <si>
    <t>MUHAMMAD  FAROOQ</t>
  </si>
  <si>
    <t>42201-3602558-9</t>
  </si>
  <si>
    <t>HOUSE # C-75, DAR-US-SALAM SOCIETY COOPERATIVE HOUSING SOCIETY SECTOR # 11 KORANGI KARACHI.</t>
  </si>
  <si>
    <t>ASIF MUNIR</t>
  </si>
  <si>
    <t>35202-2447160-3</t>
  </si>
  <si>
    <t>HOUSE # 05, BLOCK P1, PAKISTAN EXPATRIATES CO-OPERATIVE HOUSING SOCIETY IZMIR, LAHORE.</t>
  </si>
  <si>
    <t>FARIDA KHANAM</t>
  </si>
  <si>
    <t>33100-9056350-4</t>
  </si>
  <si>
    <t>HOUSE # P-24, AL NAJAF COLONY, JARANWALA ROAD, FAISALABAD.</t>
  </si>
  <si>
    <t>MAZHAR ALI SHAH</t>
  </si>
  <si>
    <t>33100-5912805-9</t>
  </si>
  <si>
    <t>HOUSE # P-318/B, D EXT. GHULAM MUHAMMAD ABAD, FAISALABAD.</t>
  </si>
  <si>
    <t>997NPHF220420001</t>
  </si>
  <si>
    <t>ALI ARSLAN SOLANGI</t>
  </si>
  <si>
    <t>413062-128664-9</t>
  </si>
  <si>
    <t>FLAT # 604, 6TH FLOOR, MY NEST, PLOT NO/ SURVEY # 130/1, DEH JAMSHORO, TAPPO &amp; TALUKA QASIMABAD, DISTRICT HYDERABAD.</t>
  </si>
  <si>
    <t>997NPHF220480002</t>
  </si>
  <si>
    <t>SYED ALI RAZA BUKHARI</t>
  </si>
  <si>
    <t>42201-0660624-5</t>
  </si>
  <si>
    <t>FLAT # 006-D, GF, RUFI LAKE DRIVE, PLOT/SURVEY # 118/2/B&amp;C, DEH OKEWARI, DRIGH ROAD CANTT, BLOCK 18, KDA SCHEME # 36, GULISTAN E JOHAR, KARACHI.</t>
  </si>
  <si>
    <t>997NPHF220490003</t>
  </si>
  <si>
    <t>USMAN</t>
  </si>
  <si>
    <t>61101-7334305-9</t>
  </si>
  <si>
    <t>PLOT NO. 211-B, PAKISTAN TOWN PHASE I, ISLAMABAD.</t>
  </si>
  <si>
    <t>997NPHF220560013</t>
  </si>
  <si>
    <t>USAMA AAMIR</t>
  </si>
  <si>
    <t>42101-0419817-1</t>
  </si>
  <si>
    <t>FLAT # 7F, 3RD FLOOR, AL AMIN APARTMENTS, SUB PLOT # FL-6/F-1, PLOT NO. FL -6, BLOCK K , NORTH NAZIMABAD, KDA SCHEME NO 2, KARACHI.</t>
  </si>
  <si>
    <t>997NPHF220550002</t>
  </si>
  <si>
    <t>MUHAMMAD JUNAID</t>
  </si>
  <si>
    <t>33100-7986320-1</t>
  </si>
  <si>
    <t>HOUSE # 92, STREET # 5, BAHNBAN PURA, SANAT SINGH ROAD, CHAK # 207 RB, FAISALABAD.</t>
  </si>
  <si>
    <t>997NPHF220550005</t>
  </si>
  <si>
    <t>YUSHA ANIS</t>
  </si>
  <si>
    <t>42201-9142286-7</t>
  </si>
  <si>
    <t>FLAT # 4001, 4TH FLOOR ROOF,KARACHI UNIVERSITY EMPLOYEES COOPERATIVE HOUSING SOCIETY LTD, PLOT # CM-13, BLOCK B, SEC # 18-A, KDA SCHEME # 33, KARACHI.</t>
  </si>
  <si>
    <t>997HPUS220340001</t>
  </si>
  <si>
    <t>ABID</t>
  </si>
  <si>
    <t>42301-7082637-9</t>
  </si>
  <si>
    <t>FLAT # 606, 6TH FLOOR, SHAFIQ HEIGHTS, PLOT SURVEY @ 48, SURVEY NO RS-4, RAMSWAMI QUARTERS, KARACHI.</t>
  </si>
  <si>
    <t>997NPHF220560008</t>
  </si>
  <si>
    <t>MUHAMMAD ASAD FAROOQ</t>
  </si>
  <si>
    <t>35202-9852390-1</t>
  </si>
  <si>
    <t>HOUSE # 30-R, ROYAL BLOCK, AIR AVENUE CITY, JHANG ROAD, FAISALABAD.</t>
  </si>
  <si>
    <t>997NPHF220460003</t>
  </si>
  <si>
    <t>MOHAMMAD RIAZ</t>
  </si>
  <si>
    <t>15306-0957558-9</t>
  </si>
  <si>
    <t>HOUSE # 197, STREET # 65, BLOCK - D, GULSHAN E SEHAT, SECTOR E-18, ISLAMABAD.</t>
  </si>
  <si>
    <t>997NPHF220540013</t>
  </si>
  <si>
    <t>IRFAN ARSHAD</t>
  </si>
  <si>
    <t>35200-1571573-7</t>
  </si>
  <si>
    <t>HOUSE # 9-E, STREET # 9, NURSERY STREET, GHAZALI PARK, LAHORE.</t>
  </si>
  <si>
    <t>997HBUY220560002</t>
  </si>
  <si>
    <t>SYED ZAKA UR REHMAN MUNIR</t>
  </si>
  <si>
    <t>42301-6946914-1</t>
  </si>
  <si>
    <t>FLAT # GF-2, BUILDING NO. 26, PLOT NO. SVA-II, PHASE V, EXT DHA, KARACHI.</t>
  </si>
  <si>
    <t>997NPHF220450002</t>
  </si>
  <si>
    <t>MUHAMMAD HAMID MEHMOOD</t>
  </si>
  <si>
    <t>56503-2818510-5</t>
  </si>
  <si>
    <t>HOUSE NO. 597, STREET NO. 5, MODEL TOWN, HUMAK, ZIMNI, ISLAMABAD.</t>
  </si>
  <si>
    <t>997NPHF220470001</t>
  </si>
  <si>
    <t>ARSLAN SIDDIQ</t>
  </si>
  <si>
    <t>GUJRANWALA</t>
  </si>
  <si>
    <t>34101-8926305-5</t>
  </si>
  <si>
    <t>STREET 3, KHEWAT 166, KHATOONI 281 TO 361, QITA 98, GULABPURA, TEHSIL GUJRAWALA SADDAR, DISTRICT GUJRANWALA.</t>
  </si>
  <si>
    <t>9976BUY220420002</t>
  </si>
  <si>
    <t>SHAHID AHMED</t>
  </si>
  <si>
    <t>37405-0576844-7</t>
  </si>
  <si>
    <t>HOUSE # 195, STREET # 17, BLOCK D, PHASE I, CBR TOWN, ISLAMABAD.</t>
  </si>
  <si>
    <t>997NPHF220460004</t>
  </si>
  <si>
    <t>NEELUM SIDDIQUI</t>
  </si>
  <si>
    <t>42201-6413461-8</t>
  </si>
  <si>
    <t>FLAT # E-411, 4TH FLOOR, HUNAID CITY, SUB PLOT # 187/E/E-11, PLOT # 187, BLOCK # 17. DEH OKEWARI, KDA SCHEME # 36, GULISTAN E JAUHAR, KARACHI.</t>
  </si>
  <si>
    <t>997NPHF220470002</t>
  </si>
  <si>
    <t>RABIA HUMAYOON</t>
  </si>
  <si>
    <t>42201-0414595-4</t>
  </si>
  <si>
    <t>FLAT # B-402, 4TH FLOOR, SHAHID ROYAL CITY, SUB PLOT NO. VII, PLOT # FL-01, BLOCK 01, GULSHAN IQBAL, KARACHI.</t>
  </si>
  <si>
    <t>997NPHF220530008</t>
  </si>
  <si>
    <t>IMRAN MODI</t>
  </si>
  <si>
    <t>42201-0710076-7</t>
  </si>
  <si>
    <t>FLAT # 203, 2ND FLOOR, KARACI UNIVERSITY EMPLOYEES CO-OPERATIVE HOUSING SOCIETY LTD, COMMERCIAL PLOT CM-31, BLOCK A, SEC 18/A, KDA SCHEME 33, KARACHI.</t>
  </si>
  <si>
    <t>997NPHF220530010</t>
  </si>
  <si>
    <t>FAIZAN MUHAMMAD</t>
  </si>
  <si>
    <t>42201-6968588-7</t>
  </si>
  <si>
    <t>FLAT # B-110/2, 1ST FLOOR, BAIT UL HINA, SUB PLOT # COM-1/XV, PLOT # COM-1, SURVEY # 118/7, BLOCK # 18, KDA SCHEME # 36, GULISTAN E JOHAR, KARACHI.</t>
  </si>
  <si>
    <t>997HBUY220540001</t>
  </si>
  <si>
    <t>OHAD RAZA</t>
  </si>
  <si>
    <t>42301-4050658-3</t>
  </si>
  <si>
    <t>HOUSE # A-14/4, GULSHAN E FAISAL COOPERATIVE HOUSING SOCIETY LIMITED, BATH ISLAND, KARACHI.</t>
  </si>
  <si>
    <t>997NPHF220540012</t>
  </si>
  <si>
    <t>AWAIS KHAN MINHAS</t>
  </si>
  <si>
    <t>37405-0342429-1</t>
  </si>
  <si>
    <t>HOUSE # 1131, SECTOR I-10/2, ISLAMABAD.</t>
  </si>
  <si>
    <t>997NPHF220340012</t>
  </si>
  <si>
    <t>MUHAMMAD ASGHAR KHAN</t>
  </si>
  <si>
    <t>42201-0805581-9</t>
  </si>
  <si>
    <t>HOUSE # R-92, BLOCK -B, GULSHAN E USMAN-II, SURVEY # 86, DEH DOZEN, KDA SCHEME-33, KARACHI.</t>
  </si>
  <si>
    <t>9976BUY220420001</t>
  </si>
  <si>
    <t>NADIR ARSHAD</t>
  </si>
  <si>
    <t>42101-8974623-9</t>
  </si>
  <si>
    <t>BUNGALOW # 38/I, KHAYABAN E HILAL, PHASE VI, DHA, KARACHI.</t>
  </si>
  <si>
    <t>997NPHF220330011</t>
  </si>
  <si>
    <t>SADIA JUMMA GUL</t>
  </si>
  <si>
    <t>54400-7914763-6</t>
  </si>
  <si>
    <t>FLAT NO. A-3, 2ND FLOOR, JAVED TERRACE, PLOT NO. 9-D, STADIUM LANE NO 4, PHASE V, DHA, KARACHI.</t>
  </si>
  <si>
    <t>997NPHF220570014</t>
  </si>
  <si>
    <t>MUHAMMAD OMER FAROOQ</t>
  </si>
  <si>
    <t>352022-257985-3</t>
  </si>
  <si>
    <t>PLOT # 526, BLOCK C, PARK AVENUE HOUSING SOCIETY, LAHORE.</t>
  </si>
  <si>
    <t>997NPHF220520005</t>
  </si>
  <si>
    <t>HASSAN AKHTAR KHAN</t>
  </si>
  <si>
    <t>42101-9422689-5</t>
  </si>
  <si>
    <t>HOUSE # A-02, GARDEN CITY, SECTOR 06, BLOCK -C, DEH TEISER TOWN, MDA SCHEME NO 45, KARACHI.</t>
  </si>
  <si>
    <t>997HBUY220460002</t>
  </si>
  <si>
    <t>MUHAMMAD YAQOOB AMIN</t>
  </si>
  <si>
    <t>45504-5308019-5</t>
  </si>
  <si>
    <t>BUNGALOW NO. 32, 26TH LANE, PHASE VII, DHA KARACHI.</t>
  </si>
  <si>
    <t>997NPHF220550007</t>
  </si>
  <si>
    <t>MUHAMMAD MAAZ</t>
  </si>
  <si>
    <t>42201-3105137-5</t>
  </si>
  <si>
    <t>F-84, 6TH FLR, NOMAN AVENUE, SUB PLOT # 118/6/F-12, NACLASS # 118/6, SURVEY 256, 257 &amp; 258, MAIN RASHID MINHAS ROAD, KDA 36, GULISTAN JOHAR, KARACHI.</t>
  </si>
  <si>
    <t>997NPHF220560012</t>
  </si>
  <si>
    <t>AMINA KANWAL</t>
  </si>
  <si>
    <t>35200-1380296-8</t>
  </si>
  <si>
    <t>HOUSE # 470, BLOCK D, PUNJAB GOVT. SERVENTS FOUNDATION SCHEME MOHLANWAL LAHORE.</t>
  </si>
  <si>
    <t>997HREN220410001</t>
  </si>
  <si>
    <t>FARHAN AHMED AFTAB</t>
  </si>
  <si>
    <t>42101-8040028-3</t>
  </si>
  <si>
    <t>FLAT NO. 4, 4TH FLOOR, PLOT NO. 13/C, SUNSET COMMERCIAL STREET NO.1, PHASE IV, DHA, KARACHI.</t>
  </si>
  <si>
    <t>997NPHF220480001</t>
  </si>
  <si>
    <t>MUHAMMAD IRFAN AFZAL</t>
  </si>
  <si>
    <t>35202-2495880-9</t>
  </si>
  <si>
    <t>HOUSE # 141, STREET-11, GARDENIA -1BLOCK, SECTOR C, BAHRIA TOWN, LAHORE.</t>
  </si>
  <si>
    <t>997NPHF220490004</t>
  </si>
  <si>
    <t>MUHAMMAD USAMA USMAN</t>
  </si>
  <si>
    <t>35202-1957035-9</t>
  </si>
  <si>
    <t>HOUSE # 6/4, RANJHA ROAD, NEAR MUMTAZ CINEMA, IMAM DIN CINEMA, BANK COLONY MOUZA PAKKI THATHI, TEHSIL CITY LAHORE.</t>
  </si>
  <si>
    <t>997NPHF220520006</t>
  </si>
  <si>
    <t>SHAHBAZ GHANI</t>
  </si>
  <si>
    <t>33100-4859382-9</t>
  </si>
  <si>
    <t>HOUSE # 285, ISMAIL VALLEY PHASE-1, DAEWOO ROAD, FAISALABAD.</t>
  </si>
  <si>
    <t>997NPHF220530009</t>
  </si>
  <si>
    <t>MUHAMMAD ADNAN</t>
  </si>
  <si>
    <t>44204-9846969-9</t>
  </si>
  <si>
    <t>FLAT # 1003, TOWER # B-2, 10TH FLOOR, AL KHALEEJ TOWER, SUB PLOT # 103, NACLASS # 398, DEH GUJRO, FEDERAL B AREA, GULBERG TOWN, KARACHI.</t>
  </si>
  <si>
    <t>997NPHF220530011</t>
  </si>
  <si>
    <t>RAO TARIQ JAMIL</t>
  </si>
  <si>
    <t>41304-6172341-7</t>
  </si>
  <si>
    <t>PLOT # 143/2-B, KHEWAT # 256, KHATOONI # 423, QITUAT 4, KHASRA # 2135, HAMZA TOWN, MOUZA KHANA NAU, TEHSIL MODEL TOWN, LAHORE.</t>
  </si>
  <si>
    <t>997NPHF220550003</t>
  </si>
  <si>
    <t>MOHSIN JAMAL</t>
  </si>
  <si>
    <t>42101-1637020-9</t>
  </si>
  <si>
    <t>HOUSE # 163, EDEN GARDEN NAWAB BLOCK, DAEWOO ROAD, FAISALABAD.</t>
  </si>
  <si>
    <t>997NPHF220550004</t>
  </si>
  <si>
    <t>SAIMA</t>
  </si>
  <si>
    <t>33105-3628866-2</t>
  </si>
  <si>
    <t>HOSUSE # 920, STREET # 6, WARIS PURA, CHAK # 224/RB, FAISALABAD.</t>
  </si>
  <si>
    <t>997NPHF220550006</t>
  </si>
  <si>
    <t>421019-833043-7</t>
  </si>
  <si>
    <t>FLAT # 505, 5TH FLOOR, EURO TWIN TORRE, SUB PLOT # D-15/1/C, BLOCK L, KDA SCHEME 2, NORTH NAZIMABAD, KARACHI.</t>
  </si>
  <si>
    <t>997NPHF220560009</t>
  </si>
  <si>
    <t>SAMIA JAMIL</t>
  </si>
  <si>
    <t>42101-8079770-8</t>
  </si>
  <si>
    <t>FLAT # 04, MEZZANINE FLOOR, SANA AVENUE, SUB PLOT # NO SC-2, BLOCK D, KDA SCHEME # 02, NORTH NAZIMABAD,KARACHI.</t>
  </si>
  <si>
    <t>997NPHF220570015</t>
  </si>
  <si>
    <t>AMIR SULTAN</t>
  </si>
  <si>
    <t>33303-9118943-1</t>
  </si>
  <si>
    <t>KHEWAT # 984, KHATOONI # 1567, KHASRA # 1110, OFFICER COLONY LANE 1, MISRIAL ROAD MOUZA SIHAM CANTONMENT BOARD, RAWALPINDI.</t>
  </si>
  <si>
    <t>997HBUY220590001</t>
  </si>
  <si>
    <t>MUHAMMAD AMJAD KHAN</t>
  </si>
  <si>
    <t>34101-8119839-1</t>
  </si>
  <si>
    <t>HOUSE # 339-B, NISHTER BLOCK, ALLAMA IQBAL TOWN, LAHORE.</t>
  </si>
  <si>
    <t>997NPHF220590005</t>
  </si>
  <si>
    <t>MUHAMMAD RIAZ ALI SHAH</t>
  </si>
  <si>
    <t>42201-7872776-9</t>
  </si>
  <si>
    <t>FLAT # C-116, 2ND FLOOR, RAMSHA AVENUE, SUB PLOT # FL-22XVI, PLOT # FL-22, BLOCK -13, KDA SCHEME 36, BLOCK 13, GULISTAN E JOHAR KARACHI.</t>
  </si>
  <si>
    <t>997NPHF220590009</t>
  </si>
  <si>
    <t>IFTIKHAR HUSSAIN</t>
  </si>
  <si>
    <t>42201-6755959-9</t>
  </si>
  <si>
    <t>PLOT # R-201/1, ABDULLAH TOWN, SHAHNAWAZ CP OPERATIVE HOUSING SOCIETY LTD. SECTOR # 51-A, KDA SCHEME # 33, KARACHI.</t>
  </si>
  <si>
    <t>997NPHF220590011</t>
  </si>
  <si>
    <t>MUHAMMAD ZAIN SIDDIQUI</t>
  </si>
  <si>
    <t>42201-6851188-1</t>
  </si>
  <si>
    <t>FLAT # B-032, GROUND FLOOR, BISMA AVENUE, SUB PLOT # XXX11, PLOT # FL-28, BLOCK -13, KDA SCHEME NO 36, GULISTAN E JAUHAR. KARACHI.</t>
  </si>
  <si>
    <t>997NPHF220590001</t>
  </si>
  <si>
    <t>SUMMAIRA</t>
  </si>
  <si>
    <t>42401-1795720-6</t>
  </si>
  <si>
    <t>FLAT # 502, 5TH FLOOR, AZIM PLAZA, SUB PLOT # SC-5/D/FF-2, PLOT # 5C-5, KDA SCHEME # 2, NORTH NAZIMABAD, KARACHI.</t>
  </si>
  <si>
    <t>997NPHF220590002</t>
  </si>
  <si>
    <t>WASEEM SHAH</t>
  </si>
  <si>
    <t>61101-1081851-7</t>
  </si>
  <si>
    <t>FLAT # 02, GROUND FLOOR, BLOCK # 48, TYPE D, PHA SECTOR I-11/1 ISLAMABAD.</t>
  </si>
  <si>
    <t>997NPHF220590003</t>
  </si>
  <si>
    <t>SAJJAD HUSSAIN AWAN</t>
  </si>
  <si>
    <t>45201-7456685-7</t>
  </si>
  <si>
    <t>HOUSE # 24, SHUMAIL GARDEN, R.S NO 150 AND 151-A, DEH GUJJO, TALUKA CITY, HYDERABAD, SINDH.</t>
  </si>
  <si>
    <t>997NPHF220590006</t>
  </si>
  <si>
    <t>ASIF</t>
  </si>
  <si>
    <t>45401-7010025-9</t>
  </si>
  <si>
    <t>FLAT # A-5, 3RD FLOOR, RIAZ LUXURY APARTMENTS, PLOT # A-1/123, BLOCK # 1, HAD HOUSING SCHEME PHASE 1, TALUKA QASIMABAD, DISTRICT HYDERABAD.</t>
  </si>
  <si>
    <t>997HBUY220590003</t>
  </si>
  <si>
    <t>HAMAUON KHALID</t>
  </si>
  <si>
    <t>33102-0622896-7</t>
  </si>
  <si>
    <t>HOUSE # 686, BLOCK B, CITY HOUSING, KHASE 1, SARGHODA ROAD, FAISALABAD.</t>
  </si>
  <si>
    <t>997NPHF220590008</t>
  </si>
  <si>
    <t>MUKARRAM ALI</t>
  </si>
  <si>
    <t>331003-459781-3</t>
  </si>
  <si>
    <t>HOUSE # 27, VIP BLOCK , AL NOOR GARDEN, CHAK # 208/RB, FAISALABAD.</t>
  </si>
  <si>
    <t>997NPHF220590004</t>
  </si>
  <si>
    <t>SYED MUHAMMAD ASAD</t>
  </si>
  <si>
    <t>42101-0803323-9</t>
  </si>
  <si>
    <t>FLAT # B-50, 5TH FLOOR, SUNNY HEIGHTS, SUB PLOT # 118/3/B-2, PLOT/ SURVEY # 256, 257 &amp; 258, DEH OKEWARI, KDA SCHEME 36, RASHID MINHAS ROAD, KARACHI.</t>
  </si>
  <si>
    <t>997HBUY220590002</t>
  </si>
  <si>
    <t>RANA ABDUL WAHEED</t>
  </si>
  <si>
    <t>33100-9688771-5</t>
  </si>
  <si>
    <t>HOUSE # J-41, TECH TOWN, SATYANA ROAD, FAISALABAD.</t>
  </si>
  <si>
    <t>997NPHF220590007</t>
  </si>
  <si>
    <t>BILAL KHALID</t>
  </si>
  <si>
    <t>33100-9024453-3</t>
  </si>
  <si>
    <t>HOUSE # 169, BLOCK -C, EDEN VALLEY, 208 CHAK ROAD, FAISALABAD.</t>
  </si>
  <si>
    <t>997NPHF220590010</t>
  </si>
  <si>
    <t>MIRZA HAIDER HUSSAIN</t>
  </si>
  <si>
    <t>42101-0423468-9</t>
  </si>
  <si>
    <t>F # A-161, 1ST FLR, ANARKALI COMPLEX, PHASE 3, BAB E IQBAL, SUB PLOT # A.-41, PLOT # A-41, PLOT # ST-26, 8, BLOCKA, SECTOR 11-E, NORTH KHI. TWNSHP KHI</t>
  </si>
  <si>
    <t>997BFIN220590001</t>
  </si>
  <si>
    <t>OMER SHAFIQ</t>
  </si>
  <si>
    <t>35202-9505204-7</t>
  </si>
  <si>
    <t>HOUSE # 334, BLOCK D-3, WAPDA EMPLOYEES COOPERATIVE HOUSING SOCIETY, WAPDA TOWN, LAHORE.</t>
  </si>
  <si>
    <t>A</t>
  </si>
  <si>
    <t>997BFIN230550001</t>
  </si>
  <si>
    <t>MUHAMMAD IMRAN</t>
  </si>
  <si>
    <t>Faisalabad</t>
  </si>
  <si>
    <t>33100-9315155-3</t>
  </si>
  <si>
    <t>H # 337 STREET # 01 KHAYABAN E GREEN SATIANA ROAD FAISALABAD</t>
  </si>
  <si>
    <t>9976BUY230390001</t>
  </si>
  <si>
    <t>USMAN LATIF</t>
  </si>
  <si>
    <t>Lahore</t>
  </si>
  <si>
    <t>35202-7178560-3</t>
  </si>
  <si>
    <t>H # 137 BLK C ADMEASURING 10 MARLA BEARING KHEWAT # 2711 KHATOONI # 3724 KHASRA # 650 SITUATED AT NAWAB TOWN SCHEME MOUZA RAKH KHAMBA TEH RAIWIND LHR</t>
  </si>
  <si>
    <t>9976BUY230580001</t>
  </si>
  <si>
    <t>JOEL</t>
  </si>
  <si>
    <t>35202-0907041-5</t>
  </si>
  <si>
    <t>H # E 98-3B UMAR STREET FAROOQ COLONY WALTON CANTT LAHORE</t>
  </si>
  <si>
    <t>997HBUY230550003</t>
  </si>
  <si>
    <t>MUHAMMAD BILAWAL MUBEEN</t>
  </si>
  <si>
    <t>Karachi</t>
  </si>
  <si>
    <t>42201-7113834-7</t>
  </si>
  <si>
    <t>H # A 173 BLK 10 KDA SCHEME #36 GULISTAN E JAUHAR KARACHI</t>
  </si>
  <si>
    <t>997HBUY230540005</t>
  </si>
  <si>
    <t>IRSHAD AHMED</t>
  </si>
  <si>
    <t>41306-2994114-7</t>
  </si>
  <si>
    <t>H NO 22 MEASURING 800 SQ YARDS 35TH A STREET BV 1 PHASE V EXT DHA KARACHI</t>
  </si>
  <si>
    <t>997BFIN230550002</t>
  </si>
  <si>
    <t>MUHAMMAD AWAIS FAZAL</t>
  </si>
  <si>
    <t>33100-0754252-9</t>
  </si>
  <si>
    <t>H # 765 G &amp; 766 G GULISTAN COLONY # 1 FAISALABAD</t>
  </si>
  <si>
    <t>997HBUY230540006</t>
  </si>
  <si>
    <t>HASSAM UL HAQ</t>
  </si>
  <si>
    <t>35202-4745592-9</t>
  </si>
  <si>
    <t>H NO 197 BLOCK B PHASE 8 DHA LAHORE</t>
  </si>
  <si>
    <t>997BFIN230540002</t>
  </si>
  <si>
    <t>SHOUKAT ALI</t>
  </si>
  <si>
    <t>35401-4468560-5</t>
  </si>
  <si>
    <t>H NO 69-70 STREET NO 2 MILLAT ROAD AQSA TOWN FAISALBAD</t>
  </si>
  <si>
    <t>997HBUY230530003</t>
  </si>
  <si>
    <t>KHURRAM KAMRAN</t>
  </si>
  <si>
    <t>42201-7135883-5</t>
  </si>
  <si>
    <t>H NO 91 SECTOR G PHASE I STATE LIFE INSURANCE EMPLOYEES COOPERATIVE HOUSING SOCIETY LAHORE</t>
  </si>
  <si>
    <t>997HCON230590001</t>
  </si>
  <si>
    <t>AMIR SHAHZAD</t>
  </si>
  <si>
    <t>35201-1495584-1</t>
  </si>
  <si>
    <t>H # 9 MILLAT TRACTORS EMPLOYEES CO OPERATIVE HOUSING SOCIETY DEFENCE ROAD KAHNA KACHA LAHORE</t>
  </si>
  <si>
    <t>997BFIN230590004</t>
  </si>
  <si>
    <t>KHURRAM MAQBOOL</t>
  </si>
  <si>
    <t>Islamabad</t>
  </si>
  <si>
    <t>61101-5222492-3</t>
  </si>
  <si>
    <t>H # 172 ST # 7 JAMMU &amp; KASHMIR CO-OPERATIVE HOUSING SOCIETY LTD SECTOR G-15/2 GT ROAD ISLAMABAD</t>
  </si>
  <si>
    <t>997HBUY230590001</t>
  </si>
  <si>
    <t>MUHAMMAD TARIQ</t>
  </si>
  <si>
    <t>33100-0987373-5</t>
  </si>
  <si>
    <t>H # 79-A GULSHAN E MADINA PHASE II SARGODHA ROAD FAISALABAD</t>
  </si>
  <si>
    <t>997BFIN230590005</t>
  </si>
  <si>
    <t>RASHEED AHMED</t>
  </si>
  <si>
    <t>15601-2406850-3</t>
  </si>
  <si>
    <t>H # E-165 SECTOR # E QASBA TOWNSHIP SITE TOWN KARACHI</t>
  </si>
  <si>
    <t>9973PMR230590001</t>
  </si>
  <si>
    <t>MUHAMMAD AAMIR</t>
  </si>
  <si>
    <t>Rawalpindi</t>
  </si>
  <si>
    <t>37405-0363733-5</t>
  </si>
  <si>
    <t>4 KHASRA # 1911/37 MOHALLAH MUSLIM TOWN MAUZA SHAKRLAL RAWALPINDI</t>
  </si>
  <si>
    <t>9973PMR230550001</t>
  </si>
  <si>
    <t>MUHAMMAD USAMA</t>
  </si>
  <si>
    <t>34101-4954824-3</t>
  </si>
  <si>
    <t>H # 61 BLK D BANKERS AVENUE CORPORATE HOUSING SOCIETY LTD BADIN ROAD LAHORE</t>
  </si>
  <si>
    <t>L</t>
  </si>
  <si>
    <t>KHI/HO/D/FR/ND/P/21618/02/2024</t>
  </si>
  <si>
    <t>KHI/HO/D/FR/ND/P/21619/02/2024</t>
  </si>
  <si>
    <t>KHI/HO/D/FR/ND/P/21620/02/2024</t>
  </si>
  <si>
    <t>KHI/HO/D/FR/ND/P/21621/02/2024</t>
  </si>
  <si>
    <t>KHI/HO/D/FR/ND/P/21622/02/2024</t>
  </si>
  <si>
    <t>KHI/HO/D/FR/ND/P/21623/02/2024</t>
  </si>
  <si>
    <t>KHI/HO/D/FR/ND/P/21624/02/2024</t>
  </si>
  <si>
    <t>KHI/HO/D/FR/ND/P/21625/02/2024</t>
  </si>
  <si>
    <t>KHI/HO/D/FR/ND/P/21626/02/2024</t>
  </si>
  <si>
    <t>KHI/HO/D/FR/ND/P/21627/02/2024</t>
  </si>
  <si>
    <t>KHI/HO/D/FR/ND/P/21628/02/2024</t>
  </si>
  <si>
    <t>KHI/HO/D/FR/ND/P/21629/02/2024</t>
  </si>
  <si>
    <t>KHI/HO/D/FR/ND/P/21630/02/2024</t>
  </si>
  <si>
    <t>KHI/HO/D/FR/ND/P/21631/02/2024</t>
  </si>
  <si>
    <t>KHI/HO/D/FR/ND/P/21632/02/2024</t>
  </si>
  <si>
    <t>KHI/HO/D/FR/ND/P/21633/02/2024</t>
  </si>
  <si>
    <t>KHI/HO/D/FR/ND/P/21634/02/2024</t>
  </si>
  <si>
    <t>KHI/HO/D/FR/ND/P/21635/02/2024</t>
  </si>
  <si>
    <t>KHI/HO/D/FR/ND/P/21636/02/2024</t>
  </si>
  <si>
    <t>KHI/HO/D/FR/ND/P/21637/02/2024</t>
  </si>
  <si>
    <t>KHI/HO/D/FR/ND/P/21638/02/2024</t>
  </si>
  <si>
    <t>KHI/HO/D/FR/ND/P/21639/02/2024</t>
  </si>
  <si>
    <t>KHI/HO/D/FR/ND/P/21640/02/2024</t>
  </si>
  <si>
    <t>KHI/HO/D/FR/ND/P/21641/02/2024</t>
  </si>
  <si>
    <t>KHI/HO/D/FR/ND/P/21642/02/2024</t>
  </si>
  <si>
    <t>KHI/HO/D/FR/ND/P/21643/02/2024</t>
  </si>
  <si>
    <t>KHI/HO/D/FR/ND/P/21644/02/2024</t>
  </si>
  <si>
    <t>KHI/HO/D/FR/ND/P/21645/02/2024</t>
  </si>
  <si>
    <t>KHI/HO/D/FR/ND/P/21646/02/2024</t>
  </si>
  <si>
    <t>KHI/HO/D/FR/ND/P/21647/02/2024</t>
  </si>
  <si>
    <t>KHI/HO/D/FR/ND/P/21648/02/2024</t>
  </si>
  <si>
    <t>KHI/HO/D/FR/ND/P/21649/02/2024</t>
  </si>
  <si>
    <t>KHI/HO/D/FR/ND/P/21650/02/2024</t>
  </si>
  <si>
    <t>KHI/HO/D/FR/ND/P/21651/02/2024</t>
  </si>
  <si>
    <t>KHI/HO/D/FR/ND/P/21652/02/2024</t>
  </si>
  <si>
    <t>KHI/HO/D/FR/ND/P/21653/02/2024</t>
  </si>
  <si>
    <t>KHI/HO/D/FR/ND/P/21654/02/2024</t>
  </si>
  <si>
    <t>KHI/HO/D/FR/ND/P/21655/02/2024</t>
  </si>
  <si>
    <t>KHI/HO/D/FR/ND/P/21656/02/2024</t>
  </si>
  <si>
    <t>KHI/HO/D/FR/ND/P/21657/02/2024</t>
  </si>
  <si>
    <t>KHI/HO/D/FR/ND/P/21658/02/2024</t>
  </si>
  <si>
    <t>KHI/HO/D/FR/ND/P/21659/02/2024</t>
  </si>
  <si>
    <t>KHI/HO/D/FR/ND/P/21660/02/2024</t>
  </si>
  <si>
    <t>KHI/HO/D/FR/ND/P/21661/02/2024</t>
  </si>
  <si>
    <t>KHI/HO/D/FR/ND/P/21662/02/2024</t>
  </si>
  <si>
    <t>KHI/HO/D/FR/ND/P/21663/02/2024</t>
  </si>
  <si>
    <t>KHI/HO/D/FR/ND/P/21664/02/2024</t>
  </si>
  <si>
    <t>KHI/HO/D/FR/ND/P/21665/02/2024</t>
  </si>
  <si>
    <t>KHI/HO/D/FR/ND/P/21666/02/2024</t>
  </si>
  <si>
    <t>KHI/HO/D/FR/ND/P/21667/02/2024</t>
  </si>
  <si>
    <t>KHI/HO/D/FR/ND/P/21668/02/2024</t>
  </si>
  <si>
    <t>KHI/HO/D/FR/ND/P/21669/02/2024</t>
  </si>
  <si>
    <t>KHI/HO/D/FR/ND/P/21670/02/2024</t>
  </si>
  <si>
    <t>KHI/HO/D/FR/ND/P/21671/02/2024</t>
  </si>
  <si>
    <t>KHI/HO/D/FR/ND/P/21672/02/2024</t>
  </si>
  <si>
    <t>KHI/HO/D/FR/ND/P/21673/02/2024</t>
  </si>
  <si>
    <t>KHI/HO/D/FR/ND/P/21674/02/2024</t>
  </si>
  <si>
    <t>KHI/HO/D/FR/ND/P/21675/02/2024</t>
  </si>
  <si>
    <t>KHI/HO/D/FR/ND/P/21676/02/2024</t>
  </si>
  <si>
    <t>KHI/HO/D/FR/ND/P/21677/02/2024</t>
  </si>
  <si>
    <t>KHI/HO/D/FR/ND/P/21678/02/2024</t>
  </si>
  <si>
    <t>KHI/HO/D/FR/ND/P/21679/02/2024</t>
  </si>
  <si>
    <t>KHI/HO/D/FR/ND/P/21680/02/2024</t>
  </si>
  <si>
    <t>KHI/HO/D/FR/ND/P/21681/02/2024</t>
  </si>
  <si>
    <t>KHI/HO/D/FR/ND/P/21682/02/2024</t>
  </si>
  <si>
    <t>KHI/HO/D/FR/ND/P/21683/02/2024</t>
  </si>
  <si>
    <t>KHI/HO/D/FR/ND/P/21684/02/2024</t>
  </si>
  <si>
    <t>KHI/HO/D/FR/ND/P/21685/02/2024</t>
  </si>
  <si>
    <t>KHI/HO/D/FR/ND/P/21686/02/2024</t>
  </si>
  <si>
    <t>KHI/HO/D/FR/ND/P/21687/02/2024</t>
  </si>
  <si>
    <t>KHI/HO/D/FR/ND/P/21688/02/2024</t>
  </si>
  <si>
    <t>KHI/HO/D/FR/ND/P/21689/02/2024</t>
  </si>
  <si>
    <t>KHI/HO/D/FR/ND/P/21690/02/2024</t>
  </si>
  <si>
    <t>KHI/HO/D/FR/ND/P/21691/02/2024</t>
  </si>
  <si>
    <t>KHI/HO/D/FR/ND/P/21692/02/2024</t>
  </si>
  <si>
    <t>KHI/HO/D/FR/ND/P/21693/02/2024</t>
  </si>
  <si>
    <t>KHI/HO/D/FR/ND/P/21694/02/2024</t>
  </si>
  <si>
    <t>KHI/HO/D/FR/ND/P/21695/02/2024</t>
  </si>
  <si>
    <t>KHI/HO/D/FR/ND/P/21696/02/2024</t>
  </si>
  <si>
    <t>KHI/HO/D/FR/ND/P/21697/02/2024</t>
  </si>
  <si>
    <t>KHI/HO/D/FR/ND/P/21698/02/2024</t>
  </si>
  <si>
    <t>KHI/HO/D/FR/ND/P/21699/02/2024</t>
  </si>
  <si>
    <t>KHI/HO/D/FR/ND/P/21700/02/2024</t>
  </si>
  <si>
    <t>KHI/HO/D/FR/ND/P/21701/02/2024</t>
  </si>
  <si>
    <t>KHI/HO/D/FR/ND/P/21702/02/2024</t>
  </si>
  <si>
    <t>KHI/HO/D/FR/ND/P/21703/02/2024</t>
  </si>
  <si>
    <t>KHI/HO/D/FR/ND/P/21704/02/2024</t>
  </si>
  <si>
    <t>KHI/HO/D/FR/ND/P/21705/02/2024</t>
  </si>
  <si>
    <t>KHI/HO/D/FR/ND/P/21706/02/2024</t>
  </si>
  <si>
    <t>KHI/HO/D/FR/ND/P/21707/02/2024</t>
  </si>
  <si>
    <t>KHI/HO/D/FR/ND/P/21708/02/2024</t>
  </si>
  <si>
    <t>KHI/HO/D/FR/ND/P/21709/02/2024</t>
  </si>
  <si>
    <t>KHI/HO/D/FR/ND/P/21710/02/2024</t>
  </si>
  <si>
    <t>KHI/HO/D/FR/ND/P/21711/02/2024</t>
  </si>
  <si>
    <t>KHI/HO/D/FR/ND/P/21712/02/2024</t>
  </si>
  <si>
    <t>KHI/HO/D/FR/ND/P/21713/02/2024</t>
  </si>
  <si>
    <t>KHI/HO/D/FR/ND/P/21714/02/2024</t>
  </si>
  <si>
    <t>KHI/HO/D/FR/ND/P/21715/02/2024</t>
  </si>
  <si>
    <t>KHI/HO/D/FR/ND/P/21716/02/2024</t>
  </si>
  <si>
    <t>KHI/HO/D/FR/ND/P/21717/02/2024</t>
  </si>
  <si>
    <t>KHI/HO/D/FR/ND/P/21718/02/2024</t>
  </si>
  <si>
    <t>KHI/HO/D/FR/ND/P/21719/02/2024</t>
  </si>
  <si>
    <t>KHI/HO/D/FR/ND/P/21720/02/2024</t>
  </si>
  <si>
    <t>KHI/HO/D/FR/ND/P/21721/02/2024</t>
  </si>
  <si>
    <t>KHI/HO/D/FR/ND/P/21722/02/2024</t>
  </si>
  <si>
    <t>KHI/HO/D/FR/ND/P/21723/02/2024</t>
  </si>
  <si>
    <t>KHI/HO/D/FR/ND/P/21724/02/2024</t>
  </si>
  <si>
    <t>KHI/HO/D/FR/ND/P/21725/02/2024</t>
  </si>
  <si>
    <t>KHI/HO/D/FR/ND/P/21726/02/2024</t>
  </si>
  <si>
    <t>KHI/HO/D/FR/ND/P/21727/02/2024</t>
  </si>
  <si>
    <t>KHI/HO/D/FR/ND/P/21728/02/2024</t>
  </si>
  <si>
    <t>KHI/HO/D/FR/ND/P/21729/02/2024</t>
  </si>
  <si>
    <t>Net Contribution</t>
  </si>
  <si>
    <t>STL PMD #</t>
  </si>
  <si>
    <t>POLICY NO.</t>
  </si>
  <si>
    <t>Assorted_code</t>
  </si>
  <si>
    <t>Premium</t>
  </si>
  <si>
    <t>20Aug240150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</si>
</sst>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09]d\-mmm\-yy;@"/>
    <numFmt numFmtId="165" formatCode="#,##0_);\(#,##0\)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i/>
      <sz val="9"/>
      <color indexed="9"/>
      <name val="Trebuchet MS"/>
      <family val="2"/>
    </font>
    <font>
      <i/>
      <sz val="9"/>
      <color theme="1"/>
      <name val="Trebuchet MS"/>
      <family val="2"/>
    </font>
    <font>
      <i/>
      <sz val="9"/>
      <name val="Trebuchet MS"/>
      <family val="2"/>
    </font>
    <font>
      <b/>
      <i/>
      <sz val="9"/>
      <color theme="1"/>
      <name val="Trebuchet MS"/>
      <family val="2"/>
    </font>
    <font>
      <sz val="9"/>
      <name val="Trebuchet MS"/>
      <family val="2"/>
    </font>
    <font>
      <b/>
      <sz val="9"/>
      <color indexed="9"/>
      <name val="Trebuchet M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22"/>
      </patternFill>
    </fill>
    <fill>
      <patternFill patternType="solid">
        <fgColor indexed="65"/>
        <bgColor indexed="9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8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" fontId="3" fillId="3" borderId="1" xfId="0" applyNumberFormat="1" applyFont="1" applyFill="1" applyBorder="1" applyAlignment="1">
      <alignment horizontal="right" vertical="center" wrapText="1"/>
    </xf>
    <xf numFmtId="38" fontId="3" fillId="3" borderId="1" xfId="0" applyNumberFormat="1" applyFont="1" applyFill="1" applyBorder="1" applyAlignment="1">
      <alignment horizontal="righ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38" fontId="2" fillId="0" borderId="0" xfId="0" applyNumberFormat="1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right"/>
    </xf>
    <xf numFmtId="38" fontId="4" fillId="0" borderId="3" xfId="0" applyNumberFormat="1" applyFont="1" applyBorder="1"/>
    <xf numFmtId="1" fontId="3" fillId="3" borderId="0" xfId="0" applyNumberFormat="1" applyFont="1" applyFill="1" applyAlignment="1">
      <alignment horizontal="right" vertical="center" wrapText="1"/>
    </xf>
    <xf numFmtId="0" fontId="3" fillId="3" borderId="0" xfId="0" applyFont="1" applyFill="1" applyAlignment="1">
      <alignment horizontal="center" vertical="center" wrapText="1"/>
    </xf>
    <xf numFmtId="38" fontId="3" fillId="3" borderId="0" xfId="0" applyNumberFormat="1" applyFont="1" applyFill="1" applyAlignment="1">
      <alignment horizontal="right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" fontId="3" fillId="3" borderId="0" xfId="0" applyNumberFormat="1" applyFont="1" applyFill="1" applyAlignment="1">
      <alignment horizontal="righ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3" fillId="3" borderId="6" xfId="0" applyNumberFormat="1" applyFont="1" applyFill="1" applyBorder="1" applyAlignment="1">
      <alignment horizontal="right" vertical="center"/>
    </xf>
    <xf numFmtId="1" fontId="3" fillId="3" borderId="6" xfId="0" applyNumberFormat="1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" fontId="3" fillId="3" borderId="8" xfId="0" applyNumberFormat="1" applyFont="1" applyFill="1" applyBorder="1" applyAlignment="1">
      <alignment horizontal="right" vertical="center" wrapText="1"/>
    </xf>
    <xf numFmtId="0" fontId="5" fillId="0" borderId="9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164" fontId="3" fillId="3" borderId="5" xfId="0" applyNumberFormat="1" applyFont="1" applyFill="1" applyBorder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1" fontId="3" fillId="3" borderId="8" xfId="0" applyNumberFormat="1" applyFont="1" applyFill="1" applyBorder="1" applyAlignment="1">
      <alignment horizontal="right" vertical="center"/>
    </xf>
    <xf numFmtId="1" fontId="3" fillId="3" borderId="4" xfId="0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3" fillId="3" borderId="6" xfId="0" applyNumberFormat="1" applyFont="1" applyFill="1" applyBorder="1" applyAlignment="1">
      <alignment horizontal="center" vertical="center" wrapText="1"/>
    </xf>
    <xf numFmtId="165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38" fontId="4" fillId="0" borderId="2" xfId="0" applyNumberFormat="1" applyFont="1" applyBorder="1"/>
    <xf numFmtId="0" fontId="8" fillId="0" borderId="4" xfId="0" applyFont="1" applyBorder="1" applyAlignment="1">
      <alignment horizontal="center"/>
    </xf>
    <xf numFmtId="0" fontId="8" fillId="0" borderId="4" xfId="0" applyFont="1" applyBorder="1"/>
    <xf numFmtId="166" fontId="9" fillId="0" borderId="0" xfId="1" applyNumberFormat="1" applyFont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0" fontId="10" fillId="0" borderId="0" xfId="0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.hassan\Downloads\SHEET1.xlsx" TargetMode="External"/><Relationship Id="rId1" Type="http://schemas.openxmlformats.org/officeDocument/2006/relationships/externalLinkPath" Target="file:///C:\Users\adil.hassan\Downloads\SHEE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B1" t="str">
            <v>KHI/HO/D/FR/ND/P/21701/02/2024</v>
          </cell>
          <cell r="C1" t="str">
            <v>040000166900</v>
          </cell>
        </row>
        <row r="2">
          <cell r="B2" t="str">
            <v>KHI/HO/D/FR/ND/P/21702/02/2024</v>
          </cell>
          <cell r="C2" t="str">
            <v>040000166901</v>
          </cell>
        </row>
        <row r="3">
          <cell r="B3" t="str">
            <v>KHI/HO/D/FR/ND/P/21706/02/2024</v>
          </cell>
          <cell r="C3" t="str">
            <v>040000166905</v>
          </cell>
        </row>
        <row r="4">
          <cell r="B4" t="str">
            <v>KHI/HO/D/FR/ND/P/21707/02/2024</v>
          </cell>
          <cell r="C4" t="str">
            <v>040000166906</v>
          </cell>
        </row>
        <row r="5">
          <cell r="B5" t="str">
            <v>KHI/HO/D/FR/ND/P/21709/02/2024</v>
          </cell>
          <cell r="C5" t="str">
            <v>040000166908</v>
          </cell>
        </row>
        <row r="6">
          <cell r="B6" t="str">
            <v>KHI/HO/D/FR/ND/P/21710/02/2024</v>
          </cell>
          <cell r="C6" t="str">
            <v>040000166909</v>
          </cell>
        </row>
        <row r="7">
          <cell r="B7" t="str">
            <v>KHI/HO/D/FR/ND/P/21711/02/2024</v>
          </cell>
          <cell r="C7" t="str">
            <v>040000166910</v>
          </cell>
        </row>
        <row r="8">
          <cell r="B8" t="str">
            <v>KHI/HO/D/FR/ND/P/21714/02/2024</v>
          </cell>
          <cell r="C8" t="str">
            <v>040000166913</v>
          </cell>
        </row>
        <row r="9">
          <cell r="B9" t="str">
            <v>KHI/HO/D/FR/ND/P/21713/02/2024</v>
          </cell>
          <cell r="C9" t="str">
            <v>040000166912</v>
          </cell>
        </row>
        <row r="10">
          <cell r="B10" t="str">
            <v>KHI/HO/D/FR/ND/P/21715/02/2024</v>
          </cell>
          <cell r="C10" t="str">
            <v>040000166914</v>
          </cell>
        </row>
        <row r="11">
          <cell r="B11" t="str">
            <v>KHI/HO/D/FR/ND/P/21720/02/2024</v>
          </cell>
          <cell r="C11" t="str">
            <v>040000166919</v>
          </cell>
        </row>
        <row r="12">
          <cell r="B12" t="str">
            <v>KHI/HO/D/FR/ND/P/21718/02/2024</v>
          </cell>
          <cell r="C12" t="str">
            <v>040000166917</v>
          </cell>
        </row>
        <row r="13">
          <cell r="B13" t="str">
            <v>KHI/HO/D/FR/ND/P/21719/02/2024</v>
          </cell>
          <cell r="C13" t="str">
            <v>040000166918</v>
          </cell>
        </row>
        <row r="14">
          <cell r="B14" t="str">
            <v>KHI/HO/D/FR/ND/P/21722/02/2024</v>
          </cell>
          <cell r="C14" t="str">
            <v>040000166921</v>
          </cell>
        </row>
        <row r="15">
          <cell r="B15" t="str">
            <v>KHI/HO/D/FR/ND/P/21723/02/2024</v>
          </cell>
          <cell r="C15" t="str">
            <v>040000166922</v>
          </cell>
        </row>
        <row r="16">
          <cell r="B16" t="str">
            <v>KHI/HO/D/FR/ND/P/21724/02/2024</v>
          </cell>
          <cell r="C16" t="str">
            <v>040000166923</v>
          </cell>
        </row>
        <row r="17">
          <cell r="B17" t="str">
            <v>KHI/HO/D/FR/ND/P/21726/02/2024</v>
          </cell>
          <cell r="C17" t="str">
            <v>040000166925</v>
          </cell>
        </row>
        <row r="18">
          <cell r="B18" t="str">
            <v>KHI/HO/D/FR/ND/P/21727/02/2024</v>
          </cell>
          <cell r="C18" t="str">
            <v>040000166926</v>
          </cell>
        </row>
        <row r="19">
          <cell r="B19" t="str">
            <v>KHI/HO/D/FR/ND/P/21728/02/2024</v>
          </cell>
          <cell r="C19" t="str">
            <v>040000166927</v>
          </cell>
        </row>
        <row r="20">
          <cell r="B20" t="str">
            <v>KHI/HO/D/FR/ND/P/21681/02/2024</v>
          </cell>
          <cell r="C20" t="str">
            <v>040000166880</v>
          </cell>
        </row>
        <row r="21">
          <cell r="B21" t="str">
            <v>KHI/HO/D/FR/ND/P/21683/02/2024</v>
          </cell>
          <cell r="C21" t="str">
            <v>040000166882</v>
          </cell>
        </row>
        <row r="22">
          <cell r="B22" t="str">
            <v>KHI/HO/D/FR/ND/P/21684/02/2024</v>
          </cell>
          <cell r="C22" t="str">
            <v>040000166883</v>
          </cell>
        </row>
        <row r="23">
          <cell r="B23" t="str">
            <v>KHI/HO/D/FR/ND/P/21685/02/2024</v>
          </cell>
          <cell r="C23" t="str">
            <v>040000166884</v>
          </cell>
        </row>
        <row r="24">
          <cell r="B24" t="str">
            <v>KHI/HO/D/FR/ND/P/21687/02/2024</v>
          </cell>
          <cell r="C24" t="str">
            <v>040000166886</v>
          </cell>
        </row>
        <row r="25">
          <cell r="B25" t="str">
            <v>KHI/HO/D/FR/ND/P/21688/02/2024</v>
          </cell>
          <cell r="C25" t="str">
            <v>040000166887</v>
          </cell>
        </row>
        <row r="26">
          <cell r="B26" t="str">
            <v>KHI/HO/D/FR/ND/P/21716/02/2024</v>
          </cell>
          <cell r="C26" t="str">
            <v>040000166915</v>
          </cell>
        </row>
        <row r="27">
          <cell r="B27" t="str">
            <v>KHI/HO/D/FR/ND/P/21698/02/2024</v>
          </cell>
          <cell r="C27" t="str">
            <v>040000166897</v>
          </cell>
        </row>
        <row r="28">
          <cell r="B28" t="str">
            <v>KHI/HO/D/FR/ND/P/21689/02/2024</v>
          </cell>
          <cell r="C28" t="str">
            <v>040000166888</v>
          </cell>
        </row>
        <row r="29">
          <cell r="B29" t="str">
            <v>KHI/HO/D/FR/ND/P/21691/02/2024</v>
          </cell>
          <cell r="C29" t="str">
            <v>040000166890</v>
          </cell>
        </row>
        <row r="30">
          <cell r="B30" t="str">
            <v>KHI/HO/D/FR/ND/P/21692/02/2024</v>
          </cell>
          <cell r="C30" t="str">
            <v>040000166891</v>
          </cell>
        </row>
        <row r="31">
          <cell r="B31" t="str">
            <v>KHI/HO/D/FR/ND/P/21693/02/2024</v>
          </cell>
          <cell r="C31" t="str">
            <v>040000166892</v>
          </cell>
        </row>
        <row r="32">
          <cell r="B32" t="str">
            <v>KHI/HO/D/FR/ND/P/21695/02/2024</v>
          </cell>
          <cell r="C32" t="str">
            <v>040000166894</v>
          </cell>
        </row>
        <row r="33">
          <cell r="B33" t="str">
            <v>KHI/HO/D/FR/ND/P/21696/02/2024</v>
          </cell>
          <cell r="C33" t="str">
            <v>040000166895</v>
          </cell>
        </row>
        <row r="34">
          <cell r="B34" t="str">
            <v>KHI/HO/D/FR/ND/P/21697/02/2024</v>
          </cell>
          <cell r="C34" t="str">
            <v>040000166896</v>
          </cell>
        </row>
        <row r="35">
          <cell r="B35" t="str">
            <v>KHI/HO/D/FR/ND/P/21700/02/2024</v>
          </cell>
          <cell r="C35" t="str">
            <v>040000166899</v>
          </cell>
        </row>
        <row r="36">
          <cell r="B36" t="str">
            <v>KHI/HO/D/FR/ND/P/21618/02/2024</v>
          </cell>
          <cell r="C36" t="str">
            <v>040000166817</v>
          </cell>
        </row>
        <row r="37">
          <cell r="B37" t="str">
            <v>KHI/HO/D/FR/ND/P/21704/02/2024</v>
          </cell>
          <cell r="C37" t="str">
            <v>040000166903</v>
          </cell>
        </row>
        <row r="38">
          <cell r="B38" t="str">
            <v>KHI/HO/D/FR/ND/P/21705/02/2024</v>
          </cell>
          <cell r="C38" t="str">
            <v>040000166904</v>
          </cell>
        </row>
        <row r="39">
          <cell r="B39" t="str">
            <v>KHI/HO/D/FR/ND/P/21708/02/2024</v>
          </cell>
          <cell r="C39" t="str">
            <v>040000166907</v>
          </cell>
        </row>
        <row r="40">
          <cell r="B40" t="str">
            <v>KHI/HO/D/FR/ND/P/21712/02/2024</v>
          </cell>
          <cell r="C40" t="str">
            <v>040000166911</v>
          </cell>
        </row>
        <row r="41">
          <cell r="B41" t="str">
            <v>KHI/HO/D/FR/ND/P/21717/02/2024</v>
          </cell>
          <cell r="C41" t="str">
            <v>040000166916</v>
          </cell>
        </row>
        <row r="42">
          <cell r="B42" t="str">
            <v>KHI/HO/D/FR/ND/P/21721/02/2024</v>
          </cell>
          <cell r="C42" t="str">
            <v>040000166920</v>
          </cell>
        </row>
        <row r="43">
          <cell r="B43" t="str">
            <v>KHI/HO/D/FR/ND/P/21725/02/2024</v>
          </cell>
          <cell r="C43" t="str">
            <v>040000166924</v>
          </cell>
        </row>
        <row r="44">
          <cell r="B44" t="str">
            <v>KHI/HO/D/FR/ND/P/21729/02/2024</v>
          </cell>
          <cell r="C44" t="str">
            <v>040000166928</v>
          </cell>
        </row>
        <row r="45">
          <cell r="B45" t="str">
            <v>KHI/HO/D/FR/ND/P/21680/02/2024</v>
          </cell>
          <cell r="C45" t="str">
            <v>040000166879</v>
          </cell>
        </row>
        <row r="46">
          <cell r="B46" t="str">
            <v>KHI/HO/D/FR/ND/P/21682/02/2024</v>
          </cell>
          <cell r="C46" t="str">
            <v>040000166881</v>
          </cell>
        </row>
        <row r="47">
          <cell r="B47" t="str">
            <v>KHI/HO/D/FR/ND/P/21686/02/2024</v>
          </cell>
          <cell r="C47" t="str">
            <v>040000166885</v>
          </cell>
        </row>
        <row r="48">
          <cell r="B48" t="str">
            <v>KHI/HO/D/FR/ND/P/21690/02/2024</v>
          </cell>
          <cell r="C48" t="str">
            <v>040000166889</v>
          </cell>
        </row>
        <row r="49">
          <cell r="B49" t="str">
            <v>KHI/HO/D/FR/ND/P/21694/02/2024</v>
          </cell>
          <cell r="C49" t="str">
            <v>040000166893</v>
          </cell>
        </row>
        <row r="50">
          <cell r="B50" t="str">
            <v>KHI/HO/D/FR/ND/P/21699/02/2024</v>
          </cell>
          <cell r="C50" t="str">
            <v>040000166898</v>
          </cell>
        </row>
        <row r="51">
          <cell r="B51" t="str">
            <v>KHI/HO/D/FR/ND/P/21703/02/2024</v>
          </cell>
          <cell r="C51" t="str">
            <v>040000166902</v>
          </cell>
        </row>
        <row r="52">
          <cell r="B52" t="str">
            <v>KHI/HO/D/FR/ND/P/21669/02/2024</v>
          </cell>
          <cell r="C52" t="str">
            <v>040000166868</v>
          </cell>
        </row>
        <row r="53">
          <cell r="B53" t="str">
            <v>KHI/HO/D/FR/ND/P/21621/02/2024</v>
          </cell>
          <cell r="C53" t="str">
            <v>040000166820</v>
          </cell>
        </row>
        <row r="54">
          <cell r="B54" t="str">
            <v>KHI/HO/D/FR/ND/P/21622/02/2024</v>
          </cell>
          <cell r="C54" t="str">
            <v>040000166821</v>
          </cell>
        </row>
        <row r="55">
          <cell r="B55" t="str">
            <v>KHI/HO/D/FR/ND/P/21623/02/2024</v>
          </cell>
          <cell r="C55" t="str">
            <v>040000166822</v>
          </cell>
        </row>
        <row r="56">
          <cell r="B56" t="str">
            <v>KHI/HO/D/FR/ND/P/21625/02/2024</v>
          </cell>
          <cell r="C56" t="str">
            <v>040000166824</v>
          </cell>
        </row>
        <row r="57">
          <cell r="B57" t="str">
            <v>KHI/HO/D/FR/ND/P/21626/02/2024</v>
          </cell>
          <cell r="C57" t="str">
            <v>040000166825</v>
          </cell>
        </row>
        <row r="58">
          <cell r="B58" t="str">
            <v>KHI/HO/D/FR/ND/P/21627/02/2024</v>
          </cell>
          <cell r="C58" t="str">
            <v>040000166826</v>
          </cell>
        </row>
        <row r="59">
          <cell r="B59" t="str">
            <v>KHI/HO/D/FR/ND/P/21629/02/2024</v>
          </cell>
          <cell r="C59" t="str">
            <v>040000166828</v>
          </cell>
        </row>
        <row r="60">
          <cell r="B60" t="str">
            <v>KHI/HO/D/FR/ND/P/21630/02/2024</v>
          </cell>
          <cell r="C60" t="str">
            <v>040000166829</v>
          </cell>
        </row>
        <row r="61">
          <cell r="B61" t="str">
            <v>KHI/HO/D/FR/ND/P/21631/02/2024</v>
          </cell>
          <cell r="C61" t="str">
            <v>040000166830</v>
          </cell>
        </row>
        <row r="62">
          <cell r="B62" t="str">
            <v>KHI/HO/D/FR/ND/P/21633/02/2024</v>
          </cell>
          <cell r="C62" t="str">
            <v>040000166832</v>
          </cell>
        </row>
        <row r="63">
          <cell r="B63" t="str">
            <v>KHI/HO/D/FR/ND/P/21634/02/2024</v>
          </cell>
          <cell r="C63" t="str">
            <v>040000166833</v>
          </cell>
        </row>
        <row r="64">
          <cell r="B64" t="str">
            <v>KHI/HO/D/FR/ND/P/21635/02/2024</v>
          </cell>
          <cell r="C64" t="str">
            <v>040000166834</v>
          </cell>
        </row>
        <row r="65">
          <cell r="B65" t="str">
            <v>KHI/HO/D/FR/ND/P/21637/02/2024</v>
          </cell>
          <cell r="C65" t="str">
            <v>040000166836</v>
          </cell>
        </row>
        <row r="66">
          <cell r="B66" t="str">
            <v>KHI/HO/D/FR/ND/P/21638/02/2024</v>
          </cell>
          <cell r="C66" t="str">
            <v>040000166837</v>
          </cell>
        </row>
        <row r="67">
          <cell r="B67" t="str">
            <v>KHI/HO/D/FR/ND/P/21639/02/2024</v>
          </cell>
          <cell r="C67" t="str">
            <v>040000166838</v>
          </cell>
        </row>
        <row r="68">
          <cell r="B68" t="str">
            <v>KHI/HO/D/FR/ND/P/21641/02/2024</v>
          </cell>
          <cell r="C68" t="str">
            <v>040000166840</v>
          </cell>
        </row>
        <row r="69">
          <cell r="B69" t="str">
            <v>KHI/HO/D/FR/ND/P/21642/02/2024</v>
          </cell>
          <cell r="C69" t="str">
            <v>040000166841</v>
          </cell>
        </row>
        <row r="70">
          <cell r="B70" t="str">
            <v>KHI/HO/D/FR/ND/P/21643/02/2024</v>
          </cell>
          <cell r="C70" t="str">
            <v>040000166842</v>
          </cell>
        </row>
        <row r="71">
          <cell r="B71" t="str">
            <v>KHI/HO/D/FR/ND/P/21649/02/2024</v>
          </cell>
          <cell r="C71" t="str">
            <v>040000166848</v>
          </cell>
        </row>
        <row r="72">
          <cell r="B72" t="str">
            <v>KHI/HO/D/FR/ND/P/21650/02/2024</v>
          </cell>
          <cell r="C72" t="str">
            <v>040000166849</v>
          </cell>
        </row>
        <row r="73">
          <cell r="B73" t="str">
            <v>KHI/HO/D/FR/ND/P/21653/02/2024</v>
          </cell>
          <cell r="C73" t="str">
            <v>040000166852</v>
          </cell>
        </row>
        <row r="74">
          <cell r="B74" t="str">
            <v>KHI/HO/D/FR/ND/P/21658/02/2024</v>
          </cell>
          <cell r="C74" t="str">
            <v>040000166857</v>
          </cell>
        </row>
        <row r="75">
          <cell r="B75" t="str">
            <v>KHI/HO/D/FR/ND/P/21662/02/2024</v>
          </cell>
          <cell r="C75" t="str">
            <v>040000166861</v>
          </cell>
        </row>
        <row r="76">
          <cell r="B76" t="str">
            <v>KHI/HO/D/FR/ND/P/21668/02/2024</v>
          </cell>
          <cell r="C76" t="str">
            <v>040000166867</v>
          </cell>
        </row>
        <row r="77">
          <cell r="B77" t="str">
            <v>KHI/HO/D/FR/ND/P/21670/02/2024</v>
          </cell>
          <cell r="C77" t="str">
            <v>040000166869</v>
          </cell>
        </row>
        <row r="78">
          <cell r="B78" t="str">
            <v>KHI/HO/D/FR/ND/P/21671/02/2024</v>
          </cell>
          <cell r="C78" t="str">
            <v>040000166870</v>
          </cell>
        </row>
        <row r="79">
          <cell r="B79" t="str">
            <v>KHI/HO/D/FR/ND/P/21672/02/2024</v>
          </cell>
          <cell r="C79" t="str">
            <v>040000166871</v>
          </cell>
        </row>
        <row r="80">
          <cell r="B80" t="str">
            <v>KHI/HO/D/FR/ND/P/21619/02/2024</v>
          </cell>
          <cell r="C80" t="str">
            <v>040000166818</v>
          </cell>
        </row>
        <row r="81">
          <cell r="B81" t="str">
            <v>KHI/HO/D/FR/ND/P/21620/02/2024</v>
          </cell>
          <cell r="C81" t="str">
            <v>040000166819</v>
          </cell>
        </row>
        <row r="82">
          <cell r="B82" t="str">
            <v>KHI/HO/D/FR/ND/P/21624/02/2024</v>
          </cell>
          <cell r="C82" t="str">
            <v>040000166823</v>
          </cell>
        </row>
        <row r="83">
          <cell r="B83" t="str">
            <v>KHI/HO/D/FR/ND/P/21628/02/2024</v>
          </cell>
          <cell r="C83" t="str">
            <v>040000166827</v>
          </cell>
        </row>
        <row r="84">
          <cell r="B84" t="str">
            <v>KHI/HO/D/FR/ND/P/21632/02/2024</v>
          </cell>
          <cell r="C84" t="str">
            <v>040000166831</v>
          </cell>
        </row>
        <row r="85">
          <cell r="B85" t="str">
            <v>KHI/HO/D/FR/ND/P/21636/02/2024</v>
          </cell>
          <cell r="C85" t="str">
            <v>040000166835</v>
          </cell>
        </row>
        <row r="86">
          <cell r="B86" t="str">
            <v>KHI/HO/D/FR/ND/P/21640/02/2024</v>
          </cell>
          <cell r="C86" t="str">
            <v>040000166839</v>
          </cell>
        </row>
        <row r="87">
          <cell r="B87" t="str">
            <v>KHI/HO/D/FR/ND/P/21644/02/2024</v>
          </cell>
          <cell r="C87" t="str">
            <v>040000166843</v>
          </cell>
        </row>
        <row r="88">
          <cell r="B88" t="str">
            <v>KHI/HO/D/FR/ND/P/21645/02/2024</v>
          </cell>
          <cell r="C88" t="str">
            <v>040000166844</v>
          </cell>
        </row>
        <row r="89">
          <cell r="B89" t="str">
            <v>KHI/HO/D/FR/ND/P/21646/02/2024</v>
          </cell>
          <cell r="C89" t="str">
            <v>040000166845</v>
          </cell>
        </row>
        <row r="90">
          <cell r="B90" t="str">
            <v>KHI/HO/D/FR/ND/P/21647/02/2024</v>
          </cell>
          <cell r="C90" t="str">
            <v>040000166846</v>
          </cell>
        </row>
        <row r="91">
          <cell r="B91" t="str">
            <v>KHI/HO/D/FR/ND/P/21648/02/2024</v>
          </cell>
          <cell r="C91" t="str">
            <v>040000166847</v>
          </cell>
        </row>
        <row r="92">
          <cell r="B92" t="str">
            <v>KHI/HO/D/FR/ND/P/21651/02/2024</v>
          </cell>
          <cell r="C92" t="str">
            <v>040000166850</v>
          </cell>
        </row>
        <row r="93">
          <cell r="B93" t="str">
            <v>KHI/HO/D/FR/ND/P/21652/02/2024</v>
          </cell>
          <cell r="C93" t="str">
            <v>040000166851</v>
          </cell>
        </row>
        <row r="94">
          <cell r="B94" t="str">
            <v>KHI/HO/D/FR/ND/P/21654/02/2024</v>
          </cell>
          <cell r="C94" t="str">
            <v>040000166853</v>
          </cell>
        </row>
        <row r="95">
          <cell r="B95" t="str">
            <v>KHI/HO/D/FR/ND/P/21657/02/2024</v>
          </cell>
          <cell r="C95" t="str">
            <v>040000166856</v>
          </cell>
        </row>
        <row r="96">
          <cell r="B96" t="str">
            <v>KHI/HO/D/FR/ND/P/21655/02/2024</v>
          </cell>
          <cell r="C96" t="str">
            <v>040000166854</v>
          </cell>
        </row>
        <row r="97">
          <cell r="B97" t="str">
            <v>KHI/HO/D/FR/ND/P/21656/02/2024</v>
          </cell>
          <cell r="C97" t="str">
            <v>040000166855</v>
          </cell>
        </row>
        <row r="98">
          <cell r="B98" t="str">
            <v>KHI/HO/D/FR/ND/P/21659/02/2024</v>
          </cell>
          <cell r="C98" t="str">
            <v>040000166858</v>
          </cell>
        </row>
        <row r="99">
          <cell r="B99" t="str">
            <v>KHI/HO/D/FR/ND/P/21660/02/2024</v>
          </cell>
          <cell r="C99" t="str">
            <v>040000166859</v>
          </cell>
        </row>
        <row r="100">
          <cell r="B100" t="str">
            <v>KHI/HO/D/FR/ND/P/21661/02/2024</v>
          </cell>
          <cell r="C100" t="str">
            <v>040000166860</v>
          </cell>
        </row>
        <row r="101">
          <cell r="B101" t="str">
            <v>KHI/HO/D/FR/ND/P/21663/02/2024</v>
          </cell>
          <cell r="C101" t="str">
            <v>040000166862</v>
          </cell>
        </row>
        <row r="102">
          <cell r="B102" t="str">
            <v>KHI/HO/D/FR/ND/P/21664/02/2024</v>
          </cell>
          <cell r="C102" t="str">
            <v>040000166863</v>
          </cell>
        </row>
        <row r="103">
          <cell r="B103" t="str">
            <v>KHI/HO/D/FR/ND/P/21665/02/2024</v>
          </cell>
          <cell r="C103" t="str">
            <v>040000166864</v>
          </cell>
        </row>
        <row r="104">
          <cell r="B104" t="str">
            <v>KHI/HO/D/FR/ND/P/21666/02/2024</v>
          </cell>
          <cell r="C104" t="str">
            <v>040000166865</v>
          </cell>
        </row>
        <row r="105">
          <cell r="B105" t="str">
            <v>KHI/HO/D/FR/ND/P/21667/02/2024</v>
          </cell>
          <cell r="C105" t="str">
            <v>040000166866</v>
          </cell>
        </row>
        <row r="106">
          <cell r="B106" t="str">
            <v>KHI/HO/D/FR/ND/P/21677/02/2024</v>
          </cell>
          <cell r="C106" t="str">
            <v>040000166876</v>
          </cell>
        </row>
        <row r="107">
          <cell r="B107" t="str">
            <v>KHI/HO/D/FR/ND/P/21679/02/2024</v>
          </cell>
          <cell r="C107" t="str">
            <v>040000166878</v>
          </cell>
        </row>
        <row r="108">
          <cell r="B108" t="str">
            <v>KHI/HO/D/FR/ND/P/21673/02/2024</v>
          </cell>
          <cell r="C108" t="str">
            <v>040000166872</v>
          </cell>
        </row>
        <row r="109">
          <cell r="B109" t="str">
            <v>KHI/HO/D/FR/ND/P/21674/02/2024</v>
          </cell>
          <cell r="C109" t="str">
            <v>040000166873</v>
          </cell>
        </row>
        <row r="110">
          <cell r="B110" t="str">
            <v>KHI/HO/D/FR/ND/P/21675/02/2024</v>
          </cell>
          <cell r="C110" t="str">
            <v>040000166874</v>
          </cell>
        </row>
        <row r="111">
          <cell r="B111" t="str">
            <v>KHI/HO/D/FR/ND/P/21676/02/2024</v>
          </cell>
          <cell r="C111" t="str">
            <v>040000166875</v>
          </cell>
        </row>
        <row r="112">
          <cell r="B112" t="str">
            <v>KHI/HO/D/FR/ND/P/21678/02/2024</v>
          </cell>
          <cell r="C112" t="str">
            <v>040000166877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6"/>
  <sheetViews>
    <sheetView topLeftCell="I104" workbookViewId="0">
      <selection activeCell="K3" sqref="K3:K114"/>
    </sheetView>
  </sheetViews>
  <sheetFormatPr defaultRowHeight="16.5" customHeight="1" x14ac:dyDescent="0.35"/>
  <cols>
    <col min="1" max="1" width="10.28515625" style="4" bestFit="1" customWidth="1"/>
    <col min="2" max="2" width="16.28515625" style="4" bestFit="1" customWidth="1"/>
    <col min="3" max="3" width="20.140625" style="5" bestFit="1" customWidth="1"/>
    <col min="4" max="4" width="19" style="5" bestFit="1" customWidth="1"/>
    <col min="5" max="5" width="28.28515625" style="4" bestFit="1" customWidth="1"/>
    <col min="6" max="6" width="11.5703125" style="4" bestFit="1" customWidth="1"/>
    <col min="7" max="7" width="14" style="4" bestFit="1" customWidth="1"/>
    <col min="8" max="8" width="142.7109375" style="4" bestFit="1" customWidth="1"/>
    <col min="9" max="9" width="16.140625" style="9" bestFit="1" customWidth="1"/>
    <col min="10" max="10" width="18.42578125" style="4" bestFit="1" customWidth="1"/>
    <col min="11" max="11" width="16.140625" style="4" bestFit="1" customWidth="1"/>
    <col min="12" max="12" width="32.5703125" style="4" bestFit="1" customWidth="1"/>
    <col min="13" max="16384" width="9.140625" style="4"/>
  </cols>
  <sheetData>
    <row r="2" spans="1:12" s="10" customFormat="1" ht="30" x14ac:dyDescent="0.35">
      <c r="A2" s="1" t="s">
        <v>0</v>
      </c>
      <c r="B2" s="20" t="s">
        <v>99</v>
      </c>
      <c r="C2" s="33" t="s">
        <v>1</v>
      </c>
      <c r="D2" s="33" t="s">
        <v>18</v>
      </c>
      <c r="E2" s="1" t="s">
        <v>2</v>
      </c>
      <c r="F2" s="1" t="s">
        <v>3</v>
      </c>
      <c r="G2" s="1" t="s">
        <v>4</v>
      </c>
      <c r="H2" s="1" t="s">
        <v>6</v>
      </c>
      <c r="I2" s="2" t="s">
        <v>7</v>
      </c>
      <c r="J2" s="3" t="s">
        <v>5</v>
      </c>
      <c r="K2" s="55" t="s">
        <v>708</v>
      </c>
      <c r="L2" s="55" t="s">
        <v>709</v>
      </c>
    </row>
    <row r="3" spans="1:12" ht="16.5" customHeight="1" x14ac:dyDescent="0.35">
      <c r="A3" s="6">
        <v>1</v>
      </c>
      <c r="B3" s="29"/>
      <c r="C3" s="24" t="s">
        <v>21</v>
      </c>
      <c r="D3" s="34" t="s">
        <v>529</v>
      </c>
      <c r="E3" s="31" t="s">
        <v>103</v>
      </c>
      <c r="F3" s="21" t="s">
        <v>8</v>
      </c>
      <c r="G3" s="22" t="s">
        <v>104</v>
      </c>
      <c r="H3" s="21" t="s">
        <v>105</v>
      </c>
      <c r="I3" s="7">
        <v>580569</v>
      </c>
      <c r="J3" s="56">
        <v>45323</v>
      </c>
      <c r="K3" s="57">
        <v>200</v>
      </c>
      <c r="L3" s="58" t="s">
        <v>596</v>
      </c>
    </row>
    <row r="4" spans="1:12" ht="16.5" customHeight="1" x14ac:dyDescent="0.35">
      <c r="A4" s="6">
        <f>A3+1</f>
        <v>2</v>
      </c>
      <c r="B4" s="29"/>
      <c r="C4" s="24" t="s">
        <v>55</v>
      </c>
      <c r="D4" s="34" t="s">
        <v>529</v>
      </c>
      <c r="E4" s="31" t="s">
        <v>197</v>
      </c>
      <c r="F4" s="21" t="s">
        <v>9</v>
      </c>
      <c r="G4" s="22" t="s">
        <v>198</v>
      </c>
      <c r="H4" s="21" t="s">
        <v>199</v>
      </c>
      <c r="I4" s="7">
        <v>601844</v>
      </c>
      <c r="J4" s="56">
        <v>45323</v>
      </c>
      <c r="K4" s="57">
        <v>200</v>
      </c>
      <c r="L4" s="58" t="s">
        <v>597</v>
      </c>
    </row>
    <row r="5" spans="1:12" ht="16.5" customHeight="1" x14ac:dyDescent="0.35">
      <c r="A5" s="6">
        <f t="shared" ref="A5:A68" si="0">A4+1</f>
        <v>3</v>
      </c>
      <c r="B5" s="29"/>
      <c r="C5" s="24" t="s">
        <v>22</v>
      </c>
      <c r="D5" s="34" t="s">
        <v>529</v>
      </c>
      <c r="E5" s="31" t="s">
        <v>106</v>
      </c>
      <c r="F5" s="21" t="s">
        <v>8</v>
      </c>
      <c r="G5" s="22" t="s">
        <v>107</v>
      </c>
      <c r="H5" s="21" t="s">
        <v>108</v>
      </c>
      <c r="I5" s="7">
        <v>664479</v>
      </c>
      <c r="J5" s="56">
        <v>45323</v>
      </c>
      <c r="K5" s="57">
        <v>200</v>
      </c>
      <c r="L5" s="58" t="s">
        <v>598</v>
      </c>
    </row>
    <row r="6" spans="1:12" ht="16.5" customHeight="1" x14ac:dyDescent="0.35">
      <c r="A6" s="6">
        <f t="shared" si="0"/>
        <v>4</v>
      </c>
      <c r="B6" s="29"/>
      <c r="C6" s="24" t="s">
        <v>31</v>
      </c>
      <c r="D6" s="34" t="s">
        <v>529</v>
      </c>
      <c r="E6" s="31" t="s">
        <v>131</v>
      </c>
      <c r="F6" s="21" t="s">
        <v>10</v>
      </c>
      <c r="G6" s="22" t="s">
        <v>132</v>
      </c>
      <c r="H6" s="21" t="s">
        <v>133</v>
      </c>
      <c r="I6" s="7">
        <v>850878</v>
      </c>
      <c r="J6" s="56">
        <v>45323</v>
      </c>
      <c r="K6" s="57">
        <v>200</v>
      </c>
      <c r="L6" s="58" t="s">
        <v>599</v>
      </c>
    </row>
    <row r="7" spans="1:12" ht="16.5" customHeight="1" x14ac:dyDescent="0.35">
      <c r="A7" s="6">
        <f t="shared" si="0"/>
        <v>5</v>
      </c>
      <c r="B7" s="29"/>
      <c r="C7" s="24" t="s">
        <v>29</v>
      </c>
      <c r="D7" s="34" t="s">
        <v>529</v>
      </c>
      <c r="E7" s="31" t="s">
        <v>125</v>
      </c>
      <c r="F7" s="21" t="s">
        <v>8</v>
      </c>
      <c r="G7" s="22" t="s">
        <v>126</v>
      </c>
      <c r="H7" s="21" t="s">
        <v>127</v>
      </c>
      <c r="I7" s="7">
        <v>708232</v>
      </c>
      <c r="J7" s="56">
        <v>45323</v>
      </c>
      <c r="K7" s="57">
        <v>200</v>
      </c>
      <c r="L7" s="58" t="s">
        <v>600</v>
      </c>
    </row>
    <row r="8" spans="1:12" ht="16.5" customHeight="1" x14ac:dyDescent="0.35">
      <c r="A8" s="6">
        <f t="shared" si="0"/>
        <v>6</v>
      </c>
      <c r="B8" s="29"/>
      <c r="C8" s="26" t="s">
        <v>83</v>
      </c>
      <c r="D8" s="34" t="s">
        <v>529</v>
      </c>
      <c r="E8" s="31" t="s">
        <v>266</v>
      </c>
      <c r="F8" s="28" t="s">
        <v>9</v>
      </c>
      <c r="G8" s="27" t="s">
        <v>267</v>
      </c>
      <c r="H8" s="21" t="s">
        <v>268</v>
      </c>
      <c r="I8" s="7">
        <v>1360054</v>
      </c>
      <c r="J8" s="56">
        <v>45323</v>
      </c>
      <c r="K8" s="57">
        <v>204</v>
      </c>
      <c r="L8" s="58" t="s">
        <v>601</v>
      </c>
    </row>
    <row r="9" spans="1:12" ht="16.5" customHeight="1" x14ac:dyDescent="0.35">
      <c r="A9" s="6">
        <f t="shared" si="0"/>
        <v>7</v>
      </c>
      <c r="B9" s="29"/>
      <c r="C9" s="24" t="s">
        <v>32</v>
      </c>
      <c r="D9" s="34" t="s">
        <v>529</v>
      </c>
      <c r="E9" s="31" t="s">
        <v>134</v>
      </c>
      <c r="F9" s="21" t="s">
        <v>9</v>
      </c>
      <c r="G9" s="22" t="s">
        <v>135</v>
      </c>
      <c r="H9" s="21" t="s">
        <v>136</v>
      </c>
      <c r="I9" s="7">
        <v>857470</v>
      </c>
      <c r="J9" s="56">
        <v>45323</v>
      </c>
      <c r="K9" s="57">
        <v>200</v>
      </c>
      <c r="L9" s="58" t="s">
        <v>602</v>
      </c>
    </row>
    <row r="10" spans="1:12" ht="16.5" customHeight="1" x14ac:dyDescent="0.35">
      <c r="A10" s="6">
        <f t="shared" si="0"/>
        <v>8</v>
      </c>
      <c r="B10" s="29"/>
      <c r="C10" s="24" t="s">
        <v>28</v>
      </c>
      <c r="D10" s="34" t="s">
        <v>529</v>
      </c>
      <c r="E10" s="31" t="s">
        <v>122</v>
      </c>
      <c r="F10" s="21" t="s">
        <v>9</v>
      </c>
      <c r="G10" s="22" t="s">
        <v>123</v>
      </c>
      <c r="H10" s="21" t="s">
        <v>124</v>
      </c>
      <c r="I10" s="7">
        <v>1283053</v>
      </c>
      <c r="J10" s="56">
        <v>45323</v>
      </c>
      <c r="K10" s="57">
        <v>200</v>
      </c>
      <c r="L10" s="58" t="s">
        <v>603</v>
      </c>
    </row>
    <row r="11" spans="1:12" ht="16.5" customHeight="1" x14ac:dyDescent="0.35">
      <c r="A11" s="6">
        <f t="shared" si="0"/>
        <v>9</v>
      </c>
      <c r="B11" s="29"/>
      <c r="C11" s="24" t="s">
        <v>30</v>
      </c>
      <c r="D11" s="34" t="s">
        <v>529</v>
      </c>
      <c r="E11" s="31" t="s">
        <v>128</v>
      </c>
      <c r="F11" s="21" t="s">
        <v>10</v>
      </c>
      <c r="G11" s="22" t="s">
        <v>129</v>
      </c>
      <c r="H11" s="21" t="s">
        <v>130</v>
      </c>
      <c r="I11" s="7">
        <v>1622937</v>
      </c>
      <c r="J11" s="56">
        <v>45323</v>
      </c>
      <c r="K11" s="57">
        <v>243</v>
      </c>
      <c r="L11" s="58" t="s">
        <v>604</v>
      </c>
    </row>
    <row r="12" spans="1:12" ht="16.5" customHeight="1" x14ac:dyDescent="0.35">
      <c r="A12" s="6">
        <f t="shared" si="0"/>
        <v>10</v>
      </c>
      <c r="B12" s="29"/>
      <c r="C12" s="24" t="s">
        <v>33</v>
      </c>
      <c r="D12" s="34" t="s">
        <v>529</v>
      </c>
      <c r="E12" s="31" t="s">
        <v>137</v>
      </c>
      <c r="F12" s="21" t="s">
        <v>10</v>
      </c>
      <c r="G12" s="22" t="s">
        <v>138</v>
      </c>
      <c r="H12" s="21" t="s">
        <v>139</v>
      </c>
      <c r="I12" s="7">
        <v>959980</v>
      </c>
      <c r="J12" s="56">
        <v>45323</v>
      </c>
      <c r="K12" s="57">
        <v>200</v>
      </c>
      <c r="L12" s="58" t="s">
        <v>605</v>
      </c>
    </row>
    <row r="13" spans="1:12" ht="16.5" customHeight="1" x14ac:dyDescent="0.35">
      <c r="A13" s="6">
        <f t="shared" si="0"/>
        <v>11</v>
      </c>
      <c r="B13" s="29" t="s">
        <v>36</v>
      </c>
      <c r="C13" s="24" t="s">
        <v>37</v>
      </c>
      <c r="D13" s="34" t="s">
        <v>529</v>
      </c>
      <c r="E13" s="31" t="s">
        <v>146</v>
      </c>
      <c r="F13" s="21" t="s">
        <v>15</v>
      </c>
      <c r="G13" s="22" t="s">
        <v>147</v>
      </c>
      <c r="H13" s="21" t="s">
        <v>148</v>
      </c>
      <c r="I13" s="7">
        <v>1020306</v>
      </c>
      <c r="J13" s="56">
        <v>45323</v>
      </c>
      <c r="K13" s="57">
        <v>200</v>
      </c>
      <c r="L13" s="58" t="s">
        <v>606</v>
      </c>
    </row>
    <row r="14" spans="1:12" ht="16.5" customHeight="1" x14ac:dyDescent="0.35">
      <c r="A14" s="6">
        <f t="shared" si="0"/>
        <v>12</v>
      </c>
      <c r="B14" s="30"/>
      <c r="C14" s="19" t="s">
        <v>438</v>
      </c>
      <c r="D14" s="34" t="s">
        <v>529</v>
      </c>
      <c r="E14" s="32" t="s">
        <v>439</v>
      </c>
      <c r="F14" s="17" t="s">
        <v>8</v>
      </c>
      <c r="G14" s="18" t="s">
        <v>440</v>
      </c>
      <c r="H14" s="17" t="s">
        <v>441</v>
      </c>
      <c r="I14" s="7">
        <v>1914091</v>
      </c>
      <c r="J14" s="56">
        <v>45323</v>
      </c>
      <c r="K14" s="57">
        <v>287</v>
      </c>
      <c r="L14" s="58" t="s">
        <v>607</v>
      </c>
    </row>
    <row r="15" spans="1:12" ht="16.5" customHeight="1" x14ac:dyDescent="0.35">
      <c r="A15" s="6">
        <f t="shared" si="0"/>
        <v>13</v>
      </c>
      <c r="B15" s="29" t="s">
        <v>41</v>
      </c>
      <c r="C15" s="24" t="s">
        <v>42</v>
      </c>
      <c r="D15" s="34" t="s">
        <v>529</v>
      </c>
      <c r="E15" s="31" t="s">
        <v>158</v>
      </c>
      <c r="F15" s="21" t="s">
        <v>9</v>
      </c>
      <c r="G15" s="22" t="s">
        <v>159</v>
      </c>
      <c r="H15" s="21" t="s">
        <v>160</v>
      </c>
      <c r="I15" s="7">
        <v>1941934</v>
      </c>
      <c r="J15" s="56">
        <v>45323</v>
      </c>
      <c r="K15" s="57">
        <v>291</v>
      </c>
      <c r="L15" s="58" t="s">
        <v>608</v>
      </c>
    </row>
    <row r="16" spans="1:12" ht="16.5" customHeight="1" x14ac:dyDescent="0.35">
      <c r="A16" s="6">
        <f t="shared" si="0"/>
        <v>14</v>
      </c>
      <c r="B16" s="30"/>
      <c r="C16" s="19" t="s">
        <v>521</v>
      </c>
      <c r="D16" s="34" t="s">
        <v>529</v>
      </c>
      <c r="E16" s="32" t="s">
        <v>522</v>
      </c>
      <c r="F16" s="17" t="s">
        <v>9</v>
      </c>
      <c r="G16" s="18" t="s">
        <v>523</v>
      </c>
      <c r="H16" s="17" t="s">
        <v>524</v>
      </c>
      <c r="I16" s="7">
        <v>2019624</v>
      </c>
      <c r="J16" s="56">
        <v>45323</v>
      </c>
      <c r="K16" s="57">
        <v>303</v>
      </c>
      <c r="L16" s="58" t="s">
        <v>609</v>
      </c>
    </row>
    <row r="17" spans="1:12" ht="16.5" customHeight="1" x14ac:dyDescent="0.35">
      <c r="A17" s="6">
        <f t="shared" si="0"/>
        <v>15</v>
      </c>
      <c r="B17" s="29"/>
      <c r="C17" s="24" t="s">
        <v>34</v>
      </c>
      <c r="D17" s="34" t="s">
        <v>529</v>
      </c>
      <c r="E17" s="31" t="s">
        <v>140</v>
      </c>
      <c r="F17" s="21" t="s">
        <v>10</v>
      </c>
      <c r="G17" s="22" t="s">
        <v>141</v>
      </c>
      <c r="H17" s="21" t="s">
        <v>142</v>
      </c>
      <c r="I17" s="7">
        <v>1943937</v>
      </c>
      <c r="J17" s="56">
        <v>45323</v>
      </c>
      <c r="K17" s="57">
        <v>292</v>
      </c>
      <c r="L17" s="58" t="s">
        <v>610</v>
      </c>
    </row>
    <row r="18" spans="1:12" ht="16.5" customHeight="1" x14ac:dyDescent="0.35">
      <c r="A18" s="6">
        <f t="shared" si="0"/>
        <v>16</v>
      </c>
      <c r="B18" s="30"/>
      <c r="C18" s="19" t="s">
        <v>418</v>
      </c>
      <c r="D18" s="34" t="s">
        <v>529</v>
      </c>
      <c r="E18" s="32" t="s">
        <v>419</v>
      </c>
      <c r="F18" s="17" t="s">
        <v>9</v>
      </c>
      <c r="G18" s="18" t="s">
        <v>420</v>
      </c>
      <c r="H18" s="17" t="s">
        <v>421</v>
      </c>
      <c r="I18" s="7">
        <v>2245959</v>
      </c>
      <c r="J18" s="56">
        <v>45323</v>
      </c>
      <c r="K18" s="57">
        <v>337</v>
      </c>
      <c r="L18" s="58" t="s">
        <v>611</v>
      </c>
    </row>
    <row r="19" spans="1:12" ht="16.5" customHeight="1" x14ac:dyDescent="0.35">
      <c r="A19" s="6">
        <f t="shared" si="0"/>
        <v>17</v>
      </c>
      <c r="B19" s="30"/>
      <c r="C19" s="19" t="s">
        <v>370</v>
      </c>
      <c r="D19" s="34" t="s">
        <v>529</v>
      </c>
      <c r="E19" s="32" t="s">
        <v>371</v>
      </c>
      <c r="F19" s="17" t="s">
        <v>9</v>
      </c>
      <c r="G19" s="18" t="s">
        <v>372</v>
      </c>
      <c r="H19" s="17" t="s">
        <v>373</v>
      </c>
      <c r="I19" s="7">
        <v>2353212</v>
      </c>
      <c r="J19" s="56">
        <v>45323</v>
      </c>
      <c r="K19" s="57">
        <v>353</v>
      </c>
      <c r="L19" s="58" t="s">
        <v>612</v>
      </c>
    </row>
    <row r="20" spans="1:12" ht="16.5" customHeight="1" x14ac:dyDescent="0.35">
      <c r="A20" s="6">
        <f t="shared" si="0"/>
        <v>18</v>
      </c>
      <c r="B20" s="29"/>
      <c r="C20" s="24" t="s">
        <v>49</v>
      </c>
      <c r="D20" s="34" t="s">
        <v>529</v>
      </c>
      <c r="E20" s="31" t="s">
        <v>179</v>
      </c>
      <c r="F20" s="21" t="s">
        <v>12</v>
      </c>
      <c r="G20" s="22" t="s">
        <v>180</v>
      </c>
      <c r="H20" s="21" t="s">
        <v>181</v>
      </c>
      <c r="I20" s="7">
        <v>2438909</v>
      </c>
      <c r="J20" s="56">
        <v>45323</v>
      </c>
      <c r="K20" s="57">
        <v>366</v>
      </c>
      <c r="L20" s="58" t="s">
        <v>613</v>
      </c>
    </row>
    <row r="21" spans="1:12" ht="16.5" customHeight="1" x14ac:dyDescent="0.35">
      <c r="A21" s="6">
        <f t="shared" si="0"/>
        <v>19</v>
      </c>
      <c r="B21" s="30"/>
      <c r="C21" s="19" t="s">
        <v>337</v>
      </c>
      <c r="D21" s="34" t="s">
        <v>529</v>
      </c>
      <c r="E21" s="32" t="s">
        <v>338</v>
      </c>
      <c r="F21" s="17" t="s">
        <v>9</v>
      </c>
      <c r="G21" s="18" t="s">
        <v>339</v>
      </c>
      <c r="H21" s="17" t="s">
        <v>340</v>
      </c>
      <c r="I21" s="7">
        <v>1743209</v>
      </c>
      <c r="J21" s="56">
        <v>45323</v>
      </c>
      <c r="K21" s="57">
        <v>261</v>
      </c>
      <c r="L21" s="58" t="s">
        <v>614</v>
      </c>
    </row>
    <row r="22" spans="1:12" ht="16.5" customHeight="1" x14ac:dyDescent="0.35">
      <c r="A22" s="6">
        <f t="shared" si="0"/>
        <v>20</v>
      </c>
      <c r="B22" s="29"/>
      <c r="C22" s="24" t="s">
        <v>44</v>
      </c>
      <c r="D22" s="34" t="s">
        <v>529</v>
      </c>
      <c r="E22" s="31" t="s">
        <v>164</v>
      </c>
      <c r="F22" s="21" t="s">
        <v>8</v>
      </c>
      <c r="G22" s="22" t="s">
        <v>165</v>
      </c>
      <c r="H22" s="21" t="s">
        <v>166</v>
      </c>
      <c r="I22" s="7">
        <v>2094615</v>
      </c>
      <c r="J22" s="56">
        <v>45323</v>
      </c>
      <c r="K22" s="57">
        <v>314</v>
      </c>
      <c r="L22" s="58" t="s">
        <v>615</v>
      </c>
    </row>
    <row r="23" spans="1:12" ht="16.5" customHeight="1" x14ac:dyDescent="0.35">
      <c r="A23" s="6">
        <f t="shared" si="0"/>
        <v>21</v>
      </c>
      <c r="B23" s="29"/>
      <c r="C23" s="24" t="s">
        <v>50</v>
      </c>
      <c r="D23" s="34" t="s">
        <v>529</v>
      </c>
      <c r="E23" s="31" t="s">
        <v>182</v>
      </c>
      <c r="F23" s="21" t="s">
        <v>11</v>
      </c>
      <c r="G23" s="22" t="s">
        <v>183</v>
      </c>
      <c r="H23" s="21" t="s">
        <v>184</v>
      </c>
      <c r="I23" s="7">
        <v>2132099</v>
      </c>
      <c r="J23" s="56">
        <v>45323</v>
      </c>
      <c r="K23" s="57">
        <v>320</v>
      </c>
      <c r="L23" s="58" t="s">
        <v>616</v>
      </c>
    </row>
    <row r="24" spans="1:12" ht="16.5" customHeight="1" x14ac:dyDescent="0.35">
      <c r="A24" s="6">
        <f t="shared" si="0"/>
        <v>22</v>
      </c>
      <c r="B24" s="30"/>
      <c r="C24" s="19" t="s">
        <v>454</v>
      </c>
      <c r="D24" s="34" t="s">
        <v>529</v>
      </c>
      <c r="E24" s="32" t="s">
        <v>455</v>
      </c>
      <c r="F24" s="17" t="s">
        <v>8</v>
      </c>
      <c r="G24" s="18" t="s">
        <v>456</v>
      </c>
      <c r="H24" s="17" t="s">
        <v>457</v>
      </c>
      <c r="I24" s="7">
        <v>2767366</v>
      </c>
      <c r="J24" s="56">
        <v>45323</v>
      </c>
      <c r="K24" s="57">
        <v>415</v>
      </c>
      <c r="L24" s="58" t="s">
        <v>617</v>
      </c>
    </row>
    <row r="25" spans="1:12" ht="16.5" customHeight="1" x14ac:dyDescent="0.35">
      <c r="A25" s="6">
        <f t="shared" si="0"/>
        <v>23</v>
      </c>
      <c r="B25" s="29"/>
      <c r="C25" s="24" t="s">
        <v>35</v>
      </c>
      <c r="D25" s="34" t="s">
        <v>529</v>
      </c>
      <c r="E25" s="31" t="s">
        <v>143</v>
      </c>
      <c r="F25" s="21" t="s">
        <v>9</v>
      </c>
      <c r="G25" s="22" t="s">
        <v>144</v>
      </c>
      <c r="H25" s="21" t="s">
        <v>145</v>
      </c>
      <c r="I25" s="7">
        <v>2888844</v>
      </c>
      <c r="J25" s="56">
        <v>45323</v>
      </c>
      <c r="K25" s="57">
        <v>433</v>
      </c>
      <c r="L25" s="58" t="s">
        <v>618</v>
      </c>
    </row>
    <row r="26" spans="1:12" ht="16.5" customHeight="1" x14ac:dyDescent="0.35">
      <c r="A26" s="6">
        <f t="shared" si="0"/>
        <v>24</v>
      </c>
      <c r="B26" s="30"/>
      <c r="C26" s="19" t="s">
        <v>465</v>
      </c>
      <c r="D26" s="34" t="s">
        <v>529</v>
      </c>
      <c r="E26" s="32" t="s">
        <v>466</v>
      </c>
      <c r="F26" s="17" t="s">
        <v>11</v>
      </c>
      <c r="G26" s="18" t="s">
        <v>467</v>
      </c>
      <c r="H26" s="17" t="s">
        <v>468</v>
      </c>
      <c r="I26" s="7">
        <v>2637080</v>
      </c>
      <c r="J26" s="56">
        <v>45323</v>
      </c>
      <c r="K26" s="57">
        <v>396</v>
      </c>
      <c r="L26" s="58" t="s">
        <v>619</v>
      </c>
    </row>
    <row r="27" spans="1:12" ht="16.5" customHeight="1" x14ac:dyDescent="0.35">
      <c r="A27" s="6">
        <f t="shared" si="0"/>
        <v>25</v>
      </c>
      <c r="B27" s="30"/>
      <c r="C27" s="19" t="s">
        <v>481</v>
      </c>
      <c r="D27" s="34" t="s">
        <v>529</v>
      </c>
      <c r="E27" s="32" t="s">
        <v>482</v>
      </c>
      <c r="F27" s="17" t="s">
        <v>9</v>
      </c>
      <c r="G27" s="18" t="s">
        <v>483</v>
      </c>
      <c r="H27" s="17" t="s">
        <v>484</v>
      </c>
      <c r="I27" s="7">
        <v>3371009</v>
      </c>
      <c r="J27" s="56">
        <v>45323</v>
      </c>
      <c r="K27" s="57">
        <v>506</v>
      </c>
      <c r="L27" s="58" t="s">
        <v>620</v>
      </c>
    </row>
    <row r="28" spans="1:12" ht="16.5" customHeight="1" x14ac:dyDescent="0.35">
      <c r="A28" s="6">
        <f t="shared" si="0"/>
        <v>26</v>
      </c>
      <c r="B28" s="29"/>
      <c r="C28" s="24" t="s">
        <v>40</v>
      </c>
      <c r="D28" s="34" t="s">
        <v>529</v>
      </c>
      <c r="E28" s="31" t="s">
        <v>155</v>
      </c>
      <c r="F28" s="21" t="s">
        <v>10</v>
      </c>
      <c r="G28" s="22" t="s">
        <v>156</v>
      </c>
      <c r="H28" s="21" t="s">
        <v>157</v>
      </c>
      <c r="I28" s="7">
        <v>3443993</v>
      </c>
      <c r="J28" s="56">
        <v>45323</v>
      </c>
      <c r="K28" s="57">
        <v>517</v>
      </c>
      <c r="L28" s="58" t="s">
        <v>621</v>
      </c>
    </row>
    <row r="29" spans="1:12" ht="16.5" customHeight="1" x14ac:dyDescent="0.35">
      <c r="A29" s="6">
        <f t="shared" si="0"/>
        <v>27</v>
      </c>
      <c r="B29" s="30"/>
      <c r="C29" s="19" t="s">
        <v>493</v>
      </c>
      <c r="D29" s="34" t="s">
        <v>529</v>
      </c>
      <c r="E29" s="32" t="s">
        <v>494</v>
      </c>
      <c r="F29" s="17" t="s">
        <v>15</v>
      </c>
      <c r="G29" s="18" t="s">
        <v>495</v>
      </c>
      <c r="H29" s="17" t="s">
        <v>496</v>
      </c>
      <c r="I29" s="7">
        <v>3437296</v>
      </c>
      <c r="J29" s="56">
        <v>45323</v>
      </c>
      <c r="K29" s="57">
        <v>516</v>
      </c>
      <c r="L29" s="58" t="s">
        <v>622</v>
      </c>
    </row>
    <row r="30" spans="1:12" ht="16.5" customHeight="1" x14ac:dyDescent="0.35">
      <c r="A30" s="6">
        <f t="shared" si="0"/>
        <v>28</v>
      </c>
      <c r="B30" s="30"/>
      <c r="C30" s="19" t="s">
        <v>485</v>
      </c>
      <c r="D30" s="34" t="s">
        <v>529</v>
      </c>
      <c r="E30" s="32" t="s">
        <v>486</v>
      </c>
      <c r="F30" s="17" t="s">
        <v>9</v>
      </c>
      <c r="G30" s="18" t="s">
        <v>487</v>
      </c>
      <c r="H30" s="17" t="s">
        <v>488</v>
      </c>
      <c r="I30" s="7">
        <v>2045775</v>
      </c>
      <c r="J30" s="56">
        <v>45323</v>
      </c>
      <c r="K30" s="57">
        <v>307</v>
      </c>
      <c r="L30" s="58" t="s">
        <v>623</v>
      </c>
    </row>
    <row r="31" spans="1:12" ht="16.5" customHeight="1" x14ac:dyDescent="0.35">
      <c r="A31" s="6">
        <f t="shared" si="0"/>
        <v>29</v>
      </c>
      <c r="B31" s="29"/>
      <c r="C31" s="26" t="s">
        <v>89</v>
      </c>
      <c r="D31" s="34" t="s">
        <v>529</v>
      </c>
      <c r="E31" s="31" t="s">
        <v>284</v>
      </c>
      <c r="F31" s="28" t="s">
        <v>9</v>
      </c>
      <c r="G31" s="27" t="s">
        <v>285</v>
      </c>
      <c r="H31" s="21" t="s">
        <v>286</v>
      </c>
      <c r="I31" s="7">
        <v>3074374</v>
      </c>
      <c r="J31" s="56">
        <v>45323</v>
      </c>
      <c r="K31" s="57">
        <v>461</v>
      </c>
      <c r="L31" s="58" t="s">
        <v>624</v>
      </c>
    </row>
    <row r="32" spans="1:12" ht="16.5" customHeight="1" x14ac:dyDescent="0.35">
      <c r="A32" s="6">
        <f t="shared" si="0"/>
        <v>30</v>
      </c>
      <c r="B32" s="29"/>
      <c r="C32" s="24" t="s">
        <v>54</v>
      </c>
      <c r="D32" s="34" t="s">
        <v>529</v>
      </c>
      <c r="E32" s="31" t="s">
        <v>194</v>
      </c>
      <c r="F32" s="21" t="s">
        <v>8</v>
      </c>
      <c r="G32" s="22" t="s">
        <v>195</v>
      </c>
      <c r="H32" s="21" t="s">
        <v>196</v>
      </c>
      <c r="I32" s="7">
        <v>3753401</v>
      </c>
      <c r="J32" s="56">
        <v>45323</v>
      </c>
      <c r="K32" s="57">
        <v>563</v>
      </c>
      <c r="L32" s="58" t="s">
        <v>625</v>
      </c>
    </row>
    <row r="33" spans="1:12" ht="16.5" customHeight="1" x14ac:dyDescent="0.35">
      <c r="A33" s="6">
        <f t="shared" si="0"/>
        <v>31</v>
      </c>
      <c r="B33" s="30"/>
      <c r="C33" s="19" t="s">
        <v>325</v>
      </c>
      <c r="D33" s="34" t="s">
        <v>529</v>
      </c>
      <c r="E33" s="32" t="s">
        <v>326</v>
      </c>
      <c r="F33" s="17" t="s">
        <v>9</v>
      </c>
      <c r="G33" s="18" t="s">
        <v>327</v>
      </c>
      <c r="H33" s="17" t="s">
        <v>328</v>
      </c>
      <c r="I33" s="7">
        <v>4400485</v>
      </c>
      <c r="J33" s="56">
        <v>45323</v>
      </c>
      <c r="K33" s="57">
        <v>660</v>
      </c>
      <c r="L33" s="58" t="s">
        <v>626</v>
      </c>
    </row>
    <row r="34" spans="1:12" ht="16.5" customHeight="1" x14ac:dyDescent="0.35">
      <c r="A34" s="6">
        <f t="shared" si="0"/>
        <v>32</v>
      </c>
      <c r="B34" s="30"/>
      <c r="C34" s="19" t="s">
        <v>382</v>
      </c>
      <c r="D34" s="34" t="s">
        <v>529</v>
      </c>
      <c r="E34" s="32" t="s">
        <v>383</v>
      </c>
      <c r="F34" s="17" t="s">
        <v>9</v>
      </c>
      <c r="G34" s="18" t="s">
        <v>384</v>
      </c>
      <c r="H34" s="17" t="s">
        <v>385</v>
      </c>
      <c r="I34" s="7">
        <v>4431114</v>
      </c>
      <c r="J34" s="56">
        <v>45323</v>
      </c>
      <c r="K34" s="57">
        <v>665</v>
      </c>
      <c r="L34" s="58" t="s">
        <v>627</v>
      </c>
    </row>
    <row r="35" spans="1:12" ht="16.5" customHeight="1" x14ac:dyDescent="0.35">
      <c r="A35" s="6">
        <f t="shared" si="0"/>
        <v>33</v>
      </c>
      <c r="B35" s="13"/>
      <c r="C35" s="19" t="s">
        <v>458</v>
      </c>
      <c r="D35" s="34" t="s">
        <v>529</v>
      </c>
      <c r="E35" s="32" t="s">
        <v>14</v>
      </c>
      <c r="F35" s="18" t="s">
        <v>9</v>
      </c>
      <c r="G35" s="18" t="s">
        <v>459</v>
      </c>
      <c r="H35" s="17" t="s">
        <v>460</v>
      </c>
      <c r="I35" s="7">
        <v>4387401</v>
      </c>
      <c r="J35" s="56">
        <v>45323</v>
      </c>
      <c r="K35" s="57">
        <v>658</v>
      </c>
      <c r="L35" s="58" t="s">
        <v>628</v>
      </c>
    </row>
    <row r="36" spans="1:12" ht="16.5" customHeight="1" x14ac:dyDescent="0.35">
      <c r="A36" s="6">
        <f t="shared" si="0"/>
        <v>34</v>
      </c>
      <c r="B36" s="13"/>
      <c r="C36" s="19" t="s">
        <v>446</v>
      </c>
      <c r="D36" s="34" t="s">
        <v>529</v>
      </c>
      <c r="E36" s="32" t="s">
        <v>447</v>
      </c>
      <c r="F36" s="18" t="s">
        <v>10</v>
      </c>
      <c r="G36" s="18" t="s">
        <v>448</v>
      </c>
      <c r="H36" s="17" t="s">
        <v>449</v>
      </c>
      <c r="I36" s="7">
        <v>4577784</v>
      </c>
      <c r="J36" s="56">
        <v>45323</v>
      </c>
      <c r="K36" s="57">
        <v>687</v>
      </c>
      <c r="L36" s="58" t="s">
        <v>629</v>
      </c>
    </row>
    <row r="37" spans="1:12" ht="16.5" customHeight="1" x14ac:dyDescent="0.35">
      <c r="A37" s="6">
        <f t="shared" si="0"/>
        <v>35</v>
      </c>
      <c r="B37" s="13"/>
      <c r="C37" s="19" t="s">
        <v>353</v>
      </c>
      <c r="D37" s="34" t="s">
        <v>529</v>
      </c>
      <c r="E37" s="32" t="s">
        <v>354</v>
      </c>
      <c r="F37" s="18" t="s">
        <v>9</v>
      </c>
      <c r="G37" s="18" t="s">
        <v>355</v>
      </c>
      <c r="H37" s="17" t="s">
        <v>356</v>
      </c>
      <c r="I37" s="7">
        <v>4648445</v>
      </c>
      <c r="J37" s="56">
        <v>45323</v>
      </c>
      <c r="K37" s="57">
        <v>697</v>
      </c>
      <c r="L37" s="58" t="s">
        <v>630</v>
      </c>
    </row>
    <row r="38" spans="1:12" ht="16.5" customHeight="1" x14ac:dyDescent="0.35">
      <c r="A38" s="6">
        <f t="shared" si="0"/>
        <v>36</v>
      </c>
      <c r="B38" s="13"/>
      <c r="C38" s="19" t="s">
        <v>461</v>
      </c>
      <c r="D38" s="34" t="s">
        <v>529</v>
      </c>
      <c r="E38" s="32" t="s">
        <v>462</v>
      </c>
      <c r="F38" s="18" t="s">
        <v>9</v>
      </c>
      <c r="G38" s="18" t="s">
        <v>463</v>
      </c>
      <c r="H38" s="17" t="s">
        <v>464</v>
      </c>
      <c r="I38" s="7">
        <v>4706402</v>
      </c>
      <c r="J38" s="56">
        <v>45323</v>
      </c>
      <c r="K38" s="57">
        <v>706</v>
      </c>
      <c r="L38" s="58" t="s">
        <v>631</v>
      </c>
    </row>
    <row r="39" spans="1:12" ht="16.5" customHeight="1" x14ac:dyDescent="0.35">
      <c r="A39" s="6">
        <f t="shared" si="0"/>
        <v>37</v>
      </c>
      <c r="B39" s="13"/>
      <c r="C39" s="19" t="s">
        <v>497</v>
      </c>
      <c r="D39" s="34" t="s">
        <v>529</v>
      </c>
      <c r="E39" s="32" t="s">
        <v>498</v>
      </c>
      <c r="F39" s="18" t="s">
        <v>15</v>
      </c>
      <c r="G39" s="18" t="s">
        <v>499</v>
      </c>
      <c r="H39" s="17" t="s">
        <v>500</v>
      </c>
      <c r="I39" s="7">
        <v>4719405</v>
      </c>
      <c r="J39" s="56">
        <v>45323</v>
      </c>
      <c r="K39" s="57">
        <v>708</v>
      </c>
      <c r="L39" s="58" t="s">
        <v>632</v>
      </c>
    </row>
    <row r="40" spans="1:12" ht="16.5" customHeight="1" x14ac:dyDescent="0.35">
      <c r="A40" s="6">
        <f t="shared" si="0"/>
        <v>38</v>
      </c>
      <c r="B40" s="13"/>
      <c r="C40" s="19" t="s">
        <v>374</v>
      </c>
      <c r="D40" s="34" t="s">
        <v>529</v>
      </c>
      <c r="E40" s="32" t="s">
        <v>375</v>
      </c>
      <c r="F40" s="18" t="s">
        <v>9</v>
      </c>
      <c r="G40" s="18" t="s">
        <v>376</v>
      </c>
      <c r="H40" s="17" t="s">
        <v>377</v>
      </c>
      <c r="I40" s="7">
        <v>4775577</v>
      </c>
      <c r="J40" s="56">
        <v>45323</v>
      </c>
      <c r="K40" s="57">
        <v>716</v>
      </c>
      <c r="L40" s="58" t="s">
        <v>633</v>
      </c>
    </row>
    <row r="41" spans="1:12" ht="16.5" customHeight="1" x14ac:dyDescent="0.35">
      <c r="A41" s="6">
        <f t="shared" si="0"/>
        <v>39</v>
      </c>
      <c r="B41" s="23"/>
      <c r="C41" s="24" t="s">
        <v>52</v>
      </c>
      <c r="D41" s="34" t="s">
        <v>529</v>
      </c>
      <c r="E41" s="31" t="s">
        <v>188</v>
      </c>
      <c r="F41" s="25" t="s">
        <v>11</v>
      </c>
      <c r="G41" s="22" t="s">
        <v>189</v>
      </c>
      <c r="H41" s="21" t="s">
        <v>190</v>
      </c>
      <c r="I41" s="7">
        <v>4867632</v>
      </c>
      <c r="J41" s="56">
        <v>45323</v>
      </c>
      <c r="K41" s="57">
        <v>730</v>
      </c>
      <c r="L41" s="58" t="s">
        <v>634</v>
      </c>
    </row>
    <row r="42" spans="1:12" ht="16.5" customHeight="1" x14ac:dyDescent="0.35">
      <c r="A42" s="6">
        <f t="shared" si="0"/>
        <v>40</v>
      </c>
      <c r="B42" s="13"/>
      <c r="C42" s="19" t="s">
        <v>406</v>
      </c>
      <c r="D42" s="34" t="s">
        <v>529</v>
      </c>
      <c r="E42" s="32" t="s">
        <v>407</v>
      </c>
      <c r="F42" s="18" t="s">
        <v>10</v>
      </c>
      <c r="G42" s="18" t="s">
        <v>408</v>
      </c>
      <c r="H42" s="17" t="s">
        <v>409</v>
      </c>
      <c r="I42" s="7">
        <v>4862264</v>
      </c>
      <c r="J42" s="56">
        <v>45323</v>
      </c>
      <c r="K42" s="57">
        <v>729</v>
      </c>
      <c r="L42" s="58" t="s">
        <v>635</v>
      </c>
    </row>
    <row r="43" spans="1:12" ht="16.5" customHeight="1" x14ac:dyDescent="0.35">
      <c r="A43" s="6">
        <f t="shared" si="0"/>
        <v>41</v>
      </c>
      <c r="B43" s="23"/>
      <c r="C43" s="24" t="s">
        <v>56</v>
      </c>
      <c r="D43" s="34" t="s">
        <v>529</v>
      </c>
      <c r="E43" s="31" t="s">
        <v>200</v>
      </c>
      <c r="F43" s="25" t="s">
        <v>8</v>
      </c>
      <c r="G43" s="22" t="s">
        <v>201</v>
      </c>
      <c r="H43" s="21" t="s">
        <v>202</v>
      </c>
      <c r="I43" s="7">
        <v>3772245</v>
      </c>
      <c r="J43" s="56">
        <v>45323</v>
      </c>
      <c r="K43" s="57">
        <v>566</v>
      </c>
      <c r="L43" s="58" t="s">
        <v>636</v>
      </c>
    </row>
    <row r="44" spans="1:12" ht="16.5" customHeight="1" x14ac:dyDescent="0.35">
      <c r="A44" s="6">
        <f t="shared" si="0"/>
        <v>42</v>
      </c>
      <c r="B44" s="30"/>
      <c r="C44" s="19" t="s">
        <v>341</v>
      </c>
      <c r="D44" s="34" t="s">
        <v>529</v>
      </c>
      <c r="E44" s="32" t="s">
        <v>342</v>
      </c>
      <c r="F44" s="18" t="s">
        <v>8</v>
      </c>
      <c r="G44" s="18" t="s">
        <v>343</v>
      </c>
      <c r="H44" s="17" t="s">
        <v>344</v>
      </c>
      <c r="I44" s="7">
        <v>5002525</v>
      </c>
      <c r="J44" s="56">
        <v>45323</v>
      </c>
      <c r="K44" s="57">
        <v>750</v>
      </c>
      <c r="L44" s="58" t="s">
        <v>637</v>
      </c>
    </row>
    <row r="45" spans="1:12" ht="16.5" customHeight="1" x14ac:dyDescent="0.35">
      <c r="A45" s="6">
        <f t="shared" si="0"/>
        <v>43</v>
      </c>
      <c r="B45" s="13"/>
      <c r="C45" s="19" t="s">
        <v>333</v>
      </c>
      <c r="D45" s="34" t="s">
        <v>529</v>
      </c>
      <c r="E45" s="32" t="s">
        <v>334</v>
      </c>
      <c r="F45" s="18" t="s">
        <v>9</v>
      </c>
      <c r="G45" s="18" t="s">
        <v>335</v>
      </c>
      <c r="H45" s="17" t="s">
        <v>336</v>
      </c>
      <c r="I45" s="7">
        <v>4419547</v>
      </c>
      <c r="J45" s="56">
        <v>45323</v>
      </c>
      <c r="K45" s="57">
        <v>663</v>
      </c>
      <c r="L45" s="58" t="s">
        <v>638</v>
      </c>
    </row>
    <row r="46" spans="1:12" ht="16.5" customHeight="1" x14ac:dyDescent="0.35">
      <c r="A46" s="6">
        <f t="shared" si="0"/>
        <v>44</v>
      </c>
      <c r="B46" s="13"/>
      <c r="C46" s="19" t="s">
        <v>477</v>
      </c>
      <c r="D46" s="34" t="s">
        <v>529</v>
      </c>
      <c r="E46" s="32" t="s">
        <v>478</v>
      </c>
      <c r="F46" s="18" t="s">
        <v>9</v>
      </c>
      <c r="G46" s="18" t="s">
        <v>479</v>
      </c>
      <c r="H46" s="17" t="s">
        <v>480</v>
      </c>
      <c r="I46" s="7">
        <v>5101983</v>
      </c>
      <c r="J46" s="56">
        <v>45323</v>
      </c>
      <c r="K46" s="57">
        <v>765</v>
      </c>
      <c r="L46" s="58" t="s">
        <v>639</v>
      </c>
    </row>
    <row r="47" spans="1:12" ht="16.5" customHeight="1" x14ac:dyDescent="0.35">
      <c r="A47" s="6">
        <f t="shared" si="0"/>
        <v>45</v>
      </c>
      <c r="B47" s="23"/>
      <c r="C47" s="24" t="s">
        <v>58</v>
      </c>
      <c r="D47" s="34" t="s">
        <v>529</v>
      </c>
      <c r="E47" s="31" t="s">
        <v>206</v>
      </c>
      <c r="F47" s="25" t="s">
        <v>8</v>
      </c>
      <c r="G47" s="22" t="s">
        <v>207</v>
      </c>
      <c r="H47" s="21" t="s">
        <v>208</v>
      </c>
      <c r="I47" s="7">
        <v>4904043</v>
      </c>
      <c r="J47" s="56">
        <v>45323</v>
      </c>
      <c r="K47" s="57">
        <v>736</v>
      </c>
      <c r="L47" s="58" t="s">
        <v>640</v>
      </c>
    </row>
    <row r="48" spans="1:12" ht="16.5" customHeight="1" x14ac:dyDescent="0.35">
      <c r="A48" s="6">
        <f t="shared" si="0"/>
        <v>46</v>
      </c>
      <c r="B48" s="13"/>
      <c r="C48" s="19" t="s">
        <v>394</v>
      </c>
      <c r="D48" s="34" t="s">
        <v>529</v>
      </c>
      <c r="E48" s="32" t="s">
        <v>395</v>
      </c>
      <c r="F48" s="18" t="s">
        <v>9</v>
      </c>
      <c r="G48" s="18" t="s">
        <v>396</v>
      </c>
      <c r="H48" s="17" t="s">
        <v>397</v>
      </c>
      <c r="I48" s="7">
        <v>5068701</v>
      </c>
      <c r="J48" s="56">
        <v>45323</v>
      </c>
      <c r="K48" s="57">
        <v>760</v>
      </c>
      <c r="L48" s="58" t="s">
        <v>641</v>
      </c>
    </row>
    <row r="49" spans="1:12" ht="16.5" customHeight="1" x14ac:dyDescent="0.35">
      <c r="A49" s="6">
        <f t="shared" si="0"/>
        <v>47</v>
      </c>
      <c r="B49" s="29"/>
      <c r="C49" s="26" t="s">
        <v>87</v>
      </c>
      <c r="D49" s="34" t="s">
        <v>529</v>
      </c>
      <c r="E49" s="31" t="s">
        <v>278</v>
      </c>
      <c r="F49" s="27" t="s">
        <v>9</v>
      </c>
      <c r="G49" s="27" t="s">
        <v>279</v>
      </c>
      <c r="H49" s="21" t="s">
        <v>280</v>
      </c>
      <c r="I49" s="7">
        <v>5437672</v>
      </c>
      <c r="J49" s="56">
        <v>45323</v>
      </c>
      <c r="K49" s="57">
        <v>816</v>
      </c>
      <c r="L49" s="58" t="s">
        <v>642</v>
      </c>
    </row>
    <row r="50" spans="1:12" ht="16.5" customHeight="1" x14ac:dyDescent="0.35">
      <c r="A50" s="6">
        <f t="shared" si="0"/>
        <v>48</v>
      </c>
      <c r="B50" s="13"/>
      <c r="C50" s="19" t="s">
        <v>321</v>
      </c>
      <c r="D50" s="34" t="s">
        <v>529</v>
      </c>
      <c r="E50" s="32" t="s">
        <v>322</v>
      </c>
      <c r="F50" s="18" t="s">
        <v>12</v>
      </c>
      <c r="G50" s="18" t="s">
        <v>323</v>
      </c>
      <c r="H50" s="17" t="s">
        <v>324</v>
      </c>
      <c r="I50" s="7">
        <v>5237937</v>
      </c>
      <c r="J50" s="56">
        <v>45323</v>
      </c>
      <c r="K50" s="57">
        <v>786</v>
      </c>
      <c r="L50" s="58" t="s">
        <v>643</v>
      </c>
    </row>
    <row r="51" spans="1:12" ht="16.5" customHeight="1" x14ac:dyDescent="0.35">
      <c r="A51" s="6">
        <f t="shared" si="0"/>
        <v>49</v>
      </c>
      <c r="B51" s="13"/>
      <c r="C51" s="19" t="s">
        <v>402</v>
      </c>
      <c r="D51" s="34" t="s">
        <v>529</v>
      </c>
      <c r="E51" s="32" t="s">
        <v>403</v>
      </c>
      <c r="F51" s="18" t="s">
        <v>9</v>
      </c>
      <c r="G51" s="18" t="s">
        <v>404</v>
      </c>
      <c r="H51" s="17" t="s">
        <v>405</v>
      </c>
      <c r="I51" s="7">
        <v>5413143</v>
      </c>
      <c r="J51" s="56">
        <v>45323</v>
      </c>
      <c r="K51" s="57">
        <v>812</v>
      </c>
      <c r="L51" s="58" t="s">
        <v>644</v>
      </c>
    </row>
    <row r="52" spans="1:12" ht="16.5" customHeight="1" x14ac:dyDescent="0.35">
      <c r="A52" s="6">
        <f t="shared" si="0"/>
        <v>50</v>
      </c>
      <c r="B52" s="30"/>
      <c r="C52" s="19" t="s">
        <v>509</v>
      </c>
      <c r="D52" s="34" t="s">
        <v>529</v>
      </c>
      <c r="E52" s="32" t="s">
        <v>510</v>
      </c>
      <c r="F52" s="18" t="s">
        <v>9</v>
      </c>
      <c r="G52" s="18" t="s">
        <v>511</v>
      </c>
      <c r="H52" s="17" t="s">
        <v>512</v>
      </c>
      <c r="I52" s="7">
        <v>5439361</v>
      </c>
      <c r="J52" s="56">
        <v>45323</v>
      </c>
      <c r="K52" s="57">
        <v>816</v>
      </c>
      <c r="L52" s="58" t="s">
        <v>645</v>
      </c>
    </row>
    <row r="53" spans="1:12" ht="16.5" customHeight="1" x14ac:dyDescent="0.35">
      <c r="A53" s="6">
        <f t="shared" si="0"/>
        <v>51</v>
      </c>
      <c r="B53" s="13"/>
      <c r="C53" s="19" t="s">
        <v>422</v>
      </c>
      <c r="D53" s="34" t="s">
        <v>529</v>
      </c>
      <c r="E53" s="32" t="s">
        <v>423</v>
      </c>
      <c r="F53" s="18" t="s">
        <v>10</v>
      </c>
      <c r="G53" s="18" t="s">
        <v>424</v>
      </c>
      <c r="H53" s="17" t="s">
        <v>425</v>
      </c>
      <c r="I53" s="7">
        <v>5585447</v>
      </c>
      <c r="J53" s="56">
        <v>45323</v>
      </c>
      <c r="K53" s="57">
        <v>838</v>
      </c>
      <c r="L53" s="58" t="s">
        <v>646</v>
      </c>
    </row>
    <row r="54" spans="1:12" ht="16.5" customHeight="1" x14ac:dyDescent="0.35">
      <c r="A54" s="6">
        <f t="shared" si="0"/>
        <v>52</v>
      </c>
      <c r="B54" s="13"/>
      <c r="C54" s="19" t="s">
        <v>329</v>
      </c>
      <c r="D54" s="34" t="s">
        <v>529</v>
      </c>
      <c r="E54" s="32" t="s">
        <v>330</v>
      </c>
      <c r="F54" s="18" t="s">
        <v>8</v>
      </c>
      <c r="G54" s="18" t="s">
        <v>331</v>
      </c>
      <c r="H54" s="17" t="s">
        <v>332</v>
      </c>
      <c r="I54" s="7">
        <v>5663240</v>
      </c>
      <c r="J54" s="56">
        <v>45323</v>
      </c>
      <c r="K54" s="57">
        <v>849</v>
      </c>
      <c r="L54" s="58" t="s">
        <v>647</v>
      </c>
    </row>
    <row r="55" spans="1:12" ht="16.5" customHeight="1" x14ac:dyDescent="0.35">
      <c r="A55" s="6">
        <f t="shared" si="0"/>
        <v>53</v>
      </c>
      <c r="B55" s="13"/>
      <c r="C55" s="19" t="s">
        <v>434</v>
      </c>
      <c r="D55" s="34" t="s">
        <v>529</v>
      </c>
      <c r="E55" s="32" t="s">
        <v>435</v>
      </c>
      <c r="F55" s="18" t="s">
        <v>10</v>
      </c>
      <c r="G55" s="18" t="s">
        <v>436</v>
      </c>
      <c r="H55" s="17" t="s">
        <v>437</v>
      </c>
      <c r="I55" s="7">
        <v>5647688</v>
      </c>
      <c r="J55" s="56">
        <v>45323</v>
      </c>
      <c r="K55" s="57">
        <v>847</v>
      </c>
      <c r="L55" s="58" t="s">
        <v>648</v>
      </c>
    </row>
    <row r="56" spans="1:12" ht="16.5" customHeight="1" x14ac:dyDescent="0.35">
      <c r="A56" s="6">
        <f t="shared" si="0"/>
        <v>54</v>
      </c>
      <c r="B56" s="13"/>
      <c r="C56" s="19" t="s">
        <v>349</v>
      </c>
      <c r="D56" s="34" t="s">
        <v>529</v>
      </c>
      <c r="E56" s="32" t="s">
        <v>350</v>
      </c>
      <c r="F56" s="18" t="s">
        <v>10</v>
      </c>
      <c r="G56" s="18" t="s">
        <v>351</v>
      </c>
      <c r="H56" s="17" t="s">
        <v>352</v>
      </c>
      <c r="I56" s="7">
        <v>5635215</v>
      </c>
      <c r="J56" s="56">
        <v>45323</v>
      </c>
      <c r="K56" s="57">
        <v>845</v>
      </c>
      <c r="L56" s="58" t="s">
        <v>649</v>
      </c>
    </row>
    <row r="57" spans="1:12" ht="16.5" customHeight="1" x14ac:dyDescent="0.35">
      <c r="A57" s="6">
        <f t="shared" si="0"/>
        <v>55</v>
      </c>
      <c r="B57" s="13"/>
      <c r="C57" s="19" t="s">
        <v>489</v>
      </c>
      <c r="D57" s="34" t="s">
        <v>529</v>
      </c>
      <c r="E57" s="32" t="s">
        <v>490</v>
      </c>
      <c r="F57" s="18" t="s">
        <v>12</v>
      </c>
      <c r="G57" s="18" t="s">
        <v>491</v>
      </c>
      <c r="H57" s="17" t="s">
        <v>492</v>
      </c>
      <c r="I57" s="7">
        <v>5665571</v>
      </c>
      <c r="J57" s="56">
        <v>45323</v>
      </c>
      <c r="K57" s="57">
        <v>850</v>
      </c>
      <c r="L57" s="58" t="s">
        <v>650</v>
      </c>
    </row>
    <row r="58" spans="1:12" ht="16.5" customHeight="1" x14ac:dyDescent="0.35">
      <c r="A58" s="6">
        <f t="shared" si="0"/>
        <v>56</v>
      </c>
      <c r="B58" s="30"/>
      <c r="C58" s="19" t="s">
        <v>505</v>
      </c>
      <c r="D58" s="34" t="s">
        <v>529</v>
      </c>
      <c r="E58" s="32" t="s">
        <v>506</v>
      </c>
      <c r="F58" s="17" t="s">
        <v>8</v>
      </c>
      <c r="G58" s="18" t="s">
        <v>507</v>
      </c>
      <c r="H58" s="17" t="s">
        <v>508</v>
      </c>
      <c r="I58" s="7">
        <v>5665571</v>
      </c>
      <c r="J58" s="56">
        <v>45323</v>
      </c>
      <c r="K58" s="57">
        <v>850</v>
      </c>
      <c r="L58" s="58" t="s">
        <v>651</v>
      </c>
    </row>
    <row r="59" spans="1:12" ht="16.5" customHeight="1" x14ac:dyDescent="0.35">
      <c r="A59" s="6">
        <f t="shared" si="0"/>
        <v>57</v>
      </c>
      <c r="B59" s="29"/>
      <c r="C59" s="26" t="s">
        <v>72</v>
      </c>
      <c r="D59" s="34" t="s">
        <v>529</v>
      </c>
      <c r="E59" s="31" t="s">
        <v>239</v>
      </c>
      <c r="F59" s="28" t="s">
        <v>10</v>
      </c>
      <c r="G59" s="27" t="s">
        <v>240</v>
      </c>
      <c r="H59" s="21" t="s">
        <v>241</v>
      </c>
      <c r="I59" s="7">
        <v>5048586</v>
      </c>
      <c r="J59" s="56">
        <v>45323</v>
      </c>
      <c r="K59" s="57">
        <v>757</v>
      </c>
      <c r="L59" s="58" t="s">
        <v>652</v>
      </c>
    </row>
    <row r="60" spans="1:12" ht="16.5" customHeight="1" x14ac:dyDescent="0.35">
      <c r="A60" s="6">
        <f t="shared" si="0"/>
        <v>58</v>
      </c>
      <c r="B60" s="30"/>
      <c r="C60" s="19" t="s">
        <v>361</v>
      </c>
      <c r="D60" s="34" t="s">
        <v>529</v>
      </c>
      <c r="E60" s="32" t="s">
        <v>362</v>
      </c>
      <c r="F60" s="17" t="s">
        <v>363</v>
      </c>
      <c r="G60" s="18" t="s">
        <v>364</v>
      </c>
      <c r="H60" s="17" t="s">
        <v>365</v>
      </c>
      <c r="I60" s="7">
        <v>6051819</v>
      </c>
      <c r="J60" s="56">
        <v>45323</v>
      </c>
      <c r="K60" s="57">
        <v>908</v>
      </c>
      <c r="L60" s="58" t="s">
        <v>653</v>
      </c>
    </row>
    <row r="61" spans="1:12" ht="16.5" customHeight="1" x14ac:dyDescent="0.35">
      <c r="A61" s="6">
        <f t="shared" si="0"/>
        <v>59</v>
      </c>
      <c r="B61" s="29"/>
      <c r="C61" s="26" t="s">
        <v>85</v>
      </c>
      <c r="D61" s="34" t="s">
        <v>529</v>
      </c>
      <c r="E61" s="31" t="s">
        <v>272</v>
      </c>
      <c r="F61" s="28" t="s">
        <v>9</v>
      </c>
      <c r="G61" s="27" t="s">
        <v>273</v>
      </c>
      <c r="H61" s="21" t="s">
        <v>274</v>
      </c>
      <c r="I61" s="7">
        <v>6672428</v>
      </c>
      <c r="J61" s="56">
        <v>45323</v>
      </c>
      <c r="K61" s="57">
        <v>1001</v>
      </c>
      <c r="L61" s="58" t="s">
        <v>654</v>
      </c>
    </row>
    <row r="62" spans="1:12" ht="16.5" customHeight="1" x14ac:dyDescent="0.35">
      <c r="A62" s="6">
        <f t="shared" si="0"/>
        <v>60</v>
      </c>
      <c r="B62" s="29"/>
      <c r="C62" s="24" t="s">
        <v>59</v>
      </c>
      <c r="D62" s="34" t="s">
        <v>529</v>
      </c>
      <c r="E62" s="31" t="s">
        <v>209</v>
      </c>
      <c r="F62" s="21" t="s">
        <v>10</v>
      </c>
      <c r="G62" s="22" t="s">
        <v>210</v>
      </c>
      <c r="H62" s="21" t="s">
        <v>211</v>
      </c>
      <c r="I62" s="7">
        <v>6631352</v>
      </c>
      <c r="J62" s="56">
        <v>45323</v>
      </c>
      <c r="K62" s="57">
        <v>995</v>
      </c>
      <c r="L62" s="58" t="s">
        <v>655</v>
      </c>
    </row>
    <row r="63" spans="1:12" ht="16.5" customHeight="1" x14ac:dyDescent="0.35">
      <c r="A63" s="6">
        <f t="shared" si="0"/>
        <v>61</v>
      </c>
      <c r="B63" s="29" t="s">
        <v>64</v>
      </c>
      <c r="C63" s="26" t="s">
        <v>65</v>
      </c>
      <c r="D63" s="34" t="s">
        <v>529</v>
      </c>
      <c r="E63" s="31" t="s">
        <v>221</v>
      </c>
      <c r="F63" s="28" t="s">
        <v>9</v>
      </c>
      <c r="G63" s="27" t="s">
        <v>222</v>
      </c>
      <c r="H63" s="21" t="s">
        <v>223</v>
      </c>
      <c r="I63" s="7">
        <v>6319828</v>
      </c>
      <c r="J63" s="56">
        <v>45323</v>
      </c>
      <c r="K63" s="57">
        <v>948</v>
      </c>
      <c r="L63" s="58" t="s">
        <v>656</v>
      </c>
    </row>
    <row r="64" spans="1:12" ht="16.5" customHeight="1" x14ac:dyDescent="0.35">
      <c r="A64" s="6">
        <f t="shared" si="0"/>
        <v>62</v>
      </c>
      <c r="B64" s="29"/>
      <c r="C64" s="26" t="s">
        <v>70</v>
      </c>
      <c r="D64" s="34" t="s">
        <v>529</v>
      </c>
      <c r="E64" s="31" t="s">
        <v>233</v>
      </c>
      <c r="F64" s="28" t="s">
        <v>12</v>
      </c>
      <c r="G64" s="27" t="s">
        <v>234</v>
      </c>
      <c r="H64" s="21" t="s">
        <v>235</v>
      </c>
      <c r="I64" s="7">
        <v>4470333</v>
      </c>
      <c r="J64" s="56">
        <v>45323</v>
      </c>
      <c r="K64" s="57">
        <v>671</v>
      </c>
      <c r="L64" s="58" t="s">
        <v>657</v>
      </c>
    </row>
    <row r="65" spans="1:12" ht="16.5" customHeight="1" x14ac:dyDescent="0.35">
      <c r="A65" s="6">
        <f t="shared" si="0"/>
        <v>63</v>
      </c>
      <c r="B65" s="29"/>
      <c r="C65" s="26" t="s">
        <v>69</v>
      </c>
      <c r="D65" s="34" t="s">
        <v>529</v>
      </c>
      <c r="E65" s="31" t="s">
        <v>230</v>
      </c>
      <c r="F65" s="28" t="s">
        <v>10</v>
      </c>
      <c r="G65" s="27" t="s">
        <v>231</v>
      </c>
      <c r="H65" s="21" t="s">
        <v>232</v>
      </c>
      <c r="I65" s="7">
        <v>6110995</v>
      </c>
      <c r="J65" s="56">
        <v>45323</v>
      </c>
      <c r="K65" s="57">
        <v>917</v>
      </c>
      <c r="L65" s="58" t="s">
        <v>658</v>
      </c>
    </row>
    <row r="66" spans="1:12" ht="16.5" customHeight="1" x14ac:dyDescent="0.35">
      <c r="A66" s="6">
        <f t="shared" si="0"/>
        <v>64</v>
      </c>
      <c r="B66" s="30"/>
      <c r="C66" s="19" t="s">
        <v>517</v>
      </c>
      <c r="D66" s="34" t="s">
        <v>529</v>
      </c>
      <c r="E66" s="32" t="s">
        <v>518</v>
      </c>
      <c r="F66" s="17" t="s">
        <v>8</v>
      </c>
      <c r="G66" s="18" t="s">
        <v>519</v>
      </c>
      <c r="H66" s="17" t="s">
        <v>520</v>
      </c>
      <c r="I66" s="7">
        <v>7165084</v>
      </c>
      <c r="J66" s="56">
        <v>45323</v>
      </c>
      <c r="K66" s="57">
        <v>1075</v>
      </c>
      <c r="L66" s="58" t="s">
        <v>659</v>
      </c>
    </row>
    <row r="67" spans="1:12" ht="16.5" customHeight="1" x14ac:dyDescent="0.35">
      <c r="A67" s="6">
        <f t="shared" si="0"/>
        <v>65</v>
      </c>
      <c r="B67" s="29" t="s">
        <v>67</v>
      </c>
      <c r="C67" s="26" t="s">
        <v>68</v>
      </c>
      <c r="D67" s="34" t="s">
        <v>529</v>
      </c>
      <c r="E67" s="31" t="s">
        <v>227</v>
      </c>
      <c r="F67" s="28" t="s">
        <v>8</v>
      </c>
      <c r="G67" s="27" t="s">
        <v>228</v>
      </c>
      <c r="H67" s="21" t="s">
        <v>229</v>
      </c>
      <c r="I67" s="7">
        <v>7195760</v>
      </c>
      <c r="J67" s="56">
        <v>45323</v>
      </c>
      <c r="K67" s="57">
        <v>1079</v>
      </c>
      <c r="L67" s="58" t="s">
        <v>660</v>
      </c>
    </row>
    <row r="68" spans="1:12" ht="16.5" customHeight="1" x14ac:dyDescent="0.35">
      <c r="A68" s="6">
        <f t="shared" si="0"/>
        <v>66</v>
      </c>
      <c r="B68" s="30"/>
      <c r="C68" s="19" t="s">
        <v>469</v>
      </c>
      <c r="D68" s="34" t="s">
        <v>529</v>
      </c>
      <c r="E68" s="32" t="s">
        <v>470</v>
      </c>
      <c r="F68" s="17" t="s">
        <v>10</v>
      </c>
      <c r="G68" s="18" t="s">
        <v>471</v>
      </c>
      <c r="H68" s="17" t="s">
        <v>472</v>
      </c>
      <c r="I68" s="7">
        <v>3672948</v>
      </c>
      <c r="J68" s="56">
        <v>45323</v>
      </c>
      <c r="K68" s="57">
        <v>551</v>
      </c>
      <c r="L68" s="58" t="s">
        <v>661</v>
      </c>
    </row>
    <row r="69" spans="1:12" ht="16.5" customHeight="1" x14ac:dyDescent="0.35">
      <c r="A69" s="6">
        <f t="shared" ref="A69:A114" si="1">A68+1</f>
        <v>67</v>
      </c>
      <c r="B69" s="29"/>
      <c r="C69" s="26" t="s">
        <v>94</v>
      </c>
      <c r="D69" s="34" t="s">
        <v>529</v>
      </c>
      <c r="E69" s="31" t="s">
        <v>13</v>
      </c>
      <c r="F69" s="28" t="s">
        <v>8</v>
      </c>
      <c r="G69" s="27" t="s">
        <v>299</v>
      </c>
      <c r="H69" s="21" t="s">
        <v>300</v>
      </c>
      <c r="I69" s="7">
        <v>7530660</v>
      </c>
      <c r="J69" s="56">
        <v>45323</v>
      </c>
      <c r="K69" s="57">
        <v>1130</v>
      </c>
      <c r="L69" s="58" t="s">
        <v>662</v>
      </c>
    </row>
    <row r="70" spans="1:12" ht="16.5" customHeight="1" x14ac:dyDescent="0.35">
      <c r="A70" s="6">
        <f t="shared" si="1"/>
        <v>68</v>
      </c>
      <c r="B70" s="30"/>
      <c r="C70" s="19" t="s">
        <v>345</v>
      </c>
      <c r="D70" s="34" t="s">
        <v>529</v>
      </c>
      <c r="E70" s="32" t="s">
        <v>346</v>
      </c>
      <c r="F70" s="17" t="s">
        <v>12</v>
      </c>
      <c r="G70" s="18" t="s">
        <v>347</v>
      </c>
      <c r="H70" s="17" t="s">
        <v>348</v>
      </c>
      <c r="I70" s="7">
        <v>7526466</v>
      </c>
      <c r="J70" s="56">
        <v>45323</v>
      </c>
      <c r="K70" s="57">
        <v>1129</v>
      </c>
      <c r="L70" s="58" t="s">
        <v>663</v>
      </c>
    </row>
    <row r="71" spans="1:12" ht="16.5" customHeight="1" x14ac:dyDescent="0.35">
      <c r="A71" s="6">
        <f t="shared" si="1"/>
        <v>69</v>
      </c>
      <c r="B71" s="29"/>
      <c r="C71" s="26" t="s">
        <v>63</v>
      </c>
      <c r="D71" s="34" t="s">
        <v>529</v>
      </c>
      <c r="E71" s="31" t="s">
        <v>218</v>
      </c>
      <c r="F71" s="28" t="s">
        <v>10</v>
      </c>
      <c r="G71" s="27" t="s">
        <v>219</v>
      </c>
      <c r="H71" s="21" t="s">
        <v>220</v>
      </c>
      <c r="I71" s="7">
        <v>7665882</v>
      </c>
      <c r="J71" s="56">
        <v>45323</v>
      </c>
      <c r="K71" s="57">
        <v>1150</v>
      </c>
      <c r="L71" s="58" t="s">
        <v>664</v>
      </c>
    </row>
    <row r="72" spans="1:12" ht="16.5" customHeight="1" x14ac:dyDescent="0.35">
      <c r="A72" s="6">
        <f t="shared" si="1"/>
        <v>70</v>
      </c>
      <c r="B72" s="29"/>
      <c r="C72" s="26" t="s">
        <v>73</v>
      </c>
      <c r="D72" s="34" t="s">
        <v>529</v>
      </c>
      <c r="E72" s="31" t="s">
        <v>242</v>
      </c>
      <c r="F72" s="28" t="s">
        <v>10</v>
      </c>
      <c r="G72" s="27" t="s">
        <v>243</v>
      </c>
      <c r="H72" s="21" t="s">
        <v>244</v>
      </c>
      <c r="I72" s="7">
        <v>4809835</v>
      </c>
      <c r="J72" s="56">
        <v>45323</v>
      </c>
      <c r="K72" s="57">
        <v>721</v>
      </c>
      <c r="L72" s="58" t="s">
        <v>665</v>
      </c>
    </row>
    <row r="73" spans="1:12" ht="16.5" customHeight="1" x14ac:dyDescent="0.35">
      <c r="A73" s="6">
        <f t="shared" si="1"/>
        <v>71</v>
      </c>
      <c r="B73" s="30"/>
      <c r="C73" s="19" t="s">
        <v>357</v>
      </c>
      <c r="D73" s="34" t="s">
        <v>529</v>
      </c>
      <c r="E73" s="32" t="s">
        <v>358</v>
      </c>
      <c r="F73" s="17" t="s">
        <v>12</v>
      </c>
      <c r="G73" s="18" t="s">
        <v>359</v>
      </c>
      <c r="H73" s="17" t="s">
        <v>360</v>
      </c>
      <c r="I73" s="7">
        <v>7746360</v>
      </c>
      <c r="J73" s="56">
        <v>45323</v>
      </c>
      <c r="K73" s="57">
        <v>1162</v>
      </c>
      <c r="L73" s="58" t="s">
        <v>666</v>
      </c>
    </row>
    <row r="74" spans="1:12" ht="16.5" customHeight="1" x14ac:dyDescent="0.35">
      <c r="A74" s="6">
        <f t="shared" si="1"/>
        <v>72</v>
      </c>
      <c r="B74" s="29"/>
      <c r="C74" s="26" t="s">
        <v>92</v>
      </c>
      <c r="D74" s="34" t="s">
        <v>529</v>
      </c>
      <c r="E74" s="31" t="s">
        <v>293</v>
      </c>
      <c r="F74" s="28" t="s">
        <v>11</v>
      </c>
      <c r="G74" s="27" t="s">
        <v>294</v>
      </c>
      <c r="H74" s="21" t="s">
        <v>295</v>
      </c>
      <c r="I74" s="7">
        <v>7611736</v>
      </c>
      <c r="J74" s="56">
        <v>45323</v>
      </c>
      <c r="K74" s="57">
        <v>1142</v>
      </c>
      <c r="L74" s="58" t="s">
        <v>667</v>
      </c>
    </row>
    <row r="75" spans="1:12" ht="16.5" customHeight="1" x14ac:dyDescent="0.35">
      <c r="A75" s="6">
        <f t="shared" si="1"/>
        <v>73</v>
      </c>
      <c r="B75" s="30"/>
      <c r="C75" s="19" t="s">
        <v>378</v>
      </c>
      <c r="D75" s="34" t="s">
        <v>529</v>
      </c>
      <c r="E75" s="32" t="s">
        <v>379</v>
      </c>
      <c r="F75" s="17" t="s">
        <v>9</v>
      </c>
      <c r="G75" s="18" t="s">
        <v>380</v>
      </c>
      <c r="H75" s="17" t="s">
        <v>381</v>
      </c>
      <c r="I75" s="7">
        <v>8183842</v>
      </c>
      <c r="J75" s="56">
        <v>45323</v>
      </c>
      <c r="K75" s="57">
        <v>1228</v>
      </c>
      <c r="L75" s="58" t="s">
        <v>668</v>
      </c>
    </row>
    <row r="76" spans="1:12" ht="16.5" customHeight="1" x14ac:dyDescent="0.35">
      <c r="A76" s="6">
        <f t="shared" si="1"/>
        <v>74</v>
      </c>
      <c r="B76" s="29"/>
      <c r="C76" s="26" t="s">
        <v>88</v>
      </c>
      <c r="D76" s="34" t="s">
        <v>529</v>
      </c>
      <c r="E76" s="31" t="s">
        <v>281</v>
      </c>
      <c r="F76" s="28" t="s">
        <v>9</v>
      </c>
      <c r="G76" s="27" t="s">
        <v>282</v>
      </c>
      <c r="H76" s="21" t="s">
        <v>283</v>
      </c>
      <c r="I76" s="7">
        <v>8456329</v>
      </c>
      <c r="J76" s="56">
        <v>45323</v>
      </c>
      <c r="K76" s="57">
        <v>1268</v>
      </c>
      <c r="L76" s="58" t="s">
        <v>669</v>
      </c>
    </row>
    <row r="77" spans="1:12" ht="16.5" customHeight="1" x14ac:dyDescent="0.35">
      <c r="A77" s="6">
        <f t="shared" si="1"/>
        <v>75</v>
      </c>
      <c r="B77" s="30"/>
      <c r="C77" s="19" t="s">
        <v>313</v>
      </c>
      <c r="D77" s="34" t="s">
        <v>529</v>
      </c>
      <c r="E77" s="32" t="s">
        <v>314</v>
      </c>
      <c r="F77" s="17" t="s">
        <v>15</v>
      </c>
      <c r="G77" s="18" t="s">
        <v>315</v>
      </c>
      <c r="H77" s="17" t="s">
        <v>316</v>
      </c>
      <c r="I77" s="7">
        <v>8907906</v>
      </c>
      <c r="J77" s="56">
        <v>45323</v>
      </c>
      <c r="K77" s="57">
        <v>1336</v>
      </c>
      <c r="L77" s="58" t="s">
        <v>670</v>
      </c>
    </row>
    <row r="78" spans="1:12" ht="16.5" customHeight="1" x14ac:dyDescent="0.35">
      <c r="A78" s="6">
        <f t="shared" si="1"/>
        <v>76</v>
      </c>
      <c r="B78" s="29"/>
      <c r="C78" s="26" t="s">
        <v>71</v>
      </c>
      <c r="D78" s="34" t="s">
        <v>529</v>
      </c>
      <c r="E78" s="31" t="s">
        <v>236</v>
      </c>
      <c r="F78" s="28" t="s">
        <v>9</v>
      </c>
      <c r="G78" s="27" t="s">
        <v>237</v>
      </c>
      <c r="H78" s="21" t="s">
        <v>238</v>
      </c>
      <c r="I78" s="7">
        <v>9170770</v>
      </c>
      <c r="J78" s="56">
        <v>45323</v>
      </c>
      <c r="K78" s="57">
        <v>1376</v>
      </c>
      <c r="L78" s="58" t="s">
        <v>671</v>
      </c>
    </row>
    <row r="79" spans="1:12" ht="16.5" customHeight="1" x14ac:dyDescent="0.35">
      <c r="A79" s="6">
        <f t="shared" si="1"/>
        <v>77</v>
      </c>
      <c r="B79" s="30"/>
      <c r="C79" s="19" t="s">
        <v>442</v>
      </c>
      <c r="D79" s="34" t="s">
        <v>529</v>
      </c>
      <c r="E79" s="32" t="s">
        <v>443</v>
      </c>
      <c r="F79" s="17" t="s">
        <v>9</v>
      </c>
      <c r="G79" s="18" t="s">
        <v>444</v>
      </c>
      <c r="H79" s="17" t="s">
        <v>445</v>
      </c>
      <c r="I79" s="7">
        <v>8645461</v>
      </c>
      <c r="J79" s="56">
        <v>45323</v>
      </c>
      <c r="K79" s="57">
        <v>1297</v>
      </c>
      <c r="L79" s="58" t="s">
        <v>672</v>
      </c>
    </row>
    <row r="80" spans="1:12" ht="16.5" customHeight="1" x14ac:dyDescent="0.35">
      <c r="A80" s="6">
        <f t="shared" si="1"/>
        <v>78</v>
      </c>
      <c r="B80" s="29"/>
      <c r="C80" s="26" t="s">
        <v>75</v>
      </c>
      <c r="D80" s="34" t="s">
        <v>529</v>
      </c>
      <c r="E80" s="31" t="s">
        <v>248</v>
      </c>
      <c r="F80" s="28" t="s">
        <v>10</v>
      </c>
      <c r="G80" s="27" t="s">
        <v>249</v>
      </c>
      <c r="H80" s="21" t="s">
        <v>250</v>
      </c>
      <c r="I80" s="7">
        <v>7899314</v>
      </c>
      <c r="J80" s="56">
        <v>45323</v>
      </c>
      <c r="K80" s="57">
        <v>1185</v>
      </c>
      <c r="L80" s="58" t="s">
        <v>673</v>
      </c>
    </row>
    <row r="81" spans="1:12" ht="16.5" customHeight="1" x14ac:dyDescent="0.35">
      <c r="A81" s="6">
        <f t="shared" si="1"/>
        <v>79</v>
      </c>
      <c r="B81" s="30"/>
      <c r="C81" s="19" t="s">
        <v>390</v>
      </c>
      <c r="D81" s="34" t="s">
        <v>529</v>
      </c>
      <c r="E81" s="32" t="s">
        <v>391</v>
      </c>
      <c r="F81" s="17" t="s">
        <v>12</v>
      </c>
      <c r="G81" s="18" t="s">
        <v>392</v>
      </c>
      <c r="H81" s="17" t="s">
        <v>393</v>
      </c>
      <c r="I81" s="7">
        <v>8906308</v>
      </c>
      <c r="J81" s="56">
        <v>45323</v>
      </c>
      <c r="K81" s="57">
        <v>1336</v>
      </c>
      <c r="L81" s="58" t="s">
        <v>674</v>
      </c>
    </row>
    <row r="82" spans="1:12" ht="16.5" customHeight="1" x14ac:dyDescent="0.35">
      <c r="A82" s="6">
        <f t="shared" si="1"/>
        <v>80</v>
      </c>
      <c r="B82" s="30"/>
      <c r="C82" s="19" t="s">
        <v>317</v>
      </c>
      <c r="D82" s="34" t="s">
        <v>529</v>
      </c>
      <c r="E82" s="32" t="s">
        <v>318</v>
      </c>
      <c r="F82" s="17" t="s">
        <v>9</v>
      </c>
      <c r="G82" s="18" t="s">
        <v>319</v>
      </c>
      <c r="H82" s="17" t="s">
        <v>320</v>
      </c>
      <c r="I82" s="7">
        <v>9224152</v>
      </c>
      <c r="J82" s="56">
        <v>45323</v>
      </c>
      <c r="K82" s="57">
        <v>1384</v>
      </c>
      <c r="L82" s="58" t="s">
        <v>675</v>
      </c>
    </row>
    <row r="83" spans="1:12" ht="16.5" customHeight="1" x14ac:dyDescent="0.35">
      <c r="A83" s="6">
        <f t="shared" si="1"/>
        <v>81</v>
      </c>
      <c r="B83" s="30"/>
      <c r="C83" s="19" t="s">
        <v>410</v>
      </c>
      <c r="D83" s="34" t="s">
        <v>529</v>
      </c>
      <c r="E83" s="32" t="s">
        <v>411</v>
      </c>
      <c r="F83" s="17" t="s">
        <v>9</v>
      </c>
      <c r="G83" s="18" t="s">
        <v>412</v>
      </c>
      <c r="H83" s="17" t="s">
        <v>413</v>
      </c>
      <c r="I83" s="7">
        <v>9527173</v>
      </c>
      <c r="J83" s="56">
        <v>45323</v>
      </c>
      <c r="K83" s="57">
        <v>1429</v>
      </c>
      <c r="L83" s="58" t="s">
        <v>676</v>
      </c>
    </row>
    <row r="84" spans="1:12" ht="16.5" customHeight="1" x14ac:dyDescent="0.35">
      <c r="A84" s="6">
        <f t="shared" si="1"/>
        <v>82</v>
      </c>
      <c r="B84" s="30"/>
      <c r="C84" s="19" t="s">
        <v>430</v>
      </c>
      <c r="D84" s="34" t="s">
        <v>529</v>
      </c>
      <c r="E84" s="32" t="s">
        <v>431</v>
      </c>
      <c r="F84" s="17" t="s">
        <v>10</v>
      </c>
      <c r="G84" s="18" t="s">
        <v>432</v>
      </c>
      <c r="H84" s="17" t="s">
        <v>433</v>
      </c>
      <c r="I84" s="7">
        <v>9527173</v>
      </c>
      <c r="J84" s="56">
        <v>45323</v>
      </c>
      <c r="K84" s="57">
        <v>1429</v>
      </c>
      <c r="L84" s="58" t="s">
        <v>677</v>
      </c>
    </row>
    <row r="85" spans="1:12" ht="16.5" customHeight="1" x14ac:dyDescent="0.35">
      <c r="A85" s="6">
        <f t="shared" si="1"/>
        <v>83</v>
      </c>
      <c r="B85" s="30"/>
      <c r="C85" s="19" t="s">
        <v>450</v>
      </c>
      <c r="D85" s="34" t="s">
        <v>529</v>
      </c>
      <c r="E85" s="32" t="s">
        <v>451</v>
      </c>
      <c r="F85" s="17" t="s">
        <v>8</v>
      </c>
      <c r="G85" s="18" t="s">
        <v>452</v>
      </c>
      <c r="H85" s="17" t="s">
        <v>453</v>
      </c>
      <c r="I85" s="7">
        <v>9547946</v>
      </c>
      <c r="J85" s="56">
        <v>45323</v>
      </c>
      <c r="K85" s="57">
        <v>1432</v>
      </c>
      <c r="L85" s="58" t="s">
        <v>678</v>
      </c>
    </row>
    <row r="86" spans="1:12" ht="16.5" customHeight="1" x14ac:dyDescent="0.35">
      <c r="A86" s="6">
        <f t="shared" si="1"/>
        <v>84</v>
      </c>
      <c r="B86" s="30"/>
      <c r="C86" s="19" t="s">
        <v>473</v>
      </c>
      <c r="D86" s="34" t="s">
        <v>529</v>
      </c>
      <c r="E86" s="32" t="s">
        <v>474</v>
      </c>
      <c r="F86" s="17" t="s">
        <v>9</v>
      </c>
      <c r="G86" s="18" t="s">
        <v>475</v>
      </c>
      <c r="H86" s="17" t="s">
        <v>476</v>
      </c>
      <c r="I86" s="7">
        <v>9553431</v>
      </c>
      <c r="J86" s="56">
        <v>45323</v>
      </c>
      <c r="K86" s="57">
        <v>1433</v>
      </c>
      <c r="L86" s="58" t="s">
        <v>679</v>
      </c>
    </row>
    <row r="87" spans="1:12" ht="16.5" customHeight="1" x14ac:dyDescent="0.35">
      <c r="A87" s="6">
        <f t="shared" si="1"/>
        <v>85</v>
      </c>
      <c r="B87" s="29"/>
      <c r="C87" s="26" t="s">
        <v>96</v>
      </c>
      <c r="D87" s="34" t="s">
        <v>529</v>
      </c>
      <c r="E87" s="31" t="s">
        <v>304</v>
      </c>
      <c r="F87" s="28" t="s">
        <v>10</v>
      </c>
      <c r="G87" s="27" t="s">
        <v>305</v>
      </c>
      <c r="H87" s="21" t="s">
        <v>306</v>
      </c>
      <c r="I87" s="7">
        <v>10656295</v>
      </c>
      <c r="J87" s="56">
        <v>45323</v>
      </c>
      <c r="K87" s="57">
        <v>1598</v>
      </c>
      <c r="L87" s="58" t="s">
        <v>680</v>
      </c>
    </row>
    <row r="88" spans="1:12" ht="16.5" customHeight="1" x14ac:dyDescent="0.35">
      <c r="A88" s="6">
        <f t="shared" si="1"/>
        <v>86</v>
      </c>
      <c r="B88" s="30"/>
      <c r="C88" s="19" t="s">
        <v>513</v>
      </c>
      <c r="D88" s="34" t="s">
        <v>529</v>
      </c>
      <c r="E88" s="32" t="s">
        <v>514</v>
      </c>
      <c r="F88" s="17" t="s">
        <v>8</v>
      </c>
      <c r="G88" s="18" t="s">
        <v>515</v>
      </c>
      <c r="H88" s="17" t="s">
        <v>516</v>
      </c>
      <c r="I88" s="7">
        <v>11626444</v>
      </c>
      <c r="J88" s="56">
        <v>45323</v>
      </c>
      <c r="K88" s="57">
        <v>1744</v>
      </c>
      <c r="L88" s="58" t="s">
        <v>681</v>
      </c>
    </row>
    <row r="89" spans="1:12" ht="16.5" customHeight="1" x14ac:dyDescent="0.35">
      <c r="A89" s="6">
        <f t="shared" si="1"/>
        <v>87</v>
      </c>
      <c r="B89" s="29" t="s">
        <v>76</v>
      </c>
      <c r="C89" s="26" t="s">
        <v>77</v>
      </c>
      <c r="D89" s="34" t="s">
        <v>529</v>
      </c>
      <c r="E89" s="31" t="s">
        <v>251</v>
      </c>
      <c r="F89" s="28" t="s">
        <v>10</v>
      </c>
      <c r="G89" s="27" t="s">
        <v>252</v>
      </c>
      <c r="H89" s="21" t="s">
        <v>253</v>
      </c>
      <c r="I89" s="7">
        <v>10297030</v>
      </c>
      <c r="J89" s="56">
        <v>45323</v>
      </c>
      <c r="K89" s="57">
        <v>1545</v>
      </c>
      <c r="L89" s="58" t="s">
        <v>682</v>
      </c>
    </row>
    <row r="90" spans="1:12" ht="16.5" customHeight="1" x14ac:dyDescent="0.35">
      <c r="A90" s="6">
        <f t="shared" si="1"/>
        <v>88</v>
      </c>
      <c r="B90" s="29"/>
      <c r="C90" s="26" t="s">
        <v>93</v>
      </c>
      <c r="D90" s="34" t="s">
        <v>529</v>
      </c>
      <c r="E90" s="31" t="s">
        <v>296</v>
      </c>
      <c r="F90" s="28" t="s">
        <v>10</v>
      </c>
      <c r="G90" s="27" t="s">
        <v>297</v>
      </c>
      <c r="H90" s="21" t="s">
        <v>298</v>
      </c>
      <c r="I90" s="7">
        <v>10722468</v>
      </c>
      <c r="J90" s="56">
        <v>45323</v>
      </c>
      <c r="K90" s="57">
        <v>1608</v>
      </c>
      <c r="L90" s="58" t="s">
        <v>683</v>
      </c>
    </row>
    <row r="91" spans="1:12" ht="16.5" customHeight="1" x14ac:dyDescent="0.35">
      <c r="A91" s="6">
        <f t="shared" si="1"/>
        <v>89</v>
      </c>
      <c r="B91" s="30"/>
      <c r="C91" s="19" t="s">
        <v>366</v>
      </c>
      <c r="D91" s="34" t="s">
        <v>529</v>
      </c>
      <c r="E91" s="32" t="s">
        <v>367</v>
      </c>
      <c r="F91" s="17" t="s">
        <v>12</v>
      </c>
      <c r="G91" s="18" t="s">
        <v>368</v>
      </c>
      <c r="H91" s="17" t="s">
        <v>369</v>
      </c>
      <c r="I91" s="7">
        <v>14125983</v>
      </c>
      <c r="J91" s="56">
        <v>45323</v>
      </c>
      <c r="K91" s="57">
        <v>2119</v>
      </c>
      <c r="L91" s="58" t="s">
        <v>684</v>
      </c>
    </row>
    <row r="92" spans="1:12" ht="16.5" customHeight="1" x14ac:dyDescent="0.35">
      <c r="A92" s="6">
        <f t="shared" si="1"/>
        <v>90</v>
      </c>
      <c r="B92" s="29"/>
      <c r="C92" s="26" t="s">
        <v>78</v>
      </c>
      <c r="D92" s="34" t="s">
        <v>529</v>
      </c>
      <c r="E92" s="31" t="s">
        <v>254</v>
      </c>
      <c r="F92" s="28" t="s">
        <v>10</v>
      </c>
      <c r="G92" s="27" t="s">
        <v>255</v>
      </c>
      <c r="H92" s="21" t="s">
        <v>256</v>
      </c>
      <c r="I92" s="7">
        <v>15654989</v>
      </c>
      <c r="J92" s="56">
        <v>45323</v>
      </c>
      <c r="K92" s="57">
        <v>2348</v>
      </c>
      <c r="L92" s="58" t="s">
        <v>685</v>
      </c>
    </row>
    <row r="93" spans="1:12" ht="16.5" customHeight="1" x14ac:dyDescent="0.35">
      <c r="A93" s="6">
        <f t="shared" si="1"/>
        <v>91</v>
      </c>
      <c r="B93" s="29"/>
      <c r="C93" s="26" t="s">
        <v>95</v>
      </c>
      <c r="D93" s="34" t="s">
        <v>529</v>
      </c>
      <c r="E93" s="31" t="s">
        <v>301</v>
      </c>
      <c r="F93" s="28" t="s">
        <v>9</v>
      </c>
      <c r="G93" s="27" t="s">
        <v>302</v>
      </c>
      <c r="H93" s="21" t="s">
        <v>303</v>
      </c>
      <c r="I93" s="7">
        <v>13724557</v>
      </c>
      <c r="J93" s="56">
        <v>45323</v>
      </c>
      <c r="K93" s="57">
        <v>2059</v>
      </c>
      <c r="L93" s="58" t="s">
        <v>686</v>
      </c>
    </row>
    <row r="94" spans="1:12" ht="16.5" customHeight="1" x14ac:dyDescent="0.35">
      <c r="A94" s="6">
        <f t="shared" si="1"/>
        <v>92</v>
      </c>
      <c r="B94" s="29" t="s">
        <v>79</v>
      </c>
      <c r="C94" s="26" t="s">
        <v>80</v>
      </c>
      <c r="D94" s="34" t="s">
        <v>529</v>
      </c>
      <c r="E94" s="31" t="s">
        <v>257</v>
      </c>
      <c r="F94" s="28" t="s">
        <v>10</v>
      </c>
      <c r="G94" s="27" t="s">
        <v>258</v>
      </c>
      <c r="H94" s="21" t="s">
        <v>259</v>
      </c>
      <c r="I94" s="7">
        <v>12302380</v>
      </c>
      <c r="J94" s="56">
        <v>45323</v>
      </c>
      <c r="K94" s="57">
        <v>1845</v>
      </c>
      <c r="L94" s="58" t="s">
        <v>687</v>
      </c>
    </row>
    <row r="95" spans="1:12" ht="16.5" customHeight="1" x14ac:dyDescent="0.35">
      <c r="A95" s="6">
        <f t="shared" si="1"/>
        <v>93</v>
      </c>
      <c r="B95" s="30"/>
      <c r="C95" s="19" t="s">
        <v>501</v>
      </c>
      <c r="D95" s="34" t="s">
        <v>529</v>
      </c>
      <c r="E95" s="32" t="s">
        <v>502</v>
      </c>
      <c r="F95" s="17" t="s">
        <v>8</v>
      </c>
      <c r="G95" s="18" t="s">
        <v>503</v>
      </c>
      <c r="H95" s="17" t="s">
        <v>504</v>
      </c>
      <c r="I95" s="7">
        <v>41437253</v>
      </c>
      <c r="J95" s="56">
        <v>45323</v>
      </c>
      <c r="K95" s="57">
        <v>6216</v>
      </c>
      <c r="L95" s="58" t="s">
        <v>688</v>
      </c>
    </row>
    <row r="96" spans="1:12" ht="16.5" customHeight="1" x14ac:dyDescent="0.35">
      <c r="A96" s="6">
        <f t="shared" si="1"/>
        <v>94</v>
      </c>
      <c r="B96" s="29"/>
      <c r="C96" s="26" t="s">
        <v>81</v>
      </c>
      <c r="D96" s="34" t="s">
        <v>529</v>
      </c>
      <c r="E96" s="31" t="s">
        <v>260</v>
      </c>
      <c r="F96" s="28" t="s">
        <v>9</v>
      </c>
      <c r="G96" s="27" t="s">
        <v>261</v>
      </c>
      <c r="H96" s="21" t="s">
        <v>262</v>
      </c>
      <c r="I96" s="7">
        <v>47563580</v>
      </c>
      <c r="J96" s="56">
        <v>45323</v>
      </c>
      <c r="K96" s="57">
        <v>7135</v>
      </c>
      <c r="L96" s="58" t="s">
        <v>689</v>
      </c>
    </row>
    <row r="97" spans="1:12" ht="16.5" customHeight="1" x14ac:dyDescent="0.35">
      <c r="A97" s="6">
        <f t="shared" si="1"/>
        <v>95</v>
      </c>
      <c r="B97" s="29"/>
      <c r="C97" s="26" t="s">
        <v>82</v>
      </c>
      <c r="D97" s="34" t="s">
        <v>529</v>
      </c>
      <c r="E97" s="31" t="s">
        <v>263</v>
      </c>
      <c r="F97" s="28" t="s">
        <v>9</v>
      </c>
      <c r="G97" s="27" t="s">
        <v>264</v>
      </c>
      <c r="H97" s="21" t="s">
        <v>265</v>
      </c>
      <c r="I97" s="7">
        <v>47266904</v>
      </c>
      <c r="J97" s="56">
        <v>45323</v>
      </c>
      <c r="K97" s="57">
        <v>7090</v>
      </c>
      <c r="L97" s="58" t="s">
        <v>690</v>
      </c>
    </row>
    <row r="98" spans="1:12" ht="16.5" customHeight="1" x14ac:dyDescent="0.35">
      <c r="A98" s="6">
        <f t="shared" si="1"/>
        <v>96</v>
      </c>
      <c r="B98" s="30"/>
      <c r="C98" s="19" t="s">
        <v>414</v>
      </c>
      <c r="D98" s="34" t="s">
        <v>529</v>
      </c>
      <c r="E98" s="32" t="s">
        <v>415</v>
      </c>
      <c r="F98" s="17" t="s">
        <v>9</v>
      </c>
      <c r="G98" s="18" t="s">
        <v>416</v>
      </c>
      <c r="H98" s="17" t="s">
        <v>417</v>
      </c>
      <c r="I98" s="7">
        <v>73915630</v>
      </c>
      <c r="J98" s="56">
        <v>45323</v>
      </c>
      <c r="K98" s="57">
        <v>11087</v>
      </c>
      <c r="L98" s="58" t="s">
        <v>691</v>
      </c>
    </row>
    <row r="99" spans="1:12" ht="16.5" customHeight="1" x14ac:dyDescent="0.35">
      <c r="A99" s="6">
        <f t="shared" si="1"/>
        <v>97</v>
      </c>
      <c r="B99" s="30"/>
      <c r="C99" s="19" t="s">
        <v>398</v>
      </c>
      <c r="D99" s="34" t="s">
        <v>529</v>
      </c>
      <c r="E99" s="32" t="s">
        <v>399</v>
      </c>
      <c r="F99" s="17" t="s">
        <v>9</v>
      </c>
      <c r="G99" s="18" t="s">
        <v>400</v>
      </c>
      <c r="H99" s="17" t="s">
        <v>401</v>
      </c>
      <c r="I99" s="7">
        <v>73855037</v>
      </c>
      <c r="J99" s="56">
        <v>45323</v>
      </c>
      <c r="K99" s="57">
        <v>11078</v>
      </c>
      <c r="L99" s="58" t="s">
        <v>692</v>
      </c>
    </row>
    <row r="100" spans="1:12" ht="16.5" customHeight="1" x14ac:dyDescent="0.35">
      <c r="A100" s="6">
        <f t="shared" si="1"/>
        <v>98</v>
      </c>
      <c r="B100" s="30"/>
      <c r="C100" s="19" t="s">
        <v>530</v>
      </c>
      <c r="D100" s="34" t="s">
        <v>529</v>
      </c>
      <c r="E100" s="32" t="s">
        <v>531</v>
      </c>
      <c r="F100" s="17" t="s">
        <v>532</v>
      </c>
      <c r="G100" s="18" t="s">
        <v>533</v>
      </c>
      <c r="H100" s="17" t="s">
        <v>534</v>
      </c>
      <c r="I100" s="7">
        <v>4966799</v>
      </c>
      <c r="J100" s="56">
        <v>45323</v>
      </c>
      <c r="K100" s="57">
        <v>745</v>
      </c>
      <c r="L100" s="58" t="s">
        <v>693</v>
      </c>
    </row>
    <row r="101" spans="1:12" ht="16.5" customHeight="1" x14ac:dyDescent="0.35">
      <c r="A101" s="6">
        <f t="shared" si="1"/>
        <v>99</v>
      </c>
      <c r="B101" s="30"/>
      <c r="C101" s="19" t="s">
        <v>535</v>
      </c>
      <c r="D101" s="34" t="s">
        <v>529</v>
      </c>
      <c r="E101" s="32" t="s">
        <v>536</v>
      </c>
      <c r="F101" s="17" t="s">
        <v>537</v>
      </c>
      <c r="G101" s="18" t="s">
        <v>538</v>
      </c>
      <c r="H101" s="17" t="s">
        <v>539</v>
      </c>
      <c r="I101" s="7">
        <v>17173871</v>
      </c>
      <c r="J101" s="56">
        <v>45323</v>
      </c>
      <c r="K101" s="57">
        <v>2576</v>
      </c>
      <c r="L101" s="58" t="s">
        <v>694</v>
      </c>
    </row>
    <row r="102" spans="1:12" ht="16.5" customHeight="1" x14ac:dyDescent="0.35">
      <c r="A102" s="6">
        <f t="shared" si="1"/>
        <v>100</v>
      </c>
      <c r="B102" s="30"/>
      <c r="C102" s="19" t="s">
        <v>540</v>
      </c>
      <c r="D102" s="34" t="s">
        <v>529</v>
      </c>
      <c r="E102" s="32" t="s">
        <v>541</v>
      </c>
      <c r="F102" s="17" t="s">
        <v>537</v>
      </c>
      <c r="G102" s="18" t="s">
        <v>542</v>
      </c>
      <c r="H102" s="17" t="s">
        <v>543</v>
      </c>
      <c r="I102" s="7">
        <v>4004514</v>
      </c>
      <c r="J102" s="56">
        <v>45323</v>
      </c>
      <c r="K102" s="57">
        <v>601</v>
      </c>
      <c r="L102" s="58" t="s">
        <v>695</v>
      </c>
    </row>
    <row r="103" spans="1:12" ht="16.5" customHeight="1" x14ac:dyDescent="0.35">
      <c r="A103" s="6">
        <f t="shared" si="1"/>
        <v>101</v>
      </c>
      <c r="B103" s="30"/>
      <c r="C103" s="19" t="s">
        <v>544</v>
      </c>
      <c r="D103" s="34" t="s">
        <v>529</v>
      </c>
      <c r="E103" s="32" t="s">
        <v>545</v>
      </c>
      <c r="F103" s="17" t="s">
        <v>546</v>
      </c>
      <c r="G103" s="18" t="s">
        <v>547</v>
      </c>
      <c r="H103" s="17" t="s">
        <v>548</v>
      </c>
      <c r="I103" s="7">
        <v>8485538</v>
      </c>
      <c r="J103" s="56">
        <v>45323</v>
      </c>
      <c r="K103" s="57">
        <v>1273</v>
      </c>
      <c r="L103" s="58" t="s">
        <v>696</v>
      </c>
    </row>
    <row r="104" spans="1:12" ht="16.5" customHeight="1" x14ac:dyDescent="0.35">
      <c r="A104" s="6">
        <f t="shared" si="1"/>
        <v>102</v>
      </c>
      <c r="B104" s="30"/>
      <c r="C104" s="19" t="s">
        <v>549</v>
      </c>
      <c r="D104" s="34" t="s">
        <v>529</v>
      </c>
      <c r="E104" s="32" t="s">
        <v>550</v>
      </c>
      <c r="F104" s="17" t="s">
        <v>546</v>
      </c>
      <c r="G104" s="18" t="s">
        <v>551</v>
      </c>
      <c r="H104" s="17" t="s">
        <v>552</v>
      </c>
      <c r="I104" s="7">
        <v>93596689</v>
      </c>
      <c r="J104" s="56">
        <v>45323</v>
      </c>
      <c r="K104" s="57">
        <v>14040</v>
      </c>
      <c r="L104" s="58" t="s">
        <v>697</v>
      </c>
    </row>
    <row r="105" spans="1:12" ht="16.5" customHeight="1" x14ac:dyDescent="0.35">
      <c r="A105" s="6">
        <f t="shared" si="1"/>
        <v>103</v>
      </c>
      <c r="B105" s="30"/>
      <c r="C105" s="19" t="s">
        <v>553</v>
      </c>
      <c r="D105" s="34" t="s">
        <v>529</v>
      </c>
      <c r="E105" s="32" t="s">
        <v>554</v>
      </c>
      <c r="F105" s="17" t="s">
        <v>532</v>
      </c>
      <c r="G105" s="18" t="s">
        <v>555</v>
      </c>
      <c r="H105" s="17" t="s">
        <v>556</v>
      </c>
      <c r="I105" s="7">
        <v>6178690</v>
      </c>
      <c r="J105" s="56">
        <v>45323</v>
      </c>
      <c r="K105" s="57">
        <v>927</v>
      </c>
      <c r="L105" s="58" t="s">
        <v>698</v>
      </c>
    </row>
    <row r="106" spans="1:12" ht="16.5" customHeight="1" x14ac:dyDescent="0.35">
      <c r="A106" s="6">
        <f t="shared" si="1"/>
        <v>104</v>
      </c>
      <c r="B106" s="30"/>
      <c r="C106" s="19" t="s">
        <v>557</v>
      </c>
      <c r="D106" s="34" t="s">
        <v>529</v>
      </c>
      <c r="E106" s="32" t="s">
        <v>558</v>
      </c>
      <c r="F106" s="17" t="s">
        <v>537</v>
      </c>
      <c r="G106" s="18" t="s">
        <v>559</v>
      </c>
      <c r="H106" s="17" t="s">
        <v>560</v>
      </c>
      <c r="I106" s="7">
        <v>14510052</v>
      </c>
      <c r="J106" s="56">
        <v>45323</v>
      </c>
      <c r="K106" s="57">
        <v>2177</v>
      </c>
      <c r="L106" s="58" t="s">
        <v>699</v>
      </c>
    </row>
    <row r="107" spans="1:12" ht="16.5" customHeight="1" x14ac:dyDescent="0.35">
      <c r="A107" s="6">
        <f t="shared" si="1"/>
        <v>105</v>
      </c>
      <c r="B107" s="30"/>
      <c r="C107" s="19" t="s">
        <v>561</v>
      </c>
      <c r="D107" s="34" t="s">
        <v>529</v>
      </c>
      <c r="E107" s="32" t="s">
        <v>562</v>
      </c>
      <c r="F107" s="17" t="s">
        <v>532</v>
      </c>
      <c r="G107" s="18" t="s">
        <v>563</v>
      </c>
      <c r="H107" s="17" t="s">
        <v>564</v>
      </c>
      <c r="I107" s="7">
        <v>14254854</v>
      </c>
      <c r="J107" s="56">
        <v>45323</v>
      </c>
      <c r="K107" s="57">
        <v>2138</v>
      </c>
      <c r="L107" s="58" t="s">
        <v>700</v>
      </c>
    </row>
    <row r="108" spans="1:12" ht="16.5" customHeight="1" x14ac:dyDescent="0.35">
      <c r="A108" s="6">
        <f t="shared" si="1"/>
        <v>106</v>
      </c>
      <c r="B108" s="30"/>
      <c r="C108" s="19" t="s">
        <v>565</v>
      </c>
      <c r="D108" s="34" t="s">
        <v>529</v>
      </c>
      <c r="E108" s="32" t="s">
        <v>566</v>
      </c>
      <c r="F108" s="17" t="s">
        <v>537</v>
      </c>
      <c r="G108" s="18" t="s">
        <v>567</v>
      </c>
      <c r="H108" s="17" t="s">
        <v>568</v>
      </c>
      <c r="I108" s="7">
        <v>18969605</v>
      </c>
      <c r="J108" s="56">
        <v>45323</v>
      </c>
      <c r="K108" s="57">
        <v>2845</v>
      </c>
      <c r="L108" s="58" t="s">
        <v>701</v>
      </c>
    </row>
    <row r="109" spans="1:12" ht="16.5" customHeight="1" x14ac:dyDescent="0.35">
      <c r="A109" s="6">
        <f t="shared" si="1"/>
        <v>107</v>
      </c>
      <c r="B109" s="30"/>
      <c r="C109" s="19" t="s">
        <v>569</v>
      </c>
      <c r="D109" s="34" t="s">
        <v>529</v>
      </c>
      <c r="E109" s="32" t="s">
        <v>570</v>
      </c>
      <c r="F109" s="17" t="s">
        <v>537</v>
      </c>
      <c r="G109" s="18" t="s">
        <v>571</v>
      </c>
      <c r="H109" s="17" t="s">
        <v>572</v>
      </c>
      <c r="I109" s="7">
        <v>4895226</v>
      </c>
      <c r="J109" s="56">
        <v>45323</v>
      </c>
      <c r="K109" s="57">
        <v>734</v>
      </c>
      <c r="L109" s="58" t="s">
        <v>702</v>
      </c>
    </row>
    <row r="110" spans="1:12" ht="16.5" customHeight="1" x14ac:dyDescent="0.35">
      <c r="A110" s="6">
        <f t="shared" si="1"/>
        <v>108</v>
      </c>
      <c r="B110" s="30"/>
      <c r="C110" s="19" t="s">
        <v>573</v>
      </c>
      <c r="D110" s="34" t="s">
        <v>529</v>
      </c>
      <c r="E110" s="32" t="s">
        <v>574</v>
      </c>
      <c r="F110" s="17" t="s">
        <v>575</v>
      </c>
      <c r="G110" s="18" t="s">
        <v>576</v>
      </c>
      <c r="H110" s="17" t="s">
        <v>577</v>
      </c>
      <c r="I110" s="7">
        <v>14896715</v>
      </c>
      <c r="J110" s="56">
        <v>45323</v>
      </c>
      <c r="K110" s="57">
        <v>2235</v>
      </c>
      <c r="L110" s="58" t="s">
        <v>703</v>
      </c>
    </row>
    <row r="111" spans="1:12" ht="16.5" customHeight="1" x14ac:dyDescent="0.35">
      <c r="A111" s="6">
        <f t="shared" si="1"/>
        <v>109</v>
      </c>
      <c r="B111" s="30"/>
      <c r="C111" s="19" t="s">
        <v>578</v>
      </c>
      <c r="D111" s="34" t="s">
        <v>529</v>
      </c>
      <c r="E111" s="32" t="s">
        <v>579</v>
      </c>
      <c r="F111" s="17" t="s">
        <v>532</v>
      </c>
      <c r="G111" s="18" t="s">
        <v>580</v>
      </c>
      <c r="H111" s="17" t="s">
        <v>581</v>
      </c>
      <c r="I111" s="7">
        <v>19578942</v>
      </c>
      <c r="J111" s="56">
        <v>45323</v>
      </c>
      <c r="K111" s="57">
        <v>2937</v>
      </c>
      <c r="L111" s="58" t="s">
        <v>704</v>
      </c>
    </row>
    <row r="112" spans="1:12" ht="16.5" customHeight="1" x14ac:dyDescent="0.35">
      <c r="A112" s="6">
        <f t="shared" si="1"/>
        <v>110</v>
      </c>
      <c r="B112" s="30"/>
      <c r="C112" s="19" t="s">
        <v>582</v>
      </c>
      <c r="D112" s="34" t="s">
        <v>529</v>
      </c>
      <c r="E112" s="32" t="s">
        <v>583</v>
      </c>
      <c r="F112" s="17" t="s">
        <v>546</v>
      </c>
      <c r="G112" s="18" t="s">
        <v>584</v>
      </c>
      <c r="H112" s="17" t="s">
        <v>585</v>
      </c>
      <c r="I112" s="7">
        <v>9775167</v>
      </c>
      <c r="J112" s="56">
        <v>45323</v>
      </c>
      <c r="K112" s="57">
        <v>1466</v>
      </c>
      <c r="L112" s="58" t="s">
        <v>705</v>
      </c>
    </row>
    <row r="113" spans="1:12" ht="16.5" customHeight="1" x14ac:dyDescent="0.35">
      <c r="A113" s="6">
        <f t="shared" si="1"/>
        <v>111</v>
      </c>
      <c r="B113" s="30"/>
      <c r="C113" s="19" t="s">
        <v>586</v>
      </c>
      <c r="D113" s="34" t="s">
        <v>529</v>
      </c>
      <c r="E113" s="32" t="s">
        <v>587</v>
      </c>
      <c r="F113" s="17" t="s">
        <v>588</v>
      </c>
      <c r="G113" s="18" t="s">
        <v>589</v>
      </c>
      <c r="H113" s="17" t="s">
        <v>590</v>
      </c>
      <c r="I113" s="7">
        <v>3367558</v>
      </c>
      <c r="J113" s="56">
        <v>45323</v>
      </c>
      <c r="K113" s="57">
        <v>505</v>
      </c>
      <c r="L113" s="58" t="s">
        <v>706</v>
      </c>
    </row>
    <row r="114" spans="1:12" ht="16.5" customHeight="1" x14ac:dyDescent="0.35">
      <c r="A114" s="6">
        <f t="shared" si="1"/>
        <v>112</v>
      </c>
      <c r="B114" s="30"/>
      <c r="C114" s="19" t="s">
        <v>591</v>
      </c>
      <c r="D114" s="34" t="s">
        <v>529</v>
      </c>
      <c r="E114" s="32" t="s">
        <v>592</v>
      </c>
      <c r="F114" s="17" t="s">
        <v>537</v>
      </c>
      <c r="G114" s="18" t="s">
        <v>593</v>
      </c>
      <c r="H114" s="17" t="s">
        <v>594</v>
      </c>
      <c r="I114" s="7">
        <v>21313720</v>
      </c>
      <c r="J114" s="56">
        <v>45323</v>
      </c>
      <c r="K114" s="57">
        <v>3197</v>
      </c>
      <c r="L114" s="58" t="s">
        <v>707</v>
      </c>
    </row>
    <row r="115" spans="1:12" ht="16.5" customHeight="1" thickBot="1" x14ac:dyDescent="0.4">
      <c r="A115" s="13"/>
      <c r="B115" s="13"/>
      <c r="C115" s="35"/>
      <c r="E115" s="14"/>
      <c r="F115" s="36"/>
      <c r="G115" s="36"/>
      <c r="H115" s="36"/>
      <c r="I115" s="15"/>
      <c r="J115" s="16"/>
    </row>
    <row r="116" spans="1:12" ht="16.5" customHeight="1" thickBot="1" x14ac:dyDescent="0.4">
      <c r="H116" s="11"/>
      <c r="I116" s="12">
        <f>SUM(I3:I114)</f>
        <v>1037689294</v>
      </c>
      <c r="K116" s="59">
        <f>SUM(K3:K114)</f>
        <v>156327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0F7B-3900-400A-B9EA-BDDC458768FC}">
  <dimension ref="A1:H113"/>
  <sheetViews>
    <sheetView tabSelected="1" topLeftCell="A112" workbookViewId="0">
      <selection activeCell="H113" sqref="H113"/>
    </sheetView>
  </sheetViews>
  <sheetFormatPr defaultColWidth="22.42578125" defaultRowHeight="15" x14ac:dyDescent="0.25"/>
  <cols>
    <col min="1" max="1" width="38.7109375" bestFit="1" customWidth="1"/>
    <col min="2" max="2" width="15.7109375" customWidth="1"/>
    <col min="3" max="3" width="14.5703125" bestFit="1" customWidth="1"/>
    <col min="4" max="4" width="9.5703125" bestFit="1" customWidth="1"/>
    <col min="5" max="5" width="16" bestFit="1" customWidth="1"/>
    <col min="6" max="6" width="32.140625" customWidth="1"/>
    <col min="7" max="7" width="35.42578125" customWidth="1"/>
    <col min="8" max="8" width="36.85546875" customWidth="1"/>
  </cols>
  <sheetData>
    <row r="1" spans="1:8" x14ac:dyDescent="0.25">
      <c r="A1" s="60" t="s">
        <v>710</v>
      </c>
      <c r="B1" t="s">
        <v>711</v>
      </c>
      <c r="D1" s="61" t="s">
        <v>712</v>
      </c>
      <c r="E1" s="66" t="s">
        <v>713</v>
      </c>
    </row>
    <row r="2" spans="1:8" ht="195" x14ac:dyDescent="0.25">
      <c r="A2" s="58" t="s">
        <v>596</v>
      </c>
      <c r="B2" t="str">
        <f>VLOOKUP(A2,[1]Sheet1!$B:$D,2,0)</f>
        <v>040000166817</v>
      </c>
      <c r="C2" s="57">
        <v>200</v>
      </c>
      <c r="D2" s="62">
        <f>ROUND(C2,0)</f>
        <v>200</v>
      </c>
      <c r="E2" s="66" t="s">
        <v>713</v>
      </c>
      <c r="F2" s="63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64" t="str">
        <f>"('"&amp;E2&amp;"','"&amp;B2&amp;"','"&amp;D2&amp;"',(select max(to_number(i.premium_rcv_detail_code))+1
from ins_premium_det i),'"&amp;D2&amp;"','"&amp;D2&amp;"','02', '11000003','00','Request by Mr. Saqib Saleem 21-Aug-2024 sheet1');"</f>
        <v>('20Aug240150','040000166817','200',(select max(to_number(i.premium_rcv_detail_code))+1
from ins_premium_det i),'200','200','02', '11000003','00','Request by Mr. Saqib Saleem 21-Aug-2024 sheet1');</v>
      </c>
      <c r="H2" s="65" t="str">
        <f>F2&amp;G2</f>
        <v>insert into ins_premium_det (premium_rcv_code,assorted_code, rec_amount,premium_rcv_detail_code,remaining_amt, payrec, mode_code,coinsurance_code,class_cd,it_remarks) values('20Aug240150','040000166817','200',(select max(to_number(i.premium_rcv_detail_code))+1
from ins_premium_det i),'200','200','02', '11000003','00','Request by Mr. Saqib Saleem 21-Aug-2024 sheet1');</v>
      </c>
    </row>
    <row r="3" spans="1:8" ht="180" x14ac:dyDescent="0.25">
      <c r="A3" s="58" t="s">
        <v>597</v>
      </c>
      <c r="B3" t="str">
        <f>VLOOKUP(A3,[1]Sheet1!$B:$D,2,0)</f>
        <v>040000166818</v>
      </c>
      <c r="C3" s="57">
        <v>200</v>
      </c>
      <c r="D3" s="62">
        <f t="shared" ref="D3:D66" si="1">ROUND(C3,0)</f>
        <v>200</v>
      </c>
      <c r="E3" s="66" t="s">
        <v>713</v>
      </c>
      <c r="F3" s="63" t="str">
        <f t="shared" si="0"/>
        <v>insert into ins_premium_det (premium_rcv_code,assorted_code, rec_amount,premium_rcv_detail_code,remaining_amt, payrec, mode_code,coinsurance_code,class_cd,it_remarks) values</v>
      </c>
      <c r="G3" s="64" t="str">
        <f t="shared" ref="G3:G66" si="2">"('"&amp;E3&amp;"','"&amp;B3&amp;"','"&amp;D3&amp;"',(select max(to_number(i.premium_rcv_detail_code))+1
from ins_premium_det i),'"&amp;D3&amp;"','"&amp;D3&amp;"','02', '11000003','00','Request by Mr. Saqib Saleem 21-Aug-2024 sheet1');"</f>
        <v>('20Aug240150','040000166818','200',(select max(to_number(i.premium_rcv_detail_code))+1
from ins_premium_det i),'200','200','02', '11000003','00','Request by Mr. Saqib Saleem 21-Aug-2024 sheet1');</v>
      </c>
      <c r="H3" s="65" t="str">
        <f t="shared" ref="H3:H66" si="3">F3&amp;G3</f>
        <v>insert into ins_premium_det (premium_rcv_code,assorted_code, rec_amount,premium_rcv_detail_code,remaining_amt, payrec, mode_code,coinsurance_code,class_cd,it_remarks) values('20Aug240150','040000166818','200',(select max(to_number(i.premium_rcv_detail_code))+1
from ins_premium_det i),'200','200','02', '11000003','00','Request by Mr. Saqib Saleem 21-Aug-2024 sheet1');</v>
      </c>
    </row>
    <row r="4" spans="1:8" ht="180" x14ac:dyDescent="0.25">
      <c r="A4" s="58" t="s">
        <v>598</v>
      </c>
      <c r="B4" t="str">
        <f>VLOOKUP(A4,[1]Sheet1!$B:$D,2,0)</f>
        <v>040000166819</v>
      </c>
      <c r="C4" s="57">
        <v>200</v>
      </c>
      <c r="D4" s="62">
        <f t="shared" si="1"/>
        <v>200</v>
      </c>
      <c r="E4" s="66" t="s">
        <v>713</v>
      </c>
      <c r="F4" s="63" t="str">
        <f t="shared" si="0"/>
        <v>insert into ins_premium_det (premium_rcv_code,assorted_code, rec_amount,premium_rcv_detail_code,remaining_amt, payrec, mode_code,coinsurance_code,class_cd,it_remarks) values</v>
      </c>
      <c r="G4" s="64" t="str">
        <f t="shared" si="2"/>
        <v>('20Aug240150','040000166819','200',(select max(to_number(i.premium_rcv_detail_code))+1
from ins_premium_det i),'200','200','02', '11000003','00','Request by Mr. Saqib Saleem 21-Aug-2024 sheet1');</v>
      </c>
      <c r="H4" s="65" t="str">
        <f t="shared" si="3"/>
        <v>insert into ins_premium_det (premium_rcv_code,assorted_code, rec_amount,premium_rcv_detail_code,remaining_amt, payrec, mode_code,coinsurance_code,class_cd,it_remarks) values('20Aug240150','040000166819','200',(select max(to_number(i.premium_rcv_detail_code))+1
from ins_premium_det i),'200','200','02', '11000003','00','Request by Mr. Saqib Saleem 21-Aug-2024 sheet1');</v>
      </c>
    </row>
    <row r="5" spans="1:8" ht="180" x14ac:dyDescent="0.25">
      <c r="A5" s="58" t="s">
        <v>599</v>
      </c>
      <c r="B5" t="str">
        <f>VLOOKUP(A5,[1]Sheet1!$B:$D,2,0)</f>
        <v>040000166820</v>
      </c>
      <c r="C5" s="57">
        <v>200</v>
      </c>
      <c r="D5" s="62">
        <f t="shared" si="1"/>
        <v>200</v>
      </c>
      <c r="E5" s="66" t="s">
        <v>713</v>
      </c>
      <c r="F5" s="63" t="str">
        <f t="shared" si="0"/>
        <v>insert into ins_premium_det (premium_rcv_code,assorted_code, rec_amount,premium_rcv_detail_code,remaining_amt, payrec, mode_code,coinsurance_code,class_cd,it_remarks) values</v>
      </c>
      <c r="G5" s="64" t="str">
        <f t="shared" si="2"/>
        <v>('20Aug240150','040000166820','200',(select max(to_number(i.premium_rcv_detail_code))+1
from ins_premium_det i),'200','200','02', '11000003','00','Request by Mr. Saqib Saleem 21-Aug-2024 sheet1');</v>
      </c>
      <c r="H5" s="65" t="str">
        <f t="shared" si="3"/>
        <v>insert into ins_premium_det (premium_rcv_code,assorted_code, rec_amount,premium_rcv_detail_code,remaining_amt, payrec, mode_code,coinsurance_code,class_cd,it_remarks) values('20Aug240150','040000166820','200',(select max(to_number(i.premium_rcv_detail_code))+1
from ins_premium_det i),'200','200','02', '11000003','00','Request by Mr. Saqib Saleem 21-Aug-2024 sheet1');</v>
      </c>
    </row>
    <row r="6" spans="1:8" ht="180" x14ac:dyDescent="0.25">
      <c r="A6" s="58" t="s">
        <v>600</v>
      </c>
      <c r="B6" t="str">
        <f>VLOOKUP(A6,[1]Sheet1!$B:$D,2,0)</f>
        <v>040000166821</v>
      </c>
      <c r="C6" s="57">
        <v>200</v>
      </c>
      <c r="D6" s="62">
        <f t="shared" si="1"/>
        <v>200</v>
      </c>
      <c r="E6" s="66" t="s">
        <v>713</v>
      </c>
      <c r="F6" s="63" t="str">
        <f t="shared" si="0"/>
        <v>insert into ins_premium_det (premium_rcv_code,assorted_code, rec_amount,premium_rcv_detail_code,remaining_amt, payrec, mode_code,coinsurance_code,class_cd,it_remarks) values</v>
      </c>
      <c r="G6" s="64" t="str">
        <f t="shared" si="2"/>
        <v>('20Aug240150','040000166821','200',(select max(to_number(i.premium_rcv_detail_code))+1
from ins_premium_det i),'200','200','02', '11000003','00','Request by Mr. Saqib Saleem 21-Aug-2024 sheet1');</v>
      </c>
      <c r="H6" s="65" t="str">
        <f t="shared" si="3"/>
        <v>insert into ins_premium_det (premium_rcv_code,assorted_code, rec_amount,premium_rcv_detail_code,remaining_amt, payrec, mode_code,coinsurance_code,class_cd,it_remarks) values('20Aug240150','040000166821','200',(select max(to_number(i.premium_rcv_detail_code))+1
from ins_premium_det i),'200','200','02', '11000003','00','Request by Mr. Saqib Saleem 21-Aug-2024 sheet1');</v>
      </c>
    </row>
    <row r="7" spans="1:8" ht="180" x14ac:dyDescent="0.25">
      <c r="A7" s="58" t="s">
        <v>601</v>
      </c>
      <c r="B7" t="str">
        <f>VLOOKUP(A7,[1]Sheet1!$B:$D,2,0)</f>
        <v>040000166822</v>
      </c>
      <c r="C7" s="57">
        <v>204</v>
      </c>
      <c r="D7" s="62">
        <f t="shared" si="1"/>
        <v>204</v>
      </c>
      <c r="E7" s="66" t="s">
        <v>713</v>
      </c>
      <c r="F7" s="63" t="str">
        <f t="shared" si="0"/>
        <v>insert into ins_premium_det (premium_rcv_code,assorted_code, rec_amount,premium_rcv_detail_code,remaining_amt, payrec, mode_code,coinsurance_code,class_cd,it_remarks) values</v>
      </c>
      <c r="G7" s="64" t="str">
        <f t="shared" si="2"/>
        <v>('20Aug240150','040000166822','204',(select max(to_number(i.premium_rcv_detail_code))+1
from ins_premium_det i),'204','204','02', '11000003','00','Request by Mr. Saqib Saleem 21-Aug-2024 sheet1');</v>
      </c>
      <c r="H7" s="65" t="str">
        <f t="shared" si="3"/>
        <v>insert into ins_premium_det (premium_rcv_code,assorted_code, rec_amount,premium_rcv_detail_code,remaining_amt, payrec, mode_code,coinsurance_code,class_cd,it_remarks) values('20Aug240150','040000166822','204',(select max(to_number(i.premium_rcv_detail_code))+1
from ins_premium_det i),'204','204','02', '11000003','00','Request by Mr. Saqib Saleem 21-Aug-2024 sheet1');</v>
      </c>
    </row>
    <row r="8" spans="1:8" ht="180" x14ac:dyDescent="0.25">
      <c r="A8" s="58" t="s">
        <v>602</v>
      </c>
      <c r="B8" t="str">
        <f>VLOOKUP(A8,[1]Sheet1!$B:$D,2,0)</f>
        <v>040000166823</v>
      </c>
      <c r="C8" s="57">
        <v>200</v>
      </c>
      <c r="D8" s="62">
        <f t="shared" si="1"/>
        <v>200</v>
      </c>
      <c r="E8" s="66" t="s">
        <v>713</v>
      </c>
      <c r="F8" s="63" t="str">
        <f t="shared" si="0"/>
        <v>insert into ins_premium_det (premium_rcv_code,assorted_code, rec_amount,premium_rcv_detail_code,remaining_amt, payrec, mode_code,coinsurance_code,class_cd,it_remarks) values</v>
      </c>
      <c r="G8" s="64" t="str">
        <f t="shared" si="2"/>
        <v>('20Aug240150','040000166823','200',(select max(to_number(i.premium_rcv_detail_code))+1
from ins_premium_det i),'200','200','02', '11000003','00','Request by Mr. Saqib Saleem 21-Aug-2024 sheet1');</v>
      </c>
      <c r="H8" s="65" t="str">
        <f t="shared" si="3"/>
        <v>insert into ins_premium_det (premium_rcv_code,assorted_code, rec_amount,premium_rcv_detail_code,remaining_amt, payrec, mode_code,coinsurance_code,class_cd,it_remarks) values('20Aug240150','040000166823','200',(select max(to_number(i.premium_rcv_detail_code))+1
from ins_premium_det i),'200','200','02', '11000003','00','Request by Mr. Saqib Saleem 21-Aug-2024 sheet1');</v>
      </c>
    </row>
    <row r="9" spans="1:8" ht="180" x14ac:dyDescent="0.25">
      <c r="A9" s="58" t="s">
        <v>603</v>
      </c>
      <c r="B9" t="str">
        <f>VLOOKUP(A9,[1]Sheet1!$B:$D,2,0)</f>
        <v>040000166824</v>
      </c>
      <c r="C9" s="57">
        <v>200</v>
      </c>
      <c r="D9" s="62">
        <f t="shared" si="1"/>
        <v>200</v>
      </c>
      <c r="E9" s="66" t="s">
        <v>713</v>
      </c>
      <c r="F9" s="63" t="str">
        <f t="shared" si="0"/>
        <v>insert into ins_premium_det (premium_rcv_code,assorted_code, rec_amount,premium_rcv_detail_code,remaining_amt, payrec, mode_code,coinsurance_code,class_cd,it_remarks) values</v>
      </c>
      <c r="G9" s="64" t="str">
        <f t="shared" si="2"/>
        <v>('20Aug240150','040000166824','200',(select max(to_number(i.premium_rcv_detail_code))+1
from ins_premium_det i),'200','200','02', '11000003','00','Request by Mr. Saqib Saleem 21-Aug-2024 sheet1');</v>
      </c>
      <c r="H9" s="65" t="str">
        <f t="shared" si="3"/>
        <v>insert into ins_premium_det (premium_rcv_code,assorted_code, rec_amount,premium_rcv_detail_code,remaining_amt, payrec, mode_code,coinsurance_code,class_cd,it_remarks) values('20Aug240150','040000166824','200',(select max(to_number(i.premium_rcv_detail_code))+1
from ins_premium_det i),'200','200','02', '11000003','00','Request by Mr. Saqib Saleem 21-Aug-2024 sheet1');</v>
      </c>
    </row>
    <row r="10" spans="1:8" ht="180" x14ac:dyDescent="0.25">
      <c r="A10" s="58" t="s">
        <v>604</v>
      </c>
      <c r="B10" t="str">
        <f>VLOOKUP(A10,[1]Sheet1!$B:$D,2,0)</f>
        <v>040000166825</v>
      </c>
      <c r="C10" s="57">
        <v>243</v>
      </c>
      <c r="D10" s="62">
        <f t="shared" si="1"/>
        <v>243</v>
      </c>
      <c r="E10" s="66" t="s">
        <v>713</v>
      </c>
      <c r="F10" s="63" t="str">
        <f t="shared" si="0"/>
        <v>insert into ins_premium_det (premium_rcv_code,assorted_code, rec_amount,premium_rcv_detail_code,remaining_amt, payrec, mode_code,coinsurance_code,class_cd,it_remarks) values</v>
      </c>
      <c r="G10" s="64" t="str">
        <f t="shared" si="2"/>
        <v>('20Aug240150','040000166825','243',(select max(to_number(i.premium_rcv_detail_code))+1
from ins_premium_det i),'243','243','02', '11000003','00','Request by Mr. Saqib Saleem 21-Aug-2024 sheet1');</v>
      </c>
      <c r="H10" s="65" t="str">
        <f t="shared" si="3"/>
        <v>insert into ins_premium_det (premium_rcv_code,assorted_code, rec_amount,premium_rcv_detail_code,remaining_amt, payrec, mode_code,coinsurance_code,class_cd,it_remarks) values('20Aug240150','040000166825','243',(select max(to_number(i.premium_rcv_detail_code))+1
from ins_premium_det i),'243','243','02', '11000003','00','Request by Mr. Saqib Saleem 21-Aug-2024 sheet1');</v>
      </c>
    </row>
    <row r="11" spans="1:8" ht="180" x14ac:dyDescent="0.25">
      <c r="A11" s="58" t="s">
        <v>605</v>
      </c>
      <c r="B11" t="str">
        <f>VLOOKUP(A11,[1]Sheet1!$B:$D,2,0)</f>
        <v>040000166826</v>
      </c>
      <c r="C11" s="57">
        <v>200</v>
      </c>
      <c r="D11" s="62">
        <f t="shared" si="1"/>
        <v>200</v>
      </c>
      <c r="E11" s="66" t="s">
        <v>713</v>
      </c>
      <c r="F11" s="63" t="str">
        <f t="shared" si="0"/>
        <v>insert into ins_premium_det (premium_rcv_code,assorted_code, rec_amount,premium_rcv_detail_code,remaining_amt, payrec, mode_code,coinsurance_code,class_cd,it_remarks) values</v>
      </c>
      <c r="G11" s="64" t="str">
        <f t="shared" si="2"/>
        <v>('20Aug240150','040000166826','200',(select max(to_number(i.premium_rcv_detail_code))+1
from ins_premium_det i),'200','200','02', '11000003','00','Request by Mr. Saqib Saleem 21-Aug-2024 sheet1');</v>
      </c>
      <c r="H11" s="65" t="str">
        <f t="shared" si="3"/>
        <v>insert into ins_premium_det (premium_rcv_code,assorted_code, rec_amount,premium_rcv_detail_code,remaining_amt, payrec, mode_code,coinsurance_code,class_cd,it_remarks) values('20Aug240150','040000166826','200',(select max(to_number(i.premium_rcv_detail_code))+1
from ins_premium_det i),'200','200','02', '11000003','00','Request by Mr. Saqib Saleem 21-Aug-2024 sheet1');</v>
      </c>
    </row>
    <row r="12" spans="1:8" ht="180" x14ac:dyDescent="0.25">
      <c r="A12" s="58" t="s">
        <v>606</v>
      </c>
      <c r="B12" t="str">
        <f>VLOOKUP(A12,[1]Sheet1!$B:$D,2,0)</f>
        <v>040000166827</v>
      </c>
      <c r="C12" s="57">
        <v>200</v>
      </c>
      <c r="D12" s="62">
        <f t="shared" si="1"/>
        <v>200</v>
      </c>
      <c r="E12" s="66" t="s">
        <v>713</v>
      </c>
      <c r="F12" s="63" t="str">
        <f t="shared" si="0"/>
        <v>insert into ins_premium_det (premium_rcv_code,assorted_code, rec_amount,premium_rcv_detail_code,remaining_amt, payrec, mode_code,coinsurance_code,class_cd,it_remarks) values</v>
      </c>
      <c r="G12" s="64" t="str">
        <f t="shared" si="2"/>
        <v>('20Aug240150','040000166827','200',(select max(to_number(i.premium_rcv_detail_code))+1
from ins_premium_det i),'200','200','02', '11000003','00','Request by Mr. Saqib Saleem 21-Aug-2024 sheet1');</v>
      </c>
      <c r="H12" s="65" t="str">
        <f t="shared" si="3"/>
        <v>insert into ins_premium_det (premium_rcv_code,assorted_code, rec_amount,premium_rcv_detail_code,remaining_amt, payrec, mode_code,coinsurance_code,class_cd,it_remarks) values('20Aug240150','040000166827','200',(select max(to_number(i.premium_rcv_detail_code))+1
from ins_premium_det i),'200','200','02', '11000003','00','Request by Mr. Saqib Saleem 21-Aug-2024 sheet1');</v>
      </c>
    </row>
    <row r="13" spans="1:8" ht="180" x14ac:dyDescent="0.25">
      <c r="A13" s="58" t="s">
        <v>607</v>
      </c>
      <c r="B13" t="str">
        <f>VLOOKUP(A13,[1]Sheet1!$B:$D,2,0)</f>
        <v>040000166828</v>
      </c>
      <c r="C13" s="57">
        <v>287</v>
      </c>
      <c r="D13" s="62">
        <f t="shared" si="1"/>
        <v>287</v>
      </c>
      <c r="E13" s="66" t="s">
        <v>713</v>
      </c>
      <c r="F13" s="63" t="str">
        <f t="shared" si="0"/>
        <v>insert into ins_premium_det (premium_rcv_code,assorted_code, rec_amount,premium_rcv_detail_code,remaining_amt, payrec, mode_code,coinsurance_code,class_cd,it_remarks) values</v>
      </c>
      <c r="G13" s="64" t="str">
        <f t="shared" si="2"/>
        <v>('20Aug240150','040000166828','287',(select max(to_number(i.premium_rcv_detail_code))+1
from ins_premium_det i),'287','287','02', '11000003','00','Request by Mr. Saqib Saleem 21-Aug-2024 sheet1');</v>
      </c>
      <c r="H13" s="65" t="str">
        <f t="shared" si="3"/>
        <v>insert into ins_premium_det (premium_rcv_code,assorted_code, rec_amount,premium_rcv_detail_code,remaining_amt, payrec, mode_code,coinsurance_code,class_cd,it_remarks) values('20Aug240150','040000166828','287',(select max(to_number(i.premium_rcv_detail_code))+1
from ins_premium_det i),'287','287','02', '11000003','00','Request by Mr. Saqib Saleem 21-Aug-2024 sheet1');</v>
      </c>
    </row>
    <row r="14" spans="1:8" ht="180" x14ac:dyDescent="0.25">
      <c r="A14" s="58" t="s">
        <v>608</v>
      </c>
      <c r="B14" t="str">
        <f>VLOOKUP(A14,[1]Sheet1!$B:$D,2,0)</f>
        <v>040000166829</v>
      </c>
      <c r="C14" s="57">
        <v>291</v>
      </c>
      <c r="D14" s="62">
        <f t="shared" si="1"/>
        <v>291</v>
      </c>
      <c r="E14" s="66" t="s">
        <v>713</v>
      </c>
      <c r="F14" s="63" t="str">
        <f t="shared" si="0"/>
        <v>insert into ins_premium_det (premium_rcv_code,assorted_code, rec_amount,premium_rcv_detail_code,remaining_amt, payrec, mode_code,coinsurance_code,class_cd,it_remarks) values</v>
      </c>
      <c r="G14" s="64" t="str">
        <f t="shared" si="2"/>
        <v>('20Aug240150','040000166829','291',(select max(to_number(i.premium_rcv_detail_code))+1
from ins_premium_det i),'291','291','02', '11000003','00','Request by Mr. Saqib Saleem 21-Aug-2024 sheet1');</v>
      </c>
      <c r="H14" s="65" t="str">
        <f t="shared" si="3"/>
        <v>insert into ins_premium_det (premium_rcv_code,assorted_code, rec_amount,premium_rcv_detail_code,remaining_amt, payrec, mode_code,coinsurance_code,class_cd,it_remarks) values('20Aug240150','040000166829','291',(select max(to_number(i.premium_rcv_detail_code))+1
from ins_premium_det i),'291','291','02', '11000003','00','Request by Mr. Saqib Saleem 21-Aug-2024 sheet1');</v>
      </c>
    </row>
    <row r="15" spans="1:8" ht="180" x14ac:dyDescent="0.25">
      <c r="A15" s="58" t="s">
        <v>609</v>
      </c>
      <c r="B15" t="str">
        <f>VLOOKUP(A15,[1]Sheet1!$B:$D,2,0)</f>
        <v>040000166830</v>
      </c>
      <c r="C15" s="57">
        <v>303</v>
      </c>
      <c r="D15" s="62">
        <f t="shared" si="1"/>
        <v>303</v>
      </c>
      <c r="E15" s="66" t="s">
        <v>713</v>
      </c>
      <c r="F15" s="63" t="str">
        <f t="shared" si="0"/>
        <v>insert into ins_premium_det (premium_rcv_code,assorted_code, rec_amount,premium_rcv_detail_code,remaining_amt, payrec, mode_code,coinsurance_code,class_cd,it_remarks) values</v>
      </c>
      <c r="G15" s="64" t="str">
        <f t="shared" si="2"/>
        <v>('20Aug240150','040000166830','303',(select max(to_number(i.premium_rcv_detail_code))+1
from ins_premium_det i),'303','303','02', '11000003','00','Request by Mr. Saqib Saleem 21-Aug-2024 sheet1');</v>
      </c>
      <c r="H15" s="65" t="str">
        <f t="shared" si="3"/>
        <v>insert into ins_premium_det (premium_rcv_code,assorted_code, rec_amount,premium_rcv_detail_code,remaining_amt, payrec, mode_code,coinsurance_code,class_cd,it_remarks) values('20Aug240150','040000166830','303',(select max(to_number(i.premium_rcv_detail_code))+1
from ins_premium_det i),'303','303','02', '11000003','00','Request by Mr. Saqib Saleem 21-Aug-2024 sheet1');</v>
      </c>
    </row>
    <row r="16" spans="1:8" ht="180" x14ac:dyDescent="0.25">
      <c r="A16" s="58" t="s">
        <v>610</v>
      </c>
      <c r="B16" t="str">
        <f>VLOOKUP(A16,[1]Sheet1!$B:$D,2,0)</f>
        <v>040000166831</v>
      </c>
      <c r="C16" s="57">
        <v>292</v>
      </c>
      <c r="D16" s="62">
        <f t="shared" si="1"/>
        <v>292</v>
      </c>
      <c r="E16" s="66" t="s">
        <v>713</v>
      </c>
      <c r="F16" s="63" t="str">
        <f t="shared" si="0"/>
        <v>insert into ins_premium_det (premium_rcv_code,assorted_code, rec_amount,premium_rcv_detail_code,remaining_amt, payrec, mode_code,coinsurance_code,class_cd,it_remarks) values</v>
      </c>
      <c r="G16" s="64" t="str">
        <f t="shared" si="2"/>
        <v>('20Aug240150','040000166831','292',(select max(to_number(i.premium_rcv_detail_code))+1
from ins_premium_det i),'292','292','02', '11000003','00','Request by Mr. Saqib Saleem 21-Aug-2024 sheet1');</v>
      </c>
      <c r="H16" s="65" t="str">
        <f t="shared" si="3"/>
        <v>insert into ins_premium_det (premium_rcv_code,assorted_code, rec_amount,premium_rcv_detail_code,remaining_amt, payrec, mode_code,coinsurance_code,class_cd,it_remarks) values('20Aug240150','040000166831','292',(select max(to_number(i.premium_rcv_detail_code))+1
from ins_premium_det i),'292','292','02', '11000003','00','Request by Mr. Saqib Saleem 21-Aug-2024 sheet1');</v>
      </c>
    </row>
    <row r="17" spans="1:8" ht="180" x14ac:dyDescent="0.25">
      <c r="A17" s="58" t="s">
        <v>611</v>
      </c>
      <c r="B17" t="str">
        <f>VLOOKUP(A17,[1]Sheet1!$B:$D,2,0)</f>
        <v>040000166832</v>
      </c>
      <c r="C17" s="57">
        <v>337</v>
      </c>
      <c r="D17" s="62">
        <f t="shared" si="1"/>
        <v>337</v>
      </c>
      <c r="E17" s="66" t="s">
        <v>713</v>
      </c>
      <c r="F17" s="63" t="str">
        <f t="shared" si="0"/>
        <v>insert into ins_premium_det (premium_rcv_code,assorted_code, rec_amount,premium_rcv_detail_code,remaining_amt, payrec, mode_code,coinsurance_code,class_cd,it_remarks) values</v>
      </c>
      <c r="G17" s="64" t="str">
        <f t="shared" si="2"/>
        <v>('20Aug240150','040000166832','337',(select max(to_number(i.premium_rcv_detail_code))+1
from ins_premium_det i),'337','337','02', '11000003','00','Request by Mr. Saqib Saleem 21-Aug-2024 sheet1');</v>
      </c>
      <c r="H17" s="65" t="str">
        <f t="shared" si="3"/>
        <v>insert into ins_premium_det (premium_rcv_code,assorted_code, rec_amount,premium_rcv_detail_code,remaining_amt, payrec, mode_code,coinsurance_code,class_cd,it_remarks) values('20Aug240150','040000166832','337',(select max(to_number(i.premium_rcv_detail_code))+1
from ins_premium_det i),'337','337','02', '11000003','00','Request by Mr. Saqib Saleem 21-Aug-2024 sheet1');</v>
      </c>
    </row>
    <row r="18" spans="1:8" ht="180" x14ac:dyDescent="0.25">
      <c r="A18" s="58" t="s">
        <v>612</v>
      </c>
      <c r="B18" t="str">
        <f>VLOOKUP(A18,[1]Sheet1!$B:$D,2,0)</f>
        <v>040000166833</v>
      </c>
      <c r="C18" s="57">
        <v>353</v>
      </c>
      <c r="D18" s="62">
        <f t="shared" si="1"/>
        <v>353</v>
      </c>
      <c r="E18" s="66" t="s">
        <v>713</v>
      </c>
      <c r="F18" s="63" t="str">
        <f t="shared" si="0"/>
        <v>insert into ins_premium_det (premium_rcv_code,assorted_code, rec_amount,premium_rcv_detail_code,remaining_amt, payrec, mode_code,coinsurance_code,class_cd,it_remarks) values</v>
      </c>
      <c r="G18" s="64" t="str">
        <f t="shared" si="2"/>
        <v>('20Aug240150','040000166833','353',(select max(to_number(i.premium_rcv_detail_code))+1
from ins_premium_det i),'353','353','02', '11000003','00','Request by Mr. Saqib Saleem 21-Aug-2024 sheet1');</v>
      </c>
      <c r="H18" s="65" t="str">
        <f t="shared" si="3"/>
        <v>insert into ins_premium_det (premium_rcv_code,assorted_code, rec_amount,premium_rcv_detail_code,remaining_amt, payrec, mode_code,coinsurance_code,class_cd,it_remarks) values('20Aug240150','040000166833','353',(select max(to_number(i.premium_rcv_detail_code))+1
from ins_premium_det i),'353','353','02', '11000003','00','Request by Mr. Saqib Saleem 21-Aug-2024 sheet1');</v>
      </c>
    </row>
    <row r="19" spans="1:8" ht="180" x14ac:dyDescent="0.25">
      <c r="A19" s="58" t="s">
        <v>613</v>
      </c>
      <c r="B19" t="str">
        <f>VLOOKUP(A19,[1]Sheet1!$B:$D,2,0)</f>
        <v>040000166834</v>
      </c>
      <c r="C19" s="57">
        <v>366</v>
      </c>
      <c r="D19" s="62">
        <f t="shared" si="1"/>
        <v>366</v>
      </c>
      <c r="E19" s="66" t="s">
        <v>713</v>
      </c>
      <c r="F19" s="63" t="str">
        <f t="shared" si="0"/>
        <v>insert into ins_premium_det (premium_rcv_code,assorted_code, rec_amount,premium_rcv_detail_code,remaining_amt, payrec, mode_code,coinsurance_code,class_cd,it_remarks) values</v>
      </c>
      <c r="G19" s="64" t="str">
        <f t="shared" si="2"/>
        <v>('20Aug240150','040000166834','366',(select max(to_number(i.premium_rcv_detail_code))+1
from ins_premium_det i),'366','366','02', '11000003','00','Request by Mr. Saqib Saleem 21-Aug-2024 sheet1');</v>
      </c>
      <c r="H19" s="65" t="str">
        <f t="shared" si="3"/>
        <v>insert into ins_premium_det (premium_rcv_code,assorted_code, rec_amount,premium_rcv_detail_code,remaining_amt, payrec, mode_code,coinsurance_code,class_cd,it_remarks) values('20Aug240150','040000166834','366',(select max(to_number(i.premium_rcv_detail_code))+1
from ins_premium_det i),'366','366','02', '11000003','00','Request by Mr. Saqib Saleem 21-Aug-2024 sheet1');</v>
      </c>
    </row>
    <row r="20" spans="1:8" ht="180" x14ac:dyDescent="0.25">
      <c r="A20" s="58" t="s">
        <v>614</v>
      </c>
      <c r="B20" t="str">
        <f>VLOOKUP(A20,[1]Sheet1!$B:$D,2,0)</f>
        <v>040000166835</v>
      </c>
      <c r="C20" s="57">
        <v>261</v>
      </c>
      <c r="D20" s="62">
        <f t="shared" si="1"/>
        <v>261</v>
      </c>
      <c r="E20" s="66" t="s">
        <v>713</v>
      </c>
      <c r="F20" s="63" t="str">
        <f t="shared" si="0"/>
        <v>insert into ins_premium_det (premium_rcv_code,assorted_code, rec_amount,premium_rcv_detail_code,remaining_amt, payrec, mode_code,coinsurance_code,class_cd,it_remarks) values</v>
      </c>
      <c r="G20" s="64" t="str">
        <f t="shared" si="2"/>
        <v>('20Aug240150','040000166835','261',(select max(to_number(i.premium_rcv_detail_code))+1
from ins_premium_det i),'261','261','02', '11000003','00','Request by Mr. Saqib Saleem 21-Aug-2024 sheet1');</v>
      </c>
      <c r="H20" s="65" t="str">
        <f t="shared" si="3"/>
        <v>insert into ins_premium_det (premium_rcv_code,assorted_code, rec_amount,premium_rcv_detail_code,remaining_amt, payrec, mode_code,coinsurance_code,class_cd,it_remarks) values('20Aug240150','040000166835','261',(select max(to_number(i.premium_rcv_detail_code))+1
from ins_premium_det i),'261','261','02', '11000003','00','Request by Mr. Saqib Saleem 21-Aug-2024 sheet1');</v>
      </c>
    </row>
    <row r="21" spans="1:8" ht="180" x14ac:dyDescent="0.25">
      <c r="A21" s="58" t="s">
        <v>615</v>
      </c>
      <c r="B21" t="str">
        <f>VLOOKUP(A21,[1]Sheet1!$B:$D,2,0)</f>
        <v>040000166836</v>
      </c>
      <c r="C21" s="57">
        <v>314</v>
      </c>
      <c r="D21" s="62">
        <f t="shared" si="1"/>
        <v>314</v>
      </c>
      <c r="E21" s="66" t="s">
        <v>713</v>
      </c>
      <c r="F21" s="63" t="str">
        <f t="shared" si="0"/>
        <v>insert into ins_premium_det (premium_rcv_code,assorted_code, rec_amount,premium_rcv_detail_code,remaining_amt, payrec, mode_code,coinsurance_code,class_cd,it_remarks) values</v>
      </c>
      <c r="G21" s="64" t="str">
        <f t="shared" si="2"/>
        <v>('20Aug240150','040000166836','314',(select max(to_number(i.premium_rcv_detail_code))+1
from ins_premium_det i),'314','314','02', '11000003','00','Request by Mr. Saqib Saleem 21-Aug-2024 sheet1');</v>
      </c>
      <c r="H21" s="65" t="str">
        <f t="shared" si="3"/>
        <v>insert into ins_premium_det (premium_rcv_code,assorted_code, rec_amount,premium_rcv_detail_code,remaining_amt, payrec, mode_code,coinsurance_code,class_cd,it_remarks) values('20Aug240150','040000166836','314',(select max(to_number(i.premium_rcv_detail_code))+1
from ins_premium_det i),'314','314','02', '11000003','00','Request by Mr. Saqib Saleem 21-Aug-2024 sheet1');</v>
      </c>
    </row>
    <row r="22" spans="1:8" ht="180" x14ac:dyDescent="0.25">
      <c r="A22" s="58" t="s">
        <v>616</v>
      </c>
      <c r="B22" t="str">
        <f>VLOOKUP(A22,[1]Sheet1!$B:$D,2,0)</f>
        <v>040000166837</v>
      </c>
      <c r="C22" s="57">
        <v>320</v>
      </c>
      <c r="D22" s="62">
        <f t="shared" si="1"/>
        <v>320</v>
      </c>
      <c r="E22" s="66" t="s">
        <v>713</v>
      </c>
      <c r="F22" s="63" t="str">
        <f t="shared" si="0"/>
        <v>insert into ins_premium_det (premium_rcv_code,assorted_code, rec_amount,premium_rcv_detail_code,remaining_amt, payrec, mode_code,coinsurance_code,class_cd,it_remarks) values</v>
      </c>
      <c r="G22" s="64" t="str">
        <f t="shared" si="2"/>
        <v>('20Aug240150','040000166837','320',(select max(to_number(i.premium_rcv_detail_code))+1
from ins_premium_det i),'320','320','02', '11000003','00','Request by Mr. Saqib Saleem 21-Aug-2024 sheet1');</v>
      </c>
      <c r="H22" s="65" t="str">
        <f t="shared" si="3"/>
        <v>insert into ins_premium_det (premium_rcv_code,assorted_code, rec_amount,premium_rcv_detail_code,remaining_amt, payrec, mode_code,coinsurance_code,class_cd,it_remarks) values('20Aug240150','040000166837','320',(select max(to_number(i.premium_rcv_detail_code))+1
from ins_premium_det i),'320','320','02', '11000003','00','Request by Mr. Saqib Saleem 21-Aug-2024 sheet1');</v>
      </c>
    </row>
    <row r="23" spans="1:8" ht="180" x14ac:dyDescent="0.25">
      <c r="A23" s="58" t="s">
        <v>617</v>
      </c>
      <c r="B23" t="str">
        <f>VLOOKUP(A23,[1]Sheet1!$B:$D,2,0)</f>
        <v>040000166838</v>
      </c>
      <c r="C23" s="57">
        <v>415</v>
      </c>
      <c r="D23" s="62">
        <f t="shared" si="1"/>
        <v>415</v>
      </c>
      <c r="E23" s="66" t="s">
        <v>713</v>
      </c>
      <c r="F23" s="63" t="str">
        <f t="shared" si="0"/>
        <v>insert into ins_premium_det (premium_rcv_code,assorted_code, rec_amount,premium_rcv_detail_code,remaining_amt, payrec, mode_code,coinsurance_code,class_cd,it_remarks) values</v>
      </c>
      <c r="G23" s="64" t="str">
        <f t="shared" si="2"/>
        <v>('20Aug240150','040000166838','415',(select max(to_number(i.premium_rcv_detail_code))+1
from ins_premium_det i),'415','415','02', '11000003','00','Request by Mr. Saqib Saleem 21-Aug-2024 sheet1');</v>
      </c>
      <c r="H23" s="65" t="str">
        <f t="shared" si="3"/>
        <v>insert into ins_premium_det (premium_rcv_code,assorted_code, rec_amount,premium_rcv_detail_code,remaining_amt, payrec, mode_code,coinsurance_code,class_cd,it_remarks) values('20Aug240150','040000166838','415',(select max(to_number(i.premium_rcv_detail_code))+1
from ins_premium_det i),'415','415','02', '11000003','00','Request by Mr. Saqib Saleem 21-Aug-2024 sheet1');</v>
      </c>
    </row>
    <row r="24" spans="1:8" ht="180" x14ac:dyDescent="0.25">
      <c r="A24" s="58" t="s">
        <v>618</v>
      </c>
      <c r="B24" t="str">
        <f>VLOOKUP(A24,[1]Sheet1!$B:$D,2,0)</f>
        <v>040000166839</v>
      </c>
      <c r="C24" s="57">
        <v>433</v>
      </c>
      <c r="D24" s="62">
        <f t="shared" si="1"/>
        <v>433</v>
      </c>
      <c r="E24" s="66" t="s">
        <v>713</v>
      </c>
      <c r="F24" s="63" t="str">
        <f t="shared" si="0"/>
        <v>insert into ins_premium_det (premium_rcv_code,assorted_code, rec_amount,premium_rcv_detail_code,remaining_amt, payrec, mode_code,coinsurance_code,class_cd,it_remarks) values</v>
      </c>
      <c r="G24" s="64" t="str">
        <f t="shared" si="2"/>
        <v>('20Aug240150','040000166839','433',(select max(to_number(i.premium_rcv_detail_code))+1
from ins_premium_det i),'433','433','02', '11000003','00','Request by Mr. Saqib Saleem 21-Aug-2024 sheet1');</v>
      </c>
      <c r="H24" s="65" t="str">
        <f t="shared" si="3"/>
        <v>insert into ins_premium_det (premium_rcv_code,assorted_code, rec_amount,premium_rcv_detail_code,remaining_amt, payrec, mode_code,coinsurance_code,class_cd,it_remarks) values('20Aug240150','040000166839','433',(select max(to_number(i.premium_rcv_detail_code))+1
from ins_premium_det i),'433','433','02', '11000003','00','Request by Mr. Saqib Saleem 21-Aug-2024 sheet1');</v>
      </c>
    </row>
    <row r="25" spans="1:8" ht="180" x14ac:dyDescent="0.25">
      <c r="A25" s="58" t="s">
        <v>619</v>
      </c>
      <c r="B25" t="str">
        <f>VLOOKUP(A25,[1]Sheet1!$B:$D,2,0)</f>
        <v>040000166840</v>
      </c>
      <c r="C25" s="57">
        <v>396</v>
      </c>
      <c r="D25" s="62">
        <f t="shared" si="1"/>
        <v>396</v>
      </c>
      <c r="E25" s="66" t="s">
        <v>713</v>
      </c>
      <c r="F25" s="63" t="str">
        <f t="shared" si="0"/>
        <v>insert into ins_premium_det (premium_rcv_code,assorted_code, rec_amount,premium_rcv_detail_code,remaining_amt, payrec, mode_code,coinsurance_code,class_cd,it_remarks) values</v>
      </c>
      <c r="G25" s="64" t="str">
        <f t="shared" si="2"/>
        <v>('20Aug240150','040000166840','396',(select max(to_number(i.premium_rcv_detail_code))+1
from ins_premium_det i),'396','396','02', '11000003','00','Request by Mr. Saqib Saleem 21-Aug-2024 sheet1');</v>
      </c>
      <c r="H25" s="65" t="str">
        <f t="shared" si="3"/>
        <v>insert into ins_premium_det (premium_rcv_code,assorted_code, rec_amount,premium_rcv_detail_code,remaining_amt, payrec, mode_code,coinsurance_code,class_cd,it_remarks) values('20Aug240150','040000166840','396',(select max(to_number(i.premium_rcv_detail_code))+1
from ins_premium_det i),'396','396','02', '11000003','00','Request by Mr. Saqib Saleem 21-Aug-2024 sheet1');</v>
      </c>
    </row>
    <row r="26" spans="1:8" ht="180" x14ac:dyDescent="0.25">
      <c r="A26" s="58" t="s">
        <v>620</v>
      </c>
      <c r="B26" t="str">
        <f>VLOOKUP(A26,[1]Sheet1!$B:$D,2,0)</f>
        <v>040000166841</v>
      </c>
      <c r="C26" s="57">
        <v>506</v>
      </c>
      <c r="D26" s="62">
        <f t="shared" si="1"/>
        <v>506</v>
      </c>
      <c r="E26" s="66" t="s">
        <v>713</v>
      </c>
      <c r="F26" s="63" t="str">
        <f t="shared" si="0"/>
        <v>insert into ins_premium_det (premium_rcv_code,assorted_code, rec_amount,premium_rcv_detail_code,remaining_amt, payrec, mode_code,coinsurance_code,class_cd,it_remarks) values</v>
      </c>
      <c r="G26" s="64" t="str">
        <f t="shared" si="2"/>
        <v>('20Aug240150','040000166841','506',(select max(to_number(i.premium_rcv_detail_code))+1
from ins_premium_det i),'506','506','02', '11000003','00','Request by Mr. Saqib Saleem 21-Aug-2024 sheet1');</v>
      </c>
      <c r="H26" s="65" t="str">
        <f t="shared" si="3"/>
        <v>insert into ins_premium_det (premium_rcv_code,assorted_code, rec_amount,premium_rcv_detail_code,remaining_amt, payrec, mode_code,coinsurance_code,class_cd,it_remarks) values('20Aug240150','040000166841','506',(select max(to_number(i.premium_rcv_detail_code))+1
from ins_premium_det i),'506','506','02', '11000003','00','Request by Mr. Saqib Saleem 21-Aug-2024 sheet1');</v>
      </c>
    </row>
    <row r="27" spans="1:8" ht="180" x14ac:dyDescent="0.25">
      <c r="A27" s="58" t="s">
        <v>621</v>
      </c>
      <c r="B27" t="str">
        <f>VLOOKUP(A27,[1]Sheet1!$B:$D,2,0)</f>
        <v>040000166842</v>
      </c>
      <c r="C27" s="57">
        <v>517</v>
      </c>
      <c r="D27" s="62">
        <f t="shared" si="1"/>
        <v>517</v>
      </c>
      <c r="E27" s="66" t="s">
        <v>713</v>
      </c>
      <c r="F27" s="63" t="str">
        <f t="shared" si="0"/>
        <v>insert into ins_premium_det (premium_rcv_code,assorted_code, rec_amount,premium_rcv_detail_code,remaining_amt, payrec, mode_code,coinsurance_code,class_cd,it_remarks) values</v>
      </c>
      <c r="G27" s="64" t="str">
        <f t="shared" si="2"/>
        <v>('20Aug240150','040000166842','517',(select max(to_number(i.premium_rcv_detail_code))+1
from ins_premium_det i),'517','517','02', '11000003','00','Request by Mr. Saqib Saleem 21-Aug-2024 sheet1');</v>
      </c>
      <c r="H27" s="65" t="str">
        <f t="shared" si="3"/>
        <v>insert into ins_premium_det (premium_rcv_code,assorted_code, rec_amount,premium_rcv_detail_code,remaining_amt, payrec, mode_code,coinsurance_code,class_cd,it_remarks) values('20Aug240150','040000166842','517',(select max(to_number(i.premium_rcv_detail_code))+1
from ins_premium_det i),'517','517','02', '11000003','00','Request by Mr. Saqib Saleem 21-Aug-2024 sheet1');</v>
      </c>
    </row>
    <row r="28" spans="1:8" ht="180" x14ac:dyDescent="0.25">
      <c r="A28" s="58" t="s">
        <v>622</v>
      </c>
      <c r="B28" t="str">
        <f>VLOOKUP(A28,[1]Sheet1!$B:$D,2,0)</f>
        <v>040000166843</v>
      </c>
      <c r="C28" s="57">
        <v>516</v>
      </c>
      <c r="D28" s="62">
        <f t="shared" si="1"/>
        <v>516</v>
      </c>
      <c r="E28" s="66" t="s">
        <v>713</v>
      </c>
      <c r="F28" s="63" t="str">
        <f t="shared" si="0"/>
        <v>insert into ins_premium_det (premium_rcv_code,assorted_code, rec_amount,premium_rcv_detail_code,remaining_amt, payrec, mode_code,coinsurance_code,class_cd,it_remarks) values</v>
      </c>
      <c r="G28" s="64" t="str">
        <f t="shared" si="2"/>
        <v>('20Aug240150','040000166843','516',(select max(to_number(i.premium_rcv_detail_code))+1
from ins_premium_det i),'516','516','02', '11000003','00','Request by Mr. Saqib Saleem 21-Aug-2024 sheet1');</v>
      </c>
      <c r="H28" s="65" t="str">
        <f t="shared" si="3"/>
        <v>insert into ins_premium_det (premium_rcv_code,assorted_code, rec_amount,premium_rcv_detail_code,remaining_amt, payrec, mode_code,coinsurance_code,class_cd,it_remarks) values('20Aug240150','040000166843','516',(select max(to_number(i.premium_rcv_detail_code))+1
from ins_premium_det i),'516','516','02', '11000003','00','Request by Mr. Saqib Saleem 21-Aug-2024 sheet1');</v>
      </c>
    </row>
    <row r="29" spans="1:8" ht="180" x14ac:dyDescent="0.25">
      <c r="A29" s="58" t="s">
        <v>623</v>
      </c>
      <c r="B29" t="str">
        <f>VLOOKUP(A29,[1]Sheet1!$B:$D,2,0)</f>
        <v>040000166844</v>
      </c>
      <c r="C29" s="57">
        <v>307</v>
      </c>
      <c r="D29" s="62">
        <f t="shared" si="1"/>
        <v>307</v>
      </c>
      <c r="E29" s="66" t="s">
        <v>713</v>
      </c>
      <c r="F29" s="63" t="str">
        <f t="shared" si="0"/>
        <v>insert into ins_premium_det (premium_rcv_code,assorted_code, rec_amount,premium_rcv_detail_code,remaining_amt, payrec, mode_code,coinsurance_code,class_cd,it_remarks) values</v>
      </c>
      <c r="G29" s="64" t="str">
        <f t="shared" si="2"/>
        <v>('20Aug240150','040000166844','307',(select max(to_number(i.premium_rcv_detail_code))+1
from ins_premium_det i),'307','307','02', '11000003','00','Request by Mr. Saqib Saleem 21-Aug-2024 sheet1');</v>
      </c>
      <c r="H29" s="65" t="str">
        <f t="shared" si="3"/>
        <v>insert into ins_premium_det (premium_rcv_code,assorted_code, rec_amount,premium_rcv_detail_code,remaining_amt, payrec, mode_code,coinsurance_code,class_cd,it_remarks) values('20Aug240150','040000166844','307',(select max(to_number(i.premium_rcv_detail_code))+1
from ins_premium_det i),'307','307','02', '11000003','00','Request by Mr. Saqib Saleem 21-Aug-2024 sheet1');</v>
      </c>
    </row>
    <row r="30" spans="1:8" ht="180" x14ac:dyDescent="0.25">
      <c r="A30" s="58" t="s">
        <v>624</v>
      </c>
      <c r="B30" t="str">
        <f>VLOOKUP(A30,[1]Sheet1!$B:$D,2,0)</f>
        <v>040000166845</v>
      </c>
      <c r="C30" s="57">
        <v>461</v>
      </c>
      <c r="D30" s="62">
        <f t="shared" si="1"/>
        <v>461</v>
      </c>
      <c r="E30" s="66" t="s">
        <v>713</v>
      </c>
      <c r="F30" s="63" t="str">
        <f t="shared" si="0"/>
        <v>insert into ins_premium_det (premium_rcv_code,assorted_code, rec_amount,premium_rcv_detail_code,remaining_amt, payrec, mode_code,coinsurance_code,class_cd,it_remarks) values</v>
      </c>
      <c r="G30" s="64" t="str">
        <f t="shared" si="2"/>
        <v>('20Aug240150','040000166845','461',(select max(to_number(i.premium_rcv_detail_code))+1
from ins_premium_det i),'461','461','02', '11000003','00','Request by Mr. Saqib Saleem 21-Aug-2024 sheet1');</v>
      </c>
      <c r="H30" s="65" t="str">
        <f t="shared" si="3"/>
        <v>insert into ins_premium_det (premium_rcv_code,assorted_code, rec_amount,premium_rcv_detail_code,remaining_amt, payrec, mode_code,coinsurance_code,class_cd,it_remarks) values('20Aug240150','040000166845','461',(select max(to_number(i.premium_rcv_detail_code))+1
from ins_premium_det i),'461','461','02', '11000003','00','Request by Mr. Saqib Saleem 21-Aug-2024 sheet1');</v>
      </c>
    </row>
    <row r="31" spans="1:8" ht="180" x14ac:dyDescent="0.25">
      <c r="A31" s="58" t="s">
        <v>625</v>
      </c>
      <c r="B31" t="str">
        <f>VLOOKUP(A31,[1]Sheet1!$B:$D,2,0)</f>
        <v>040000166846</v>
      </c>
      <c r="C31" s="57">
        <v>563</v>
      </c>
      <c r="D31" s="62">
        <f t="shared" si="1"/>
        <v>563</v>
      </c>
      <c r="E31" s="66" t="s">
        <v>713</v>
      </c>
      <c r="F31" s="63" t="str">
        <f t="shared" si="0"/>
        <v>insert into ins_premium_det (premium_rcv_code,assorted_code, rec_amount,premium_rcv_detail_code,remaining_amt, payrec, mode_code,coinsurance_code,class_cd,it_remarks) values</v>
      </c>
      <c r="G31" s="64" t="str">
        <f t="shared" si="2"/>
        <v>('20Aug240150','040000166846','563',(select max(to_number(i.premium_rcv_detail_code))+1
from ins_premium_det i),'563','563','02', '11000003','00','Request by Mr. Saqib Saleem 21-Aug-2024 sheet1');</v>
      </c>
      <c r="H31" s="65" t="str">
        <f t="shared" si="3"/>
        <v>insert into ins_premium_det (premium_rcv_code,assorted_code, rec_amount,premium_rcv_detail_code,remaining_amt, payrec, mode_code,coinsurance_code,class_cd,it_remarks) values('20Aug240150','040000166846','563',(select max(to_number(i.premium_rcv_detail_code))+1
from ins_premium_det i),'563','563','02', '11000003','00','Request by Mr. Saqib Saleem 21-Aug-2024 sheet1');</v>
      </c>
    </row>
    <row r="32" spans="1:8" ht="180" x14ac:dyDescent="0.25">
      <c r="A32" s="58" t="s">
        <v>626</v>
      </c>
      <c r="B32" t="str">
        <f>VLOOKUP(A32,[1]Sheet1!$B:$D,2,0)</f>
        <v>040000166847</v>
      </c>
      <c r="C32" s="57">
        <v>660</v>
      </c>
      <c r="D32" s="62">
        <f t="shared" si="1"/>
        <v>660</v>
      </c>
      <c r="E32" s="66" t="s">
        <v>713</v>
      </c>
      <c r="F32" s="63" t="str">
        <f t="shared" si="0"/>
        <v>insert into ins_premium_det (premium_rcv_code,assorted_code, rec_amount,premium_rcv_detail_code,remaining_amt, payrec, mode_code,coinsurance_code,class_cd,it_remarks) values</v>
      </c>
      <c r="G32" s="64" t="str">
        <f t="shared" si="2"/>
        <v>('20Aug240150','040000166847','660',(select max(to_number(i.premium_rcv_detail_code))+1
from ins_premium_det i),'660','660','02', '11000003','00','Request by Mr. Saqib Saleem 21-Aug-2024 sheet1');</v>
      </c>
      <c r="H32" s="65" t="str">
        <f t="shared" si="3"/>
        <v>insert into ins_premium_det (premium_rcv_code,assorted_code, rec_amount,premium_rcv_detail_code,remaining_amt, payrec, mode_code,coinsurance_code,class_cd,it_remarks) values('20Aug240150','040000166847','660',(select max(to_number(i.premium_rcv_detail_code))+1
from ins_premium_det i),'660','660','02', '11000003','00','Request by Mr. Saqib Saleem 21-Aug-2024 sheet1');</v>
      </c>
    </row>
    <row r="33" spans="1:8" ht="180" x14ac:dyDescent="0.25">
      <c r="A33" s="58" t="s">
        <v>627</v>
      </c>
      <c r="B33" t="str">
        <f>VLOOKUP(A33,[1]Sheet1!$B:$D,2,0)</f>
        <v>040000166848</v>
      </c>
      <c r="C33" s="57">
        <v>665</v>
      </c>
      <c r="D33" s="62">
        <f t="shared" si="1"/>
        <v>665</v>
      </c>
      <c r="E33" s="66" t="s">
        <v>713</v>
      </c>
      <c r="F33" s="63" t="str">
        <f t="shared" si="0"/>
        <v>insert into ins_premium_det (premium_rcv_code,assorted_code, rec_amount,premium_rcv_detail_code,remaining_amt, payrec, mode_code,coinsurance_code,class_cd,it_remarks) values</v>
      </c>
      <c r="G33" s="64" t="str">
        <f t="shared" si="2"/>
        <v>('20Aug240150','040000166848','665',(select max(to_number(i.premium_rcv_detail_code))+1
from ins_premium_det i),'665','665','02', '11000003','00','Request by Mr. Saqib Saleem 21-Aug-2024 sheet1');</v>
      </c>
      <c r="H33" s="65" t="str">
        <f t="shared" si="3"/>
        <v>insert into ins_premium_det (premium_rcv_code,assorted_code, rec_amount,premium_rcv_detail_code,remaining_amt, payrec, mode_code,coinsurance_code,class_cd,it_remarks) values('20Aug240150','040000166848','665',(select max(to_number(i.premium_rcv_detail_code))+1
from ins_premium_det i),'665','665','02', '11000003','00','Request by Mr. Saqib Saleem 21-Aug-2024 sheet1');</v>
      </c>
    </row>
    <row r="34" spans="1:8" ht="180" x14ac:dyDescent="0.25">
      <c r="A34" s="58" t="s">
        <v>628</v>
      </c>
      <c r="B34" t="str">
        <f>VLOOKUP(A34,[1]Sheet1!$B:$D,2,0)</f>
        <v>040000166849</v>
      </c>
      <c r="C34" s="57">
        <v>658</v>
      </c>
      <c r="D34" s="62">
        <f t="shared" si="1"/>
        <v>658</v>
      </c>
      <c r="E34" s="66" t="s">
        <v>713</v>
      </c>
      <c r="F34" s="63" t="str">
        <f t="shared" si="0"/>
        <v>insert into ins_premium_det (premium_rcv_code,assorted_code, rec_amount,premium_rcv_detail_code,remaining_amt, payrec, mode_code,coinsurance_code,class_cd,it_remarks) values</v>
      </c>
      <c r="G34" s="64" t="str">
        <f t="shared" si="2"/>
        <v>('20Aug240150','040000166849','658',(select max(to_number(i.premium_rcv_detail_code))+1
from ins_premium_det i),'658','658','02', '11000003','00','Request by Mr. Saqib Saleem 21-Aug-2024 sheet1');</v>
      </c>
      <c r="H34" s="65" t="str">
        <f t="shared" si="3"/>
        <v>insert into ins_premium_det (premium_rcv_code,assorted_code, rec_amount,premium_rcv_detail_code,remaining_amt, payrec, mode_code,coinsurance_code,class_cd,it_remarks) values('20Aug240150','040000166849','658',(select max(to_number(i.premium_rcv_detail_code))+1
from ins_premium_det i),'658','658','02', '11000003','00','Request by Mr. Saqib Saleem 21-Aug-2024 sheet1');</v>
      </c>
    </row>
    <row r="35" spans="1:8" ht="180" x14ac:dyDescent="0.25">
      <c r="A35" s="58" t="s">
        <v>629</v>
      </c>
      <c r="B35" t="str">
        <f>VLOOKUP(A35,[1]Sheet1!$B:$D,2,0)</f>
        <v>040000166850</v>
      </c>
      <c r="C35" s="57">
        <v>687</v>
      </c>
      <c r="D35" s="62">
        <f t="shared" si="1"/>
        <v>687</v>
      </c>
      <c r="E35" s="66" t="s">
        <v>713</v>
      </c>
      <c r="F35" s="63" t="str">
        <f t="shared" si="0"/>
        <v>insert into ins_premium_det (premium_rcv_code,assorted_code, rec_amount,premium_rcv_detail_code,remaining_amt, payrec, mode_code,coinsurance_code,class_cd,it_remarks) values</v>
      </c>
      <c r="G35" s="64" t="str">
        <f t="shared" si="2"/>
        <v>('20Aug240150','040000166850','687',(select max(to_number(i.premium_rcv_detail_code))+1
from ins_premium_det i),'687','687','02', '11000003','00','Request by Mr. Saqib Saleem 21-Aug-2024 sheet1');</v>
      </c>
      <c r="H35" s="65" t="str">
        <f t="shared" si="3"/>
        <v>insert into ins_premium_det (premium_rcv_code,assorted_code, rec_amount,premium_rcv_detail_code,remaining_amt, payrec, mode_code,coinsurance_code,class_cd,it_remarks) values('20Aug240150','040000166850','687',(select max(to_number(i.premium_rcv_detail_code))+1
from ins_premium_det i),'687','687','02', '11000003','00','Request by Mr. Saqib Saleem 21-Aug-2024 sheet1');</v>
      </c>
    </row>
    <row r="36" spans="1:8" ht="180" x14ac:dyDescent="0.25">
      <c r="A36" s="58" t="s">
        <v>630</v>
      </c>
      <c r="B36" t="str">
        <f>VLOOKUP(A36,[1]Sheet1!$B:$D,2,0)</f>
        <v>040000166851</v>
      </c>
      <c r="C36" s="57">
        <v>697</v>
      </c>
      <c r="D36" s="62">
        <f t="shared" si="1"/>
        <v>697</v>
      </c>
      <c r="E36" s="66" t="s">
        <v>713</v>
      </c>
      <c r="F36" s="63" t="str">
        <f t="shared" si="0"/>
        <v>insert into ins_premium_det (premium_rcv_code,assorted_code, rec_amount,premium_rcv_detail_code,remaining_amt, payrec, mode_code,coinsurance_code,class_cd,it_remarks) values</v>
      </c>
      <c r="G36" s="64" t="str">
        <f t="shared" si="2"/>
        <v>('20Aug240150','040000166851','697',(select max(to_number(i.premium_rcv_detail_code))+1
from ins_premium_det i),'697','697','02', '11000003','00','Request by Mr. Saqib Saleem 21-Aug-2024 sheet1');</v>
      </c>
      <c r="H36" s="65" t="str">
        <f t="shared" si="3"/>
        <v>insert into ins_premium_det (premium_rcv_code,assorted_code, rec_amount,premium_rcv_detail_code,remaining_amt, payrec, mode_code,coinsurance_code,class_cd,it_remarks) values('20Aug240150','040000166851','697',(select max(to_number(i.premium_rcv_detail_code))+1
from ins_premium_det i),'697','697','02', '11000003','00','Request by Mr. Saqib Saleem 21-Aug-2024 sheet1');</v>
      </c>
    </row>
    <row r="37" spans="1:8" ht="180" x14ac:dyDescent="0.25">
      <c r="A37" s="58" t="s">
        <v>631</v>
      </c>
      <c r="B37" t="str">
        <f>VLOOKUP(A37,[1]Sheet1!$B:$D,2,0)</f>
        <v>040000166852</v>
      </c>
      <c r="C37" s="57">
        <v>706</v>
      </c>
      <c r="D37" s="62">
        <f t="shared" si="1"/>
        <v>706</v>
      </c>
      <c r="E37" s="66" t="s">
        <v>713</v>
      </c>
      <c r="F37" s="63" t="str">
        <f t="shared" si="0"/>
        <v>insert into ins_premium_det (premium_rcv_code,assorted_code, rec_amount,premium_rcv_detail_code,remaining_amt, payrec, mode_code,coinsurance_code,class_cd,it_remarks) values</v>
      </c>
      <c r="G37" s="64" t="str">
        <f t="shared" si="2"/>
        <v>('20Aug240150','040000166852','706',(select max(to_number(i.premium_rcv_detail_code))+1
from ins_premium_det i),'706','706','02', '11000003','00','Request by Mr. Saqib Saleem 21-Aug-2024 sheet1');</v>
      </c>
      <c r="H37" s="65" t="str">
        <f t="shared" si="3"/>
        <v>insert into ins_premium_det (premium_rcv_code,assorted_code, rec_amount,premium_rcv_detail_code,remaining_amt, payrec, mode_code,coinsurance_code,class_cd,it_remarks) values('20Aug240150','040000166852','706',(select max(to_number(i.premium_rcv_detail_code))+1
from ins_premium_det i),'706','706','02', '11000003','00','Request by Mr. Saqib Saleem 21-Aug-2024 sheet1');</v>
      </c>
    </row>
    <row r="38" spans="1:8" ht="180" x14ac:dyDescent="0.25">
      <c r="A38" s="58" t="s">
        <v>632</v>
      </c>
      <c r="B38" t="str">
        <f>VLOOKUP(A38,[1]Sheet1!$B:$D,2,0)</f>
        <v>040000166853</v>
      </c>
      <c r="C38" s="57">
        <v>708</v>
      </c>
      <c r="D38" s="62">
        <f t="shared" si="1"/>
        <v>708</v>
      </c>
      <c r="E38" s="66" t="s">
        <v>713</v>
      </c>
      <c r="F38" s="63" t="str">
        <f t="shared" si="0"/>
        <v>insert into ins_premium_det (premium_rcv_code,assorted_code, rec_amount,premium_rcv_detail_code,remaining_amt, payrec, mode_code,coinsurance_code,class_cd,it_remarks) values</v>
      </c>
      <c r="G38" s="64" t="str">
        <f t="shared" si="2"/>
        <v>('20Aug240150','040000166853','708',(select max(to_number(i.premium_rcv_detail_code))+1
from ins_premium_det i),'708','708','02', '11000003','00','Request by Mr. Saqib Saleem 21-Aug-2024 sheet1');</v>
      </c>
      <c r="H38" s="65" t="str">
        <f t="shared" si="3"/>
        <v>insert into ins_premium_det (premium_rcv_code,assorted_code, rec_amount,premium_rcv_detail_code,remaining_amt, payrec, mode_code,coinsurance_code,class_cd,it_remarks) values('20Aug240150','040000166853','708',(select max(to_number(i.premium_rcv_detail_code))+1
from ins_premium_det i),'708','708','02', '11000003','00','Request by Mr. Saqib Saleem 21-Aug-2024 sheet1');</v>
      </c>
    </row>
    <row r="39" spans="1:8" ht="180" x14ac:dyDescent="0.25">
      <c r="A39" s="58" t="s">
        <v>633</v>
      </c>
      <c r="B39" t="str">
        <f>VLOOKUP(A39,[1]Sheet1!$B:$D,2,0)</f>
        <v>040000166854</v>
      </c>
      <c r="C39" s="57">
        <v>716</v>
      </c>
      <c r="D39" s="62">
        <f t="shared" si="1"/>
        <v>716</v>
      </c>
      <c r="E39" s="66" t="s">
        <v>713</v>
      </c>
      <c r="F39" s="63" t="str">
        <f t="shared" si="0"/>
        <v>insert into ins_premium_det (premium_rcv_code,assorted_code, rec_amount,premium_rcv_detail_code,remaining_amt, payrec, mode_code,coinsurance_code,class_cd,it_remarks) values</v>
      </c>
      <c r="G39" s="64" t="str">
        <f t="shared" si="2"/>
        <v>('20Aug240150','040000166854','716',(select max(to_number(i.premium_rcv_detail_code))+1
from ins_premium_det i),'716','716','02', '11000003','00','Request by Mr. Saqib Saleem 21-Aug-2024 sheet1');</v>
      </c>
      <c r="H39" s="65" t="str">
        <f t="shared" si="3"/>
        <v>insert into ins_premium_det (premium_rcv_code,assorted_code, rec_amount,premium_rcv_detail_code,remaining_amt, payrec, mode_code,coinsurance_code,class_cd,it_remarks) values('20Aug240150','040000166854','716',(select max(to_number(i.premium_rcv_detail_code))+1
from ins_premium_det i),'716','716','02', '11000003','00','Request by Mr. Saqib Saleem 21-Aug-2024 sheet1');</v>
      </c>
    </row>
    <row r="40" spans="1:8" ht="180" x14ac:dyDescent="0.25">
      <c r="A40" s="58" t="s">
        <v>634</v>
      </c>
      <c r="B40" t="str">
        <f>VLOOKUP(A40,[1]Sheet1!$B:$D,2,0)</f>
        <v>040000166855</v>
      </c>
      <c r="C40" s="57">
        <v>730</v>
      </c>
      <c r="D40" s="62">
        <f t="shared" si="1"/>
        <v>730</v>
      </c>
      <c r="E40" s="66" t="s">
        <v>713</v>
      </c>
      <c r="F40" s="63" t="str">
        <f t="shared" si="0"/>
        <v>insert into ins_premium_det (premium_rcv_code,assorted_code, rec_amount,premium_rcv_detail_code,remaining_amt, payrec, mode_code,coinsurance_code,class_cd,it_remarks) values</v>
      </c>
      <c r="G40" s="64" t="str">
        <f t="shared" si="2"/>
        <v>('20Aug240150','040000166855','730',(select max(to_number(i.premium_rcv_detail_code))+1
from ins_premium_det i),'730','730','02', '11000003','00','Request by Mr. Saqib Saleem 21-Aug-2024 sheet1');</v>
      </c>
      <c r="H40" s="65" t="str">
        <f t="shared" si="3"/>
        <v>insert into ins_premium_det (premium_rcv_code,assorted_code, rec_amount,premium_rcv_detail_code,remaining_amt, payrec, mode_code,coinsurance_code,class_cd,it_remarks) values('20Aug240150','040000166855','730',(select max(to_number(i.premium_rcv_detail_code))+1
from ins_premium_det i),'730','730','02', '11000003','00','Request by Mr. Saqib Saleem 21-Aug-2024 sheet1');</v>
      </c>
    </row>
    <row r="41" spans="1:8" ht="180" x14ac:dyDescent="0.25">
      <c r="A41" s="58" t="s">
        <v>635</v>
      </c>
      <c r="B41" t="str">
        <f>VLOOKUP(A41,[1]Sheet1!$B:$D,2,0)</f>
        <v>040000166856</v>
      </c>
      <c r="C41" s="57">
        <v>729</v>
      </c>
      <c r="D41" s="62">
        <f t="shared" si="1"/>
        <v>729</v>
      </c>
      <c r="E41" s="66" t="s">
        <v>713</v>
      </c>
      <c r="F41" s="63" t="str">
        <f t="shared" si="0"/>
        <v>insert into ins_premium_det (premium_rcv_code,assorted_code, rec_amount,premium_rcv_detail_code,remaining_amt, payrec, mode_code,coinsurance_code,class_cd,it_remarks) values</v>
      </c>
      <c r="G41" s="64" t="str">
        <f t="shared" si="2"/>
        <v>('20Aug240150','040000166856','729',(select max(to_number(i.premium_rcv_detail_code))+1
from ins_premium_det i),'729','729','02', '11000003','00','Request by Mr. Saqib Saleem 21-Aug-2024 sheet1');</v>
      </c>
      <c r="H41" s="65" t="str">
        <f t="shared" si="3"/>
        <v>insert into ins_premium_det (premium_rcv_code,assorted_code, rec_amount,premium_rcv_detail_code,remaining_amt, payrec, mode_code,coinsurance_code,class_cd,it_remarks) values('20Aug240150','040000166856','729',(select max(to_number(i.premium_rcv_detail_code))+1
from ins_premium_det i),'729','729','02', '11000003','00','Request by Mr. Saqib Saleem 21-Aug-2024 sheet1');</v>
      </c>
    </row>
    <row r="42" spans="1:8" ht="180" x14ac:dyDescent="0.25">
      <c r="A42" s="58" t="s">
        <v>636</v>
      </c>
      <c r="B42" t="str">
        <f>VLOOKUP(A42,[1]Sheet1!$B:$D,2,0)</f>
        <v>040000166857</v>
      </c>
      <c r="C42" s="57">
        <v>566</v>
      </c>
      <c r="D42" s="62">
        <f t="shared" si="1"/>
        <v>566</v>
      </c>
      <c r="E42" s="66" t="s">
        <v>713</v>
      </c>
      <c r="F42" s="63" t="str">
        <f t="shared" si="0"/>
        <v>insert into ins_premium_det (premium_rcv_code,assorted_code, rec_amount,premium_rcv_detail_code,remaining_amt, payrec, mode_code,coinsurance_code,class_cd,it_remarks) values</v>
      </c>
      <c r="G42" s="64" t="str">
        <f t="shared" si="2"/>
        <v>('20Aug240150','040000166857','566',(select max(to_number(i.premium_rcv_detail_code))+1
from ins_premium_det i),'566','566','02', '11000003','00','Request by Mr. Saqib Saleem 21-Aug-2024 sheet1');</v>
      </c>
      <c r="H42" s="65" t="str">
        <f t="shared" si="3"/>
        <v>insert into ins_premium_det (premium_rcv_code,assorted_code, rec_amount,premium_rcv_detail_code,remaining_amt, payrec, mode_code,coinsurance_code,class_cd,it_remarks) values('20Aug240150','040000166857','566',(select max(to_number(i.premium_rcv_detail_code))+1
from ins_premium_det i),'566','566','02', '11000003','00','Request by Mr. Saqib Saleem 21-Aug-2024 sheet1');</v>
      </c>
    </row>
    <row r="43" spans="1:8" ht="180" x14ac:dyDescent="0.25">
      <c r="A43" s="58" t="s">
        <v>637</v>
      </c>
      <c r="B43" t="str">
        <f>VLOOKUP(A43,[1]Sheet1!$B:$D,2,0)</f>
        <v>040000166858</v>
      </c>
      <c r="C43" s="57">
        <v>750</v>
      </c>
      <c r="D43" s="62">
        <f t="shared" si="1"/>
        <v>750</v>
      </c>
      <c r="E43" s="66" t="s">
        <v>713</v>
      </c>
      <c r="F43" s="63" t="str">
        <f t="shared" si="0"/>
        <v>insert into ins_premium_det (premium_rcv_code,assorted_code, rec_amount,premium_rcv_detail_code,remaining_amt, payrec, mode_code,coinsurance_code,class_cd,it_remarks) values</v>
      </c>
      <c r="G43" s="64" t="str">
        <f t="shared" si="2"/>
        <v>('20Aug240150','040000166858','750',(select max(to_number(i.premium_rcv_detail_code))+1
from ins_premium_det i),'750','750','02', '11000003','00','Request by Mr. Saqib Saleem 21-Aug-2024 sheet1');</v>
      </c>
      <c r="H43" s="65" t="str">
        <f t="shared" si="3"/>
        <v>insert into ins_premium_det (premium_rcv_code,assorted_code, rec_amount,premium_rcv_detail_code,remaining_amt, payrec, mode_code,coinsurance_code,class_cd,it_remarks) values('20Aug240150','040000166858','750',(select max(to_number(i.premium_rcv_detail_code))+1
from ins_premium_det i),'750','750','02', '11000003','00','Request by Mr. Saqib Saleem 21-Aug-2024 sheet1');</v>
      </c>
    </row>
    <row r="44" spans="1:8" ht="180" x14ac:dyDescent="0.25">
      <c r="A44" s="58" t="s">
        <v>638</v>
      </c>
      <c r="B44" t="str">
        <f>VLOOKUP(A44,[1]Sheet1!$B:$D,2,0)</f>
        <v>040000166859</v>
      </c>
      <c r="C44" s="57">
        <v>663</v>
      </c>
      <c r="D44" s="62">
        <f t="shared" si="1"/>
        <v>663</v>
      </c>
      <c r="E44" s="66" t="s">
        <v>713</v>
      </c>
      <c r="F44" s="63" t="str">
        <f t="shared" si="0"/>
        <v>insert into ins_premium_det (premium_rcv_code,assorted_code, rec_amount,premium_rcv_detail_code,remaining_amt, payrec, mode_code,coinsurance_code,class_cd,it_remarks) values</v>
      </c>
      <c r="G44" s="64" t="str">
        <f t="shared" si="2"/>
        <v>('20Aug240150','040000166859','663',(select max(to_number(i.premium_rcv_detail_code))+1
from ins_premium_det i),'663','663','02', '11000003','00','Request by Mr. Saqib Saleem 21-Aug-2024 sheet1');</v>
      </c>
      <c r="H44" s="65" t="str">
        <f t="shared" si="3"/>
        <v>insert into ins_premium_det (premium_rcv_code,assorted_code, rec_amount,premium_rcv_detail_code,remaining_amt, payrec, mode_code,coinsurance_code,class_cd,it_remarks) values('20Aug240150','040000166859','663',(select max(to_number(i.premium_rcv_detail_code))+1
from ins_premium_det i),'663','663','02', '11000003','00','Request by Mr. Saqib Saleem 21-Aug-2024 sheet1');</v>
      </c>
    </row>
    <row r="45" spans="1:8" ht="180" x14ac:dyDescent="0.25">
      <c r="A45" s="58" t="s">
        <v>639</v>
      </c>
      <c r="B45" t="str">
        <f>VLOOKUP(A45,[1]Sheet1!$B:$D,2,0)</f>
        <v>040000166860</v>
      </c>
      <c r="C45" s="57">
        <v>765</v>
      </c>
      <c r="D45" s="62">
        <f t="shared" si="1"/>
        <v>765</v>
      </c>
      <c r="E45" s="66" t="s">
        <v>713</v>
      </c>
      <c r="F45" s="63" t="str">
        <f t="shared" si="0"/>
        <v>insert into ins_premium_det (premium_rcv_code,assorted_code, rec_amount,premium_rcv_detail_code,remaining_amt, payrec, mode_code,coinsurance_code,class_cd,it_remarks) values</v>
      </c>
      <c r="G45" s="64" t="str">
        <f t="shared" si="2"/>
        <v>('20Aug240150','040000166860','765',(select max(to_number(i.premium_rcv_detail_code))+1
from ins_premium_det i),'765','765','02', '11000003','00','Request by Mr. Saqib Saleem 21-Aug-2024 sheet1');</v>
      </c>
      <c r="H45" s="65" t="str">
        <f t="shared" si="3"/>
        <v>insert into ins_premium_det (premium_rcv_code,assorted_code, rec_amount,premium_rcv_detail_code,remaining_amt, payrec, mode_code,coinsurance_code,class_cd,it_remarks) values('20Aug240150','040000166860','765',(select max(to_number(i.premium_rcv_detail_code))+1
from ins_premium_det i),'765','765','02', '11000003','00','Request by Mr. Saqib Saleem 21-Aug-2024 sheet1');</v>
      </c>
    </row>
    <row r="46" spans="1:8" ht="180" x14ac:dyDescent="0.25">
      <c r="A46" s="58" t="s">
        <v>640</v>
      </c>
      <c r="B46" t="str">
        <f>VLOOKUP(A46,[1]Sheet1!$B:$D,2,0)</f>
        <v>040000166861</v>
      </c>
      <c r="C46" s="57">
        <v>736</v>
      </c>
      <c r="D46" s="62">
        <f t="shared" si="1"/>
        <v>736</v>
      </c>
      <c r="E46" s="66" t="s">
        <v>713</v>
      </c>
      <c r="F46" s="63" t="str">
        <f t="shared" si="0"/>
        <v>insert into ins_premium_det (premium_rcv_code,assorted_code, rec_amount,premium_rcv_detail_code,remaining_amt, payrec, mode_code,coinsurance_code,class_cd,it_remarks) values</v>
      </c>
      <c r="G46" s="64" t="str">
        <f t="shared" si="2"/>
        <v>('20Aug240150','040000166861','736',(select max(to_number(i.premium_rcv_detail_code))+1
from ins_premium_det i),'736','736','02', '11000003','00','Request by Mr. Saqib Saleem 21-Aug-2024 sheet1');</v>
      </c>
      <c r="H46" s="65" t="str">
        <f t="shared" si="3"/>
        <v>insert into ins_premium_det (premium_rcv_code,assorted_code, rec_amount,premium_rcv_detail_code,remaining_amt, payrec, mode_code,coinsurance_code,class_cd,it_remarks) values('20Aug240150','040000166861','736',(select max(to_number(i.premium_rcv_detail_code))+1
from ins_premium_det i),'736','736','02', '11000003','00','Request by Mr. Saqib Saleem 21-Aug-2024 sheet1');</v>
      </c>
    </row>
    <row r="47" spans="1:8" ht="180" x14ac:dyDescent="0.25">
      <c r="A47" s="58" t="s">
        <v>641</v>
      </c>
      <c r="B47" t="str">
        <f>VLOOKUP(A47,[1]Sheet1!$B:$D,2,0)</f>
        <v>040000166862</v>
      </c>
      <c r="C47" s="57">
        <v>760</v>
      </c>
      <c r="D47" s="62">
        <f t="shared" si="1"/>
        <v>760</v>
      </c>
      <c r="E47" s="66" t="s">
        <v>713</v>
      </c>
      <c r="F47" s="63" t="str">
        <f t="shared" si="0"/>
        <v>insert into ins_premium_det (premium_rcv_code,assorted_code, rec_amount,premium_rcv_detail_code,remaining_amt, payrec, mode_code,coinsurance_code,class_cd,it_remarks) values</v>
      </c>
      <c r="G47" s="64" t="str">
        <f t="shared" si="2"/>
        <v>('20Aug240150','040000166862','760',(select max(to_number(i.premium_rcv_detail_code))+1
from ins_premium_det i),'760','760','02', '11000003','00','Request by Mr. Saqib Saleem 21-Aug-2024 sheet1');</v>
      </c>
      <c r="H47" s="65" t="str">
        <f t="shared" si="3"/>
        <v>insert into ins_premium_det (premium_rcv_code,assorted_code, rec_amount,premium_rcv_detail_code,remaining_amt, payrec, mode_code,coinsurance_code,class_cd,it_remarks) values('20Aug240150','040000166862','760',(select max(to_number(i.premium_rcv_detail_code))+1
from ins_premium_det i),'760','760','02', '11000003','00','Request by Mr. Saqib Saleem 21-Aug-2024 sheet1');</v>
      </c>
    </row>
    <row r="48" spans="1:8" ht="180" x14ac:dyDescent="0.25">
      <c r="A48" s="58" t="s">
        <v>642</v>
      </c>
      <c r="B48" t="str">
        <f>VLOOKUP(A48,[1]Sheet1!$B:$D,2,0)</f>
        <v>040000166863</v>
      </c>
      <c r="C48" s="57">
        <v>816</v>
      </c>
      <c r="D48" s="62">
        <f t="shared" si="1"/>
        <v>816</v>
      </c>
      <c r="E48" s="66" t="s">
        <v>713</v>
      </c>
      <c r="F48" s="63" t="str">
        <f t="shared" si="0"/>
        <v>insert into ins_premium_det (premium_rcv_code,assorted_code, rec_amount,premium_rcv_detail_code,remaining_amt, payrec, mode_code,coinsurance_code,class_cd,it_remarks) values</v>
      </c>
      <c r="G48" s="64" t="str">
        <f t="shared" si="2"/>
        <v>('20Aug240150','040000166863','816',(select max(to_number(i.premium_rcv_detail_code))+1
from ins_premium_det i),'816','816','02', '11000003','00','Request by Mr. Saqib Saleem 21-Aug-2024 sheet1');</v>
      </c>
      <c r="H48" s="65" t="str">
        <f t="shared" si="3"/>
        <v>insert into ins_premium_det (premium_rcv_code,assorted_code, rec_amount,premium_rcv_detail_code,remaining_amt, payrec, mode_code,coinsurance_code,class_cd,it_remarks) values('20Aug240150','040000166863','816',(select max(to_number(i.premium_rcv_detail_code))+1
from ins_premium_det i),'816','816','02', '11000003','00','Request by Mr. Saqib Saleem 21-Aug-2024 sheet1');</v>
      </c>
    </row>
    <row r="49" spans="1:8" ht="180" x14ac:dyDescent="0.25">
      <c r="A49" s="58" t="s">
        <v>643</v>
      </c>
      <c r="B49" t="str">
        <f>VLOOKUP(A49,[1]Sheet1!$B:$D,2,0)</f>
        <v>040000166864</v>
      </c>
      <c r="C49" s="57">
        <v>786</v>
      </c>
      <c r="D49" s="62">
        <f t="shared" si="1"/>
        <v>786</v>
      </c>
      <c r="E49" s="66" t="s">
        <v>713</v>
      </c>
      <c r="F49" s="63" t="str">
        <f t="shared" si="0"/>
        <v>insert into ins_premium_det (premium_rcv_code,assorted_code, rec_amount,premium_rcv_detail_code,remaining_amt, payrec, mode_code,coinsurance_code,class_cd,it_remarks) values</v>
      </c>
      <c r="G49" s="64" t="str">
        <f t="shared" si="2"/>
        <v>('20Aug240150','040000166864','786',(select max(to_number(i.premium_rcv_detail_code))+1
from ins_premium_det i),'786','786','02', '11000003','00','Request by Mr. Saqib Saleem 21-Aug-2024 sheet1');</v>
      </c>
      <c r="H49" s="65" t="str">
        <f t="shared" si="3"/>
        <v>insert into ins_premium_det (premium_rcv_code,assorted_code, rec_amount,premium_rcv_detail_code,remaining_amt, payrec, mode_code,coinsurance_code,class_cd,it_remarks) values('20Aug240150','040000166864','786',(select max(to_number(i.premium_rcv_detail_code))+1
from ins_premium_det i),'786','786','02', '11000003','00','Request by Mr. Saqib Saleem 21-Aug-2024 sheet1');</v>
      </c>
    </row>
    <row r="50" spans="1:8" ht="180" x14ac:dyDescent="0.25">
      <c r="A50" s="58" t="s">
        <v>644</v>
      </c>
      <c r="B50" t="str">
        <f>VLOOKUP(A50,[1]Sheet1!$B:$D,2,0)</f>
        <v>040000166865</v>
      </c>
      <c r="C50" s="57">
        <v>812</v>
      </c>
      <c r="D50" s="62">
        <f t="shared" si="1"/>
        <v>812</v>
      </c>
      <c r="E50" s="66" t="s">
        <v>713</v>
      </c>
      <c r="F50" s="63" t="str">
        <f t="shared" si="0"/>
        <v>insert into ins_premium_det (premium_rcv_code,assorted_code, rec_amount,premium_rcv_detail_code,remaining_amt, payrec, mode_code,coinsurance_code,class_cd,it_remarks) values</v>
      </c>
      <c r="G50" s="64" t="str">
        <f t="shared" si="2"/>
        <v>('20Aug240150','040000166865','812',(select max(to_number(i.premium_rcv_detail_code))+1
from ins_premium_det i),'812','812','02', '11000003','00','Request by Mr. Saqib Saleem 21-Aug-2024 sheet1');</v>
      </c>
      <c r="H50" s="65" t="str">
        <f t="shared" si="3"/>
        <v>insert into ins_premium_det (premium_rcv_code,assorted_code, rec_amount,premium_rcv_detail_code,remaining_amt, payrec, mode_code,coinsurance_code,class_cd,it_remarks) values('20Aug240150','040000166865','812',(select max(to_number(i.premium_rcv_detail_code))+1
from ins_premium_det i),'812','812','02', '11000003','00','Request by Mr. Saqib Saleem 21-Aug-2024 sheet1');</v>
      </c>
    </row>
    <row r="51" spans="1:8" ht="180" x14ac:dyDescent="0.25">
      <c r="A51" s="58" t="s">
        <v>645</v>
      </c>
      <c r="B51" t="str">
        <f>VLOOKUP(A51,[1]Sheet1!$B:$D,2,0)</f>
        <v>040000166866</v>
      </c>
      <c r="C51" s="57">
        <v>816</v>
      </c>
      <c r="D51" s="62">
        <f t="shared" si="1"/>
        <v>816</v>
      </c>
      <c r="E51" s="66" t="s">
        <v>713</v>
      </c>
      <c r="F51" s="63" t="str">
        <f t="shared" si="0"/>
        <v>insert into ins_premium_det (premium_rcv_code,assorted_code, rec_amount,premium_rcv_detail_code,remaining_amt, payrec, mode_code,coinsurance_code,class_cd,it_remarks) values</v>
      </c>
      <c r="G51" s="64" t="str">
        <f t="shared" si="2"/>
        <v>('20Aug240150','040000166866','816',(select max(to_number(i.premium_rcv_detail_code))+1
from ins_premium_det i),'816','816','02', '11000003','00','Request by Mr. Saqib Saleem 21-Aug-2024 sheet1');</v>
      </c>
      <c r="H51" s="65" t="str">
        <f t="shared" si="3"/>
        <v>insert into ins_premium_det (premium_rcv_code,assorted_code, rec_amount,premium_rcv_detail_code,remaining_amt, payrec, mode_code,coinsurance_code,class_cd,it_remarks) values('20Aug240150','040000166866','816',(select max(to_number(i.premium_rcv_detail_code))+1
from ins_premium_det i),'816','816','02', '11000003','00','Request by Mr. Saqib Saleem 21-Aug-2024 sheet1');</v>
      </c>
    </row>
    <row r="52" spans="1:8" ht="180" x14ac:dyDescent="0.25">
      <c r="A52" s="58" t="s">
        <v>646</v>
      </c>
      <c r="B52" t="str">
        <f>VLOOKUP(A52,[1]Sheet1!$B:$D,2,0)</f>
        <v>040000166867</v>
      </c>
      <c r="C52" s="57">
        <v>838</v>
      </c>
      <c r="D52" s="62">
        <f t="shared" si="1"/>
        <v>838</v>
      </c>
      <c r="E52" s="66" t="s">
        <v>713</v>
      </c>
      <c r="F52" s="63" t="str">
        <f t="shared" si="0"/>
        <v>insert into ins_premium_det (premium_rcv_code,assorted_code, rec_amount,premium_rcv_detail_code,remaining_amt, payrec, mode_code,coinsurance_code,class_cd,it_remarks) values</v>
      </c>
      <c r="G52" s="64" t="str">
        <f t="shared" si="2"/>
        <v>('20Aug240150','040000166867','838',(select max(to_number(i.premium_rcv_detail_code))+1
from ins_premium_det i),'838','838','02', '11000003','00','Request by Mr. Saqib Saleem 21-Aug-2024 sheet1');</v>
      </c>
      <c r="H52" s="65" t="str">
        <f t="shared" si="3"/>
        <v>insert into ins_premium_det (premium_rcv_code,assorted_code, rec_amount,premium_rcv_detail_code,remaining_amt, payrec, mode_code,coinsurance_code,class_cd,it_remarks) values('20Aug240150','040000166867','838',(select max(to_number(i.premium_rcv_detail_code))+1
from ins_premium_det i),'838','838','02', '11000003','00','Request by Mr. Saqib Saleem 21-Aug-2024 sheet1');</v>
      </c>
    </row>
    <row r="53" spans="1:8" ht="180" x14ac:dyDescent="0.25">
      <c r="A53" s="58" t="s">
        <v>647</v>
      </c>
      <c r="B53" t="str">
        <f>VLOOKUP(A53,[1]Sheet1!$B:$D,2,0)</f>
        <v>040000166868</v>
      </c>
      <c r="C53" s="57">
        <v>849</v>
      </c>
      <c r="D53" s="62">
        <f t="shared" si="1"/>
        <v>849</v>
      </c>
      <c r="E53" s="66" t="s">
        <v>713</v>
      </c>
      <c r="F53" s="63" t="str">
        <f t="shared" si="0"/>
        <v>insert into ins_premium_det (premium_rcv_code,assorted_code, rec_amount,premium_rcv_detail_code,remaining_amt, payrec, mode_code,coinsurance_code,class_cd,it_remarks) values</v>
      </c>
      <c r="G53" s="64" t="str">
        <f t="shared" si="2"/>
        <v>('20Aug240150','040000166868','849',(select max(to_number(i.premium_rcv_detail_code))+1
from ins_premium_det i),'849','849','02', '11000003','00','Request by Mr. Saqib Saleem 21-Aug-2024 sheet1');</v>
      </c>
      <c r="H53" s="65" t="str">
        <f t="shared" si="3"/>
        <v>insert into ins_premium_det (premium_rcv_code,assorted_code, rec_amount,premium_rcv_detail_code,remaining_amt, payrec, mode_code,coinsurance_code,class_cd,it_remarks) values('20Aug240150','040000166868','849',(select max(to_number(i.premium_rcv_detail_code))+1
from ins_premium_det i),'849','849','02', '11000003','00','Request by Mr. Saqib Saleem 21-Aug-2024 sheet1');</v>
      </c>
    </row>
    <row r="54" spans="1:8" ht="180" x14ac:dyDescent="0.25">
      <c r="A54" s="58" t="s">
        <v>648</v>
      </c>
      <c r="B54" t="str">
        <f>VLOOKUP(A54,[1]Sheet1!$B:$D,2,0)</f>
        <v>040000166869</v>
      </c>
      <c r="C54" s="57">
        <v>847</v>
      </c>
      <c r="D54" s="62">
        <f t="shared" si="1"/>
        <v>847</v>
      </c>
      <c r="E54" s="66" t="s">
        <v>713</v>
      </c>
      <c r="F54" s="63" t="str">
        <f t="shared" si="0"/>
        <v>insert into ins_premium_det (premium_rcv_code,assorted_code, rec_amount,premium_rcv_detail_code,remaining_amt, payrec, mode_code,coinsurance_code,class_cd,it_remarks) values</v>
      </c>
      <c r="G54" s="64" t="str">
        <f t="shared" si="2"/>
        <v>('20Aug240150','040000166869','847',(select max(to_number(i.premium_rcv_detail_code))+1
from ins_premium_det i),'847','847','02', '11000003','00','Request by Mr. Saqib Saleem 21-Aug-2024 sheet1');</v>
      </c>
      <c r="H54" s="65" t="str">
        <f t="shared" si="3"/>
        <v>insert into ins_premium_det (premium_rcv_code,assorted_code, rec_amount,premium_rcv_detail_code,remaining_amt, payrec, mode_code,coinsurance_code,class_cd,it_remarks) values('20Aug240150','040000166869','847',(select max(to_number(i.premium_rcv_detail_code))+1
from ins_premium_det i),'847','847','02', '11000003','00','Request by Mr. Saqib Saleem 21-Aug-2024 sheet1');</v>
      </c>
    </row>
    <row r="55" spans="1:8" ht="180" x14ac:dyDescent="0.25">
      <c r="A55" s="58" t="s">
        <v>649</v>
      </c>
      <c r="B55" t="str">
        <f>VLOOKUP(A55,[1]Sheet1!$B:$D,2,0)</f>
        <v>040000166870</v>
      </c>
      <c r="C55" s="57">
        <v>845</v>
      </c>
      <c r="D55" s="62">
        <f t="shared" si="1"/>
        <v>845</v>
      </c>
      <c r="E55" s="66" t="s">
        <v>713</v>
      </c>
      <c r="F55" s="63" t="str">
        <f t="shared" si="0"/>
        <v>insert into ins_premium_det (premium_rcv_code,assorted_code, rec_amount,premium_rcv_detail_code,remaining_amt, payrec, mode_code,coinsurance_code,class_cd,it_remarks) values</v>
      </c>
      <c r="G55" s="64" t="str">
        <f t="shared" si="2"/>
        <v>('20Aug240150','040000166870','845',(select max(to_number(i.premium_rcv_detail_code))+1
from ins_premium_det i),'845','845','02', '11000003','00','Request by Mr. Saqib Saleem 21-Aug-2024 sheet1');</v>
      </c>
      <c r="H55" s="65" t="str">
        <f t="shared" si="3"/>
        <v>insert into ins_premium_det (premium_rcv_code,assorted_code, rec_amount,premium_rcv_detail_code,remaining_amt, payrec, mode_code,coinsurance_code,class_cd,it_remarks) values('20Aug240150','040000166870','845',(select max(to_number(i.premium_rcv_detail_code))+1
from ins_premium_det i),'845','845','02', '11000003','00','Request by Mr. Saqib Saleem 21-Aug-2024 sheet1');</v>
      </c>
    </row>
    <row r="56" spans="1:8" ht="180" x14ac:dyDescent="0.25">
      <c r="A56" s="58" t="s">
        <v>650</v>
      </c>
      <c r="B56" t="str">
        <f>VLOOKUP(A56,[1]Sheet1!$B:$D,2,0)</f>
        <v>040000166871</v>
      </c>
      <c r="C56" s="57">
        <v>850</v>
      </c>
      <c r="D56" s="62">
        <f t="shared" si="1"/>
        <v>850</v>
      </c>
      <c r="E56" s="66" t="s">
        <v>713</v>
      </c>
      <c r="F56" s="63" t="str">
        <f t="shared" si="0"/>
        <v>insert into ins_premium_det (premium_rcv_code,assorted_code, rec_amount,premium_rcv_detail_code,remaining_amt, payrec, mode_code,coinsurance_code,class_cd,it_remarks) values</v>
      </c>
      <c r="G56" s="64" t="str">
        <f t="shared" si="2"/>
        <v>('20Aug240150','040000166871','850',(select max(to_number(i.premium_rcv_detail_code))+1
from ins_premium_det i),'850','850','02', '11000003','00','Request by Mr. Saqib Saleem 21-Aug-2024 sheet1');</v>
      </c>
      <c r="H56" s="65" t="str">
        <f t="shared" si="3"/>
        <v>insert into ins_premium_det (premium_rcv_code,assorted_code, rec_amount,premium_rcv_detail_code,remaining_amt, payrec, mode_code,coinsurance_code,class_cd,it_remarks) values('20Aug240150','040000166871','850',(select max(to_number(i.premium_rcv_detail_code))+1
from ins_premium_det i),'850','850','02', '11000003','00','Request by Mr. Saqib Saleem 21-Aug-2024 sheet1');</v>
      </c>
    </row>
    <row r="57" spans="1:8" ht="180" x14ac:dyDescent="0.25">
      <c r="A57" s="58" t="s">
        <v>651</v>
      </c>
      <c r="B57" t="str">
        <f>VLOOKUP(A57,[1]Sheet1!$B:$D,2,0)</f>
        <v>040000166872</v>
      </c>
      <c r="C57" s="57">
        <v>850</v>
      </c>
      <c r="D57" s="62">
        <f t="shared" si="1"/>
        <v>850</v>
      </c>
      <c r="E57" s="66" t="s">
        <v>713</v>
      </c>
      <c r="F57" s="63" t="str">
        <f t="shared" si="0"/>
        <v>insert into ins_premium_det (premium_rcv_code,assorted_code, rec_amount,premium_rcv_detail_code,remaining_amt, payrec, mode_code,coinsurance_code,class_cd,it_remarks) values</v>
      </c>
      <c r="G57" s="64" t="str">
        <f t="shared" si="2"/>
        <v>('20Aug240150','040000166872','850',(select max(to_number(i.premium_rcv_detail_code))+1
from ins_premium_det i),'850','850','02', '11000003','00','Request by Mr. Saqib Saleem 21-Aug-2024 sheet1');</v>
      </c>
      <c r="H57" s="65" t="str">
        <f t="shared" si="3"/>
        <v>insert into ins_premium_det (premium_rcv_code,assorted_code, rec_amount,premium_rcv_detail_code,remaining_amt, payrec, mode_code,coinsurance_code,class_cd,it_remarks) values('20Aug240150','040000166872','850',(select max(to_number(i.premium_rcv_detail_code))+1
from ins_premium_det i),'850','850','02', '11000003','00','Request by Mr. Saqib Saleem 21-Aug-2024 sheet1');</v>
      </c>
    </row>
    <row r="58" spans="1:8" ht="180" x14ac:dyDescent="0.25">
      <c r="A58" s="58" t="s">
        <v>652</v>
      </c>
      <c r="B58" t="str">
        <f>VLOOKUP(A58,[1]Sheet1!$B:$D,2,0)</f>
        <v>040000166873</v>
      </c>
      <c r="C58" s="57">
        <v>757</v>
      </c>
      <c r="D58" s="62">
        <f t="shared" si="1"/>
        <v>757</v>
      </c>
      <c r="E58" s="66" t="s">
        <v>713</v>
      </c>
      <c r="F58" s="63" t="str">
        <f t="shared" si="0"/>
        <v>insert into ins_premium_det (premium_rcv_code,assorted_code, rec_amount,premium_rcv_detail_code,remaining_amt, payrec, mode_code,coinsurance_code,class_cd,it_remarks) values</v>
      </c>
      <c r="G58" s="64" t="str">
        <f t="shared" si="2"/>
        <v>('20Aug240150','040000166873','757',(select max(to_number(i.premium_rcv_detail_code))+1
from ins_premium_det i),'757','757','02', '11000003','00','Request by Mr. Saqib Saleem 21-Aug-2024 sheet1');</v>
      </c>
      <c r="H58" s="65" t="str">
        <f t="shared" si="3"/>
        <v>insert into ins_premium_det (premium_rcv_code,assorted_code, rec_amount,premium_rcv_detail_code,remaining_amt, payrec, mode_code,coinsurance_code,class_cd,it_remarks) values('20Aug240150','040000166873','757',(select max(to_number(i.premium_rcv_detail_code))+1
from ins_premium_det i),'757','757','02', '11000003','00','Request by Mr. Saqib Saleem 21-Aug-2024 sheet1');</v>
      </c>
    </row>
    <row r="59" spans="1:8" ht="180" x14ac:dyDescent="0.25">
      <c r="A59" s="58" t="s">
        <v>653</v>
      </c>
      <c r="B59" t="str">
        <f>VLOOKUP(A59,[1]Sheet1!$B:$D,2,0)</f>
        <v>040000166874</v>
      </c>
      <c r="C59" s="57">
        <v>908</v>
      </c>
      <c r="D59" s="62">
        <f t="shared" si="1"/>
        <v>908</v>
      </c>
      <c r="E59" s="66" t="s">
        <v>713</v>
      </c>
      <c r="F59" s="63" t="str">
        <f t="shared" si="0"/>
        <v>insert into ins_premium_det (premium_rcv_code,assorted_code, rec_amount,premium_rcv_detail_code,remaining_amt, payrec, mode_code,coinsurance_code,class_cd,it_remarks) values</v>
      </c>
      <c r="G59" s="64" t="str">
        <f t="shared" si="2"/>
        <v>('20Aug240150','040000166874','908',(select max(to_number(i.premium_rcv_detail_code))+1
from ins_premium_det i),'908','908','02', '11000003','00','Request by Mr. Saqib Saleem 21-Aug-2024 sheet1');</v>
      </c>
      <c r="H59" s="65" t="str">
        <f t="shared" si="3"/>
        <v>insert into ins_premium_det (premium_rcv_code,assorted_code, rec_amount,premium_rcv_detail_code,remaining_amt, payrec, mode_code,coinsurance_code,class_cd,it_remarks) values('20Aug240150','040000166874','908',(select max(to_number(i.premium_rcv_detail_code))+1
from ins_premium_det i),'908','908','02', '11000003','00','Request by Mr. Saqib Saleem 21-Aug-2024 sheet1');</v>
      </c>
    </row>
    <row r="60" spans="1:8" ht="195" x14ac:dyDescent="0.25">
      <c r="A60" s="58" t="s">
        <v>654</v>
      </c>
      <c r="B60" t="str">
        <f>VLOOKUP(A60,[1]Sheet1!$B:$D,2,0)</f>
        <v>040000166875</v>
      </c>
      <c r="C60" s="57">
        <v>1001</v>
      </c>
      <c r="D60" s="62">
        <f t="shared" si="1"/>
        <v>1001</v>
      </c>
      <c r="E60" s="66" t="s">
        <v>713</v>
      </c>
      <c r="F60" s="63" t="str">
        <f t="shared" si="0"/>
        <v>insert into ins_premium_det (premium_rcv_code,assorted_code, rec_amount,premium_rcv_detail_code,remaining_amt, payrec, mode_code,coinsurance_code,class_cd,it_remarks) values</v>
      </c>
      <c r="G60" s="64" t="str">
        <f t="shared" si="2"/>
        <v>('20Aug240150','040000166875','1001',(select max(to_number(i.premium_rcv_detail_code))+1
from ins_premium_det i),'1001','1001','02', '11000003','00','Request by Mr. Saqib Saleem 21-Aug-2024 sheet1');</v>
      </c>
      <c r="H60" s="65" t="str">
        <f t="shared" si="3"/>
        <v>insert into ins_premium_det (premium_rcv_code,assorted_code, rec_amount,premium_rcv_detail_code,remaining_amt, payrec, mode_code,coinsurance_code,class_cd,it_remarks) values('20Aug240150','040000166875','1001',(select max(to_number(i.premium_rcv_detail_code))+1
from ins_premium_det i),'1001','1001','02', '11000003','00','Request by Mr. Saqib Saleem 21-Aug-2024 sheet1');</v>
      </c>
    </row>
    <row r="61" spans="1:8" ht="180" x14ac:dyDescent="0.25">
      <c r="A61" s="58" t="s">
        <v>655</v>
      </c>
      <c r="B61" t="str">
        <f>VLOOKUP(A61,[1]Sheet1!$B:$D,2,0)</f>
        <v>040000166876</v>
      </c>
      <c r="C61" s="57">
        <v>995</v>
      </c>
      <c r="D61" s="62">
        <f t="shared" si="1"/>
        <v>995</v>
      </c>
      <c r="E61" s="66" t="s">
        <v>713</v>
      </c>
      <c r="F61" s="63" t="str">
        <f t="shared" si="0"/>
        <v>insert into ins_premium_det (premium_rcv_code,assorted_code, rec_amount,premium_rcv_detail_code,remaining_amt, payrec, mode_code,coinsurance_code,class_cd,it_remarks) values</v>
      </c>
      <c r="G61" s="64" t="str">
        <f t="shared" si="2"/>
        <v>('20Aug240150','040000166876','995',(select max(to_number(i.premium_rcv_detail_code))+1
from ins_premium_det i),'995','995','02', '11000003','00','Request by Mr. Saqib Saleem 21-Aug-2024 sheet1');</v>
      </c>
      <c r="H61" s="65" t="str">
        <f t="shared" si="3"/>
        <v>insert into ins_premium_det (premium_rcv_code,assorted_code, rec_amount,premium_rcv_detail_code,remaining_amt, payrec, mode_code,coinsurance_code,class_cd,it_remarks) values('20Aug240150','040000166876','995',(select max(to_number(i.premium_rcv_detail_code))+1
from ins_premium_det i),'995','995','02', '11000003','00','Request by Mr. Saqib Saleem 21-Aug-2024 sheet1');</v>
      </c>
    </row>
    <row r="62" spans="1:8" ht="180" x14ac:dyDescent="0.25">
      <c r="A62" s="58" t="s">
        <v>656</v>
      </c>
      <c r="B62" t="str">
        <f>VLOOKUP(A62,[1]Sheet1!$B:$D,2,0)</f>
        <v>040000166877</v>
      </c>
      <c r="C62" s="57">
        <v>948</v>
      </c>
      <c r="D62" s="62">
        <f t="shared" si="1"/>
        <v>948</v>
      </c>
      <c r="E62" s="66" t="s">
        <v>713</v>
      </c>
      <c r="F62" s="63" t="str">
        <f t="shared" si="0"/>
        <v>insert into ins_premium_det (premium_rcv_code,assorted_code, rec_amount,premium_rcv_detail_code,remaining_amt, payrec, mode_code,coinsurance_code,class_cd,it_remarks) values</v>
      </c>
      <c r="G62" s="64" t="str">
        <f t="shared" si="2"/>
        <v>('20Aug240150','040000166877','948',(select max(to_number(i.premium_rcv_detail_code))+1
from ins_premium_det i),'948','948','02', '11000003','00','Request by Mr. Saqib Saleem 21-Aug-2024 sheet1');</v>
      </c>
      <c r="H62" s="65" t="str">
        <f t="shared" si="3"/>
        <v>insert into ins_premium_det (premium_rcv_code,assorted_code, rec_amount,premium_rcv_detail_code,remaining_amt, payrec, mode_code,coinsurance_code,class_cd,it_remarks) values('20Aug240150','040000166877','948',(select max(to_number(i.premium_rcv_detail_code))+1
from ins_premium_det i),'948','948','02', '11000003','00','Request by Mr. Saqib Saleem 21-Aug-2024 sheet1');</v>
      </c>
    </row>
    <row r="63" spans="1:8" ht="180" x14ac:dyDescent="0.25">
      <c r="A63" s="58" t="s">
        <v>657</v>
      </c>
      <c r="B63" t="str">
        <f>VLOOKUP(A63,[1]Sheet1!$B:$D,2,0)</f>
        <v>040000166878</v>
      </c>
      <c r="C63" s="57">
        <v>671</v>
      </c>
      <c r="D63" s="62">
        <f t="shared" si="1"/>
        <v>671</v>
      </c>
      <c r="E63" s="66" t="s">
        <v>713</v>
      </c>
      <c r="F63" s="63" t="str">
        <f t="shared" si="0"/>
        <v>insert into ins_premium_det (premium_rcv_code,assorted_code, rec_amount,premium_rcv_detail_code,remaining_amt, payrec, mode_code,coinsurance_code,class_cd,it_remarks) values</v>
      </c>
      <c r="G63" s="64" t="str">
        <f t="shared" si="2"/>
        <v>('20Aug240150','040000166878','671',(select max(to_number(i.premium_rcv_detail_code))+1
from ins_premium_det i),'671','671','02', '11000003','00','Request by Mr. Saqib Saleem 21-Aug-2024 sheet1');</v>
      </c>
      <c r="H63" s="65" t="str">
        <f t="shared" si="3"/>
        <v>insert into ins_premium_det (premium_rcv_code,assorted_code, rec_amount,premium_rcv_detail_code,remaining_amt, payrec, mode_code,coinsurance_code,class_cd,it_remarks) values('20Aug240150','040000166878','671',(select max(to_number(i.premium_rcv_detail_code))+1
from ins_premium_det i),'671','671','02', '11000003','00','Request by Mr. Saqib Saleem 21-Aug-2024 sheet1');</v>
      </c>
    </row>
    <row r="64" spans="1:8" ht="180" x14ac:dyDescent="0.25">
      <c r="A64" s="58" t="s">
        <v>658</v>
      </c>
      <c r="B64" t="str">
        <f>VLOOKUP(A64,[1]Sheet1!$B:$D,2,0)</f>
        <v>040000166879</v>
      </c>
      <c r="C64" s="57">
        <v>917</v>
      </c>
      <c r="D64" s="62">
        <f t="shared" si="1"/>
        <v>917</v>
      </c>
      <c r="E64" s="66" t="s">
        <v>713</v>
      </c>
      <c r="F64" s="63" t="str">
        <f t="shared" si="0"/>
        <v>insert into ins_premium_det (premium_rcv_code,assorted_code, rec_amount,premium_rcv_detail_code,remaining_amt, payrec, mode_code,coinsurance_code,class_cd,it_remarks) values</v>
      </c>
      <c r="G64" s="64" t="str">
        <f t="shared" si="2"/>
        <v>('20Aug240150','040000166879','917',(select max(to_number(i.premium_rcv_detail_code))+1
from ins_premium_det i),'917','917','02', '11000003','00','Request by Mr. Saqib Saleem 21-Aug-2024 sheet1');</v>
      </c>
      <c r="H64" s="65" t="str">
        <f t="shared" si="3"/>
        <v>insert into ins_premium_det (premium_rcv_code,assorted_code, rec_amount,premium_rcv_detail_code,remaining_amt, payrec, mode_code,coinsurance_code,class_cd,it_remarks) values('20Aug240150','040000166879','917',(select max(to_number(i.premium_rcv_detail_code))+1
from ins_premium_det i),'917','917','02', '11000003','00','Request by Mr. Saqib Saleem 21-Aug-2024 sheet1');</v>
      </c>
    </row>
    <row r="65" spans="1:8" ht="195" x14ac:dyDescent="0.25">
      <c r="A65" s="58" t="s">
        <v>659</v>
      </c>
      <c r="B65" t="str">
        <f>VLOOKUP(A65,[1]Sheet1!$B:$D,2,0)</f>
        <v>040000166880</v>
      </c>
      <c r="C65" s="57">
        <v>1075</v>
      </c>
      <c r="D65" s="62">
        <f t="shared" si="1"/>
        <v>1075</v>
      </c>
      <c r="E65" s="66" t="s">
        <v>713</v>
      </c>
      <c r="F65" s="63" t="str">
        <f t="shared" si="0"/>
        <v>insert into ins_premium_det (premium_rcv_code,assorted_code, rec_amount,premium_rcv_detail_code,remaining_amt, payrec, mode_code,coinsurance_code,class_cd,it_remarks) values</v>
      </c>
      <c r="G65" s="64" t="str">
        <f t="shared" si="2"/>
        <v>('20Aug240150','040000166880','1075',(select max(to_number(i.premium_rcv_detail_code))+1
from ins_premium_det i),'1075','1075','02', '11000003','00','Request by Mr. Saqib Saleem 21-Aug-2024 sheet1');</v>
      </c>
      <c r="H65" s="65" t="str">
        <f t="shared" si="3"/>
        <v>insert into ins_premium_det (premium_rcv_code,assorted_code, rec_amount,premium_rcv_detail_code,remaining_amt, payrec, mode_code,coinsurance_code,class_cd,it_remarks) values('20Aug240150','040000166880','1075',(select max(to_number(i.premium_rcv_detail_code))+1
from ins_premium_det i),'1075','1075','02', '11000003','00','Request by Mr. Saqib Saleem 21-Aug-2024 sheet1');</v>
      </c>
    </row>
    <row r="66" spans="1:8" ht="195" x14ac:dyDescent="0.25">
      <c r="A66" s="58" t="s">
        <v>660</v>
      </c>
      <c r="B66" t="str">
        <f>VLOOKUP(A66,[1]Sheet1!$B:$D,2,0)</f>
        <v>040000166881</v>
      </c>
      <c r="C66" s="57">
        <v>1079</v>
      </c>
      <c r="D66" s="62">
        <f t="shared" si="1"/>
        <v>1079</v>
      </c>
      <c r="E66" s="66" t="s">
        <v>713</v>
      </c>
      <c r="F66" s="63" t="str">
        <f t="shared" ref="F66:F113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64" t="str">
        <f t="shared" si="2"/>
        <v>('20Aug240150','040000166881','1079',(select max(to_number(i.premium_rcv_detail_code))+1
from ins_premium_det i),'1079','1079','02', '11000003','00','Request by Mr. Saqib Saleem 21-Aug-2024 sheet1');</v>
      </c>
      <c r="H66" s="65" t="str">
        <f t="shared" si="3"/>
        <v>insert into ins_premium_det (premium_rcv_code,assorted_code, rec_amount,premium_rcv_detail_code,remaining_amt, payrec, mode_code,coinsurance_code,class_cd,it_remarks) values('20Aug240150','040000166881','1079',(select max(to_number(i.premium_rcv_detail_code))+1
from ins_premium_det i),'1079','1079','02', '11000003','00','Request by Mr. Saqib Saleem 21-Aug-2024 sheet1');</v>
      </c>
    </row>
    <row r="67" spans="1:8" ht="180" x14ac:dyDescent="0.25">
      <c r="A67" s="58" t="s">
        <v>661</v>
      </c>
      <c r="B67" t="str">
        <f>VLOOKUP(A67,[1]Sheet1!$B:$D,2,0)</f>
        <v>040000166882</v>
      </c>
      <c r="C67" s="57">
        <v>551</v>
      </c>
      <c r="D67" s="62">
        <f t="shared" ref="D67:D113" si="5">ROUND(C67,0)</f>
        <v>551</v>
      </c>
      <c r="E67" s="66" t="s">
        <v>713</v>
      </c>
      <c r="F67" s="63" t="str">
        <f t="shared" si="4"/>
        <v>insert into ins_premium_det (premium_rcv_code,assorted_code, rec_amount,premium_rcv_detail_code,remaining_amt, payrec, mode_code,coinsurance_code,class_cd,it_remarks) values</v>
      </c>
      <c r="G67" s="64" t="str">
        <f t="shared" ref="G67:G113" si="6">"('"&amp;E67&amp;"','"&amp;B67&amp;"','"&amp;D67&amp;"',(select max(to_number(i.premium_rcv_detail_code))+1
from ins_premium_det i),'"&amp;D67&amp;"','"&amp;D67&amp;"','02', '11000003','00','Request by Mr. Saqib Saleem 21-Aug-2024 sheet1');"</f>
        <v>('20Aug240150','040000166882','551',(select max(to_number(i.premium_rcv_detail_code))+1
from ins_premium_det i),'551','551','02', '11000003','00','Request by Mr. Saqib Saleem 21-Aug-2024 sheet1');</v>
      </c>
      <c r="H67" s="65" t="str">
        <f t="shared" ref="H67:H113" si="7">F67&amp;G67</f>
        <v>insert into ins_premium_det (premium_rcv_code,assorted_code, rec_amount,premium_rcv_detail_code,remaining_amt, payrec, mode_code,coinsurance_code,class_cd,it_remarks) values('20Aug240150','040000166882','551',(select max(to_number(i.premium_rcv_detail_code))+1
from ins_premium_det i),'551','551','02', '11000003','00','Request by Mr. Saqib Saleem 21-Aug-2024 sheet1');</v>
      </c>
    </row>
    <row r="68" spans="1:8" ht="195" x14ac:dyDescent="0.25">
      <c r="A68" s="58" t="s">
        <v>662</v>
      </c>
      <c r="B68" t="str">
        <f>VLOOKUP(A68,[1]Sheet1!$B:$D,2,0)</f>
        <v>040000166883</v>
      </c>
      <c r="C68" s="57">
        <v>1130</v>
      </c>
      <c r="D68" s="62">
        <f t="shared" si="5"/>
        <v>1130</v>
      </c>
      <c r="E68" s="66" t="s">
        <v>713</v>
      </c>
      <c r="F68" s="63" t="str">
        <f t="shared" si="4"/>
        <v>insert into ins_premium_det (premium_rcv_code,assorted_code, rec_amount,premium_rcv_detail_code,remaining_amt, payrec, mode_code,coinsurance_code,class_cd,it_remarks) values</v>
      </c>
      <c r="G68" s="64" t="str">
        <f t="shared" si="6"/>
        <v>('20Aug240150','040000166883','1130',(select max(to_number(i.premium_rcv_detail_code))+1
from ins_premium_det i),'1130','1130','02', '11000003','00','Request by Mr. Saqib Saleem 21-Aug-2024 sheet1');</v>
      </c>
      <c r="H68" s="65" t="str">
        <f t="shared" si="7"/>
        <v>insert into ins_premium_det (premium_rcv_code,assorted_code, rec_amount,premium_rcv_detail_code,remaining_amt, payrec, mode_code,coinsurance_code,class_cd,it_remarks) values('20Aug240150','040000166883','1130',(select max(to_number(i.premium_rcv_detail_code))+1
from ins_premium_det i),'1130','1130','02', '11000003','00','Request by Mr. Saqib Saleem 21-Aug-2024 sheet1');</v>
      </c>
    </row>
    <row r="69" spans="1:8" ht="195" x14ac:dyDescent="0.25">
      <c r="A69" s="58" t="s">
        <v>663</v>
      </c>
      <c r="B69" t="str">
        <f>VLOOKUP(A69,[1]Sheet1!$B:$D,2,0)</f>
        <v>040000166884</v>
      </c>
      <c r="C69" s="57">
        <v>1129</v>
      </c>
      <c r="D69" s="62">
        <f t="shared" si="5"/>
        <v>1129</v>
      </c>
      <c r="E69" s="66" t="s">
        <v>713</v>
      </c>
      <c r="F69" s="63" t="str">
        <f t="shared" si="4"/>
        <v>insert into ins_premium_det (premium_rcv_code,assorted_code, rec_amount,premium_rcv_detail_code,remaining_amt, payrec, mode_code,coinsurance_code,class_cd,it_remarks) values</v>
      </c>
      <c r="G69" s="64" t="str">
        <f t="shared" si="6"/>
        <v>('20Aug240150','040000166884','1129',(select max(to_number(i.premium_rcv_detail_code))+1
from ins_premium_det i),'1129','1129','02', '11000003','00','Request by Mr. Saqib Saleem 21-Aug-2024 sheet1');</v>
      </c>
      <c r="H69" s="65" t="str">
        <f t="shared" si="7"/>
        <v>insert into ins_premium_det (premium_rcv_code,assorted_code, rec_amount,premium_rcv_detail_code,remaining_amt, payrec, mode_code,coinsurance_code,class_cd,it_remarks) values('20Aug240150','040000166884','1129',(select max(to_number(i.premium_rcv_detail_code))+1
from ins_premium_det i),'1129','1129','02', '11000003','00','Request by Mr. Saqib Saleem 21-Aug-2024 sheet1');</v>
      </c>
    </row>
    <row r="70" spans="1:8" ht="195" x14ac:dyDescent="0.25">
      <c r="A70" s="58" t="s">
        <v>664</v>
      </c>
      <c r="B70" t="str">
        <f>VLOOKUP(A70,[1]Sheet1!$B:$D,2,0)</f>
        <v>040000166885</v>
      </c>
      <c r="C70" s="57">
        <v>1150</v>
      </c>
      <c r="D70" s="62">
        <f t="shared" si="5"/>
        <v>1150</v>
      </c>
      <c r="E70" s="66" t="s">
        <v>713</v>
      </c>
      <c r="F70" s="63" t="str">
        <f t="shared" si="4"/>
        <v>insert into ins_premium_det (premium_rcv_code,assorted_code, rec_amount,premium_rcv_detail_code,remaining_amt, payrec, mode_code,coinsurance_code,class_cd,it_remarks) values</v>
      </c>
      <c r="G70" s="64" t="str">
        <f t="shared" si="6"/>
        <v>('20Aug240150','040000166885','1150',(select max(to_number(i.premium_rcv_detail_code))+1
from ins_premium_det i),'1150','1150','02', '11000003','00','Request by Mr. Saqib Saleem 21-Aug-2024 sheet1');</v>
      </c>
      <c r="H70" s="65" t="str">
        <f t="shared" si="7"/>
        <v>insert into ins_premium_det (premium_rcv_code,assorted_code, rec_amount,premium_rcv_detail_code,remaining_amt, payrec, mode_code,coinsurance_code,class_cd,it_remarks) values('20Aug240150','040000166885','1150',(select max(to_number(i.premium_rcv_detail_code))+1
from ins_premium_det i),'1150','1150','02', '11000003','00','Request by Mr. Saqib Saleem 21-Aug-2024 sheet1');</v>
      </c>
    </row>
    <row r="71" spans="1:8" ht="180" x14ac:dyDescent="0.25">
      <c r="A71" s="58" t="s">
        <v>665</v>
      </c>
      <c r="B71" t="str">
        <f>VLOOKUP(A71,[1]Sheet1!$B:$D,2,0)</f>
        <v>040000166886</v>
      </c>
      <c r="C71" s="57">
        <v>721</v>
      </c>
      <c r="D71" s="62">
        <f t="shared" si="5"/>
        <v>721</v>
      </c>
      <c r="E71" s="66" t="s">
        <v>713</v>
      </c>
      <c r="F71" s="63" t="str">
        <f t="shared" si="4"/>
        <v>insert into ins_premium_det (premium_rcv_code,assorted_code, rec_amount,premium_rcv_detail_code,remaining_amt, payrec, mode_code,coinsurance_code,class_cd,it_remarks) values</v>
      </c>
      <c r="G71" s="64" t="str">
        <f t="shared" si="6"/>
        <v>('20Aug240150','040000166886','721',(select max(to_number(i.premium_rcv_detail_code))+1
from ins_premium_det i),'721','721','02', '11000003','00','Request by Mr. Saqib Saleem 21-Aug-2024 sheet1');</v>
      </c>
      <c r="H71" s="65" t="str">
        <f t="shared" si="7"/>
        <v>insert into ins_premium_det (premium_rcv_code,assorted_code, rec_amount,premium_rcv_detail_code,remaining_amt, payrec, mode_code,coinsurance_code,class_cd,it_remarks) values('20Aug240150','040000166886','721',(select max(to_number(i.premium_rcv_detail_code))+1
from ins_premium_det i),'721','721','02', '11000003','00','Request by Mr. Saqib Saleem 21-Aug-2024 sheet1');</v>
      </c>
    </row>
    <row r="72" spans="1:8" ht="195" x14ac:dyDescent="0.25">
      <c r="A72" s="58" t="s">
        <v>666</v>
      </c>
      <c r="B72" t="str">
        <f>VLOOKUP(A72,[1]Sheet1!$B:$D,2,0)</f>
        <v>040000166887</v>
      </c>
      <c r="C72" s="57">
        <v>1162</v>
      </c>
      <c r="D72" s="62">
        <f t="shared" si="5"/>
        <v>1162</v>
      </c>
      <c r="E72" s="66" t="s">
        <v>713</v>
      </c>
      <c r="F72" s="63" t="str">
        <f t="shared" si="4"/>
        <v>insert into ins_premium_det (premium_rcv_code,assorted_code, rec_amount,premium_rcv_detail_code,remaining_amt, payrec, mode_code,coinsurance_code,class_cd,it_remarks) values</v>
      </c>
      <c r="G72" s="64" t="str">
        <f t="shared" si="6"/>
        <v>('20Aug240150','040000166887','1162',(select max(to_number(i.premium_rcv_detail_code))+1
from ins_premium_det i),'1162','1162','02', '11000003','00','Request by Mr. Saqib Saleem 21-Aug-2024 sheet1');</v>
      </c>
      <c r="H72" s="65" t="str">
        <f t="shared" si="7"/>
        <v>insert into ins_premium_det (premium_rcv_code,assorted_code, rec_amount,premium_rcv_detail_code,remaining_amt, payrec, mode_code,coinsurance_code,class_cd,it_remarks) values('20Aug240150','040000166887','1162',(select max(to_number(i.premium_rcv_detail_code))+1
from ins_premium_det i),'1162','1162','02', '11000003','00','Request by Mr. Saqib Saleem 21-Aug-2024 sheet1');</v>
      </c>
    </row>
    <row r="73" spans="1:8" ht="195" x14ac:dyDescent="0.25">
      <c r="A73" s="58" t="s">
        <v>667</v>
      </c>
      <c r="B73" t="str">
        <f>VLOOKUP(A73,[1]Sheet1!$B:$D,2,0)</f>
        <v>040000166888</v>
      </c>
      <c r="C73" s="57">
        <v>1142</v>
      </c>
      <c r="D73" s="62">
        <f t="shared" si="5"/>
        <v>1142</v>
      </c>
      <c r="E73" s="66" t="s">
        <v>713</v>
      </c>
      <c r="F73" s="63" t="str">
        <f t="shared" si="4"/>
        <v>insert into ins_premium_det (premium_rcv_code,assorted_code, rec_amount,premium_rcv_detail_code,remaining_amt, payrec, mode_code,coinsurance_code,class_cd,it_remarks) values</v>
      </c>
      <c r="G73" s="64" t="str">
        <f t="shared" si="6"/>
        <v>('20Aug240150','040000166888','1142',(select max(to_number(i.premium_rcv_detail_code))+1
from ins_premium_det i),'1142','1142','02', '11000003','00','Request by Mr. Saqib Saleem 21-Aug-2024 sheet1');</v>
      </c>
      <c r="H73" s="65" t="str">
        <f t="shared" si="7"/>
        <v>insert into ins_premium_det (premium_rcv_code,assorted_code, rec_amount,premium_rcv_detail_code,remaining_amt, payrec, mode_code,coinsurance_code,class_cd,it_remarks) values('20Aug240150','040000166888','1142',(select max(to_number(i.premium_rcv_detail_code))+1
from ins_premium_det i),'1142','1142','02', '11000003','00','Request by Mr. Saqib Saleem 21-Aug-2024 sheet1');</v>
      </c>
    </row>
    <row r="74" spans="1:8" ht="195" x14ac:dyDescent="0.25">
      <c r="A74" s="58" t="s">
        <v>668</v>
      </c>
      <c r="B74" t="str">
        <f>VLOOKUP(A74,[1]Sheet1!$B:$D,2,0)</f>
        <v>040000166889</v>
      </c>
      <c r="C74" s="57">
        <v>1228</v>
      </c>
      <c r="D74" s="62">
        <f t="shared" si="5"/>
        <v>1228</v>
      </c>
      <c r="E74" s="66" t="s">
        <v>713</v>
      </c>
      <c r="F74" s="63" t="str">
        <f t="shared" si="4"/>
        <v>insert into ins_premium_det (premium_rcv_code,assorted_code, rec_amount,premium_rcv_detail_code,remaining_amt, payrec, mode_code,coinsurance_code,class_cd,it_remarks) values</v>
      </c>
      <c r="G74" s="64" t="str">
        <f t="shared" si="6"/>
        <v>('20Aug240150','040000166889','1228',(select max(to_number(i.premium_rcv_detail_code))+1
from ins_premium_det i),'1228','1228','02', '11000003','00','Request by Mr. Saqib Saleem 21-Aug-2024 sheet1');</v>
      </c>
      <c r="H74" s="65" t="str">
        <f t="shared" si="7"/>
        <v>insert into ins_premium_det (premium_rcv_code,assorted_code, rec_amount,premium_rcv_detail_code,remaining_amt, payrec, mode_code,coinsurance_code,class_cd,it_remarks) values('20Aug240150','040000166889','1228',(select max(to_number(i.premium_rcv_detail_code))+1
from ins_premium_det i),'1228','1228','02', '11000003','00','Request by Mr. Saqib Saleem 21-Aug-2024 sheet1');</v>
      </c>
    </row>
    <row r="75" spans="1:8" ht="195" x14ac:dyDescent="0.25">
      <c r="A75" s="58" t="s">
        <v>669</v>
      </c>
      <c r="B75" t="str">
        <f>VLOOKUP(A75,[1]Sheet1!$B:$D,2,0)</f>
        <v>040000166890</v>
      </c>
      <c r="C75" s="57">
        <v>1268</v>
      </c>
      <c r="D75" s="62">
        <f t="shared" si="5"/>
        <v>1268</v>
      </c>
      <c r="E75" s="66" t="s">
        <v>713</v>
      </c>
      <c r="F75" s="63" t="str">
        <f t="shared" si="4"/>
        <v>insert into ins_premium_det (premium_rcv_code,assorted_code, rec_amount,premium_rcv_detail_code,remaining_amt, payrec, mode_code,coinsurance_code,class_cd,it_remarks) values</v>
      </c>
      <c r="G75" s="64" t="str">
        <f t="shared" si="6"/>
        <v>('20Aug240150','040000166890','1268',(select max(to_number(i.premium_rcv_detail_code))+1
from ins_premium_det i),'1268','1268','02', '11000003','00','Request by Mr. Saqib Saleem 21-Aug-2024 sheet1');</v>
      </c>
      <c r="H75" s="65" t="str">
        <f t="shared" si="7"/>
        <v>insert into ins_premium_det (premium_rcv_code,assorted_code, rec_amount,premium_rcv_detail_code,remaining_amt, payrec, mode_code,coinsurance_code,class_cd,it_remarks) values('20Aug240150','040000166890','1268',(select max(to_number(i.premium_rcv_detail_code))+1
from ins_premium_det i),'1268','1268','02', '11000003','00','Request by Mr. Saqib Saleem 21-Aug-2024 sheet1');</v>
      </c>
    </row>
    <row r="76" spans="1:8" ht="195" x14ac:dyDescent="0.25">
      <c r="A76" s="58" t="s">
        <v>670</v>
      </c>
      <c r="B76" t="str">
        <f>VLOOKUP(A76,[1]Sheet1!$B:$D,2,0)</f>
        <v>040000166891</v>
      </c>
      <c r="C76" s="57">
        <v>1336</v>
      </c>
      <c r="D76" s="62">
        <f t="shared" si="5"/>
        <v>1336</v>
      </c>
      <c r="E76" s="66" t="s">
        <v>713</v>
      </c>
      <c r="F76" s="63" t="str">
        <f t="shared" si="4"/>
        <v>insert into ins_premium_det (premium_rcv_code,assorted_code, rec_amount,premium_rcv_detail_code,remaining_amt, payrec, mode_code,coinsurance_code,class_cd,it_remarks) values</v>
      </c>
      <c r="G76" s="64" t="str">
        <f t="shared" si="6"/>
        <v>('20Aug240150','040000166891','1336',(select max(to_number(i.premium_rcv_detail_code))+1
from ins_premium_det i),'1336','1336','02', '11000003','00','Request by Mr. Saqib Saleem 21-Aug-2024 sheet1');</v>
      </c>
      <c r="H76" s="65" t="str">
        <f t="shared" si="7"/>
        <v>insert into ins_premium_det (premium_rcv_code,assorted_code, rec_amount,premium_rcv_detail_code,remaining_amt, payrec, mode_code,coinsurance_code,class_cd,it_remarks) values('20Aug240150','040000166891','1336',(select max(to_number(i.premium_rcv_detail_code))+1
from ins_premium_det i),'1336','1336','02', '11000003','00','Request by Mr. Saqib Saleem 21-Aug-2024 sheet1');</v>
      </c>
    </row>
    <row r="77" spans="1:8" ht="195" x14ac:dyDescent="0.25">
      <c r="A77" s="58" t="s">
        <v>671</v>
      </c>
      <c r="B77" t="str">
        <f>VLOOKUP(A77,[1]Sheet1!$B:$D,2,0)</f>
        <v>040000166892</v>
      </c>
      <c r="C77" s="57">
        <v>1376</v>
      </c>
      <c r="D77" s="62">
        <f t="shared" si="5"/>
        <v>1376</v>
      </c>
      <c r="E77" s="66" t="s">
        <v>713</v>
      </c>
      <c r="F77" s="63" t="str">
        <f t="shared" si="4"/>
        <v>insert into ins_premium_det (premium_rcv_code,assorted_code, rec_amount,premium_rcv_detail_code,remaining_amt, payrec, mode_code,coinsurance_code,class_cd,it_remarks) values</v>
      </c>
      <c r="G77" s="64" t="str">
        <f t="shared" si="6"/>
        <v>('20Aug240150','040000166892','1376',(select max(to_number(i.premium_rcv_detail_code))+1
from ins_premium_det i),'1376','1376','02', '11000003','00','Request by Mr. Saqib Saleem 21-Aug-2024 sheet1');</v>
      </c>
      <c r="H77" s="65" t="str">
        <f t="shared" si="7"/>
        <v>insert into ins_premium_det (premium_rcv_code,assorted_code, rec_amount,premium_rcv_detail_code,remaining_amt, payrec, mode_code,coinsurance_code,class_cd,it_remarks) values('20Aug240150','040000166892','1376',(select max(to_number(i.premium_rcv_detail_code))+1
from ins_premium_det i),'1376','1376','02', '11000003','00','Request by Mr. Saqib Saleem 21-Aug-2024 sheet1');</v>
      </c>
    </row>
    <row r="78" spans="1:8" ht="195" x14ac:dyDescent="0.25">
      <c r="A78" s="58" t="s">
        <v>672</v>
      </c>
      <c r="B78" t="str">
        <f>VLOOKUP(A78,[1]Sheet1!$B:$D,2,0)</f>
        <v>040000166893</v>
      </c>
      <c r="C78" s="57">
        <v>1297</v>
      </c>
      <c r="D78" s="62">
        <f t="shared" si="5"/>
        <v>1297</v>
      </c>
      <c r="E78" s="66" t="s">
        <v>713</v>
      </c>
      <c r="F78" s="63" t="str">
        <f t="shared" si="4"/>
        <v>insert into ins_premium_det (premium_rcv_code,assorted_code, rec_amount,premium_rcv_detail_code,remaining_amt, payrec, mode_code,coinsurance_code,class_cd,it_remarks) values</v>
      </c>
      <c r="G78" s="64" t="str">
        <f t="shared" si="6"/>
        <v>('20Aug240150','040000166893','1297',(select max(to_number(i.premium_rcv_detail_code))+1
from ins_premium_det i),'1297','1297','02', '11000003','00','Request by Mr. Saqib Saleem 21-Aug-2024 sheet1');</v>
      </c>
      <c r="H78" s="65" t="str">
        <f t="shared" si="7"/>
        <v>insert into ins_premium_det (premium_rcv_code,assorted_code, rec_amount,premium_rcv_detail_code,remaining_amt, payrec, mode_code,coinsurance_code,class_cd,it_remarks) values('20Aug240150','040000166893','1297',(select max(to_number(i.premium_rcv_detail_code))+1
from ins_premium_det i),'1297','1297','02', '11000003','00','Request by Mr. Saqib Saleem 21-Aug-2024 sheet1');</v>
      </c>
    </row>
    <row r="79" spans="1:8" ht="195" x14ac:dyDescent="0.25">
      <c r="A79" s="58" t="s">
        <v>673</v>
      </c>
      <c r="B79" t="str">
        <f>VLOOKUP(A79,[1]Sheet1!$B:$D,2,0)</f>
        <v>040000166894</v>
      </c>
      <c r="C79" s="57">
        <v>1185</v>
      </c>
      <c r="D79" s="62">
        <f t="shared" si="5"/>
        <v>1185</v>
      </c>
      <c r="E79" s="66" t="s">
        <v>713</v>
      </c>
      <c r="F79" s="63" t="str">
        <f t="shared" si="4"/>
        <v>insert into ins_premium_det (premium_rcv_code,assorted_code, rec_amount,premium_rcv_detail_code,remaining_amt, payrec, mode_code,coinsurance_code,class_cd,it_remarks) values</v>
      </c>
      <c r="G79" s="64" t="str">
        <f t="shared" si="6"/>
        <v>('20Aug240150','040000166894','1185',(select max(to_number(i.premium_rcv_detail_code))+1
from ins_premium_det i),'1185','1185','02', '11000003','00','Request by Mr. Saqib Saleem 21-Aug-2024 sheet1');</v>
      </c>
      <c r="H79" s="65" t="str">
        <f t="shared" si="7"/>
        <v>insert into ins_premium_det (premium_rcv_code,assorted_code, rec_amount,premium_rcv_detail_code,remaining_amt, payrec, mode_code,coinsurance_code,class_cd,it_remarks) values('20Aug240150','040000166894','1185',(select max(to_number(i.premium_rcv_detail_code))+1
from ins_premium_det i),'1185','1185','02', '11000003','00','Request by Mr. Saqib Saleem 21-Aug-2024 sheet1');</v>
      </c>
    </row>
    <row r="80" spans="1:8" ht="195" x14ac:dyDescent="0.25">
      <c r="A80" s="58" t="s">
        <v>674</v>
      </c>
      <c r="B80" t="str">
        <f>VLOOKUP(A80,[1]Sheet1!$B:$D,2,0)</f>
        <v>040000166895</v>
      </c>
      <c r="C80" s="57">
        <v>1336</v>
      </c>
      <c r="D80" s="62">
        <f t="shared" si="5"/>
        <v>1336</v>
      </c>
      <c r="E80" s="66" t="s">
        <v>713</v>
      </c>
      <c r="F80" s="63" t="str">
        <f t="shared" si="4"/>
        <v>insert into ins_premium_det (premium_rcv_code,assorted_code, rec_amount,premium_rcv_detail_code,remaining_amt, payrec, mode_code,coinsurance_code,class_cd,it_remarks) values</v>
      </c>
      <c r="G80" s="64" t="str">
        <f t="shared" si="6"/>
        <v>('20Aug240150','040000166895','1336',(select max(to_number(i.premium_rcv_detail_code))+1
from ins_premium_det i),'1336','1336','02', '11000003','00','Request by Mr. Saqib Saleem 21-Aug-2024 sheet1');</v>
      </c>
      <c r="H80" s="65" t="str">
        <f t="shared" si="7"/>
        <v>insert into ins_premium_det (premium_rcv_code,assorted_code, rec_amount,premium_rcv_detail_code,remaining_amt, payrec, mode_code,coinsurance_code,class_cd,it_remarks) values('20Aug240150','040000166895','1336',(select max(to_number(i.premium_rcv_detail_code))+1
from ins_premium_det i),'1336','1336','02', '11000003','00','Request by Mr. Saqib Saleem 21-Aug-2024 sheet1');</v>
      </c>
    </row>
    <row r="81" spans="1:8" ht="195" x14ac:dyDescent="0.25">
      <c r="A81" s="58" t="s">
        <v>675</v>
      </c>
      <c r="B81" t="str">
        <f>VLOOKUP(A81,[1]Sheet1!$B:$D,2,0)</f>
        <v>040000166896</v>
      </c>
      <c r="C81" s="57">
        <v>1384</v>
      </c>
      <c r="D81" s="62">
        <f t="shared" si="5"/>
        <v>1384</v>
      </c>
      <c r="E81" s="66" t="s">
        <v>713</v>
      </c>
      <c r="F81" s="63" t="str">
        <f t="shared" si="4"/>
        <v>insert into ins_premium_det (premium_rcv_code,assorted_code, rec_amount,premium_rcv_detail_code,remaining_amt, payrec, mode_code,coinsurance_code,class_cd,it_remarks) values</v>
      </c>
      <c r="G81" s="64" t="str">
        <f t="shared" si="6"/>
        <v>('20Aug240150','040000166896','1384',(select max(to_number(i.premium_rcv_detail_code))+1
from ins_premium_det i),'1384','1384','02', '11000003','00','Request by Mr. Saqib Saleem 21-Aug-2024 sheet1');</v>
      </c>
      <c r="H81" s="65" t="str">
        <f t="shared" si="7"/>
        <v>insert into ins_premium_det (premium_rcv_code,assorted_code, rec_amount,premium_rcv_detail_code,remaining_amt, payrec, mode_code,coinsurance_code,class_cd,it_remarks) values('20Aug240150','040000166896','1384',(select max(to_number(i.premium_rcv_detail_code))+1
from ins_premium_det i),'1384','1384','02', '11000003','00','Request by Mr. Saqib Saleem 21-Aug-2024 sheet1');</v>
      </c>
    </row>
    <row r="82" spans="1:8" ht="195" x14ac:dyDescent="0.25">
      <c r="A82" s="58" t="s">
        <v>676</v>
      </c>
      <c r="B82" t="str">
        <f>VLOOKUP(A82,[1]Sheet1!$B:$D,2,0)</f>
        <v>040000166897</v>
      </c>
      <c r="C82" s="57">
        <v>1429</v>
      </c>
      <c r="D82" s="62">
        <f t="shared" si="5"/>
        <v>1429</v>
      </c>
      <c r="E82" s="66" t="s">
        <v>713</v>
      </c>
      <c r="F82" s="63" t="str">
        <f t="shared" si="4"/>
        <v>insert into ins_premium_det (premium_rcv_code,assorted_code, rec_amount,premium_rcv_detail_code,remaining_amt, payrec, mode_code,coinsurance_code,class_cd,it_remarks) values</v>
      </c>
      <c r="G82" s="64" t="str">
        <f t="shared" si="6"/>
        <v>('20Aug240150','040000166897','1429',(select max(to_number(i.premium_rcv_detail_code))+1
from ins_premium_det i),'1429','1429','02', '11000003','00','Request by Mr. Saqib Saleem 21-Aug-2024 sheet1');</v>
      </c>
      <c r="H82" s="65" t="str">
        <f t="shared" si="7"/>
        <v>insert into ins_premium_det (premium_rcv_code,assorted_code, rec_amount,premium_rcv_detail_code,remaining_amt, payrec, mode_code,coinsurance_code,class_cd,it_remarks) values('20Aug240150','040000166897','1429',(select max(to_number(i.premium_rcv_detail_code))+1
from ins_premium_det i),'1429','1429','02', '11000003','00','Request by Mr. Saqib Saleem 21-Aug-2024 sheet1');</v>
      </c>
    </row>
    <row r="83" spans="1:8" ht="195" x14ac:dyDescent="0.25">
      <c r="A83" s="58" t="s">
        <v>677</v>
      </c>
      <c r="B83" t="str">
        <f>VLOOKUP(A83,[1]Sheet1!$B:$D,2,0)</f>
        <v>040000166898</v>
      </c>
      <c r="C83" s="57">
        <v>1429</v>
      </c>
      <c r="D83" s="62">
        <f t="shared" si="5"/>
        <v>1429</v>
      </c>
      <c r="E83" s="66" t="s">
        <v>713</v>
      </c>
      <c r="F83" s="63" t="str">
        <f t="shared" si="4"/>
        <v>insert into ins_premium_det (premium_rcv_code,assorted_code, rec_amount,premium_rcv_detail_code,remaining_amt, payrec, mode_code,coinsurance_code,class_cd,it_remarks) values</v>
      </c>
      <c r="G83" s="64" t="str">
        <f t="shared" si="6"/>
        <v>('20Aug240150','040000166898','1429',(select max(to_number(i.premium_rcv_detail_code))+1
from ins_premium_det i),'1429','1429','02', '11000003','00','Request by Mr. Saqib Saleem 21-Aug-2024 sheet1');</v>
      </c>
      <c r="H83" s="65" t="str">
        <f t="shared" si="7"/>
        <v>insert into ins_premium_det (premium_rcv_code,assorted_code, rec_amount,premium_rcv_detail_code,remaining_amt, payrec, mode_code,coinsurance_code,class_cd,it_remarks) values('20Aug240150','040000166898','1429',(select max(to_number(i.premium_rcv_detail_code))+1
from ins_premium_det i),'1429','1429','02', '11000003','00','Request by Mr. Saqib Saleem 21-Aug-2024 sheet1');</v>
      </c>
    </row>
    <row r="84" spans="1:8" ht="195" x14ac:dyDescent="0.25">
      <c r="A84" s="58" t="s">
        <v>678</v>
      </c>
      <c r="B84" t="str">
        <f>VLOOKUP(A84,[1]Sheet1!$B:$D,2,0)</f>
        <v>040000166899</v>
      </c>
      <c r="C84" s="57">
        <v>1432</v>
      </c>
      <c r="D84" s="62">
        <f t="shared" si="5"/>
        <v>1432</v>
      </c>
      <c r="E84" s="66" t="s">
        <v>713</v>
      </c>
      <c r="F84" s="63" t="str">
        <f t="shared" si="4"/>
        <v>insert into ins_premium_det (premium_rcv_code,assorted_code, rec_amount,premium_rcv_detail_code,remaining_amt, payrec, mode_code,coinsurance_code,class_cd,it_remarks) values</v>
      </c>
      <c r="G84" s="64" t="str">
        <f t="shared" si="6"/>
        <v>('20Aug240150','040000166899','1432',(select max(to_number(i.premium_rcv_detail_code))+1
from ins_premium_det i),'1432','1432','02', '11000003','00','Request by Mr. Saqib Saleem 21-Aug-2024 sheet1');</v>
      </c>
      <c r="H84" s="65" t="str">
        <f t="shared" si="7"/>
        <v>insert into ins_premium_det (premium_rcv_code,assorted_code, rec_amount,premium_rcv_detail_code,remaining_amt, payrec, mode_code,coinsurance_code,class_cd,it_remarks) values('20Aug240150','040000166899','1432',(select max(to_number(i.premium_rcv_detail_code))+1
from ins_premium_det i),'1432','1432','02', '11000003','00','Request by Mr. Saqib Saleem 21-Aug-2024 sheet1');</v>
      </c>
    </row>
    <row r="85" spans="1:8" ht="195" x14ac:dyDescent="0.25">
      <c r="A85" s="58" t="s">
        <v>679</v>
      </c>
      <c r="B85" t="str">
        <f>VLOOKUP(A85,[1]Sheet1!$B:$D,2,0)</f>
        <v>040000166900</v>
      </c>
      <c r="C85" s="57">
        <v>1433</v>
      </c>
      <c r="D85" s="62">
        <f t="shared" si="5"/>
        <v>1433</v>
      </c>
      <c r="E85" s="66" t="s">
        <v>713</v>
      </c>
      <c r="F85" s="63" t="str">
        <f t="shared" si="4"/>
        <v>insert into ins_premium_det (premium_rcv_code,assorted_code, rec_amount,premium_rcv_detail_code,remaining_amt, payrec, mode_code,coinsurance_code,class_cd,it_remarks) values</v>
      </c>
      <c r="G85" s="64" t="str">
        <f t="shared" si="6"/>
        <v>('20Aug240150','040000166900','1433',(select max(to_number(i.premium_rcv_detail_code))+1
from ins_premium_det i),'1433','1433','02', '11000003','00','Request by Mr. Saqib Saleem 21-Aug-2024 sheet1');</v>
      </c>
      <c r="H85" s="65" t="str">
        <f t="shared" si="7"/>
        <v>insert into ins_premium_det (premium_rcv_code,assorted_code, rec_amount,premium_rcv_detail_code,remaining_amt, payrec, mode_code,coinsurance_code,class_cd,it_remarks) values('20Aug240150','040000166900','1433',(select max(to_number(i.premium_rcv_detail_code))+1
from ins_premium_det i),'1433','1433','02', '11000003','00','Request by Mr. Saqib Saleem 21-Aug-2024 sheet1');</v>
      </c>
    </row>
    <row r="86" spans="1:8" ht="195" x14ac:dyDescent="0.25">
      <c r="A86" s="58" t="s">
        <v>680</v>
      </c>
      <c r="B86" t="str">
        <f>VLOOKUP(A86,[1]Sheet1!$B:$D,2,0)</f>
        <v>040000166901</v>
      </c>
      <c r="C86" s="57">
        <v>1598</v>
      </c>
      <c r="D86" s="62">
        <f t="shared" si="5"/>
        <v>1598</v>
      </c>
      <c r="E86" s="66" t="s">
        <v>713</v>
      </c>
      <c r="F86" s="63" t="str">
        <f t="shared" si="4"/>
        <v>insert into ins_premium_det (premium_rcv_code,assorted_code, rec_amount,premium_rcv_detail_code,remaining_amt, payrec, mode_code,coinsurance_code,class_cd,it_remarks) values</v>
      </c>
      <c r="G86" s="64" t="str">
        <f t="shared" si="6"/>
        <v>('20Aug240150','040000166901','1598',(select max(to_number(i.premium_rcv_detail_code))+1
from ins_premium_det i),'1598','1598','02', '11000003','00','Request by Mr. Saqib Saleem 21-Aug-2024 sheet1');</v>
      </c>
      <c r="H86" s="65" t="str">
        <f t="shared" si="7"/>
        <v>insert into ins_premium_det (premium_rcv_code,assorted_code, rec_amount,premium_rcv_detail_code,remaining_amt, payrec, mode_code,coinsurance_code,class_cd,it_remarks) values('20Aug240150','040000166901','1598',(select max(to_number(i.premium_rcv_detail_code))+1
from ins_premium_det i),'1598','1598','02', '11000003','00','Request by Mr. Saqib Saleem 21-Aug-2024 sheet1');</v>
      </c>
    </row>
    <row r="87" spans="1:8" ht="195" x14ac:dyDescent="0.25">
      <c r="A87" s="58" t="s">
        <v>681</v>
      </c>
      <c r="B87" t="str">
        <f>VLOOKUP(A87,[1]Sheet1!$B:$D,2,0)</f>
        <v>040000166902</v>
      </c>
      <c r="C87" s="57">
        <v>1744</v>
      </c>
      <c r="D87" s="62">
        <f t="shared" si="5"/>
        <v>1744</v>
      </c>
      <c r="E87" s="66" t="s">
        <v>713</v>
      </c>
      <c r="F87" s="63" t="str">
        <f t="shared" si="4"/>
        <v>insert into ins_premium_det (premium_rcv_code,assorted_code, rec_amount,premium_rcv_detail_code,remaining_amt, payrec, mode_code,coinsurance_code,class_cd,it_remarks) values</v>
      </c>
      <c r="G87" s="64" t="str">
        <f t="shared" si="6"/>
        <v>('20Aug240150','040000166902','1744',(select max(to_number(i.premium_rcv_detail_code))+1
from ins_premium_det i),'1744','1744','02', '11000003','00','Request by Mr. Saqib Saleem 21-Aug-2024 sheet1');</v>
      </c>
      <c r="H87" s="65" t="str">
        <f t="shared" si="7"/>
        <v>insert into ins_premium_det (premium_rcv_code,assorted_code, rec_amount,premium_rcv_detail_code,remaining_amt, payrec, mode_code,coinsurance_code,class_cd,it_remarks) values('20Aug240150','040000166902','1744',(select max(to_number(i.premium_rcv_detail_code))+1
from ins_premium_det i),'1744','1744','02', '11000003','00','Request by Mr. Saqib Saleem 21-Aug-2024 sheet1');</v>
      </c>
    </row>
    <row r="88" spans="1:8" ht="195" x14ac:dyDescent="0.25">
      <c r="A88" s="58" t="s">
        <v>682</v>
      </c>
      <c r="B88" t="str">
        <f>VLOOKUP(A88,[1]Sheet1!$B:$D,2,0)</f>
        <v>040000166903</v>
      </c>
      <c r="C88" s="57">
        <v>1545</v>
      </c>
      <c r="D88" s="62">
        <f t="shared" si="5"/>
        <v>1545</v>
      </c>
      <c r="E88" s="66" t="s">
        <v>713</v>
      </c>
      <c r="F88" s="63" t="str">
        <f t="shared" si="4"/>
        <v>insert into ins_premium_det (premium_rcv_code,assorted_code, rec_amount,premium_rcv_detail_code,remaining_amt, payrec, mode_code,coinsurance_code,class_cd,it_remarks) values</v>
      </c>
      <c r="G88" s="64" t="str">
        <f t="shared" si="6"/>
        <v>('20Aug240150','040000166903','1545',(select max(to_number(i.premium_rcv_detail_code))+1
from ins_premium_det i),'1545','1545','02', '11000003','00','Request by Mr. Saqib Saleem 21-Aug-2024 sheet1');</v>
      </c>
      <c r="H88" s="65" t="str">
        <f t="shared" si="7"/>
        <v>insert into ins_premium_det (premium_rcv_code,assorted_code, rec_amount,premium_rcv_detail_code,remaining_amt, payrec, mode_code,coinsurance_code,class_cd,it_remarks) values('20Aug240150','040000166903','1545',(select max(to_number(i.premium_rcv_detail_code))+1
from ins_premium_det i),'1545','1545','02', '11000003','00','Request by Mr. Saqib Saleem 21-Aug-2024 sheet1');</v>
      </c>
    </row>
    <row r="89" spans="1:8" ht="195" x14ac:dyDescent="0.25">
      <c r="A89" s="58" t="s">
        <v>683</v>
      </c>
      <c r="B89" t="str">
        <f>VLOOKUP(A89,[1]Sheet1!$B:$D,2,0)</f>
        <v>040000166904</v>
      </c>
      <c r="C89" s="57">
        <v>1608</v>
      </c>
      <c r="D89" s="62">
        <f t="shared" si="5"/>
        <v>1608</v>
      </c>
      <c r="E89" s="66" t="s">
        <v>713</v>
      </c>
      <c r="F89" s="63" t="str">
        <f t="shared" si="4"/>
        <v>insert into ins_premium_det (premium_rcv_code,assorted_code, rec_amount,premium_rcv_detail_code,remaining_amt, payrec, mode_code,coinsurance_code,class_cd,it_remarks) values</v>
      </c>
      <c r="G89" s="64" t="str">
        <f t="shared" si="6"/>
        <v>('20Aug240150','040000166904','1608',(select max(to_number(i.premium_rcv_detail_code))+1
from ins_premium_det i),'1608','1608','02', '11000003','00','Request by Mr. Saqib Saleem 21-Aug-2024 sheet1');</v>
      </c>
      <c r="H89" s="65" t="str">
        <f t="shared" si="7"/>
        <v>insert into ins_premium_det (premium_rcv_code,assorted_code, rec_amount,premium_rcv_detail_code,remaining_amt, payrec, mode_code,coinsurance_code,class_cd,it_remarks) values('20Aug240150','040000166904','1608',(select max(to_number(i.premium_rcv_detail_code))+1
from ins_premium_det i),'1608','1608','02', '11000003','00','Request by Mr. Saqib Saleem 21-Aug-2024 sheet1');</v>
      </c>
    </row>
    <row r="90" spans="1:8" ht="195" x14ac:dyDescent="0.25">
      <c r="A90" s="58" t="s">
        <v>684</v>
      </c>
      <c r="B90" t="str">
        <f>VLOOKUP(A90,[1]Sheet1!$B:$D,2,0)</f>
        <v>040000166905</v>
      </c>
      <c r="C90" s="57">
        <v>2119</v>
      </c>
      <c r="D90" s="62">
        <f t="shared" si="5"/>
        <v>2119</v>
      </c>
      <c r="E90" s="66" t="s">
        <v>713</v>
      </c>
      <c r="F90" s="63" t="str">
        <f t="shared" si="4"/>
        <v>insert into ins_premium_det (premium_rcv_code,assorted_code, rec_amount,premium_rcv_detail_code,remaining_amt, payrec, mode_code,coinsurance_code,class_cd,it_remarks) values</v>
      </c>
      <c r="G90" s="64" t="str">
        <f t="shared" si="6"/>
        <v>('20Aug240150','040000166905','2119',(select max(to_number(i.premium_rcv_detail_code))+1
from ins_premium_det i),'2119','2119','02', '11000003','00','Request by Mr. Saqib Saleem 21-Aug-2024 sheet1');</v>
      </c>
      <c r="H90" s="65" t="str">
        <f t="shared" si="7"/>
        <v>insert into ins_premium_det (premium_rcv_code,assorted_code, rec_amount,premium_rcv_detail_code,remaining_amt, payrec, mode_code,coinsurance_code,class_cd,it_remarks) values('20Aug240150','040000166905','2119',(select max(to_number(i.premium_rcv_detail_code))+1
from ins_premium_det i),'2119','2119','02', '11000003','00','Request by Mr. Saqib Saleem 21-Aug-2024 sheet1');</v>
      </c>
    </row>
    <row r="91" spans="1:8" ht="195" x14ac:dyDescent="0.25">
      <c r="A91" s="58" t="s">
        <v>685</v>
      </c>
      <c r="B91" t="str">
        <f>VLOOKUP(A91,[1]Sheet1!$B:$D,2,0)</f>
        <v>040000166906</v>
      </c>
      <c r="C91" s="57">
        <v>2348</v>
      </c>
      <c r="D91" s="62">
        <f t="shared" si="5"/>
        <v>2348</v>
      </c>
      <c r="E91" s="66" t="s">
        <v>713</v>
      </c>
      <c r="F91" s="63" t="str">
        <f t="shared" si="4"/>
        <v>insert into ins_premium_det (premium_rcv_code,assorted_code, rec_amount,premium_rcv_detail_code,remaining_amt, payrec, mode_code,coinsurance_code,class_cd,it_remarks) values</v>
      </c>
      <c r="G91" s="64" t="str">
        <f t="shared" si="6"/>
        <v>('20Aug240150','040000166906','2348',(select max(to_number(i.premium_rcv_detail_code))+1
from ins_premium_det i),'2348','2348','02', '11000003','00','Request by Mr. Saqib Saleem 21-Aug-2024 sheet1');</v>
      </c>
      <c r="H91" s="65" t="str">
        <f t="shared" si="7"/>
        <v>insert into ins_premium_det (premium_rcv_code,assorted_code, rec_amount,premium_rcv_detail_code,remaining_amt, payrec, mode_code,coinsurance_code,class_cd,it_remarks) values('20Aug240150','040000166906','2348',(select max(to_number(i.premium_rcv_detail_code))+1
from ins_premium_det i),'2348','2348','02', '11000003','00','Request by Mr. Saqib Saleem 21-Aug-2024 sheet1');</v>
      </c>
    </row>
    <row r="92" spans="1:8" ht="195" x14ac:dyDescent="0.25">
      <c r="A92" s="58" t="s">
        <v>686</v>
      </c>
      <c r="B92" t="str">
        <f>VLOOKUP(A92,[1]Sheet1!$B:$D,2,0)</f>
        <v>040000166907</v>
      </c>
      <c r="C92" s="57">
        <v>2059</v>
      </c>
      <c r="D92" s="62">
        <f t="shared" si="5"/>
        <v>2059</v>
      </c>
      <c r="E92" s="66" t="s">
        <v>713</v>
      </c>
      <c r="F92" s="63" t="str">
        <f t="shared" si="4"/>
        <v>insert into ins_premium_det (premium_rcv_code,assorted_code, rec_amount,premium_rcv_detail_code,remaining_amt, payrec, mode_code,coinsurance_code,class_cd,it_remarks) values</v>
      </c>
      <c r="G92" s="64" t="str">
        <f t="shared" si="6"/>
        <v>('20Aug240150','040000166907','2059',(select max(to_number(i.premium_rcv_detail_code))+1
from ins_premium_det i),'2059','2059','02', '11000003','00','Request by Mr. Saqib Saleem 21-Aug-2024 sheet1');</v>
      </c>
      <c r="H92" s="65" t="str">
        <f t="shared" si="7"/>
        <v>insert into ins_premium_det (premium_rcv_code,assorted_code, rec_amount,premium_rcv_detail_code,remaining_amt, payrec, mode_code,coinsurance_code,class_cd,it_remarks) values('20Aug240150','040000166907','2059',(select max(to_number(i.premium_rcv_detail_code))+1
from ins_premium_det i),'2059','2059','02', '11000003','00','Request by Mr. Saqib Saleem 21-Aug-2024 sheet1');</v>
      </c>
    </row>
    <row r="93" spans="1:8" ht="195" x14ac:dyDescent="0.25">
      <c r="A93" s="58" t="s">
        <v>687</v>
      </c>
      <c r="B93" t="str">
        <f>VLOOKUP(A93,[1]Sheet1!$B:$D,2,0)</f>
        <v>040000166908</v>
      </c>
      <c r="C93" s="57">
        <v>1845</v>
      </c>
      <c r="D93" s="62">
        <f t="shared" si="5"/>
        <v>1845</v>
      </c>
      <c r="E93" s="66" t="s">
        <v>713</v>
      </c>
      <c r="F93" s="63" t="str">
        <f t="shared" si="4"/>
        <v>insert into ins_premium_det (premium_rcv_code,assorted_code, rec_amount,premium_rcv_detail_code,remaining_amt, payrec, mode_code,coinsurance_code,class_cd,it_remarks) values</v>
      </c>
      <c r="G93" s="64" t="str">
        <f t="shared" si="6"/>
        <v>('20Aug240150','040000166908','1845',(select max(to_number(i.premium_rcv_detail_code))+1
from ins_premium_det i),'1845','1845','02', '11000003','00','Request by Mr. Saqib Saleem 21-Aug-2024 sheet1');</v>
      </c>
      <c r="H93" s="65" t="str">
        <f t="shared" si="7"/>
        <v>insert into ins_premium_det (premium_rcv_code,assorted_code, rec_amount,premium_rcv_detail_code,remaining_amt, payrec, mode_code,coinsurance_code,class_cd,it_remarks) values('20Aug240150','040000166908','1845',(select max(to_number(i.premium_rcv_detail_code))+1
from ins_premium_det i),'1845','1845','02', '11000003','00','Request by Mr. Saqib Saleem 21-Aug-2024 sheet1');</v>
      </c>
    </row>
    <row r="94" spans="1:8" ht="195" x14ac:dyDescent="0.25">
      <c r="A94" s="58" t="s">
        <v>688</v>
      </c>
      <c r="B94" t="str">
        <f>VLOOKUP(A94,[1]Sheet1!$B:$D,2,0)</f>
        <v>040000166909</v>
      </c>
      <c r="C94" s="57">
        <v>6216</v>
      </c>
      <c r="D94" s="62">
        <f t="shared" si="5"/>
        <v>6216</v>
      </c>
      <c r="E94" s="66" t="s">
        <v>713</v>
      </c>
      <c r="F94" s="63" t="str">
        <f t="shared" si="4"/>
        <v>insert into ins_premium_det (premium_rcv_code,assorted_code, rec_amount,premium_rcv_detail_code,remaining_amt, payrec, mode_code,coinsurance_code,class_cd,it_remarks) values</v>
      </c>
      <c r="G94" s="64" t="str">
        <f t="shared" si="6"/>
        <v>('20Aug240150','040000166909','6216',(select max(to_number(i.premium_rcv_detail_code))+1
from ins_premium_det i),'6216','6216','02', '11000003','00','Request by Mr. Saqib Saleem 21-Aug-2024 sheet1');</v>
      </c>
      <c r="H94" s="65" t="str">
        <f t="shared" si="7"/>
        <v>insert into ins_premium_det (premium_rcv_code,assorted_code, rec_amount,premium_rcv_detail_code,remaining_amt, payrec, mode_code,coinsurance_code,class_cd,it_remarks) values('20Aug240150','040000166909','6216',(select max(to_number(i.premium_rcv_detail_code))+1
from ins_premium_det i),'6216','6216','02', '11000003','00','Request by Mr. Saqib Saleem 21-Aug-2024 sheet1');</v>
      </c>
    </row>
    <row r="95" spans="1:8" ht="195" x14ac:dyDescent="0.25">
      <c r="A95" s="58" t="s">
        <v>689</v>
      </c>
      <c r="B95" t="str">
        <f>VLOOKUP(A95,[1]Sheet1!$B:$D,2,0)</f>
        <v>040000166910</v>
      </c>
      <c r="C95" s="57">
        <v>7135</v>
      </c>
      <c r="D95" s="62">
        <f t="shared" si="5"/>
        <v>7135</v>
      </c>
      <c r="E95" s="66" t="s">
        <v>713</v>
      </c>
      <c r="F95" s="63" t="str">
        <f t="shared" si="4"/>
        <v>insert into ins_premium_det (premium_rcv_code,assorted_code, rec_amount,premium_rcv_detail_code,remaining_amt, payrec, mode_code,coinsurance_code,class_cd,it_remarks) values</v>
      </c>
      <c r="G95" s="64" t="str">
        <f t="shared" si="6"/>
        <v>('20Aug240150','040000166910','7135',(select max(to_number(i.premium_rcv_detail_code))+1
from ins_premium_det i),'7135','7135','02', '11000003','00','Request by Mr. Saqib Saleem 21-Aug-2024 sheet1');</v>
      </c>
      <c r="H95" s="65" t="str">
        <f t="shared" si="7"/>
        <v>insert into ins_premium_det (premium_rcv_code,assorted_code, rec_amount,premium_rcv_detail_code,remaining_amt, payrec, mode_code,coinsurance_code,class_cd,it_remarks) values('20Aug240150','040000166910','7135',(select max(to_number(i.premium_rcv_detail_code))+1
from ins_premium_det i),'7135','7135','02', '11000003','00','Request by Mr. Saqib Saleem 21-Aug-2024 sheet1');</v>
      </c>
    </row>
    <row r="96" spans="1:8" ht="195" x14ac:dyDescent="0.25">
      <c r="A96" s="58" t="s">
        <v>690</v>
      </c>
      <c r="B96" t="str">
        <f>VLOOKUP(A96,[1]Sheet1!$B:$D,2,0)</f>
        <v>040000166911</v>
      </c>
      <c r="C96" s="57">
        <v>7090</v>
      </c>
      <c r="D96" s="62">
        <f t="shared" si="5"/>
        <v>7090</v>
      </c>
      <c r="E96" s="66" t="s">
        <v>713</v>
      </c>
      <c r="F96" s="63" t="str">
        <f t="shared" si="4"/>
        <v>insert into ins_premium_det (premium_rcv_code,assorted_code, rec_amount,premium_rcv_detail_code,remaining_amt, payrec, mode_code,coinsurance_code,class_cd,it_remarks) values</v>
      </c>
      <c r="G96" s="64" t="str">
        <f t="shared" si="6"/>
        <v>('20Aug240150','040000166911','7090',(select max(to_number(i.premium_rcv_detail_code))+1
from ins_premium_det i),'7090','7090','02', '11000003','00','Request by Mr. Saqib Saleem 21-Aug-2024 sheet1');</v>
      </c>
      <c r="H96" s="65" t="str">
        <f t="shared" si="7"/>
        <v>insert into ins_premium_det (premium_rcv_code,assorted_code, rec_amount,premium_rcv_detail_code,remaining_amt, payrec, mode_code,coinsurance_code,class_cd,it_remarks) values('20Aug240150','040000166911','7090',(select max(to_number(i.premium_rcv_detail_code))+1
from ins_premium_det i),'7090','7090','02', '11000003','00','Request by Mr. Saqib Saleem 21-Aug-2024 sheet1');</v>
      </c>
    </row>
    <row r="97" spans="1:8" ht="195" x14ac:dyDescent="0.25">
      <c r="A97" s="58" t="s">
        <v>691</v>
      </c>
      <c r="B97" t="str">
        <f>VLOOKUP(A97,[1]Sheet1!$B:$D,2,0)</f>
        <v>040000166912</v>
      </c>
      <c r="C97" s="57">
        <v>11087</v>
      </c>
      <c r="D97" s="62">
        <f t="shared" si="5"/>
        <v>11087</v>
      </c>
      <c r="E97" s="66" t="s">
        <v>713</v>
      </c>
      <c r="F97" s="63" t="str">
        <f t="shared" si="4"/>
        <v>insert into ins_premium_det (premium_rcv_code,assorted_code, rec_amount,premium_rcv_detail_code,remaining_amt, payrec, mode_code,coinsurance_code,class_cd,it_remarks) values</v>
      </c>
      <c r="G97" s="64" t="str">
        <f t="shared" si="6"/>
        <v>('20Aug240150','040000166912','11087',(select max(to_number(i.premium_rcv_detail_code))+1
from ins_premium_det i),'11087','11087','02', '11000003','00','Request by Mr. Saqib Saleem 21-Aug-2024 sheet1');</v>
      </c>
      <c r="H97" s="65" t="str">
        <f t="shared" si="7"/>
        <v>insert into ins_premium_det (premium_rcv_code,assorted_code, rec_amount,premium_rcv_detail_code,remaining_amt, payrec, mode_code,coinsurance_code,class_cd,it_remarks) values('20Aug240150','040000166912','11087',(select max(to_number(i.premium_rcv_detail_code))+1
from ins_premium_det i),'11087','11087','02', '11000003','00','Request by Mr. Saqib Saleem 21-Aug-2024 sheet1');</v>
      </c>
    </row>
    <row r="98" spans="1:8" ht="195" x14ac:dyDescent="0.25">
      <c r="A98" s="58" t="s">
        <v>692</v>
      </c>
      <c r="B98" t="str">
        <f>VLOOKUP(A98,[1]Sheet1!$B:$D,2,0)</f>
        <v>040000166913</v>
      </c>
      <c r="C98" s="57">
        <v>11078</v>
      </c>
      <c r="D98" s="62">
        <f t="shared" si="5"/>
        <v>11078</v>
      </c>
      <c r="E98" s="66" t="s">
        <v>713</v>
      </c>
      <c r="F98" s="63" t="str">
        <f t="shared" si="4"/>
        <v>insert into ins_premium_det (premium_rcv_code,assorted_code, rec_amount,premium_rcv_detail_code,remaining_amt, payrec, mode_code,coinsurance_code,class_cd,it_remarks) values</v>
      </c>
      <c r="G98" s="64" t="str">
        <f t="shared" si="6"/>
        <v>('20Aug240150','040000166913','11078',(select max(to_number(i.premium_rcv_detail_code))+1
from ins_premium_det i),'11078','11078','02', '11000003','00','Request by Mr. Saqib Saleem 21-Aug-2024 sheet1');</v>
      </c>
      <c r="H98" s="65" t="str">
        <f t="shared" si="7"/>
        <v>insert into ins_premium_det (premium_rcv_code,assorted_code, rec_amount,premium_rcv_detail_code,remaining_amt, payrec, mode_code,coinsurance_code,class_cd,it_remarks) values('20Aug240150','040000166913','11078',(select max(to_number(i.premium_rcv_detail_code))+1
from ins_premium_det i),'11078','11078','02', '11000003','00','Request by Mr. Saqib Saleem 21-Aug-2024 sheet1');</v>
      </c>
    </row>
    <row r="99" spans="1:8" ht="180" x14ac:dyDescent="0.25">
      <c r="A99" s="58" t="s">
        <v>693</v>
      </c>
      <c r="B99" t="str">
        <f>VLOOKUP(A99,[1]Sheet1!$B:$D,2,0)</f>
        <v>040000166914</v>
      </c>
      <c r="C99" s="57">
        <v>745</v>
      </c>
      <c r="D99" s="62">
        <f t="shared" si="5"/>
        <v>745</v>
      </c>
      <c r="E99" s="66" t="s">
        <v>713</v>
      </c>
      <c r="F99" s="63" t="str">
        <f t="shared" si="4"/>
        <v>insert into ins_premium_det (premium_rcv_code,assorted_code, rec_amount,premium_rcv_detail_code,remaining_amt, payrec, mode_code,coinsurance_code,class_cd,it_remarks) values</v>
      </c>
      <c r="G99" s="64" t="str">
        <f t="shared" si="6"/>
        <v>('20Aug240150','040000166914','745',(select max(to_number(i.premium_rcv_detail_code))+1
from ins_premium_det i),'745','745','02', '11000003','00','Request by Mr. Saqib Saleem 21-Aug-2024 sheet1');</v>
      </c>
      <c r="H99" s="65" t="str">
        <f t="shared" si="7"/>
        <v>insert into ins_premium_det (premium_rcv_code,assorted_code, rec_amount,premium_rcv_detail_code,remaining_amt, payrec, mode_code,coinsurance_code,class_cd,it_remarks) values('20Aug240150','040000166914','745',(select max(to_number(i.premium_rcv_detail_code))+1
from ins_premium_det i),'745','745','02', '11000003','00','Request by Mr. Saqib Saleem 21-Aug-2024 sheet1');</v>
      </c>
    </row>
    <row r="100" spans="1:8" ht="195" x14ac:dyDescent="0.25">
      <c r="A100" s="58" t="s">
        <v>694</v>
      </c>
      <c r="B100" t="str">
        <f>VLOOKUP(A100,[1]Sheet1!$B:$D,2,0)</f>
        <v>040000166915</v>
      </c>
      <c r="C100" s="57">
        <v>2576</v>
      </c>
      <c r="D100" s="62">
        <f t="shared" si="5"/>
        <v>2576</v>
      </c>
      <c r="E100" s="66" t="s">
        <v>713</v>
      </c>
      <c r="F100" s="63" t="str">
        <f t="shared" si="4"/>
        <v>insert into ins_premium_det (premium_rcv_code,assorted_code, rec_amount,premium_rcv_detail_code,remaining_amt, payrec, mode_code,coinsurance_code,class_cd,it_remarks) values</v>
      </c>
      <c r="G100" s="64" t="str">
        <f t="shared" si="6"/>
        <v>('20Aug240150','040000166915','2576',(select max(to_number(i.premium_rcv_detail_code))+1
from ins_premium_det i),'2576','2576','02', '11000003','00','Request by Mr. Saqib Saleem 21-Aug-2024 sheet1');</v>
      </c>
      <c r="H100" s="65" t="str">
        <f t="shared" si="7"/>
        <v>insert into ins_premium_det (premium_rcv_code,assorted_code, rec_amount,premium_rcv_detail_code,remaining_amt, payrec, mode_code,coinsurance_code,class_cd,it_remarks) values('20Aug240150','040000166915','2576',(select max(to_number(i.premium_rcv_detail_code))+1
from ins_premium_det i),'2576','2576','02', '11000003','00','Request by Mr. Saqib Saleem 21-Aug-2024 sheet1');</v>
      </c>
    </row>
    <row r="101" spans="1:8" ht="180" x14ac:dyDescent="0.25">
      <c r="A101" s="58" t="s">
        <v>695</v>
      </c>
      <c r="B101" t="str">
        <f>VLOOKUP(A101,[1]Sheet1!$B:$D,2,0)</f>
        <v>040000166916</v>
      </c>
      <c r="C101" s="57">
        <v>601</v>
      </c>
      <c r="D101" s="62">
        <f t="shared" si="5"/>
        <v>601</v>
      </c>
      <c r="E101" s="66" t="s">
        <v>713</v>
      </c>
      <c r="F101" s="63" t="str">
        <f t="shared" si="4"/>
        <v>insert into ins_premium_det (premium_rcv_code,assorted_code, rec_amount,premium_rcv_detail_code,remaining_amt, payrec, mode_code,coinsurance_code,class_cd,it_remarks) values</v>
      </c>
      <c r="G101" s="64" t="str">
        <f t="shared" si="6"/>
        <v>('20Aug240150','040000166916','601',(select max(to_number(i.premium_rcv_detail_code))+1
from ins_premium_det i),'601','601','02', '11000003','00','Request by Mr. Saqib Saleem 21-Aug-2024 sheet1');</v>
      </c>
      <c r="H101" s="65" t="str">
        <f t="shared" si="7"/>
        <v>insert into ins_premium_det (premium_rcv_code,assorted_code, rec_amount,premium_rcv_detail_code,remaining_amt, payrec, mode_code,coinsurance_code,class_cd,it_remarks) values('20Aug240150','040000166916','601',(select max(to_number(i.premium_rcv_detail_code))+1
from ins_premium_det i),'601','601','02', '11000003','00','Request by Mr. Saqib Saleem 21-Aug-2024 sheet1');</v>
      </c>
    </row>
    <row r="102" spans="1:8" ht="195" x14ac:dyDescent="0.25">
      <c r="A102" s="58" t="s">
        <v>696</v>
      </c>
      <c r="B102" t="str">
        <f>VLOOKUP(A102,[1]Sheet1!$B:$D,2,0)</f>
        <v>040000166917</v>
      </c>
      <c r="C102" s="57">
        <v>1273</v>
      </c>
      <c r="D102" s="62">
        <f t="shared" si="5"/>
        <v>1273</v>
      </c>
      <c r="E102" s="66" t="s">
        <v>713</v>
      </c>
      <c r="F102" s="63" t="str">
        <f t="shared" si="4"/>
        <v>insert into ins_premium_det (premium_rcv_code,assorted_code, rec_amount,premium_rcv_detail_code,remaining_amt, payrec, mode_code,coinsurance_code,class_cd,it_remarks) values</v>
      </c>
      <c r="G102" s="64" t="str">
        <f t="shared" si="6"/>
        <v>('20Aug240150','040000166917','1273',(select max(to_number(i.premium_rcv_detail_code))+1
from ins_premium_det i),'1273','1273','02', '11000003','00','Request by Mr. Saqib Saleem 21-Aug-2024 sheet1');</v>
      </c>
      <c r="H102" s="65" t="str">
        <f t="shared" si="7"/>
        <v>insert into ins_premium_det (premium_rcv_code,assorted_code, rec_amount,premium_rcv_detail_code,remaining_amt, payrec, mode_code,coinsurance_code,class_cd,it_remarks) values('20Aug240150','040000166917','1273',(select max(to_number(i.premium_rcv_detail_code))+1
from ins_premium_det i),'1273','1273','02', '11000003','00','Request by Mr. Saqib Saleem 21-Aug-2024 sheet1');</v>
      </c>
    </row>
    <row r="103" spans="1:8" ht="195" x14ac:dyDescent="0.25">
      <c r="A103" s="58" t="s">
        <v>697</v>
      </c>
      <c r="B103" t="str">
        <f>VLOOKUP(A103,[1]Sheet1!$B:$D,2,0)</f>
        <v>040000166918</v>
      </c>
      <c r="C103" s="57">
        <v>14040</v>
      </c>
      <c r="D103" s="62">
        <f t="shared" si="5"/>
        <v>14040</v>
      </c>
      <c r="E103" s="66" t="s">
        <v>713</v>
      </c>
      <c r="F103" s="63" t="str">
        <f t="shared" si="4"/>
        <v>insert into ins_premium_det (premium_rcv_code,assorted_code, rec_amount,premium_rcv_detail_code,remaining_amt, payrec, mode_code,coinsurance_code,class_cd,it_remarks) values</v>
      </c>
      <c r="G103" s="64" t="str">
        <f t="shared" si="6"/>
        <v>('20Aug240150','040000166918','14040',(select max(to_number(i.premium_rcv_detail_code))+1
from ins_premium_det i),'14040','14040','02', '11000003','00','Request by Mr. Saqib Saleem 21-Aug-2024 sheet1');</v>
      </c>
      <c r="H103" s="65" t="str">
        <f t="shared" si="7"/>
        <v>insert into ins_premium_det (premium_rcv_code,assorted_code, rec_amount,premium_rcv_detail_code,remaining_amt, payrec, mode_code,coinsurance_code,class_cd,it_remarks) values('20Aug240150','040000166918','14040',(select max(to_number(i.premium_rcv_detail_code))+1
from ins_premium_det i),'14040','14040','02', '11000003','00','Request by Mr. Saqib Saleem 21-Aug-2024 sheet1');</v>
      </c>
    </row>
    <row r="104" spans="1:8" ht="180" x14ac:dyDescent="0.25">
      <c r="A104" s="58" t="s">
        <v>698</v>
      </c>
      <c r="B104" t="str">
        <f>VLOOKUP(A104,[1]Sheet1!$B:$D,2,0)</f>
        <v>040000166919</v>
      </c>
      <c r="C104" s="57">
        <v>927</v>
      </c>
      <c r="D104" s="62">
        <f t="shared" si="5"/>
        <v>927</v>
      </c>
      <c r="E104" s="66" t="s">
        <v>713</v>
      </c>
      <c r="F104" s="63" t="str">
        <f t="shared" si="4"/>
        <v>insert into ins_premium_det (premium_rcv_code,assorted_code, rec_amount,premium_rcv_detail_code,remaining_amt, payrec, mode_code,coinsurance_code,class_cd,it_remarks) values</v>
      </c>
      <c r="G104" s="64" t="str">
        <f t="shared" si="6"/>
        <v>('20Aug240150','040000166919','927',(select max(to_number(i.premium_rcv_detail_code))+1
from ins_premium_det i),'927','927','02', '11000003','00','Request by Mr. Saqib Saleem 21-Aug-2024 sheet1');</v>
      </c>
      <c r="H104" s="65" t="str">
        <f t="shared" si="7"/>
        <v>insert into ins_premium_det (premium_rcv_code,assorted_code, rec_amount,premium_rcv_detail_code,remaining_amt, payrec, mode_code,coinsurance_code,class_cd,it_remarks) values('20Aug240150','040000166919','927',(select max(to_number(i.premium_rcv_detail_code))+1
from ins_premium_det i),'927','927','02', '11000003','00','Request by Mr. Saqib Saleem 21-Aug-2024 sheet1');</v>
      </c>
    </row>
    <row r="105" spans="1:8" ht="195" x14ac:dyDescent="0.25">
      <c r="A105" s="58" t="s">
        <v>699</v>
      </c>
      <c r="B105" t="str">
        <f>VLOOKUP(A105,[1]Sheet1!$B:$D,2,0)</f>
        <v>040000166920</v>
      </c>
      <c r="C105" s="57">
        <v>2177</v>
      </c>
      <c r="D105" s="62">
        <f t="shared" si="5"/>
        <v>2177</v>
      </c>
      <c r="E105" s="66" t="s">
        <v>713</v>
      </c>
      <c r="F105" s="63" t="str">
        <f t="shared" si="4"/>
        <v>insert into ins_premium_det (premium_rcv_code,assorted_code, rec_amount,premium_rcv_detail_code,remaining_amt, payrec, mode_code,coinsurance_code,class_cd,it_remarks) values</v>
      </c>
      <c r="G105" s="64" t="str">
        <f t="shared" si="6"/>
        <v>('20Aug240150','040000166920','2177',(select max(to_number(i.premium_rcv_detail_code))+1
from ins_premium_det i),'2177','2177','02', '11000003','00','Request by Mr. Saqib Saleem 21-Aug-2024 sheet1');</v>
      </c>
      <c r="H105" s="65" t="str">
        <f t="shared" si="7"/>
        <v>insert into ins_premium_det (premium_rcv_code,assorted_code, rec_amount,premium_rcv_detail_code,remaining_amt, payrec, mode_code,coinsurance_code,class_cd,it_remarks) values('20Aug240150','040000166920','2177',(select max(to_number(i.premium_rcv_detail_code))+1
from ins_premium_det i),'2177','2177','02', '11000003','00','Request by Mr. Saqib Saleem 21-Aug-2024 sheet1');</v>
      </c>
    </row>
    <row r="106" spans="1:8" ht="195" x14ac:dyDescent="0.25">
      <c r="A106" s="58" t="s">
        <v>700</v>
      </c>
      <c r="B106" t="str">
        <f>VLOOKUP(A106,[1]Sheet1!$B:$D,2,0)</f>
        <v>040000166921</v>
      </c>
      <c r="C106" s="57">
        <v>2138</v>
      </c>
      <c r="D106" s="62">
        <f t="shared" si="5"/>
        <v>2138</v>
      </c>
      <c r="E106" s="66" t="s">
        <v>713</v>
      </c>
      <c r="F106" s="63" t="str">
        <f t="shared" si="4"/>
        <v>insert into ins_premium_det (premium_rcv_code,assorted_code, rec_amount,premium_rcv_detail_code,remaining_amt, payrec, mode_code,coinsurance_code,class_cd,it_remarks) values</v>
      </c>
      <c r="G106" s="64" t="str">
        <f t="shared" si="6"/>
        <v>('20Aug240150','040000166921','2138',(select max(to_number(i.premium_rcv_detail_code))+1
from ins_premium_det i),'2138','2138','02', '11000003','00','Request by Mr. Saqib Saleem 21-Aug-2024 sheet1');</v>
      </c>
      <c r="H106" s="65" t="str">
        <f t="shared" si="7"/>
        <v>insert into ins_premium_det (premium_rcv_code,assorted_code, rec_amount,premium_rcv_detail_code,remaining_amt, payrec, mode_code,coinsurance_code,class_cd,it_remarks) values('20Aug240150','040000166921','2138',(select max(to_number(i.premium_rcv_detail_code))+1
from ins_premium_det i),'2138','2138','02', '11000003','00','Request by Mr. Saqib Saleem 21-Aug-2024 sheet1');</v>
      </c>
    </row>
    <row r="107" spans="1:8" ht="195" x14ac:dyDescent="0.25">
      <c r="A107" s="58" t="s">
        <v>701</v>
      </c>
      <c r="B107" t="str">
        <f>VLOOKUP(A107,[1]Sheet1!$B:$D,2,0)</f>
        <v>040000166922</v>
      </c>
      <c r="C107" s="57">
        <v>2845</v>
      </c>
      <c r="D107" s="62">
        <f t="shared" si="5"/>
        <v>2845</v>
      </c>
      <c r="E107" s="66" t="s">
        <v>713</v>
      </c>
      <c r="F107" s="63" t="str">
        <f t="shared" si="4"/>
        <v>insert into ins_premium_det (premium_rcv_code,assorted_code, rec_amount,premium_rcv_detail_code,remaining_amt, payrec, mode_code,coinsurance_code,class_cd,it_remarks) values</v>
      </c>
      <c r="G107" s="64" t="str">
        <f t="shared" si="6"/>
        <v>('20Aug240150','040000166922','2845',(select max(to_number(i.premium_rcv_detail_code))+1
from ins_premium_det i),'2845','2845','02', '11000003','00','Request by Mr. Saqib Saleem 21-Aug-2024 sheet1');</v>
      </c>
      <c r="H107" s="65" t="str">
        <f t="shared" si="7"/>
        <v>insert into ins_premium_det (premium_rcv_code,assorted_code, rec_amount,premium_rcv_detail_code,remaining_amt, payrec, mode_code,coinsurance_code,class_cd,it_remarks) values('20Aug240150','040000166922','2845',(select max(to_number(i.premium_rcv_detail_code))+1
from ins_premium_det i),'2845','2845','02', '11000003','00','Request by Mr. Saqib Saleem 21-Aug-2024 sheet1');</v>
      </c>
    </row>
    <row r="108" spans="1:8" ht="180" x14ac:dyDescent="0.25">
      <c r="A108" s="58" t="s">
        <v>702</v>
      </c>
      <c r="B108" t="str">
        <f>VLOOKUP(A108,[1]Sheet1!$B:$D,2,0)</f>
        <v>040000166923</v>
      </c>
      <c r="C108" s="57">
        <v>734</v>
      </c>
      <c r="D108" s="62">
        <f t="shared" si="5"/>
        <v>734</v>
      </c>
      <c r="E108" s="66" t="s">
        <v>713</v>
      </c>
      <c r="F108" s="63" t="str">
        <f t="shared" si="4"/>
        <v>insert into ins_premium_det (premium_rcv_code,assorted_code, rec_amount,premium_rcv_detail_code,remaining_amt, payrec, mode_code,coinsurance_code,class_cd,it_remarks) values</v>
      </c>
      <c r="G108" s="64" t="str">
        <f t="shared" si="6"/>
        <v>('20Aug240150','040000166923','734',(select max(to_number(i.premium_rcv_detail_code))+1
from ins_premium_det i),'734','734','02', '11000003','00','Request by Mr. Saqib Saleem 21-Aug-2024 sheet1');</v>
      </c>
      <c r="H108" s="65" t="str">
        <f t="shared" si="7"/>
        <v>insert into ins_premium_det (premium_rcv_code,assorted_code, rec_amount,premium_rcv_detail_code,remaining_amt, payrec, mode_code,coinsurance_code,class_cd,it_remarks) values('20Aug240150','040000166923','734',(select max(to_number(i.premium_rcv_detail_code))+1
from ins_premium_det i),'734','734','02', '11000003','00','Request by Mr. Saqib Saleem 21-Aug-2024 sheet1');</v>
      </c>
    </row>
    <row r="109" spans="1:8" ht="195" x14ac:dyDescent="0.25">
      <c r="A109" s="58" t="s">
        <v>703</v>
      </c>
      <c r="B109" t="str">
        <f>VLOOKUP(A109,[1]Sheet1!$B:$D,2,0)</f>
        <v>040000166924</v>
      </c>
      <c r="C109" s="57">
        <v>2235</v>
      </c>
      <c r="D109" s="62">
        <f t="shared" si="5"/>
        <v>2235</v>
      </c>
      <c r="E109" s="66" t="s">
        <v>713</v>
      </c>
      <c r="F109" s="63" t="str">
        <f t="shared" si="4"/>
        <v>insert into ins_premium_det (premium_rcv_code,assorted_code, rec_amount,premium_rcv_detail_code,remaining_amt, payrec, mode_code,coinsurance_code,class_cd,it_remarks) values</v>
      </c>
      <c r="G109" s="64" t="str">
        <f t="shared" si="6"/>
        <v>('20Aug240150','040000166924','2235',(select max(to_number(i.premium_rcv_detail_code))+1
from ins_premium_det i),'2235','2235','02', '11000003','00','Request by Mr. Saqib Saleem 21-Aug-2024 sheet1');</v>
      </c>
      <c r="H109" s="65" t="str">
        <f t="shared" si="7"/>
        <v>insert into ins_premium_det (premium_rcv_code,assorted_code, rec_amount,premium_rcv_detail_code,remaining_amt, payrec, mode_code,coinsurance_code,class_cd,it_remarks) values('20Aug240150','040000166924','2235',(select max(to_number(i.premium_rcv_detail_code))+1
from ins_premium_det i),'2235','2235','02', '11000003','00','Request by Mr. Saqib Saleem 21-Aug-2024 sheet1');</v>
      </c>
    </row>
    <row r="110" spans="1:8" ht="195" x14ac:dyDescent="0.25">
      <c r="A110" s="58" t="s">
        <v>704</v>
      </c>
      <c r="B110" t="str">
        <f>VLOOKUP(A110,[1]Sheet1!$B:$D,2,0)</f>
        <v>040000166925</v>
      </c>
      <c r="C110" s="57">
        <v>2937</v>
      </c>
      <c r="D110" s="62">
        <f t="shared" si="5"/>
        <v>2937</v>
      </c>
      <c r="E110" s="66" t="s">
        <v>713</v>
      </c>
      <c r="F110" s="63" t="str">
        <f t="shared" si="4"/>
        <v>insert into ins_premium_det (premium_rcv_code,assorted_code, rec_amount,premium_rcv_detail_code,remaining_amt, payrec, mode_code,coinsurance_code,class_cd,it_remarks) values</v>
      </c>
      <c r="G110" s="64" t="str">
        <f t="shared" si="6"/>
        <v>('20Aug240150','040000166925','2937',(select max(to_number(i.premium_rcv_detail_code))+1
from ins_premium_det i),'2937','2937','02', '11000003','00','Request by Mr. Saqib Saleem 21-Aug-2024 sheet1');</v>
      </c>
      <c r="H110" s="65" t="str">
        <f t="shared" si="7"/>
        <v>insert into ins_premium_det (premium_rcv_code,assorted_code, rec_amount,premium_rcv_detail_code,remaining_amt, payrec, mode_code,coinsurance_code,class_cd,it_remarks) values('20Aug240150','040000166925','2937',(select max(to_number(i.premium_rcv_detail_code))+1
from ins_premium_det i),'2937','2937','02', '11000003','00','Request by Mr. Saqib Saleem 21-Aug-2024 sheet1');</v>
      </c>
    </row>
    <row r="111" spans="1:8" ht="195" x14ac:dyDescent="0.25">
      <c r="A111" s="58" t="s">
        <v>705</v>
      </c>
      <c r="B111" t="str">
        <f>VLOOKUP(A111,[1]Sheet1!$B:$D,2,0)</f>
        <v>040000166926</v>
      </c>
      <c r="C111" s="57">
        <v>1466</v>
      </c>
      <c r="D111" s="62">
        <f t="shared" si="5"/>
        <v>1466</v>
      </c>
      <c r="E111" s="66" t="s">
        <v>713</v>
      </c>
      <c r="F111" s="63" t="str">
        <f t="shared" si="4"/>
        <v>insert into ins_premium_det (premium_rcv_code,assorted_code, rec_amount,premium_rcv_detail_code,remaining_amt, payrec, mode_code,coinsurance_code,class_cd,it_remarks) values</v>
      </c>
      <c r="G111" s="64" t="str">
        <f t="shared" si="6"/>
        <v>('20Aug240150','040000166926','1466',(select max(to_number(i.premium_rcv_detail_code))+1
from ins_premium_det i),'1466','1466','02', '11000003','00','Request by Mr. Saqib Saleem 21-Aug-2024 sheet1');</v>
      </c>
      <c r="H111" s="65" t="str">
        <f t="shared" si="7"/>
        <v>insert into ins_premium_det (premium_rcv_code,assorted_code, rec_amount,premium_rcv_detail_code,remaining_amt, payrec, mode_code,coinsurance_code,class_cd,it_remarks) values('20Aug240150','040000166926','1466',(select max(to_number(i.premium_rcv_detail_code))+1
from ins_premium_det i),'1466','1466','02', '11000003','00','Request by Mr. Saqib Saleem 21-Aug-2024 sheet1');</v>
      </c>
    </row>
    <row r="112" spans="1:8" ht="180" x14ac:dyDescent="0.25">
      <c r="A112" s="58" t="s">
        <v>706</v>
      </c>
      <c r="B112" t="str">
        <f>VLOOKUP(A112,[1]Sheet1!$B:$D,2,0)</f>
        <v>040000166927</v>
      </c>
      <c r="C112" s="57">
        <v>505</v>
      </c>
      <c r="D112" s="62">
        <f t="shared" si="5"/>
        <v>505</v>
      </c>
      <c r="E112" s="66" t="s">
        <v>713</v>
      </c>
      <c r="F112" s="63" t="str">
        <f t="shared" si="4"/>
        <v>insert into ins_premium_det (premium_rcv_code,assorted_code, rec_amount,premium_rcv_detail_code,remaining_amt, payrec, mode_code,coinsurance_code,class_cd,it_remarks) values</v>
      </c>
      <c r="G112" s="64" t="str">
        <f t="shared" si="6"/>
        <v>('20Aug240150','040000166927','505',(select max(to_number(i.premium_rcv_detail_code))+1
from ins_premium_det i),'505','505','02', '11000003','00','Request by Mr. Saqib Saleem 21-Aug-2024 sheet1');</v>
      </c>
      <c r="H112" s="65" t="str">
        <f t="shared" si="7"/>
        <v>insert into ins_premium_det (premium_rcv_code,assorted_code, rec_amount,premium_rcv_detail_code,remaining_amt, payrec, mode_code,coinsurance_code,class_cd,it_remarks) values('20Aug240150','040000166927','505',(select max(to_number(i.premium_rcv_detail_code))+1
from ins_premium_det i),'505','505','02', '11000003','00','Request by Mr. Saqib Saleem 21-Aug-2024 sheet1');</v>
      </c>
    </row>
    <row r="113" spans="1:8" ht="195" x14ac:dyDescent="0.25">
      <c r="A113" s="58" t="s">
        <v>707</v>
      </c>
      <c r="B113" t="str">
        <f>VLOOKUP(A113,[1]Sheet1!$B:$D,2,0)</f>
        <v>040000166928</v>
      </c>
      <c r="C113" s="57">
        <v>3197</v>
      </c>
      <c r="D113" s="62">
        <f t="shared" si="5"/>
        <v>3197</v>
      </c>
      <c r="E113" s="66" t="s">
        <v>713</v>
      </c>
      <c r="F113" s="63" t="str">
        <f t="shared" si="4"/>
        <v>insert into ins_premium_det (premium_rcv_code,assorted_code, rec_amount,premium_rcv_detail_code,remaining_amt, payrec, mode_code,coinsurance_code,class_cd,it_remarks) values</v>
      </c>
      <c r="G113" s="64" t="str">
        <f t="shared" si="6"/>
        <v>('20Aug240150','040000166928','3197',(select max(to_number(i.premium_rcv_detail_code))+1
from ins_premium_det i),'3197','3197','02', '11000003','00','Request by Mr. Saqib Saleem 21-Aug-2024 sheet1');</v>
      </c>
      <c r="H113" s="65" t="str">
        <f t="shared" si="7"/>
        <v>insert into ins_premium_det (premium_rcv_code,assorted_code, rec_amount,premium_rcv_detail_code,remaining_amt, payrec, mode_code,coinsurance_code,class_cd,it_remarks) values('20Aug240150','040000166928','3197',(select max(to_number(i.premium_rcv_detail_code))+1
from ins_premium_det i),'3197','3197','02', '11000003','00','Request by Mr. Saqib Saleem 21-Aug-2024 sheet1');</v>
      </c>
    </row>
  </sheetData>
  <autoFilter ref="A1:H113" xr:uid="{5BEB0F7B-3900-400A-B9EA-BDDC458768FC}"/>
  <conditionalFormatting sqref="A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topLeftCell="F1" workbookViewId="0">
      <selection activeCell="K3" sqref="K3"/>
    </sheetView>
  </sheetViews>
  <sheetFormatPr defaultRowHeight="15" customHeight="1" x14ac:dyDescent="0.25"/>
  <cols>
    <col min="1" max="1" width="5.7109375" bestFit="1" customWidth="1"/>
    <col min="2" max="2" width="16" bestFit="1" customWidth="1"/>
    <col min="3" max="3" width="16.28515625" bestFit="1" customWidth="1"/>
    <col min="4" max="4" width="14.42578125" bestFit="1" customWidth="1"/>
    <col min="5" max="5" width="24.140625" bestFit="1" customWidth="1"/>
    <col min="6" max="6" width="11.42578125" bestFit="1" customWidth="1"/>
    <col min="7" max="7" width="14" bestFit="1" customWidth="1"/>
    <col min="8" max="8" width="118.5703125" bestFit="1" customWidth="1"/>
    <col min="9" max="9" width="11.5703125" bestFit="1" customWidth="1"/>
  </cols>
  <sheetData>
    <row r="2" spans="1:10" s="10" customFormat="1" ht="14.25" customHeight="1" x14ac:dyDescent="0.35">
      <c r="A2" s="1" t="s">
        <v>0</v>
      </c>
      <c r="B2" s="20" t="s">
        <v>99</v>
      </c>
      <c r="C2" s="33" t="s">
        <v>1</v>
      </c>
      <c r="D2" s="33" t="s">
        <v>18</v>
      </c>
      <c r="E2" s="1" t="s">
        <v>2</v>
      </c>
      <c r="F2" s="1" t="s">
        <v>3</v>
      </c>
      <c r="G2" s="1" t="s">
        <v>4</v>
      </c>
      <c r="H2" s="1" t="s">
        <v>6</v>
      </c>
      <c r="I2" s="2" t="s">
        <v>7</v>
      </c>
      <c r="J2" s="3" t="s">
        <v>5</v>
      </c>
    </row>
    <row r="3" spans="1:10" s="4" customFormat="1" ht="16.5" customHeight="1" x14ac:dyDescent="0.35">
      <c r="A3" s="6">
        <v>1</v>
      </c>
      <c r="B3" s="29" t="s">
        <v>19</v>
      </c>
      <c r="C3" s="24" t="s">
        <v>20</v>
      </c>
      <c r="D3" s="34" t="s">
        <v>595</v>
      </c>
      <c r="E3" s="31" t="s">
        <v>100</v>
      </c>
      <c r="F3" s="21" t="s">
        <v>11</v>
      </c>
      <c r="G3" s="22" t="s">
        <v>101</v>
      </c>
      <c r="H3" s="21" t="s">
        <v>102</v>
      </c>
      <c r="I3" s="7"/>
      <c r="J3" s="8">
        <v>45323</v>
      </c>
    </row>
    <row r="4" spans="1:10" s="4" customFormat="1" ht="16.5" customHeight="1" x14ac:dyDescent="0.35">
      <c r="A4" s="6">
        <f>A3+1</f>
        <v>2</v>
      </c>
      <c r="B4" s="29"/>
      <c r="C4" s="24" t="s">
        <v>25</v>
      </c>
      <c r="D4" s="34" t="s">
        <v>595</v>
      </c>
      <c r="E4" s="31" t="s">
        <v>16</v>
      </c>
      <c r="F4" s="21" t="s">
        <v>8</v>
      </c>
      <c r="G4" s="22" t="s">
        <v>17</v>
      </c>
      <c r="H4" s="21" t="s">
        <v>115</v>
      </c>
      <c r="I4" s="7"/>
      <c r="J4" s="8">
        <v>45323</v>
      </c>
    </row>
    <row r="5" spans="1:10" s="4" customFormat="1" ht="16.5" customHeight="1" x14ac:dyDescent="0.35">
      <c r="A5" s="6">
        <f t="shared" ref="A5:A31" si="0">A4+1</f>
        <v>3</v>
      </c>
      <c r="B5" s="29"/>
      <c r="C5" s="24" t="s">
        <v>46</v>
      </c>
      <c r="D5" s="34" t="s">
        <v>595</v>
      </c>
      <c r="E5" s="31" t="s">
        <v>170</v>
      </c>
      <c r="F5" s="21" t="s">
        <v>10</v>
      </c>
      <c r="G5" s="22" t="s">
        <v>171</v>
      </c>
      <c r="H5" s="21" t="s">
        <v>172</v>
      </c>
      <c r="I5" s="7"/>
      <c r="J5" s="8">
        <v>45323</v>
      </c>
    </row>
    <row r="6" spans="1:10" s="4" customFormat="1" ht="16.5" customHeight="1" x14ac:dyDescent="0.35">
      <c r="A6" s="6">
        <f t="shared" si="0"/>
        <v>4</v>
      </c>
      <c r="B6" s="29"/>
      <c r="C6" s="24" t="s">
        <v>26</v>
      </c>
      <c r="D6" s="34" t="s">
        <v>595</v>
      </c>
      <c r="E6" s="31" t="s">
        <v>116</v>
      </c>
      <c r="F6" s="21" t="s">
        <v>9</v>
      </c>
      <c r="G6" s="22" t="s">
        <v>117</v>
      </c>
      <c r="H6" s="21" t="s">
        <v>118</v>
      </c>
      <c r="I6" s="7"/>
      <c r="J6" s="8">
        <v>45323</v>
      </c>
    </row>
    <row r="7" spans="1:10" s="4" customFormat="1" ht="16.5" customHeight="1" x14ac:dyDescent="0.35">
      <c r="A7" s="6">
        <f t="shared" si="0"/>
        <v>5</v>
      </c>
      <c r="B7" s="29"/>
      <c r="C7" s="24" t="s">
        <v>27</v>
      </c>
      <c r="D7" s="34" t="s">
        <v>595</v>
      </c>
      <c r="E7" s="31" t="s">
        <v>119</v>
      </c>
      <c r="F7" s="21" t="s">
        <v>10</v>
      </c>
      <c r="G7" s="22" t="s">
        <v>120</v>
      </c>
      <c r="H7" s="21" t="s">
        <v>121</v>
      </c>
      <c r="I7" s="7"/>
      <c r="J7" s="8">
        <v>45323</v>
      </c>
    </row>
    <row r="8" spans="1:10" s="4" customFormat="1" ht="16.5" customHeight="1" x14ac:dyDescent="0.35">
      <c r="A8" s="6">
        <f t="shared" si="0"/>
        <v>6</v>
      </c>
      <c r="B8" s="29"/>
      <c r="C8" s="24" t="s">
        <v>24</v>
      </c>
      <c r="D8" s="34" t="s">
        <v>595</v>
      </c>
      <c r="E8" s="31" t="s">
        <v>112</v>
      </c>
      <c r="F8" s="21" t="s">
        <v>10</v>
      </c>
      <c r="G8" s="22" t="s">
        <v>113</v>
      </c>
      <c r="H8" s="21" t="s">
        <v>114</v>
      </c>
      <c r="I8" s="7"/>
      <c r="J8" s="8">
        <v>45323</v>
      </c>
    </row>
    <row r="9" spans="1:10" s="4" customFormat="1" ht="16.5" customHeight="1" x14ac:dyDescent="0.35">
      <c r="A9" s="6">
        <f t="shared" si="0"/>
        <v>7</v>
      </c>
      <c r="B9" s="29"/>
      <c r="C9" s="24" t="s">
        <v>23</v>
      </c>
      <c r="D9" s="34" t="s">
        <v>595</v>
      </c>
      <c r="E9" s="31" t="s">
        <v>109</v>
      </c>
      <c r="F9" s="21" t="s">
        <v>9</v>
      </c>
      <c r="G9" s="22" t="s">
        <v>110</v>
      </c>
      <c r="H9" s="21" t="s">
        <v>111</v>
      </c>
      <c r="I9" s="7"/>
      <c r="J9" s="8">
        <v>45323</v>
      </c>
    </row>
    <row r="10" spans="1:10" s="4" customFormat="1" ht="16.5" customHeight="1" x14ac:dyDescent="0.35">
      <c r="A10" s="6">
        <f t="shared" si="0"/>
        <v>8</v>
      </c>
      <c r="B10" s="29"/>
      <c r="C10" s="24" t="s">
        <v>38</v>
      </c>
      <c r="D10" s="34" t="s">
        <v>595</v>
      </c>
      <c r="E10" s="31" t="s">
        <v>149</v>
      </c>
      <c r="F10" s="21" t="s">
        <v>10</v>
      </c>
      <c r="G10" s="22" t="s">
        <v>150</v>
      </c>
      <c r="H10" s="21" t="s">
        <v>151</v>
      </c>
      <c r="I10" s="7"/>
      <c r="J10" s="8">
        <v>45323</v>
      </c>
    </row>
    <row r="11" spans="1:10" s="4" customFormat="1" ht="16.5" customHeight="1" x14ac:dyDescent="0.35">
      <c r="A11" s="6">
        <f t="shared" si="0"/>
        <v>9</v>
      </c>
      <c r="B11" s="29"/>
      <c r="C11" s="26" t="s">
        <v>62</v>
      </c>
      <c r="D11" s="34" t="s">
        <v>595</v>
      </c>
      <c r="E11" s="31" t="s">
        <v>215</v>
      </c>
      <c r="F11" s="28" t="s">
        <v>9</v>
      </c>
      <c r="G11" s="27" t="s">
        <v>216</v>
      </c>
      <c r="H11" s="21" t="s">
        <v>217</v>
      </c>
      <c r="I11" s="7"/>
      <c r="J11" s="8">
        <v>45323</v>
      </c>
    </row>
    <row r="12" spans="1:10" s="4" customFormat="1" ht="16.5" customHeight="1" x14ac:dyDescent="0.35">
      <c r="A12" s="6">
        <f t="shared" si="0"/>
        <v>10</v>
      </c>
      <c r="B12" s="29"/>
      <c r="C12" s="24" t="s">
        <v>45</v>
      </c>
      <c r="D12" s="34" t="s">
        <v>595</v>
      </c>
      <c r="E12" s="31" t="s">
        <v>167</v>
      </c>
      <c r="F12" s="21" t="s">
        <v>9</v>
      </c>
      <c r="G12" s="22" t="s">
        <v>168</v>
      </c>
      <c r="H12" s="21" t="s">
        <v>169</v>
      </c>
      <c r="I12" s="7"/>
      <c r="J12" s="8">
        <v>45323</v>
      </c>
    </row>
    <row r="13" spans="1:10" s="4" customFormat="1" ht="16.5" customHeight="1" x14ac:dyDescent="0.35">
      <c r="A13" s="6">
        <f t="shared" si="0"/>
        <v>11</v>
      </c>
      <c r="B13" s="29"/>
      <c r="C13" s="24" t="s">
        <v>43</v>
      </c>
      <c r="D13" s="34" t="s">
        <v>595</v>
      </c>
      <c r="E13" s="31" t="s">
        <v>161</v>
      </c>
      <c r="F13" s="21" t="s">
        <v>9</v>
      </c>
      <c r="G13" s="22" t="s">
        <v>162</v>
      </c>
      <c r="H13" s="21" t="s">
        <v>163</v>
      </c>
      <c r="I13" s="7"/>
      <c r="J13" s="8">
        <v>45323</v>
      </c>
    </row>
    <row r="14" spans="1:10" s="4" customFormat="1" ht="16.5" customHeight="1" x14ac:dyDescent="0.35">
      <c r="A14" s="6">
        <f t="shared" si="0"/>
        <v>12</v>
      </c>
      <c r="B14" s="37"/>
      <c r="C14" s="38" t="s">
        <v>426</v>
      </c>
      <c r="D14" s="34" t="s">
        <v>595</v>
      </c>
      <c r="E14" s="39" t="s">
        <v>427</v>
      </c>
      <c r="F14" s="40" t="s">
        <v>9</v>
      </c>
      <c r="G14" s="41" t="s">
        <v>428</v>
      </c>
      <c r="H14" s="40" t="s">
        <v>429</v>
      </c>
      <c r="I14" s="7"/>
      <c r="J14" s="42">
        <v>45323</v>
      </c>
    </row>
    <row r="15" spans="1:10" s="4" customFormat="1" ht="16.5" customHeight="1" x14ac:dyDescent="0.35">
      <c r="A15" s="6">
        <f t="shared" si="0"/>
        <v>13</v>
      </c>
      <c r="B15" s="44"/>
      <c r="C15" s="48" t="s">
        <v>51</v>
      </c>
      <c r="D15" s="34" t="s">
        <v>595</v>
      </c>
      <c r="E15" s="49" t="s">
        <v>185</v>
      </c>
      <c r="F15" s="52" t="s">
        <v>11</v>
      </c>
      <c r="G15" s="54" t="s">
        <v>186</v>
      </c>
      <c r="H15" s="51" t="s">
        <v>187</v>
      </c>
      <c r="I15" s="7"/>
      <c r="J15" s="42">
        <v>45323</v>
      </c>
    </row>
    <row r="16" spans="1:10" s="4" customFormat="1" ht="16.5" customHeight="1" x14ac:dyDescent="0.35">
      <c r="A16" s="6">
        <f t="shared" si="0"/>
        <v>14</v>
      </c>
      <c r="B16" s="44"/>
      <c r="C16" s="47" t="s">
        <v>48</v>
      </c>
      <c r="D16" s="34" t="s">
        <v>595</v>
      </c>
      <c r="E16" s="49" t="s">
        <v>176</v>
      </c>
      <c r="F16" s="51" t="s">
        <v>12</v>
      </c>
      <c r="G16" s="54" t="s">
        <v>177</v>
      </c>
      <c r="H16" s="51" t="s">
        <v>178</v>
      </c>
      <c r="I16" s="7"/>
      <c r="J16" s="42">
        <v>45323</v>
      </c>
    </row>
    <row r="17" spans="1:10" s="4" customFormat="1" ht="16.5" customHeight="1" x14ac:dyDescent="0.35">
      <c r="A17" s="6">
        <f t="shared" si="0"/>
        <v>15</v>
      </c>
      <c r="B17" s="44"/>
      <c r="C17" s="47" t="s">
        <v>47</v>
      </c>
      <c r="D17" s="34" t="s">
        <v>595</v>
      </c>
      <c r="E17" s="49" t="s">
        <v>173</v>
      </c>
      <c r="F17" s="51" t="s">
        <v>11</v>
      </c>
      <c r="G17" s="54" t="s">
        <v>174</v>
      </c>
      <c r="H17" s="51" t="s">
        <v>175</v>
      </c>
      <c r="I17" s="7"/>
      <c r="J17" s="42">
        <v>45323</v>
      </c>
    </row>
    <row r="18" spans="1:10" s="4" customFormat="1" ht="16.5" customHeight="1" x14ac:dyDescent="0.35">
      <c r="A18" s="6">
        <f t="shared" si="0"/>
        <v>16</v>
      </c>
      <c r="B18" s="44"/>
      <c r="C18" s="46" t="s">
        <v>98</v>
      </c>
      <c r="D18" s="34" t="s">
        <v>595</v>
      </c>
      <c r="E18" s="49" t="s">
        <v>310</v>
      </c>
      <c r="F18" s="50" t="s">
        <v>8</v>
      </c>
      <c r="G18" s="53" t="s">
        <v>311</v>
      </c>
      <c r="H18" s="51" t="s">
        <v>312</v>
      </c>
      <c r="I18" s="7"/>
      <c r="J18" s="42">
        <v>45323</v>
      </c>
    </row>
    <row r="19" spans="1:10" s="4" customFormat="1" ht="16.5" customHeight="1" x14ac:dyDescent="0.35">
      <c r="A19" s="6">
        <f t="shared" si="0"/>
        <v>17</v>
      </c>
      <c r="B19" s="44"/>
      <c r="C19" s="46" t="s">
        <v>66</v>
      </c>
      <c r="D19" s="34" t="s">
        <v>595</v>
      </c>
      <c r="E19" s="49" t="s">
        <v>224</v>
      </c>
      <c r="F19" s="50" t="s">
        <v>10</v>
      </c>
      <c r="G19" s="53" t="s">
        <v>225</v>
      </c>
      <c r="H19" s="51" t="s">
        <v>226</v>
      </c>
      <c r="I19" s="7"/>
      <c r="J19" s="42">
        <v>45323</v>
      </c>
    </row>
    <row r="20" spans="1:10" s="4" customFormat="1" ht="16.5" customHeight="1" x14ac:dyDescent="0.35">
      <c r="A20" s="6">
        <f t="shared" si="0"/>
        <v>18</v>
      </c>
      <c r="B20" s="44"/>
      <c r="C20" s="47" t="s">
        <v>53</v>
      </c>
      <c r="D20" s="34" t="s">
        <v>595</v>
      </c>
      <c r="E20" s="49" t="s">
        <v>191</v>
      </c>
      <c r="F20" s="51" t="s">
        <v>9</v>
      </c>
      <c r="G20" s="54" t="s">
        <v>192</v>
      </c>
      <c r="H20" s="51" t="s">
        <v>193</v>
      </c>
      <c r="I20" s="7"/>
      <c r="J20" s="42">
        <v>45323</v>
      </c>
    </row>
    <row r="21" spans="1:10" s="4" customFormat="1" ht="16.5" customHeight="1" x14ac:dyDescent="0.35">
      <c r="A21" s="6">
        <f t="shared" si="0"/>
        <v>19</v>
      </c>
      <c r="B21" s="44"/>
      <c r="C21" s="47" t="s">
        <v>57</v>
      </c>
      <c r="D21" s="34" t="s">
        <v>595</v>
      </c>
      <c r="E21" s="49" t="s">
        <v>203</v>
      </c>
      <c r="F21" s="51" t="s">
        <v>8</v>
      </c>
      <c r="G21" s="54" t="s">
        <v>204</v>
      </c>
      <c r="H21" s="51" t="s">
        <v>205</v>
      </c>
      <c r="I21" s="7"/>
      <c r="J21" s="42">
        <v>45323</v>
      </c>
    </row>
    <row r="22" spans="1:10" s="4" customFormat="1" ht="16.5" customHeight="1" x14ac:dyDescent="0.35">
      <c r="A22" s="6">
        <f t="shared" si="0"/>
        <v>20</v>
      </c>
      <c r="B22" s="44" t="s">
        <v>60</v>
      </c>
      <c r="C22" s="46" t="s">
        <v>61</v>
      </c>
      <c r="D22" s="34" t="s">
        <v>595</v>
      </c>
      <c r="E22" s="49" t="s">
        <v>212</v>
      </c>
      <c r="F22" s="50" t="s">
        <v>9</v>
      </c>
      <c r="G22" s="53" t="s">
        <v>213</v>
      </c>
      <c r="H22" s="51" t="s">
        <v>214</v>
      </c>
      <c r="I22" s="7"/>
      <c r="J22" s="42">
        <v>45323</v>
      </c>
    </row>
    <row r="23" spans="1:10" s="4" customFormat="1" ht="16.5" customHeight="1" x14ac:dyDescent="0.35">
      <c r="A23" s="6">
        <f t="shared" si="0"/>
        <v>21</v>
      </c>
      <c r="B23" s="44"/>
      <c r="C23" s="46" t="s">
        <v>74</v>
      </c>
      <c r="D23" s="34" t="s">
        <v>595</v>
      </c>
      <c r="E23" s="49" t="s">
        <v>245</v>
      </c>
      <c r="F23" s="50" t="s">
        <v>8</v>
      </c>
      <c r="G23" s="53" t="s">
        <v>246</v>
      </c>
      <c r="H23" s="51" t="s">
        <v>247</v>
      </c>
      <c r="I23" s="7"/>
      <c r="J23" s="42">
        <v>45323</v>
      </c>
    </row>
    <row r="24" spans="1:10" s="4" customFormat="1" ht="16.5" customHeight="1" x14ac:dyDescent="0.35">
      <c r="A24" s="6">
        <f t="shared" si="0"/>
        <v>22</v>
      </c>
      <c r="B24" s="44"/>
      <c r="C24" s="46" t="s">
        <v>97</v>
      </c>
      <c r="D24" s="34" t="s">
        <v>595</v>
      </c>
      <c r="E24" s="49" t="s">
        <v>307</v>
      </c>
      <c r="F24" s="50" t="s">
        <v>8</v>
      </c>
      <c r="G24" s="53" t="s">
        <v>308</v>
      </c>
      <c r="H24" s="51" t="s">
        <v>309</v>
      </c>
      <c r="I24" s="7"/>
      <c r="J24" s="42">
        <v>45323</v>
      </c>
    </row>
    <row r="25" spans="1:10" s="4" customFormat="1" ht="16.5" customHeight="1" x14ac:dyDescent="0.35">
      <c r="A25" s="6">
        <f t="shared" si="0"/>
        <v>23</v>
      </c>
      <c r="B25" s="37"/>
      <c r="C25" s="38" t="s">
        <v>525</v>
      </c>
      <c r="D25" s="34" t="s">
        <v>595</v>
      </c>
      <c r="E25" s="39" t="s">
        <v>526</v>
      </c>
      <c r="F25" s="40" t="s">
        <v>10</v>
      </c>
      <c r="G25" s="41" t="s">
        <v>527</v>
      </c>
      <c r="H25" s="40" t="s">
        <v>528</v>
      </c>
      <c r="I25" s="7"/>
      <c r="J25" s="42">
        <v>45323</v>
      </c>
    </row>
    <row r="26" spans="1:10" s="4" customFormat="1" ht="16.5" customHeight="1" x14ac:dyDescent="0.35">
      <c r="A26" s="6">
        <f t="shared" si="0"/>
        <v>24</v>
      </c>
      <c r="B26" s="44"/>
      <c r="C26" s="46" t="s">
        <v>90</v>
      </c>
      <c r="D26" s="34" t="s">
        <v>595</v>
      </c>
      <c r="E26" s="49" t="s">
        <v>287</v>
      </c>
      <c r="F26" s="50" t="s">
        <v>12</v>
      </c>
      <c r="G26" s="53" t="s">
        <v>288</v>
      </c>
      <c r="H26" s="51" t="s">
        <v>289</v>
      </c>
      <c r="I26" s="7"/>
      <c r="J26" s="42">
        <v>45323</v>
      </c>
    </row>
    <row r="27" spans="1:10" s="4" customFormat="1" ht="16.5" customHeight="1" x14ac:dyDescent="0.35">
      <c r="A27" s="6">
        <f t="shared" si="0"/>
        <v>25</v>
      </c>
      <c r="B27" s="44"/>
      <c r="C27" s="46" t="s">
        <v>84</v>
      </c>
      <c r="D27" s="34" t="s">
        <v>595</v>
      </c>
      <c r="E27" s="49" t="s">
        <v>269</v>
      </c>
      <c r="F27" s="50" t="s">
        <v>9</v>
      </c>
      <c r="G27" s="53" t="s">
        <v>270</v>
      </c>
      <c r="H27" s="51" t="s">
        <v>271</v>
      </c>
      <c r="I27" s="7"/>
      <c r="J27" s="42">
        <v>45323</v>
      </c>
    </row>
    <row r="28" spans="1:10" s="4" customFormat="1" ht="16.5" customHeight="1" x14ac:dyDescent="0.35">
      <c r="A28" s="6">
        <f t="shared" si="0"/>
        <v>26</v>
      </c>
      <c r="B28" s="44"/>
      <c r="C28" s="46" t="s">
        <v>91</v>
      </c>
      <c r="D28" s="34" t="s">
        <v>595</v>
      </c>
      <c r="E28" s="49" t="s">
        <v>290</v>
      </c>
      <c r="F28" s="50" t="s">
        <v>10</v>
      </c>
      <c r="G28" s="53" t="s">
        <v>291</v>
      </c>
      <c r="H28" s="51" t="s">
        <v>292</v>
      </c>
      <c r="I28" s="7"/>
      <c r="J28" s="42">
        <v>45323</v>
      </c>
    </row>
    <row r="29" spans="1:10" s="4" customFormat="1" ht="16.5" customHeight="1" x14ac:dyDescent="0.35">
      <c r="A29" s="6">
        <f t="shared" si="0"/>
        <v>27</v>
      </c>
      <c r="B29" s="45"/>
      <c r="C29" s="26" t="s">
        <v>86</v>
      </c>
      <c r="D29" s="34" t="s">
        <v>595</v>
      </c>
      <c r="E29" s="24" t="s">
        <v>275</v>
      </c>
      <c r="F29" s="27" t="s">
        <v>12</v>
      </c>
      <c r="G29" s="27" t="s">
        <v>276</v>
      </c>
      <c r="H29" s="25" t="s">
        <v>277</v>
      </c>
      <c r="I29" s="7"/>
      <c r="J29" s="43">
        <v>45323</v>
      </c>
    </row>
    <row r="30" spans="1:10" s="4" customFormat="1" ht="16.5" customHeight="1" x14ac:dyDescent="0.35">
      <c r="A30" s="6">
        <f t="shared" si="0"/>
        <v>28</v>
      </c>
      <c r="B30" s="29"/>
      <c r="C30" s="24" t="s">
        <v>39</v>
      </c>
      <c r="D30" s="34" t="s">
        <v>595</v>
      </c>
      <c r="E30" s="31" t="s">
        <v>152</v>
      </c>
      <c r="F30" s="21" t="s">
        <v>10</v>
      </c>
      <c r="G30" s="22" t="s">
        <v>153</v>
      </c>
      <c r="H30" s="21" t="s">
        <v>154</v>
      </c>
      <c r="I30" s="7"/>
      <c r="J30" s="8">
        <v>45323</v>
      </c>
    </row>
    <row r="31" spans="1:10" s="4" customFormat="1" ht="16.5" customHeight="1" x14ac:dyDescent="0.35">
      <c r="A31" s="6">
        <f t="shared" si="0"/>
        <v>29</v>
      </c>
      <c r="B31" s="30"/>
      <c r="C31" s="19" t="s">
        <v>386</v>
      </c>
      <c r="D31" s="34" t="s">
        <v>595</v>
      </c>
      <c r="E31" s="32" t="s">
        <v>387</v>
      </c>
      <c r="F31" s="17" t="s">
        <v>9</v>
      </c>
      <c r="G31" s="18" t="s">
        <v>388</v>
      </c>
      <c r="H31" s="17" t="s">
        <v>389</v>
      </c>
      <c r="I31" s="7"/>
      <c r="J31" s="8">
        <v>45323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Feb-2024 Renewals</vt:lpstr>
      <vt:lpstr>Renewal Working</vt:lpstr>
      <vt:lpstr>Liqvidate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Pyar Ali Pirwani</dc:creator>
  <cp:lastModifiedBy>IT User Software</cp:lastModifiedBy>
  <dcterms:created xsi:type="dcterms:W3CDTF">2017-02-15T07:30:48Z</dcterms:created>
  <dcterms:modified xsi:type="dcterms:W3CDTF">2024-08-21T06:38:49Z</dcterms:modified>
</cp:coreProperties>
</file>