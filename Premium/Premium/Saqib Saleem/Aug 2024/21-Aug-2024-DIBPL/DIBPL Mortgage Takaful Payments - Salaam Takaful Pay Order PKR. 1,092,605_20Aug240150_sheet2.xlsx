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emium\Saqib\21-Aug-2024\"/>
    </mc:Choice>
  </mc:AlternateContent>
  <xr:revisionPtr revIDLastSave="0" documentId="13_ncr:1_{7D63D6DF-E02A-40CE-98C0-4A5E62AF77A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Jan-2024 Renewals" sheetId="1" r:id="rId1"/>
    <sheet name="working" sheetId="3" r:id="rId2"/>
    <sheet name="Liqvidate Cases" sheetId="2" r:id="rId3"/>
    <sheet name="Sheet2" sheetId="4" r:id="rId4"/>
  </sheets>
  <externalReferences>
    <externalReference r:id="rId5"/>
  </externalReferences>
  <definedNames>
    <definedName name="_xlnm._FilterDatabase" localSheetId="0" hidden="1">'Jan-2024 Renewals'!$A$2:$L$2</definedName>
    <definedName name="_xlnm._FilterDatabase" localSheetId="1" hidden="1">working!$A$1:$H$1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3" l="1"/>
  <c r="H6" i="3" s="1"/>
  <c r="G10" i="3"/>
  <c r="H10" i="3" s="1"/>
  <c r="G14" i="3"/>
  <c r="H14" i="3" s="1"/>
  <c r="G18" i="3"/>
  <c r="H18" i="3" s="1"/>
  <c r="G22" i="3"/>
  <c r="H22" i="3" s="1"/>
  <c r="G26" i="3"/>
  <c r="H26" i="3" s="1"/>
  <c r="G30" i="3"/>
  <c r="H30" i="3" s="1"/>
  <c r="G34" i="3"/>
  <c r="H34" i="3" s="1"/>
  <c r="G38" i="3"/>
  <c r="H38" i="3" s="1"/>
  <c r="G42" i="3"/>
  <c r="H42" i="3" s="1"/>
  <c r="G46" i="3"/>
  <c r="H46" i="3" s="1"/>
  <c r="G50" i="3"/>
  <c r="H50" i="3" s="1"/>
  <c r="G54" i="3"/>
  <c r="H54" i="3" s="1"/>
  <c r="G58" i="3"/>
  <c r="H58" i="3" s="1"/>
  <c r="G62" i="3"/>
  <c r="H62" i="3" s="1"/>
  <c r="G66" i="3"/>
  <c r="H66" i="3" s="1"/>
  <c r="G70" i="3"/>
  <c r="H70" i="3" s="1"/>
  <c r="G74" i="3"/>
  <c r="H74" i="3" s="1"/>
  <c r="G78" i="3"/>
  <c r="H78" i="3" s="1"/>
  <c r="G82" i="3"/>
  <c r="H82" i="3" s="1"/>
  <c r="G86" i="3"/>
  <c r="H86" i="3" s="1"/>
  <c r="G90" i="3"/>
  <c r="H90" i="3" s="1"/>
  <c r="G94" i="3"/>
  <c r="H94" i="3" s="1"/>
  <c r="G98" i="3"/>
  <c r="H98" i="3" s="1"/>
  <c r="G102" i="3"/>
  <c r="H102" i="3" s="1"/>
  <c r="G106" i="3"/>
  <c r="H106" i="3" s="1"/>
  <c r="G110" i="3"/>
  <c r="H110" i="3" s="1"/>
  <c r="G114" i="3"/>
  <c r="H114" i="3" s="1"/>
  <c r="G118" i="3"/>
  <c r="H118" i="3" s="1"/>
  <c r="G122" i="3"/>
  <c r="H122" i="3" s="1"/>
  <c r="G126" i="3"/>
  <c r="H126" i="3" s="1"/>
  <c r="G130" i="3"/>
  <c r="H130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B3" i="3"/>
  <c r="G3" i="3" s="1"/>
  <c r="H3" i="3" s="1"/>
  <c r="B4" i="3"/>
  <c r="G4" i="3" s="1"/>
  <c r="H4" i="3" s="1"/>
  <c r="B5" i="3"/>
  <c r="G5" i="3" s="1"/>
  <c r="H5" i="3" s="1"/>
  <c r="B6" i="3"/>
  <c r="B7" i="3"/>
  <c r="G7" i="3" s="1"/>
  <c r="H7" i="3" s="1"/>
  <c r="B8" i="3"/>
  <c r="G8" i="3" s="1"/>
  <c r="H8" i="3" s="1"/>
  <c r="B9" i="3"/>
  <c r="G9" i="3" s="1"/>
  <c r="H9" i="3" s="1"/>
  <c r="B10" i="3"/>
  <c r="B11" i="3"/>
  <c r="G11" i="3" s="1"/>
  <c r="H11" i="3" s="1"/>
  <c r="B12" i="3"/>
  <c r="G12" i="3" s="1"/>
  <c r="H12" i="3" s="1"/>
  <c r="B13" i="3"/>
  <c r="G13" i="3" s="1"/>
  <c r="H13" i="3" s="1"/>
  <c r="B14" i="3"/>
  <c r="B15" i="3"/>
  <c r="G15" i="3" s="1"/>
  <c r="H15" i="3" s="1"/>
  <c r="B16" i="3"/>
  <c r="G16" i="3" s="1"/>
  <c r="H16" i="3" s="1"/>
  <c r="B17" i="3"/>
  <c r="G17" i="3" s="1"/>
  <c r="H17" i="3" s="1"/>
  <c r="B18" i="3"/>
  <c r="B19" i="3"/>
  <c r="G19" i="3" s="1"/>
  <c r="H19" i="3" s="1"/>
  <c r="B20" i="3"/>
  <c r="G20" i="3" s="1"/>
  <c r="H20" i="3" s="1"/>
  <c r="B21" i="3"/>
  <c r="G21" i="3" s="1"/>
  <c r="H21" i="3" s="1"/>
  <c r="B22" i="3"/>
  <c r="B23" i="3"/>
  <c r="G23" i="3" s="1"/>
  <c r="H23" i="3" s="1"/>
  <c r="B24" i="3"/>
  <c r="G24" i="3" s="1"/>
  <c r="H24" i="3" s="1"/>
  <c r="B25" i="3"/>
  <c r="G25" i="3" s="1"/>
  <c r="H25" i="3" s="1"/>
  <c r="B26" i="3"/>
  <c r="B27" i="3"/>
  <c r="G27" i="3" s="1"/>
  <c r="H27" i="3" s="1"/>
  <c r="B28" i="3"/>
  <c r="G28" i="3" s="1"/>
  <c r="H28" i="3" s="1"/>
  <c r="B29" i="3"/>
  <c r="G29" i="3" s="1"/>
  <c r="H29" i="3" s="1"/>
  <c r="B30" i="3"/>
  <c r="B31" i="3"/>
  <c r="G31" i="3" s="1"/>
  <c r="H31" i="3" s="1"/>
  <c r="B32" i="3"/>
  <c r="G32" i="3" s="1"/>
  <c r="H32" i="3" s="1"/>
  <c r="B33" i="3"/>
  <c r="G33" i="3" s="1"/>
  <c r="H33" i="3" s="1"/>
  <c r="B34" i="3"/>
  <c r="B35" i="3"/>
  <c r="G35" i="3" s="1"/>
  <c r="H35" i="3" s="1"/>
  <c r="B36" i="3"/>
  <c r="G36" i="3" s="1"/>
  <c r="H36" i="3" s="1"/>
  <c r="B37" i="3"/>
  <c r="G37" i="3" s="1"/>
  <c r="H37" i="3" s="1"/>
  <c r="B38" i="3"/>
  <c r="B39" i="3"/>
  <c r="G39" i="3" s="1"/>
  <c r="H39" i="3" s="1"/>
  <c r="B40" i="3"/>
  <c r="G40" i="3" s="1"/>
  <c r="H40" i="3" s="1"/>
  <c r="B41" i="3"/>
  <c r="G41" i="3" s="1"/>
  <c r="H41" i="3" s="1"/>
  <c r="B42" i="3"/>
  <c r="B43" i="3"/>
  <c r="G43" i="3" s="1"/>
  <c r="H43" i="3" s="1"/>
  <c r="B44" i="3"/>
  <c r="G44" i="3" s="1"/>
  <c r="H44" i="3" s="1"/>
  <c r="B45" i="3"/>
  <c r="G45" i="3" s="1"/>
  <c r="H45" i="3" s="1"/>
  <c r="B46" i="3"/>
  <c r="B47" i="3"/>
  <c r="G47" i="3" s="1"/>
  <c r="H47" i="3" s="1"/>
  <c r="B48" i="3"/>
  <c r="G48" i="3" s="1"/>
  <c r="H48" i="3" s="1"/>
  <c r="B49" i="3"/>
  <c r="G49" i="3" s="1"/>
  <c r="H49" i="3" s="1"/>
  <c r="B50" i="3"/>
  <c r="B51" i="3"/>
  <c r="G51" i="3" s="1"/>
  <c r="H51" i="3" s="1"/>
  <c r="B52" i="3"/>
  <c r="G52" i="3" s="1"/>
  <c r="H52" i="3" s="1"/>
  <c r="B53" i="3"/>
  <c r="G53" i="3" s="1"/>
  <c r="H53" i="3" s="1"/>
  <c r="B54" i="3"/>
  <c r="B55" i="3"/>
  <c r="G55" i="3" s="1"/>
  <c r="H55" i="3" s="1"/>
  <c r="B56" i="3"/>
  <c r="G56" i="3" s="1"/>
  <c r="H56" i="3" s="1"/>
  <c r="B57" i="3"/>
  <c r="G57" i="3" s="1"/>
  <c r="H57" i="3" s="1"/>
  <c r="B58" i="3"/>
  <c r="B59" i="3"/>
  <c r="G59" i="3" s="1"/>
  <c r="H59" i="3" s="1"/>
  <c r="B60" i="3"/>
  <c r="G60" i="3" s="1"/>
  <c r="H60" i="3" s="1"/>
  <c r="B61" i="3"/>
  <c r="G61" i="3" s="1"/>
  <c r="H61" i="3" s="1"/>
  <c r="B62" i="3"/>
  <c r="B63" i="3"/>
  <c r="G63" i="3" s="1"/>
  <c r="H63" i="3" s="1"/>
  <c r="B64" i="3"/>
  <c r="G64" i="3" s="1"/>
  <c r="H64" i="3" s="1"/>
  <c r="B65" i="3"/>
  <c r="G65" i="3" s="1"/>
  <c r="H65" i="3" s="1"/>
  <c r="B66" i="3"/>
  <c r="B67" i="3"/>
  <c r="G67" i="3" s="1"/>
  <c r="H67" i="3" s="1"/>
  <c r="B68" i="3"/>
  <c r="G68" i="3" s="1"/>
  <c r="H68" i="3" s="1"/>
  <c r="B69" i="3"/>
  <c r="G69" i="3" s="1"/>
  <c r="H69" i="3" s="1"/>
  <c r="B70" i="3"/>
  <c r="B71" i="3"/>
  <c r="G71" i="3" s="1"/>
  <c r="H71" i="3" s="1"/>
  <c r="B72" i="3"/>
  <c r="G72" i="3" s="1"/>
  <c r="H72" i="3" s="1"/>
  <c r="B73" i="3"/>
  <c r="G73" i="3" s="1"/>
  <c r="H73" i="3" s="1"/>
  <c r="B74" i="3"/>
  <c r="B75" i="3"/>
  <c r="G75" i="3" s="1"/>
  <c r="H75" i="3" s="1"/>
  <c r="B76" i="3"/>
  <c r="G76" i="3" s="1"/>
  <c r="H76" i="3" s="1"/>
  <c r="B77" i="3"/>
  <c r="G77" i="3" s="1"/>
  <c r="H77" i="3" s="1"/>
  <c r="B78" i="3"/>
  <c r="B79" i="3"/>
  <c r="G79" i="3" s="1"/>
  <c r="H79" i="3" s="1"/>
  <c r="B80" i="3"/>
  <c r="G80" i="3" s="1"/>
  <c r="H80" i="3" s="1"/>
  <c r="B81" i="3"/>
  <c r="G81" i="3" s="1"/>
  <c r="H81" i="3" s="1"/>
  <c r="B82" i="3"/>
  <c r="B83" i="3"/>
  <c r="G83" i="3" s="1"/>
  <c r="H83" i="3" s="1"/>
  <c r="B84" i="3"/>
  <c r="G84" i="3" s="1"/>
  <c r="H84" i="3" s="1"/>
  <c r="B85" i="3"/>
  <c r="G85" i="3" s="1"/>
  <c r="H85" i="3" s="1"/>
  <c r="B86" i="3"/>
  <c r="B87" i="3"/>
  <c r="G87" i="3" s="1"/>
  <c r="H87" i="3" s="1"/>
  <c r="B88" i="3"/>
  <c r="G88" i="3" s="1"/>
  <c r="H88" i="3" s="1"/>
  <c r="B89" i="3"/>
  <c r="G89" i="3" s="1"/>
  <c r="H89" i="3" s="1"/>
  <c r="B90" i="3"/>
  <c r="B91" i="3"/>
  <c r="G91" i="3" s="1"/>
  <c r="H91" i="3" s="1"/>
  <c r="B92" i="3"/>
  <c r="G92" i="3" s="1"/>
  <c r="H92" i="3" s="1"/>
  <c r="B93" i="3"/>
  <c r="G93" i="3" s="1"/>
  <c r="H93" i="3" s="1"/>
  <c r="B94" i="3"/>
  <c r="B95" i="3"/>
  <c r="G95" i="3" s="1"/>
  <c r="H95" i="3" s="1"/>
  <c r="B96" i="3"/>
  <c r="G96" i="3" s="1"/>
  <c r="H96" i="3" s="1"/>
  <c r="B97" i="3"/>
  <c r="G97" i="3" s="1"/>
  <c r="H97" i="3" s="1"/>
  <c r="B98" i="3"/>
  <c r="B99" i="3"/>
  <c r="G99" i="3" s="1"/>
  <c r="H99" i="3" s="1"/>
  <c r="B100" i="3"/>
  <c r="G100" i="3" s="1"/>
  <c r="H100" i="3" s="1"/>
  <c r="B101" i="3"/>
  <c r="G101" i="3" s="1"/>
  <c r="H101" i="3" s="1"/>
  <c r="B102" i="3"/>
  <c r="B103" i="3"/>
  <c r="G103" i="3" s="1"/>
  <c r="H103" i="3" s="1"/>
  <c r="B104" i="3"/>
  <c r="G104" i="3" s="1"/>
  <c r="H104" i="3" s="1"/>
  <c r="B105" i="3"/>
  <c r="G105" i="3" s="1"/>
  <c r="H105" i="3" s="1"/>
  <c r="B106" i="3"/>
  <c r="B107" i="3"/>
  <c r="G107" i="3" s="1"/>
  <c r="H107" i="3" s="1"/>
  <c r="B108" i="3"/>
  <c r="G108" i="3" s="1"/>
  <c r="H108" i="3" s="1"/>
  <c r="B109" i="3"/>
  <c r="G109" i="3" s="1"/>
  <c r="H109" i="3" s="1"/>
  <c r="B110" i="3"/>
  <c r="B111" i="3"/>
  <c r="G111" i="3" s="1"/>
  <c r="H111" i="3" s="1"/>
  <c r="B112" i="3"/>
  <c r="G112" i="3" s="1"/>
  <c r="H112" i="3" s="1"/>
  <c r="B113" i="3"/>
  <c r="G113" i="3" s="1"/>
  <c r="H113" i="3" s="1"/>
  <c r="B114" i="3"/>
  <c r="B115" i="3"/>
  <c r="G115" i="3" s="1"/>
  <c r="H115" i="3" s="1"/>
  <c r="B116" i="3"/>
  <c r="G116" i="3" s="1"/>
  <c r="H116" i="3" s="1"/>
  <c r="B117" i="3"/>
  <c r="G117" i="3" s="1"/>
  <c r="H117" i="3" s="1"/>
  <c r="B118" i="3"/>
  <c r="B119" i="3"/>
  <c r="G119" i="3" s="1"/>
  <c r="H119" i="3" s="1"/>
  <c r="B120" i="3"/>
  <c r="G120" i="3" s="1"/>
  <c r="H120" i="3" s="1"/>
  <c r="B121" i="3"/>
  <c r="G121" i="3" s="1"/>
  <c r="H121" i="3" s="1"/>
  <c r="B122" i="3"/>
  <c r="B123" i="3"/>
  <c r="G123" i="3" s="1"/>
  <c r="H123" i="3" s="1"/>
  <c r="B124" i="3"/>
  <c r="G124" i="3" s="1"/>
  <c r="H124" i="3" s="1"/>
  <c r="B125" i="3"/>
  <c r="G125" i="3" s="1"/>
  <c r="H125" i="3" s="1"/>
  <c r="B126" i="3"/>
  <c r="B127" i="3"/>
  <c r="G127" i="3" s="1"/>
  <c r="H127" i="3" s="1"/>
  <c r="B128" i="3"/>
  <c r="G128" i="3" s="1"/>
  <c r="H128" i="3" s="1"/>
  <c r="B129" i="3"/>
  <c r="G129" i="3" s="1"/>
  <c r="H129" i="3" s="1"/>
  <c r="B130" i="3"/>
  <c r="B2" i="3"/>
  <c r="G2" i="3" s="1"/>
  <c r="F2" i="3"/>
  <c r="D2" i="3"/>
  <c r="H2" i="3" l="1"/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" i="4"/>
  <c r="J133" i="1" l="1"/>
  <c r="H133" i="1"/>
  <c r="A4" i="1" l="1"/>
  <c r="A5" i="1" s="1"/>
  <c r="A6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</calcChain>
</file>

<file path=xl/sharedStrings.xml><?xml version="1.0" encoding="utf-8"?>
<sst xmlns="http://schemas.openxmlformats.org/spreadsheetml/2006/main" count="2367" uniqueCount="910">
  <si>
    <t>S.No.</t>
  </si>
  <si>
    <t>Contract Number</t>
  </si>
  <si>
    <t>Customer Name</t>
  </si>
  <si>
    <t>City</t>
  </si>
  <si>
    <t>New NIC</t>
  </si>
  <si>
    <t>Effective Date</t>
  </si>
  <si>
    <t xml:space="preserve">Property Address </t>
  </si>
  <si>
    <t>Sum Insured</t>
  </si>
  <si>
    <t>FAISALABAD</t>
  </si>
  <si>
    <t>KARACHI</t>
  </si>
  <si>
    <t>LAHORE</t>
  </si>
  <si>
    <t>RAWALPINDI</t>
  </si>
  <si>
    <t>ISLAMABAD</t>
  </si>
  <si>
    <t>MOHAMMAD SALEEM</t>
  </si>
  <si>
    <t>SIFAT AHMAD KHAN</t>
  </si>
  <si>
    <t>MOEEN AYUB MIRZA</t>
  </si>
  <si>
    <t>SAJJAD MEHMOOD QURESHI</t>
  </si>
  <si>
    <t>SYED ALI FARHAN RAZI</t>
  </si>
  <si>
    <t>MIAN MUHAMMAD SALMAN ZAHID</t>
  </si>
  <si>
    <t>MUHAMMAD BILAL</t>
  </si>
  <si>
    <t>SYED NAUMAN AKHTAR</t>
  </si>
  <si>
    <t>ZAHEER HUSSAIN</t>
  </si>
  <si>
    <t>MUHAMMAD SALMAN BHATTI</t>
  </si>
  <si>
    <t>MUHAMMAD ASLAM</t>
  </si>
  <si>
    <t>SYED MUHAMMAD ZEESHAN AFZAL</t>
  </si>
  <si>
    <t>MALIK MUHAMMAD EJAZ</t>
  </si>
  <si>
    <t>SALEEM ULLAH</t>
  </si>
  <si>
    <t>KAMIL ALI KHAN</t>
  </si>
  <si>
    <t>FAISAL RIZWAN</t>
  </si>
  <si>
    <t>TABRAIZ HASAN KHAN</t>
  </si>
  <si>
    <t>CHAUDHRY ARSHAD MEHMOOD</t>
  </si>
  <si>
    <t>SHAZIA KHURRAM</t>
  </si>
  <si>
    <t>ASHIR JAVED</t>
  </si>
  <si>
    <t>SAJJAD HUSSAIN</t>
  </si>
  <si>
    <t>AHSAN RAZA CHOHAN</t>
  </si>
  <si>
    <t>IFRAN NAVEED CHAUDHRY</t>
  </si>
  <si>
    <t>MUHAMMAD AZAM</t>
  </si>
  <si>
    <t>UZMA IMRAN</t>
  </si>
  <si>
    <t>ABDUL RAHIM</t>
  </si>
  <si>
    <t>997HREN080020001</t>
  </si>
  <si>
    <t>997HBUY080310002</t>
  </si>
  <si>
    <t>997HREN080310004</t>
  </si>
  <si>
    <t>997HBUY090050001</t>
  </si>
  <si>
    <t>9976BUY100050001</t>
  </si>
  <si>
    <t>997BFIN100050001</t>
  </si>
  <si>
    <t>9976BUY110080001</t>
  </si>
  <si>
    <t>9976BUY130280001</t>
  </si>
  <si>
    <t>9976BUY130310002</t>
  </si>
  <si>
    <t>9976BUY140310002</t>
  </si>
  <si>
    <t>9976BUY150190001</t>
  </si>
  <si>
    <t>9976REN150260001</t>
  </si>
  <si>
    <t>9976BUY160140001</t>
  </si>
  <si>
    <t>997HBNP160150001</t>
  </si>
  <si>
    <t>997HBUY160150001</t>
  </si>
  <si>
    <t>997HBUY160180001</t>
  </si>
  <si>
    <t>997HBUY160270001</t>
  </si>
  <si>
    <t>9976BFN160290001</t>
  </si>
  <si>
    <t>997HBUY160300001</t>
  </si>
  <si>
    <t>9976BUY170200002</t>
  </si>
  <si>
    <t>9976BUY170250001</t>
  </si>
  <si>
    <t>9976BUY170270001</t>
  </si>
  <si>
    <t>997BFIN170300002</t>
  </si>
  <si>
    <t>997HBUY170300001</t>
  </si>
  <si>
    <t>9976BUY170300001</t>
  </si>
  <si>
    <t>997HBUY170310003</t>
  </si>
  <si>
    <t>HOUSE NO. R-768, SECTOR 15-A/2, NORTH KARACHI TOWNSHIP, KARACHI.</t>
  </si>
  <si>
    <t>FLAT NO.201, 2ND FLOOR, 8-C, SHAHBAZ COMMERCIAL, STREET NO.2, PHASE-VI, D.H.A., KARACHI.</t>
  </si>
  <si>
    <t>HOUSE# 157, SECTOR# I-9/4, ISLAMABAD</t>
  </si>
  <si>
    <t>HOUSE# 71-D, SECTOR# A-1, GOVT EMPLOYEES CO-OPEARTIVE HOUSING SOCIETY TOWNSHIP LAHORE</t>
  </si>
  <si>
    <t>BUGLOW # C-1 BLOCK-B KDA OFFICER COOPERATIVE HOUSING SOCIETY KARACHI</t>
  </si>
  <si>
    <t>HOUSE # 18 BLOCK -G-1 JOHAR TOWN LAHORE</t>
  </si>
  <si>
    <t>HOUSE# 17, ROW# 9, SUB BLOCK - F, BLOCK III, NAZIMABAD</t>
  </si>
  <si>
    <t>FLAT# A-06, 2nd FLOOR, SUN RISE APARTMENT, BLOCK-1, KDA SCHEME# 5, CLIFTON, KARACHI</t>
  </si>
  <si>
    <t>HOUSE # E-162/4, STREET #9, YASRAB COLONY, BANK STOP, WALTON ROAD, LAHORE</t>
  </si>
  <si>
    <t>HOUSE# 137, SECTOR-H, PHASE# 5, D.H.A, LAHORE CANTT, LAHORE</t>
  </si>
  <si>
    <t>HOUSE# 18, GOSHA E AHBAB CO OPERATIVE HOUSING SOCIETY LTD, PHASE III LAHORE</t>
  </si>
  <si>
    <t>HOUSE # 202, STREET # 02,F-10/3, ISLAMABAD</t>
  </si>
  <si>
    <t>HOUSE # 685, BLOCK-G, PHASE-V, DHA, LAHORE</t>
  </si>
  <si>
    <t>HOUSE # IH-04, AIR FORCE OFFICER HOUSING SCHEME, FALCON COMPLEX, NEW MALIR, MALIR CANTT., KARACHI</t>
  </si>
  <si>
    <t>BUNGLOW # 252/1 35TH STREET PHASE VIII-A DHA KARACHI</t>
  </si>
  <si>
    <t>PLOT # B-251 DOUBLE STREYAD BUNGLOW BLK 5 KDA SCHEME NO 24 GULSHAN-E-IQBAL KARACHI.</t>
  </si>
  <si>
    <t xml:space="preserve"> HOUSE # A-192, BLOCK-12, KDA SCHEME # 36, GULISTAN-E-JAUHAR, KARACHI</t>
  </si>
  <si>
    <t>PLOT # 21, LILLY ROAD, BLOCK-F, SOAN GARDENS HOUSING SCHEME, ISLAMABAD</t>
  </si>
  <si>
    <t>HOUSE # 109-D, MODEL CITY, OPPOSITE EDEN GARDEN, NEAR KASHMIR PULL, CHAK # 208 ROAD, FAISALABAD</t>
  </si>
  <si>
    <t>HOUSE NO. 111, STREET NO. 60, I-8/3, ISLAMABAD</t>
  </si>
  <si>
    <t>HOUSE NO. 6, STREET NO. 15, ZONE V, RIVER GARDENS HOUSING SCHEME, ISLAMABAD</t>
  </si>
  <si>
    <t>HOUSE NO. 324-A, STREET NO. 50, PAKISTAN TOWN, IBECHS, PHASE I, ISLAMABAD</t>
  </si>
  <si>
    <t>HOUSE NO. 26, BLOCK A, STREET 4, KHUDA BUKSH COLONY, AIRPORT ROAD, LAHORE CANTT</t>
  </si>
  <si>
    <t>HOUSE NO. 336-F, SIR SYED AVENUE, EDEN VALLEY, FAISALABAD</t>
  </si>
  <si>
    <t>HOUSE NO. 85/15, BLOCK B, BANKERS CO-OPERATIVE HOUSING SOCIETY, LAHORE</t>
  </si>
  <si>
    <t>HOUSE NO. 76-B, VIP BLOCK, CANAL PARK, EAST CANAL ROAD, FAISALABAD</t>
  </si>
  <si>
    <t>42101-3043611-3</t>
  </si>
  <si>
    <t>42201-0719367-7</t>
  </si>
  <si>
    <t>61101-4756764-7</t>
  </si>
  <si>
    <t>35202-6044839-7</t>
  </si>
  <si>
    <t>42101-6859364-5</t>
  </si>
  <si>
    <t>35202-8894053-3</t>
  </si>
  <si>
    <t>42101-7787492-7</t>
  </si>
  <si>
    <t>423017-713495-3</t>
  </si>
  <si>
    <t>37301-2363866-3</t>
  </si>
  <si>
    <t>35202-2501196-9</t>
  </si>
  <si>
    <t>36502-1329165-5</t>
  </si>
  <si>
    <t>61101-2017566-1</t>
  </si>
  <si>
    <t>35202-3767729-9</t>
  </si>
  <si>
    <t>904060-147946-1</t>
  </si>
  <si>
    <t>61101-4662626-1</t>
  </si>
  <si>
    <t>42101-9651800-3</t>
  </si>
  <si>
    <t>42201-0501195-3</t>
  </si>
  <si>
    <t>37405-8892850-5</t>
  </si>
  <si>
    <t>33100-9439448-0</t>
  </si>
  <si>
    <t>37405-0551414-1</t>
  </si>
  <si>
    <t>71103-1380131-5</t>
  </si>
  <si>
    <t>37405-0151268-5</t>
  </si>
  <si>
    <t>35202-5275201-1</t>
  </si>
  <si>
    <t>33102-1777136-5</t>
  </si>
  <si>
    <t>35201-1470123-6</t>
  </si>
  <si>
    <t>35202-4128742-9</t>
  </si>
  <si>
    <t>MUHAMMAD SHAHZAD AKBAR</t>
  </si>
  <si>
    <t>997HREN080080001</t>
  </si>
  <si>
    <t>HOUSE NO.M-1340, STREET NO.60, MUHALLAH AMMAR PURA, RAWALPINDI.</t>
  </si>
  <si>
    <t>37405-5082970-1</t>
  </si>
  <si>
    <t>997HBUY180100002</t>
  </si>
  <si>
    <t>MUHAMMAD ZUBAIR</t>
  </si>
  <si>
    <t>42101-4803552-5</t>
  </si>
  <si>
    <t>HOUSE # D-68, BLOCK # 7, KDA SCHEME # 24, GULSHAN-E-IQBAL, KARACHI</t>
  </si>
  <si>
    <t>997HBUY180290001</t>
  </si>
  <si>
    <t>TULSIDAS</t>
  </si>
  <si>
    <t>43103-5453523-7</t>
  </si>
  <si>
    <t>FLAT # 501-D, 5TH FLOOR, AL MUSTAFA HOMES, FRERE ROAD, FRERE TOWN, KARACHI</t>
  </si>
  <si>
    <t>997HBUY180310001</t>
  </si>
  <si>
    <t>ASLAM PARVEZ</t>
  </si>
  <si>
    <t>33100-1413215-3</t>
  </si>
  <si>
    <t>HOUSE # 25, BLOCK C, SHEIKH COLONY, JHANG ROAD, FAISALABAD.</t>
  </si>
  <si>
    <t>997HBUY190090001</t>
  </si>
  <si>
    <t>MEHWISH HAYAT</t>
  </si>
  <si>
    <t>42201-2996202-2</t>
  </si>
  <si>
    <t>BUNGALOW # 74/II, 18TH LANE OF PHASE VII, DHA KARACHI</t>
  </si>
  <si>
    <t>9976REN190220001</t>
  </si>
  <si>
    <t>SYED WAJID HUSSAIN SHAH</t>
  </si>
  <si>
    <t>37405-0498455-3</t>
  </si>
  <si>
    <t>HOUSE # 1431, BLOCK # C-1, MULTI GARDEN HOUSING PROJECT B-17 ISLAMABAD</t>
  </si>
  <si>
    <t>SOHAIL MEHMOOD</t>
  </si>
  <si>
    <t>35202-8128658-7</t>
  </si>
  <si>
    <t>HOUSE # 444, BLOCK-E, EME SECTOR, PHASE XII, DHA, LAHORE</t>
  </si>
  <si>
    <t>997BFIN190310001</t>
  </si>
  <si>
    <t>LIAQAT ALI SHAHID</t>
  </si>
  <si>
    <t>33100-3132445-9</t>
  </si>
  <si>
    <t>HOUSE # 844, PEOPLES COLONY # 02, FAISALABAD</t>
  </si>
  <si>
    <t>9976BUY190310002</t>
  </si>
  <si>
    <t>IMRAN</t>
  </si>
  <si>
    <t>34101-2467705-5</t>
  </si>
  <si>
    <t>HOUSE # 100-E, LANE # 07, BLOCK-A, SECTOR-4, AECHS, ISLAMABAD</t>
  </si>
  <si>
    <t>997HBUY190310002</t>
  </si>
  <si>
    <t>ALI AWAIS</t>
  </si>
  <si>
    <t>33201-8083284-5</t>
  </si>
  <si>
    <t>HOUSE # 24, UMER BLOCK, RIYAZ-UL-JINNAH, FAISALABAD</t>
  </si>
  <si>
    <t>997HBUY190310001</t>
  </si>
  <si>
    <t>MUHAMMAD YOUSUF IQBAL</t>
  </si>
  <si>
    <t>42501-2213421-7</t>
  </si>
  <si>
    <t>FLAT # A-502/3, 5TH FLOOR, BILLYS HEIGHTS, BLOCK-18, KDA SCHEME # 36, GULISTAN-E-JOHAR, KARACHI</t>
  </si>
  <si>
    <t>MUHAMMAD BAQUR</t>
  </si>
  <si>
    <t>33100-0769793-3</t>
  </si>
  <si>
    <t>HOUSE # 571-A, GHULAM MUHAMMAD ABAD, FAISALABAD</t>
  </si>
  <si>
    <t>997HBUY200270001</t>
  </si>
  <si>
    <t>AMNA HUMAYUN</t>
  </si>
  <si>
    <t>42101-6442864-6</t>
  </si>
  <si>
    <t>HOUSE # 06, BLOCK-3, SECTOR ALL, SITUATED AT QUAID-E-AZAM TOWN SCHEME, LAHORE</t>
  </si>
  <si>
    <t>997HBUY200310003</t>
  </si>
  <si>
    <t>RANA MUHAMMAD SAIFULLAH</t>
  </si>
  <si>
    <t>35202-2324660-7</t>
  </si>
  <si>
    <t>HOUSE # 107, BLOCK N-1, PAKISTAN EXPETRIATES CO-OPERATIVE HOUSING SOCIETY IZMIR, LAHORE.</t>
  </si>
  <si>
    <t>ABDUL GHAFFAR</t>
  </si>
  <si>
    <t>42201-3527064-9</t>
  </si>
  <si>
    <t>HOUSE # 112/II, 19TH STREET, PHASE VI, DHA KARACHI</t>
  </si>
  <si>
    <t>997HREN200300001</t>
  </si>
  <si>
    <t>KHALID MEHMOOD</t>
  </si>
  <si>
    <t>33100-4302950-1</t>
  </si>
  <si>
    <t>HOUSE # 5-B, TAHIR PARK, NEAR SHEIKH COLONY, FAISALABAD</t>
  </si>
  <si>
    <t>997HBUY200310001</t>
  </si>
  <si>
    <t>YAWAR HAFEEZ</t>
  </si>
  <si>
    <t>42301-8368460-9</t>
  </si>
  <si>
    <t>FLAT # 101, 1ST FLOOR, PLOT # 57-C, JAMI COMMERICAL STREET-6, PHASE-VII, CLIFTON CANTONMENT, KARACHI</t>
  </si>
  <si>
    <t>997BFIN200310003</t>
  </si>
  <si>
    <t>HAROON SULAMAN</t>
  </si>
  <si>
    <t>33100-1950909-9</t>
  </si>
  <si>
    <t>HOUSE # 64, THE LAWYERS CO-OPERATIVE HOUSING SOCIETY LTD, CANAL ROAD, FAISALABAD</t>
  </si>
  <si>
    <t>997HCON193650001</t>
  </si>
  <si>
    <t>SYED MUHAMMAD TALIB RIZVI</t>
  </si>
  <si>
    <t>37405-0311647-3</t>
  </si>
  <si>
    <t>HOUSE # 155, STREET # 22, SECTOR F-10/2, ISLAMABAD</t>
  </si>
  <si>
    <t>9976BUY201780002</t>
  </si>
  <si>
    <t>997BFIN201410006</t>
  </si>
  <si>
    <t>997HPUS201510001</t>
  </si>
  <si>
    <t>9976BUY210080001</t>
  </si>
  <si>
    <t>SYED NAEEM YAQOOB</t>
  </si>
  <si>
    <t>61101-4776582-3</t>
  </si>
  <si>
    <t>HOUSE # 855, STREET # 74, IBECHS PHASE-1, PAKISTAN TOWN, LOHI BHER, ISLAMABAD</t>
  </si>
  <si>
    <t>997HBUY210080002</t>
  </si>
  <si>
    <t>NAVEED ISHAQ</t>
  </si>
  <si>
    <t>33100-0944446-1</t>
  </si>
  <si>
    <t>HOUSE # 182-A, GREEN BELT, SHAHBAZ TOWN, FAISALABAD</t>
  </si>
  <si>
    <t>997HBUY210120001</t>
  </si>
  <si>
    <t>SABBIL HAIDER</t>
  </si>
  <si>
    <t>42201-2127275-5</t>
  </si>
  <si>
    <t>HOUSE # A-38, SECTOR V, SUB SECTOR II, GULSHAN MAYMAR, DEH TAISER, TAPO SONGAL, KDA SCHEME # 33, GADAP TOWN, KARACHI</t>
  </si>
  <si>
    <t>9976BUY210130001</t>
  </si>
  <si>
    <t>GHULAM SAJJAD</t>
  </si>
  <si>
    <t>42201-4556162-7</t>
  </si>
  <si>
    <t>HOUSE # 75/II, SABA AVENUE, PHASE-V, EXT DHA, KARACHI</t>
  </si>
  <si>
    <t>997HBUY210150001</t>
  </si>
  <si>
    <t>SYED MUHAMMAD RAZA ABBAS</t>
  </si>
  <si>
    <t>42501-6290325-3</t>
  </si>
  <si>
    <t>HOUSE # R-162, BLOCK-5, ?CAPITAL CO-OPERATIVE HOUSING SOCIETY LIMITED?, SECTOR # 35-A, KDA SCHEME # 33, KARACHI</t>
  </si>
  <si>
    <t>9976BUY210150001</t>
  </si>
  <si>
    <t>BASHARAT KHADIM</t>
  </si>
  <si>
    <t>37405-8298961-9</t>
  </si>
  <si>
    <t>HOUSE # 740, STREET # 72, IBECHS, PHASE-1, PAKISTAN TOWN, ISLAMABAD</t>
  </si>
  <si>
    <t>997HBUY210180003</t>
  </si>
  <si>
    <t>MUHAMMAD ASAD IFTIKHAR</t>
  </si>
  <si>
    <t>42000-2020782-7</t>
  </si>
  <si>
    <t>HOUSE # 110/1, KHAYABAN-E-GHAZI, PHASE-IV, DHA, KARACHI</t>
  </si>
  <si>
    <t>997BFIN210180001</t>
  </si>
  <si>
    <t>MUBASHAR AHMAD</t>
  </si>
  <si>
    <t>35201-4119734-9</t>
  </si>
  <si>
    <t>HOUSE # S-D 680, SURVEY # 87/1, ASKARI HOUSING COMPLEX-9, ZARAR SHAHEED ROAD, LAHORE CANTT</t>
  </si>
  <si>
    <t>997HBUY210190004</t>
  </si>
  <si>
    <t>KALEEM AHMED</t>
  </si>
  <si>
    <t>42101-9330944-3</t>
  </si>
  <si>
    <t>HOUSE # R-1157, BLOCK-14, KDA SCHEME # 16, FEDERAL B AREA, KARACHI</t>
  </si>
  <si>
    <t>9976REN210210001</t>
  </si>
  <si>
    <t>QUTAB JAHANZAIB</t>
  </si>
  <si>
    <t>35302-1938716-3</t>
  </si>
  <si>
    <t>HOUSE # 98, BLOCK-A, FAISAL TOWN SCHEME, LAHORE</t>
  </si>
  <si>
    <t>997HBUY210210005</t>
  </si>
  <si>
    <t>AZHAR HUSSAIN</t>
  </si>
  <si>
    <t>42201-5721022-7</t>
  </si>
  <si>
    <t>FLAT # 104/9-B, 9TH FLOOR, ASKARI V, SURVEY # 71/3/A, ARMY OFFICER HOUSING COLONY, PHASE II, MALIR CANTT, KARACHI</t>
  </si>
  <si>
    <t>9976BUY210220002</t>
  </si>
  <si>
    <t>UMAIR TAHIR</t>
  </si>
  <si>
    <t>35202-4034556-5</t>
  </si>
  <si>
    <t>HOUSE # 248, QAYYUM BLOCK, MUSTAFA TOWN, LAHORE</t>
  </si>
  <si>
    <t>9976BUY210250001</t>
  </si>
  <si>
    <t>TAIMUR BADAT</t>
  </si>
  <si>
    <t>42301-2660346-3</t>
  </si>
  <si>
    <t>HOUSE # 32/II-B, KHAYABAN-E-MOMIN, PHASE-V, DHA KARACHI.</t>
  </si>
  <si>
    <t>997HBUY210260002</t>
  </si>
  <si>
    <t>ANEES UR REHMAN</t>
  </si>
  <si>
    <t>33102-9125091-1</t>
  </si>
  <si>
    <t>HOUSE # 76-D, MODEL CITY, CHAK # 208/RB ROAD, OFF CANAL ROAD, FAISALABAD.</t>
  </si>
  <si>
    <t>9976BUY210260002</t>
  </si>
  <si>
    <t>MUHAMMAD ZAFAR IQBAL</t>
  </si>
  <si>
    <t>35302-2032829-1</t>
  </si>
  <si>
    <t>HOUSE # 229, BLOCK-B, TELECOMMUNICATION EMPLOYEES CO-OPERATIVE HOUSING SOCIETY, LAHORE</t>
  </si>
  <si>
    <t>997BFIN210270001</t>
  </si>
  <si>
    <t>GHULAM HUSSAIN</t>
  </si>
  <si>
    <t>33100-1225878-3</t>
  </si>
  <si>
    <t>HOUSE # 162-A, PEOPLES COLONY, FAISALABAD</t>
  </si>
  <si>
    <t>997HBUY210270001</t>
  </si>
  <si>
    <t>ZIR KHAN</t>
  </si>
  <si>
    <t>42000-1988356-1</t>
  </si>
  <si>
    <t>FLAT # B-801, 8TH FLOOR, BLOCK-B, ?CHAPAL OCEAN CENTRE? SUB PLOT  COM-6/8/6, PLOT # COM-6, BLOCK-4, SCHEME # 05 CLIFTON, KARACHI</t>
  </si>
  <si>
    <t>997HBUY210280001</t>
  </si>
  <si>
    <t>MUHAMMAD KHURRAM</t>
  </si>
  <si>
    <t>42301-4669092-7</t>
  </si>
  <si>
    <t>HOUSE # 76, 2ND COMMERCIAL STREET, PHASE IV, DHA KARACHI</t>
  </si>
  <si>
    <t>KHALID AKHTAR MEMON</t>
  </si>
  <si>
    <t>42301-4793643-1</t>
  </si>
  <si>
    <t>9976BUY210280002</t>
  </si>
  <si>
    <t>SAMEER MALIK</t>
  </si>
  <si>
    <t>42301-2323686-7</t>
  </si>
  <si>
    <t>HOUSE # M-34/II/II, KHAYABAN-E-ITTEHAD, PHASE VII, DHA KARACHI.</t>
  </si>
  <si>
    <t>997HBUY210280002</t>
  </si>
  <si>
    <t>SUMEET KUMAR</t>
  </si>
  <si>
    <t>43103-0485046-1</t>
  </si>
  <si>
    <t>FLAT # 802-D, 8TH FLOOR, ?AL MUSTAFA HOMES? PLOT SURVEY # 25, SHEET # FT-2, FRERE TOWN QUARTERS,</t>
  </si>
  <si>
    <t>997BFIN210280001</t>
  </si>
  <si>
    <t>MUHAMMAD NAVEED AFZAL GILL</t>
  </si>
  <si>
    <t>35202-4068731-5</t>
  </si>
  <si>
    <t>HOUSE # 218, BLOCK-C, PHASE-I, STATE ENTERPRISES OFFICERS CO-OPERATIVE HOUSING SOCIETY (MARGHZAR) LAHORE</t>
  </si>
  <si>
    <t>997HCON210290001</t>
  </si>
  <si>
    <t>ZAFAR IQBAL</t>
  </si>
  <si>
    <t>LAHORE.</t>
  </si>
  <si>
    <t>81202-6019744-9</t>
  </si>
  <si>
    <t>HOUSE # 210, BLOCK C-3, SECTOR A, THE COOPERATIVE ENGINEERS TOWN SOCIETY LTD, LAHORE.</t>
  </si>
  <si>
    <t>9976BUY210300001</t>
  </si>
  <si>
    <t>HAFEEZ AHMED</t>
  </si>
  <si>
    <t>35202-2802521-7</t>
  </si>
  <si>
    <t>HOUSE # 631/B, BLOCK-3, SECTOR-C/I, QUAID-E-AZAM TOWN, SCHEME LAHORE</t>
  </si>
  <si>
    <t>997BFIN220310003</t>
  </si>
  <si>
    <t>IJAZ UR REHMAN</t>
  </si>
  <si>
    <t>35202-3807763-3</t>
  </si>
  <si>
    <t>HOUSE NO. 476, BLOCK B, DHA EME SECTOR, MULTANROAD, LAHORE.</t>
  </si>
  <si>
    <t>997BFIN220310002</t>
  </si>
  <si>
    <t>SHEIKH ASIM IQBAL</t>
  </si>
  <si>
    <t>35202-7745784-7</t>
  </si>
  <si>
    <t>HOUSE # 5 BLOCK D EME SECTOR DHA MULTAN ROAD LAHORE</t>
  </si>
  <si>
    <t>997BFIN220200001</t>
  </si>
  <si>
    <t>WAHEED SHARIF</t>
  </si>
  <si>
    <t>34601-6188964-5</t>
  </si>
  <si>
    <t>HOUSE NO 158, STREET NO 05, BLOCK 05, BLOCK 1, PHASE III, I.B EMPLOYEES COOPERATIVE HOUSING SOCIETY LTD, GULBERG GREEN, ISLAMABAD.</t>
  </si>
  <si>
    <t>997NPHF220060001</t>
  </si>
  <si>
    <t>SHOAIB AKHTER</t>
  </si>
  <si>
    <t>42101-4832005-5</t>
  </si>
  <si>
    <t>HOUSE NO. A-335, SECTOR NO.11-B, NORTH KARACHI, TOWNSHIP.KARACHI.</t>
  </si>
  <si>
    <t>997NPHF220060002</t>
  </si>
  <si>
    <t>ADNAN MUSHTAQ</t>
  </si>
  <si>
    <t>91103-0116523-9</t>
  </si>
  <si>
    <t>HOUSE NO. 2, DEAN STREET NO 10, MADINA COLONY, BUILD ON KHASRA NO. 30, 31, 21, 355, 451, MOUZA MISRIAL, MISRIAL ROAD, RAWALPINDI.</t>
  </si>
  <si>
    <t>997NPHF220140001</t>
  </si>
  <si>
    <t>SHAHID  IQBAL</t>
  </si>
  <si>
    <t>42201-4479455-3</t>
  </si>
  <si>
    <t>FLAT NO. F-17, 4TH FLOOR, SUB PLOT NO. FL-11/F-1. PLOT NO FL-11, SAFARI BOLEVARD, PHASE III, BLOCK 15, SCHEME NO 36, GULISTAN E JAUHAR, KARACHI.</t>
  </si>
  <si>
    <t>997HBUY220190001</t>
  </si>
  <si>
    <t>SUNNY KUMAR SHADMANI</t>
  </si>
  <si>
    <t>43103-6370780-1</t>
  </si>
  <si>
    <t>FLAT NO. A-303, 3RD FLOOR, TRIDENT RESIDENCY, SUB PLOT NO-III, PLOT NO. 2/2, SHEET NO FT-2, FRERE TOWN QUARTERS, KARACHI.</t>
  </si>
  <si>
    <t>997NPHF220240001</t>
  </si>
  <si>
    <t>ASHFAQ AHMAD</t>
  </si>
  <si>
    <t>33100-0660361-9</t>
  </si>
  <si>
    <t>HOUSE # P-164 A BLOCK GULISTAN COLONY # 2 FAISLABAD</t>
  </si>
  <si>
    <t>997NPHF220070003</t>
  </si>
  <si>
    <t>JAMIL HAIDER</t>
  </si>
  <si>
    <t>37405-2820654-5</t>
  </si>
  <si>
    <t>HOUSE NO. 1413, ST 11-A, SECTOR I, GULSHANABAD, ADYALA ROAD, RAWALPINDI.</t>
  </si>
  <si>
    <t>997NPHF220240003</t>
  </si>
  <si>
    <t>MUHAMMAD ANWER</t>
  </si>
  <si>
    <t>42201-3173396-9</t>
  </si>
  <si>
    <t>FLAT # 3001 3RD FLOOR PLOT CM-13 BLOCK B KARCHI UNIVERSITY EMPLOYEE HOUSING SOCIETY SECTOR 18-A SCH 33</t>
  </si>
  <si>
    <t>997NPHF220240005</t>
  </si>
  <si>
    <t>MUHAMMAD WAQAS</t>
  </si>
  <si>
    <t>42201-5529256-1</t>
  </si>
  <si>
    <t>FLAT # 207 2ND FLOOR AL KARIM SHOPPING CENTER PLOT ST-7/1 SEC 35 KORANGI # 4</t>
  </si>
  <si>
    <t>997NPHF220050001</t>
  </si>
  <si>
    <t>SAIMA IDRIS</t>
  </si>
  <si>
    <t>42301-6304464-0</t>
  </si>
  <si>
    <t>FLAT NO. 401, 4TH FLOOR, PLOT NO. 3-C, BOKHARI COMMERCIAL STREET NO. 4, PHASE VI, DHA, KARACHI.</t>
  </si>
  <si>
    <t>997NPHF220200004</t>
  </si>
  <si>
    <t>ANWAR ELAHI</t>
  </si>
  <si>
    <t>42101-1501662-7</t>
  </si>
  <si>
    <t>FLAT NO. A-1401, TOWER 1, 14TH FLOOR, NOMAN RESIDENCIA SUB PLOT NO. A-101, TOWER 1, PLOT NO A, SECTOR NO. 30, CORRIDOR, KDA SCHEME NO 33, KARACHI.</t>
  </si>
  <si>
    <t>997NPHF220250007</t>
  </si>
  <si>
    <t>TAMEER HUSSAIN TUNIO</t>
  </si>
  <si>
    <t>HYDERABAD</t>
  </si>
  <si>
    <t>45302-8077096-7</t>
  </si>
  <si>
    <t>HOUSE NO 13 AL MUSTAFA HOUSING SCHEME PHASE II RS NOS 142 QASIMABAD</t>
  </si>
  <si>
    <t>997HBUY220250001</t>
  </si>
  <si>
    <t>SYED KHURRAM ALI NAQVI</t>
  </si>
  <si>
    <t>42101-5352687-1</t>
  </si>
  <si>
    <t>HOUSE # B-108 400 SQ Yards Block No 13 KDA SCHEME NO 16 FEDERAL B AREA</t>
  </si>
  <si>
    <t>9976BUY220240001</t>
  </si>
  <si>
    <t>BILAL ARSHAD</t>
  </si>
  <si>
    <t>42101-3947992-9</t>
  </si>
  <si>
    <t>BUNGLOW NO 38/II LOCATED KHAYABAN-E-HILAL PHASE VI DHA KARACHI</t>
  </si>
  <si>
    <t>997NPHF220180002</t>
  </si>
  <si>
    <t>MUHAMMAD JAHANGIR MUGHAL</t>
  </si>
  <si>
    <t>61101-7659229-9</t>
  </si>
  <si>
    <t>HOUSE NO. 289, STREET NO.49, SECTOR G-10/4, ISLAMABAD.</t>
  </si>
  <si>
    <t>997NPHF220260009</t>
  </si>
  <si>
    <t>MUHAMMAD SHAKEEL</t>
  </si>
  <si>
    <t>33100-3850521-3</t>
  </si>
  <si>
    <t>HOUSE NO. 33-D, GHALIB CITY, CHAK NO. 208/RB, FAISALABAD.</t>
  </si>
  <si>
    <t>997NPHF220120002</t>
  </si>
  <si>
    <t>MOHSAN  SHAFEEQ</t>
  </si>
  <si>
    <t>33102-6695671-7</t>
  </si>
  <si>
    <t>HOUSE NO. 1413/38-A, STREET NO. 2, CHAUDHARY PARK, SHALIMAR PARK ROAD, CHAK NO. 224/RB, FAISALABAD.</t>
  </si>
  <si>
    <t>997NPHF220130002</t>
  </si>
  <si>
    <t>MIRZA UMER SALEEM</t>
  </si>
  <si>
    <t>42201-1996795-1</t>
  </si>
  <si>
    <t>HOUSE NO. R-103, HINA BUNGALOW, SURVEY NO 259, DEH OKEWARI, BLOCK 19, KDA SCHEME NO 36, GULISTAN E JAUHAR, KARACHI.</t>
  </si>
  <si>
    <t>997NPHF220260008</t>
  </si>
  <si>
    <t>RIAZ AHMED</t>
  </si>
  <si>
    <t>41204-2887021-5</t>
  </si>
  <si>
    <t>HOUSE BUILD KHEWAT 152, KHATOONI 207, 211, KHASRA NO 175, 186 MOUZA CHAKRA, RAWALPINDI.</t>
  </si>
  <si>
    <t>997NPHF220200005</t>
  </si>
  <si>
    <t>KAMRAN EJAZ CHATHA</t>
  </si>
  <si>
    <t>34603-1614735-9</t>
  </si>
  <si>
    <t>HOUSE NO. 576-A, STATE LIFE INSURANCE EMPLOYEES COPERATIVE HOUSING SICIETY, LAHORE.</t>
  </si>
  <si>
    <t>997NPHF220120001</t>
  </si>
  <si>
    <t>MINHAJ KHAN</t>
  </si>
  <si>
    <t>42101-5701187-1</t>
  </si>
  <si>
    <t>FLAT NO. D-202, 2ND FLOOR, SAIMA AVENUE, SUB PLOT NO. D-02, PLOT NO. FL-10, SECTOR NO. 14-B, NORTH KARACHI TOWNSHIP, KARACHI.</t>
  </si>
  <si>
    <t>997NPHF220240002</t>
  </si>
  <si>
    <t>MUHAMMAD SHAHZAD</t>
  </si>
  <si>
    <t>33100-8573976-3</t>
  </si>
  <si>
    <t>HOUSE # 185/3 STREET 6 BAZAAR NO 3 RAZA ABAD FAISLABAD</t>
  </si>
  <si>
    <t>997NPHF220110001</t>
  </si>
  <si>
    <t>MUHAMMAD SAQIB KHAN</t>
  </si>
  <si>
    <t>42201-6753901-3</t>
  </si>
  <si>
    <t>FLAT NO. D-114, 1ST FLOOR, WELCOME TERRACE, SUB PLOT NO C-29/14, pLOT NO. CL-29, BLOCK 19, KDA SCHEME NO 36, GULISTAN E JOHAR, KARACHI.</t>
  </si>
  <si>
    <t>997NPHF220250006</t>
  </si>
  <si>
    <t>USMAN SIDDIQ</t>
  </si>
  <si>
    <t>17301-0142835-1</t>
  </si>
  <si>
    <t>FLAT # 104 1ST FLOOR MUBARAK PRIDE SUB PLOT 4&amp;5 PLOT # 11 SURVEY 119 BLOCK 9 KDA SCHM #16 FEDERAL B AREA KARACHI</t>
  </si>
  <si>
    <t>997NPHF220270011</t>
  </si>
  <si>
    <t>SANDEEP KUMAR</t>
  </si>
  <si>
    <t>44303-8457577-9</t>
  </si>
  <si>
    <t>FLAT NO. 6, 1ST FLOOR, ROYAL CITY, BLOCK II, PLOT NO 480/2, DEH JAMSHORO, NEAR CITIZEN COLONY, JAMSHORO ROAD,TALUKA QASIMABAD, DISTRICT HYDERABADSINDH</t>
  </si>
  <si>
    <t>997NPHF220040011</t>
  </si>
  <si>
    <t>MUHAMMAD AKRAM</t>
  </si>
  <si>
    <t>37405-3790820-3</t>
  </si>
  <si>
    <t>HOUSE NO. 199, RAILWAY SCHEME NO. 9, FAISAL COLONY, CHAKLALA, RAWALPINDI.</t>
  </si>
  <si>
    <t>9976BUY220060001</t>
  </si>
  <si>
    <t>GHULAM MURTAZA</t>
  </si>
  <si>
    <t>38401-5438997-5</t>
  </si>
  <si>
    <t>HOUSE NO. A-86, BLOCK A, KDA OFFICER, CO OPERATIVE HOUSEING SOCIETY LTD, GULSHAN E IQBAL, KARACHI.</t>
  </si>
  <si>
    <t>997NPHF220270010</t>
  </si>
  <si>
    <t>SYED SEEMA AQDAS ZIADI</t>
  </si>
  <si>
    <t>42101-6936486-4</t>
  </si>
  <si>
    <t>FLAT NO. B-605, 6TH FLOOR, GREY NOOR TOWER, PLOT NO COM -2, SECTOR 29, KDA SCHEME NO. 33, DEH SONGAL, KARACHI.</t>
  </si>
  <si>
    <t>9976BUY220270002</t>
  </si>
  <si>
    <t>NOSHABA SAAD AIDRUS</t>
  </si>
  <si>
    <t>35202-7030043-2</t>
  </si>
  <si>
    <t>HOUSE NO. 33, BLOCK 2L, PHASE 11, DHA, LAHORE.</t>
  </si>
  <si>
    <t>997NPHF220270012</t>
  </si>
  <si>
    <t>SHAHID ISLAM</t>
  </si>
  <si>
    <t>33100-7132443-7</t>
  </si>
  <si>
    <t>HOUSE NO. 9/1, STREET NO. 1, REHMAN PURA BEHIND ATTOCK PETROLPUMP, SARGHODA ROAD CHAK NO. 122/JB, FAISALABAD.</t>
  </si>
  <si>
    <t>997NPHF220270013</t>
  </si>
  <si>
    <t>MUHAMMAD SAQIB MUNIR</t>
  </si>
  <si>
    <t>33103-6105431-1</t>
  </si>
  <si>
    <t>HOUSE NO. 58, VIP BLOCK, AL NOOR GARDEN, FAISALABAD.</t>
  </si>
  <si>
    <t>997NPHF220050002</t>
  </si>
  <si>
    <t>MUHAMMAD AWAIS MALIK</t>
  </si>
  <si>
    <t>37405-9031086-9</t>
  </si>
  <si>
    <t>PLOT NO. 566, BLOCK-D, MULTI GARDENS HOUSING SCHEME, MULTI PROFESSIONALS CO OPERATIVE HOUSING SOCIETY, ISLAMABAD.</t>
  </si>
  <si>
    <t>997NPHF220070002</t>
  </si>
  <si>
    <t>ABDUL RAZZAQUE</t>
  </si>
  <si>
    <t>44103-7632075-7</t>
  </si>
  <si>
    <t>HOUSE NO. 103, TYPE B, MIR HUSSAINABAD HOUSING SCHEME, RS NO. 276, 277 ,384, 391 PART DEH GUDDU BANDAR TALUKA LATIFABAD, DISTRICT HYDERABAD.</t>
  </si>
  <si>
    <t>997HBUY220310003</t>
  </si>
  <si>
    <t>OSMAN ASHRAF</t>
  </si>
  <si>
    <t>611019-030451-7</t>
  </si>
  <si>
    <t>HOUSE NO. 43, STREET NO. 39, SECTOR I-8/2 ISLAMABAD.</t>
  </si>
  <si>
    <t>997NPHF220310009</t>
  </si>
  <si>
    <t>NADEEM KHAN</t>
  </si>
  <si>
    <t>14301-1938484-3</t>
  </si>
  <si>
    <t>HOUSE NO. 750-A, STREET NO. 112, SECTOR 3, ABAD COOPERATIVE HOUSING SOCIETY LID, RAWALPINDI.</t>
  </si>
  <si>
    <t>997HBUY220310004</t>
  </si>
  <si>
    <t>AFNAN AHMED  BHUTTO</t>
  </si>
  <si>
    <t>42201-7607749-5</t>
  </si>
  <si>
    <t>FLAT # B-701 7TH FLOOR RAO ISRAR HIGHTS ON PLOT B-I IN BLOCK 13 SITUATED KDA SCHEME 36 GULISTAN-E-JOHAR</t>
  </si>
  <si>
    <t>997NPHF220310002</t>
  </si>
  <si>
    <t>MEHBOOB ELAHI</t>
  </si>
  <si>
    <t>13101-9009039-5</t>
  </si>
  <si>
    <t>HOUSE NO. 1157, STREET NO. 37, 1-14/1, ISLAMABAD.</t>
  </si>
  <si>
    <t>997NPHF220310003</t>
  </si>
  <si>
    <t>MUHAMMAD AZEEM USMANI</t>
  </si>
  <si>
    <t>42201-0668023-5</t>
  </si>
  <si>
    <t>FLAT NO. A-313, 3RD- FLOOR, SARAH AVENUE, SUB PLOT NO. FL-16/A-13, PLOT NO FL-16, SECTOR NO 13/C, KDA CORRIDOR SCHEME NO 33, KARACHI.</t>
  </si>
  <si>
    <t>997NPHF220310007</t>
  </si>
  <si>
    <t>SYED MOHSIN RAZA</t>
  </si>
  <si>
    <t>33100-7448450-7</t>
  </si>
  <si>
    <t>HOUSE NO. P-225-A, RAZA TOWN, CANAL ROAD, FAISALABAD.</t>
  </si>
  <si>
    <t>997NPHF220310008</t>
  </si>
  <si>
    <t>SHAKEEL AHMAD</t>
  </si>
  <si>
    <t>33100-2098422-7</t>
  </si>
  <si>
    <t>HOUSE NO. P-234-E, EDEN GARDEN EXECUTIVE BLOCK, FAISALABAD.</t>
  </si>
  <si>
    <t>9976BUY220310005</t>
  </si>
  <si>
    <t>YASIR SAEED DAR</t>
  </si>
  <si>
    <t>35202-2719050-9</t>
  </si>
  <si>
    <t>Plot # 473, Block M, Situated at Phase 6, Defence Housing Authority, Lahore</t>
  </si>
  <si>
    <t>9976BUY220310004</t>
  </si>
  <si>
    <t>IQBAL HUSSAIN</t>
  </si>
  <si>
    <t>42101-4647672-1</t>
  </si>
  <si>
    <t>Villa # 409, Type # B, Defence Raya Golf &amp; Country Club, Phase 6, DHA, Lahore</t>
  </si>
  <si>
    <t>997NPHF220280014</t>
  </si>
  <si>
    <t>MUHAMMAD SALMAN KHAN</t>
  </si>
  <si>
    <t>42201-4672966-5</t>
  </si>
  <si>
    <t>FLAT NO. A-908, 9TH FLOOR, RAO &amp; ISRAR HEIGHTS SUB PLOT NO. A-VII, PLOT NO FL-23/A, BLOCK 13, KDA SCHEME NO 36, GULISTAN E JOHAR KARACHI.</t>
  </si>
  <si>
    <t>997NPHF220310004</t>
  </si>
  <si>
    <t>OWAIS KARIM MALIK</t>
  </si>
  <si>
    <t>42501-7934682-9</t>
  </si>
  <si>
    <t>F # 304, 3- FLOOR, KARACHI UNIVERSITY EMPLOYEES COOPERATIVE HOUSING SOCIETY LIMITED, PLOT # CM-22, SECTOR # 18-A, KDA SCHEME # 33, GULISTAN EJOHAR KHI</t>
  </si>
  <si>
    <t>997NPHF220310010</t>
  </si>
  <si>
    <t>MUHAMMAD ARSLAN</t>
  </si>
  <si>
    <t>33100-4125459-5</t>
  </si>
  <si>
    <t>HOUSE NO. 12A/4, ST# 18, FAISAL PARK, KHEWAT NO 387 KHATOONI NO 981 TO 1334, SITUATEDIN HADBUST MOZA,FATEH GARH SHALIMAR, LHR.</t>
  </si>
  <si>
    <t>997NPHF220310006</t>
  </si>
  <si>
    <t>ZEESHAN HAIDER</t>
  </si>
  <si>
    <t>33100-0757561-7</t>
  </si>
  <si>
    <t>HOUSE NO. 124, BLOCK A, PALM CITY, HOUSING SCHEME, LAHORE.</t>
  </si>
  <si>
    <t>997NPHF220310001</t>
  </si>
  <si>
    <t>42000-6867886-1</t>
  </si>
  <si>
    <t>FLAT NO. 28, 3RD FLOOR, NAIMAT CENTER, SUB PLOT NO CS-38/8, BLOCK NO. 7, KDA SCHEME 16, FEDERAL B AREA, KARACHI.</t>
  </si>
  <si>
    <t>997NPHF220310005</t>
  </si>
  <si>
    <t>UMAIR ASHRAF QURESHI</t>
  </si>
  <si>
    <t>37405-1793630-1</t>
  </si>
  <si>
    <t>HOUSE NO. 827, MAIN STREET, RAILWAY SCHEME NO. 9, LOHIBHIR CHAKLALA, RAWALPINDI.</t>
  </si>
  <si>
    <t>9973PMR220140003</t>
  </si>
  <si>
    <t>WASEEM AHMED</t>
  </si>
  <si>
    <t>42101-1931241-3</t>
  </si>
  <si>
    <t>PLOT NO. 200, 38TH STREET, PHAS VI-BV-3, DHA, KARACHI.</t>
  </si>
  <si>
    <t>Contract Status</t>
  </si>
  <si>
    <t>997HPUS230120001</t>
  </si>
  <si>
    <t>997HCON230060001</t>
  </si>
  <si>
    <t>997HBUY230090001</t>
  </si>
  <si>
    <t>997BFIN230240001</t>
  </si>
  <si>
    <t>997BFIN230040002</t>
  </si>
  <si>
    <t>997BFIN230190001</t>
  </si>
  <si>
    <t>997HBUY230100002</t>
  </si>
  <si>
    <t>997HBUY230200001</t>
  </si>
  <si>
    <t>9976BUY230300001</t>
  </si>
  <si>
    <t>9976BUY230300002</t>
  </si>
  <si>
    <t>997BFIN230300002</t>
  </si>
  <si>
    <t>997HCON230300001</t>
  </si>
  <si>
    <t>9976BUY230310004</t>
  </si>
  <si>
    <t>997HBUY230240001</t>
  </si>
  <si>
    <t>9973PMR230310002</t>
  </si>
  <si>
    <t>9973PMR230060002</t>
  </si>
  <si>
    <t>9973PMR230190001</t>
  </si>
  <si>
    <t>997HCON223550001</t>
  </si>
  <si>
    <t>997HREN223570002</t>
  </si>
  <si>
    <t>997BFIN223410001</t>
  </si>
  <si>
    <t>997BFIN223530002</t>
  </si>
  <si>
    <t>997BFIN223500001</t>
  </si>
  <si>
    <t>997BFIN223610001</t>
  </si>
  <si>
    <t>997BFIN223630002</t>
  </si>
  <si>
    <t>997BFIN223640003</t>
  </si>
  <si>
    <t>997HCON223630002</t>
  </si>
  <si>
    <t>9973PMR223570003</t>
  </si>
  <si>
    <t>9973PMR223600005</t>
  </si>
  <si>
    <t>9973PMR223640012</t>
  </si>
  <si>
    <t>9973PMR223600006</t>
  </si>
  <si>
    <t>9973PMR223620008</t>
  </si>
  <si>
    <t>9973PMR223640013</t>
  </si>
  <si>
    <t>9973PMR223400003</t>
  </si>
  <si>
    <t>9973PMR223640009</t>
  </si>
  <si>
    <t>9973PMR223640011</t>
  </si>
  <si>
    <t>CHAUDHARY UMAIR AHMED</t>
  </si>
  <si>
    <t>FARRUKH JAHANGIR</t>
  </si>
  <si>
    <t>ALISHBA</t>
  </si>
  <si>
    <t>MUHAMMAD FAIZAN</t>
  </si>
  <si>
    <t>ZAIN UL ABIDDEN</t>
  </si>
  <si>
    <t>RAVESH KUMAR</t>
  </si>
  <si>
    <t>SALMAN BUTT</t>
  </si>
  <si>
    <t>MUHAMMAD SHAFIQUE</t>
  </si>
  <si>
    <t>MUHAMMAD ABBAS ALI</t>
  </si>
  <si>
    <t>SYED ZEESHAN ABBAS KAZMI</t>
  </si>
  <si>
    <t>MUHAMMAD USMAN</t>
  </si>
  <si>
    <t>SYED RIAZ ZAKIR HASNAIN ABDI</t>
  </si>
  <si>
    <t>NADEEM YOUSAF</t>
  </si>
  <si>
    <t>KELASH KUMAR</t>
  </si>
  <si>
    <t>ARIF IFTIKHAR</t>
  </si>
  <si>
    <t>NAVEED MALIK</t>
  </si>
  <si>
    <t>SYED SHABBIR HUSSAIN JAFERI</t>
  </si>
  <si>
    <t>SYED SAROCSH AHMED</t>
  </si>
  <si>
    <t>SUFYAN KHALID MAHMOOD</t>
  </si>
  <si>
    <t>MUHAMMD SHAHID</t>
  </si>
  <si>
    <t>SURESH KUMAR</t>
  </si>
  <si>
    <t>MUHAMMAD AHSAN</t>
  </si>
  <si>
    <t>SYED GHULAM ABBAS</t>
  </si>
  <si>
    <t>PERVAIZ AKHTER</t>
  </si>
  <si>
    <t>SHEIKH MUHAMMAD USMAN</t>
  </si>
  <si>
    <t>BILAL AHMAD SHEHZAD</t>
  </si>
  <si>
    <t>IFTIKHAR HUSSAIN ABBASI</t>
  </si>
  <si>
    <t>AUNNAM IKRAM</t>
  </si>
  <si>
    <t>MUHAMMAD WASEEM MAZHAR</t>
  </si>
  <si>
    <t>SYED MUHAMMAD GHAYAS</t>
  </si>
  <si>
    <t>MUHAMMAD SAJJAD BHATTI</t>
  </si>
  <si>
    <t>TAHIR AHMED</t>
  </si>
  <si>
    <t>TAHER ANJUM</t>
  </si>
  <si>
    <t>SUNIL KUMAR</t>
  </si>
  <si>
    <t>Rawalpindi</t>
  </si>
  <si>
    <t>37405-1310645-7</t>
  </si>
  <si>
    <t>HOUSE NO KHEWAT # 42/41KHTOONI # 56 TO 57, KHASARA # 496/1, 496/2, MAUZA DHAMANI TEH &amp; DIST RAWALPINDI</t>
  </si>
  <si>
    <t>Islamabad</t>
  </si>
  <si>
    <t>54400-7203277-3</t>
  </si>
  <si>
    <t>PLOT NO 22 STREET LANE NO 13 SECTOR A PAHSE -V, DHA ISLAMABAD</t>
  </si>
  <si>
    <t>Karachi</t>
  </si>
  <si>
    <t>42201-7411798-8</t>
  </si>
  <si>
    <t>FLAT NO E-4/10, 4th FLOOR, SUB PLOT NO E-10, PLOT NO 28 A/IV 33rd STREET, PHASE -V DHA KARACHi</t>
  </si>
  <si>
    <t>Faisalabad</t>
  </si>
  <si>
    <t>33100-2809941-7</t>
  </si>
  <si>
    <t>HOUSE ON PLOT NO 138 BLOCK B PHASE 1 CITY HOUSING SAMUNDRI ROAD FAISALABAD</t>
  </si>
  <si>
    <t>33202-2024934-5</t>
  </si>
  <si>
    <t>HOUSE NO-7 BLOCK B, AIR AVENUE CITY, JHANG ROAD, FAISALABAD</t>
  </si>
  <si>
    <t>Hyderabad</t>
  </si>
  <si>
    <t>41303-6693970-5</t>
  </si>
  <si>
    <t>HOUSE # 45/1, MEHRAN TOWN HOUSING SCHEME, DEH JAMSHORO, TALUKA QASIMABAD, DISTRICT HYDERABAD.</t>
  </si>
  <si>
    <t>33100-0150440-1</t>
  </si>
  <si>
    <t>HOUSE NO 195/B,STREET NO 2, VIP BLOCK, CANAL PARK, CANAL ROAD, FAISALABAD</t>
  </si>
  <si>
    <t>33100-4372479-3</t>
  </si>
  <si>
    <t>HOUSE NO 285/A STREET NO 06 MOHALLA AHMADABAD NEAR BILAL MASJID FAISALABAD</t>
  </si>
  <si>
    <t>Lahore</t>
  </si>
  <si>
    <t>35202-5806260-3</t>
  </si>
  <si>
    <t>SITUATED AT HOUSE NO 407 HADBAST MOUZA RAKH KHMBA AIRLINE HOUSING SCHEME  TEHSIL RAIWIND &amp; DISTT LAHORE</t>
  </si>
  <si>
    <t>35202-2667208-1</t>
  </si>
  <si>
    <t>HOUSE NO 223 BLOCK A ENGINEERING UNIVERSITY EMPLOYEES COOPERATIVE HOUSING SOCIETY LTD LAHORE</t>
  </si>
  <si>
    <t>35201-5922090-3</t>
  </si>
  <si>
    <t>HOUSE # 224 BLOCK B PHASE II PCSIR EMPLOYEES COOPERATIVE HOUSING SOCIETY LTD LAHORE</t>
  </si>
  <si>
    <t>42201-8507803-3</t>
  </si>
  <si>
    <t>HOUSE # 27 STREET NO 43 BLOCK L NAVAL ANCHORAGE ISLAMABAD</t>
  </si>
  <si>
    <t>35202-7450082-7</t>
  </si>
  <si>
    <t>HOUSE # 239 BLOCK A BISMILLAH HOUSING SCHEME MOUZA ATTOKE AWAN TEHSIL SHALIMAR DISTT LAHORE</t>
  </si>
  <si>
    <t>42101-0605685-9</t>
  </si>
  <si>
    <t>FLAT NO 1006 10TH FLOOR MEASURING 1753.98 SQ FTS BLOCK A DEFENCE REGENCY PLOT NO 13 SURVEY NO 110 &amp; 111 DEH DRIGH ROAD KARACHI</t>
  </si>
  <si>
    <t>42201-7557928-9</t>
  </si>
  <si>
    <t>HOUSE # 99/II KHAYABAN E QASIM PHASE VIII-A DHA KARACHI</t>
  </si>
  <si>
    <t>42201-3343142-7</t>
  </si>
  <si>
    <t>HOUSE NO IH-73, STREET NO 5 AIR FORCE OFFICERS HOUSING SCHEME, SHAHEED MILLAT ROAD FAISAL CANTONEMENT KARACHI</t>
  </si>
  <si>
    <t>61101-9826519-3</t>
  </si>
  <si>
    <t>HOUSE NO 615, SECTOR G-10/4, ISLAMABAD</t>
  </si>
  <si>
    <t>42000-5587941-7</t>
  </si>
  <si>
    <t>PLOT NO 5/1, MEASURING 500 SQ,.YARDS, BEACH STREET NO 09. PHASE VII, DHA, KARACHi</t>
  </si>
  <si>
    <t>81102-0506618-9</t>
  </si>
  <si>
    <t>HOUSE NO.250,251, LYALLPUR GARDEN, FAISALABAD</t>
  </si>
  <si>
    <t>33100-0605299-5</t>
  </si>
  <si>
    <t>HOUSE NO 22-Y-2, BLOCK-Y, MADINA TOWN, FAISALABAD,</t>
  </si>
  <si>
    <t>41303-1881209-3</t>
  </si>
  <si>
    <t>HOUSE # R-50, SUNLEY BUNGALOWS, SURVEY # 55,53,58,59,119,28,29,30,35, 51,69,70,78,40,41 DEH THAMING SEC 34A, KDA SCH 33, GULZAREHIJRI, KHI.</t>
  </si>
  <si>
    <t>41303-2468973-9</t>
  </si>
  <si>
    <t>HOUSE NO 20, CITY SURVEY NO A/728/8, WARD A, ALLYABAD COLONY, DISTRICT HYDERABAD, SINDH</t>
  </si>
  <si>
    <t>33100-4985739-5</t>
  </si>
  <si>
    <t>HOUSE # P-28-Y-12 MADINA TOWN, FAISALABAD.</t>
  </si>
  <si>
    <t>36104-8736749-3</t>
  </si>
  <si>
    <t>HOUSE NO 23, BLOCK k-2, PHASE-I, WAPDA EMPLOYEES COOPERATUVE HOUSING SOCITEY, LAHORE</t>
  </si>
  <si>
    <t>33100-8329080-5</t>
  </si>
  <si>
    <t>HOUSE NO. 35, BLOCK-Y, NEAR COMMERCIAL MARKET, EDEN ORCHARD, SARGODHA ROAD, FAISALABAD</t>
  </si>
  <si>
    <t>35202-7126595-3</t>
  </si>
  <si>
    <t>PLOT # 429/1, BLOCK L ,STREET # 16, PHASE V DHA LAHORE</t>
  </si>
  <si>
    <t>61101-8156540-7</t>
  </si>
  <si>
    <t>HOUSE NO 326-B/1, GALI NO 19, GULZAR-E-QUAID AREA DEVELPOMENT SCHEME NO II, RAWALPINDI</t>
  </si>
  <si>
    <t>61101-3390058-3</t>
  </si>
  <si>
    <t>PLOT NO 01,STREET NO 03-A,SECTOR F-10/2 ISLAMABAD</t>
  </si>
  <si>
    <t>35202-7538017-3</t>
  </si>
  <si>
    <t>HOUSE NO 1223/1, BLOCK L, PHASE 6, DHA LAHORE</t>
  </si>
  <si>
    <t>42101-9817002-9</t>
  </si>
  <si>
    <t>HOUSE NO A-285, BLOCK N, NORTH NAZIMABAD, KDA SCHEME NO 2, KARACHI</t>
  </si>
  <si>
    <t>HOUSE # 153-C, 25TH STREET, PHASE-VIII-A, SURVEY # 26, DHA, KARACHI.</t>
  </si>
  <si>
    <t>42301-0801777-3</t>
  </si>
  <si>
    <t>FLAT # A-1, 1ST FLOOR, PLOT # 10-C, SABA COMMERCIAL STREET # 1, PHASE # V, EXTV, KARACHI.</t>
  </si>
  <si>
    <t>43102-5638947-5</t>
  </si>
  <si>
    <t>HOUSE # R-15, BLOCK-3-A/ST-15, KDA SCHEME # 36, GULISTAN E JAUHAR, KARACHI.</t>
  </si>
  <si>
    <t>41303-1494138-9</t>
  </si>
  <si>
    <t>APPARTMENT NO 2205, TYPE "C+" 22nd FLOOR, REEF TOWER 1 CRESENT BAY EMMAR TOWER, PHASEVIII, DHA KARACHI</t>
  </si>
  <si>
    <t>44203-5485132-7</t>
  </si>
  <si>
    <t>FLAT NO A-305, 3rd FLOOR, "HAMILTON COMPLEX" BLOCK A, SUB PLOT V, PLOT NO G-1, BLOCK 7, KDA SCHEME NO 5, CLIFTON KARACHi</t>
  </si>
  <si>
    <t>A</t>
  </si>
  <si>
    <t>L</t>
  </si>
  <si>
    <t>KHI/HO/D/FR/ND/P/21232/01/2024</t>
  </si>
  <si>
    <t>KHI/HO/D/FR/ND/P/21233/01/2024</t>
  </si>
  <si>
    <t>KHI/HO/D/FR/ND/P/21234/01/2024</t>
  </si>
  <si>
    <t>KHI/HO/D/FR/ND/P/21235/01/2024</t>
  </si>
  <si>
    <t>KHI/HO/D/FR/ND/P/21236/01/2024</t>
  </si>
  <si>
    <t>KHI/HO/D/FR/ND/P/21237/01/2024</t>
  </si>
  <si>
    <t>KHI/HO/D/FR/ND/P/21238/01/2024</t>
  </si>
  <si>
    <t>KHI/HO/D/FR/ND/P/21239/01/2024</t>
  </si>
  <si>
    <t>KHI/HO/D/FR/ND/P/21240/01/2024</t>
  </si>
  <si>
    <t>KHI/HO/D/FR/ND/P/21241/01/2024</t>
  </si>
  <si>
    <t>KHI/HO/D/FR/ND/P/21242/01/2024</t>
  </si>
  <si>
    <t>KHI/HO/D/FR/ND/P/21243/01/2024</t>
  </si>
  <si>
    <t>KHI/HO/D/FR/ND/P/21244/01/2024</t>
  </si>
  <si>
    <t>KHI/HO/D/FR/ND/P/21245/01/2024</t>
  </si>
  <si>
    <t>KHI/HO/D/FR/ND/P/21246/01/2024</t>
  </si>
  <si>
    <t>KHI/HO/D/FR/ND/P/21247/01/2024</t>
  </si>
  <si>
    <t>KHI/HO/D/FR/ND/P/21248/01/2024</t>
  </si>
  <si>
    <t>KHI/HO/D/FR/ND/P/21249/01/2024</t>
  </si>
  <si>
    <t>KHI/HO/D/FR/ND/P/21250/01/2024</t>
  </si>
  <si>
    <t>KHI/HO/D/FR/ND/P/21251/01/2024</t>
  </si>
  <si>
    <t>KHI/HO/D/FR/ND/P/21252/01/2024</t>
  </si>
  <si>
    <t>KHI/HO/D/FR/ND/P/21253/01/2024</t>
  </si>
  <si>
    <t>KHI/HO/D/FR/ND/P/21254/01/2024</t>
  </si>
  <si>
    <t>KHI/HO/D/FR/ND/P/21255/01/2024</t>
  </si>
  <si>
    <t>KHI/HO/D/FR/ND/P/21256/01/2024</t>
  </si>
  <si>
    <t>KHI/HO/D/FR/ND/P/21257/01/2024</t>
  </si>
  <si>
    <t>KHI/HO/D/FR/ND/P/21258/01/2024</t>
  </si>
  <si>
    <t>KHI/HO/D/FR/ND/P/21259/01/2024</t>
  </si>
  <si>
    <t>KHI/HO/D/FR/ND/P/21260/01/2024</t>
  </si>
  <si>
    <t>KHI/HO/D/FR/ND/P/21261/01/2024</t>
  </si>
  <si>
    <t>KHI/HO/D/FR/ND/P/21262/01/2024</t>
  </si>
  <si>
    <t>KHI/HO/D/FR/ND/P/21263/01/2024</t>
  </si>
  <si>
    <t>KHI/HO/D/FR/ND/P/21264/01/2024</t>
  </si>
  <si>
    <t>KHI/HO/D/FR/ND/P/21265/01/2024</t>
  </si>
  <si>
    <t>KHI/HO/D/FR/ND/P/21266/01/2024</t>
  </si>
  <si>
    <t>KHI/HO/D/FR/ND/P/21267/01/2024</t>
  </si>
  <si>
    <t>KHI/HO/D/FR/ND/P/21268/01/2024</t>
  </si>
  <si>
    <t>KHI/HO/D/FR/ND/P/21269/01/2024</t>
  </si>
  <si>
    <t>KHI/HO/D/FR/ND/P/21270/01/2024</t>
  </si>
  <si>
    <t>KHI/HO/D/FR/ND/P/21271/01/2024</t>
  </si>
  <si>
    <t>KHI/HO/D/FR/ND/P/21272/01/2024</t>
  </si>
  <si>
    <t>KHI/HO/D/FR/ND/P/21273/01/2024</t>
  </si>
  <si>
    <t>KHI/HO/D/FR/ND/P/21274/01/2024</t>
  </si>
  <si>
    <t>KHI/HO/D/FR/ND/P/21275/01/2024</t>
  </si>
  <si>
    <t>KHI/HO/D/FR/ND/P/21276/01/2024</t>
  </si>
  <si>
    <t>KHI/HO/D/FR/ND/P/21277/01/2024</t>
  </si>
  <si>
    <t>KHI/HO/D/FR/ND/P/21278/01/2024</t>
  </si>
  <si>
    <t>KHI/HO/D/FR/ND/P/21279/01/2024</t>
  </si>
  <si>
    <t>KHI/HO/D/FR/ND/P/21280/01/2024</t>
  </si>
  <si>
    <t>KHI/HO/D/FR/ND/P/21281/01/2024</t>
  </si>
  <si>
    <t>KHI/HO/D/FR/ND/P/21282/01/2024</t>
  </si>
  <si>
    <t>KHI/HO/D/FR/ND/P/21283/01/2024</t>
  </si>
  <si>
    <t>KHI/HO/D/FR/ND/P/21284/01/2024</t>
  </si>
  <si>
    <t>KHI/HO/D/FR/ND/P/21285/01/2024</t>
  </si>
  <si>
    <t>KHI/HO/D/FR/ND/P/21286/01/2024</t>
  </si>
  <si>
    <t>KHI/HO/D/FR/ND/P/21287/01/2024</t>
  </si>
  <si>
    <t>KHI/HO/D/FR/ND/P/21288/01/2024</t>
  </si>
  <si>
    <t>KHI/HO/D/FR/ND/P/21289/01/2024</t>
  </si>
  <si>
    <t>KHI/HO/D/FR/ND/P/21290/01/2024</t>
  </si>
  <si>
    <t>KHI/HO/D/FR/ND/P/21291/01/2024</t>
  </si>
  <si>
    <t>KHI/HO/D/FR/ND/P/21292/01/2024</t>
  </si>
  <si>
    <t>KHI/HO/D/FR/ND/P/21293/01/2024</t>
  </si>
  <si>
    <t>KHI/HO/D/FR/ND/P/21294/01/2024</t>
  </si>
  <si>
    <t>KHI/HO/D/FR/ND/P/21295/01/2024</t>
  </si>
  <si>
    <t>KHI/HO/D/FR/ND/P/21296/01/2024</t>
  </si>
  <si>
    <t>KHI/HO/D/FR/ND/P/21297/01/2024</t>
  </si>
  <si>
    <t>KHI/HO/D/FR/ND/P/21298/01/2024</t>
  </si>
  <si>
    <t>KHI/HO/D/FR/ND/P/21299/01/2024</t>
  </si>
  <si>
    <t>KHI/HO/D/FR/ND/P/21300/01/2024</t>
  </si>
  <si>
    <t>KHI/HO/D/FR/ND/P/21301/01/2024</t>
  </si>
  <si>
    <t>KHI/HO/D/FR/ND/P/21302/01/2024</t>
  </si>
  <si>
    <t>KHI/HO/D/FR/ND/P/21303/01/2024</t>
  </si>
  <si>
    <t>KHI/HO/D/FR/ND/P/21304/01/2024</t>
  </si>
  <si>
    <t>KHI/HO/D/FR/ND/P/21305/01/2024</t>
  </si>
  <si>
    <t>KHI/HO/D/FR/ND/P/21306/01/2024</t>
  </si>
  <si>
    <t>KHI/HO/D/FR/ND/P/21307/01/2024</t>
  </si>
  <si>
    <t>KHI/HO/D/FR/ND/P/21308/01/2024</t>
  </si>
  <si>
    <t>KHI/HO/D/FR/ND/P/21309/01/2024</t>
  </si>
  <si>
    <t>KHI/HO/D/FR/ND/P/21310/01/2024</t>
  </si>
  <si>
    <t>KHI/HO/D/FR/ND/P/21311/01/2024</t>
  </si>
  <si>
    <t>KHI/HO/D/FR/ND/P/21312/01/2024</t>
  </si>
  <si>
    <t>KHI/HO/D/FR/ND/P/21313/01/2024</t>
  </si>
  <si>
    <t>KHI/HO/D/FR/ND/P/21314/01/2024</t>
  </si>
  <si>
    <t>KHI/HO/D/FR/ND/P/21315/01/2024</t>
  </si>
  <si>
    <t>KHI/HO/D/FR/ND/P/21316/01/2024</t>
  </si>
  <si>
    <t>KHI/HO/D/FR/ND/P/21317/01/2024</t>
  </si>
  <si>
    <t>KHI/HO/D/FR/ND/P/21318/01/2024</t>
  </si>
  <si>
    <t>KHI/HO/D/FR/ND/P/21319/01/2024</t>
  </si>
  <si>
    <t>KHI/HO/D/FR/ND/P/21320/01/2024</t>
  </si>
  <si>
    <t>KHI/HO/D/FR/ND/P/21321/01/2024</t>
  </si>
  <si>
    <t>KHI/HO/D/FR/ND/P/21322/01/2024</t>
  </si>
  <si>
    <t>KHI/HO/D/FR/ND/P/21323/01/2024</t>
  </si>
  <si>
    <t>KHI/HO/D/FR/ND/P/21324/01/2024</t>
  </si>
  <si>
    <t>KHI/HO/D/FR/ND/P/21325/01/2024</t>
  </si>
  <si>
    <t>KHI/HO/D/FR/ND/P/21326/01/2024</t>
  </si>
  <si>
    <t>KHI/HO/D/FR/ND/P/21327/01/2024</t>
  </si>
  <si>
    <t>KHI/HO/D/FR/ND/P/21328/01/2024</t>
  </si>
  <si>
    <t>KHI/HO/D/FR/ND/P/21329/01/2024</t>
  </si>
  <si>
    <t>KHI/HO/D/FR/ND/P/21330/01/2024</t>
  </si>
  <si>
    <t>KHI/HO/D/FR/ND/P/21331/01/2024</t>
  </si>
  <si>
    <t>KHI/HO/D/FR/ND/P/21332/01/2024</t>
  </si>
  <si>
    <t>KHI/HO/D/FR/ND/P/21333/01/2024</t>
  </si>
  <si>
    <t>KHI/HO/D/FR/ND/P/21334/01/2024</t>
  </si>
  <si>
    <t>KHI/HO/D/FR/ND/P/21335/01/2024</t>
  </si>
  <si>
    <t>KHI/HO/D/FR/ND/P/21336/01/2024</t>
  </si>
  <si>
    <t>KHI/HO/D/FR/ND/P/21337/01/2024</t>
  </si>
  <si>
    <t>KHI/HO/D/FR/ND/P/21338/01/2024</t>
  </si>
  <si>
    <t>KHI/HO/D/FR/ND/P/21339/01/2024</t>
  </si>
  <si>
    <t>KHI/HO/D/FR/ND/P/21340/01/2024</t>
  </si>
  <si>
    <t>KHI/HO/D/FR/ND/P/21341/01/2024</t>
  </si>
  <si>
    <t>KHI/HO/D/FR/ND/P/21342/01/2024</t>
  </si>
  <si>
    <t>KHI/HO/D/FR/ND/P/21343/01/2024</t>
  </si>
  <si>
    <t>KHI/HO/D/FR/ND/P/21344/01/2024</t>
  </si>
  <si>
    <t>KHI/HO/D/FR/ND/P/21345/01/2024</t>
  </si>
  <si>
    <t>KHI/HO/D/FR/ND/P/21346/01/2024</t>
  </si>
  <si>
    <t>KHI/HO/D/FR/ND/P/21347/01/2024</t>
  </si>
  <si>
    <t>KHI/HO/D/FR/ND/P/21348/01/2024</t>
  </si>
  <si>
    <t>KHI/HO/D/FR/ND/P/21349/01/2024</t>
  </si>
  <si>
    <t>KHI/HO/D/FR/ND/P/21350/01/2024</t>
  </si>
  <si>
    <t>KHI/HO/D/FR/ND/P/21351/01/2024</t>
  </si>
  <si>
    <t>KHI/HO/D/FR/ND/P/21352/01/2024</t>
  </si>
  <si>
    <t>KHI/HO/D/FR/ND/P/21353/01/2024</t>
  </si>
  <si>
    <t>KHI/HO/D/FR/ND/P/21354/01/2024</t>
  </si>
  <si>
    <t>KHI/HO/D/FR/ND/P/21355/01/2024</t>
  </si>
  <si>
    <t>KHI/HO/D/FR/ND/P/21356/01/2024</t>
  </si>
  <si>
    <t>KHI/HO/D/FR/ND/P/21357/01/2024</t>
  </si>
  <si>
    <t>KHI/HO/D/FR/ND/P/21358/01/2024</t>
  </si>
  <si>
    <t>KHI/HO/D/FR/ND/P/21359/01/2024</t>
  </si>
  <si>
    <t>KHI/HO/D/FR/ND/P/21360/01/2024</t>
  </si>
  <si>
    <t>Net Contribution</t>
  </si>
  <si>
    <t>STL PMD #</t>
  </si>
  <si>
    <t>Assorted_code</t>
  </si>
  <si>
    <t>Premium</t>
  </si>
  <si>
    <t>KHI-HO-D-FR-ND-P-21232-01-2024</t>
  </si>
  <si>
    <t>KHI-HO-D-FR-ND-P-21233-01-2024</t>
  </si>
  <si>
    <t>KHI-HO-D-FR-ND-P-21234-01-2024</t>
  </si>
  <si>
    <t>KHI-HO-D-FR-ND-P-21235-01-2024</t>
  </si>
  <si>
    <t>KHI-HO-D-FR-ND-P-21236-01-2024</t>
  </si>
  <si>
    <t>KHI-HO-D-FR-ND-P-21237-01-2024</t>
  </si>
  <si>
    <t>KHI-HO-D-FR-ND-P-21238-01-2024</t>
  </si>
  <si>
    <t>KHI-HO-D-FR-ND-P-21239-01-2024</t>
  </si>
  <si>
    <t>KHI-HO-D-FR-ND-P-21240-01-2024</t>
  </si>
  <si>
    <t>KHI-HO-D-FR-ND-P-21241-01-2024</t>
  </si>
  <si>
    <t>KHI-HO-D-FR-ND-P-21242-01-2024</t>
  </si>
  <si>
    <t>KHI-HO-D-FR-ND-P-21243-01-2024</t>
  </si>
  <si>
    <t>KHI-HO-D-FR-ND-P-21244-01-2024</t>
  </si>
  <si>
    <t>KHI-HO-D-FR-ND-P-21245-01-2024</t>
  </si>
  <si>
    <t>KHI-HO-D-FR-ND-P-21246-01-2024</t>
  </si>
  <si>
    <t>KHI-HO-D-FR-ND-P-21247-01-2024</t>
  </si>
  <si>
    <t>KHI-HO-D-FR-ND-P-21248-01-2024</t>
  </si>
  <si>
    <t>KHI-HO-D-FR-ND-P-21249-01-2024</t>
  </si>
  <si>
    <t>KHI-HO-D-FR-ND-P-21250-01-2024</t>
  </si>
  <si>
    <t>KHI-HO-D-FR-ND-P-21251-01-2024</t>
  </si>
  <si>
    <t>KHI-HO-D-FR-ND-P-21252-01-2024</t>
  </si>
  <si>
    <t>KHI-HO-D-FR-ND-P-21253-01-2024</t>
  </si>
  <si>
    <t>KHI-HO-D-FR-ND-P-21254-01-2024</t>
  </si>
  <si>
    <t>KHI-HO-D-FR-ND-P-21255-01-2024</t>
  </si>
  <si>
    <t>KHI-HO-D-FR-ND-P-21256-01-2024</t>
  </si>
  <si>
    <t>KHI-HO-D-FR-ND-P-21257-01-2024</t>
  </si>
  <si>
    <t>KHI-HO-D-FR-ND-P-21258-01-2024</t>
  </si>
  <si>
    <t>KHI-HO-D-FR-ND-P-21259-01-2024</t>
  </si>
  <si>
    <t>KHI-HO-D-FR-ND-P-21260-01-2024</t>
  </si>
  <si>
    <t>KHI-HO-D-FR-ND-P-21261-01-2024</t>
  </si>
  <si>
    <t>KHI-HO-D-FR-ND-P-21262-01-2024</t>
  </si>
  <si>
    <t>KHI-HO-D-FR-ND-P-21263-01-2024</t>
  </si>
  <si>
    <t>KHI-HO-D-FR-ND-P-21264-01-2024</t>
  </si>
  <si>
    <t>KHI-HO-D-FR-ND-P-21265-01-2024</t>
  </si>
  <si>
    <t>KHI-HO-D-FR-ND-P-21266-01-2024</t>
  </si>
  <si>
    <t>KHI-HO-D-FR-ND-P-21267-01-2024</t>
  </si>
  <si>
    <t>KHI-HO-D-FR-ND-P-21268-01-2024</t>
  </si>
  <si>
    <t>KHI-HO-D-FR-ND-P-21269-01-2024</t>
  </si>
  <si>
    <t>KHI-HO-D-FR-ND-P-21270-01-2024</t>
  </si>
  <si>
    <t>KHI-HO-D-FR-ND-P-21271-01-2024</t>
  </si>
  <si>
    <t>KHI-HO-D-FR-ND-P-21272-01-2024</t>
  </si>
  <si>
    <t>KHI-HO-D-FR-ND-P-21273-01-2024</t>
  </si>
  <si>
    <t>KHI-HO-D-FR-ND-P-21274-01-2024</t>
  </si>
  <si>
    <t>KHI-HO-D-FR-ND-P-21275-01-2024</t>
  </si>
  <si>
    <t>KHI-HO-D-FR-ND-P-21276-01-2024</t>
  </si>
  <si>
    <t>KHI-HO-D-FR-ND-P-21277-01-2024</t>
  </si>
  <si>
    <t>KHI-HO-D-FR-ND-P-21278-01-2024</t>
  </si>
  <si>
    <t>KHI-HO-D-FR-ND-P-21279-01-2024</t>
  </si>
  <si>
    <t>KHI-HO-D-FR-ND-P-21280-01-2024</t>
  </si>
  <si>
    <t>KHI-HO-D-FR-ND-P-21281-01-2024</t>
  </si>
  <si>
    <t>KHI-HO-D-FR-ND-P-21282-01-2024</t>
  </si>
  <si>
    <t>KHI-HO-D-FR-ND-P-21283-01-2024</t>
  </si>
  <si>
    <t>KHI-HO-D-FR-ND-P-21284-01-2024</t>
  </si>
  <si>
    <t>KHI-HO-D-FR-ND-P-21285-01-2024</t>
  </si>
  <si>
    <t>KHI-HO-D-FR-ND-P-21286-01-2024</t>
  </si>
  <si>
    <t>KHI-HO-D-FR-ND-P-21287-01-2024</t>
  </si>
  <si>
    <t>KHI-HO-D-FR-ND-P-21288-01-2024</t>
  </si>
  <si>
    <t>KHI-HO-D-FR-ND-P-21289-01-2024</t>
  </si>
  <si>
    <t>KHI-HO-D-FR-ND-P-21290-01-2024</t>
  </si>
  <si>
    <t>KHI-HO-D-FR-ND-P-21291-01-2024</t>
  </si>
  <si>
    <t>KHI-HO-D-FR-ND-P-21292-01-2024</t>
  </si>
  <si>
    <t>KHI-HO-D-FR-ND-P-21293-01-2024</t>
  </si>
  <si>
    <t>KHI-HO-D-FR-ND-P-21294-01-2024</t>
  </si>
  <si>
    <t>KHI-HO-D-FR-ND-P-21295-01-2024</t>
  </si>
  <si>
    <t>KHI-HO-D-FR-ND-P-21296-01-2024</t>
  </si>
  <si>
    <t>KHI-HO-D-FR-ND-P-21297-01-2024</t>
  </si>
  <si>
    <t>KHI-HO-D-FR-ND-P-21298-01-2024</t>
  </si>
  <si>
    <t>KHI-HO-D-FR-ND-P-21299-01-2024</t>
  </si>
  <si>
    <t>KHI-HO-D-FR-ND-P-21300-01-2024</t>
  </si>
  <si>
    <t>KHI-HO-D-FR-ND-P-21301-01-2024</t>
  </si>
  <si>
    <t>KHI-HO-D-FR-ND-P-21302-01-2024</t>
  </si>
  <si>
    <t>KHI-HO-D-FR-ND-P-21303-01-2024</t>
  </si>
  <si>
    <t>KHI-HO-D-FR-ND-P-21304-01-2024</t>
  </si>
  <si>
    <t>KHI-HO-D-FR-ND-P-21305-01-2024</t>
  </si>
  <si>
    <t>KHI-HO-D-FR-ND-P-21306-01-2024</t>
  </si>
  <si>
    <t>KHI-HO-D-FR-ND-P-21307-01-2024</t>
  </si>
  <si>
    <t>KHI-HO-D-FR-ND-P-21308-01-2024</t>
  </si>
  <si>
    <t>KHI-HO-D-FR-ND-P-21309-01-2024</t>
  </si>
  <si>
    <t>KHI-HO-D-FR-ND-P-21310-01-2024</t>
  </si>
  <si>
    <t>KHI-HO-D-FR-ND-P-21311-01-2024</t>
  </si>
  <si>
    <t>KHI-HO-D-FR-ND-P-21312-01-2024</t>
  </si>
  <si>
    <t>KHI-HO-D-FR-ND-P-21313-01-2024</t>
  </si>
  <si>
    <t>KHI-HO-D-FR-ND-P-21314-01-2024</t>
  </si>
  <si>
    <t>KHI-HO-D-FR-ND-P-21315-01-2024</t>
  </si>
  <si>
    <t>KHI-HO-D-FR-ND-P-21316-01-2024</t>
  </si>
  <si>
    <t>KHI-HO-D-FR-ND-P-21317-01-2024</t>
  </si>
  <si>
    <t>KHI-HO-D-FR-ND-P-21318-01-2024</t>
  </si>
  <si>
    <t>KHI-HO-D-FR-ND-P-21319-01-2024</t>
  </si>
  <si>
    <t>KHI-HO-D-FR-ND-P-21320-01-2024</t>
  </si>
  <si>
    <t>KHI-HO-D-FR-ND-P-21321-01-2024</t>
  </si>
  <si>
    <t>KHI-HO-D-FR-ND-P-21322-01-2024</t>
  </si>
  <si>
    <t>KHI-HO-D-FR-ND-P-21323-01-2024</t>
  </si>
  <si>
    <t>KHI-HO-D-FR-ND-P-21324-01-2024</t>
  </si>
  <si>
    <t>KHI-HO-D-FR-ND-P-21325-01-2024</t>
  </si>
  <si>
    <t>KHI-HO-D-FR-ND-P-21326-01-2024</t>
  </si>
  <si>
    <t>KHI-HO-D-FR-ND-P-21327-01-2024</t>
  </si>
  <si>
    <t>KHI-HO-D-FR-ND-P-21328-01-2024</t>
  </si>
  <si>
    <t>KHI-HO-D-FR-ND-P-21329-01-2024</t>
  </si>
  <si>
    <t>KHI-HO-D-FR-ND-P-21330-01-2024</t>
  </si>
  <si>
    <t>KHI-HO-D-FR-ND-P-21331-01-2024</t>
  </si>
  <si>
    <t>KHI-HO-D-FR-ND-P-21332-01-2024</t>
  </si>
  <si>
    <t>KHI-HO-D-FR-ND-P-21333-01-2024</t>
  </si>
  <si>
    <t>KHI-HO-D-FR-ND-P-21334-01-2024</t>
  </si>
  <si>
    <t>KHI-HO-D-FR-ND-P-21335-01-2024</t>
  </si>
  <si>
    <t>KHI-HO-D-FR-ND-P-21336-01-2024</t>
  </si>
  <si>
    <t>KHI-HO-D-FR-ND-P-21337-01-2024</t>
  </si>
  <si>
    <t>KHI-HO-D-FR-ND-P-21338-01-2024</t>
  </si>
  <si>
    <t>KHI-HO-D-FR-ND-P-21339-01-2024</t>
  </si>
  <si>
    <t>KHI-HO-D-FR-ND-P-21340-01-2024</t>
  </si>
  <si>
    <t>KHI-HO-D-FR-ND-P-21341-01-2024</t>
  </si>
  <si>
    <t>KHI-HO-D-FR-ND-P-21342-01-2024</t>
  </si>
  <si>
    <t>KHI-HO-D-FR-ND-P-21343-01-2024</t>
  </si>
  <si>
    <t>KHI-HO-D-FR-ND-P-21344-01-2024</t>
  </si>
  <si>
    <t>KHI-HO-D-FR-ND-P-21345-01-2024</t>
  </si>
  <si>
    <t>KHI-HO-D-FR-ND-P-21346-01-2024</t>
  </si>
  <si>
    <t>KHI-HO-D-FR-ND-P-21347-01-2024</t>
  </si>
  <si>
    <t>KHI-HO-D-FR-ND-P-21348-01-2024</t>
  </si>
  <si>
    <t>KHI-HO-D-FR-ND-P-21349-01-2024</t>
  </si>
  <si>
    <t>KHI-HO-D-FR-ND-P-21350-01-2024</t>
  </si>
  <si>
    <t>KHI-HO-D-FR-ND-P-21351-01-2024</t>
  </si>
  <si>
    <t>KHI-HO-D-FR-ND-P-21352-01-2024</t>
  </si>
  <si>
    <t>KHI-HO-D-FR-ND-P-21353-01-2024</t>
  </si>
  <si>
    <t>KHI-HO-D-FR-ND-P-21354-01-2024</t>
  </si>
  <si>
    <t>KHI-HO-D-FR-ND-P-21355-01-2024</t>
  </si>
  <si>
    <t>KHI-HO-D-FR-ND-P-21356-01-2024</t>
  </si>
  <si>
    <t>KHI-HO-D-FR-ND-P-21357-01-2024</t>
  </si>
  <si>
    <t>KHI-HO-D-FR-ND-P-21358-01-2024</t>
  </si>
  <si>
    <t>KHI-HO-D-FR-ND-P-21359-01-2024</t>
  </si>
  <si>
    <t>KHI-HO-D-FR-ND-P-21360-01-2024</t>
  </si>
  <si>
    <t>-01-2024</t>
  </si>
  <si>
    <t>KHI</t>
  </si>
  <si>
    <t>HO</t>
  </si>
  <si>
    <t>D</t>
  </si>
  <si>
    <t>FR</t>
  </si>
  <si>
    <t>ND</t>
  </si>
  <si>
    <t>P</t>
  </si>
  <si>
    <t>POLICY NO.</t>
  </si>
  <si>
    <t>20Aug240150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</si>
</sst>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d\-mmm\-yy;@"/>
    <numFmt numFmtId="165" formatCode="#,##0_);\(#,##0\)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i/>
      <sz val="9"/>
      <color indexed="9"/>
      <name val="Trebuchet MS"/>
      <family val="2"/>
    </font>
    <font>
      <i/>
      <sz val="9"/>
      <color theme="1"/>
      <name val="Trebuchet MS"/>
      <family val="2"/>
    </font>
    <font>
      <i/>
      <sz val="9"/>
      <name val="Trebuchet MS"/>
      <family val="2"/>
    </font>
    <font>
      <b/>
      <i/>
      <sz val="9"/>
      <color theme="1"/>
      <name val="Trebuchet MS"/>
      <family val="2"/>
    </font>
    <font>
      <sz val="9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22"/>
      </patternFill>
    </fill>
    <fill>
      <patternFill patternType="solid">
        <fgColor indexed="65"/>
        <bgColor indexed="9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8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38" fontId="3" fillId="3" borderId="1" xfId="0" applyNumberFormat="1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8" fontId="2" fillId="0" borderId="0" xfId="0" applyNumberFormat="1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right"/>
    </xf>
    <xf numFmtId="38" fontId="4" fillId="0" borderId="3" xfId="0" applyNumberFormat="1" applyFont="1" applyBorder="1"/>
    <xf numFmtId="0" fontId="3" fillId="3" borderId="1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1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38" fontId="3" fillId="3" borderId="0" xfId="0" applyNumberFormat="1" applyFont="1" applyFill="1" applyAlignment="1">
      <alignment horizontal="right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3" fillId="3" borderId="6" xfId="0" applyNumberFormat="1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38" fontId="4" fillId="0" borderId="7" xfId="0" applyNumberFormat="1" applyFont="1" applyBorder="1"/>
    <xf numFmtId="0" fontId="2" fillId="0" borderId="4" xfId="0" applyFont="1" applyBorder="1"/>
    <xf numFmtId="0" fontId="9" fillId="0" borderId="0" xfId="0" applyFont="1"/>
    <xf numFmtId="166" fontId="8" fillId="0" borderId="0" xfId="1" applyNumberFormat="1" applyFont="1" applyAlignment="1">
      <alignment vertical="top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</cellXfs>
  <cellStyles count="3">
    <cellStyle name="Comma" xfId="1" builtinId="3"/>
    <cellStyle name="Comma 2" xfId="2" xr:uid="{C019A627-A07A-4C3F-8E09-7F2DAC180FC7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SHEET2.xlsx" TargetMode="External"/><Relationship Id="rId1" Type="http://schemas.openxmlformats.org/officeDocument/2006/relationships/externalLinkPath" Target="file:///C:\Users\adil.hassan\Downloads\SHEET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KHI/HO/D/FR/ND/P/21243/01/2024</v>
          </cell>
          <cell r="C2" t="str">
            <v>040000163473</v>
          </cell>
        </row>
        <row r="3">
          <cell r="B3" t="str">
            <v>KHI/HO/D/FR/ND/P/21261/01/2024</v>
          </cell>
          <cell r="C3" t="str">
            <v>040000163491</v>
          </cell>
        </row>
        <row r="4">
          <cell r="B4" t="str">
            <v>KHI/HO/D/FR/ND/P/21265/01/2024</v>
          </cell>
          <cell r="C4" t="str">
            <v>040000163495</v>
          </cell>
        </row>
        <row r="5">
          <cell r="B5" t="str">
            <v>KHI/HO/D/FR/ND/P/21269/01/2024</v>
          </cell>
          <cell r="C5" t="str">
            <v>040000163499</v>
          </cell>
        </row>
        <row r="6">
          <cell r="B6" t="str">
            <v>KHI/HO/D/FR/ND/P/21273/01/2024</v>
          </cell>
          <cell r="C6" t="str">
            <v>040000163503</v>
          </cell>
        </row>
        <row r="7">
          <cell r="B7" t="str">
            <v>KHI/HO/D/FR/ND/P/21277/01/2024</v>
          </cell>
          <cell r="C7" t="str">
            <v>040000163507</v>
          </cell>
        </row>
        <row r="8">
          <cell r="B8" t="str">
            <v>KHI/HO/D/FR/ND/P/21281/01/2024</v>
          </cell>
          <cell r="C8" t="str">
            <v>040000163511</v>
          </cell>
        </row>
        <row r="9">
          <cell r="B9" t="str">
            <v>KHI/HO/D/FR/ND/P/21260/01/2024</v>
          </cell>
          <cell r="C9" t="str">
            <v>040000163490</v>
          </cell>
        </row>
        <row r="10">
          <cell r="B10" t="str">
            <v>KHI/HO/D/FR/ND/P/21245/01/2024</v>
          </cell>
          <cell r="C10" t="str">
            <v>040000163475</v>
          </cell>
        </row>
        <row r="11">
          <cell r="B11" t="str">
            <v>KHI/HO/D/FR/ND/P/21246/01/2024</v>
          </cell>
          <cell r="C11" t="str">
            <v>040000163476</v>
          </cell>
        </row>
        <row r="12">
          <cell r="B12" t="str">
            <v>KHI/HO/D/FR/ND/P/21250/01/2024</v>
          </cell>
          <cell r="C12" t="str">
            <v>040000163480</v>
          </cell>
        </row>
        <row r="13">
          <cell r="B13" t="str">
            <v>KHI/HO/D/FR/ND/P/21253/01/2024</v>
          </cell>
          <cell r="C13" t="str">
            <v>040000163483</v>
          </cell>
        </row>
        <row r="14">
          <cell r="B14" t="str">
            <v>KHI/HO/D/FR/ND/P/21257/01/2024</v>
          </cell>
          <cell r="C14" t="str">
            <v>040000163487</v>
          </cell>
        </row>
        <row r="15">
          <cell r="B15" t="str">
            <v>KHI/HO/D/FR/ND/P/21264/01/2024</v>
          </cell>
          <cell r="C15" t="str">
            <v>040000163494</v>
          </cell>
        </row>
        <row r="16">
          <cell r="B16" t="str">
            <v>KHI/HO/D/FR/ND/P/21270/01/2024</v>
          </cell>
          <cell r="C16" t="str">
            <v>040000163500</v>
          </cell>
        </row>
        <row r="17">
          <cell r="B17" t="str">
            <v>KHI/HO/D/FR/ND/P/21274/01/2024</v>
          </cell>
          <cell r="C17" t="str">
            <v>040000163504</v>
          </cell>
        </row>
        <row r="18">
          <cell r="B18" t="str">
            <v>KHI/HO/D/FR/ND/P/21275/01/2024</v>
          </cell>
          <cell r="C18" t="str">
            <v>040000163505</v>
          </cell>
        </row>
        <row r="19">
          <cell r="B19" t="str">
            <v>KHI/HO/D/FR/ND/P/21280/01/2024</v>
          </cell>
          <cell r="C19" t="str">
            <v>040000163510</v>
          </cell>
        </row>
        <row r="20">
          <cell r="B20" t="str">
            <v>KHI/HO/D/FR/ND/P/21256/01/2024</v>
          </cell>
          <cell r="C20" t="str">
            <v>040000163486</v>
          </cell>
        </row>
        <row r="21">
          <cell r="B21" t="str">
            <v>KHI/HO/D/FR/ND/P/21259/01/2024</v>
          </cell>
          <cell r="C21" t="str">
            <v>040000163489</v>
          </cell>
        </row>
        <row r="22">
          <cell r="B22" t="str">
            <v>KHI/HO/D/FR/ND/P/21232/01/2024</v>
          </cell>
          <cell r="C22" t="str">
            <v>040000163462</v>
          </cell>
        </row>
        <row r="23">
          <cell r="B23" t="str">
            <v>KHI/HO/D/FR/ND/P/21233/01/2024</v>
          </cell>
          <cell r="C23" t="str">
            <v>040000163463</v>
          </cell>
        </row>
        <row r="24">
          <cell r="B24" t="str">
            <v>KHI/HO/D/FR/ND/P/21236/01/2024</v>
          </cell>
          <cell r="C24" t="str">
            <v>040000163466</v>
          </cell>
        </row>
        <row r="25">
          <cell r="B25" t="str">
            <v>KHI/HO/D/FR/ND/P/21240/01/2024</v>
          </cell>
          <cell r="C25" t="str">
            <v>040000163470</v>
          </cell>
        </row>
        <row r="26">
          <cell r="B26" t="str">
            <v>KHI/HO/D/FR/ND/P/21244/01/2024</v>
          </cell>
          <cell r="C26" t="str">
            <v>040000163474</v>
          </cell>
        </row>
        <row r="27">
          <cell r="B27" t="str">
            <v>KHI/HO/D/FR/ND/P/21248/01/2024</v>
          </cell>
          <cell r="C27" t="str">
            <v>040000163478</v>
          </cell>
        </row>
        <row r="28">
          <cell r="B28" t="str">
            <v>KHI/HO/D/FR/ND/P/21252/01/2024</v>
          </cell>
          <cell r="C28" t="str">
            <v>040000163482</v>
          </cell>
        </row>
        <row r="29">
          <cell r="B29" t="str">
            <v>KHI/HO/D/FR/ND/P/21255/01/2024</v>
          </cell>
          <cell r="C29" t="str">
            <v>040000163485</v>
          </cell>
        </row>
        <row r="30">
          <cell r="B30" t="str">
            <v>KHI/HO/D/FR/ND/P/21258/01/2024</v>
          </cell>
          <cell r="C30" t="str">
            <v>040000163488</v>
          </cell>
        </row>
        <row r="31">
          <cell r="B31" t="str">
            <v>KHI/HO/D/FR/ND/P/21262/01/2024</v>
          </cell>
          <cell r="C31" t="str">
            <v>040000163492</v>
          </cell>
        </row>
        <row r="32">
          <cell r="B32" t="str">
            <v>KHI/HO/D/FR/ND/P/21263/01/2024</v>
          </cell>
          <cell r="C32" t="str">
            <v>040000163493</v>
          </cell>
        </row>
        <row r="33">
          <cell r="B33" t="str">
            <v>KHI/HO/D/FR/ND/P/21266/01/2024</v>
          </cell>
          <cell r="C33" t="str">
            <v>040000163496</v>
          </cell>
        </row>
        <row r="34">
          <cell r="B34" t="str">
            <v>KHI/HO/D/FR/ND/P/21267/01/2024</v>
          </cell>
          <cell r="C34" t="str">
            <v>040000163497</v>
          </cell>
        </row>
        <row r="35">
          <cell r="B35" t="str">
            <v>KHI/HO/D/FR/ND/P/21268/01/2024</v>
          </cell>
          <cell r="C35" t="str">
            <v>040000163498</v>
          </cell>
        </row>
        <row r="36">
          <cell r="B36" t="str">
            <v>KHI/HO/D/FR/ND/P/21271/01/2024</v>
          </cell>
          <cell r="C36" t="str">
            <v>040000163501</v>
          </cell>
        </row>
        <row r="37">
          <cell r="B37" t="str">
            <v>KHI/HO/D/FR/ND/P/21272/01/2024</v>
          </cell>
          <cell r="C37" t="str">
            <v>040000163502</v>
          </cell>
        </row>
        <row r="38">
          <cell r="B38" t="str">
            <v>KHI/HO/D/FR/ND/P/21237/01/2024</v>
          </cell>
          <cell r="C38" t="str">
            <v>040000163467</v>
          </cell>
        </row>
        <row r="39">
          <cell r="B39" t="str">
            <v>KHI/HO/D/FR/ND/P/21238/01/2024</v>
          </cell>
          <cell r="C39" t="str">
            <v>040000163468</v>
          </cell>
        </row>
        <row r="40">
          <cell r="B40" t="str">
            <v>KHI/HO/D/FR/ND/P/21239/01/2024</v>
          </cell>
          <cell r="C40" t="str">
            <v>040000163469</v>
          </cell>
        </row>
        <row r="41">
          <cell r="B41" t="str">
            <v>KHI/HO/D/FR/ND/P/21241/01/2024</v>
          </cell>
          <cell r="C41" t="str">
            <v>040000163471</v>
          </cell>
        </row>
        <row r="42">
          <cell r="B42" t="str">
            <v>KHI/HO/D/FR/ND/P/21242/01/2024</v>
          </cell>
          <cell r="C42" t="str">
            <v>040000163472</v>
          </cell>
        </row>
        <row r="43">
          <cell r="B43" t="str">
            <v>KHI/HO/D/FR/ND/P/21234/01/2024</v>
          </cell>
          <cell r="C43" t="str">
            <v>040000163464</v>
          </cell>
        </row>
        <row r="44">
          <cell r="B44" t="str">
            <v>KHI/HO/D/FR/ND/P/21235/01/2024</v>
          </cell>
          <cell r="C44" t="str">
            <v>040000163465</v>
          </cell>
        </row>
        <row r="45">
          <cell r="B45" t="str">
            <v>KHI/HO/D/FR/ND/P/21247/01/2024</v>
          </cell>
          <cell r="C45" t="str">
            <v>040000163477</v>
          </cell>
        </row>
        <row r="46">
          <cell r="B46" t="str">
            <v>KHI/HO/D/FR/ND/P/21249/01/2024</v>
          </cell>
          <cell r="C46" t="str">
            <v>040000163479</v>
          </cell>
        </row>
        <row r="47">
          <cell r="B47" t="str">
            <v>KHI/HO/D/FR/ND/P/21251/01/2024</v>
          </cell>
          <cell r="C47" t="str">
            <v>040000163481</v>
          </cell>
        </row>
        <row r="48">
          <cell r="B48" t="str">
            <v>KHI/HO/D/FR/ND/P/21254/01/2024</v>
          </cell>
          <cell r="C48" t="str">
            <v>040000163484</v>
          </cell>
        </row>
        <row r="49">
          <cell r="B49" t="str">
            <v>KHI/HO/D/FR/ND/P/21276/01/2024</v>
          </cell>
          <cell r="C49" t="str">
            <v>040000163506</v>
          </cell>
        </row>
        <row r="50">
          <cell r="B50" t="str">
            <v>KHI/HO/D/FR/ND/P/21278/01/2024</v>
          </cell>
          <cell r="C50" t="str">
            <v>040000163508</v>
          </cell>
        </row>
        <row r="51">
          <cell r="B51" t="str">
            <v>KHI/HO/D/FR/ND/P/21279/01/2024</v>
          </cell>
          <cell r="C51" t="str">
            <v>040000163509</v>
          </cell>
        </row>
        <row r="52">
          <cell r="B52" t="str">
            <v>KHI/HO/D/FR/ND/P/21308/01/2024</v>
          </cell>
          <cell r="C52" t="str">
            <v>040000163538</v>
          </cell>
        </row>
        <row r="53">
          <cell r="B53" t="str">
            <v>KHI/HO/D/FR/ND/P/21309/01/2024</v>
          </cell>
          <cell r="C53" t="str">
            <v>040000163539</v>
          </cell>
        </row>
        <row r="54">
          <cell r="B54" t="str">
            <v>KHI/HO/D/FR/ND/P/21310/01/2024</v>
          </cell>
          <cell r="C54" t="str">
            <v>040000163540</v>
          </cell>
        </row>
        <row r="55">
          <cell r="B55" t="str">
            <v>KHI/HO/D/FR/ND/P/21312/01/2024</v>
          </cell>
          <cell r="C55" t="str">
            <v>040000163542</v>
          </cell>
        </row>
        <row r="56">
          <cell r="B56" t="str">
            <v>KHI/HO/D/FR/ND/P/21313/01/2024</v>
          </cell>
          <cell r="C56" t="str">
            <v>040000163543</v>
          </cell>
        </row>
        <row r="57">
          <cell r="B57" t="str">
            <v>KHI/HO/D/FR/ND/P/21314/01/2024</v>
          </cell>
          <cell r="C57" t="str">
            <v>040000163544</v>
          </cell>
        </row>
        <row r="58">
          <cell r="B58" t="str">
            <v>KHI/HO/D/FR/ND/P/21316/01/2024</v>
          </cell>
          <cell r="C58" t="str">
            <v>040000163546</v>
          </cell>
        </row>
        <row r="59">
          <cell r="B59" t="str">
            <v>KHI/HO/D/FR/ND/P/21317/01/2024</v>
          </cell>
          <cell r="C59" t="str">
            <v>040000163547</v>
          </cell>
        </row>
        <row r="60">
          <cell r="B60" t="str">
            <v>KHI/HO/D/FR/ND/P/21293/01/2024</v>
          </cell>
          <cell r="C60" t="str">
            <v>040000163523</v>
          </cell>
        </row>
        <row r="61">
          <cell r="B61" t="str">
            <v>KHI/HO/D/FR/ND/P/21294/01/2024</v>
          </cell>
          <cell r="C61" t="str">
            <v>040000163524</v>
          </cell>
        </row>
        <row r="62">
          <cell r="B62" t="str">
            <v>KHI/HO/D/FR/ND/P/21295/01/2024</v>
          </cell>
          <cell r="C62" t="str">
            <v>040000163525</v>
          </cell>
        </row>
        <row r="63">
          <cell r="B63" t="str">
            <v>KHI/HO/D/FR/ND/P/21289/01/2024</v>
          </cell>
          <cell r="C63" t="str">
            <v>040000163519</v>
          </cell>
        </row>
        <row r="64">
          <cell r="B64" t="str">
            <v>KHI/HO/D/FR/ND/P/21290/01/2024</v>
          </cell>
          <cell r="C64" t="str">
            <v>040000163520</v>
          </cell>
        </row>
        <row r="65">
          <cell r="B65" t="str">
            <v>KHI/HO/D/FR/ND/P/21291/01/2024</v>
          </cell>
          <cell r="C65" t="str">
            <v>040000163521</v>
          </cell>
        </row>
        <row r="66">
          <cell r="B66" t="str">
            <v>KHI/HO/D/FR/ND/P/21318/01/2024</v>
          </cell>
          <cell r="C66" t="str">
            <v>040000163548</v>
          </cell>
        </row>
        <row r="67">
          <cell r="B67" t="str">
            <v>KHI/HO/D/FR/ND/P/21304/01/2024</v>
          </cell>
          <cell r="C67" t="str">
            <v>040000163534</v>
          </cell>
        </row>
        <row r="68">
          <cell r="B68" t="str">
            <v>KHI/HO/D/FR/ND/P/21307/01/2024</v>
          </cell>
          <cell r="C68" t="str">
            <v>040000163537</v>
          </cell>
        </row>
        <row r="69">
          <cell r="B69" t="str">
            <v>KHI/HO/D/FR/ND/P/21311/01/2024</v>
          </cell>
          <cell r="C69" t="str">
            <v>040000163541</v>
          </cell>
        </row>
        <row r="70">
          <cell r="B70" t="str">
            <v>KHI/HO/D/FR/ND/P/21315/01/2024</v>
          </cell>
          <cell r="C70" t="str">
            <v>040000163545</v>
          </cell>
        </row>
        <row r="71">
          <cell r="B71" t="str">
            <v>KHI/HO/D/FR/ND/P/21319/01/2024</v>
          </cell>
          <cell r="C71" t="str">
            <v>040000163549</v>
          </cell>
        </row>
        <row r="72">
          <cell r="B72" t="str">
            <v>KHI/HO/D/FR/ND/P/21327/01/2024</v>
          </cell>
          <cell r="C72" t="str">
            <v>040000163557</v>
          </cell>
        </row>
        <row r="73">
          <cell r="B73" t="str">
            <v>KHI/HO/D/FR/ND/P/21329/01/2024</v>
          </cell>
          <cell r="C73" t="str">
            <v>040000163559</v>
          </cell>
        </row>
        <row r="74">
          <cell r="B74" t="str">
            <v>KHI/HO/D/FR/ND/P/21286/01/2024</v>
          </cell>
          <cell r="C74" t="str">
            <v>040000163516</v>
          </cell>
        </row>
        <row r="75">
          <cell r="B75" t="str">
            <v>KHI/HO/D/FR/ND/P/21288/01/2024</v>
          </cell>
          <cell r="C75" t="str">
            <v>040000163518</v>
          </cell>
        </row>
        <row r="76">
          <cell r="B76" t="str">
            <v>KHI/HO/D/FR/ND/P/21292/01/2024</v>
          </cell>
          <cell r="C76" t="str">
            <v>040000163522</v>
          </cell>
        </row>
        <row r="77">
          <cell r="B77" t="str">
            <v>KHI/HO/D/FR/ND/P/21296/01/2024</v>
          </cell>
          <cell r="C77" t="str">
            <v>040000163526</v>
          </cell>
        </row>
        <row r="78">
          <cell r="B78" t="str">
            <v>KHI/HO/D/FR/ND/P/21300/01/2024</v>
          </cell>
          <cell r="C78" t="str">
            <v>040000163530</v>
          </cell>
        </row>
        <row r="79">
          <cell r="B79" t="str">
            <v>KHI/HO/D/FR/ND/P/21330/01/2024</v>
          </cell>
          <cell r="C79" t="str">
            <v>040000163560</v>
          </cell>
        </row>
        <row r="80">
          <cell r="B80" t="str">
            <v>KHI/HO/D/FR/ND/P/21282/01/2024</v>
          </cell>
          <cell r="C80" t="str">
            <v>040000163512</v>
          </cell>
        </row>
        <row r="81">
          <cell r="B81" t="str">
            <v>KHI/HO/D/FR/ND/P/21284/01/2024</v>
          </cell>
          <cell r="C81" t="str">
            <v>040000163514</v>
          </cell>
        </row>
        <row r="82">
          <cell r="B82" t="str">
            <v>KHI/HO/D/FR/ND/P/21287/01/2024</v>
          </cell>
          <cell r="C82" t="str">
            <v>040000163517</v>
          </cell>
        </row>
        <row r="83">
          <cell r="B83" t="str">
            <v>KHI/HO/D/FR/ND/P/21283/01/2024</v>
          </cell>
          <cell r="C83" t="str">
            <v>040000163513</v>
          </cell>
        </row>
        <row r="84">
          <cell r="B84" t="str">
            <v>KHI/HO/D/FR/ND/P/21285/01/2024</v>
          </cell>
          <cell r="C84" t="str">
            <v>040000163515</v>
          </cell>
        </row>
        <row r="85">
          <cell r="B85" t="str">
            <v>KHI/HO/D/FR/ND/P/21297/01/2024</v>
          </cell>
          <cell r="C85" t="str">
            <v>040000163527</v>
          </cell>
        </row>
        <row r="86">
          <cell r="B86" t="str">
            <v>KHI/HO/D/FR/ND/P/21298/01/2024</v>
          </cell>
          <cell r="C86" t="str">
            <v>040000163528</v>
          </cell>
        </row>
        <row r="87">
          <cell r="B87" t="str">
            <v>KHI/HO/D/FR/ND/P/21299/01/2024</v>
          </cell>
          <cell r="C87" t="str">
            <v>040000163529</v>
          </cell>
        </row>
        <row r="88">
          <cell r="B88" t="str">
            <v>KHI/HO/D/FR/ND/P/21301/01/2024</v>
          </cell>
          <cell r="C88" t="str">
            <v>040000163531</v>
          </cell>
        </row>
        <row r="89">
          <cell r="B89" t="str">
            <v>KHI/HO/D/FR/ND/P/21302/01/2024</v>
          </cell>
          <cell r="C89" t="str">
            <v>040000163532</v>
          </cell>
        </row>
        <row r="90">
          <cell r="B90" t="str">
            <v>KHI/HO/D/FR/ND/P/21323/01/2024</v>
          </cell>
          <cell r="C90" t="str">
            <v>040000163553</v>
          </cell>
        </row>
        <row r="91">
          <cell r="B91" t="str">
            <v>KHI/HO/D/FR/ND/P/21303/01/2024</v>
          </cell>
          <cell r="C91" t="str">
            <v>040000163533</v>
          </cell>
        </row>
        <row r="92">
          <cell r="B92" t="str">
            <v>KHI/HO/D/FR/ND/P/21305/01/2024</v>
          </cell>
          <cell r="C92" t="str">
            <v>040000163535</v>
          </cell>
        </row>
        <row r="93">
          <cell r="B93" t="str">
            <v>KHI/HO/D/FR/ND/P/21306/01/2024</v>
          </cell>
          <cell r="C93" t="str">
            <v>040000163536</v>
          </cell>
        </row>
        <row r="94">
          <cell r="B94" t="str">
            <v>KHI/HO/D/FR/ND/P/21320/01/2024</v>
          </cell>
          <cell r="C94" t="str">
            <v>040000163550</v>
          </cell>
        </row>
        <row r="95">
          <cell r="B95" t="str">
            <v>KHI/HO/D/FR/ND/P/21321/01/2024</v>
          </cell>
          <cell r="C95" t="str">
            <v>040000163551</v>
          </cell>
        </row>
        <row r="96">
          <cell r="B96" t="str">
            <v>KHI/HO/D/FR/ND/P/21322/01/2024</v>
          </cell>
          <cell r="C96" t="str">
            <v>040000163552</v>
          </cell>
        </row>
        <row r="97">
          <cell r="B97" t="str">
            <v>KHI/HO/D/FR/ND/P/21324/01/2024</v>
          </cell>
          <cell r="C97" t="str">
            <v>040000163554</v>
          </cell>
        </row>
        <row r="98">
          <cell r="B98" t="str">
            <v>KHI/HO/D/FR/ND/P/21325/01/2024</v>
          </cell>
          <cell r="C98" t="str">
            <v>040000163555</v>
          </cell>
        </row>
        <row r="99">
          <cell r="B99" t="str">
            <v>KHI/HO/D/FR/ND/P/21326/01/2024</v>
          </cell>
          <cell r="C99" t="str">
            <v>040000163556</v>
          </cell>
        </row>
        <row r="100">
          <cell r="B100" t="str">
            <v>KHI/HO/D/FR/ND/P/21328/01/2024</v>
          </cell>
          <cell r="C100" t="str">
            <v>040000163558</v>
          </cell>
        </row>
        <row r="101">
          <cell r="B101" t="str">
            <v>KHI/HO/D/FR/ND/P/21331/01/2024</v>
          </cell>
          <cell r="C101" t="str">
            <v>040000163561</v>
          </cell>
        </row>
        <row r="102">
          <cell r="B102" t="str">
            <v>KHI/HO/D/FR/ND/P/21356/01/2024</v>
          </cell>
          <cell r="C102" t="str">
            <v>040000163586</v>
          </cell>
        </row>
        <row r="103">
          <cell r="B103" t="str">
            <v>KHI/HO/D/FR/ND/P/21357/01/2024</v>
          </cell>
          <cell r="C103" t="str">
            <v>040000163587</v>
          </cell>
        </row>
        <row r="104">
          <cell r="B104" t="str">
            <v>KHI/HO/D/FR/ND/P/21359/01/2024</v>
          </cell>
          <cell r="C104" t="str">
            <v>040000163589</v>
          </cell>
        </row>
        <row r="105">
          <cell r="B105" t="str">
            <v>KHI/HO/D/FR/ND/P/21360/01/2024</v>
          </cell>
          <cell r="C105" t="str">
            <v>040000163590</v>
          </cell>
        </row>
        <row r="106">
          <cell r="B106" t="str">
            <v>KHI/HO/D/FR/ND/P/21344/01/2024</v>
          </cell>
          <cell r="C106" t="str">
            <v>040000163574</v>
          </cell>
        </row>
        <row r="107">
          <cell r="B107" t="str">
            <v>KHI/HO/D/FR/ND/P/21345/01/2024</v>
          </cell>
          <cell r="C107" t="str">
            <v>040000163575</v>
          </cell>
        </row>
        <row r="108">
          <cell r="B108" t="str">
            <v>KHI/HO/D/FR/ND/P/21347/01/2024</v>
          </cell>
          <cell r="C108" t="str">
            <v>040000163577</v>
          </cell>
        </row>
        <row r="109">
          <cell r="B109" t="str">
            <v>KHI/HO/D/FR/ND/P/21348/01/2024</v>
          </cell>
          <cell r="C109" t="str">
            <v>040000163578</v>
          </cell>
        </row>
        <row r="110">
          <cell r="B110" t="str">
            <v>KHI/HO/D/FR/ND/P/21349/01/2024</v>
          </cell>
          <cell r="C110" t="str">
            <v>040000163579</v>
          </cell>
        </row>
        <row r="111">
          <cell r="B111" t="str">
            <v>KHI/HO/D/FR/ND/P/21351/01/2024</v>
          </cell>
          <cell r="C111" t="str">
            <v>040000163581</v>
          </cell>
        </row>
        <row r="112">
          <cell r="B112" t="str">
            <v>KHI/HO/D/FR/ND/P/21353/01/2024</v>
          </cell>
          <cell r="C112" t="str">
            <v>040000163583</v>
          </cell>
        </row>
        <row r="113">
          <cell r="B113" t="str">
            <v>KHI/HO/D/FR/ND/P/21355/01/2024</v>
          </cell>
          <cell r="C113" t="str">
            <v>040000163585</v>
          </cell>
        </row>
        <row r="114">
          <cell r="B114" t="str">
            <v>KHI/HO/D/FR/ND/P/21334/01/2024</v>
          </cell>
          <cell r="C114" t="str">
            <v>040000163564</v>
          </cell>
        </row>
        <row r="115">
          <cell r="B115" t="str">
            <v>KHI/HO/D/FR/ND/P/21335/01/2024</v>
          </cell>
          <cell r="C115" t="str">
            <v>040000163565</v>
          </cell>
        </row>
        <row r="116">
          <cell r="B116" t="str">
            <v>KHI/HO/D/FR/ND/P/21336/01/2024</v>
          </cell>
          <cell r="C116" t="str">
            <v>040000163566</v>
          </cell>
        </row>
        <row r="117">
          <cell r="B117" t="str">
            <v>KHI/HO/D/FR/ND/P/21337/01/2024</v>
          </cell>
          <cell r="C117" t="str">
            <v>040000163567</v>
          </cell>
        </row>
        <row r="118">
          <cell r="B118" t="str">
            <v>KHI/HO/D/FR/ND/P/21338/01/2024</v>
          </cell>
          <cell r="C118" t="str">
            <v>040000163568</v>
          </cell>
        </row>
        <row r="119">
          <cell r="B119" t="str">
            <v>KHI/HO/D/FR/ND/P/21340/01/2024</v>
          </cell>
          <cell r="C119" t="str">
            <v>040000163570</v>
          </cell>
        </row>
        <row r="120">
          <cell r="B120" t="str">
            <v>KHI/HO/D/FR/ND/P/21341/01/2024</v>
          </cell>
          <cell r="C120" t="str">
            <v>040000163571</v>
          </cell>
        </row>
        <row r="121">
          <cell r="B121" t="str">
            <v>KHI/HO/D/FR/ND/P/21343/01/2024</v>
          </cell>
          <cell r="C121" t="str">
            <v>040000163573</v>
          </cell>
        </row>
        <row r="122">
          <cell r="B122" t="str">
            <v>KHI/HO/D/FR/ND/P/21332/01/2024</v>
          </cell>
          <cell r="C122" t="str">
            <v>040000163562</v>
          </cell>
        </row>
        <row r="123">
          <cell r="B123" t="str">
            <v>KHI/HO/D/FR/ND/P/21333/01/2024</v>
          </cell>
          <cell r="C123" t="str">
            <v>040000163563</v>
          </cell>
        </row>
        <row r="124">
          <cell r="B124" t="str">
            <v>KHI/HO/D/FR/ND/P/21339/01/2024</v>
          </cell>
          <cell r="C124" t="str">
            <v>040000163569</v>
          </cell>
        </row>
        <row r="125">
          <cell r="B125" t="str">
            <v>KHI/HO/D/FR/ND/P/21342/01/2024</v>
          </cell>
          <cell r="C125" t="str">
            <v>040000163572</v>
          </cell>
        </row>
        <row r="126">
          <cell r="B126" t="str">
            <v>KHI/HO/D/FR/ND/P/21346/01/2024</v>
          </cell>
          <cell r="C126" t="str">
            <v>040000163576</v>
          </cell>
        </row>
        <row r="127">
          <cell r="B127" t="str">
            <v>KHI/HO/D/FR/ND/P/21350/01/2024</v>
          </cell>
          <cell r="C127" t="str">
            <v>040000163580</v>
          </cell>
        </row>
        <row r="128">
          <cell r="B128" t="str">
            <v>KHI/HO/D/FR/ND/P/21352/01/2024</v>
          </cell>
          <cell r="C128" t="str">
            <v>040000163582</v>
          </cell>
        </row>
        <row r="129">
          <cell r="B129" t="str">
            <v>KHI/HO/D/FR/ND/P/21354/01/2024</v>
          </cell>
          <cell r="C129" t="str">
            <v>040000163584</v>
          </cell>
        </row>
        <row r="130">
          <cell r="B130" t="str">
            <v>KHI/HO/D/FR/ND/P/21358/01/2024</v>
          </cell>
          <cell r="C130" t="str">
            <v>040000163588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33"/>
  <sheetViews>
    <sheetView topLeftCell="H2" workbookViewId="0">
      <selection activeCell="K131" sqref="K3:K131"/>
    </sheetView>
  </sheetViews>
  <sheetFormatPr defaultRowHeight="15" x14ac:dyDescent="0.35"/>
  <cols>
    <col min="1" max="1" width="6.7109375" style="4" customWidth="1"/>
    <col min="2" max="2" width="16.42578125" style="5" bestFit="1" customWidth="1"/>
    <col min="3" max="3" width="14.42578125" style="5" bestFit="1" customWidth="1"/>
    <col min="4" max="4" width="29.28515625" style="4" bestFit="1" customWidth="1"/>
    <col min="5" max="5" width="11.42578125" style="4" bestFit="1" customWidth="1"/>
    <col min="6" max="6" width="14" style="4" bestFit="1" customWidth="1"/>
    <col min="7" max="7" width="140.28515625" style="4" bestFit="1" customWidth="1"/>
    <col min="8" max="8" width="15.140625" style="11" bestFit="1" customWidth="1"/>
    <col min="9" max="9" width="15.85546875" style="4" bestFit="1" customWidth="1"/>
    <col min="10" max="10" width="16.140625" style="4" bestFit="1" customWidth="1"/>
    <col min="11" max="11" width="32.5703125" style="4" bestFit="1" customWidth="1"/>
    <col min="12" max="16384" width="9.140625" style="4"/>
  </cols>
  <sheetData>
    <row r="2" spans="1:11" s="12" customFormat="1" ht="23.25" customHeight="1" x14ac:dyDescent="0.35">
      <c r="A2" s="1" t="s">
        <v>0</v>
      </c>
      <c r="B2" s="1" t="s">
        <v>1</v>
      </c>
      <c r="C2" s="1" t="s">
        <v>492</v>
      </c>
      <c r="D2" s="1" t="s">
        <v>2</v>
      </c>
      <c r="E2" s="1" t="s">
        <v>3</v>
      </c>
      <c r="F2" s="1" t="s">
        <v>4</v>
      </c>
      <c r="G2" s="1" t="s">
        <v>6</v>
      </c>
      <c r="H2" s="2" t="s">
        <v>7</v>
      </c>
      <c r="I2" s="3" t="s">
        <v>5</v>
      </c>
      <c r="J2" s="32" t="s">
        <v>768</v>
      </c>
      <c r="K2" s="32" t="s">
        <v>769</v>
      </c>
    </row>
    <row r="3" spans="1:11" x14ac:dyDescent="0.35">
      <c r="A3" s="6">
        <v>1</v>
      </c>
      <c r="B3" s="10" t="s">
        <v>39</v>
      </c>
      <c r="C3" s="10" t="s">
        <v>637</v>
      </c>
      <c r="D3" s="7" t="s">
        <v>14</v>
      </c>
      <c r="E3" s="16" t="s">
        <v>9</v>
      </c>
      <c r="F3" s="10" t="s">
        <v>91</v>
      </c>
      <c r="G3" s="15" t="s">
        <v>65</v>
      </c>
      <c r="H3" s="8">
        <v>458073</v>
      </c>
      <c r="I3" s="33">
        <v>45292</v>
      </c>
      <c r="J3" s="34">
        <v>200</v>
      </c>
      <c r="K3" s="35" t="s">
        <v>639</v>
      </c>
    </row>
    <row r="4" spans="1:11" x14ac:dyDescent="0.35">
      <c r="A4" s="6">
        <f t="shared" ref="A4:A35" si="0">A3+1</f>
        <v>2</v>
      </c>
      <c r="B4" s="10" t="s">
        <v>40</v>
      </c>
      <c r="C4" s="10" t="s">
        <v>637</v>
      </c>
      <c r="D4" s="7" t="s">
        <v>15</v>
      </c>
      <c r="E4" s="16" t="s">
        <v>9</v>
      </c>
      <c r="F4" s="10" t="s">
        <v>92</v>
      </c>
      <c r="G4" s="15" t="s">
        <v>66</v>
      </c>
      <c r="H4" s="8">
        <v>1355808</v>
      </c>
      <c r="I4" s="33">
        <v>45292</v>
      </c>
      <c r="J4" s="34">
        <v>203</v>
      </c>
      <c r="K4" s="35" t="s">
        <v>640</v>
      </c>
    </row>
    <row r="5" spans="1:11" x14ac:dyDescent="0.35">
      <c r="A5" s="6">
        <f t="shared" si="0"/>
        <v>3</v>
      </c>
      <c r="B5" s="10" t="s">
        <v>41</v>
      </c>
      <c r="C5" s="10" t="s">
        <v>637</v>
      </c>
      <c r="D5" s="7" t="s">
        <v>13</v>
      </c>
      <c r="E5" s="16" t="s">
        <v>12</v>
      </c>
      <c r="F5" s="10" t="s">
        <v>93</v>
      </c>
      <c r="G5" s="15" t="s">
        <v>67</v>
      </c>
      <c r="H5" s="8">
        <v>334264</v>
      </c>
      <c r="I5" s="33">
        <v>45292</v>
      </c>
      <c r="J5" s="34">
        <v>200</v>
      </c>
      <c r="K5" s="35" t="s">
        <v>641</v>
      </c>
    </row>
    <row r="6" spans="1:11" x14ac:dyDescent="0.35">
      <c r="A6" s="6">
        <f t="shared" si="0"/>
        <v>4</v>
      </c>
      <c r="B6" s="10" t="s">
        <v>42</v>
      </c>
      <c r="C6" s="10" t="s">
        <v>637</v>
      </c>
      <c r="D6" s="7" t="s">
        <v>16</v>
      </c>
      <c r="E6" s="16" t="s">
        <v>10</v>
      </c>
      <c r="F6" s="10" t="s">
        <v>94</v>
      </c>
      <c r="G6" s="15" t="s">
        <v>68</v>
      </c>
      <c r="H6" s="8">
        <v>8056545</v>
      </c>
      <c r="I6" s="33">
        <v>45292</v>
      </c>
      <c r="J6" s="34">
        <v>1208</v>
      </c>
      <c r="K6" s="35" t="s">
        <v>642</v>
      </c>
    </row>
    <row r="7" spans="1:11" x14ac:dyDescent="0.35">
      <c r="A7" s="6">
        <f t="shared" si="0"/>
        <v>5</v>
      </c>
      <c r="B7" s="10" t="s">
        <v>44</v>
      </c>
      <c r="C7" s="10" t="s">
        <v>637</v>
      </c>
      <c r="D7" s="7" t="s">
        <v>18</v>
      </c>
      <c r="E7" s="16" t="s">
        <v>10</v>
      </c>
      <c r="F7" s="10" t="s">
        <v>96</v>
      </c>
      <c r="G7" s="15" t="s">
        <v>70</v>
      </c>
      <c r="H7" s="8">
        <v>1540441</v>
      </c>
      <c r="I7" s="33">
        <v>45292</v>
      </c>
      <c r="J7" s="34">
        <v>231</v>
      </c>
      <c r="K7" s="35" t="s">
        <v>643</v>
      </c>
    </row>
    <row r="8" spans="1:11" x14ac:dyDescent="0.35">
      <c r="A8" s="6">
        <f t="shared" si="0"/>
        <v>6</v>
      </c>
      <c r="B8" s="10" t="s">
        <v>45</v>
      </c>
      <c r="C8" s="10" t="s">
        <v>637</v>
      </c>
      <c r="D8" s="7" t="s">
        <v>19</v>
      </c>
      <c r="E8" s="16" t="s">
        <v>9</v>
      </c>
      <c r="F8" s="10" t="s">
        <v>97</v>
      </c>
      <c r="G8" s="15" t="s">
        <v>71</v>
      </c>
      <c r="H8" s="8">
        <v>2522815</v>
      </c>
      <c r="I8" s="33">
        <v>45292</v>
      </c>
      <c r="J8" s="34">
        <v>378</v>
      </c>
      <c r="K8" s="35" t="s">
        <v>644</v>
      </c>
    </row>
    <row r="9" spans="1:11" x14ac:dyDescent="0.35">
      <c r="A9" s="6">
        <f t="shared" si="0"/>
        <v>7</v>
      </c>
      <c r="B9" s="10" t="s">
        <v>47</v>
      </c>
      <c r="C9" s="10" t="s">
        <v>637</v>
      </c>
      <c r="D9" s="7" t="s">
        <v>21</v>
      </c>
      <c r="E9" s="16" t="s">
        <v>10</v>
      </c>
      <c r="F9" s="10" t="s">
        <v>99</v>
      </c>
      <c r="G9" s="15" t="s">
        <v>73</v>
      </c>
      <c r="H9" s="8">
        <v>2712678</v>
      </c>
      <c r="I9" s="33">
        <v>45292</v>
      </c>
      <c r="J9" s="34">
        <v>407</v>
      </c>
      <c r="K9" s="35" t="s">
        <v>645</v>
      </c>
    </row>
    <row r="10" spans="1:11" x14ac:dyDescent="0.35">
      <c r="A10" s="6">
        <f t="shared" si="0"/>
        <v>8</v>
      </c>
      <c r="B10" s="10" t="s">
        <v>48</v>
      </c>
      <c r="C10" s="10" t="s">
        <v>637</v>
      </c>
      <c r="D10" s="7" t="s">
        <v>22</v>
      </c>
      <c r="E10" s="16" t="s">
        <v>10</v>
      </c>
      <c r="F10" s="10" t="s">
        <v>100</v>
      </c>
      <c r="G10" s="15" t="s">
        <v>74</v>
      </c>
      <c r="H10" s="8">
        <v>3781238</v>
      </c>
      <c r="I10" s="33">
        <v>45292</v>
      </c>
      <c r="J10" s="34">
        <v>567</v>
      </c>
      <c r="K10" s="35" t="s">
        <v>646</v>
      </c>
    </row>
    <row r="11" spans="1:11" x14ac:dyDescent="0.35">
      <c r="A11" s="6">
        <f t="shared" si="0"/>
        <v>9</v>
      </c>
      <c r="B11" s="10" t="s">
        <v>49</v>
      </c>
      <c r="C11" s="10" t="s">
        <v>637</v>
      </c>
      <c r="D11" s="7" t="s">
        <v>23</v>
      </c>
      <c r="E11" s="16" t="s">
        <v>10</v>
      </c>
      <c r="F11" s="10" t="s">
        <v>101</v>
      </c>
      <c r="G11" s="15" t="s">
        <v>75</v>
      </c>
      <c r="H11" s="8">
        <v>1532238</v>
      </c>
      <c r="I11" s="33">
        <v>45292</v>
      </c>
      <c r="J11" s="34">
        <v>230</v>
      </c>
      <c r="K11" s="35" t="s">
        <v>647</v>
      </c>
    </row>
    <row r="12" spans="1:11" x14ac:dyDescent="0.35">
      <c r="A12" s="6">
        <f t="shared" si="0"/>
        <v>10</v>
      </c>
      <c r="B12" s="10" t="s">
        <v>50</v>
      </c>
      <c r="C12" s="10" t="s">
        <v>637</v>
      </c>
      <c r="D12" s="7" t="s">
        <v>24</v>
      </c>
      <c r="E12" s="16" t="s">
        <v>12</v>
      </c>
      <c r="F12" s="10" t="s">
        <v>102</v>
      </c>
      <c r="G12" s="15" t="s">
        <v>76</v>
      </c>
      <c r="H12" s="8">
        <v>5223409</v>
      </c>
      <c r="I12" s="33">
        <v>45292</v>
      </c>
      <c r="J12" s="34">
        <v>784</v>
      </c>
      <c r="K12" s="35" t="s">
        <v>648</v>
      </c>
    </row>
    <row r="13" spans="1:11" x14ac:dyDescent="0.35">
      <c r="A13" s="6">
        <f t="shared" si="0"/>
        <v>11</v>
      </c>
      <c r="B13" s="10" t="s">
        <v>53</v>
      </c>
      <c r="C13" s="10" t="s">
        <v>637</v>
      </c>
      <c r="D13" s="7" t="s">
        <v>27</v>
      </c>
      <c r="E13" s="16" t="s">
        <v>9</v>
      </c>
      <c r="F13" s="10" t="s">
        <v>105</v>
      </c>
      <c r="G13" s="15" t="s">
        <v>79</v>
      </c>
      <c r="H13" s="8">
        <v>2551851</v>
      </c>
      <c r="I13" s="33">
        <v>45292</v>
      </c>
      <c r="J13" s="34">
        <v>383</v>
      </c>
      <c r="K13" s="35" t="s">
        <v>649</v>
      </c>
    </row>
    <row r="14" spans="1:11" x14ac:dyDescent="0.35">
      <c r="A14" s="6">
        <f t="shared" si="0"/>
        <v>12</v>
      </c>
      <c r="B14" s="10" t="s">
        <v>54</v>
      </c>
      <c r="C14" s="10" t="s">
        <v>637</v>
      </c>
      <c r="D14" s="7" t="s">
        <v>28</v>
      </c>
      <c r="E14" s="16" t="s">
        <v>9</v>
      </c>
      <c r="F14" s="10" t="s">
        <v>106</v>
      </c>
      <c r="G14" s="15" t="s">
        <v>80</v>
      </c>
      <c r="H14" s="8">
        <v>17311641</v>
      </c>
      <c r="I14" s="33">
        <v>45292</v>
      </c>
      <c r="J14" s="34">
        <v>2597</v>
      </c>
      <c r="K14" s="35" t="s">
        <v>650</v>
      </c>
    </row>
    <row r="15" spans="1:11" x14ac:dyDescent="0.35">
      <c r="A15" s="6">
        <f t="shared" si="0"/>
        <v>13</v>
      </c>
      <c r="B15" s="10" t="s">
        <v>55</v>
      </c>
      <c r="C15" s="10" t="s">
        <v>637</v>
      </c>
      <c r="D15" s="7" t="s">
        <v>29</v>
      </c>
      <c r="E15" s="16" t="s">
        <v>9</v>
      </c>
      <c r="F15" s="10" t="s">
        <v>107</v>
      </c>
      <c r="G15" s="15" t="s">
        <v>81</v>
      </c>
      <c r="H15" s="8">
        <v>4697331</v>
      </c>
      <c r="I15" s="33">
        <v>45292</v>
      </c>
      <c r="J15" s="34">
        <v>705</v>
      </c>
      <c r="K15" s="35" t="s">
        <v>651</v>
      </c>
    </row>
    <row r="16" spans="1:11" x14ac:dyDescent="0.35">
      <c r="A16" s="6">
        <f t="shared" si="0"/>
        <v>14</v>
      </c>
      <c r="B16" s="10" t="s">
        <v>58</v>
      </c>
      <c r="C16" s="10" t="s">
        <v>637</v>
      </c>
      <c r="D16" s="7" t="s">
        <v>32</v>
      </c>
      <c r="E16" s="16" t="s">
        <v>12</v>
      </c>
      <c r="F16" s="10" t="s">
        <v>110</v>
      </c>
      <c r="G16" s="15" t="s">
        <v>84</v>
      </c>
      <c r="H16" s="8">
        <v>12527955</v>
      </c>
      <c r="I16" s="33">
        <v>45292</v>
      </c>
      <c r="J16" s="34">
        <v>1879</v>
      </c>
      <c r="K16" s="35" t="s">
        <v>652</v>
      </c>
    </row>
    <row r="17" spans="1:11" x14ac:dyDescent="0.35">
      <c r="A17" s="6">
        <f t="shared" si="0"/>
        <v>15</v>
      </c>
      <c r="B17" s="10" t="s">
        <v>59</v>
      </c>
      <c r="C17" s="10" t="s">
        <v>637</v>
      </c>
      <c r="D17" s="7" t="s">
        <v>33</v>
      </c>
      <c r="E17" s="16" t="s">
        <v>12</v>
      </c>
      <c r="F17" s="10" t="s">
        <v>111</v>
      </c>
      <c r="G17" s="15" t="s">
        <v>85</v>
      </c>
      <c r="H17" s="8">
        <v>6446247</v>
      </c>
      <c r="I17" s="33">
        <v>45292</v>
      </c>
      <c r="J17" s="34">
        <v>967</v>
      </c>
      <c r="K17" s="35" t="s">
        <v>653</v>
      </c>
    </row>
    <row r="18" spans="1:11" x14ac:dyDescent="0.35">
      <c r="A18" s="6">
        <f t="shared" si="0"/>
        <v>16</v>
      </c>
      <c r="B18" s="10" t="s">
        <v>61</v>
      </c>
      <c r="C18" s="10" t="s">
        <v>637</v>
      </c>
      <c r="D18" s="7" t="s">
        <v>35</v>
      </c>
      <c r="E18" s="16" t="s">
        <v>10</v>
      </c>
      <c r="F18" s="10" t="s">
        <v>113</v>
      </c>
      <c r="G18" s="15" t="s">
        <v>87</v>
      </c>
      <c r="H18" s="8">
        <v>8394736</v>
      </c>
      <c r="I18" s="33">
        <v>45292</v>
      </c>
      <c r="J18" s="34">
        <v>1259</v>
      </c>
      <c r="K18" s="35" t="s">
        <v>654</v>
      </c>
    </row>
    <row r="19" spans="1:11" x14ac:dyDescent="0.35">
      <c r="A19" s="6">
        <f t="shared" si="0"/>
        <v>17</v>
      </c>
      <c r="B19" s="10" t="s">
        <v>62</v>
      </c>
      <c r="C19" s="10" t="s">
        <v>637</v>
      </c>
      <c r="D19" s="7" t="s">
        <v>36</v>
      </c>
      <c r="E19" s="16" t="s">
        <v>8</v>
      </c>
      <c r="F19" s="10" t="s">
        <v>114</v>
      </c>
      <c r="G19" s="15" t="s">
        <v>88</v>
      </c>
      <c r="H19" s="8">
        <v>1307531</v>
      </c>
      <c r="I19" s="33">
        <v>45292</v>
      </c>
      <c r="J19" s="34">
        <v>200</v>
      </c>
      <c r="K19" s="35" t="s">
        <v>655</v>
      </c>
    </row>
    <row r="20" spans="1:11" x14ac:dyDescent="0.35">
      <c r="A20" s="6">
        <f t="shared" si="0"/>
        <v>18</v>
      </c>
      <c r="B20" s="10" t="s">
        <v>63</v>
      </c>
      <c r="C20" s="10" t="s">
        <v>637</v>
      </c>
      <c r="D20" s="7" t="s">
        <v>37</v>
      </c>
      <c r="E20" s="16" t="s">
        <v>10</v>
      </c>
      <c r="F20" s="10" t="s">
        <v>115</v>
      </c>
      <c r="G20" s="15" t="s">
        <v>89</v>
      </c>
      <c r="H20" s="8">
        <v>3374553</v>
      </c>
      <c r="I20" s="33">
        <v>45292</v>
      </c>
      <c r="J20" s="34">
        <v>506</v>
      </c>
      <c r="K20" s="35" t="s">
        <v>656</v>
      </c>
    </row>
    <row r="21" spans="1:11" x14ac:dyDescent="0.35">
      <c r="A21" s="6">
        <f t="shared" si="0"/>
        <v>19</v>
      </c>
      <c r="B21" s="10" t="s">
        <v>64</v>
      </c>
      <c r="C21" s="10" t="s">
        <v>637</v>
      </c>
      <c r="D21" s="7" t="s">
        <v>38</v>
      </c>
      <c r="E21" s="16" t="s">
        <v>8</v>
      </c>
      <c r="F21" s="10" t="s">
        <v>116</v>
      </c>
      <c r="G21" s="15" t="s">
        <v>90</v>
      </c>
      <c r="H21" s="8">
        <v>2373762</v>
      </c>
      <c r="I21" s="33">
        <v>45292</v>
      </c>
      <c r="J21" s="34">
        <v>356</v>
      </c>
      <c r="K21" s="35" t="s">
        <v>657</v>
      </c>
    </row>
    <row r="22" spans="1:11" x14ac:dyDescent="0.35">
      <c r="A22" s="6">
        <f t="shared" si="0"/>
        <v>20</v>
      </c>
      <c r="B22" s="10" t="s">
        <v>121</v>
      </c>
      <c r="C22" s="10" t="s">
        <v>637</v>
      </c>
      <c r="D22" s="7" t="s">
        <v>122</v>
      </c>
      <c r="E22" s="16" t="s">
        <v>9</v>
      </c>
      <c r="F22" s="10" t="s">
        <v>123</v>
      </c>
      <c r="G22" s="15" t="s">
        <v>124</v>
      </c>
      <c r="H22" s="8">
        <v>19883499</v>
      </c>
      <c r="I22" s="33">
        <v>45292</v>
      </c>
      <c r="J22" s="34">
        <v>2983</v>
      </c>
      <c r="K22" s="35" t="s">
        <v>658</v>
      </c>
    </row>
    <row r="23" spans="1:11" x14ac:dyDescent="0.35">
      <c r="A23" s="6">
        <f t="shared" si="0"/>
        <v>21</v>
      </c>
      <c r="B23" s="10" t="s">
        <v>125</v>
      </c>
      <c r="C23" s="10" t="s">
        <v>637</v>
      </c>
      <c r="D23" s="7" t="s">
        <v>126</v>
      </c>
      <c r="E23" s="16" t="s">
        <v>9</v>
      </c>
      <c r="F23" s="10" t="s">
        <v>127</v>
      </c>
      <c r="G23" s="15" t="s">
        <v>128</v>
      </c>
      <c r="H23" s="8">
        <v>6648339</v>
      </c>
      <c r="I23" s="33">
        <v>45292</v>
      </c>
      <c r="J23" s="34">
        <v>997</v>
      </c>
      <c r="K23" s="35" t="s">
        <v>659</v>
      </c>
    </row>
    <row r="24" spans="1:11" x14ac:dyDescent="0.35">
      <c r="A24" s="6">
        <f t="shared" si="0"/>
        <v>22</v>
      </c>
      <c r="B24" s="10" t="s">
        <v>133</v>
      </c>
      <c r="C24" s="10" t="s">
        <v>637</v>
      </c>
      <c r="D24" s="7" t="s">
        <v>134</v>
      </c>
      <c r="E24" s="16" t="s">
        <v>9</v>
      </c>
      <c r="F24" s="10" t="s">
        <v>135</v>
      </c>
      <c r="G24" s="15" t="s">
        <v>136</v>
      </c>
      <c r="H24" s="8">
        <v>30729927</v>
      </c>
      <c r="I24" s="33">
        <v>45292</v>
      </c>
      <c r="J24" s="34">
        <v>4609</v>
      </c>
      <c r="K24" s="35" t="s">
        <v>660</v>
      </c>
    </row>
    <row r="25" spans="1:11" x14ac:dyDescent="0.35">
      <c r="A25" s="6">
        <f t="shared" si="0"/>
        <v>23</v>
      </c>
      <c r="B25" s="10" t="s">
        <v>144</v>
      </c>
      <c r="C25" s="10" t="s">
        <v>637</v>
      </c>
      <c r="D25" s="7" t="s">
        <v>145</v>
      </c>
      <c r="E25" s="16" t="s">
        <v>8</v>
      </c>
      <c r="F25" s="10" t="s">
        <v>146</v>
      </c>
      <c r="G25" s="15" t="s">
        <v>147</v>
      </c>
      <c r="H25" s="8">
        <v>3993586</v>
      </c>
      <c r="I25" s="33">
        <v>45292</v>
      </c>
      <c r="J25" s="34">
        <v>599</v>
      </c>
      <c r="K25" s="35" t="s">
        <v>661</v>
      </c>
    </row>
    <row r="26" spans="1:11" x14ac:dyDescent="0.35">
      <c r="A26" s="6">
        <f t="shared" si="0"/>
        <v>24</v>
      </c>
      <c r="B26" s="10" t="s">
        <v>163</v>
      </c>
      <c r="C26" s="10" t="s">
        <v>637</v>
      </c>
      <c r="D26" s="7" t="s">
        <v>164</v>
      </c>
      <c r="E26" s="16" t="s">
        <v>10</v>
      </c>
      <c r="F26" s="10" t="s">
        <v>165</v>
      </c>
      <c r="G26" s="15" t="s">
        <v>166</v>
      </c>
      <c r="H26" s="8">
        <v>22620952</v>
      </c>
      <c r="I26" s="33">
        <v>45292</v>
      </c>
      <c r="J26" s="34">
        <v>3393</v>
      </c>
      <c r="K26" s="35" t="s">
        <v>662</v>
      </c>
    </row>
    <row r="27" spans="1:11" x14ac:dyDescent="0.35">
      <c r="A27" s="6">
        <f t="shared" si="0"/>
        <v>25</v>
      </c>
      <c r="B27" s="10" t="s">
        <v>192</v>
      </c>
      <c r="C27" s="10" t="s">
        <v>637</v>
      </c>
      <c r="D27" s="7" t="s">
        <v>171</v>
      </c>
      <c r="E27" s="16" t="s">
        <v>9</v>
      </c>
      <c r="F27" s="10" t="s">
        <v>172</v>
      </c>
      <c r="G27" s="15" t="s">
        <v>173</v>
      </c>
      <c r="H27" s="8">
        <v>1795180</v>
      </c>
      <c r="I27" s="33">
        <v>45292</v>
      </c>
      <c r="J27" s="34">
        <v>269</v>
      </c>
      <c r="K27" s="35" t="s">
        <v>663</v>
      </c>
    </row>
    <row r="28" spans="1:11" x14ac:dyDescent="0.35">
      <c r="A28" s="6">
        <f t="shared" si="0"/>
        <v>26</v>
      </c>
      <c r="B28" s="10" t="s">
        <v>174</v>
      </c>
      <c r="C28" s="10" t="s">
        <v>637</v>
      </c>
      <c r="D28" s="7" t="s">
        <v>175</v>
      </c>
      <c r="E28" s="16" t="s">
        <v>8</v>
      </c>
      <c r="F28" s="10" t="s">
        <v>176</v>
      </c>
      <c r="G28" s="15" t="s">
        <v>177</v>
      </c>
      <c r="H28" s="8">
        <v>710171</v>
      </c>
      <c r="I28" s="33">
        <v>45292</v>
      </c>
      <c r="J28" s="34">
        <v>200</v>
      </c>
      <c r="K28" s="35" t="s">
        <v>664</v>
      </c>
    </row>
    <row r="29" spans="1:11" x14ac:dyDescent="0.35">
      <c r="A29" s="6">
        <f t="shared" si="0"/>
        <v>27</v>
      </c>
      <c r="B29" s="10" t="s">
        <v>178</v>
      </c>
      <c r="C29" s="10" t="s">
        <v>637</v>
      </c>
      <c r="D29" s="7" t="s">
        <v>179</v>
      </c>
      <c r="E29" s="16" t="s">
        <v>9</v>
      </c>
      <c r="F29" s="10" t="s">
        <v>180</v>
      </c>
      <c r="G29" s="15" t="s">
        <v>181</v>
      </c>
      <c r="H29" s="8">
        <v>423529</v>
      </c>
      <c r="I29" s="33">
        <v>45292</v>
      </c>
      <c r="J29" s="34">
        <v>200</v>
      </c>
      <c r="K29" s="35" t="s">
        <v>665</v>
      </c>
    </row>
    <row r="30" spans="1:11" x14ac:dyDescent="0.35">
      <c r="A30" s="6">
        <f t="shared" si="0"/>
        <v>28</v>
      </c>
      <c r="B30" s="10" t="s">
        <v>182</v>
      </c>
      <c r="C30" s="10" t="s">
        <v>637</v>
      </c>
      <c r="D30" s="7" t="s">
        <v>183</v>
      </c>
      <c r="E30" s="16" t="s">
        <v>8</v>
      </c>
      <c r="F30" s="10" t="s">
        <v>184</v>
      </c>
      <c r="G30" s="15" t="s">
        <v>185</v>
      </c>
      <c r="H30" s="8">
        <v>3911426</v>
      </c>
      <c r="I30" s="33">
        <v>45292</v>
      </c>
      <c r="J30" s="34">
        <v>587</v>
      </c>
      <c r="K30" s="35" t="s">
        <v>666</v>
      </c>
    </row>
    <row r="31" spans="1:11" x14ac:dyDescent="0.35">
      <c r="A31" s="6">
        <f t="shared" si="0"/>
        <v>29</v>
      </c>
      <c r="B31" s="27" t="s">
        <v>193</v>
      </c>
      <c r="C31" s="10" t="s">
        <v>637</v>
      </c>
      <c r="D31" s="28" t="s">
        <v>194</v>
      </c>
      <c r="E31" s="29" t="s">
        <v>12</v>
      </c>
      <c r="F31" s="27" t="s">
        <v>195</v>
      </c>
      <c r="G31" s="30" t="s">
        <v>196</v>
      </c>
      <c r="H31" s="8">
        <v>8311130</v>
      </c>
      <c r="I31" s="33">
        <v>45292</v>
      </c>
      <c r="J31" s="34">
        <v>1247</v>
      </c>
      <c r="K31" s="35" t="s">
        <v>667</v>
      </c>
    </row>
    <row r="32" spans="1:11" x14ac:dyDescent="0.35">
      <c r="A32" s="6">
        <f t="shared" si="0"/>
        <v>30</v>
      </c>
      <c r="B32" s="27" t="s">
        <v>197</v>
      </c>
      <c r="C32" s="10" t="s">
        <v>637</v>
      </c>
      <c r="D32" s="28" t="s">
        <v>198</v>
      </c>
      <c r="E32" s="29" t="s">
        <v>8</v>
      </c>
      <c r="F32" s="27" t="s">
        <v>199</v>
      </c>
      <c r="G32" s="30" t="s">
        <v>200</v>
      </c>
      <c r="H32" s="8">
        <v>1000335</v>
      </c>
      <c r="I32" s="33">
        <v>45292</v>
      </c>
      <c r="J32" s="34">
        <v>200</v>
      </c>
      <c r="K32" s="35" t="s">
        <v>668</v>
      </c>
    </row>
    <row r="33" spans="1:11" x14ac:dyDescent="0.35">
      <c r="A33" s="6">
        <f t="shared" si="0"/>
        <v>31</v>
      </c>
      <c r="B33" s="27" t="s">
        <v>205</v>
      </c>
      <c r="C33" s="10" t="s">
        <v>637</v>
      </c>
      <c r="D33" s="28" t="s">
        <v>206</v>
      </c>
      <c r="E33" s="29" t="s">
        <v>9</v>
      </c>
      <c r="F33" s="27" t="s">
        <v>207</v>
      </c>
      <c r="G33" s="30" t="s">
        <v>208</v>
      </c>
      <c r="H33" s="8">
        <v>43151560</v>
      </c>
      <c r="I33" s="33">
        <v>45292</v>
      </c>
      <c r="J33" s="34">
        <v>6473</v>
      </c>
      <c r="K33" s="35" t="s">
        <v>669</v>
      </c>
    </row>
    <row r="34" spans="1:11" x14ac:dyDescent="0.35">
      <c r="A34" s="6">
        <f t="shared" si="0"/>
        <v>32</v>
      </c>
      <c r="B34" s="27" t="s">
        <v>209</v>
      </c>
      <c r="C34" s="10" t="s">
        <v>637</v>
      </c>
      <c r="D34" s="28" t="s">
        <v>210</v>
      </c>
      <c r="E34" s="29" t="s">
        <v>9</v>
      </c>
      <c r="F34" s="27" t="s">
        <v>211</v>
      </c>
      <c r="G34" s="30" t="s">
        <v>212</v>
      </c>
      <c r="H34" s="8">
        <v>11418594</v>
      </c>
      <c r="I34" s="33">
        <v>45292</v>
      </c>
      <c r="J34" s="34">
        <v>1713</v>
      </c>
      <c r="K34" s="35" t="s">
        <v>670</v>
      </c>
    </row>
    <row r="35" spans="1:11" x14ac:dyDescent="0.35">
      <c r="A35" s="6">
        <f t="shared" si="0"/>
        <v>33</v>
      </c>
      <c r="B35" s="27" t="s">
        <v>213</v>
      </c>
      <c r="C35" s="10" t="s">
        <v>637</v>
      </c>
      <c r="D35" s="28" t="s">
        <v>214</v>
      </c>
      <c r="E35" s="29" t="s">
        <v>12</v>
      </c>
      <c r="F35" s="27" t="s">
        <v>215</v>
      </c>
      <c r="G35" s="30" t="s">
        <v>216</v>
      </c>
      <c r="H35" s="8">
        <v>8036106</v>
      </c>
      <c r="I35" s="33">
        <v>45292</v>
      </c>
      <c r="J35" s="34">
        <v>1205</v>
      </c>
      <c r="K35" s="35" t="s">
        <v>671</v>
      </c>
    </row>
    <row r="36" spans="1:11" x14ac:dyDescent="0.35">
      <c r="A36" s="6">
        <f t="shared" ref="A36:A67" si="1">A35+1</f>
        <v>34</v>
      </c>
      <c r="B36" s="31" t="s">
        <v>217</v>
      </c>
      <c r="C36" s="10" t="s">
        <v>637</v>
      </c>
      <c r="D36" s="29" t="s">
        <v>218</v>
      </c>
      <c r="E36" s="29" t="s">
        <v>9</v>
      </c>
      <c r="F36" s="27" t="s">
        <v>219</v>
      </c>
      <c r="G36" s="30" t="s">
        <v>220</v>
      </c>
      <c r="H36" s="8">
        <v>20088635</v>
      </c>
      <c r="I36" s="33">
        <v>45292</v>
      </c>
      <c r="J36" s="34">
        <v>3013</v>
      </c>
      <c r="K36" s="35" t="s">
        <v>672</v>
      </c>
    </row>
    <row r="37" spans="1:11" x14ac:dyDescent="0.35">
      <c r="A37" s="6">
        <f t="shared" si="1"/>
        <v>35</v>
      </c>
      <c r="B37" s="31" t="s">
        <v>221</v>
      </c>
      <c r="C37" s="10" t="s">
        <v>637</v>
      </c>
      <c r="D37" s="29" t="s">
        <v>222</v>
      </c>
      <c r="E37" s="29" t="s">
        <v>10</v>
      </c>
      <c r="F37" s="27" t="s">
        <v>223</v>
      </c>
      <c r="G37" s="30" t="s">
        <v>224</v>
      </c>
      <c r="H37" s="8">
        <v>11568567</v>
      </c>
      <c r="I37" s="33">
        <v>45292</v>
      </c>
      <c r="J37" s="34">
        <v>1735</v>
      </c>
      <c r="K37" s="35" t="s">
        <v>673</v>
      </c>
    </row>
    <row r="38" spans="1:11" x14ac:dyDescent="0.35">
      <c r="A38" s="6">
        <f t="shared" si="1"/>
        <v>36</v>
      </c>
      <c r="B38" s="31" t="s">
        <v>229</v>
      </c>
      <c r="C38" s="10" t="s">
        <v>637</v>
      </c>
      <c r="D38" s="29" t="s">
        <v>230</v>
      </c>
      <c r="E38" s="29" t="s">
        <v>10</v>
      </c>
      <c r="F38" s="27" t="s">
        <v>231</v>
      </c>
      <c r="G38" s="30" t="s">
        <v>232</v>
      </c>
      <c r="H38" s="8">
        <v>1155107</v>
      </c>
      <c r="I38" s="33">
        <v>45292</v>
      </c>
      <c r="J38" s="34">
        <v>200</v>
      </c>
      <c r="K38" s="35" t="s">
        <v>674</v>
      </c>
    </row>
    <row r="39" spans="1:11" x14ac:dyDescent="0.35">
      <c r="A39" s="6">
        <f t="shared" si="1"/>
        <v>37</v>
      </c>
      <c r="B39" s="31" t="s">
        <v>233</v>
      </c>
      <c r="C39" s="10" t="s">
        <v>637</v>
      </c>
      <c r="D39" s="29" t="s">
        <v>234</v>
      </c>
      <c r="E39" s="29" t="s">
        <v>9</v>
      </c>
      <c r="F39" s="27" t="s">
        <v>235</v>
      </c>
      <c r="G39" s="30" t="s">
        <v>236</v>
      </c>
      <c r="H39" s="8">
        <v>10076223</v>
      </c>
      <c r="I39" s="33">
        <v>45292</v>
      </c>
      <c r="J39" s="34">
        <v>1511</v>
      </c>
      <c r="K39" s="35" t="s">
        <v>675</v>
      </c>
    </row>
    <row r="40" spans="1:11" x14ac:dyDescent="0.35">
      <c r="A40" s="6">
        <f t="shared" si="1"/>
        <v>38</v>
      </c>
      <c r="B40" s="31" t="s">
        <v>237</v>
      </c>
      <c r="C40" s="10" t="s">
        <v>637</v>
      </c>
      <c r="D40" s="29" t="s">
        <v>238</v>
      </c>
      <c r="E40" s="29" t="s">
        <v>10</v>
      </c>
      <c r="F40" s="27" t="s">
        <v>239</v>
      </c>
      <c r="G40" s="30" t="s">
        <v>240</v>
      </c>
      <c r="H40" s="8">
        <v>13500300</v>
      </c>
      <c r="I40" s="33">
        <v>45292</v>
      </c>
      <c r="J40" s="34">
        <v>2025</v>
      </c>
      <c r="K40" s="35" t="s">
        <v>676</v>
      </c>
    </row>
    <row r="41" spans="1:11" x14ac:dyDescent="0.35">
      <c r="A41" s="6">
        <f t="shared" si="1"/>
        <v>39</v>
      </c>
      <c r="B41" s="31" t="s">
        <v>245</v>
      </c>
      <c r="C41" s="10" t="s">
        <v>637</v>
      </c>
      <c r="D41" s="29" t="s">
        <v>246</v>
      </c>
      <c r="E41" s="29" t="s">
        <v>8</v>
      </c>
      <c r="F41" s="27" t="s">
        <v>247</v>
      </c>
      <c r="G41" s="30" t="s">
        <v>248</v>
      </c>
      <c r="H41" s="8">
        <v>5058324</v>
      </c>
      <c r="I41" s="33">
        <v>45292</v>
      </c>
      <c r="J41" s="34">
        <v>759</v>
      </c>
      <c r="K41" s="35" t="s">
        <v>677</v>
      </c>
    </row>
    <row r="42" spans="1:11" x14ac:dyDescent="0.35">
      <c r="A42" s="6">
        <f t="shared" si="1"/>
        <v>40</v>
      </c>
      <c r="B42" s="31" t="s">
        <v>249</v>
      </c>
      <c r="C42" s="10" t="s">
        <v>637</v>
      </c>
      <c r="D42" s="29" t="s">
        <v>250</v>
      </c>
      <c r="E42" s="29" t="s">
        <v>10</v>
      </c>
      <c r="F42" s="27" t="s">
        <v>251</v>
      </c>
      <c r="G42" s="30" t="s">
        <v>252</v>
      </c>
      <c r="H42" s="8">
        <v>21025119</v>
      </c>
      <c r="I42" s="33">
        <v>45292</v>
      </c>
      <c r="J42" s="34">
        <v>3154</v>
      </c>
      <c r="K42" s="35" t="s">
        <v>678</v>
      </c>
    </row>
    <row r="43" spans="1:11" x14ac:dyDescent="0.35">
      <c r="A43" s="6">
        <f t="shared" si="1"/>
        <v>41</v>
      </c>
      <c r="B43" s="31" t="s">
        <v>253</v>
      </c>
      <c r="C43" s="10" t="s">
        <v>637</v>
      </c>
      <c r="D43" s="29" t="s">
        <v>254</v>
      </c>
      <c r="E43" s="29" t="s">
        <v>8</v>
      </c>
      <c r="F43" s="27" t="s">
        <v>255</v>
      </c>
      <c r="G43" s="30" t="s">
        <v>256</v>
      </c>
      <c r="H43" s="8">
        <v>3647280</v>
      </c>
      <c r="I43" s="33">
        <v>45292</v>
      </c>
      <c r="J43" s="34">
        <v>547</v>
      </c>
      <c r="K43" s="35" t="s">
        <v>679</v>
      </c>
    </row>
    <row r="44" spans="1:11" x14ac:dyDescent="0.35">
      <c r="A44" s="6">
        <f t="shared" si="1"/>
        <v>42</v>
      </c>
      <c r="B44" s="31" t="s">
        <v>257</v>
      </c>
      <c r="C44" s="10" t="s">
        <v>637</v>
      </c>
      <c r="D44" s="29" t="s">
        <v>258</v>
      </c>
      <c r="E44" s="29" t="s">
        <v>9</v>
      </c>
      <c r="F44" s="27" t="s">
        <v>259</v>
      </c>
      <c r="G44" s="30" t="s">
        <v>260</v>
      </c>
      <c r="H44" s="8">
        <v>4164947</v>
      </c>
      <c r="I44" s="33">
        <v>45292</v>
      </c>
      <c r="J44" s="34">
        <v>625</v>
      </c>
      <c r="K44" s="35" t="s">
        <v>680</v>
      </c>
    </row>
    <row r="45" spans="1:11" x14ac:dyDescent="0.35">
      <c r="A45" s="6">
        <f t="shared" si="1"/>
        <v>43</v>
      </c>
      <c r="B45" s="27" t="s">
        <v>261</v>
      </c>
      <c r="C45" s="10" t="s">
        <v>637</v>
      </c>
      <c r="D45" s="29" t="s">
        <v>262</v>
      </c>
      <c r="E45" s="29" t="s">
        <v>9</v>
      </c>
      <c r="F45" s="27" t="s">
        <v>263</v>
      </c>
      <c r="G45" s="30" t="s">
        <v>264</v>
      </c>
      <c r="H45" s="8">
        <v>38333698</v>
      </c>
      <c r="I45" s="33">
        <v>45292</v>
      </c>
      <c r="J45" s="34">
        <v>5750</v>
      </c>
      <c r="K45" s="35" t="s">
        <v>681</v>
      </c>
    </row>
    <row r="46" spans="1:11" x14ac:dyDescent="0.35">
      <c r="A46" s="6">
        <f t="shared" si="1"/>
        <v>44</v>
      </c>
      <c r="B46" s="31" t="s">
        <v>271</v>
      </c>
      <c r="C46" s="10" t="s">
        <v>637</v>
      </c>
      <c r="D46" s="29" t="s">
        <v>272</v>
      </c>
      <c r="E46" s="29" t="s">
        <v>9</v>
      </c>
      <c r="F46" s="27" t="s">
        <v>273</v>
      </c>
      <c r="G46" s="30" t="s">
        <v>274</v>
      </c>
      <c r="H46" s="8">
        <v>6766735</v>
      </c>
      <c r="I46" s="33">
        <v>45292</v>
      </c>
      <c r="J46" s="34">
        <v>1015</v>
      </c>
      <c r="K46" s="35" t="s">
        <v>682</v>
      </c>
    </row>
    <row r="47" spans="1:11" x14ac:dyDescent="0.35">
      <c r="A47" s="6">
        <f t="shared" si="1"/>
        <v>45</v>
      </c>
      <c r="B47" s="31" t="s">
        <v>275</v>
      </c>
      <c r="C47" s="10" t="s">
        <v>637</v>
      </c>
      <c r="D47" s="29" t="s">
        <v>276</v>
      </c>
      <c r="E47" s="29" t="s">
        <v>10</v>
      </c>
      <c r="F47" s="27" t="s">
        <v>277</v>
      </c>
      <c r="G47" s="30" t="s">
        <v>278</v>
      </c>
      <c r="H47" s="8">
        <v>10275177</v>
      </c>
      <c r="I47" s="33">
        <v>45292</v>
      </c>
      <c r="J47" s="34">
        <v>1541</v>
      </c>
      <c r="K47" s="35" t="s">
        <v>683</v>
      </c>
    </row>
    <row r="48" spans="1:11" x14ac:dyDescent="0.35">
      <c r="A48" s="6">
        <f t="shared" si="1"/>
        <v>46</v>
      </c>
      <c r="B48" s="31" t="s">
        <v>279</v>
      </c>
      <c r="C48" s="10" t="s">
        <v>637</v>
      </c>
      <c r="D48" s="29" t="s">
        <v>280</v>
      </c>
      <c r="E48" s="29" t="s">
        <v>281</v>
      </c>
      <c r="F48" s="27" t="s">
        <v>282</v>
      </c>
      <c r="G48" s="30" t="s">
        <v>283</v>
      </c>
      <c r="H48" s="8">
        <v>2848216</v>
      </c>
      <c r="I48" s="33">
        <v>45292</v>
      </c>
      <c r="J48" s="34">
        <v>427</v>
      </c>
      <c r="K48" s="35" t="s">
        <v>684</v>
      </c>
    </row>
    <row r="49" spans="1:11" x14ac:dyDescent="0.35">
      <c r="A49" s="6">
        <f t="shared" si="1"/>
        <v>47</v>
      </c>
      <c r="B49" s="31" t="s">
        <v>284</v>
      </c>
      <c r="C49" s="10" t="s">
        <v>637</v>
      </c>
      <c r="D49" s="29" t="s">
        <v>285</v>
      </c>
      <c r="E49" s="29" t="s">
        <v>10</v>
      </c>
      <c r="F49" s="27" t="s">
        <v>286</v>
      </c>
      <c r="G49" s="30" t="s">
        <v>287</v>
      </c>
      <c r="H49" s="8">
        <v>14153006</v>
      </c>
      <c r="I49" s="33">
        <v>45292</v>
      </c>
      <c r="J49" s="34">
        <v>2123</v>
      </c>
      <c r="K49" s="35" t="s">
        <v>685</v>
      </c>
    </row>
    <row r="50" spans="1:11" x14ac:dyDescent="0.35">
      <c r="A50" s="6">
        <f t="shared" si="1"/>
        <v>48</v>
      </c>
      <c r="B50" s="27" t="s">
        <v>288</v>
      </c>
      <c r="C50" s="10" t="s">
        <v>637</v>
      </c>
      <c r="D50" s="29" t="s">
        <v>289</v>
      </c>
      <c r="E50" s="29" t="s">
        <v>10</v>
      </c>
      <c r="F50" s="27" t="s">
        <v>290</v>
      </c>
      <c r="G50" s="30" t="s">
        <v>291</v>
      </c>
      <c r="H50" s="8">
        <v>4565654</v>
      </c>
      <c r="I50" s="33">
        <v>45292</v>
      </c>
      <c r="J50" s="34">
        <v>685</v>
      </c>
      <c r="K50" s="35" t="s">
        <v>686</v>
      </c>
    </row>
    <row r="51" spans="1:11" x14ac:dyDescent="0.35">
      <c r="A51" s="6">
        <f t="shared" si="1"/>
        <v>49</v>
      </c>
      <c r="B51" s="31" t="s">
        <v>292</v>
      </c>
      <c r="C51" s="10" t="s">
        <v>637</v>
      </c>
      <c r="D51" s="29" t="s">
        <v>293</v>
      </c>
      <c r="E51" s="29" t="s">
        <v>10</v>
      </c>
      <c r="F51" s="27" t="s">
        <v>294</v>
      </c>
      <c r="G51" s="30" t="s">
        <v>295</v>
      </c>
      <c r="H51" s="8">
        <v>7549272</v>
      </c>
      <c r="I51" s="33">
        <v>45292</v>
      </c>
      <c r="J51" s="34">
        <v>1132</v>
      </c>
      <c r="K51" s="35" t="s">
        <v>687</v>
      </c>
    </row>
    <row r="52" spans="1:11" x14ac:dyDescent="0.35">
      <c r="A52" s="6">
        <f t="shared" si="1"/>
        <v>50</v>
      </c>
      <c r="B52" s="31" t="s">
        <v>296</v>
      </c>
      <c r="C52" s="10" t="s">
        <v>637</v>
      </c>
      <c r="D52" s="29" t="s">
        <v>297</v>
      </c>
      <c r="E52" s="29" t="s">
        <v>12</v>
      </c>
      <c r="F52" s="27" t="s">
        <v>298</v>
      </c>
      <c r="G52" s="30" t="s">
        <v>299</v>
      </c>
      <c r="H52" s="8">
        <v>10863087</v>
      </c>
      <c r="I52" s="33">
        <v>45292</v>
      </c>
      <c r="J52" s="34">
        <v>1629</v>
      </c>
      <c r="K52" s="35" t="s">
        <v>688</v>
      </c>
    </row>
    <row r="53" spans="1:11" x14ac:dyDescent="0.35">
      <c r="A53" s="6">
        <f t="shared" si="1"/>
        <v>51</v>
      </c>
      <c r="B53" s="27" t="s">
        <v>300</v>
      </c>
      <c r="C53" s="10" t="s">
        <v>637</v>
      </c>
      <c r="D53" s="29" t="s">
        <v>301</v>
      </c>
      <c r="E53" s="29" t="s">
        <v>9</v>
      </c>
      <c r="F53" s="27" t="s">
        <v>302</v>
      </c>
      <c r="G53" s="30" t="s">
        <v>303</v>
      </c>
      <c r="H53" s="8">
        <v>9527197</v>
      </c>
      <c r="I53" s="33">
        <v>45292</v>
      </c>
      <c r="J53" s="34">
        <v>1429</v>
      </c>
      <c r="K53" s="35" t="s">
        <v>689</v>
      </c>
    </row>
    <row r="54" spans="1:11" x14ac:dyDescent="0.35">
      <c r="A54" s="6">
        <f t="shared" si="1"/>
        <v>52</v>
      </c>
      <c r="B54" s="31" t="s">
        <v>304</v>
      </c>
      <c r="C54" s="10" t="s">
        <v>637</v>
      </c>
      <c r="D54" s="29" t="s">
        <v>305</v>
      </c>
      <c r="E54" s="29" t="s">
        <v>11</v>
      </c>
      <c r="F54" s="27" t="s">
        <v>306</v>
      </c>
      <c r="G54" s="30" t="s">
        <v>307</v>
      </c>
      <c r="H54" s="8">
        <v>8669744</v>
      </c>
      <c r="I54" s="33">
        <v>45292</v>
      </c>
      <c r="J54" s="34">
        <v>1300</v>
      </c>
      <c r="K54" s="35" t="s">
        <v>690</v>
      </c>
    </row>
    <row r="55" spans="1:11" x14ac:dyDescent="0.35">
      <c r="A55" s="6">
        <f t="shared" si="1"/>
        <v>53</v>
      </c>
      <c r="B55" s="31" t="s">
        <v>308</v>
      </c>
      <c r="C55" s="10" t="s">
        <v>637</v>
      </c>
      <c r="D55" s="29" t="s">
        <v>309</v>
      </c>
      <c r="E55" s="29" t="s">
        <v>9</v>
      </c>
      <c r="F55" s="27" t="s">
        <v>310</v>
      </c>
      <c r="G55" s="30" t="s">
        <v>311</v>
      </c>
      <c r="H55" s="8">
        <v>9224162</v>
      </c>
      <c r="I55" s="33">
        <v>45292</v>
      </c>
      <c r="J55" s="34">
        <v>1384</v>
      </c>
      <c r="K55" s="35" t="s">
        <v>691</v>
      </c>
    </row>
    <row r="56" spans="1:11" x14ac:dyDescent="0.35">
      <c r="A56" s="6">
        <f t="shared" si="1"/>
        <v>54</v>
      </c>
      <c r="B56" s="31" t="s">
        <v>312</v>
      </c>
      <c r="C56" s="10" t="s">
        <v>637</v>
      </c>
      <c r="D56" s="29" t="s">
        <v>313</v>
      </c>
      <c r="E56" s="29" t="s">
        <v>9</v>
      </c>
      <c r="F56" s="27" t="s">
        <v>314</v>
      </c>
      <c r="G56" s="30" t="s">
        <v>315</v>
      </c>
      <c r="H56" s="8">
        <v>6365598</v>
      </c>
      <c r="I56" s="33">
        <v>45292</v>
      </c>
      <c r="J56" s="34">
        <v>955</v>
      </c>
      <c r="K56" s="35" t="s">
        <v>692</v>
      </c>
    </row>
    <row r="57" spans="1:11" x14ac:dyDescent="0.35">
      <c r="A57" s="6">
        <f t="shared" si="1"/>
        <v>55</v>
      </c>
      <c r="B57" s="31" t="s">
        <v>316</v>
      </c>
      <c r="C57" s="10" t="s">
        <v>637</v>
      </c>
      <c r="D57" s="29" t="s">
        <v>317</v>
      </c>
      <c r="E57" s="29" t="s">
        <v>8</v>
      </c>
      <c r="F57" s="27" t="s">
        <v>318</v>
      </c>
      <c r="G57" s="30" t="s">
        <v>319</v>
      </c>
      <c r="H57" s="8">
        <v>8647138</v>
      </c>
      <c r="I57" s="33">
        <v>45292</v>
      </c>
      <c r="J57" s="34">
        <v>1297</v>
      </c>
      <c r="K57" s="35" t="s">
        <v>693</v>
      </c>
    </row>
    <row r="58" spans="1:11" x14ac:dyDescent="0.35">
      <c r="A58" s="6">
        <f t="shared" si="1"/>
        <v>56</v>
      </c>
      <c r="B58" s="31" t="s">
        <v>320</v>
      </c>
      <c r="C58" s="10" t="s">
        <v>637</v>
      </c>
      <c r="D58" s="29" t="s">
        <v>321</v>
      </c>
      <c r="E58" s="29" t="s">
        <v>11</v>
      </c>
      <c r="F58" s="27" t="s">
        <v>322</v>
      </c>
      <c r="G58" s="30" t="s">
        <v>323</v>
      </c>
      <c r="H58" s="8">
        <v>5073298</v>
      </c>
      <c r="I58" s="33">
        <v>45292</v>
      </c>
      <c r="J58" s="34">
        <v>761</v>
      </c>
      <c r="K58" s="35" t="s">
        <v>694</v>
      </c>
    </row>
    <row r="59" spans="1:11" x14ac:dyDescent="0.35">
      <c r="A59" s="6">
        <f t="shared" si="1"/>
        <v>57</v>
      </c>
      <c r="B59" s="27" t="s">
        <v>324</v>
      </c>
      <c r="C59" s="10" t="s">
        <v>637</v>
      </c>
      <c r="D59" s="28" t="s">
        <v>325</v>
      </c>
      <c r="E59" s="29" t="s">
        <v>9</v>
      </c>
      <c r="F59" s="27" t="s">
        <v>326</v>
      </c>
      <c r="G59" s="30" t="s">
        <v>327</v>
      </c>
      <c r="H59" s="8">
        <v>4068662</v>
      </c>
      <c r="I59" s="33">
        <v>45292</v>
      </c>
      <c r="J59" s="34">
        <v>610</v>
      </c>
      <c r="K59" s="35" t="s">
        <v>695</v>
      </c>
    </row>
    <row r="60" spans="1:11" x14ac:dyDescent="0.35">
      <c r="A60" s="6">
        <f t="shared" si="1"/>
        <v>58</v>
      </c>
      <c r="B60" s="27" t="s">
        <v>328</v>
      </c>
      <c r="C60" s="10" t="s">
        <v>637</v>
      </c>
      <c r="D60" s="28" t="s">
        <v>329</v>
      </c>
      <c r="E60" s="29" t="s">
        <v>9</v>
      </c>
      <c r="F60" s="27" t="s">
        <v>330</v>
      </c>
      <c r="G60" s="30" t="s">
        <v>331</v>
      </c>
      <c r="H60" s="8">
        <v>2079404</v>
      </c>
      <c r="I60" s="33">
        <v>45292</v>
      </c>
      <c r="J60" s="34">
        <v>312</v>
      </c>
      <c r="K60" s="35" t="s">
        <v>696</v>
      </c>
    </row>
    <row r="61" spans="1:11" x14ac:dyDescent="0.35">
      <c r="A61" s="6">
        <f t="shared" si="1"/>
        <v>59</v>
      </c>
      <c r="B61" s="27" t="s">
        <v>332</v>
      </c>
      <c r="C61" s="10" t="s">
        <v>637</v>
      </c>
      <c r="D61" s="28" t="s">
        <v>333</v>
      </c>
      <c r="E61" s="29" t="s">
        <v>9</v>
      </c>
      <c r="F61" s="27" t="s">
        <v>334</v>
      </c>
      <c r="G61" s="30" t="s">
        <v>335</v>
      </c>
      <c r="H61" s="8">
        <v>4370740</v>
      </c>
      <c r="I61" s="33">
        <v>45292</v>
      </c>
      <c r="J61" s="34">
        <v>656</v>
      </c>
      <c r="K61" s="35" t="s">
        <v>697</v>
      </c>
    </row>
    <row r="62" spans="1:11" x14ac:dyDescent="0.35">
      <c r="A62" s="6">
        <f t="shared" si="1"/>
        <v>60</v>
      </c>
      <c r="B62" s="27" t="s">
        <v>336</v>
      </c>
      <c r="C62" s="10" t="s">
        <v>637</v>
      </c>
      <c r="D62" s="28" t="s">
        <v>337</v>
      </c>
      <c r="E62" s="29" t="s">
        <v>9</v>
      </c>
      <c r="F62" s="27" t="s">
        <v>338</v>
      </c>
      <c r="G62" s="30" t="s">
        <v>339</v>
      </c>
      <c r="H62" s="8">
        <v>9480842</v>
      </c>
      <c r="I62" s="33">
        <v>45292</v>
      </c>
      <c r="J62" s="34">
        <v>1422</v>
      </c>
      <c r="K62" s="35" t="s">
        <v>698</v>
      </c>
    </row>
    <row r="63" spans="1:11" x14ac:dyDescent="0.35">
      <c r="A63" s="6">
        <f t="shared" si="1"/>
        <v>61</v>
      </c>
      <c r="B63" s="27" t="s">
        <v>340</v>
      </c>
      <c r="C63" s="10" t="s">
        <v>637</v>
      </c>
      <c r="D63" s="28" t="s">
        <v>341</v>
      </c>
      <c r="E63" s="29" t="s">
        <v>342</v>
      </c>
      <c r="F63" s="27" t="s">
        <v>343</v>
      </c>
      <c r="G63" s="30" t="s">
        <v>344</v>
      </c>
      <c r="H63" s="8">
        <v>2273341</v>
      </c>
      <c r="I63" s="33">
        <v>45292</v>
      </c>
      <c r="J63" s="34">
        <v>341</v>
      </c>
      <c r="K63" s="35" t="s">
        <v>699</v>
      </c>
    </row>
    <row r="64" spans="1:11" x14ac:dyDescent="0.35">
      <c r="A64" s="6">
        <f t="shared" si="1"/>
        <v>62</v>
      </c>
      <c r="B64" s="27" t="s">
        <v>345</v>
      </c>
      <c r="C64" s="10" t="s">
        <v>637</v>
      </c>
      <c r="D64" s="28" t="s">
        <v>346</v>
      </c>
      <c r="E64" s="29" t="s">
        <v>9</v>
      </c>
      <c r="F64" s="27" t="s">
        <v>347</v>
      </c>
      <c r="G64" s="30" t="s">
        <v>348</v>
      </c>
      <c r="H64" s="8">
        <v>42218145</v>
      </c>
      <c r="I64" s="33">
        <v>45292</v>
      </c>
      <c r="J64" s="34">
        <v>6333</v>
      </c>
      <c r="K64" s="35" t="s">
        <v>700</v>
      </c>
    </row>
    <row r="65" spans="1:11" x14ac:dyDescent="0.35">
      <c r="A65" s="6">
        <f t="shared" si="1"/>
        <v>63</v>
      </c>
      <c r="B65" s="27" t="s">
        <v>349</v>
      </c>
      <c r="C65" s="10" t="s">
        <v>637</v>
      </c>
      <c r="D65" s="28" t="s">
        <v>350</v>
      </c>
      <c r="E65" s="29" t="s">
        <v>9</v>
      </c>
      <c r="F65" s="27" t="s">
        <v>351</v>
      </c>
      <c r="G65" s="30" t="s">
        <v>352</v>
      </c>
      <c r="H65" s="8">
        <v>91454266</v>
      </c>
      <c r="I65" s="33">
        <v>45292</v>
      </c>
      <c r="J65" s="34">
        <v>13718</v>
      </c>
      <c r="K65" s="35" t="s">
        <v>701</v>
      </c>
    </row>
    <row r="66" spans="1:11" x14ac:dyDescent="0.35">
      <c r="A66" s="6">
        <f t="shared" si="1"/>
        <v>64</v>
      </c>
      <c r="B66" s="27" t="s">
        <v>353</v>
      </c>
      <c r="C66" s="10" t="s">
        <v>637</v>
      </c>
      <c r="D66" s="28" t="s">
        <v>354</v>
      </c>
      <c r="E66" s="29" t="s">
        <v>12</v>
      </c>
      <c r="F66" s="27" t="s">
        <v>355</v>
      </c>
      <c r="G66" s="30" t="s">
        <v>356</v>
      </c>
      <c r="H66" s="8">
        <v>5192012</v>
      </c>
      <c r="I66" s="33">
        <v>45292</v>
      </c>
      <c r="J66" s="34">
        <v>779</v>
      </c>
      <c r="K66" s="35" t="s">
        <v>702</v>
      </c>
    </row>
    <row r="67" spans="1:11" x14ac:dyDescent="0.35">
      <c r="A67" s="6">
        <f t="shared" si="1"/>
        <v>65</v>
      </c>
      <c r="B67" s="27" t="s">
        <v>357</v>
      </c>
      <c r="C67" s="10" t="s">
        <v>637</v>
      </c>
      <c r="D67" s="28" t="s">
        <v>358</v>
      </c>
      <c r="E67" s="29" t="s">
        <v>8</v>
      </c>
      <c r="F67" s="27" t="s">
        <v>359</v>
      </c>
      <c r="G67" s="30" t="s">
        <v>360</v>
      </c>
      <c r="H67" s="8">
        <v>5177045</v>
      </c>
      <c r="I67" s="33">
        <v>45292</v>
      </c>
      <c r="J67" s="34">
        <v>777</v>
      </c>
      <c r="K67" s="35" t="s">
        <v>703</v>
      </c>
    </row>
    <row r="68" spans="1:11" x14ac:dyDescent="0.35">
      <c r="A68" s="6">
        <f t="shared" ref="A68:A99" si="2">A67+1</f>
        <v>66</v>
      </c>
      <c r="B68" s="27" t="s">
        <v>361</v>
      </c>
      <c r="C68" s="10" t="s">
        <v>637</v>
      </c>
      <c r="D68" s="28" t="s">
        <v>362</v>
      </c>
      <c r="E68" s="29" t="s">
        <v>8</v>
      </c>
      <c r="F68" s="27" t="s">
        <v>363</v>
      </c>
      <c r="G68" s="30" t="s">
        <v>364</v>
      </c>
      <c r="H68" s="8">
        <v>3200367</v>
      </c>
      <c r="I68" s="33">
        <v>45292</v>
      </c>
      <c r="J68" s="34">
        <v>480</v>
      </c>
      <c r="K68" s="35" t="s">
        <v>704</v>
      </c>
    </row>
    <row r="69" spans="1:11" x14ac:dyDescent="0.35">
      <c r="A69" s="6">
        <f t="shared" si="2"/>
        <v>67</v>
      </c>
      <c r="B69" s="27" t="s">
        <v>365</v>
      </c>
      <c r="C69" s="10" t="s">
        <v>637</v>
      </c>
      <c r="D69" s="28" t="s">
        <v>366</v>
      </c>
      <c r="E69" s="29" t="s">
        <v>9</v>
      </c>
      <c r="F69" s="27" t="s">
        <v>367</v>
      </c>
      <c r="G69" s="30" t="s">
        <v>368</v>
      </c>
      <c r="H69" s="8">
        <v>5195876</v>
      </c>
      <c r="I69" s="33">
        <v>45292</v>
      </c>
      <c r="J69" s="34">
        <v>779</v>
      </c>
      <c r="K69" s="35" t="s">
        <v>705</v>
      </c>
    </row>
    <row r="70" spans="1:11" x14ac:dyDescent="0.35">
      <c r="A70" s="6">
        <f t="shared" si="2"/>
        <v>68</v>
      </c>
      <c r="B70" s="27" t="s">
        <v>369</v>
      </c>
      <c r="C70" s="10" t="s">
        <v>637</v>
      </c>
      <c r="D70" s="28" t="s">
        <v>370</v>
      </c>
      <c r="E70" s="29" t="s">
        <v>11</v>
      </c>
      <c r="F70" s="27" t="s">
        <v>371</v>
      </c>
      <c r="G70" s="30" t="s">
        <v>372</v>
      </c>
      <c r="H70" s="8">
        <v>5271178</v>
      </c>
      <c r="I70" s="33">
        <v>45292</v>
      </c>
      <c r="J70" s="34">
        <v>791</v>
      </c>
      <c r="K70" s="35" t="s">
        <v>706</v>
      </c>
    </row>
    <row r="71" spans="1:11" x14ac:dyDescent="0.35">
      <c r="A71" s="6">
        <f t="shared" si="2"/>
        <v>69</v>
      </c>
      <c r="B71" s="27" t="s">
        <v>373</v>
      </c>
      <c r="C71" s="10" t="s">
        <v>637</v>
      </c>
      <c r="D71" s="28" t="s">
        <v>374</v>
      </c>
      <c r="E71" s="29" t="s">
        <v>10</v>
      </c>
      <c r="F71" s="27" t="s">
        <v>375</v>
      </c>
      <c r="G71" s="30" t="s">
        <v>376</v>
      </c>
      <c r="H71" s="8">
        <v>9549799</v>
      </c>
      <c r="I71" s="33">
        <v>45292</v>
      </c>
      <c r="J71" s="34">
        <v>1432</v>
      </c>
      <c r="K71" s="35" t="s">
        <v>707</v>
      </c>
    </row>
    <row r="72" spans="1:11" x14ac:dyDescent="0.35">
      <c r="A72" s="6">
        <f t="shared" si="2"/>
        <v>70</v>
      </c>
      <c r="B72" s="27" t="s">
        <v>377</v>
      </c>
      <c r="C72" s="10" t="s">
        <v>637</v>
      </c>
      <c r="D72" s="28" t="s">
        <v>378</v>
      </c>
      <c r="E72" s="29" t="s">
        <v>9</v>
      </c>
      <c r="F72" s="27" t="s">
        <v>379</v>
      </c>
      <c r="G72" s="30" t="s">
        <v>380</v>
      </c>
      <c r="H72" s="8">
        <v>5111344</v>
      </c>
      <c r="I72" s="33">
        <v>45292</v>
      </c>
      <c r="J72" s="34">
        <v>767</v>
      </c>
      <c r="K72" s="35" t="s">
        <v>708</v>
      </c>
    </row>
    <row r="73" spans="1:11" x14ac:dyDescent="0.35">
      <c r="A73" s="6">
        <f t="shared" si="2"/>
        <v>71</v>
      </c>
      <c r="B73" s="27" t="s">
        <v>381</v>
      </c>
      <c r="C73" s="10" t="s">
        <v>637</v>
      </c>
      <c r="D73" s="28" t="s">
        <v>382</v>
      </c>
      <c r="E73" s="29" t="s">
        <v>8</v>
      </c>
      <c r="F73" s="27" t="s">
        <v>383</v>
      </c>
      <c r="G73" s="30" t="s">
        <v>384</v>
      </c>
      <c r="H73" s="8">
        <v>4415499</v>
      </c>
      <c r="I73" s="33">
        <v>45292</v>
      </c>
      <c r="J73" s="34">
        <v>662</v>
      </c>
      <c r="K73" s="35" t="s">
        <v>709</v>
      </c>
    </row>
    <row r="74" spans="1:11" x14ac:dyDescent="0.35">
      <c r="A74" s="6">
        <f t="shared" si="2"/>
        <v>72</v>
      </c>
      <c r="B74" s="27" t="s">
        <v>385</v>
      </c>
      <c r="C74" s="10" t="s">
        <v>637</v>
      </c>
      <c r="D74" s="28" t="s">
        <v>386</v>
      </c>
      <c r="E74" s="29" t="s">
        <v>9</v>
      </c>
      <c r="F74" s="27" t="s">
        <v>387</v>
      </c>
      <c r="G74" s="30" t="s">
        <v>388</v>
      </c>
      <c r="H74" s="8">
        <v>3106280</v>
      </c>
      <c r="I74" s="33">
        <v>45292</v>
      </c>
      <c r="J74" s="34">
        <v>466</v>
      </c>
      <c r="K74" s="35" t="s">
        <v>710</v>
      </c>
    </row>
    <row r="75" spans="1:11" x14ac:dyDescent="0.35">
      <c r="A75" s="6">
        <f t="shared" si="2"/>
        <v>73</v>
      </c>
      <c r="B75" s="27" t="s">
        <v>389</v>
      </c>
      <c r="C75" s="10" t="s">
        <v>637</v>
      </c>
      <c r="D75" s="28" t="s">
        <v>390</v>
      </c>
      <c r="E75" s="29" t="s">
        <v>9</v>
      </c>
      <c r="F75" s="27" t="s">
        <v>391</v>
      </c>
      <c r="G75" s="30" t="s">
        <v>392</v>
      </c>
      <c r="H75" s="8">
        <v>5506500</v>
      </c>
      <c r="I75" s="33">
        <v>45292</v>
      </c>
      <c r="J75" s="34">
        <v>826</v>
      </c>
      <c r="K75" s="35" t="s">
        <v>711</v>
      </c>
    </row>
    <row r="76" spans="1:11" x14ac:dyDescent="0.35">
      <c r="A76" s="6">
        <f t="shared" si="2"/>
        <v>74</v>
      </c>
      <c r="B76" s="27" t="s">
        <v>393</v>
      </c>
      <c r="C76" s="10" t="s">
        <v>637</v>
      </c>
      <c r="D76" s="28" t="s">
        <v>394</v>
      </c>
      <c r="E76" s="29" t="s">
        <v>342</v>
      </c>
      <c r="F76" s="27" t="s">
        <v>395</v>
      </c>
      <c r="G76" s="30" t="s">
        <v>396</v>
      </c>
      <c r="H76" s="8">
        <v>5716308</v>
      </c>
      <c r="I76" s="33">
        <v>45292</v>
      </c>
      <c r="J76" s="34">
        <v>857</v>
      </c>
      <c r="K76" s="35" t="s">
        <v>712</v>
      </c>
    </row>
    <row r="77" spans="1:11" x14ac:dyDescent="0.35">
      <c r="A77" s="6">
        <f t="shared" si="2"/>
        <v>75</v>
      </c>
      <c r="B77" s="27" t="s">
        <v>397</v>
      </c>
      <c r="C77" s="10" t="s">
        <v>637</v>
      </c>
      <c r="D77" s="28" t="s">
        <v>398</v>
      </c>
      <c r="E77" s="29" t="s">
        <v>11</v>
      </c>
      <c r="F77" s="27" t="s">
        <v>399</v>
      </c>
      <c r="G77" s="30" t="s">
        <v>400</v>
      </c>
      <c r="H77" s="8">
        <v>2707008</v>
      </c>
      <c r="I77" s="33">
        <v>45292</v>
      </c>
      <c r="J77" s="34">
        <v>406</v>
      </c>
      <c r="K77" s="35" t="s">
        <v>713</v>
      </c>
    </row>
    <row r="78" spans="1:11" x14ac:dyDescent="0.35">
      <c r="A78" s="6">
        <f t="shared" si="2"/>
        <v>76</v>
      </c>
      <c r="B78" s="27" t="s">
        <v>401</v>
      </c>
      <c r="C78" s="10" t="s">
        <v>637</v>
      </c>
      <c r="D78" s="28" t="s">
        <v>402</v>
      </c>
      <c r="E78" s="29" t="s">
        <v>9</v>
      </c>
      <c r="F78" s="27" t="s">
        <v>403</v>
      </c>
      <c r="G78" s="30" t="s">
        <v>404</v>
      </c>
      <c r="H78" s="8">
        <v>32670859</v>
      </c>
      <c r="I78" s="33">
        <v>45292</v>
      </c>
      <c r="J78" s="34">
        <v>4901</v>
      </c>
      <c r="K78" s="35" t="s">
        <v>714</v>
      </c>
    </row>
    <row r="79" spans="1:11" x14ac:dyDescent="0.35">
      <c r="A79" s="6">
        <f t="shared" si="2"/>
        <v>77</v>
      </c>
      <c r="B79" s="27" t="s">
        <v>405</v>
      </c>
      <c r="C79" s="10" t="s">
        <v>637</v>
      </c>
      <c r="D79" s="28" t="s">
        <v>406</v>
      </c>
      <c r="E79" s="29" t="s">
        <v>9</v>
      </c>
      <c r="F79" s="27" t="s">
        <v>407</v>
      </c>
      <c r="G79" s="30" t="s">
        <v>408</v>
      </c>
      <c r="H79" s="8">
        <v>2524653</v>
      </c>
      <c r="I79" s="33">
        <v>45292</v>
      </c>
      <c r="J79" s="34">
        <v>379</v>
      </c>
      <c r="K79" s="35" t="s">
        <v>715</v>
      </c>
    </row>
    <row r="80" spans="1:11" x14ac:dyDescent="0.35">
      <c r="A80" s="6">
        <f t="shared" si="2"/>
        <v>78</v>
      </c>
      <c r="B80" s="27" t="s">
        <v>413</v>
      </c>
      <c r="C80" s="10" t="s">
        <v>637</v>
      </c>
      <c r="D80" s="28" t="s">
        <v>414</v>
      </c>
      <c r="E80" s="29" t="s">
        <v>8</v>
      </c>
      <c r="F80" s="27" t="s">
        <v>415</v>
      </c>
      <c r="G80" s="30" t="s">
        <v>416</v>
      </c>
      <c r="H80" s="8">
        <v>9428575</v>
      </c>
      <c r="I80" s="33">
        <v>45292</v>
      </c>
      <c r="J80" s="34">
        <v>1414</v>
      </c>
      <c r="K80" s="35" t="s">
        <v>716</v>
      </c>
    </row>
    <row r="81" spans="1:11" x14ac:dyDescent="0.35">
      <c r="A81" s="6">
        <f t="shared" si="2"/>
        <v>79</v>
      </c>
      <c r="B81" s="27" t="s">
        <v>417</v>
      </c>
      <c r="C81" s="10" t="s">
        <v>637</v>
      </c>
      <c r="D81" s="28" t="s">
        <v>418</v>
      </c>
      <c r="E81" s="29" t="s">
        <v>8</v>
      </c>
      <c r="F81" s="27" t="s">
        <v>419</v>
      </c>
      <c r="G81" s="30" t="s">
        <v>420</v>
      </c>
      <c r="H81" s="8">
        <v>5647697</v>
      </c>
      <c r="I81" s="33">
        <v>45292</v>
      </c>
      <c r="J81" s="34">
        <v>847</v>
      </c>
      <c r="K81" s="35" t="s">
        <v>717</v>
      </c>
    </row>
    <row r="82" spans="1:11" x14ac:dyDescent="0.35">
      <c r="A82" s="6">
        <f t="shared" si="2"/>
        <v>80</v>
      </c>
      <c r="B82" s="27" t="s">
        <v>425</v>
      </c>
      <c r="C82" s="10" t="s">
        <v>637</v>
      </c>
      <c r="D82" s="28" t="s">
        <v>426</v>
      </c>
      <c r="E82" s="29" t="s">
        <v>342</v>
      </c>
      <c r="F82" s="27" t="s">
        <v>427</v>
      </c>
      <c r="G82" s="30" t="s">
        <v>428</v>
      </c>
      <c r="H82" s="8">
        <v>4521282</v>
      </c>
      <c r="I82" s="33">
        <v>45292</v>
      </c>
      <c r="J82" s="34">
        <v>678</v>
      </c>
      <c r="K82" s="35" t="s">
        <v>718</v>
      </c>
    </row>
    <row r="83" spans="1:11" x14ac:dyDescent="0.35">
      <c r="A83" s="6">
        <f t="shared" si="2"/>
        <v>81</v>
      </c>
      <c r="B83" s="27" t="s">
        <v>429</v>
      </c>
      <c r="C83" s="10" t="s">
        <v>637</v>
      </c>
      <c r="D83" s="28" t="s">
        <v>430</v>
      </c>
      <c r="E83" s="29" t="s">
        <v>12</v>
      </c>
      <c r="F83" s="27" t="s">
        <v>431</v>
      </c>
      <c r="G83" s="30" t="s">
        <v>432</v>
      </c>
      <c r="H83" s="8">
        <v>82379048</v>
      </c>
      <c r="I83" s="33">
        <v>45292</v>
      </c>
      <c r="J83" s="34">
        <v>12357</v>
      </c>
      <c r="K83" s="35" t="s">
        <v>719</v>
      </c>
    </row>
    <row r="84" spans="1:11" x14ac:dyDescent="0.35">
      <c r="A84" s="6">
        <f t="shared" si="2"/>
        <v>82</v>
      </c>
      <c r="B84" s="27" t="s">
        <v>433</v>
      </c>
      <c r="C84" s="10" t="s">
        <v>637</v>
      </c>
      <c r="D84" s="28" t="s">
        <v>434</v>
      </c>
      <c r="E84" s="29" t="s">
        <v>11</v>
      </c>
      <c r="F84" s="27" t="s">
        <v>435</v>
      </c>
      <c r="G84" s="30" t="s">
        <v>436</v>
      </c>
      <c r="H84" s="8">
        <v>9547946</v>
      </c>
      <c r="I84" s="33">
        <v>45292</v>
      </c>
      <c r="J84" s="34">
        <v>1432</v>
      </c>
      <c r="K84" s="35" t="s">
        <v>720</v>
      </c>
    </row>
    <row r="85" spans="1:11" x14ac:dyDescent="0.35">
      <c r="A85" s="6">
        <f t="shared" si="2"/>
        <v>83</v>
      </c>
      <c r="B85" s="27" t="s">
        <v>437</v>
      </c>
      <c r="C85" s="10" t="s">
        <v>637</v>
      </c>
      <c r="D85" s="28" t="s">
        <v>438</v>
      </c>
      <c r="E85" s="29" t="s">
        <v>9</v>
      </c>
      <c r="F85" s="27" t="s">
        <v>439</v>
      </c>
      <c r="G85" s="30" t="s">
        <v>440</v>
      </c>
      <c r="H85" s="8">
        <v>9863669</v>
      </c>
      <c r="I85" s="33">
        <v>45292</v>
      </c>
      <c r="J85" s="34">
        <v>1480</v>
      </c>
      <c r="K85" s="35" t="s">
        <v>721</v>
      </c>
    </row>
    <row r="86" spans="1:11" x14ac:dyDescent="0.35">
      <c r="A86" s="6">
        <f t="shared" si="2"/>
        <v>84</v>
      </c>
      <c r="B86" s="27" t="s">
        <v>441</v>
      </c>
      <c r="C86" s="10" t="s">
        <v>637</v>
      </c>
      <c r="D86" s="28" t="s">
        <v>442</v>
      </c>
      <c r="E86" s="29" t="s">
        <v>12</v>
      </c>
      <c r="F86" s="27" t="s">
        <v>443</v>
      </c>
      <c r="G86" s="30" t="s">
        <v>444</v>
      </c>
      <c r="H86" s="8">
        <v>9503761</v>
      </c>
      <c r="I86" s="33">
        <v>45292</v>
      </c>
      <c r="J86" s="34">
        <v>1426</v>
      </c>
      <c r="K86" s="35" t="s">
        <v>722</v>
      </c>
    </row>
    <row r="87" spans="1:11" x14ac:dyDescent="0.35">
      <c r="A87" s="6">
        <f t="shared" si="2"/>
        <v>85</v>
      </c>
      <c r="B87" s="27" t="s">
        <v>445</v>
      </c>
      <c r="C87" s="10" t="s">
        <v>637</v>
      </c>
      <c r="D87" s="28" t="s">
        <v>446</v>
      </c>
      <c r="E87" s="29" t="s">
        <v>9</v>
      </c>
      <c r="F87" s="27" t="s">
        <v>447</v>
      </c>
      <c r="G87" s="30" t="s">
        <v>448</v>
      </c>
      <c r="H87" s="8">
        <v>2170916</v>
      </c>
      <c r="I87" s="33">
        <v>45292</v>
      </c>
      <c r="J87" s="34">
        <v>326</v>
      </c>
      <c r="K87" s="35" t="s">
        <v>723</v>
      </c>
    </row>
    <row r="88" spans="1:11" x14ac:dyDescent="0.35">
      <c r="A88" s="6">
        <f t="shared" si="2"/>
        <v>86</v>
      </c>
      <c r="B88" s="27" t="s">
        <v>449</v>
      </c>
      <c r="C88" s="10" t="s">
        <v>637</v>
      </c>
      <c r="D88" s="28" t="s">
        <v>450</v>
      </c>
      <c r="E88" s="29" t="s">
        <v>8</v>
      </c>
      <c r="F88" s="27" t="s">
        <v>451</v>
      </c>
      <c r="G88" s="30" t="s">
        <v>452</v>
      </c>
      <c r="H88" s="8">
        <v>9453914</v>
      </c>
      <c r="I88" s="33">
        <v>45292</v>
      </c>
      <c r="J88" s="34">
        <v>1418</v>
      </c>
      <c r="K88" s="35" t="s">
        <v>724</v>
      </c>
    </row>
    <row r="89" spans="1:11" x14ac:dyDescent="0.35">
      <c r="A89" s="6">
        <f t="shared" si="2"/>
        <v>87</v>
      </c>
      <c r="B89" s="27" t="s">
        <v>457</v>
      </c>
      <c r="C89" s="10" t="s">
        <v>637</v>
      </c>
      <c r="D89" s="28" t="s">
        <v>458</v>
      </c>
      <c r="E89" s="29" t="s">
        <v>10</v>
      </c>
      <c r="F89" s="27" t="s">
        <v>459</v>
      </c>
      <c r="G89" s="30" t="s">
        <v>460</v>
      </c>
      <c r="H89" s="8">
        <v>34433342</v>
      </c>
      <c r="I89" s="33">
        <v>45292</v>
      </c>
      <c r="J89" s="34">
        <v>5165</v>
      </c>
      <c r="K89" s="35" t="s">
        <v>725</v>
      </c>
    </row>
    <row r="90" spans="1:11" x14ac:dyDescent="0.35">
      <c r="A90" s="6">
        <f t="shared" si="2"/>
        <v>88</v>
      </c>
      <c r="B90" s="27" t="s">
        <v>461</v>
      </c>
      <c r="C90" s="10" t="s">
        <v>637</v>
      </c>
      <c r="D90" s="28" t="s">
        <v>462</v>
      </c>
      <c r="E90" s="29" t="s">
        <v>10</v>
      </c>
      <c r="F90" s="27" t="s">
        <v>463</v>
      </c>
      <c r="G90" s="30" t="s">
        <v>464</v>
      </c>
      <c r="H90" s="8">
        <v>35139622</v>
      </c>
      <c r="I90" s="33">
        <v>45292</v>
      </c>
      <c r="J90" s="34">
        <v>5271</v>
      </c>
      <c r="K90" s="35" t="s">
        <v>726</v>
      </c>
    </row>
    <row r="91" spans="1:11" x14ac:dyDescent="0.35">
      <c r="A91" s="6">
        <f t="shared" si="2"/>
        <v>89</v>
      </c>
      <c r="B91" s="27" t="s">
        <v>465</v>
      </c>
      <c r="C91" s="10" t="s">
        <v>637</v>
      </c>
      <c r="D91" s="28" t="s">
        <v>466</v>
      </c>
      <c r="E91" s="29" t="s">
        <v>9</v>
      </c>
      <c r="F91" s="27" t="s">
        <v>467</v>
      </c>
      <c r="G91" s="30" t="s">
        <v>468</v>
      </c>
      <c r="H91" s="8">
        <v>8886021</v>
      </c>
      <c r="I91" s="33">
        <v>45292</v>
      </c>
      <c r="J91" s="34">
        <v>1333</v>
      </c>
      <c r="K91" s="35" t="s">
        <v>727</v>
      </c>
    </row>
    <row r="92" spans="1:11" x14ac:dyDescent="0.35">
      <c r="A92" s="6">
        <f t="shared" si="2"/>
        <v>90</v>
      </c>
      <c r="B92" s="27" t="s">
        <v>469</v>
      </c>
      <c r="C92" s="10" t="s">
        <v>637</v>
      </c>
      <c r="D92" s="28" t="s">
        <v>470</v>
      </c>
      <c r="E92" s="29" t="s">
        <v>9</v>
      </c>
      <c r="F92" s="27" t="s">
        <v>471</v>
      </c>
      <c r="G92" s="30" t="s">
        <v>472</v>
      </c>
      <c r="H92" s="8">
        <v>6568990</v>
      </c>
      <c r="I92" s="33">
        <v>45292</v>
      </c>
      <c r="J92" s="34">
        <v>985</v>
      </c>
      <c r="K92" s="35" t="s">
        <v>728</v>
      </c>
    </row>
    <row r="93" spans="1:11" x14ac:dyDescent="0.35">
      <c r="A93" s="6">
        <f t="shared" si="2"/>
        <v>91</v>
      </c>
      <c r="B93" s="27" t="s">
        <v>473</v>
      </c>
      <c r="C93" s="10" t="s">
        <v>637</v>
      </c>
      <c r="D93" s="28" t="s">
        <v>474</v>
      </c>
      <c r="E93" s="29" t="s">
        <v>10</v>
      </c>
      <c r="F93" s="27" t="s">
        <v>475</v>
      </c>
      <c r="G93" s="30" t="s">
        <v>476</v>
      </c>
      <c r="H93" s="8">
        <v>8106231</v>
      </c>
      <c r="I93" s="33">
        <v>45292</v>
      </c>
      <c r="J93" s="34">
        <v>1216</v>
      </c>
      <c r="K93" s="35" t="s">
        <v>729</v>
      </c>
    </row>
    <row r="94" spans="1:11" x14ac:dyDescent="0.35">
      <c r="A94" s="6">
        <f t="shared" si="2"/>
        <v>92</v>
      </c>
      <c r="B94" s="27" t="s">
        <v>477</v>
      </c>
      <c r="C94" s="10" t="s">
        <v>637</v>
      </c>
      <c r="D94" s="28" t="s">
        <v>478</v>
      </c>
      <c r="E94" s="29" t="s">
        <v>10</v>
      </c>
      <c r="F94" s="27" t="s">
        <v>479</v>
      </c>
      <c r="G94" s="30" t="s">
        <v>480</v>
      </c>
      <c r="H94" s="8">
        <v>8306713</v>
      </c>
      <c r="I94" s="33">
        <v>45292</v>
      </c>
      <c r="J94" s="34">
        <v>1246</v>
      </c>
      <c r="K94" s="35" t="s">
        <v>730</v>
      </c>
    </row>
    <row r="95" spans="1:11" x14ac:dyDescent="0.35">
      <c r="A95" s="6">
        <f t="shared" si="2"/>
        <v>93</v>
      </c>
      <c r="B95" s="27" t="s">
        <v>481</v>
      </c>
      <c r="C95" s="10" t="s">
        <v>637</v>
      </c>
      <c r="D95" s="28" t="s">
        <v>370</v>
      </c>
      <c r="E95" s="29" t="s">
        <v>9</v>
      </c>
      <c r="F95" s="27" t="s">
        <v>482</v>
      </c>
      <c r="G95" s="30" t="s">
        <v>483</v>
      </c>
      <c r="H95" s="8">
        <v>2051587</v>
      </c>
      <c r="I95" s="33">
        <v>45292</v>
      </c>
      <c r="J95" s="34">
        <v>308</v>
      </c>
      <c r="K95" s="35" t="s">
        <v>731</v>
      </c>
    </row>
    <row r="96" spans="1:11" x14ac:dyDescent="0.35">
      <c r="A96" s="6">
        <f t="shared" si="2"/>
        <v>94</v>
      </c>
      <c r="B96" s="27" t="s">
        <v>484</v>
      </c>
      <c r="C96" s="10" t="s">
        <v>637</v>
      </c>
      <c r="D96" s="28" t="s">
        <v>485</v>
      </c>
      <c r="E96" s="29" t="s">
        <v>11</v>
      </c>
      <c r="F96" s="27" t="s">
        <v>486</v>
      </c>
      <c r="G96" s="30" t="s">
        <v>487</v>
      </c>
      <c r="H96" s="8">
        <v>4153034</v>
      </c>
      <c r="I96" s="33">
        <v>45292</v>
      </c>
      <c r="J96" s="34">
        <v>623</v>
      </c>
      <c r="K96" s="35" t="s">
        <v>732</v>
      </c>
    </row>
    <row r="97" spans="1:11" x14ac:dyDescent="0.35">
      <c r="A97" s="6">
        <f t="shared" si="2"/>
        <v>95</v>
      </c>
      <c r="B97" s="27" t="s">
        <v>488</v>
      </c>
      <c r="C97" s="10" t="s">
        <v>637</v>
      </c>
      <c r="D97" s="28" t="s">
        <v>489</v>
      </c>
      <c r="E97" s="29" t="s">
        <v>9</v>
      </c>
      <c r="F97" s="27" t="s">
        <v>490</v>
      </c>
      <c r="G97" s="30" t="s">
        <v>491</v>
      </c>
      <c r="H97" s="8">
        <v>52518374</v>
      </c>
      <c r="I97" s="33">
        <v>45292</v>
      </c>
      <c r="J97" s="34">
        <v>7878</v>
      </c>
      <c r="K97" s="35" t="s">
        <v>733</v>
      </c>
    </row>
    <row r="98" spans="1:11" x14ac:dyDescent="0.35">
      <c r="A98" s="6">
        <f t="shared" si="2"/>
        <v>96</v>
      </c>
      <c r="B98" s="27" t="s">
        <v>493</v>
      </c>
      <c r="C98" s="10" t="s">
        <v>637</v>
      </c>
      <c r="D98" s="28" t="s">
        <v>528</v>
      </c>
      <c r="E98" s="29" t="s">
        <v>562</v>
      </c>
      <c r="F98" s="27" t="s">
        <v>563</v>
      </c>
      <c r="G98" s="30" t="s">
        <v>564</v>
      </c>
      <c r="H98" s="8">
        <v>796586</v>
      </c>
      <c r="I98" s="33">
        <v>45292</v>
      </c>
      <c r="J98" s="34">
        <v>200</v>
      </c>
      <c r="K98" s="35" t="s">
        <v>734</v>
      </c>
    </row>
    <row r="99" spans="1:11" x14ac:dyDescent="0.35">
      <c r="A99" s="6">
        <f t="shared" si="2"/>
        <v>97</v>
      </c>
      <c r="B99" s="27" t="s">
        <v>494</v>
      </c>
      <c r="C99" s="10" t="s">
        <v>637</v>
      </c>
      <c r="D99" s="28" t="s">
        <v>529</v>
      </c>
      <c r="E99" s="29" t="s">
        <v>565</v>
      </c>
      <c r="F99" s="27" t="s">
        <v>566</v>
      </c>
      <c r="G99" s="30" t="s">
        <v>567</v>
      </c>
      <c r="H99" s="8">
        <v>24529934</v>
      </c>
      <c r="I99" s="33">
        <v>45292</v>
      </c>
      <c r="J99" s="34">
        <v>3679</v>
      </c>
      <c r="K99" s="35" t="s">
        <v>735</v>
      </c>
    </row>
    <row r="100" spans="1:11" x14ac:dyDescent="0.35">
      <c r="A100" s="6">
        <f t="shared" ref="A100:A131" si="3">A99+1</f>
        <v>98</v>
      </c>
      <c r="B100" s="27" t="s">
        <v>495</v>
      </c>
      <c r="C100" s="10" t="s">
        <v>637</v>
      </c>
      <c r="D100" s="28" t="s">
        <v>530</v>
      </c>
      <c r="E100" s="29" t="s">
        <v>568</v>
      </c>
      <c r="F100" s="27" t="s">
        <v>569</v>
      </c>
      <c r="G100" s="30" t="s">
        <v>570</v>
      </c>
      <c r="H100" s="8">
        <v>7276302</v>
      </c>
      <c r="I100" s="33">
        <v>45292</v>
      </c>
      <c r="J100" s="34">
        <v>1091</v>
      </c>
      <c r="K100" s="35" t="s">
        <v>736</v>
      </c>
    </row>
    <row r="101" spans="1:11" x14ac:dyDescent="0.35">
      <c r="A101" s="6">
        <f t="shared" si="3"/>
        <v>99</v>
      </c>
      <c r="B101" s="27" t="s">
        <v>496</v>
      </c>
      <c r="C101" s="10" t="s">
        <v>637</v>
      </c>
      <c r="D101" s="28" t="s">
        <v>531</v>
      </c>
      <c r="E101" s="29" t="s">
        <v>571</v>
      </c>
      <c r="F101" s="27" t="s">
        <v>572</v>
      </c>
      <c r="G101" s="30" t="s">
        <v>573</v>
      </c>
      <c r="H101" s="8">
        <v>5994750</v>
      </c>
      <c r="I101" s="33">
        <v>45292</v>
      </c>
      <c r="J101" s="34">
        <v>899</v>
      </c>
      <c r="K101" s="35" t="s">
        <v>737</v>
      </c>
    </row>
    <row r="102" spans="1:11" x14ac:dyDescent="0.35">
      <c r="A102" s="6">
        <f t="shared" si="3"/>
        <v>100</v>
      </c>
      <c r="B102" s="27" t="s">
        <v>497</v>
      </c>
      <c r="C102" s="10" t="s">
        <v>637</v>
      </c>
      <c r="D102" s="28" t="s">
        <v>532</v>
      </c>
      <c r="E102" s="29" t="s">
        <v>571</v>
      </c>
      <c r="F102" s="27" t="s">
        <v>574</v>
      </c>
      <c r="G102" s="30" t="s">
        <v>575</v>
      </c>
      <c r="H102" s="8">
        <v>11967968</v>
      </c>
      <c r="I102" s="33">
        <v>45292</v>
      </c>
      <c r="J102" s="34">
        <v>1795</v>
      </c>
      <c r="K102" s="35" t="s">
        <v>738</v>
      </c>
    </row>
    <row r="103" spans="1:11" x14ac:dyDescent="0.35">
      <c r="A103" s="6">
        <f t="shared" si="3"/>
        <v>101</v>
      </c>
      <c r="B103" s="27" t="s">
        <v>498</v>
      </c>
      <c r="C103" s="10" t="s">
        <v>637</v>
      </c>
      <c r="D103" s="28" t="s">
        <v>533</v>
      </c>
      <c r="E103" s="29" t="s">
        <v>576</v>
      </c>
      <c r="F103" s="27" t="s">
        <v>577</v>
      </c>
      <c r="G103" s="30" t="s">
        <v>578</v>
      </c>
      <c r="H103" s="8">
        <v>14669688</v>
      </c>
      <c r="I103" s="33">
        <v>45292</v>
      </c>
      <c r="J103" s="34">
        <v>2200</v>
      </c>
      <c r="K103" s="35" t="s">
        <v>739</v>
      </c>
    </row>
    <row r="104" spans="1:11" x14ac:dyDescent="0.35">
      <c r="A104" s="6">
        <f t="shared" si="3"/>
        <v>102</v>
      </c>
      <c r="B104" s="27" t="s">
        <v>499</v>
      </c>
      <c r="C104" s="10" t="s">
        <v>637</v>
      </c>
      <c r="D104" s="28" t="s">
        <v>534</v>
      </c>
      <c r="E104" s="29" t="s">
        <v>571</v>
      </c>
      <c r="F104" s="27" t="s">
        <v>579</v>
      </c>
      <c r="G104" s="30" t="s">
        <v>580</v>
      </c>
      <c r="H104" s="8">
        <v>12612259</v>
      </c>
      <c r="I104" s="33">
        <v>45292</v>
      </c>
      <c r="J104" s="34">
        <v>1892</v>
      </c>
      <c r="K104" s="35" t="s">
        <v>740</v>
      </c>
    </row>
    <row r="105" spans="1:11" x14ac:dyDescent="0.35">
      <c r="A105" s="6">
        <f t="shared" si="3"/>
        <v>103</v>
      </c>
      <c r="B105" s="27" t="s">
        <v>500</v>
      </c>
      <c r="C105" s="10" t="s">
        <v>637</v>
      </c>
      <c r="D105" s="28" t="s">
        <v>535</v>
      </c>
      <c r="E105" s="29" t="s">
        <v>571</v>
      </c>
      <c r="F105" s="27" t="s">
        <v>581</v>
      </c>
      <c r="G105" s="30" t="s">
        <v>582</v>
      </c>
      <c r="H105" s="8">
        <v>4656830</v>
      </c>
      <c r="I105" s="33">
        <v>45292</v>
      </c>
      <c r="J105" s="34">
        <v>699</v>
      </c>
      <c r="K105" s="35" t="s">
        <v>741</v>
      </c>
    </row>
    <row r="106" spans="1:11" x14ac:dyDescent="0.35">
      <c r="A106" s="6">
        <f t="shared" si="3"/>
        <v>104</v>
      </c>
      <c r="B106" s="27" t="s">
        <v>501</v>
      </c>
      <c r="C106" s="10" t="s">
        <v>637</v>
      </c>
      <c r="D106" s="28" t="s">
        <v>536</v>
      </c>
      <c r="E106" s="29" t="s">
        <v>583</v>
      </c>
      <c r="F106" s="27" t="s">
        <v>584</v>
      </c>
      <c r="G106" s="30" t="s">
        <v>585</v>
      </c>
      <c r="H106" s="8">
        <v>25360959</v>
      </c>
      <c r="I106" s="33">
        <v>45292</v>
      </c>
      <c r="J106" s="34">
        <v>3804</v>
      </c>
      <c r="K106" s="35" t="s">
        <v>742</v>
      </c>
    </row>
    <row r="107" spans="1:11" x14ac:dyDescent="0.35">
      <c r="A107" s="6">
        <f t="shared" si="3"/>
        <v>105</v>
      </c>
      <c r="B107" s="27" t="s">
        <v>502</v>
      </c>
      <c r="C107" s="10" t="s">
        <v>637</v>
      </c>
      <c r="D107" s="28" t="s">
        <v>537</v>
      </c>
      <c r="E107" s="29" t="s">
        <v>583</v>
      </c>
      <c r="F107" s="27" t="s">
        <v>586</v>
      </c>
      <c r="G107" s="30" t="s">
        <v>587</v>
      </c>
      <c r="H107" s="8">
        <v>48828881</v>
      </c>
      <c r="I107" s="33">
        <v>45292</v>
      </c>
      <c r="J107" s="34">
        <v>7324</v>
      </c>
      <c r="K107" s="35" t="s">
        <v>743</v>
      </c>
    </row>
    <row r="108" spans="1:11" x14ac:dyDescent="0.35">
      <c r="A108" s="6">
        <f t="shared" si="3"/>
        <v>106</v>
      </c>
      <c r="B108" s="27" t="s">
        <v>503</v>
      </c>
      <c r="C108" s="10" t="s">
        <v>637</v>
      </c>
      <c r="D108" s="28" t="s">
        <v>538</v>
      </c>
      <c r="E108" s="29" t="s">
        <v>583</v>
      </c>
      <c r="F108" s="27" t="s">
        <v>588</v>
      </c>
      <c r="G108" s="30" t="s">
        <v>589</v>
      </c>
      <c r="H108" s="8">
        <v>4447179</v>
      </c>
      <c r="I108" s="33">
        <v>45292</v>
      </c>
      <c r="J108" s="34">
        <v>667</v>
      </c>
      <c r="K108" s="35" t="s">
        <v>744</v>
      </c>
    </row>
    <row r="109" spans="1:11" x14ac:dyDescent="0.35">
      <c r="A109" s="6">
        <f t="shared" si="3"/>
        <v>107</v>
      </c>
      <c r="B109" s="27" t="s">
        <v>504</v>
      </c>
      <c r="C109" s="10" t="s">
        <v>637</v>
      </c>
      <c r="D109" s="28" t="s">
        <v>539</v>
      </c>
      <c r="E109" s="29" t="s">
        <v>565</v>
      </c>
      <c r="F109" s="27" t="s">
        <v>590</v>
      </c>
      <c r="G109" s="30" t="s">
        <v>591</v>
      </c>
      <c r="H109" s="8">
        <v>7813795</v>
      </c>
      <c r="I109" s="33">
        <v>45292</v>
      </c>
      <c r="J109" s="34">
        <v>1172</v>
      </c>
      <c r="K109" s="35" t="s">
        <v>745</v>
      </c>
    </row>
    <row r="110" spans="1:11" x14ac:dyDescent="0.35">
      <c r="A110" s="6">
        <f t="shared" si="3"/>
        <v>108</v>
      </c>
      <c r="B110" s="27" t="s">
        <v>505</v>
      </c>
      <c r="C110" s="10" t="s">
        <v>637</v>
      </c>
      <c r="D110" s="28" t="s">
        <v>540</v>
      </c>
      <c r="E110" s="29" t="s">
        <v>583</v>
      </c>
      <c r="F110" s="27" t="s">
        <v>592</v>
      </c>
      <c r="G110" s="30" t="s">
        <v>593</v>
      </c>
      <c r="H110" s="8">
        <v>5202047</v>
      </c>
      <c r="I110" s="33">
        <v>45292</v>
      </c>
      <c r="J110" s="34">
        <v>780</v>
      </c>
      <c r="K110" s="35" t="s">
        <v>746</v>
      </c>
    </row>
    <row r="111" spans="1:11" x14ac:dyDescent="0.35">
      <c r="A111" s="6">
        <f t="shared" si="3"/>
        <v>109</v>
      </c>
      <c r="B111" s="27" t="s">
        <v>506</v>
      </c>
      <c r="C111" s="10" t="s">
        <v>637</v>
      </c>
      <c r="D111" s="28" t="s">
        <v>541</v>
      </c>
      <c r="E111" s="29" t="s">
        <v>568</v>
      </c>
      <c r="F111" s="27" t="s">
        <v>594</v>
      </c>
      <c r="G111" s="30" t="s">
        <v>595</v>
      </c>
      <c r="H111" s="8">
        <v>20913937</v>
      </c>
      <c r="I111" s="33">
        <v>45292</v>
      </c>
      <c r="J111" s="34">
        <v>3137</v>
      </c>
      <c r="K111" s="35" t="s">
        <v>747</v>
      </c>
    </row>
    <row r="112" spans="1:11" x14ac:dyDescent="0.35">
      <c r="A112" s="6">
        <f t="shared" si="3"/>
        <v>110</v>
      </c>
      <c r="B112" s="27" t="s">
        <v>507</v>
      </c>
      <c r="C112" s="10" t="s">
        <v>637</v>
      </c>
      <c r="D112" s="28" t="s">
        <v>542</v>
      </c>
      <c r="E112" s="29" t="s">
        <v>568</v>
      </c>
      <c r="F112" s="27" t="s">
        <v>596</v>
      </c>
      <c r="G112" s="30" t="s">
        <v>597</v>
      </c>
      <c r="H112" s="8">
        <v>80331227</v>
      </c>
      <c r="I112" s="33">
        <v>45292</v>
      </c>
      <c r="J112" s="34">
        <v>12050</v>
      </c>
      <c r="K112" s="35" t="s">
        <v>748</v>
      </c>
    </row>
    <row r="113" spans="1:11" x14ac:dyDescent="0.35">
      <c r="A113" s="6">
        <f t="shared" si="3"/>
        <v>111</v>
      </c>
      <c r="B113" s="27" t="s">
        <v>508</v>
      </c>
      <c r="C113" s="10" t="s">
        <v>637</v>
      </c>
      <c r="D113" s="28" t="s">
        <v>543</v>
      </c>
      <c r="E113" s="29" t="s">
        <v>568</v>
      </c>
      <c r="F113" s="27" t="s">
        <v>598</v>
      </c>
      <c r="G113" s="30" t="s">
        <v>599</v>
      </c>
      <c r="H113" s="8">
        <v>119604994</v>
      </c>
      <c r="I113" s="33">
        <v>45292</v>
      </c>
      <c r="J113" s="34">
        <v>17941</v>
      </c>
      <c r="K113" s="35" t="s">
        <v>749</v>
      </c>
    </row>
    <row r="114" spans="1:11" x14ac:dyDescent="0.35">
      <c r="A114" s="6">
        <f t="shared" si="3"/>
        <v>112</v>
      </c>
      <c r="B114" s="27" t="s">
        <v>509</v>
      </c>
      <c r="C114" s="10" t="s">
        <v>637</v>
      </c>
      <c r="D114" s="28" t="s">
        <v>544</v>
      </c>
      <c r="E114" s="29" t="s">
        <v>565</v>
      </c>
      <c r="F114" s="27" t="s">
        <v>600</v>
      </c>
      <c r="G114" s="30" t="s">
        <v>601</v>
      </c>
      <c r="H114" s="8">
        <v>4786665</v>
      </c>
      <c r="I114" s="33">
        <v>45292</v>
      </c>
      <c r="J114" s="34">
        <v>718</v>
      </c>
      <c r="K114" s="35" t="s">
        <v>750</v>
      </c>
    </row>
    <row r="115" spans="1:11" x14ac:dyDescent="0.35">
      <c r="A115" s="6">
        <f t="shared" si="3"/>
        <v>113</v>
      </c>
      <c r="B115" s="27" t="s">
        <v>510</v>
      </c>
      <c r="C115" s="10" t="s">
        <v>637</v>
      </c>
      <c r="D115" s="28" t="s">
        <v>545</v>
      </c>
      <c r="E115" s="29" t="s">
        <v>568</v>
      </c>
      <c r="F115" s="27" t="s">
        <v>602</v>
      </c>
      <c r="G115" s="30" t="s">
        <v>603</v>
      </c>
      <c r="H115" s="8">
        <v>22805390</v>
      </c>
      <c r="I115" s="33">
        <v>45292</v>
      </c>
      <c r="J115" s="34">
        <v>3421</v>
      </c>
      <c r="K115" s="35" t="s">
        <v>751</v>
      </c>
    </row>
    <row r="116" spans="1:11" x14ac:dyDescent="0.35">
      <c r="A116" s="6">
        <f t="shared" si="3"/>
        <v>114</v>
      </c>
      <c r="B116" s="27" t="s">
        <v>511</v>
      </c>
      <c r="C116" s="10" t="s">
        <v>637</v>
      </c>
      <c r="D116" s="28" t="s">
        <v>546</v>
      </c>
      <c r="E116" s="29" t="s">
        <v>571</v>
      </c>
      <c r="F116" s="27" t="s">
        <v>604</v>
      </c>
      <c r="G116" s="30" t="s">
        <v>605</v>
      </c>
      <c r="H116" s="8">
        <v>4650737</v>
      </c>
      <c r="I116" s="33">
        <v>45292</v>
      </c>
      <c r="J116" s="34">
        <v>698</v>
      </c>
      <c r="K116" s="35" t="s">
        <v>752</v>
      </c>
    </row>
    <row r="117" spans="1:11" x14ac:dyDescent="0.35">
      <c r="A117" s="6">
        <f t="shared" si="3"/>
        <v>115</v>
      </c>
      <c r="B117" s="27" t="s">
        <v>512</v>
      </c>
      <c r="C117" s="10" t="s">
        <v>637</v>
      </c>
      <c r="D117" s="28" t="s">
        <v>547</v>
      </c>
      <c r="E117" s="29" t="s">
        <v>571</v>
      </c>
      <c r="F117" s="27" t="s">
        <v>606</v>
      </c>
      <c r="G117" s="30" t="s">
        <v>607</v>
      </c>
      <c r="H117" s="8">
        <v>2653483</v>
      </c>
      <c r="I117" s="33">
        <v>45292</v>
      </c>
      <c r="J117" s="34">
        <v>398</v>
      </c>
      <c r="K117" s="35" t="s">
        <v>753</v>
      </c>
    </row>
    <row r="118" spans="1:11" x14ac:dyDescent="0.35">
      <c r="A118" s="6">
        <f t="shared" si="3"/>
        <v>116</v>
      </c>
      <c r="B118" s="27" t="s">
        <v>513</v>
      </c>
      <c r="C118" s="10" t="s">
        <v>637</v>
      </c>
      <c r="D118" s="28" t="s">
        <v>548</v>
      </c>
      <c r="E118" s="29" t="s">
        <v>568</v>
      </c>
      <c r="F118" s="27" t="s">
        <v>608</v>
      </c>
      <c r="G118" s="30" t="s">
        <v>609</v>
      </c>
      <c r="H118" s="8">
        <v>9882907</v>
      </c>
      <c r="I118" s="33">
        <v>45292</v>
      </c>
      <c r="J118" s="34">
        <v>1482</v>
      </c>
      <c r="K118" s="35" t="s">
        <v>754</v>
      </c>
    </row>
    <row r="119" spans="1:11" x14ac:dyDescent="0.35">
      <c r="A119" s="6">
        <f t="shared" si="3"/>
        <v>117</v>
      </c>
      <c r="B119" s="27" t="s">
        <v>514</v>
      </c>
      <c r="C119" s="10" t="s">
        <v>637</v>
      </c>
      <c r="D119" s="28" t="s">
        <v>549</v>
      </c>
      <c r="E119" s="29" t="s">
        <v>576</v>
      </c>
      <c r="F119" s="27" t="s">
        <v>610</v>
      </c>
      <c r="G119" s="30" t="s">
        <v>611</v>
      </c>
      <c r="H119" s="8">
        <v>4361323</v>
      </c>
      <c r="I119" s="33">
        <v>45292</v>
      </c>
      <c r="J119" s="34">
        <v>654</v>
      </c>
      <c r="K119" s="35" t="s">
        <v>755</v>
      </c>
    </row>
    <row r="120" spans="1:11" x14ac:dyDescent="0.35">
      <c r="A120" s="6">
        <f t="shared" si="3"/>
        <v>118</v>
      </c>
      <c r="B120" s="27" t="s">
        <v>515</v>
      </c>
      <c r="C120" s="10" t="s">
        <v>637</v>
      </c>
      <c r="D120" s="28" t="s">
        <v>550</v>
      </c>
      <c r="E120" s="29" t="s">
        <v>571</v>
      </c>
      <c r="F120" s="27" t="s">
        <v>612</v>
      </c>
      <c r="G120" s="30" t="s">
        <v>613</v>
      </c>
      <c r="H120" s="8">
        <v>4677778</v>
      </c>
      <c r="I120" s="33">
        <v>45292</v>
      </c>
      <c r="J120" s="34">
        <v>702</v>
      </c>
      <c r="K120" s="35" t="s">
        <v>756</v>
      </c>
    </row>
    <row r="121" spans="1:11" x14ac:dyDescent="0.35">
      <c r="A121" s="6">
        <f t="shared" si="3"/>
        <v>119</v>
      </c>
      <c r="B121" s="27" t="s">
        <v>516</v>
      </c>
      <c r="C121" s="10" t="s">
        <v>637</v>
      </c>
      <c r="D121" s="28" t="s">
        <v>551</v>
      </c>
      <c r="E121" s="29" t="s">
        <v>583</v>
      </c>
      <c r="F121" s="27" t="s">
        <v>614</v>
      </c>
      <c r="G121" s="30" t="s">
        <v>615</v>
      </c>
      <c r="H121" s="8">
        <v>14857312</v>
      </c>
      <c r="I121" s="33">
        <v>45292</v>
      </c>
      <c r="J121" s="34">
        <v>2229</v>
      </c>
      <c r="K121" s="35" t="s">
        <v>757</v>
      </c>
    </row>
    <row r="122" spans="1:11" x14ac:dyDescent="0.35">
      <c r="A122" s="6">
        <f t="shared" si="3"/>
        <v>120</v>
      </c>
      <c r="B122" s="27" t="s">
        <v>517</v>
      </c>
      <c r="C122" s="10" t="s">
        <v>637</v>
      </c>
      <c r="D122" s="28" t="s">
        <v>552</v>
      </c>
      <c r="E122" s="29" t="s">
        <v>571</v>
      </c>
      <c r="F122" s="27" t="s">
        <v>616</v>
      </c>
      <c r="G122" s="30" t="s">
        <v>617</v>
      </c>
      <c r="H122" s="8">
        <v>12135207</v>
      </c>
      <c r="I122" s="33">
        <v>45292</v>
      </c>
      <c r="J122" s="34">
        <v>1820</v>
      </c>
      <c r="K122" s="35" t="s">
        <v>758</v>
      </c>
    </row>
    <row r="123" spans="1:11" x14ac:dyDescent="0.35">
      <c r="A123" s="6">
        <f t="shared" si="3"/>
        <v>121</v>
      </c>
      <c r="B123" s="27" t="s">
        <v>518</v>
      </c>
      <c r="C123" s="10" t="s">
        <v>637</v>
      </c>
      <c r="D123" s="28" t="s">
        <v>553</v>
      </c>
      <c r="E123" s="29" t="s">
        <v>583</v>
      </c>
      <c r="F123" s="27" t="s">
        <v>618</v>
      </c>
      <c r="G123" s="30" t="s">
        <v>619</v>
      </c>
      <c r="H123" s="8">
        <v>45437632</v>
      </c>
      <c r="I123" s="33">
        <v>45292</v>
      </c>
      <c r="J123" s="34">
        <v>6816</v>
      </c>
      <c r="K123" s="35" t="s">
        <v>759</v>
      </c>
    </row>
    <row r="124" spans="1:11" x14ac:dyDescent="0.35">
      <c r="A124" s="6">
        <f t="shared" si="3"/>
        <v>122</v>
      </c>
      <c r="B124" s="27" t="s">
        <v>519</v>
      </c>
      <c r="C124" s="10" t="s">
        <v>637</v>
      </c>
      <c r="D124" s="28" t="s">
        <v>554</v>
      </c>
      <c r="E124" s="29" t="s">
        <v>562</v>
      </c>
      <c r="F124" s="27" t="s">
        <v>620</v>
      </c>
      <c r="G124" s="30" t="s">
        <v>621</v>
      </c>
      <c r="H124" s="8">
        <v>8825979</v>
      </c>
      <c r="I124" s="33">
        <v>45292</v>
      </c>
      <c r="J124" s="34">
        <v>1324</v>
      </c>
      <c r="K124" s="35" t="s">
        <v>760</v>
      </c>
    </row>
    <row r="125" spans="1:11" x14ac:dyDescent="0.35">
      <c r="A125" s="6">
        <f t="shared" si="3"/>
        <v>123</v>
      </c>
      <c r="B125" s="27" t="s">
        <v>520</v>
      </c>
      <c r="C125" s="10" t="s">
        <v>637</v>
      </c>
      <c r="D125" s="28" t="s">
        <v>555</v>
      </c>
      <c r="E125" s="29" t="s">
        <v>565</v>
      </c>
      <c r="F125" s="27" t="s">
        <v>622</v>
      </c>
      <c r="G125" s="30" t="s">
        <v>623</v>
      </c>
      <c r="H125" s="8">
        <v>35347998</v>
      </c>
      <c r="I125" s="33">
        <v>45292</v>
      </c>
      <c r="J125" s="34">
        <v>5302</v>
      </c>
      <c r="K125" s="35" t="s">
        <v>761</v>
      </c>
    </row>
    <row r="126" spans="1:11" x14ac:dyDescent="0.35">
      <c r="A126" s="6">
        <f t="shared" si="3"/>
        <v>124</v>
      </c>
      <c r="B126" s="27" t="s">
        <v>521</v>
      </c>
      <c r="C126" s="10" t="s">
        <v>637</v>
      </c>
      <c r="D126" s="28" t="s">
        <v>556</v>
      </c>
      <c r="E126" s="29" t="s">
        <v>583</v>
      </c>
      <c r="F126" s="27" t="s">
        <v>624</v>
      </c>
      <c r="G126" s="30" t="s">
        <v>625</v>
      </c>
      <c r="H126" s="8">
        <v>123974891</v>
      </c>
      <c r="I126" s="33">
        <v>45292</v>
      </c>
      <c r="J126" s="34">
        <v>18596</v>
      </c>
      <c r="K126" s="35" t="s">
        <v>762</v>
      </c>
    </row>
    <row r="127" spans="1:11" x14ac:dyDescent="0.35">
      <c r="A127" s="6">
        <f t="shared" si="3"/>
        <v>125</v>
      </c>
      <c r="B127" s="27" t="s">
        <v>522</v>
      </c>
      <c r="C127" s="10" t="s">
        <v>637</v>
      </c>
      <c r="D127" s="28" t="s">
        <v>557</v>
      </c>
      <c r="E127" s="29" t="s">
        <v>568</v>
      </c>
      <c r="F127" s="27" t="s">
        <v>626</v>
      </c>
      <c r="G127" s="30" t="s">
        <v>627</v>
      </c>
      <c r="H127" s="8">
        <v>4165885</v>
      </c>
      <c r="I127" s="33">
        <v>45292</v>
      </c>
      <c r="J127" s="34">
        <v>625</v>
      </c>
      <c r="K127" s="35" t="s">
        <v>763</v>
      </c>
    </row>
    <row r="128" spans="1:11" x14ac:dyDescent="0.35">
      <c r="A128" s="6">
        <f t="shared" si="3"/>
        <v>126</v>
      </c>
      <c r="B128" s="27" t="s">
        <v>523</v>
      </c>
      <c r="C128" s="10" t="s">
        <v>637</v>
      </c>
      <c r="D128" s="28" t="s">
        <v>265</v>
      </c>
      <c r="E128" s="29" t="s">
        <v>568</v>
      </c>
      <c r="F128" s="27" t="s">
        <v>266</v>
      </c>
      <c r="G128" s="30" t="s">
        <v>628</v>
      </c>
      <c r="H128" s="8">
        <v>95854809</v>
      </c>
      <c r="I128" s="33">
        <v>45292</v>
      </c>
      <c r="J128" s="34">
        <v>14378</v>
      </c>
      <c r="K128" s="35" t="s">
        <v>764</v>
      </c>
    </row>
    <row r="129" spans="1:11" x14ac:dyDescent="0.35">
      <c r="A129" s="6">
        <f t="shared" si="3"/>
        <v>127</v>
      </c>
      <c r="B129" s="27" t="s">
        <v>525</v>
      </c>
      <c r="C129" s="10" t="s">
        <v>637</v>
      </c>
      <c r="D129" s="28" t="s">
        <v>559</v>
      </c>
      <c r="E129" s="29" t="s">
        <v>568</v>
      </c>
      <c r="F129" s="27" t="s">
        <v>631</v>
      </c>
      <c r="G129" s="30" t="s">
        <v>632</v>
      </c>
      <c r="H129" s="8">
        <v>4145791</v>
      </c>
      <c r="I129" s="33">
        <v>45292</v>
      </c>
      <c r="J129" s="34">
        <v>622</v>
      </c>
      <c r="K129" s="35" t="s">
        <v>765</v>
      </c>
    </row>
    <row r="130" spans="1:11" x14ac:dyDescent="0.35">
      <c r="A130" s="6">
        <f t="shared" si="3"/>
        <v>128</v>
      </c>
      <c r="B130" s="27" t="s">
        <v>526</v>
      </c>
      <c r="C130" s="10" t="s">
        <v>637</v>
      </c>
      <c r="D130" s="28" t="s">
        <v>560</v>
      </c>
      <c r="E130" s="29" t="s">
        <v>568</v>
      </c>
      <c r="F130" s="27" t="s">
        <v>633</v>
      </c>
      <c r="G130" s="30" t="s">
        <v>634</v>
      </c>
      <c r="H130" s="8">
        <v>39058501</v>
      </c>
      <c r="I130" s="33">
        <v>45292</v>
      </c>
      <c r="J130" s="34">
        <v>5859</v>
      </c>
      <c r="K130" s="35" t="s">
        <v>766</v>
      </c>
    </row>
    <row r="131" spans="1:11" x14ac:dyDescent="0.35">
      <c r="A131" s="6">
        <f t="shared" si="3"/>
        <v>129</v>
      </c>
      <c r="B131" s="27" t="s">
        <v>527</v>
      </c>
      <c r="C131" s="10" t="s">
        <v>637</v>
      </c>
      <c r="D131" s="28" t="s">
        <v>561</v>
      </c>
      <c r="E131" s="29" t="s">
        <v>568</v>
      </c>
      <c r="F131" s="27" t="s">
        <v>635</v>
      </c>
      <c r="G131" s="30" t="s">
        <v>636</v>
      </c>
      <c r="H131" s="8">
        <v>12851627</v>
      </c>
      <c r="I131" s="33">
        <v>45292</v>
      </c>
      <c r="J131" s="34">
        <v>1928</v>
      </c>
      <c r="K131" s="35" t="s">
        <v>767</v>
      </c>
    </row>
    <row r="132" spans="1:11" ht="15.75" thickBot="1" x14ac:dyDescent="0.4">
      <c r="A132" s="17"/>
      <c r="B132" s="18"/>
      <c r="C132" s="18"/>
      <c r="D132" s="19"/>
      <c r="E132" s="20"/>
      <c r="F132" s="18"/>
      <c r="G132" s="21"/>
      <c r="H132" s="22"/>
      <c r="I132" s="23"/>
    </row>
    <row r="133" spans="1:11" ht="15.75" thickBot="1" x14ac:dyDescent="0.4">
      <c r="G133" s="13"/>
      <c r="H133" s="36">
        <f>SUM(H3:H132)</f>
        <v>1881736035</v>
      </c>
      <c r="I133" s="37"/>
      <c r="J133" s="14">
        <f>SUM(J3:J132)</f>
        <v>282931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9EDC-FA48-4449-83FF-65AF2C6E7895}">
  <dimension ref="A1:H130"/>
  <sheetViews>
    <sheetView tabSelected="1" workbookViewId="0">
      <selection activeCell="E2" sqref="E2"/>
    </sheetView>
  </sheetViews>
  <sheetFormatPr defaultRowHeight="103.5" customHeight="1" x14ac:dyDescent="0.25"/>
  <cols>
    <col min="1" max="1" width="32.5703125" bestFit="1" customWidth="1"/>
    <col min="2" max="2" width="13.28515625" bestFit="1" customWidth="1"/>
    <col min="3" max="3" width="9.5703125" bestFit="1" customWidth="1"/>
    <col min="4" max="4" width="13.7109375" bestFit="1" customWidth="1"/>
    <col min="5" max="5" width="64.28515625" customWidth="1"/>
    <col min="6" max="6" width="58.140625" customWidth="1"/>
    <col min="7" max="7" width="69.140625" customWidth="1"/>
    <col min="8" max="8" width="32.42578125" customWidth="1"/>
  </cols>
  <sheetData>
    <row r="1" spans="1:8" ht="18.75" customHeight="1" x14ac:dyDescent="0.25">
      <c r="A1" s="40" t="s">
        <v>908</v>
      </c>
      <c r="B1" t="s">
        <v>770</v>
      </c>
      <c r="D1" s="41" t="s">
        <v>771</v>
      </c>
      <c r="E1" s="38" t="s">
        <v>909</v>
      </c>
    </row>
    <row r="2" spans="1:8" ht="103.5" customHeight="1" x14ac:dyDescent="0.25">
      <c r="A2" s="35" t="s">
        <v>639</v>
      </c>
      <c r="B2" t="str">
        <f>VLOOKUP(A2,[1]Sheet1!$B$2:$C$130,2,0)</f>
        <v>040000163462</v>
      </c>
      <c r="C2" s="34">
        <v>200</v>
      </c>
      <c r="D2" s="39">
        <f>ROUND(C2,0)</f>
        <v>200</v>
      </c>
      <c r="E2" s="38" t="s">
        <v>909</v>
      </c>
      <c r="F2" s="42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3" t="str">
        <f>"('"&amp;E2&amp;"','"&amp;B2&amp;"','"&amp;D2&amp;"',(select max(to_number(i.premium_rcv_detail_code))+1
from ins_premium_det i),'"&amp;D2&amp;"','"&amp;D2&amp;"','02', '11000003','00','Request by Mr. Saqib Saleem 21-Aug-2024 sheet2');"</f>
        <v>('20Aug240150','040000163462','200',(select max(to_number(i.premium_rcv_detail_code))+1
from ins_premium_det i),'200','200','02', '11000003','00','Request by Mr. Saqib Saleem 21-Aug-2024 sheet2');</v>
      </c>
      <c r="H2" s="44" t="str">
        <f>F2&amp;G2</f>
        <v>insert into ins_premium_det (premium_rcv_code,assorted_code, rec_amount,premium_rcv_detail_code,remaining_amt, payrec, mode_code,coinsurance_code,class_cd,it_remarks) values('20Aug240150','040000163462','200',(select max(to_number(i.premium_rcv_detail_code))+1
from ins_premium_det i),'200','200','02', '11000003','00','Request by Mr. Saqib Saleem 21-Aug-2024 sheet2');</v>
      </c>
    </row>
    <row r="3" spans="1:8" ht="103.5" customHeight="1" x14ac:dyDescent="0.25">
      <c r="A3" s="35" t="s">
        <v>640</v>
      </c>
      <c r="B3" t="str">
        <f>VLOOKUP(A3,[1]Sheet1!$B$2:$C$130,2,0)</f>
        <v>040000163463</v>
      </c>
      <c r="C3" s="34">
        <v>203</v>
      </c>
      <c r="D3" s="39">
        <f t="shared" ref="D3:D66" si="1">ROUND(C3,0)</f>
        <v>203</v>
      </c>
      <c r="E3" s="38" t="s">
        <v>909</v>
      </c>
      <c r="F3" s="42" t="str">
        <f t="shared" si="0"/>
        <v>insert into ins_premium_det (premium_rcv_code,assorted_code, rec_amount,premium_rcv_detail_code,remaining_amt, payrec, mode_code,coinsurance_code,class_cd,it_remarks) values</v>
      </c>
      <c r="G3" s="43" t="str">
        <f t="shared" ref="G3:G66" si="2">"('"&amp;E3&amp;"','"&amp;B3&amp;"','"&amp;D3&amp;"',(select max(to_number(i.premium_rcv_detail_code))+1
from ins_premium_det i),'"&amp;D3&amp;"','"&amp;D3&amp;"','02', '11000003','00','Request by Mr. Saqib Saleem 21-Aug-2024 sheet2');"</f>
        <v>('20Aug240150','040000163463','203',(select max(to_number(i.premium_rcv_detail_code))+1
from ins_premium_det i),'203','203','02', '11000003','00','Request by Mr. Saqib Saleem 21-Aug-2024 sheet2');</v>
      </c>
      <c r="H3" s="44" t="str">
        <f t="shared" ref="H3:H66" si="3">F3&amp;G3</f>
        <v>insert into ins_premium_det (premium_rcv_code,assorted_code, rec_amount,premium_rcv_detail_code,remaining_amt, payrec, mode_code,coinsurance_code,class_cd,it_remarks) values('20Aug240150','040000163463','203',(select max(to_number(i.premium_rcv_detail_code))+1
from ins_premium_det i),'203','203','02', '11000003','00','Request by Mr. Saqib Saleem 21-Aug-2024 sheet2');</v>
      </c>
    </row>
    <row r="4" spans="1:8" ht="103.5" customHeight="1" x14ac:dyDescent="0.25">
      <c r="A4" s="35" t="s">
        <v>641</v>
      </c>
      <c r="B4" t="str">
        <f>VLOOKUP(A4,[1]Sheet1!$B$2:$C$130,2,0)</f>
        <v>040000163464</v>
      </c>
      <c r="C4" s="34">
        <v>200</v>
      </c>
      <c r="D4" s="39">
        <f t="shared" si="1"/>
        <v>200</v>
      </c>
      <c r="E4" s="38" t="s">
        <v>909</v>
      </c>
      <c r="F4" s="42" t="str">
        <f t="shared" si="0"/>
        <v>insert into ins_premium_det (premium_rcv_code,assorted_code, rec_amount,premium_rcv_detail_code,remaining_amt, payrec, mode_code,coinsurance_code,class_cd,it_remarks) values</v>
      </c>
      <c r="G4" s="43" t="str">
        <f t="shared" si="2"/>
        <v>('20Aug240150','040000163464','200',(select max(to_number(i.premium_rcv_detail_code))+1
from ins_premium_det i),'200','200','02', '11000003','00','Request by Mr. Saqib Saleem 21-Aug-2024 sheet2');</v>
      </c>
      <c r="H4" s="44" t="str">
        <f t="shared" si="3"/>
        <v>insert into ins_premium_det (premium_rcv_code,assorted_code, rec_amount,premium_rcv_detail_code,remaining_amt, payrec, mode_code,coinsurance_code,class_cd,it_remarks) values('20Aug240150','040000163464','200',(select max(to_number(i.premium_rcv_detail_code))+1
from ins_premium_det i),'200','200','02', '11000003','00','Request by Mr. Saqib Saleem 21-Aug-2024 sheet2');</v>
      </c>
    </row>
    <row r="5" spans="1:8" ht="103.5" customHeight="1" x14ac:dyDescent="0.25">
      <c r="A5" s="35" t="s">
        <v>642</v>
      </c>
      <c r="B5" t="str">
        <f>VLOOKUP(A5,[1]Sheet1!$B$2:$C$130,2,0)</f>
        <v>040000163465</v>
      </c>
      <c r="C5" s="34">
        <v>1208</v>
      </c>
      <c r="D5" s="39">
        <f t="shared" si="1"/>
        <v>1208</v>
      </c>
      <c r="E5" s="38" t="s">
        <v>909</v>
      </c>
      <c r="F5" s="42" t="str">
        <f t="shared" si="0"/>
        <v>insert into ins_premium_det (premium_rcv_code,assorted_code, rec_amount,premium_rcv_detail_code,remaining_amt, payrec, mode_code,coinsurance_code,class_cd,it_remarks) values</v>
      </c>
      <c r="G5" s="43" t="str">
        <f t="shared" si="2"/>
        <v>('20Aug240150','040000163465','1208',(select max(to_number(i.premium_rcv_detail_code))+1
from ins_premium_det i),'1208','1208','02', '11000003','00','Request by Mr. Saqib Saleem 21-Aug-2024 sheet2');</v>
      </c>
      <c r="H5" s="44" t="str">
        <f t="shared" si="3"/>
        <v>insert into ins_premium_det (premium_rcv_code,assorted_code, rec_amount,premium_rcv_detail_code,remaining_amt, payrec, mode_code,coinsurance_code,class_cd,it_remarks) values('20Aug240150','040000163465','1208',(select max(to_number(i.premium_rcv_detail_code))+1
from ins_premium_det i),'1208','1208','02', '11000003','00','Request by Mr. Saqib Saleem 21-Aug-2024 sheet2');</v>
      </c>
    </row>
    <row r="6" spans="1:8" ht="103.5" customHeight="1" x14ac:dyDescent="0.25">
      <c r="A6" s="35" t="s">
        <v>643</v>
      </c>
      <c r="B6" t="str">
        <f>VLOOKUP(A6,[1]Sheet1!$B$2:$C$130,2,0)</f>
        <v>040000163466</v>
      </c>
      <c r="C6" s="34">
        <v>231</v>
      </c>
      <c r="D6" s="39">
        <f t="shared" si="1"/>
        <v>231</v>
      </c>
      <c r="E6" s="38" t="s">
        <v>909</v>
      </c>
      <c r="F6" s="42" t="str">
        <f t="shared" si="0"/>
        <v>insert into ins_premium_det (premium_rcv_code,assorted_code, rec_amount,premium_rcv_detail_code,remaining_amt, payrec, mode_code,coinsurance_code,class_cd,it_remarks) values</v>
      </c>
      <c r="G6" s="43" t="str">
        <f t="shared" si="2"/>
        <v>('20Aug240150','040000163466','231',(select max(to_number(i.premium_rcv_detail_code))+1
from ins_premium_det i),'231','231','02', '11000003','00','Request by Mr. Saqib Saleem 21-Aug-2024 sheet2');</v>
      </c>
      <c r="H6" s="44" t="str">
        <f t="shared" si="3"/>
        <v>insert into ins_premium_det (premium_rcv_code,assorted_code, rec_amount,premium_rcv_detail_code,remaining_amt, payrec, mode_code,coinsurance_code,class_cd,it_remarks) values('20Aug240150','040000163466','231',(select max(to_number(i.premium_rcv_detail_code))+1
from ins_premium_det i),'231','231','02', '11000003','00','Request by Mr. Saqib Saleem 21-Aug-2024 sheet2');</v>
      </c>
    </row>
    <row r="7" spans="1:8" ht="103.5" customHeight="1" x14ac:dyDescent="0.25">
      <c r="A7" s="35" t="s">
        <v>644</v>
      </c>
      <c r="B7" t="str">
        <f>VLOOKUP(A7,[1]Sheet1!$B$2:$C$130,2,0)</f>
        <v>040000163467</v>
      </c>
      <c r="C7" s="34">
        <v>378</v>
      </c>
      <c r="D7" s="39">
        <f t="shared" si="1"/>
        <v>378</v>
      </c>
      <c r="E7" s="38" t="s">
        <v>909</v>
      </c>
      <c r="F7" s="42" t="str">
        <f t="shared" si="0"/>
        <v>insert into ins_premium_det (premium_rcv_code,assorted_code, rec_amount,premium_rcv_detail_code,remaining_amt, payrec, mode_code,coinsurance_code,class_cd,it_remarks) values</v>
      </c>
      <c r="G7" s="43" t="str">
        <f t="shared" si="2"/>
        <v>('20Aug240150','040000163467','378',(select max(to_number(i.premium_rcv_detail_code))+1
from ins_premium_det i),'378','378','02', '11000003','00','Request by Mr. Saqib Saleem 21-Aug-2024 sheet2');</v>
      </c>
      <c r="H7" s="44" t="str">
        <f t="shared" si="3"/>
        <v>insert into ins_premium_det (premium_rcv_code,assorted_code, rec_amount,premium_rcv_detail_code,remaining_amt, payrec, mode_code,coinsurance_code,class_cd,it_remarks) values('20Aug240150','040000163467','378',(select max(to_number(i.premium_rcv_detail_code))+1
from ins_premium_det i),'378','378','02', '11000003','00','Request by Mr. Saqib Saleem 21-Aug-2024 sheet2');</v>
      </c>
    </row>
    <row r="8" spans="1:8" ht="103.5" customHeight="1" x14ac:dyDescent="0.25">
      <c r="A8" s="35" t="s">
        <v>645</v>
      </c>
      <c r="B8" t="str">
        <f>VLOOKUP(A8,[1]Sheet1!$B$2:$C$130,2,0)</f>
        <v>040000163468</v>
      </c>
      <c r="C8" s="34">
        <v>407</v>
      </c>
      <c r="D8" s="39">
        <f t="shared" si="1"/>
        <v>407</v>
      </c>
      <c r="E8" s="38" t="s">
        <v>909</v>
      </c>
      <c r="F8" s="42" t="str">
        <f t="shared" si="0"/>
        <v>insert into ins_premium_det (premium_rcv_code,assorted_code, rec_amount,premium_rcv_detail_code,remaining_amt, payrec, mode_code,coinsurance_code,class_cd,it_remarks) values</v>
      </c>
      <c r="G8" s="43" t="str">
        <f t="shared" si="2"/>
        <v>('20Aug240150','040000163468','407',(select max(to_number(i.premium_rcv_detail_code))+1
from ins_premium_det i),'407','407','02', '11000003','00','Request by Mr. Saqib Saleem 21-Aug-2024 sheet2');</v>
      </c>
      <c r="H8" s="44" t="str">
        <f t="shared" si="3"/>
        <v>insert into ins_premium_det (premium_rcv_code,assorted_code, rec_amount,premium_rcv_detail_code,remaining_amt, payrec, mode_code,coinsurance_code,class_cd,it_remarks) values('20Aug240150','040000163468','407',(select max(to_number(i.premium_rcv_detail_code))+1
from ins_premium_det i),'407','407','02', '11000003','00','Request by Mr. Saqib Saleem 21-Aug-2024 sheet2');</v>
      </c>
    </row>
    <row r="9" spans="1:8" ht="103.5" customHeight="1" x14ac:dyDescent="0.25">
      <c r="A9" s="35" t="s">
        <v>646</v>
      </c>
      <c r="B9" t="str">
        <f>VLOOKUP(A9,[1]Sheet1!$B$2:$C$130,2,0)</f>
        <v>040000163469</v>
      </c>
      <c r="C9" s="34">
        <v>567</v>
      </c>
      <c r="D9" s="39">
        <f t="shared" si="1"/>
        <v>567</v>
      </c>
      <c r="E9" s="38" t="s">
        <v>909</v>
      </c>
      <c r="F9" s="42" t="str">
        <f t="shared" si="0"/>
        <v>insert into ins_premium_det (premium_rcv_code,assorted_code, rec_amount,premium_rcv_detail_code,remaining_amt, payrec, mode_code,coinsurance_code,class_cd,it_remarks) values</v>
      </c>
      <c r="G9" s="43" t="str">
        <f t="shared" si="2"/>
        <v>('20Aug240150','040000163469','567',(select max(to_number(i.premium_rcv_detail_code))+1
from ins_premium_det i),'567','567','02', '11000003','00','Request by Mr. Saqib Saleem 21-Aug-2024 sheet2');</v>
      </c>
      <c r="H9" s="44" t="str">
        <f t="shared" si="3"/>
        <v>insert into ins_premium_det (premium_rcv_code,assorted_code, rec_amount,premium_rcv_detail_code,remaining_amt, payrec, mode_code,coinsurance_code,class_cd,it_remarks) values('20Aug240150','040000163469','567',(select max(to_number(i.premium_rcv_detail_code))+1
from ins_premium_det i),'567','567','02', '11000003','00','Request by Mr. Saqib Saleem 21-Aug-2024 sheet2');</v>
      </c>
    </row>
    <row r="10" spans="1:8" ht="103.5" customHeight="1" x14ac:dyDescent="0.25">
      <c r="A10" s="35" t="s">
        <v>647</v>
      </c>
      <c r="B10" t="str">
        <f>VLOOKUP(A10,[1]Sheet1!$B$2:$C$130,2,0)</f>
        <v>040000163470</v>
      </c>
      <c r="C10" s="34">
        <v>230</v>
      </c>
      <c r="D10" s="39">
        <f t="shared" si="1"/>
        <v>230</v>
      </c>
      <c r="E10" s="38" t="s">
        <v>909</v>
      </c>
      <c r="F10" s="42" t="str">
        <f t="shared" si="0"/>
        <v>insert into ins_premium_det (premium_rcv_code,assorted_code, rec_amount,premium_rcv_detail_code,remaining_amt, payrec, mode_code,coinsurance_code,class_cd,it_remarks) values</v>
      </c>
      <c r="G10" s="43" t="str">
        <f t="shared" si="2"/>
        <v>('20Aug240150','040000163470','230',(select max(to_number(i.premium_rcv_detail_code))+1
from ins_premium_det i),'230','230','02', '11000003','00','Request by Mr. Saqib Saleem 21-Aug-2024 sheet2');</v>
      </c>
      <c r="H10" s="44" t="str">
        <f t="shared" si="3"/>
        <v>insert into ins_premium_det (premium_rcv_code,assorted_code, rec_amount,premium_rcv_detail_code,remaining_amt, payrec, mode_code,coinsurance_code,class_cd,it_remarks) values('20Aug240150','040000163470','230',(select max(to_number(i.premium_rcv_detail_code))+1
from ins_premium_det i),'230','230','02', '11000003','00','Request by Mr. Saqib Saleem 21-Aug-2024 sheet2');</v>
      </c>
    </row>
    <row r="11" spans="1:8" ht="103.5" customHeight="1" x14ac:dyDescent="0.25">
      <c r="A11" s="35" t="s">
        <v>648</v>
      </c>
      <c r="B11" t="str">
        <f>VLOOKUP(A11,[1]Sheet1!$B$2:$C$130,2,0)</f>
        <v>040000163471</v>
      </c>
      <c r="C11" s="34">
        <v>784</v>
      </c>
      <c r="D11" s="39">
        <f t="shared" si="1"/>
        <v>784</v>
      </c>
      <c r="E11" s="38" t="s">
        <v>909</v>
      </c>
      <c r="F11" s="42" t="str">
        <f t="shared" si="0"/>
        <v>insert into ins_premium_det (premium_rcv_code,assorted_code, rec_amount,premium_rcv_detail_code,remaining_amt, payrec, mode_code,coinsurance_code,class_cd,it_remarks) values</v>
      </c>
      <c r="G11" s="43" t="str">
        <f t="shared" si="2"/>
        <v>('20Aug240150','040000163471','784',(select max(to_number(i.premium_rcv_detail_code))+1
from ins_premium_det i),'784','784','02', '11000003','00','Request by Mr. Saqib Saleem 21-Aug-2024 sheet2');</v>
      </c>
      <c r="H11" s="44" t="str">
        <f t="shared" si="3"/>
        <v>insert into ins_premium_det (premium_rcv_code,assorted_code, rec_amount,premium_rcv_detail_code,remaining_amt, payrec, mode_code,coinsurance_code,class_cd,it_remarks) values('20Aug240150','040000163471','784',(select max(to_number(i.premium_rcv_detail_code))+1
from ins_premium_det i),'784','784','02', '11000003','00','Request by Mr. Saqib Saleem 21-Aug-2024 sheet2');</v>
      </c>
    </row>
    <row r="12" spans="1:8" ht="103.5" customHeight="1" x14ac:dyDescent="0.25">
      <c r="A12" s="35" t="s">
        <v>649</v>
      </c>
      <c r="B12" t="str">
        <f>VLOOKUP(A12,[1]Sheet1!$B$2:$C$130,2,0)</f>
        <v>040000163472</v>
      </c>
      <c r="C12" s="34">
        <v>383</v>
      </c>
      <c r="D12" s="39">
        <f t="shared" si="1"/>
        <v>383</v>
      </c>
      <c r="E12" s="38" t="s">
        <v>909</v>
      </c>
      <c r="F12" s="42" t="str">
        <f t="shared" si="0"/>
        <v>insert into ins_premium_det (premium_rcv_code,assorted_code, rec_amount,premium_rcv_detail_code,remaining_amt, payrec, mode_code,coinsurance_code,class_cd,it_remarks) values</v>
      </c>
      <c r="G12" s="43" t="str">
        <f t="shared" si="2"/>
        <v>('20Aug240150','040000163472','383',(select max(to_number(i.premium_rcv_detail_code))+1
from ins_premium_det i),'383','383','02', '11000003','00','Request by Mr. Saqib Saleem 21-Aug-2024 sheet2');</v>
      </c>
      <c r="H12" s="44" t="str">
        <f t="shared" si="3"/>
        <v>insert into ins_premium_det (premium_rcv_code,assorted_code, rec_amount,premium_rcv_detail_code,remaining_amt, payrec, mode_code,coinsurance_code,class_cd,it_remarks) values('20Aug240150','040000163472','383',(select max(to_number(i.premium_rcv_detail_code))+1
from ins_premium_det i),'383','383','02', '11000003','00','Request by Mr. Saqib Saleem 21-Aug-2024 sheet2');</v>
      </c>
    </row>
    <row r="13" spans="1:8" ht="103.5" customHeight="1" x14ac:dyDescent="0.25">
      <c r="A13" s="35" t="s">
        <v>650</v>
      </c>
      <c r="B13" t="str">
        <f>VLOOKUP(A13,[1]Sheet1!$B$2:$C$130,2,0)</f>
        <v>040000163473</v>
      </c>
      <c r="C13" s="34">
        <v>2597</v>
      </c>
      <c r="D13" s="39">
        <f t="shared" si="1"/>
        <v>2597</v>
      </c>
      <c r="E13" s="38" t="s">
        <v>909</v>
      </c>
      <c r="F13" s="42" t="str">
        <f t="shared" si="0"/>
        <v>insert into ins_premium_det (premium_rcv_code,assorted_code, rec_amount,premium_rcv_detail_code,remaining_amt, payrec, mode_code,coinsurance_code,class_cd,it_remarks) values</v>
      </c>
      <c r="G13" s="43" t="str">
        <f t="shared" si="2"/>
        <v>('20Aug240150','040000163473','2597',(select max(to_number(i.premium_rcv_detail_code))+1
from ins_premium_det i),'2597','2597','02', '11000003','00','Request by Mr. Saqib Saleem 21-Aug-2024 sheet2');</v>
      </c>
      <c r="H13" s="44" t="str">
        <f t="shared" si="3"/>
        <v>insert into ins_premium_det (premium_rcv_code,assorted_code, rec_amount,premium_rcv_detail_code,remaining_amt, payrec, mode_code,coinsurance_code,class_cd,it_remarks) values('20Aug240150','040000163473','2597',(select max(to_number(i.premium_rcv_detail_code))+1
from ins_premium_det i),'2597','2597','02', '11000003','00','Request by Mr. Saqib Saleem 21-Aug-2024 sheet2');</v>
      </c>
    </row>
    <row r="14" spans="1:8" ht="103.5" customHeight="1" x14ac:dyDescent="0.25">
      <c r="A14" s="35" t="s">
        <v>651</v>
      </c>
      <c r="B14" t="str">
        <f>VLOOKUP(A14,[1]Sheet1!$B$2:$C$130,2,0)</f>
        <v>040000163474</v>
      </c>
      <c r="C14" s="34">
        <v>705</v>
      </c>
      <c r="D14" s="39">
        <f t="shared" si="1"/>
        <v>705</v>
      </c>
      <c r="E14" s="38" t="s">
        <v>909</v>
      </c>
      <c r="F14" s="42" t="str">
        <f t="shared" si="0"/>
        <v>insert into ins_premium_det (premium_rcv_code,assorted_code, rec_amount,premium_rcv_detail_code,remaining_amt, payrec, mode_code,coinsurance_code,class_cd,it_remarks) values</v>
      </c>
      <c r="G14" s="43" t="str">
        <f t="shared" si="2"/>
        <v>('20Aug240150','040000163474','705',(select max(to_number(i.premium_rcv_detail_code))+1
from ins_premium_det i),'705','705','02', '11000003','00','Request by Mr. Saqib Saleem 21-Aug-2024 sheet2');</v>
      </c>
      <c r="H14" s="44" t="str">
        <f t="shared" si="3"/>
        <v>insert into ins_premium_det (premium_rcv_code,assorted_code, rec_amount,premium_rcv_detail_code,remaining_amt, payrec, mode_code,coinsurance_code,class_cd,it_remarks) values('20Aug240150','040000163474','705',(select max(to_number(i.premium_rcv_detail_code))+1
from ins_premium_det i),'705','705','02', '11000003','00','Request by Mr. Saqib Saleem 21-Aug-2024 sheet2');</v>
      </c>
    </row>
    <row r="15" spans="1:8" ht="103.5" customHeight="1" x14ac:dyDescent="0.25">
      <c r="A15" s="35" t="s">
        <v>652</v>
      </c>
      <c r="B15" t="str">
        <f>VLOOKUP(A15,[1]Sheet1!$B$2:$C$130,2,0)</f>
        <v>040000163475</v>
      </c>
      <c r="C15" s="34">
        <v>1879</v>
      </c>
      <c r="D15" s="39">
        <f t="shared" si="1"/>
        <v>1879</v>
      </c>
      <c r="E15" s="38" t="s">
        <v>909</v>
      </c>
      <c r="F15" s="42" t="str">
        <f t="shared" si="0"/>
        <v>insert into ins_premium_det (premium_rcv_code,assorted_code, rec_amount,premium_rcv_detail_code,remaining_amt, payrec, mode_code,coinsurance_code,class_cd,it_remarks) values</v>
      </c>
      <c r="G15" s="43" t="str">
        <f t="shared" si="2"/>
        <v>('20Aug240150','040000163475','1879',(select max(to_number(i.premium_rcv_detail_code))+1
from ins_premium_det i),'1879','1879','02', '11000003','00','Request by Mr. Saqib Saleem 21-Aug-2024 sheet2');</v>
      </c>
      <c r="H15" s="44" t="str">
        <f t="shared" si="3"/>
        <v>insert into ins_premium_det (premium_rcv_code,assorted_code, rec_amount,premium_rcv_detail_code,remaining_amt, payrec, mode_code,coinsurance_code,class_cd,it_remarks) values('20Aug240150','040000163475','1879',(select max(to_number(i.premium_rcv_detail_code))+1
from ins_premium_det i),'1879','1879','02', '11000003','00','Request by Mr. Saqib Saleem 21-Aug-2024 sheet2');</v>
      </c>
    </row>
    <row r="16" spans="1:8" ht="103.5" customHeight="1" x14ac:dyDescent="0.25">
      <c r="A16" s="35" t="s">
        <v>653</v>
      </c>
      <c r="B16" t="str">
        <f>VLOOKUP(A16,[1]Sheet1!$B$2:$C$130,2,0)</f>
        <v>040000163476</v>
      </c>
      <c r="C16" s="34">
        <v>967</v>
      </c>
      <c r="D16" s="39">
        <f t="shared" si="1"/>
        <v>967</v>
      </c>
      <c r="E16" s="38" t="s">
        <v>909</v>
      </c>
      <c r="F16" s="42" t="str">
        <f t="shared" si="0"/>
        <v>insert into ins_premium_det (premium_rcv_code,assorted_code, rec_amount,premium_rcv_detail_code,remaining_amt, payrec, mode_code,coinsurance_code,class_cd,it_remarks) values</v>
      </c>
      <c r="G16" s="43" t="str">
        <f t="shared" si="2"/>
        <v>('20Aug240150','040000163476','967',(select max(to_number(i.premium_rcv_detail_code))+1
from ins_premium_det i),'967','967','02', '11000003','00','Request by Mr. Saqib Saleem 21-Aug-2024 sheet2');</v>
      </c>
      <c r="H16" s="44" t="str">
        <f t="shared" si="3"/>
        <v>insert into ins_premium_det (premium_rcv_code,assorted_code, rec_amount,premium_rcv_detail_code,remaining_amt, payrec, mode_code,coinsurance_code,class_cd,it_remarks) values('20Aug240150','040000163476','967',(select max(to_number(i.premium_rcv_detail_code))+1
from ins_premium_det i),'967','967','02', '11000003','00','Request by Mr. Saqib Saleem 21-Aug-2024 sheet2');</v>
      </c>
    </row>
    <row r="17" spans="1:8" ht="103.5" customHeight="1" x14ac:dyDescent="0.25">
      <c r="A17" s="35" t="s">
        <v>654</v>
      </c>
      <c r="B17" t="str">
        <f>VLOOKUP(A17,[1]Sheet1!$B$2:$C$130,2,0)</f>
        <v>040000163477</v>
      </c>
      <c r="C17" s="34">
        <v>1259</v>
      </c>
      <c r="D17" s="39">
        <f t="shared" si="1"/>
        <v>1259</v>
      </c>
      <c r="E17" s="38" t="s">
        <v>909</v>
      </c>
      <c r="F17" s="42" t="str">
        <f t="shared" si="0"/>
        <v>insert into ins_premium_det (premium_rcv_code,assorted_code, rec_amount,premium_rcv_detail_code,remaining_amt, payrec, mode_code,coinsurance_code,class_cd,it_remarks) values</v>
      </c>
      <c r="G17" s="43" t="str">
        <f t="shared" si="2"/>
        <v>('20Aug240150','040000163477','1259',(select max(to_number(i.premium_rcv_detail_code))+1
from ins_premium_det i),'1259','1259','02', '11000003','00','Request by Mr. Saqib Saleem 21-Aug-2024 sheet2');</v>
      </c>
      <c r="H17" s="44" t="str">
        <f t="shared" si="3"/>
        <v>insert into ins_premium_det (premium_rcv_code,assorted_code, rec_amount,premium_rcv_detail_code,remaining_amt, payrec, mode_code,coinsurance_code,class_cd,it_remarks) values('20Aug240150','040000163477','1259',(select max(to_number(i.premium_rcv_detail_code))+1
from ins_premium_det i),'1259','1259','02', '11000003','00','Request by Mr. Saqib Saleem 21-Aug-2024 sheet2');</v>
      </c>
    </row>
    <row r="18" spans="1:8" ht="103.5" customHeight="1" x14ac:dyDescent="0.25">
      <c r="A18" s="35" t="s">
        <v>655</v>
      </c>
      <c r="B18" t="str">
        <f>VLOOKUP(A18,[1]Sheet1!$B$2:$C$130,2,0)</f>
        <v>040000163478</v>
      </c>
      <c r="C18" s="34">
        <v>200</v>
      </c>
      <c r="D18" s="39">
        <f t="shared" si="1"/>
        <v>200</v>
      </c>
      <c r="E18" s="38" t="s">
        <v>909</v>
      </c>
      <c r="F18" s="42" t="str">
        <f t="shared" si="0"/>
        <v>insert into ins_premium_det (premium_rcv_code,assorted_code, rec_amount,premium_rcv_detail_code,remaining_amt, payrec, mode_code,coinsurance_code,class_cd,it_remarks) values</v>
      </c>
      <c r="G18" s="43" t="str">
        <f t="shared" si="2"/>
        <v>('20Aug240150','040000163478','200',(select max(to_number(i.premium_rcv_detail_code))+1
from ins_premium_det i),'200','200','02', '11000003','00','Request by Mr. Saqib Saleem 21-Aug-2024 sheet2');</v>
      </c>
      <c r="H18" s="44" t="str">
        <f t="shared" si="3"/>
        <v>insert into ins_premium_det (premium_rcv_code,assorted_code, rec_amount,premium_rcv_detail_code,remaining_amt, payrec, mode_code,coinsurance_code,class_cd,it_remarks) values('20Aug240150','040000163478','200',(select max(to_number(i.premium_rcv_detail_code))+1
from ins_premium_det i),'200','200','02', '11000003','00','Request by Mr. Saqib Saleem 21-Aug-2024 sheet2');</v>
      </c>
    </row>
    <row r="19" spans="1:8" ht="103.5" customHeight="1" x14ac:dyDescent="0.25">
      <c r="A19" s="35" t="s">
        <v>656</v>
      </c>
      <c r="B19" t="str">
        <f>VLOOKUP(A19,[1]Sheet1!$B$2:$C$130,2,0)</f>
        <v>040000163479</v>
      </c>
      <c r="C19" s="34">
        <v>506</v>
      </c>
      <c r="D19" s="39">
        <f t="shared" si="1"/>
        <v>506</v>
      </c>
      <c r="E19" s="38" t="s">
        <v>909</v>
      </c>
      <c r="F19" s="42" t="str">
        <f t="shared" si="0"/>
        <v>insert into ins_premium_det (premium_rcv_code,assorted_code, rec_amount,premium_rcv_detail_code,remaining_amt, payrec, mode_code,coinsurance_code,class_cd,it_remarks) values</v>
      </c>
      <c r="G19" s="43" t="str">
        <f t="shared" si="2"/>
        <v>('20Aug240150','040000163479','506',(select max(to_number(i.premium_rcv_detail_code))+1
from ins_premium_det i),'506','506','02', '11000003','00','Request by Mr. Saqib Saleem 21-Aug-2024 sheet2');</v>
      </c>
      <c r="H19" s="44" t="str">
        <f t="shared" si="3"/>
        <v>insert into ins_premium_det (premium_rcv_code,assorted_code, rec_amount,premium_rcv_detail_code,remaining_amt, payrec, mode_code,coinsurance_code,class_cd,it_remarks) values('20Aug240150','040000163479','506',(select max(to_number(i.premium_rcv_detail_code))+1
from ins_premium_det i),'506','506','02', '11000003','00','Request by Mr. Saqib Saleem 21-Aug-2024 sheet2');</v>
      </c>
    </row>
    <row r="20" spans="1:8" ht="103.5" customHeight="1" x14ac:dyDescent="0.25">
      <c r="A20" s="35" t="s">
        <v>657</v>
      </c>
      <c r="B20" t="str">
        <f>VLOOKUP(A20,[1]Sheet1!$B$2:$C$130,2,0)</f>
        <v>040000163480</v>
      </c>
      <c r="C20" s="34">
        <v>356</v>
      </c>
      <c r="D20" s="39">
        <f t="shared" si="1"/>
        <v>356</v>
      </c>
      <c r="E20" s="38" t="s">
        <v>909</v>
      </c>
      <c r="F20" s="42" t="str">
        <f t="shared" si="0"/>
        <v>insert into ins_premium_det (premium_rcv_code,assorted_code, rec_amount,premium_rcv_detail_code,remaining_amt, payrec, mode_code,coinsurance_code,class_cd,it_remarks) values</v>
      </c>
      <c r="G20" s="43" t="str">
        <f t="shared" si="2"/>
        <v>('20Aug240150','040000163480','356',(select max(to_number(i.premium_rcv_detail_code))+1
from ins_premium_det i),'356','356','02', '11000003','00','Request by Mr. Saqib Saleem 21-Aug-2024 sheet2');</v>
      </c>
      <c r="H20" s="44" t="str">
        <f t="shared" si="3"/>
        <v>insert into ins_premium_det (premium_rcv_code,assorted_code, rec_amount,premium_rcv_detail_code,remaining_amt, payrec, mode_code,coinsurance_code,class_cd,it_remarks) values('20Aug240150','040000163480','356',(select max(to_number(i.premium_rcv_detail_code))+1
from ins_premium_det i),'356','356','02', '11000003','00','Request by Mr. Saqib Saleem 21-Aug-2024 sheet2');</v>
      </c>
    </row>
    <row r="21" spans="1:8" ht="103.5" customHeight="1" x14ac:dyDescent="0.25">
      <c r="A21" s="35" t="s">
        <v>658</v>
      </c>
      <c r="B21" t="str">
        <f>VLOOKUP(A21,[1]Sheet1!$B$2:$C$130,2,0)</f>
        <v>040000163481</v>
      </c>
      <c r="C21" s="34">
        <v>2983</v>
      </c>
      <c r="D21" s="39">
        <f t="shared" si="1"/>
        <v>2983</v>
      </c>
      <c r="E21" s="38" t="s">
        <v>909</v>
      </c>
      <c r="F21" s="42" t="str">
        <f t="shared" si="0"/>
        <v>insert into ins_premium_det (premium_rcv_code,assorted_code, rec_amount,premium_rcv_detail_code,remaining_amt, payrec, mode_code,coinsurance_code,class_cd,it_remarks) values</v>
      </c>
      <c r="G21" s="43" t="str">
        <f t="shared" si="2"/>
        <v>('20Aug240150','040000163481','2983',(select max(to_number(i.premium_rcv_detail_code))+1
from ins_premium_det i),'2983','2983','02', '11000003','00','Request by Mr. Saqib Saleem 21-Aug-2024 sheet2');</v>
      </c>
      <c r="H21" s="44" t="str">
        <f t="shared" si="3"/>
        <v>insert into ins_premium_det (premium_rcv_code,assorted_code, rec_amount,premium_rcv_detail_code,remaining_amt, payrec, mode_code,coinsurance_code,class_cd,it_remarks) values('20Aug240150','040000163481','2983',(select max(to_number(i.premium_rcv_detail_code))+1
from ins_premium_det i),'2983','2983','02', '11000003','00','Request by Mr. Saqib Saleem 21-Aug-2024 sheet2');</v>
      </c>
    </row>
    <row r="22" spans="1:8" ht="103.5" customHeight="1" x14ac:dyDescent="0.25">
      <c r="A22" s="35" t="s">
        <v>659</v>
      </c>
      <c r="B22" t="str">
        <f>VLOOKUP(A22,[1]Sheet1!$B$2:$C$130,2,0)</f>
        <v>040000163482</v>
      </c>
      <c r="C22" s="34">
        <v>997</v>
      </c>
      <c r="D22" s="39">
        <f t="shared" si="1"/>
        <v>997</v>
      </c>
      <c r="E22" s="38" t="s">
        <v>909</v>
      </c>
      <c r="F22" s="42" t="str">
        <f t="shared" si="0"/>
        <v>insert into ins_premium_det (premium_rcv_code,assorted_code, rec_amount,premium_rcv_detail_code,remaining_amt, payrec, mode_code,coinsurance_code,class_cd,it_remarks) values</v>
      </c>
      <c r="G22" s="43" t="str">
        <f t="shared" si="2"/>
        <v>('20Aug240150','040000163482','997',(select max(to_number(i.premium_rcv_detail_code))+1
from ins_premium_det i),'997','997','02', '11000003','00','Request by Mr. Saqib Saleem 21-Aug-2024 sheet2');</v>
      </c>
      <c r="H22" s="44" t="str">
        <f t="shared" si="3"/>
        <v>insert into ins_premium_det (premium_rcv_code,assorted_code, rec_amount,premium_rcv_detail_code,remaining_amt, payrec, mode_code,coinsurance_code,class_cd,it_remarks) values('20Aug240150','040000163482','997',(select max(to_number(i.premium_rcv_detail_code))+1
from ins_premium_det i),'997','997','02', '11000003','00','Request by Mr. Saqib Saleem 21-Aug-2024 sheet2');</v>
      </c>
    </row>
    <row r="23" spans="1:8" ht="103.5" customHeight="1" x14ac:dyDescent="0.25">
      <c r="A23" s="35" t="s">
        <v>660</v>
      </c>
      <c r="B23" t="str">
        <f>VLOOKUP(A23,[1]Sheet1!$B$2:$C$130,2,0)</f>
        <v>040000163483</v>
      </c>
      <c r="C23" s="34">
        <v>4609</v>
      </c>
      <c r="D23" s="39">
        <f t="shared" si="1"/>
        <v>4609</v>
      </c>
      <c r="E23" s="38" t="s">
        <v>909</v>
      </c>
      <c r="F23" s="42" t="str">
        <f t="shared" si="0"/>
        <v>insert into ins_premium_det (premium_rcv_code,assorted_code, rec_amount,premium_rcv_detail_code,remaining_amt, payrec, mode_code,coinsurance_code,class_cd,it_remarks) values</v>
      </c>
      <c r="G23" s="43" t="str">
        <f t="shared" si="2"/>
        <v>('20Aug240150','040000163483','4609',(select max(to_number(i.premium_rcv_detail_code))+1
from ins_premium_det i),'4609','4609','02', '11000003','00','Request by Mr. Saqib Saleem 21-Aug-2024 sheet2');</v>
      </c>
      <c r="H23" s="44" t="str">
        <f t="shared" si="3"/>
        <v>insert into ins_premium_det (premium_rcv_code,assorted_code, rec_amount,premium_rcv_detail_code,remaining_amt, payrec, mode_code,coinsurance_code,class_cd,it_remarks) values('20Aug240150','040000163483','4609',(select max(to_number(i.premium_rcv_detail_code))+1
from ins_premium_det i),'4609','4609','02', '11000003','00','Request by Mr. Saqib Saleem 21-Aug-2024 sheet2');</v>
      </c>
    </row>
    <row r="24" spans="1:8" ht="103.5" customHeight="1" x14ac:dyDescent="0.25">
      <c r="A24" s="35" t="s">
        <v>661</v>
      </c>
      <c r="B24" t="str">
        <f>VLOOKUP(A24,[1]Sheet1!$B$2:$C$130,2,0)</f>
        <v>040000163484</v>
      </c>
      <c r="C24" s="34">
        <v>599</v>
      </c>
      <c r="D24" s="39">
        <f t="shared" si="1"/>
        <v>599</v>
      </c>
      <c r="E24" s="38" t="s">
        <v>909</v>
      </c>
      <c r="F24" s="42" t="str">
        <f t="shared" si="0"/>
        <v>insert into ins_premium_det (premium_rcv_code,assorted_code, rec_amount,premium_rcv_detail_code,remaining_amt, payrec, mode_code,coinsurance_code,class_cd,it_remarks) values</v>
      </c>
      <c r="G24" s="43" t="str">
        <f t="shared" si="2"/>
        <v>('20Aug240150','040000163484','599',(select max(to_number(i.premium_rcv_detail_code))+1
from ins_premium_det i),'599','599','02', '11000003','00','Request by Mr. Saqib Saleem 21-Aug-2024 sheet2');</v>
      </c>
      <c r="H24" s="44" t="str">
        <f t="shared" si="3"/>
        <v>insert into ins_premium_det (premium_rcv_code,assorted_code, rec_amount,premium_rcv_detail_code,remaining_amt, payrec, mode_code,coinsurance_code,class_cd,it_remarks) values('20Aug240150','040000163484','599',(select max(to_number(i.premium_rcv_detail_code))+1
from ins_premium_det i),'599','599','02', '11000003','00','Request by Mr. Saqib Saleem 21-Aug-2024 sheet2');</v>
      </c>
    </row>
    <row r="25" spans="1:8" ht="103.5" customHeight="1" x14ac:dyDescent="0.25">
      <c r="A25" s="35" t="s">
        <v>662</v>
      </c>
      <c r="B25" t="str">
        <f>VLOOKUP(A25,[1]Sheet1!$B$2:$C$130,2,0)</f>
        <v>040000163485</v>
      </c>
      <c r="C25" s="34">
        <v>3393</v>
      </c>
      <c r="D25" s="39">
        <f t="shared" si="1"/>
        <v>3393</v>
      </c>
      <c r="E25" s="38" t="s">
        <v>909</v>
      </c>
      <c r="F25" s="42" t="str">
        <f t="shared" si="0"/>
        <v>insert into ins_premium_det (premium_rcv_code,assorted_code, rec_amount,premium_rcv_detail_code,remaining_amt, payrec, mode_code,coinsurance_code,class_cd,it_remarks) values</v>
      </c>
      <c r="G25" s="43" t="str">
        <f t="shared" si="2"/>
        <v>('20Aug240150','040000163485','3393',(select max(to_number(i.premium_rcv_detail_code))+1
from ins_premium_det i),'3393','3393','02', '11000003','00','Request by Mr. Saqib Saleem 21-Aug-2024 sheet2');</v>
      </c>
      <c r="H25" s="44" t="str">
        <f t="shared" si="3"/>
        <v>insert into ins_premium_det (premium_rcv_code,assorted_code, rec_amount,premium_rcv_detail_code,remaining_amt, payrec, mode_code,coinsurance_code,class_cd,it_remarks) values('20Aug240150','040000163485','3393',(select max(to_number(i.premium_rcv_detail_code))+1
from ins_premium_det i),'3393','3393','02', '11000003','00','Request by Mr. Saqib Saleem 21-Aug-2024 sheet2');</v>
      </c>
    </row>
    <row r="26" spans="1:8" ht="103.5" customHeight="1" x14ac:dyDescent="0.25">
      <c r="A26" s="35" t="s">
        <v>663</v>
      </c>
      <c r="B26" t="str">
        <f>VLOOKUP(A26,[1]Sheet1!$B$2:$C$130,2,0)</f>
        <v>040000163486</v>
      </c>
      <c r="C26" s="34">
        <v>269</v>
      </c>
      <c r="D26" s="39">
        <f t="shared" si="1"/>
        <v>269</v>
      </c>
      <c r="E26" s="38" t="s">
        <v>909</v>
      </c>
      <c r="F26" s="42" t="str">
        <f t="shared" si="0"/>
        <v>insert into ins_premium_det (premium_rcv_code,assorted_code, rec_amount,premium_rcv_detail_code,remaining_amt, payrec, mode_code,coinsurance_code,class_cd,it_remarks) values</v>
      </c>
      <c r="G26" s="43" t="str">
        <f t="shared" si="2"/>
        <v>('20Aug240150','040000163486','269',(select max(to_number(i.premium_rcv_detail_code))+1
from ins_premium_det i),'269','269','02', '11000003','00','Request by Mr. Saqib Saleem 21-Aug-2024 sheet2');</v>
      </c>
      <c r="H26" s="44" t="str">
        <f t="shared" si="3"/>
        <v>insert into ins_premium_det (premium_rcv_code,assorted_code, rec_amount,premium_rcv_detail_code,remaining_amt, payrec, mode_code,coinsurance_code,class_cd,it_remarks) values('20Aug240150','040000163486','269',(select max(to_number(i.premium_rcv_detail_code))+1
from ins_premium_det i),'269','269','02', '11000003','00','Request by Mr. Saqib Saleem 21-Aug-2024 sheet2');</v>
      </c>
    </row>
    <row r="27" spans="1:8" ht="103.5" customHeight="1" x14ac:dyDescent="0.25">
      <c r="A27" s="35" t="s">
        <v>664</v>
      </c>
      <c r="B27" t="str">
        <f>VLOOKUP(A27,[1]Sheet1!$B$2:$C$130,2,0)</f>
        <v>040000163487</v>
      </c>
      <c r="C27" s="34">
        <v>200</v>
      </c>
      <c r="D27" s="39">
        <f t="shared" si="1"/>
        <v>200</v>
      </c>
      <c r="E27" s="38" t="s">
        <v>909</v>
      </c>
      <c r="F27" s="42" t="str">
        <f t="shared" si="0"/>
        <v>insert into ins_premium_det (premium_rcv_code,assorted_code, rec_amount,premium_rcv_detail_code,remaining_amt, payrec, mode_code,coinsurance_code,class_cd,it_remarks) values</v>
      </c>
      <c r="G27" s="43" t="str">
        <f t="shared" si="2"/>
        <v>('20Aug240150','040000163487','200',(select max(to_number(i.premium_rcv_detail_code))+1
from ins_premium_det i),'200','200','02', '11000003','00','Request by Mr. Saqib Saleem 21-Aug-2024 sheet2');</v>
      </c>
      <c r="H27" s="44" t="str">
        <f t="shared" si="3"/>
        <v>insert into ins_premium_det (premium_rcv_code,assorted_code, rec_amount,premium_rcv_detail_code,remaining_amt, payrec, mode_code,coinsurance_code,class_cd,it_remarks) values('20Aug240150','040000163487','200',(select max(to_number(i.premium_rcv_detail_code))+1
from ins_premium_det i),'200','200','02', '11000003','00','Request by Mr. Saqib Saleem 21-Aug-2024 sheet2');</v>
      </c>
    </row>
    <row r="28" spans="1:8" ht="103.5" customHeight="1" x14ac:dyDescent="0.25">
      <c r="A28" s="35" t="s">
        <v>665</v>
      </c>
      <c r="B28" t="str">
        <f>VLOOKUP(A28,[1]Sheet1!$B$2:$C$130,2,0)</f>
        <v>040000163488</v>
      </c>
      <c r="C28" s="34">
        <v>200</v>
      </c>
      <c r="D28" s="39">
        <f t="shared" si="1"/>
        <v>200</v>
      </c>
      <c r="E28" s="38" t="s">
        <v>909</v>
      </c>
      <c r="F28" s="42" t="str">
        <f t="shared" si="0"/>
        <v>insert into ins_premium_det (premium_rcv_code,assorted_code, rec_amount,premium_rcv_detail_code,remaining_amt, payrec, mode_code,coinsurance_code,class_cd,it_remarks) values</v>
      </c>
      <c r="G28" s="43" t="str">
        <f t="shared" si="2"/>
        <v>('20Aug240150','040000163488','200',(select max(to_number(i.premium_rcv_detail_code))+1
from ins_premium_det i),'200','200','02', '11000003','00','Request by Mr. Saqib Saleem 21-Aug-2024 sheet2');</v>
      </c>
      <c r="H28" s="44" t="str">
        <f t="shared" si="3"/>
        <v>insert into ins_premium_det (premium_rcv_code,assorted_code, rec_amount,premium_rcv_detail_code,remaining_amt, payrec, mode_code,coinsurance_code,class_cd,it_remarks) values('20Aug240150','040000163488','200',(select max(to_number(i.premium_rcv_detail_code))+1
from ins_premium_det i),'200','200','02', '11000003','00','Request by Mr. Saqib Saleem 21-Aug-2024 sheet2');</v>
      </c>
    </row>
    <row r="29" spans="1:8" ht="103.5" customHeight="1" x14ac:dyDescent="0.25">
      <c r="A29" s="35" t="s">
        <v>666</v>
      </c>
      <c r="B29" t="str">
        <f>VLOOKUP(A29,[1]Sheet1!$B$2:$C$130,2,0)</f>
        <v>040000163489</v>
      </c>
      <c r="C29" s="34">
        <v>587</v>
      </c>
      <c r="D29" s="39">
        <f t="shared" si="1"/>
        <v>587</v>
      </c>
      <c r="E29" s="38" t="s">
        <v>909</v>
      </c>
      <c r="F29" s="42" t="str">
        <f t="shared" si="0"/>
        <v>insert into ins_premium_det (premium_rcv_code,assorted_code, rec_amount,premium_rcv_detail_code,remaining_amt, payrec, mode_code,coinsurance_code,class_cd,it_remarks) values</v>
      </c>
      <c r="G29" s="43" t="str">
        <f t="shared" si="2"/>
        <v>('20Aug240150','040000163489','587',(select max(to_number(i.premium_rcv_detail_code))+1
from ins_premium_det i),'587','587','02', '11000003','00','Request by Mr. Saqib Saleem 21-Aug-2024 sheet2');</v>
      </c>
      <c r="H29" s="44" t="str">
        <f t="shared" si="3"/>
        <v>insert into ins_premium_det (premium_rcv_code,assorted_code, rec_amount,premium_rcv_detail_code,remaining_amt, payrec, mode_code,coinsurance_code,class_cd,it_remarks) values('20Aug240150','040000163489','587',(select max(to_number(i.premium_rcv_detail_code))+1
from ins_premium_det i),'587','587','02', '11000003','00','Request by Mr. Saqib Saleem 21-Aug-2024 sheet2');</v>
      </c>
    </row>
    <row r="30" spans="1:8" ht="103.5" customHeight="1" x14ac:dyDescent="0.25">
      <c r="A30" s="35" t="s">
        <v>667</v>
      </c>
      <c r="B30" t="str">
        <f>VLOOKUP(A30,[1]Sheet1!$B$2:$C$130,2,0)</f>
        <v>040000163490</v>
      </c>
      <c r="C30" s="34">
        <v>1247</v>
      </c>
      <c r="D30" s="39">
        <f t="shared" si="1"/>
        <v>1247</v>
      </c>
      <c r="E30" s="38" t="s">
        <v>909</v>
      </c>
      <c r="F30" s="42" t="str">
        <f t="shared" si="0"/>
        <v>insert into ins_premium_det (premium_rcv_code,assorted_code, rec_amount,premium_rcv_detail_code,remaining_amt, payrec, mode_code,coinsurance_code,class_cd,it_remarks) values</v>
      </c>
      <c r="G30" s="43" t="str">
        <f t="shared" si="2"/>
        <v>('20Aug240150','040000163490','1247',(select max(to_number(i.premium_rcv_detail_code))+1
from ins_premium_det i),'1247','1247','02', '11000003','00','Request by Mr. Saqib Saleem 21-Aug-2024 sheet2');</v>
      </c>
      <c r="H30" s="44" t="str">
        <f t="shared" si="3"/>
        <v>insert into ins_premium_det (premium_rcv_code,assorted_code, rec_amount,premium_rcv_detail_code,remaining_amt, payrec, mode_code,coinsurance_code,class_cd,it_remarks) values('20Aug240150','040000163490','1247',(select max(to_number(i.premium_rcv_detail_code))+1
from ins_premium_det i),'1247','1247','02', '11000003','00','Request by Mr. Saqib Saleem 21-Aug-2024 sheet2');</v>
      </c>
    </row>
    <row r="31" spans="1:8" ht="103.5" customHeight="1" x14ac:dyDescent="0.25">
      <c r="A31" s="35" t="s">
        <v>668</v>
      </c>
      <c r="B31" t="str">
        <f>VLOOKUP(A31,[1]Sheet1!$B$2:$C$130,2,0)</f>
        <v>040000163491</v>
      </c>
      <c r="C31" s="34">
        <v>200</v>
      </c>
      <c r="D31" s="39">
        <f t="shared" si="1"/>
        <v>200</v>
      </c>
      <c r="E31" s="38" t="s">
        <v>909</v>
      </c>
      <c r="F31" s="42" t="str">
        <f t="shared" si="0"/>
        <v>insert into ins_premium_det (premium_rcv_code,assorted_code, rec_amount,premium_rcv_detail_code,remaining_amt, payrec, mode_code,coinsurance_code,class_cd,it_remarks) values</v>
      </c>
      <c r="G31" s="43" t="str">
        <f t="shared" si="2"/>
        <v>('20Aug240150','040000163491','200',(select max(to_number(i.premium_rcv_detail_code))+1
from ins_premium_det i),'200','200','02', '11000003','00','Request by Mr. Saqib Saleem 21-Aug-2024 sheet2');</v>
      </c>
      <c r="H31" s="44" t="str">
        <f t="shared" si="3"/>
        <v>insert into ins_premium_det (premium_rcv_code,assorted_code, rec_amount,premium_rcv_detail_code,remaining_amt, payrec, mode_code,coinsurance_code,class_cd,it_remarks) values('20Aug240150','040000163491','200',(select max(to_number(i.premium_rcv_detail_code))+1
from ins_premium_det i),'200','200','02', '11000003','00','Request by Mr. Saqib Saleem 21-Aug-2024 sheet2');</v>
      </c>
    </row>
    <row r="32" spans="1:8" ht="103.5" customHeight="1" x14ac:dyDescent="0.25">
      <c r="A32" s="35" t="s">
        <v>669</v>
      </c>
      <c r="B32" t="str">
        <f>VLOOKUP(A32,[1]Sheet1!$B$2:$C$130,2,0)</f>
        <v>040000163492</v>
      </c>
      <c r="C32" s="34">
        <v>6473</v>
      </c>
      <c r="D32" s="39">
        <f t="shared" si="1"/>
        <v>6473</v>
      </c>
      <c r="E32" s="38" t="s">
        <v>909</v>
      </c>
      <c r="F32" s="42" t="str">
        <f t="shared" si="0"/>
        <v>insert into ins_premium_det (premium_rcv_code,assorted_code, rec_amount,premium_rcv_detail_code,remaining_amt, payrec, mode_code,coinsurance_code,class_cd,it_remarks) values</v>
      </c>
      <c r="G32" s="43" t="str">
        <f t="shared" si="2"/>
        <v>('20Aug240150','040000163492','6473',(select max(to_number(i.premium_rcv_detail_code))+1
from ins_premium_det i),'6473','6473','02', '11000003','00','Request by Mr. Saqib Saleem 21-Aug-2024 sheet2');</v>
      </c>
      <c r="H32" s="44" t="str">
        <f t="shared" si="3"/>
        <v>insert into ins_premium_det (premium_rcv_code,assorted_code, rec_amount,premium_rcv_detail_code,remaining_amt, payrec, mode_code,coinsurance_code,class_cd,it_remarks) values('20Aug240150','040000163492','6473',(select max(to_number(i.premium_rcv_detail_code))+1
from ins_premium_det i),'6473','6473','02', '11000003','00','Request by Mr. Saqib Saleem 21-Aug-2024 sheet2');</v>
      </c>
    </row>
    <row r="33" spans="1:8" ht="103.5" customHeight="1" x14ac:dyDescent="0.25">
      <c r="A33" s="35" t="s">
        <v>670</v>
      </c>
      <c r="B33" t="str">
        <f>VLOOKUP(A33,[1]Sheet1!$B$2:$C$130,2,0)</f>
        <v>040000163493</v>
      </c>
      <c r="C33" s="34">
        <v>1713</v>
      </c>
      <c r="D33" s="39">
        <f t="shared" si="1"/>
        <v>1713</v>
      </c>
      <c r="E33" s="38" t="s">
        <v>909</v>
      </c>
      <c r="F33" s="42" t="str">
        <f t="shared" si="0"/>
        <v>insert into ins_premium_det (premium_rcv_code,assorted_code, rec_amount,premium_rcv_detail_code,remaining_amt, payrec, mode_code,coinsurance_code,class_cd,it_remarks) values</v>
      </c>
      <c r="G33" s="43" t="str">
        <f t="shared" si="2"/>
        <v>('20Aug240150','040000163493','1713',(select max(to_number(i.premium_rcv_detail_code))+1
from ins_premium_det i),'1713','1713','02', '11000003','00','Request by Mr. Saqib Saleem 21-Aug-2024 sheet2');</v>
      </c>
      <c r="H33" s="44" t="str">
        <f t="shared" si="3"/>
        <v>insert into ins_premium_det (premium_rcv_code,assorted_code, rec_amount,premium_rcv_detail_code,remaining_amt, payrec, mode_code,coinsurance_code,class_cd,it_remarks) values('20Aug240150','040000163493','1713',(select max(to_number(i.premium_rcv_detail_code))+1
from ins_premium_det i),'1713','1713','02', '11000003','00','Request by Mr. Saqib Saleem 21-Aug-2024 sheet2');</v>
      </c>
    </row>
    <row r="34" spans="1:8" ht="103.5" customHeight="1" x14ac:dyDescent="0.25">
      <c r="A34" s="35" t="s">
        <v>671</v>
      </c>
      <c r="B34" t="str">
        <f>VLOOKUP(A34,[1]Sheet1!$B$2:$C$130,2,0)</f>
        <v>040000163494</v>
      </c>
      <c r="C34" s="34">
        <v>1205</v>
      </c>
      <c r="D34" s="39">
        <f t="shared" si="1"/>
        <v>1205</v>
      </c>
      <c r="E34" s="38" t="s">
        <v>909</v>
      </c>
      <c r="F34" s="42" t="str">
        <f t="shared" si="0"/>
        <v>insert into ins_premium_det (premium_rcv_code,assorted_code, rec_amount,premium_rcv_detail_code,remaining_amt, payrec, mode_code,coinsurance_code,class_cd,it_remarks) values</v>
      </c>
      <c r="G34" s="43" t="str">
        <f t="shared" si="2"/>
        <v>('20Aug240150','040000163494','1205',(select max(to_number(i.premium_rcv_detail_code))+1
from ins_premium_det i),'1205','1205','02', '11000003','00','Request by Mr. Saqib Saleem 21-Aug-2024 sheet2');</v>
      </c>
      <c r="H34" s="44" t="str">
        <f t="shared" si="3"/>
        <v>insert into ins_premium_det (premium_rcv_code,assorted_code, rec_amount,premium_rcv_detail_code,remaining_amt, payrec, mode_code,coinsurance_code,class_cd,it_remarks) values('20Aug240150','040000163494','1205',(select max(to_number(i.premium_rcv_detail_code))+1
from ins_premium_det i),'1205','1205','02', '11000003','00','Request by Mr. Saqib Saleem 21-Aug-2024 sheet2');</v>
      </c>
    </row>
    <row r="35" spans="1:8" ht="103.5" customHeight="1" x14ac:dyDescent="0.25">
      <c r="A35" s="35" t="s">
        <v>672</v>
      </c>
      <c r="B35" t="str">
        <f>VLOOKUP(A35,[1]Sheet1!$B$2:$C$130,2,0)</f>
        <v>040000163495</v>
      </c>
      <c r="C35" s="34">
        <v>3013</v>
      </c>
      <c r="D35" s="39">
        <f t="shared" si="1"/>
        <v>3013</v>
      </c>
      <c r="E35" s="38" t="s">
        <v>909</v>
      </c>
      <c r="F35" s="42" t="str">
        <f t="shared" si="0"/>
        <v>insert into ins_premium_det (premium_rcv_code,assorted_code, rec_amount,premium_rcv_detail_code,remaining_amt, payrec, mode_code,coinsurance_code,class_cd,it_remarks) values</v>
      </c>
      <c r="G35" s="43" t="str">
        <f t="shared" si="2"/>
        <v>('20Aug240150','040000163495','3013',(select max(to_number(i.premium_rcv_detail_code))+1
from ins_premium_det i),'3013','3013','02', '11000003','00','Request by Mr. Saqib Saleem 21-Aug-2024 sheet2');</v>
      </c>
      <c r="H35" s="44" t="str">
        <f t="shared" si="3"/>
        <v>insert into ins_premium_det (premium_rcv_code,assorted_code, rec_amount,premium_rcv_detail_code,remaining_amt, payrec, mode_code,coinsurance_code,class_cd,it_remarks) values('20Aug240150','040000163495','3013',(select max(to_number(i.premium_rcv_detail_code))+1
from ins_premium_det i),'3013','3013','02', '11000003','00','Request by Mr. Saqib Saleem 21-Aug-2024 sheet2');</v>
      </c>
    </row>
    <row r="36" spans="1:8" ht="103.5" customHeight="1" x14ac:dyDescent="0.25">
      <c r="A36" s="35" t="s">
        <v>673</v>
      </c>
      <c r="B36" t="str">
        <f>VLOOKUP(A36,[1]Sheet1!$B$2:$C$130,2,0)</f>
        <v>040000163496</v>
      </c>
      <c r="C36" s="34">
        <v>1735</v>
      </c>
      <c r="D36" s="39">
        <f t="shared" si="1"/>
        <v>1735</v>
      </c>
      <c r="E36" s="38" t="s">
        <v>909</v>
      </c>
      <c r="F36" s="42" t="str">
        <f t="shared" si="0"/>
        <v>insert into ins_premium_det (premium_rcv_code,assorted_code, rec_amount,premium_rcv_detail_code,remaining_amt, payrec, mode_code,coinsurance_code,class_cd,it_remarks) values</v>
      </c>
      <c r="G36" s="43" t="str">
        <f t="shared" si="2"/>
        <v>('20Aug240150','040000163496','1735',(select max(to_number(i.premium_rcv_detail_code))+1
from ins_premium_det i),'1735','1735','02', '11000003','00','Request by Mr. Saqib Saleem 21-Aug-2024 sheet2');</v>
      </c>
      <c r="H36" s="44" t="str">
        <f t="shared" si="3"/>
        <v>insert into ins_premium_det (premium_rcv_code,assorted_code, rec_amount,premium_rcv_detail_code,remaining_amt, payrec, mode_code,coinsurance_code,class_cd,it_remarks) values('20Aug240150','040000163496','1735',(select max(to_number(i.premium_rcv_detail_code))+1
from ins_premium_det i),'1735','1735','02', '11000003','00','Request by Mr. Saqib Saleem 21-Aug-2024 sheet2');</v>
      </c>
    </row>
    <row r="37" spans="1:8" ht="103.5" customHeight="1" x14ac:dyDescent="0.25">
      <c r="A37" s="35" t="s">
        <v>674</v>
      </c>
      <c r="B37" t="str">
        <f>VLOOKUP(A37,[1]Sheet1!$B$2:$C$130,2,0)</f>
        <v>040000163497</v>
      </c>
      <c r="C37" s="34">
        <v>200</v>
      </c>
      <c r="D37" s="39">
        <f t="shared" si="1"/>
        <v>200</v>
      </c>
      <c r="E37" s="38" t="s">
        <v>909</v>
      </c>
      <c r="F37" s="42" t="str">
        <f t="shared" si="0"/>
        <v>insert into ins_premium_det (premium_rcv_code,assorted_code, rec_amount,premium_rcv_detail_code,remaining_amt, payrec, mode_code,coinsurance_code,class_cd,it_remarks) values</v>
      </c>
      <c r="G37" s="43" t="str">
        <f t="shared" si="2"/>
        <v>('20Aug240150','040000163497','200',(select max(to_number(i.premium_rcv_detail_code))+1
from ins_premium_det i),'200','200','02', '11000003','00','Request by Mr. Saqib Saleem 21-Aug-2024 sheet2');</v>
      </c>
      <c r="H37" s="44" t="str">
        <f t="shared" si="3"/>
        <v>insert into ins_premium_det (premium_rcv_code,assorted_code, rec_amount,premium_rcv_detail_code,remaining_amt, payrec, mode_code,coinsurance_code,class_cd,it_remarks) values('20Aug240150','040000163497','200',(select max(to_number(i.premium_rcv_detail_code))+1
from ins_premium_det i),'200','200','02', '11000003','00','Request by Mr. Saqib Saleem 21-Aug-2024 sheet2');</v>
      </c>
    </row>
    <row r="38" spans="1:8" ht="103.5" customHeight="1" x14ac:dyDescent="0.25">
      <c r="A38" s="35" t="s">
        <v>675</v>
      </c>
      <c r="B38" t="str">
        <f>VLOOKUP(A38,[1]Sheet1!$B$2:$C$130,2,0)</f>
        <v>040000163498</v>
      </c>
      <c r="C38" s="34">
        <v>1511</v>
      </c>
      <c r="D38" s="39">
        <f t="shared" si="1"/>
        <v>1511</v>
      </c>
      <c r="E38" s="38" t="s">
        <v>909</v>
      </c>
      <c r="F38" s="42" t="str">
        <f t="shared" si="0"/>
        <v>insert into ins_premium_det (premium_rcv_code,assorted_code, rec_amount,premium_rcv_detail_code,remaining_amt, payrec, mode_code,coinsurance_code,class_cd,it_remarks) values</v>
      </c>
      <c r="G38" s="43" t="str">
        <f t="shared" si="2"/>
        <v>('20Aug240150','040000163498','1511',(select max(to_number(i.premium_rcv_detail_code))+1
from ins_premium_det i),'1511','1511','02', '11000003','00','Request by Mr. Saqib Saleem 21-Aug-2024 sheet2');</v>
      </c>
      <c r="H38" s="44" t="str">
        <f t="shared" si="3"/>
        <v>insert into ins_premium_det (premium_rcv_code,assorted_code, rec_amount,premium_rcv_detail_code,remaining_amt, payrec, mode_code,coinsurance_code,class_cd,it_remarks) values('20Aug240150','040000163498','1511',(select max(to_number(i.premium_rcv_detail_code))+1
from ins_premium_det i),'1511','1511','02', '11000003','00','Request by Mr. Saqib Saleem 21-Aug-2024 sheet2');</v>
      </c>
    </row>
    <row r="39" spans="1:8" ht="103.5" customHeight="1" x14ac:dyDescent="0.25">
      <c r="A39" s="35" t="s">
        <v>676</v>
      </c>
      <c r="B39" t="str">
        <f>VLOOKUP(A39,[1]Sheet1!$B$2:$C$130,2,0)</f>
        <v>040000163499</v>
      </c>
      <c r="C39" s="34">
        <v>2025</v>
      </c>
      <c r="D39" s="39">
        <f t="shared" si="1"/>
        <v>2025</v>
      </c>
      <c r="E39" s="38" t="s">
        <v>909</v>
      </c>
      <c r="F39" s="42" t="str">
        <f t="shared" si="0"/>
        <v>insert into ins_premium_det (premium_rcv_code,assorted_code, rec_amount,premium_rcv_detail_code,remaining_amt, payrec, mode_code,coinsurance_code,class_cd,it_remarks) values</v>
      </c>
      <c r="G39" s="43" t="str">
        <f t="shared" si="2"/>
        <v>('20Aug240150','040000163499','2025',(select max(to_number(i.premium_rcv_detail_code))+1
from ins_premium_det i),'2025','2025','02', '11000003','00','Request by Mr. Saqib Saleem 21-Aug-2024 sheet2');</v>
      </c>
      <c r="H39" s="44" t="str">
        <f t="shared" si="3"/>
        <v>insert into ins_premium_det (premium_rcv_code,assorted_code, rec_amount,premium_rcv_detail_code,remaining_amt, payrec, mode_code,coinsurance_code,class_cd,it_remarks) values('20Aug240150','040000163499','2025',(select max(to_number(i.premium_rcv_detail_code))+1
from ins_premium_det i),'2025','2025','02', '11000003','00','Request by Mr. Saqib Saleem 21-Aug-2024 sheet2');</v>
      </c>
    </row>
    <row r="40" spans="1:8" ht="103.5" customHeight="1" x14ac:dyDescent="0.25">
      <c r="A40" s="35" t="s">
        <v>677</v>
      </c>
      <c r="B40" t="str">
        <f>VLOOKUP(A40,[1]Sheet1!$B$2:$C$130,2,0)</f>
        <v>040000163500</v>
      </c>
      <c r="C40" s="34">
        <v>759</v>
      </c>
      <c r="D40" s="39">
        <f t="shared" si="1"/>
        <v>759</v>
      </c>
      <c r="E40" s="38" t="s">
        <v>909</v>
      </c>
      <c r="F40" s="42" t="str">
        <f t="shared" si="0"/>
        <v>insert into ins_premium_det (premium_rcv_code,assorted_code, rec_amount,premium_rcv_detail_code,remaining_amt, payrec, mode_code,coinsurance_code,class_cd,it_remarks) values</v>
      </c>
      <c r="G40" s="43" t="str">
        <f t="shared" si="2"/>
        <v>('20Aug240150','040000163500','759',(select max(to_number(i.premium_rcv_detail_code))+1
from ins_premium_det i),'759','759','02', '11000003','00','Request by Mr. Saqib Saleem 21-Aug-2024 sheet2');</v>
      </c>
      <c r="H40" s="44" t="str">
        <f t="shared" si="3"/>
        <v>insert into ins_premium_det (premium_rcv_code,assorted_code, rec_amount,premium_rcv_detail_code,remaining_amt, payrec, mode_code,coinsurance_code,class_cd,it_remarks) values('20Aug240150','040000163500','759',(select max(to_number(i.premium_rcv_detail_code))+1
from ins_premium_det i),'759','759','02', '11000003','00','Request by Mr. Saqib Saleem 21-Aug-2024 sheet2');</v>
      </c>
    </row>
    <row r="41" spans="1:8" ht="103.5" customHeight="1" x14ac:dyDescent="0.25">
      <c r="A41" s="35" t="s">
        <v>678</v>
      </c>
      <c r="B41" t="str">
        <f>VLOOKUP(A41,[1]Sheet1!$B$2:$C$130,2,0)</f>
        <v>040000163501</v>
      </c>
      <c r="C41" s="34">
        <v>3154</v>
      </c>
      <c r="D41" s="39">
        <f t="shared" si="1"/>
        <v>3154</v>
      </c>
      <c r="E41" s="38" t="s">
        <v>909</v>
      </c>
      <c r="F41" s="42" t="str">
        <f t="shared" si="0"/>
        <v>insert into ins_premium_det (premium_rcv_code,assorted_code, rec_amount,premium_rcv_detail_code,remaining_amt, payrec, mode_code,coinsurance_code,class_cd,it_remarks) values</v>
      </c>
      <c r="G41" s="43" t="str">
        <f t="shared" si="2"/>
        <v>('20Aug240150','040000163501','3154',(select max(to_number(i.premium_rcv_detail_code))+1
from ins_premium_det i),'3154','3154','02', '11000003','00','Request by Mr. Saqib Saleem 21-Aug-2024 sheet2');</v>
      </c>
      <c r="H41" s="44" t="str">
        <f t="shared" si="3"/>
        <v>insert into ins_premium_det (premium_rcv_code,assorted_code, rec_amount,premium_rcv_detail_code,remaining_amt, payrec, mode_code,coinsurance_code,class_cd,it_remarks) values('20Aug240150','040000163501','3154',(select max(to_number(i.premium_rcv_detail_code))+1
from ins_premium_det i),'3154','3154','02', '11000003','00','Request by Mr. Saqib Saleem 21-Aug-2024 sheet2');</v>
      </c>
    </row>
    <row r="42" spans="1:8" ht="103.5" customHeight="1" x14ac:dyDescent="0.25">
      <c r="A42" s="35" t="s">
        <v>679</v>
      </c>
      <c r="B42" t="str">
        <f>VLOOKUP(A42,[1]Sheet1!$B$2:$C$130,2,0)</f>
        <v>040000163502</v>
      </c>
      <c r="C42" s="34">
        <v>547</v>
      </c>
      <c r="D42" s="39">
        <f t="shared" si="1"/>
        <v>547</v>
      </c>
      <c r="E42" s="38" t="s">
        <v>909</v>
      </c>
      <c r="F42" s="42" t="str">
        <f t="shared" si="0"/>
        <v>insert into ins_premium_det (premium_rcv_code,assorted_code, rec_amount,premium_rcv_detail_code,remaining_amt, payrec, mode_code,coinsurance_code,class_cd,it_remarks) values</v>
      </c>
      <c r="G42" s="43" t="str">
        <f t="shared" si="2"/>
        <v>('20Aug240150','040000163502','547',(select max(to_number(i.premium_rcv_detail_code))+1
from ins_premium_det i),'547','547','02', '11000003','00','Request by Mr. Saqib Saleem 21-Aug-2024 sheet2');</v>
      </c>
      <c r="H42" s="44" t="str">
        <f t="shared" si="3"/>
        <v>insert into ins_premium_det (premium_rcv_code,assorted_code, rec_amount,premium_rcv_detail_code,remaining_amt, payrec, mode_code,coinsurance_code,class_cd,it_remarks) values('20Aug240150','040000163502','547',(select max(to_number(i.premium_rcv_detail_code))+1
from ins_premium_det i),'547','547','02', '11000003','00','Request by Mr. Saqib Saleem 21-Aug-2024 sheet2');</v>
      </c>
    </row>
    <row r="43" spans="1:8" ht="103.5" customHeight="1" x14ac:dyDescent="0.25">
      <c r="A43" s="35" t="s">
        <v>680</v>
      </c>
      <c r="B43" t="str">
        <f>VLOOKUP(A43,[1]Sheet1!$B$2:$C$130,2,0)</f>
        <v>040000163503</v>
      </c>
      <c r="C43" s="34">
        <v>625</v>
      </c>
      <c r="D43" s="39">
        <f t="shared" si="1"/>
        <v>625</v>
      </c>
      <c r="E43" s="38" t="s">
        <v>909</v>
      </c>
      <c r="F43" s="42" t="str">
        <f t="shared" si="0"/>
        <v>insert into ins_premium_det (premium_rcv_code,assorted_code, rec_amount,premium_rcv_detail_code,remaining_amt, payrec, mode_code,coinsurance_code,class_cd,it_remarks) values</v>
      </c>
      <c r="G43" s="43" t="str">
        <f t="shared" si="2"/>
        <v>('20Aug240150','040000163503','625',(select max(to_number(i.premium_rcv_detail_code))+1
from ins_premium_det i),'625','625','02', '11000003','00','Request by Mr. Saqib Saleem 21-Aug-2024 sheet2');</v>
      </c>
      <c r="H43" s="44" t="str">
        <f t="shared" si="3"/>
        <v>insert into ins_premium_det (premium_rcv_code,assorted_code, rec_amount,premium_rcv_detail_code,remaining_amt, payrec, mode_code,coinsurance_code,class_cd,it_remarks) values('20Aug240150','040000163503','625',(select max(to_number(i.premium_rcv_detail_code))+1
from ins_premium_det i),'625','625','02', '11000003','00','Request by Mr. Saqib Saleem 21-Aug-2024 sheet2');</v>
      </c>
    </row>
    <row r="44" spans="1:8" ht="103.5" customHeight="1" x14ac:dyDescent="0.25">
      <c r="A44" s="35" t="s">
        <v>681</v>
      </c>
      <c r="B44" t="str">
        <f>VLOOKUP(A44,[1]Sheet1!$B$2:$C$130,2,0)</f>
        <v>040000163504</v>
      </c>
      <c r="C44" s="34">
        <v>5750</v>
      </c>
      <c r="D44" s="39">
        <f t="shared" si="1"/>
        <v>5750</v>
      </c>
      <c r="E44" s="38" t="s">
        <v>909</v>
      </c>
      <c r="F44" s="42" t="str">
        <f t="shared" si="0"/>
        <v>insert into ins_premium_det (premium_rcv_code,assorted_code, rec_amount,premium_rcv_detail_code,remaining_amt, payrec, mode_code,coinsurance_code,class_cd,it_remarks) values</v>
      </c>
      <c r="G44" s="43" t="str">
        <f t="shared" si="2"/>
        <v>('20Aug240150','040000163504','5750',(select max(to_number(i.premium_rcv_detail_code))+1
from ins_premium_det i),'5750','5750','02', '11000003','00','Request by Mr. Saqib Saleem 21-Aug-2024 sheet2');</v>
      </c>
      <c r="H44" s="44" t="str">
        <f t="shared" si="3"/>
        <v>insert into ins_premium_det (premium_rcv_code,assorted_code, rec_amount,premium_rcv_detail_code,remaining_amt, payrec, mode_code,coinsurance_code,class_cd,it_remarks) values('20Aug240150','040000163504','5750',(select max(to_number(i.premium_rcv_detail_code))+1
from ins_premium_det i),'5750','5750','02', '11000003','00','Request by Mr. Saqib Saleem 21-Aug-2024 sheet2');</v>
      </c>
    </row>
    <row r="45" spans="1:8" ht="103.5" customHeight="1" x14ac:dyDescent="0.25">
      <c r="A45" s="35" t="s">
        <v>682</v>
      </c>
      <c r="B45" t="str">
        <f>VLOOKUP(A45,[1]Sheet1!$B$2:$C$130,2,0)</f>
        <v>040000163505</v>
      </c>
      <c r="C45" s="34">
        <v>1015</v>
      </c>
      <c r="D45" s="39">
        <f t="shared" si="1"/>
        <v>1015</v>
      </c>
      <c r="E45" s="38" t="s">
        <v>909</v>
      </c>
      <c r="F45" s="42" t="str">
        <f t="shared" si="0"/>
        <v>insert into ins_premium_det (premium_rcv_code,assorted_code, rec_amount,premium_rcv_detail_code,remaining_amt, payrec, mode_code,coinsurance_code,class_cd,it_remarks) values</v>
      </c>
      <c r="G45" s="43" t="str">
        <f t="shared" si="2"/>
        <v>('20Aug240150','040000163505','1015',(select max(to_number(i.premium_rcv_detail_code))+1
from ins_premium_det i),'1015','1015','02', '11000003','00','Request by Mr. Saqib Saleem 21-Aug-2024 sheet2');</v>
      </c>
      <c r="H45" s="44" t="str">
        <f t="shared" si="3"/>
        <v>insert into ins_premium_det (premium_rcv_code,assorted_code, rec_amount,premium_rcv_detail_code,remaining_amt, payrec, mode_code,coinsurance_code,class_cd,it_remarks) values('20Aug240150','040000163505','1015',(select max(to_number(i.premium_rcv_detail_code))+1
from ins_premium_det i),'1015','1015','02', '11000003','00','Request by Mr. Saqib Saleem 21-Aug-2024 sheet2');</v>
      </c>
    </row>
    <row r="46" spans="1:8" ht="103.5" customHeight="1" x14ac:dyDescent="0.25">
      <c r="A46" s="35" t="s">
        <v>683</v>
      </c>
      <c r="B46" t="str">
        <f>VLOOKUP(A46,[1]Sheet1!$B$2:$C$130,2,0)</f>
        <v>040000163506</v>
      </c>
      <c r="C46" s="34">
        <v>1541</v>
      </c>
      <c r="D46" s="39">
        <f t="shared" si="1"/>
        <v>1541</v>
      </c>
      <c r="E46" s="38" t="s">
        <v>909</v>
      </c>
      <c r="F46" s="42" t="str">
        <f t="shared" si="0"/>
        <v>insert into ins_premium_det (premium_rcv_code,assorted_code, rec_amount,premium_rcv_detail_code,remaining_amt, payrec, mode_code,coinsurance_code,class_cd,it_remarks) values</v>
      </c>
      <c r="G46" s="43" t="str">
        <f t="shared" si="2"/>
        <v>('20Aug240150','040000163506','1541',(select max(to_number(i.premium_rcv_detail_code))+1
from ins_premium_det i),'1541','1541','02', '11000003','00','Request by Mr. Saqib Saleem 21-Aug-2024 sheet2');</v>
      </c>
      <c r="H46" s="44" t="str">
        <f t="shared" si="3"/>
        <v>insert into ins_premium_det (premium_rcv_code,assorted_code, rec_amount,premium_rcv_detail_code,remaining_amt, payrec, mode_code,coinsurance_code,class_cd,it_remarks) values('20Aug240150','040000163506','1541',(select max(to_number(i.premium_rcv_detail_code))+1
from ins_premium_det i),'1541','1541','02', '11000003','00','Request by Mr. Saqib Saleem 21-Aug-2024 sheet2');</v>
      </c>
    </row>
    <row r="47" spans="1:8" ht="103.5" customHeight="1" x14ac:dyDescent="0.25">
      <c r="A47" s="35" t="s">
        <v>684</v>
      </c>
      <c r="B47" t="str">
        <f>VLOOKUP(A47,[1]Sheet1!$B$2:$C$130,2,0)</f>
        <v>040000163507</v>
      </c>
      <c r="C47" s="34">
        <v>427</v>
      </c>
      <c r="D47" s="39">
        <f t="shared" si="1"/>
        <v>427</v>
      </c>
      <c r="E47" s="38" t="s">
        <v>909</v>
      </c>
      <c r="F47" s="42" t="str">
        <f t="shared" si="0"/>
        <v>insert into ins_premium_det (premium_rcv_code,assorted_code, rec_amount,premium_rcv_detail_code,remaining_amt, payrec, mode_code,coinsurance_code,class_cd,it_remarks) values</v>
      </c>
      <c r="G47" s="43" t="str">
        <f t="shared" si="2"/>
        <v>('20Aug240150','040000163507','427',(select max(to_number(i.premium_rcv_detail_code))+1
from ins_premium_det i),'427','427','02', '11000003','00','Request by Mr. Saqib Saleem 21-Aug-2024 sheet2');</v>
      </c>
      <c r="H47" s="44" t="str">
        <f t="shared" si="3"/>
        <v>insert into ins_premium_det (premium_rcv_code,assorted_code, rec_amount,premium_rcv_detail_code,remaining_amt, payrec, mode_code,coinsurance_code,class_cd,it_remarks) values('20Aug240150','040000163507','427',(select max(to_number(i.premium_rcv_detail_code))+1
from ins_premium_det i),'427','427','02', '11000003','00','Request by Mr. Saqib Saleem 21-Aug-2024 sheet2');</v>
      </c>
    </row>
    <row r="48" spans="1:8" ht="103.5" customHeight="1" x14ac:dyDescent="0.25">
      <c r="A48" s="35" t="s">
        <v>685</v>
      </c>
      <c r="B48" t="str">
        <f>VLOOKUP(A48,[1]Sheet1!$B$2:$C$130,2,0)</f>
        <v>040000163508</v>
      </c>
      <c r="C48" s="34">
        <v>2123</v>
      </c>
      <c r="D48" s="39">
        <f t="shared" si="1"/>
        <v>2123</v>
      </c>
      <c r="E48" s="38" t="s">
        <v>909</v>
      </c>
      <c r="F48" s="42" t="str">
        <f t="shared" si="0"/>
        <v>insert into ins_premium_det (premium_rcv_code,assorted_code, rec_amount,premium_rcv_detail_code,remaining_amt, payrec, mode_code,coinsurance_code,class_cd,it_remarks) values</v>
      </c>
      <c r="G48" s="43" t="str">
        <f t="shared" si="2"/>
        <v>('20Aug240150','040000163508','2123',(select max(to_number(i.premium_rcv_detail_code))+1
from ins_premium_det i),'2123','2123','02', '11000003','00','Request by Mr. Saqib Saleem 21-Aug-2024 sheet2');</v>
      </c>
      <c r="H48" s="44" t="str">
        <f t="shared" si="3"/>
        <v>insert into ins_premium_det (premium_rcv_code,assorted_code, rec_amount,premium_rcv_detail_code,remaining_amt, payrec, mode_code,coinsurance_code,class_cd,it_remarks) values('20Aug240150','040000163508','2123',(select max(to_number(i.premium_rcv_detail_code))+1
from ins_premium_det i),'2123','2123','02', '11000003','00','Request by Mr. Saqib Saleem 21-Aug-2024 sheet2');</v>
      </c>
    </row>
    <row r="49" spans="1:8" ht="103.5" customHeight="1" x14ac:dyDescent="0.25">
      <c r="A49" s="35" t="s">
        <v>686</v>
      </c>
      <c r="B49" t="str">
        <f>VLOOKUP(A49,[1]Sheet1!$B$2:$C$130,2,0)</f>
        <v>040000163509</v>
      </c>
      <c r="C49" s="34">
        <v>685</v>
      </c>
      <c r="D49" s="39">
        <f t="shared" si="1"/>
        <v>685</v>
      </c>
      <c r="E49" s="38" t="s">
        <v>909</v>
      </c>
      <c r="F49" s="42" t="str">
        <f t="shared" si="0"/>
        <v>insert into ins_premium_det (premium_rcv_code,assorted_code, rec_amount,premium_rcv_detail_code,remaining_amt, payrec, mode_code,coinsurance_code,class_cd,it_remarks) values</v>
      </c>
      <c r="G49" s="43" t="str">
        <f t="shared" si="2"/>
        <v>('20Aug240150','040000163509','685',(select max(to_number(i.premium_rcv_detail_code))+1
from ins_premium_det i),'685','685','02', '11000003','00','Request by Mr. Saqib Saleem 21-Aug-2024 sheet2');</v>
      </c>
      <c r="H49" s="44" t="str">
        <f t="shared" si="3"/>
        <v>insert into ins_premium_det (premium_rcv_code,assorted_code, rec_amount,premium_rcv_detail_code,remaining_amt, payrec, mode_code,coinsurance_code,class_cd,it_remarks) values('20Aug240150','040000163509','685',(select max(to_number(i.premium_rcv_detail_code))+1
from ins_premium_det i),'685','685','02', '11000003','00','Request by Mr. Saqib Saleem 21-Aug-2024 sheet2');</v>
      </c>
    </row>
    <row r="50" spans="1:8" ht="103.5" customHeight="1" x14ac:dyDescent="0.25">
      <c r="A50" s="35" t="s">
        <v>687</v>
      </c>
      <c r="B50" t="str">
        <f>VLOOKUP(A50,[1]Sheet1!$B$2:$C$130,2,0)</f>
        <v>040000163510</v>
      </c>
      <c r="C50" s="34">
        <v>1132</v>
      </c>
      <c r="D50" s="39">
        <f t="shared" si="1"/>
        <v>1132</v>
      </c>
      <c r="E50" s="38" t="s">
        <v>909</v>
      </c>
      <c r="F50" s="42" t="str">
        <f t="shared" si="0"/>
        <v>insert into ins_premium_det (premium_rcv_code,assorted_code, rec_amount,premium_rcv_detail_code,remaining_amt, payrec, mode_code,coinsurance_code,class_cd,it_remarks) values</v>
      </c>
      <c r="G50" s="43" t="str">
        <f t="shared" si="2"/>
        <v>('20Aug240150','040000163510','1132',(select max(to_number(i.premium_rcv_detail_code))+1
from ins_premium_det i),'1132','1132','02', '11000003','00','Request by Mr. Saqib Saleem 21-Aug-2024 sheet2');</v>
      </c>
      <c r="H50" s="44" t="str">
        <f t="shared" si="3"/>
        <v>insert into ins_premium_det (premium_rcv_code,assorted_code, rec_amount,premium_rcv_detail_code,remaining_amt, payrec, mode_code,coinsurance_code,class_cd,it_remarks) values('20Aug240150','040000163510','1132',(select max(to_number(i.premium_rcv_detail_code))+1
from ins_premium_det i),'1132','1132','02', '11000003','00','Request by Mr. Saqib Saleem 21-Aug-2024 sheet2');</v>
      </c>
    </row>
    <row r="51" spans="1:8" ht="103.5" customHeight="1" x14ac:dyDescent="0.25">
      <c r="A51" s="35" t="s">
        <v>688</v>
      </c>
      <c r="B51" t="str">
        <f>VLOOKUP(A51,[1]Sheet1!$B$2:$C$130,2,0)</f>
        <v>040000163511</v>
      </c>
      <c r="C51" s="34">
        <v>1629</v>
      </c>
      <c r="D51" s="39">
        <f t="shared" si="1"/>
        <v>1629</v>
      </c>
      <c r="E51" s="38" t="s">
        <v>909</v>
      </c>
      <c r="F51" s="42" t="str">
        <f t="shared" si="0"/>
        <v>insert into ins_premium_det (premium_rcv_code,assorted_code, rec_amount,premium_rcv_detail_code,remaining_amt, payrec, mode_code,coinsurance_code,class_cd,it_remarks) values</v>
      </c>
      <c r="G51" s="43" t="str">
        <f t="shared" si="2"/>
        <v>('20Aug240150','040000163511','1629',(select max(to_number(i.premium_rcv_detail_code))+1
from ins_premium_det i),'1629','1629','02', '11000003','00','Request by Mr. Saqib Saleem 21-Aug-2024 sheet2');</v>
      </c>
      <c r="H51" s="44" t="str">
        <f t="shared" si="3"/>
        <v>insert into ins_premium_det (premium_rcv_code,assorted_code, rec_amount,premium_rcv_detail_code,remaining_amt, payrec, mode_code,coinsurance_code,class_cd,it_remarks) values('20Aug240150','040000163511','1629',(select max(to_number(i.premium_rcv_detail_code))+1
from ins_premium_det i),'1629','1629','02', '11000003','00','Request by Mr. Saqib Saleem 21-Aug-2024 sheet2');</v>
      </c>
    </row>
    <row r="52" spans="1:8" ht="103.5" customHeight="1" x14ac:dyDescent="0.25">
      <c r="A52" s="35" t="s">
        <v>689</v>
      </c>
      <c r="B52" t="str">
        <f>VLOOKUP(A52,[1]Sheet1!$B$2:$C$130,2,0)</f>
        <v>040000163512</v>
      </c>
      <c r="C52" s="34">
        <v>1429</v>
      </c>
      <c r="D52" s="39">
        <f t="shared" si="1"/>
        <v>1429</v>
      </c>
      <c r="E52" s="38" t="s">
        <v>909</v>
      </c>
      <c r="F52" s="42" t="str">
        <f t="shared" si="0"/>
        <v>insert into ins_premium_det (premium_rcv_code,assorted_code, rec_amount,premium_rcv_detail_code,remaining_amt, payrec, mode_code,coinsurance_code,class_cd,it_remarks) values</v>
      </c>
      <c r="G52" s="43" t="str">
        <f t="shared" si="2"/>
        <v>('20Aug240150','040000163512','1429',(select max(to_number(i.premium_rcv_detail_code))+1
from ins_premium_det i),'1429','1429','02', '11000003','00','Request by Mr. Saqib Saleem 21-Aug-2024 sheet2');</v>
      </c>
      <c r="H52" s="44" t="str">
        <f t="shared" si="3"/>
        <v>insert into ins_premium_det (premium_rcv_code,assorted_code, rec_amount,premium_rcv_detail_code,remaining_amt, payrec, mode_code,coinsurance_code,class_cd,it_remarks) values('20Aug240150','040000163512','1429',(select max(to_number(i.premium_rcv_detail_code))+1
from ins_premium_det i),'1429','1429','02', '11000003','00','Request by Mr. Saqib Saleem 21-Aug-2024 sheet2');</v>
      </c>
    </row>
    <row r="53" spans="1:8" ht="103.5" customHeight="1" x14ac:dyDescent="0.25">
      <c r="A53" s="35" t="s">
        <v>690</v>
      </c>
      <c r="B53" t="str">
        <f>VLOOKUP(A53,[1]Sheet1!$B$2:$C$130,2,0)</f>
        <v>040000163513</v>
      </c>
      <c r="C53" s="34">
        <v>1300</v>
      </c>
      <c r="D53" s="39">
        <f t="shared" si="1"/>
        <v>1300</v>
      </c>
      <c r="E53" s="38" t="s">
        <v>909</v>
      </c>
      <c r="F53" s="42" t="str">
        <f t="shared" si="0"/>
        <v>insert into ins_premium_det (premium_rcv_code,assorted_code, rec_amount,premium_rcv_detail_code,remaining_amt, payrec, mode_code,coinsurance_code,class_cd,it_remarks) values</v>
      </c>
      <c r="G53" s="43" t="str">
        <f t="shared" si="2"/>
        <v>('20Aug240150','040000163513','1300',(select max(to_number(i.premium_rcv_detail_code))+1
from ins_premium_det i),'1300','1300','02', '11000003','00','Request by Mr. Saqib Saleem 21-Aug-2024 sheet2');</v>
      </c>
      <c r="H53" s="44" t="str">
        <f t="shared" si="3"/>
        <v>insert into ins_premium_det (premium_rcv_code,assorted_code, rec_amount,premium_rcv_detail_code,remaining_amt, payrec, mode_code,coinsurance_code,class_cd,it_remarks) values('20Aug240150','040000163513','1300',(select max(to_number(i.premium_rcv_detail_code))+1
from ins_premium_det i),'1300','1300','02', '11000003','00','Request by Mr. Saqib Saleem 21-Aug-2024 sheet2');</v>
      </c>
    </row>
    <row r="54" spans="1:8" ht="103.5" customHeight="1" x14ac:dyDescent="0.25">
      <c r="A54" s="35" t="s">
        <v>691</v>
      </c>
      <c r="B54" t="str">
        <f>VLOOKUP(A54,[1]Sheet1!$B$2:$C$130,2,0)</f>
        <v>040000163514</v>
      </c>
      <c r="C54" s="34">
        <v>1384</v>
      </c>
      <c r="D54" s="39">
        <f t="shared" si="1"/>
        <v>1384</v>
      </c>
      <c r="E54" s="38" t="s">
        <v>909</v>
      </c>
      <c r="F54" s="42" t="str">
        <f t="shared" si="0"/>
        <v>insert into ins_premium_det (premium_rcv_code,assorted_code, rec_amount,premium_rcv_detail_code,remaining_amt, payrec, mode_code,coinsurance_code,class_cd,it_remarks) values</v>
      </c>
      <c r="G54" s="43" t="str">
        <f t="shared" si="2"/>
        <v>('20Aug240150','040000163514','1384',(select max(to_number(i.premium_rcv_detail_code))+1
from ins_premium_det i),'1384','1384','02', '11000003','00','Request by Mr. Saqib Saleem 21-Aug-2024 sheet2');</v>
      </c>
      <c r="H54" s="44" t="str">
        <f t="shared" si="3"/>
        <v>insert into ins_premium_det (premium_rcv_code,assorted_code, rec_amount,premium_rcv_detail_code,remaining_amt, payrec, mode_code,coinsurance_code,class_cd,it_remarks) values('20Aug240150','040000163514','1384',(select max(to_number(i.premium_rcv_detail_code))+1
from ins_premium_det i),'1384','1384','02', '11000003','00','Request by Mr. Saqib Saleem 21-Aug-2024 sheet2');</v>
      </c>
    </row>
    <row r="55" spans="1:8" ht="103.5" customHeight="1" x14ac:dyDescent="0.25">
      <c r="A55" s="35" t="s">
        <v>692</v>
      </c>
      <c r="B55" t="str">
        <f>VLOOKUP(A55,[1]Sheet1!$B$2:$C$130,2,0)</f>
        <v>040000163515</v>
      </c>
      <c r="C55" s="34">
        <v>955</v>
      </c>
      <c r="D55" s="39">
        <f t="shared" si="1"/>
        <v>955</v>
      </c>
      <c r="E55" s="38" t="s">
        <v>909</v>
      </c>
      <c r="F55" s="42" t="str">
        <f t="shared" si="0"/>
        <v>insert into ins_premium_det (premium_rcv_code,assorted_code, rec_amount,premium_rcv_detail_code,remaining_amt, payrec, mode_code,coinsurance_code,class_cd,it_remarks) values</v>
      </c>
      <c r="G55" s="43" t="str">
        <f t="shared" si="2"/>
        <v>('20Aug240150','040000163515','955',(select max(to_number(i.premium_rcv_detail_code))+1
from ins_premium_det i),'955','955','02', '11000003','00','Request by Mr. Saqib Saleem 21-Aug-2024 sheet2');</v>
      </c>
      <c r="H55" s="44" t="str">
        <f t="shared" si="3"/>
        <v>insert into ins_premium_det (premium_rcv_code,assorted_code, rec_amount,premium_rcv_detail_code,remaining_amt, payrec, mode_code,coinsurance_code,class_cd,it_remarks) values('20Aug240150','040000163515','955',(select max(to_number(i.premium_rcv_detail_code))+1
from ins_premium_det i),'955','955','02', '11000003','00','Request by Mr. Saqib Saleem 21-Aug-2024 sheet2');</v>
      </c>
    </row>
    <row r="56" spans="1:8" ht="103.5" customHeight="1" x14ac:dyDescent="0.25">
      <c r="A56" s="35" t="s">
        <v>693</v>
      </c>
      <c r="B56" t="str">
        <f>VLOOKUP(A56,[1]Sheet1!$B$2:$C$130,2,0)</f>
        <v>040000163516</v>
      </c>
      <c r="C56" s="34">
        <v>1297</v>
      </c>
      <c r="D56" s="39">
        <f t="shared" si="1"/>
        <v>1297</v>
      </c>
      <c r="E56" s="38" t="s">
        <v>909</v>
      </c>
      <c r="F56" s="42" t="str">
        <f t="shared" si="0"/>
        <v>insert into ins_premium_det (premium_rcv_code,assorted_code, rec_amount,premium_rcv_detail_code,remaining_amt, payrec, mode_code,coinsurance_code,class_cd,it_remarks) values</v>
      </c>
      <c r="G56" s="43" t="str">
        <f t="shared" si="2"/>
        <v>('20Aug240150','040000163516','1297',(select max(to_number(i.premium_rcv_detail_code))+1
from ins_premium_det i),'1297','1297','02', '11000003','00','Request by Mr. Saqib Saleem 21-Aug-2024 sheet2');</v>
      </c>
      <c r="H56" s="44" t="str">
        <f t="shared" si="3"/>
        <v>insert into ins_premium_det (premium_rcv_code,assorted_code, rec_amount,premium_rcv_detail_code,remaining_amt, payrec, mode_code,coinsurance_code,class_cd,it_remarks) values('20Aug240150','040000163516','1297',(select max(to_number(i.premium_rcv_detail_code))+1
from ins_premium_det i),'1297','1297','02', '11000003','00','Request by Mr. Saqib Saleem 21-Aug-2024 sheet2');</v>
      </c>
    </row>
    <row r="57" spans="1:8" ht="103.5" customHeight="1" x14ac:dyDescent="0.25">
      <c r="A57" s="35" t="s">
        <v>694</v>
      </c>
      <c r="B57" t="str">
        <f>VLOOKUP(A57,[1]Sheet1!$B$2:$C$130,2,0)</f>
        <v>040000163517</v>
      </c>
      <c r="C57" s="34">
        <v>761</v>
      </c>
      <c r="D57" s="39">
        <f t="shared" si="1"/>
        <v>761</v>
      </c>
      <c r="E57" s="38" t="s">
        <v>909</v>
      </c>
      <c r="F57" s="42" t="str">
        <f t="shared" si="0"/>
        <v>insert into ins_premium_det (premium_rcv_code,assorted_code, rec_amount,premium_rcv_detail_code,remaining_amt, payrec, mode_code,coinsurance_code,class_cd,it_remarks) values</v>
      </c>
      <c r="G57" s="43" t="str">
        <f t="shared" si="2"/>
        <v>('20Aug240150','040000163517','761',(select max(to_number(i.premium_rcv_detail_code))+1
from ins_premium_det i),'761','761','02', '11000003','00','Request by Mr. Saqib Saleem 21-Aug-2024 sheet2');</v>
      </c>
      <c r="H57" s="44" t="str">
        <f t="shared" si="3"/>
        <v>insert into ins_premium_det (premium_rcv_code,assorted_code, rec_amount,premium_rcv_detail_code,remaining_amt, payrec, mode_code,coinsurance_code,class_cd,it_remarks) values('20Aug240150','040000163517','761',(select max(to_number(i.premium_rcv_detail_code))+1
from ins_premium_det i),'761','761','02', '11000003','00','Request by Mr. Saqib Saleem 21-Aug-2024 sheet2');</v>
      </c>
    </row>
    <row r="58" spans="1:8" ht="103.5" customHeight="1" x14ac:dyDescent="0.25">
      <c r="A58" s="35" t="s">
        <v>695</v>
      </c>
      <c r="B58" t="str">
        <f>VLOOKUP(A58,[1]Sheet1!$B$2:$C$130,2,0)</f>
        <v>040000163518</v>
      </c>
      <c r="C58" s="34">
        <v>610</v>
      </c>
      <c r="D58" s="39">
        <f t="shared" si="1"/>
        <v>610</v>
      </c>
      <c r="E58" s="38" t="s">
        <v>909</v>
      </c>
      <c r="F58" s="42" t="str">
        <f t="shared" si="0"/>
        <v>insert into ins_premium_det (premium_rcv_code,assorted_code, rec_amount,premium_rcv_detail_code,remaining_amt, payrec, mode_code,coinsurance_code,class_cd,it_remarks) values</v>
      </c>
      <c r="G58" s="43" t="str">
        <f t="shared" si="2"/>
        <v>('20Aug240150','040000163518','610',(select max(to_number(i.premium_rcv_detail_code))+1
from ins_premium_det i),'610','610','02', '11000003','00','Request by Mr. Saqib Saleem 21-Aug-2024 sheet2');</v>
      </c>
      <c r="H58" s="44" t="str">
        <f t="shared" si="3"/>
        <v>insert into ins_premium_det (premium_rcv_code,assorted_code, rec_amount,premium_rcv_detail_code,remaining_amt, payrec, mode_code,coinsurance_code,class_cd,it_remarks) values('20Aug240150','040000163518','610',(select max(to_number(i.premium_rcv_detail_code))+1
from ins_premium_det i),'610','610','02', '11000003','00','Request by Mr. Saqib Saleem 21-Aug-2024 sheet2');</v>
      </c>
    </row>
    <row r="59" spans="1:8" ht="103.5" customHeight="1" x14ac:dyDescent="0.25">
      <c r="A59" s="35" t="s">
        <v>696</v>
      </c>
      <c r="B59" t="str">
        <f>VLOOKUP(A59,[1]Sheet1!$B$2:$C$130,2,0)</f>
        <v>040000163519</v>
      </c>
      <c r="C59" s="34">
        <v>312</v>
      </c>
      <c r="D59" s="39">
        <f t="shared" si="1"/>
        <v>312</v>
      </c>
      <c r="E59" s="38" t="s">
        <v>909</v>
      </c>
      <c r="F59" s="42" t="str">
        <f t="shared" si="0"/>
        <v>insert into ins_premium_det (premium_rcv_code,assorted_code, rec_amount,premium_rcv_detail_code,remaining_amt, payrec, mode_code,coinsurance_code,class_cd,it_remarks) values</v>
      </c>
      <c r="G59" s="43" t="str">
        <f t="shared" si="2"/>
        <v>('20Aug240150','040000163519','312',(select max(to_number(i.premium_rcv_detail_code))+1
from ins_premium_det i),'312','312','02', '11000003','00','Request by Mr. Saqib Saleem 21-Aug-2024 sheet2');</v>
      </c>
      <c r="H59" s="44" t="str">
        <f t="shared" si="3"/>
        <v>insert into ins_premium_det (premium_rcv_code,assorted_code, rec_amount,premium_rcv_detail_code,remaining_amt, payrec, mode_code,coinsurance_code,class_cd,it_remarks) values('20Aug240150','040000163519','312',(select max(to_number(i.premium_rcv_detail_code))+1
from ins_premium_det i),'312','312','02', '11000003','00','Request by Mr. Saqib Saleem 21-Aug-2024 sheet2');</v>
      </c>
    </row>
    <row r="60" spans="1:8" ht="103.5" customHeight="1" x14ac:dyDescent="0.25">
      <c r="A60" s="35" t="s">
        <v>697</v>
      </c>
      <c r="B60" t="str">
        <f>VLOOKUP(A60,[1]Sheet1!$B$2:$C$130,2,0)</f>
        <v>040000163520</v>
      </c>
      <c r="C60" s="34">
        <v>656</v>
      </c>
      <c r="D60" s="39">
        <f t="shared" si="1"/>
        <v>656</v>
      </c>
      <c r="E60" s="38" t="s">
        <v>909</v>
      </c>
      <c r="F60" s="42" t="str">
        <f t="shared" si="0"/>
        <v>insert into ins_premium_det (premium_rcv_code,assorted_code, rec_amount,premium_rcv_detail_code,remaining_amt, payrec, mode_code,coinsurance_code,class_cd,it_remarks) values</v>
      </c>
      <c r="G60" s="43" t="str">
        <f t="shared" si="2"/>
        <v>('20Aug240150','040000163520','656',(select max(to_number(i.premium_rcv_detail_code))+1
from ins_premium_det i),'656','656','02', '11000003','00','Request by Mr. Saqib Saleem 21-Aug-2024 sheet2');</v>
      </c>
      <c r="H60" s="44" t="str">
        <f t="shared" si="3"/>
        <v>insert into ins_premium_det (premium_rcv_code,assorted_code, rec_amount,premium_rcv_detail_code,remaining_amt, payrec, mode_code,coinsurance_code,class_cd,it_remarks) values('20Aug240150','040000163520','656',(select max(to_number(i.premium_rcv_detail_code))+1
from ins_premium_det i),'656','656','02', '11000003','00','Request by Mr. Saqib Saleem 21-Aug-2024 sheet2');</v>
      </c>
    </row>
    <row r="61" spans="1:8" ht="103.5" customHeight="1" x14ac:dyDescent="0.25">
      <c r="A61" s="35" t="s">
        <v>698</v>
      </c>
      <c r="B61" t="str">
        <f>VLOOKUP(A61,[1]Sheet1!$B$2:$C$130,2,0)</f>
        <v>040000163521</v>
      </c>
      <c r="C61" s="34">
        <v>1422</v>
      </c>
      <c r="D61" s="39">
        <f t="shared" si="1"/>
        <v>1422</v>
      </c>
      <c r="E61" s="38" t="s">
        <v>909</v>
      </c>
      <c r="F61" s="42" t="str">
        <f t="shared" si="0"/>
        <v>insert into ins_premium_det (premium_rcv_code,assorted_code, rec_amount,premium_rcv_detail_code,remaining_amt, payrec, mode_code,coinsurance_code,class_cd,it_remarks) values</v>
      </c>
      <c r="G61" s="43" t="str">
        <f t="shared" si="2"/>
        <v>('20Aug240150','040000163521','1422',(select max(to_number(i.premium_rcv_detail_code))+1
from ins_premium_det i),'1422','1422','02', '11000003','00','Request by Mr. Saqib Saleem 21-Aug-2024 sheet2');</v>
      </c>
      <c r="H61" s="44" t="str">
        <f t="shared" si="3"/>
        <v>insert into ins_premium_det (premium_rcv_code,assorted_code, rec_amount,premium_rcv_detail_code,remaining_amt, payrec, mode_code,coinsurance_code,class_cd,it_remarks) values('20Aug240150','040000163521','1422',(select max(to_number(i.premium_rcv_detail_code))+1
from ins_premium_det i),'1422','1422','02', '11000003','00','Request by Mr. Saqib Saleem 21-Aug-2024 sheet2');</v>
      </c>
    </row>
    <row r="62" spans="1:8" ht="103.5" customHeight="1" x14ac:dyDescent="0.25">
      <c r="A62" s="35" t="s">
        <v>699</v>
      </c>
      <c r="B62" t="str">
        <f>VLOOKUP(A62,[1]Sheet1!$B$2:$C$130,2,0)</f>
        <v>040000163522</v>
      </c>
      <c r="C62" s="34">
        <v>341</v>
      </c>
      <c r="D62" s="39">
        <f t="shared" si="1"/>
        <v>341</v>
      </c>
      <c r="E62" s="38" t="s">
        <v>909</v>
      </c>
      <c r="F62" s="42" t="str">
        <f t="shared" si="0"/>
        <v>insert into ins_premium_det (premium_rcv_code,assorted_code, rec_amount,premium_rcv_detail_code,remaining_amt, payrec, mode_code,coinsurance_code,class_cd,it_remarks) values</v>
      </c>
      <c r="G62" s="43" t="str">
        <f t="shared" si="2"/>
        <v>('20Aug240150','040000163522','341',(select max(to_number(i.premium_rcv_detail_code))+1
from ins_premium_det i),'341','341','02', '11000003','00','Request by Mr. Saqib Saleem 21-Aug-2024 sheet2');</v>
      </c>
      <c r="H62" s="44" t="str">
        <f t="shared" si="3"/>
        <v>insert into ins_premium_det (premium_rcv_code,assorted_code, rec_amount,premium_rcv_detail_code,remaining_amt, payrec, mode_code,coinsurance_code,class_cd,it_remarks) values('20Aug240150','040000163522','341',(select max(to_number(i.premium_rcv_detail_code))+1
from ins_premium_det i),'341','341','02', '11000003','00','Request by Mr. Saqib Saleem 21-Aug-2024 sheet2');</v>
      </c>
    </row>
    <row r="63" spans="1:8" ht="103.5" customHeight="1" x14ac:dyDescent="0.25">
      <c r="A63" s="35" t="s">
        <v>700</v>
      </c>
      <c r="B63" t="str">
        <f>VLOOKUP(A63,[1]Sheet1!$B$2:$C$130,2,0)</f>
        <v>040000163523</v>
      </c>
      <c r="C63" s="34">
        <v>6333</v>
      </c>
      <c r="D63" s="39">
        <f t="shared" si="1"/>
        <v>6333</v>
      </c>
      <c r="E63" s="38" t="s">
        <v>909</v>
      </c>
      <c r="F63" s="42" t="str">
        <f t="shared" si="0"/>
        <v>insert into ins_premium_det (premium_rcv_code,assorted_code, rec_amount,premium_rcv_detail_code,remaining_amt, payrec, mode_code,coinsurance_code,class_cd,it_remarks) values</v>
      </c>
      <c r="G63" s="43" t="str">
        <f t="shared" si="2"/>
        <v>('20Aug240150','040000163523','6333',(select max(to_number(i.premium_rcv_detail_code))+1
from ins_premium_det i),'6333','6333','02', '11000003','00','Request by Mr. Saqib Saleem 21-Aug-2024 sheet2');</v>
      </c>
      <c r="H63" s="44" t="str">
        <f t="shared" si="3"/>
        <v>insert into ins_premium_det (premium_rcv_code,assorted_code, rec_amount,premium_rcv_detail_code,remaining_amt, payrec, mode_code,coinsurance_code,class_cd,it_remarks) values('20Aug240150','040000163523','6333',(select max(to_number(i.premium_rcv_detail_code))+1
from ins_premium_det i),'6333','6333','02', '11000003','00','Request by Mr. Saqib Saleem 21-Aug-2024 sheet2');</v>
      </c>
    </row>
    <row r="64" spans="1:8" ht="103.5" customHeight="1" x14ac:dyDescent="0.25">
      <c r="A64" s="35" t="s">
        <v>701</v>
      </c>
      <c r="B64" t="str">
        <f>VLOOKUP(A64,[1]Sheet1!$B$2:$C$130,2,0)</f>
        <v>040000163524</v>
      </c>
      <c r="C64" s="34">
        <v>13718</v>
      </c>
      <c r="D64" s="39">
        <f t="shared" si="1"/>
        <v>13718</v>
      </c>
      <c r="E64" s="38" t="s">
        <v>909</v>
      </c>
      <c r="F64" s="42" t="str">
        <f t="shared" si="0"/>
        <v>insert into ins_premium_det (premium_rcv_code,assorted_code, rec_amount,premium_rcv_detail_code,remaining_amt, payrec, mode_code,coinsurance_code,class_cd,it_remarks) values</v>
      </c>
      <c r="G64" s="43" t="str">
        <f t="shared" si="2"/>
        <v>('20Aug240150','040000163524','13718',(select max(to_number(i.premium_rcv_detail_code))+1
from ins_premium_det i),'13718','13718','02', '11000003','00','Request by Mr. Saqib Saleem 21-Aug-2024 sheet2');</v>
      </c>
      <c r="H64" s="44" t="str">
        <f t="shared" si="3"/>
        <v>insert into ins_premium_det (premium_rcv_code,assorted_code, rec_amount,premium_rcv_detail_code,remaining_amt, payrec, mode_code,coinsurance_code,class_cd,it_remarks) values('20Aug240150','040000163524','13718',(select max(to_number(i.premium_rcv_detail_code))+1
from ins_premium_det i),'13718','13718','02', '11000003','00','Request by Mr. Saqib Saleem 21-Aug-2024 sheet2');</v>
      </c>
    </row>
    <row r="65" spans="1:8" ht="103.5" customHeight="1" x14ac:dyDescent="0.25">
      <c r="A65" s="35" t="s">
        <v>702</v>
      </c>
      <c r="B65" t="str">
        <f>VLOOKUP(A65,[1]Sheet1!$B$2:$C$130,2,0)</f>
        <v>040000163525</v>
      </c>
      <c r="C65" s="34">
        <v>779</v>
      </c>
      <c r="D65" s="39">
        <f t="shared" si="1"/>
        <v>779</v>
      </c>
      <c r="E65" s="38" t="s">
        <v>909</v>
      </c>
      <c r="F65" s="42" t="str">
        <f t="shared" si="0"/>
        <v>insert into ins_premium_det (premium_rcv_code,assorted_code, rec_amount,premium_rcv_detail_code,remaining_amt, payrec, mode_code,coinsurance_code,class_cd,it_remarks) values</v>
      </c>
      <c r="G65" s="43" t="str">
        <f t="shared" si="2"/>
        <v>('20Aug240150','040000163525','779',(select max(to_number(i.premium_rcv_detail_code))+1
from ins_premium_det i),'779','779','02', '11000003','00','Request by Mr. Saqib Saleem 21-Aug-2024 sheet2');</v>
      </c>
      <c r="H65" s="44" t="str">
        <f t="shared" si="3"/>
        <v>insert into ins_premium_det (premium_rcv_code,assorted_code, rec_amount,premium_rcv_detail_code,remaining_amt, payrec, mode_code,coinsurance_code,class_cd,it_remarks) values('20Aug240150','040000163525','779',(select max(to_number(i.premium_rcv_detail_code))+1
from ins_premium_det i),'779','779','02', '11000003','00','Request by Mr. Saqib Saleem 21-Aug-2024 sheet2');</v>
      </c>
    </row>
    <row r="66" spans="1:8" ht="103.5" customHeight="1" x14ac:dyDescent="0.25">
      <c r="A66" s="35" t="s">
        <v>703</v>
      </c>
      <c r="B66" t="str">
        <f>VLOOKUP(A66,[1]Sheet1!$B$2:$C$130,2,0)</f>
        <v>040000163526</v>
      </c>
      <c r="C66" s="34">
        <v>777</v>
      </c>
      <c r="D66" s="39">
        <f t="shared" si="1"/>
        <v>777</v>
      </c>
      <c r="E66" s="38" t="s">
        <v>909</v>
      </c>
      <c r="F66" s="42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3" t="str">
        <f t="shared" si="2"/>
        <v>('20Aug240150','040000163526','777',(select max(to_number(i.premium_rcv_detail_code))+1
from ins_premium_det i),'777','777','02', '11000003','00','Request by Mr. Saqib Saleem 21-Aug-2024 sheet2');</v>
      </c>
      <c r="H66" s="44" t="str">
        <f t="shared" si="3"/>
        <v>insert into ins_premium_det (premium_rcv_code,assorted_code, rec_amount,premium_rcv_detail_code,remaining_amt, payrec, mode_code,coinsurance_code,class_cd,it_remarks) values('20Aug240150','040000163526','777',(select max(to_number(i.premium_rcv_detail_code))+1
from ins_premium_det i),'777','777','02', '11000003','00','Request by Mr. Saqib Saleem 21-Aug-2024 sheet2');</v>
      </c>
    </row>
    <row r="67" spans="1:8" ht="103.5" customHeight="1" x14ac:dyDescent="0.25">
      <c r="A67" s="35" t="s">
        <v>704</v>
      </c>
      <c r="B67" t="str">
        <f>VLOOKUP(A67,[1]Sheet1!$B$2:$C$130,2,0)</f>
        <v>040000163527</v>
      </c>
      <c r="C67" s="34">
        <v>480</v>
      </c>
      <c r="D67" s="39">
        <f t="shared" ref="D67:D130" si="5">ROUND(C67,0)</f>
        <v>480</v>
      </c>
      <c r="E67" s="38" t="s">
        <v>909</v>
      </c>
      <c r="F67" s="42" t="str">
        <f t="shared" si="4"/>
        <v>insert into ins_premium_det (premium_rcv_code,assorted_code, rec_amount,premium_rcv_detail_code,remaining_amt, payrec, mode_code,coinsurance_code,class_cd,it_remarks) values</v>
      </c>
      <c r="G67" s="43" t="str">
        <f t="shared" ref="G67:G130" si="6">"('"&amp;E67&amp;"','"&amp;B67&amp;"','"&amp;D67&amp;"',(select max(to_number(i.premium_rcv_detail_code))+1
from ins_premium_det i),'"&amp;D67&amp;"','"&amp;D67&amp;"','02', '11000003','00','Request by Mr. Saqib Saleem 21-Aug-2024 sheet2');"</f>
        <v>('20Aug240150','040000163527','480',(select max(to_number(i.premium_rcv_detail_code))+1
from ins_premium_det i),'480','480','02', '11000003','00','Request by Mr. Saqib Saleem 21-Aug-2024 sheet2');</v>
      </c>
      <c r="H67" s="44" t="str">
        <f t="shared" ref="H67:H130" si="7">F67&amp;G67</f>
        <v>insert into ins_premium_det (premium_rcv_code,assorted_code, rec_amount,premium_rcv_detail_code,remaining_amt, payrec, mode_code,coinsurance_code,class_cd,it_remarks) values('20Aug240150','040000163527','480',(select max(to_number(i.premium_rcv_detail_code))+1
from ins_premium_det i),'480','480','02', '11000003','00','Request by Mr. Saqib Saleem 21-Aug-2024 sheet2');</v>
      </c>
    </row>
    <row r="68" spans="1:8" ht="103.5" customHeight="1" x14ac:dyDescent="0.25">
      <c r="A68" s="35" t="s">
        <v>705</v>
      </c>
      <c r="B68" t="str">
        <f>VLOOKUP(A68,[1]Sheet1!$B$2:$C$130,2,0)</f>
        <v>040000163528</v>
      </c>
      <c r="C68" s="34">
        <v>779</v>
      </c>
      <c r="D68" s="39">
        <f t="shared" si="5"/>
        <v>779</v>
      </c>
      <c r="E68" s="38" t="s">
        <v>909</v>
      </c>
      <c r="F68" s="42" t="str">
        <f t="shared" si="4"/>
        <v>insert into ins_premium_det (premium_rcv_code,assorted_code, rec_amount,premium_rcv_detail_code,remaining_amt, payrec, mode_code,coinsurance_code,class_cd,it_remarks) values</v>
      </c>
      <c r="G68" s="43" t="str">
        <f t="shared" si="6"/>
        <v>('20Aug240150','040000163528','779',(select max(to_number(i.premium_rcv_detail_code))+1
from ins_premium_det i),'779','779','02', '11000003','00','Request by Mr. Saqib Saleem 21-Aug-2024 sheet2');</v>
      </c>
      <c r="H68" s="44" t="str">
        <f t="shared" si="7"/>
        <v>insert into ins_premium_det (premium_rcv_code,assorted_code, rec_amount,premium_rcv_detail_code,remaining_amt, payrec, mode_code,coinsurance_code,class_cd,it_remarks) values('20Aug240150','040000163528','779',(select max(to_number(i.premium_rcv_detail_code))+1
from ins_premium_det i),'779','779','02', '11000003','00','Request by Mr. Saqib Saleem 21-Aug-2024 sheet2');</v>
      </c>
    </row>
    <row r="69" spans="1:8" ht="103.5" customHeight="1" x14ac:dyDescent="0.25">
      <c r="A69" s="35" t="s">
        <v>706</v>
      </c>
      <c r="B69" t="str">
        <f>VLOOKUP(A69,[1]Sheet1!$B$2:$C$130,2,0)</f>
        <v>040000163529</v>
      </c>
      <c r="C69" s="34">
        <v>791</v>
      </c>
      <c r="D69" s="39">
        <f t="shared" si="5"/>
        <v>791</v>
      </c>
      <c r="E69" s="38" t="s">
        <v>909</v>
      </c>
      <c r="F69" s="42" t="str">
        <f t="shared" si="4"/>
        <v>insert into ins_premium_det (premium_rcv_code,assorted_code, rec_amount,premium_rcv_detail_code,remaining_amt, payrec, mode_code,coinsurance_code,class_cd,it_remarks) values</v>
      </c>
      <c r="G69" s="43" t="str">
        <f t="shared" si="6"/>
        <v>('20Aug240150','040000163529','791',(select max(to_number(i.premium_rcv_detail_code))+1
from ins_premium_det i),'791','791','02', '11000003','00','Request by Mr. Saqib Saleem 21-Aug-2024 sheet2');</v>
      </c>
      <c r="H69" s="44" t="str">
        <f t="shared" si="7"/>
        <v>insert into ins_premium_det (premium_rcv_code,assorted_code, rec_amount,premium_rcv_detail_code,remaining_amt, payrec, mode_code,coinsurance_code,class_cd,it_remarks) values('20Aug240150','040000163529','791',(select max(to_number(i.premium_rcv_detail_code))+1
from ins_premium_det i),'791','791','02', '11000003','00','Request by Mr. Saqib Saleem 21-Aug-2024 sheet2');</v>
      </c>
    </row>
    <row r="70" spans="1:8" ht="103.5" customHeight="1" x14ac:dyDescent="0.25">
      <c r="A70" s="35" t="s">
        <v>707</v>
      </c>
      <c r="B70" t="str">
        <f>VLOOKUP(A70,[1]Sheet1!$B$2:$C$130,2,0)</f>
        <v>040000163530</v>
      </c>
      <c r="C70" s="34">
        <v>1432</v>
      </c>
      <c r="D70" s="39">
        <f t="shared" si="5"/>
        <v>1432</v>
      </c>
      <c r="E70" s="38" t="s">
        <v>909</v>
      </c>
      <c r="F70" s="42" t="str">
        <f t="shared" si="4"/>
        <v>insert into ins_premium_det (premium_rcv_code,assorted_code, rec_amount,premium_rcv_detail_code,remaining_amt, payrec, mode_code,coinsurance_code,class_cd,it_remarks) values</v>
      </c>
      <c r="G70" s="43" t="str">
        <f t="shared" si="6"/>
        <v>('20Aug240150','040000163530','1432',(select max(to_number(i.premium_rcv_detail_code))+1
from ins_premium_det i),'1432','1432','02', '11000003','00','Request by Mr. Saqib Saleem 21-Aug-2024 sheet2');</v>
      </c>
      <c r="H70" s="44" t="str">
        <f t="shared" si="7"/>
        <v>insert into ins_premium_det (premium_rcv_code,assorted_code, rec_amount,premium_rcv_detail_code,remaining_amt, payrec, mode_code,coinsurance_code,class_cd,it_remarks) values('20Aug240150','040000163530','1432',(select max(to_number(i.premium_rcv_detail_code))+1
from ins_premium_det i),'1432','1432','02', '11000003','00','Request by Mr. Saqib Saleem 21-Aug-2024 sheet2');</v>
      </c>
    </row>
    <row r="71" spans="1:8" ht="103.5" customHeight="1" x14ac:dyDescent="0.25">
      <c r="A71" s="35" t="s">
        <v>708</v>
      </c>
      <c r="B71" t="str">
        <f>VLOOKUP(A71,[1]Sheet1!$B$2:$C$130,2,0)</f>
        <v>040000163531</v>
      </c>
      <c r="C71" s="34">
        <v>767</v>
      </c>
      <c r="D71" s="39">
        <f t="shared" si="5"/>
        <v>767</v>
      </c>
      <c r="E71" s="38" t="s">
        <v>909</v>
      </c>
      <c r="F71" s="42" t="str">
        <f t="shared" si="4"/>
        <v>insert into ins_premium_det (premium_rcv_code,assorted_code, rec_amount,premium_rcv_detail_code,remaining_amt, payrec, mode_code,coinsurance_code,class_cd,it_remarks) values</v>
      </c>
      <c r="G71" s="43" t="str">
        <f t="shared" si="6"/>
        <v>('20Aug240150','040000163531','767',(select max(to_number(i.premium_rcv_detail_code))+1
from ins_premium_det i),'767','767','02', '11000003','00','Request by Mr. Saqib Saleem 21-Aug-2024 sheet2');</v>
      </c>
      <c r="H71" s="44" t="str">
        <f t="shared" si="7"/>
        <v>insert into ins_premium_det (premium_rcv_code,assorted_code, rec_amount,premium_rcv_detail_code,remaining_amt, payrec, mode_code,coinsurance_code,class_cd,it_remarks) values('20Aug240150','040000163531','767',(select max(to_number(i.premium_rcv_detail_code))+1
from ins_premium_det i),'767','767','02', '11000003','00','Request by Mr. Saqib Saleem 21-Aug-2024 sheet2');</v>
      </c>
    </row>
    <row r="72" spans="1:8" ht="103.5" customHeight="1" x14ac:dyDescent="0.25">
      <c r="A72" s="35" t="s">
        <v>709</v>
      </c>
      <c r="B72" t="str">
        <f>VLOOKUP(A72,[1]Sheet1!$B$2:$C$130,2,0)</f>
        <v>040000163532</v>
      </c>
      <c r="C72" s="34">
        <v>662</v>
      </c>
      <c r="D72" s="39">
        <f t="shared" si="5"/>
        <v>662</v>
      </c>
      <c r="E72" s="38" t="s">
        <v>909</v>
      </c>
      <c r="F72" s="42" t="str">
        <f t="shared" si="4"/>
        <v>insert into ins_premium_det (premium_rcv_code,assorted_code, rec_amount,premium_rcv_detail_code,remaining_amt, payrec, mode_code,coinsurance_code,class_cd,it_remarks) values</v>
      </c>
      <c r="G72" s="43" t="str">
        <f t="shared" si="6"/>
        <v>('20Aug240150','040000163532','662',(select max(to_number(i.premium_rcv_detail_code))+1
from ins_premium_det i),'662','662','02', '11000003','00','Request by Mr. Saqib Saleem 21-Aug-2024 sheet2');</v>
      </c>
      <c r="H72" s="44" t="str">
        <f t="shared" si="7"/>
        <v>insert into ins_premium_det (premium_rcv_code,assorted_code, rec_amount,premium_rcv_detail_code,remaining_amt, payrec, mode_code,coinsurance_code,class_cd,it_remarks) values('20Aug240150','040000163532','662',(select max(to_number(i.premium_rcv_detail_code))+1
from ins_premium_det i),'662','662','02', '11000003','00','Request by Mr. Saqib Saleem 21-Aug-2024 sheet2');</v>
      </c>
    </row>
    <row r="73" spans="1:8" ht="103.5" customHeight="1" x14ac:dyDescent="0.25">
      <c r="A73" s="35" t="s">
        <v>710</v>
      </c>
      <c r="B73" t="str">
        <f>VLOOKUP(A73,[1]Sheet1!$B$2:$C$130,2,0)</f>
        <v>040000163533</v>
      </c>
      <c r="C73" s="34">
        <v>466</v>
      </c>
      <c r="D73" s="39">
        <f t="shared" si="5"/>
        <v>466</v>
      </c>
      <c r="E73" s="38" t="s">
        <v>909</v>
      </c>
      <c r="F73" s="42" t="str">
        <f t="shared" si="4"/>
        <v>insert into ins_premium_det (premium_rcv_code,assorted_code, rec_amount,premium_rcv_detail_code,remaining_amt, payrec, mode_code,coinsurance_code,class_cd,it_remarks) values</v>
      </c>
      <c r="G73" s="43" t="str">
        <f t="shared" si="6"/>
        <v>('20Aug240150','040000163533','466',(select max(to_number(i.premium_rcv_detail_code))+1
from ins_premium_det i),'466','466','02', '11000003','00','Request by Mr. Saqib Saleem 21-Aug-2024 sheet2');</v>
      </c>
      <c r="H73" s="44" t="str">
        <f t="shared" si="7"/>
        <v>insert into ins_premium_det (premium_rcv_code,assorted_code, rec_amount,premium_rcv_detail_code,remaining_amt, payrec, mode_code,coinsurance_code,class_cd,it_remarks) values('20Aug240150','040000163533','466',(select max(to_number(i.premium_rcv_detail_code))+1
from ins_premium_det i),'466','466','02', '11000003','00','Request by Mr. Saqib Saleem 21-Aug-2024 sheet2');</v>
      </c>
    </row>
    <row r="74" spans="1:8" ht="103.5" customHeight="1" x14ac:dyDescent="0.25">
      <c r="A74" s="35" t="s">
        <v>711</v>
      </c>
      <c r="B74" t="str">
        <f>VLOOKUP(A74,[1]Sheet1!$B$2:$C$130,2,0)</f>
        <v>040000163534</v>
      </c>
      <c r="C74" s="34">
        <v>826</v>
      </c>
      <c r="D74" s="39">
        <f t="shared" si="5"/>
        <v>826</v>
      </c>
      <c r="E74" s="38" t="s">
        <v>909</v>
      </c>
      <c r="F74" s="42" t="str">
        <f t="shared" si="4"/>
        <v>insert into ins_premium_det (premium_rcv_code,assorted_code, rec_amount,premium_rcv_detail_code,remaining_amt, payrec, mode_code,coinsurance_code,class_cd,it_remarks) values</v>
      </c>
      <c r="G74" s="43" t="str">
        <f t="shared" si="6"/>
        <v>('20Aug240150','040000163534','826',(select max(to_number(i.premium_rcv_detail_code))+1
from ins_premium_det i),'826','826','02', '11000003','00','Request by Mr. Saqib Saleem 21-Aug-2024 sheet2');</v>
      </c>
      <c r="H74" s="44" t="str">
        <f t="shared" si="7"/>
        <v>insert into ins_premium_det (premium_rcv_code,assorted_code, rec_amount,premium_rcv_detail_code,remaining_amt, payrec, mode_code,coinsurance_code,class_cd,it_remarks) values('20Aug240150','040000163534','826',(select max(to_number(i.premium_rcv_detail_code))+1
from ins_premium_det i),'826','826','02', '11000003','00','Request by Mr. Saqib Saleem 21-Aug-2024 sheet2');</v>
      </c>
    </row>
    <row r="75" spans="1:8" ht="103.5" customHeight="1" x14ac:dyDescent="0.25">
      <c r="A75" s="35" t="s">
        <v>712</v>
      </c>
      <c r="B75" t="str">
        <f>VLOOKUP(A75,[1]Sheet1!$B$2:$C$130,2,0)</f>
        <v>040000163535</v>
      </c>
      <c r="C75" s="34">
        <v>857</v>
      </c>
      <c r="D75" s="39">
        <f t="shared" si="5"/>
        <v>857</v>
      </c>
      <c r="E75" s="38" t="s">
        <v>909</v>
      </c>
      <c r="F75" s="42" t="str">
        <f t="shared" si="4"/>
        <v>insert into ins_premium_det (premium_rcv_code,assorted_code, rec_amount,premium_rcv_detail_code,remaining_amt, payrec, mode_code,coinsurance_code,class_cd,it_remarks) values</v>
      </c>
      <c r="G75" s="43" t="str">
        <f t="shared" si="6"/>
        <v>('20Aug240150','040000163535','857',(select max(to_number(i.premium_rcv_detail_code))+1
from ins_premium_det i),'857','857','02', '11000003','00','Request by Mr. Saqib Saleem 21-Aug-2024 sheet2');</v>
      </c>
      <c r="H75" s="44" t="str">
        <f t="shared" si="7"/>
        <v>insert into ins_premium_det (premium_rcv_code,assorted_code, rec_amount,premium_rcv_detail_code,remaining_amt, payrec, mode_code,coinsurance_code,class_cd,it_remarks) values('20Aug240150','040000163535','857',(select max(to_number(i.premium_rcv_detail_code))+1
from ins_premium_det i),'857','857','02', '11000003','00','Request by Mr. Saqib Saleem 21-Aug-2024 sheet2');</v>
      </c>
    </row>
    <row r="76" spans="1:8" ht="103.5" customHeight="1" x14ac:dyDescent="0.25">
      <c r="A76" s="35" t="s">
        <v>713</v>
      </c>
      <c r="B76" t="str">
        <f>VLOOKUP(A76,[1]Sheet1!$B$2:$C$130,2,0)</f>
        <v>040000163536</v>
      </c>
      <c r="C76" s="34">
        <v>406</v>
      </c>
      <c r="D76" s="39">
        <f t="shared" si="5"/>
        <v>406</v>
      </c>
      <c r="E76" s="38" t="s">
        <v>909</v>
      </c>
      <c r="F76" s="42" t="str">
        <f t="shared" si="4"/>
        <v>insert into ins_premium_det (premium_rcv_code,assorted_code, rec_amount,premium_rcv_detail_code,remaining_amt, payrec, mode_code,coinsurance_code,class_cd,it_remarks) values</v>
      </c>
      <c r="G76" s="43" t="str">
        <f t="shared" si="6"/>
        <v>('20Aug240150','040000163536','406',(select max(to_number(i.premium_rcv_detail_code))+1
from ins_premium_det i),'406','406','02', '11000003','00','Request by Mr. Saqib Saleem 21-Aug-2024 sheet2');</v>
      </c>
      <c r="H76" s="44" t="str">
        <f t="shared" si="7"/>
        <v>insert into ins_premium_det (premium_rcv_code,assorted_code, rec_amount,premium_rcv_detail_code,remaining_amt, payrec, mode_code,coinsurance_code,class_cd,it_remarks) values('20Aug240150','040000163536','406',(select max(to_number(i.premium_rcv_detail_code))+1
from ins_premium_det i),'406','406','02', '11000003','00','Request by Mr. Saqib Saleem 21-Aug-2024 sheet2');</v>
      </c>
    </row>
    <row r="77" spans="1:8" ht="103.5" customHeight="1" x14ac:dyDescent="0.25">
      <c r="A77" s="35" t="s">
        <v>714</v>
      </c>
      <c r="B77" t="str">
        <f>VLOOKUP(A77,[1]Sheet1!$B$2:$C$130,2,0)</f>
        <v>040000163537</v>
      </c>
      <c r="C77" s="34">
        <v>4901</v>
      </c>
      <c r="D77" s="39">
        <f t="shared" si="5"/>
        <v>4901</v>
      </c>
      <c r="E77" s="38" t="s">
        <v>909</v>
      </c>
      <c r="F77" s="42" t="str">
        <f t="shared" si="4"/>
        <v>insert into ins_premium_det (premium_rcv_code,assorted_code, rec_amount,premium_rcv_detail_code,remaining_amt, payrec, mode_code,coinsurance_code,class_cd,it_remarks) values</v>
      </c>
      <c r="G77" s="43" t="str">
        <f t="shared" si="6"/>
        <v>('20Aug240150','040000163537','4901',(select max(to_number(i.premium_rcv_detail_code))+1
from ins_premium_det i),'4901','4901','02', '11000003','00','Request by Mr. Saqib Saleem 21-Aug-2024 sheet2');</v>
      </c>
      <c r="H77" s="44" t="str">
        <f t="shared" si="7"/>
        <v>insert into ins_premium_det (premium_rcv_code,assorted_code, rec_amount,premium_rcv_detail_code,remaining_amt, payrec, mode_code,coinsurance_code,class_cd,it_remarks) values('20Aug240150','040000163537','4901',(select max(to_number(i.premium_rcv_detail_code))+1
from ins_premium_det i),'4901','4901','02', '11000003','00','Request by Mr. Saqib Saleem 21-Aug-2024 sheet2');</v>
      </c>
    </row>
    <row r="78" spans="1:8" ht="103.5" customHeight="1" x14ac:dyDescent="0.25">
      <c r="A78" s="35" t="s">
        <v>715</v>
      </c>
      <c r="B78" t="str">
        <f>VLOOKUP(A78,[1]Sheet1!$B$2:$C$130,2,0)</f>
        <v>040000163538</v>
      </c>
      <c r="C78" s="34">
        <v>379</v>
      </c>
      <c r="D78" s="39">
        <f t="shared" si="5"/>
        <v>379</v>
      </c>
      <c r="E78" s="38" t="s">
        <v>909</v>
      </c>
      <c r="F78" s="42" t="str">
        <f t="shared" si="4"/>
        <v>insert into ins_premium_det (premium_rcv_code,assorted_code, rec_amount,premium_rcv_detail_code,remaining_amt, payrec, mode_code,coinsurance_code,class_cd,it_remarks) values</v>
      </c>
      <c r="G78" s="43" t="str">
        <f t="shared" si="6"/>
        <v>('20Aug240150','040000163538','379',(select max(to_number(i.premium_rcv_detail_code))+1
from ins_premium_det i),'379','379','02', '11000003','00','Request by Mr. Saqib Saleem 21-Aug-2024 sheet2');</v>
      </c>
      <c r="H78" s="44" t="str">
        <f t="shared" si="7"/>
        <v>insert into ins_premium_det (premium_rcv_code,assorted_code, rec_amount,premium_rcv_detail_code,remaining_amt, payrec, mode_code,coinsurance_code,class_cd,it_remarks) values('20Aug240150','040000163538','379',(select max(to_number(i.premium_rcv_detail_code))+1
from ins_premium_det i),'379','379','02', '11000003','00','Request by Mr. Saqib Saleem 21-Aug-2024 sheet2');</v>
      </c>
    </row>
    <row r="79" spans="1:8" ht="103.5" customHeight="1" x14ac:dyDescent="0.25">
      <c r="A79" s="35" t="s">
        <v>716</v>
      </c>
      <c r="B79" t="str">
        <f>VLOOKUP(A79,[1]Sheet1!$B$2:$C$130,2,0)</f>
        <v>040000163539</v>
      </c>
      <c r="C79" s="34">
        <v>1414</v>
      </c>
      <c r="D79" s="39">
        <f t="shared" si="5"/>
        <v>1414</v>
      </c>
      <c r="E79" s="38" t="s">
        <v>909</v>
      </c>
      <c r="F79" s="42" t="str">
        <f t="shared" si="4"/>
        <v>insert into ins_premium_det (premium_rcv_code,assorted_code, rec_amount,premium_rcv_detail_code,remaining_amt, payrec, mode_code,coinsurance_code,class_cd,it_remarks) values</v>
      </c>
      <c r="G79" s="43" t="str">
        <f t="shared" si="6"/>
        <v>('20Aug240150','040000163539','1414',(select max(to_number(i.premium_rcv_detail_code))+1
from ins_premium_det i),'1414','1414','02', '11000003','00','Request by Mr. Saqib Saleem 21-Aug-2024 sheet2');</v>
      </c>
      <c r="H79" s="44" t="str">
        <f t="shared" si="7"/>
        <v>insert into ins_premium_det (premium_rcv_code,assorted_code, rec_amount,premium_rcv_detail_code,remaining_amt, payrec, mode_code,coinsurance_code,class_cd,it_remarks) values('20Aug240150','040000163539','1414',(select max(to_number(i.premium_rcv_detail_code))+1
from ins_premium_det i),'1414','1414','02', '11000003','00','Request by Mr. Saqib Saleem 21-Aug-2024 sheet2');</v>
      </c>
    </row>
    <row r="80" spans="1:8" ht="103.5" customHeight="1" x14ac:dyDescent="0.25">
      <c r="A80" s="35" t="s">
        <v>717</v>
      </c>
      <c r="B80" t="str">
        <f>VLOOKUP(A80,[1]Sheet1!$B$2:$C$130,2,0)</f>
        <v>040000163540</v>
      </c>
      <c r="C80" s="34">
        <v>847</v>
      </c>
      <c r="D80" s="39">
        <f t="shared" si="5"/>
        <v>847</v>
      </c>
      <c r="E80" s="38" t="s">
        <v>909</v>
      </c>
      <c r="F80" s="42" t="str">
        <f t="shared" si="4"/>
        <v>insert into ins_premium_det (premium_rcv_code,assorted_code, rec_amount,premium_rcv_detail_code,remaining_amt, payrec, mode_code,coinsurance_code,class_cd,it_remarks) values</v>
      </c>
      <c r="G80" s="43" t="str">
        <f t="shared" si="6"/>
        <v>('20Aug240150','040000163540','847',(select max(to_number(i.premium_rcv_detail_code))+1
from ins_premium_det i),'847','847','02', '11000003','00','Request by Mr. Saqib Saleem 21-Aug-2024 sheet2');</v>
      </c>
      <c r="H80" s="44" t="str">
        <f t="shared" si="7"/>
        <v>insert into ins_premium_det (premium_rcv_code,assorted_code, rec_amount,premium_rcv_detail_code,remaining_amt, payrec, mode_code,coinsurance_code,class_cd,it_remarks) values('20Aug240150','040000163540','847',(select max(to_number(i.premium_rcv_detail_code))+1
from ins_premium_det i),'847','847','02', '11000003','00','Request by Mr. Saqib Saleem 21-Aug-2024 sheet2');</v>
      </c>
    </row>
    <row r="81" spans="1:8" ht="103.5" customHeight="1" x14ac:dyDescent="0.25">
      <c r="A81" s="35" t="s">
        <v>718</v>
      </c>
      <c r="B81" t="str">
        <f>VLOOKUP(A81,[1]Sheet1!$B$2:$C$130,2,0)</f>
        <v>040000163541</v>
      </c>
      <c r="C81" s="34">
        <v>678</v>
      </c>
      <c r="D81" s="39">
        <f t="shared" si="5"/>
        <v>678</v>
      </c>
      <c r="E81" s="38" t="s">
        <v>909</v>
      </c>
      <c r="F81" s="42" t="str">
        <f t="shared" si="4"/>
        <v>insert into ins_premium_det (premium_rcv_code,assorted_code, rec_amount,premium_rcv_detail_code,remaining_amt, payrec, mode_code,coinsurance_code,class_cd,it_remarks) values</v>
      </c>
      <c r="G81" s="43" t="str">
        <f t="shared" si="6"/>
        <v>('20Aug240150','040000163541','678',(select max(to_number(i.premium_rcv_detail_code))+1
from ins_premium_det i),'678','678','02', '11000003','00','Request by Mr. Saqib Saleem 21-Aug-2024 sheet2');</v>
      </c>
      <c r="H81" s="44" t="str">
        <f t="shared" si="7"/>
        <v>insert into ins_premium_det (premium_rcv_code,assorted_code, rec_amount,premium_rcv_detail_code,remaining_amt, payrec, mode_code,coinsurance_code,class_cd,it_remarks) values('20Aug240150','040000163541','678',(select max(to_number(i.premium_rcv_detail_code))+1
from ins_premium_det i),'678','678','02', '11000003','00','Request by Mr. Saqib Saleem 21-Aug-2024 sheet2');</v>
      </c>
    </row>
    <row r="82" spans="1:8" ht="103.5" customHeight="1" x14ac:dyDescent="0.25">
      <c r="A82" s="35" t="s">
        <v>719</v>
      </c>
      <c r="B82" t="str">
        <f>VLOOKUP(A82,[1]Sheet1!$B$2:$C$130,2,0)</f>
        <v>040000163542</v>
      </c>
      <c r="C82" s="34">
        <v>12357</v>
      </c>
      <c r="D82" s="39">
        <f t="shared" si="5"/>
        <v>12357</v>
      </c>
      <c r="E82" s="38" t="s">
        <v>909</v>
      </c>
      <c r="F82" s="42" t="str">
        <f t="shared" si="4"/>
        <v>insert into ins_premium_det (premium_rcv_code,assorted_code, rec_amount,premium_rcv_detail_code,remaining_amt, payrec, mode_code,coinsurance_code,class_cd,it_remarks) values</v>
      </c>
      <c r="G82" s="43" t="str">
        <f t="shared" si="6"/>
        <v>('20Aug240150','040000163542','12357',(select max(to_number(i.premium_rcv_detail_code))+1
from ins_premium_det i),'12357','12357','02', '11000003','00','Request by Mr. Saqib Saleem 21-Aug-2024 sheet2');</v>
      </c>
      <c r="H82" s="44" t="str">
        <f t="shared" si="7"/>
        <v>insert into ins_premium_det (premium_rcv_code,assorted_code, rec_amount,premium_rcv_detail_code,remaining_amt, payrec, mode_code,coinsurance_code,class_cd,it_remarks) values('20Aug240150','040000163542','12357',(select max(to_number(i.premium_rcv_detail_code))+1
from ins_premium_det i),'12357','12357','02', '11000003','00','Request by Mr. Saqib Saleem 21-Aug-2024 sheet2');</v>
      </c>
    </row>
    <row r="83" spans="1:8" ht="103.5" customHeight="1" x14ac:dyDescent="0.25">
      <c r="A83" s="35" t="s">
        <v>720</v>
      </c>
      <c r="B83" t="str">
        <f>VLOOKUP(A83,[1]Sheet1!$B$2:$C$130,2,0)</f>
        <v>040000163543</v>
      </c>
      <c r="C83" s="34">
        <v>1432</v>
      </c>
      <c r="D83" s="39">
        <f t="shared" si="5"/>
        <v>1432</v>
      </c>
      <c r="E83" s="38" t="s">
        <v>909</v>
      </c>
      <c r="F83" s="42" t="str">
        <f t="shared" si="4"/>
        <v>insert into ins_premium_det (premium_rcv_code,assorted_code, rec_amount,premium_rcv_detail_code,remaining_amt, payrec, mode_code,coinsurance_code,class_cd,it_remarks) values</v>
      </c>
      <c r="G83" s="43" t="str">
        <f t="shared" si="6"/>
        <v>('20Aug240150','040000163543','1432',(select max(to_number(i.premium_rcv_detail_code))+1
from ins_premium_det i),'1432','1432','02', '11000003','00','Request by Mr. Saqib Saleem 21-Aug-2024 sheet2');</v>
      </c>
      <c r="H83" s="44" t="str">
        <f t="shared" si="7"/>
        <v>insert into ins_premium_det (premium_rcv_code,assorted_code, rec_amount,premium_rcv_detail_code,remaining_amt, payrec, mode_code,coinsurance_code,class_cd,it_remarks) values('20Aug240150','040000163543','1432',(select max(to_number(i.premium_rcv_detail_code))+1
from ins_premium_det i),'1432','1432','02', '11000003','00','Request by Mr. Saqib Saleem 21-Aug-2024 sheet2');</v>
      </c>
    </row>
    <row r="84" spans="1:8" ht="103.5" customHeight="1" x14ac:dyDescent="0.25">
      <c r="A84" s="35" t="s">
        <v>721</v>
      </c>
      <c r="B84" t="str">
        <f>VLOOKUP(A84,[1]Sheet1!$B$2:$C$130,2,0)</f>
        <v>040000163544</v>
      </c>
      <c r="C84" s="34">
        <v>1480</v>
      </c>
      <c r="D84" s="39">
        <f t="shared" si="5"/>
        <v>1480</v>
      </c>
      <c r="E84" s="38" t="s">
        <v>909</v>
      </c>
      <c r="F84" s="42" t="str">
        <f t="shared" si="4"/>
        <v>insert into ins_premium_det (premium_rcv_code,assorted_code, rec_amount,premium_rcv_detail_code,remaining_amt, payrec, mode_code,coinsurance_code,class_cd,it_remarks) values</v>
      </c>
      <c r="G84" s="43" t="str">
        <f t="shared" si="6"/>
        <v>('20Aug240150','040000163544','1480',(select max(to_number(i.premium_rcv_detail_code))+1
from ins_premium_det i),'1480','1480','02', '11000003','00','Request by Mr. Saqib Saleem 21-Aug-2024 sheet2');</v>
      </c>
      <c r="H84" s="44" t="str">
        <f t="shared" si="7"/>
        <v>insert into ins_premium_det (premium_rcv_code,assorted_code, rec_amount,premium_rcv_detail_code,remaining_amt, payrec, mode_code,coinsurance_code,class_cd,it_remarks) values('20Aug240150','040000163544','1480',(select max(to_number(i.premium_rcv_detail_code))+1
from ins_premium_det i),'1480','1480','02', '11000003','00','Request by Mr. Saqib Saleem 21-Aug-2024 sheet2');</v>
      </c>
    </row>
    <row r="85" spans="1:8" ht="103.5" customHeight="1" x14ac:dyDescent="0.25">
      <c r="A85" s="35" t="s">
        <v>722</v>
      </c>
      <c r="B85" t="str">
        <f>VLOOKUP(A85,[1]Sheet1!$B$2:$C$130,2,0)</f>
        <v>040000163545</v>
      </c>
      <c r="C85" s="34">
        <v>1426</v>
      </c>
      <c r="D85" s="39">
        <f t="shared" si="5"/>
        <v>1426</v>
      </c>
      <c r="E85" s="38" t="s">
        <v>909</v>
      </c>
      <c r="F85" s="42" t="str">
        <f t="shared" si="4"/>
        <v>insert into ins_premium_det (premium_rcv_code,assorted_code, rec_amount,premium_rcv_detail_code,remaining_amt, payrec, mode_code,coinsurance_code,class_cd,it_remarks) values</v>
      </c>
      <c r="G85" s="43" t="str">
        <f t="shared" si="6"/>
        <v>('20Aug240150','040000163545','1426',(select max(to_number(i.premium_rcv_detail_code))+1
from ins_premium_det i),'1426','1426','02', '11000003','00','Request by Mr. Saqib Saleem 21-Aug-2024 sheet2');</v>
      </c>
      <c r="H85" s="44" t="str">
        <f t="shared" si="7"/>
        <v>insert into ins_premium_det (premium_rcv_code,assorted_code, rec_amount,premium_rcv_detail_code,remaining_amt, payrec, mode_code,coinsurance_code,class_cd,it_remarks) values('20Aug240150','040000163545','1426',(select max(to_number(i.premium_rcv_detail_code))+1
from ins_premium_det i),'1426','1426','02', '11000003','00','Request by Mr. Saqib Saleem 21-Aug-2024 sheet2');</v>
      </c>
    </row>
    <row r="86" spans="1:8" ht="103.5" customHeight="1" x14ac:dyDescent="0.25">
      <c r="A86" s="35" t="s">
        <v>723</v>
      </c>
      <c r="B86" t="str">
        <f>VLOOKUP(A86,[1]Sheet1!$B$2:$C$130,2,0)</f>
        <v>040000163546</v>
      </c>
      <c r="C86" s="34">
        <v>326</v>
      </c>
      <c r="D86" s="39">
        <f t="shared" si="5"/>
        <v>326</v>
      </c>
      <c r="E86" s="38" t="s">
        <v>909</v>
      </c>
      <c r="F86" s="42" t="str">
        <f t="shared" si="4"/>
        <v>insert into ins_premium_det (premium_rcv_code,assorted_code, rec_amount,premium_rcv_detail_code,remaining_amt, payrec, mode_code,coinsurance_code,class_cd,it_remarks) values</v>
      </c>
      <c r="G86" s="43" t="str">
        <f t="shared" si="6"/>
        <v>('20Aug240150','040000163546','326',(select max(to_number(i.premium_rcv_detail_code))+1
from ins_premium_det i),'326','326','02', '11000003','00','Request by Mr. Saqib Saleem 21-Aug-2024 sheet2');</v>
      </c>
      <c r="H86" s="44" t="str">
        <f t="shared" si="7"/>
        <v>insert into ins_premium_det (premium_rcv_code,assorted_code, rec_amount,premium_rcv_detail_code,remaining_amt, payrec, mode_code,coinsurance_code,class_cd,it_remarks) values('20Aug240150','040000163546','326',(select max(to_number(i.premium_rcv_detail_code))+1
from ins_premium_det i),'326','326','02', '11000003','00','Request by Mr. Saqib Saleem 21-Aug-2024 sheet2');</v>
      </c>
    </row>
    <row r="87" spans="1:8" ht="103.5" customHeight="1" x14ac:dyDescent="0.25">
      <c r="A87" s="35" t="s">
        <v>724</v>
      </c>
      <c r="B87" t="str">
        <f>VLOOKUP(A87,[1]Sheet1!$B$2:$C$130,2,0)</f>
        <v>040000163547</v>
      </c>
      <c r="C87" s="34">
        <v>1418</v>
      </c>
      <c r="D87" s="39">
        <f t="shared" si="5"/>
        <v>1418</v>
      </c>
      <c r="E87" s="38" t="s">
        <v>909</v>
      </c>
      <c r="F87" s="42" t="str">
        <f t="shared" si="4"/>
        <v>insert into ins_premium_det (premium_rcv_code,assorted_code, rec_amount,premium_rcv_detail_code,remaining_amt, payrec, mode_code,coinsurance_code,class_cd,it_remarks) values</v>
      </c>
      <c r="G87" s="43" t="str">
        <f t="shared" si="6"/>
        <v>('20Aug240150','040000163547','1418',(select max(to_number(i.premium_rcv_detail_code))+1
from ins_premium_det i),'1418','1418','02', '11000003','00','Request by Mr. Saqib Saleem 21-Aug-2024 sheet2');</v>
      </c>
      <c r="H87" s="44" t="str">
        <f t="shared" si="7"/>
        <v>insert into ins_premium_det (premium_rcv_code,assorted_code, rec_amount,premium_rcv_detail_code,remaining_amt, payrec, mode_code,coinsurance_code,class_cd,it_remarks) values('20Aug240150','040000163547','1418',(select max(to_number(i.premium_rcv_detail_code))+1
from ins_premium_det i),'1418','1418','02', '11000003','00','Request by Mr. Saqib Saleem 21-Aug-2024 sheet2');</v>
      </c>
    </row>
    <row r="88" spans="1:8" ht="103.5" customHeight="1" x14ac:dyDescent="0.25">
      <c r="A88" s="35" t="s">
        <v>725</v>
      </c>
      <c r="B88" t="str">
        <f>VLOOKUP(A88,[1]Sheet1!$B$2:$C$130,2,0)</f>
        <v>040000163548</v>
      </c>
      <c r="C88" s="34">
        <v>5165</v>
      </c>
      <c r="D88" s="39">
        <f t="shared" si="5"/>
        <v>5165</v>
      </c>
      <c r="E88" s="38" t="s">
        <v>909</v>
      </c>
      <c r="F88" s="42" t="str">
        <f t="shared" si="4"/>
        <v>insert into ins_premium_det (premium_rcv_code,assorted_code, rec_amount,premium_rcv_detail_code,remaining_amt, payrec, mode_code,coinsurance_code,class_cd,it_remarks) values</v>
      </c>
      <c r="G88" s="43" t="str">
        <f t="shared" si="6"/>
        <v>('20Aug240150','040000163548','5165',(select max(to_number(i.premium_rcv_detail_code))+1
from ins_premium_det i),'5165','5165','02', '11000003','00','Request by Mr. Saqib Saleem 21-Aug-2024 sheet2');</v>
      </c>
      <c r="H88" s="44" t="str">
        <f t="shared" si="7"/>
        <v>insert into ins_premium_det (premium_rcv_code,assorted_code, rec_amount,premium_rcv_detail_code,remaining_amt, payrec, mode_code,coinsurance_code,class_cd,it_remarks) values('20Aug240150','040000163548','5165',(select max(to_number(i.premium_rcv_detail_code))+1
from ins_premium_det i),'5165','5165','02', '11000003','00','Request by Mr. Saqib Saleem 21-Aug-2024 sheet2');</v>
      </c>
    </row>
    <row r="89" spans="1:8" ht="103.5" customHeight="1" x14ac:dyDescent="0.25">
      <c r="A89" s="35" t="s">
        <v>726</v>
      </c>
      <c r="B89" t="str">
        <f>VLOOKUP(A89,[1]Sheet1!$B$2:$C$130,2,0)</f>
        <v>040000163549</v>
      </c>
      <c r="C89" s="34">
        <v>5271</v>
      </c>
      <c r="D89" s="39">
        <f t="shared" si="5"/>
        <v>5271</v>
      </c>
      <c r="E89" s="38" t="s">
        <v>909</v>
      </c>
      <c r="F89" s="42" t="str">
        <f t="shared" si="4"/>
        <v>insert into ins_premium_det (premium_rcv_code,assorted_code, rec_amount,premium_rcv_detail_code,remaining_amt, payrec, mode_code,coinsurance_code,class_cd,it_remarks) values</v>
      </c>
      <c r="G89" s="43" t="str">
        <f t="shared" si="6"/>
        <v>('20Aug240150','040000163549','5271',(select max(to_number(i.premium_rcv_detail_code))+1
from ins_premium_det i),'5271','5271','02', '11000003','00','Request by Mr. Saqib Saleem 21-Aug-2024 sheet2');</v>
      </c>
      <c r="H89" s="44" t="str">
        <f t="shared" si="7"/>
        <v>insert into ins_premium_det (premium_rcv_code,assorted_code, rec_amount,premium_rcv_detail_code,remaining_amt, payrec, mode_code,coinsurance_code,class_cd,it_remarks) values('20Aug240150','040000163549','5271',(select max(to_number(i.premium_rcv_detail_code))+1
from ins_premium_det i),'5271','5271','02', '11000003','00','Request by Mr. Saqib Saleem 21-Aug-2024 sheet2');</v>
      </c>
    </row>
    <row r="90" spans="1:8" ht="103.5" customHeight="1" x14ac:dyDescent="0.25">
      <c r="A90" s="35" t="s">
        <v>727</v>
      </c>
      <c r="B90" t="str">
        <f>VLOOKUP(A90,[1]Sheet1!$B$2:$C$130,2,0)</f>
        <v>040000163550</v>
      </c>
      <c r="C90" s="34">
        <v>1333</v>
      </c>
      <c r="D90" s="39">
        <f t="shared" si="5"/>
        <v>1333</v>
      </c>
      <c r="E90" s="38" t="s">
        <v>909</v>
      </c>
      <c r="F90" s="42" t="str">
        <f t="shared" si="4"/>
        <v>insert into ins_premium_det (premium_rcv_code,assorted_code, rec_amount,premium_rcv_detail_code,remaining_amt, payrec, mode_code,coinsurance_code,class_cd,it_remarks) values</v>
      </c>
      <c r="G90" s="43" t="str">
        <f t="shared" si="6"/>
        <v>('20Aug240150','040000163550','1333',(select max(to_number(i.premium_rcv_detail_code))+1
from ins_premium_det i),'1333','1333','02', '11000003','00','Request by Mr. Saqib Saleem 21-Aug-2024 sheet2');</v>
      </c>
      <c r="H90" s="44" t="str">
        <f t="shared" si="7"/>
        <v>insert into ins_premium_det (premium_rcv_code,assorted_code, rec_amount,premium_rcv_detail_code,remaining_amt, payrec, mode_code,coinsurance_code,class_cd,it_remarks) values('20Aug240150','040000163550','1333',(select max(to_number(i.premium_rcv_detail_code))+1
from ins_premium_det i),'1333','1333','02', '11000003','00','Request by Mr. Saqib Saleem 21-Aug-2024 sheet2');</v>
      </c>
    </row>
    <row r="91" spans="1:8" ht="103.5" customHeight="1" x14ac:dyDescent="0.25">
      <c r="A91" s="35" t="s">
        <v>728</v>
      </c>
      <c r="B91" t="str">
        <f>VLOOKUP(A91,[1]Sheet1!$B$2:$C$130,2,0)</f>
        <v>040000163551</v>
      </c>
      <c r="C91" s="34">
        <v>985</v>
      </c>
      <c r="D91" s="39">
        <f t="shared" si="5"/>
        <v>985</v>
      </c>
      <c r="E91" s="38" t="s">
        <v>909</v>
      </c>
      <c r="F91" s="42" t="str">
        <f t="shared" si="4"/>
        <v>insert into ins_premium_det (premium_rcv_code,assorted_code, rec_amount,premium_rcv_detail_code,remaining_amt, payrec, mode_code,coinsurance_code,class_cd,it_remarks) values</v>
      </c>
      <c r="G91" s="43" t="str">
        <f t="shared" si="6"/>
        <v>('20Aug240150','040000163551','985',(select max(to_number(i.premium_rcv_detail_code))+1
from ins_premium_det i),'985','985','02', '11000003','00','Request by Mr. Saqib Saleem 21-Aug-2024 sheet2');</v>
      </c>
      <c r="H91" s="44" t="str">
        <f t="shared" si="7"/>
        <v>insert into ins_premium_det (premium_rcv_code,assorted_code, rec_amount,premium_rcv_detail_code,remaining_amt, payrec, mode_code,coinsurance_code,class_cd,it_remarks) values('20Aug240150','040000163551','985',(select max(to_number(i.premium_rcv_detail_code))+1
from ins_premium_det i),'985','985','02', '11000003','00','Request by Mr. Saqib Saleem 21-Aug-2024 sheet2');</v>
      </c>
    </row>
    <row r="92" spans="1:8" ht="103.5" customHeight="1" x14ac:dyDescent="0.25">
      <c r="A92" s="35" t="s">
        <v>729</v>
      </c>
      <c r="B92" t="str">
        <f>VLOOKUP(A92,[1]Sheet1!$B$2:$C$130,2,0)</f>
        <v>040000163552</v>
      </c>
      <c r="C92" s="34">
        <v>1216</v>
      </c>
      <c r="D92" s="39">
        <f t="shared" si="5"/>
        <v>1216</v>
      </c>
      <c r="E92" s="38" t="s">
        <v>909</v>
      </c>
      <c r="F92" s="42" t="str">
        <f t="shared" si="4"/>
        <v>insert into ins_premium_det (premium_rcv_code,assorted_code, rec_amount,premium_rcv_detail_code,remaining_amt, payrec, mode_code,coinsurance_code,class_cd,it_remarks) values</v>
      </c>
      <c r="G92" s="43" t="str">
        <f t="shared" si="6"/>
        <v>('20Aug240150','040000163552','1216',(select max(to_number(i.premium_rcv_detail_code))+1
from ins_premium_det i),'1216','1216','02', '11000003','00','Request by Mr. Saqib Saleem 21-Aug-2024 sheet2');</v>
      </c>
      <c r="H92" s="44" t="str">
        <f t="shared" si="7"/>
        <v>insert into ins_premium_det (premium_rcv_code,assorted_code, rec_amount,premium_rcv_detail_code,remaining_amt, payrec, mode_code,coinsurance_code,class_cd,it_remarks) values('20Aug240150','040000163552','1216',(select max(to_number(i.premium_rcv_detail_code))+1
from ins_premium_det i),'1216','1216','02', '11000003','00','Request by Mr. Saqib Saleem 21-Aug-2024 sheet2');</v>
      </c>
    </row>
    <row r="93" spans="1:8" ht="103.5" customHeight="1" x14ac:dyDescent="0.25">
      <c r="A93" s="35" t="s">
        <v>730</v>
      </c>
      <c r="B93" t="str">
        <f>VLOOKUP(A93,[1]Sheet1!$B$2:$C$130,2,0)</f>
        <v>040000163553</v>
      </c>
      <c r="C93" s="34">
        <v>1246</v>
      </c>
      <c r="D93" s="39">
        <f t="shared" si="5"/>
        <v>1246</v>
      </c>
      <c r="E93" s="38" t="s">
        <v>909</v>
      </c>
      <c r="F93" s="42" t="str">
        <f t="shared" si="4"/>
        <v>insert into ins_premium_det (premium_rcv_code,assorted_code, rec_amount,premium_rcv_detail_code,remaining_amt, payrec, mode_code,coinsurance_code,class_cd,it_remarks) values</v>
      </c>
      <c r="G93" s="43" t="str">
        <f t="shared" si="6"/>
        <v>('20Aug240150','040000163553','1246',(select max(to_number(i.premium_rcv_detail_code))+1
from ins_premium_det i),'1246','1246','02', '11000003','00','Request by Mr. Saqib Saleem 21-Aug-2024 sheet2');</v>
      </c>
      <c r="H93" s="44" t="str">
        <f t="shared" si="7"/>
        <v>insert into ins_premium_det (premium_rcv_code,assorted_code, rec_amount,premium_rcv_detail_code,remaining_amt, payrec, mode_code,coinsurance_code,class_cd,it_remarks) values('20Aug240150','040000163553','1246',(select max(to_number(i.premium_rcv_detail_code))+1
from ins_premium_det i),'1246','1246','02', '11000003','00','Request by Mr. Saqib Saleem 21-Aug-2024 sheet2');</v>
      </c>
    </row>
    <row r="94" spans="1:8" ht="103.5" customHeight="1" x14ac:dyDescent="0.25">
      <c r="A94" s="35" t="s">
        <v>731</v>
      </c>
      <c r="B94" t="str">
        <f>VLOOKUP(A94,[1]Sheet1!$B$2:$C$130,2,0)</f>
        <v>040000163554</v>
      </c>
      <c r="C94" s="34">
        <v>308</v>
      </c>
      <c r="D94" s="39">
        <f t="shared" si="5"/>
        <v>308</v>
      </c>
      <c r="E94" s="38" t="s">
        <v>909</v>
      </c>
      <c r="F94" s="42" t="str">
        <f t="shared" si="4"/>
        <v>insert into ins_premium_det (premium_rcv_code,assorted_code, rec_amount,premium_rcv_detail_code,remaining_amt, payrec, mode_code,coinsurance_code,class_cd,it_remarks) values</v>
      </c>
      <c r="G94" s="43" t="str">
        <f t="shared" si="6"/>
        <v>('20Aug240150','040000163554','308',(select max(to_number(i.premium_rcv_detail_code))+1
from ins_premium_det i),'308','308','02', '11000003','00','Request by Mr. Saqib Saleem 21-Aug-2024 sheet2');</v>
      </c>
      <c r="H94" s="44" t="str">
        <f t="shared" si="7"/>
        <v>insert into ins_premium_det (premium_rcv_code,assorted_code, rec_amount,premium_rcv_detail_code,remaining_amt, payrec, mode_code,coinsurance_code,class_cd,it_remarks) values('20Aug240150','040000163554','308',(select max(to_number(i.premium_rcv_detail_code))+1
from ins_premium_det i),'308','308','02', '11000003','00','Request by Mr. Saqib Saleem 21-Aug-2024 sheet2');</v>
      </c>
    </row>
    <row r="95" spans="1:8" ht="103.5" customHeight="1" x14ac:dyDescent="0.25">
      <c r="A95" s="35" t="s">
        <v>732</v>
      </c>
      <c r="B95" t="str">
        <f>VLOOKUP(A95,[1]Sheet1!$B$2:$C$130,2,0)</f>
        <v>040000163555</v>
      </c>
      <c r="C95" s="34">
        <v>623</v>
      </c>
      <c r="D95" s="39">
        <f t="shared" si="5"/>
        <v>623</v>
      </c>
      <c r="E95" s="38" t="s">
        <v>909</v>
      </c>
      <c r="F95" s="42" t="str">
        <f t="shared" si="4"/>
        <v>insert into ins_premium_det (premium_rcv_code,assorted_code, rec_amount,premium_rcv_detail_code,remaining_amt, payrec, mode_code,coinsurance_code,class_cd,it_remarks) values</v>
      </c>
      <c r="G95" s="43" t="str">
        <f t="shared" si="6"/>
        <v>('20Aug240150','040000163555','623',(select max(to_number(i.premium_rcv_detail_code))+1
from ins_premium_det i),'623','623','02', '11000003','00','Request by Mr. Saqib Saleem 21-Aug-2024 sheet2');</v>
      </c>
      <c r="H95" s="44" t="str">
        <f t="shared" si="7"/>
        <v>insert into ins_premium_det (premium_rcv_code,assorted_code, rec_amount,premium_rcv_detail_code,remaining_amt, payrec, mode_code,coinsurance_code,class_cd,it_remarks) values('20Aug240150','040000163555','623',(select max(to_number(i.premium_rcv_detail_code))+1
from ins_premium_det i),'623','623','02', '11000003','00','Request by Mr. Saqib Saleem 21-Aug-2024 sheet2');</v>
      </c>
    </row>
    <row r="96" spans="1:8" ht="103.5" customHeight="1" x14ac:dyDescent="0.25">
      <c r="A96" s="35" t="s">
        <v>733</v>
      </c>
      <c r="B96" t="str">
        <f>VLOOKUP(A96,[1]Sheet1!$B$2:$C$130,2,0)</f>
        <v>040000163556</v>
      </c>
      <c r="C96" s="34">
        <v>7878</v>
      </c>
      <c r="D96" s="39">
        <f t="shared" si="5"/>
        <v>7878</v>
      </c>
      <c r="E96" s="38" t="s">
        <v>909</v>
      </c>
      <c r="F96" s="42" t="str">
        <f t="shared" si="4"/>
        <v>insert into ins_premium_det (premium_rcv_code,assorted_code, rec_amount,premium_rcv_detail_code,remaining_amt, payrec, mode_code,coinsurance_code,class_cd,it_remarks) values</v>
      </c>
      <c r="G96" s="43" t="str">
        <f t="shared" si="6"/>
        <v>('20Aug240150','040000163556','7878',(select max(to_number(i.premium_rcv_detail_code))+1
from ins_premium_det i),'7878','7878','02', '11000003','00','Request by Mr. Saqib Saleem 21-Aug-2024 sheet2');</v>
      </c>
      <c r="H96" s="44" t="str">
        <f t="shared" si="7"/>
        <v>insert into ins_premium_det (premium_rcv_code,assorted_code, rec_amount,premium_rcv_detail_code,remaining_amt, payrec, mode_code,coinsurance_code,class_cd,it_remarks) values('20Aug240150','040000163556','7878',(select max(to_number(i.premium_rcv_detail_code))+1
from ins_premium_det i),'7878','7878','02', '11000003','00','Request by Mr. Saqib Saleem 21-Aug-2024 sheet2');</v>
      </c>
    </row>
    <row r="97" spans="1:8" ht="103.5" customHeight="1" x14ac:dyDescent="0.25">
      <c r="A97" s="35" t="s">
        <v>734</v>
      </c>
      <c r="B97" t="str">
        <f>VLOOKUP(A97,[1]Sheet1!$B$2:$C$130,2,0)</f>
        <v>040000163557</v>
      </c>
      <c r="C97" s="34">
        <v>200</v>
      </c>
      <c r="D97" s="39">
        <f t="shared" si="5"/>
        <v>200</v>
      </c>
      <c r="E97" s="38" t="s">
        <v>909</v>
      </c>
      <c r="F97" s="42" t="str">
        <f t="shared" si="4"/>
        <v>insert into ins_premium_det (premium_rcv_code,assorted_code, rec_amount,premium_rcv_detail_code,remaining_amt, payrec, mode_code,coinsurance_code,class_cd,it_remarks) values</v>
      </c>
      <c r="G97" s="43" t="str">
        <f t="shared" si="6"/>
        <v>('20Aug240150','040000163557','200',(select max(to_number(i.premium_rcv_detail_code))+1
from ins_premium_det i),'200','200','02', '11000003','00','Request by Mr. Saqib Saleem 21-Aug-2024 sheet2');</v>
      </c>
      <c r="H97" s="44" t="str">
        <f t="shared" si="7"/>
        <v>insert into ins_premium_det (premium_rcv_code,assorted_code, rec_amount,premium_rcv_detail_code,remaining_amt, payrec, mode_code,coinsurance_code,class_cd,it_remarks) values('20Aug240150','040000163557','200',(select max(to_number(i.premium_rcv_detail_code))+1
from ins_premium_det i),'200','200','02', '11000003','00','Request by Mr. Saqib Saleem 21-Aug-2024 sheet2');</v>
      </c>
    </row>
    <row r="98" spans="1:8" ht="103.5" customHeight="1" x14ac:dyDescent="0.25">
      <c r="A98" s="35" t="s">
        <v>735</v>
      </c>
      <c r="B98" t="str">
        <f>VLOOKUP(A98,[1]Sheet1!$B$2:$C$130,2,0)</f>
        <v>040000163558</v>
      </c>
      <c r="C98" s="34">
        <v>3679</v>
      </c>
      <c r="D98" s="39">
        <f t="shared" si="5"/>
        <v>3679</v>
      </c>
      <c r="E98" s="38" t="s">
        <v>909</v>
      </c>
      <c r="F98" s="42" t="str">
        <f t="shared" si="4"/>
        <v>insert into ins_premium_det (premium_rcv_code,assorted_code, rec_amount,premium_rcv_detail_code,remaining_amt, payrec, mode_code,coinsurance_code,class_cd,it_remarks) values</v>
      </c>
      <c r="G98" s="43" t="str">
        <f t="shared" si="6"/>
        <v>('20Aug240150','040000163558','3679',(select max(to_number(i.premium_rcv_detail_code))+1
from ins_premium_det i),'3679','3679','02', '11000003','00','Request by Mr. Saqib Saleem 21-Aug-2024 sheet2');</v>
      </c>
      <c r="H98" s="44" t="str">
        <f t="shared" si="7"/>
        <v>insert into ins_premium_det (premium_rcv_code,assorted_code, rec_amount,premium_rcv_detail_code,remaining_amt, payrec, mode_code,coinsurance_code,class_cd,it_remarks) values('20Aug240150','040000163558','3679',(select max(to_number(i.premium_rcv_detail_code))+1
from ins_premium_det i),'3679','3679','02', '11000003','00','Request by Mr. Saqib Saleem 21-Aug-2024 sheet2');</v>
      </c>
    </row>
    <row r="99" spans="1:8" ht="103.5" customHeight="1" x14ac:dyDescent="0.25">
      <c r="A99" s="35" t="s">
        <v>736</v>
      </c>
      <c r="B99" t="str">
        <f>VLOOKUP(A99,[1]Sheet1!$B$2:$C$130,2,0)</f>
        <v>040000163559</v>
      </c>
      <c r="C99" s="34">
        <v>1091</v>
      </c>
      <c r="D99" s="39">
        <f t="shared" si="5"/>
        <v>1091</v>
      </c>
      <c r="E99" s="38" t="s">
        <v>909</v>
      </c>
      <c r="F99" s="42" t="str">
        <f t="shared" si="4"/>
        <v>insert into ins_premium_det (premium_rcv_code,assorted_code, rec_amount,premium_rcv_detail_code,remaining_amt, payrec, mode_code,coinsurance_code,class_cd,it_remarks) values</v>
      </c>
      <c r="G99" s="43" t="str">
        <f t="shared" si="6"/>
        <v>('20Aug240150','040000163559','1091',(select max(to_number(i.premium_rcv_detail_code))+1
from ins_premium_det i),'1091','1091','02', '11000003','00','Request by Mr. Saqib Saleem 21-Aug-2024 sheet2');</v>
      </c>
      <c r="H99" s="44" t="str">
        <f t="shared" si="7"/>
        <v>insert into ins_premium_det (premium_rcv_code,assorted_code, rec_amount,premium_rcv_detail_code,remaining_amt, payrec, mode_code,coinsurance_code,class_cd,it_remarks) values('20Aug240150','040000163559','1091',(select max(to_number(i.premium_rcv_detail_code))+1
from ins_premium_det i),'1091','1091','02', '11000003','00','Request by Mr. Saqib Saleem 21-Aug-2024 sheet2');</v>
      </c>
    </row>
    <row r="100" spans="1:8" ht="103.5" customHeight="1" x14ac:dyDescent="0.25">
      <c r="A100" s="35" t="s">
        <v>737</v>
      </c>
      <c r="B100" t="str">
        <f>VLOOKUP(A100,[1]Sheet1!$B$2:$C$130,2,0)</f>
        <v>040000163560</v>
      </c>
      <c r="C100" s="34">
        <v>899</v>
      </c>
      <c r="D100" s="39">
        <f t="shared" si="5"/>
        <v>899</v>
      </c>
      <c r="E100" s="38" t="s">
        <v>909</v>
      </c>
      <c r="F100" s="42" t="str">
        <f t="shared" si="4"/>
        <v>insert into ins_premium_det (premium_rcv_code,assorted_code, rec_amount,premium_rcv_detail_code,remaining_amt, payrec, mode_code,coinsurance_code,class_cd,it_remarks) values</v>
      </c>
      <c r="G100" s="43" t="str">
        <f t="shared" si="6"/>
        <v>('20Aug240150','040000163560','899',(select max(to_number(i.premium_rcv_detail_code))+1
from ins_premium_det i),'899','899','02', '11000003','00','Request by Mr. Saqib Saleem 21-Aug-2024 sheet2');</v>
      </c>
      <c r="H100" s="44" t="str">
        <f t="shared" si="7"/>
        <v>insert into ins_premium_det (premium_rcv_code,assorted_code, rec_amount,premium_rcv_detail_code,remaining_amt, payrec, mode_code,coinsurance_code,class_cd,it_remarks) values('20Aug240150','040000163560','899',(select max(to_number(i.premium_rcv_detail_code))+1
from ins_premium_det i),'899','899','02', '11000003','00','Request by Mr. Saqib Saleem 21-Aug-2024 sheet2');</v>
      </c>
    </row>
    <row r="101" spans="1:8" ht="103.5" customHeight="1" x14ac:dyDescent="0.25">
      <c r="A101" s="35" t="s">
        <v>738</v>
      </c>
      <c r="B101" t="str">
        <f>VLOOKUP(A101,[1]Sheet1!$B$2:$C$130,2,0)</f>
        <v>040000163561</v>
      </c>
      <c r="C101" s="34">
        <v>1795</v>
      </c>
      <c r="D101" s="39">
        <f t="shared" si="5"/>
        <v>1795</v>
      </c>
      <c r="E101" s="38" t="s">
        <v>909</v>
      </c>
      <c r="F101" s="42" t="str">
        <f t="shared" si="4"/>
        <v>insert into ins_premium_det (premium_rcv_code,assorted_code, rec_amount,premium_rcv_detail_code,remaining_amt, payrec, mode_code,coinsurance_code,class_cd,it_remarks) values</v>
      </c>
      <c r="G101" s="43" t="str">
        <f t="shared" si="6"/>
        <v>('20Aug240150','040000163561','1795',(select max(to_number(i.premium_rcv_detail_code))+1
from ins_premium_det i),'1795','1795','02', '11000003','00','Request by Mr. Saqib Saleem 21-Aug-2024 sheet2');</v>
      </c>
      <c r="H101" s="44" t="str">
        <f t="shared" si="7"/>
        <v>insert into ins_premium_det (premium_rcv_code,assorted_code, rec_amount,premium_rcv_detail_code,remaining_amt, payrec, mode_code,coinsurance_code,class_cd,it_remarks) values('20Aug240150','040000163561','1795',(select max(to_number(i.premium_rcv_detail_code))+1
from ins_premium_det i),'1795','1795','02', '11000003','00','Request by Mr. Saqib Saleem 21-Aug-2024 sheet2');</v>
      </c>
    </row>
    <row r="102" spans="1:8" ht="103.5" customHeight="1" x14ac:dyDescent="0.25">
      <c r="A102" s="35" t="s">
        <v>739</v>
      </c>
      <c r="B102" t="str">
        <f>VLOOKUP(A102,[1]Sheet1!$B$2:$C$130,2,0)</f>
        <v>040000163562</v>
      </c>
      <c r="C102" s="34">
        <v>2200</v>
      </c>
      <c r="D102" s="39">
        <f t="shared" si="5"/>
        <v>2200</v>
      </c>
      <c r="E102" s="38" t="s">
        <v>909</v>
      </c>
      <c r="F102" s="42" t="str">
        <f t="shared" si="4"/>
        <v>insert into ins_premium_det (premium_rcv_code,assorted_code, rec_amount,premium_rcv_detail_code,remaining_amt, payrec, mode_code,coinsurance_code,class_cd,it_remarks) values</v>
      </c>
      <c r="G102" s="43" t="str">
        <f t="shared" si="6"/>
        <v>('20Aug240150','040000163562','2200',(select max(to_number(i.premium_rcv_detail_code))+1
from ins_premium_det i),'2200','2200','02', '11000003','00','Request by Mr. Saqib Saleem 21-Aug-2024 sheet2');</v>
      </c>
      <c r="H102" s="44" t="str">
        <f t="shared" si="7"/>
        <v>insert into ins_premium_det (premium_rcv_code,assorted_code, rec_amount,premium_rcv_detail_code,remaining_amt, payrec, mode_code,coinsurance_code,class_cd,it_remarks) values('20Aug240150','040000163562','2200',(select max(to_number(i.premium_rcv_detail_code))+1
from ins_premium_det i),'2200','2200','02', '11000003','00','Request by Mr. Saqib Saleem 21-Aug-2024 sheet2');</v>
      </c>
    </row>
    <row r="103" spans="1:8" ht="103.5" customHeight="1" x14ac:dyDescent="0.25">
      <c r="A103" s="35" t="s">
        <v>740</v>
      </c>
      <c r="B103" t="str">
        <f>VLOOKUP(A103,[1]Sheet1!$B$2:$C$130,2,0)</f>
        <v>040000163563</v>
      </c>
      <c r="C103" s="34">
        <v>1892</v>
      </c>
      <c r="D103" s="39">
        <f t="shared" si="5"/>
        <v>1892</v>
      </c>
      <c r="E103" s="38" t="s">
        <v>909</v>
      </c>
      <c r="F103" s="42" t="str">
        <f t="shared" si="4"/>
        <v>insert into ins_premium_det (premium_rcv_code,assorted_code, rec_amount,premium_rcv_detail_code,remaining_amt, payrec, mode_code,coinsurance_code,class_cd,it_remarks) values</v>
      </c>
      <c r="G103" s="43" t="str">
        <f t="shared" si="6"/>
        <v>('20Aug240150','040000163563','1892',(select max(to_number(i.premium_rcv_detail_code))+1
from ins_premium_det i),'1892','1892','02', '11000003','00','Request by Mr. Saqib Saleem 21-Aug-2024 sheet2');</v>
      </c>
      <c r="H103" s="44" t="str">
        <f t="shared" si="7"/>
        <v>insert into ins_premium_det (premium_rcv_code,assorted_code, rec_amount,premium_rcv_detail_code,remaining_amt, payrec, mode_code,coinsurance_code,class_cd,it_remarks) values('20Aug240150','040000163563','1892',(select max(to_number(i.premium_rcv_detail_code))+1
from ins_premium_det i),'1892','1892','02', '11000003','00','Request by Mr. Saqib Saleem 21-Aug-2024 sheet2');</v>
      </c>
    </row>
    <row r="104" spans="1:8" ht="103.5" customHeight="1" x14ac:dyDescent="0.25">
      <c r="A104" s="35" t="s">
        <v>741</v>
      </c>
      <c r="B104" t="str">
        <f>VLOOKUP(A104,[1]Sheet1!$B$2:$C$130,2,0)</f>
        <v>040000163564</v>
      </c>
      <c r="C104" s="34">
        <v>699</v>
      </c>
      <c r="D104" s="39">
        <f t="shared" si="5"/>
        <v>699</v>
      </c>
      <c r="E104" s="38" t="s">
        <v>909</v>
      </c>
      <c r="F104" s="42" t="str">
        <f t="shared" si="4"/>
        <v>insert into ins_premium_det (premium_rcv_code,assorted_code, rec_amount,premium_rcv_detail_code,remaining_amt, payrec, mode_code,coinsurance_code,class_cd,it_remarks) values</v>
      </c>
      <c r="G104" s="43" t="str">
        <f t="shared" si="6"/>
        <v>('20Aug240150','040000163564','699',(select max(to_number(i.premium_rcv_detail_code))+1
from ins_premium_det i),'699','699','02', '11000003','00','Request by Mr. Saqib Saleem 21-Aug-2024 sheet2');</v>
      </c>
      <c r="H104" s="44" t="str">
        <f t="shared" si="7"/>
        <v>insert into ins_premium_det (premium_rcv_code,assorted_code, rec_amount,premium_rcv_detail_code,remaining_amt, payrec, mode_code,coinsurance_code,class_cd,it_remarks) values('20Aug240150','040000163564','699',(select max(to_number(i.premium_rcv_detail_code))+1
from ins_premium_det i),'699','699','02', '11000003','00','Request by Mr. Saqib Saleem 21-Aug-2024 sheet2');</v>
      </c>
    </row>
    <row r="105" spans="1:8" ht="103.5" customHeight="1" x14ac:dyDescent="0.25">
      <c r="A105" s="35" t="s">
        <v>742</v>
      </c>
      <c r="B105" t="str">
        <f>VLOOKUP(A105,[1]Sheet1!$B$2:$C$130,2,0)</f>
        <v>040000163565</v>
      </c>
      <c r="C105" s="34">
        <v>3804</v>
      </c>
      <c r="D105" s="39">
        <f t="shared" si="5"/>
        <v>3804</v>
      </c>
      <c r="E105" s="38" t="s">
        <v>909</v>
      </c>
      <c r="F105" s="42" t="str">
        <f t="shared" si="4"/>
        <v>insert into ins_premium_det (premium_rcv_code,assorted_code, rec_amount,premium_rcv_detail_code,remaining_amt, payrec, mode_code,coinsurance_code,class_cd,it_remarks) values</v>
      </c>
      <c r="G105" s="43" t="str">
        <f t="shared" si="6"/>
        <v>('20Aug240150','040000163565','3804',(select max(to_number(i.premium_rcv_detail_code))+1
from ins_premium_det i),'3804','3804','02', '11000003','00','Request by Mr. Saqib Saleem 21-Aug-2024 sheet2');</v>
      </c>
      <c r="H105" s="44" t="str">
        <f t="shared" si="7"/>
        <v>insert into ins_premium_det (premium_rcv_code,assorted_code, rec_amount,premium_rcv_detail_code,remaining_amt, payrec, mode_code,coinsurance_code,class_cd,it_remarks) values('20Aug240150','040000163565','3804',(select max(to_number(i.premium_rcv_detail_code))+1
from ins_premium_det i),'3804','3804','02', '11000003','00','Request by Mr. Saqib Saleem 21-Aug-2024 sheet2');</v>
      </c>
    </row>
    <row r="106" spans="1:8" ht="103.5" customHeight="1" x14ac:dyDescent="0.25">
      <c r="A106" s="35" t="s">
        <v>743</v>
      </c>
      <c r="B106" t="str">
        <f>VLOOKUP(A106,[1]Sheet1!$B$2:$C$130,2,0)</f>
        <v>040000163566</v>
      </c>
      <c r="C106" s="34">
        <v>7324</v>
      </c>
      <c r="D106" s="39">
        <f t="shared" si="5"/>
        <v>7324</v>
      </c>
      <c r="E106" s="38" t="s">
        <v>909</v>
      </c>
      <c r="F106" s="42" t="str">
        <f t="shared" si="4"/>
        <v>insert into ins_premium_det (premium_rcv_code,assorted_code, rec_amount,premium_rcv_detail_code,remaining_amt, payrec, mode_code,coinsurance_code,class_cd,it_remarks) values</v>
      </c>
      <c r="G106" s="43" t="str">
        <f t="shared" si="6"/>
        <v>('20Aug240150','040000163566','7324',(select max(to_number(i.premium_rcv_detail_code))+1
from ins_premium_det i),'7324','7324','02', '11000003','00','Request by Mr. Saqib Saleem 21-Aug-2024 sheet2');</v>
      </c>
      <c r="H106" s="44" t="str">
        <f t="shared" si="7"/>
        <v>insert into ins_premium_det (premium_rcv_code,assorted_code, rec_amount,premium_rcv_detail_code,remaining_amt, payrec, mode_code,coinsurance_code,class_cd,it_remarks) values('20Aug240150','040000163566','7324',(select max(to_number(i.premium_rcv_detail_code))+1
from ins_premium_det i),'7324','7324','02', '11000003','00','Request by Mr. Saqib Saleem 21-Aug-2024 sheet2');</v>
      </c>
    </row>
    <row r="107" spans="1:8" ht="103.5" customHeight="1" x14ac:dyDescent="0.25">
      <c r="A107" s="35" t="s">
        <v>744</v>
      </c>
      <c r="B107" t="str">
        <f>VLOOKUP(A107,[1]Sheet1!$B$2:$C$130,2,0)</f>
        <v>040000163567</v>
      </c>
      <c r="C107" s="34">
        <v>667</v>
      </c>
      <c r="D107" s="39">
        <f t="shared" si="5"/>
        <v>667</v>
      </c>
      <c r="E107" s="38" t="s">
        <v>909</v>
      </c>
      <c r="F107" s="42" t="str">
        <f t="shared" si="4"/>
        <v>insert into ins_premium_det (premium_rcv_code,assorted_code, rec_amount,premium_rcv_detail_code,remaining_amt, payrec, mode_code,coinsurance_code,class_cd,it_remarks) values</v>
      </c>
      <c r="G107" s="43" t="str">
        <f t="shared" si="6"/>
        <v>('20Aug240150','040000163567','667',(select max(to_number(i.premium_rcv_detail_code))+1
from ins_premium_det i),'667','667','02', '11000003','00','Request by Mr. Saqib Saleem 21-Aug-2024 sheet2');</v>
      </c>
      <c r="H107" s="44" t="str">
        <f t="shared" si="7"/>
        <v>insert into ins_premium_det (premium_rcv_code,assorted_code, rec_amount,premium_rcv_detail_code,remaining_amt, payrec, mode_code,coinsurance_code,class_cd,it_remarks) values('20Aug240150','040000163567','667',(select max(to_number(i.premium_rcv_detail_code))+1
from ins_premium_det i),'667','667','02', '11000003','00','Request by Mr. Saqib Saleem 21-Aug-2024 sheet2');</v>
      </c>
    </row>
    <row r="108" spans="1:8" ht="103.5" customHeight="1" x14ac:dyDescent="0.25">
      <c r="A108" s="35" t="s">
        <v>745</v>
      </c>
      <c r="B108" t="str">
        <f>VLOOKUP(A108,[1]Sheet1!$B$2:$C$130,2,0)</f>
        <v>040000163568</v>
      </c>
      <c r="C108" s="34">
        <v>1172</v>
      </c>
      <c r="D108" s="39">
        <f t="shared" si="5"/>
        <v>1172</v>
      </c>
      <c r="E108" s="38" t="s">
        <v>909</v>
      </c>
      <c r="F108" s="42" t="str">
        <f t="shared" si="4"/>
        <v>insert into ins_premium_det (premium_rcv_code,assorted_code, rec_amount,premium_rcv_detail_code,remaining_amt, payrec, mode_code,coinsurance_code,class_cd,it_remarks) values</v>
      </c>
      <c r="G108" s="43" t="str">
        <f t="shared" si="6"/>
        <v>('20Aug240150','040000163568','1172',(select max(to_number(i.premium_rcv_detail_code))+1
from ins_premium_det i),'1172','1172','02', '11000003','00','Request by Mr. Saqib Saleem 21-Aug-2024 sheet2');</v>
      </c>
      <c r="H108" s="44" t="str">
        <f t="shared" si="7"/>
        <v>insert into ins_premium_det (premium_rcv_code,assorted_code, rec_amount,premium_rcv_detail_code,remaining_amt, payrec, mode_code,coinsurance_code,class_cd,it_remarks) values('20Aug240150','040000163568','1172',(select max(to_number(i.premium_rcv_detail_code))+1
from ins_premium_det i),'1172','1172','02', '11000003','00','Request by Mr. Saqib Saleem 21-Aug-2024 sheet2');</v>
      </c>
    </row>
    <row r="109" spans="1:8" ht="103.5" customHeight="1" x14ac:dyDescent="0.25">
      <c r="A109" s="35" t="s">
        <v>746</v>
      </c>
      <c r="B109" t="str">
        <f>VLOOKUP(A109,[1]Sheet1!$B$2:$C$130,2,0)</f>
        <v>040000163569</v>
      </c>
      <c r="C109" s="34">
        <v>780</v>
      </c>
      <c r="D109" s="39">
        <f t="shared" si="5"/>
        <v>780</v>
      </c>
      <c r="E109" s="38" t="s">
        <v>909</v>
      </c>
      <c r="F109" s="42" t="str">
        <f t="shared" si="4"/>
        <v>insert into ins_premium_det (premium_rcv_code,assorted_code, rec_amount,premium_rcv_detail_code,remaining_amt, payrec, mode_code,coinsurance_code,class_cd,it_remarks) values</v>
      </c>
      <c r="G109" s="43" t="str">
        <f t="shared" si="6"/>
        <v>('20Aug240150','040000163569','780',(select max(to_number(i.premium_rcv_detail_code))+1
from ins_premium_det i),'780','780','02', '11000003','00','Request by Mr. Saqib Saleem 21-Aug-2024 sheet2');</v>
      </c>
      <c r="H109" s="44" t="str">
        <f t="shared" si="7"/>
        <v>insert into ins_premium_det (premium_rcv_code,assorted_code, rec_amount,premium_rcv_detail_code,remaining_amt, payrec, mode_code,coinsurance_code,class_cd,it_remarks) values('20Aug240150','040000163569','780',(select max(to_number(i.premium_rcv_detail_code))+1
from ins_premium_det i),'780','780','02', '11000003','00','Request by Mr. Saqib Saleem 21-Aug-2024 sheet2');</v>
      </c>
    </row>
    <row r="110" spans="1:8" ht="103.5" customHeight="1" x14ac:dyDescent="0.25">
      <c r="A110" s="35" t="s">
        <v>747</v>
      </c>
      <c r="B110" t="str">
        <f>VLOOKUP(A110,[1]Sheet1!$B$2:$C$130,2,0)</f>
        <v>040000163570</v>
      </c>
      <c r="C110" s="34">
        <v>3137</v>
      </c>
      <c r="D110" s="39">
        <f t="shared" si="5"/>
        <v>3137</v>
      </c>
      <c r="E110" s="38" t="s">
        <v>909</v>
      </c>
      <c r="F110" s="42" t="str">
        <f t="shared" si="4"/>
        <v>insert into ins_premium_det (premium_rcv_code,assorted_code, rec_amount,premium_rcv_detail_code,remaining_amt, payrec, mode_code,coinsurance_code,class_cd,it_remarks) values</v>
      </c>
      <c r="G110" s="43" t="str">
        <f t="shared" si="6"/>
        <v>('20Aug240150','040000163570','3137',(select max(to_number(i.premium_rcv_detail_code))+1
from ins_premium_det i),'3137','3137','02', '11000003','00','Request by Mr. Saqib Saleem 21-Aug-2024 sheet2');</v>
      </c>
      <c r="H110" s="44" t="str">
        <f t="shared" si="7"/>
        <v>insert into ins_premium_det (premium_rcv_code,assorted_code, rec_amount,premium_rcv_detail_code,remaining_amt, payrec, mode_code,coinsurance_code,class_cd,it_remarks) values('20Aug240150','040000163570','3137',(select max(to_number(i.premium_rcv_detail_code))+1
from ins_premium_det i),'3137','3137','02', '11000003','00','Request by Mr. Saqib Saleem 21-Aug-2024 sheet2');</v>
      </c>
    </row>
    <row r="111" spans="1:8" ht="103.5" customHeight="1" x14ac:dyDescent="0.25">
      <c r="A111" s="35" t="s">
        <v>748</v>
      </c>
      <c r="B111" t="str">
        <f>VLOOKUP(A111,[1]Sheet1!$B$2:$C$130,2,0)</f>
        <v>040000163571</v>
      </c>
      <c r="C111" s="34">
        <v>12050</v>
      </c>
      <c r="D111" s="39">
        <f t="shared" si="5"/>
        <v>12050</v>
      </c>
      <c r="E111" s="38" t="s">
        <v>909</v>
      </c>
      <c r="F111" s="42" t="str">
        <f t="shared" si="4"/>
        <v>insert into ins_premium_det (premium_rcv_code,assorted_code, rec_amount,premium_rcv_detail_code,remaining_amt, payrec, mode_code,coinsurance_code,class_cd,it_remarks) values</v>
      </c>
      <c r="G111" s="43" t="str">
        <f t="shared" si="6"/>
        <v>('20Aug240150','040000163571','12050',(select max(to_number(i.premium_rcv_detail_code))+1
from ins_premium_det i),'12050','12050','02', '11000003','00','Request by Mr. Saqib Saleem 21-Aug-2024 sheet2');</v>
      </c>
      <c r="H111" s="44" t="str">
        <f t="shared" si="7"/>
        <v>insert into ins_premium_det (premium_rcv_code,assorted_code, rec_amount,premium_rcv_detail_code,remaining_amt, payrec, mode_code,coinsurance_code,class_cd,it_remarks) values('20Aug240150','040000163571','12050',(select max(to_number(i.premium_rcv_detail_code))+1
from ins_premium_det i),'12050','12050','02', '11000003','00','Request by Mr. Saqib Saleem 21-Aug-2024 sheet2');</v>
      </c>
    </row>
    <row r="112" spans="1:8" ht="103.5" customHeight="1" x14ac:dyDescent="0.25">
      <c r="A112" s="35" t="s">
        <v>749</v>
      </c>
      <c r="B112" t="str">
        <f>VLOOKUP(A112,[1]Sheet1!$B$2:$C$130,2,0)</f>
        <v>040000163572</v>
      </c>
      <c r="C112" s="34">
        <v>17941</v>
      </c>
      <c r="D112" s="39">
        <f t="shared" si="5"/>
        <v>17941</v>
      </c>
      <c r="E112" s="38" t="s">
        <v>909</v>
      </c>
      <c r="F112" s="42" t="str">
        <f t="shared" si="4"/>
        <v>insert into ins_premium_det (premium_rcv_code,assorted_code, rec_amount,premium_rcv_detail_code,remaining_amt, payrec, mode_code,coinsurance_code,class_cd,it_remarks) values</v>
      </c>
      <c r="G112" s="43" t="str">
        <f t="shared" si="6"/>
        <v>('20Aug240150','040000163572','17941',(select max(to_number(i.premium_rcv_detail_code))+1
from ins_premium_det i),'17941','17941','02', '11000003','00','Request by Mr. Saqib Saleem 21-Aug-2024 sheet2');</v>
      </c>
      <c r="H112" s="44" t="str">
        <f t="shared" si="7"/>
        <v>insert into ins_premium_det (premium_rcv_code,assorted_code, rec_amount,premium_rcv_detail_code,remaining_amt, payrec, mode_code,coinsurance_code,class_cd,it_remarks) values('20Aug240150','040000163572','17941',(select max(to_number(i.premium_rcv_detail_code))+1
from ins_premium_det i),'17941','17941','02', '11000003','00','Request by Mr. Saqib Saleem 21-Aug-2024 sheet2');</v>
      </c>
    </row>
    <row r="113" spans="1:8" ht="103.5" customHeight="1" x14ac:dyDescent="0.25">
      <c r="A113" s="35" t="s">
        <v>750</v>
      </c>
      <c r="B113" t="str">
        <f>VLOOKUP(A113,[1]Sheet1!$B$2:$C$130,2,0)</f>
        <v>040000163573</v>
      </c>
      <c r="C113" s="34">
        <v>718</v>
      </c>
      <c r="D113" s="39">
        <f t="shared" si="5"/>
        <v>718</v>
      </c>
      <c r="E113" s="38" t="s">
        <v>909</v>
      </c>
      <c r="F113" s="42" t="str">
        <f t="shared" si="4"/>
        <v>insert into ins_premium_det (premium_rcv_code,assorted_code, rec_amount,premium_rcv_detail_code,remaining_amt, payrec, mode_code,coinsurance_code,class_cd,it_remarks) values</v>
      </c>
      <c r="G113" s="43" t="str">
        <f t="shared" si="6"/>
        <v>('20Aug240150','040000163573','718',(select max(to_number(i.premium_rcv_detail_code))+1
from ins_premium_det i),'718','718','02', '11000003','00','Request by Mr. Saqib Saleem 21-Aug-2024 sheet2');</v>
      </c>
      <c r="H113" s="44" t="str">
        <f t="shared" si="7"/>
        <v>insert into ins_premium_det (premium_rcv_code,assorted_code, rec_amount,premium_rcv_detail_code,remaining_amt, payrec, mode_code,coinsurance_code,class_cd,it_remarks) values('20Aug240150','040000163573','718',(select max(to_number(i.premium_rcv_detail_code))+1
from ins_premium_det i),'718','718','02', '11000003','00','Request by Mr. Saqib Saleem 21-Aug-2024 sheet2');</v>
      </c>
    </row>
    <row r="114" spans="1:8" ht="103.5" customHeight="1" x14ac:dyDescent="0.25">
      <c r="A114" s="35" t="s">
        <v>751</v>
      </c>
      <c r="B114" t="str">
        <f>VLOOKUP(A114,[1]Sheet1!$B$2:$C$130,2,0)</f>
        <v>040000163574</v>
      </c>
      <c r="C114" s="34">
        <v>3421</v>
      </c>
      <c r="D114" s="39">
        <f t="shared" si="5"/>
        <v>3421</v>
      </c>
      <c r="E114" s="38" t="s">
        <v>909</v>
      </c>
      <c r="F114" s="42" t="str">
        <f t="shared" si="4"/>
        <v>insert into ins_premium_det (premium_rcv_code,assorted_code, rec_amount,premium_rcv_detail_code,remaining_amt, payrec, mode_code,coinsurance_code,class_cd,it_remarks) values</v>
      </c>
      <c r="G114" s="43" t="str">
        <f t="shared" si="6"/>
        <v>('20Aug240150','040000163574','3421',(select max(to_number(i.premium_rcv_detail_code))+1
from ins_premium_det i),'3421','3421','02', '11000003','00','Request by Mr. Saqib Saleem 21-Aug-2024 sheet2');</v>
      </c>
      <c r="H114" s="44" t="str">
        <f t="shared" si="7"/>
        <v>insert into ins_premium_det (premium_rcv_code,assorted_code, rec_amount,premium_rcv_detail_code,remaining_amt, payrec, mode_code,coinsurance_code,class_cd,it_remarks) values('20Aug240150','040000163574','3421',(select max(to_number(i.premium_rcv_detail_code))+1
from ins_premium_det i),'3421','3421','02', '11000003','00','Request by Mr. Saqib Saleem 21-Aug-2024 sheet2');</v>
      </c>
    </row>
    <row r="115" spans="1:8" ht="103.5" customHeight="1" x14ac:dyDescent="0.25">
      <c r="A115" s="35" t="s">
        <v>752</v>
      </c>
      <c r="B115" t="str">
        <f>VLOOKUP(A115,[1]Sheet1!$B$2:$C$130,2,0)</f>
        <v>040000163575</v>
      </c>
      <c r="C115" s="34">
        <v>698</v>
      </c>
      <c r="D115" s="39">
        <f t="shared" si="5"/>
        <v>698</v>
      </c>
      <c r="E115" s="38" t="s">
        <v>909</v>
      </c>
      <c r="F115" s="42" t="str">
        <f t="shared" si="4"/>
        <v>insert into ins_premium_det (premium_rcv_code,assorted_code, rec_amount,premium_rcv_detail_code,remaining_amt, payrec, mode_code,coinsurance_code,class_cd,it_remarks) values</v>
      </c>
      <c r="G115" s="43" t="str">
        <f t="shared" si="6"/>
        <v>('20Aug240150','040000163575','698',(select max(to_number(i.premium_rcv_detail_code))+1
from ins_premium_det i),'698','698','02', '11000003','00','Request by Mr. Saqib Saleem 21-Aug-2024 sheet2');</v>
      </c>
      <c r="H115" s="44" t="str">
        <f t="shared" si="7"/>
        <v>insert into ins_premium_det (premium_rcv_code,assorted_code, rec_amount,premium_rcv_detail_code,remaining_amt, payrec, mode_code,coinsurance_code,class_cd,it_remarks) values('20Aug240150','040000163575','698',(select max(to_number(i.premium_rcv_detail_code))+1
from ins_premium_det i),'698','698','02', '11000003','00','Request by Mr. Saqib Saleem 21-Aug-2024 sheet2');</v>
      </c>
    </row>
    <row r="116" spans="1:8" ht="103.5" customHeight="1" x14ac:dyDescent="0.25">
      <c r="A116" s="35" t="s">
        <v>753</v>
      </c>
      <c r="B116" t="str">
        <f>VLOOKUP(A116,[1]Sheet1!$B$2:$C$130,2,0)</f>
        <v>040000163576</v>
      </c>
      <c r="C116" s="34">
        <v>398</v>
      </c>
      <c r="D116" s="39">
        <f t="shared" si="5"/>
        <v>398</v>
      </c>
      <c r="E116" s="38" t="s">
        <v>909</v>
      </c>
      <c r="F116" s="42" t="str">
        <f t="shared" si="4"/>
        <v>insert into ins_premium_det (premium_rcv_code,assorted_code, rec_amount,premium_rcv_detail_code,remaining_amt, payrec, mode_code,coinsurance_code,class_cd,it_remarks) values</v>
      </c>
      <c r="G116" s="43" t="str">
        <f t="shared" si="6"/>
        <v>('20Aug240150','040000163576','398',(select max(to_number(i.premium_rcv_detail_code))+1
from ins_premium_det i),'398','398','02', '11000003','00','Request by Mr. Saqib Saleem 21-Aug-2024 sheet2');</v>
      </c>
      <c r="H116" s="44" t="str">
        <f t="shared" si="7"/>
        <v>insert into ins_premium_det (premium_rcv_code,assorted_code, rec_amount,premium_rcv_detail_code,remaining_amt, payrec, mode_code,coinsurance_code,class_cd,it_remarks) values('20Aug240150','040000163576','398',(select max(to_number(i.premium_rcv_detail_code))+1
from ins_premium_det i),'398','398','02', '11000003','00','Request by Mr. Saqib Saleem 21-Aug-2024 sheet2');</v>
      </c>
    </row>
    <row r="117" spans="1:8" ht="103.5" customHeight="1" x14ac:dyDescent="0.25">
      <c r="A117" s="35" t="s">
        <v>754</v>
      </c>
      <c r="B117" t="str">
        <f>VLOOKUP(A117,[1]Sheet1!$B$2:$C$130,2,0)</f>
        <v>040000163577</v>
      </c>
      <c r="C117" s="34">
        <v>1482</v>
      </c>
      <c r="D117" s="39">
        <f t="shared" si="5"/>
        <v>1482</v>
      </c>
      <c r="E117" s="38" t="s">
        <v>909</v>
      </c>
      <c r="F117" s="42" t="str">
        <f t="shared" si="4"/>
        <v>insert into ins_premium_det (premium_rcv_code,assorted_code, rec_amount,premium_rcv_detail_code,remaining_amt, payrec, mode_code,coinsurance_code,class_cd,it_remarks) values</v>
      </c>
      <c r="G117" s="43" t="str">
        <f t="shared" si="6"/>
        <v>('20Aug240150','040000163577','1482',(select max(to_number(i.premium_rcv_detail_code))+1
from ins_premium_det i),'1482','1482','02', '11000003','00','Request by Mr. Saqib Saleem 21-Aug-2024 sheet2');</v>
      </c>
      <c r="H117" s="44" t="str">
        <f t="shared" si="7"/>
        <v>insert into ins_premium_det (premium_rcv_code,assorted_code, rec_amount,premium_rcv_detail_code,remaining_amt, payrec, mode_code,coinsurance_code,class_cd,it_remarks) values('20Aug240150','040000163577','1482',(select max(to_number(i.premium_rcv_detail_code))+1
from ins_premium_det i),'1482','1482','02', '11000003','00','Request by Mr. Saqib Saleem 21-Aug-2024 sheet2');</v>
      </c>
    </row>
    <row r="118" spans="1:8" ht="103.5" customHeight="1" x14ac:dyDescent="0.25">
      <c r="A118" s="35" t="s">
        <v>755</v>
      </c>
      <c r="B118" t="str">
        <f>VLOOKUP(A118,[1]Sheet1!$B$2:$C$130,2,0)</f>
        <v>040000163578</v>
      </c>
      <c r="C118" s="34">
        <v>654</v>
      </c>
      <c r="D118" s="39">
        <f t="shared" si="5"/>
        <v>654</v>
      </c>
      <c r="E118" s="38" t="s">
        <v>909</v>
      </c>
      <c r="F118" s="42" t="str">
        <f t="shared" si="4"/>
        <v>insert into ins_premium_det (premium_rcv_code,assorted_code, rec_amount,premium_rcv_detail_code,remaining_amt, payrec, mode_code,coinsurance_code,class_cd,it_remarks) values</v>
      </c>
      <c r="G118" s="43" t="str">
        <f t="shared" si="6"/>
        <v>('20Aug240150','040000163578','654',(select max(to_number(i.premium_rcv_detail_code))+1
from ins_premium_det i),'654','654','02', '11000003','00','Request by Mr. Saqib Saleem 21-Aug-2024 sheet2');</v>
      </c>
      <c r="H118" s="44" t="str">
        <f t="shared" si="7"/>
        <v>insert into ins_premium_det (premium_rcv_code,assorted_code, rec_amount,premium_rcv_detail_code,remaining_amt, payrec, mode_code,coinsurance_code,class_cd,it_remarks) values('20Aug240150','040000163578','654',(select max(to_number(i.premium_rcv_detail_code))+1
from ins_premium_det i),'654','654','02', '11000003','00','Request by Mr. Saqib Saleem 21-Aug-2024 sheet2');</v>
      </c>
    </row>
    <row r="119" spans="1:8" ht="103.5" customHeight="1" x14ac:dyDescent="0.25">
      <c r="A119" s="35" t="s">
        <v>756</v>
      </c>
      <c r="B119" t="str">
        <f>VLOOKUP(A119,[1]Sheet1!$B$2:$C$130,2,0)</f>
        <v>040000163579</v>
      </c>
      <c r="C119" s="34">
        <v>702</v>
      </c>
      <c r="D119" s="39">
        <f t="shared" si="5"/>
        <v>702</v>
      </c>
      <c r="E119" s="38" t="s">
        <v>909</v>
      </c>
      <c r="F119" s="42" t="str">
        <f t="shared" si="4"/>
        <v>insert into ins_premium_det (premium_rcv_code,assorted_code, rec_amount,premium_rcv_detail_code,remaining_amt, payrec, mode_code,coinsurance_code,class_cd,it_remarks) values</v>
      </c>
      <c r="G119" s="43" t="str">
        <f t="shared" si="6"/>
        <v>('20Aug240150','040000163579','702',(select max(to_number(i.premium_rcv_detail_code))+1
from ins_premium_det i),'702','702','02', '11000003','00','Request by Mr. Saqib Saleem 21-Aug-2024 sheet2');</v>
      </c>
      <c r="H119" s="44" t="str">
        <f t="shared" si="7"/>
        <v>insert into ins_premium_det (premium_rcv_code,assorted_code, rec_amount,premium_rcv_detail_code,remaining_amt, payrec, mode_code,coinsurance_code,class_cd,it_remarks) values('20Aug240150','040000163579','702',(select max(to_number(i.premium_rcv_detail_code))+1
from ins_premium_det i),'702','702','02', '11000003','00','Request by Mr. Saqib Saleem 21-Aug-2024 sheet2');</v>
      </c>
    </row>
    <row r="120" spans="1:8" ht="103.5" customHeight="1" x14ac:dyDescent="0.25">
      <c r="A120" s="35" t="s">
        <v>757</v>
      </c>
      <c r="B120" t="str">
        <f>VLOOKUP(A120,[1]Sheet1!$B$2:$C$130,2,0)</f>
        <v>040000163580</v>
      </c>
      <c r="C120" s="34">
        <v>2229</v>
      </c>
      <c r="D120" s="39">
        <f t="shared" si="5"/>
        <v>2229</v>
      </c>
      <c r="E120" s="38" t="s">
        <v>909</v>
      </c>
      <c r="F120" s="42" t="str">
        <f t="shared" si="4"/>
        <v>insert into ins_premium_det (premium_rcv_code,assorted_code, rec_amount,premium_rcv_detail_code,remaining_amt, payrec, mode_code,coinsurance_code,class_cd,it_remarks) values</v>
      </c>
      <c r="G120" s="43" t="str">
        <f t="shared" si="6"/>
        <v>('20Aug240150','040000163580','2229',(select max(to_number(i.premium_rcv_detail_code))+1
from ins_premium_det i),'2229','2229','02', '11000003','00','Request by Mr. Saqib Saleem 21-Aug-2024 sheet2');</v>
      </c>
      <c r="H120" s="44" t="str">
        <f t="shared" si="7"/>
        <v>insert into ins_premium_det (premium_rcv_code,assorted_code, rec_amount,premium_rcv_detail_code,remaining_amt, payrec, mode_code,coinsurance_code,class_cd,it_remarks) values('20Aug240150','040000163580','2229',(select max(to_number(i.premium_rcv_detail_code))+1
from ins_premium_det i),'2229','2229','02', '11000003','00','Request by Mr. Saqib Saleem 21-Aug-2024 sheet2');</v>
      </c>
    </row>
    <row r="121" spans="1:8" ht="103.5" customHeight="1" x14ac:dyDescent="0.25">
      <c r="A121" s="35" t="s">
        <v>758</v>
      </c>
      <c r="B121" t="str">
        <f>VLOOKUP(A121,[1]Sheet1!$B$2:$C$130,2,0)</f>
        <v>040000163581</v>
      </c>
      <c r="C121" s="34">
        <v>1820</v>
      </c>
      <c r="D121" s="39">
        <f t="shared" si="5"/>
        <v>1820</v>
      </c>
      <c r="E121" s="38" t="s">
        <v>909</v>
      </c>
      <c r="F121" s="42" t="str">
        <f t="shared" si="4"/>
        <v>insert into ins_premium_det (premium_rcv_code,assorted_code, rec_amount,premium_rcv_detail_code,remaining_amt, payrec, mode_code,coinsurance_code,class_cd,it_remarks) values</v>
      </c>
      <c r="G121" s="43" t="str">
        <f t="shared" si="6"/>
        <v>('20Aug240150','040000163581','1820',(select max(to_number(i.premium_rcv_detail_code))+1
from ins_premium_det i),'1820','1820','02', '11000003','00','Request by Mr. Saqib Saleem 21-Aug-2024 sheet2');</v>
      </c>
      <c r="H121" s="44" t="str">
        <f t="shared" si="7"/>
        <v>insert into ins_premium_det (premium_rcv_code,assorted_code, rec_amount,premium_rcv_detail_code,remaining_amt, payrec, mode_code,coinsurance_code,class_cd,it_remarks) values('20Aug240150','040000163581','1820',(select max(to_number(i.premium_rcv_detail_code))+1
from ins_premium_det i),'1820','1820','02', '11000003','00','Request by Mr. Saqib Saleem 21-Aug-2024 sheet2');</v>
      </c>
    </row>
    <row r="122" spans="1:8" ht="103.5" customHeight="1" x14ac:dyDescent="0.25">
      <c r="A122" s="35" t="s">
        <v>759</v>
      </c>
      <c r="B122" t="str">
        <f>VLOOKUP(A122,[1]Sheet1!$B$2:$C$130,2,0)</f>
        <v>040000163582</v>
      </c>
      <c r="C122" s="34">
        <v>6816</v>
      </c>
      <c r="D122" s="39">
        <f t="shared" si="5"/>
        <v>6816</v>
      </c>
      <c r="E122" s="38" t="s">
        <v>909</v>
      </c>
      <c r="F122" s="42" t="str">
        <f t="shared" si="4"/>
        <v>insert into ins_premium_det (premium_rcv_code,assorted_code, rec_amount,premium_rcv_detail_code,remaining_amt, payrec, mode_code,coinsurance_code,class_cd,it_remarks) values</v>
      </c>
      <c r="G122" s="43" t="str">
        <f t="shared" si="6"/>
        <v>('20Aug240150','040000163582','6816',(select max(to_number(i.premium_rcv_detail_code))+1
from ins_premium_det i),'6816','6816','02', '11000003','00','Request by Mr. Saqib Saleem 21-Aug-2024 sheet2');</v>
      </c>
      <c r="H122" s="44" t="str">
        <f t="shared" si="7"/>
        <v>insert into ins_premium_det (premium_rcv_code,assorted_code, rec_amount,premium_rcv_detail_code,remaining_amt, payrec, mode_code,coinsurance_code,class_cd,it_remarks) values('20Aug240150','040000163582','6816',(select max(to_number(i.premium_rcv_detail_code))+1
from ins_premium_det i),'6816','6816','02', '11000003','00','Request by Mr. Saqib Saleem 21-Aug-2024 sheet2');</v>
      </c>
    </row>
    <row r="123" spans="1:8" ht="103.5" customHeight="1" x14ac:dyDescent="0.25">
      <c r="A123" s="35" t="s">
        <v>760</v>
      </c>
      <c r="B123" t="str">
        <f>VLOOKUP(A123,[1]Sheet1!$B$2:$C$130,2,0)</f>
        <v>040000163583</v>
      </c>
      <c r="C123" s="34">
        <v>1324</v>
      </c>
      <c r="D123" s="39">
        <f t="shared" si="5"/>
        <v>1324</v>
      </c>
      <c r="E123" s="38" t="s">
        <v>909</v>
      </c>
      <c r="F123" s="42" t="str">
        <f t="shared" si="4"/>
        <v>insert into ins_premium_det (premium_rcv_code,assorted_code, rec_amount,premium_rcv_detail_code,remaining_amt, payrec, mode_code,coinsurance_code,class_cd,it_remarks) values</v>
      </c>
      <c r="G123" s="43" t="str">
        <f t="shared" si="6"/>
        <v>('20Aug240150','040000163583','1324',(select max(to_number(i.premium_rcv_detail_code))+1
from ins_premium_det i),'1324','1324','02', '11000003','00','Request by Mr. Saqib Saleem 21-Aug-2024 sheet2');</v>
      </c>
      <c r="H123" s="44" t="str">
        <f t="shared" si="7"/>
        <v>insert into ins_premium_det (premium_rcv_code,assorted_code, rec_amount,premium_rcv_detail_code,remaining_amt, payrec, mode_code,coinsurance_code,class_cd,it_remarks) values('20Aug240150','040000163583','1324',(select max(to_number(i.premium_rcv_detail_code))+1
from ins_premium_det i),'1324','1324','02', '11000003','00','Request by Mr. Saqib Saleem 21-Aug-2024 sheet2');</v>
      </c>
    </row>
    <row r="124" spans="1:8" ht="103.5" customHeight="1" x14ac:dyDescent="0.25">
      <c r="A124" s="35" t="s">
        <v>761</v>
      </c>
      <c r="B124" t="str">
        <f>VLOOKUP(A124,[1]Sheet1!$B$2:$C$130,2,0)</f>
        <v>040000163584</v>
      </c>
      <c r="C124" s="34">
        <v>5302</v>
      </c>
      <c r="D124" s="39">
        <f t="shared" si="5"/>
        <v>5302</v>
      </c>
      <c r="E124" s="38" t="s">
        <v>909</v>
      </c>
      <c r="F124" s="42" t="str">
        <f t="shared" si="4"/>
        <v>insert into ins_premium_det (premium_rcv_code,assorted_code, rec_amount,premium_rcv_detail_code,remaining_amt, payrec, mode_code,coinsurance_code,class_cd,it_remarks) values</v>
      </c>
      <c r="G124" s="43" t="str">
        <f t="shared" si="6"/>
        <v>('20Aug240150','040000163584','5302',(select max(to_number(i.premium_rcv_detail_code))+1
from ins_premium_det i),'5302','5302','02', '11000003','00','Request by Mr. Saqib Saleem 21-Aug-2024 sheet2');</v>
      </c>
      <c r="H124" s="44" t="str">
        <f t="shared" si="7"/>
        <v>insert into ins_premium_det (premium_rcv_code,assorted_code, rec_amount,premium_rcv_detail_code,remaining_amt, payrec, mode_code,coinsurance_code,class_cd,it_remarks) values('20Aug240150','040000163584','5302',(select max(to_number(i.premium_rcv_detail_code))+1
from ins_premium_det i),'5302','5302','02', '11000003','00','Request by Mr. Saqib Saleem 21-Aug-2024 sheet2');</v>
      </c>
    </row>
    <row r="125" spans="1:8" ht="103.5" customHeight="1" x14ac:dyDescent="0.25">
      <c r="A125" s="35" t="s">
        <v>762</v>
      </c>
      <c r="B125" t="str">
        <f>VLOOKUP(A125,[1]Sheet1!$B$2:$C$130,2,0)</f>
        <v>040000163585</v>
      </c>
      <c r="C125" s="34">
        <v>18596</v>
      </c>
      <c r="D125" s="39">
        <f t="shared" si="5"/>
        <v>18596</v>
      </c>
      <c r="E125" s="38" t="s">
        <v>909</v>
      </c>
      <c r="F125" s="42" t="str">
        <f t="shared" si="4"/>
        <v>insert into ins_premium_det (premium_rcv_code,assorted_code, rec_amount,premium_rcv_detail_code,remaining_amt, payrec, mode_code,coinsurance_code,class_cd,it_remarks) values</v>
      </c>
      <c r="G125" s="43" t="str">
        <f t="shared" si="6"/>
        <v>('20Aug240150','040000163585','18596',(select max(to_number(i.premium_rcv_detail_code))+1
from ins_premium_det i),'18596','18596','02', '11000003','00','Request by Mr. Saqib Saleem 21-Aug-2024 sheet2');</v>
      </c>
      <c r="H125" s="44" t="str">
        <f t="shared" si="7"/>
        <v>insert into ins_premium_det (premium_rcv_code,assorted_code, rec_amount,premium_rcv_detail_code,remaining_amt, payrec, mode_code,coinsurance_code,class_cd,it_remarks) values('20Aug240150','040000163585','18596',(select max(to_number(i.premium_rcv_detail_code))+1
from ins_premium_det i),'18596','18596','02', '11000003','00','Request by Mr. Saqib Saleem 21-Aug-2024 sheet2');</v>
      </c>
    </row>
    <row r="126" spans="1:8" ht="103.5" customHeight="1" x14ac:dyDescent="0.25">
      <c r="A126" s="35" t="s">
        <v>763</v>
      </c>
      <c r="B126" t="str">
        <f>VLOOKUP(A126,[1]Sheet1!$B$2:$C$130,2,0)</f>
        <v>040000163586</v>
      </c>
      <c r="C126" s="34">
        <v>625</v>
      </c>
      <c r="D126" s="39">
        <f t="shared" si="5"/>
        <v>625</v>
      </c>
      <c r="E126" s="38" t="s">
        <v>909</v>
      </c>
      <c r="F126" s="42" t="str">
        <f t="shared" si="4"/>
        <v>insert into ins_premium_det (premium_rcv_code,assorted_code, rec_amount,premium_rcv_detail_code,remaining_amt, payrec, mode_code,coinsurance_code,class_cd,it_remarks) values</v>
      </c>
      <c r="G126" s="43" t="str">
        <f t="shared" si="6"/>
        <v>('20Aug240150','040000163586','625',(select max(to_number(i.premium_rcv_detail_code))+1
from ins_premium_det i),'625','625','02', '11000003','00','Request by Mr. Saqib Saleem 21-Aug-2024 sheet2');</v>
      </c>
      <c r="H126" s="44" t="str">
        <f t="shared" si="7"/>
        <v>insert into ins_premium_det (premium_rcv_code,assorted_code, rec_amount,premium_rcv_detail_code,remaining_amt, payrec, mode_code,coinsurance_code,class_cd,it_remarks) values('20Aug240150','040000163586','625',(select max(to_number(i.premium_rcv_detail_code))+1
from ins_premium_det i),'625','625','02', '11000003','00','Request by Mr. Saqib Saleem 21-Aug-2024 sheet2');</v>
      </c>
    </row>
    <row r="127" spans="1:8" ht="103.5" customHeight="1" x14ac:dyDescent="0.25">
      <c r="A127" s="35" t="s">
        <v>764</v>
      </c>
      <c r="B127" t="str">
        <f>VLOOKUP(A127,[1]Sheet1!$B$2:$C$130,2,0)</f>
        <v>040000163587</v>
      </c>
      <c r="C127" s="34">
        <v>14378</v>
      </c>
      <c r="D127" s="39">
        <f t="shared" si="5"/>
        <v>14378</v>
      </c>
      <c r="E127" s="38" t="s">
        <v>909</v>
      </c>
      <c r="F127" s="42" t="str">
        <f t="shared" si="4"/>
        <v>insert into ins_premium_det (premium_rcv_code,assorted_code, rec_amount,premium_rcv_detail_code,remaining_amt, payrec, mode_code,coinsurance_code,class_cd,it_remarks) values</v>
      </c>
      <c r="G127" s="43" t="str">
        <f t="shared" si="6"/>
        <v>('20Aug240150','040000163587','14378',(select max(to_number(i.premium_rcv_detail_code))+1
from ins_premium_det i),'14378','14378','02', '11000003','00','Request by Mr. Saqib Saleem 21-Aug-2024 sheet2');</v>
      </c>
      <c r="H127" s="44" t="str">
        <f t="shared" si="7"/>
        <v>insert into ins_premium_det (premium_rcv_code,assorted_code, rec_amount,premium_rcv_detail_code,remaining_amt, payrec, mode_code,coinsurance_code,class_cd,it_remarks) values('20Aug240150','040000163587','14378',(select max(to_number(i.premium_rcv_detail_code))+1
from ins_premium_det i),'14378','14378','02', '11000003','00','Request by Mr. Saqib Saleem 21-Aug-2024 sheet2');</v>
      </c>
    </row>
    <row r="128" spans="1:8" ht="103.5" customHeight="1" x14ac:dyDescent="0.25">
      <c r="A128" s="35" t="s">
        <v>765</v>
      </c>
      <c r="B128" t="str">
        <f>VLOOKUP(A128,[1]Sheet1!$B$2:$C$130,2,0)</f>
        <v>040000163588</v>
      </c>
      <c r="C128" s="34">
        <v>622</v>
      </c>
      <c r="D128" s="39">
        <f t="shared" si="5"/>
        <v>622</v>
      </c>
      <c r="E128" s="38" t="s">
        <v>909</v>
      </c>
      <c r="F128" s="42" t="str">
        <f t="shared" si="4"/>
        <v>insert into ins_premium_det (premium_rcv_code,assorted_code, rec_amount,premium_rcv_detail_code,remaining_amt, payrec, mode_code,coinsurance_code,class_cd,it_remarks) values</v>
      </c>
      <c r="G128" s="43" t="str">
        <f t="shared" si="6"/>
        <v>('20Aug240150','040000163588','622',(select max(to_number(i.premium_rcv_detail_code))+1
from ins_premium_det i),'622','622','02', '11000003','00','Request by Mr. Saqib Saleem 21-Aug-2024 sheet2');</v>
      </c>
      <c r="H128" s="44" t="str">
        <f t="shared" si="7"/>
        <v>insert into ins_premium_det (premium_rcv_code,assorted_code, rec_amount,premium_rcv_detail_code,remaining_amt, payrec, mode_code,coinsurance_code,class_cd,it_remarks) values('20Aug240150','040000163588','622',(select max(to_number(i.premium_rcv_detail_code))+1
from ins_premium_det i),'622','622','02', '11000003','00','Request by Mr. Saqib Saleem 21-Aug-2024 sheet2');</v>
      </c>
    </row>
    <row r="129" spans="1:8" ht="103.5" customHeight="1" x14ac:dyDescent="0.25">
      <c r="A129" s="35" t="s">
        <v>766</v>
      </c>
      <c r="B129" t="str">
        <f>VLOOKUP(A129,[1]Sheet1!$B$2:$C$130,2,0)</f>
        <v>040000163589</v>
      </c>
      <c r="C129" s="34">
        <v>5859</v>
      </c>
      <c r="D129" s="39">
        <f t="shared" si="5"/>
        <v>5859</v>
      </c>
      <c r="E129" s="38" t="s">
        <v>909</v>
      </c>
      <c r="F129" s="42" t="str">
        <f t="shared" si="4"/>
        <v>insert into ins_premium_det (premium_rcv_code,assorted_code, rec_amount,premium_rcv_detail_code,remaining_amt, payrec, mode_code,coinsurance_code,class_cd,it_remarks) values</v>
      </c>
      <c r="G129" s="43" t="str">
        <f t="shared" si="6"/>
        <v>('20Aug240150','040000163589','5859',(select max(to_number(i.premium_rcv_detail_code))+1
from ins_premium_det i),'5859','5859','02', '11000003','00','Request by Mr. Saqib Saleem 21-Aug-2024 sheet2');</v>
      </c>
      <c r="H129" s="44" t="str">
        <f t="shared" si="7"/>
        <v>insert into ins_premium_det (premium_rcv_code,assorted_code, rec_amount,premium_rcv_detail_code,remaining_amt, payrec, mode_code,coinsurance_code,class_cd,it_remarks) values('20Aug240150','040000163589','5859',(select max(to_number(i.premium_rcv_detail_code))+1
from ins_premium_det i),'5859','5859','02', '11000003','00','Request by Mr. Saqib Saleem 21-Aug-2024 sheet2');</v>
      </c>
    </row>
    <row r="130" spans="1:8" ht="103.5" customHeight="1" x14ac:dyDescent="0.25">
      <c r="A130" s="35" t="s">
        <v>767</v>
      </c>
      <c r="B130" t="str">
        <f>VLOOKUP(A130,[1]Sheet1!$B$2:$C$130,2,0)</f>
        <v>040000163590</v>
      </c>
      <c r="C130" s="34">
        <v>1928</v>
      </c>
      <c r="D130" s="39">
        <f t="shared" si="5"/>
        <v>1928</v>
      </c>
      <c r="E130" s="38" t="s">
        <v>909</v>
      </c>
      <c r="F130" s="42" t="str">
        <f t="shared" ref="F130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43" t="str">
        <f t="shared" si="6"/>
        <v>('20Aug240150','040000163590','1928',(select max(to_number(i.premium_rcv_detail_code))+1
from ins_premium_det i),'1928','1928','02', '11000003','00','Request by Mr. Saqib Saleem 21-Aug-2024 sheet2');</v>
      </c>
      <c r="H130" s="44" t="str">
        <f t="shared" si="7"/>
        <v>insert into ins_premium_det (premium_rcv_code,assorted_code, rec_amount,premium_rcv_detail_code,remaining_amt, payrec, mode_code,coinsurance_code,class_cd,it_remarks) values('20Aug240150','040000163590','1928',(select max(to_number(i.premium_rcv_detail_code))+1
from ins_premium_det i),'1928','1928','02', '11000003','00','Request by Mr. Saqib Saleem 21-Aug-2024 sheet2');</v>
      </c>
    </row>
  </sheetData>
  <autoFilter ref="A1:H1" xr:uid="{41A69EDC-FA48-4449-83FF-65AF2C6E7895}"/>
  <phoneticPr fontId="10" type="noConversion"/>
  <conditionalFormatting sqref="A1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7"/>
  <sheetViews>
    <sheetView topLeftCell="A12" workbookViewId="0">
      <selection activeCell="A28" sqref="A28"/>
    </sheetView>
  </sheetViews>
  <sheetFormatPr defaultRowHeight="15" customHeight="1" x14ac:dyDescent="0.25"/>
  <cols>
    <col min="1" max="1" width="5.7109375" bestFit="1" customWidth="1"/>
    <col min="2" max="2" width="16.28515625" bestFit="1" customWidth="1"/>
    <col min="3" max="3" width="14.42578125" bestFit="1" customWidth="1"/>
    <col min="4" max="4" width="23" bestFit="1" customWidth="1"/>
    <col min="5" max="5" width="11.42578125" bestFit="1" customWidth="1"/>
    <col min="6" max="6" width="14" bestFit="1" customWidth="1"/>
    <col min="7" max="7" width="139.85546875" bestFit="1" customWidth="1"/>
    <col min="8" max="8" width="11.5703125" bestFit="1" customWidth="1"/>
    <col min="9" max="9" width="13.85546875" bestFit="1" customWidth="1"/>
  </cols>
  <sheetData>
    <row r="2" spans="1:9" s="12" customFormat="1" ht="15" customHeight="1" x14ac:dyDescent="0.35">
      <c r="A2" s="1" t="s">
        <v>0</v>
      </c>
      <c r="B2" s="1" t="s">
        <v>1</v>
      </c>
      <c r="C2" s="1" t="s">
        <v>492</v>
      </c>
      <c r="D2" s="1" t="s">
        <v>2</v>
      </c>
      <c r="E2" s="1" t="s">
        <v>3</v>
      </c>
      <c r="F2" s="1" t="s">
        <v>4</v>
      </c>
      <c r="G2" s="1" t="s">
        <v>6</v>
      </c>
      <c r="H2" s="2" t="s">
        <v>7</v>
      </c>
      <c r="I2" s="3" t="s">
        <v>5</v>
      </c>
    </row>
    <row r="3" spans="1:9" s="4" customFormat="1" x14ac:dyDescent="0.35">
      <c r="A3" s="6">
        <v>1</v>
      </c>
      <c r="B3" s="10" t="s">
        <v>43</v>
      </c>
      <c r="C3" s="10" t="s">
        <v>638</v>
      </c>
      <c r="D3" s="7" t="s">
        <v>17</v>
      </c>
      <c r="E3" s="16" t="s">
        <v>9</v>
      </c>
      <c r="F3" s="10" t="s">
        <v>95</v>
      </c>
      <c r="G3" s="15" t="s">
        <v>69</v>
      </c>
      <c r="H3" s="8"/>
      <c r="I3" s="9">
        <v>44927</v>
      </c>
    </row>
    <row r="4" spans="1:9" s="4" customFormat="1" x14ac:dyDescent="0.35">
      <c r="A4" s="6">
        <f t="shared" ref="A4:A27" si="0">A3+1</f>
        <v>2</v>
      </c>
      <c r="B4" s="10" t="s">
        <v>46</v>
      </c>
      <c r="C4" s="10" t="s">
        <v>638</v>
      </c>
      <c r="D4" s="7" t="s">
        <v>20</v>
      </c>
      <c r="E4" s="16" t="s">
        <v>9</v>
      </c>
      <c r="F4" s="10" t="s">
        <v>98</v>
      </c>
      <c r="G4" s="15" t="s">
        <v>72</v>
      </c>
      <c r="H4" s="8"/>
      <c r="I4" s="9">
        <v>44927</v>
      </c>
    </row>
    <row r="5" spans="1:9" s="4" customFormat="1" x14ac:dyDescent="0.35">
      <c r="A5" s="6">
        <f t="shared" si="0"/>
        <v>3</v>
      </c>
      <c r="B5" s="10" t="s">
        <v>51</v>
      </c>
      <c r="C5" s="10" t="s">
        <v>638</v>
      </c>
      <c r="D5" s="7" t="s">
        <v>25</v>
      </c>
      <c r="E5" s="16" t="s">
        <v>10</v>
      </c>
      <c r="F5" s="10" t="s">
        <v>103</v>
      </c>
      <c r="G5" s="15" t="s">
        <v>77</v>
      </c>
      <c r="H5" s="8"/>
      <c r="I5" s="9">
        <v>44927</v>
      </c>
    </row>
    <row r="6" spans="1:9" s="4" customFormat="1" x14ac:dyDescent="0.35">
      <c r="A6" s="6">
        <f t="shared" si="0"/>
        <v>4</v>
      </c>
      <c r="B6" s="10" t="s">
        <v>52</v>
      </c>
      <c r="C6" s="10" t="s">
        <v>638</v>
      </c>
      <c r="D6" s="7" t="s">
        <v>26</v>
      </c>
      <c r="E6" s="16" t="s">
        <v>9</v>
      </c>
      <c r="F6" s="10" t="s">
        <v>104</v>
      </c>
      <c r="G6" s="15" t="s">
        <v>78</v>
      </c>
      <c r="H6" s="8"/>
      <c r="I6" s="9">
        <v>44927</v>
      </c>
    </row>
    <row r="7" spans="1:9" s="4" customFormat="1" ht="30" x14ac:dyDescent="0.35">
      <c r="A7" s="6">
        <f t="shared" si="0"/>
        <v>5</v>
      </c>
      <c r="B7" s="10" t="s">
        <v>56</v>
      </c>
      <c r="C7" s="10" t="s">
        <v>638</v>
      </c>
      <c r="D7" s="7" t="s">
        <v>30</v>
      </c>
      <c r="E7" s="16" t="s">
        <v>12</v>
      </c>
      <c r="F7" s="10" t="s">
        <v>108</v>
      </c>
      <c r="G7" s="15" t="s">
        <v>82</v>
      </c>
      <c r="H7" s="8"/>
      <c r="I7" s="9">
        <v>44927</v>
      </c>
    </row>
    <row r="8" spans="1:9" s="4" customFormat="1" x14ac:dyDescent="0.35">
      <c r="A8" s="6">
        <f t="shared" si="0"/>
        <v>6</v>
      </c>
      <c r="B8" s="10" t="s">
        <v>57</v>
      </c>
      <c r="C8" s="10" t="s">
        <v>638</v>
      </c>
      <c r="D8" s="7" t="s">
        <v>31</v>
      </c>
      <c r="E8" s="16" t="s">
        <v>8</v>
      </c>
      <c r="F8" s="10" t="s">
        <v>109</v>
      </c>
      <c r="G8" s="15" t="s">
        <v>83</v>
      </c>
      <c r="H8" s="8"/>
      <c r="I8" s="9">
        <v>44927</v>
      </c>
    </row>
    <row r="9" spans="1:9" s="4" customFormat="1" x14ac:dyDescent="0.35">
      <c r="A9" s="6">
        <f t="shared" si="0"/>
        <v>7</v>
      </c>
      <c r="B9" s="10" t="s">
        <v>60</v>
      </c>
      <c r="C9" s="10" t="s">
        <v>638</v>
      </c>
      <c r="D9" s="7" t="s">
        <v>34</v>
      </c>
      <c r="E9" s="16" t="s">
        <v>12</v>
      </c>
      <c r="F9" s="10" t="s">
        <v>112</v>
      </c>
      <c r="G9" s="15" t="s">
        <v>86</v>
      </c>
      <c r="H9" s="8"/>
      <c r="I9" s="9">
        <v>44927</v>
      </c>
    </row>
    <row r="10" spans="1:9" s="4" customFormat="1" ht="30" x14ac:dyDescent="0.35">
      <c r="A10" s="6">
        <f t="shared" si="0"/>
        <v>8</v>
      </c>
      <c r="B10" s="24" t="s">
        <v>118</v>
      </c>
      <c r="C10" s="10" t="s">
        <v>638</v>
      </c>
      <c r="D10" s="25" t="s">
        <v>117</v>
      </c>
      <c r="E10" s="16" t="s">
        <v>11</v>
      </c>
      <c r="F10" s="24" t="s">
        <v>120</v>
      </c>
      <c r="G10" s="26" t="s">
        <v>119</v>
      </c>
      <c r="H10" s="8"/>
      <c r="I10" s="9">
        <v>44927</v>
      </c>
    </row>
    <row r="11" spans="1:9" s="4" customFormat="1" x14ac:dyDescent="0.35">
      <c r="A11" s="6">
        <f t="shared" si="0"/>
        <v>9</v>
      </c>
      <c r="B11" s="24" t="s">
        <v>129</v>
      </c>
      <c r="C11" s="10" t="s">
        <v>638</v>
      </c>
      <c r="D11" s="25" t="s">
        <v>130</v>
      </c>
      <c r="E11" s="16" t="s">
        <v>8</v>
      </c>
      <c r="F11" s="10" t="s">
        <v>131</v>
      </c>
      <c r="G11" s="15" t="s">
        <v>132</v>
      </c>
      <c r="H11" s="8"/>
      <c r="I11" s="9">
        <v>44927</v>
      </c>
    </row>
    <row r="12" spans="1:9" s="4" customFormat="1" ht="30" x14ac:dyDescent="0.35">
      <c r="A12" s="6">
        <f t="shared" si="0"/>
        <v>10</v>
      </c>
      <c r="B12" s="10" t="s">
        <v>137</v>
      </c>
      <c r="C12" s="10" t="s">
        <v>638</v>
      </c>
      <c r="D12" s="7" t="s">
        <v>138</v>
      </c>
      <c r="E12" s="16" t="s">
        <v>12</v>
      </c>
      <c r="F12" s="10" t="s">
        <v>139</v>
      </c>
      <c r="G12" s="15" t="s">
        <v>140</v>
      </c>
      <c r="H12" s="8"/>
      <c r="I12" s="9">
        <v>44927</v>
      </c>
    </row>
    <row r="13" spans="1:9" s="4" customFormat="1" x14ac:dyDescent="0.35">
      <c r="A13" s="6">
        <f t="shared" si="0"/>
        <v>11</v>
      </c>
      <c r="B13" s="10" t="s">
        <v>190</v>
      </c>
      <c r="C13" s="10" t="s">
        <v>638</v>
      </c>
      <c r="D13" s="7" t="s">
        <v>141</v>
      </c>
      <c r="E13" s="16" t="s">
        <v>10</v>
      </c>
      <c r="F13" s="10" t="s">
        <v>142</v>
      </c>
      <c r="G13" s="15" t="s">
        <v>143</v>
      </c>
      <c r="H13" s="8"/>
      <c r="I13" s="9">
        <v>44927</v>
      </c>
    </row>
    <row r="14" spans="1:9" s="4" customFormat="1" x14ac:dyDescent="0.35">
      <c r="A14" s="6">
        <f t="shared" si="0"/>
        <v>12</v>
      </c>
      <c r="B14" s="10" t="s">
        <v>148</v>
      </c>
      <c r="C14" s="10" t="s">
        <v>638</v>
      </c>
      <c r="D14" s="7" t="s">
        <v>149</v>
      </c>
      <c r="E14" s="16" t="s">
        <v>12</v>
      </c>
      <c r="F14" s="10" t="s">
        <v>150</v>
      </c>
      <c r="G14" s="15" t="s">
        <v>151</v>
      </c>
      <c r="H14" s="8"/>
      <c r="I14" s="9">
        <v>44927</v>
      </c>
    </row>
    <row r="15" spans="1:9" s="4" customFormat="1" x14ac:dyDescent="0.35">
      <c r="A15" s="6">
        <f t="shared" si="0"/>
        <v>13</v>
      </c>
      <c r="B15" s="10" t="s">
        <v>152</v>
      </c>
      <c r="C15" s="10" t="s">
        <v>638</v>
      </c>
      <c r="D15" s="7" t="s">
        <v>153</v>
      </c>
      <c r="E15" s="16" t="s">
        <v>8</v>
      </c>
      <c r="F15" s="10" t="s">
        <v>154</v>
      </c>
      <c r="G15" s="15" t="s">
        <v>155</v>
      </c>
      <c r="H15" s="8"/>
      <c r="I15" s="9">
        <v>44927</v>
      </c>
    </row>
    <row r="16" spans="1:9" s="4" customFormat="1" ht="30" x14ac:dyDescent="0.35">
      <c r="A16" s="6">
        <f t="shared" si="0"/>
        <v>14</v>
      </c>
      <c r="B16" s="24" t="s">
        <v>156</v>
      </c>
      <c r="C16" s="10" t="s">
        <v>638</v>
      </c>
      <c r="D16" s="25" t="s">
        <v>157</v>
      </c>
      <c r="E16" s="16" t="s">
        <v>9</v>
      </c>
      <c r="F16" s="10" t="s">
        <v>158</v>
      </c>
      <c r="G16" s="15" t="s">
        <v>159</v>
      </c>
      <c r="H16" s="8"/>
      <c r="I16" s="9">
        <v>44927</v>
      </c>
    </row>
    <row r="17" spans="1:9" s="4" customFormat="1" x14ac:dyDescent="0.35">
      <c r="A17" s="6">
        <f t="shared" si="0"/>
        <v>15</v>
      </c>
      <c r="B17" s="10" t="s">
        <v>191</v>
      </c>
      <c r="C17" s="10" t="s">
        <v>638</v>
      </c>
      <c r="D17" s="7" t="s">
        <v>160</v>
      </c>
      <c r="E17" s="16" t="s">
        <v>8</v>
      </c>
      <c r="F17" s="10" t="s">
        <v>161</v>
      </c>
      <c r="G17" s="15" t="s">
        <v>162</v>
      </c>
      <c r="H17" s="8"/>
      <c r="I17" s="9">
        <v>44927</v>
      </c>
    </row>
    <row r="18" spans="1:9" s="4" customFormat="1" ht="30" x14ac:dyDescent="0.35">
      <c r="A18" s="6">
        <f t="shared" si="0"/>
        <v>16</v>
      </c>
      <c r="B18" s="10" t="s">
        <v>167</v>
      </c>
      <c r="C18" s="10" t="s">
        <v>638</v>
      </c>
      <c r="D18" s="7" t="s">
        <v>168</v>
      </c>
      <c r="E18" s="16" t="s">
        <v>10</v>
      </c>
      <c r="F18" s="10" t="s">
        <v>169</v>
      </c>
      <c r="G18" s="15" t="s">
        <v>170</v>
      </c>
      <c r="H18" s="8"/>
      <c r="I18" s="9">
        <v>44927</v>
      </c>
    </row>
    <row r="19" spans="1:9" s="4" customFormat="1" ht="30" x14ac:dyDescent="0.35">
      <c r="A19" s="6">
        <f t="shared" si="0"/>
        <v>17</v>
      </c>
      <c r="B19" s="10" t="s">
        <v>186</v>
      </c>
      <c r="C19" s="10" t="s">
        <v>638</v>
      </c>
      <c r="D19" s="7" t="s">
        <v>187</v>
      </c>
      <c r="E19" s="16" t="s">
        <v>12</v>
      </c>
      <c r="F19" s="10" t="s">
        <v>188</v>
      </c>
      <c r="G19" s="15" t="s">
        <v>189</v>
      </c>
      <c r="H19" s="8"/>
      <c r="I19" s="9">
        <v>44927</v>
      </c>
    </row>
    <row r="20" spans="1:9" s="4" customFormat="1" x14ac:dyDescent="0.35">
      <c r="A20" s="6">
        <f t="shared" si="0"/>
        <v>18</v>
      </c>
      <c r="B20" s="27" t="s">
        <v>201</v>
      </c>
      <c r="C20" s="10" t="s">
        <v>638</v>
      </c>
      <c r="D20" s="28" t="s">
        <v>202</v>
      </c>
      <c r="E20" s="29" t="s">
        <v>9</v>
      </c>
      <c r="F20" s="27" t="s">
        <v>203</v>
      </c>
      <c r="G20" s="30" t="s">
        <v>204</v>
      </c>
      <c r="H20" s="8"/>
      <c r="I20" s="9">
        <v>44927</v>
      </c>
    </row>
    <row r="21" spans="1:9" s="4" customFormat="1" x14ac:dyDescent="0.35">
      <c r="A21" s="6">
        <f t="shared" si="0"/>
        <v>19</v>
      </c>
      <c r="B21" s="27" t="s">
        <v>225</v>
      </c>
      <c r="C21" s="10" t="s">
        <v>638</v>
      </c>
      <c r="D21" s="28" t="s">
        <v>226</v>
      </c>
      <c r="E21" s="29" t="s">
        <v>9</v>
      </c>
      <c r="F21" s="27" t="s">
        <v>227</v>
      </c>
      <c r="G21" s="30" t="s">
        <v>228</v>
      </c>
      <c r="H21" s="8"/>
      <c r="I21" s="9">
        <v>44927</v>
      </c>
    </row>
    <row r="22" spans="1:9" s="4" customFormat="1" x14ac:dyDescent="0.35">
      <c r="A22" s="6">
        <f t="shared" si="0"/>
        <v>20</v>
      </c>
      <c r="B22" s="27" t="s">
        <v>241</v>
      </c>
      <c r="C22" s="10" t="s">
        <v>638</v>
      </c>
      <c r="D22" s="28" t="s">
        <v>242</v>
      </c>
      <c r="E22" s="29" t="s">
        <v>9</v>
      </c>
      <c r="F22" s="27" t="s">
        <v>243</v>
      </c>
      <c r="G22" s="30" t="s">
        <v>244</v>
      </c>
      <c r="H22" s="8"/>
      <c r="I22" s="9">
        <v>44927</v>
      </c>
    </row>
    <row r="23" spans="1:9" s="4" customFormat="1" x14ac:dyDescent="0.35">
      <c r="A23" s="6">
        <f t="shared" si="0"/>
        <v>21</v>
      </c>
      <c r="B23" s="27" t="s">
        <v>267</v>
      </c>
      <c r="C23" s="10" t="s">
        <v>638</v>
      </c>
      <c r="D23" s="28" t="s">
        <v>268</v>
      </c>
      <c r="E23" s="29" t="s">
        <v>9</v>
      </c>
      <c r="F23" s="27" t="s">
        <v>269</v>
      </c>
      <c r="G23" s="30" t="s">
        <v>270</v>
      </c>
      <c r="H23" s="8"/>
      <c r="I23" s="9">
        <v>44927</v>
      </c>
    </row>
    <row r="24" spans="1:9" s="4" customFormat="1" x14ac:dyDescent="0.35">
      <c r="A24" s="6">
        <f t="shared" si="0"/>
        <v>22</v>
      </c>
      <c r="B24" s="27" t="s">
        <v>409</v>
      </c>
      <c r="C24" s="10" t="s">
        <v>638</v>
      </c>
      <c r="D24" s="28" t="s">
        <v>410</v>
      </c>
      <c r="E24" s="29" t="s">
        <v>10</v>
      </c>
      <c r="F24" s="27" t="s">
        <v>411</v>
      </c>
      <c r="G24" s="30" t="s">
        <v>412</v>
      </c>
      <c r="H24" s="8"/>
      <c r="I24" s="9">
        <v>44927</v>
      </c>
    </row>
    <row r="25" spans="1:9" s="4" customFormat="1" x14ac:dyDescent="0.35">
      <c r="A25" s="6">
        <f t="shared" si="0"/>
        <v>23</v>
      </c>
      <c r="B25" s="27" t="s">
        <v>421</v>
      </c>
      <c r="C25" s="10" t="s">
        <v>638</v>
      </c>
      <c r="D25" s="28" t="s">
        <v>422</v>
      </c>
      <c r="E25" s="29" t="s">
        <v>12</v>
      </c>
      <c r="F25" s="27" t="s">
        <v>423</v>
      </c>
      <c r="G25" s="30" t="s">
        <v>424</v>
      </c>
      <c r="H25" s="8"/>
      <c r="I25" s="9">
        <v>44927</v>
      </c>
    </row>
    <row r="26" spans="1:9" s="4" customFormat="1" x14ac:dyDescent="0.35">
      <c r="A26" s="6">
        <f t="shared" si="0"/>
        <v>24</v>
      </c>
      <c r="B26" s="27" t="s">
        <v>453</v>
      </c>
      <c r="C26" s="10" t="s">
        <v>638</v>
      </c>
      <c r="D26" s="28" t="s">
        <v>454</v>
      </c>
      <c r="E26" s="29" t="s">
        <v>8</v>
      </c>
      <c r="F26" s="27" t="s">
        <v>455</v>
      </c>
      <c r="G26" s="30" t="s">
        <v>456</v>
      </c>
      <c r="H26" s="8"/>
      <c r="I26" s="9">
        <v>44927</v>
      </c>
    </row>
    <row r="27" spans="1:9" s="4" customFormat="1" ht="30" x14ac:dyDescent="0.35">
      <c r="A27" s="6">
        <f t="shared" si="0"/>
        <v>25</v>
      </c>
      <c r="B27" s="27" t="s">
        <v>524</v>
      </c>
      <c r="C27" s="10" t="s">
        <v>638</v>
      </c>
      <c r="D27" s="28" t="s">
        <v>558</v>
      </c>
      <c r="E27" s="29" t="s">
        <v>568</v>
      </c>
      <c r="F27" s="27" t="s">
        <v>629</v>
      </c>
      <c r="G27" s="30" t="s">
        <v>630</v>
      </c>
      <c r="H27" s="8"/>
      <c r="I27" s="9">
        <v>44927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0D9C-5BBA-4F48-AB69-DBD72E8069BB}">
  <dimension ref="A1:P129"/>
  <sheetViews>
    <sheetView workbookViewId="0">
      <selection activeCell="C11" sqref="C11"/>
    </sheetView>
  </sheetViews>
  <sheetFormatPr defaultRowHeight="15" x14ac:dyDescent="0.25"/>
  <cols>
    <col min="1" max="1" width="39.85546875" bestFit="1" customWidth="1"/>
    <col min="5" max="5" width="40.5703125" bestFit="1" customWidth="1"/>
    <col min="8" max="8" width="32.5703125" bestFit="1" customWidth="1"/>
  </cols>
  <sheetData>
    <row r="1" spans="1:16" x14ac:dyDescent="0.25">
      <c r="A1" s="35" t="s">
        <v>772</v>
      </c>
      <c r="B1" t="s">
        <v>901</v>
      </c>
      <c r="D1">
        <v>21232</v>
      </c>
      <c r="E1" t="str">
        <f>"ia.assorted_string like '%"&amp;D1&amp;B1&amp;"%' or"</f>
        <v>ia.assorted_string like '%21232-01-2024%' or</v>
      </c>
      <c r="H1" s="35" t="s">
        <v>902</v>
      </c>
      <c r="I1" t="s">
        <v>903</v>
      </c>
      <c r="J1" t="s">
        <v>904</v>
      </c>
      <c r="K1" t="s">
        <v>905</v>
      </c>
      <c r="L1" t="s">
        <v>906</v>
      </c>
      <c r="M1" t="s">
        <v>907</v>
      </c>
      <c r="N1">
        <v>21232</v>
      </c>
      <c r="O1">
        <v>1</v>
      </c>
      <c r="P1">
        <v>2024</v>
      </c>
    </row>
    <row r="2" spans="1:16" x14ac:dyDescent="0.25">
      <c r="A2" s="35" t="s">
        <v>773</v>
      </c>
      <c r="B2" t="s">
        <v>901</v>
      </c>
      <c r="D2">
        <v>21233</v>
      </c>
      <c r="E2" t="str">
        <f t="shared" ref="E2:E65" si="0">"ia.assorted_string like '%"&amp;D2&amp;B2&amp;"%' or"</f>
        <v>ia.assorted_string like '%21233-01-2024%' or</v>
      </c>
      <c r="H2" s="35" t="s">
        <v>902</v>
      </c>
      <c r="I2" t="s">
        <v>903</v>
      </c>
      <c r="J2" t="s">
        <v>904</v>
      </c>
      <c r="K2" t="s">
        <v>905</v>
      </c>
      <c r="L2" t="s">
        <v>906</v>
      </c>
      <c r="M2" t="s">
        <v>907</v>
      </c>
      <c r="N2">
        <v>21233</v>
      </c>
      <c r="O2">
        <v>1</v>
      </c>
      <c r="P2">
        <v>2024</v>
      </c>
    </row>
    <row r="3" spans="1:16" x14ac:dyDescent="0.25">
      <c r="A3" s="35" t="s">
        <v>774</v>
      </c>
      <c r="B3" t="s">
        <v>901</v>
      </c>
      <c r="D3">
        <v>21234</v>
      </c>
      <c r="E3" t="str">
        <f t="shared" si="0"/>
        <v>ia.assorted_string like '%21234-01-2024%' or</v>
      </c>
      <c r="H3" s="35" t="s">
        <v>902</v>
      </c>
      <c r="I3" t="s">
        <v>903</v>
      </c>
      <c r="J3" t="s">
        <v>904</v>
      </c>
      <c r="K3" t="s">
        <v>905</v>
      </c>
      <c r="L3" t="s">
        <v>906</v>
      </c>
      <c r="M3" t="s">
        <v>907</v>
      </c>
      <c r="N3">
        <v>21234</v>
      </c>
      <c r="O3">
        <v>1</v>
      </c>
      <c r="P3">
        <v>2024</v>
      </c>
    </row>
    <row r="4" spans="1:16" x14ac:dyDescent="0.25">
      <c r="A4" s="35" t="s">
        <v>775</v>
      </c>
      <c r="B4" t="s">
        <v>901</v>
      </c>
      <c r="D4">
        <v>21235</v>
      </c>
      <c r="E4" t="str">
        <f t="shared" si="0"/>
        <v>ia.assorted_string like '%21235-01-2024%' or</v>
      </c>
      <c r="H4" s="35" t="s">
        <v>902</v>
      </c>
      <c r="I4" t="s">
        <v>903</v>
      </c>
      <c r="J4" t="s">
        <v>904</v>
      </c>
      <c r="K4" t="s">
        <v>905</v>
      </c>
      <c r="L4" t="s">
        <v>906</v>
      </c>
      <c r="M4" t="s">
        <v>907</v>
      </c>
      <c r="N4">
        <v>21235</v>
      </c>
      <c r="O4">
        <v>1</v>
      </c>
      <c r="P4">
        <v>2024</v>
      </c>
    </row>
    <row r="5" spans="1:16" x14ac:dyDescent="0.25">
      <c r="A5" s="35" t="s">
        <v>776</v>
      </c>
      <c r="B5" t="s">
        <v>901</v>
      </c>
      <c r="D5">
        <v>21236</v>
      </c>
      <c r="E5" t="str">
        <f t="shared" si="0"/>
        <v>ia.assorted_string like '%21236-01-2024%' or</v>
      </c>
      <c r="H5" s="35" t="s">
        <v>902</v>
      </c>
      <c r="I5" t="s">
        <v>903</v>
      </c>
      <c r="J5" t="s">
        <v>904</v>
      </c>
      <c r="K5" t="s">
        <v>905</v>
      </c>
      <c r="L5" t="s">
        <v>906</v>
      </c>
      <c r="M5" t="s">
        <v>907</v>
      </c>
      <c r="N5">
        <v>21236</v>
      </c>
      <c r="O5">
        <v>1</v>
      </c>
      <c r="P5">
        <v>2024</v>
      </c>
    </row>
    <row r="6" spans="1:16" x14ac:dyDescent="0.25">
      <c r="A6" s="35" t="s">
        <v>777</v>
      </c>
      <c r="B6" t="s">
        <v>901</v>
      </c>
      <c r="D6">
        <v>21237</v>
      </c>
      <c r="E6" t="str">
        <f t="shared" si="0"/>
        <v>ia.assorted_string like '%21237-01-2024%' or</v>
      </c>
      <c r="H6" s="35" t="s">
        <v>902</v>
      </c>
      <c r="I6" t="s">
        <v>903</v>
      </c>
      <c r="J6" t="s">
        <v>904</v>
      </c>
      <c r="K6" t="s">
        <v>905</v>
      </c>
      <c r="L6" t="s">
        <v>906</v>
      </c>
      <c r="M6" t="s">
        <v>907</v>
      </c>
      <c r="N6">
        <v>21237</v>
      </c>
      <c r="O6">
        <v>1</v>
      </c>
      <c r="P6">
        <v>2024</v>
      </c>
    </row>
    <row r="7" spans="1:16" x14ac:dyDescent="0.25">
      <c r="A7" s="35" t="s">
        <v>778</v>
      </c>
      <c r="B7" t="s">
        <v>901</v>
      </c>
      <c r="D7">
        <v>21238</v>
      </c>
      <c r="E7" t="str">
        <f t="shared" si="0"/>
        <v>ia.assorted_string like '%21238-01-2024%' or</v>
      </c>
      <c r="H7" s="35" t="s">
        <v>902</v>
      </c>
      <c r="I7" t="s">
        <v>903</v>
      </c>
      <c r="J7" t="s">
        <v>904</v>
      </c>
      <c r="K7" t="s">
        <v>905</v>
      </c>
      <c r="L7" t="s">
        <v>906</v>
      </c>
      <c r="M7" t="s">
        <v>907</v>
      </c>
      <c r="N7">
        <v>21238</v>
      </c>
      <c r="O7">
        <v>1</v>
      </c>
      <c r="P7">
        <v>2024</v>
      </c>
    </row>
    <row r="8" spans="1:16" x14ac:dyDescent="0.25">
      <c r="A8" s="35" t="s">
        <v>779</v>
      </c>
      <c r="B8" t="s">
        <v>901</v>
      </c>
      <c r="D8">
        <v>21239</v>
      </c>
      <c r="E8" t="str">
        <f t="shared" si="0"/>
        <v>ia.assorted_string like '%21239-01-2024%' or</v>
      </c>
      <c r="H8" s="35" t="s">
        <v>902</v>
      </c>
      <c r="I8" t="s">
        <v>903</v>
      </c>
      <c r="J8" t="s">
        <v>904</v>
      </c>
      <c r="K8" t="s">
        <v>905</v>
      </c>
      <c r="L8" t="s">
        <v>906</v>
      </c>
      <c r="M8" t="s">
        <v>907</v>
      </c>
      <c r="N8">
        <v>21239</v>
      </c>
      <c r="O8">
        <v>1</v>
      </c>
      <c r="P8">
        <v>2024</v>
      </c>
    </row>
    <row r="9" spans="1:16" x14ac:dyDescent="0.25">
      <c r="A9" s="35" t="s">
        <v>780</v>
      </c>
      <c r="B9" t="s">
        <v>901</v>
      </c>
      <c r="D9">
        <v>21240</v>
      </c>
      <c r="E9" t="str">
        <f t="shared" si="0"/>
        <v>ia.assorted_string like '%21240-01-2024%' or</v>
      </c>
      <c r="H9" s="35" t="s">
        <v>902</v>
      </c>
      <c r="I9" t="s">
        <v>903</v>
      </c>
      <c r="J9" t="s">
        <v>904</v>
      </c>
      <c r="K9" t="s">
        <v>905</v>
      </c>
      <c r="L9" t="s">
        <v>906</v>
      </c>
      <c r="M9" t="s">
        <v>907</v>
      </c>
      <c r="N9">
        <v>21240</v>
      </c>
      <c r="O9">
        <v>1</v>
      </c>
      <c r="P9">
        <v>2024</v>
      </c>
    </row>
    <row r="10" spans="1:16" x14ac:dyDescent="0.25">
      <c r="A10" s="35" t="s">
        <v>781</v>
      </c>
      <c r="B10" t="s">
        <v>901</v>
      </c>
      <c r="D10">
        <v>21241</v>
      </c>
      <c r="E10" t="str">
        <f t="shared" si="0"/>
        <v>ia.assorted_string like '%21241-01-2024%' or</v>
      </c>
      <c r="H10" s="35" t="s">
        <v>902</v>
      </c>
      <c r="I10" t="s">
        <v>903</v>
      </c>
      <c r="J10" t="s">
        <v>904</v>
      </c>
      <c r="K10" t="s">
        <v>905</v>
      </c>
      <c r="L10" t="s">
        <v>906</v>
      </c>
      <c r="M10" t="s">
        <v>907</v>
      </c>
      <c r="N10">
        <v>21241</v>
      </c>
      <c r="O10">
        <v>1</v>
      </c>
      <c r="P10">
        <v>2024</v>
      </c>
    </row>
    <row r="11" spans="1:16" x14ac:dyDescent="0.25">
      <c r="A11" s="35" t="s">
        <v>782</v>
      </c>
      <c r="B11" t="s">
        <v>901</v>
      </c>
      <c r="D11">
        <v>21242</v>
      </c>
      <c r="E11" t="str">
        <f t="shared" si="0"/>
        <v>ia.assorted_string like '%21242-01-2024%' or</v>
      </c>
      <c r="H11" s="35" t="s">
        <v>902</v>
      </c>
      <c r="I11" t="s">
        <v>903</v>
      </c>
      <c r="J11" t="s">
        <v>904</v>
      </c>
      <c r="K11" t="s">
        <v>905</v>
      </c>
      <c r="L11" t="s">
        <v>906</v>
      </c>
      <c r="M11" t="s">
        <v>907</v>
      </c>
      <c r="N11">
        <v>21242</v>
      </c>
      <c r="O11">
        <v>1</v>
      </c>
      <c r="P11">
        <v>2024</v>
      </c>
    </row>
    <row r="12" spans="1:16" x14ac:dyDescent="0.25">
      <c r="A12" s="35" t="s">
        <v>783</v>
      </c>
      <c r="B12" t="s">
        <v>901</v>
      </c>
      <c r="D12">
        <v>21243</v>
      </c>
      <c r="E12" t="str">
        <f t="shared" si="0"/>
        <v>ia.assorted_string like '%21243-01-2024%' or</v>
      </c>
      <c r="H12" s="35" t="s">
        <v>902</v>
      </c>
      <c r="I12" t="s">
        <v>903</v>
      </c>
      <c r="J12" t="s">
        <v>904</v>
      </c>
      <c r="K12" t="s">
        <v>905</v>
      </c>
      <c r="L12" t="s">
        <v>906</v>
      </c>
      <c r="M12" t="s">
        <v>907</v>
      </c>
      <c r="N12">
        <v>21243</v>
      </c>
      <c r="O12">
        <v>1</v>
      </c>
      <c r="P12">
        <v>2024</v>
      </c>
    </row>
    <row r="13" spans="1:16" x14ac:dyDescent="0.25">
      <c r="A13" s="35" t="s">
        <v>784</v>
      </c>
      <c r="B13" t="s">
        <v>901</v>
      </c>
      <c r="D13">
        <v>21244</v>
      </c>
      <c r="E13" t="str">
        <f t="shared" si="0"/>
        <v>ia.assorted_string like '%21244-01-2024%' or</v>
      </c>
      <c r="H13" s="35" t="s">
        <v>902</v>
      </c>
      <c r="I13" t="s">
        <v>903</v>
      </c>
      <c r="J13" t="s">
        <v>904</v>
      </c>
      <c r="K13" t="s">
        <v>905</v>
      </c>
      <c r="L13" t="s">
        <v>906</v>
      </c>
      <c r="M13" t="s">
        <v>907</v>
      </c>
      <c r="N13">
        <v>21244</v>
      </c>
      <c r="O13">
        <v>1</v>
      </c>
      <c r="P13">
        <v>2024</v>
      </c>
    </row>
    <row r="14" spans="1:16" x14ac:dyDescent="0.25">
      <c r="A14" s="35" t="s">
        <v>785</v>
      </c>
      <c r="B14" t="s">
        <v>901</v>
      </c>
      <c r="D14">
        <v>21245</v>
      </c>
      <c r="E14" t="str">
        <f t="shared" si="0"/>
        <v>ia.assorted_string like '%21245-01-2024%' or</v>
      </c>
      <c r="H14" s="35" t="s">
        <v>902</v>
      </c>
      <c r="I14" t="s">
        <v>903</v>
      </c>
      <c r="J14" t="s">
        <v>904</v>
      </c>
      <c r="K14" t="s">
        <v>905</v>
      </c>
      <c r="L14" t="s">
        <v>906</v>
      </c>
      <c r="M14" t="s">
        <v>907</v>
      </c>
      <c r="N14">
        <v>21245</v>
      </c>
      <c r="O14">
        <v>1</v>
      </c>
      <c r="P14">
        <v>2024</v>
      </c>
    </row>
    <row r="15" spans="1:16" x14ac:dyDescent="0.25">
      <c r="A15" s="35" t="s">
        <v>786</v>
      </c>
      <c r="B15" t="s">
        <v>901</v>
      </c>
      <c r="D15">
        <v>21246</v>
      </c>
      <c r="E15" t="str">
        <f t="shared" si="0"/>
        <v>ia.assorted_string like '%21246-01-2024%' or</v>
      </c>
      <c r="H15" s="35" t="s">
        <v>902</v>
      </c>
      <c r="I15" t="s">
        <v>903</v>
      </c>
      <c r="J15" t="s">
        <v>904</v>
      </c>
      <c r="K15" t="s">
        <v>905</v>
      </c>
      <c r="L15" t="s">
        <v>906</v>
      </c>
      <c r="M15" t="s">
        <v>907</v>
      </c>
      <c r="N15">
        <v>21246</v>
      </c>
      <c r="O15">
        <v>1</v>
      </c>
      <c r="P15">
        <v>2024</v>
      </c>
    </row>
    <row r="16" spans="1:16" x14ac:dyDescent="0.25">
      <c r="A16" s="35" t="s">
        <v>787</v>
      </c>
      <c r="B16" t="s">
        <v>901</v>
      </c>
      <c r="D16">
        <v>21247</v>
      </c>
      <c r="E16" t="str">
        <f t="shared" si="0"/>
        <v>ia.assorted_string like '%21247-01-2024%' or</v>
      </c>
      <c r="H16" s="35" t="s">
        <v>902</v>
      </c>
      <c r="I16" t="s">
        <v>903</v>
      </c>
      <c r="J16" t="s">
        <v>904</v>
      </c>
      <c r="K16" t="s">
        <v>905</v>
      </c>
      <c r="L16" t="s">
        <v>906</v>
      </c>
      <c r="M16" t="s">
        <v>907</v>
      </c>
      <c r="N16">
        <v>21247</v>
      </c>
      <c r="O16">
        <v>1</v>
      </c>
      <c r="P16">
        <v>2024</v>
      </c>
    </row>
    <row r="17" spans="1:16" x14ac:dyDescent="0.25">
      <c r="A17" s="35" t="s">
        <v>788</v>
      </c>
      <c r="B17" t="s">
        <v>901</v>
      </c>
      <c r="D17">
        <v>21248</v>
      </c>
      <c r="E17" t="str">
        <f t="shared" si="0"/>
        <v>ia.assorted_string like '%21248-01-2024%' or</v>
      </c>
      <c r="H17" s="35" t="s">
        <v>902</v>
      </c>
      <c r="I17" t="s">
        <v>903</v>
      </c>
      <c r="J17" t="s">
        <v>904</v>
      </c>
      <c r="K17" t="s">
        <v>905</v>
      </c>
      <c r="L17" t="s">
        <v>906</v>
      </c>
      <c r="M17" t="s">
        <v>907</v>
      </c>
      <c r="N17">
        <v>21248</v>
      </c>
      <c r="O17">
        <v>1</v>
      </c>
      <c r="P17">
        <v>2024</v>
      </c>
    </row>
    <row r="18" spans="1:16" x14ac:dyDescent="0.25">
      <c r="A18" s="35" t="s">
        <v>789</v>
      </c>
      <c r="B18" t="s">
        <v>901</v>
      </c>
      <c r="D18">
        <v>21249</v>
      </c>
      <c r="E18" t="str">
        <f t="shared" si="0"/>
        <v>ia.assorted_string like '%21249-01-2024%' or</v>
      </c>
      <c r="H18" s="35" t="s">
        <v>902</v>
      </c>
      <c r="I18" t="s">
        <v>903</v>
      </c>
      <c r="J18" t="s">
        <v>904</v>
      </c>
      <c r="K18" t="s">
        <v>905</v>
      </c>
      <c r="L18" t="s">
        <v>906</v>
      </c>
      <c r="M18" t="s">
        <v>907</v>
      </c>
      <c r="N18">
        <v>21249</v>
      </c>
      <c r="O18">
        <v>1</v>
      </c>
      <c r="P18">
        <v>2024</v>
      </c>
    </row>
    <row r="19" spans="1:16" x14ac:dyDescent="0.25">
      <c r="A19" s="35" t="s">
        <v>790</v>
      </c>
      <c r="B19" t="s">
        <v>901</v>
      </c>
      <c r="D19">
        <v>21250</v>
      </c>
      <c r="E19" t="str">
        <f t="shared" si="0"/>
        <v>ia.assorted_string like '%21250-01-2024%' or</v>
      </c>
      <c r="H19" s="35" t="s">
        <v>902</v>
      </c>
      <c r="I19" t="s">
        <v>903</v>
      </c>
      <c r="J19" t="s">
        <v>904</v>
      </c>
      <c r="K19" t="s">
        <v>905</v>
      </c>
      <c r="L19" t="s">
        <v>906</v>
      </c>
      <c r="M19" t="s">
        <v>907</v>
      </c>
      <c r="N19">
        <v>21250</v>
      </c>
      <c r="O19">
        <v>1</v>
      </c>
      <c r="P19">
        <v>2024</v>
      </c>
    </row>
    <row r="20" spans="1:16" x14ac:dyDescent="0.25">
      <c r="A20" s="35" t="s">
        <v>791</v>
      </c>
      <c r="B20" t="s">
        <v>901</v>
      </c>
      <c r="D20">
        <v>21251</v>
      </c>
      <c r="E20" t="str">
        <f t="shared" si="0"/>
        <v>ia.assorted_string like '%21251-01-2024%' or</v>
      </c>
      <c r="H20" s="35" t="s">
        <v>902</v>
      </c>
      <c r="I20" t="s">
        <v>903</v>
      </c>
      <c r="J20" t="s">
        <v>904</v>
      </c>
      <c r="K20" t="s">
        <v>905</v>
      </c>
      <c r="L20" t="s">
        <v>906</v>
      </c>
      <c r="M20" t="s">
        <v>907</v>
      </c>
      <c r="N20">
        <v>21251</v>
      </c>
      <c r="O20">
        <v>1</v>
      </c>
      <c r="P20">
        <v>2024</v>
      </c>
    </row>
    <row r="21" spans="1:16" x14ac:dyDescent="0.25">
      <c r="A21" s="35" t="s">
        <v>792</v>
      </c>
      <c r="B21" t="s">
        <v>901</v>
      </c>
      <c r="D21">
        <v>21252</v>
      </c>
      <c r="E21" t="str">
        <f t="shared" si="0"/>
        <v>ia.assorted_string like '%21252-01-2024%' or</v>
      </c>
      <c r="H21" s="35" t="s">
        <v>902</v>
      </c>
      <c r="I21" t="s">
        <v>903</v>
      </c>
      <c r="J21" t="s">
        <v>904</v>
      </c>
      <c r="K21" t="s">
        <v>905</v>
      </c>
      <c r="L21" t="s">
        <v>906</v>
      </c>
      <c r="M21" t="s">
        <v>907</v>
      </c>
      <c r="N21">
        <v>21252</v>
      </c>
      <c r="O21">
        <v>1</v>
      </c>
      <c r="P21">
        <v>2024</v>
      </c>
    </row>
    <row r="22" spans="1:16" x14ac:dyDescent="0.25">
      <c r="A22" s="35" t="s">
        <v>793</v>
      </c>
      <c r="B22" t="s">
        <v>901</v>
      </c>
      <c r="D22">
        <v>21253</v>
      </c>
      <c r="E22" t="str">
        <f t="shared" si="0"/>
        <v>ia.assorted_string like '%21253-01-2024%' or</v>
      </c>
      <c r="H22" s="35" t="s">
        <v>902</v>
      </c>
      <c r="I22" t="s">
        <v>903</v>
      </c>
      <c r="J22" t="s">
        <v>904</v>
      </c>
      <c r="K22" t="s">
        <v>905</v>
      </c>
      <c r="L22" t="s">
        <v>906</v>
      </c>
      <c r="M22" t="s">
        <v>907</v>
      </c>
      <c r="N22">
        <v>21253</v>
      </c>
      <c r="O22">
        <v>1</v>
      </c>
      <c r="P22">
        <v>2024</v>
      </c>
    </row>
    <row r="23" spans="1:16" x14ac:dyDescent="0.25">
      <c r="A23" s="35" t="s">
        <v>794</v>
      </c>
      <c r="B23" t="s">
        <v>901</v>
      </c>
      <c r="D23">
        <v>21254</v>
      </c>
      <c r="E23" t="str">
        <f t="shared" si="0"/>
        <v>ia.assorted_string like '%21254-01-2024%' or</v>
      </c>
      <c r="H23" s="35" t="s">
        <v>902</v>
      </c>
      <c r="I23" t="s">
        <v>903</v>
      </c>
      <c r="J23" t="s">
        <v>904</v>
      </c>
      <c r="K23" t="s">
        <v>905</v>
      </c>
      <c r="L23" t="s">
        <v>906</v>
      </c>
      <c r="M23" t="s">
        <v>907</v>
      </c>
      <c r="N23">
        <v>21254</v>
      </c>
      <c r="O23">
        <v>1</v>
      </c>
      <c r="P23">
        <v>2024</v>
      </c>
    </row>
    <row r="24" spans="1:16" x14ac:dyDescent="0.25">
      <c r="A24" s="35" t="s">
        <v>795</v>
      </c>
      <c r="B24" t="s">
        <v>901</v>
      </c>
      <c r="D24">
        <v>21255</v>
      </c>
      <c r="E24" t="str">
        <f t="shared" si="0"/>
        <v>ia.assorted_string like '%21255-01-2024%' or</v>
      </c>
      <c r="H24" s="35" t="s">
        <v>902</v>
      </c>
      <c r="I24" t="s">
        <v>903</v>
      </c>
      <c r="J24" t="s">
        <v>904</v>
      </c>
      <c r="K24" t="s">
        <v>905</v>
      </c>
      <c r="L24" t="s">
        <v>906</v>
      </c>
      <c r="M24" t="s">
        <v>907</v>
      </c>
      <c r="N24">
        <v>21255</v>
      </c>
      <c r="O24">
        <v>1</v>
      </c>
      <c r="P24">
        <v>2024</v>
      </c>
    </row>
    <row r="25" spans="1:16" x14ac:dyDescent="0.25">
      <c r="A25" s="35" t="s">
        <v>796</v>
      </c>
      <c r="B25" t="s">
        <v>901</v>
      </c>
      <c r="D25">
        <v>21256</v>
      </c>
      <c r="E25" t="str">
        <f t="shared" si="0"/>
        <v>ia.assorted_string like '%21256-01-2024%' or</v>
      </c>
      <c r="H25" s="35" t="s">
        <v>902</v>
      </c>
      <c r="I25" t="s">
        <v>903</v>
      </c>
      <c r="J25" t="s">
        <v>904</v>
      </c>
      <c r="K25" t="s">
        <v>905</v>
      </c>
      <c r="L25" t="s">
        <v>906</v>
      </c>
      <c r="M25" t="s">
        <v>907</v>
      </c>
      <c r="N25">
        <v>21256</v>
      </c>
      <c r="O25">
        <v>1</v>
      </c>
      <c r="P25">
        <v>2024</v>
      </c>
    </row>
    <row r="26" spans="1:16" x14ac:dyDescent="0.25">
      <c r="A26" s="35" t="s">
        <v>797</v>
      </c>
      <c r="B26" t="s">
        <v>901</v>
      </c>
      <c r="D26">
        <v>21257</v>
      </c>
      <c r="E26" t="str">
        <f t="shared" si="0"/>
        <v>ia.assorted_string like '%21257-01-2024%' or</v>
      </c>
      <c r="H26" s="35" t="s">
        <v>902</v>
      </c>
      <c r="I26" t="s">
        <v>903</v>
      </c>
      <c r="J26" t="s">
        <v>904</v>
      </c>
      <c r="K26" t="s">
        <v>905</v>
      </c>
      <c r="L26" t="s">
        <v>906</v>
      </c>
      <c r="M26" t="s">
        <v>907</v>
      </c>
      <c r="N26">
        <v>21257</v>
      </c>
      <c r="O26">
        <v>1</v>
      </c>
      <c r="P26">
        <v>2024</v>
      </c>
    </row>
    <row r="27" spans="1:16" x14ac:dyDescent="0.25">
      <c r="A27" s="35" t="s">
        <v>798</v>
      </c>
      <c r="B27" t="s">
        <v>901</v>
      </c>
      <c r="D27">
        <v>21258</v>
      </c>
      <c r="E27" t="str">
        <f t="shared" si="0"/>
        <v>ia.assorted_string like '%21258-01-2024%' or</v>
      </c>
      <c r="H27" s="35" t="s">
        <v>902</v>
      </c>
      <c r="I27" t="s">
        <v>903</v>
      </c>
      <c r="J27" t="s">
        <v>904</v>
      </c>
      <c r="K27" t="s">
        <v>905</v>
      </c>
      <c r="L27" t="s">
        <v>906</v>
      </c>
      <c r="M27" t="s">
        <v>907</v>
      </c>
      <c r="N27">
        <v>21258</v>
      </c>
      <c r="O27">
        <v>1</v>
      </c>
      <c r="P27">
        <v>2024</v>
      </c>
    </row>
    <row r="28" spans="1:16" x14ac:dyDescent="0.25">
      <c r="A28" s="35" t="s">
        <v>799</v>
      </c>
      <c r="B28" t="s">
        <v>901</v>
      </c>
      <c r="D28">
        <v>21259</v>
      </c>
      <c r="E28" t="str">
        <f t="shared" si="0"/>
        <v>ia.assorted_string like '%21259-01-2024%' or</v>
      </c>
      <c r="H28" s="35" t="s">
        <v>902</v>
      </c>
      <c r="I28" t="s">
        <v>903</v>
      </c>
      <c r="J28" t="s">
        <v>904</v>
      </c>
      <c r="K28" t="s">
        <v>905</v>
      </c>
      <c r="L28" t="s">
        <v>906</v>
      </c>
      <c r="M28" t="s">
        <v>907</v>
      </c>
      <c r="N28">
        <v>21259</v>
      </c>
      <c r="O28">
        <v>1</v>
      </c>
      <c r="P28">
        <v>2024</v>
      </c>
    </row>
    <row r="29" spans="1:16" x14ac:dyDescent="0.25">
      <c r="A29" s="35" t="s">
        <v>800</v>
      </c>
      <c r="B29" t="s">
        <v>901</v>
      </c>
      <c r="D29">
        <v>21260</v>
      </c>
      <c r="E29" t="str">
        <f t="shared" si="0"/>
        <v>ia.assorted_string like '%21260-01-2024%' or</v>
      </c>
      <c r="H29" s="35" t="s">
        <v>902</v>
      </c>
      <c r="I29" t="s">
        <v>903</v>
      </c>
      <c r="J29" t="s">
        <v>904</v>
      </c>
      <c r="K29" t="s">
        <v>905</v>
      </c>
      <c r="L29" t="s">
        <v>906</v>
      </c>
      <c r="M29" t="s">
        <v>907</v>
      </c>
      <c r="N29">
        <v>21260</v>
      </c>
      <c r="O29">
        <v>1</v>
      </c>
      <c r="P29">
        <v>2024</v>
      </c>
    </row>
    <row r="30" spans="1:16" x14ac:dyDescent="0.25">
      <c r="A30" s="35" t="s">
        <v>801</v>
      </c>
      <c r="B30" t="s">
        <v>901</v>
      </c>
      <c r="D30">
        <v>21261</v>
      </c>
      <c r="E30" t="str">
        <f t="shared" si="0"/>
        <v>ia.assorted_string like '%21261-01-2024%' or</v>
      </c>
      <c r="H30" s="35" t="s">
        <v>902</v>
      </c>
      <c r="I30" t="s">
        <v>903</v>
      </c>
      <c r="J30" t="s">
        <v>904</v>
      </c>
      <c r="K30" t="s">
        <v>905</v>
      </c>
      <c r="L30" t="s">
        <v>906</v>
      </c>
      <c r="M30" t="s">
        <v>907</v>
      </c>
      <c r="N30">
        <v>21261</v>
      </c>
      <c r="O30">
        <v>1</v>
      </c>
      <c r="P30">
        <v>2024</v>
      </c>
    </row>
    <row r="31" spans="1:16" x14ac:dyDescent="0.25">
      <c r="A31" s="35" t="s">
        <v>802</v>
      </c>
      <c r="B31" t="s">
        <v>901</v>
      </c>
      <c r="D31">
        <v>21262</v>
      </c>
      <c r="E31" t="str">
        <f t="shared" si="0"/>
        <v>ia.assorted_string like '%21262-01-2024%' or</v>
      </c>
      <c r="H31" s="35" t="s">
        <v>902</v>
      </c>
      <c r="I31" t="s">
        <v>903</v>
      </c>
      <c r="J31" t="s">
        <v>904</v>
      </c>
      <c r="K31" t="s">
        <v>905</v>
      </c>
      <c r="L31" t="s">
        <v>906</v>
      </c>
      <c r="M31" t="s">
        <v>907</v>
      </c>
      <c r="N31">
        <v>21262</v>
      </c>
      <c r="O31">
        <v>1</v>
      </c>
      <c r="P31">
        <v>2024</v>
      </c>
    </row>
    <row r="32" spans="1:16" x14ac:dyDescent="0.25">
      <c r="A32" s="35" t="s">
        <v>803</v>
      </c>
      <c r="B32" t="s">
        <v>901</v>
      </c>
      <c r="D32">
        <v>21263</v>
      </c>
      <c r="E32" t="str">
        <f t="shared" si="0"/>
        <v>ia.assorted_string like '%21263-01-2024%' or</v>
      </c>
      <c r="H32" s="35" t="s">
        <v>902</v>
      </c>
      <c r="I32" t="s">
        <v>903</v>
      </c>
      <c r="J32" t="s">
        <v>904</v>
      </c>
      <c r="K32" t="s">
        <v>905</v>
      </c>
      <c r="L32" t="s">
        <v>906</v>
      </c>
      <c r="M32" t="s">
        <v>907</v>
      </c>
      <c r="N32">
        <v>21263</v>
      </c>
      <c r="O32">
        <v>1</v>
      </c>
      <c r="P32">
        <v>2024</v>
      </c>
    </row>
    <row r="33" spans="1:16" x14ac:dyDescent="0.25">
      <c r="A33" s="35" t="s">
        <v>804</v>
      </c>
      <c r="B33" t="s">
        <v>901</v>
      </c>
      <c r="D33">
        <v>21264</v>
      </c>
      <c r="E33" t="str">
        <f t="shared" si="0"/>
        <v>ia.assorted_string like '%21264-01-2024%' or</v>
      </c>
      <c r="H33" s="35" t="s">
        <v>902</v>
      </c>
      <c r="I33" t="s">
        <v>903</v>
      </c>
      <c r="J33" t="s">
        <v>904</v>
      </c>
      <c r="K33" t="s">
        <v>905</v>
      </c>
      <c r="L33" t="s">
        <v>906</v>
      </c>
      <c r="M33" t="s">
        <v>907</v>
      </c>
      <c r="N33">
        <v>21264</v>
      </c>
      <c r="O33">
        <v>1</v>
      </c>
      <c r="P33">
        <v>2024</v>
      </c>
    </row>
    <row r="34" spans="1:16" x14ac:dyDescent="0.25">
      <c r="A34" s="35" t="s">
        <v>805</v>
      </c>
      <c r="B34" t="s">
        <v>901</v>
      </c>
      <c r="D34">
        <v>21265</v>
      </c>
      <c r="E34" t="str">
        <f t="shared" si="0"/>
        <v>ia.assorted_string like '%21265-01-2024%' or</v>
      </c>
      <c r="H34" s="35" t="s">
        <v>902</v>
      </c>
      <c r="I34" t="s">
        <v>903</v>
      </c>
      <c r="J34" t="s">
        <v>904</v>
      </c>
      <c r="K34" t="s">
        <v>905</v>
      </c>
      <c r="L34" t="s">
        <v>906</v>
      </c>
      <c r="M34" t="s">
        <v>907</v>
      </c>
      <c r="N34">
        <v>21265</v>
      </c>
      <c r="O34">
        <v>1</v>
      </c>
      <c r="P34">
        <v>2024</v>
      </c>
    </row>
    <row r="35" spans="1:16" x14ac:dyDescent="0.25">
      <c r="A35" s="35" t="s">
        <v>806</v>
      </c>
      <c r="B35" t="s">
        <v>901</v>
      </c>
      <c r="D35">
        <v>21266</v>
      </c>
      <c r="E35" t="str">
        <f t="shared" si="0"/>
        <v>ia.assorted_string like '%21266-01-2024%' or</v>
      </c>
      <c r="H35" s="35" t="s">
        <v>902</v>
      </c>
      <c r="I35" t="s">
        <v>903</v>
      </c>
      <c r="J35" t="s">
        <v>904</v>
      </c>
      <c r="K35" t="s">
        <v>905</v>
      </c>
      <c r="L35" t="s">
        <v>906</v>
      </c>
      <c r="M35" t="s">
        <v>907</v>
      </c>
      <c r="N35">
        <v>21266</v>
      </c>
      <c r="O35">
        <v>1</v>
      </c>
      <c r="P35">
        <v>2024</v>
      </c>
    </row>
    <row r="36" spans="1:16" x14ac:dyDescent="0.25">
      <c r="A36" s="35" t="s">
        <v>807</v>
      </c>
      <c r="B36" t="s">
        <v>901</v>
      </c>
      <c r="D36">
        <v>21267</v>
      </c>
      <c r="E36" t="str">
        <f t="shared" si="0"/>
        <v>ia.assorted_string like '%21267-01-2024%' or</v>
      </c>
      <c r="H36" s="35" t="s">
        <v>902</v>
      </c>
      <c r="I36" t="s">
        <v>903</v>
      </c>
      <c r="J36" t="s">
        <v>904</v>
      </c>
      <c r="K36" t="s">
        <v>905</v>
      </c>
      <c r="L36" t="s">
        <v>906</v>
      </c>
      <c r="M36" t="s">
        <v>907</v>
      </c>
      <c r="N36">
        <v>21267</v>
      </c>
      <c r="O36">
        <v>1</v>
      </c>
      <c r="P36">
        <v>2024</v>
      </c>
    </row>
    <row r="37" spans="1:16" x14ac:dyDescent="0.25">
      <c r="A37" s="35" t="s">
        <v>808</v>
      </c>
      <c r="B37" t="s">
        <v>901</v>
      </c>
      <c r="D37">
        <v>21268</v>
      </c>
      <c r="E37" t="str">
        <f t="shared" si="0"/>
        <v>ia.assorted_string like '%21268-01-2024%' or</v>
      </c>
      <c r="H37" s="35" t="s">
        <v>902</v>
      </c>
      <c r="I37" t="s">
        <v>903</v>
      </c>
      <c r="J37" t="s">
        <v>904</v>
      </c>
      <c r="K37" t="s">
        <v>905</v>
      </c>
      <c r="L37" t="s">
        <v>906</v>
      </c>
      <c r="M37" t="s">
        <v>907</v>
      </c>
      <c r="N37">
        <v>21268</v>
      </c>
      <c r="O37">
        <v>1</v>
      </c>
      <c r="P37">
        <v>2024</v>
      </c>
    </row>
    <row r="38" spans="1:16" x14ac:dyDescent="0.25">
      <c r="A38" s="35" t="s">
        <v>809</v>
      </c>
      <c r="B38" t="s">
        <v>901</v>
      </c>
      <c r="D38">
        <v>21269</v>
      </c>
      <c r="E38" t="str">
        <f t="shared" si="0"/>
        <v>ia.assorted_string like '%21269-01-2024%' or</v>
      </c>
      <c r="H38" s="35" t="s">
        <v>902</v>
      </c>
      <c r="I38" t="s">
        <v>903</v>
      </c>
      <c r="J38" t="s">
        <v>904</v>
      </c>
      <c r="K38" t="s">
        <v>905</v>
      </c>
      <c r="L38" t="s">
        <v>906</v>
      </c>
      <c r="M38" t="s">
        <v>907</v>
      </c>
      <c r="N38">
        <v>21269</v>
      </c>
      <c r="O38">
        <v>1</v>
      </c>
      <c r="P38">
        <v>2024</v>
      </c>
    </row>
    <row r="39" spans="1:16" x14ac:dyDescent="0.25">
      <c r="A39" s="35" t="s">
        <v>810</v>
      </c>
      <c r="B39" t="s">
        <v>901</v>
      </c>
      <c r="D39">
        <v>21270</v>
      </c>
      <c r="E39" t="str">
        <f t="shared" si="0"/>
        <v>ia.assorted_string like '%21270-01-2024%' or</v>
      </c>
      <c r="H39" s="35" t="s">
        <v>902</v>
      </c>
      <c r="I39" t="s">
        <v>903</v>
      </c>
      <c r="J39" t="s">
        <v>904</v>
      </c>
      <c r="K39" t="s">
        <v>905</v>
      </c>
      <c r="L39" t="s">
        <v>906</v>
      </c>
      <c r="M39" t="s">
        <v>907</v>
      </c>
      <c r="N39">
        <v>21270</v>
      </c>
      <c r="O39">
        <v>1</v>
      </c>
      <c r="P39">
        <v>2024</v>
      </c>
    </row>
    <row r="40" spans="1:16" x14ac:dyDescent="0.25">
      <c r="A40" s="35" t="s">
        <v>811</v>
      </c>
      <c r="B40" t="s">
        <v>901</v>
      </c>
      <c r="D40">
        <v>21271</v>
      </c>
      <c r="E40" t="str">
        <f t="shared" si="0"/>
        <v>ia.assorted_string like '%21271-01-2024%' or</v>
      </c>
      <c r="H40" s="35" t="s">
        <v>902</v>
      </c>
      <c r="I40" t="s">
        <v>903</v>
      </c>
      <c r="J40" t="s">
        <v>904</v>
      </c>
      <c r="K40" t="s">
        <v>905</v>
      </c>
      <c r="L40" t="s">
        <v>906</v>
      </c>
      <c r="M40" t="s">
        <v>907</v>
      </c>
      <c r="N40">
        <v>21271</v>
      </c>
      <c r="O40">
        <v>1</v>
      </c>
      <c r="P40">
        <v>2024</v>
      </c>
    </row>
    <row r="41" spans="1:16" x14ac:dyDescent="0.25">
      <c r="A41" s="35" t="s">
        <v>812</v>
      </c>
      <c r="B41" t="s">
        <v>901</v>
      </c>
      <c r="D41">
        <v>21272</v>
      </c>
      <c r="E41" t="str">
        <f t="shared" si="0"/>
        <v>ia.assorted_string like '%21272-01-2024%' or</v>
      </c>
      <c r="H41" s="35" t="s">
        <v>902</v>
      </c>
      <c r="I41" t="s">
        <v>903</v>
      </c>
      <c r="J41" t="s">
        <v>904</v>
      </c>
      <c r="K41" t="s">
        <v>905</v>
      </c>
      <c r="L41" t="s">
        <v>906</v>
      </c>
      <c r="M41" t="s">
        <v>907</v>
      </c>
      <c r="N41">
        <v>21272</v>
      </c>
      <c r="O41">
        <v>1</v>
      </c>
      <c r="P41">
        <v>2024</v>
      </c>
    </row>
    <row r="42" spans="1:16" x14ac:dyDescent="0.25">
      <c r="A42" s="35" t="s">
        <v>813</v>
      </c>
      <c r="B42" t="s">
        <v>901</v>
      </c>
      <c r="D42">
        <v>21273</v>
      </c>
      <c r="E42" t="str">
        <f t="shared" si="0"/>
        <v>ia.assorted_string like '%21273-01-2024%' or</v>
      </c>
      <c r="H42" s="35" t="s">
        <v>902</v>
      </c>
      <c r="I42" t="s">
        <v>903</v>
      </c>
      <c r="J42" t="s">
        <v>904</v>
      </c>
      <c r="K42" t="s">
        <v>905</v>
      </c>
      <c r="L42" t="s">
        <v>906</v>
      </c>
      <c r="M42" t="s">
        <v>907</v>
      </c>
      <c r="N42">
        <v>21273</v>
      </c>
      <c r="O42">
        <v>1</v>
      </c>
      <c r="P42">
        <v>2024</v>
      </c>
    </row>
    <row r="43" spans="1:16" x14ac:dyDescent="0.25">
      <c r="A43" s="35" t="s">
        <v>814</v>
      </c>
      <c r="B43" t="s">
        <v>901</v>
      </c>
      <c r="D43">
        <v>21274</v>
      </c>
      <c r="E43" t="str">
        <f t="shared" si="0"/>
        <v>ia.assorted_string like '%21274-01-2024%' or</v>
      </c>
      <c r="H43" s="35" t="s">
        <v>902</v>
      </c>
      <c r="I43" t="s">
        <v>903</v>
      </c>
      <c r="J43" t="s">
        <v>904</v>
      </c>
      <c r="K43" t="s">
        <v>905</v>
      </c>
      <c r="L43" t="s">
        <v>906</v>
      </c>
      <c r="M43" t="s">
        <v>907</v>
      </c>
      <c r="N43">
        <v>21274</v>
      </c>
      <c r="O43">
        <v>1</v>
      </c>
      <c r="P43">
        <v>2024</v>
      </c>
    </row>
    <row r="44" spans="1:16" x14ac:dyDescent="0.25">
      <c r="A44" s="35" t="s">
        <v>815</v>
      </c>
      <c r="B44" t="s">
        <v>901</v>
      </c>
      <c r="D44">
        <v>21275</v>
      </c>
      <c r="E44" t="str">
        <f t="shared" si="0"/>
        <v>ia.assorted_string like '%21275-01-2024%' or</v>
      </c>
      <c r="H44" s="35" t="s">
        <v>902</v>
      </c>
      <c r="I44" t="s">
        <v>903</v>
      </c>
      <c r="J44" t="s">
        <v>904</v>
      </c>
      <c r="K44" t="s">
        <v>905</v>
      </c>
      <c r="L44" t="s">
        <v>906</v>
      </c>
      <c r="M44" t="s">
        <v>907</v>
      </c>
      <c r="N44">
        <v>21275</v>
      </c>
      <c r="O44">
        <v>1</v>
      </c>
      <c r="P44">
        <v>2024</v>
      </c>
    </row>
    <row r="45" spans="1:16" x14ac:dyDescent="0.25">
      <c r="A45" s="35" t="s">
        <v>816</v>
      </c>
      <c r="B45" t="s">
        <v>901</v>
      </c>
      <c r="D45">
        <v>21276</v>
      </c>
      <c r="E45" t="str">
        <f t="shared" si="0"/>
        <v>ia.assorted_string like '%21276-01-2024%' or</v>
      </c>
      <c r="H45" s="35" t="s">
        <v>902</v>
      </c>
      <c r="I45" t="s">
        <v>903</v>
      </c>
      <c r="J45" t="s">
        <v>904</v>
      </c>
      <c r="K45" t="s">
        <v>905</v>
      </c>
      <c r="L45" t="s">
        <v>906</v>
      </c>
      <c r="M45" t="s">
        <v>907</v>
      </c>
      <c r="N45">
        <v>21276</v>
      </c>
      <c r="O45">
        <v>1</v>
      </c>
      <c r="P45">
        <v>2024</v>
      </c>
    </row>
    <row r="46" spans="1:16" x14ac:dyDescent="0.25">
      <c r="A46" s="35" t="s">
        <v>817</v>
      </c>
      <c r="B46" t="s">
        <v>901</v>
      </c>
      <c r="D46">
        <v>21277</v>
      </c>
      <c r="E46" t="str">
        <f t="shared" si="0"/>
        <v>ia.assorted_string like '%21277-01-2024%' or</v>
      </c>
      <c r="H46" s="35" t="s">
        <v>902</v>
      </c>
      <c r="I46" t="s">
        <v>903</v>
      </c>
      <c r="J46" t="s">
        <v>904</v>
      </c>
      <c r="K46" t="s">
        <v>905</v>
      </c>
      <c r="L46" t="s">
        <v>906</v>
      </c>
      <c r="M46" t="s">
        <v>907</v>
      </c>
      <c r="N46">
        <v>21277</v>
      </c>
      <c r="O46">
        <v>1</v>
      </c>
      <c r="P46">
        <v>2024</v>
      </c>
    </row>
    <row r="47" spans="1:16" x14ac:dyDescent="0.25">
      <c r="A47" s="35" t="s">
        <v>818</v>
      </c>
      <c r="B47" t="s">
        <v>901</v>
      </c>
      <c r="D47">
        <v>21278</v>
      </c>
      <c r="E47" t="str">
        <f t="shared" si="0"/>
        <v>ia.assorted_string like '%21278-01-2024%' or</v>
      </c>
      <c r="H47" s="35" t="s">
        <v>902</v>
      </c>
      <c r="I47" t="s">
        <v>903</v>
      </c>
      <c r="J47" t="s">
        <v>904</v>
      </c>
      <c r="K47" t="s">
        <v>905</v>
      </c>
      <c r="L47" t="s">
        <v>906</v>
      </c>
      <c r="M47" t="s">
        <v>907</v>
      </c>
      <c r="N47">
        <v>21278</v>
      </c>
      <c r="O47">
        <v>1</v>
      </c>
      <c r="P47">
        <v>2024</v>
      </c>
    </row>
    <row r="48" spans="1:16" x14ac:dyDescent="0.25">
      <c r="A48" s="35" t="s">
        <v>819</v>
      </c>
      <c r="B48" t="s">
        <v>901</v>
      </c>
      <c r="D48">
        <v>21279</v>
      </c>
      <c r="E48" t="str">
        <f t="shared" si="0"/>
        <v>ia.assorted_string like '%21279-01-2024%' or</v>
      </c>
      <c r="H48" s="35" t="s">
        <v>902</v>
      </c>
      <c r="I48" t="s">
        <v>903</v>
      </c>
      <c r="J48" t="s">
        <v>904</v>
      </c>
      <c r="K48" t="s">
        <v>905</v>
      </c>
      <c r="L48" t="s">
        <v>906</v>
      </c>
      <c r="M48" t="s">
        <v>907</v>
      </c>
      <c r="N48">
        <v>21279</v>
      </c>
      <c r="O48">
        <v>1</v>
      </c>
      <c r="P48">
        <v>2024</v>
      </c>
    </row>
    <row r="49" spans="1:16" x14ac:dyDescent="0.25">
      <c r="A49" s="35" t="s">
        <v>820</v>
      </c>
      <c r="B49" t="s">
        <v>901</v>
      </c>
      <c r="D49">
        <v>21280</v>
      </c>
      <c r="E49" t="str">
        <f t="shared" si="0"/>
        <v>ia.assorted_string like '%21280-01-2024%' or</v>
      </c>
      <c r="H49" s="35" t="s">
        <v>902</v>
      </c>
      <c r="I49" t="s">
        <v>903</v>
      </c>
      <c r="J49" t="s">
        <v>904</v>
      </c>
      <c r="K49" t="s">
        <v>905</v>
      </c>
      <c r="L49" t="s">
        <v>906</v>
      </c>
      <c r="M49" t="s">
        <v>907</v>
      </c>
      <c r="N49">
        <v>21280</v>
      </c>
      <c r="O49">
        <v>1</v>
      </c>
      <c r="P49">
        <v>2024</v>
      </c>
    </row>
    <row r="50" spans="1:16" x14ac:dyDescent="0.25">
      <c r="A50" s="35" t="s">
        <v>821</v>
      </c>
      <c r="B50" t="s">
        <v>901</v>
      </c>
      <c r="D50">
        <v>21281</v>
      </c>
      <c r="E50" t="str">
        <f t="shared" si="0"/>
        <v>ia.assorted_string like '%21281-01-2024%' or</v>
      </c>
      <c r="H50" s="35" t="s">
        <v>902</v>
      </c>
      <c r="I50" t="s">
        <v>903</v>
      </c>
      <c r="J50" t="s">
        <v>904</v>
      </c>
      <c r="K50" t="s">
        <v>905</v>
      </c>
      <c r="L50" t="s">
        <v>906</v>
      </c>
      <c r="M50" t="s">
        <v>907</v>
      </c>
      <c r="N50">
        <v>21281</v>
      </c>
      <c r="O50">
        <v>1</v>
      </c>
      <c r="P50">
        <v>2024</v>
      </c>
    </row>
    <row r="51" spans="1:16" x14ac:dyDescent="0.25">
      <c r="A51" s="35" t="s">
        <v>822</v>
      </c>
      <c r="B51" t="s">
        <v>901</v>
      </c>
      <c r="D51">
        <v>21282</v>
      </c>
      <c r="E51" t="str">
        <f t="shared" si="0"/>
        <v>ia.assorted_string like '%21282-01-2024%' or</v>
      </c>
      <c r="H51" s="35" t="s">
        <v>902</v>
      </c>
      <c r="I51" t="s">
        <v>903</v>
      </c>
      <c r="J51" t="s">
        <v>904</v>
      </c>
      <c r="K51" t="s">
        <v>905</v>
      </c>
      <c r="L51" t="s">
        <v>906</v>
      </c>
      <c r="M51" t="s">
        <v>907</v>
      </c>
      <c r="N51">
        <v>21282</v>
      </c>
      <c r="O51">
        <v>1</v>
      </c>
      <c r="P51">
        <v>2024</v>
      </c>
    </row>
    <row r="52" spans="1:16" x14ac:dyDescent="0.25">
      <c r="A52" s="35" t="s">
        <v>823</v>
      </c>
      <c r="B52" t="s">
        <v>901</v>
      </c>
      <c r="D52">
        <v>21283</v>
      </c>
      <c r="E52" t="str">
        <f t="shared" si="0"/>
        <v>ia.assorted_string like '%21283-01-2024%' or</v>
      </c>
      <c r="H52" s="35" t="s">
        <v>902</v>
      </c>
      <c r="I52" t="s">
        <v>903</v>
      </c>
      <c r="J52" t="s">
        <v>904</v>
      </c>
      <c r="K52" t="s">
        <v>905</v>
      </c>
      <c r="L52" t="s">
        <v>906</v>
      </c>
      <c r="M52" t="s">
        <v>907</v>
      </c>
      <c r="N52">
        <v>21283</v>
      </c>
      <c r="O52">
        <v>1</v>
      </c>
      <c r="P52">
        <v>2024</v>
      </c>
    </row>
    <row r="53" spans="1:16" x14ac:dyDescent="0.25">
      <c r="A53" s="35" t="s">
        <v>824</v>
      </c>
      <c r="B53" t="s">
        <v>901</v>
      </c>
      <c r="D53">
        <v>21284</v>
      </c>
      <c r="E53" t="str">
        <f t="shared" si="0"/>
        <v>ia.assorted_string like '%21284-01-2024%' or</v>
      </c>
      <c r="H53" s="35" t="s">
        <v>902</v>
      </c>
      <c r="I53" t="s">
        <v>903</v>
      </c>
      <c r="J53" t="s">
        <v>904</v>
      </c>
      <c r="K53" t="s">
        <v>905</v>
      </c>
      <c r="L53" t="s">
        <v>906</v>
      </c>
      <c r="M53" t="s">
        <v>907</v>
      </c>
      <c r="N53">
        <v>21284</v>
      </c>
      <c r="O53">
        <v>1</v>
      </c>
      <c r="P53">
        <v>2024</v>
      </c>
    </row>
    <row r="54" spans="1:16" x14ac:dyDescent="0.25">
      <c r="A54" s="35" t="s">
        <v>825</v>
      </c>
      <c r="B54" t="s">
        <v>901</v>
      </c>
      <c r="D54">
        <v>21285</v>
      </c>
      <c r="E54" t="str">
        <f t="shared" si="0"/>
        <v>ia.assorted_string like '%21285-01-2024%' or</v>
      </c>
      <c r="H54" s="35" t="s">
        <v>902</v>
      </c>
      <c r="I54" t="s">
        <v>903</v>
      </c>
      <c r="J54" t="s">
        <v>904</v>
      </c>
      <c r="K54" t="s">
        <v>905</v>
      </c>
      <c r="L54" t="s">
        <v>906</v>
      </c>
      <c r="M54" t="s">
        <v>907</v>
      </c>
      <c r="N54">
        <v>21285</v>
      </c>
      <c r="O54">
        <v>1</v>
      </c>
      <c r="P54">
        <v>2024</v>
      </c>
    </row>
    <row r="55" spans="1:16" x14ac:dyDescent="0.25">
      <c r="A55" s="35" t="s">
        <v>826</v>
      </c>
      <c r="B55" t="s">
        <v>901</v>
      </c>
      <c r="D55">
        <v>21286</v>
      </c>
      <c r="E55" t="str">
        <f t="shared" si="0"/>
        <v>ia.assorted_string like '%21286-01-2024%' or</v>
      </c>
      <c r="H55" s="35" t="s">
        <v>902</v>
      </c>
      <c r="I55" t="s">
        <v>903</v>
      </c>
      <c r="J55" t="s">
        <v>904</v>
      </c>
      <c r="K55" t="s">
        <v>905</v>
      </c>
      <c r="L55" t="s">
        <v>906</v>
      </c>
      <c r="M55" t="s">
        <v>907</v>
      </c>
      <c r="N55">
        <v>21286</v>
      </c>
      <c r="O55">
        <v>1</v>
      </c>
      <c r="P55">
        <v>2024</v>
      </c>
    </row>
    <row r="56" spans="1:16" x14ac:dyDescent="0.25">
      <c r="A56" s="35" t="s">
        <v>827</v>
      </c>
      <c r="B56" t="s">
        <v>901</v>
      </c>
      <c r="D56">
        <v>21287</v>
      </c>
      <c r="E56" t="str">
        <f t="shared" si="0"/>
        <v>ia.assorted_string like '%21287-01-2024%' or</v>
      </c>
      <c r="H56" s="35" t="s">
        <v>902</v>
      </c>
      <c r="I56" t="s">
        <v>903</v>
      </c>
      <c r="J56" t="s">
        <v>904</v>
      </c>
      <c r="K56" t="s">
        <v>905</v>
      </c>
      <c r="L56" t="s">
        <v>906</v>
      </c>
      <c r="M56" t="s">
        <v>907</v>
      </c>
      <c r="N56">
        <v>21287</v>
      </c>
      <c r="O56">
        <v>1</v>
      </c>
      <c r="P56">
        <v>2024</v>
      </c>
    </row>
    <row r="57" spans="1:16" x14ac:dyDescent="0.25">
      <c r="A57" s="35" t="s">
        <v>828</v>
      </c>
      <c r="B57" t="s">
        <v>901</v>
      </c>
      <c r="D57">
        <v>21288</v>
      </c>
      <c r="E57" t="str">
        <f t="shared" si="0"/>
        <v>ia.assorted_string like '%21288-01-2024%' or</v>
      </c>
      <c r="H57" s="35" t="s">
        <v>902</v>
      </c>
      <c r="I57" t="s">
        <v>903</v>
      </c>
      <c r="J57" t="s">
        <v>904</v>
      </c>
      <c r="K57" t="s">
        <v>905</v>
      </c>
      <c r="L57" t="s">
        <v>906</v>
      </c>
      <c r="M57" t="s">
        <v>907</v>
      </c>
      <c r="N57">
        <v>21288</v>
      </c>
      <c r="O57">
        <v>1</v>
      </c>
      <c r="P57">
        <v>2024</v>
      </c>
    </row>
    <row r="58" spans="1:16" x14ac:dyDescent="0.25">
      <c r="A58" s="35" t="s">
        <v>829</v>
      </c>
      <c r="B58" t="s">
        <v>901</v>
      </c>
      <c r="D58">
        <v>21289</v>
      </c>
      <c r="E58" t="str">
        <f t="shared" si="0"/>
        <v>ia.assorted_string like '%21289-01-2024%' or</v>
      </c>
      <c r="H58" s="35" t="s">
        <v>902</v>
      </c>
      <c r="I58" t="s">
        <v>903</v>
      </c>
      <c r="J58" t="s">
        <v>904</v>
      </c>
      <c r="K58" t="s">
        <v>905</v>
      </c>
      <c r="L58" t="s">
        <v>906</v>
      </c>
      <c r="M58" t="s">
        <v>907</v>
      </c>
      <c r="N58">
        <v>21289</v>
      </c>
      <c r="O58">
        <v>1</v>
      </c>
      <c r="P58">
        <v>2024</v>
      </c>
    </row>
    <row r="59" spans="1:16" x14ac:dyDescent="0.25">
      <c r="A59" s="35" t="s">
        <v>830</v>
      </c>
      <c r="B59" t="s">
        <v>901</v>
      </c>
      <c r="D59">
        <v>21290</v>
      </c>
      <c r="E59" t="str">
        <f t="shared" si="0"/>
        <v>ia.assorted_string like '%21290-01-2024%' or</v>
      </c>
      <c r="H59" s="35" t="s">
        <v>902</v>
      </c>
      <c r="I59" t="s">
        <v>903</v>
      </c>
      <c r="J59" t="s">
        <v>904</v>
      </c>
      <c r="K59" t="s">
        <v>905</v>
      </c>
      <c r="L59" t="s">
        <v>906</v>
      </c>
      <c r="M59" t="s">
        <v>907</v>
      </c>
      <c r="N59">
        <v>21290</v>
      </c>
      <c r="O59">
        <v>1</v>
      </c>
      <c r="P59">
        <v>2024</v>
      </c>
    </row>
    <row r="60" spans="1:16" x14ac:dyDescent="0.25">
      <c r="A60" s="35" t="s">
        <v>831</v>
      </c>
      <c r="B60" t="s">
        <v>901</v>
      </c>
      <c r="D60">
        <v>21291</v>
      </c>
      <c r="E60" t="str">
        <f t="shared" si="0"/>
        <v>ia.assorted_string like '%21291-01-2024%' or</v>
      </c>
      <c r="H60" s="35" t="s">
        <v>902</v>
      </c>
      <c r="I60" t="s">
        <v>903</v>
      </c>
      <c r="J60" t="s">
        <v>904</v>
      </c>
      <c r="K60" t="s">
        <v>905</v>
      </c>
      <c r="L60" t="s">
        <v>906</v>
      </c>
      <c r="M60" t="s">
        <v>907</v>
      </c>
      <c r="N60">
        <v>21291</v>
      </c>
      <c r="O60">
        <v>1</v>
      </c>
      <c r="P60">
        <v>2024</v>
      </c>
    </row>
    <row r="61" spans="1:16" x14ac:dyDescent="0.25">
      <c r="A61" s="35" t="s">
        <v>832</v>
      </c>
      <c r="B61" t="s">
        <v>901</v>
      </c>
      <c r="D61">
        <v>21292</v>
      </c>
      <c r="E61" t="str">
        <f t="shared" si="0"/>
        <v>ia.assorted_string like '%21292-01-2024%' or</v>
      </c>
      <c r="H61" s="35" t="s">
        <v>902</v>
      </c>
      <c r="I61" t="s">
        <v>903</v>
      </c>
      <c r="J61" t="s">
        <v>904</v>
      </c>
      <c r="K61" t="s">
        <v>905</v>
      </c>
      <c r="L61" t="s">
        <v>906</v>
      </c>
      <c r="M61" t="s">
        <v>907</v>
      </c>
      <c r="N61">
        <v>21292</v>
      </c>
      <c r="O61">
        <v>1</v>
      </c>
      <c r="P61">
        <v>2024</v>
      </c>
    </row>
    <row r="62" spans="1:16" x14ac:dyDescent="0.25">
      <c r="A62" s="35" t="s">
        <v>833</v>
      </c>
      <c r="B62" t="s">
        <v>901</v>
      </c>
      <c r="D62">
        <v>21293</v>
      </c>
      <c r="E62" t="str">
        <f t="shared" si="0"/>
        <v>ia.assorted_string like '%21293-01-2024%' or</v>
      </c>
      <c r="H62" s="35" t="s">
        <v>902</v>
      </c>
      <c r="I62" t="s">
        <v>903</v>
      </c>
      <c r="J62" t="s">
        <v>904</v>
      </c>
      <c r="K62" t="s">
        <v>905</v>
      </c>
      <c r="L62" t="s">
        <v>906</v>
      </c>
      <c r="M62" t="s">
        <v>907</v>
      </c>
      <c r="N62">
        <v>21293</v>
      </c>
      <c r="O62">
        <v>1</v>
      </c>
      <c r="P62">
        <v>2024</v>
      </c>
    </row>
    <row r="63" spans="1:16" x14ac:dyDescent="0.25">
      <c r="A63" s="35" t="s">
        <v>834</v>
      </c>
      <c r="B63" t="s">
        <v>901</v>
      </c>
      <c r="D63">
        <v>21294</v>
      </c>
      <c r="E63" t="str">
        <f t="shared" si="0"/>
        <v>ia.assorted_string like '%21294-01-2024%' or</v>
      </c>
      <c r="H63" s="35" t="s">
        <v>902</v>
      </c>
      <c r="I63" t="s">
        <v>903</v>
      </c>
      <c r="J63" t="s">
        <v>904</v>
      </c>
      <c r="K63" t="s">
        <v>905</v>
      </c>
      <c r="L63" t="s">
        <v>906</v>
      </c>
      <c r="M63" t="s">
        <v>907</v>
      </c>
      <c r="N63">
        <v>21294</v>
      </c>
      <c r="O63">
        <v>1</v>
      </c>
      <c r="P63">
        <v>2024</v>
      </c>
    </row>
    <row r="64" spans="1:16" x14ac:dyDescent="0.25">
      <c r="A64" s="35" t="s">
        <v>835</v>
      </c>
      <c r="B64" t="s">
        <v>901</v>
      </c>
      <c r="D64">
        <v>21295</v>
      </c>
      <c r="E64" t="str">
        <f t="shared" si="0"/>
        <v>ia.assorted_string like '%21295-01-2024%' or</v>
      </c>
      <c r="H64" s="35" t="s">
        <v>902</v>
      </c>
      <c r="I64" t="s">
        <v>903</v>
      </c>
      <c r="J64" t="s">
        <v>904</v>
      </c>
      <c r="K64" t="s">
        <v>905</v>
      </c>
      <c r="L64" t="s">
        <v>906</v>
      </c>
      <c r="M64" t="s">
        <v>907</v>
      </c>
      <c r="N64">
        <v>21295</v>
      </c>
      <c r="O64">
        <v>1</v>
      </c>
      <c r="P64">
        <v>2024</v>
      </c>
    </row>
    <row r="65" spans="1:16" x14ac:dyDescent="0.25">
      <c r="A65" s="35" t="s">
        <v>836</v>
      </c>
      <c r="B65" t="s">
        <v>901</v>
      </c>
      <c r="D65">
        <v>21296</v>
      </c>
      <c r="E65" t="str">
        <f t="shared" si="0"/>
        <v>ia.assorted_string like '%21296-01-2024%' or</v>
      </c>
      <c r="H65" s="35" t="s">
        <v>902</v>
      </c>
      <c r="I65" t="s">
        <v>903</v>
      </c>
      <c r="J65" t="s">
        <v>904</v>
      </c>
      <c r="K65" t="s">
        <v>905</v>
      </c>
      <c r="L65" t="s">
        <v>906</v>
      </c>
      <c r="M65" t="s">
        <v>907</v>
      </c>
      <c r="N65">
        <v>21296</v>
      </c>
      <c r="O65">
        <v>1</v>
      </c>
      <c r="P65">
        <v>2024</v>
      </c>
    </row>
    <row r="66" spans="1:16" x14ac:dyDescent="0.25">
      <c r="A66" s="35" t="s">
        <v>837</v>
      </c>
      <c r="B66" t="s">
        <v>901</v>
      </c>
      <c r="D66">
        <v>21297</v>
      </c>
      <c r="E66" t="str">
        <f t="shared" ref="E66:E129" si="1">"ia.assorted_string like '%"&amp;D66&amp;B66&amp;"%' or"</f>
        <v>ia.assorted_string like '%21297-01-2024%' or</v>
      </c>
      <c r="H66" s="35" t="s">
        <v>902</v>
      </c>
      <c r="I66" t="s">
        <v>903</v>
      </c>
      <c r="J66" t="s">
        <v>904</v>
      </c>
      <c r="K66" t="s">
        <v>905</v>
      </c>
      <c r="L66" t="s">
        <v>906</v>
      </c>
      <c r="M66" t="s">
        <v>907</v>
      </c>
      <c r="N66">
        <v>21297</v>
      </c>
      <c r="O66">
        <v>1</v>
      </c>
      <c r="P66">
        <v>2024</v>
      </c>
    </row>
    <row r="67" spans="1:16" x14ac:dyDescent="0.25">
      <c r="A67" s="35" t="s">
        <v>838</v>
      </c>
      <c r="B67" t="s">
        <v>901</v>
      </c>
      <c r="D67">
        <v>21298</v>
      </c>
      <c r="E67" t="str">
        <f t="shared" si="1"/>
        <v>ia.assorted_string like '%21298-01-2024%' or</v>
      </c>
      <c r="H67" s="35" t="s">
        <v>902</v>
      </c>
      <c r="I67" t="s">
        <v>903</v>
      </c>
      <c r="J67" t="s">
        <v>904</v>
      </c>
      <c r="K67" t="s">
        <v>905</v>
      </c>
      <c r="L67" t="s">
        <v>906</v>
      </c>
      <c r="M67" t="s">
        <v>907</v>
      </c>
      <c r="N67">
        <v>21298</v>
      </c>
      <c r="O67">
        <v>1</v>
      </c>
      <c r="P67">
        <v>2024</v>
      </c>
    </row>
    <row r="68" spans="1:16" x14ac:dyDescent="0.25">
      <c r="A68" s="35" t="s">
        <v>839</v>
      </c>
      <c r="B68" t="s">
        <v>901</v>
      </c>
      <c r="D68">
        <v>21299</v>
      </c>
      <c r="E68" t="str">
        <f t="shared" si="1"/>
        <v>ia.assorted_string like '%21299-01-2024%' or</v>
      </c>
      <c r="H68" s="35" t="s">
        <v>902</v>
      </c>
      <c r="I68" t="s">
        <v>903</v>
      </c>
      <c r="J68" t="s">
        <v>904</v>
      </c>
      <c r="K68" t="s">
        <v>905</v>
      </c>
      <c r="L68" t="s">
        <v>906</v>
      </c>
      <c r="M68" t="s">
        <v>907</v>
      </c>
      <c r="N68">
        <v>21299</v>
      </c>
      <c r="O68">
        <v>1</v>
      </c>
      <c r="P68">
        <v>2024</v>
      </c>
    </row>
    <row r="69" spans="1:16" x14ac:dyDescent="0.25">
      <c r="A69" s="35" t="s">
        <v>840</v>
      </c>
      <c r="B69" t="s">
        <v>901</v>
      </c>
      <c r="D69">
        <v>21300</v>
      </c>
      <c r="E69" t="str">
        <f t="shared" si="1"/>
        <v>ia.assorted_string like '%21300-01-2024%' or</v>
      </c>
      <c r="H69" s="35" t="s">
        <v>902</v>
      </c>
      <c r="I69" t="s">
        <v>903</v>
      </c>
      <c r="J69" t="s">
        <v>904</v>
      </c>
      <c r="K69" t="s">
        <v>905</v>
      </c>
      <c r="L69" t="s">
        <v>906</v>
      </c>
      <c r="M69" t="s">
        <v>907</v>
      </c>
      <c r="N69">
        <v>21300</v>
      </c>
      <c r="O69">
        <v>1</v>
      </c>
      <c r="P69">
        <v>2024</v>
      </c>
    </row>
    <row r="70" spans="1:16" x14ac:dyDescent="0.25">
      <c r="A70" s="35" t="s">
        <v>841</v>
      </c>
      <c r="B70" t="s">
        <v>901</v>
      </c>
      <c r="D70">
        <v>21301</v>
      </c>
      <c r="E70" t="str">
        <f t="shared" si="1"/>
        <v>ia.assorted_string like '%21301-01-2024%' or</v>
      </c>
      <c r="H70" s="35" t="s">
        <v>902</v>
      </c>
      <c r="I70" t="s">
        <v>903</v>
      </c>
      <c r="J70" t="s">
        <v>904</v>
      </c>
      <c r="K70" t="s">
        <v>905</v>
      </c>
      <c r="L70" t="s">
        <v>906</v>
      </c>
      <c r="M70" t="s">
        <v>907</v>
      </c>
      <c r="N70">
        <v>21301</v>
      </c>
      <c r="O70">
        <v>1</v>
      </c>
      <c r="P70">
        <v>2024</v>
      </c>
    </row>
    <row r="71" spans="1:16" x14ac:dyDescent="0.25">
      <c r="A71" s="35" t="s">
        <v>842</v>
      </c>
      <c r="B71" t="s">
        <v>901</v>
      </c>
      <c r="D71">
        <v>21302</v>
      </c>
      <c r="E71" t="str">
        <f t="shared" si="1"/>
        <v>ia.assorted_string like '%21302-01-2024%' or</v>
      </c>
      <c r="H71" s="35" t="s">
        <v>902</v>
      </c>
      <c r="I71" t="s">
        <v>903</v>
      </c>
      <c r="J71" t="s">
        <v>904</v>
      </c>
      <c r="K71" t="s">
        <v>905</v>
      </c>
      <c r="L71" t="s">
        <v>906</v>
      </c>
      <c r="M71" t="s">
        <v>907</v>
      </c>
      <c r="N71">
        <v>21302</v>
      </c>
      <c r="O71">
        <v>1</v>
      </c>
      <c r="P71">
        <v>2024</v>
      </c>
    </row>
    <row r="72" spans="1:16" x14ac:dyDescent="0.25">
      <c r="A72" s="35" t="s">
        <v>843</v>
      </c>
      <c r="B72" t="s">
        <v>901</v>
      </c>
      <c r="D72">
        <v>21303</v>
      </c>
      <c r="E72" t="str">
        <f t="shared" si="1"/>
        <v>ia.assorted_string like '%21303-01-2024%' or</v>
      </c>
      <c r="H72" s="35" t="s">
        <v>902</v>
      </c>
      <c r="I72" t="s">
        <v>903</v>
      </c>
      <c r="J72" t="s">
        <v>904</v>
      </c>
      <c r="K72" t="s">
        <v>905</v>
      </c>
      <c r="L72" t="s">
        <v>906</v>
      </c>
      <c r="M72" t="s">
        <v>907</v>
      </c>
      <c r="N72">
        <v>21303</v>
      </c>
      <c r="O72">
        <v>1</v>
      </c>
      <c r="P72">
        <v>2024</v>
      </c>
    </row>
    <row r="73" spans="1:16" x14ac:dyDescent="0.25">
      <c r="A73" s="35" t="s">
        <v>844</v>
      </c>
      <c r="B73" t="s">
        <v>901</v>
      </c>
      <c r="D73">
        <v>21304</v>
      </c>
      <c r="E73" t="str">
        <f t="shared" si="1"/>
        <v>ia.assorted_string like '%21304-01-2024%' or</v>
      </c>
      <c r="H73" s="35" t="s">
        <v>902</v>
      </c>
      <c r="I73" t="s">
        <v>903</v>
      </c>
      <c r="J73" t="s">
        <v>904</v>
      </c>
      <c r="K73" t="s">
        <v>905</v>
      </c>
      <c r="L73" t="s">
        <v>906</v>
      </c>
      <c r="M73" t="s">
        <v>907</v>
      </c>
      <c r="N73">
        <v>21304</v>
      </c>
      <c r="O73">
        <v>1</v>
      </c>
      <c r="P73">
        <v>2024</v>
      </c>
    </row>
    <row r="74" spans="1:16" x14ac:dyDescent="0.25">
      <c r="A74" s="35" t="s">
        <v>845</v>
      </c>
      <c r="B74" t="s">
        <v>901</v>
      </c>
      <c r="D74">
        <v>21305</v>
      </c>
      <c r="E74" t="str">
        <f t="shared" si="1"/>
        <v>ia.assorted_string like '%21305-01-2024%' or</v>
      </c>
      <c r="H74" s="35" t="s">
        <v>902</v>
      </c>
      <c r="I74" t="s">
        <v>903</v>
      </c>
      <c r="J74" t="s">
        <v>904</v>
      </c>
      <c r="K74" t="s">
        <v>905</v>
      </c>
      <c r="L74" t="s">
        <v>906</v>
      </c>
      <c r="M74" t="s">
        <v>907</v>
      </c>
      <c r="N74">
        <v>21305</v>
      </c>
      <c r="O74">
        <v>1</v>
      </c>
      <c r="P74">
        <v>2024</v>
      </c>
    </row>
    <row r="75" spans="1:16" x14ac:dyDescent="0.25">
      <c r="A75" s="35" t="s">
        <v>846</v>
      </c>
      <c r="B75" t="s">
        <v>901</v>
      </c>
      <c r="D75">
        <v>21306</v>
      </c>
      <c r="E75" t="str">
        <f t="shared" si="1"/>
        <v>ia.assorted_string like '%21306-01-2024%' or</v>
      </c>
      <c r="H75" s="35" t="s">
        <v>902</v>
      </c>
      <c r="I75" t="s">
        <v>903</v>
      </c>
      <c r="J75" t="s">
        <v>904</v>
      </c>
      <c r="K75" t="s">
        <v>905</v>
      </c>
      <c r="L75" t="s">
        <v>906</v>
      </c>
      <c r="M75" t="s">
        <v>907</v>
      </c>
      <c r="N75">
        <v>21306</v>
      </c>
      <c r="O75">
        <v>1</v>
      </c>
      <c r="P75">
        <v>2024</v>
      </c>
    </row>
    <row r="76" spans="1:16" x14ac:dyDescent="0.25">
      <c r="A76" s="35" t="s">
        <v>847</v>
      </c>
      <c r="B76" t="s">
        <v>901</v>
      </c>
      <c r="D76">
        <v>21307</v>
      </c>
      <c r="E76" t="str">
        <f t="shared" si="1"/>
        <v>ia.assorted_string like '%21307-01-2024%' or</v>
      </c>
      <c r="H76" s="35" t="s">
        <v>902</v>
      </c>
      <c r="I76" t="s">
        <v>903</v>
      </c>
      <c r="J76" t="s">
        <v>904</v>
      </c>
      <c r="K76" t="s">
        <v>905</v>
      </c>
      <c r="L76" t="s">
        <v>906</v>
      </c>
      <c r="M76" t="s">
        <v>907</v>
      </c>
      <c r="N76">
        <v>21307</v>
      </c>
      <c r="O76">
        <v>1</v>
      </c>
      <c r="P76">
        <v>2024</v>
      </c>
    </row>
    <row r="77" spans="1:16" x14ac:dyDescent="0.25">
      <c r="A77" s="35" t="s">
        <v>848</v>
      </c>
      <c r="B77" t="s">
        <v>901</v>
      </c>
      <c r="D77">
        <v>21308</v>
      </c>
      <c r="E77" t="str">
        <f t="shared" si="1"/>
        <v>ia.assorted_string like '%21308-01-2024%' or</v>
      </c>
      <c r="H77" s="35" t="s">
        <v>902</v>
      </c>
      <c r="I77" t="s">
        <v>903</v>
      </c>
      <c r="J77" t="s">
        <v>904</v>
      </c>
      <c r="K77" t="s">
        <v>905</v>
      </c>
      <c r="L77" t="s">
        <v>906</v>
      </c>
      <c r="M77" t="s">
        <v>907</v>
      </c>
      <c r="N77">
        <v>21308</v>
      </c>
      <c r="O77">
        <v>1</v>
      </c>
      <c r="P77">
        <v>2024</v>
      </c>
    </row>
    <row r="78" spans="1:16" x14ac:dyDescent="0.25">
      <c r="A78" s="35" t="s">
        <v>849</v>
      </c>
      <c r="B78" t="s">
        <v>901</v>
      </c>
      <c r="D78">
        <v>21309</v>
      </c>
      <c r="E78" t="str">
        <f t="shared" si="1"/>
        <v>ia.assorted_string like '%21309-01-2024%' or</v>
      </c>
      <c r="H78" s="35" t="s">
        <v>902</v>
      </c>
      <c r="I78" t="s">
        <v>903</v>
      </c>
      <c r="J78" t="s">
        <v>904</v>
      </c>
      <c r="K78" t="s">
        <v>905</v>
      </c>
      <c r="L78" t="s">
        <v>906</v>
      </c>
      <c r="M78" t="s">
        <v>907</v>
      </c>
      <c r="N78">
        <v>21309</v>
      </c>
      <c r="O78">
        <v>1</v>
      </c>
      <c r="P78">
        <v>2024</v>
      </c>
    </row>
    <row r="79" spans="1:16" x14ac:dyDescent="0.25">
      <c r="A79" s="35" t="s">
        <v>850</v>
      </c>
      <c r="B79" t="s">
        <v>901</v>
      </c>
      <c r="D79">
        <v>21310</v>
      </c>
      <c r="E79" t="str">
        <f t="shared" si="1"/>
        <v>ia.assorted_string like '%21310-01-2024%' or</v>
      </c>
      <c r="H79" s="35" t="s">
        <v>902</v>
      </c>
      <c r="I79" t="s">
        <v>903</v>
      </c>
      <c r="J79" t="s">
        <v>904</v>
      </c>
      <c r="K79" t="s">
        <v>905</v>
      </c>
      <c r="L79" t="s">
        <v>906</v>
      </c>
      <c r="M79" t="s">
        <v>907</v>
      </c>
      <c r="N79">
        <v>21310</v>
      </c>
      <c r="O79">
        <v>1</v>
      </c>
      <c r="P79">
        <v>2024</v>
      </c>
    </row>
    <row r="80" spans="1:16" x14ac:dyDescent="0.25">
      <c r="A80" s="35" t="s">
        <v>851</v>
      </c>
      <c r="B80" t="s">
        <v>901</v>
      </c>
      <c r="D80">
        <v>21311</v>
      </c>
      <c r="E80" t="str">
        <f t="shared" si="1"/>
        <v>ia.assorted_string like '%21311-01-2024%' or</v>
      </c>
      <c r="H80" s="35" t="s">
        <v>902</v>
      </c>
      <c r="I80" t="s">
        <v>903</v>
      </c>
      <c r="J80" t="s">
        <v>904</v>
      </c>
      <c r="K80" t="s">
        <v>905</v>
      </c>
      <c r="L80" t="s">
        <v>906</v>
      </c>
      <c r="M80" t="s">
        <v>907</v>
      </c>
      <c r="N80">
        <v>21311</v>
      </c>
      <c r="O80">
        <v>1</v>
      </c>
      <c r="P80">
        <v>2024</v>
      </c>
    </row>
    <row r="81" spans="1:16" x14ac:dyDescent="0.25">
      <c r="A81" s="35" t="s">
        <v>852</v>
      </c>
      <c r="B81" t="s">
        <v>901</v>
      </c>
      <c r="D81">
        <v>21312</v>
      </c>
      <c r="E81" t="str">
        <f t="shared" si="1"/>
        <v>ia.assorted_string like '%21312-01-2024%' or</v>
      </c>
      <c r="H81" s="35" t="s">
        <v>902</v>
      </c>
      <c r="I81" t="s">
        <v>903</v>
      </c>
      <c r="J81" t="s">
        <v>904</v>
      </c>
      <c r="K81" t="s">
        <v>905</v>
      </c>
      <c r="L81" t="s">
        <v>906</v>
      </c>
      <c r="M81" t="s">
        <v>907</v>
      </c>
      <c r="N81">
        <v>21312</v>
      </c>
      <c r="O81">
        <v>1</v>
      </c>
      <c r="P81">
        <v>2024</v>
      </c>
    </row>
    <row r="82" spans="1:16" x14ac:dyDescent="0.25">
      <c r="A82" s="35" t="s">
        <v>853</v>
      </c>
      <c r="B82" t="s">
        <v>901</v>
      </c>
      <c r="D82">
        <v>21313</v>
      </c>
      <c r="E82" t="str">
        <f t="shared" si="1"/>
        <v>ia.assorted_string like '%21313-01-2024%' or</v>
      </c>
      <c r="H82" s="35" t="s">
        <v>902</v>
      </c>
      <c r="I82" t="s">
        <v>903</v>
      </c>
      <c r="J82" t="s">
        <v>904</v>
      </c>
      <c r="K82" t="s">
        <v>905</v>
      </c>
      <c r="L82" t="s">
        <v>906</v>
      </c>
      <c r="M82" t="s">
        <v>907</v>
      </c>
      <c r="N82">
        <v>21313</v>
      </c>
      <c r="O82">
        <v>1</v>
      </c>
      <c r="P82">
        <v>2024</v>
      </c>
    </row>
    <row r="83" spans="1:16" x14ac:dyDescent="0.25">
      <c r="A83" s="35" t="s">
        <v>854</v>
      </c>
      <c r="B83" t="s">
        <v>901</v>
      </c>
      <c r="D83">
        <v>21314</v>
      </c>
      <c r="E83" t="str">
        <f t="shared" si="1"/>
        <v>ia.assorted_string like '%21314-01-2024%' or</v>
      </c>
      <c r="H83" s="35" t="s">
        <v>902</v>
      </c>
      <c r="I83" t="s">
        <v>903</v>
      </c>
      <c r="J83" t="s">
        <v>904</v>
      </c>
      <c r="K83" t="s">
        <v>905</v>
      </c>
      <c r="L83" t="s">
        <v>906</v>
      </c>
      <c r="M83" t="s">
        <v>907</v>
      </c>
      <c r="N83">
        <v>21314</v>
      </c>
      <c r="O83">
        <v>1</v>
      </c>
      <c r="P83">
        <v>2024</v>
      </c>
    </row>
    <row r="84" spans="1:16" x14ac:dyDescent="0.25">
      <c r="A84" s="35" t="s">
        <v>855</v>
      </c>
      <c r="B84" t="s">
        <v>901</v>
      </c>
      <c r="D84">
        <v>21315</v>
      </c>
      <c r="E84" t="str">
        <f t="shared" si="1"/>
        <v>ia.assorted_string like '%21315-01-2024%' or</v>
      </c>
      <c r="H84" s="35" t="s">
        <v>902</v>
      </c>
      <c r="I84" t="s">
        <v>903</v>
      </c>
      <c r="J84" t="s">
        <v>904</v>
      </c>
      <c r="K84" t="s">
        <v>905</v>
      </c>
      <c r="L84" t="s">
        <v>906</v>
      </c>
      <c r="M84" t="s">
        <v>907</v>
      </c>
      <c r="N84">
        <v>21315</v>
      </c>
      <c r="O84">
        <v>1</v>
      </c>
      <c r="P84">
        <v>2024</v>
      </c>
    </row>
    <row r="85" spans="1:16" x14ac:dyDescent="0.25">
      <c r="A85" s="35" t="s">
        <v>856</v>
      </c>
      <c r="B85" t="s">
        <v>901</v>
      </c>
      <c r="D85">
        <v>21316</v>
      </c>
      <c r="E85" t="str">
        <f t="shared" si="1"/>
        <v>ia.assorted_string like '%21316-01-2024%' or</v>
      </c>
      <c r="H85" s="35" t="s">
        <v>902</v>
      </c>
      <c r="I85" t="s">
        <v>903</v>
      </c>
      <c r="J85" t="s">
        <v>904</v>
      </c>
      <c r="K85" t="s">
        <v>905</v>
      </c>
      <c r="L85" t="s">
        <v>906</v>
      </c>
      <c r="M85" t="s">
        <v>907</v>
      </c>
      <c r="N85">
        <v>21316</v>
      </c>
      <c r="O85">
        <v>1</v>
      </c>
      <c r="P85">
        <v>2024</v>
      </c>
    </row>
    <row r="86" spans="1:16" x14ac:dyDescent="0.25">
      <c r="A86" s="35" t="s">
        <v>857</v>
      </c>
      <c r="B86" t="s">
        <v>901</v>
      </c>
      <c r="D86">
        <v>21317</v>
      </c>
      <c r="E86" t="str">
        <f t="shared" si="1"/>
        <v>ia.assorted_string like '%21317-01-2024%' or</v>
      </c>
      <c r="H86" s="35" t="s">
        <v>902</v>
      </c>
      <c r="I86" t="s">
        <v>903</v>
      </c>
      <c r="J86" t="s">
        <v>904</v>
      </c>
      <c r="K86" t="s">
        <v>905</v>
      </c>
      <c r="L86" t="s">
        <v>906</v>
      </c>
      <c r="M86" t="s">
        <v>907</v>
      </c>
      <c r="N86">
        <v>21317</v>
      </c>
      <c r="O86">
        <v>1</v>
      </c>
      <c r="P86">
        <v>2024</v>
      </c>
    </row>
    <row r="87" spans="1:16" x14ac:dyDescent="0.25">
      <c r="A87" s="35" t="s">
        <v>858</v>
      </c>
      <c r="B87" t="s">
        <v>901</v>
      </c>
      <c r="D87">
        <v>21318</v>
      </c>
      <c r="E87" t="str">
        <f t="shared" si="1"/>
        <v>ia.assorted_string like '%21318-01-2024%' or</v>
      </c>
      <c r="H87" s="35" t="s">
        <v>902</v>
      </c>
      <c r="I87" t="s">
        <v>903</v>
      </c>
      <c r="J87" t="s">
        <v>904</v>
      </c>
      <c r="K87" t="s">
        <v>905</v>
      </c>
      <c r="L87" t="s">
        <v>906</v>
      </c>
      <c r="M87" t="s">
        <v>907</v>
      </c>
      <c r="N87">
        <v>21318</v>
      </c>
      <c r="O87">
        <v>1</v>
      </c>
      <c r="P87">
        <v>2024</v>
      </c>
    </row>
    <row r="88" spans="1:16" x14ac:dyDescent="0.25">
      <c r="A88" s="35" t="s">
        <v>859</v>
      </c>
      <c r="B88" t="s">
        <v>901</v>
      </c>
      <c r="D88">
        <v>21319</v>
      </c>
      <c r="E88" t="str">
        <f t="shared" si="1"/>
        <v>ia.assorted_string like '%21319-01-2024%' or</v>
      </c>
      <c r="H88" s="35" t="s">
        <v>902</v>
      </c>
      <c r="I88" t="s">
        <v>903</v>
      </c>
      <c r="J88" t="s">
        <v>904</v>
      </c>
      <c r="K88" t="s">
        <v>905</v>
      </c>
      <c r="L88" t="s">
        <v>906</v>
      </c>
      <c r="M88" t="s">
        <v>907</v>
      </c>
      <c r="N88">
        <v>21319</v>
      </c>
      <c r="O88">
        <v>1</v>
      </c>
      <c r="P88">
        <v>2024</v>
      </c>
    </row>
    <row r="89" spans="1:16" x14ac:dyDescent="0.25">
      <c r="A89" s="35" t="s">
        <v>860</v>
      </c>
      <c r="B89" t="s">
        <v>901</v>
      </c>
      <c r="D89">
        <v>21320</v>
      </c>
      <c r="E89" t="str">
        <f t="shared" si="1"/>
        <v>ia.assorted_string like '%21320-01-2024%' or</v>
      </c>
      <c r="H89" s="35" t="s">
        <v>902</v>
      </c>
      <c r="I89" t="s">
        <v>903</v>
      </c>
      <c r="J89" t="s">
        <v>904</v>
      </c>
      <c r="K89" t="s">
        <v>905</v>
      </c>
      <c r="L89" t="s">
        <v>906</v>
      </c>
      <c r="M89" t="s">
        <v>907</v>
      </c>
      <c r="N89">
        <v>21320</v>
      </c>
      <c r="O89">
        <v>1</v>
      </c>
      <c r="P89">
        <v>2024</v>
      </c>
    </row>
    <row r="90" spans="1:16" x14ac:dyDescent="0.25">
      <c r="A90" s="35" t="s">
        <v>861</v>
      </c>
      <c r="B90" t="s">
        <v>901</v>
      </c>
      <c r="D90">
        <v>21321</v>
      </c>
      <c r="E90" t="str">
        <f t="shared" si="1"/>
        <v>ia.assorted_string like '%21321-01-2024%' or</v>
      </c>
      <c r="H90" s="35" t="s">
        <v>902</v>
      </c>
      <c r="I90" t="s">
        <v>903</v>
      </c>
      <c r="J90" t="s">
        <v>904</v>
      </c>
      <c r="K90" t="s">
        <v>905</v>
      </c>
      <c r="L90" t="s">
        <v>906</v>
      </c>
      <c r="M90" t="s">
        <v>907</v>
      </c>
      <c r="N90">
        <v>21321</v>
      </c>
      <c r="O90">
        <v>1</v>
      </c>
      <c r="P90">
        <v>2024</v>
      </c>
    </row>
    <row r="91" spans="1:16" x14ac:dyDescent="0.25">
      <c r="A91" s="35" t="s">
        <v>862</v>
      </c>
      <c r="B91" t="s">
        <v>901</v>
      </c>
      <c r="D91">
        <v>21322</v>
      </c>
      <c r="E91" t="str">
        <f t="shared" si="1"/>
        <v>ia.assorted_string like '%21322-01-2024%' or</v>
      </c>
      <c r="H91" s="35" t="s">
        <v>902</v>
      </c>
      <c r="I91" t="s">
        <v>903</v>
      </c>
      <c r="J91" t="s">
        <v>904</v>
      </c>
      <c r="K91" t="s">
        <v>905</v>
      </c>
      <c r="L91" t="s">
        <v>906</v>
      </c>
      <c r="M91" t="s">
        <v>907</v>
      </c>
      <c r="N91">
        <v>21322</v>
      </c>
      <c r="O91">
        <v>1</v>
      </c>
      <c r="P91">
        <v>2024</v>
      </c>
    </row>
    <row r="92" spans="1:16" x14ac:dyDescent="0.25">
      <c r="A92" s="35" t="s">
        <v>863</v>
      </c>
      <c r="B92" t="s">
        <v>901</v>
      </c>
      <c r="D92">
        <v>21323</v>
      </c>
      <c r="E92" t="str">
        <f t="shared" si="1"/>
        <v>ia.assorted_string like '%21323-01-2024%' or</v>
      </c>
      <c r="H92" s="35" t="s">
        <v>902</v>
      </c>
      <c r="I92" t="s">
        <v>903</v>
      </c>
      <c r="J92" t="s">
        <v>904</v>
      </c>
      <c r="K92" t="s">
        <v>905</v>
      </c>
      <c r="L92" t="s">
        <v>906</v>
      </c>
      <c r="M92" t="s">
        <v>907</v>
      </c>
      <c r="N92">
        <v>21323</v>
      </c>
      <c r="O92">
        <v>1</v>
      </c>
      <c r="P92">
        <v>2024</v>
      </c>
    </row>
    <row r="93" spans="1:16" x14ac:dyDescent="0.25">
      <c r="A93" s="35" t="s">
        <v>864</v>
      </c>
      <c r="B93" t="s">
        <v>901</v>
      </c>
      <c r="D93">
        <v>21324</v>
      </c>
      <c r="E93" t="str">
        <f t="shared" si="1"/>
        <v>ia.assorted_string like '%21324-01-2024%' or</v>
      </c>
      <c r="H93" s="35" t="s">
        <v>902</v>
      </c>
      <c r="I93" t="s">
        <v>903</v>
      </c>
      <c r="J93" t="s">
        <v>904</v>
      </c>
      <c r="K93" t="s">
        <v>905</v>
      </c>
      <c r="L93" t="s">
        <v>906</v>
      </c>
      <c r="M93" t="s">
        <v>907</v>
      </c>
      <c r="N93">
        <v>21324</v>
      </c>
      <c r="O93">
        <v>1</v>
      </c>
      <c r="P93">
        <v>2024</v>
      </c>
    </row>
    <row r="94" spans="1:16" x14ac:dyDescent="0.25">
      <c r="A94" s="35" t="s">
        <v>865</v>
      </c>
      <c r="B94" t="s">
        <v>901</v>
      </c>
      <c r="D94">
        <v>21325</v>
      </c>
      <c r="E94" t="str">
        <f t="shared" si="1"/>
        <v>ia.assorted_string like '%21325-01-2024%' or</v>
      </c>
      <c r="H94" s="35" t="s">
        <v>902</v>
      </c>
      <c r="I94" t="s">
        <v>903</v>
      </c>
      <c r="J94" t="s">
        <v>904</v>
      </c>
      <c r="K94" t="s">
        <v>905</v>
      </c>
      <c r="L94" t="s">
        <v>906</v>
      </c>
      <c r="M94" t="s">
        <v>907</v>
      </c>
      <c r="N94">
        <v>21325</v>
      </c>
      <c r="O94">
        <v>1</v>
      </c>
      <c r="P94">
        <v>2024</v>
      </c>
    </row>
    <row r="95" spans="1:16" x14ac:dyDescent="0.25">
      <c r="A95" s="35" t="s">
        <v>866</v>
      </c>
      <c r="B95" t="s">
        <v>901</v>
      </c>
      <c r="D95">
        <v>21326</v>
      </c>
      <c r="E95" t="str">
        <f t="shared" si="1"/>
        <v>ia.assorted_string like '%21326-01-2024%' or</v>
      </c>
      <c r="H95" s="35" t="s">
        <v>902</v>
      </c>
      <c r="I95" t="s">
        <v>903</v>
      </c>
      <c r="J95" t="s">
        <v>904</v>
      </c>
      <c r="K95" t="s">
        <v>905</v>
      </c>
      <c r="L95" t="s">
        <v>906</v>
      </c>
      <c r="M95" t="s">
        <v>907</v>
      </c>
      <c r="N95">
        <v>21326</v>
      </c>
      <c r="O95">
        <v>1</v>
      </c>
      <c r="P95">
        <v>2024</v>
      </c>
    </row>
    <row r="96" spans="1:16" x14ac:dyDescent="0.25">
      <c r="A96" s="35" t="s">
        <v>867</v>
      </c>
      <c r="B96" t="s">
        <v>901</v>
      </c>
      <c r="D96">
        <v>21327</v>
      </c>
      <c r="E96" t="str">
        <f t="shared" si="1"/>
        <v>ia.assorted_string like '%21327-01-2024%' or</v>
      </c>
      <c r="H96" s="35" t="s">
        <v>902</v>
      </c>
      <c r="I96" t="s">
        <v>903</v>
      </c>
      <c r="J96" t="s">
        <v>904</v>
      </c>
      <c r="K96" t="s">
        <v>905</v>
      </c>
      <c r="L96" t="s">
        <v>906</v>
      </c>
      <c r="M96" t="s">
        <v>907</v>
      </c>
      <c r="N96">
        <v>21327</v>
      </c>
      <c r="O96">
        <v>1</v>
      </c>
      <c r="P96">
        <v>2024</v>
      </c>
    </row>
    <row r="97" spans="1:16" x14ac:dyDescent="0.25">
      <c r="A97" s="35" t="s">
        <v>868</v>
      </c>
      <c r="B97" t="s">
        <v>901</v>
      </c>
      <c r="D97">
        <v>21328</v>
      </c>
      <c r="E97" t="str">
        <f t="shared" si="1"/>
        <v>ia.assorted_string like '%21328-01-2024%' or</v>
      </c>
      <c r="H97" s="35" t="s">
        <v>902</v>
      </c>
      <c r="I97" t="s">
        <v>903</v>
      </c>
      <c r="J97" t="s">
        <v>904</v>
      </c>
      <c r="K97" t="s">
        <v>905</v>
      </c>
      <c r="L97" t="s">
        <v>906</v>
      </c>
      <c r="M97" t="s">
        <v>907</v>
      </c>
      <c r="N97">
        <v>21328</v>
      </c>
      <c r="O97">
        <v>1</v>
      </c>
      <c r="P97">
        <v>2024</v>
      </c>
    </row>
    <row r="98" spans="1:16" x14ac:dyDescent="0.25">
      <c r="A98" s="35" t="s">
        <v>869</v>
      </c>
      <c r="B98" t="s">
        <v>901</v>
      </c>
      <c r="D98">
        <v>21329</v>
      </c>
      <c r="E98" t="str">
        <f t="shared" si="1"/>
        <v>ia.assorted_string like '%21329-01-2024%' or</v>
      </c>
      <c r="H98" s="35" t="s">
        <v>902</v>
      </c>
      <c r="I98" t="s">
        <v>903</v>
      </c>
      <c r="J98" t="s">
        <v>904</v>
      </c>
      <c r="K98" t="s">
        <v>905</v>
      </c>
      <c r="L98" t="s">
        <v>906</v>
      </c>
      <c r="M98" t="s">
        <v>907</v>
      </c>
      <c r="N98">
        <v>21329</v>
      </c>
      <c r="O98">
        <v>1</v>
      </c>
      <c r="P98">
        <v>2024</v>
      </c>
    </row>
    <row r="99" spans="1:16" x14ac:dyDescent="0.25">
      <c r="A99" s="35" t="s">
        <v>870</v>
      </c>
      <c r="B99" t="s">
        <v>901</v>
      </c>
      <c r="D99">
        <v>21330</v>
      </c>
      <c r="E99" t="str">
        <f t="shared" si="1"/>
        <v>ia.assorted_string like '%21330-01-2024%' or</v>
      </c>
      <c r="H99" s="35" t="s">
        <v>902</v>
      </c>
      <c r="I99" t="s">
        <v>903</v>
      </c>
      <c r="J99" t="s">
        <v>904</v>
      </c>
      <c r="K99" t="s">
        <v>905</v>
      </c>
      <c r="L99" t="s">
        <v>906</v>
      </c>
      <c r="M99" t="s">
        <v>907</v>
      </c>
      <c r="N99">
        <v>21330</v>
      </c>
      <c r="O99">
        <v>1</v>
      </c>
      <c r="P99">
        <v>2024</v>
      </c>
    </row>
    <row r="100" spans="1:16" x14ac:dyDescent="0.25">
      <c r="A100" s="35" t="s">
        <v>871</v>
      </c>
      <c r="B100" t="s">
        <v>901</v>
      </c>
      <c r="D100">
        <v>21331</v>
      </c>
      <c r="E100" t="str">
        <f t="shared" si="1"/>
        <v>ia.assorted_string like '%21331-01-2024%' or</v>
      </c>
      <c r="H100" s="35" t="s">
        <v>902</v>
      </c>
      <c r="I100" t="s">
        <v>903</v>
      </c>
      <c r="J100" t="s">
        <v>904</v>
      </c>
      <c r="K100" t="s">
        <v>905</v>
      </c>
      <c r="L100" t="s">
        <v>906</v>
      </c>
      <c r="M100" t="s">
        <v>907</v>
      </c>
      <c r="N100">
        <v>21331</v>
      </c>
      <c r="O100">
        <v>1</v>
      </c>
      <c r="P100">
        <v>2024</v>
      </c>
    </row>
    <row r="101" spans="1:16" x14ac:dyDescent="0.25">
      <c r="A101" s="35" t="s">
        <v>872</v>
      </c>
      <c r="B101" t="s">
        <v>901</v>
      </c>
      <c r="D101">
        <v>21332</v>
      </c>
      <c r="E101" t="str">
        <f t="shared" si="1"/>
        <v>ia.assorted_string like '%21332-01-2024%' or</v>
      </c>
      <c r="H101" s="35" t="s">
        <v>902</v>
      </c>
      <c r="I101" t="s">
        <v>903</v>
      </c>
      <c r="J101" t="s">
        <v>904</v>
      </c>
      <c r="K101" t="s">
        <v>905</v>
      </c>
      <c r="L101" t="s">
        <v>906</v>
      </c>
      <c r="M101" t="s">
        <v>907</v>
      </c>
      <c r="N101">
        <v>21332</v>
      </c>
      <c r="O101">
        <v>1</v>
      </c>
      <c r="P101">
        <v>2024</v>
      </c>
    </row>
    <row r="102" spans="1:16" x14ac:dyDescent="0.25">
      <c r="A102" s="35" t="s">
        <v>873</v>
      </c>
      <c r="B102" t="s">
        <v>901</v>
      </c>
      <c r="D102">
        <v>21333</v>
      </c>
      <c r="E102" t="str">
        <f t="shared" si="1"/>
        <v>ia.assorted_string like '%21333-01-2024%' or</v>
      </c>
      <c r="H102" s="35" t="s">
        <v>902</v>
      </c>
      <c r="I102" t="s">
        <v>903</v>
      </c>
      <c r="J102" t="s">
        <v>904</v>
      </c>
      <c r="K102" t="s">
        <v>905</v>
      </c>
      <c r="L102" t="s">
        <v>906</v>
      </c>
      <c r="M102" t="s">
        <v>907</v>
      </c>
      <c r="N102">
        <v>21333</v>
      </c>
      <c r="O102">
        <v>1</v>
      </c>
      <c r="P102">
        <v>2024</v>
      </c>
    </row>
    <row r="103" spans="1:16" x14ac:dyDescent="0.25">
      <c r="A103" s="35" t="s">
        <v>874</v>
      </c>
      <c r="B103" t="s">
        <v>901</v>
      </c>
      <c r="D103">
        <v>21334</v>
      </c>
      <c r="E103" t="str">
        <f t="shared" si="1"/>
        <v>ia.assorted_string like '%21334-01-2024%' or</v>
      </c>
      <c r="H103" s="35" t="s">
        <v>902</v>
      </c>
      <c r="I103" t="s">
        <v>903</v>
      </c>
      <c r="J103" t="s">
        <v>904</v>
      </c>
      <c r="K103" t="s">
        <v>905</v>
      </c>
      <c r="L103" t="s">
        <v>906</v>
      </c>
      <c r="M103" t="s">
        <v>907</v>
      </c>
      <c r="N103">
        <v>21334</v>
      </c>
      <c r="O103">
        <v>1</v>
      </c>
      <c r="P103">
        <v>2024</v>
      </c>
    </row>
    <row r="104" spans="1:16" x14ac:dyDescent="0.25">
      <c r="A104" s="35" t="s">
        <v>875</v>
      </c>
      <c r="B104" t="s">
        <v>901</v>
      </c>
      <c r="D104">
        <v>21335</v>
      </c>
      <c r="E104" t="str">
        <f t="shared" si="1"/>
        <v>ia.assorted_string like '%21335-01-2024%' or</v>
      </c>
      <c r="H104" s="35" t="s">
        <v>902</v>
      </c>
      <c r="I104" t="s">
        <v>903</v>
      </c>
      <c r="J104" t="s">
        <v>904</v>
      </c>
      <c r="K104" t="s">
        <v>905</v>
      </c>
      <c r="L104" t="s">
        <v>906</v>
      </c>
      <c r="M104" t="s">
        <v>907</v>
      </c>
      <c r="N104">
        <v>21335</v>
      </c>
      <c r="O104">
        <v>1</v>
      </c>
      <c r="P104">
        <v>2024</v>
      </c>
    </row>
    <row r="105" spans="1:16" x14ac:dyDescent="0.25">
      <c r="A105" s="35" t="s">
        <v>876</v>
      </c>
      <c r="B105" t="s">
        <v>901</v>
      </c>
      <c r="D105">
        <v>21336</v>
      </c>
      <c r="E105" t="str">
        <f t="shared" si="1"/>
        <v>ia.assorted_string like '%21336-01-2024%' or</v>
      </c>
      <c r="H105" s="35" t="s">
        <v>902</v>
      </c>
      <c r="I105" t="s">
        <v>903</v>
      </c>
      <c r="J105" t="s">
        <v>904</v>
      </c>
      <c r="K105" t="s">
        <v>905</v>
      </c>
      <c r="L105" t="s">
        <v>906</v>
      </c>
      <c r="M105" t="s">
        <v>907</v>
      </c>
      <c r="N105">
        <v>21336</v>
      </c>
      <c r="O105">
        <v>1</v>
      </c>
      <c r="P105">
        <v>2024</v>
      </c>
    </row>
    <row r="106" spans="1:16" x14ac:dyDescent="0.25">
      <c r="A106" s="35" t="s">
        <v>877</v>
      </c>
      <c r="B106" t="s">
        <v>901</v>
      </c>
      <c r="D106">
        <v>21337</v>
      </c>
      <c r="E106" t="str">
        <f t="shared" si="1"/>
        <v>ia.assorted_string like '%21337-01-2024%' or</v>
      </c>
      <c r="H106" s="35" t="s">
        <v>902</v>
      </c>
      <c r="I106" t="s">
        <v>903</v>
      </c>
      <c r="J106" t="s">
        <v>904</v>
      </c>
      <c r="K106" t="s">
        <v>905</v>
      </c>
      <c r="L106" t="s">
        <v>906</v>
      </c>
      <c r="M106" t="s">
        <v>907</v>
      </c>
      <c r="N106">
        <v>21337</v>
      </c>
      <c r="O106">
        <v>1</v>
      </c>
      <c r="P106">
        <v>2024</v>
      </c>
    </row>
    <row r="107" spans="1:16" x14ac:dyDescent="0.25">
      <c r="A107" s="35" t="s">
        <v>878</v>
      </c>
      <c r="B107" t="s">
        <v>901</v>
      </c>
      <c r="D107">
        <v>21338</v>
      </c>
      <c r="E107" t="str">
        <f t="shared" si="1"/>
        <v>ia.assorted_string like '%21338-01-2024%' or</v>
      </c>
      <c r="H107" s="35" t="s">
        <v>902</v>
      </c>
      <c r="I107" t="s">
        <v>903</v>
      </c>
      <c r="J107" t="s">
        <v>904</v>
      </c>
      <c r="K107" t="s">
        <v>905</v>
      </c>
      <c r="L107" t="s">
        <v>906</v>
      </c>
      <c r="M107" t="s">
        <v>907</v>
      </c>
      <c r="N107">
        <v>21338</v>
      </c>
      <c r="O107">
        <v>1</v>
      </c>
      <c r="P107">
        <v>2024</v>
      </c>
    </row>
    <row r="108" spans="1:16" x14ac:dyDescent="0.25">
      <c r="A108" s="35" t="s">
        <v>879</v>
      </c>
      <c r="B108" t="s">
        <v>901</v>
      </c>
      <c r="D108">
        <v>21339</v>
      </c>
      <c r="E108" t="str">
        <f t="shared" si="1"/>
        <v>ia.assorted_string like '%21339-01-2024%' or</v>
      </c>
      <c r="H108" s="35" t="s">
        <v>902</v>
      </c>
      <c r="I108" t="s">
        <v>903</v>
      </c>
      <c r="J108" t="s">
        <v>904</v>
      </c>
      <c r="K108" t="s">
        <v>905</v>
      </c>
      <c r="L108" t="s">
        <v>906</v>
      </c>
      <c r="M108" t="s">
        <v>907</v>
      </c>
      <c r="N108">
        <v>21339</v>
      </c>
      <c r="O108">
        <v>1</v>
      </c>
      <c r="P108">
        <v>2024</v>
      </c>
    </row>
    <row r="109" spans="1:16" x14ac:dyDescent="0.25">
      <c r="A109" s="35" t="s">
        <v>880</v>
      </c>
      <c r="B109" t="s">
        <v>901</v>
      </c>
      <c r="D109">
        <v>21340</v>
      </c>
      <c r="E109" t="str">
        <f t="shared" si="1"/>
        <v>ia.assorted_string like '%21340-01-2024%' or</v>
      </c>
      <c r="H109" s="35" t="s">
        <v>902</v>
      </c>
      <c r="I109" t="s">
        <v>903</v>
      </c>
      <c r="J109" t="s">
        <v>904</v>
      </c>
      <c r="K109" t="s">
        <v>905</v>
      </c>
      <c r="L109" t="s">
        <v>906</v>
      </c>
      <c r="M109" t="s">
        <v>907</v>
      </c>
      <c r="N109">
        <v>21340</v>
      </c>
      <c r="O109">
        <v>1</v>
      </c>
      <c r="P109">
        <v>2024</v>
      </c>
    </row>
    <row r="110" spans="1:16" x14ac:dyDescent="0.25">
      <c r="A110" s="35" t="s">
        <v>881</v>
      </c>
      <c r="B110" t="s">
        <v>901</v>
      </c>
      <c r="D110">
        <v>21341</v>
      </c>
      <c r="E110" t="str">
        <f t="shared" si="1"/>
        <v>ia.assorted_string like '%21341-01-2024%' or</v>
      </c>
      <c r="H110" s="35" t="s">
        <v>902</v>
      </c>
      <c r="I110" t="s">
        <v>903</v>
      </c>
      <c r="J110" t="s">
        <v>904</v>
      </c>
      <c r="K110" t="s">
        <v>905</v>
      </c>
      <c r="L110" t="s">
        <v>906</v>
      </c>
      <c r="M110" t="s">
        <v>907</v>
      </c>
      <c r="N110">
        <v>21341</v>
      </c>
      <c r="O110">
        <v>1</v>
      </c>
      <c r="P110">
        <v>2024</v>
      </c>
    </row>
    <row r="111" spans="1:16" x14ac:dyDescent="0.25">
      <c r="A111" s="35" t="s">
        <v>882</v>
      </c>
      <c r="B111" t="s">
        <v>901</v>
      </c>
      <c r="D111">
        <v>21342</v>
      </c>
      <c r="E111" t="str">
        <f t="shared" si="1"/>
        <v>ia.assorted_string like '%21342-01-2024%' or</v>
      </c>
      <c r="H111" s="35" t="s">
        <v>902</v>
      </c>
      <c r="I111" t="s">
        <v>903</v>
      </c>
      <c r="J111" t="s">
        <v>904</v>
      </c>
      <c r="K111" t="s">
        <v>905</v>
      </c>
      <c r="L111" t="s">
        <v>906</v>
      </c>
      <c r="M111" t="s">
        <v>907</v>
      </c>
      <c r="N111">
        <v>21342</v>
      </c>
      <c r="O111">
        <v>1</v>
      </c>
      <c r="P111">
        <v>2024</v>
      </c>
    </row>
    <row r="112" spans="1:16" x14ac:dyDescent="0.25">
      <c r="A112" s="35" t="s">
        <v>883</v>
      </c>
      <c r="B112" t="s">
        <v>901</v>
      </c>
      <c r="D112">
        <v>21343</v>
      </c>
      <c r="E112" t="str">
        <f t="shared" si="1"/>
        <v>ia.assorted_string like '%21343-01-2024%' or</v>
      </c>
      <c r="H112" s="35" t="s">
        <v>902</v>
      </c>
      <c r="I112" t="s">
        <v>903</v>
      </c>
      <c r="J112" t="s">
        <v>904</v>
      </c>
      <c r="K112" t="s">
        <v>905</v>
      </c>
      <c r="L112" t="s">
        <v>906</v>
      </c>
      <c r="M112" t="s">
        <v>907</v>
      </c>
      <c r="N112">
        <v>21343</v>
      </c>
      <c r="O112">
        <v>1</v>
      </c>
      <c r="P112">
        <v>2024</v>
      </c>
    </row>
    <row r="113" spans="1:16" x14ac:dyDescent="0.25">
      <c r="A113" s="35" t="s">
        <v>884</v>
      </c>
      <c r="B113" t="s">
        <v>901</v>
      </c>
      <c r="D113">
        <v>21344</v>
      </c>
      <c r="E113" t="str">
        <f t="shared" si="1"/>
        <v>ia.assorted_string like '%21344-01-2024%' or</v>
      </c>
      <c r="H113" s="35" t="s">
        <v>902</v>
      </c>
      <c r="I113" t="s">
        <v>903</v>
      </c>
      <c r="J113" t="s">
        <v>904</v>
      </c>
      <c r="K113" t="s">
        <v>905</v>
      </c>
      <c r="L113" t="s">
        <v>906</v>
      </c>
      <c r="M113" t="s">
        <v>907</v>
      </c>
      <c r="N113">
        <v>21344</v>
      </c>
      <c r="O113">
        <v>1</v>
      </c>
      <c r="P113">
        <v>2024</v>
      </c>
    </row>
    <row r="114" spans="1:16" x14ac:dyDescent="0.25">
      <c r="A114" s="35" t="s">
        <v>885</v>
      </c>
      <c r="B114" t="s">
        <v>901</v>
      </c>
      <c r="D114">
        <v>21345</v>
      </c>
      <c r="E114" t="str">
        <f t="shared" si="1"/>
        <v>ia.assorted_string like '%21345-01-2024%' or</v>
      </c>
      <c r="H114" s="35" t="s">
        <v>902</v>
      </c>
      <c r="I114" t="s">
        <v>903</v>
      </c>
      <c r="J114" t="s">
        <v>904</v>
      </c>
      <c r="K114" t="s">
        <v>905</v>
      </c>
      <c r="L114" t="s">
        <v>906</v>
      </c>
      <c r="M114" t="s">
        <v>907</v>
      </c>
      <c r="N114">
        <v>21345</v>
      </c>
      <c r="O114">
        <v>1</v>
      </c>
      <c r="P114">
        <v>2024</v>
      </c>
    </row>
    <row r="115" spans="1:16" x14ac:dyDescent="0.25">
      <c r="A115" s="35" t="s">
        <v>886</v>
      </c>
      <c r="B115" t="s">
        <v>901</v>
      </c>
      <c r="D115">
        <v>21346</v>
      </c>
      <c r="E115" t="str">
        <f t="shared" si="1"/>
        <v>ia.assorted_string like '%21346-01-2024%' or</v>
      </c>
      <c r="H115" s="35" t="s">
        <v>902</v>
      </c>
      <c r="I115" t="s">
        <v>903</v>
      </c>
      <c r="J115" t="s">
        <v>904</v>
      </c>
      <c r="K115" t="s">
        <v>905</v>
      </c>
      <c r="L115" t="s">
        <v>906</v>
      </c>
      <c r="M115" t="s">
        <v>907</v>
      </c>
      <c r="N115">
        <v>21346</v>
      </c>
      <c r="O115">
        <v>1</v>
      </c>
      <c r="P115">
        <v>2024</v>
      </c>
    </row>
    <row r="116" spans="1:16" x14ac:dyDescent="0.25">
      <c r="A116" s="35" t="s">
        <v>887</v>
      </c>
      <c r="B116" t="s">
        <v>901</v>
      </c>
      <c r="D116">
        <v>21347</v>
      </c>
      <c r="E116" t="str">
        <f t="shared" si="1"/>
        <v>ia.assorted_string like '%21347-01-2024%' or</v>
      </c>
      <c r="H116" s="35" t="s">
        <v>902</v>
      </c>
      <c r="I116" t="s">
        <v>903</v>
      </c>
      <c r="J116" t="s">
        <v>904</v>
      </c>
      <c r="K116" t="s">
        <v>905</v>
      </c>
      <c r="L116" t="s">
        <v>906</v>
      </c>
      <c r="M116" t="s">
        <v>907</v>
      </c>
      <c r="N116">
        <v>21347</v>
      </c>
      <c r="O116">
        <v>1</v>
      </c>
      <c r="P116">
        <v>2024</v>
      </c>
    </row>
    <row r="117" spans="1:16" x14ac:dyDescent="0.25">
      <c r="A117" s="35" t="s">
        <v>888</v>
      </c>
      <c r="B117" t="s">
        <v>901</v>
      </c>
      <c r="D117">
        <v>21348</v>
      </c>
      <c r="E117" t="str">
        <f t="shared" si="1"/>
        <v>ia.assorted_string like '%21348-01-2024%' or</v>
      </c>
      <c r="H117" s="35" t="s">
        <v>902</v>
      </c>
      <c r="I117" t="s">
        <v>903</v>
      </c>
      <c r="J117" t="s">
        <v>904</v>
      </c>
      <c r="K117" t="s">
        <v>905</v>
      </c>
      <c r="L117" t="s">
        <v>906</v>
      </c>
      <c r="M117" t="s">
        <v>907</v>
      </c>
      <c r="N117">
        <v>21348</v>
      </c>
      <c r="O117">
        <v>1</v>
      </c>
      <c r="P117">
        <v>2024</v>
      </c>
    </row>
    <row r="118" spans="1:16" x14ac:dyDescent="0.25">
      <c r="A118" s="35" t="s">
        <v>889</v>
      </c>
      <c r="B118" t="s">
        <v>901</v>
      </c>
      <c r="D118">
        <v>21349</v>
      </c>
      <c r="E118" t="str">
        <f t="shared" si="1"/>
        <v>ia.assorted_string like '%21349-01-2024%' or</v>
      </c>
      <c r="H118" s="35" t="s">
        <v>902</v>
      </c>
      <c r="I118" t="s">
        <v>903</v>
      </c>
      <c r="J118" t="s">
        <v>904</v>
      </c>
      <c r="K118" t="s">
        <v>905</v>
      </c>
      <c r="L118" t="s">
        <v>906</v>
      </c>
      <c r="M118" t="s">
        <v>907</v>
      </c>
      <c r="N118">
        <v>21349</v>
      </c>
      <c r="O118">
        <v>1</v>
      </c>
      <c r="P118">
        <v>2024</v>
      </c>
    </row>
    <row r="119" spans="1:16" x14ac:dyDescent="0.25">
      <c r="A119" s="35" t="s">
        <v>890</v>
      </c>
      <c r="B119" t="s">
        <v>901</v>
      </c>
      <c r="D119">
        <v>21350</v>
      </c>
      <c r="E119" t="str">
        <f t="shared" si="1"/>
        <v>ia.assorted_string like '%21350-01-2024%' or</v>
      </c>
      <c r="H119" s="35" t="s">
        <v>902</v>
      </c>
      <c r="I119" t="s">
        <v>903</v>
      </c>
      <c r="J119" t="s">
        <v>904</v>
      </c>
      <c r="K119" t="s">
        <v>905</v>
      </c>
      <c r="L119" t="s">
        <v>906</v>
      </c>
      <c r="M119" t="s">
        <v>907</v>
      </c>
      <c r="N119">
        <v>21350</v>
      </c>
      <c r="O119">
        <v>1</v>
      </c>
      <c r="P119">
        <v>2024</v>
      </c>
    </row>
    <row r="120" spans="1:16" x14ac:dyDescent="0.25">
      <c r="A120" s="35" t="s">
        <v>891</v>
      </c>
      <c r="B120" t="s">
        <v>901</v>
      </c>
      <c r="D120">
        <v>21351</v>
      </c>
      <c r="E120" t="str">
        <f t="shared" si="1"/>
        <v>ia.assorted_string like '%21351-01-2024%' or</v>
      </c>
      <c r="H120" s="35" t="s">
        <v>902</v>
      </c>
      <c r="I120" t="s">
        <v>903</v>
      </c>
      <c r="J120" t="s">
        <v>904</v>
      </c>
      <c r="K120" t="s">
        <v>905</v>
      </c>
      <c r="L120" t="s">
        <v>906</v>
      </c>
      <c r="M120" t="s">
        <v>907</v>
      </c>
      <c r="N120">
        <v>21351</v>
      </c>
      <c r="O120">
        <v>1</v>
      </c>
      <c r="P120">
        <v>2024</v>
      </c>
    </row>
    <row r="121" spans="1:16" x14ac:dyDescent="0.25">
      <c r="A121" s="35" t="s">
        <v>892</v>
      </c>
      <c r="B121" t="s">
        <v>901</v>
      </c>
      <c r="D121">
        <v>21352</v>
      </c>
      <c r="E121" t="str">
        <f t="shared" si="1"/>
        <v>ia.assorted_string like '%21352-01-2024%' or</v>
      </c>
      <c r="H121" s="35" t="s">
        <v>902</v>
      </c>
      <c r="I121" t="s">
        <v>903</v>
      </c>
      <c r="J121" t="s">
        <v>904</v>
      </c>
      <c r="K121" t="s">
        <v>905</v>
      </c>
      <c r="L121" t="s">
        <v>906</v>
      </c>
      <c r="M121" t="s">
        <v>907</v>
      </c>
      <c r="N121">
        <v>21352</v>
      </c>
      <c r="O121">
        <v>1</v>
      </c>
      <c r="P121">
        <v>2024</v>
      </c>
    </row>
    <row r="122" spans="1:16" x14ac:dyDescent="0.25">
      <c r="A122" s="35" t="s">
        <v>893</v>
      </c>
      <c r="B122" t="s">
        <v>901</v>
      </c>
      <c r="D122">
        <v>21353</v>
      </c>
      <c r="E122" t="str">
        <f t="shared" si="1"/>
        <v>ia.assorted_string like '%21353-01-2024%' or</v>
      </c>
      <c r="H122" s="35" t="s">
        <v>902</v>
      </c>
      <c r="I122" t="s">
        <v>903</v>
      </c>
      <c r="J122" t="s">
        <v>904</v>
      </c>
      <c r="K122" t="s">
        <v>905</v>
      </c>
      <c r="L122" t="s">
        <v>906</v>
      </c>
      <c r="M122" t="s">
        <v>907</v>
      </c>
      <c r="N122">
        <v>21353</v>
      </c>
      <c r="O122">
        <v>1</v>
      </c>
      <c r="P122">
        <v>2024</v>
      </c>
    </row>
    <row r="123" spans="1:16" x14ac:dyDescent="0.25">
      <c r="A123" s="35" t="s">
        <v>894</v>
      </c>
      <c r="B123" t="s">
        <v>901</v>
      </c>
      <c r="D123">
        <v>21354</v>
      </c>
      <c r="E123" t="str">
        <f t="shared" si="1"/>
        <v>ia.assorted_string like '%21354-01-2024%' or</v>
      </c>
      <c r="H123" s="35" t="s">
        <v>902</v>
      </c>
      <c r="I123" t="s">
        <v>903</v>
      </c>
      <c r="J123" t="s">
        <v>904</v>
      </c>
      <c r="K123" t="s">
        <v>905</v>
      </c>
      <c r="L123" t="s">
        <v>906</v>
      </c>
      <c r="M123" t="s">
        <v>907</v>
      </c>
      <c r="N123">
        <v>21354</v>
      </c>
      <c r="O123">
        <v>1</v>
      </c>
      <c r="P123">
        <v>2024</v>
      </c>
    </row>
    <row r="124" spans="1:16" x14ac:dyDescent="0.25">
      <c r="A124" s="35" t="s">
        <v>895</v>
      </c>
      <c r="B124" t="s">
        <v>901</v>
      </c>
      <c r="D124">
        <v>21355</v>
      </c>
      <c r="E124" t="str">
        <f t="shared" si="1"/>
        <v>ia.assorted_string like '%21355-01-2024%' or</v>
      </c>
      <c r="H124" s="35" t="s">
        <v>902</v>
      </c>
      <c r="I124" t="s">
        <v>903</v>
      </c>
      <c r="J124" t="s">
        <v>904</v>
      </c>
      <c r="K124" t="s">
        <v>905</v>
      </c>
      <c r="L124" t="s">
        <v>906</v>
      </c>
      <c r="M124" t="s">
        <v>907</v>
      </c>
      <c r="N124">
        <v>21355</v>
      </c>
      <c r="O124">
        <v>1</v>
      </c>
      <c r="P124">
        <v>2024</v>
      </c>
    </row>
    <row r="125" spans="1:16" x14ac:dyDescent="0.25">
      <c r="A125" s="35" t="s">
        <v>896</v>
      </c>
      <c r="B125" t="s">
        <v>901</v>
      </c>
      <c r="D125">
        <v>21356</v>
      </c>
      <c r="E125" t="str">
        <f t="shared" si="1"/>
        <v>ia.assorted_string like '%21356-01-2024%' or</v>
      </c>
      <c r="H125" s="35" t="s">
        <v>902</v>
      </c>
      <c r="I125" t="s">
        <v>903</v>
      </c>
      <c r="J125" t="s">
        <v>904</v>
      </c>
      <c r="K125" t="s">
        <v>905</v>
      </c>
      <c r="L125" t="s">
        <v>906</v>
      </c>
      <c r="M125" t="s">
        <v>907</v>
      </c>
      <c r="N125">
        <v>21356</v>
      </c>
      <c r="O125">
        <v>1</v>
      </c>
      <c r="P125">
        <v>2024</v>
      </c>
    </row>
    <row r="126" spans="1:16" x14ac:dyDescent="0.25">
      <c r="A126" s="35" t="s">
        <v>897</v>
      </c>
      <c r="B126" t="s">
        <v>901</v>
      </c>
      <c r="D126">
        <v>21357</v>
      </c>
      <c r="E126" t="str">
        <f t="shared" si="1"/>
        <v>ia.assorted_string like '%21357-01-2024%' or</v>
      </c>
      <c r="H126" s="35" t="s">
        <v>902</v>
      </c>
      <c r="I126" t="s">
        <v>903</v>
      </c>
      <c r="J126" t="s">
        <v>904</v>
      </c>
      <c r="K126" t="s">
        <v>905</v>
      </c>
      <c r="L126" t="s">
        <v>906</v>
      </c>
      <c r="M126" t="s">
        <v>907</v>
      </c>
      <c r="N126">
        <v>21357</v>
      </c>
      <c r="O126">
        <v>1</v>
      </c>
      <c r="P126">
        <v>2024</v>
      </c>
    </row>
    <row r="127" spans="1:16" x14ac:dyDescent="0.25">
      <c r="A127" s="35" t="s">
        <v>898</v>
      </c>
      <c r="B127" t="s">
        <v>901</v>
      </c>
      <c r="D127">
        <v>21358</v>
      </c>
      <c r="E127" t="str">
        <f t="shared" si="1"/>
        <v>ia.assorted_string like '%21358-01-2024%' or</v>
      </c>
      <c r="H127" s="35" t="s">
        <v>902</v>
      </c>
      <c r="I127" t="s">
        <v>903</v>
      </c>
      <c r="J127" t="s">
        <v>904</v>
      </c>
      <c r="K127" t="s">
        <v>905</v>
      </c>
      <c r="L127" t="s">
        <v>906</v>
      </c>
      <c r="M127" t="s">
        <v>907</v>
      </c>
      <c r="N127">
        <v>21358</v>
      </c>
      <c r="O127">
        <v>1</v>
      </c>
      <c r="P127">
        <v>2024</v>
      </c>
    </row>
    <row r="128" spans="1:16" x14ac:dyDescent="0.25">
      <c r="A128" s="35" t="s">
        <v>899</v>
      </c>
      <c r="B128" t="s">
        <v>901</v>
      </c>
      <c r="D128">
        <v>21359</v>
      </c>
      <c r="E128" t="str">
        <f t="shared" si="1"/>
        <v>ia.assorted_string like '%21359-01-2024%' or</v>
      </c>
      <c r="H128" s="35" t="s">
        <v>902</v>
      </c>
      <c r="I128" t="s">
        <v>903</v>
      </c>
      <c r="J128" t="s">
        <v>904</v>
      </c>
      <c r="K128" t="s">
        <v>905</v>
      </c>
      <c r="L128" t="s">
        <v>906</v>
      </c>
      <c r="M128" t="s">
        <v>907</v>
      </c>
      <c r="N128">
        <v>21359</v>
      </c>
      <c r="O128">
        <v>1</v>
      </c>
      <c r="P128">
        <v>2024</v>
      </c>
    </row>
    <row r="129" spans="1:16" x14ac:dyDescent="0.25">
      <c r="A129" s="35" t="s">
        <v>900</v>
      </c>
      <c r="B129" t="s">
        <v>901</v>
      </c>
      <c r="D129">
        <v>21360</v>
      </c>
      <c r="E129" t="str">
        <f t="shared" si="1"/>
        <v>ia.assorted_string like '%21360-01-2024%' or</v>
      </c>
      <c r="H129" s="35" t="s">
        <v>902</v>
      </c>
      <c r="I129" t="s">
        <v>903</v>
      </c>
      <c r="J129" t="s">
        <v>904</v>
      </c>
      <c r="K129" t="s">
        <v>905</v>
      </c>
      <c r="L129" t="s">
        <v>906</v>
      </c>
      <c r="M129" t="s">
        <v>907</v>
      </c>
      <c r="N129">
        <v>21360</v>
      </c>
      <c r="O129">
        <v>1</v>
      </c>
      <c r="P129">
        <v>2024</v>
      </c>
    </row>
  </sheetData>
  <conditionalFormatting sqref="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Jan-2024 Renewals</vt:lpstr>
      <vt:lpstr>working</vt:lpstr>
      <vt:lpstr>Liqvidate Cases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Pyar Ali Pirwani</dc:creator>
  <cp:lastModifiedBy>IT User Software</cp:lastModifiedBy>
  <dcterms:created xsi:type="dcterms:W3CDTF">2017-02-15T07:30:48Z</dcterms:created>
  <dcterms:modified xsi:type="dcterms:W3CDTF">2024-08-21T07:03:00Z</dcterms:modified>
</cp:coreProperties>
</file>