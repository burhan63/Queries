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emium\Saqib\21-Aug-2024\"/>
    </mc:Choice>
  </mc:AlternateContent>
  <xr:revisionPtr revIDLastSave="0" documentId="13_ncr:1_{FCFF73CC-299C-40CF-A26E-D187B52BDB5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newal Dec 2023" sheetId="1" r:id="rId1"/>
    <sheet name="working" sheetId="3" r:id="rId2"/>
    <sheet name="Sheet2" sheetId="4" r:id="rId3"/>
    <sheet name="Liqvidate Cases" sheetId="2" r:id="rId4"/>
  </sheets>
  <externalReferences>
    <externalReference r:id="rId5"/>
  </externalReferences>
  <definedNames>
    <definedName name="_xlnm._FilterDatabase" localSheetId="3" hidden="1">'Liqvidate Cases'!$A$1:$J$1</definedName>
    <definedName name="_xlnm._FilterDatabase" localSheetId="0" hidden="1">'Renewal Dec 2023'!$A$1:$J$1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G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2" i="3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" i="4"/>
  <c r="E1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F2" i="3"/>
  <c r="D2" i="3"/>
  <c r="H2" i="3" l="1"/>
  <c r="K112" i="1" l="1"/>
  <c r="I11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3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<sst xmlns="http://schemas.openxmlformats.org/spreadsheetml/2006/main" count="1884" uniqueCount="764">
  <si>
    <t>S.No.</t>
  </si>
  <si>
    <t>Contract Number</t>
  </si>
  <si>
    <t>Customer Name</t>
  </si>
  <si>
    <t>City</t>
  </si>
  <si>
    <t>New NIC</t>
  </si>
  <si>
    <t>Effective Date</t>
  </si>
  <si>
    <t xml:space="preserve">Property Address </t>
  </si>
  <si>
    <t>Sum Insured</t>
  </si>
  <si>
    <t>Old Contract Number</t>
  </si>
  <si>
    <t>Status</t>
  </si>
  <si>
    <t>Contract Status</t>
  </si>
  <si>
    <t>LAHORE</t>
  </si>
  <si>
    <t>KARACHI</t>
  </si>
  <si>
    <t>ISLAMABAD</t>
  </si>
  <si>
    <t>RAWALPINDI</t>
  </si>
  <si>
    <t>FAISALABAD</t>
  </si>
  <si>
    <t>HYDERABAD</t>
  </si>
  <si>
    <t>L</t>
  </si>
  <si>
    <t>GUJRANWALA</t>
  </si>
  <si>
    <t>ABDUL GHAFFAR</t>
  </si>
  <si>
    <t>A</t>
  </si>
  <si>
    <t>Karachi</t>
  </si>
  <si>
    <t>997HBUY153360002</t>
  </si>
  <si>
    <t>IQBAL AHMED ABDAN</t>
  </si>
  <si>
    <t>42201-5247270-9</t>
  </si>
  <si>
    <t>FLAT # 403, 4TH FLOOR, BAKSHI RESIDENCY, SUB BLOCK-1, (1-K/3) NAZIMABAD, KARACHI</t>
  </si>
  <si>
    <t>997HBUY083360005</t>
  </si>
  <si>
    <t>MUHAMMAD SAEED IQBAL</t>
  </si>
  <si>
    <t>33303-1223823-1</t>
  </si>
  <si>
    <t>HOUSE NO.255, BLOCK-P, M.A. JOHAR TOWN, LAHORE.</t>
  </si>
  <si>
    <t>997HBUY143390001</t>
  </si>
  <si>
    <t>MUHAMMAD SULTAN</t>
  </si>
  <si>
    <t>42201-0492548-7</t>
  </si>
  <si>
    <t>FLAT NO. 4-D, 4TH FLOOR,SERENE HOMES, SURVEY SHEET NO 2/1, SHEET NO. FT-1 (OLD) SURVEY # 15, SHEET # J.I/B, FRERE TWON QUARTERS, KARACHI</t>
  </si>
  <si>
    <t>997HBUY093640001</t>
  </si>
  <si>
    <t>MUHAMMAD ILYAS</t>
  </si>
  <si>
    <t>33100-9922346-7</t>
  </si>
  <si>
    <t>HOUSE# 37/3, C- BLOCK, SHEIKH COLONY, FAISALABAD</t>
  </si>
  <si>
    <t>997HBUY163550003</t>
  </si>
  <si>
    <t>ABDUL JABBAR</t>
  </si>
  <si>
    <t>42201-8256806-9</t>
  </si>
  <si>
    <t>FLAT NO. C 304, 3RD FLOOR, SHAMAIL CENTRE, SUB PLOT NO C-4, PLOT NO. 9,10, SURVEY NO. 205, DEH GUJRO, TAPPO SONGAL, GULSHAN-E-IQBAL, KARACHI</t>
  </si>
  <si>
    <t>997HREN163650001</t>
  </si>
  <si>
    <t>MANSOOR AHMED</t>
  </si>
  <si>
    <t>42301-9533225-1</t>
  </si>
  <si>
    <t>FLAT NO. DLX-404, 4TH FLOOR, BLOCK C, RUBY BEACH PRIDE, PLOT NO. FL-18, BLOCK 1, KDA SCHEME 5, CLIFTON KHI</t>
  </si>
  <si>
    <t>997BFIN173530001</t>
  </si>
  <si>
    <t>MUHAMMAD SHAKEEL KHAN</t>
  </si>
  <si>
    <t>33104-7771395-5</t>
  </si>
  <si>
    <t>HOUSE # 408, STREET # 7, NAIMAT COLONY #1, FAISALABAD.</t>
  </si>
  <si>
    <t>997BFIN133600001</t>
  </si>
  <si>
    <t>MUHAMMAD AKIF</t>
  </si>
  <si>
    <t>33301-3148968-1</t>
  </si>
  <si>
    <t>HOUSE# 251 &amp; 266, STREET# 14 &amp; 15, AYUB COLONY, CHAK# 220 RB, FAISALABAD</t>
  </si>
  <si>
    <t>997HREN173640001</t>
  </si>
  <si>
    <t>NAJMA NAHEED</t>
  </si>
  <si>
    <t>33301-2019322-8</t>
  </si>
  <si>
    <t>HOUSE # 240-G, GULISTAN COLONY # 01, FAISALABAD.</t>
  </si>
  <si>
    <t>997BFIN173490001</t>
  </si>
  <si>
    <t>SYED AWAIS MUSHTAQUE</t>
  </si>
  <si>
    <t>41304-8308617-7</t>
  </si>
  <si>
    <t>FLAT #106, 1ST FLOOR, ORIENT CENTRE PLOT # C.S #1050/A-6, WARD F, GARI KHATA, HYDERABAD</t>
  </si>
  <si>
    <t>997HBUY183400001</t>
  </si>
  <si>
    <t>WAQAS AHMED SHAIKH</t>
  </si>
  <si>
    <t>41303-3700541-1</t>
  </si>
  <si>
    <t>FLAT # 26, 4TH FLOOR, FAROOQUI HEIGHTS, PLOT # 230/a, BLOCK C, UNIT # 2, LATIFABAD, HYDERABAD.</t>
  </si>
  <si>
    <t>9976BUY173470001</t>
  </si>
  <si>
    <t>NABEEL MOHSIN</t>
  </si>
  <si>
    <t>33202-5790559-9</t>
  </si>
  <si>
    <t>HOUSE # 69-D, BLOCK D, LANE # 03, SECTOR 4, AECHS, RAWALPINDI.</t>
  </si>
  <si>
    <t>997BFIN143630001</t>
  </si>
  <si>
    <t>MALIK IHSAN AHMAD</t>
  </si>
  <si>
    <t>33100-0326502-7</t>
  </si>
  <si>
    <t>HOUSE # P-238, ST # 07, AL-MASOOM TOWN, FAISALABAD</t>
  </si>
  <si>
    <t>9976BUY143450001</t>
  </si>
  <si>
    <t>MUHAMMAD ASGHAR KHAN</t>
  </si>
  <si>
    <t>61101-2378428-3</t>
  </si>
  <si>
    <t>HOUSE # 29/9(NEW CB-6036) HAIDERI STREET, NEW LALAZAR-1, RAWALPINDI</t>
  </si>
  <si>
    <t>997HBUY163430001</t>
  </si>
  <si>
    <t>MUHAMMAD ASAD ULLAH</t>
  </si>
  <si>
    <t>42401-9388421-5</t>
  </si>
  <si>
    <t>PLOT NO. R-541, SECTOR 11/C-3, NORTH KARACHI TOWNSHIP, KARACHI</t>
  </si>
  <si>
    <t>997HBUY203640004</t>
  </si>
  <si>
    <t>FOZIA</t>
  </si>
  <si>
    <t>41303-2766593-8</t>
  </si>
  <si>
    <t>FLAT # 20, 5TH FLOOR, FARIS AVENUE PLOT # 07, GREEN HOMES, DISTRICT QASIMABAD, HYDERABAD</t>
  </si>
  <si>
    <t>9976BUY193510001</t>
  </si>
  <si>
    <t>AYAZ HUSSAIN HASHMI</t>
  </si>
  <si>
    <t>37405-0345147-7</t>
  </si>
  <si>
    <t>HOUSE # 112-E, STREET # 14, BLOCK- E, SECTOR-4, AIR PORT HOUSING SOCIETY, RAWALPINDI</t>
  </si>
  <si>
    <t>997HBUY143570001</t>
  </si>
  <si>
    <t>997HBUY201510004</t>
  </si>
  <si>
    <t>42201-3527064-9</t>
  </si>
  <si>
    <t>Bungalow # 112/II, 9th  Street, Phase - VI, DHA, Karachi</t>
  </si>
  <si>
    <t>997HBUY203640003</t>
  </si>
  <si>
    <t>MUHAMMAD YAMEEN</t>
  </si>
  <si>
    <t>41304-6449468-9</t>
  </si>
  <si>
    <t>FLAT # 10, 2ND FLOOR, PLOT # 163, BLOCK-C, UNIT # 06, LATIFABAD HYDERABAD SINDH</t>
  </si>
  <si>
    <t>997HBUY183450001</t>
  </si>
  <si>
    <t>AFZAL AHMED</t>
  </si>
  <si>
    <t>42101-4279397-3</t>
  </si>
  <si>
    <t>FLAT # A1-301, 3RD FLOOR, COUNTRY APARTMENT, SUB PLOT # FL-2/A-1, PLOT # FL-2, SECTOR # 16/B, SCHEME # 33, CORRIDOR, KARAHCI.</t>
  </si>
  <si>
    <t>997HBUY203640002</t>
  </si>
  <si>
    <t>AROOJ SHAFIQ</t>
  </si>
  <si>
    <t>35201-5616531-2</t>
  </si>
  <si>
    <t>FLAT # 401, "B" TYPE, 4TH FLOOR, PLOT # 60/C, 22ND COMMERICAL STREET, PHASE II, EXT, DHA, KARACHI</t>
  </si>
  <si>
    <t>997HREN163560001</t>
  </si>
  <si>
    <t>9976REN201630001</t>
  </si>
  <si>
    <t>WAMIQ RIZVI</t>
  </si>
  <si>
    <t>42301-0954695-5</t>
  </si>
  <si>
    <t>HOUSE NO. 64/II, 23RD STREET, PHASE V, PAKISTAN DEFENCE OFFICERS HOUSING AUTHORITY, KHI</t>
  </si>
  <si>
    <t>9976BUY203650008</t>
  </si>
  <si>
    <t>MUHAMMAD NASIM</t>
  </si>
  <si>
    <t>33104-3050529-9</t>
  </si>
  <si>
    <t>HOUSE # 68, BLOCK-A, EDEN BOULEVARD HOUSING SCHEME, LAHORE</t>
  </si>
  <si>
    <t>9976BUY193570001</t>
  </si>
  <si>
    <t>QASIM IMAM</t>
  </si>
  <si>
    <t>35201-1413927-7</t>
  </si>
  <si>
    <t>HOUSE # 125, MEASURING 16-MARLAS BLOCK-D, SITUATED AT PCSIR STAFF CO-OPERATIVE HOUSING SOCIETY, LAHORE</t>
  </si>
  <si>
    <t>997BFIN203660003</t>
  </si>
  <si>
    <t>ABDUL WAHEED</t>
  </si>
  <si>
    <t>35200-1560019-1</t>
  </si>
  <si>
    <t>HOUSE # 134, BLOCK G-3, PHASE-1, WAPDA EMPLOYEES CO-OPERATIVE HOUSING SOCIETY LTD, LAHORE</t>
  </si>
  <si>
    <t>997BFIN193530001</t>
  </si>
  <si>
    <t>MUHAMMAD AFZAL MALIK</t>
  </si>
  <si>
    <t>33104-2236630-3</t>
  </si>
  <si>
    <t>HOUSE # 17-X-2, 19-X-2, MADINA TOWN, FAISALABAD.</t>
  </si>
  <si>
    <t>9976BUY113640002</t>
  </si>
  <si>
    <t>MUHAMMAD RIZWAN BUTT</t>
  </si>
  <si>
    <t>35202-6981918-5</t>
  </si>
  <si>
    <t>HOUSE# 501, BLOCK-C, FAISAL TOWN SCHEME, LAHORE</t>
  </si>
  <si>
    <t>997BFIN193450001</t>
  </si>
  <si>
    <t>VIJAY KUMAR</t>
  </si>
  <si>
    <t>42201-0138698-5</t>
  </si>
  <si>
    <t>FLAT # 804, 8TH FLOOR, AL KAMRAN CENTRE, PLOT # 7-A, SURVEY SHEET # 35-P/1, BLOCK-6, PECHS, KARACHI</t>
  </si>
  <si>
    <t>9976BUY183650002</t>
  </si>
  <si>
    <t>MUHAMMAD FIAZ</t>
  </si>
  <si>
    <t>34102-4774233-5</t>
  </si>
  <si>
    <t>HOUSE #799, BLOCK-P SABZAZAR SCHEME, LAHORE</t>
  </si>
  <si>
    <t>9976BUY173540001</t>
  </si>
  <si>
    <t>MUHAMMAD FAIZAN</t>
  </si>
  <si>
    <t>35401-0773117-1</t>
  </si>
  <si>
    <t>House # 609, Block L, M. A. Johar Town, Lahore.</t>
  </si>
  <si>
    <t>997HBUY143630001</t>
  </si>
  <si>
    <t>MANZOOR QADIR UNAR</t>
  </si>
  <si>
    <t>42201-3614510-5</t>
  </si>
  <si>
    <t>BUNGALOW # 151-A, PIA EMPLOYEES CO-OPERATIVE HOUSING SOCIETY LTD, BLOCK-9, GULISTAN-E-JOHAR, KARACHI</t>
  </si>
  <si>
    <t>997BFIN183600001</t>
  </si>
  <si>
    <t>SALMA MAQSOOD</t>
  </si>
  <si>
    <t>42301-0445812-2</t>
  </si>
  <si>
    <t>HOUSE # A-457, BLOCK-H, NORTH NAZIMABAD, KDA SCHEME # 2, KARACHI</t>
  </si>
  <si>
    <t>9976BUY173610001</t>
  </si>
  <si>
    <t>MUHAMMAD ASGHAR SHAHEEN</t>
  </si>
  <si>
    <t>35202-2565691-5</t>
  </si>
  <si>
    <t>HOUSE # 296, BLOCK K-3, PHASE 1, WAPDA EMPLOYEE C0-OPERATIVE HOUSING SOCIETY, LAHORE.</t>
  </si>
  <si>
    <t>9976BUY163440001</t>
  </si>
  <si>
    <t>ASIM EJAZ MALIK</t>
  </si>
  <si>
    <t>35201-1357151-1</t>
  </si>
  <si>
    <t>HOUSE NO. 431/H, BLOCK F, PHASE 1, STATE LIFE INSURANCE EMPLOYEES COOPERATIVE HOUSING SOCIETY, LAHORE</t>
  </si>
  <si>
    <t>997BFIN153420003</t>
  </si>
  <si>
    <t>SYED ZIA UDDIN</t>
  </si>
  <si>
    <t>42201-9125039-3</t>
  </si>
  <si>
    <t xml:space="preserve"> FLAT # 101, 1ST FLOOR, PLOT # B-84, GULSHAN-E-FAISAL, BATH ISLAND, CLIFTON KARACHI</t>
  </si>
  <si>
    <t>9976BUY143600002</t>
  </si>
  <si>
    <t>USMAN SHAHID</t>
  </si>
  <si>
    <t>35202-2651589-5</t>
  </si>
  <si>
    <t>HOUSE # 845, BLOCK-B, PHASE -5, DHA, LAHORE</t>
  </si>
  <si>
    <t>997BFIN173640001</t>
  </si>
  <si>
    <t>MUHAMMAD SALMAN NAEEM</t>
  </si>
  <si>
    <t>33100-1493674-5</t>
  </si>
  <si>
    <t>HOUSE # 268-F, EXECUTIVE BLOCK, EDEN GARDEN, FAISALABAD.</t>
  </si>
  <si>
    <t>9976BUY153650001</t>
  </si>
  <si>
    <t>KHADIM HUSSAIN</t>
  </si>
  <si>
    <t>35201-5379831-3</t>
  </si>
  <si>
    <t>HOUSE # 502, BLOCK-W, PHASE-3, DHA, LAHORE CANTT.</t>
  </si>
  <si>
    <t>9976BUY153630001</t>
  </si>
  <si>
    <t>RANA MUHAMMAD SHEHZAD</t>
  </si>
  <si>
    <t>35202-8227846-5</t>
  </si>
  <si>
    <t xml:space="preserve"> HOUSE # 30, BLOCK-N, SABZAZAR SCHEME, LAHORE</t>
  </si>
  <si>
    <t>997BFIN203640001</t>
  </si>
  <si>
    <t>MIAN MUHAMMAD ANWAR</t>
  </si>
  <si>
    <t>33100-0988105-1</t>
  </si>
  <si>
    <t>HOUSE # P-239, STREET # 07, AL MOSOOM TOWN, FAISALABAD</t>
  </si>
  <si>
    <t>997HBUY183600001</t>
  </si>
  <si>
    <t>IRFAN SHAKEEL</t>
  </si>
  <si>
    <t>42501-5905286-3</t>
  </si>
  <si>
    <t>HOUSE # A-137, BLOCK # 2, KDA SCHEME # 36, GULISTAN-E-JAUHAR, KARACHI.</t>
  </si>
  <si>
    <t>997HBUY193530003</t>
  </si>
  <si>
    <t>MUHAMMAD IMRAN ARIF</t>
  </si>
  <si>
    <t>42201-9562185-9</t>
  </si>
  <si>
    <t>FLAT # 204, 2ND FLOOR, DEFENCE REGENCY, PLOT #13, SURVEY # 110,111, DEH DRIGH ROAD, KARACHI</t>
  </si>
  <si>
    <t>997HBUY203630001</t>
  </si>
  <si>
    <t>SAAD IBRAR AHMAD</t>
  </si>
  <si>
    <t>35202-6403315-5</t>
  </si>
  <si>
    <t>HOUSE # 166, BLOCK-A, DREAM GARDEN HOUSING SCHEME, LAHORE</t>
  </si>
  <si>
    <t>997BFIN163650001</t>
  </si>
  <si>
    <t>BASHARAT AZIZ JASPAL</t>
  </si>
  <si>
    <t>33100-5184433-5</t>
  </si>
  <si>
    <t>HOUSE NO. 8, SHADMAN COLONY NO. 2, FAISALABAD</t>
  </si>
  <si>
    <t>997HBUY203640005</t>
  </si>
  <si>
    <t>SHEIKH MUHAMMAD TANVIR</t>
  </si>
  <si>
    <t>MULTAN</t>
  </si>
  <si>
    <t>36302-5231084-5</t>
  </si>
  <si>
    <t>HOUSE # 57, BLOCK D, WAPDA TOWN, PHASE 1 MULTAN</t>
  </si>
  <si>
    <t>997BFIN183650002</t>
  </si>
  <si>
    <t>IRFAN SATTAR</t>
  </si>
  <si>
    <t>35202-2611315-3</t>
  </si>
  <si>
    <t>HOUSE # 82,BLOCK-A, ABDALIANS CO-OPERATIVE HOUSING SOCIETY LIMITED, LAHORE</t>
  </si>
  <si>
    <t>997BFIN193650002</t>
  </si>
  <si>
    <t>ASIM INAM</t>
  </si>
  <si>
    <t>35202-6806522-1</t>
  </si>
  <si>
    <t>HOUSE # 02, BLOCK C, THE PAKISTAN TECHNOCRATES CO-OPERATIVE HOUSING SOCIETY, CANAL GARDEN LAHORE</t>
  </si>
  <si>
    <t>997BFIN183580001</t>
  </si>
  <si>
    <t>MUHAMMAD RIZWAN</t>
  </si>
  <si>
    <t>42301-6938537-5</t>
  </si>
  <si>
    <t>HOUSE # 14/G-1, SURVEY # 35 / P-1, BLOCK-2, PECHS, KARACHI</t>
  </si>
  <si>
    <t>9976BUY203640005</t>
  </si>
  <si>
    <t>AZFAR SAFDAR</t>
  </si>
  <si>
    <t>35102-6769056-7</t>
  </si>
  <si>
    <t>HOUSE # 182, BLOCK G, PHASE 12, DHA LAHORE</t>
  </si>
  <si>
    <t>997HBUY193510001</t>
  </si>
  <si>
    <t>SULAIMAN MUNAF BAWANY</t>
  </si>
  <si>
    <t>42201-6239830-9</t>
  </si>
  <si>
    <t>HOUSE # R-76, KARACHI UNIVERSITY EMPLOYEE COOPERATIVE HOUSING SOCIETY LIMITED, SECTOR 18-A, SCHEME # 33, GULZAR-E-HIJRI, KARACHI</t>
  </si>
  <si>
    <t>997HBUY153420001</t>
  </si>
  <si>
    <t>WAQAR AHMED</t>
  </si>
  <si>
    <t>42301-8433310-1</t>
  </si>
  <si>
    <t>FLAT # A-703, 7TH FLOOR, PLOT # FL-16, BLOCK-5, KDA SCHEME # 5, KEHKASHAN CLIFTON, KARACHI</t>
  </si>
  <si>
    <t>9976BUY183440001</t>
  </si>
  <si>
    <t>USMAN SARWAR</t>
  </si>
  <si>
    <t>35202-3533400-9</t>
  </si>
  <si>
    <t>HOUSE # 22, BLOCK E, SABZAZAR SCHEME, LAHORE</t>
  </si>
  <si>
    <t>997HBUY183370001</t>
  </si>
  <si>
    <t>MUHAMMAD IRFAN BAIG</t>
  </si>
  <si>
    <t>42201-1084235-5</t>
  </si>
  <si>
    <t>PLOT # B-101 SECTOR-II, CENTRAL GOVERNMENT EMPLOYEES CO, OPERATIVE HOUSING SOCIETY LIMITED, SURVEY # 52, KDA SCHEME-36, GULISTAN-E-JOHAR, KARACHI</t>
  </si>
  <si>
    <t>997BFIN193650001</t>
  </si>
  <si>
    <t>MUHAMMAD ASLAM</t>
  </si>
  <si>
    <t>35202-2895483-1</t>
  </si>
  <si>
    <t>HOUSE # 109, STREET # 04, SECTOR # 04, SECTOR NORTH EAST SITUATED AT NFC EMPLOYEES CO-OPERATIVE HOUSING SOCIETY LTD NEAR SATTO KATLA LAHORE</t>
  </si>
  <si>
    <t>9976BUY203590003</t>
  </si>
  <si>
    <t>ASIM NADEEM</t>
  </si>
  <si>
    <t>35202-7392008-7</t>
  </si>
  <si>
    <t>HOUSE # 507, BLOCK-G, PHASE 1, STATE LIFE INSURANCE EMPLOYEES CO-OPERATIVE HOUSING SOCIETY LTD, LAHORE</t>
  </si>
  <si>
    <t>997BFIN163650002</t>
  </si>
  <si>
    <t>CHOOLA RAM</t>
  </si>
  <si>
    <t>44204-0256812-3</t>
  </si>
  <si>
    <t>FLAT NO. 602, 6TH FLOOR, ROYAL APARTMENT, PLOT SURVEY NO. 2/1, SURVEY SHEET NO. FT-4) 3 MARY ROAD, FRERE TOWN QUARTER, KARACHI</t>
  </si>
  <si>
    <t>997BFIN183620001</t>
  </si>
  <si>
    <t>997BFIN202470001</t>
  </si>
  <si>
    <t>MOHAMMAD SOHAIL</t>
  </si>
  <si>
    <t>42301-0161493-9</t>
  </si>
  <si>
    <t>Villa # C-18, Darakhshan TOWNSHIP, Phase VI, DHA, Karachi.</t>
  </si>
  <si>
    <t>997HBUY193650001</t>
  </si>
  <si>
    <t>HASEEB AHMED MUFTI</t>
  </si>
  <si>
    <t>35202-4515238-9</t>
  </si>
  <si>
    <t>HOUSE # SD-167, ASKARI-XI, DHA PHASE-V, BEDIAN ROAD, LAHORE</t>
  </si>
  <si>
    <t>9976BUY183540001</t>
  </si>
  <si>
    <t>9976BUY201820014</t>
  </si>
  <si>
    <t>QAISER LATIF</t>
  </si>
  <si>
    <t>35202-3152747-3</t>
  </si>
  <si>
    <t>HOUSE #243, BLOCK-A, DHA PHASE-6 LAHORE</t>
  </si>
  <si>
    <t>9976BUY193440001</t>
  </si>
  <si>
    <t>SYED DAWOOD BUKHARI</t>
  </si>
  <si>
    <t>35202-2292443-1</t>
  </si>
  <si>
    <t>HOUSE # 359, BLOCK C, FAISAL TOWN, LAHORE.</t>
  </si>
  <si>
    <t>9976BUY203460002</t>
  </si>
  <si>
    <t>SADAQAT ALI KHAN</t>
  </si>
  <si>
    <t>61101-5938172-5</t>
  </si>
  <si>
    <t>HOUSE # 624, STREET # 95, SECTOR I-8/4, ISLAMABAD.</t>
  </si>
  <si>
    <t>9976BUY173630002</t>
  </si>
  <si>
    <t>MUHAMMAD SHAHZAD</t>
  </si>
  <si>
    <t>35202-4551436-3</t>
  </si>
  <si>
    <t>HOUSE # 68, BLOCK H, EME SECTOR, PHASE XII, DHA, LAHORE</t>
  </si>
  <si>
    <t>9976BUY163640002</t>
  </si>
  <si>
    <t>MAHWAR MUSTAFA KHAN</t>
  </si>
  <si>
    <t>35202-8045549-5</t>
  </si>
  <si>
    <t>HOUSE NO. 351, BLOCK CC, PHASE 4, DHA, LAHORE</t>
  </si>
  <si>
    <t>997HBUY203570001</t>
  </si>
  <si>
    <t>MUHAMMAD SABIR</t>
  </si>
  <si>
    <t>42201-1278279-9</t>
  </si>
  <si>
    <t>HOUSE # 47/1, KHAYABAN-E-MUSLIM, PHASE VI, DHA, KARACHI</t>
  </si>
  <si>
    <t>9976BUY163650001</t>
  </si>
  <si>
    <t>9976BUY203050008</t>
  </si>
  <si>
    <t>YASIR ANWAR</t>
  </si>
  <si>
    <t>35201-8200352-1</t>
  </si>
  <si>
    <t>HOUSE NO. 187, BLOCK M, PHASE 1, DHA, LAHORE</t>
  </si>
  <si>
    <t>9976BUY173560001</t>
  </si>
  <si>
    <t>BANARIS ALI</t>
  </si>
  <si>
    <t>91400-0270060-5</t>
  </si>
  <si>
    <t>HOUSE # 375, STREET # 71, SECTOR F-11/I, ISLAMABAD.</t>
  </si>
  <si>
    <t>9976BUY203640007</t>
  </si>
  <si>
    <t>DUR MUHAMMAD AYUB</t>
  </si>
  <si>
    <t>36401-3326790-7</t>
  </si>
  <si>
    <t>HOUSE # 128, BLOCK R, PHASE-II, DHA LAHORE</t>
  </si>
  <si>
    <t>997HBUY173600001</t>
  </si>
  <si>
    <t>997HBUY201810004</t>
  </si>
  <si>
    <t>SIRAJ KHAN</t>
  </si>
  <si>
    <t>42201-1026046-7</t>
  </si>
  <si>
    <t>BUNGALOW # 18/B, 7TH EAST STREET, PHASE # 1, DHA, KARACHI</t>
  </si>
  <si>
    <t>9976BUY203420001</t>
  </si>
  <si>
    <t>ABDUL KARIM KHAN</t>
  </si>
  <si>
    <t>42401-1612820-5</t>
  </si>
  <si>
    <t>HOUSE # 238/1, 31ST STREET, PHASE VIII-A, (SURVEY # 26), DHA, KARACHI</t>
  </si>
  <si>
    <t>9976BUY203570002</t>
  </si>
  <si>
    <t>MUHAMMAD FAYYAZ</t>
  </si>
  <si>
    <t>42401-0839511-1</t>
  </si>
  <si>
    <t>HOUSE # 180, 2ND STREET, PHASE VI, DHA KARACHI</t>
  </si>
  <si>
    <t>9976BUY213420002</t>
  </si>
  <si>
    <t>SALMAN ABBAS</t>
  </si>
  <si>
    <t>35202-8107651-1</t>
  </si>
  <si>
    <t>HOUSE NO. 35, BLOCK A, ARMY WELFARE TRUST HOUSING SCHEME, PHASE I, LAHORE.</t>
  </si>
  <si>
    <t>997NPHF213440008</t>
  </si>
  <si>
    <t>ANEES AHMAD</t>
  </si>
  <si>
    <t>33100-3784469-9</t>
  </si>
  <si>
    <t>PLOT NO. 308, BLOCK NO. C-1, PHASE NO 2, AWT HOUSING SOCIETY ASAL LAKHOWAL LAHORE.</t>
  </si>
  <si>
    <t>997NPHF213510003</t>
  </si>
  <si>
    <t>TEHMINA ASHFAQ QAZI</t>
  </si>
  <si>
    <t>37401-5738528-4</t>
  </si>
  <si>
    <t>H # 303-G, ST # 8, PALM AVENUE, SECTOR GREEN VILLAS, KHASRA #129, KHEWAT#33, KHATOONI#58-59,QATAT2, MOUZA KALRI CHAKLALA, SONOBER CITY, RAWALPINDI.</t>
  </si>
  <si>
    <t>997NPHF213510004</t>
  </si>
  <si>
    <t>ABDUL MANNAN</t>
  </si>
  <si>
    <t>42101-7145924-1</t>
  </si>
  <si>
    <t>PLOT NO. 15, TYPE R, BLOCK NO. A, GARDEN CITY, SECTOR NO. 2, KDA SCHEME NO. 45, TAISER TOWN, KARACHI.</t>
  </si>
  <si>
    <t>9976BUY213540001</t>
  </si>
  <si>
    <t>ALEEM ALI KHILJI</t>
  </si>
  <si>
    <t>42101-3854228-7</t>
  </si>
  <si>
    <t>HOUSE NO 4, ROW NO. 5, SUB BLOCK G, BLOCK 4, NAZIMABAD, KARACHI.</t>
  </si>
  <si>
    <t>997NPHF213580002</t>
  </si>
  <si>
    <t>MUHAMMAD JUNAID</t>
  </si>
  <si>
    <t>42101-3204612-1</t>
  </si>
  <si>
    <t>HOUSE NO. R-32/1, RAINBOW SWEET HOMES ABDULLAH TOWN, SHAHNAWAZ COOPERATIVE HOUSING SOCIETY LTD, SECTOR NO.51-A, GULZAR E HIJRI, SCHEME NO 33, KARACHI.</t>
  </si>
  <si>
    <t>997NPHF213580004</t>
  </si>
  <si>
    <t>NAEEM AHMAD MOBASHIR</t>
  </si>
  <si>
    <t>37401-3567329-7</t>
  </si>
  <si>
    <t>HOUSE NO 720, BLOCK 1-A, PHASE 11,DHA REHBAR, DEFENSE ROAD, LAHORE.</t>
  </si>
  <si>
    <t>997NPHF213430002</t>
  </si>
  <si>
    <t>SALMAN HAFIZ</t>
  </si>
  <si>
    <t>42201-0744886-7</t>
  </si>
  <si>
    <t>FLAT # A1-302, 3RD FLOOR, PRIME TOWER, PLOT # SB-20, BLOCK # 7, KDA SCHEME # 36, GU;ISTAN-E-JAUHAR, KARACHI.</t>
  </si>
  <si>
    <t>9976BUY213440003</t>
  </si>
  <si>
    <t>TAYYAB KHAN</t>
  </si>
  <si>
    <t>42501-9568248-9</t>
  </si>
  <si>
    <t>HOUSE NO. A-55, JINNAH GARDEN, DEH MEHRAN, TAPPO MALIR, KARACHI.</t>
  </si>
  <si>
    <t>997HREN213470001</t>
  </si>
  <si>
    <t>MUHAMMAD SOHAIB HASSAN</t>
  </si>
  <si>
    <t>38403-2851629-3</t>
  </si>
  <si>
    <t>HOUSE # 13, UMAR BLOCK, GULSHAN-EMADINA, SARGODHA ROAD, FAISALABAD.</t>
  </si>
  <si>
    <t>997NPHF213440007</t>
  </si>
  <si>
    <t>MUHAMMAD WAQAS JAMIL</t>
  </si>
  <si>
    <t>33104-8314970-3</t>
  </si>
  <si>
    <t>PLOT NO. 341, ROYAL BLOCK, AIR AVENUE CITY, MAIN JHANG ROAD, FAISALABAD.</t>
  </si>
  <si>
    <t>997NPHF213500001</t>
  </si>
  <si>
    <t>MUHAMMAD AHMED KHAN</t>
  </si>
  <si>
    <t>42101-3255907-3</t>
  </si>
  <si>
    <t>FLAT # F-18, 1ST FLR, FARAZ AVENUE, SUB PLOT # 118/9/F-8, PLOT SURVEY # 256,257, 258, DEH OKEWARI, BLK 20, KDA SCHEME # 36, GULISTAN E JOHAR, KARACHI.</t>
  </si>
  <si>
    <t>9976BUY213580003</t>
  </si>
  <si>
    <t>SOBIA AHMAD YAR</t>
  </si>
  <si>
    <t>36302-0786714-0</t>
  </si>
  <si>
    <t>HOUSE # 548, SECTOR B, PHASE V, DHA, LAHORE</t>
  </si>
  <si>
    <t>997NPHF213400002</t>
  </si>
  <si>
    <t>SHUMAILA SHAHBAZ</t>
  </si>
  <si>
    <t>35401-7526073-8</t>
  </si>
  <si>
    <t>HOUSE NO. 494, NARGIS BLOCK, SECTOR C, BAHRIA TOWN, LAHORE.</t>
  </si>
  <si>
    <t>997NPHF213410005</t>
  </si>
  <si>
    <t>MUHAMMAD USMAN</t>
  </si>
  <si>
    <t>33104-4867420-7</t>
  </si>
  <si>
    <t>HOSUE NO. 469, BLOC NO. C, PHASE JB, JUBILEE TOWN, LAHORE.</t>
  </si>
  <si>
    <t>997NPHF213540002</t>
  </si>
  <si>
    <t>ANSAR SIDDIQUE</t>
  </si>
  <si>
    <t>32203-3632310-3</t>
  </si>
  <si>
    <t>HOUSE NO. 217, BLOCK C, MILITARY ACCOUNT HOUSING SCHEME, LAHORE.</t>
  </si>
  <si>
    <t>997NPHF213540005</t>
  </si>
  <si>
    <t>AISHA ARSHAD</t>
  </si>
  <si>
    <t>33100-6524760-0</t>
  </si>
  <si>
    <t>HOUSE NO 425, STREET NO 12, MAIN BAZAR NO 2/3, RAZA ABAD, NARWALA ROAD, FAISALABAD.</t>
  </si>
  <si>
    <t>997NPHF213550006</t>
  </si>
  <si>
    <t>MUHAMMAD ABID ALI</t>
  </si>
  <si>
    <t>33202-7732151-1</t>
  </si>
  <si>
    <t>FLAT NO. B-1, 508, 5TH FLOOR, SARAH TOWER, SUB PLOT NO SB-3/A/VIII, PLOT NO. SB-3/A, SECTOR NO. 5/D, KDA SCHEME NO 41, SURJANI TOWN, KARACHI.</t>
  </si>
  <si>
    <t>997HBUY213370004</t>
  </si>
  <si>
    <t>MUHAMMAD NAVEED NAZ GOHAR</t>
  </si>
  <si>
    <t>33202-1191932-1</t>
  </si>
  <si>
    <t xml:space="preserve"> HOUSE NO. P-70, BLOCK -B, NEAR JAMIA AMEENIA,  SHEIKH COLONY, JHANG ROAD, FAISALABAD.</t>
  </si>
  <si>
    <t>997HBUY213490001</t>
  </si>
  <si>
    <t>MAHINDAR KUMAR</t>
  </si>
  <si>
    <t>45504-4900747-1</t>
  </si>
  <si>
    <t>FLAT NO. D/A-1, GF, BLOCK D, IBRAHIM TERRACE SURVEY NO. 30, SURVEY SHEET FT-2, FRERE TOWN QUARTERS, KARACHI.</t>
  </si>
  <si>
    <t>997NPHF213500002</t>
  </si>
  <si>
    <t>ABDUL HAI</t>
  </si>
  <si>
    <t>44202-0221019-3</t>
  </si>
  <si>
    <t>FLAT # F-04, 1ST FLOOR, PLOT # 24, ROW # 5, SUB BLOCK C, BLOCK # V, (V-C 5/24), NAZIMABAD TOWN, KARACHI.</t>
  </si>
  <si>
    <t>997NPHF213580003</t>
  </si>
  <si>
    <t>ARSHAD ALI</t>
  </si>
  <si>
    <t>61101-9223893-7</t>
  </si>
  <si>
    <t>HOSUE NO 12, SITUATED AT STREET NO 44- G, KORANGI TOWN, ISLAMABAD.</t>
  </si>
  <si>
    <t>997NPHF213540004</t>
  </si>
  <si>
    <t>MUHAMMAD RIAZ RAFI</t>
  </si>
  <si>
    <t>42101-2108197-5</t>
  </si>
  <si>
    <t>HOUSE NO. 15/8, B AREA, LIAQUATABAD, KARACHI.</t>
  </si>
  <si>
    <t>997NPHF213560001</t>
  </si>
  <si>
    <t>MUHAMMAD SALEEM AZIZ</t>
  </si>
  <si>
    <t>37405-3535828-9</t>
  </si>
  <si>
    <t>PLOT NO. 158-C, STREET NO. MR-1, BLOCK B, CBR TOWN, PHASE I, ISLAMABAD.</t>
  </si>
  <si>
    <t>997NPHF213580001</t>
  </si>
  <si>
    <t>RASHID SHAHZAD</t>
  </si>
  <si>
    <t>42301-0760686-3</t>
  </si>
  <si>
    <t>HOUSE NO. B-4, AL MUJEEB GARDEN EXTENSION, SURVEY NO 147, DEH MEHRAN, TAPPO MALIR, KARACHI</t>
  </si>
  <si>
    <t>997NPHF213400003</t>
  </si>
  <si>
    <t>HAMMAD AHMED</t>
  </si>
  <si>
    <t>45504-5378402-3</t>
  </si>
  <si>
    <t>FLAT NO A-201/3, 2ND FLOOR, BILLYS HEIGHT SUB PLOT NO. 118/6-C/3/1, PLOT NO. SURVEY NO. 118/6-C, BLOCK 18, KDA SCHEME NO 36, GULISTAN E JOUHAR, KARA</t>
  </si>
  <si>
    <t>997NPHF213540001</t>
  </si>
  <si>
    <t>NAILA ABBAS</t>
  </si>
  <si>
    <t>42201-9596784-0</t>
  </si>
  <si>
    <t>FLAT NO. 809, TYPE A, TOWER NO 1, 8TH FLOOR, BILLYS TOWERS, PLOT NO. 118/5, SURVEY NO. 256,258, DEH OKEWARI, KDA SCHEME NO.36, GULISTAN E JAUHAR, KAR</t>
  </si>
  <si>
    <t>997HREN213540001</t>
  </si>
  <si>
    <t>SHAKIR RAFIQ</t>
  </si>
  <si>
    <t>34101-6291919-7</t>
  </si>
  <si>
    <t>HOUSE NO. 02, STREET NO. 4, LINK QADAFI ROAD, MUHALLAH SULTAN PURA MOUZA GARJAKH ZARI, TEHSIL &amp; DISTRICT GUJRANWALLA.</t>
  </si>
  <si>
    <t>9976BUY213630005</t>
  </si>
  <si>
    <t>NAEEM AHMAD</t>
  </si>
  <si>
    <t>35202-2634598-7</t>
  </si>
  <si>
    <t>HOUSE # 450, BLOCK D, PUNJAB GOVERNEMENT SERVANTS HOUSING SCHEME, LAHORE</t>
  </si>
  <si>
    <t>997NPHF213640017</t>
  </si>
  <si>
    <t>AQEEL AHMAD</t>
  </si>
  <si>
    <t>33100-9179120-5</t>
  </si>
  <si>
    <t>HOUSE NO. 38, ZUBAIR ROAD, RIAZ UL JANNAH HOUSING SCHEME, DAEWOO ROAD, FAISALABAD.</t>
  </si>
  <si>
    <t>997NPHF213640019</t>
  </si>
  <si>
    <t>MUHAMMAD NAUMAN SABIR</t>
  </si>
  <si>
    <t>33102-2988472-1</t>
  </si>
  <si>
    <t>HOUSE NO. 7-B, MODEL CITY-II, SATYANA ROAD, FAISALABAD.</t>
  </si>
  <si>
    <t>997NPHF213630010</t>
  </si>
  <si>
    <t>RAMEEZ IMTIAZ</t>
  </si>
  <si>
    <t>42101-7265822-5</t>
  </si>
  <si>
    <t>FLAT # 3002, 3RD FLOOR, BLOCK B, KARACHI UNIVERSITY EMPLOYEES COOPERATIVE HOUSING SOCIETY LIMITED, SECTOR 18A, KDA SCHEME # 33, KARACHI</t>
  </si>
  <si>
    <t>997HCON213650001</t>
  </si>
  <si>
    <t>MUHAMMAD KASHAN</t>
  </si>
  <si>
    <t>42201-0690652-1</t>
  </si>
  <si>
    <t>PLOT NO. 414-D, 20TH STREET, PHASE VIII-B, DHA, KARACHI.</t>
  </si>
  <si>
    <t>997NPHF213620007</t>
  </si>
  <si>
    <t>RASHID SALEEM</t>
  </si>
  <si>
    <t>42201-4995876-1</t>
  </si>
  <si>
    <t>FLAT NO. A-61, 4TH FLOOR, UMER PLAZA, PLOT NO. LS-52 (ST-4), VIP CITY HOME, PHASE III, SECTOR NO. 11/C-2, NORTH KARACHI, TOWNSHIP, KARACHI.</t>
  </si>
  <si>
    <t>997NPHF213630012</t>
  </si>
  <si>
    <t>MUHAMMAD KAMRAN IQBAL</t>
  </si>
  <si>
    <t>42401-9026653-7</t>
  </si>
  <si>
    <t>HOUSE NO L-489, SECTOR NO 5-A-1, NORTH KARACHI TOWNSHIP, KARACHI</t>
  </si>
  <si>
    <t>997NPHF213640018</t>
  </si>
  <si>
    <t>AMIR MASOOD</t>
  </si>
  <si>
    <t>33100-0651982-1</t>
  </si>
  <si>
    <t>HOUSE NO. P-75, BLOCK D, PUNJAB GOVERNMENT SERVANTS HOUSING SCHEME, SATYANA ROAD, FAISALABAD.</t>
  </si>
  <si>
    <t>997NPHF213620008</t>
  </si>
  <si>
    <t>MUZAMMIL HANIF</t>
  </si>
  <si>
    <t>42301-6142742-1</t>
  </si>
  <si>
    <t>FLAT NO. F-1, 1ST FLOOR, PLOT NO. 11-C, NISHAT LANE-11, PHASE VI, DHA CLIFTON CANTONMENT, KARACHI.</t>
  </si>
  <si>
    <t>997HBUY213650005</t>
  </si>
  <si>
    <t>TALLAT NAZIR</t>
  </si>
  <si>
    <t>17301-6863138-7</t>
  </si>
  <si>
    <t>HOUSE NO. BIV-180, MUSLIM TOWN, MUAZA TAHLIAN DEHATI, METROPOLITION COOPERATION, RAWALPINDI.</t>
  </si>
  <si>
    <t>9976BUY213650007</t>
  </si>
  <si>
    <t>RAMESH KUMAR</t>
  </si>
  <si>
    <t>43207-7117086-1</t>
  </si>
  <si>
    <t>FLAT NO. 409, 4TH FLOOR, BLOCK A, DEFENSE REGENCY, PLOT NO 13, SURVEY NO. 110 &amp; 111, DEH DRIGH ROAD, KARACHI.</t>
  </si>
  <si>
    <t>9976BUY213630004</t>
  </si>
  <si>
    <t>MUHAMMAD ADIL QAYYUM</t>
  </si>
  <si>
    <t>35202-5376739-9</t>
  </si>
  <si>
    <t>HOUSE # 147, BLOCK 3, PHASE 1, WAPDA EMPLOYEES CO-OPERATIVE HOUSING SOCIETY, LAHORE.</t>
  </si>
  <si>
    <t>997NPHF213650006</t>
  </si>
  <si>
    <t>ZULFIQAR ALI</t>
  </si>
  <si>
    <t>35401-1750755-7</t>
  </si>
  <si>
    <t>PLOT NO. 8-A, JINNAH COLONY, SAMANABAD, HADBAST MOUZA MOZANG, LAHORE.</t>
  </si>
  <si>
    <t>997HCON213650002</t>
  </si>
  <si>
    <t>SHAHARYAR ABBAS BALOCH</t>
  </si>
  <si>
    <t>35201-7661137-3</t>
  </si>
  <si>
    <t>PLOT NO. 165, BLOCK D, PHASE 5, DHA LAHORE.</t>
  </si>
  <si>
    <t>997HBUY213620001</t>
  </si>
  <si>
    <t>HOUSE NO. P-421, STREET NO. 08, NAIMAT COLONY NO. 1, FAISALABAD.</t>
  </si>
  <si>
    <t>997NPHF213630011</t>
  </si>
  <si>
    <t>SULTAN AHMED</t>
  </si>
  <si>
    <t>44202-6713576-5</t>
  </si>
  <si>
    <t>HOUSE # 4, TYPE B,INDUS BUNGALOWS, MIR HUSSAINABAD HOUSING SCHEME, HUSSAINABAD, LATIFABAD, HYDERABAD.</t>
  </si>
  <si>
    <t>997NPHF213650001</t>
  </si>
  <si>
    <t>AWAIS KHALID</t>
  </si>
  <si>
    <t>33102-1821782-1</t>
  </si>
  <si>
    <t>HOUSE NO. 83-A, PRIME CITY, OPPOSITE MODEL CITY-II,  MAIN SATYANA ROAD, FAISALABAD.</t>
  </si>
  <si>
    <t>997NPHF213650002</t>
  </si>
  <si>
    <t>ASIF KHAN</t>
  </si>
  <si>
    <t>54400-0344848-7</t>
  </si>
  <si>
    <t>HOUSE NO. 158, AT MAUZA SIHAM, KHEWAT NO.931, KHATOONI NO. 1482, CONTONMENT BOARD, RAWALPINDI.</t>
  </si>
  <si>
    <t>997NPHF213650004</t>
  </si>
  <si>
    <t>ROSHAN ALI</t>
  </si>
  <si>
    <t>61101-9772361-3</t>
  </si>
  <si>
    <t>PLOT NO. 550, SECTOR I-11, ISLAMABAD.</t>
  </si>
  <si>
    <t>997NPHF213620006</t>
  </si>
  <si>
    <t>ABDUL MUQEET</t>
  </si>
  <si>
    <t>42201-4557566-9</t>
  </si>
  <si>
    <t>FLAT NO. A-312, 3RD FLOOR, ARIF PRIDE ON PLOT NO FL-3/A, BLOCK 17, KDA SCHEME 36, GULISTAN E JOUHAR, KARACHI.</t>
  </si>
  <si>
    <t>997NPHF213630009</t>
  </si>
  <si>
    <t>AMNA SHABBIR</t>
  </si>
  <si>
    <t>42101-9351087-8</t>
  </si>
  <si>
    <t>FLAT # A-1, MEEZAININE FLOOR, NASHAIMNA SUB PLOT # 31/A-5, PLOT # 31GULNAB HOUSING SOCIETY, KDA SCHEME #  33, UNIVERISTY ROAD, KARACHI.</t>
  </si>
  <si>
    <t>9976BUY213630006</t>
  </si>
  <si>
    <t>SANTOSH</t>
  </si>
  <si>
    <t>44205-4744719-7</t>
  </si>
  <si>
    <t>APARTMENT # PT3,10-1001, 10TH FLOOR, PEARL TOWER 3, CRESCENT BAY, EMAAR GIGA KARACHI LIMITED, PHASE VIII, DHA, KARACHI.</t>
  </si>
  <si>
    <t>997HBUY213640004</t>
  </si>
  <si>
    <t>MUHAMMAD MUBEEN</t>
  </si>
  <si>
    <t>42301-0974481-7</t>
  </si>
  <si>
    <t>HOUSE NO. B-57, BLOCK 1, NORTH NAZIMABAD, KDA SCHEME NO 2, KARACHI.</t>
  </si>
  <si>
    <t>997NPHF213650005</t>
  </si>
  <si>
    <t>AHMED  WASEEM</t>
  </si>
  <si>
    <t>37406-3213710-1</t>
  </si>
  <si>
    <t>PLOT NO. 99, STREET NO. 26, SECTOR A-1, PHASE 1, DEFENSE HOUSING AUTHORITY, RAWALPINDI.</t>
  </si>
  <si>
    <t>997HBUY213630003</t>
  </si>
  <si>
    <t>SYED NADIR ARSALAN</t>
  </si>
  <si>
    <t>42101-8247037-1</t>
  </si>
  <si>
    <t>FLAT NO. O-2, GROUNF FLOOR, FIVE STAR LUXURY APARTMENT, SUB PLOT NO ST-6-D-0-2/II, PLOT NO ST-6-D. BLOCK 14, KDA, SCHEME NO 24, GULSHAN E IQBAL.KARACH</t>
  </si>
  <si>
    <t>997NPHF213640015</t>
  </si>
  <si>
    <t>AMAN UL HAQ</t>
  </si>
  <si>
    <t>42101-4661813-5</t>
  </si>
  <si>
    <t>FLAT NO. AA-3127/7, 3RD FLOOR, MARIA LUXURY APARTMENTS,</t>
  </si>
  <si>
    <t>997NPHF213650003</t>
  </si>
  <si>
    <t>SIDRA SARDAR</t>
  </si>
  <si>
    <t>33102-1104094-6</t>
  </si>
  <si>
    <t>HOUSE NO. 65, BLOCK NO C, GHALIB CITY, CHAK NO 208/RB, FAISALABAD.</t>
  </si>
  <si>
    <t>997NPHF213650007</t>
  </si>
  <si>
    <t>AZEEM AHMED BHATTI</t>
  </si>
  <si>
    <t>41303-1904366-1</t>
  </si>
  <si>
    <t>PLOT # 44, BLOCK III, TYPE-D, R.S NO. 55/A-B,56,60,61,62 /1-2-3, 63 DEH MIRZAPUR, TALUKA QASIMABAD, DISTRICT HYDERABAD.</t>
  </si>
  <si>
    <t>997NPHF223470001</t>
  </si>
  <si>
    <t>MAZHAR NAEEM</t>
  </si>
  <si>
    <t>42301-6295534-1</t>
  </si>
  <si>
    <t>HOUSE NO R-850 (ST-2) SECTOR NO 8 NORTH, KARACHI</t>
  </si>
  <si>
    <t>Net Contribution</t>
  </si>
  <si>
    <t>STL PMD #</t>
  </si>
  <si>
    <t>KHI/HO/D/FR/ND/P/20956/12/2023</t>
  </si>
  <si>
    <t>KHI/HO/D/FR/ND/P/20957/12/2023</t>
  </si>
  <si>
    <t>KHI/HO/D/FR/ND/P/20958/12/2023</t>
  </si>
  <si>
    <t>KHI/HO/D/FR/ND/P/20959/12/2023</t>
  </si>
  <si>
    <t>KHI/HO/D/FR/ND/P/20960/12/2023</t>
  </si>
  <si>
    <t>KHI/HO/D/FR/ND/P/20961/12/2023</t>
  </si>
  <si>
    <t>KHI/HO/D/FR/ND/P/20962/12/2023</t>
  </si>
  <si>
    <t>KHI/HO/D/FR/ND/P/20963/12/2023</t>
  </si>
  <si>
    <t>KHI/HO/D/FR/ND/P/20964/12/2023</t>
  </si>
  <si>
    <t>KHI/HO/D/FR/ND/P/20965/12/2023</t>
  </si>
  <si>
    <t>KHI/HO/D/FR/ND/P/20966/12/2023</t>
  </si>
  <si>
    <t>KHI/HO/D/FR/ND/P/20967/12/2023</t>
  </si>
  <si>
    <t>KHI/HO/D/FR/ND/P/20968/12/2023</t>
  </si>
  <si>
    <t>KHI/HO/D/FR/ND/P/20969/12/2023</t>
  </si>
  <si>
    <t>KHI/HO/D/FR/ND/P/20970/12/2023</t>
  </si>
  <si>
    <t>KHI/HO/D/FR/ND/P/20971/12/2023</t>
  </si>
  <si>
    <t>KHI/HO/D/FR/ND/P/20972/12/2023</t>
  </si>
  <si>
    <t>KHI/HO/D/FR/ND/P/20973/12/2023</t>
  </si>
  <si>
    <t>KHI/HO/D/FR/ND/P/20974/12/2023</t>
  </si>
  <si>
    <t>KHI/HO/D/FR/ND/P/20975/12/2023</t>
  </si>
  <si>
    <t>KHI/HO/D/FR/ND/P/20976/12/2023</t>
  </si>
  <si>
    <t>KHI/HO/D/FR/ND/P/20977/12/2023</t>
  </si>
  <si>
    <t>KHI/HO/D/FR/ND/P/20978/12/2023</t>
  </si>
  <si>
    <t>KHI/HO/D/FR/ND/P/20979/12/2023</t>
  </si>
  <si>
    <t>KHI/HO/D/FR/ND/P/20980/12/2023</t>
  </si>
  <si>
    <t>KHI/HO/D/FR/ND/P/20981/12/2023</t>
  </si>
  <si>
    <t>KHI/HO/D/FR/ND/P/20982/12/2023</t>
  </si>
  <si>
    <t>KHI/HO/D/FR/ND/P/20983/12/2023</t>
  </si>
  <si>
    <t>KHI/HO/D/FR/ND/P/20984/12/2023</t>
  </si>
  <si>
    <t>KHI/HO/D/FR/ND/P/20985/12/2023</t>
  </si>
  <si>
    <t>KHI/HO/D/FR/ND/P/20986/12/2023</t>
  </si>
  <si>
    <t>KHI/HO/D/FR/ND/P/20987/12/2023</t>
  </si>
  <si>
    <t>KHI/HO/D/FR/ND/P/20988/12/2023</t>
  </si>
  <si>
    <t>KHI/HO/D/FR/ND/P/20989/12/2023</t>
  </si>
  <si>
    <t>KHI/HO/D/FR/ND/P/20990/12/2023</t>
  </si>
  <si>
    <t>KHI/HO/D/FR/ND/P/20991/12/2023</t>
  </si>
  <si>
    <t>KHI/HO/D/FR/ND/P/20992/12/2023</t>
  </si>
  <si>
    <t>KHI/HO/D/FR/ND/P/20993/12/2023</t>
  </si>
  <si>
    <t>KHI/HO/D/FR/ND/P/20994/12/2023</t>
  </si>
  <si>
    <t>KHI/HO/D/FR/ND/P/20995/12/2023</t>
  </si>
  <si>
    <t>KHI/HO/D/FR/ND/P/20996/12/2023</t>
  </si>
  <si>
    <t>KHI/HO/D/FR/ND/P/20997/12/2023</t>
  </si>
  <si>
    <t>KHI/HO/D/FR/ND/P/20998/12/2023</t>
  </si>
  <si>
    <t>KHI/HO/D/FR/ND/P/20999/12/2023</t>
  </si>
  <si>
    <t>KHI/HO/D/FR/ND/P/21000/12/2023</t>
  </si>
  <si>
    <t>KHI/HO/D/FR/ND/P/21001/12/2023</t>
  </si>
  <si>
    <t>KHI/HO/D/FR/ND/P/21002/12/2023</t>
  </si>
  <si>
    <t>KHI/HO/D/FR/ND/P/21003/12/2023</t>
  </si>
  <si>
    <t>KHI/HO/D/FR/ND/P/21004/12/2023</t>
  </si>
  <si>
    <t>KHI/HO/D/FR/ND/P/21005/12/2023</t>
  </si>
  <si>
    <t>KHI/HO/D/FR/ND/P/21006/12/2023</t>
  </si>
  <si>
    <t>KHI/HO/D/FR/ND/P/21007/12/2023</t>
  </si>
  <si>
    <t>KHI/HO/D/FR/ND/P/21008/12/2023</t>
  </si>
  <si>
    <t>KHI/HO/D/FR/ND/P/21009/12/2023</t>
  </si>
  <si>
    <t>KHI/HO/D/FR/ND/P/21010/12/2023</t>
  </si>
  <si>
    <t>KHI/HO/D/FR/ND/P/21011/12/2023</t>
  </si>
  <si>
    <t>KHI/HO/D/FR/ND/P/21012/12/2023</t>
  </si>
  <si>
    <t>KHI/HO/D/FR/ND/P/21013/12/2023</t>
  </si>
  <si>
    <t>KHI/HO/D/FR/ND/P/21014/12/2023</t>
  </si>
  <si>
    <t>KHI/HO/D/FR/ND/P/21015/12/2023</t>
  </si>
  <si>
    <t>KHI/HO/D/FR/ND/P/21016/12/2023</t>
  </si>
  <si>
    <t>KHI/HO/D/FR/ND/P/21017/12/2023</t>
  </si>
  <si>
    <t>KHI/HO/D/FR/ND/P/21018/12/2023</t>
  </si>
  <si>
    <t>KHI/HO/D/FR/ND/P/21019/12/2023</t>
  </si>
  <si>
    <t>KHI/HO/D/FR/ND/P/21020/12/2023</t>
  </si>
  <si>
    <t>KHI/HO/D/FR/ND/P/21021/12/2023</t>
  </si>
  <si>
    <t>KHI/HO/D/FR/ND/P/21022/12/2023</t>
  </si>
  <si>
    <t>KHI/HO/D/FR/ND/P/21023/12/2023</t>
  </si>
  <si>
    <t>KHI/HO/D/FR/ND/P/21024/12/2023</t>
  </si>
  <si>
    <t>KHI/HO/D/FR/ND/P/21025/12/2023</t>
  </si>
  <si>
    <t>KHI/HO/D/FR/ND/P/21026/12/2023</t>
  </si>
  <si>
    <t>KHI/HO/D/FR/ND/P/21027/12/2023</t>
  </si>
  <si>
    <t>KHI/HO/D/FR/ND/P/21028/12/2023</t>
  </si>
  <si>
    <t>KHI/HO/D/FR/ND/P/21029/12/2023</t>
  </si>
  <si>
    <t>KHI/HO/D/FR/ND/P/21030/12/2023</t>
  </si>
  <si>
    <t>KHI/HO/D/FR/ND/P/21031/12/2023</t>
  </si>
  <si>
    <t>KHI/HO/D/FR/ND/P/21032/12/2023</t>
  </si>
  <si>
    <t>KHI/HO/D/FR/ND/P/21033/12/2023</t>
  </si>
  <si>
    <t>KHI/HO/D/FR/ND/P/21034/12/2023</t>
  </si>
  <si>
    <t>KHI/HO/D/FR/ND/P/21035/12/2023</t>
  </si>
  <si>
    <t>KHI/HO/D/FR/ND/P/21036/12/2023</t>
  </si>
  <si>
    <t>KHI/HO/D/FR/ND/P/21037/12/2023</t>
  </si>
  <si>
    <t>KHI/HO/D/FR/ND/P/21038/12/2023</t>
  </si>
  <si>
    <t>KHI/HO/D/FR/ND/P/21039/12/2023</t>
  </si>
  <si>
    <t>KHI/HO/D/FR/ND/P/21040/12/2023</t>
  </si>
  <si>
    <t>KHI/HO/D/FR/ND/P/21041/12/2023</t>
  </si>
  <si>
    <t>KHI/HO/D/FR/ND/P/21042/12/2023</t>
  </si>
  <si>
    <t>KHI/HO/D/FR/ND/P/21043/12/2023</t>
  </si>
  <si>
    <t>KHI/HO/D/FR/ND/P/21044/12/2023</t>
  </si>
  <si>
    <t>KHI/HO/D/FR/ND/P/21045/12/2023</t>
  </si>
  <si>
    <t>KHI/HO/D/FR/ND/P/21046/12/2023</t>
  </si>
  <si>
    <t>KHI/HO/D/FR/ND/P/21047/12/2023</t>
  </si>
  <si>
    <t>KHI/HO/D/FR/ND/P/21048/12/2023</t>
  </si>
  <si>
    <t>KHI/HO/D/FR/ND/P/21049/12/2023</t>
  </si>
  <si>
    <t>KHI/HO/D/FR/ND/P/21050/12/2023</t>
  </si>
  <si>
    <t>KHI/HO/D/FR/ND/P/21051/12/2023</t>
  </si>
  <si>
    <t>KHI/HO/D/FR/ND/P/21052/12/2023</t>
  </si>
  <si>
    <t>KHI/HO/D/FR/ND/P/21053/12/2023</t>
  </si>
  <si>
    <t>KHI/HO/D/FR/ND/P/21054/12/2023</t>
  </si>
  <si>
    <t>KHI/HO/D/FR/ND/P/21055/12/2023</t>
  </si>
  <si>
    <t>KHI/HO/D/FR/ND/P/21056/12/2023</t>
  </si>
  <si>
    <t>KHI/HO/D/FR/ND/P/21057/12/2023</t>
  </si>
  <si>
    <t>KHI/HO/D/FR/ND/P/21058/12/2023</t>
  </si>
  <si>
    <t>KHI/HO/D/FR/ND/P/21059/12/2023</t>
  </si>
  <si>
    <t>KHI/HO/D/FR/ND/P/21060/12/2023</t>
  </si>
  <si>
    <t>KHI/HO/D/FR/ND/P/21061/12/2023</t>
  </si>
  <si>
    <t>KHI/HO/D/FR/ND/P/21062/12/2023</t>
  </si>
  <si>
    <t>KHI/HO/D/FR/ND/P/21063/12/2023</t>
  </si>
  <si>
    <t>KHI/HO/D/FR/ND/P/21064/12/2023</t>
  </si>
  <si>
    <t>POLICY NO.</t>
  </si>
  <si>
    <t>Assorted_code</t>
  </si>
  <si>
    <t>Premium</t>
  </si>
  <si>
    <t>20Aug240150</t>
  </si>
  <si>
    <t>KHI</t>
  </si>
  <si>
    <t>HO</t>
  </si>
  <si>
    <t>D</t>
  </si>
  <si>
    <t>FR</t>
  </si>
  <si>
    <t>ND</t>
  </si>
  <si>
    <t>P</t>
  </si>
  <si>
    <t>KHI-HO-D-FR-ND-P-20956-12-2023</t>
  </si>
  <si>
    <t>KHI-HO-D-FR-ND-P-20957-12-2023</t>
  </si>
  <si>
    <t>KHI-HO-D-FR-ND-P-20958-12-2023</t>
  </si>
  <si>
    <t>KHI-HO-D-FR-ND-P-20959-12-2023</t>
  </si>
  <si>
    <t>KHI-HO-D-FR-ND-P-20960-12-2023</t>
  </si>
  <si>
    <t>KHI-HO-D-FR-ND-P-20961-12-2023</t>
  </si>
  <si>
    <t>KHI-HO-D-FR-ND-P-20962-12-2023</t>
  </si>
  <si>
    <t>KHI-HO-D-FR-ND-P-20963-12-2023</t>
  </si>
  <si>
    <t>KHI-HO-D-FR-ND-P-20964-12-2023</t>
  </si>
  <si>
    <t>KHI-HO-D-FR-ND-P-20965-12-2023</t>
  </si>
  <si>
    <t>KHI-HO-D-FR-ND-P-20966-12-2023</t>
  </si>
  <si>
    <t>KHI-HO-D-FR-ND-P-20967-12-2023</t>
  </si>
  <si>
    <t>KHI-HO-D-FR-ND-P-20968-12-2023</t>
  </si>
  <si>
    <t>KHI-HO-D-FR-ND-P-20969-12-2023</t>
  </si>
  <si>
    <t>KHI-HO-D-FR-ND-P-20970-12-2023</t>
  </si>
  <si>
    <t>KHI-HO-D-FR-ND-P-20971-12-2023</t>
  </si>
  <si>
    <t>KHI-HO-D-FR-ND-P-20972-12-2023</t>
  </si>
  <si>
    <t>KHI-HO-D-FR-ND-P-20973-12-2023</t>
  </si>
  <si>
    <t>KHI-HO-D-FR-ND-P-20974-12-2023</t>
  </si>
  <si>
    <t>KHI-HO-D-FR-ND-P-20975-12-2023</t>
  </si>
  <si>
    <t>KHI-HO-D-FR-ND-P-20976-12-2023</t>
  </si>
  <si>
    <t>KHI-HO-D-FR-ND-P-20977-12-2023</t>
  </si>
  <si>
    <t>KHI-HO-D-FR-ND-P-20978-12-2023</t>
  </si>
  <si>
    <t>KHI-HO-D-FR-ND-P-20979-12-2023</t>
  </si>
  <si>
    <t>KHI-HO-D-FR-ND-P-20980-12-2023</t>
  </si>
  <si>
    <t>KHI-HO-D-FR-ND-P-20981-12-2023</t>
  </si>
  <si>
    <t>KHI-HO-D-FR-ND-P-20982-12-2023</t>
  </si>
  <si>
    <t>KHI-HO-D-FR-ND-P-20983-12-2023</t>
  </si>
  <si>
    <t>KHI-HO-D-FR-ND-P-20984-12-2023</t>
  </si>
  <si>
    <t>KHI-HO-D-FR-ND-P-20985-12-2023</t>
  </si>
  <si>
    <t>KHI-HO-D-FR-ND-P-20986-12-2023</t>
  </si>
  <si>
    <t>KHI-HO-D-FR-ND-P-20987-12-2023</t>
  </si>
  <si>
    <t>KHI-HO-D-FR-ND-P-20988-12-2023</t>
  </si>
  <si>
    <t>KHI-HO-D-FR-ND-P-20989-12-2023</t>
  </si>
  <si>
    <t>KHI-HO-D-FR-ND-P-20990-12-2023</t>
  </si>
  <si>
    <t>KHI-HO-D-FR-ND-P-20991-12-2023</t>
  </si>
  <si>
    <t>KHI-HO-D-FR-ND-P-20992-12-2023</t>
  </si>
  <si>
    <t>KHI-HO-D-FR-ND-P-20993-12-2023</t>
  </si>
  <si>
    <t>KHI-HO-D-FR-ND-P-20994-12-2023</t>
  </si>
  <si>
    <t>KHI-HO-D-FR-ND-P-20995-12-2023</t>
  </si>
  <si>
    <t>KHI-HO-D-FR-ND-P-20996-12-2023</t>
  </si>
  <si>
    <t>KHI-HO-D-FR-ND-P-20997-12-2023</t>
  </si>
  <si>
    <t>KHI-HO-D-FR-ND-P-20998-12-2023</t>
  </si>
  <si>
    <t>KHI-HO-D-FR-ND-P-20999-12-2023</t>
  </si>
  <si>
    <t>KHI-HO-D-FR-ND-P-21000-12-2023</t>
  </si>
  <si>
    <t>KHI-HO-D-FR-ND-P-21001-12-2023</t>
  </si>
  <si>
    <t>KHI-HO-D-FR-ND-P-21002-12-2023</t>
  </si>
  <si>
    <t>KHI-HO-D-FR-ND-P-21003-12-2023</t>
  </si>
  <si>
    <t>KHI-HO-D-FR-ND-P-21004-12-2023</t>
  </si>
  <si>
    <t>KHI-HO-D-FR-ND-P-21005-12-2023</t>
  </si>
  <si>
    <t>KHI-HO-D-FR-ND-P-21006-12-2023</t>
  </si>
  <si>
    <t>KHI-HO-D-FR-ND-P-21007-12-2023</t>
  </si>
  <si>
    <t>KHI-HO-D-FR-ND-P-21008-12-2023</t>
  </si>
  <si>
    <t>KHI-HO-D-FR-ND-P-21009-12-2023</t>
  </si>
  <si>
    <t>KHI-HO-D-FR-ND-P-21010-12-2023</t>
  </si>
  <si>
    <t>KHI-HO-D-FR-ND-P-21011-12-2023</t>
  </si>
  <si>
    <t>KHI-HO-D-FR-ND-P-21012-12-2023</t>
  </si>
  <si>
    <t>KHI-HO-D-FR-ND-P-21013-12-2023</t>
  </si>
  <si>
    <t>KHI-HO-D-FR-ND-P-21014-12-2023</t>
  </si>
  <si>
    <t>KHI-HO-D-FR-ND-P-21015-12-2023</t>
  </si>
  <si>
    <t>KHI-HO-D-FR-ND-P-21016-12-2023</t>
  </si>
  <si>
    <t>KHI-HO-D-FR-ND-P-21017-12-2023</t>
  </si>
  <si>
    <t>KHI-HO-D-FR-ND-P-21018-12-2023</t>
  </si>
  <si>
    <t>KHI-HO-D-FR-ND-P-21019-12-2023</t>
  </si>
  <si>
    <t>KHI-HO-D-FR-ND-P-21020-12-2023</t>
  </si>
  <si>
    <t>KHI-HO-D-FR-ND-P-21021-12-2023</t>
  </si>
  <si>
    <t>KHI-HO-D-FR-ND-P-21022-12-2023</t>
  </si>
  <si>
    <t>KHI-HO-D-FR-ND-P-21023-12-2023</t>
  </si>
  <si>
    <t>KHI-HO-D-FR-ND-P-21024-12-2023</t>
  </si>
  <si>
    <t>KHI-HO-D-FR-ND-P-21025-12-2023</t>
  </si>
  <si>
    <t>KHI-HO-D-FR-ND-P-21026-12-2023</t>
  </si>
  <si>
    <t>KHI-HO-D-FR-ND-P-21027-12-2023</t>
  </si>
  <si>
    <t>KHI-HO-D-FR-ND-P-21028-12-2023</t>
  </si>
  <si>
    <t>KHI-HO-D-FR-ND-P-21029-12-2023</t>
  </si>
  <si>
    <t>KHI-HO-D-FR-ND-P-21030-12-2023</t>
  </si>
  <si>
    <t>KHI-HO-D-FR-ND-P-21031-12-2023</t>
  </si>
  <si>
    <t>KHI-HO-D-FR-ND-P-21032-12-2023</t>
  </si>
  <si>
    <t>KHI-HO-D-FR-ND-P-21033-12-2023</t>
  </si>
  <si>
    <t>KHI-HO-D-FR-ND-P-21034-12-2023</t>
  </si>
  <si>
    <t>KHI-HO-D-FR-ND-P-21035-12-2023</t>
  </si>
  <si>
    <t>KHI-HO-D-FR-ND-P-21036-12-2023</t>
  </si>
  <si>
    <t>KHI-HO-D-FR-ND-P-21037-12-2023</t>
  </si>
  <si>
    <t>KHI-HO-D-FR-ND-P-21038-12-2023</t>
  </si>
  <si>
    <t>KHI-HO-D-FR-ND-P-21039-12-2023</t>
  </si>
  <si>
    <t>KHI-HO-D-FR-ND-P-21040-12-2023</t>
  </si>
  <si>
    <t>KHI-HO-D-FR-ND-P-21041-12-2023</t>
  </si>
  <si>
    <t>KHI-HO-D-FR-ND-P-21042-12-2023</t>
  </si>
  <si>
    <t>KHI-HO-D-FR-ND-P-21043-12-2023</t>
  </si>
  <si>
    <t>KHI-HO-D-FR-ND-P-21044-12-2023</t>
  </si>
  <si>
    <t>KHI-HO-D-FR-ND-P-21045-12-2023</t>
  </si>
  <si>
    <t>KHI-HO-D-FR-ND-P-21046-12-2023</t>
  </si>
  <si>
    <t>KHI-HO-D-FR-ND-P-21047-12-2023</t>
  </si>
  <si>
    <t>KHI-HO-D-FR-ND-P-21048-12-2023</t>
  </si>
  <si>
    <t>KHI-HO-D-FR-ND-P-21049-12-2023</t>
  </si>
  <si>
    <t>KHI-HO-D-FR-ND-P-21050-12-2023</t>
  </si>
  <si>
    <t>KHI-HO-D-FR-ND-P-21051-12-2023</t>
  </si>
  <si>
    <t>KHI-HO-D-FR-ND-P-21052-12-2023</t>
  </si>
  <si>
    <t>KHI-HO-D-FR-ND-P-21053-12-2023</t>
  </si>
  <si>
    <t>KHI-HO-D-FR-ND-P-21054-12-2023</t>
  </si>
  <si>
    <t>KHI-HO-D-FR-ND-P-21055-12-2023</t>
  </si>
  <si>
    <t>KHI-HO-D-FR-ND-P-21056-12-2023</t>
  </si>
  <si>
    <t>KHI-HO-D-FR-ND-P-21057-12-2023</t>
  </si>
  <si>
    <t>KHI-HO-D-FR-ND-P-21058-12-2023</t>
  </si>
  <si>
    <t>KHI-HO-D-FR-ND-P-21059-12-2023</t>
  </si>
  <si>
    <t>KHI-HO-D-FR-ND-P-21060-12-2023</t>
  </si>
  <si>
    <t>KHI-HO-D-FR-ND-P-21061-12-2023</t>
  </si>
  <si>
    <t>KHI-HO-D-FR-ND-P-21062-12-2023</t>
  </si>
  <si>
    <t>KHI-HO-D-FR-ND-P-21063-12-2023</t>
  </si>
  <si>
    <t>KHI-HO-D-FR-ND-P-21064-12-2023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</si>
</sst>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\-mmm\-yy;@"/>
    <numFmt numFmtId="165" formatCode="#,##0_);\(#,##0\)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i/>
      <sz val="9"/>
      <color theme="1"/>
      <name val="Trebuchet MS"/>
      <family val="2"/>
    </font>
    <font>
      <b/>
      <sz val="9"/>
      <color indexed="9"/>
      <name val="Trebuchet MS"/>
      <family val="2"/>
    </font>
    <font>
      <b/>
      <sz val="9"/>
      <color theme="1"/>
      <name val="Trebuchet MS"/>
      <family val="2"/>
    </font>
    <font>
      <sz val="9"/>
      <name val="Trebuchet MS"/>
      <family val="2"/>
    </font>
    <font>
      <sz val="9"/>
      <color theme="1"/>
      <name val="Trebuchet MS"/>
      <family val="2"/>
    </font>
    <font>
      <b/>
      <i/>
      <sz val="9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2"/>
      </patternFill>
    </fill>
    <fill>
      <patternFill patternType="solid">
        <fgColor indexed="6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8" fontId="1" fillId="0" borderId="0" xfId="0" applyNumberFormat="1" applyFont="1"/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38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38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8" fontId="6" fillId="0" borderId="3" xfId="0" applyNumberFormat="1" applyFont="1" applyBorder="1"/>
    <xf numFmtId="165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0" fillId="0" borderId="0" xfId="0" applyAlignment="1">
      <alignment vertical="top"/>
    </xf>
    <xf numFmtId="166" fontId="9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10" fillId="0" borderId="0" xfId="0" applyFont="1"/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SHEET5.xlsx" TargetMode="External"/><Relationship Id="rId1" Type="http://schemas.openxmlformats.org/officeDocument/2006/relationships/externalLinkPath" Target="file:///C:\Users\adil.hassan\Downloads\SHEET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KHI/HO/D/FR/ND/P/20973/12/2023</v>
          </cell>
          <cell r="C2" t="str">
            <v>040000160898</v>
          </cell>
        </row>
        <row r="3">
          <cell r="B3" t="str">
            <v>KHI/HO/D/FR/ND/P/20974/12/2023</v>
          </cell>
          <cell r="C3" t="str">
            <v>040000160899</v>
          </cell>
        </row>
        <row r="4">
          <cell r="B4" t="str">
            <v>KHI/HO/D/FR/ND/P/20976/12/2023</v>
          </cell>
          <cell r="C4" t="str">
            <v>040000160901</v>
          </cell>
        </row>
        <row r="5">
          <cell r="B5" t="str">
            <v>KHI/HO/D/FR/ND/P/20986/12/2023</v>
          </cell>
          <cell r="C5" t="str">
            <v>040000160911</v>
          </cell>
        </row>
        <row r="6">
          <cell r="B6" t="str">
            <v>KHI/HO/D/FR/ND/P/20988/12/2023</v>
          </cell>
          <cell r="C6" t="str">
            <v>040000160913</v>
          </cell>
        </row>
        <row r="7">
          <cell r="B7" t="str">
            <v>KHI/HO/D/FR/ND/P/20992/12/2023</v>
          </cell>
          <cell r="C7" t="str">
            <v>040000160917</v>
          </cell>
        </row>
        <row r="8">
          <cell r="B8" t="str">
            <v>KHI/HO/D/FR/ND/P/20996/12/2023</v>
          </cell>
          <cell r="C8" t="str">
            <v>040000160921</v>
          </cell>
        </row>
        <row r="9">
          <cell r="B9" t="str">
            <v>KHI/HO/D/FR/ND/P/21000/12/2023</v>
          </cell>
          <cell r="C9" t="str">
            <v>040000160926</v>
          </cell>
        </row>
        <row r="10">
          <cell r="B10" t="str">
            <v>KHI/HO/D/FR/ND/P/21004/12/2023</v>
          </cell>
          <cell r="C10" t="str">
            <v>040000160930</v>
          </cell>
        </row>
        <row r="11">
          <cell r="B11" t="str">
            <v>KHI/HO/D/FR/ND/P/21047/12/2023</v>
          </cell>
          <cell r="C11" t="str">
            <v>040000160975</v>
          </cell>
        </row>
        <row r="12">
          <cell r="B12" t="str">
            <v>KHI/HO/D/FR/ND/P/21048/12/2023</v>
          </cell>
          <cell r="C12" t="str">
            <v>040000160976</v>
          </cell>
        </row>
        <row r="13">
          <cell r="B13" t="str">
            <v>KHI/HO/D/FR/ND/P/21049/12/2023</v>
          </cell>
          <cell r="C13" t="str">
            <v>040000160977</v>
          </cell>
        </row>
        <row r="14">
          <cell r="B14" t="str">
            <v>KHI/HO/D/FR/ND/P/21051/12/2023</v>
          </cell>
          <cell r="C14" t="str">
            <v>040000160979</v>
          </cell>
        </row>
        <row r="15">
          <cell r="B15" t="str">
            <v>KHI/HO/D/FR/ND/P/21052/12/2023</v>
          </cell>
          <cell r="C15" t="str">
            <v>040000160980</v>
          </cell>
        </row>
        <row r="16">
          <cell r="B16" t="str">
            <v>KHI/HO/D/FR/ND/P/21053/12/2023</v>
          </cell>
          <cell r="C16" t="str">
            <v>040000160981</v>
          </cell>
        </row>
        <row r="17">
          <cell r="B17" t="str">
            <v>KHI/HO/D/FR/ND/P/20963/12/2023</v>
          </cell>
          <cell r="C17" t="str">
            <v>040000160888</v>
          </cell>
        </row>
        <row r="18">
          <cell r="B18" t="str">
            <v>KHI/HO/D/FR/ND/P/20964/12/2023</v>
          </cell>
          <cell r="C18" t="str">
            <v>040000160889</v>
          </cell>
        </row>
        <row r="19">
          <cell r="B19" t="str">
            <v>KHI/HO/D/FR/ND/P/20965/12/2023</v>
          </cell>
          <cell r="C19" t="str">
            <v>040000160890</v>
          </cell>
        </row>
        <row r="20">
          <cell r="B20" t="str">
            <v>KHI/HO/D/FR/ND/P/20966/12/2023</v>
          </cell>
          <cell r="C20" t="str">
            <v>040000160891</v>
          </cell>
        </row>
        <row r="21">
          <cell r="B21" t="str">
            <v>KHI/HO/D/FR/ND/P/20968/12/2023</v>
          </cell>
          <cell r="C21" t="str">
            <v>040000160893</v>
          </cell>
        </row>
        <row r="22">
          <cell r="B22" t="str">
            <v>KHI/HO/D/FR/ND/P/20969/12/2023</v>
          </cell>
          <cell r="C22" t="str">
            <v>040000160894</v>
          </cell>
        </row>
        <row r="23">
          <cell r="B23" t="str">
            <v>KHI/HO/D/FR/ND/P/21055/12/2023</v>
          </cell>
          <cell r="C23" t="str">
            <v>040000160983</v>
          </cell>
        </row>
        <row r="24">
          <cell r="B24" t="str">
            <v>KHI/HO/D/FR/ND/P/21058/12/2023</v>
          </cell>
          <cell r="C24" t="str">
            <v>040000160986</v>
          </cell>
        </row>
        <row r="25">
          <cell r="B25" t="str">
            <v>KHI/HO/D/FR/ND/P/20970/12/2023</v>
          </cell>
          <cell r="C25" t="str">
            <v>040000160895</v>
          </cell>
        </row>
        <row r="26">
          <cell r="B26" t="str">
            <v>KHI/HO/D/FR/ND/P/20972/12/2023</v>
          </cell>
          <cell r="C26" t="str">
            <v>040000160897</v>
          </cell>
        </row>
        <row r="27">
          <cell r="B27" t="str">
            <v>KHI/HO/D/FR/ND/P/20967/12/2023</v>
          </cell>
          <cell r="C27" t="str">
            <v>040000160892</v>
          </cell>
        </row>
        <row r="28">
          <cell r="B28" t="str">
            <v>KHI/HO/D/FR/ND/P/20971/12/2023</v>
          </cell>
          <cell r="C28" t="str">
            <v>040000160896</v>
          </cell>
        </row>
        <row r="29">
          <cell r="B29" t="str">
            <v>KHI/HO/D/FR/ND/P/20958/12/2023</v>
          </cell>
          <cell r="C29" t="str">
            <v>040000160883</v>
          </cell>
        </row>
        <row r="30">
          <cell r="B30" t="str">
            <v>KHI/HO/D/FR/ND/P/20959/12/2023</v>
          </cell>
          <cell r="C30" t="str">
            <v>040000160884</v>
          </cell>
        </row>
        <row r="31">
          <cell r="B31" t="str">
            <v>KHI/HO/D/FR/ND/P/20960/12/2023</v>
          </cell>
          <cell r="C31" t="str">
            <v>040000160885</v>
          </cell>
        </row>
        <row r="32">
          <cell r="B32" t="str">
            <v>KHI/HO/D/FR/ND/P/20979/12/2023</v>
          </cell>
          <cell r="C32" t="str">
            <v>040000160904</v>
          </cell>
        </row>
        <row r="33">
          <cell r="B33" t="str">
            <v>KHI/HO/D/FR/ND/P/20983/12/2023</v>
          </cell>
          <cell r="C33" t="str">
            <v>040000160908</v>
          </cell>
        </row>
        <row r="34">
          <cell r="B34" t="str">
            <v>KHI/HO/D/FR/ND/P/20962/12/2023</v>
          </cell>
          <cell r="C34" t="str">
            <v>040000160887</v>
          </cell>
        </row>
        <row r="35">
          <cell r="B35" t="str">
            <v>KHI/HO/D/FR/ND/P/20957/12/2023</v>
          </cell>
          <cell r="C35" t="str">
            <v>040000160882</v>
          </cell>
        </row>
        <row r="36">
          <cell r="B36" t="str">
            <v>KHI/HO/D/FR/ND/P/20961/12/2023</v>
          </cell>
          <cell r="C36" t="str">
            <v>040000160886</v>
          </cell>
        </row>
        <row r="37">
          <cell r="B37" t="str">
            <v>KHI/HO/D/FR/ND/P/20956/12/2023</v>
          </cell>
          <cell r="C37" t="str">
            <v>040000160881</v>
          </cell>
        </row>
        <row r="38">
          <cell r="B38" t="str">
            <v>KHI/HO/D/FR/ND/P/21006/12/2023</v>
          </cell>
          <cell r="C38" t="str">
            <v>040000160933</v>
          </cell>
        </row>
        <row r="39">
          <cell r="B39" t="str">
            <v>KHI/HO/D/FR/ND/P/21007/12/2023</v>
          </cell>
          <cell r="C39" t="str">
            <v>040000160934</v>
          </cell>
        </row>
        <row r="40">
          <cell r="B40" t="str">
            <v>KHI/HO/D/FR/ND/P/21010/12/2023</v>
          </cell>
          <cell r="C40" t="str">
            <v>040000160938</v>
          </cell>
        </row>
        <row r="41">
          <cell r="B41" t="str">
            <v>KHI/HO/D/FR/ND/P/21015/12/2023</v>
          </cell>
          <cell r="C41" t="str">
            <v>040000160943</v>
          </cell>
        </row>
        <row r="42">
          <cell r="B42" t="str">
            <v>KHI/HO/D/FR/ND/P/21022/12/2023</v>
          </cell>
          <cell r="C42" t="str">
            <v>040000160950</v>
          </cell>
        </row>
        <row r="43">
          <cell r="B43" t="str">
            <v>KHI/HO/D/FR/ND/P/21026/12/2023</v>
          </cell>
          <cell r="C43" t="str">
            <v>040000160954</v>
          </cell>
        </row>
        <row r="44">
          <cell r="B44" t="str">
            <v>KHI/HO/D/FR/ND/P/21036/12/2023</v>
          </cell>
          <cell r="C44" t="str">
            <v>040000160964</v>
          </cell>
        </row>
        <row r="45">
          <cell r="B45" t="str">
            <v>KHI/HO/D/FR/ND/P/21037/12/2023</v>
          </cell>
          <cell r="C45" t="str">
            <v>040000160965</v>
          </cell>
        </row>
        <row r="46">
          <cell r="B46" t="str">
            <v>KHI/HO/D/FR/ND/P/21040/12/2023</v>
          </cell>
          <cell r="C46" t="str">
            <v>040000160968</v>
          </cell>
        </row>
        <row r="47">
          <cell r="B47" t="str">
            <v>KHI/HO/D/FR/ND/P/21038/12/2023</v>
          </cell>
          <cell r="C47" t="str">
            <v>040000160966</v>
          </cell>
        </row>
        <row r="48">
          <cell r="B48" t="str">
            <v>KHI/HO/D/FR/ND/P/21041/12/2023</v>
          </cell>
          <cell r="C48" t="str">
            <v>040000160969</v>
          </cell>
        </row>
        <row r="49">
          <cell r="B49" t="str">
            <v>KHI/HO/D/FR/ND/P/21042/12/2023</v>
          </cell>
          <cell r="C49" t="str">
            <v>040000160970</v>
          </cell>
        </row>
        <row r="50">
          <cell r="B50" t="str">
            <v>KHI/HO/D/FR/ND/P/21043/12/2023</v>
          </cell>
          <cell r="C50" t="str">
            <v>040000160971</v>
          </cell>
        </row>
        <row r="51">
          <cell r="B51" t="str">
            <v>KHI/HO/D/FR/ND/P/21045/12/2023</v>
          </cell>
          <cell r="C51" t="str">
            <v>040000160973</v>
          </cell>
        </row>
        <row r="52">
          <cell r="B52" t="str">
            <v>KHI/HO/D/FR/ND/P/21059/12/2023</v>
          </cell>
          <cell r="C52" t="str">
            <v>040000160987</v>
          </cell>
        </row>
        <row r="53">
          <cell r="B53" t="str">
            <v>KHI/HO/D/FR/ND/P/21060/12/2023</v>
          </cell>
          <cell r="C53" t="str">
            <v>040000160988</v>
          </cell>
        </row>
        <row r="54">
          <cell r="B54" t="str">
            <v>KHI/HO/D/FR/ND/P/21062/12/2023</v>
          </cell>
          <cell r="C54" t="str">
            <v>040000160990</v>
          </cell>
        </row>
        <row r="55">
          <cell r="B55" t="str">
            <v>KHI/HO/D/FR/ND/P/21063/12/2023</v>
          </cell>
          <cell r="C55" t="str">
            <v>040000160991</v>
          </cell>
        </row>
        <row r="56">
          <cell r="B56" t="str">
            <v>KHI/HO/D/FR/ND/P/21008/12/2023</v>
          </cell>
          <cell r="C56" t="str">
            <v>040000160935</v>
          </cell>
        </row>
        <row r="57">
          <cell r="B57" t="str">
            <v>KHI/HO/D/FR/ND/P/21009/12/2023</v>
          </cell>
          <cell r="C57" t="str">
            <v>040000160937</v>
          </cell>
        </row>
        <row r="58">
          <cell r="B58" t="str">
            <v>KHI/HO/D/FR/ND/P/21011/12/2023</v>
          </cell>
          <cell r="C58" t="str">
            <v>040000160939</v>
          </cell>
        </row>
        <row r="59">
          <cell r="B59" t="str">
            <v>KHI/HO/D/FR/ND/P/21012/12/2023</v>
          </cell>
          <cell r="C59" t="str">
            <v>040000160940</v>
          </cell>
        </row>
        <row r="60">
          <cell r="B60" t="str">
            <v>KHI/HO/D/FR/ND/P/21044/12/2023</v>
          </cell>
          <cell r="C60" t="str">
            <v>040000160972</v>
          </cell>
        </row>
        <row r="61">
          <cell r="B61" t="str">
            <v>KHI/HO/D/FR/ND/P/21019/12/2023</v>
          </cell>
          <cell r="C61" t="str">
            <v>040000160947</v>
          </cell>
        </row>
        <row r="62">
          <cell r="B62" t="str">
            <v>KHI/HO/D/FR/ND/P/21013/12/2023</v>
          </cell>
          <cell r="C62" t="str">
            <v>040000160941</v>
          </cell>
        </row>
        <row r="63">
          <cell r="B63" t="str">
            <v>KHI/HO/D/FR/ND/P/21014/12/2023</v>
          </cell>
          <cell r="C63" t="str">
            <v>040000160942</v>
          </cell>
        </row>
        <row r="64">
          <cell r="B64" t="str">
            <v>KHI/HO/D/FR/ND/P/21016/12/2023</v>
          </cell>
          <cell r="C64" t="str">
            <v>040000160944</v>
          </cell>
        </row>
        <row r="65">
          <cell r="B65" t="str">
            <v>KHI/HO/D/FR/ND/P/21017/12/2023</v>
          </cell>
          <cell r="C65" t="str">
            <v>040000160945</v>
          </cell>
        </row>
        <row r="66">
          <cell r="B66" t="str">
            <v>KHI/HO/D/FR/ND/P/21018/12/2023</v>
          </cell>
          <cell r="C66" t="str">
            <v>040000160946</v>
          </cell>
        </row>
        <row r="67">
          <cell r="B67" t="str">
            <v>KHI/HO/D/FR/ND/P/21020/12/2023</v>
          </cell>
          <cell r="C67" t="str">
            <v>040000160948</v>
          </cell>
        </row>
        <row r="68">
          <cell r="B68" t="str">
            <v>KHI/HO/D/FR/ND/P/21021/12/2023</v>
          </cell>
          <cell r="C68" t="str">
            <v>040000160949</v>
          </cell>
        </row>
        <row r="69">
          <cell r="B69" t="str">
            <v>KHI/HO/D/FR/ND/P/21023/12/2023</v>
          </cell>
          <cell r="C69" t="str">
            <v>040000160951</v>
          </cell>
        </row>
        <row r="70">
          <cell r="B70" t="str">
            <v>KHI/HO/D/FR/ND/P/21024/12/2023</v>
          </cell>
          <cell r="C70" t="str">
            <v>040000160952</v>
          </cell>
        </row>
        <row r="71">
          <cell r="B71" t="str">
            <v>KHI/HO/D/FR/ND/P/21056/12/2023</v>
          </cell>
          <cell r="C71" t="str">
            <v>040000160984</v>
          </cell>
        </row>
        <row r="72">
          <cell r="B72" t="str">
            <v>KHI/HO/D/FR/ND/P/21027/12/2023</v>
          </cell>
          <cell r="C72" t="str">
            <v>040000160955</v>
          </cell>
        </row>
        <row r="73">
          <cell r="B73" t="str">
            <v>KHI/HO/D/FR/ND/P/21028/12/2023</v>
          </cell>
          <cell r="C73" t="str">
            <v>040000160956</v>
          </cell>
        </row>
        <row r="74">
          <cell r="B74" t="str">
            <v>KHI/HO/D/FR/ND/P/21031/12/2023</v>
          </cell>
          <cell r="C74" t="str">
            <v>040000160959</v>
          </cell>
        </row>
        <row r="75">
          <cell r="B75" t="str">
            <v>KHI/HO/D/FR/ND/P/21057/12/2023</v>
          </cell>
          <cell r="C75" t="str">
            <v>040000160985</v>
          </cell>
        </row>
        <row r="76">
          <cell r="B76" t="str">
            <v>KHI/HO/D/FR/ND/P/21061/12/2023</v>
          </cell>
          <cell r="C76" t="str">
            <v>040000160989</v>
          </cell>
        </row>
        <row r="77">
          <cell r="B77" t="str">
            <v>KHI/HO/D/FR/ND/P/21064/12/2023</v>
          </cell>
          <cell r="C77" t="str">
            <v>040000160992</v>
          </cell>
        </row>
        <row r="78">
          <cell r="B78" t="str">
            <v>KHI/HO/D/FR/ND/P/21035/12/2023</v>
          </cell>
          <cell r="C78" t="str">
            <v>040000160963</v>
          </cell>
        </row>
        <row r="79">
          <cell r="B79" t="str">
            <v>KHI/HO/D/FR/ND/P/21039/12/2023</v>
          </cell>
          <cell r="C79" t="str">
            <v>040000160967</v>
          </cell>
        </row>
        <row r="80">
          <cell r="B80" t="str">
            <v>KHI/HO/D/FR/ND/P/21046/12/2023</v>
          </cell>
          <cell r="C80" t="str">
            <v>040000160974</v>
          </cell>
        </row>
        <row r="81">
          <cell r="B81" t="str">
            <v>KHI/HO/D/FR/ND/P/21050/12/2023</v>
          </cell>
          <cell r="C81" t="str">
            <v>040000160978</v>
          </cell>
        </row>
        <row r="82">
          <cell r="B82" t="str">
            <v>KHI/HO/D/FR/ND/P/21054/12/2023</v>
          </cell>
          <cell r="C82" t="str">
            <v>040000160982</v>
          </cell>
        </row>
        <row r="83">
          <cell r="B83" t="str">
            <v>KHI/HO/D/FR/ND/P/21025/12/2023</v>
          </cell>
          <cell r="C83" t="str">
            <v>040000160953</v>
          </cell>
        </row>
        <row r="84">
          <cell r="B84" t="str">
            <v>KHI/HO/D/FR/ND/P/21029/12/2023</v>
          </cell>
          <cell r="C84" t="str">
            <v>040000160957</v>
          </cell>
        </row>
        <row r="85">
          <cell r="B85" t="str">
            <v>KHI/HO/D/FR/ND/P/21030/12/2023</v>
          </cell>
          <cell r="C85" t="str">
            <v>040000160958</v>
          </cell>
        </row>
        <row r="86">
          <cell r="B86" t="str">
            <v>KHI/HO/D/FR/ND/P/21032/12/2023</v>
          </cell>
          <cell r="C86" t="str">
            <v>040000160960</v>
          </cell>
        </row>
        <row r="87">
          <cell r="B87" t="str">
            <v>KHI/HO/D/FR/ND/P/21033/12/2023</v>
          </cell>
          <cell r="C87" t="str">
            <v>040000160961</v>
          </cell>
        </row>
        <row r="88">
          <cell r="B88" t="str">
            <v>KHI/HO/D/FR/ND/P/21034/12/2023</v>
          </cell>
          <cell r="C88" t="str">
            <v>040000160962</v>
          </cell>
        </row>
        <row r="89">
          <cell r="B89" t="str">
            <v>KHI/HO/D/FR/ND/P/20977/12/2023</v>
          </cell>
          <cell r="C89" t="str">
            <v>040000160902</v>
          </cell>
        </row>
        <row r="90">
          <cell r="B90" t="str">
            <v>KHI/HO/D/FR/ND/P/20978/12/2023</v>
          </cell>
          <cell r="C90" t="str">
            <v>040000160903</v>
          </cell>
        </row>
        <row r="91">
          <cell r="B91" t="str">
            <v>KHI/HO/D/FR/ND/P/20980/12/2023</v>
          </cell>
          <cell r="C91" t="str">
            <v>040000160905</v>
          </cell>
        </row>
        <row r="92">
          <cell r="B92" t="str">
            <v>KHI/HO/D/FR/ND/P/20981/12/2023</v>
          </cell>
          <cell r="C92" t="str">
            <v>040000160906</v>
          </cell>
        </row>
        <row r="93">
          <cell r="B93" t="str">
            <v>KHI/HO/D/FR/ND/P/20982/12/2023</v>
          </cell>
          <cell r="C93" t="str">
            <v>040000160907</v>
          </cell>
        </row>
        <row r="94">
          <cell r="B94" t="str">
            <v>KHI/HO/D/FR/ND/P/20984/12/2023</v>
          </cell>
          <cell r="C94" t="str">
            <v>040000160909</v>
          </cell>
        </row>
        <row r="95">
          <cell r="B95" t="str">
            <v>KHI/HO/D/FR/ND/P/20995/12/2023</v>
          </cell>
          <cell r="C95" t="str">
            <v>040000160920</v>
          </cell>
        </row>
        <row r="96">
          <cell r="B96" t="str">
            <v>KHI/HO/D/FR/ND/P/20997/12/2023</v>
          </cell>
          <cell r="C96" t="str">
            <v>040000160922</v>
          </cell>
        </row>
        <row r="97">
          <cell r="B97" t="str">
            <v>KHI/HO/D/FR/ND/P/20998/12/2023</v>
          </cell>
          <cell r="C97" t="str">
            <v>040000160923</v>
          </cell>
        </row>
        <row r="98">
          <cell r="B98" t="str">
            <v>KHI/HO/D/FR/ND/P/20999/12/2023</v>
          </cell>
          <cell r="C98" t="str">
            <v>040000160925</v>
          </cell>
        </row>
        <row r="99">
          <cell r="B99" t="str">
            <v>KHI/HO/D/FR/ND/P/21001/12/2023</v>
          </cell>
          <cell r="C99" t="str">
            <v>040000160927</v>
          </cell>
        </row>
        <row r="100">
          <cell r="B100" t="str">
            <v>KHI/HO/D/FR/ND/P/21002/12/2023</v>
          </cell>
          <cell r="C100" t="str">
            <v>040000160928</v>
          </cell>
        </row>
        <row r="101">
          <cell r="B101" t="str">
            <v>KHI/HO/D/FR/ND/P/21003/12/2023</v>
          </cell>
          <cell r="C101" t="str">
            <v>040000160929</v>
          </cell>
        </row>
        <row r="102">
          <cell r="B102" t="str">
            <v>KHI/HO/D/FR/ND/P/21005/12/2023</v>
          </cell>
          <cell r="C102" t="str">
            <v>040000160931</v>
          </cell>
        </row>
        <row r="103">
          <cell r="B103" t="str">
            <v>KHI/HO/D/FR/ND/P/20985/12/2023</v>
          </cell>
          <cell r="C103" t="str">
            <v>040000160910</v>
          </cell>
        </row>
        <row r="104">
          <cell r="B104" t="str">
            <v>KHI/HO/D/FR/ND/P/20987/12/2023</v>
          </cell>
          <cell r="C104" t="str">
            <v>040000160912</v>
          </cell>
        </row>
        <row r="105">
          <cell r="B105" t="str">
            <v>KHI/HO/D/FR/ND/P/20989/12/2023</v>
          </cell>
          <cell r="C105" t="str">
            <v>040000160914</v>
          </cell>
        </row>
        <row r="106">
          <cell r="B106" t="str">
            <v>KHI/HO/D/FR/ND/P/20990/12/2023</v>
          </cell>
          <cell r="C106" t="str">
            <v>040000160915</v>
          </cell>
        </row>
        <row r="107">
          <cell r="B107" t="str">
            <v>KHI/HO/D/FR/ND/P/20991/12/2023</v>
          </cell>
          <cell r="C107" t="str">
            <v>040000160916</v>
          </cell>
        </row>
        <row r="108">
          <cell r="B108" t="str">
            <v>KHI/HO/D/FR/ND/P/20993/12/2023</v>
          </cell>
          <cell r="C108" t="str">
            <v>040000160918</v>
          </cell>
        </row>
        <row r="109">
          <cell r="B109" t="str">
            <v>KHI/HO/D/FR/ND/P/20994/12/2023</v>
          </cell>
          <cell r="C109" t="str">
            <v>040000160919</v>
          </cell>
        </row>
        <row r="110">
          <cell r="B110" t="str">
            <v>KHI/HO/D/FR/ND/P/20975/12/2023</v>
          </cell>
          <cell r="C110" t="str">
            <v>040000160900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opLeftCell="I74" workbookViewId="0">
      <selection activeCell="L2" sqref="L2:L110"/>
    </sheetView>
  </sheetViews>
  <sheetFormatPr defaultRowHeight="12.75" customHeight="1" x14ac:dyDescent="0.35"/>
  <cols>
    <col min="1" max="1" width="5.140625" style="1" bestFit="1" customWidth="1"/>
    <col min="2" max="2" width="18.28515625" style="2" bestFit="1" customWidth="1"/>
    <col min="3" max="3" width="16.42578125" style="1" bestFit="1" customWidth="1"/>
    <col min="4" max="4" width="16.42578125" style="1" customWidth="1"/>
    <col min="5" max="5" width="37.7109375" style="1" bestFit="1" customWidth="1"/>
    <col min="6" max="6" width="13.28515625" style="2" bestFit="1" customWidth="1"/>
    <col min="7" max="7" width="13.42578125" style="2" bestFit="1" customWidth="1"/>
    <col min="8" max="8" width="145.28515625" style="1" bestFit="1" customWidth="1"/>
    <col min="9" max="9" width="14" style="3" bestFit="1" customWidth="1"/>
    <col min="10" max="10" width="12.42578125" style="1" bestFit="1" customWidth="1"/>
    <col min="11" max="11" width="8.7109375" style="1" bestFit="1" customWidth="1"/>
    <col min="12" max="12" width="28.85546875" style="1" bestFit="1" customWidth="1"/>
    <col min="13" max="16384" width="9.140625" style="1"/>
  </cols>
  <sheetData>
    <row r="1" spans="1:12" s="4" customFormat="1" ht="12.75" customHeight="1" x14ac:dyDescent="0.35">
      <c r="A1" s="5" t="s">
        <v>0</v>
      </c>
      <c r="B1" s="5" t="s">
        <v>8</v>
      </c>
      <c r="C1" s="5" t="s">
        <v>1</v>
      </c>
      <c r="D1" s="5" t="s">
        <v>10</v>
      </c>
      <c r="E1" s="5" t="s">
        <v>2</v>
      </c>
      <c r="F1" s="5" t="s">
        <v>3</v>
      </c>
      <c r="G1" s="5" t="s">
        <v>4</v>
      </c>
      <c r="H1" s="5" t="s">
        <v>6</v>
      </c>
      <c r="I1" s="6" t="s">
        <v>7</v>
      </c>
      <c r="J1" s="7" t="s">
        <v>5</v>
      </c>
      <c r="K1" s="7" t="s">
        <v>534</v>
      </c>
      <c r="L1" s="7" t="s">
        <v>535</v>
      </c>
    </row>
    <row r="2" spans="1:12" ht="12.75" customHeight="1" x14ac:dyDescent="0.35">
      <c r="A2" s="12">
        <v>1</v>
      </c>
      <c r="B2" s="11"/>
      <c r="C2" s="10" t="s">
        <v>22</v>
      </c>
      <c r="D2" s="8" t="s">
        <v>20</v>
      </c>
      <c r="E2" s="9" t="s">
        <v>23</v>
      </c>
      <c r="F2" s="9" t="s">
        <v>12</v>
      </c>
      <c r="G2" s="10" t="s">
        <v>24</v>
      </c>
      <c r="H2" s="13" t="s">
        <v>25</v>
      </c>
      <c r="I2" s="14">
        <v>166465</v>
      </c>
      <c r="J2" s="15">
        <v>45261</v>
      </c>
      <c r="K2" s="17">
        <v>200</v>
      </c>
      <c r="L2" s="18" t="s">
        <v>536</v>
      </c>
    </row>
    <row r="3" spans="1:12" ht="12.75" customHeight="1" x14ac:dyDescent="0.35">
      <c r="A3" s="12">
        <f>+A2+1</f>
        <v>2</v>
      </c>
      <c r="B3" s="11"/>
      <c r="C3" s="10" t="s">
        <v>26</v>
      </c>
      <c r="D3" s="8" t="s">
        <v>20</v>
      </c>
      <c r="E3" s="9" t="s">
        <v>27</v>
      </c>
      <c r="F3" s="9" t="s">
        <v>11</v>
      </c>
      <c r="G3" s="10" t="s">
        <v>28</v>
      </c>
      <c r="H3" s="13" t="s">
        <v>29</v>
      </c>
      <c r="I3" s="14">
        <v>374408</v>
      </c>
      <c r="J3" s="15">
        <v>45261</v>
      </c>
      <c r="K3" s="17">
        <v>200</v>
      </c>
      <c r="L3" s="18" t="s">
        <v>537</v>
      </c>
    </row>
    <row r="4" spans="1:12" ht="12.75" customHeight="1" x14ac:dyDescent="0.35">
      <c r="A4" s="12">
        <f t="shared" ref="A4:A67" si="0">+A3+1</f>
        <v>3</v>
      </c>
      <c r="B4" s="11"/>
      <c r="C4" s="10" t="s">
        <v>30</v>
      </c>
      <c r="D4" s="8" t="s">
        <v>20</v>
      </c>
      <c r="E4" s="9" t="s">
        <v>31</v>
      </c>
      <c r="F4" s="9" t="s">
        <v>12</v>
      </c>
      <c r="G4" s="10" t="s">
        <v>32</v>
      </c>
      <c r="H4" s="13" t="s">
        <v>33</v>
      </c>
      <c r="I4" s="14">
        <v>47699</v>
      </c>
      <c r="J4" s="15">
        <v>45261</v>
      </c>
      <c r="K4" s="17">
        <v>200</v>
      </c>
      <c r="L4" s="18" t="s">
        <v>538</v>
      </c>
    </row>
    <row r="5" spans="1:12" ht="12.75" customHeight="1" x14ac:dyDescent="0.35">
      <c r="A5" s="12">
        <f t="shared" si="0"/>
        <v>4</v>
      </c>
      <c r="B5" s="11"/>
      <c r="C5" s="10" t="s">
        <v>34</v>
      </c>
      <c r="D5" s="8" t="s">
        <v>20</v>
      </c>
      <c r="E5" s="9" t="s">
        <v>35</v>
      </c>
      <c r="F5" s="9" t="s">
        <v>15</v>
      </c>
      <c r="G5" s="10" t="s">
        <v>36</v>
      </c>
      <c r="H5" s="13" t="s">
        <v>37</v>
      </c>
      <c r="I5" s="14">
        <v>446003</v>
      </c>
      <c r="J5" s="15">
        <v>45261</v>
      </c>
      <c r="K5" s="17">
        <v>200</v>
      </c>
      <c r="L5" s="18" t="s">
        <v>539</v>
      </c>
    </row>
    <row r="6" spans="1:12" ht="12.75" customHeight="1" x14ac:dyDescent="0.35">
      <c r="A6" s="12">
        <f t="shared" si="0"/>
        <v>5</v>
      </c>
      <c r="B6" s="11"/>
      <c r="C6" s="10" t="s">
        <v>38</v>
      </c>
      <c r="D6" s="8" t="s">
        <v>20</v>
      </c>
      <c r="E6" s="9" t="s">
        <v>39</v>
      </c>
      <c r="F6" s="9" t="s">
        <v>12</v>
      </c>
      <c r="G6" s="10" t="s">
        <v>40</v>
      </c>
      <c r="H6" s="13" t="s">
        <v>41</v>
      </c>
      <c r="I6" s="14">
        <v>728519</v>
      </c>
      <c r="J6" s="15">
        <v>45261</v>
      </c>
      <c r="K6" s="17">
        <v>200</v>
      </c>
      <c r="L6" s="18" t="s">
        <v>540</v>
      </c>
    </row>
    <row r="7" spans="1:12" ht="12.75" customHeight="1" x14ac:dyDescent="0.35">
      <c r="A7" s="12">
        <f t="shared" si="0"/>
        <v>6</v>
      </c>
      <c r="B7" s="11"/>
      <c r="C7" s="10" t="s">
        <v>50</v>
      </c>
      <c r="D7" s="8" t="s">
        <v>20</v>
      </c>
      <c r="E7" s="9" t="s">
        <v>51</v>
      </c>
      <c r="F7" s="9" t="s">
        <v>15</v>
      </c>
      <c r="G7" s="10" t="s">
        <v>52</v>
      </c>
      <c r="H7" s="13" t="s">
        <v>53</v>
      </c>
      <c r="I7" s="14">
        <v>73194</v>
      </c>
      <c r="J7" s="15">
        <v>45261</v>
      </c>
      <c r="K7" s="17">
        <v>200</v>
      </c>
      <c r="L7" s="18" t="s">
        <v>541</v>
      </c>
    </row>
    <row r="8" spans="1:12" ht="12.75" customHeight="1" x14ac:dyDescent="0.35">
      <c r="A8" s="12">
        <f t="shared" si="0"/>
        <v>7</v>
      </c>
      <c r="B8" s="11"/>
      <c r="C8" s="10" t="s">
        <v>58</v>
      </c>
      <c r="D8" s="8" t="s">
        <v>20</v>
      </c>
      <c r="E8" s="9" t="s">
        <v>59</v>
      </c>
      <c r="F8" s="9" t="s">
        <v>16</v>
      </c>
      <c r="G8" s="10" t="s">
        <v>60</v>
      </c>
      <c r="H8" s="13" t="s">
        <v>61</v>
      </c>
      <c r="I8" s="14">
        <v>1890011</v>
      </c>
      <c r="J8" s="15">
        <v>45261</v>
      </c>
      <c r="K8" s="17">
        <v>284</v>
      </c>
      <c r="L8" s="18" t="s">
        <v>542</v>
      </c>
    </row>
    <row r="9" spans="1:12" ht="12.75" customHeight="1" x14ac:dyDescent="0.35">
      <c r="A9" s="12">
        <f t="shared" si="0"/>
        <v>8</v>
      </c>
      <c r="B9" s="11"/>
      <c r="C9" s="10" t="s">
        <v>66</v>
      </c>
      <c r="D9" s="8" t="s">
        <v>20</v>
      </c>
      <c r="E9" s="9" t="s">
        <v>67</v>
      </c>
      <c r="F9" s="9" t="s">
        <v>14</v>
      </c>
      <c r="G9" s="10" t="s">
        <v>68</v>
      </c>
      <c r="H9" s="13" t="s">
        <v>69</v>
      </c>
      <c r="I9" s="14">
        <v>1471776</v>
      </c>
      <c r="J9" s="15">
        <v>45261</v>
      </c>
      <c r="K9" s="17">
        <v>221</v>
      </c>
      <c r="L9" s="18" t="s">
        <v>543</v>
      </c>
    </row>
    <row r="10" spans="1:12" ht="12.75" customHeight="1" x14ac:dyDescent="0.35">
      <c r="A10" s="12">
        <f t="shared" si="0"/>
        <v>9</v>
      </c>
      <c r="B10" s="11"/>
      <c r="C10" s="10" t="s">
        <v>70</v>
      </c>
      <c r="D10" s="8" t="s">
        <v>20</v>
      </c>
      <c r="E10" s="9" t="s">
        <v>71</v>
      </c>
      <c r="F10" s="9" t="s">
        <v>15</v>
      </c>
      <c r="G10" s="10" t="s">
        <v>72</v>
      </c>
      <c r="H10" s="13" t="s">
        <v>73</v>
      </c>
      <c r="I10" s="14">
        <v>1223071</v>
      </c>
      <c r="J10" s="15">
        <v>45261</v>
      </c>
      <c r="K10" s="17">
        <v>200</v>
      </c>
      <c r="L10" s="18" t="s">
        <v>544</v>
      </c>
    </row>
    <row r="11" spans="1:12" ht="12.75" customHeight="1" x14ac:dyDescent="0.35">
      <c r="A11" s="12">
        <f t="shared" si="0"/>
        <v>10</v>
      </c>
      <c r="B11" s="11"/>
      <c r="C11" s="10" t="s">
        <v>74</v>
      </c>
      <c r="D11" s="8" t="s">
        <v>20</v>
      </c>
      <c r="E11" s="9" t="s">
        <v>75</v>
      </c>
      <c r="F11" s="9" t="s">
        <v>14</v>
      </c>
      <c r="G11" s="10" t="s">
        <v>76</v>
      </c>
      <c r="H11" s="13" t="s">
        <v>77</v>
      </c>
      <c r="I11" s="14">
        <v>2837384</v>
      </c>
      <c r="J11" s="15">
        <v>45261</v>
      </c>
      <c r="K11" s="17">
        <v>426</v>
      </c>
      <c r="L11" s="18" t="s">
        <v>545</v>
      </c>
    </row>
    <row r="12" spans="1:12" ht="12.75" customHeight="1" x14ac:dyDescent="0.35">
      <c r="A12" s="12">
        <f t="shared" si="0"/>
        <v>11</v>
      </c>
      <c r="B12" s="11"/>
      <c r="C12" s="10" t="s">
        <v>78</v>
      </c>
      <c r="D12" s="8" t="s">
        <v>20</v>
      </c>
      <c r="E12" s="9" t="s">
        <v>79</v>
      </c>
      <c r="F12" s="9" t="s">
        <v>12</v>
      </c>
      <c r="G12" s="10" t="s">
        <v>80</v>
      </c>
      <c r="H12" s="13" t="s">
        <v>81</v>
      </c>
      <c r="I12" s="14">
        <v>1917848</v>
      </c>
      <c r="J12" s="15">
        <v>45261</v>
      </c>
      <c r="K12" s="17">
        <v>288</v>
      </c>
      <c r="L12" s="18" t="s">
        <v>546</v>
      </c>
    </row>
    <row r="13" spans="1:12" ht="12.75" customHeight="1" x14ac:dyDescent="0.35">
      <c r="A13" s="12">
        <f t="shared" si="0"/>
        <v>12</v>
      </c>
      <c r="B13" s="11"/>
      <c r="C13" s="10" t="s">
        <v>82</v>
      </c>
      <c r="D13" s="8" t="s">
        <v>20</v>
      </c>
      <c r="E13" s="9" t="s">
        <v>83</v>
      </c>
      <c r="F13" s="9" t="s">
        <v>16</v>
      </c>
      <c r="G13" s="10" t="s">
        <v>84</v>
      </c>
      <c r="H13" s="13" t="s">
        <v>85</v>
      </c>
      <c r="I13" s="14">
        <v>2277533</v>
      </c>
      <c r="J13" s="15">
        <v>45261</v>
      </c>
      <c r="K13" s="17">
        <v>342</v>
      </c>
      <c r="L13" s="18" t="s">
        <v>547</v>
      </c>
    </row>
    <row r="14" spans="1:12" ht="12.75" customHeight="1" x14ac:dyDescent="0.35">
      <c r="A14" s="12">
        <f t="shared" si="0"/>
        <v>13</v>
      </c>
      <c r="B14" s="11"/>
      <c r="C14" s="10" t="s">
        <v>86</v>
      </c>
      <c r="D14" s="8" t="s">
        <v>20</v>
      </c>
      <c r="E14" s="9" t="s">
        <v>87</v>
      </c>
      <c r="F14" s="9" t="s">
        <v>14</v>
      </c>
      <c r="G14" s="10" t="s">
        <v>88</v>
      </c>
      <c r="H14" s="13" t="s">
        <v>89</v>
      </c>
      <c r="I14" s="14">
        <v>2322396</v>
      </c>
      <c r="J14" s="15">
        <v>45261</v>
      </c>
      <c r="K14" s="17">
        <v>348</v>
      </c>
      <c r="L14" s="18" t="s">
        <v>548</v>
      </c>
    </row>
    <row r="15" spans="1:12" ht="12.75" customHeight="1" x14ac:dyDescent="0.35">
      <c r="A15" s="12">
        <f t="shared" si="0"/>
        <v>14</v>
      </c>
      <c r="B15" s="11" t="s">
        <v>90</v>
      </c>
      <c r="C15" s="10" t="s">
        <v>91</v>
      </c>
      <c r="D15" s="8" t="s">
        <v>20</v>
      </c>
      <c r="E15" s="9" t="s">
        <v>19</v>
      </c>
      <c r="F15" s="9" t="s">
        <v>12</v>
      </c>
      <c r="G15" s="10" t="s">
        <v>92</v>
      </c>
      <c r="H15" s="13" t="s">
        <v>93</v>
      </c>
      <c r="I15" s="14">
        <v>2255721</v>
      </c>
      <c r="J15" s="15">
        <v>45261</v>
      </c>
      <c r="K15" s="17">
        <v>338</v>
      </c>
      <c r="L15" s="18" t="s">
        <v>549</v>
      </c>
    </row>
    <row r="16" spans="1:12" ht="12.75" customHeight="1" x14ac:dyDescent="0.35">
      <c r="A16" s="12">
        <f t="shared" si="0"/>
        <v>15</v>
      </c>
      <c r="B16" s="11"/>
      <c r="C16" s="10" t="s">
        <v>94</v>
      </c>
      <c r="D16" s="8" t="s">
        <v>20</v>
      </c>
      <c r="E16" s="9" t="s">
        <v>95</v>
      </c>
      <c r="F16" s="9" t="s">
        <v>16</v>
      </c>
      <c r="G16" s="10" t="s">
        <v>96</v>
      </c>
      <c r="H16" s="13" t="s">
        <v>97</v>
      </c>
      <c r="I16" s="14">
        <v>3663062</v>
      </c>
      <c r="J16" s="15">
        <v>45261</v>
      </c>
      <c r="K16" s="17">
        <v>549</v>
      </c>
      <c r="L16" s="18" t="s">
        <v>550</v>
      </c>
    </row>
    <row r="17" spans="1:12" ht="12.75" customHeight="1" x14ac:dyDescent="0.35">
      <c r="A17" s="12">
        <f t="shared" si="0"/>
        <v>16</v>
      </c>
      <c r="B17" s="11"/>
      <c r="C17" s="10" t="s">
        <v>98</v>
      </c>
      <c r="D17" s="8" t="s">
        <v>20</v>
      </c>
      <c r="E17" s="9" t="s">
        <v>99</v>
      </c>
      <c r="F17" s="9" t="s">
        <v>12</v>
      </c>
      <c r="G17" s="10" t="s">
        <v>100</v>
      </c>
      <c r="H17" s="13" t="s">
        <v>101</v>
      </c>
      <c r="I17" s="14">
        <v>3943138</v>
      </c>
      <c r="J17" s="15">
        <v>45261</v>
      </c>
      <c r="K17" s="17">
        <v>591</v>
      </c>
      <c r="L17" s="18" t="s">
        <v>551</v>
      </c>
    </row>
    <row r="18" spans="1:12" ht="12.75" customHeight="1" x14ac:dyDescent="0.35">
      <c r="A18" s="12">
        <f t="shared" si="0"/>
        <v>17</v>
      </c>
      <c r="B18" s="11"/>
      <c r="C18" s="10" t="s">
        <v>102</v>
      </c>
      <c r="D18" s="8" t="s">
        <v>20</v>
      </c>
      <c r="E18" s="9" t="s">
        <v>103</v>
      </c>
      <c r="F18" s="9" t="s">
        <v>12</v>
      </c>
      <c r="G18" s="10" t="s">
        <v>104</v>
      </c>
      <c r="H18" s="13" t="s">
        <v>105</v>
      </c>
      <c r="I18" s="14">
        <v>3257546</v>
      </c>
      <c r="J18" s="15">
        <v>45261</v>
      </c>
      <c r="K18" s="17">
        <v>489</v>
      </c>
      <c r="L18" s="18" t="s">
        <v>552</v>
      </c>
    </row>
    <row r="19" spans="1:12" ht="12.75" customHeight="1" x14ac:dyDescent="0.35">
      <c r="A19" s="12">
        <f t="shared" si="0"/>
        <v>18</v>
      </c>
      <c r="B19" s="11" t="s">
        <v>106</v>
      </c>
      <c r="C19" s="10" t="s">
        <v>107</v>
      </c>
      <c r="D19" s="8" t="s">
        <v>20</v>
      </c>
      <c r="E19" s="9" t="s">
        <v>108</v>
      </c>
      <c r="F19" s="9" t="s">
        <v>12</v>
      </c>
      <c r="G19" s="10" t="s">
        <v>109</v>
      </c>
      <c r="H19" s="13" t="s">
        <v>110</v>
      </c>
      <c r="I19" s="14">
        <v>209395</v>
      </c>
      <c r="J19" s="15">
        <v>45261</v>
      </c>
      <c r="K19" s="17">
        <v>200</v>
      </c>
      <c r="L19" s="18" t="s">
        <v>553</v>
      </c>
    </row>
    <row r="20" spans="1:12" ht="12.75" customHeight="1" x14ac:dyDescent="0.35">
      <c r="A20" s="12">
        <f t="shared" si="0"/>
        <v>19</v>
      </c>
      <c r="B20" s="11"/>
      <c r="C20" s="10" t="s">
        <v>111</v>
      </c>
      <c r="D20" s="8" t="s">
        <v>20</v>
      </c>
      <c r="E20" s="9" t="s">
        <v>112</v>
      </c>
      <c r="F20" s="9" t="s">
        <v>11</v>
      </c>
      <c r="G20" s="10" t="s">
        <v>113</v>
      </c>
      <c r="H20" s="13" t="s">
        <v>114</v>
      </c>
      <c r="I20" s="14">
        <v>4120869</v>
      </c>
      <c r="J20" s="15">
        <v>45261</v>
      </c>
      <c r="K20" s="17">
        <v>618</v>
      </c>
      <c r="L20" s="18" t="s">
        <v>554</v>
      </c>
    </row>
    <row r="21" spans="1:12" ht="12.75" customHeight="1" x14ac:dyDescent="0.35">
      <c r="A21" s="12">
        <f t="shared" si="0"/>
        <v>20</v>
      </c>
      <c r="B21" s="11"/>
      <c r="C21" s="10" t="s">
        <v>115</v>
      </c>
      <c r="D21" s="8" t="s">
        <v>20</v>
      </c>
      <c r="E21" s="9" t="s">
        <v>116</v>
      </c>
      <c r="F21" s="9" t="s">
        <v>11</v>
      </c>
      <c r="G21" s="10" t="s">
        <v>117</v>
      </c>
      <c r="H21" s="13" t="s">
        <v>118</v>
      </c>
      <c r="I21" s="14">
        <v>3370826</v>
      </c>
      <c r="J21" s="15">
        <v>45261</v>
      </c>
      <c r="K21" s="17">
        <v>506</v>
      </c>
      <c r="L21" s="18" t="s">
        <v>555</v>
      </c>
    </row>
    <row r="22" spans="1:12" ht="12.75" customHeight="1" x14ac:dyDescent="0.35">
      <c r="A22" s="12">
        <f t="shared" si="0"/>
        <v>21</v>
      </c>
      <c r="B22" s="11"/>
      <c r="C22" s="10" t="s">
        <v>119</v>
      </c>
      <c r="D22" s="8" t="s">
        <v>20</v>
      </c>
      <c r="E22" s="9" t="s">
        <v>120</v>
      </c>
      <c r="F22" s="9" t="s">
        <v>11</v>
      </c>
      <c r="G22" s="10" t="s">
        <v>121</v>
      </c>
      <c r="H22" s="13" t="s">
        <v>122</v>
      </c>
      <c r="I22" s="14">
        <v>3898315</v>
      </c>
      <c r="J22" s="15">
        <v>45261</v>
      </c>
      <c r="K22" s="17">
        <v>585</v>
      </c>
      <c r="L22" s="18" t="s">
        <v>556</v>
      </c>
    </row>
    <row r="23" spans="1:12" ht="12.75" customHeight="1" x14ac:dyDescent="0.35">
      <c r="A23" s="12">
        <f t="shared" si="0"/>
        <v>22</v>
      </c>
      <c r="B23" s="11"/>
      <c r="C23" s="10" t="s">
        <v>127</v>
      </c>
      <c r="D23" s="8" t="s">
        <v>20</v>
      </c>
      <c r="E23" s="9" t="s">
        <v>128</v>
      </c>
      <c r="F23" s="9" t="s">
        <v>11</v>
      </c>
      <c r="G23" s="10" t="s">
        <v>129</v>
      </c>
      <c r="H23" s="13" t="s">
        <v>130</v>
      </c>
      <c r="I23" s="14">
        <v>4782042</v>
      </c>
      <c r="J23" s="15">
        <v>45261</v>
      </c>
      <c r="K23" s="17">
        <v>717</v>
      </c>
      <c r="L23" s="18" t="s">
        <v>557</v>
      </c>
    </row>
    <row r="24" spans="1:12" ht="12.75" customHeight="1" x14ac:dyDescent="0.35">
      <c r="A24" s="12">
        <f t="shared" si="0"/>
        <v>23</v>
      </c>
      <c r="B24" s="11"/>
      <c r="C24" s="10" t="s">
        <v>131</v>
      </c>
      <c r="D24" s="8" t="s">
        <v>20</v>
      </c>
      <c r="E24" s="9" t="s">
        <v>132</v>
      </c>
      <c r="F24" s="9" t="s">
        <v>12</v>
      </c>
      <c r="G24" s="10" t="s">
        <v>133</v>
      </c>
      <c r="H24" s="13" t="s">
        <v>134</v>
      </c>
      <c r="I24" s="14">
        <v>4286067</v>
      </c>
      <c r="J24" s="15">
        <v>45261</v>
      </c>
      <c r="K24" s="17">
        <v>643</v>
      </c>
      <c r="L24" s="18" t="s">
        <v>558</v>
      </c>
    </row>
    <row r="25" spans="1:12" ht="12.75" customHeight="1" x14ac:dyDescent="0.35">
      <c r="A25" s="12">
        <f t="shared" si="0"/>
        <v>24</v>
      </c>
      <c r="B25" s="11"/>
      <c r="C25" s="10" t="s">
        <v>139</v>
      </c>
      <c r="D25" s="8" t="s">
        <v>20</v>
      </c>
      <c r="E25" s="9" t="s">
        <v>140</v>
      </c>
      <c r="F25" s="9" t="s">
        <v>11</v>
      </c>
      <c r="G25" s="10" t="s">
        <v>141</v>
      </c>
      <c r="H25" s="13" t="s">
        <v>142</v>
      </c>
      <c r="I25" s="14">
        <v>3182144</v>
      </c>
      <c r="J25" s="15">
        <v>45261</v>
      </c>
      <c r="K25" s="17">
        <v>477</v>
      </c>
      <c r="L25" s="18" t="s">
        <v>559</v>
      </c>
    </row>
    <row r="26" spans="1:12" ht="12.75" customHeight="1" x14ac:dyDescent="0.35">
      <c r="A26" s="12">
        <f t="shared" si="0"/>
        <v>25</v>
      </c>
      <c r="B26" s="11"/>
      <c r="C26" s="10" t="s">
        <v>143</v>
      </c>
      <c r="D26" s="8" t="s">
        <v>20</v>
      </c>
      <c r="E26" s="9" t="s">
        <v>144</v>
      </c>
      <c r="F26" s="9" t="s">
        <v>12</v>
      </c>
      <c r="G26" s="10" t="s">
        <v>145</v>
      </c>
      <c r="H26" s="13" t="s">
        <v>146</v>
      </c>
      <c r="I26" s="14">
        <v>4308431</v>
      </c>
      <c r="J26" s="15">
        <v>45261</v>
      </c>
      <c r="K26" s="17">
        <v>646</v>
      </c>
      <c r="L26" s="18" t="s">
        <v>560</v>
      </c>
    </row>
    <row r="27" spans="1:12" ht="12.75" customHeight="1" x14ac:dyDescent="0.35">
      <c r="A27" s="12">
        <f t="shared" si="0"/>
        <v>26</v>
      </c>
      <c r="B27" s="11"/>
      <c r="C27" s="10" t="s">
        <v>147</v>
      </c>
      <c r="D27" s="8" t="s">
        <v>20</v>
      </c>
      <c r="E27" s="9" t="s">
        <v>148</v>
      </c>
      <c r="F27" s="9" t="s">
        <v>12</v>
      </c>
      <c r="G27" s="10" t="s">
        <v>149</v>
      </c>
      <c r="H27" s="13" t="s">
        <v>150</v>
      </c>
      <c r="I27" s="14">
        <v>933082</v>
      </c>
      <c r="J27" s="15">
        <v>45261</v>
      </c>
      <c r="K27" s="17">
        <v>200</v>
      </c>
      <c r="L27" s="18" t="s">
        <v>561</v>
      </c>
    </row>
    <row r="28" spans="1:12" ht="12.75" customHeight="1" x14ac:dyDescent="0.35">
      <c r="A28" s="12">
        <f t="shared" si="0"/>
        <v>27</v>
      </c>
      <c r="B28" s="11"/>
      <c r="C28" s="10" t="s">
        <v>151</v>
      </c>
      <c r="D28" s="8" t="s">
        <v>20</v>
      </c>
      <c r="E28" s="9" t="s">
        <v>152</v>
      </c>
      <c r="F28" s="9" t="s">
        <v>11</v>
      </c>
      <c r="G28" s="10" t="s">
        <v>153</v>
      </c>
      <c r="H28" s="13" t="s">
        <v>154</v>
      </c>
      <c r="I28" s="14">
        <v>4482689</v>
      </c>
      <c r="J28" s="15">
        <v>45261</v>
      </c>
      <c r="K28" s="17">
        <v>672</v>
      </c>
      <c r="L28" s="18" t="s">
        <v>562</v>
      </c>
    </row>
    <row r="29" spans="1:12" ht="12.75" customHeight="1" x14ac:dyDescent="0.35">
      <c r="A29" s="12">
        <f t="shared" si="0"/>
        <v>28</v>
      </c>
      <c r="B29" s="11"/>
      <c r="C29" s="10" t="s">
        <v>155</v>
      </c>
      <c r="D29" s="8" t="s">
        <v>20</v>
      </c>
      <c r="E29" s="9" t="s">
        <v>156</v>
      </c>
      <c r="F29" s="9" t="s">
        <v>11</v>
      </c>
      <c r="G29" s="10" t="s">
        <v>157</v>
      </c>
      <c r="H29" s="13" t="s">
        <v>158</v>
      </c>
      <c r="I29" s="14">
        <v>5520467</v>
      </c>
      <c r="J29" s="15">
        <v>45261</v>
      </c>
      <c r="K29" s="17">
        <v>828</v>
      </c>
      <c r="L29" s="18" t="s">
        <v>563</v>
      </c>
    </row>
    <row r="30" spans="1:12" ht="12.75" customHeight="1" x14ac:dyDescent="0.35">
      <c r="A30" s="12">
        <f t="shared" si="0"/>
        <v>29</v>
      </c>
      <c r="B30" s="11"/>
      <c r="C30" s="10" t="s">
        <v>159</v>
      </c>
      <c r="D30" s="8" t="s">
        <v>20</v>
      </c>
      <c r="E30" s="9" t="s">
        <v>160</v>
      </c>
      <c r="F30" s="9" t="s">
        <v>12</v>
      </c>
      <c r="G30" s="10" t="s">
        <v>161</v>
      </c>
      <c r="H30" s="13" t="s">
        <v>162</v>
      </c>
      <c r="I30" s="14">
        <v>6055068</v>
      </c>
      <c r="J30" s="15">
        <v>45261</v>
      </c>
      <c r="K30" s="17">
        <v>908</v>
      </c>
      <c r="L30" s="18" t="s">
        <v>564</v>
      </c>
    </row>
    <row r="31" spans="1:12" ht="12.75" customHeight="1" x14ac:dyDescent="0.35">
      <c r="A31" s="12">
        <f t="shared" si="0"/>
        <v>30</v>
      </c>
      <c r="B31" s="11"/>
      <c r="C31" s="10" t="s">
        <v>163</v>
      </c>
      <c r="D31" s="8" t="s">
        <v>20</v>
      </c>
      <c r="E31" s="9" t="s">
        <v>164</v>
      </c>
      <c r="F31" s="9" t="s">
        <v>11</v>
      </c>
      <c r="G31" s="10" t="s">
        <v>165</v>
      </c>
      <c r="H31" s="13" t="s">
        <v>166</v>
      </c>
      <c r="I31" s="14">
        <v>6523388</v>
      </c>
      <c r="J31" s="15">
        <v>45261</v>
      </c>
      <c r="K31" s="17">
        <v>979</v>
      </c>
      <c r="L31" s="18" t="s">
        <v>565</v>
      </c>
    </row>
    <row r="32" spans="1:12" ht="12.75" customHeight="1" x14ac:dyDescent="0.35">
      <c r="A32" s="12">
        <f t="shared" si="0"/>
        <v>31</v>
      </c>
      <c r="B32" s="11"/>
      <c r="C32" s="10" t="s">
        <v>167</v>
      </c>
      <c r="D32" s="8" t="s">
        <v>20</v>
      </c>
      <c r="E32" s="9" t="s">
        <v>168</v>
      </c>
      <c r="F32" s="9" t="s">
        <v>15</v>
      </c>
      <c r="G32" s="10" t="s">
        <v>169</v>
      </c>
      <c r="H32" s="13" t="s">
        <v>170</v>
      </c>
      <c r="I32" s="14">
        <v>6435837</v>
      </c>
      <c r="J32" s="15">
        <v>45261</v>
      </c>
      <c r="K32" s="17">
        <v>965</v>
      </c>
      <c r="L32" s="18" t="s">
        <v>566</v>
      </c>
    </row>
    <row r="33" spans="1:12" ht="12.75" customHeight="1" x14ac:dyDescent="0.35">
      <c r="A33" s="12">
        <f t="shared" si="0"/>
        <v>32</v>
      </c>
      <c r="B33" s="11"/>
      <c r="C33" s="10" t="s">
        <v>187</v>
      </c>
      <c r="D33" s="8" t="s">
        <v>20</v>
      </c>
      <c r="E33" s="9" t="s">
        <v>188</v>
      </c>
      <c r="F33" s="9" t="s">
        <v>12</v>
      </c>
      <c r="G33" s="10" t="s">
        <v>189</v>
      </c>
      <c r="H33" s="13" t="s">
        <v>190</v>
      </c>
      <c r="I33" s="14">
        <v>7508807</v>
      </c>
      <c r="J33" s="15">
        <v>45261</v>
      </c>
      <c r="K33" s="17">
        <v>1126</v>
      </c>
      <c r="L33" s="18" t="s">
        <v>567</v>
      </c>
    </row>
    <row r="34" spans="1:12" ht="12.75" customHeight="1" x14ac:dyDescent="0.35">
      <c r="A34" s="12">
        <f t="shared" si="0"/>
        <v>33</v>
      </c>
      <c r="B34" s="11"/>
      <c r="C34" s="10" t="s">
        <v>191</v>
      </c>
      <c r="D34" s="8" t="s">
        <v>20</v>
      </c>
      <c r="E34" s="9" t="s">
        <v>192</v>
      </c>
      <c r="F34" s="9" t="s">
        <v>11</v>
      </c>
      <c r="G34" s="10" t="s">
        <v>193</v>
      </c>
      <c r="H34" s="13" t="s">
        <v>194</v>
      </c>
      <c r="I34" s="14">
        <v>4209824</v>
      </c>
      <c r="J34" s="15">
        <v>45261</v>
      </c>
      <c r="K34" s="17">
        <v>631</v>
      </c>
      <c r="L34" s="18" t="s">
        <v>568</v>
      </c>
    </row>
    <row r="35" spans="1:12" ht="12.75" customHeight="1" x14ac:dyDescent="0.35">
      <c r="A35" s="12">
        <f t="shared" si="0"/>
        <v>34</v>
      </c>
      <c r="B35" s="11"/>
      <c r="C35" s="10" t="s">
        <v>195</v>
      </c>
      <c r="D35" s="8" t="s">
        <v>20</v>
      </c>
      <c r="E35" s="9" t="s">
        <v>196</v>
      </c>
      <c r="F35" s="9" t="s">
        <v>15</v>
      </c>
      <c r="G35" s="10" t="s">
        <v>197</v>
      </c>
      <c r="H35" s="13" t="s">
        <v>198</v>
      </c>
      <c r="I35" s="14">
        <v>4062326</v>
      </c>
      <c r="J35" s="15">
        <v>45261</v>
      </c>
      <c r="K35" s="17">
        <v>609</v>
      </c>
      <c r="L35" s="18" t="s">
        <v>569</v>
      </c>
    </row>
    <row r="36" spans="1:12" ht="12.75" customHeight="1" x14ac:dyDescent="0.35">
      <c r="A36" s="12">
        <f t="shared" si="0"/>
        <v>35</v>
      </c>
      <c r="B36" s="11"/>
      <c r="C36" s="10" t="s">
        <v>204</v>
      </c>
      <c r="D36" s="8" t="s">
        <v>20</v>
      </c>
      <c r="E36" s="9" t="s">
        <v>205</v>
      </c>
      <c r="F36" s="9" t="s">
        <v>11</v>
      </c>
      <c r="G36" s="10" t="s">
        <v>206</v>
      </c>
      <c r="H36" s="13" t="s">
        <v>207</v>
      </c>
      <c r="I36" s="14">
        <v>7079512</v>
      </c>
      <c r="J36" s="15">
        <v>45261</v>
      </c>
      <c r="K36" s="17">
        <v>1062</v>
      </c>
      <c r="L36" s="18" t="s">
        <v>570</v>
      </c>
    </row>
    <row r="37" spans="1:12" ht="12.75" customHeight="1" x14ac:dyDescent="0.35">
      <c r="A37" s="12">
        <f t="shared" si="0"/>
        <v>36</v>
      </c>
      <c r="B37" s="11"/>
      <c r="C37" s="10" t="s">
        <v>208</v>
      </c>
      <c r="D37" s="8" t="s">
        <v>20</v>
      </c>
      <c r="E37" s="9" t="s">
        <v>209</v>
      </c>
      <c r="F37" s="9" t="s">
        <v>11</v>
      </c>
      <c r="G37" s="10" t="s">
        <v>210</v>
      </c>
      <c r="H37" s="13" t="s">
        <v>211</v>
      </c>
      <c r="I37" s="14">
        <v>7903090</v>
      </c>
      <c r="J37" s="15">
        <v>45261</v>
      </c>
      <c r="K37" s="17">
        <v>1185</v>
      </c>
      <c r="L37" s="18" t="s">
        <v>571</v>
      </c>
    </row>
    <row r="38" spans="1:12" ht="12.75" customHeight="1" x14ac:dyDescent="0.35">
      <c r="A38" s="12">
        <f t="shared" si="0"/>
        <v>37</v>
      </c>
      <c r="B38" s="11"/>
      <c r="C38" s="10" t="s">
        <v>212</v>
      </c>
      <c r="D38" s="8" t="s">
        <v>20</v>
      </c>
      <c r="E38" s="9" t="s">
        <v>213</v>
      </c>
      <c r="F38" s="9" t="s">
        <v>12</v>
      </c>
      <c r="G38" s="10" t="s">
        <v>214</v>
      </c>
      <c r="H38" s="13" t="s">
        <v>215</v>
      </c>
      <c r="I38" s="14">
        <v>9127625</v>
      </c>
      <c r="J38" s="15">
        <v>45261</v>
      </c>
      <c r="K38" s="17">
        <v>1369</v>
      </c>
      <c r="L38" s="18" t="s">
        <v>572</v>
      </c>
    </row>
    <row r="39" spans="1:12" ht="12.75" customHeight="1" x14ac:dyDescent="0.35">
      <c r="A39" s="12">
        <f t="shared" si="0"/>
        <v>38</v>
      </c>
      <c r="B39" s="11"/>
      <c r="C39" s="10" t="s">
        <v>220</v>
      </c>
      <c r="D39" s="8" t="s">
        <v>20</v>
      </c>
      <c r="E39" s="9" t="s">
        <v>221</v>
      </c>
      <c r="F39" s="9" t="s">
        <v>12</v>
      </c>
      <c r="G39" s="10" t="s">
        <v>222</v>
      </c>
      <c r="H39" s="13" t="s">
        <v>223</v>
      </c>
      <c r="I39" s="14">
        <v>9455036</v>
      </c>
      <c r="J39" s="15">
        <v>45261</v>
      </c>
      <c r="K39" s="17">
        <v>1418</v>
      </c>
      <c r="L39" s="18" t="s">
        <v>573</v>
      </c>
    </row>
    <row r="40" spans="1:12" ht="12.75" customHeight="1" x14ac:dyDescent="0.35">
      <c r="A40" s="12">
        <f t="shared" si="0"/>
        <v>39</v>
      </c>
      <c r="B40" s="11"/>
      <c r="C40" s="10" t="s">
        <v>224</v>
      </c>
      <c r="D40" s="8" t="s">
        <v>20</v>
      </c>
      <c r="E40" s="9" t="s">
        <v>225</v>
      </c>
      <c r="F40" s="9" t="s">
        <v>12</v>
      </c>
      <c r="G40" s="10" t="s">
        <v>226</v>
      </c>
      <c r="H40" s="13" t="s">
        <v>227</v>
      </c>
      <c r="I40" s="14">
        <v>6058216</v>
      </c>
      <c r="J40" s="15">
        <v>45261</v>
      </c>
      <c r="K40" s="17">
        <v>909</v>
      </c>
      <c r="L40" s="18" t="s">
        <v>574</v>
      </c>
    </row>
    <row r="41" spans="1:12" ht="12.75" customHeight="1" x14ac:dyDescent="0.35">
      <c r="A41" s="12">
        <f t="shared" si="0"/>
        <v>40</v>
      </c>
      <c r="B41" s="11"/>
      <c r="C41" s="10" t="s">
        <v>228</v>
      </c>
      <c r="D41" s="8" t="s">
        <v>20</v>
      </c>
      <c r="E41" s="9" t="s">
        <v>229</v>
      </c>
      <c r="F41" s="9" t="s">
        <v>11</v>
      </c>
      <c r="G41" s="10" t="s">
        <v>230</v>
      </c>
      <c r="H41" s="13" t="s">
        <v>231</v>
      </c>
      <c r="I41" s="14">
        <v>5797558</v>
      </c>
      <c r="J41" s="15">
        <v>45261</v>
      </c>
      <c r="K41" s="17">
        <v>870</v>
      </c>
      <c r="L41" s="18" t="s">
        <v>575</v>
      </c>
    </row>
    <row r="42" spans="1:12" ht="12.75" customHeight="1" x14ac:dyDescent="0.35">
      <c r="A42" s="12">
        <f t="shared" si="0"/>
        <v>41</v>
      </c>
      <c r="B42" s="11"/>
      <c r="C42" s="10" t="s">
        <v>232</v>
      </c>
      <c r="D42" s="8" t="s">
        <v>20</v>
      </c>
      <c r="E42" s="9" t="s">
        <v>233</v>
      </c>
      <c r="F42" s="9" t="s">
        <v>12</v>
      </c>
      <c r="G42" s="10" t="s">
        <v>234</v>
      </c>
      <c r="H42" s="13" t="s">
        <v>235</v>
      </c>
      <c r="I42" s="14">
        <v>9857379</v>
      </c>
      <c r="J42" s="15">
        <v>45261</v>
      </c>
      <c r="K42" s="17">
        <v>1479</v>
      </c>
      <c r="L42" s="18" t="s">
        <v>576</v>
      </c>
    </row>
    <row r="43" spans="1:12" ht="12.75" customHeight="1" x14ac:dyDescent="0.35">
      <c r="A43" s="12">
        <f t="shared" si="0"/>
        <v>42</v>
      </c>
      <c r="B43" s="11"/>
      <c r="C43" s="10" t="s">
        <v>236</v>
      </c>
      <c r="D43" s="8" t="s">
        <v>20</v>
      </c>
      <c r="E43" s="9" t="s">
        <v>237</v>
      </c>
      <c r="F43" s="9" t="s">
        <v>11</v>
      </c>
      <c r="G43" s="10" t="s">
        <v>238</v>
      </c>
      <c r="H43" s="13" t="s">
        <v>239</v>
      </c>
      <c r="I43" s="14">
        <v>10131783</v>
      </c>
      <c r="J43" s="15">
        <v>45261</v>
      </c>
      <c r="K43" s="17">
        <v>1520</v>
      </c>
      <c r="L43" s="18" t="s">
        <v>577</v>
      </c>
    </row>
    <row r="44" spans="1:12" ht="12.75" customHeight="1" x14ac:dyDescent="0.35">
      <c r="A44" s="12">
        <f t="shared" si="0"/>
        <v>43</v>
      </c>
      <c r="B44" s="11"/>
      <c r="C44" s="10" t="s">
        <v>240</v>
      </c>
      <c r="D44" s="8" t="s">
        <v>20</v>
      </c>
      <c r="E44" s="9" t="s">
        <v>241</v>
      </c>
      <c r="F44" s="9" t="s">
        <v>11</v>
      </c>
      <c r="G44" s="10" t="s">
        <v>242</v>
      </c>
      <c r="H44" s="13" t="s">
        <v>243</v>
      </c>
      <c r="I44" s="14">
        <v>10682051</v>
      </c>
      <c r="J44" s="15">
        <v>45261</v>
      </c>
      <c r="K44" s="17">
        <v>1602</v>
      </c>
      <c r="L44" s="18" t="s">
        <v>578</v>
      </c>
    </row>
    <row r="45" spans="1:12" ht="12.75" customHeight="1" x14ac:dyDescent="0.35">
      <c r="A45" s="12">
        <f t="shared" si="0"/>
        <v>44</v>
      </c>
      <c r="B45" s="11"/>
      <c r="C45" s="10" t="s">
        <v>244</v>
      </c>
      <c r="D45" s="8" t="s">
        <v>20</v>
      </c>
      <c r="E45" s="9" t="s">
        <v>245</v>
      </c>
      <c r="F45" s="9" t="s">
        <v>12</v>
      </c>
      <c r="G45" s="10" t="s">
        <v>246</v>
      </c>
      <c r="H45" s="13" t="s">
        <v>247</v>
      </c>
      <c r="I45" s="14">
        <v>10086285</v>
      </c>
      <c r="J45" s="15">
        <v>45261</v>
      </c>
      <c r="K45" s="17">
        <v>1513</v>
      </c>
      <c r="L45" s="18" t="s">
        <v>579</v>
      </c>
    </row>
    <row r="46" spans="1:12" ht="12.75" customHeight="1" x14ac:dyDescent="0.35">
      <c r="A46" s="12">
        <f t="shared" si="0"/>
        <v>45</v>
      </c>
      <c r="B46" s="11" t="s">
        <v>248</v>
      </c>
      <c r="C46" s="10" t="s">
        <v>249</v>
      </c>
      <c r="D46" s="8" t="s">
        <v>20</v>
      </c>
      <c r="E46" s="9" t="s">
        <v>250</v>
      </c>
      <c r="F46" s="9" t="s">
        <v>12</v>
      </c>
      <c r="G46" s="10" t="s">
        <v>251</v>
      </c>
      <c r="H46" s="13" t="s">
        <v>252</v>
      </c>
      <c r="I46" s="14">
        <v>5702481</v>
      </c>
      <c r="J46" s="15">
        <v>45261</v>
      </c>
      <c r="K46" s="17">
        <v>855</v>
      </c>
      <c r="L46" s="18" t="s">
        <v>580</v>
      </c>
    </row>
    <row r="47" spans="1:12" ht="12.75" customHeight="1" x14ac:dyDescent="0.35">
      <c r="A47" s="12">
        <f t="shared" si="0"/>
        <v>46</v>
      </c>
      <c r="B47" s="11"/>
      <c r="C47" s="10" t="s">
        <v>253</v>
      </c>
      <c r="D47" s="8" t="s">
        <v>20</v>
      </c>
      <c r="E47" s="9" t="s">
        <v>254</v>
      </c>
      <c r="F47" s="9" t="s">
        <v>11</v>
      </c>
      <c r="G47" s="10" t="s">
        <v>255</v>
      </c>
      <c r="H47" s="13" t="s">
        <v>256</v>
      </c>
      <c r="I47" s="14">
        <v>11710073</v>
      </c>
      <c r="J47" s="15">
        <v>45261</v>
      </c>
      <c r="K47" s="17">
        <v>1757</v>
      </c>
      <c r="L47" s="18" t="s">
        <v>581</v>
      </c>
    </row>
    <row r="48" spans="1:12" ht="12.75" customHeight="1" x14ac:dyDescent="0.35">
      <c r="A48" s="12">
        <f t="shared" si="0"/>
        <v>47</v>
      </c>
      <c r="B48" s="11" t="s">
        <v>257</v>
      </c>
      <c r="C48" s="10" t="s">
        <v>258</v>
      </c>
      <c r="D48" s="8" t="s">
        <v>20</v>
      </c>
      <c r="E48" s="9" t="s">
        <v>259</v>
      </c>
      <c r="F48" s="9" t="s">
        <v>11</v>
      </c>
      <c r="G48" s="10" t="s">
        <v>260</v>
      </c>
      <c r="H48" s="13" t="s">
        <v>261</v>
      </c>
      <c r="I48" s="14">
        <v>6359586</v>
      </c>
      <c r="J48" s="15">
        <v>45261</v>
      </c>
      <c r="K48" s="17">
        <v>954</v>
      </c>
      <c r="L48" s="18" t="s">
        <v>582</v>
      </c>
    </row>
    <row r="49" spans="1:12" ht="12.75" customHeight="1" x14ac:dyDescent="0.35">
      <c r="A49" s="12">
        <f t="shared" si="0"/>
        <v>48</v>
      </c>
      <c r="B49" s="11"/>
      <c r="C49" s="10" t="s">
        <v>262</v>
      </c>
      <c r="D49" s="8" t="s">
        <v>20</v>
      </c>
      <c r="E49" s="9" t="s">
        <v>263</v>
      </c>
      <c r="F49" s="9" t="s">
        <v>11</v>
      </c>
      <c r="G49" s="10" t="s">
        <v>264</v>
      </c>
      <c r="H49" s="13" t="s">
        <v>265</v>
      </c>
      <c r="I49" s="14">
        <v>14425134</v>
      </c>
      <c r="J49" s="15">
        <v>45261</v>
      </c>
      <c r="K49" s="17">
        <v>2164</v>
      </c>
      <c r="L49" s="18" t="s">
        <v>583</v>
      </c>
    </row>
    <row r="50" spans="1:12" ht="12.75" customHeight="1" x14ac:dyDescent="0.35">
      <c r="A50" s="12">
        <f t="shared" si="0"/>
        <v>49</v>
      </c>
      <c r="B50" s="11"/>
      <c r="C50" s="10" t="s">
        <v>266</v>
      </c>
      <c r="D50" s="8" t="s">
        <v>20</v>
      </c>
      <c r="E50" s="9" t="s">
        <v>267</v>
      </c>
      <c r="F50" s="9" t="s">
        <v>13</v>
      </c>
      <c r="G50" s="10" t="s">
        <v>268</v>
      </c>
      <c r="H50" s="13" t="s">
        <v>269</v>
      </c>
      <c r="I50" s="14">
        <v>16835817</v>
      </c>
      <c r="J50" s="15">
        <v>45261</v>
      </c>
      <c r="K50" s="17">
        <v>2525</v>
      </c>
      <c r="L50" s="18" t="s">
        <v>584</v>
      </c>
    </row>
    <row r="51" spans="1:12" ht="12.75" customHeight="1" x14ac:dyDescent="0.35">
      <c r="A51" s="12">
        <f t="shared" si="0"/>
        <v>50</v>
      </c>
      <c r="B51" s="11"/>
      <c r="C51" s="10" t="s">
        <v>270</v>
      </c>
      <c r="D51" s="8" t="s">
        <v>20</v>
      </c>
      <c r="E51" s="9" t="s">
        <v>271</v>
      </c>
      <c r="F51" s="9" t="s">
        <v>11</v>
      </c>
      <c r="G51" s="10" t="s">
        <v>272</v>
      </c>
      <c r="H51" s="13" t="s">
        <v>273</v>
      </c>
      <c r="I51" s="14">
        <v>16150362</v>
      </c>
      <c r="J51" s="15">
        <v>45261</v>
      </c>
      <c r="K51" s="17">
        <v>2423</v>
      </c>
      <c r="L51" s="18" t="s">
        <v>585</v>
      </c>
    </row>
    <row r="52" spans="1:12" ht="12.75" customHeight="1" x14ac:dyDescent="0.35">
      <c r="A52" s="12">
        <f t="shared" si="0"/>
        <v>51</v>
      </c>
      <c r="B52" s="11"/>
      <c r="C52" s="10" t="s">
        <v>274</v>
      </c>
      <c r="D52" s="8" t="s">
        <v>20</v>
      </c>
      <c r="E52" s="9" t="s">
        <v>275</v>
      </c>
      <c r="F52" s="9" t="s">
        <v>11</v>
      </c>
      <c r="G52" s="10" t="s">
        <v>276</v>
      </c>
      <c r="H52" s="13" t="s">
        <v>277</v>
      </c>
      <c r="I52" s="14">
        <v>21341834</v>
      </c>
      <c r="J52" s="15">
        <v>45261</v>
      </c>
      <c r="K52" s="17">
        <v>3201</v>
      </c>
      <c r="L52" s="18" t="s">
        <v>586</v>
      </c>
    </row>
    <row r="53" spans="1:12" ht="12.75" customHeight="1" x14ac:dyDescent="0.35">
      <c r="A53" s="12">
        <f t="shared" si="0"/>
        <v>52</v>
      </c>
      <c r="B53" s="11" t="s">
        <v>282</v>
      </c>
      <c r="C53" s="10" t="s">
        <v>283</v>
      </c>
      <c r="D53" s="8" t="s">
        <v>20</v>
      </c>
      <c r="E53" s="9" t="s">
        <v>284</v>
      </c>
      <c r="F53" s="9" t="s">
        <v>11</v>
      </c>
      <c r="G53" s="10" t="s">
        <v>285</v>
      </c>
      <c r="H53" s="13" t="s">
        <v>286</v>
      </c>
      <c r="I53" s="14">
        <v>23143588</v>
      </c>
      <c r="J53" s="15">
        <v>45261</v>
      </c>
      <c r="K53" s="17">
        <v>3472</v>
      </c>
      <c r="L53" s="18" t="s">
        <v>587</v>
      </c>
    </row>
    <row r="54" spans="1:12" ht="12.75" customHeight="1" x14ac:dyDescent="0.35">
      <c r="A54" s="12">
        <f t="shared" si="0"/>
        <v>53</v>
      </c>
      <c r="B54" s="11"/>
      <c r="C54" s="10" t="s">
        <v>287</v>
      </c>
      <c r="D54" s="8" t="s">
        <v>20</v>
      </c>
      <c r="E54" s="9" t="s">
        <v>288</v>
      </c>
      <c r="F54" s="9" t="s">
        <v>13</v>
      </c>
      <c r="G54" s="10" t="s">
        <v>289</v>
      </c>
      <c r="H54" s="13" t="s">
        <v>290</v>
      </c>
      <c r="I54" s="14">
        <v>36103097</v>
      </c>
      <c r="J54" s="15">
        <v>45261</v>
      </c>
      <c r="K54" s="17">
        <v>5415</v>
      </c>
      <c r="L54" s="18" t="s">
        <v>588</v>
      </c>
    </row>
    <row r="55" spans="1:12" ht="12.75" customHeight="1" x14ac:dyDescent="0.35">
      <c r="A55" s="12">
        <f t="shared" si="0"/>
        <v>54</v>
      </c>
      <c r="B55" s="11"/>
      <c r="C55" s="10" t="s">
        <v>291</v>
      </c>
      <c r="D55" s="8" t="s">
        <v>20</v>
      </c>
      <c r="E55" s="9" t="s">
        <v>292</v>
      </c>
      <c r="F55" s="9" t="s">
        <v>11</v>
      </c>
      <c r="G55" s="10" t="s">
        <v>293</v>
      </c>
      <c r="H55" s="13" t="s">
        <v>294</v>
      </c>
      <c r="I55" s="14">
        <v>40471068</v>
      </c>
      <c r="J55" s="15">
        <v>45261</v>
      </c>
      <c r="K55" s="17">
        <v>6071</v>
      </c>
      <c r="L55" s="18" t="s">
        <v>589</v>
      </c>
    </row>
    <row r="56" spans="1:12" ht="12.75" customHeight="1" x14ac:dyDescent="0.35">
      <c r="A56" s="12">
        <f t="shared" si="0"/>
        <v>55</v>
      </c>
      <c r="B56" s="11" t="s">
        <v>295</v>
      </c>
      <c r="C56" s="10" t="s">
        <v>296</v>
      </c>
      <c r="D56" s="8" t="s">
        <v>20</v>
      </c>
      <c r="E56" s="9" t="s">
        <v>297</v>
      </c>
      <c r="F56" s="9" t="s">
        <v>12</v>
      </c>
      <c r="G56" s="10" t="s">
        <v>298</v>
      </c>
      <c r="H56" s="13" t="s">
        <v>299</v>
      </c>
      <c r="I56" s="14">
        <v>42866669</v>
      </c>
      <c r="J56" s="15">
        <v>45261</v>
      </c>
      <c r="K56" s="17">
        <v>6430</v>
      </c>
      <c r="L56" s="18" t="s">
        <v>590</v>
      </c>
    </row>
    <row r="57" spans="1:12" ht="12.75" customHeight="1" x14ac:dyDescent="0.35">
      <c r="A57" s="12">
        <f t="shared" si="0"/>
        <v>56</v>
      </c>
      <c r="B57" s="11"/>
      <c r="C57" s="10" t="s">
        <v>300</v>
      </c>
      <c r="D57" s="8" t="s">
        <v>20</v>
      </c>
      <c r="E57" s="9" t="s">
        <v>301</v>
      </c>
      <c r="F57" s="9" t="s">
        <v>12</v>
      </c>
      <c r="G57" s="10" t="s">
        <v>302</v>
      </c>
      <c r="H57" s="13" t="s">
        <v>303</v>
      </c>
      <c r="I57" s="14">
        <v>54899380</v>
      </c>
      <c r="J57" s="15">
        <v>45261</v>
      </c>
      <c r="K57" s="17">
        <v>8235</v>
      </c>
      <c r="L57" s="18" t="s">
        <v>591</v>
      </c>
    </row>
    <row r="58" spans="1:12" ht="12.75" customHeight="1" x14ac:dyDescent="0.35">
      <c r="A58" s="12">
        <f t="shared" si="0"/>
        <v>57</v>
      </c>
      <c r="B58" s="11"/>
      <c r="C58" s="10" t="s">
        <v>304</v>
      </c>
      <c r="D58" s="8" t="s">
        <v>20</v>
      </c>
      <c r="E58" s="9" t="s">
        <v>305</v>
      </c>
      <c r="F58" s="9" t="s">
        <v>12</v>
      </c>
      <c r="G58" s="10" t="s">
        <v>306</v>
      </c>
      <c r="H58" s="13" t="s">
        <v>307</v>
      </c>
      <c r="I58" s="14">
        <v>43959577</v>
      </c>
      <c r="J58" s="15">
        <v>45261</v>
      </c>
      <c r="K58" s="17">
        <v>6594</v>
      </c>
      <c r="L58" s="18" t="s">
        <v>592</v>
      </c>
    </row>
    <row r="59" spans="1:12" ht="12.75" customHeight="1" x14ac:dyDescent="0.35">
      <c r="A59" s="12">
        <f t="shared" si="0"/>
        <v>58</v>
      </c>
      <c r="B59" s="11"/>
      <c r="C59" s="10" t="s">
        <v>312</v>
      </c>
      <c r="D59" s="8" t="s">
        <v>20</v>
      </c>
      <c r="E59" s="9" t="s">
        <v>313</v>
      </c>
      <c r="F59" s="9" t="s">
        <v>11</v>
      </c>
      <c r="G59" s="10" t="s">
        <v>314</v>
      </c>
      <c r="H59" s="13" t="s">
        <v>315</v>
      </c>
      <c r="I59" s="14">
        <v>4171865</v>
      </c>
      <c r="J59" s="15">
        <v>45261</v>
      </c>
      <c r="K59" s="17">
        <v>626</v>
      </c>
      <c r="L59" s="18" t="s">
        <v>593</v>
      </c>
    </row>
    <row r="60" spans="1:12" ht="12.75" customHeight="1" x14ac:dyDescent="0.35">
      <c r="A60" s="12">
        <f t="shared" si="0"/>
        <v>59</v>
      </c>
      <c r="B60" s="11"/>
      <c r="C60" s="10" t="s">
        <v>316</v>
      </c>
      <c r="D60" s="8" t="s">
        <v>20</v>
      </c>
      <c r="E60" s="9" t="s">
        <v>317</v>
      </c>
      <c r="F60" s="9" t="s">
        <v>14</v>
      </c>
      <c r="G60" s="10" t="s">
        <v>318</v>
      </c>
      <c r="H60" s="13" t="s">
        <v>319</v>
      </c>
      <c r="I60" s="14">
        <v>5003227</v>
      </c>
      <c r="J60" s="15">
        <v>45261</v>
      </c>
      <c r="K60" s="17">
        <v>750</v>
      </c>
      <c r="L60" s="18" t="s">
        <v>594</v>
      </c>
    </row>
    <row r="61" spans="1:12" ht="12.75" customHeight="1" x14ac:dyDescent="0.35">
      <c r="A61" s="12">
        <f t="shared" si="0"/>
        <v>60</v>
      </c>
      <c r="B61" s="11"/>
      <c r="C61" s="10" t="s">
        <v>320</v>
      </c>
      <c r="D61" s="8" t="s">
        <v>20</v>
      </c>
      <c r="E61" s="9" t="s">
        <v>321</v>
      </c>
      <c r="F61" s="9" t="s">
        <v>12</v>
      </c>
      <c r="G61" s="10" t="s">
        <v>322</v>
      </c>
      <c r="H61" s="13" t="s">
        <v>323</v>
      </c>
      <c r="I61" s="14">
        <v>9592875</v>
      </c>
      <c r="J61" s="15">
        <v>45261</v>
      </c>
      <c r="K61" s="17">
        <v>1439</v>
      </c>
      <c r="L61" s="18" t="s">
        <v>595</v>
      </c>
    </row>
    <row r="62" spans="1:12" ht="12.75" customHeight="1" x14ac:dyDescent="0.35">
      <c r="A62" s="12">
        <f t="shared" si="0"/>
        <v>61</v>
      </c>
      <c r="B62" s="11"/>
      <c r="C62" s="10" t="s">
        <v>324</v>
      </c>
      <c r="D62" s="8" t="s">
        <v>20</v>
      </c>
      <c r="E62" s="9" t="s">
        <v>325</v>
      </c>
      <c r="F62" s="9" t="s">
        <v>12</v>
      </c>
      <c r="G62" s="10" t="s">
        <v>326</v>
      </c>
      <c r="H62" s="13" t="s">
        <v>327</v>
      </c>
      <c r="I62" s="14">
        <v>39909608</v>
      </c>
      <c r="J62" s="15">
        <v>45261</v>
      </c>
      <c r="K62" s="17">
        <v>5986</v>
      </c>
      <c r="L62" s="18" t="s">
        <v>596</v>
      </c>
    </row>
    <row r="63" spans="1:12" ht="12.75" customHeight="1" x14ac:dyDescent="0.35">
      <c r="A63" s="12">
        <f t="shared" si="0"/>
        <v>62</v>
      </c>
      <c r="B63" s="11"/>
      <c r="C63" s="10" t="s">
        <v>328</v>
      </c>
      <c r="D63" s="8" t="s">
        <v>20</v>
      </c>
      <c r="E63" s="9" t="s">
        <v>329</v>
      </c>
      <c r="F63" s="9" t="s">
        <v>12</v>
      </c>
      <c r="G63" s="10" t="s">
        <v>330</v>
      </c>
      <c r="H63" s="13" t="s">
        <v>331</v>
      </c>
      <c r="I63" s="14">
        <v>7146768</v>
      </c>
      <c r="J63" s="15">
        <v>45261</v>
      </c>
      <c r="K63" s="17">
        <v>1072</v>
      </c>
      <c r="L63" s="18" t="s">
        <v>597</v>
      </c>
    </row>
    <row r="64" spans="1:12" ht="12.75" customHeight="1" x14ac:dyDescent="0.35">
      <c r="A64" s="12">
        <f t="shared" si="0"/>
        <v>63</v>
      </c>
      <c r="B64" s="11"/>
      <c r="C64" s="10" t="s">
        <v>332</v>
      </c>
      <c r="D64" s="8" t="s">
        <v>20</v>
      </c>
      <c r="E64" s="9" t="s">
        <v>333</v>
      </c>
      <c r="F64" s="9" t="s">
        <v>11</v>
      </c>
      <c r="G64" s="10" t="s">
        <v>334</v>
      </c>
      <c r="H64" s="13" t="s">
        <v>335</v>
      </c>
      <c r="I64" s="14">
        <v>5184870</v>
      </c>
      <c r="J64" s="15">
        <v>45261</v>
      </c>
      <c r="K64" s="17">
        <v>778</v>
      </c>
      <c r="L64" s="18" t="s">
        <v>598</v>
      </c>
    </row>
    <row r="65" spans="1:12" ht="12.75" customHeight="1" x14ac:dyDescent="0.35">
      <c r="A65" s="12">
        <f t="shared" si="0"/>
        <v>64</v>
      </c>
      <c r="B65" s="11"/>
      <c r="C65" s="10" t="s">
        <v>336</v>
      </c>
      <c r="D65" s="8" t="s">
        <v>20</v>
      </c>
      <c r="E65" s="9" t="s">
        <v>337</v>
      </c>
      <c r="F65" s="9" t="s">
        <v>12</v>
      </c>
      <c r="G65" s="10" t="s">
        <v>338</v>
      </c>
      <c r="H65" s="13" t="s">
        <v>339</v>
      </c>
      <c r="I65" s="14">
        <v>6587324</v>
      </c>
      <c r="J65" s="15">
        <v>45261</v>
      </c>
      <c r="K65" s="17">
        <v>988</v>
      </c>
      <c r="L65" s="18" t="s">
        <v>599</v>
      </c>
    </row>
    <row r="66" spans="1:12" ht="12.75" customHeight="1" x14ac:dyDescent="0.35">
      <c r="A66" s="12">
        <f t="shared" si="0"/>
        <v>65</v>
      </c>
      <c r="B66" s="11"/>
      <c r="C66" s="10" t="s">
        <v>340</v>
      </c>
      <c r="D66" s="8" t="s">
        <v>20</v>
      </c>
      <c r="E66" s="9" t="s">
        <v>341</v>
      </c>
      <c r="F66" s="9" t="s">
        <v>12</v>
      </c>
      <c r="G66" s="10" t="s">
        <v>342</v>
      </c>
      <c r="H66" s="13" t="s">
        <v>343</v>
      </c>
      <c r="I66" s="14">
        <v>44750548</v>
      </c>
      <c r="J66" s="15">
        <v>45261</v>
      </c>
      <c r="K66" s="17">
        <v>6713</v>
      </c>
      <c r="L66" s="18" t="s">
        <v>600</v>
      </c>
    </row>
    <row r="67" spans="1:12" ht="12.75" customHeight="1" x14ac:dyDescent="0.35">
      <c r="A67" s="12">
        <f t="shared" si="0"/>
        <v>66</v>
      </c>
      <c r="B67" s="11"/>
      <c r="C67" s="10" t="s">
        <v>344</v>
      </c>
      <c r="D67" s="8" t="s">
        <v>20</v>
      </c>
      <c r="E67" s="9" t="s">
        <v>345</v>
      </c>
      <c r="F67" s="9" t="s">
        <v>15</v>
      </c>
      <c r="G67" s="10" t="s">
        <v>346</v>
      </c>
      <c r="H67" s="13" t="s">
        <v>347</v>
      </c>
      <c r="I67" s="14">
        <v>5240876</v>
      </c>
      <c r="J67" s="15">
        <v>45261</v>
      </c>
      <c r="K67" s="17">
        <v>786</v>
      </c>
      <c r="L67" s="18" t="s">
        <v>601</v>
      </c>
    </row>
    <row r="68" spans="1:12" ht="12.75" customHeight="1" x14ac:dyDescent="0.35">
      <c r="A68" s="12">
        <f t="shared" ref="A68:A110" si="1">+A67+1</f>
        <v>67</v>
      </c>
      <c r="B68" s="11"/>
      <c r="C68" s="10" t="s">
        <v>348</v>
      </c>
      <c r="D68" s="8" t="s">
        <v>20</v>
      </c>
      <c r="E68" s="9" t="s">
        <v>349</v>
      </c>
      <c r="F68" s="9" t="s">
        <v>15</v>
      </c>
      <c r="G68" s="10" t="s">
        <v>350</v>
      </c>
      <c r="H68" s="13" t="s">
        <v>351</v>
      </c>
      <c r="I68" s="14">
        <v>3535134</v>
      </c>
      <c r="J68" s="15">
        <v>45261</v>
      </c>
      <c r="K68" s="17">
        <v>530</v>
      </c>
      <c r="L68" s="18" t="s">
        <v>602</v>
      </c>
    </row>
    <row r="69" spans="1:12" ht="12.75" customHeight="1" x14ac:dyDescent="0.35">
      <c r="A69" s="12">
        <f t="shared" si="1"/>
        <v>68</v>
      </c>
      <c r="B69" s="11"/>
      <c r="C69" s="10" t="s">
        <v>352</v>
      </c>
      <c r="D69" s="8" t="s">
        <v>20</v>
      </c>
      <c r="E69" s="9" t="s">
        <v>353</v>
      </c>
      <c r="F69" s="9" t="s">
        <v>12</v>
      </c>
      <c r="G69" s="10" t="s">
        <v>354</v>
      </c>
      <c r="H69" s="13" t="s">
        <v>355</v>
      </c>
      <c r="I69" s="14">
        <v>5024907</v>
      </c>
      <c r="J69" s="15">
        <v>45261</v>
      </c>
      <c r="K69" s="17">
        <v>754</v>
      </c>
      <c r="L69" s="18" t="s">
        <v>603</v>
      </c>
    </row>
    <row r="70" spans="1:12" ht="12.75" customHeight="1" x14ac:dyDescent="0.35">
      <c r="A70" s="12">
        <f t="shared" si="1"/>
        <v>69</v>
      </c>
      <c r="B70" s="11"/>
      <c r="C70" s="10" t="s">
        <v>356</v>
      </c>
      <c r="D70" s="8" t="s">
        <v>20</v>
      </c>
      <c r="E70" s="9" t="s">
        <v>357</v>
      </c>
      <c r="F70" s="9" t="s">
        <v>11</v>
      </c>
      <c r="G70" s="10" t="s">
        <v>358</v>
      </c>
      <c r="H70" s="13" t="s">
        <v>359</v>
      </c>
      <c r="I70" s="14">
        <v>50909813</v>
      </c>
      <c r="J70" s="15">
        <v>45261</v>
      </c>
      <c r="K70" s="17">
        <v>7636</v>
      </c>
      <c r="L70" s="18" t="s">
        <v>604</v>
      </c>
    </row>
    <row r="71" spans="1:12" ht="12.75" customHeight="1" x14ac:dyDescent="0.35">
      <c r="A71" s="12">
        <f t="shared" si="1"/>
        <v>70</v>
      </c>
      <c r="B71" s="11"/>
      <c r="C71" s="10" t="s">
        <v>360</v>
      </c>
      <c r="D71" s="8" t="s">
        <v>20</v>
      </c>
      <c r="E71" s="9" t="s">
        <v>361</v>
      </c>
      <c r="F71" s="9" t="s">
        <v>11</v>
      </c>
      <c r="G71" s="10" t="s">
        <v>362</v>
      </c>
      <c r="H71" s="13" t="s">
        <v>363</v>
      </c>
      <c r="I71" s="14">
        <v>8766710</v>
      </c>
      <c r="J71" s="15">
        <v>45261</v>
      </c>
      <c r="K71" s="17">
        <v>1315</v>
      </c>
      <c r="L71" s="18" t="s">
        <v>605</v>
      </c>
    </row>
    <row r="72" spans="1:12" ht="12.75" customHeight="1" x14ac:dyDescent="0.35">
      <c r="A72" s="12">
        <f t="shared" si="1"/>
        <v>71</v>
      </c>
      <c r="B72" s="11"/>
      <c r="C72" s="10" t="s">
        <v>364</v>
      </c>
      <c r="D72" s="8" t="s">
        <v>20</v>
      </c>
      <c r="E72" s="9" t="s">
        <v>365</v>
      </c>
      <c r="F72" s="9" t="s">
        <v>11</v>
      </c>
      <c r="G72" s="10" t="s">
        <v>366</v>
      </c>
      <c r="H72" s="13" t="s">
        <v>367</v>
      </c>
      <c r="I72" s="14">
        <v>5648474</v>
      </c>
      <c r="J72" s="15">
        <v>45261</v>
      </c>
      <c r="K72" s="17">
        <v>847</v>
      </c>
      <c r="L72" s="18" t="s">
        <v>606</v>
      </c>
    </row>
    <row r="73" spans="1:12" ht="12.75" customHeight="1" x14ac:dyDescent="0.35">
      <c r="A73" s="12">
        <f t="shared" si="1"/>
        <v>72</v>
      </c>
      <c r="B73" s="11"/>
      <c r="C73" s="10" t="s">
        <v>368</v>
      </c>
      <c r="D73" s="8" t="s">
        <v>20</v>
      </c>
      <c r="E73" s="9" t="s">
        <v>369</v>
      </c>
      <c r="F73" s="9" t="s">
        <v>11</v>
      </c>
      <c r="G73" s="10" t="s">
        <v>370</v>
      </c>
      <c r="H73" s="13" t="s">
        <v>371</v>
      </c>
      <c r="I73" s="14">
        <v>5648474</v>
      </c>
      <c r="J73" s="15">
        <v>45261</v>
      </c>
      <c r="K73" s="17">
        <v>847</v>
      </c>
      <c r="L73" s="18" t="s">
        <v>607</v>
      </c>
    </row>
    <row r="74" spans="1:12" ht="12.75" customHeight="1" x14ac:dyDescent="0.35">
      <c r="A74" s="12">
        <f t="shared" si="1"/>
        <v>73</v>
      </c>
      <c r="B74" s="11"/>
      <c r="C74" s="10" t="s">
        <v>372</v>
      </c>
      <c r="D74" s="8" t="s">
        <v>20</v>
      </c>
      <c r="E74" s="9" t="s">
        <v>373</v>
      </c>
      <c r="F74" s="9" t="s">
        <v>15</v>
      </c>
      <c r="G74" s="10" t="s">
        <v>374</v>
      </c>
      <c r="H74" s="13" t="s">
        <v>375</v>
      </c>
      <c r="I74" s="14">
        <v>3089082</v>
      </c>
      <c r="J74" s="15">
        <v>45261</v>
      </c>
      <c r="K74" s="17">
        <v>463</v>
      </c>
      <c r="L74" s="18" t="s">
        <v>608</v>
      </c>
    </row>
    <row r="75" spans="1:12" ht="12.75" customHeight="1" x14ac:dyDescent="0.35">
      <c r="A75" s="12">
        <f t="shared" si="1"/>
        <v>74</v>
      </c>
      <c r="B75" s="11"/>
      <c r="C75" s="10" t="s">
        <v>376</v>
      </c>
      <c r="D75" s="8" t="s">
        <v>20</v>
      </c>
      <c r="E75" s="9" t="s">
        <v>377</v>
      </c>
      <c r="F75" s="9" t="s">
        <v>12</v>
      </c>
      <c r="G75" s="10" t="s">
        <v>378</v>
      </c>
      <c r="H75" s="13" t="s">
        <v>379</v>
      </c>
      <c r="I75" s="14">
        <v>3015246</v>
      </c>
      <c r="J75" s="15">
        <v>45261</v>
      </c>
      <c r="K75" s="17">
        <v>452</v>
      </c>
      <c r="L75" s="18" t="s">
        <v>609</v>
      </c>
    </row>
    <row r="76" spans="1:12" ht="12.75" customHeight="1" x14ac:dyDescent="0.35">
      <c r="A76" s="12">
        <f t="shared" si="1"/>
        <v>75</v>
      </c>
      <c r="B76" s="11"/>
      <c r="C76" s="10" t="s">
        <v>380</v>
      </c>
      <c r="D76" s="8" t="s">
        <v>20</v>
      </c>
      <c r="E76" s="9" t="s">
        <v>381</v>
      </c>
      <c r="F76" s="9" t="s">
        <v>15</v>
      </c>
      <c r="G76" s="10" t="s">
        <v>382</v>
      </c>
      <c r="H76" s="13" t="s">
        <v>383</v>
      </c>
      <c r="I76" s="14">
        <v>14171004</v>
      </c>
      <c r="J76" s="15">
        <v>45261</v>
      </c>
      <c r="K76" s="17">
        <v>2126</v>
      </c>
      <c r="L76" s="18" t="s">
        <v>610</v>
      </c>
    </row>
    <row r="77" spans="1:12" ht="12.75" customHeight="1" x14ac:dyDescent="0.35">
      <c r="A77" s="12">
        <f t="shared" si="1"/>
        <v>76</v>
      </c>
      <c r="B77" s="11"/>
      <c r="C77" s="10" t="s">
        <v>384</v>
      </c>
      <c r="D77" s="8" t="s">
        <v>20</v>
      </c>
      <c r="E77" s="9" t="s">
        <v>385</v>
      </c>
      <c r="F77" s="9" t="s">
        <v>12</v>
      </c>
      <c r="G77" s="10" t="s">
        <v>386</v>
      </c>
      <c r="H77" s="13" t="s">
        <v>387</v>
      </c>
      <c r="I77" s="14">
        <v>13355420</v>
      </c>
      <c r="J77" s="15">
        <v>45261</v>
      </c>
      <c r="K77" s="17">
        <v>2003</v>
      </c>
      <c r="L77" s="18" t="s">
        <v>611</v>
      </c>
    </row>
    <row r="78" spans="1:12" ht="12.75" customHeight="1" x14ac:dyDescent="0.35">
      <c r="A78" s="12">
        <f t="shared" si="1"/>
        <v>77</v>
      </c>
      <c r="B78" s="11"/>
      <c r="C78" s="10" t="s">
        <v>388</v>
      </c>
      <c r="D78" s="8" t="s">
        <v>20</v>
      </c>
      <c r="E78" s="9" t="s">
        <v>389</v>
      </c>
      <c r="F78" s="9" t="s">
        <v>12</v>
      </c>
      <c r="G78" s="10" t="s">
        <v>390</v>
      </c>
      <c r="H78" s="13" t="s">
        <v>391</v>
      </c>
      <c r="I78" s="14">
        <v>5215615</v>
      </c>
      <c r="J78" s="15">
        <v>45261</v>
      </c>
      <c r="K78" s="17">
        <v>782</v>
      </c>
      <c r="L78" s="18" t="s">
        <v>612</v>
      </c>
    </row>
    <row r="79" spans="1:12" ht="12.75" customHeight="1" x14ac:dyDescent="0.35">
      <c r="A79" s="12">
        <f t="shared" si="1"/>
        <v>78</v>
      </c>
      <c r="B79" s="11"/>
      <c r="C79" s="10" t="s">
        <v>392</v>
      </c>
      <c r="D79" s="8" t="s">
        <v>20</v>
      </c>
      <c r="E79" s="9" t="s">
        <v>393</v>
      </c>
      <c r="F79" s="9" t="s">
        <v>13</v>
      </c>
      <c r="G79" s="10" t="s">
        <v>394</v>
      </c>
      <c r="H79" s="13" t="s">
        <v>395</v>
      </c>
      <c r="I79" s="14">
        <v>8817203</v>
      </c>
      <c r="J79" s="15">
        <v>45261</v>
      </c>
      <c r="K79" s="17">
        <v>1323</v>
      </c>
      <c r="L79" s="18" t="s">
        <v>613</v>
      </c>
    </row>
    <row r="80" spans="1:12" ht="12.75" customHeight="1" x14ac:dyDescent="0.35">
      <c r="A80" s="12">
        <f t="shared" si="1"/>
        <v>79</v>
      </c>
      <c r="B80" s="11"/>
      <c r="C80" s="10" t="s">
        <v>396</v>
      </c>
      <c r="D80" s="8" t="s">
        <v>20</v>
      </c>
      <c r="E80" s="9" t="s">
        <v>397</v>
      </c>
      <c r="F80" s="9" t="s">
        <v>12</v>
      </c>
      <c r="G80" s="10" t="s">
        <v>398</v>
      </c>
      <c r="H80" s="13" t="s">
        <v>399</v>
      </c>
      <c r="I80" s="14">
        <v>6684869</v>
      </c>
      <c r="J80" s="15">
        <v>45261</v>
      </c>
      <c r="K80" s="17">
        <v>1003</v>
      </c>
      <c r="L80" s="18" t="s">
        <v>614</v>
      </c>
    </row>
    <row r="81" spans="1:12" ht="12.75" customHeight="1" x14ac:dyDescent="0.35">
      <c r="A81" s="12">
        <f t="shared" si="1"/>
        <v>80</v>
      </c>
      <c r="B81" s="11"/>
      <c r="C81" s="10" t="s">
        <v>400</v>
      </c>
      <c r="D81" s="8" t="s">
        <v>20</v>
      </c>
      <c r="E81" s="9" t="s">
        <v>401</v>
      </c>
      <c r="F81" s="9" t="s">
        <v>13</v>
      </c>
      <c r="G81" s="10" t="s">
        <v>402</v>
      </c>
      <c r="H81" s="13" t="s">
        <v>403</v>
      </c>
      <c r="I81" s="14">
        <v>8246532</v>
      </c>
      <c r="J81" s="15">
        <v>45261</v>
      </c>
      <c r="K81" s="17">
        <v>1237</v>
      </c>
      <c r="L81" s="18" t="s">
        <v>615</v>
      </c>
    </row>
    <row r="82" spans="1:12" ht="12.75" customHeight="1" x14ac:dyDescent="0.35">
      <c r="A82" s="12">
        <f t="shared" si="1"/>
        <v>81</v>
      </c>
      <c r="B82" s="11"/>
      <c r="C82" s="10" t="s">
        <v>404</v>
      </c>
      <c r="D82" s="8" t="s">
        <v>20</v>
      </c>
      <c r="E82" s="9" t="s">
        <v>405</v>
      </c>
      <c r="F82" s="9" t="s">
        <v>12</v>
      </c>
      <c r="G82" s="10" t="s">
        <v>406</v>
      </c>
      <c r="H82" s="13" t="s">
        <v>407</v>
      </c>
      <c r="I82" s="14">
        <v>9031497</v>
      </c>
      <c r="J82" s="15">
        <v>45261</v>
      </c>
      <c r="K82" s="17">
        <v>1355</v>
      </c>
      <c r="L82" s="18" t="s">
        <v>616</v>
      </c>
    </row>
    <row r="83" spans="1:12" ht="12.75" customHeight="1" x14ac:dyDescent="0.35">
      <c r="A83" s="12">
        <f t="shared" si="1"/>
        <v>82</v>
      </c>
      <c r="B83" s="11"/>
      <c r="C83" s="10" t="s">
        <v>408</v>
      </c>
      <c r="D83" s="8" t="s">
        <v>20</v>
      </c>
      <c r="E83" s="9" t="s">
        <v>409</v>
      </c>
      <c r="F83" s="9" t="s">
        <v>12</v>
      </c>
      <c r="G83" s="10" t="s">
        <v>410</v>
      </c>
      <c r="H83" s="13" t="s">
        <v>411</v>
      </c>
      <c r="I83" s="14">
        <v>4458614</v>
      </c>
      <c r="J83" s="15">
        <v>45261</v>
      </c>
      <c r="K83" s="17">
        <v>669</v>
      </c>
      <c r="L83" s="18" t="s">
        <v>617</v>
      </c>
    </row>
    <row r="84" spans="1:12" ht="12.75" customHeight="1" x14ac:dyDescent="0.35">
      <c r="A84" s="12">
        <f t="shared" si="1"/>
        <v>83</v>
      </c>
      <c r="B84" s="11"/>
      <c r="C84" s="10" t="s">
        <v>412</v>
      </c>
      <c r="D84" s="8" t="s">
        <v>20</v>
      </c>
      <c r="E84" s="9" t="s">
        <v>413</v>
      </c>
      <c r="F84" s="9" t="s">
        <v>12</v>
      </c>
      <c r="G84" s="10" t="s">
        <v>414</v>
      </c>
      <c r="H84" s="13" t="s">
        <v>415</v>
      </c>
      <c r="I84" s="14">
        <v>2807235</v>
      </c>
      <c r="J84" s="15">
        <v>45261</v>
      </c>
      <c r="K84" s="17">
        <v>421</v>
      </c>
      <c r="L84" s="18" t="s">
        <v>618</v>
      </c>
    </row>
    <row r="85" spans="1:12" ht="12.75" customHeight="1" x14ac:dyDescent="0.35">
      <c r="A85" s="12">
        <f t="shared" si="1"/>
        <v>84</v>
      </c>
      <c r="B85" s="11"/>
      <c r="C85" s="10" t="s">
        <v>416</v>
      </c>
      <c r="D85" s="8" t="s">
        <v>20</v>
      </c>
      <c r="E85" s="9" t="s">
        <v>417</v>
      </c>
      <c r="F85" s="9" t="s">
        <v>18</v>
      </c>
      <c r="G85" s="10" t="s">
        <v>418</v>
      </c>
      <c r="H85" s="13" t="s">
        <v>419</v>
      </c>
      <c r="I85" s="14">
        <v>3708299</v>
      </c>
      <c r="J85" s="15">
        <v>45261</v>
      </c>
      <c r="K85" s="17">
        <v>556</v>
      </c>
      <c r="L85" s="18" t="s">
        <v>619</v>
      </c>
    </row>
    <row r="86" spans="1:12" ht="12.75" customHeight="1" x14ac:dyDescent="0.35">
      <c r="A86" s="12">
        <f t="shared" si="1"/>
        <v>85</v>
      </c>
      <c r="B86" s="11"/>
      <c r="C86" s="10" t="s">
        <v>424</v>
      </c>
      <c r="D86" s="8" t="s">
        <v>20</v>
      </c>
      <c r="E86" s="9" t="s">
        <v>425</v>
      </c>
      <c r="F86" s="9" t="s">
        <v>15</v>
      </c>
      <c r="G86" s="10" t="s">
        <v>426</v>
      </c>
      <c r="H86" s="13" t="s">
        <v>427</v>
      </c>
      <c r="I86" s="14">
        <v>9505587</v>
      </c>
      <c r="J86" s="15">
        <v>45261</v>
      </c>
      <c r="K86" s="17">
        <v>1426</v>
      </c>
      <c r="L86" s="18" t="s">
        <v>620</v>
      </c>
    </row>
    <row r="87" spans="1:12" ht="12.75" customHeight="1" x14ac:dyDescent="0.35">
      <c r="A87" s="12">
        <f t="shared" si="1"/>
        <v>86</v>
      </c>
      <c r="B87" s="11"/>
      <c r="C87" s="10" t="s">
        <v>428</v>
      </c>
      <c r="D87" s="8" t="s">
        <v>20</v>
      </c>
      <c r="E87" s="9" t="s">
        <v>429</v>
      </c>
      <c r="F87" s="9" t="s">
        <v>15</v>
      </c>
      <c r="G87" s="10" t="s">
        <v>430</v>
      </c>
      <c r="H87" s="13" t="s">
        <v>431</v>
      </c>
      <c r="I87" s="14">
        <v>9549799</v>
      </c>
      <c r="J87" s="15">
        <v>45261</v>
      </c>
      <c r="K87" s="17">
        <v>1432</v>
      </c>
      <c r="L87" s="18" t="s">
        <v>621</v>
      </c>
    </row>
    <row r="88" spans="1:12" ht="12.75" customHeight="1" x14ac:dyDescent="0.35">
      <c r="A88" s="12">
        <f t="shared" si="1"/>
        <v>87</v>
      </c>
      <c r="B88" s="11"/>
      <c r="C88" s="10" t="s">
        <v>432</v>
      </c>
      <c r="D88" s="8" t="s">
        <v>20</v>
      </c>
      <c r="E88" s="9" t="s">
        <v>433</v>
      </c>
      <c r="F88" s="9" t="s">
        <v>12</v>
      </c>
      <c r="G88" s="10" t="s">
        <v>434</v>
      </c>
      <c r="H88" s="13" t="s">
        <v>435</v>
      </c>
      <c r="I88" s="14">
        <v>5097615</v>
      </c>
      <c r="J88" s="15">
        <v>45261</v>
      </c>
      <c r="K88" s="17">
        <v>765</v>
      </c>
      <c r="L88" s="18" t="s">
        <v>622</v>
      </c>
    </row>
    <row r="89" spans="1:12" ht="12.75" customHeight="1" x14ac:dyDescent="0.35">
      <c r="A89" s="12">
        <f t="shared" si="1"/>
        <v>88</v>
      </c>
      <c r="B89" s="11"/>
      <c r="C89" s="10" t="s">
        <v>436</v>
      </c>
      <c r="D89" s="8" t="s">
        <v>20</v>
      </c>
      <c r="E89" s="9" t="s">
        <v>437</v>
      </c>
      <c r="F89" s="9" t="s">
        <v>12</v>
      </c>
      <c r="G89" s="10" t="s">
        <v>438</v>
      </c>
      <c r="H89" s="13" t="s">
        <v>439</v>
      </c>
      <c r="I89" s="14">
        <v>6277768</v>
      </c>
      <c r="J89" s="15">
        <v>45261</v>
      </c>
      <c r="K89" s="17">
        <v>942</v>
      </c>
      <c r="L89" s="18" t="s">
        <v>623</v>
      </c>
    </row>
    <row r="90" spans="1:12" ht="12.75" customHeight="1" x14ac:dyDescent="0.35">
      <c r="A90" s="12">
        <f t="shared" si="1"/>
        <v>89</v>
      </c>
      <c r="B90" s="11"/>
      <c r="C90" s="10" t="s">
        <v>440</v>
      </c>
      <c r="D90" s="8" t="s">
        <v>20</v>
      </c>
      <c r="E90" s="9" t="s">
        <v>441</v>
      </c>
      <c r="F90" s="9" t="s">
        <v>12</v>
      </c>
      <c r="G90" s="10" t="s">
        <v>442</v>
      </c>
      <c r="H90" s="13" t="s">
        <v>443</v>
      </c>
      <c r="I90" s="14">
        <v>1553677</v>
      </c>
      <c r="J90" s="15">
        <v>45261</v>
      </c>
      <c r="K90" s="17">
        <v>233</v>
      </c>
      <c r="L90" s="18" t="s">
        <v>624</v>
      </c>
    </row>
    <row r="91" spans="1:12" ht="12.75" customHeight="1" x14ac:dyDescent="0.35">
      <c r="A91" s="12">
        <f t="shared" si="1"/>
        <v>90</v>
      </c>
      <c r="B91" s="11"/>
      <c r="C91" s="10" t="s">
        <v>444</v>
      </c>
      <c r="D91" s="8" t="s">
        <v>20</v>
      </c>
      <c r="E91" s="9" t="s">
        <v>445</v>
      </c>
      <c r="F91" s="9" t="s">
        <v>12</v>
      </c>
      <c r="G91" s="10" t="s">
        <v>446</v>
      </c>
      <c r="H91" s="13" t="s">
        <v>447</v>
      </c>
      <c r="I91" s="14">
        <v>8134879</v>
      </c>
      <c r="J91" s="15">
        <v>45261</v>
      </c>
      <c r="K91" s="17">
        <v>1220</v>
      </c>
      <c r="L91" s="18" t="s">
        <v>625</v>
      </c>
    </row>
    <row r="92" spans="1:12" ht="12.75" customHeight="1" x14ac:dyDescent="0.35">
      <c r="A92" s="12">
        <f t="shared" si="1"/>
        <v>91</v>
      </c>
      <c r="B92" s="11"/>
      <c r="C92" s="10" t="s">
        <v>448</v>
      </c>
      <c r="D92" s="8" t="s">
        <v>20</v>
      </c>
      <c r="E92" s="9" t="s">
        <v>449</v>
      </c>
      <c r="F92" s="9" t="s">
        <v>15</v>
      </c>
      <c r="G92" s="10" t="s">
        <v>450</v>
      </c>
      <c r="H92" s="13" t="s">
        <v>451</v>
      </c>
      <c r="I92" s="14">
        <v>6945590</v>
      </c>
      <c r="J92" s="15">
        <v>45261</v>
      </c>
      <c r="K92" s="17">
        <v>1042</v>
      </c>
      <c r="L92" s="18" t="s">
        <v>626</v>
      </c>
    </row>
    <row r="93" spans="1:12" ht="12.75" customHeight="1" x14ac:dyDescent="0.35">
      <c r="A93" s="12">
        <f t="shared" si="1"/>
        <v>92</v>
      </c>
      <c r="B93" s="11"/>
      <c r="C93" s="10" t="s">
        <v>452</v>
      </c>
      <c r="D93" s="8" t="s">
        <v>20</v>
      </c>
      <c r="E93" s="9" t="s">
        <v>453</v>
      </c>
      <c r="F93" s="9" t="s">
        <v>12</v>
      </c>
      <c r="G93" s="10" t="s">
        <v>454</v>
      </c>
      <c r="H93" s="13" t="s">
        <v>455</v>
      </c>
      <c r="I93" s="14">
        <v>9549799</v>
      </c>
      <c r="J93" s="15">
        <v>45261</v>
      </c>
      <c r="K93" s="17">
        <v>1432</v>
      </c>
      <c r="L93" s="18" t="s">
        <v>627</v>
      </c>
    </row>
    <row r="94" spans="1:12" ht="12.75" customHeight="1" x14ac:dyDescent="0.35">
      <c r="A94" s="12">
        <f t="shared" si="1"/>
        <v>93</v>
      </c>
      <c r="B94" s="11"/>
      <c r="C94" s="10" t="s">
        <v>460</v>
      </c>
      <c r="D94" s="8" t="s">
        <v>20</v>
      </c>
      <c r="E94" s="9" t="s">
        <v>461</v>
      </c>
      <c r="F94" s="9" t="s">
        <v>12</v>
      </c>
      <c r="G94" s="10" t="s">
        <v>462</v>
      </c>
      <c r="H94" s="13" t="s">
        <v>463</v>
      </c>
      <c r="I94" s="14">
        <v>13859636</v>
      </c>
      <c r="J94" s="15">
        <v>45261</v>
      </c>
      <c r="K94" s="17">
        <v>2079</v>
      </c>
      <c r="L94" s="18" t="s">
        <v>628</v>
      </c>
    </row>
    <row r="95" spans="1:12" ht="12.75" customHeight="1" x14ac:dyDescent="0.35">
      <c r="A95" s="12">
        <f t="shared" si="1"/>
        <v>94</v>
      </c>
      <c r="B95" s="11"/>
      <c r="C95" s="10" t="s">
        <v>468</v>
      </c>
      <c r="D95" s="8" t="s">
        <v>20</v>
      </c>
      <c r="E95" s="9" t="s">
        <v>469</v>
      </c>
      <c r="F95" s="9" t="s">
        <v>11</v>
      </c>
      <c r="G95" s="10" t="s">
        <v>470</v>
      </c>
      <c r="H95" s="13" t="s">
        <v>471</v>
      </c>
      <c r="I95" s="14">
        <v>5483559</v>
      </c>
      <c r="J95" s="15">
        <v>45261</v>
      </c>
      <c r="K95" s="17">
        <v>823</v>
      </c>
      <c r="L95" s="18" t="s">
        <v>629</v>
      </c>
    </row>
    <row r="96" spans="1:12" ht="12.75" customHeight="1" x14ac:dyDescent="0.35">
      <c r="A96" s="12">
        <f t="shared" si="1"/>
        <v>95</v>
      </c>
      <c r="B96" s="11"/>
      <c r="C96" s="10" t="s">
        <v>476</v>
      </c>
      <c r="D96" s="8" t="s">
        <v>20</v>
      </c>
      <c r="E96" s="9" t="s">
        <v>47</v>
      </c>
      <c r="F96" s="9" t="s">
        <v>15</v>
      </c>
      <c r="G96" s="10" t="s">
        <v>48</v>
      </c>
      <c r="H96" s="13" t="s">
        <v>477</v>
      </c>
      <c r="I96" s="14">
        <v>7086260</v>
      </c>
      <c r="J96" s="15">
        <v>45261</v>
      </c>
      <c r="K96" s="17">
        <v>1063</v>
      </c>
      <c r="L96" s="18" t="s">
        <v>630</v>
      </c>
    </row>
    <row r="97" spans="1:12" ht="12.75" customHeight="1" x14ac:dyDescent="0.35">
      <c r="A97" s="12">
        <f t="shared" si="1"/>
        <v>96</v>
      </c>
      <c r="B97" s="11"/>
      <c r="C97" s="10" t="s">
        <v>478</v>
      </c>
      <c r="D97" s="8" t="s">
        <v>20</v>
      </c>
      <c r="E97" s="9" t="s">
        <v>479</v>
      </c>
      <c r="F97" s="9" t="s">
        <v>16</v>
      </c>
      <c r="G97" s="10" t="s">
        <v>480</v>
      </c>
      <c r="H97" s="13" t="s">
        <v>481</v>
      </c>
      <c r="I97" s="14">
        <v>5538876</v>
      </c>
      <c r="J97" s="15">
        <v>45261</v>
      </c>
      <c r="K97" s="17">
        <v>831</v>
      </c>
      <c r="L97" s="18" t="s">
        <v>631</v>
      </c>
    </row>
    <row r="98" spans="1:12" ht="12.75" customHeight="1" x14ac:dyDescent="0.35">
      <c r="A98" s="12">
        <f t="shared" si="1"/>
        <v>97</v>
      </c>
      <c r="B98" s="11"/>
      <c r="C98" s="10" t="s">
        <v>482</v>
      </c>
      <c r="D98" s="8" t="s">
        <v>20</v>
      </c>
      <c r="E98" s="9" t="s">
        <v>483</v>
      </c>
      <c r="F98" s="9" t="s">
        <v>15</v>
      </c>
      <c r="G98" s="10" t="s">
        <v>484</v>
      </c>
      <c r="H98" s="13" t="s">
        <v>485</v>
      </c>
      <c r="I98" s="14">
        <v>5632003</v>
      </c>
      <c r="J98" s="15">
        <v>45261</v>
      </c>
      <c r="K98" s="17">
        <v>845</v>
      </c>
      <c r="L98" s="18" t="s">
        <v>632</v>
      </c>
    </row>
    <row r="99" spans="1:12" ht="12.75" customHeight="1" x14ac:dyDescent="0.35">
      <c r="A99" s="12">
        <f t="shared" si="1"/>
        <v>98</v>
      </c>
      <c r="B99" s="11"/>
      <c r="C99" s="10" t="s">
        <v>486</v>
      </c>
      <c r="D99" s="8" t="s">
        <v>20</v>
      </c>
      <c r="E99" s="9" t="s">
        <v>487</v>
      </c>
      <c r="F99" s="9" t="s">
        <v>14</v>
      </c>
      <c r="G99" s="10" t="s">
        <v>488</v>
      </c>
      <c r="H99" s="13" t="s">
        <v>489</v>
      </c>
      <c r="I99" s="14">
        <v>9505587</v>
      </c>
      <c r="J99" s="15">
        <v>45261</v>
      </c>
      <c r="K99" s="17">
        <v>1426</v>
      </c>
      <c r="L99" s="18" t="s">
        <v>633</v>
      </c>
    </row>
    <row r="100" spans="1:12" ht="12.75" customHeight="1" x14ac:dyDescent="0.35">
      <c r="A100" s="12">
        <f t="shared" si="1"/>
        <v>99</v>
      </c>
      <c r="B100" s="11"/>
      <c r="C100" s="10" t="s">
        <v>490</v>
      </c>
      <c r="D100" s="8" t="s">
        <v>20</v>
      </c>
      <c r="E100" s="9" t="s">
        <v>491</v>
      </c>
      <c r="F100" s="9" t="s">
        <v>13</v>
      </c>
      <c r="G100" s="10" t="s">
        <v>492</v>
      </c>
      <c r="H100" s="13" t="s">
        <v>493</v>
      </c>
      <c r="I100" s="14">
        <v>5241073</v>
      </c>
      <c r="J100" s="15">
        <v>45261</v>
      </c>
      <c r="K100" s="17">
        <v>786</v>
      </c>
      <c r="L100" s="18" t="s">
        <v>634</v>
      </c>
    </row>
    <row r="101" spans="1:12" ht="12.75" customHeight="1" x14ac:dyDescent="0.35">
      <c r="A101" s="12">
        <f t="shared" si="1"/>
        <v>100</v>
      </c>
      <c r="B101" s="11"/>
      <c r="C101" s="10" t="s">
        <v>494</v>
      </c>
      <c r="D101" s="8" t="s">
        <v>20</v>
      </c>
      <c r="E101" s="9" t="s">
        <v>495</v>
      </c>
      <c r="F101" s="9" t="s">
        <v>12</v>
      </c>
      <c r="G101" s="10" t="s">
        <v>496</v>
      </c>
      <c r="H101" s="13" t="s">
        <v>497</v>
      </c>
      <c r="I101" s="14">
        <v>3999487</v>
      </c>
      <c r="J101" s="15">
        <v>45261</v>
      </c>
      <c r="K101" s="17">
        <v>600</v>
      </c>
      <c r="L101" s="18" t="s">
        <v>635</v>
      </c>
    </row>
    <row r="102" spans="1:12" ht="12.75" customHeight="1" x14ac:dyDescent="0.35">
      <c r="A102" s="12">
        <f t="shared" si="1"/>
        <v>101</v>
      </c>
      <c r="B102" s="11"/>
      <c r="C102" s="10" t="s">
        <v>498</v>
      </c>
      <c r="D102" s="8" t="s">
        <v>20</v>
      </c>
      <c r="E102" s="9" t="s">
        <v>499</v>
      </c>
      <c r="F102" s="9" t="s">
        <v>12</v>
      </c>
      <c r="G102" s="10" t="s">
        <v>500</v>
      </c>
      <c r="H102" s="13" t="s">
        <v>501</v>
      </c>
      <c r="I102" s="14">
        <v>5664024</v>
      </c>
      <c r="J102" s="15">
        <v>45261</v>
      </c>
      <c r="K102" s="17">
        <v>850</v>
      </c>
      <c r="L102" s="18" t="s">
        <v>636</v>
      </c>
    </row>
    <row r="103" spans="1:12" ht="12.75" customHeight="1" x14ac:dyDescent="0.35">
      <c r="A103" s="12">
        <f t="shared" si="1"/>
        <v>102</v>
      </c>
      <c r="B103" s="11"/>
      <c r="C103" s="10" t="s">
        <v>502</v>
      </c>
      <c r="D103" s="8" t="s">
        <v>20</v>
      </c>
      <c r="E103" s="9" t="s">
        <v>503</v>
      </c>
      <c r="F103" s="9" t="s">
        <v>12</v>
      </c>
      <c r="G103" s="10" t="s">
        <v>504</v>
      </c>
      <c r="H103" s="13" t="s">
        <v>505</v>
      </c>
      <c r="I103" s="14">
        <v>32991125</v>
      </c>
      <c r="J103" s="15">
        <v>45261</v>
      </c>
      <c r="K103" s="17">
        <v>4949</v>
      </c>
      <c r="L103" s="18" t="s">
        <v>637</v>
      </c>
    </row>
    <row r="104" spans="1:12" ht="12.75" customHeight="1" x14ac:dyDescent="0.35">
      <c r="A104" s="12">
        <f t="shared" si="1"/>
        <v>103</v>
      </c>
      <c r="B104" s="11"/>
      <c r="C104" s="10" t="s">
        <v>506</v>
      </c>
      <c r="D104" s="8" t="s">
        <v>20</v>
      </c>
      <c r="E104" s="9" t="s">
        <v>507</v>
      </c>
      <c r="F104" s="9" t="s">
        <v>12</v>
      </c>
      <c r="G104" s="10" t="s">
        <v>508</v>
      </c>
      <c r="H104" s="13" t="s">
        <v>509</v>
      </c>
      <c r="I104" s="14">
        <v>23652919</v>
      </c>
      <c r="J104" s="15">
        <v>45261</v>
      </c>
      <c r="K104" s="17">
        <v>3548</v>
      </c>
      <c r="L104" s="18" t="s">
        <v>638</v>
      </c>
    </row>
    <row r="105" spans="1:12" ht="12.75" customHeight="1" x14ac:dyDescent="0.35">
      <c r="A105" s="12">
        <f t="shared" si="1"/>
        <v>104</v>
      </c>
      <c r="B105" s="11"/>
      <c r="C105" s="10" t="s">
        <v>510</v>
      </c>
      <c r="D105" s="8" t="s">
        <v>20</v>
      </c>
      <c r="E105" s="9" t="s">
        <v>511</v>
      </c>
      <c r="F105" s="9" t="s">
        <v>14</v>
      </c>
      <c r="G105" s="10" t="s">
        <v>512</v>
      </c>
      <c r="H105" s="13" t="s">
        <v>513</v>
      </c>
      <c r="I105" s="14">
        <v>4237434</v>
      </c>
      <c r="J105" s="15">
        <v>45261</v>
      </c>
      <c r="K105" s="17">
        <v>636</v>
      </c>
      <c r="L105" s="18" t="s">
        <v>639</v>
      </c>
    </row>
    <row r="106" spans="1:12" ht="12.75" customHeight="1" x14ac:dyDescent="0.35">
      <c r="A106" s="12">
        <f t="shared" si="1"/>
        <v>105</v>
      </c>
      <c r="B106" s="11"/>
      <c r="C106" s="10" t="s">
        <v>514</v>
      </c>
      <c r="D106" s="8" t="s">
        <v>20</v>
      </c>
      <c r="E106" s="9" t="s">
        <v>515</v>
      </c>
      <c r="F106" s="9" t="s">
        <v>12</v>
      </c>
      <c r="G106" s="10" t="s">
        <v>516</v>
      </c>
      <c r="H106" s="13" t="s">
        <v>517</v>
      </c>
      <c r="I106" s="14">
        <v>6465893</v>
      </c>
      <c r="J106" s="15">
        <v>45261</v>
      </c>
      <c r="K106" s="17">
        <v>970</v>
      </c>
      <c r="L106" s="18" t="s">
        <v>640</v>
      </c>
    </row>
    <row r="107" spans="1:12" ht="12.75" customHeight="1" x14ac:dyDescent="0.35">
      <c r="A107" s="12">
        <f t="shared" si="1"/>
        <v>106</v>
      </c>
      <c r="B107" s="11"/>
      <c r="C107" s="10" t="s">
        <v>518</v>
      </c>
      <c r="D107" s="8" t="s">
        <v>20</v>
      </c>
      <c r="E107" s="9" t="s">
        <v>519</v>
      </c>
      <c r="F107" s="9" t="s">
        <v>12</v>
      </c>
      <c r="G107" s="10" t="s">
        <v>520</v>
      </c>
      <c r="H107" s="13" t="s">
        <v>521</v>
      </c>
      <c r="I107" s="14">
        <v>2990148</v>
      </c>
      <c r="J107" s="15">
        <v>45261</v>
      </c>
      <c r="K107" s="17">
        <v>449</v>
      </c>
      <c r="L107" s="18" t="s">
        <v>641</v>
      </c>
    </row>
    <row r="108" spans="1:12" ht="12.75" customHeight="1" x14ac:dyDescent="0.35">
      <c r="A108" s="12">
        <f t="shared" si="1"/>
        <v>107</v>
      </c>
      <c r="B108" s="11"/>
      <c r="C108" s="10" t="s">
        <v>522</v>
      </c>
      <c r="D108" s="8" t="s">
        <v>20</v>
      </c>
      <c r="E108" s="9" t="s">
        <v>523</v>
      </c>
      <c r="F108" s="9" t="s">
        <v>15</v>
      </c>
      <c r="G108" s="10" t="s">
        <v>524</v>
      </c>
      <c r="H108" s="13" t="s">
        <v>525</v>
      </c>
      <c r="I108" s="14">
        <v>2832012</v>
      </c>
      <c r="J108" s="15">
        <v>45261</v>
      </c>
      <c r="K108" s="17">
        <v>425</v>
      </c>
      <c r="L108" s="18" t="s">
        <v>642</v>
      </c>
    </row>
    <row r="109" spans="1:12" ht="12.75" customHeight="1" x14ac:dyDescent="0.35">
      <c r="A109" s="12">
        <f t="shared" si="1"/>
        <v>108</v>
      </c>
      <c r="B109" s="11"/>
      <c r="C109" s="10" t="s">
        <v>526</v>
      </c>
      <c r="D109" s="8" t="s">
        <v>20</v>
      </c>
      <c r="E109" s="9" t="s">
        <v>527</v>
      </c>
      <c r="F109" s="9" t="s">
        <v>16</v>
      </c>
      <c r="G109" s="10" t="s">
        <v>528</v>
      </c>
      <c r="H109" s="13" t="s">
        <v>529</v>
      </c>
      <c r="I109" s="14">
        <v>3714619</v>
      </c>
      <c r="J109" s="15">
        <v>45261</v>
      </c>
      <c r="K109" s="17">
        <v>557</v>
      </c>
      <c r="L109" s="18" t="s">
        <v>643</v>
      </c>
    </row>
    <row r="110" spans="1:12" ht="12.75" customHeight="1" x14ac:dyDescent="0.35">
      <c r="A110" s="12">
        <f t="shared" si="1"/>
        <v>109</v>
      </c>
      <c r="B110" s="11"/>
      <c r="C110" s="10" t="s">
        <v>530</v>
      </c>
      <c r="D110" s="8" t="s">
        <v>20</v>
      </c>
      <c r="E110" s="8" t="s">
        <v>531</v>
      </c>
      <c r="F110" s="9" t="s">
        <v>21</v>
      </c>
      <c r="G110" s="9" t="s">
        <v>532</v>
      </c>
      <c r="H110" s="9" t="s">
        <v>533</v>
      </c>
      <c r="I110" s="14">
        <v>9802271</v>
      </c>
      <c r="J110" s="15">
        <v>45261</v>
      </c>
      <c r="K110" s="17">
        <v>1470</v>
      </c>
      <c r="L110" s="18" t="s">
        <v>644</v>
      </c>
    </row>
    <row r="112" spans="1:12" ht="15.75" thickBot="1" x14ac:dyDescent="0.4">
      <c r="I112" s="16">
        <f>SUM(I2:I111)</f>
        <v>1017966281</v>
      </c>
      <c r="K112" s="16">
        <f>SUM(K2:K111)</f>
        <v>153865</v>
      </c>
    </row>
    <row r="113" ht="12.75" customHeight="1" thickTop="1" x14ac:dyDescent="0.35"/>
  </sheetData>
  <sortState xmlns:xlrd2="http://schemas.microsoft.com/office/spreadsheetml/2017/richdata2" ref="C2:J112">
    <sortCondition ref="C2:C1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896C-0303-49B1-81E7-BDC520C88077}">
  <dimension ref="A1:H110"/>
  <sheetViews>
    <sheetView tabSelected="1" topLeftCell="F1" workbookViewId="0">
      <selection activeCell="H3" sqref="H3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56.140625" customWidth="1"/>
    <col min="7" max="7" width="60.28515625" customWidth="1"/>
    <col min="8" max="8" width="69.85546875" customWidth="1"/>
  </cols>
  <sheetData>
    <row r="1" spans="1:8" x14ac:dyDescent="0.25">
      <c r="A1" s="19" t="s">
        <v>645</v>
      </c>
      <c r="B1" t="s">
        <v>646</v>
      </c>
      <c r="D1" s="20" t="s">
        <v>647</v>
      </c>
      <c r="E1" s="26" t="s">
        <v>648</v>
      </c>
    </row>
    <row r="2" spans="1:8" ht="80.25" customHeight="1" x14ac:dyDescent="0.25">
      <c r="A2" s="18" t="s">
        <v>536</v>
      </c>
      <c r="B2" s="21" t="str">
        <f>VLOOKUP(A2,[1]Sheet1!$B$2:$C$110,2,0)</f>
        <v>040000160881</v>
      </c>
      <c r="C2" s="17">
        <v>200</v>
      </c>
      <c r="D2" s="22">
        <f>ROUND(C2,0)</f>
        <v>200</v>
      </c>
      <c r="E2" s="26" t="s">
        <v>648</v>
      </c>
      <c r="F2" s="23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4" t="str">
        <f>"('"&amp;E2&amp;"','"&amp;B2&amp;"','"&amp;D2&amp;"',(select max(to_number(i.premium_rcv_detail_code))+1
from ins_premium_det i),'"&amp;D2&amp;"','"&amp;D2&amp;"','02', '11000003','00','Request by Mr. Saqib Saleem 21-Aug-2024 sheet5');"</f>
        <v>('20Aug240150','040000160881','200',(select max(to_number(i.premium_rcv_detail_code))+1
from ins_premium_det i),'200','200','02', '11000003','00','Request by Mr. Saqib Saleem 21-Aug-2024 sheet5');</v>
      </c>
      <c r="H2" s="25" t="str">
        <f>F2&amp;G2</f>
        <v>insert into ins_premium_det (premium_rcv_code,assorted_code, rec_amount,premium_rcv_detail_code,remaining_amt, payrec, mode_code,coinsurance_code,class_cd,it_remarks) values('20Aug240150','040000160881','200',(select max(to_number(i.premium_rcv_detail_code))+1
from ins_premium_det i),'200','200','02', '11000003','00','Request by Mr. Saqib Saleem 21-Aug-2024 sheet5');</v>
      </c>
    </row>
    <row r="3" spans="1:8" ht="105" x14ac:dyDescent="0.25">
      <c r="A3" s="18" t="s">
        <v>537</v>
      </c>
      <c r="B3" s="21" t="str">
        <f>VLOOKUP(A3,[1]Sheet1!$B$2:$C$110,2,0)</f>
        <v>040000160882</v>
      </c>
      <c r="C3" s="17">
        <v>200</v>
      </c>
      <c r="D3" s="22">
        <f t="shared" ref="D3:D66" si="1">ROUND(C3,0)</f>
        <v>200</v>
      </c>
      <c r="E3" s="26" t="s">
        <v>648</v>
      </c>
      <c r="F3" s="23" t="str">
        <f t="shared" si="0"/>
        <v>insert into ins_premium_det (premium_rcv_code,assorted_code, rec_amount,premium_rcv_detail_code,remaining_amt, payrec, mode_code,coinsurance_code,class_cd,it_remarks) values</v>
      </c>
      <c r="G3" s="24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sheet5');"</f>
        <v>('20Aug240150','040000160882','200',(select max(to_number(i.premium_rcv_detail_code))+1
from ins_premium_det i),'200','200','02', '11000003','00','Request by Mr. Saqib Saleem 21-Aug-2024 sheet5');</v>
      </c>
      <c r="H3" s="25" t="str">
        <f t="shared" ref="H3:H66" si="3">F3&amp;G3</f>
        <v>insert into ins_premium_det (premium_rcv_code,assorted_code, rec_amount,premium_rcv_detail_code,remaining_amt, payrec, mode_code,coinsurance_code,class_cd,it_remarks) values('20Aug240150','040000160882','200',(select max(to_number(i.premium_rcv_detail_code))+1
from ins_premium_det i),'200','200','02', '11000003','00','Request by Mr. Saqib Saleem 21-Aug-2024 sheet5');</v>
      </c>
    </row>
    <row r="4" spans="1:8" ht="105" x14ac:dyDescent="0.25">
      <c r="A4" s="18" t="s">
        <v>538</v>
      </c>
      <c r="B4" s="21" t="str">
        <f>VLOOKUP(A4,[1]Sheet1!$B$2:$C$110,2,0)</f>
        <v>040000160883</v>
      </c>
      <c r="C4" s="17">
        <v>200</v>
      </c>
      <c r="D4" s="22">
        <f t="shared" si="1"/>
        <v>200</v>
      </c>
      <c r="E4" s="26" t="s">
        <v>648</v>
      </c>
      <c r="F4" s="23" t="str">
        <f t="shared" si="0"/>
        <v>insert into ins_premium_det (premium_rcv_code,assorted_code, rec_amount,premium_rcv_detail_code,remaining_amt, payrec, mode_code,coinsurance_code,class_cd,it_remarks) values</v>
      </c>
      <c r="G4" s="24" t="str">
        <f t="shared" si="2"/>
        <v>('20Aug240150','040000160883','200',(select max(to_number(i.premium_rcv_detail_code))+1
from ins_premium_det i),'200','200','02', '11000003','00','Request by Mr. Saqib Saleem 21-Aug-2024 sheet5');</v>
      </c>
      <c r="H4" s="25" t="str">
        <f t="shared" si="3"/>
        <v>insert into ins_premium_det (premium_rcv_code,assorted_code, rec_amount,premium_rcv_detail_code,remaining_amt, payrec, mode_code,coinsurance_code,class_cd,it_remarks) values('20Aug240150','040000160883','200',(select max(to_number(i.premium_rcv_detail_code))+1
from ins_premium_det i),'200','200','02', '11000003','00','Request by Mr. Saqib Saleem 21-Aug-2024 sheet5');</v>
      </c>
    </row>
    <row r="5" spans="1:8" ht="105" x14ac:dyDescent="0.25">
      <c r="A5" s="18" t="s">
        <v>539</v>
      </c>
      <c r="B5" s="21" t="str">
        <f>VLOOKUP(A5,[1]Sheet1!$B$2:$C$110,2,0)</f>
        <v>040000160884</v>
      </c>
      <c r="C5" s="17">
        <v>200</v>
      </c>
      <c r="D5" s="22">
        <f t="shared" si="1"/>
        <v>200</v>
      </c>
      <c r="E5" s="26" t="s">
        <v>648</v>
      </c>
      <c r="F5" s="23" t="str">
        <f t="shared" si="0"/>
        <v>insert into ins_premium_det (premium_rcv_code,assorted_code, rec_amount,premium_rcv_detail_code,remaining_amt, payrec, mode_code,coinsurance_code,class_cd,it_remarks) values</v>
      </c>
      <c r="G5" s="24" t="str">
        <f t="shared" si="2"/>
        <v>('20Aug240150','040000160884','200',(select max(to_number(i.premium_rcv_detail_code))+1
from ins_premium_det i),'200','200','02', '11000003','00','Request by Mr. Saqib Saleem 21-Aug-2024 sheet5');</v>
      </c>
      <c r="H5" s="25" t="str">
        <f t="shared" si="3"/>
        <v>insert into ins_premium_det (premium_rcv_code,assorted_code, rec_amount,premium_rcv_detail_code,remaining_amt, payrec, mode_code,coinsurance_code,class_cd,it_remarks) values('20Aug240150','040000160884','200',(select max(to_number(i.premium_rcv_detail_code))+1
from ins_premium_det i),'200','200','02', '11000003','00','Request by Mr. Saqib Saleem 21-Aug-2024 sheet5');</v>
      </c>
    </row>
    <row r="6" spans="1:8" ht="105" x14ac:dyDescent="0.25">
      <c r="A6" s="18" t="s">
        <v>540</v>
      </c>
      <c r="B6" s="21" t="str">
        <f>VLOOKUP(A6,[1]Sheet1!$B$2:$C$110,2,0)</f>
        <v>040000160885</v>
      </c>
      <c r="C6" s="17">
        <v>200</v>
      </c>
      <c r="D6" s="22">
        <f t="shared" si="1"/>
        <v>200</v>
      </c>
      <c r="E6" s="26" t="s">
        <v>648</v>
      </c>
      <c r="F6" s="23" t="str">
        <f t="shared" si="0"/>
        <v>insert into ins_premium_det (premium_rcv_code,assorted_code, rec_amount,premium_rcv_detail_code,remaining_amt, payrec, mode_code,coinsurance_code,class_cd,it_remarks) values</v>
      </c>
      <c r="G6" s="24" t="str">
        <f t="shared" si="2"/>
        <v>('20Aug240150','040000160885','200',(select max(to_number(i.premium_rcv_detail_code))+1
from ins_premium_det i),'200','200','02', '11000003','00','Request by Mr. Saqib Saleem 21-Aug-2024 sheet5');</v>
      </c>
      <c r="H6" s="25" t="str">
        <f t="shared" si="3"/>
        <v>insert into ins_premium_det (premium_rcv_code,assorted_code, rec_amount,premium_rcv_detail_code,remaining_amt, payrec, mode_code,coinsurance_code,class_cd,it_remarks) values('20Aug240150','040000160885','200',(select max(to_number(i.premium_rcv_detail_code))+1
from ins_premium_det i),'200','200','02', '11000003','00','Request by Mr. Saqib Saleem 21-Aug-2024 sheet5');</v>
      </c>
    </row>
    <row r="7" spans="1:8" ht="105" x14ac:dyDescent="0.25">
      <c r="A7" s="18" t="s">
        <v>541</v>
      </c>
      <c r="B7" s="21" t="str">
        <f>VLOOKUP(A7,[1]Sheet1!$B$2:$C$110,2,0)</f>
        <v>040000160886</v>
      </c>
      <c r="C7" s="17">
        <v>200</v>
      </c>
      <c r="D7" s="22">
        <f t="shared" si="1"/>
        <v>200</v>
      </c>
      <c r="E7" s="26" t="s">
        <v>648</v>
      </c>
      <c r="F7" s="23" t="str">
        <f t="shared" si="0"/>
        <v>insert into ins_premium_det (premium_rcv_code,assorted_code, rec_amount,premium_rcv_detail_code,remaining_amt, payrec, mode_code,coinsurance_code,class_cd,it_remarks) values</v>
      </c>
      <c r="G7" s="24" t="str">
        <f t="shared" si="2"/>
        <v>('20Aug240150','040000160886','200',(select max(to_number(i.premium_rcv_detail_code))+1
from ins_premium_det i),'200','200','02', '11000003','00','Request by Mr. Saqib Saleem 21-Aug-2024 sheet5');</v>
      </c>
      <c r="H7" s="25" t="str">
        <f t="shared" si="3"/>
        <v>insert into ins_premium_det (premium_rcv_code,assorted_code, rec_amount,premium_rcv_detail_code,remaining_amt, payrec, mode_code,coinsurance_code,class_cd,it_remarks) values('20Aug240150','040000160886','200',(select max(to_number(i.premium_rcv_detail_code))+1
from ins_premium_det i),'200','200','02', '11000003','00','Request by Mr. Saqib Saleem 21-Aug-2024 sheet5');</v>
      </c>
    </row>
    <row r="8" spans="1:8" ht="105" x14ac:dyDescent="0.25">
      <c r="A8" s="18" t="s">
        <v>542</v>
      </c>
      <c r="B8" s="21" t="str">
        <f>VLOOKUP(A8,[1]Sheet1!$B$2:$C$110,2,0)</f>
        <v>040000160887</v>
      </c>
      <c r="C8" s="17">
        <v>284</v>
      </c>
      <c r="D8" s="22">
        <f t="shared" si="1"/>
        <v>284</v>
      </c>
      <c r="E8" s="26" t="s">
        <v>648</v>
      </c>
      <c r="F8" s="23" t="str">
        <f t="shared" si="0"/>
        <v>insert into ins_premium_det (premium_rcv_code,assorted_code, rec_amount,premium_rcv_detail_code,remaining_amt, payrec, mode_code,coinsurance_code,class_cd,it_remarks) values</v>
      </c>
      <c r="G8" s="24" t="str">
        <f t="shared" si="2"/>
        <v>('20Aug240150','040000160887','284',(select max(to_number(i.premium_rcv_detail_code))+1
from ins_premium_det i),'284','284','02', '11000003','00','Request by Mr. Saqib Saleem 21-Aug-2024 sheet5');</v>
      </c>
      <c r="H8" s="25" t="str">
        <f t="shared" si="3"/>
        <v>insert into ins_premium_det (premium_rcv_code,assorted_code, rec_amount,premium_rcv_detail_code,remaining_amt, payrec, mode_code,coinsurance_code,class_cd,it_remarks) values('20Aug240150','040000160887','284',(select max(to_number(i.premium_rcv_detail_code))+1
from ins_premium_det i),'284','284','02', '11000003','00','Request by Mr. Saqib Saleem 21-Aug-2024 sheet5');</v>
      </c>
    </row>
    <row r="9" spans="1:8" ht="105" x14ac:dyDescent="0.25">
      <c r="A9" s="18" t="s">
        <v>543</v>
      </c>
      <c r="B9" s="21" t="str">
        <f>VLOOKUP(A9,[1]Sheet1!$B$2:$C$110,2,0)</f>
        <v>040000160888</v>
      </c>
      <c r="C9" s="17">
        <v>221</v>
      </c>
      <c r="D9" s="22">
        <f t="shared" si="1"/>
        <v>221</v>
      </c>
      <c r="E9" s="26" t="s">
        <v>648</v>
      </c>
      <c r="F9" s="23" t="str">
        <f t="shared" si="0"/>
        <v>insert into ins_premium_det (premium_rcv_code,assorted_code, rec_amount,premium_rcv_detail_code,remaining_amt, payrec, mode_code,coinsurance_code,class_cd,it_remarks) values</v>
      </c>
      <c r="G9" s="24" t="str">
        <f t="shared" si="2"/>
        <v>('20Aug240150','040000160888','221',(select max(to_number(i.premium_rcv_detail_code))+1
from ins_premium_det i),'221','221','02', '11000003','00','Request by Mr. Saqib Saleem 21-Aug-2024 sheet5');</v>
      </c>
      <c r="H9" s="25" t="str">
        <f t="shared" si="3"/>
        <v>insert into ins_premium_det (premium_rcv_code,assorted_code, rec_amount,premium_rcv_detail_code,remaining_amt, payrec, mode_code,coinsurance_code,class_cd,it_remarks) values('20Aug240150','040000160888','221',(select max(to_number(i.premium_rcv_detail_code))+1
from ins_premium_det i),'221','221','02', '11000003','00','Request by Mr. Saqib Saleem 21-Aug-2024 sheet5');</v>
      </c>
    </row>
    <row r="10" spans="1:8" ht="105" x14ac:dyDescent="0.25">
      <c r="A10" s="18" t="s">
        <v>544</v>
      </c>
      <c r="B10" s="21" t="str">
        <f>VLOOKUP(A10,[1]Sheet1!$B$2:$C$110,2,0)</f>
        <v>040000160889</v>
      </c>
      <c r="C10" s="17">
        <v>200</v>
      </c>
      <c r="D10" s="22">
        <f t="shared" si="1"/>
        <v>200</v>
      </c>
      <c r="E10" s="26" t="s">
        <v>648</v>
      </c>
      <c r="F10" s="23" t="str">
        <f t="shared" si="0"/>
        <v>insert into ins_premium_det (premium_rcv_code,assorted_code, rec_amount,premium_rcv_detail_code,remaining_amt, payrec, mode_code,coinsurance_code,class_cd,it_remarks) values</v>
      </c>
      <c r="G10" s="24" t="str">
        <f t="shared" si="2"/>
        <v>('20Aug240150','040000160889','200',(select max(to_number(i.premium_rcv_detail_code))+1
from ins_premium_det i),'200','200','02', '11000003','00','Request by Mr. Saqib Saleem 21-Aug-2024 sheet5');</v>
      </c>
      <c r="H10" s="25" t="str">
        <f t="shared" si="3"/>
        <v>insert into ins_premium_det (premium_rcv_code,assorted_code, rec_amount,premium_rcv_detail_code,remaining_amt, payrec, mode_code,coinsurance_code,class_cd,it_remarks) values('20Aug240150','040000160889','200',(select max(to_number(i.premium_rcv_detail_code))+1
from ins_premium_det i),'200','200','02', '11000003','00','Request by Mr. Saqib Saleem 21-Aug-2024 sheet5');</v>
      </c>
    </row>
    <row r="11" spans="1:8" ht="105" x14ac:dyDescent="0.25">
      <c r="A11" s="18" t="s">
        <v>545</v>
      </c>
      <c r="B11" s="21" t="str">
        <f>VLOOKUP(A11,[1]Sheet1!$B$2:$C$110,2,0)</f>
        <v>040000160890</v>
      </c>
      <c r="C11" s="17">
        <v>426</v>
      </c>
      <c r="D11" s="22">
        <f t="shared" si="1"/>
        <v>426</v>
      </c>
      <c r="E11" s="26" t="s">
        <v>648</v>
      </c>
      <c r="F11" s="23" t="str">
        <f t="shared" si="0"/>
        <v>insert into ins_premium_det (premium_rcv_code,assorted_code, rec_amount,premium_rcv_detail_code,remaining_amt, payrec, mode_code,coinsurance_code,class_cd,it_remarks) values</v>
      </c>
      <c r="G11" s="24" t="str">
        <f t="shared" si="2"/>
        <v>('20Aug240150','040000160890','426',(select max(to_number(i.premium_rcv_detail_code))+1
from ins_premium_det i),'426','426','02', '11000003','00','Request by Mr. Saqib Saleem 21-Aug-2024 sheet5');</v>
      </c>
      <c r="H11" s="25" t="str">
        <f t="shared" si="3"/>
        <v>insert into ins_premium_det (premium_rcv_code,assorted_code, rec_amount,premium_rcv_detail_code,remaining_amt, payrec, mode_code,coinsurance_code,class_cd,it_remarks) values('20Aug240150','040000160890','426',(select max(to_number(i.premium_rcv_detail_code))+1
from ins_premium_det i),'426','426','02', '11000003','00','Request by Mr. Saqib Saleem 21-Aug-2024 sheet5');</v>
      </c>
    </row>
    <row r="12" spans="1:8" ht="105" x14ac:dyDescent="0.25">
      <c r="A12" s="18" t="s">
        <v>546</v>
      </c>
      <c r="B12" s="21" t="str">
        <f>VLOOKUP(A12,[1]Sheet1!$B$2:$C$110,2,0)</f>
        <v>040000160891</v>
      </c>
      <c r="C12" s="17">
        <v>288</v>
      </c>
      <c r="D12" s="22">
        <f t="shared" si="1"/>
        <v>288</v>
      </c>
      <c r="E12" s="26" t="s">
        <v>648</v>
      </c>
      <c r="F12" s="23" t="str">
        <f t="shared" si="0"/>
        <v>insert into ins_premium_det (premium_rcv_code,assorted_code, rec_amount,premium_rcv_detail_code,remaining_amt, payrec, mode_code,coinsurance_code,class_cd,it_remarks) values</v>
      </c>
      <c r="G12" s="24" t="str">
        <f t="shared" si="2"/>
        <v>('20Aug240150','040000160891','288',(select max(to_number(i.premium_rcv_detail_code))+1
from ins_premium_det i),'288','288','02', '11000003','00','Request by Mr. Saqib Saleem 21-Aug-2024 sheet5');</v>
      </c>
      <c r="H12" s="25" t="str">
        <f t="shared" si="3"/>
        <v>insert into ins_premium_det (premium_rcv_code,assorted_code, rec_amount,premium_rcv_detail_code,remaining_amt, payrec, mode_code,coinsurance_code,class_cd,it_remarks) values('20Aug240150','040000160891','288',(select max(to_number(i.premium_rcv_detail_code))+1
from ins_premium_det i),'288','288','02', '11000003','00','Request by Mr. Saqib Saleem 21-Aug-2024 sheet5');</v>
      </c>
    </row>
    <row r="13" spans="1:8" ht="105" x14ac:dyDescent="0.25">
      <c r="A13" s="18" t="s">
        <v>547</v>
      </c>
      <c r="B13" s="21" t="str">
        <f>VLOOKUP(A13,[1]Sheet1!$B$2:$C$110,2,0)</f>
        <v>040000160892</v>
      </c>
      <c r="C13" s="17">
        <v>342</v>
      </c>
      <c r="D13" s="22">
        <f t="shared" si="1"/>
        <v>342</v>
      </c>
      <c r="E13" s="26" t="s">
        <v>648</v>
      </c>
      <c r="F13" s="23" t="str">
        <f t="shared" si="0"/>
        <v>insert into ins_premium_det (premium_rcv_code,assorted_code, rec_amount,premium_rcv_detail_code,remaining_amt, payrec, mode_code,coinsurance_code,class_cd,it_remarks) values</v>
      </c>
      <c r="G13" s="24" t="str">
        <f t="shared" si="2"/>
        <v>('20Aug240150','040000160892','342',(select max(to_number(i.premium_rcv_detail_code))+1
from ins_premium_det i),'342','342','02', '11000003','00','Request by Mr. Saqib Saleem 21-Aug-2024 sheet5');</v>
      </c>
      <c r="H13" s="25" t="str">
        <f t="shared" si="3"/>
        <v>insert into ins_premium_det (premium_rcv_code,assorted_code, rec_amount,premium_rcv_detail_code,remaining_amt, payrec, mode_code,coinsurance_code,class_cd,it_remarks) values('20Aug240150','040000160892','342',(select max(to_number(i.premium_rcv_detail_code))+1
from ins_premium_det i),'342','342','02', '11000003','00','Request by Mr. Saqib Saleem 21-Aug-2024 sheet5');</v>
      </c>
    </row>
    <row r="14" spans="1:8" ht="105" x14ac:dyDescent="0.25">
      <c r="A14" s="18" t="s">
        <v>548</v>
      </c>
      <c r="B14" s="21" t="str">
        <f>VLOOKUP(A14,[1]Sheet1!$B$2:$C$110,2,0)</f>
        <v>040000160893</v>
      </c>
      <c r="C14" s="17">
        <v>348</v>
      </c>
      <c r="D14" s="22">
        <f t="shared" si="1"/>
        <v>348</v>
      </c>
      <c r="E14" s="26" t="s">
        <v>648</v>
      </c>
      <c r="F14" s="23" t="str">
        <f t="shared" si="0"/>
        <v>insert into ins_premium_det (premium_rcv_code,assorted_code, rec_amount,premium_rcv_detail_code,remaining_amt, payrec, mode_code,coinsurance_code,class_cd,it_remarks) values</v>
      </c>
      <c r="G14" s="24" t="str">
        <f t="shared" si="2"/>
        <v>('20Aug240150','040000160893','348',(select max(to_number(i.premium_rcv_detail_code))+1
from ins_premium_det i),'348','348','02', '11000003','00','Request by Mr. Saqib Saleem 21-Aug-2024 sheet5');</v>
      </c>
      <c r="H14" s="25" t="str">
        <f t="shared" si="3"/>
        <v>insert into ins_premium_det (premium_rcv_code,assorted_code, rec_amount,premium_rcv_detail_code,remaining_amt, payrec, mode_code,coinsurance_code,class_cd,it_remarks) values('20Aug240150','040000160893','348',(select max(to_number(i.premium_rcv_detail_code))+1
from ins_premium_det i),'348','348','02', '11000003','00','Request by Mr. Saqib Saleem 21-Aug-2024 sheet5');</v>
      </c>
    </row>
    <row r="15" spans="1:8" ht="105" x14ac:dyDescent="0.25">
      <c r="A15" s="18" t="s">
        <v>549</v>
      </c>
      <c r="B15" s="21" t="str">
        <f>VLOOKUP(A15,[1]Sheet1!$B$2:$C$110,2,0)</f>
        <v>040000160894</v>
      </c>
      <c r="C15" s="17">
        <v>338</v>
      </c>
      <c r="D15" s="22">
        <f t="shared" si="1"/>
        <v>338</v>
      </c>
      <c r="E15" s="26" t="s">
        <v>648</v>
      </c>
      <c r="F15" s="23" t="str">
        <f t="shared" si="0"/>
        <v>insert into ins_premium_det (premium_rcv_code,assorted_code, rec_amount,premium_rcv_detail_code,remaining_amt, payrec, mode_code,coinsurance_code,class_cd,it_remarks) values</v>
      </c>
      <c r="G15" s="24" t="str">
        <f t="shared" si="2"/>
        <v>('20Aug240150','040000160894','338',(select max(to_number(i.premium_rcv_detail_code))+1
from ins_premium_det i),'338','338','02', '11000003','00','Request by Mr. Saqib Saleem 21-Aug-2024 sheet5');</v>
      </c>
      <c r="H15" s="25" t="str">
        <f t="shared" si="3"/>
        <v>insert into ins_premium_det (premium_rcv_code,assorted_code, rec_amount,premium_rcv_detail_code,remaining_amt, payrec, mode_code,coinsurance_code,class_cd,it_remarks) values('20Aug240150','040000160894','338',(select max(to_number(i.premium_rcv_detail_code))+1
from ins_premium_det i),'338','338','02', '11000003','00','Request by Mr. Saqib Saleem 21-Aug-2024 sheet5');</v>
      </c>
    </row>
    <row r="16" spans="1:8" ht="105" x14ac:dyDescent="0.25">
      <c r="A16" s="18" t="s">
        <v>550</v>
      </c>
      <c r="B16" s="21" t="str">
        <f>VLOOKUP(A16,[1]Sheet1!$B$2:$C$110,2,0)</f>
        <v>040000160895</v>
      </c>
      <c r="C16" s="17">
        <v>549</v>
      </c>
      <c r="D16" s="22">
        <f t="shared" si="1"/>
        <v>549</v>
      </c>
      <c r="E16" s="26" t="s">
        <v>648</v>
      </c>
      <c r="F16" s="23" t="str">
        <f t="shared" si="0"/>
        <v>insert into ins_premium_det (premium_rcv_code,assorted_code, rec_amount,premium_rcv_detail_code,remaining_amt, payrec, mode_code,coinsurance_code,class_cd,it_remarks) values</v>
      </c>
      <c r="G16" s="24" t="str">
        <f t="shared" si="2"/>
        <v>('20Aug240150','040000160895','549',(select max(to_number(i.premium_rcv_detail_code))+1
from ins_premium_det i),'549','549','02', '11000003','00','Request by Mr. Saqib Saleem 21-Aug-2024 sheet5');</v>
      </c>
      <c r="H16" s="25" t="str">
        <f t="shared" si="3"/>
        <v>insert into ins_premium_det (premium_rcv_code,assorted_code, rec_amount,premium_rcv_detail_code,remaining_amt, payrec, mode_code,coinsurance_code,class_cd,it_remarks) values('20Aug240150','040000160895','549',(select max(to_number(i.premium_rcv_detail_code))+1
from ins_premium_det i),'549','549','02', '11000003','00','Request by Mr. Saqib Saleem 21-Aug-2024 sheet5');</v>
      </c>
    </row>
    <row r="17" spans="1:8" ht="105" x14ac:dyDescent="0.25">
      <c r="A17" s="18" t="s">
        <v>551</v>
      </c>
      <c r="B17" s="21" t="str">
        <f>VLOOKUP(A17,[1]Sheet1!$B$2:$C$110,2,0)</f>
        <v>040000160896</v>
      </c>
      <c r="C17" s="17">
        <v>591</v>
      </c>
      <c r="D17" s="22">
        <f t="shared" si="1"/>
        <v>591</v>
      </c>
      <c r="E17" s="26" t="s">
        <v>648</v>
      </c>
      <c r="F17" s="23" t="str">
        <f t="shared" si="0"/>
        <v>insert into ins_premium_det (premium_rcv_code,assorted_code, rec_amount,premium_rcv_detail_code,remaining_amt, payrec, mode_code,coinsurance_code,class_cd,it_remarks) values</v>
      </c>
      <c r="G17" s="24" t="str">
        <f t="shared" si="2"/>
        <v>('20Aug240150','040000160896','591',(select max(to_number(i.premium_rcv_detail_code))+1
from ins_premium_det i),'591','591','02', '11000003','00','Request by Mr. Saqib Saleem 21-Aug-2024 sheet5');</v>
      </c>
      <c r="H17" s="25" t="str">
        <f t="shared" si="3"/>
        <v>insert into ins_premium_det (premium_rcv_code,assorted_code, rec_amount,premium_rcv_detail_code,remaining_amt, payrec, mode_code,coinsurance_code,class_cd,it_remarks) values('20Aug240150','040000160896','591',(select max(to_number(i.premium_rcv_detail_code))+1
from ins_premium_det i),'591','591','02', '11000003','00','Request by Mr. Saqib Saleem 21-Aug-2024 sheet5');</v>
      </c>
    </row>
    <row r="18" spans="1:8" ht="105" x14ac:dyDescent="0.25">
      <c r="A18" s="18" t="s">
        <v>552</v>
      </c>
      <c r="B18" s="21" t="str">
        <f>VLOOKUP(A18,[1]Sheet1!$B$2:$C$110,2,0)</f>
        <v>040000160897</v>
      </c>
      <c r="C18" s="17">
        <v>489</v>
      </c>
      <c r="D18" s="22">
        <f t="shared" si="1"/>
        <v>489</v>
      </c>
      <c r="E18" s="26" t="s">
        <v>648</v>
      </c>
      <c r="F18" s="23" t="str">
        <f t="shared" si="0"/>
        <v>insert into ins_premium_det (premium_rcv_code,assorted_code, rec_amount,premium_rcv_detail_code,remaining_amt, payrec, mode_code,coinsurance_code,class_cd,it_remarks) values</v>
      </c>
      <c r="G18" s="24" t="str">
        <f t="shared" si="2"/>
        <v>('20Aug240150','040000160897','489',(select max(to_number(i.premium_rcv_detail_code))+1
from ins_premium_det i),'489','489','02', '11000003','00','Request by Mr. Saqib Saleem 21-Aug-2024 sheet5');</v>
      </c>
      <c r="H18" s="25" t="str">
        <f t="shared" si="3"/>
        <v>insert into ins_premium_det (premium_rcv_code,assorted_code, rec_amount,premium_rcv_detail_code,remaining_amt, payrec, mode_code,coinsurance_code,class_cd,it_remarks) values('20Aug240150','040000160897','489',(select max(to_number(i.premium_rcv_detail_code))+1
from ins_premium_det i),'489','489','02', '11000003','00','Request by Mr. Saqib Saleem 21-Aug-2024 sheet5');</v>
      </c>
    </row>
    <row r="19" spans="1:8" ht="105" x14ac:dyDescent="0.25">
      <c r="A19" s="18" t="s">
        <v>553</v>
      </c>
      <c r="B19" s="21" t="str">
        <f>VLOOKUP(A19,[1]Sheet1!$B$2:$C$110,2,0)</f>
        <v>040000160898</v>
      </c>
      <c r="C19" s="17">
        <v>200</v>
      </c>
      <c r="D19" s="22">
        <f t="shared" si="1"/>
        <v>200</v>
      </c>
      <c r="E19" s="26" t="s">
        <v>648</v>
      </c>
      <c r="F19" s="23" t="str">
        <f t="shared" si="0"/>
        <v>insert into ins_premium_det (premium_rcv_code,assorted_code, rec_amount,premium_rcv_detail_code,remaining_amt, payrec, mode_code,coinsurance_code,class_cd,it_remarks) values</v>
      </c>
      <c r="G19" s="24" t="str">
        <f t="shared" si="2"/>
        <v>('20Aug240150','040000160898','200',(select max(to_number(i.premium_rcv_detail_code))+1
from ins_premium_det i),'200','200','02', '11000003','00','Request by Mr. Saqib Saleem 21-Aug-2024 sheet5');</v>
      </c>
      <c r="H19" s="25" t="str">
        <f t="shared" si="3"/>
        <v>insert into ins_premium_det (premium_rcv_code,assorted_code, rec_amount,premium_rcv_detail_code,remaining_amt, payrec, mode_code,coinsurance_code,class_cd,it_remarks) values('20Aug240150','040000160898','200',(select max(to_number(i.premium_rcv_detail_code))+1
from ins_premium_det i),'200','200','02', '11000003','00','Request by Mr. Saqib Saleem 21-Aug-2024 sheet5');</v>
      </c>
    </row>
    <row r="20" spans="1:8" ht="105" x14ac:dyDescent="0.25">
      <c r="A20" s="18" t="s">
        <v>554</v>
      </c>
      <c r="B20" s="21" t="str">
        <f>VLOOKUP(A20,[1]Sheet1!$B$2:$C$110,2,0)</f>
        <v>040000160899</v>
      </c>
      <c r="C20" s="17">
        <v>618</v>
      </c>
      <c r="D20" s="22">
        <f t="shared" si="1"/>
        <v>618</v>
      </c>
      <c r="E20" s="26" t="s">
        <v>648</v>
      </c>
      <c r="F20" s="23" t="str">
        <f t="shared" si="0"/>
        <v>insert into ins_premium_det (premium_rcv_code,assorted_code, rec_amount,premium_rcv_detail_code,remaining_amt, payrec, mode_code,coinsurance_code,class_cd,it_remarks) values</v>
      </c>
      <c r="G20" s="24" t="str">
        <f t="shared" si="2"/>
        <v>('20Aug240150','040000160899','618',(select max(to_number(i.premium_rcv_detail_code))+1
from ins_premium_det i),'618','618','02', '11000003','00','Request by Mr. Saqib Saleem 21-Aug-2024 sheet5');</v>
      </c>
      <c r="H20" s="25" t="str">
        <f t="shared" si="3"/>
        <v>insert into ins_premium_det (premium_rcv_code,assorted_code, rec_amount,premium_rcv_detail_code,remaining_amt, payrec, mode_code,coinsurance_code,class_cd,it_remarks) values('20Aug240150','040000160899','618',(select max(to_number(i.premium_rcv_detail_code))+1
from ins_premium_det i),'618','618','02', '11000003','00','Request by Mr. Saqib Saleem 21-Aug-2024 sheet5');</v>
      </c>
    </row>
    <row r="21" spans="1:8" ht="105" x14ac:dyDescent="0.25">
      <c r="A21" s="18" t="s">
        <v>555</v>
      </c>
      <c r="B21" s="21" t="str">
        <f>VLOOKUP(A21,[1]Sheet1!$B$2:$C$110,2,0)</f>
        <v>040000160900</v>
      </c>
      <c r="C21" s="17">
        <v>506</v>
      </c>
      <c r="D21" s="22">
        <f t="shared" si="1"/>
        <v>506</v>
      </c>
      <c r="E21" s="26" t="s">
        <v>648</v>
      </c>
      <c r="F21" s="23" t="str">
        <f t="shared" si="0"/>
        <v>insert into ins_premium_det (premium_rcv_code,assorted_code, rec_amount,premium_rcv_detail_code,remaining_amt, payrec, mode_code,coinsurance_code,class_cd,it_remarks) values</v>
      </c>
      <c r="G21" s="24" t="str">
        <f t="shared" si="2"/>
        <v>('20Aug240150','040000160900','506',(select max(to_number(i.premium_rcv_detail_code))+1
from ins_premium_det i),'506','506','02', '11000003','00','Request by Mr. Saqib Saleem 21-Aug-2024 sheet5');</v>
      </c>
      <c r="H21" s="25" t="str">
        <f t="shared" si="3"/>
        <v>insert into ins_premium_det (premium_rcv_code,assorted_code, rec_amount,premium_rcv_detail_code,remaining_amt, payrec, mode_code,coinsurance_code,class_cd,it_remarks) values('20Aug240150','040000160900','506',(select max(to_number(i.premium_rcv_detail_code))+1
from ins_premium_det i),'506','506','02', '11000003','00','Request by Mr. Saqib Saleem 21-Aug-2024 sheet5');</v>
      </c>
    </row>
    <row r="22" spans="1:8" ht="105" x14ac:dyDescent="0.25">
      <c r="A22" s="18" t="s">
        <v>556</v>
      </c>
      <c r="B22" s="21" t="str">
        <f>VLOOKUP(A22,[1]Sheet1!$B$2:$C$110,2,0)</f>
        <v>040000160901</v>
      </c>
      <c r="C22" s="17">
        <v>585</v>
      </c>
      <c r="D22" s="22">
        <f t="shared" si="1"/>
        <v>585</v>
      </c>
      <c r="E22" s="26" t="s">
        <v>648</v>
      </c>
      <c r="F22" s="23" t="str">
        <f t="shared" si="0"/>
        <v>insert into ins_premium_det (premium_rcv_code,assorted_code, rec_amount,premium_rcv_detail_code,remaining_amt, payrec, mode_code,coinsurance_code,class_cd,it_remarks) values</v>
      </c>
      <c r="G22" s="24" t="str">
        <f t="shared" si="2"/>
        <v>('20Aug240150','040000160901','585',(select max(to_number(i.premium_rcv_detail_code))+1
from ins_premium_det i),'585','585','02', '11000003','00','Request by Mr. Saqib Saleem 21-Aug-2024 sheet5');</v>
      </c>
      <c r="H22" s="25" t="str">
        <f t="shared" si="3"/>
        <v>insert into ins_premium_det (premium_rcv_code,assorted_code, rec_amount,premium_rcv_detail_code,remaining_amt, payrec, mode_code,coinsurance_code,class_cd,it_remarks) values('20Aug240150','040000160901','585',(select max(to_number(i.premium_rcv_detail_code))+1
from ins_premium_det i),'585','585','02', '11000003','00','Request by Mr. Saqib Saleem 21-Aug-2024 sheet5');</v>
      </c>
    </row>
    <row r="23" spans="1:8" ht="105" x14ac:dyDescent="0.25">
      <c r="A23" s="18" t="s">
        <v>557</v>
      </c>
      <c r="B23" s="21" t="str">
        <f>VLOOKUP(A23,[1]Sheet1!$B$2:$C$110,2,0)</f>
        <v>040000160902</v>
      </c>
      <c r="C23" s="17">
        <v>717</v>
      </c>
      <c r="D23" s="22">
        <f t="shared" si="1"/>
        <v>717</v>
      </c>
      <c r="E23" s="26" t="s">
        <v>648</v>
      </c>
      <c r="F23" s="23" t="str">
        <f t="shared" si="0"/>
        <v>insert into ins_premium_det (premium_rcv_code,assorted_code, rec_amount,premium_rcv_detail_code,remaining_amt, payrec, mode_code,coinsurance_code,class_cd,it_remarks) values</v>
      </c>
      <c r="G23" s="24" t="str">
        <f t="shared" si="2"/>
        <v>('20Aug240150','040000160902','717',(select max(to_number(i.premium_rcv_detail_code))+1
from ins_premium_det i),'717','717','02', '11000003','00','Request by Mr. Saqib Saleem 21-Aug-2024 sheet5');</v>
      </c>
      <c r="H23" s="25" t="str">
        <f t="shared" si="3"/>
        <v>insert into ins_premium_det (premium_rcv_code,assorted_code, rec_amount,premium_rcv_detail_code,remaining_amt, payrec, mode_code,coinsurance_code,class_cd,it_remarks) values('20Aug240150','040000160902','717',(select max(to_number(i.premium_rcv_detail_code))+1
from ins_premium_det i),'717','717','02', '11000003','00','Request by Mr. Saqib Saleem 21-Aug-2024 sheet5');</v>
      </c>
    </row>
    <row r="24" spans="1:8" ht="105" x14ac:dyDescent="0.25">
      <c r="A24" s="18" t="s">
        <v>558</v>
      </c>
      <c r="B24" s="21" t="str">
        <f>VLOOKUP(A24,[1]Sheet1!$B$2:$C$110,2,0)</f>
        <v>040000160903</v>
      </c>
      <c r="C24" s="17">
        <v>643</v>
      </c>
      <c r="D24" s="22">
        <f t="shared" si="1"/>
        <v>643</v>
      </c>
      <c r="E24" s="26" t="s">
        <v>648</v>
      </c>
      <c r="F24" s="23" t="str">
        <f t="shared" si="0"/>
        <v>insert into ins_premium_det (premium_rcv_code,assorted_code, rec_amount,premium_rcv_detail_code,remaining_amt, payrec, mode_code,coinsurance_code,class_cd,it_remarks) values</v>
      </c>
      <c r="G24" s="24" t="str">
        <f t="shared" si="2"/>
        <v>('20Aug240150','040000160903','643',(select max(to_number(i.premium_rcv_detail_code))+1
from ins_premium_det i),'643','643','02', '11000003','00','Request by Mr. Saqib Saleem 21-Aug-2024 sheet5');</v>
      </c>
      <c r="H24" s="25" t="str">
        <f t="shared" si="3"/>
        <v>insert into ins_premium_det (premium_rcv_code,assorted_code, rec_amount,premium_rcv_detail_code,remaining_amt, payrec, mode_code,coinsurance_code,class_cd,it_remarks) values('20Aug240150','040000160903','643',(select max(to_number(i.premium_rcv_detail_code))+1
from ins_premium_det i),'643','643','02', '11000003','00','Request by Mr. Saqib Saleem 21-Aug-2024 sheet5');</v>
      </c>
    </row>
    <row r="25" spans="1:8" ht="105" x14ac:dyDescent="0.25">
      <c r="A25" s="18" t="s">
        <v>559</v>
      </c>
      <c r="B25" s="21" t="str">
        <f>VLOOKUP(A25,[1]Sheet1!$B$2:$C$110,2,0)</f>
        <v>040000160904</v>
      </c>
      <c r="C25" s="17">
        <v>477</v>
      </c>
      <c r="D25" s="22">
        <f t="shared" si="1"/>
        <v>477</v>
      </c>
      <c r="E25" s="26" t="s">
        <v>648</v>
      </c>
      <c r="F25" s="23" t="str">
        <f t="shared" si="0"/>
        <v>insert into ins_premium_det (premium_rcv_code,assorted_code, rec_amount,premium_rcv_detail_code,remaining_amt, payrec, mode_code,coinsurance_code,class_cd,it_remarks) values</v>
      </c>
      <c r="G25" s="24" t="str">
        <f t="shared" si="2"/>
        <v>('20Aug240150','040000160904','477',(select max(to_number(i.premium_rcv_detail_code))+1
from ins_premium_det i),'477','477','02', '11000003','00','Request by Mr. Saqib Saleem 21-Aug-2024 sheet5');</v>
      </c>
      <c r="H25" s="25" t="str">
        <f t="shared" si="3"/>
        <v>insert into ins_premium_det (premium_rcv_code,assorted_code, rec_amount,premium_rcv_detail_code,remaining_amt, payrec, mode_code,coinsurance_code,class_cd,it_remarks) values('20Aug240150','040000160904','477',(select max(to_number(i.premium_rcv_detail_code))+1
from ins_premium_det i),'477','477','02', '11000003','00','Request by Mr. Saqib Saleem 21-Aug-2024 sheet5');</v>
      </c>
    </row>
    <row r="26" spans="1:8" ht="105" x14ac:dyDescent="0.25">
      <c r="A26" s="18" t="s">
        <v>560</v>
      </c>
      <c r="B26" s="21" t="str">
        <f>VLOOKUP(A26,[1]Sheet1!$B$2:$C$110,2,0)</f>
        <v>040000160905</v>
      </c>
      <c r="C26" s="17">
        <v>646</v>
      </c>
      <c r="D26" s="22">
        <f t="shared" si="1"/>
        <v>646</v>
      </c>
      <c r="E26" s="26" t="s">
        <v>648</v>
      </c>
      <c r="F26" s="23" t="str">
        <f t="shared" si="0"/>
        <v>insert into ins_premium_det (premium_rcv_code,assorted_code, rec_amount,premium_rcv_detail_code,remaining_amt, payrec, mode_code,coinsurance_code,class_cd,it_remarks) values</v>
      </c>
      <c r="G26" s="24" t="str">
        <f t="shared" si="2"/>
        <v>('20Aug240150','040000160905','646',(select max(to_number(i.premium_rcv_detail_code))+1
from ins_premium_det i),'646','646','02', '11000003','00','Request by Mr. Saqib Saleem 21-Aug-2024 sheet5');</v>
      </c>
      <c r="H26" s="25" t="str">
        <f t="shared" si="3"/>
        <v>insert into ins_premium_det (premium_rcv_code,assorted_code, rec_amount,premium_rcv_detail_code,remaining_amt, payrec, mode_code,coinsurance_code,class_cd,it_remarks) values('20Aug240150','040000160905','646',(select max(to_number(i.premium_rcv_detail_code))+1
from ins_premium_det i),'646','646','02', '11000003','00','Request by Mr. Saqib Saleem 21-Aug-2024 sheet5');</v>
      </c>
    </row>
    <row r="27" spans="1:8" ht="105" x14ac:dyDescent="0.25">
      <c r="A27" s="18" t="s">
        <v>561</v>
      </c>
      <c r="B27" s="21" t="str">
        <f>VLOOKUP(A27,[1]Sheet1!$B$2:$C$110,2,0)</f>
        <v>040000160906</v>
      </c>
      <c r="C27" s="17">
        <v>200</v>
      </c>
      <c r="D27" s="22">
        <f t="shared" si="1"/>
        <v>200</v>
      </c>
      <c r="E27" s="26" t="s">
        <v>648</v>
      </c>
      <c r="F27" s="23" t="str">
        <f t="shared" si="0"/>
        <v>insert into ins_premium_det (premium_rcv_code,assorted_code, rec_amount,premium_rcv_detail_code,remaining_amt, payrec, mode_code,coinsurance_code,class_cd,it_remarks) values</v>
      </c>
      <c r="G27" s="24" t="str">
        <f t="shared" si="2"/>
        <v>('20Aug240150','040000160906','200',(select max(to_number(i.premium_rcv_detail_code))+1
from ins_premium_det i),'200','200','02', '11000003','00','Request by Mr. Saqib Saleem 21-Aug-2024 sheet5');</v>
      </c>
      <c r="H27" s="25" t="str">
        <f t="shared" si="3"/>
        <v>insert into ins_premium_det (premium_rcv_code,assorted_code, rec_amount,premium_rcv_detail_code,remaining_amt, payrec, mode_code,coinsurance_code,class_cd,it_remarks) values('20Aug240150','040000160906','200',(select max(to_number(i.premium_rcv_detail_code))+1
from ins_premium_det i),'200','200','02', '11000003','00','Request by Mr. Saqib Saleem 21-Aug-2024 sheet5');</v>
      </c>
    </row>
    <row r="28" spans="1:8" ht="105" x14ac:dyDescent="0.25">
      <c r="A28" s="18" t="s">
        <v>562</v>
      </c>
      <c r="B28" s="21" t="str">
        <f>VLOOKUP(A28,[1]Sheet1!$B$2:$C$110,2,0)</f>
        <v>040000160907</v>
      </c>
      <c r="C28" s="17">
        <v>672</v>
      </c>
      <c r="D28" s="22">
        <f t="shared" si="1"/>
        <v>672</v>
      </c>
      <c r="E28" s="26" t="s">
        <v>648</v>
      </c>
      <c r="F28" s="23" t="str">
        <f t="shared" si="0"/>
        <v>insert into ins_premium_det (premium_rcv_code,assorted_code, rec_amount,premium_rcv_detail_code,remaining_amt, payrec, mode_code,coinsurance_code,class_cd,it_remarks) values</v>
      </c>
      <c r="G28" s="24" t="str">
        <f t="shared" si="2"/>
        <v>('20Aug240150','040000160907','672',(select max(to_number(i.premium_rcv_detail_code))+1
from ins_premium_det i),'672','672','02', '11000003','00','Request by Mr. Saqib Saleem 21-Aug-2024 sheet5');</v>
      </c>
      <c r="H28" s="25" t="str">
        <f t="shared" si="3"/>
        <v>insert into ins_premium_det (premium_rcv_code,assorted_code, rec_amount,premium_rcv_detail_code,remaining_amt, payrec, mode_code,coinsurance_code,class_cd,it_remarks) values('20Aug240150','040000160907','672',(select max(to_number(i.premium_rcv_detail_code))+1
from ins_premium_det i),'672','672','02', '11000003','00','Request by Mr. Saqib Saleem 21-Aug-2024 sheet5');</v>
      </c>
    </row>
    <row r="29" spans="1:8" ht="105" x14ac:dyDescent="0.25">
      <c r="A29" s="18" t="s">
        <v>563</v>
      </c>
      <c r="B29" s="21" t="str">
        <f>VLOOKUP(A29,[1]Sheet1!$B$2:$C$110,2,0)</f>
        <v>040000160908</v>
      </c>
      <c r="C29" s="17">
        <v>828</v>
      </c>
      <c r="D29" s="22">
        <f t="shared" si="1"/>
        <v>828</v>
      </c>
      <c r="E29" s="26" t="s">
        <v>648</v>
      </c>
      <c r="F29" s="23" t="str">
        <f t="shared" si="0"/>
        <v>insert into ins_premium_det (premium_rcv_code,assorted_code, rec_amount,premium_rcv_detail_code,remaining_amt, payrec, mode_code,coinsurance_code,class_cd,it_remarks) values</v>
      </c>
      <c r="G29" s="24" t="str">
        <f t="shared" si="2"/>
        <v>('20Aug240150','040000160908','828',(select max(to_number(i.premium_rcv_detail_code))+1
from ins_premium_det i),'828','828','02', '11000003','00','Request by Mr. Saqib Saleem 21-Aug-2024 sheet5');</v>
      </c>
      <c r="H29" s="25" t="str">
        <f t="shared" si="3"/>
        <v>insert into ins_premium_det (premium_rcv_code,assorted_code, rec_amount,premium_rcv_detail_code,remaining_amt, payrec, mode_code,coinsurance_code,class_cd,it_remarks) values('20Aug240150','040000160908','828',(select max(to_number(i.premium_rcv_detail_code))+1
from ins_premium_det i),'828','828','02', '11000003','00','Request by Mr. Saqib Saleem 21-Aug-2024 sheet5');</v>
      </c>
    </row>
    <row r="30" spans="1:8" ht="105" x14ac:dyDescent="0.25">
      <c r="A30" s="18" t="s">
        <v>564</v>
      </c>
      <c r="B30" s="21" t="str">
        <f>VLOOKUP(A30,[1]Sheet1!$B$2:$C$110,2,0)</f>
        <v>040000160909</v>
      </c>
      <c r="C30" s="17">
        <v>908</v>
      </c>
      <c r="D30" s="22">
        <f t="shared" si="1"/>
        <v>908</v>
      </c>
      <c r="E30" s="26" t="s">
        <v>648</v>
      </c>
      <c r="F30" s="23" t="str">
        <f t="shared" si="0"/>
        <v>insert into ins_premium_det (premium_rcv_code,assorted_code, rec_amount,premium_rcv_detail_code,remaining_amt, payrec, mode_code,coinsurance_code,class_cd,it_remarks) values</v>
      </c>
      <c r="G30" s="24" t="str">
        <f t="shared" si="2"/>
        <v>('20Aug240150','040000160909','908',(select max(to_number(i.premium_rcv_detail_code))+1
from ins_premium_det i),'908','908','02', '11000003','00','Request by Mr. Saqib Saleem 21-Aug-2024 sheet5');</v>
      </c>
      <c r="H30" s="25" t="str">
        <f t="shared" si="3"/>
        <v>insert into ins_premium_det (premium_rcv_code,assorted_code, rec_amount,premium_rcv_detail_code,remaining_amt, payrec, mode_code,coinsurance_code,class_cd,it_remarks) values('20Aug240150','040000160909','908',(select max(to_number(i.premium_rcv_detail_code))+1
from ins_premium_det i),'908','908','02', '11000003','00','Request by Mr. Saqib Saleem 21-Aug-2024 sheet5');</v>
      </c>
    </row>
    <row r="31" spans="1:8" ht="105" x14ac:dyDescent="0.25">
      <c r="A31" s="18" t="s">
        <v>565</v>
      </c>
      <c r="B31" s="21" t="str">
        <f>VLOOKUP(A31,[1]Sheet1!$B$2:$C$110,2,0)</f>
        <v>040000160910</v>
      </c>
      <c r="C31" s="17">
        <v>979</v>
      </c>
      <c r="D31" s="22">
        <f t="shared" si="1"/>
        <v>979</v>
      </c>
      <c r="E31" s="26" t="s">
        <v>648</v>
      </c>
      <c r="F31" s="23" t="str">
        <f t="shared" si="0"/>
        <v>insert into ins_premium_det (premium_rcv_code,assorted_code, rec_amount,premium_rcv_detail_code,remaining_amt, payrec, mode_code,coinsurance_code,class_cd,it_remarks) values</v>
      </c>
      <c r="G31" s="24" t="str">
        <f t="shared" si="2"/>
        <v>('20Aug240150','040000160910','979',(select max(to_number(i.premium_rcv_detail_code))+1
from ins_premium_det i),'979','979','02', '11000003','00','Request by Mr. Saqib Saleem 21-Aug-2024 sheet5');</v>
      </c>
      <c r="H31" s="25" t="str">
        <f t="shared" si="3"/>
        <v>insert into ins_premium_det (premium_rcv_code,assorted_code, rec_amount,premium_rcv_detail_code,remaining_amt, payrec, mode_code,coinsurance_code,class_cd,it_remarks) values('20Aug240150','040000160910','979',(select max(to_number(i.premium_rcv_detail_code))+1
from ins_premium_det i),'979','979','02', '11000003','00','Request by Mr. Saqib Saleem 21-Aug-2024 sheet5');</v>
      </c>
    </row>
    <row r="32" spans="1:8" ht="105" x14ac:dyDescent="0.25">
      <c r="A32" s="18" t="s">
        <v>566</v>
      </c>
      <c r="B32" s="21" t="str">
        <f>VLOOKUP(A32,[1]Sheet1!$B$2:$C$110,2,0)</f>
        <v>040000160911</v>
      </c>
      <c r="C32" s="17">
        <v>965</v>
      </c>
      <c r="D32" s="22">
        <f t="shared" si="1"/>
        <v>965</v>
      </c>
      <c r="E32" s="26" t="s">
        <v>648</v>
      </c>
      <c r="F32" s="23" t="str">
        <f t="shared" si="0"/>
        <v>insert into ins_premium_det (premium_rcv_code,assorted_code, rec_amount,premium_rcv_detail_code,remaining_amt, payrec, mode_code,coinsurance_code,class_cd,it_remarks) values</v>
      </c>
      <c r="G32" s="24" t="str">
        <f t="shared" si="2"/>
        <v>('20Aug240150','040000160911','965',(select max(to_number(i.premium_rcv_detail_code))+1
from ins_premium_det i),'965','965','02', '11000003','00','Request by Mr. Saqib Saleem 21-Aug-2024 sheet5');</v>
      </c>
      <c r="H32" s="25" t="str">
        <f t="shared" si="3"/>
        <v>insert into ins_premium_det (premium_rcv_code,assorted_code, rec_amount,premium_rcv_detail_code,remaining_amt, payrec, mode_code,coinsurance_code,class_cd,it_remarks) values('20Aug240150','040000160911','965',(select max(to_number(i.premium_rcv_detail_code))+1
from ins_premium_det i),'965','965','02', '11000003','00','Request by Mr. Saqib Saleem 21-Aug-2024 sheet5');</v>
      </c>
    </row>
    <row r="33" spans="1:8" ht="105" x14ac:dyDescent="0.25">
      <c r="A33" s="18" t="s">
        <v>567</v>
      </c>
      <c r="B33" s="21" t="str">
        <f>VLOOKUP(A33,[1]Sheet1!$B$2:$C$110,2,0)</f>
        <v>040000160912</v>
      </c>
      <c r="C33" s="17">
        <v>1126</v>
      </c>
      <c r="D33" s="22">
        <f t="shared" si="1"/>
        <v>1126</v>
      </c>
      <c r="E33" s="26" t="s">
        <v>648</v>
      </c>
      <c r="F33" s="23" t="str">
        <f t="shared" si="0"/>
        <v>insert into ins_premium_det (premium_rcv_code,assorted_code, rec_amount,premium_rcv_detail_code,remaining_amt, payrec, mode_code,coinsurance_code,class_cd,it_remarks) values</v>
      </c>
      <c r="G33" s="24" t="str">
        <f t="shared" si="2"/>
        <v>('20Aug240150','040000160912','1126',(select max(to_number(i.premium_rcv_detail_code))+1
from ins_premium_det i),'1126','1126','02', '11000003','00','Request by Mr. Saqib Saleem 21-Aug-2024 sheet5');</v>
      </c>
      <c r="H33" s="25" t="str">
        <f t="shared" si="3"/>
        <v>insert into ins_premium_det (premium_rcv_code,assorted_code, rec_amount,premium_rcv_detail_code,remaining_amt, payrec, mode_code,coinsurance_code,class_cd,it_remarks) values('20Aug240150','040000160912','1126',(select max(to_number(i.premium_rcv_detail_code))+1
from ins_premium_det i),'1126','1126','02', '11000003','00','Request by Mr. Saqib Saleem 21-Aug-2024 sheet5');</v>
      </c>
    </row>
    <row r="34" spans="1:8" ht="105" x14ac:dyDescent="0.25">
      <c r="A34" s="18" t="s">
        <v>568</v>
      </c>
      <c r="B34" s="21" t="str">
        <f>VLOOKUP(A34,[1]Sheet1!$B$2:$C$110,2,0)</f>
        <v>040000160913</v>
      </c>
      <c r="C34" s="17">
        <v>631</v>
      </c>
      <c r="D34" s="22">
        <f t="shared" si="1"/>
        <v>631</v>
      </c>
      <c r="E34" s="26" t="s">
        <v>648</v>
      </c>
      <c r="F34" s="23" t="str">
        <f t="shared" si="0"/>
        <v>insert into ins_premium_det (premium_rcv_code,assorted_code, rec_amount,premium_rcv_detail_code,remaining_amt, payrec, mode_code,coinsurance_code,class_cd,it_remarks) values</v>
      </c>
      <c r="G34" s="24" t="str">
        <f t="shared" si="2"/>
        <v>('20Aug240150','040000160913','631',(select max(to_number(i.premium_rcv_detail_code))+1
from ins_premium_det i),'631','631','02', '11000003','00','Request by Mr. Saqib Saleem 21-Aug-2024 sheet5');</v>
      </c>
      <c r="H34" s="25" t="str">
        <f t="shared" si="3"/>
        <v>insert into ins_premium_det (premium_rcv_code,assorted_code, rec_amount,premium_rcv_detail_code,remaining_amt, payrec, mode_code,coinsurance_code,class_cd,it_remarks) values('20Aug240150','040000160913','631',(select max(to_number(i.premium_rcv_detail_code))+1
from ins_premium_det i),'631','631','02', '11000003','00','Request by Mr. Saqib Saleem 21-Aug-2024 sheet5');</v>
      </c>
    </row>
    <row r="35" spans="1:8" ht="105" x14ac:dyDescent="0.25">
      <c r="A35" s="18" t="s">
        <v>569</v>
      </c>
      <c r="B35" s="21" t="str">
        <f>VLOOKUP(A35,[1]Sheet1!$B$2:$C$110,2,0)</f>
        <v>040000160914</v>
      </c>
      <c r="C35" s="17">
        <v>609</v>
      </c>
      <c r="D35" s="22">
        <f t="shared" si="1"/>
        <v>609</v>
      </c>
      <c r="E35" s="26" t="s">
        <v>648</v>
      </c>
      <c r="F35" s="23" t="str">
        <f t="shared" si="0"/>
        <v>insert into ins_premium_det (premium_rcv_code,assorted_code, rec_amount,premium_rcv_detail_code,remaining_amt, payrec, mode_code,coinsurance_code,class_cd,it_remarks) values</v>
      </c>
      <c r="G35" s="24" t="str">
        <f t="shared" si="2"/>
        <v>('20Aug240150','040000160914','609',(select max(to_number(i.premium_rcv_detail_code))+1
from ins_premium_det i),'609','609','02', '11000003','00','Request by Mr. Saqib Saleem 21-Aug-2024 sheet5');</v>
      </c>
      <c r="H35" s="25" t="str">
        <f t="shared" si="3"/>
        <v>insert into ins_premium_det (premium_rcv_code,assorted_code, rec_amount,premium_rcv_detail_code,remaining_amt, payrec, mode_code,coinsurance_code,class_cd,it_remarks) values('20Aug240150','040000160914','609',(select max(to_number(i.premium_rcv_detail_code))+1
from ins_premium_det i),'609','609','02', '11000003','00','Request by Mr. Saqib Saleem 21-Aug-2024 sheet5');</v>
      </c>
    </row>
    <row r="36" spans="1:8" ht="105" x14ac:dyDescent="0.25">
      <c r="A36" s="18" t="s">
        <v>570</v>
      </c>
      <c r="B36" s="21" t="str">
        <f>VLOOKUP(A36,[1]Sheet1!$B$2:$C$110,2,0)</f>
        <v>040000160915</v>
      </c>
      <c r="C36" s="17">
        <v>1062</v>
      </c>
      <c r="D36" s="22">
        <f t="shared" si="1"/>
        <v>1062</v>
      </c>
      <c r="E36" s="26" t="s">
        <v>648</v>
      </c>
      <c r="F36" s="23" t="str">
        <f t="shared" si="0"/>
        <v>insert into ins_premium_det (premium_rcv_code,assorted_code, rec_amount,premium_rcv_detail_code,remaining_amt, payrec, mode_code,coinsurance_code,class_cd,it_remarks) values</v>
      </c>
      <c r="G36" s="24" t="str">
        <f t="shared" si="2"/>
        <v>('20Aug240150','040000160915','1062',(select max(to_number(i.premium_rcv_detail_code))+1
from ins_premium_det i),'1062','1062','02', '11000003','00','Request by Mr. Saqib Saleem 21-Aug-2024 sheet5');</v>
      </c>
      <c r="H36" s="25" t="str">
        <f t="shared" si="3"/>
        <v>insert into ins_premium_det (premium_rcv_code,assorted_code, rec_amount,premium_rcv_detail_code,remaining_amt, payrec, mode_code,coinsurance_code,class_cd,it_remarks) values('20Aug240150','040000160915','1062',(select max(to_number(i.premium_rcv_detail_code))+1
from ins_premium_det i),'1062','1062','02', '11000003','00','Request by Mr. Saqib Saleem 21-Aug-2024 sheet5');</v>
      </c>
    </row>
    <row r="37" spans="1:8" ht="105" x14ac:dyDescent="0.25">
      <c r="A37" s="18" t="s">
        <v>571</v>
      </c>
      <c r="B37" s="21" t="str">
        <f>VLOOKUP(A37,[1]Sheet1!$B$2:$C$110,2,0)</f>
        <v>040000160916</v>
      </c>
      <c r="C37" s="17">
        <v>1185</v>
      </c>
      <c r="D37" s="22">
        <f t="shared" si="1"/>
        <v>1185</v>
      </c>
      <c r="E37" s="26" t="s">
        <v>648</v>
      </c>
      <c r="F37" s="23" t="str">
        <f t="shared" si="0"/>
        <v>insert into ins_premium_det (premium_rcv_code,assorted_code, rec_amount,premium_rcv_detail_code,remaining_amt, payrec, mode_code,coinsurance_code,class_cd,it_remarks) values</v>
      </c>
      <c r="G37" s="24" t="str">
        <f t="shared" si="2"/>
        <v>('20Aug240150','040000160916','1185',(select max(to_number(i.premium_rcv_detail_code))+1
from ins_premium_det i),'1185','1185','02', '11000003','00','Request by Mr. Saqib Saleem 21-Aug-2024 sheet5');</v>
      </c>
      <c r="H37" s="25" t="str">
        <f t="shared" si="3"/>
        <v>insert into ins_premium_det (premium_rcv_code,assorted_code, rec_amount,premium_rcv_detail_code,remaining_amt, payrec, mode_code,coinsurance_code,class_cd,it_remarks) values('20Aug240150','040000160916','1185',(select max(to_number(i.premium_rcv_detail_code))+1
from ins_premium_det i),'1185','1185','02', '11000003','00','Request by Mr. Saqib Saleem 21-Aug-2024 sheet5');</v>
      </c>
    </row>
    <row r="38" spans="1:8" ht="105" x14ac:dyDescent="0.25">
      <c r="A38" s="18" t="s">
        <v>572</v>
      </c>
      <c r="B38" s="21" t="str">
        <f>VLOOKUP(A38,[1]Sheet1!$B$2:$C$110,2,0)</f>
        <v>040000160917</v>
      </c>
      <c r="C38" s="17">
        <v>1369</v>
      </c>
      <c r="D38" s="22">
        <f t="shared" si="1"/>
        <v>1369</v>
      </c>
      <c r="E38" s="26" t="s">
        <v>648</v>
      </c>
      <c r="F38" s="23" t="str">
        <f t="shared" si="0"/>
        <v>insert into ins_premium_det (premium_rcv_code,assorted_code, rec_amount,premium_rcv_detail_code,remaining_amt, payrec, mode_code,coinsurance_code,class_cd,it_remarks) values</v>
      </c>
      <c r="G38" s="24" t="str">
        <f t="shared" si="2"/>
        <v>('20Aug240150','040000160917','1369',(select max(to_number(i.premium_rcv_detail_code))+1
from ins_premium_det i),'1369','1369','02', '11000003','00','Request by Mr. Saqib Saleem 21-Aug-2024 sheet5');</v>
      </c>
      <c r="H38" s="25" t="str">
        <f t="shared" si="3"/>
        <v>insert into ins_premium_det (premium_rcv_code,assorted_code, rec_amount,premium_rcv_detail_code,remaining_amt, payrec, mode_code,coinsurance_code,class_cd,it_remarks) values('20Aug240150','040000160917','1369',(select max(to_number(i.premium_rcv_detail_code))+1
from ins_premium_det i),'1369','1369','02', '11000003','00','Request by Mr. Saqib Saleem 21-Aug-2024 sheet5');</v>
      </c>
    </row>
    <row r="39" spans="1:8" ht="105" x14ac:dyDescent="0.25">
      <c r="A39" s="18" t="s">
        <v>573</v>
      </c>
      <c r="B39" s="21" t="str">
        <f>VLOOKUP(A39,[1]Sheet1!$B$2:$C$110,2,0)</f>
        <v>040000160918</v>
      </c>
      <c r="C39" s="17">
        <v>1418</v>
      </c>
      <c r="D39" s="22">
        <f t="shared" si="1"/>
        <v>1418</v>
      </c>
      <c r="E39" s="26" t="s">
        <v>648</v>
      </c>
      <c r="F39" s="23" t="str">
        <f t="shared" si="0"/>
        <v>insert into ins_premium_det (premium_rcv_code,assorted_code, rec_amount,premium_rcv_detail_code,remaining_amt, payrec, mode_code,coinsurance_code,class_cd,it_remarks) values</v>
      </c>
      <c r="G39" s="24" t="str">
        <f t="shared" si="2"/>
        <v>('20Aug240150','040000160918','1418',(select max(to_number(i.premium_rcv_detail_code))+1
from ins_premium_det i),'1418','1418','02', '11000003','00','Request by Mr. Saqib Saleem 21-Aug-2024 sheet5');</v>
      </c>
      <c r="H39" s="25" t="str">
        <f t="shared" si="3"/>
        <v>insert into ins_premium_det (premium_rcv_code,assorted_code, rec_amount,premium_rcv_detail_code,remaining_amt, payrec, mode_code,coinsurance_code,class_cd,it_remarks) values('20Aug240150','040000160918','1418',(select max(to_number(i.premium_rcv_detail_code))+1
from ins_premium_det i),'1418','1418','02', '11000003','00','Request by Mr. Saqib Saleem 21-Aug-2024 sheet5');</v>
      </c>
    </row>
    <row r="40" spans="1:8" ht="105" x14ac:dyDescent="0.25">
      <c r="A40" s="18" t="s">
        <v>574</v>
      </c>
      <c r="B40" s="21" t="str">
        <f>VLOOKUP(A40,[1]Sheet1!$B$2:$C$110,2,0)</f>
        <v>040000160919</v>
      </c>
      <c r="C40" s="17">
        <v>909</v>
      </c>
      <c r="D40" s="22">
        <f t="shared" si="1"/>
        <v>909</v>
      </c>
      <c r="E40" s="26" t="s">
        <v>648</v>
      </c>
      <c r="F40" s="23" t="str">
        <f t="shared" si="0"/>
        <v>insert into ins_premium_det (premium_rcv_code,assorted_code, rec_amount,premium_rcv_detail_code,remaining_amt, payrec, mode_code,coinsurance_code,class_cd,it_remarks) values</v>
      </c>
      <c r="G40" s="24" t="str">
        <f t="shared" si="2"/>
        <v>('20Aug240150','040000160919','909',(select max(to_number(i.premium_rcv_detail_code))+1
from ins_premium_det i),'909','909','02', '11000003','00','Request by Mr. Saqib Saleem 21-Aug-2024 sheet5');</v>
      </c>
      <c r="H40" s="25" t="str">
        <f t="shared" si="3"/>
        <v>insert into ins_premium_det (premium_rcv_code,assorted_code, rec_amount,premium_rcv_detail_code,remaining_amt, payrec, mode_code,coinsurance_code,class_cd,it_remarks) values('20Aug240150','040000160919','909',(select max(to_number(i.premium_rcv_detail_code))+1
from ins_premium_det i),'909','909','02', '11000003','00','Request by Mr. Saqib Saleem 21-Aug-2024 sheet5');</v>
      </c>
    </row>
    <row r="41" spans="1:8" ht="105" x14ac:dyDescent="0.25">
      <c r="A41" s="18" t="s">
        <v>575</v>
      </c>
      <c r="B41" s="21" t="str">
        <f>VLOOKUP(A41,[1]Sheet1!$B$2:$C$110,2,0)</f>
        <v>040000160920</v>
      </c>
      <c r="C41" s="17">
        <v>870</v>
      </c>
      <c r="D41" s="22">
        <f t="shared" si="1"/>
        <v>870</v>
      </c>
      <c r="E41" s="26" t="s">
        <v>648</v>
      </c>
      <c r="F41" s="23" t="str">
        <f t="shared" si="0"/>
        <v>insert into ins_premium_det (premium_rcv_code,assorted_code, rec_amount,premium_rcv_detail_code,remaining_amt, payrec, mode_code,coinsurance_code,class_cd,it_remarks) values</v>
      </c>
      <c r="G41" s="24" t="str">
        <f t="shared" si="2"/>
        <v>('20Aug240150','040000160920','870',(select max(to_number(i.premium_rcv_detail_code))+1
from ins_premium_det i),'870','870','02', '11000003','00','Request by Mr. Saqib Saleem 21-Aug-2024 sheet5');</v>
      </c>
      <c r="H41" s="25" t="str">
        <f t="shared" si="3"/>
        <v>insert into ins_premium_det (premium_rcv_code,assorted_code, rec_amount,premium_rcv_detail_code,remaining_amt, payrec, mode_code,coinsurance_code,class_cd,it_remarks) values('20Aug240150','040000160920','870',(select max(to_number(i.premium_rcv_detail_code))+1
from ins_premium_det i),'870','870','02', '11000003','00','Request by Mr. Saqib Saleem 21-Aug-2024 sheet5');</v>
      </c>
    </row>
    <row r="42" spans="1:8" ht="105" x14ac:dyDescent="0.25">
      <c r="A42" s="18" t="s">
        <v>576</v>
      </c>
      <c r="B42" s="21" t="str">
        <f>VLOOKUP(A42,[1]Sheet1!$B$2:$C$110,2,0)</f>
        <v>040000160921</v>
      </c>
      <c r="C42" s="17">
        <v>1479</v>
      </c>
      <c r="D42" s="22">
        <f t="shared" si="1"/>
        <v>1479</v>
      </c>
      <c r="E42" s="26" t="s">
        <v>648</v>
      </c>
      <c r="F42" s="23" t="str">
        <f t="shared" si="0"/>
        <v>insert into ins_premium_det (premium_rcv_code,assorted_code, rec_amount,premium_rcv_detail_code,remaining_amt, payrec, mode_code,coinsurance_code,class_cd,it_remarks) values</v>
      </c>
      <c r="G42" s="24" t="str">
        <f t="shared" si="2"/>
        <v>('20Aug240150','040000160921','1479',(select max(to_number(i.premium_rcv_detail_code))+1
from ins_premium_det i),'1479','1479','02', '11000003','00','Request by Mr. Saqib Saleem 21-Aug-2024 sheet5');</v>
      </c>
      <c r="H42" s="25" t="str">
        <f t="shared" si="3"/>
        <v>insert into ins_premium_det (premium_rcv_code,assorted_code, rec_amount,premium_rcv_detail_code,remaining_amt, payrec, mode_code,coinsurance_code,class_cd,it_remarks) values('20Aug240150','040000160921','1479',(select max(to_number(i.premium_rcv_detail_code))+1
from ins_premium_det i),'1479','1479','02', '11000003','00','Request by Mr. Saqib Saleem 21-Aug-2024 sheet5');</v>
      </c>
    </row>
    <row r="43" spans="1:8" ht="105" x14ac:dyDescent="0.25">
      <c r="A43" s="18" t="s">
        <v>577</v>
      </c>
      <c r="B43" s="21" t="str">
        <f>VLOOKUP(A43,[1]Sheet1!$B$2:$C$110,2,0)</f>
        <v>040000160922</v>
      </c>
      <c r="C43" s="17">
        <v>1520</v>
      </c>
      <c r="D43" s="22">
        <f t="shared" si="1"/>
        <v>1520</v>
      </c>
      <c r="E43" s="26" t="s">
        <v>648</v>
      </c>
      <c r="F43" s="23" t="str">
        <f t="shared" si="0"/>
        <v>insert into ins_premium_det (premium_rcv_code,assorted_code, rec_amount,premium_rcv_detail_code,remaining_amt, payrec, mode_code,coinsurance_code,class_cd,it_remarks) values</v>
      </c>
      <c r="G43" s="24" t="str">
        <f t="shared" si="2"/>
        <v>('20Aug240150','040000160922','1520',(select max(to_number(i.premium_rcv_detail_code))+1
from ins_premium_det i),'1520','1520','02', '11000003','00','Request by Mr. Saqib Saleem 21-Aug-2024 sheet5');</v>
      </c>
      <c r="H43" s="25" t="str">
        <f t="shared" si="3"/>
        <v>insert into ins_premium_det (premium_rcv_code,assorted_code, rec_amount,premium_rcv_detail_code,remaining_amt, payrec, mode_code,coinsurance_code,class_cd,it_remarks) values('20Aug240150','040000160922','1520',(select max(to_number(i.premium_rcv_detail_code))+1
from ins_premium_det i),'1520','1520','02', '11000003','00','Request by Mr. Saqib Saleem 21-Aug-2024 sheet5');</v>
      </c>
    </row>
    <row r="44" spans="1:8" ht="105" x14ac:dyDescent="0.25">
      <c r="A44" s="18" t="s">
        <v>578</v>
      </c>
      <c r="B44" s="21" t="str">
        <f>VLOOKUP(A44,[1]Sheet1!$B$2:$C$110,2,0)</f>
        <v>040000160923</v>
      </c>
      <c r="C44" s="17">
        <v>1602</v>
      </c>
      <c r="D44" s="22">
        <f t="shared" si="1"/>
        <v>1602</v>
      </c>
      <c r="E44" s="26" t="s">
        <v>648</v>
      </c>
      <c r="F44" s="23" t="str">
        <f t="shared" si="0"/>
        <v>insert into ins_premium_det (premium_rcv_code,assorted_code, rec_amount,premium_rcv_detail_code,remaining_amt, payrec, mode_code,coinsurance_code,class_cd,it_remarks) values</v>
      </c>
      <c r="G44" s="24" t="str">
        <f t="shared" si="2"/>
        <v>('20Aug240150','040000160923','1602',(select max(to_number(i.premium_rcv_detail_code))+1
from ins_premium_det i),'1602','1602','02', '11000003','00','Request by Mr. Saqib Saleem 21-Aug-2024 sheet5');</v>
      </c>
      <c r="H44" s="25" t="str">
        <f t="shared" si="3"/>
        <v>insert into ins_premium_det (premium_rcv_code,assorted_code, rec_amount,premium_rcv_detail_code,remaining_amt, payrec, mode_code,coinsurance_code,class_cd,it_remarks) values('20Aug240150','040000160923','1602',(select max(to_number(i.premium_rcv_detail_code))+1
from ins_premium_det i),'1602','1602','02', '11000003','00','Request by Mr. Saqib Saleem 21-Aug-2024 sheet5');</v>
      </c>
    </row>
    <row r="45" spans="1:8" ht="105" x14ac:dyDescent="0.25">
      <c r="A45" s="18" t="s">
        <v>579</v>
      </c>
      <c r="B45" s="21" t="str">
        <f>VLOOKUP(A45,[1]Sheet1!$B$2:$C$110,2,0)</f>
        <v>040000160925</v>
      </c>
      <c r="C45" s="17">
        <v>1513</v>
      </c>
      <c r="D45" s="22">
        <f t="shared" si="1"/>
        <v>1513</v>
      </c>
      <c r="E45" s="26" t="s">
        <v>648</v>
      </c>
      <c r="F45" s="23" t="str">
        <f t="shared" si="0"/>
        <v>insert into ins_premium_det (premium_rcv_code,assorted_code, rec_amount,premium_rcv_detail_code,remaining_amt, payrec, mode_code,coinsurance_code,class_cd,it_remarks) values</v>
      </c>
      <c r="G45" s="24" t="str">
        <f t="shared" si="2"/>
        <v>('20Aug240150','040000160925','1513',(select max(to_number(i.premium_rcv_detail_code))+1
from ins_premium_det i),'1513','1513','02', '11000003','00','Request by Mr. Saqib Saleem 21-Aug-2024 sheet5');</v>
      </c>
      <c r="H45" s="25" t="str">
        <f t="shared" si="3"/>
        <v>insert into ins_premium_det (premium_rcv_code,assorted_code, rec_amount,premium_rcv_detail_code,remaining_amt, payrec, mode_code,coinsurance_code,class_cd,it_remarks) values('20Aug240150','040000160925','1513',(select max(to_number(i.premium_rcv_detail_code))+1
from ins_premium_det i),'1513','1513','02', '11000003','00','Request by Mr. Saqib Saleem 21-Aug-2024 sheet5');</v>
      </c>
    </row>
    <row r="46" spans="1:8" ht="105" x14ac:dyDescent="0.25">
      <c r="A46" s="18" t="s">
        <v>580</v>
      </c>
      <c r="B46" s="21" t="str">
        <f>VLOOKUP(A46,[1]Sheet1!$B$2:$C$110,2,0)</f>
        <v>040000160926</v>
      </c>
      <c r="C46" s="17">
        <v>855</v>
      </c>
      <c r="D46" s="22">
        <f t="shared" si="1"/>
        <v>855</v>
      </c>
      <c r="E46" s="26" t="s">
        <v>648</v>
      </c>
      <c r="F46" s="23" t="str">
        <f t="shared" si="0"/>
        <v>insert into ins_premium_det (premium_rcv_code,assorted_code, rec_amount,premium_rcv_detail_code,remaining_amt, payrec, mode_code,coinsurance_code,class_cd,it_remarks) values</v>
      </c>
      <c r="G46" s="24" t="str">
        <f t="shared" si="2"/>
        <v>('20Aug240150','040000160926','855',(select max(to_number(i.premium_rcv_detail_code))+1
from ins_premium_det i),'855','855','02', '11000003','00','Request by Mr. Saqib Saleem 21-Aug-2024 sheet5');</v>
      </c>
      <c r="H46" s="25" t="str">
        <f t="shared" si="3"/>
        <v>insert into ins_premium_det (premium_rcv_code,assorted_code, rec_amount,premium_rcv_detail_code,remaining_amt, payrec, mode_code,coinsurance_code,class_cd,it_remarks) values('20Aug240150','040000160926','855',(select max(to_number(i.premium_rcv_detail_code))+1
from ins_premium_det i),'855','855','02', '11000003','00','Request by Mr. Saqib Saleem 21-Aug-2024 sheet5');</v>
      </c>
    </row>
    <row r="47" spans="1:8" ht="105" x14ac:dyDescent="0.25">
      <c r="A47" s="18" t="s">
        <v>581</v>
      </c>
      <c r="B47" s="21" t="str">
        <f>VLOOKUP(A47,[1]Sheet1!$B$2:$C$110,2,0)</f>
        <v>040000160927</v>
      </c>
      <c r="C47" s="17">
        <v>1757</v>
      </c>
      <c r="D47" s="22">
        <f t="shared" si="1"/>
        <v>1757</v>
      </c>
      <c r="E47" s="26" t="s">
        <v>648</v>
      </c>
      <c r="F47" s="23" t="str">
        <f t="shared" si="0"/>
        <v>insert into ins_premium_det (premium_rcv_code,assorted_code, rec_amount,premium_rcv_detail_code,remaining_amt, payrec, mode_code,coinsurance_code,class_cd,it_remarks) values</v>
      </c>
      <c r="G47" s="24" t="str">
        <f t="shared" si="2"/>
        <v>('20Aug240150','040000160927','1757',(select max(to_number(i.premium_rcv_detail_code))+1
from ins_premium_det i),'1757','1757','02', '11000003','00','Request by Mr. Saqib Saleem 21-Aug-2024 sheet5');</v>
      </c>
      <c r="H47" s="25" t="str">
        <f t="shared" si="3"/>
        <v>insert into ins_premium_det (premium_rcv_code,assorted_code, rec_amount,premium_rcv_detail_code,remaining_amt, payrec, mode_code,coinsurance_code,class_cd,it_remarks) values('20Aug240150','040000160927','1757',(select max(to_number(i.premium_rcv_detail_code))+1
from ins_premium_det i),'1757','1757','02', '11000003','00','Request by Mr. Saqib Saleem 21-Aug-2024 sheet5');</v>
      </c>
    </row>
    <row r="48" spans="1:8" ht="105" x14ac:dyDescent="0.25">
      <c r="A48" s="18" t="s">
        <v>582</v>
      </c>
      <c r="B48" s="21" t="str">
        <f>VLOOKUP(A48,[1]Sheet1!$B$2:$C$110,2,0)</f>
        <v>040000160928</v>
      </c>
      <c r="C48" s="17">
        <v>954</v>
      </c>
      <c r="D48" s="22">
        <f t="shared" si="1"/>
        <v>954</v>
      </c>
      <c r="E48" s="26" t="s">
        <v>648</v>
      </c>
      <c r="F48" s="23" t="str">
        <f t="shared" si="0"/>
        <v>insert into ins_premium_det (premium_rcv_code,assorted_code, rec_amount,premium_rcv_detail_code,remaining_amt, payrec, mode_code,coinsurance_code,class_cd,it_remarks) values</v>
      </c>
      <c r="G48" s="24" t="str">
        <f t="shared" si="2"/>
        <v>('20Aug240150','040000160928','954',(select max(to_number(i.premium_rcv_detail_code))+1
from ins_premium_det i),'954','954','02', '11000003','00','Request by Mr. Saqib Saleem 21-Aug-2024 sheet5');</v>
      </c>
      <c r="H48" s="25" t="str">
        <f t="shared" si="3"/>
        <v>insert into ins_premium_det (premium_rcv_code,assorted_code, rec_amount,premium_rcv_detail_code,remaining_amt, payrec, mode_code,coinsurance_code,class_cd,it_remarks) values('20Aug240150','040000160928','954',(select max(to_number(i.premium_rcv_detail_code))+1
from ins_premium_det i),'954','954','02', '11000003','00','Request by Mr. Saqib Saleem 21-Aug-2024 sheet5');</v>
      </c>
    </row>
    <row r="49" spans="1:8" ht="105" x14ac:dyDescent="0.25">
      <c r="A49" s="18" t="s">
        <v>583</v>
      </c>
      <c r="B49" s="21" t="str">
        <f>VLOOKUP(A49,[1]Sheet1!$B$2:$C$110,2,0)</f>
        <v>040000160929</v>
      </c>
      <c r="C49" s="17">
        <v>2164</v>
      </c>
      <c r="D49" s="22">
        <f t="shared" si="1"/>
        <v>2164</v>
      </c>
      <c r="E49" s="26" t="s">
        <v>648</v>
      </c>
      <c r="F49" s="23" t="str">
        <f t="shared" si="0"/>
        <v>insert into ins_premium_det (premium_rcv_code,assorted_code, rec_amount,premium_rcv_detail_code,remaining_amt, payrec, mode_code,coinsurance_code,class_cd,it_remarks) values</v>
      </c>
      <c r="G49" s="24" t="str">
        <f t="shared" si="2"/>
        <v>('20Aug240150','040000160929','2164',(select max(to_number(i.premium_rcv_detail_code))+1
from ins_premium_det i),'2164','2164','02', '11000003','00','Request by Mr. Saqib Saleem 21-Aug-2024 sheet5');</v>
      </c>
      <c r="H49" s="25" t="str">
        <f t="shared" si="3"/>
        <v>insert into ins_premium_det (premium_rcv_code,assorted_code, rec_amount,premium_rcv_detail_code,remaining_amt, payrec, mode_code,coinsurance_code,class_cd,it_remarks) values('20Aug240150','040000160929','2164',(select max(to_number(i.premium_rcv_detail_code))+1
from ins_premium_det i),'2164','2164','02', '11000003','00','Request by Mr. Saqib Saleem 21-Aug-2024 sheet5');</v>
      </c>
    </row>
    <row r="50" spans="1:8" ht="105" x14ac:dyDescent="0.25">
      <c r="A50" s="18" t="s">
        <v>584</v>
      </c>
      <c r="B50" s="21" t="str">
        <f>VLOOKUP(A50,[1]Sheet1!$B$2:$C$110,2,0)</f>
        <v>040000160930</v>
      </c>
      <c r="C50" s="17">
        <v>2525</v>
      </c>
      <c r="D50" s="22">
        <f t="shared" si="1"/>
        <v>2525</v>
      </c>
      <c r="E50" s="26" t="s">
        <v>648</v>
      </c>
      <c r="F50" s="23" t="str">
        <f t="shared" si="0"/>
        <v>insert into ins_premium_det (premium_rcv_code,assorted_code, rec_amount,premium_rcv_detail_code,remaining_amt, payrec, mode_code,coinsurance_code,class_cd,it_remarks) values</v>
      </c>
      <c r="G50" s="24" t="str">
        <f t="shared" si="2"/>
        <v>('20Aug240150','040000160930','2525',(select max(to_number(i.premium_rcv_detail_code))+1
from ins_premium_det i),'2525','2525','02', '11000003','00','Request by Mr. Saqib Saleem 21-Aug-2024 sheet5');</v>
      </c>
      <c r="H50" s="25" t="str">
        <f t="shared" si="3"/>
        <v>insert into ins_premium_det (premium_rcv_code,assorted_code, rec_amount,premium_rcv_detail_code,remaining_amt, payrec, mode_code,coinsurance_code,class_cd,it_remarks) values('20Aug240150','040000160930','2525',(select max(to_number(i.premium_rcv_detail_code))+1
from ins_premium_det i),'2525','2525','02', '11000003','00','Request by Mr. Saqib Saleem 21-Aug-2024 sheet5');</v>
      </c>
    </row>
    <row r="51" spans="1:8" ht="105" x14ac:dyDescent="0.25">
      <c r="A51" s="18" t="s">
        <v>585</v>
      </c>
      <c r="B51" s="21" t="str">
        <f>VLOOKUP(A51,[1]Sheet1!$B$2:$C$110,2,0)</f>
        <v>040000160931</v>
      </c>
      <c r="C51" s="17">
        <v>2423</v>
      </c>
      <c r="D51" s="22">
        <f t="shared" si="1"/>
        <v>2423</v>
      </c>
      <c r="E51" s="26" t="s">
        <v>648</v>
      </c>
      <c r="F51" s="23" t="str">
        <f t="shared" si="0"/>
        <v>insert into ins_premium_det (premium_rcv_code,assorted_code, rec_amount,premium_rcv_detail_code,remaining_amt, payrec, mode_code,coinsurance_code,class_cd,it_remarks) values</v>
      </c>
      <c r="G51" s="24" t="str">
        <f t="shared" si="2"/>
        <v>('20Aug240150','040000160931','2423',(select max(to_number(i.premium_rcv_detail_code))+1
from ins_premium_det i),'2423','2423','02', '11000003','00','Request by Mr. Saqib Saleem 21-Aug-2024 sheet5');</v>
      </c>
      <c r="H51" s="25" t="str">
        <f t="shared" si="3"/>
        <v>insert into ins_premium_det (premium_rcv_code,assorted_code, rec_amount,premium_rcv_detail_code,remaining_amt, payrec, mode_code,coinsurance_code,class_cd,it_remarks) values('20Aug240150','040000160931','2423',(select max(to_number(i.premium_rcv_detail_code))+1
from ins_premium_det i),'2423','2423','02', '11000003','00','Request by Mr. Saqib Saleem 21-Aug-2024 sheet5');</v>
      </c>
    </row>
    <row r="52" spans="1:8" ht="105" x14ac:dyDescent="0.25">
      <c r="A52" s="18" t="s">
        <v>586</v>
      </c>
      <c r="B52" s="21" t="str">
        <f>VLOOKUP(A52,[1]Sheet1!$B$2:$C$110,2,0)</f>
        <v>040000160933</v>
      </c>
      <c r="C52" s="17">
        <v>3201</v>
      </c>
      <c r="D52" s="22">
        <f t="shared" si="1"/>
        <v>3201</v>
      </c>
      <c r="E52" s="26" t="s">
        <v>648</v>
      </c>
      <c r="F52" s="23" t="str">
        <f t="shared" si="0"/>
        <v>insert into ins_premium_det (premium_rcv_code,assorted_code, rec_amount,premium_rcv_detail_code,remaining_amt, payrec, mode_code,coinsurance_code,class_cd,it_remarks) values</v>
      </c>
      <c r="G52" s="24" t="str">
        <f t="shared" si="2"/>
        <v>('20Aug240150','040000160933','3201',(select max(to_number(i.premium_rcv_detail_code))+1
from ins_premium_det i),'3201','3201','02', '11000003','00','Request by Mr. Saqib Saleem 21-Aug-2024 sheet5');</v>
      </c>
      <c r="H52" s="25" t="str">
        <f t="shared" si="3"/>
        <v>insert into ins_premium_det (premium_rcv_code,assorted_code, rec_amount,premium_rcv_detail_code,remaining_amt, payrec, mode_code,coinsurance_code,class_cd,it_remarks) values('20Aug240150','040000160933','3201',(select max(to_number(i.premium_rcv_detail_code))+1
from ins_premium_det i),'3201','3201','02', '11000003','00','Request by Mr. Saqib Saleem 21-Aug-2024 sheet5');</v>
      </c>
    </row>
    <row r="53" spans="1:8" ht="105" x14ac:dyDescent="0.25">
      <c r="A53" s="18" t="s">
        <v>587</v>
      </c>
      <c r="B53" s="21" t="str">
        <f>VLOOKUP(A53,[1]Sheet1!$B$2:$C$110,2,0)</f>
        <v>040000160934</v>
      </c>
      <c r="C53" s="17">
        <v>3472</v>
      </c>
      <c r="D53" s="22">
        <f t="shared" si="1"/>
        <v>3472</v>
      </c>
      <c r="E53" s="26" t="s">
        <v>648</v>
      </c>
      <c r="F53" s="23" t="str">
        <f t="shared" si="0"/>
        <v>insert into ins_premium_det (premium_rcv_code,assorted_code, rec_amount,premium_rcv_detail_code,remaining_amt, payrec, mode_code,coinsurance_code,class_cd,it_remarks) values</v>
      </c>
      <c r="G53" s="24" t="str">
        <f t="shared" si="2"/>
        <v>('20Aug240150','040000160934','3472',(select max(to_number(i.premium_rcv_detail_code))+1
from ins_premium_det i),'3472','3472','02', '11000003','00','Request by Mr. Saqib Saleem 21-Aug-2024 sheet5');</v>
      </c>
      <c r="H53" s="25" t="str">
        <f t="shared" si="3"/>
        <v>insert into ins_premium_det (premium_rcv_code,assorted_code, rec_amount,premium_rcv_detail_code,remaining_amt, payrec, mode_code,coinsurance_code,class_cd,it_remarks) values('20Aug240150','040000160934','3472',(select max(to_number(i.premium_rcv_detail_code))+1
from ins_premium_det i),'3472','3472','02', '11000003','00','Request by Mr. Saqib Saleem 21-Aug-2024 sheet5');</v>
      </c>
    </row>
    <row r="54" spans="1:8" ht="105" x14ac:dyDescent="0.25">
      <c r="A54" s="18" t="s">
        <v>588</v>
      </c>
      <c r="B54" s="21" t="str">
        <f>VLOOKUP(A54,[1]Sheet1!$B$2:$C$110,2,0)</f>
        <v>040000160935</v>
      </c>
      <c r="C54" s="17">
        <v>5415</v>
      </c>
      <c r="D54" s="22">
        <f t="shared" si="1"/>
        <v>5415</v>
      </c>
      <c r="E54" s="26" t="s">
        <v>648</v>
      </c>
      <c r="F54" s="23" t="str">
        <f t="shared" si="0"/>
        <v>insert into ins_premium_det (premium_rcv_code,assorted_code, rec_amount,premium_rcv_detail_code,remaining_amt, payrec, mode_code,coinsurance_code,class_cd,it_remarks) values</v>
      </c>
      <c r="G54" s="24" t="str">
        <f t="shared" si="2"/>
        <v>('20Aug240150','040000160935','5415',(select max(to_number(i.premium_rcv_detail_code))+1
from ins_premium_det i),'5415','5415','02', '11000003','00','Request by Mr. Saqib Saleem 21-Aug-2024 sheet5');</v>
      </c>
      <c r="H54" s="25" t="str">
        <f t="shared" si="3"/>
        <v>insert into ins_premium_det (premium_rcv_code,assorted_code, rec_amount,premium_rcv_detail_code,remaining_amt, payrec, mode_code,coinsurance_code,class_cd,it_remarks) values('20Aug240150','040000160935','5415',(select max(to_number(i.premium_rcv_detail_code))+1
from ins_premium_det i),'5415','5415','02', '11000003','00','Request by Mr. Saqib Saleem 21-Aug-2024 sheet5');</v>
      </c>
    </row>
    <row r="55" spans="1:8" ht="105" x14ac:dyDescent="0.25">
      <c r="A55" s="18" t="s">
        <v>589</v>
      </c>
      <c r="B55" s="21" t="str">
        <f>VLOOKUP(A55,[1]Sheet1!$B$2:$C$110,2,0)</f>
        <v>040000160937</v>
      </c>
      <c r="C55" s="17">
        <v>6071</v>
      </c>
      <c r="D55" s="22">
        <f t="shared" si="1"/>
        <v>6071</v>
      </c>
      <c r="E55" s="26" t="s">
        <v>648</v>
      </c>
      <c r="F55" s="23" t="str">
        <f t="shared" si="0"/>
        <v>insert into ins_premium_det (premium_rcv_code,assorted_code, rec_amount,premium_rcv_detail_code,remaining_amt, payrec, mode_code,coinsurance_code,class_cd,it_remarks) values</v>
      </c>
      <c r="G55" s="24" t="str">
        <f t="shared" si="2"/>
        <v>('20Aug240150','040000160937','6071',(select max(to_number(i.premium_rcv_detail_code))+1
from ins_premium_det i),'6071','6071','02', '11000003','00','Request by Mr. Saqib Saleem 21-Aug-2024 sheet5');</v>
      </c>
      <c r="H55" s="25" t="str">
        <f t="shared" si="3"/>
        <v>insert into ins_premium_det (premium_rcv_code,assorted_code, rec_amount,premium_rcv_detail_code,remaining_amt, payrec, mode_code,coinsurance_code,class_cd,it_remarks) values('20Aug240150','040000160937','6071',(select max(to_number(i.premium_rcv_detail_code))+1
from ins_premium_det i),'6071','6071','02', '11000003','00','Request by Mr. Saqib Saleem 21-Aug-2024 sheet5');</v>
      </c>
    </row>
    <row r="56" spans="1:8" ht="105" x14ac:dyDescent="0.25">
      <c r="A56" s="18" t="s">
        <v>590</v>
      </c>
      <c r="B56" s="21" t="str">
        <f>VLOOKUP(A56,[1]Sheet1!$B$2:$C$110,2,0)</f>
        <v>040000160938</v>
      </c>
      <c r="C56" s="17">
        <v>6430</v>
      </c>
      <c r="D56" s="22">
        <f t="shared" si="1"/>
        <v>6430</v>
      </c>
      <c r="E56" s="26" t="s">
        <v>648</v>
      </c>
      <c r="F56" s="23" t="str">
        <f t="shared" si="0"/>
        <v>insert into ins_premium_det (premium_rcv_code,assorted_code, rec_amount,premium_rcv_detail_code,remaining_amt, payrec, mode_code,coinsurance_code,class_cd,it_remarks) values</v>
      </c>
      <c r="G56" s="24" t="str">
        <f t="shared" si="2"/>
        <v>('20Aug240150','040000160938','6430',(select max(to_number(i.premium_rcv_detail_code))+1
from ins_premium_det i),'6430','6430','02', '11000003','00','Request by Mr. Saqib Saleem 21-Aug-2024 sheet5');</v>
      </c>
      <c r="H56" s="25" t="str">
        <f t="shared" si="3"/>
        <v>insert into ins_premium_det (premium_rcv_code,assorted_code, rec_amount,premium_rcv_detail_code,remaining_amt, payrec, mode_code,coinsurance_code,class_cd,it_remarks) values('20Aug240150','040000160938','6430',(select max(to_number(i.premium_rcv_detail_code))+1
from ins_premium_det i),'6430','6430','02', '11000003','00','Request by Mr. Saqib Saleem 21-Aug-2024 sheet5');</v>
      </c>
    </row>
    <row r="57" spans="1:8" ht="105" x14ac:dyDescent="0.25">
      <c r="A57" s="18" t="s">
        <v>591</v>
      </c>
      <c r="B57" s="21" t="str">
        <f>VLOOKUP(A57,[1]Sheet1!$B$2:$C$110,2,0)</f>
        <v>040000160939</v>
      </c>
      <c r="C57" s="17">
        <v>8235</v>
      </c>
      <c r="D57" s="22">
        <f t="shared" si="1"/>
        <v>8235</v>
      </c>
      <c r="E57" s="26" t="s">
        <v>648</v>
      </c>
      <c r="F57" s="23" t="str">
        <f t="shared" si="0"/>
        <v>insert into ins_premium_det (premium_rcv_code,assorted_code, rec_amount,premium_rcv_detail_code,remaining_amt, payrec, mode_code,coinsurance_code,class_cd,it_remarks) values</v>
      </c>
      <c r="G57" s="24" t="str">
        <f t="shared" si="2"/>
        <v>('20Aug240150','040000160939','8235',(select max(to_number(i.premium_rcv_detail_code))+1
from ins_premium_det i),'8235','8235','02', '11000003','00','Request by Mr. Saqib Saleem 21-Aug-2024 sheet5');</v>
      </c>
      <c r="H57" s="25" t="str">
        <f t="shared" si="3"/>
        <v>insert into ins_premium_det (premium_rcv_code,assorted_code, rec_amount,premium_rcv_detail_code,remaining_amt, payrec, mode_code,coinsurance_code,class_cd,it_remarks) values('20Aug240150','040000160939','8235',(select max(to_number(i.premium_rcv_detail_code))+1
from ins_premium_det i),'8235','8235','02', '11000003','00','Request by Mr. Saqib Saleem 21-Aug-2024 sheet5');</v>
      </c>
    </row>
    <row r="58" spans="1:8" ht="105" x14ac:dyDescent="0.25">
      <c r="A58" s="18" t="s">
        <v>592</v>
      </c>
      <c r="B58" s="21" t="str">
        <f>VLOOKUP(A58,[1]Sheet1!$B$2:$C$110,2,0)</f>
        <v>040000160940</v>
      </c>
      <c r="C58" s="17">
        <v>6594</v>
      </c>
      <c r="D58" s="22">
        <f t="shared" si="1"/>
        <v>6594</v>
      </c>
      <c r="E58" s="26" t="s">
        <v>648</v>
      </c>
      <c r="F58" s="23" t="str">
        <f t="shared" si="0"/>
        <v>insert into ins_premium_det (premium_rcv_code,assorted_code, rec_amount,premium_rcv_detail_code,remaining_amt, payrec, mode_code,coinsurance_code,class_cd,it_remarks) values</v>
      </c>
      <c r="G58" s="24" t="str">
        <f t="shared" si="2"/>
        <v>('20Aug240150','040000160940','6594',(select max(to_number(i.premium_rcv_detail_code))+1
from ins_premium_det i),'6594','6594','02', '11000003','00','Request by Mr. Saqib Saleem 21-Aug-2024 sheet5');</v>
      </c>
      <c r="H58" s="25" t="str">
        <f t="shared" si="3"/>
        <v>insert into ins_premium_det (premium_rcv_code,assorted_code, rec_amount,premium_rcv_detail_code,remaining_amt, payrec, mode_code,coinsurance_code,class_cd,it_remarks) values('20Aug240150','040000160940','6594',(select max(to_number(i.premium_rcv_detail_code))+1
from ins_premium_det i),'6594','6594','02', '11000003','00','Request by Mr. Saqib Saleem 21-Aug-2024 sheet5');</v>
      </c>
    </row>
    <row r="59" spans="1:8" ht="105" x14ac:dyDescent="0.25">
      <c r="A59" s="18" t="s">
        <v>593</v>
      </c>
      <c r="B59" s="21" t="str">
        <f>VLOOKUP(A59,[1]Sheet1!$B$2:$C$110,2,0)</f>
        <v>040000160941</v>
      </c>
      <c r="C59" s="17">
        <v>626</v>
      </c>
      <c r="D59" s="22">
        <f t="shared" si="1"/>
        <v>626</v>
      </c>
      <c r="E59" s="26" t="s">
        <v>648</v>
      </c>
      <c r="F59" s="23" t="str">
        <f t="shared" si="0"/>
        <v>insert into ins_premium_det (premium_rcv_code,assorted_code, rec_amount,premium_rcv_detail_code,remaining_amt, payrec, mode_code,coinsurance_code,class_cd,it_remarks) values</v>
      </c>
      <c r="G59" s="24" t="str">
        <f t="shared" si="2"/>
        <v>('20Aug240150','040000160941','626',(select max(to_number(i.premium_rcv_detail_code))+1
from ins_premium_det i),'626','626','02', '11000003','00','Request by Mr. Saqib Saleem 21-Aug-2024 sheet5');</v>
      </c>
      <c r="H59" s="25" t="str">
        <f t="shared" si="3"/>
        <v>insert into ins_premium_det (premium_rcv_code,assorted_code, rec_amount,premium_rcv_detail_code,remaining_amt, payrec, mode_code,coinsurance_code,class_cd,it_remarks) values('20Aug240150','040000160941','626',(select max(to_number(i.premium_rcv_detail_code))+1
from ins_premium_det i),'626','626','02', '11000003','00','Request by Mr. Saqib Saleem 21-Aug-2024 sheet5');</v>
      </c>
    </row>
    <row r="60" spans="1:8" ht="105" x14ac:dyDescent="0.25">
      <c r="A60" s="18" t="s">
        <v>594</v>
      </c>
      <c r="B60" s="21" t="str">
        <f>VLOOKUP(A60,[1]Sheet1!$B$2:$C$110,2,0)</f>
        <v>040000160942</v>
      </c>
      <c r="C60" s="17">
        <v>750</v>
      </c>
      <c r="D60" s="22">
        <f t="shared" si="1"/>
        <v>750</v>
      </c>
      <c r="E60" s="26" t="s">
        <v>648</v>
      </c>
      <c r="F60" s="23" t="str">
        <f t="shared" si="0"/>
        <v>insert into ins_premium_det (premium_rcv_code,assorted_code, rec_amount,premium_rcv_detail_code,remaining_amt, payrec, mode_code,coinsurance_code,class_cd,it_remarks) values</v>
      </c>
      <c r="G60" s="24" t="str">
        <f t="shared" si="2"/>
        <v>('20Aug240150','040000160942','750',(select max(to_number(i.premium_rcv_detail_code))+1
from ins_premium_det i),'750','750','02', '11000003','00','Request by Mr. Saqib Saleem 21-Aug-2024 sheet5');</v>
      </c>
      <c r="H60" s="25" t="str">
        <f t="shared" si="3"/>
        <v>insert into ins_premium_det (premium_rcv_code,assorted_code, rec_amount,premium_rcv_detail_code,remaining_amt, payrec, mode_code,coinsurance_code,class_cd,it_remarks) values('20Aug240150','040000160942','750',(select max(to_number(i.premium_rcv_detail_code))+1
from ins_premium_det i),'750','750','02', '11000003','00','Request by Mr. Saqib Saleem 21-Aug-2024 sheet5');</v>
      </c>
    </row>
    <row r="61" spans="1:8" ht="105" x14ac:dyDescent="0.25">
      <c r="A61" s="18" t="s">
        <v>595</v>
      </c>
      <c r="B61" s="21" t="str">
        <f>VLOOKUP(A61,[1]Sheet1!$B$2:$C$110,2,0)</f>
        <v>040000160943</v>
      </c>
      <c r="C61" s="17">
        <v>1439</v>
      </c>
      <c r="D61" s="22">
        <f t="shared" si="1"/>
        <v>1439</v>
      </c>
      <c r="E61" s="26" t="s">
        <v>648</v>
      </c>
      <c r="F61" s="23" t="str">
        <f t="shared" si="0"/>
        <v>insert into ins_premium_det (premium_rcv_code,assorted_code, rec_amount,premium_rcv_detail_code,remaining_amt, payrec, mode_code,coinsurance_code,class_cd,it_remarks) values</v>
      </c>
      <c r="G61" s="24" t="str">
        <f t="shared" si="2"/>
        <v>('20Aug240150','040000160943','1439',(select max(to_number(i.premium_rcv_detail_code))+1
from ins_premium_det i),'1439','1439','02', '11000003','00','Request by Mr. Saqib Saleem 21-Aug-2024 sheet5');</v>
      </c>
      <c r="H61" s="25" t="str">
        <f t="shared" si="3"/>
        <v>insert into ins_premium_det (premium_rcv_code,assorted_code, rec_amount,premium_rcv_detail_code,remaining_amt, payrec, mode_code,coinsurance_code,class_cd,it_remarks) values('20Aug240150','040000160943','1439',(select max(to_number(i.premium_rcv_detail_code))+1
from ins_premium_det i),'1439','1439','02', '11000003','00','Request by Mr. Saqib Saleem 21-Aug-2024 sheet5');</v>
      </c>
    </row>
    <row r="62" spans="1:8" ht="105" x14ac:dyDescent="0.25">
      <c r="A62" s="18" t="s">
        <v>596</v>
      </c>
      <c r="B62" s="21" t="str">
        <f>VLOOKUP(A62,[1]Sheet1!$B$2:$C$110,2,0)</f>
        <v>040000160944</v>
      </c>
      <c r="C62" s="17">
        <v>5986</v>
      </c>
      <c r="D62" s="22">
        <f t="shared" si="1"/>
        <v>5986</v>
      </c>
      <c r="E62" s="26" t="s">
        <v>648</v>
      </c>
      <c r="F62" s="23" t="str">
        <f t="shared" si="0"/>
        <v>insert into ins_premium_det (premium_rcv_code,assorted_code, rec_amount,premium_rcv_detail_code,remaining_amt, payrec, mode_code,coinsurance_code,class_cd,it_remarks) values</v>
      </c>
      <c r="G62" s="24" t="str">
        <f t="shared" si="2"/>
        <v>('20Aug240150','040000160944','5986',(select max(to_number(i.premium_rcv_detail_code))+1
from ins_premium_det i),'5986','5986','02', '11000003','00','Request by Mr. Saqib Saleem 21-Aug-2024 sheet5');</v>
      </c>
      <c r="H62" s="25" t="str">
        <f t="shared" si="3"/>
        <v>insert into ins_premium_det (premium_rcv_code,assorted_code, rec_amount,premium_rcv_detail_code,remaining_amt, payrec, mode_code,coinsurance_code,class_cd,it_remarks) values('20Aug240150','040000160944','5986',(select max(to_number(i.premium_rcv_detail_code))+1
from ins_premium_det i),'5986','5986','02', '11000003','00','Request by Mr. Saqib Saleem 21-Aug-2024 sheet5');</v>
      </c>
    </row>
    <row r="63" spans="1:8" ht="105" x14ac:dyDescent="0.25">
      <c r="A63" s="18" t="s">
        <v>597</v>
      </c>
      <c r="B63" s="21" t="str">
        <f>VLOOKUP(A63,[1]Sheet1!$B$2:$C$110,2,0)</f>
        <v>040000160945</v>
      </c>
      <c r="C63" s="17">
        <v>1072</v>
      </c>
      <c r="D63" s="22">
        <f t="shared" si="1"/>
        <v>1072</v>
      </c>
      <c r="E63" s="26" t="s">
        <v>648</v>
      </c>
      <c r="F63" s="23" t="str">
        <f t="shared" si="0"/>
        <v>insert into ins_premium_det (premium_rcv_code,assorted_code, rec_amount,premium_rcv_detail_code,remaining_amt, payrec, mode_code,coinsurance_code,class_cd,it_remarks) values</v>
      </c>
      <c r="G63" s="24" t="str">
        <f t="shared" si="2"/>
        <v>('20Aug240150','040000160945','1072',(select max(to_number(i.premium_rcv_detail_code))+1
from ins_premium_det i),'1072','1072','02', '11000003','00','Request by Mr. Saqib Saleem 21-Aug-2024 sheet5');</v>
      </c>
      <c r="H63" s="25" t="str">
        <f t="shared" si="3"/>
        <v>insert into ins_premium_det (premium_rcv_code,assorted_code, rec_amount,premium_rcv_detail_code,remaining_amt, payrec, mode_code,coinsurance_code,class_cd,it_remarks) values('20Aug240150','040000160945','1072',(select max(to_number(i.premium_rcv_detail_code))+1
from ins_premium_det i),'1072','1072','02', '11000003','00','Request by Mr. Saqib Saleem 21-Aug-2024 sheet5');</v>
      </c>
    </row>
    <row r="64" spans="1:8" ht="105" x14ac:dyDescent="0.25">
      <c r="A64" s="18" t="s">
        <v>598</v>
      </c>
      <c r="B64" s="21" t="str">
        <f>VLOOKUP(A64,[1]Sheet1!$B$2:$C$110,2,0)</f>
        <v>040000160946</v>
      </c>
      <c r="C64" s="17">
        <v>778</v>
      </c>
      <c r="D64" s="22">
        <f t="shared" si="1"/>
        <v>778</v>
      </c>
      <c r="E64" s="26" t="s">
        <v>648</v>
      </c>
      <c r="F64" s="23" t="str">
        <f t="shared" si="0"/>
        <v>insert into ins_premium_det (premium_rcv_code,assorted_code, rec_amount,premium_rcv_detail_code,remaining_amt, payrec, mode_code,coinsurance_code,class_cd,it_remarks) values</v>
      </c>
      <c r="G64" s="24" t="str">
        <f t="shared" si="2"/>
        <v>('20Aug240150','040000160946','778',(select max(to_number(i.premium_rcv_detail_code))+1
from ins_premium_det i),'778','778','02', '11000003','00','Request by Mr. Saqib Saleem 21-Aug-2024 sheet5');</v>
      </c>
      <c r="H64" s="25" t="str">
        <f t="shared" si="3"/>
        <v>insert into ins_premium_det (premium_rcv_code,assorted_code, rec_amount,premium_rcv_detail_code,remaining_amt, payrec, mode_code,coinsurance_code,class_cd,it_remarks) values('20Aug240150','040000160946','778',(select max(to_number(i.premium_rcv_detail_code))+1
from ins_premium_det i),'778','778','02', '11000003','00','Request by Mr. Saqib Saleem 21-Aug-2024 sheet5');</v>
      </c>
    </row>
    <row r="65" spans="1:8" ht="105" x14ac:dyDescent="0.25">
      <c r="A65" s="18" t="s">
        <v>599</v>
      </c>
      <c r="B65" s="21" t="str">
        <f>VLOOKUP(A65,[1]Sheet1!$B$2:$C$110,2,0)</f>
        <v>040000160947</v>
      </c>
      <c r="C65" s="17">
        <v>988</v>
      </c>
      <c r="D65" s="22">
        <f t="shared" si="1"/>
        <v>988</v>
      </c>
      <c r="E65" s="26" t="s">
        <v>648</v>
      </c>
      <c r="F65" s="23" t="str">
        <f t="shared" si="0"/>
        <v>insert into ins_premium_det (premium_rcv_code,assorted_code, rec_amount,premium_rcv_detail_code,remaining_amt, payrec, mode_code,coinsurance_code,class_cd,it_remarks) values</v>
      </c>
      <c r="G65" s="24" t="str">
        <f t="shared" si="2"/>
        <v>('20Aug240150','040000160947','988',(select max(to_number(i.premium_rcv_detail_code))+1
from ins_premium_det i),'988','988','02', '11000003','00','Request by Mr. Saqib Saleem 21-Aug-2024 sheet5');</v>
      </c>
      <c r="H65" s="25" t="str">
        <f t="shared" si="3"/>
        <v>insert into ins_premium_det (premium_rcv_code,assorted_code, rec_amount,premium_rcv_detail_code,remaining_amt, payrec, mode_code,coinsurance_code,class_cd,it_remarks) values('20Aug240150','040000160947','988',(select max(to_number(i.premium_rcv_detail_code))+1
from ins_premium_det i),'988','988','02', '11000003','00','Request by Mr. Saqib Saleem 21-Aug-2024 sheet5');</v>
      </c>
    </row>
    <row r="66" spans="1:8" ht="105" x14ac:dyDescent="0.25">
      <c r="A66" s="18" t="s">
        <v>600</v>
      </c>
      <c r="B66" s="21" t="str">
        <f>VLOOKUP(A66,[1]Sheet1!$B$2:$C$110,2,0)</f>
        <v>040000160948</v>
      </c>
      <c r="C66" s="17">
        <v>6713</v>
      </c>
      <c r="D66" s="22">
        <f t="shared" si="1"/>
        <v>6713</v>
      </c>
      <c r="E66" s="26" t="s">
        <v>648</v>
      </c>
      <c r="F66" s="23" t="str">
        <f t="shared" ref="F66:F110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4" t="str">
        <f t="shared" si="2"/>
        <v>('20Aug240150','040000160948','6713',(select max(to_number(i.premium_rcv_detail_code))+1
from ins_premium_det i),'6713','6713','02', '11000003','00','Request by Mr. Saqib Saleem 21-Aug-2024 sheet5');</v>
      </c>
      <c r="H66" s="25" t="str">
        <f t="shared" si="3"/>
        <v>insert into ins_premium_det (premium_rcv_code,assorted_code, rec_amount,premium_rcv_detail_code,remaining_amt, payrec, mode_code,coinsurance_code,class_cd,it_remarks) values('20Aug240150','040000160948','6713',(select max(to_number(i.premium_rcv_detail_code))+1
from ins_premium_det i),'6713','6713','02', '11000003','00','Request by Mr. Saqib Saleem 21-Aug-2024 sheet5');</v>
      </c>
    </row>
    <row r="67" spans="1:8" ht="105" x14ac:dyDescent="0.25">
      <c r="A67" s="18" t="s">
        <v>601</v>
      </c>
      <c r="B67" s="21" t="str">
        <f>VLOOKUP(A67,[1]Sheet1!$B$2:$C$110,2,0)</f>
        <v>040000160949</v>
      </c>
      <c r="C67" s="17">
        <v>786</v>
      </c>
      <c r="D67" s="22">
        <f t="shared" ref="D67:D110" si="5">ROUND(C67,0)</f>
        <v>786</v>
      </c>
      <c r="E67" s="26" t="s">
        <v>648</v>
      </c>
      <c r="F67" s="23" t="str">
        <f t="shared" si="4"/>
        <v>insert into ins_premium_det (premium_rcv_code,assorted_code, rec_amount,premium_rcv_detail_code,remaining_amt, payrec, mode_code,coinsurance_code,class_cd,it_remarks) values</v>
      </c>
      <c r="G67" s="24" t="str">
        <f t="shared" ref="G67:G110" si="6">"('"&amp;E67&amp;"','"&amp;B67&amp;"','"&amp;D67&amp;"',(select max(to_number(i.premium_rcv_detail_code))+1
from ins_premium_det i),'"&amp;D67&amp;"','"&amp;D67&amp;"','02', '11000003','00','Request by Mr. Saqib Saleem 21-Aug-2024 sheet5');"</f>
        <v>('20Aug240150','040000160949','786',(select max(to_number(i.premium_rcv_detail_code))+1
from ins_premium_det i),'786','786','02', '11000003','00','Request by Mr. Saqib Saleem 21-Aug-2024 sheet5');</v>
      </c>
      <c r="H67" s="25" t="str">
        <f t="shared" ref="H67:H110" si="7">F67&amp;G67</f>
        <v>insert into ins_premium_det (premium_rcv_code,assorted_code, rec_amount,premium_rcv_detail_code,remaining_amt, payrec, mode_code,coinsurance_code,class_cd,it_remarks) values('20Aug240150','040000160949','786',(select max(to_number(i.premium_rcv_detail_code))+1
from ins_premium_det i),'786','786','02', '11000003','00','Request by Mr. Saqib Saleem 21-Aug-2024 sheet5');</v>
      </c>
    </row>
    <row r="68" spans="1:8" ht="105" x14ac:dyDescent="0.25">
      <c r="A68" s="18" t="s">
        <v>602</v>
      </c>
      <c r="B68" s="21" t="str">
        <f>VLOOKUP(A68,[1]Sheet1!$B$2:$C$110,2,0)</f>
        <v>040000160950</v>
      </c>
      <c r="C68" s="17">
        <v>530</v>
      </c>
      <c r="D68" s="22">
        <f t="shared" si="5"/>
        <v>530</v>
      </c>
      <c r="E68" s="26" t="s">
        <v>648</v>
      </c>
      <c r="F68" s="23" t="str">
        <f t="shared" si="4"/>
        <v>insert into ins_premium_det (premium_rcv_code,assorted_code, rec_amount,premium_rcv_detail_code,remaining_amt, payrec, mode_code,coinsurance_code,class_cd,it_remarks) values</v>
      </c>
      <c r="G68" s="24" t="str">
        <f t="shared" si="6"/>
        <v>('20Aug240150','040000160950','530',(select max(to_number(i.premium_rcv_detail_code))+1
from ins_premium_det i),'530','530','02', '11000003','00','Request by Mr. Saqib Saleem 21-Aug-2024 sheet5');</v>
      </c>
      <c r="H68" s="25" t="str">
        <f t="shared" si="7"/>
        <v>insert into ins_premium_det (premium_rcv_code,assorted_code, rec_amount,premium_rcv_detail_code,remaining_amt, payrec, mode_code,coinsurance_code,class_cd,it_remarks) values('20Aug240150','040000160950','530',(select max(to_number(i.premium_rcv_detail_code))+1
from ins_premium_det i),'530','530','02', '11000003','00','Request by Mr. Saqib Saleem 21-Aug-2024 sheet5');</v>
      </c>
    </row>
    <row r="69" spans="1:8" ht="105" x14ac:dyDescent="0.25">
      <c r="A69" s="18" t="s">
        <v>603</v>
      </c>
      <c r="B69" s="21" t="str">
        <f>VLOOKUP(A69,[1]Sheet1!$B$2:$C$110,2,0)</f>
        <v>040000160951</v>
      </c>
      <c r="C69" s="17">
        <v>754</v>
      </c>
      <c r="D69" s="22">
        <f t="shared" si="5"/>
        <v>754</v>
      </c>
      <c r="E69" s="26" t="s">
        <v>648</v>
      </c>
      <c r="F69" s="23" t="str">
        <f t="shared" si="4"/>
        <v>insert into ins_premium_det (premium_rcv_code,assorted_code, rec_amount,premium_rcv_detail_code,remaining_amt, payrec, mode_code,coinsurance_code,class_cd,it_remarks) values</v>
      </c>
      <c r="G69" s="24" t="str">
        <f t="shared" si="6"/>
        <v>('20Aug240150','040000160951','754',(select max(to_number(i.premium_rcv_detail_code))+1
from ins_premium_det i),'754','754','02', '11000003','00','Request by Mr. Saqib Saleem 21-Aug-2024 sheet5');</v>
      </c>
      <c r="H69" s="25" t="str">
        <f t="shared" si="7"/>
        <v>insert into ins_premium_det (premium_rcv_code,assorted_code, rec_amount,premium_rcv_detail_code,remaining_amt, payrec, mode_code,coinsurance_code,class_cd,it_remarks) values('20Aug240150','040000160951','754',(select max(to_number(i.premium_rcv_detail_code))+1
from ins_premium_det i),'754','754','02', '11000003','00','Request by Mr. Saqib Saleem 21-Aug-2024 sheet5');</v>
      </c>
    </row>
    <row r="70" spans="1:8" ht="105" x14ac:dyDescent="0.25">
      <c r="A70" s="18" t="s">
        <v>604</v>
      </c>
      <c r="B70" s="21" t="str">
        <f>VLOOKUP(A70,[1]Sheet1!$B$2:$C$110,2,0)</f>
        <v>040000160952</v>
      </c>
      <c r="C70" s="17">
        <v>7636</v>
      </c>
      <c r="D70" s="22">
        <f t="shared" si="5"/>
        <v>7636</v>
      </c>
      <c r="E70" s="26" t="s">
        <v>648</v>
      </c>
      <c r="F70" s="23" t="str">
        <f t="shared" si="4"/>
        <v>insert into ins_premium_det (premium_rcv_code,assorted_code, rec_amount,premium_rcv_detail_code,remaining_amt, payrec, mode_code,coinsurance_code,class_cd,it_remarks) values</v>
      </c>
      <c r="G70" s="24" t="str">
        <f t="shared" si="6"/>
        <v>('20Aug240150','040000160952','7636',(select max(to_number(i.premium_rcv_detail_code))+1
from ins_premium_det i),'7636','7636','02', '11000003','00','Request by Mr. Saqib Saleem 21-Aug-2024 sheet5');</v>
      </c>
      <c r="H70" s="25" t="str">
        <f t="shared" si="7"/>
        <v>insert into ins_premium_det (premium_rcv_code,assorted_code, rec_amount,premium_rcv_detail_code,remaining_amt, payrec, mode_code,coinsurance_code,class_cd,it_remarks) values('20Aug240150','040000160952','7636',(select max(to_number(i.premium_rcv_detail_code))+1
from ins_premium_det i),'7636','7636','02', '11000003','00','Request by Mr. Saqib Saleem 21-Aug-2024 sheet5');</v>
      </c>
    </row>
    <row r="71" spans="1:8" ht="105" x14ac:dyDescent="0.25">
      <c r="A71" s="18" t="s">
        <v>605</v>
      </c>
      <c r="B71" s="21" t="str">
        <f>VLOOKUP(A71,[1]Sheet1!$B$2:$C$110,2,0)</f>
        <v>040000160953</v>
      </c>
      <c r="C71" s="17">
        <v>1315</v>
      </c>
      <c r="D71" s="22">
        <f t="shared" si="5"/>
        <v>1315</v>
      </c>
      <c r="E71" s="26" t="s">
        <v>648</v>
      </c>
      <c r="F71" s="23" t="str">
        <f t="shared" si="4"/>
        <v>insert into ins_premium_det (premium_rcv_code,assorted_code, rec_amount,premium_rcv_detail_code,remaining_amt, payrec, mode_code,coinsurance_code,class_cd,it_remarks) values</v>
      </c>
      <c r="G71" s="24" t="str">
        <f t="shared" si="6"/>
        <v>('20Aug240150','040000160953','1315',(select max(to_number(i.premium_rcv_detail_code))+1
from ins_premium_det i),'1315','1315','02', '11000003','00','Request by Mr. Saqib Saleem 21-Aug-2024 sheet5');</v>
      </c>
      <c r="H71" s="25" t="str">
        <f t="shared" si="7"/>
        <v>insert into ins_premium_det (premium_rcv_code,assorted_code, rec_amount,premium_rcv_detail_code,remaining_amt, payrec, mode_code,coinsurance_code,class_cd,it_remarks) values('20Aug240150','040000160953','1315',(select max(to_number(i.premium_rcv_detail_code))+1
from ins_premium_det i),'1315','1315','02', '11000003','00','Request by Mr. Saqib Saleem 21-Aug-2024 sheet5');</v>
      </c>
    </row>
    <row r="72" spans="1:8" ht="105" x14ac:dyDescent="0.25">
      <c r="A72" s="18" t="s">
        <v>606</v>
      </c>
      <c r="B72" s="21" t="str">
        <f>VLOOKUP(A72,[1]Sheet1!$B$2:$C$110,2,0)</f>
        <v>040000160954</v>
      </c>
      <c r="C72" s="17">
        <v>847</v>
      </c>
      <c r="D72" s="22">
        <f t="shared" si="5"/>
        <v>847</v>
      </c>
      <c r="E72" s="26" t="s">
        <v>648</v>
      </c>
      <c r="F72" s="23" t="str">
        <f t="shared" si="4"/>
        <v>insert into ins_premium_det (premium_rcv_code,assorted_code, rec_amount,premium_rcv_detail_code,remaining_amt, payrec, mode_code,coinsurance_code,class_cd,it_remarks) values</v>
      </c>
      <c r="G72" s="24" t="str">
        <f t="shared" si="6"/>
        <v>('20Aug240150','040000160954','847',(select max(to_number(i.premium_rcv_detail_code))+1
from ins_premium_det i),'847','847','02', '11000003','00','Request by Mr. Saqib Saleem 21-Aug-2024 sheet5');</v>
      </c>
      <c r="H72" s="25" t="str">
        <f t="shared" si="7"/>
        <v>insert into ins_premium_det (premium_rcv_code,assorted_code, rec_amount,premium_rcv_detail_code,remaining_amt, payrec, mode_code,coinsurance_code,class_cd,it_remarks) values('20Aug240150','040000160954','847',(select max(to_number(i.premium_rcv_detail_code))+1
from ins_premium_det i),'847','847','02', '11000003','00','Request by Mr. Saqib Saleem 21-Aug-2024 sheet5');</v>
      </c>
    </row>
    <row r="73" spans="1:8" ht="105" x14ac:dyDescent="0.25">
      <c r="A73" s="18" t="s">
        <v>607</v>
      </c>
      <c r="B73" s="21" t="str">
        <f>VLOOKUP(A73,[1]Sheet1!$B$2:$C$110,2,0)</f>
        <v>040000160955</v>
      </c>
      <c r="C73" s="17">
        <v>847</v>
      </c>
      <c r="D73" s="22">
        <f t="shared" si="5"/>
        <v>847</v>
      </c>
      <c r="E73" s="26" t="s">
        <v>648</v>
      </c>
      <c r="F73" s="23" t="str">
        <f t="shared" si="4"/>
        <v>insert into ins_premium_det (premium_rcv_code,assorted_code, rec_amount,premium_rcv_detail_code,remaining_amt, payrec, mode_code,coinsurance_code,class_cd,it_remarks) values</v>
      </c>
      <c r="G73" s="24" t="str">
        <f t="shared" si="6"/>
        <v>('20Aug240150','040000160955','847',(select max(to_number(i.premium_rcv_detail_code))+1
from ins_premium_det i),'847','847','02', '11000003','00','Request by Mr. Saqib Saleem 21-Aug-2024 sheet5');</v>
      </c>
      <c r="H73" s="25" t="str">
        <f t="shared" si="7"/>
        <v>insert into ins_premium_det (premium_rcv_code,assorted_code, rec_amount,premium_rcv_detail_code,remaining_amt, payrec, mode_code,coinsurance_code,class_cd,it_remarks) values('20Aug240150','040000160955','847',(select max(to_number(i.premium_rcv_detail_code))+1
from ins_premium_det i),'847','847','02', '11000003','00','Request by Mr. Saqib Saleem 21-Aug-2024 sheet5');</v>
      </c>
    </row>
    <row r="74" spans="1:8" ht="105" x14ac:dyDescent="0.25">
      <c r="A74" s="18" t="s">
        <v>608</v>
      </c>
      <c r="B74" s="21" t="str">
        <f>VLOOKUP(A74,[1]Sheet1!$B$2:$C$110,2,0)</f>
        <v>040000160956</v>
      </c>
      <c r="C74" s="17">
        <v>463</v>
      </c>
      <c r="D74" s="22">
        <f t="shared" si="5"/>
        <v>463</v>
      </c>
      <c r="E74" s="26" t="s">
        <v>648</v>
      </c>
      <c r="F74" s="23" t="str">
        <f t="shared" si="4"/>
        <v>insert into ins_premium_det (premium_rcv_code,assorted_code, rec_amount,premium_rcv_detail_code,remaining_amt, payrec, mode_code,coinsurance_code,class_cd,it_remarks) values</v>
      </c>
      <c r="G74" s="24" t="str">
        <f t="shared" si="6"/>
        <v>('20Aug240150','040000160956','463',(select max(to_number(i.premium_rcv_detail_code))+1
from ins_premium_det i),'463','463','02', '11000003','00','Request by Mr. Saqib Saleem 21-Aug-2024 sheet5');</v>
      </c>
      <c r="H74" s="25" t="str">
        <f t="shared" si="7"/>
        <v>insert into ins_premium_det (premium_rcv_code,assorted_code, rec_amount,premium_rcv_detail_code,remaining_amt, payrec, mode_code,coinsurance_code,class_cd,it_remarks) values('20Aug240150','040000160956','463',(select max(to_number(i.premium_rcv_detail_code))+1
from ins_premium_det i),'463','463','02', '11000003','00','Request by Mr. Saqib Saleem 21-Aug-2024 sheet5');</v>
      </c>
    </row>
    <row r="75" spans="1:8" ht="105" x14ac:dyDescent="0.25">
      <c r="A75" s="18" t="s">
        <v>609</v>
      </c>
      <c r="B75" s="21" t="str">
        <f>VLOOKUP(A75,[1]Sheet1!$B$2:$C$110,2,0)</f>
        <v>040000160957</v>
      </c>
      <c r="C75" s="17">
        <v>452</v>
      </c>
      <c r="D75" s="22">
        <f t="shared" si="5"/>
        <v>452</v>
      </c>
      <c r="E75" s="26" t="s">
        <v>648</v>
      </c>
      <c r="F75" s="23" t="str">
        <f t="shared" si="4"/>
        <v>insert into ins_premium_det (premium_rcv_code,assorted_code, rec_amount,premium_rcv_detail_code,remaining_amt, payrec, mode_code,coinsurance_code,class_cd,it_remarks) values</v>
      </c>
      <c r="G75" s="24" t="str">
        <f t="shared" si="6"/>
        <v>('20Aug240150','040000160957','452',(select max(to_number(i.premium_rcv_detail_code))+1
from ins_premium_det i),'452','452','02', '11000003','00','Request by Mr. Saqib Saleem 21-Aug-2024 sheet5');</v>
      </c>
      <c r="H75" s="25" t="str">
        <f t="shared" si="7"/>
        <v>insert into ins_premium_det (premium_rcv_code,assorted_code, rec_amount,premium_rcv_detail_code,remaining_amt, payrec, mode_code,coinsurance_code,class_cd,it_remarks) values('20Aug240150','040000160957','452',(select max(to_number(i.premium_rcv_detail_code))+1
from ins_premium_det i),'452','452','02', '11000003','00','Request by Mr. Saqib Saleem 21-Aug-2024 sheet5');</v>
      </c>
    </row>
    <row r="76" spans="1:8" ht="105" x14ac:dyDescent="0.25">
      <c r="A76" s="18" t="s">
        <v>610</v>
      </c>
      <c r="B76" s="21" t="str">
        <f>VLOOKUP(A76,[1]Sheet1!$B$2:$C$110,2,0)</f>
        <v>040000160958</v>
      </c>
      <c r="C76" s="17">
        <v>2126</v>
      </c>
      <c r="D76" s="22">
        <f t="shared" si="5"/>
        <v>2126</v>
      </c>
      <c r="E76" s="26" t="s">
        <v>648</v>
      </c>
      <c r="F76" s="23" t="str">
        <f t="shared" si="4"/>
        <v>insert into ins_premium_det (premium_rcv_code,assorted_code, rec_amount,premium_rcv_detail_code,remaining_amt, payrec, mode_code,coinsurance_code,class_cd,it_remarks) values</v>
      </c>
      <c r="G76" s="24" t="str">
        <f t="shared" si="6"/>
        <v>('20Aug240150','040000160958','2126',(select max(to_number(i.premium_rcv_detail_code))+1
from ins_premium_det i),'2126','2126','02', '11000003','00','Request by Mr. Saqib Saleem 21-Aug-2024 sheet5');</v>
      </c>
      <c r="H76" s="25" t="str">
        <f t="shared" si="7"/>
        <v>insert into ins_premium_det (premium_rcv_code,assorted_code, rec_amount,premium_rcv_detail_code,remaining_amt, payrec, mode_code,coinsurance_code,class_cd,it_remarks) values('20Aug240150','040000160958','2126',(select max(to_number(i.premium_rcv_detail_code))+1
from ins_premium_det i),'2126','2126','02', '11000003','00','Request by Mr. Saqib Saleem 21-Aug-2024 sheet5');</v>
      </c>
    </row>
    <row r="77" spans="1:8" ht="105" x14ac:dyDescent="0.25">
      <c r="A77" s="18" t="s">
        <v>611</v>
      </c>
      <c r="B77" s="21" t="str">
        <f>VLOOKUP(A77,[1]Sheet1!$B$2:$C$110,2,0)</f>
        <v>040000160959</v>
      </c>
      <c r="C77" s="17">
        <v>2003</v>
      </c>
      <c r="D77" s="22">
        <f t="shared" si="5"/>
        <v>2003</v>
      </c>
      <c r="E77" s="26" t="s">
        <v>648</v>
      </c>
      <c r="F77" s="23" t="str">
        <f t="shared" si="4"/>
        <v>insert into ins_premium_det (premium_rcv_code,assorted_code, rec_amount,premium_rcv_detail_code,remaining_amt, payrec, mode_code,coinsurance_code,class_cd,it_remarks) values</v>
      </c>
      <c r="G77" s="24" t="str">
        <f t="shared" si="6"/>
        <v>('20Aug240150','040000160959','2003',(select max(to_number(i.premium_rcv_detail_code))+1
from ins_premium_det i),'2003','2003','02', '11000003','00','Request by Mr. Saqib Saleem 21-Aug-2024 sheet5');</v>
      </c>
      <c r="H77" s="25" t="str">
        <f t="shared" si="7"/>
        <v>insert into ins_premium_det (premium_rcv_code,assorted_code, rec_amount,premium_rcv_detail_code,remaining_amt, payrec, mode_code,coinsurance_code,class_cd,it_remarks) values('20Aug240150','040000160959','2003',(select max(to_number(i.premium_rcv_detail_code))+1
from ins_premium_det i),'2003','2003','02', '11000003','00','Request by Mr. Saqib Saleem 21-Aug-2024 sheet5');</v>
      </c>
    </row>
    <row r="78" spans="1:8" ht="105" x14ac:dyDescent="0.25">
      <c r="A78" s="18" t="s">
        <v>612</v>
      </c>
      <c r="B78" s="21" t="str">
        <f>VLOOKUP(A78,[1]Sheet1!$B$2:$C$110,2,0)</f>
        <v>040000160960</v>
      </c>
      <c r="C78" s="17">
        <v>782</v>
      </c>
      <c r="D78" s="22">
        <f t="shared" si="5"/>
        <v>782</v>
      </c>
      <c r="E78" s="26" t="s">
        <v>648</v>
      </c>
      <c r="F78" s="23" t="str">
        <f t="shared" si="4"/>
        <v>insert into ins_premium_det (premium_rcv_code,assorted_code, rec_amount,premium_rcv_detail_code,remaining_amt, payrec, mode_code,coinsurance_code,class_cd,it_remarks) values</v>
      </c>
      <c r="G78" s="24" t="str">
        <f t="shared" si="6"/>
        <v>('20Aug240150','040000160960','782',(select max(to_number(i.premium_rcv_detail_code))+1
from ins_premium_det i),'782','782','02', '11000003','00','Request by Mr. Saqib Saleem 21-Aug-2024 sheet5');</v>
      </c>
      <c r="H78" s="25" t="str">
        <f t="shared" si="7"/>
        <v>insert into ins_premium_det (premium_rcv_code,assorted_code, rec_amount,premium_rcv_detail_code,remaining_amt, payrec, mode_code,coinsurance_code,class_cd,it_remarks) values('20Aug240150','040000160960','782',(select max(to_number(i.premium_rcv_detail_code))+1
from ins_premium_det i),'782','782','02', '11000003','00','Request by Mr. Saqib Saleem 21-Aug-2024 sheet5');</v>
      </c>
    </row>
    <row r="79" spans="1:8" ht="105" x14ac:dyDescent="0.25">
      <c r="A79" s="18" t="s">
        <v>613</v>
      </c>
      <c r="B79" s="21" t="str">
        <f>VLOOKUP(A79,[1]Sheet1!$B$2:$C$110,2,0)</f>
        <v>040000160961</v>
      </c>
      <c r="C79" s="17">
        <v>1323</v>
      </c>
      <c r="D79" s="22">
        <f t="shared" si="5"/>
        <v>1323</v>
      </c>
      <c r="E79" s="26" t="s">
        <v>648</v>
      </c>
      <c r="F79" s="23" t="str">
        <f t="shared" si="4"/>
        <v>insert into ins_premium_det (premium_rcv_code,assorted_code, rec_amount,premium_rcv_detail_code,remaining_amt, payrec, mode_code,coinsurance_code,class_cd,it_remarks) values</v>
      </c>
      <c r="G79" s="24" t="str">
        <f t="shared" si="6"/>
        <v>('20Aug240150','040000160961','1323',(select max(to_number(i.premium_rcv_detail_code))+1
from ins_premium_det i),'1323','1323','02', '11000003','00','Request by Mr. Saqib Saleem 21-Aug-2024 sheet5');</v>
      </c>
      <c r="H79" s="25" t="str">
        <f t="shared" si="7"/>
        <v>insert into ins_premium_det (premium_rcv_code,assorted_code, rec_amount,premium_rcv_detail_code,remaining_amt, payrec, mode_code,coinsurance_code,class_cd,it_remarks) values('20Aug240150','040000160961','1323',(select max(to_number(i.premium_rcv_detail_code))+1
from ins_premium_det i),'1323','1323','02', '11000003','00','Request by Mr. Saqib Saleem 21-Aug-2024 sheet5');</v>
      </c>
    </row>
    <row r="80" spans="1:8" ht="105" x14ac:dyDescent="0.25">
      <c r="A80" s="18" t="s">
        <v>614</v>
      </c>
      <c r="B80" s="21" t="str">
        <f>VLOOKUP(A80,[1]Sheet1!$B$2:$C$110,2,0)</f>
        <v>040000160962</v>
      </c>
      <c r="C80" s="17">
        <v>1003</v>
      </c>
      <c r="D80" s="22">
        <f t="shared" si="5"/>
        <v>1003</v>
      </c>
      <c r="E80" s="26" t="s">
        <v>648</v>
      </c>
      <c r="F80" s="23" t="str">
        <f t="shared" si="4"/>
        <v>insert into ins_premium_det (premium_rcv_code,assorted_code, rec_amount,premium_rcv_detail_code,remaining_amt, payrec, mode_code,coinsurance_code,class_cd,it_remarks) values</v>
      </c>
      <c r="G80" s="24" t="str">
        <f t="shared" si="6"/>
        <v>('20Aug240150','040000160962','1003',(select max(to_number(i.premium_rcv_detail_code))+1
from ins_premium_det i),'1003','1003','02', '11000003','00','Request by Mr. Saqib Saleem 21-Aug-2024 sheet5');</v>
      </c>
      <c r="H80" s="25" t="str">
        <f t="shared" si="7"/>
        <v>insert into ins_premium_det (premium_rcv_code,assorted_code, rec_amount,premium_rcv_detail_code,remaining_amt, payrec, mode_code,coinsurance_code,class_cd,it_remarks) values('20Aug240150','040000160962','1003',(select max(to_number(i.premium_rcv_detail_code))+1
from ins_premium_det i),'1003','1003','02', '11000003','00','Request by Mr. Saqib Saleem 21-Aug-2024 sheet5');</v>
      </c>
    </row>
    <row r="81" spans="1:8" ht="105" x14ac:dyDescent="0.25">
      <c r="A81" s="18" t="s">
        <v>615</v>
      </c>
      <c r="B81" s="21" t="str">
        <f>VLOOKUP(A81,[1]Sheet1!$B$2:$C$110,2,0)</f>
        <v>040000160963</v>
      </c>
      <c r="C81" s="17">
        <v>1237</v>
      </c>
      <c r="D81" s="22">
        <f t="shared" si="5"/>
        <v>1237</v>
      </c>
      <c r="E81" s="26" t="s">
        <v>648</v>
      </c>
      <c r="F81" s="23" t="str">
        <f t="shared" si="4"/>
        <v>insert into ins_premium_det (premium_rcv_code,assorted_code, rec_amount,premium_rcv_detail_code,remaining_amt, payrec, mode_code,coinsurance_code,class_cd,it_remarks) values</v>
      </c>
      <c r="G81" s="24" t="str">
        <f t="shared" si="6"/>
        <v>('20Aug240150','040000160963','1237',(select max(to_number(i.premium_rcv_detail_code))+1
from ins_premium_det i),'1237','1237','02', '11000003','00','Request by Mr. Saqib Saleem 21-Aug-2024 sheet5');</v>
      </c>
      <c r="H81" s="25" t="str">
        <f t="shared" si="7"/>
        <v>insert into ins_premium_det (premium_rcv_code,assorted_code, rec_amount,premium_rcv_detail_code,remaining_amt, payrec, mode_code,coinsurance_code,class_cd,it_remarks) values('20Aug240150','040000160963','1237',(select max(to_number(i.premium_rcv_detail_code))+1
from ins_premium_det i),'1237','1237','02', '11000003','00','Request by Mr. Saqib Saleem 21-Aug-2024 sheet5');</v>
      </c>
    </row>
    <row r="82" spans="1:8" ht="105" x14ac:dyDescent="0.25">
      <c r="A82" s="18" t="s">
        <v>616</v>
      </c>
      <c r="B82" s="21" t="str">
        <f>VLOOKUP(A82,[1]Sheet1!$B$2:$C$110,2,0)</f>
        <v>040000160964</v>
      </c>
      <c r="C82" s="17">
        <v>1355</v>
      </c>
      <c r="D82" s="22">
        <f t="shared" si="5"/>
        <v>1355</v>
      </c>
      <c r="E82" s="26" t="s">
        <v>648</v>
      </c>
      <c r="F82" s="23" t="str">
        <f t="shared" si="4"/>
        <v>insert into ins_premium_det (premium_rcv_code,assorted_code, rec_amount,premium_rcv_detail_code,remaining_amt, payrec, mode_code,coinsurance_code,class_cd,it_remarks) values</v>
      </c>
      <c r="G82" s="24" t="str">
        <f t="shared" si="6"/>
        <v>('20Aug240150','040000160964','1355',(select max(to_number(i.premium_rcv_detail_code))+1
from ins_premium_det i),'1355','1355','02', '11000003','00','Request by Mr. Saqib Saleem 21-Aug-2024 sheet5');</v>
      </c>
      <c r="H82" s="25" t="str">
        <f t="shared" si="7"/>
        <v>insert into ins_premium_det (premium_rcv_code,assorted_code, rec_amount,premium_rcv_detail_code,remaining_amt, payrec, mode_code,coinsurance_code,class_cd,it_remarks) values('20Aug240150','040000160964','1355',(select max(to_number(i.premium_rcv_detail_code))+1
from ins_premium_det i),'1355','1355','02', '11000003','00','Request by Mr. Saqib Saleem 21-Aug-2024 sheet5');</v>
      </c>
    </row>
    <row r="83" spans="1:8" ht="105" x14ac:dyDescent="0.25">
      <c r="A83" s="18" t="s">
        <v>617</v>
      </c>
      <c r="B83" s="21" t="str">
        <f>VLOOKUP(A83,[1]Sheet1!$B$2:$C$110,2,0)</f>
        <v>040000160965</v>
      </c>
      <c r="C83" s="17">
        <v>669</v>
      </c>
      <c r="D83" s="22">
        <f t="shared" si="5"/>
        <v>669</v>
      </c>
      <c r="E83" s="26" t="s">
        <v>648</v>
      </c>
      <c r="F83" s="23" t="str">
        <f t="shared" si="4"/>
        <v>insert into ins_premium_det (premium_rcv_code,assorted_code, rec_amount,premium_rcv_detail_code,remaining_amt, payrec, mode_code,coinsurance_code,class_cd,it_remarks) values</v>
      </c>
      <c r="G83" s="24" t="str">
        <f t="shared" si="6"/>
        <v>('20Aug240150','040000160965','669',(select max(to_number(i.premium_rcv_detail_code))+1
from ins_premium_det i),'669','669','02', '11000003','00','Request by Mr. Saqib Saleem 21-Aug-2024 sheet5');</v>
      </c>
      <c r="H83" s="25" t="str">
        <f t="shared" si="7"/>
        <v>insert into ins_premium_det (premium_rcv_code,assorted_code, rec_amount,premium_rcv_detail_code,remaining_amt, payrec, mode_code,coinsurance_code,class_cd,it_remarks) values('20Aug240150','040000160965','669',(select max(to_number(i.premium_rcv_detail_code))+1
from ins_premium_det i),'669','669','02', '11000003','00','Request by Mr. Saqib Saleem 21-Aug-2024 sheet5');</v>
      </c>
    </row>
    <row r="84" spans="1:8" ht="105" x14ac:dyDescent="0.25">
      <c r="A84" s="18" t="s">
        <v>618</v>
      </c>
      <c r="B84" s="21" t="str">
        <f>VLOOKUP(A84,[1]Sheet1!$B$2:$C$110,2,0)</f>
        <v>040000160966</v>
      </c>
      <c r="C84" s="17">
        <v>421</v>
      </c>
      <c r="D84" s="22">
        <f t="shared" si="5"/>
        <v>421</v>
      </c>
      <c r="E84" s="26" t="s">
        <v>648</v>
      </c>
      <c r="F84" s="23" t="str">
        <f t="shared" si="4"/>
        <v>insert into ins_premium_det (premium_rcv_code,assorted_code, rec_amount,premium_rcv_detail_code,remaining_amt, payrec, mode_code,coinsurance_code,class_cd,it_remarks) values</v>
      </c>
      <c r="G84" s="24" t="str">
        <f t="shared" si="6"/>
        <v>('20Aug240150','040000160966','421',(select max(to_number(i.premium_rcv_detail_code))+1
from ins_premium_det i),'421','421','02', '11000003','00','Request by Mr. Saqib Saleem 21-Aug-2024 sheet5');</v>
      </c>
      <c r="H84" s="25" t="str">
        <f t="shared" si="7"/>
        <v>insert into ins_premium_det (premium_rcv_code,assorted_code, rec_amount,premium_rcv_detail_code,remaining_amt, payrec, mode_code,coinsurance_code,class_cd,it_remarks) values('20Aug240150','040000160966','421',(select max(to_number(i.premium_rcv_detail_code))+1
from ins_premium_det i),'421','421','02', '11000003','00','Request by Mr. Saqib Saleem 21-Aug-2024 sheet5');</v>
      </c>
    </row>
    <row r="85" spans="1:8" ht="105" x14ac:dyDescent="0.25">
      <c r="A85" s="18" t="s">
        <v>619</v>
      </c>
      <c r="B85" s="21" t="str">
        <f>VLOOKUP(A85,[1]Sheet1!$B$2:$C$110,2,0)</f>
        <v>040000160967</v>
      </c>
      <c r="C85" s="17">
        <v>556</v>
      </c>
      <c r="D85" s="22">
        <f t="shared" si="5"/>
        <v>556</v>
      </c>
      <c r="E85" s="26" t="s">
        <v>648</v>
      </c>
      <c r="F85" s="23" t="str">
        <f t="shared" si="4"/>
        <v>insert into ins_premium_det (premium_rcv_code,assorted_code, rec_amount,premium_rcv_detail_code,remaining_amt, payrec, mode_code,coinsurance_code,class_cd,it_remarks) values</v>
      </c>
      <c r="G85" s="24" t="str">
        <f t="shared" si="6"/>
        <v>('20Aug240150','040000160967','556',(select max(to_number(i.premium_rcv_detail_code))+1
from ins_premium_det i),'556','556','02', '11000003','00','Request by Mr. Saqib Saleem 21-Aug-2024 sheet5');</v>
      </c>
      <c r="H85" s="25" t="str">
        <f t="shared" si="7"/>
        <v>insert into ins_premium_det (premium_rcv_code,assorted_code, rec_amount,premium_rcv_detail_code,remaining_amt, payrec, mode_code,coinsurance_code,class_cd,it_remarks) values('20Aug240150','040000160967','556',(select max(to_number(i.premium_rcv_detail_code))+1
from ins_premium_det i),'556','556','02', '11000003','00','Request by Mr. Saqib Saleem 21-Aug-2024 sheet5');</v>
      </c>
    </row>
    <row r="86" spans="1:8" ht="105" x14ac:dyDescent="0.25">
      <c r="A86" s="18" t="s">
        <v>620</v>
      </c>
      <c r="B86" s="21" t="str">
        <f>VLOOKUP(A86,[1]Sheet1!$B$2:$C$110,2,0)</f>
        <v>040000160968</v>
      </c>
      <c r="C86" s="17">
        <v>1426</v>
      </c>
      <c r="D86" s="22">
        <f t="shared" si="5"/>
        <v>1426</v>
      </c>
      <c r="E86" s="26" t="s">
        <v>648</v>
      </c>
      <c r="F86" s="23" t="str">
        <f t="shared" si="4"/>
        <v>insert into ins_premium_det (premium_rcv_code,assorted_code, rec_amount,premium_rcv_detail_code,remaining_amt, payrec, mode_code,coinsurance_code,class_cd,it_remarks) values</v>
      </c>
      <c r="G86" s="24" t="str">
        <f t="shared" si="6"/>
        <v>('20Aug240150','040000160968','1426',(select max(to_number(i.premium_rcv_detail_code))+1
from ins_premium_det i),'1426','1426','02', '11000003','00','Request by Mr. Saqib Saleem 21-Aug-2024 sheet5');</v>
      </c>
      <c r="H86" s="25" t="str">
        <f t="shared" si="7"/>
        <v>insert into ins_premium_det (premium_rcv_code,assorted_code, rec_amount,premium_rcv_detail_code,remaining_amt, payrec, mode_code,coinsurance_code,class_cd,it_remarks) values('20Aug240150','040000160968','1426',(select max(to_number(i.premium_rcv_detail_code))+1
from ins_premium_det i),'1426','1426','02', '11000003','00','Request by Mr. Saqib Saleem 21-Aug-2024 sheet5');</v>
      </c>
    </row>
    <row r="87" spans="1:8" ht="105" x14ac:dyDescent="0.25">
      <c r="A87" s="18" t="s">
        <v>621</v>
      </c>
      <c r="B87" s="21" t="str">
        <f>VLOOKUP(A87,[1]Sheet1!$B$2:$C$110,2,0)</f>
        <v>040000160969</v>
      </c>
      <c r="C87" s="17">
        <v>1432</v>
      </c>
      <c r="D87" s="22">
        <f t="shared" si="5"/>
        <v>1432</v>
      </c>
      <c r="E87" s="26" t="s">
        <v>648</v>
      </c>
      <c r="F87" s="23" t="str">
        <f t="shared" si="4"/>
        <v>insert into ins_premium_det (premium_rcv_code,assorted_code, rec_amount,premium_rcv_detail_code,remaining_amt, payrec, mode_code,coinsurance_code,class_cd,it_remarks) values</v>
      </c>
      <c r="G87" s="24" t="str">
        <f t="shared" si="6"/>
        <v>('20Aug240150','040000160969','1432',(select max(to_number(i.premium_rcv_detail_code))+1
from ins_premium_det i),'1432','1432','02', '11000003','00','Request by Mr. Saqib Saleem 21-Aug-2024 sheet5');</v>
      </c>
      <c r="H87" s="25" t="str">
        <f t="shared" si="7"/>
        <v>insert into ins_premium_det (premium_rcv_code,assorted_code, rec_amount,premium_rcv_detail_code,remaining_amt, payrec, mode_code,coinsurance_code,class_cd,it_remarks) values('20Aug240150','040000160969','1432',(select max(to_number(i.premium_rcv_detail_code))+1
from ins_premium_det i),'1432','1432','02', '11000003','00','Request by Mr. Saqib Saleem 21-Aug-2024 sheet5');</v>
      </c>
    </row>
    <row r="88" spans="1:8" ht="105" x14ac:dyDescent="0.25">
      <c r="A88" s="18" t="s">
        <v>622</v>
      </c>
      <c r="B88" s="21" t="str">
        <f>VLOOKUP(A88,[1]Sheet1!$B$2:$C$110,2,0)</f>
        <v>040000160970</v>
      </c>
      <c r="C88" s="17">
        <v>765</v>
      </c>
      <c r="D88" s="22">
        <f t="shared" si="5"/>
        <v>765</v>
      </c>
      <c r="E88" s="26" t="s">
        <v>648</v>
      </c>
      <c r="F88" s="23" t="str">
        <f t="shared" si="4"/>
        <v>insert into ins_premium_det (premium_rcv_code,assorted_code, rec_amount,premium_rcv_detail_code,remaining_amt, payrec, mode_code,coinsurance_code,class_cd,it_remarks) values</v>
      </c>
      <c r="G88" s="24" t="str">
        <f t="shared" si="6"/>
        <v>('20Aug240150','040000160970','765',(select max(to_number(i.premium_rcv_detail_code))+1
from ins_premium_det i),'765','765','02', '11000003','00','Request by Mr. Saqib Saleem 21-Aug-2024 sheet5');</v>
      </c>
      <c r="H88" s="25" t="str">
        <f t="shared" si="7"/>
        <v>insert into ins_premium_det (premium_rcv_code,assorted_code, rec_amount,premium_rcv_detail_code,remaining_amt, payrec, mode_code,coinsurance_code,class_cd,it_remarks) values('20Aug240150','040000160970','765',(select max(to_number(i.premium_rcv_detail_code))+1
from ins_premium_det i),'765','765','02', '11000003','00','Request by Mr. Saqib Saleem 21-Aug-2024 sheet5');</v>
      </c>
    </row>
    <row r="89" spans="1:8" ht="105" x14ac:dyDescent="0.25">
      <c r="A89" s="18" t="s">
        <v>623</v>
      </c>
      <c r="B89" s="21" t="str">
        <f>VLOOKUP(A89,[1]Sheet1!$B$2:$C$110,2,0)</f>
        <v>040000160971</v>
      </c>
      <c r="C89" s="17">
        <v>942</v>
      </c>
      <c r="D89" s="22">
        <f t="shared" si="5"/>
        <v>942</v>
      </c>
      <c r="E89" s="26" t="s">
        <v>648</v>
      </c>
      <c r="F89" s="23" t="str">
        <f t="shared" si="4"/>
        <v>insert into ins_premium_det (premium_rcv_code,assorted_code, rec_amount,premium_rcv_detail_code,remaining_amt, payrec, mode_code,coinsurance_code,class_cd,it_remarks) values</v>
      </c>
      <c r="G89" s="24" t="str">
        <f t="shared" si="6"/>
        <v>('20Aug240150','040000160971','942',(select max(to_number(i.premium_rcv_detail_code))+1
from ins_premium_det i),'942','942','02', '11000003','00','Request by Mr. Saqib Saleem 21-Aug-2024 sheet5');</v>
      </c>
      <c r="H89" s="25" t="str">
        <f t="shared" si="7"/>
        <v>insert into ins_premium_det (premium_rcv_code,assorted_code, rec_amount,premium_rcv_detail_code,remaining_amt, payrec, mode_code,coinsurance_code,class_cd,it_remarks) values('20Aug240150','040000160971','942',(select max(to_number(i.premium_rcv_detail_code))+1
from ins_premium_det i),'942','942','02', '11000003','00','Request by Mr. Saqib Saleem 21-Aug-2024 sheet5');</v>
      </c>
    </row>
    <row r="90" spans="1:8" ht="105" x14ac:dyDescent="0.25">
      <c r="A90" s="18" t="s">
        <v>624</v>
      </c>
      <c r="B90" s="21" t="str">
        <f>VLOOKUP(A90,[1]Sheet1!$B$2:$C$110,2,0)</f>
        <v>040000160972</v>
      </c>
      <c r="C90" s="17">
        <v>233</v>
      </c>
      <c r="D90" s="22">
        <f t="shared" si="5"/>
        <v>233</v>
      </c>
      <c r="E90" s="26" t="s">
        <v>648</v>
      </c>
      <c r="F90" s="23" t="str">
        <f t="shared" si="4"/>
        <v>insert into ins_premium_det (premium_rcv_code,assorted_code, rec_amount,premium_rcv_detail_code,remaining_amt, payrec, mode_code,coinsurance_code,class_cd,it_remarks) values</v>
      </c>
      <c r="G90" s="24" t="str">
        <f t="shared" si="6"/>
        <v>('20Aug240150','040000160972','233',(select max(to_number(i.premium_rcv_detail_code))+1
from ins_premium_det i),'233','233','02', '11000003','00','Request by Mr. Saqib Saleem 21-Aug-2024 sheet5');</v>
      </c>
      <c r="H90" s="25" t="str">
        <f t="shared" si="7"/>
        <v>insert into ins_premium_det (premium_rcv_code,assorted_code, rec_amount,premium_rcv_detail_code,remaining_amt, payrec, mode_code,coinsurance_code,class_cd,it_remarks) values('20Aug240150','040000160972','233',(select max(to_number(i.premium_rcv_detail_code))+1
from ins_premium_det i),'233','233','02', '11000003','00','Request by Mr. Saqib Saleem 21-Aug-2024 sheet5');</v>
      </c>
    </row>
    <row r="91" spans="1:8" ht="105" x14ac:dyDescent="0.25">
      <c r="A91" s="18" t="s">
        <v>625</v>
      </c>
      <c r="B91" s="21" t="str">
        <f>VLOOKUP(A91,[1]Sheet1!$B$2:$C$110,2,0)</f>
        <v>040000160973</v>
      </c>
      <c r="C91" s="17">
        <v>1220</v>
      </c>
      <c r="D91" s="22">
        <f t="shared" si="5"/>
        <v>1220</v>
      </c>
      <c r="E91" s="26" t="s">
        <v>648</v>
      </c>
      <c r="F91" s="23" t="str">
        <f t="shared" si="4"/>
        <v>insert into ins_premium_det (premium_rcv_code,assorted_code, rec_amount,premium_rcv_detail_code,remaining_amt, payrec, mode_code,coinsurance_code,class_cd,it_remarks) values</v>
      </c>
      <c r="G91" s="24" t="str">
        <f t="shared" si="6"/>
        <v>('20Aug240150','040000160973','1220',(select max(to_number(i.premium_rcv_detail_code))+1
from ins_premium_det i),'1220','1220','02', '11000003','00','Request by Mr. Saqib Saleem 21-Aug-2024 sheet5');</v>
      </c>
      <c r="H91" s="25" t="str">
        <f t="shared" si="7"/>
        <v>insert into ins_premium_det (premium_rcv_code,assorted_code, rec_amount,premium_rcv_detail_code,remaining_amt, payrec, mode_code,coinsurance_code,class_cd,it_remarks) values('20Aug240150','040000160973','1220',(select max(to_number(i.premium_rcv_detail_code))+1
from ins_premium_det i),'1220','1220','02', '11000003','00','Request by Mr. Saqib Saleem 21-Aug-2024 sheet5');</v>
      </c>
    </row>
    <row r="92" spans="1:8" ht="105" x14ac:dyDescent="0.25">
      <c r="A92" s="18" t="s">
        <v>626</v>
      </c>
      <c r="B92" s="21" t="str">
        <f>VLOOKUP(A92,[1]Sheet1!$B$2:$C$110,2,0)</f>
        <v>040000160974</v>
      </c>
      <c r="C92" s="17">
        <v>1042</v>
      </c>
      <c r="D92" s="22">
        <f t="shared" si="5"/>
        <v>1042</v>
      </c>
      <c r="E92" s="26" t="s">
        <v>648</v>
      </c>
      <c r="F92" s="23" t="str">
        <f t="shared" si="4"/>
        <v>insert into ins_premium_det (premium_rcv_code,assorted_code, rec_amount,premium_rcv_detail_code,remaining_amt, payrec, mode_code,coinsurance_code,class_cd,it_remarks) values</v>
      </c>
      <c r="G92" s="24" t="str">
        <f t="shared" si="6"/>
        <v>('20Aug240150','040000160974','1042',(select max(to_number(i.premium_rcv_detail_code))+1
from ins_premium_det i),'1042','1042','02', '11000003','00','Request by Mr. Saqib Saleem 21-Aug-2024 sheet5');</v>
      </c>
      <c r="H92" s="25" t="str">
        <f t="shared" si="7"/>
        <v>insert into ins_premium_det (premium_rcv_code,assorted_code, rec_amount,premium_rcv_detail_code,remaining_amt, payrec, mode_code,coinsurance_code,class_cd,it_remarks) values('20Aug240150','040000160974','1042',(select max(to_number(i.premium_rcv_detail_code))+1
from ins_premium_det i),'1042','1042','02', '11000003','00','Request by Mr. Saqib Saleem 21-Aug-2024 sheet5');</v>
      </c>
    </row>
    <row r="93" spans="1:8" ht="105" x14ac:dyDescent="0.25">
      <c r="A93" s="18" t="s">
        <v>627</v>
      </c>
      <c r="B93" s="21" t="str">
        <f>VLOOKUP(A93,[1]Sheet1!$B$2:$C$110,2,0)</f>
        <v>040000160975</v>
      </c>
      <c r="C93" s="17">
        <v>1432</v>
      </c>
      <c r="D93" s="22">
        <f t="shared" si="5"/>
        <v>1432</v>
      </c>
      <c r="E93" s="26" t="s">
        <v>648</v>
      </c>
      <c r="F93" s="23" t="str">
        <f t="shared" si="4"/>
        <v>insert into ins_premium_det (premium_rcv_code,assorted_code, rec_amount,premium_rcv_detail_code,remaining_amt, payrec, mode_code,coinsurance_code,class_cd,it_remarks) values</v>
      </c>
      <c r="G93" s="24" t="str">
        <f t="shared" si="6"/>
        <v>('20Aug240150','040000160975','1432',(select max(to_number(i.premium_rcv_detail_code))+1
from ins_premium_det i),'1432','1432','02', '11000003','00','Request by Mr. Saqib Saleem 21-Aug-2024 sheet5');</v>
      </c>
      <c r="H93" s="25" t="str">
        <f t="shared" si="7"/>
        <v>insert into ins_premium_det (premium_rcv_code,assorted_code, rec_amount,premium_rcv_detail_code,remaining_amt, payrec, mode_code,coinsurance_code,class_cd,it_remarks) values('20Aug240150','040000160975','1432',(select max(to_number(i.premium_rcv_detail_code))+1
from ins_premium_det i),'1432','1432','02', '11000003','00','Request by Mr. Saqib Saleem 21-Aug-2024 sheet5');</v>
      </c>
    </row>
    <row r="94" spans="1:8" ht="105" x14ac:dyDescent="0.25">
      <c r="A94" s="18" t="s">
        <v>628</v>
      </c>
      <c r="B94" s="21" t="str">
        <f>VLOOKUP(A94,[1]Sheet1!$B$2:$C$110,2,0)</f>
        <v>040000160976</v>
      </c>
      <c r="C94" s="17">
        <v>2079</v>
      </c>
      <c r="D94" s="22">
        <f t="shared" si="5"/>
        <v>2079</v>
      </c>
      <c r="E94" s="26" t="s">
        <v>648</v>
      </c>
      <c r="F94" s="23" t="str">
        <f t="shared" si="4"/>
        <v>insert into ins_premium_det (premium_rcv_code,assorted_code, rec_amount,premium_rcv_detail_code,remaining_amt, payrec, mode_code,coinsurance_code,class_cd,it_remarks) values</v>
      </c>
      <c r="G94" s="24" t="str">
        <f t="shared" si="6"/>
        <v>('20Aug240150','040000160976','2079',(select max(to_number(i.premium_rcv_detail_code))+1
from ins_premium_det i),'2079','2079','02', '11000003','00','Request by Mr. Saqib Saleem 21-Aug-2024 sheet5');</v>
      </c>
      <c r="H94" s="25" t="str">
        <f t="shared" si="7"/>
        <v>insert into ins_premium_det (premium_rcv_code,assorted_code, rec_amount,premium_rcv_detail_code,remaining_amt, payrec, mode_code,coinsurance_code,class_cd,it_remarks) values('20Aug240150','040000160976','2079',(select max(to_number(i.premium_rcv_detail_code))+1
from ins_premium_det i),'2079','2079','02', '11000003','00','Request by Mr. Saqib Saleem 21-Aug-2024 sheet5');</v>
      </c>
    </row>
    <row r="95" spans="1:8" ht="105" x14ac:dyDescent="0.25">
      <c r="A95" s="18" t="s">
        <v>629</v>
      </c>
      <c r="B95" s="21" t="str">
        <f>VLOOKUP(A95,[1]Sheet1!$B$2:$C$110,2,0)</f>
        <v>040000160977</v>
      </c>
      <c r="C95" s="17">
        <v>823</v>
      </c>
      <c r="D95" s="22">
        <f t="shared" si="5"/>
        <v>823</v>
      </c>
      <c r="E95" s="26" t="s">
        <v>648</v>
      </c>
      <c r="F95" s="23" t="str">
        <f t="shared" si="4"/>
        <v>insert into ins_premium_det (premium_rcv_code,assorted_code, rec_amount,premium_rcv_detail_code,remaining_amt, payrec, mode_code,coinsurance_code,class_cd,it_remarks) values</v>
      </c>
      <c r="G95" s="24" t="str">
        <f t="shared" si="6"/>
        <v>('20Aug240150','040000160977','823',(select max(to_number(i.premium_rcv_detail_code))+1
from ins_premium_det i),'823','823','02', '11000003','00','Request by Mr. Saqib Saleem 21-Aug-2024 sheet5');</v>
      </c>
      <c r="H95" s="25" t="str">
        <f t="shared" si="7"/>
        <v>insert into ins_premium_det (premium_rcv_code,assorted_code, rec_amount,premium_rcv_detail_code,remaining_amt, payrec, mode_code,coinsurance_code,class_cd,it_remarks) values('20Aug240150','040000160977','823',(select max(to_number(i.premium_rcv_detail_code))+1
from ins_premium_det i),'823','823','02', '11000003','00','Request by Mr. Saqib Saleem 21-Aug-2024 sheet5');</v>
      </c>
    </row>
    <row r="96" spans="1:8" ht="105" x14ac:dyDescent="0.25">
      <c r="A96" s="18" t="s">
        <v>630</v>
      </c>
      <c r="B96" s="21" t="str">
        <f>VLOOKUP(A96,[1]Sheet1!$B$2:$C$110,2,0)</f>
        <v>040000160978</v>
      </c>
      <c r="C96" s="17">
        <v>1063</v>
      </c>
      <c r="D96" s="22">
        <f t="shared" si="5"/>
        <v>1063</v>
      </c>
      <c r="E96" s="26" t="s">
        <v>648</v>
      </c>
      <c r="F96" s="23" t="str">
        <f t="shared" si="4"/>
        <v>insert into ins_premium_det (premium_rcv_code,assorted_code, rec_amount,premium_rcv_detail_code,remaining_amt, payrec, mode_code,coinsurance_code,class_cd,it_remarks) values</v>
      </c>
      <c r="G96" s="24" t="str">
        <f t="shared" si="6"/>
        <v>('20Aug240150','040000160978','1063',(select max(to_number(i.premium_rcv_detail_code))+1
from ins_premium_det i),'1063','1063','02', '11000003','00','Request by Mr. Saqib Saleem 21-Aug-2024 sheet5');</v>
      </c>
      <c r="H96" s="25" t="str">
        <f t="shared" si="7"/>
        <v>insert into ins_premium_det (premium_rcv_code,assorted_code, rec_amount,premium_rcv_detail_code,remaining_amt, payrec, mode_code,coinsurance_code,class_cd,it_remarks) values('20Aug240150','040000160978','1063',(select max(to_number(i.premium_rcv_detail_code))+1
from ins_premium_det i),'1063','1063','02', '11000003','00','Request by Mr. Saqib Saleem 21-Aug-2024 sheet5');</v>
      </c>
    </row>
    <row r="97" spans="1:8" ht="105" x14ac:dyDescent="0.25">
      <c r="A97" s="18" t="s">
        <v>631</v>
      </c>
      <c r="B97" s="21" t="str">
        <f>VLOOKUP(A97,[1]Sheet1!$B$2:$C$110,2,0)</f>
        <v>040000160979</v>
      </c>
      <c r="C97" s="17">
        <v>831</v>
      </c>
      <c r="D97" s="22">
        <f t="shared" si="5"/>
        <v>831</v>
      </c>
      <c r="E97" s="26" t="s">
        <v>648</v>
      </c>
      <c r="F97" s="23" t="str">
        <f t="shared" si="4"/>
        <v>insert into ins_premium_det (premium_rcv_code,assorted_code, rec_amount,premium_rcv_detail_code,remaining_amt, payrec, mode_code,coinsurance_code,class_cd,it_remarks) values</v>
      </c>
      <c r="G97" s="24" t="str">
        <f t="shared" si="6"/>
        <v>('20Aug240150','040000160979','831',(select max(to_number(i.premium_rcv_detail_code))+1
from ins_premium_det i),'831','831','02', '11000003','00','Request by Mr. Saqib Saleem 21-Aug-2024 sheet5');</v>
      </c>
      <c r="H97" s="25" t="str">
        <f t="shared" si="7"/>
        <v>insert into ins_premium_det (premium_rcv_code,assorted_code, rec_amount,premium_rcv_detail_code,remaining_amt, payrec, mode_code,coinsurance_code,class_cd,it_remarks) values('20Aug240150','040000160979','831',(select max(to_number(i.premium_rcv_detail_code))+1
from ins_premium_det i),'831','831','02', '11000003','00','Request by Mr. Saqib Saleem 21-Aug-2024 sheet5');</v>
      </c>
    </row>
    <row r="98" spans="1:8" ht="105" x14ac:dyDescent="0.25">
      <c r="A98" s="18" t="s">
        <v>632</v>
      </c>
      <c r="B98" s="21" t="str">
        <f>VLOOKUP(A98,[1]Sheet1!$B$2:$C$110,2,0)</f>
        <v>040000160980</v>
      </c>
      <c r="C98" s="17">
        <v>845</v>
      </c>
      <c r="D98" s="22">
        <f t="shared" si="5"/>
        <v>845</v>
      </c>
      <c r="E98" s="26" t="s">
        <v>648</v>
      </c>
      <c r="F98" s="23" t="str">
        <f t="shared" si="4"/>
        <v>insert into ins_premium_det (premium_rcv_code,assorted_code, rec_amount,premium_rcv_detail_code,remaining_amt, payrec, mode_code,coinsurance_code,class_cd,it_remarks) values</v>
      </c>
      <c r="G98" s="24" t="str">
        <f t="shared" si="6"/>
        <v>('20Aug240150','040000160980','845',(select max(to_number(i.premium_rcv_detail_code))+1
from ins_premium_det i),'845','845','02', '11000003','00','Request by Mr. Saqib Saleem 21-Aug-2024 sheet5');</v>
      </c>
      <c r="H98" s="25" t="str">
        <f t="shared" si="7"/>
        <v>insert into ins_premium_det (premium_rcv_code,assorted_code, rec_amount,premium_rcv_detail_code,remaining_amt, payrec, mode_code,coinsurance_code,class_cd,it_remarks) values('20Aug240150','040000160980','845',(select max(to_number(i.premium_rcv_detail_code))+1
from ins_premium_det i),'845','845','02', '11000003','00','Request by Mr. Saqib Saleem 21-Aug-2024 sheet5');</v>
      </c>
    </row>
    <row r="99" spans="1:8" ht="105" x14ac:dyDescent="0.25">
      <c r="A99" s="18" t="s">
        <v>633</v>
      </c>
      <c r="B99" s="21" t="str">
        <f>VLOOKUP(A99,[1]Sheet1!$B$2:$C$110,2,0)</f>
        <v>040000160981</v>
      </c>
      <c r="C99" s="17">
        <v>1426</v>
      </c>
      <c r="D99" s="22">
        <f t="shared" si="5"/>
        <v>1426</v>
      </c>
      <c r="E99" s="26" t="s">
        <v>648</v>
      </c>
      <c r="F99" s="23" t="str">
        <f t="shared" si="4"/>
        <v>insert into ins_premium_det (premium_rcv_code,assorted_code, rec_amount,premium_rcv_detail_code,remaining_amt, payrec, mode_code,coinsurance_code,class_cd,it_remarks) values</v>
      </c>
      <c r="G99" s="24" t="str">
        <f t="shared" si="6"/>
        <v>('20Aug240150','040000160981','1426',(select max(to_number(i.premium_rcv_detail_code))+1
from ins_premium_det i),'1426','1426','02', '11000003','00','Request by Mr. Saqib Saleem 21-Aug-2024 sheet5');</v>
      </c>
      <c r="H99" s="25" t="str">
        <f t="shared" si="7"/>
        <v>insert into ins_premium_det (premium_rcv_code,assorted_code, rec_amount,premium_rcv_detail_code,remaining_amt, payrec, mode_code,coinsurance_code,class_cd,it_remarks) values('20Aug240150','040000160981','1426',(select max(to_number(i.premium_rcv_detail_code))+1
from ins_premium_det i),'1426','1426','02', '11000003','00','Request by Mr. Saqib Saleem 21-Aug-2024 sheet5');</v>
      </c>
    </row>
    <row r="100" spans="1:8" ht="105" x14ac:dyDescent="0.25">
      <c r="A100" s="18" t="s">
        <v>634</v>
      </c>
      <c r="B100" s="21" t="str">
        <f>VLOOKUP(A100,[1]Sheet1!$B$2:$C$110,2,0)</f>
        <v>040000160982</v>
      </c>
      <c r="C100" s="17">
        <v>786</v>
      </c>
      <c r="D100" s="22">
        <f t="shared" si="5"/>
        <v>786</v>
      </c>
      <c r="E100" s="26" t="s">
        <v>648</v>
      </c>
      <c r="F100" s="23" t="str">
        <f t="shared" si="4"/>
        <v>insert into ins_premium_det (premium_rcv_code,assorted_code, rec_amount,premium_rcv_detail_code,remaining_amt, payrec, mode_code,coinsurance_code,class_cd,it_remarks) values</v>
      </c>
      <c r="G100" s="24" t="str">
        <f t="shared" si="6"/>
        <v>('20Aug240150','040000160982','786',(select max(to_number(i.premium_rcv_detail_code))+1
from ins_premium_det i),'786','786','02', '11000003','00','Request by Mr. Saqib Saleem 21-Aug-2024 sheet5');</v>
      </c>
      <c r="H100" s="25" t="str">
        <f t="shared" si="7"/>
        <v>insert into ins_premium_det (premium_rcv_code,assorted_code, rec_amount,premium_rcv_detail_code,remaining_amt, payrec, mode_code,coinsurance_code,class_cd,it_remarks) values('20Aug240150','040000160982','786',(select max(to_number(i.premium_rcv_detail_code))+1
from ins_premium_det i),'786','786','02', '11000003','00','Request by Mr. Saqib Saleem 21-Aug-2024 sheet5');</v>
      </c>
    </row>
    <row r="101" spans="1:8" ht="105" x14ac:dyDescent="0.25">
      <c r="A101" s="18" t="s">
        <v>635</v>
      </c>
      <c r="B101" s="21" t="str">
        <f>VLOOKUP(A101,[1]Sheet1!$B$2:$C$110,2,0)</f>
        <v>040000160983</v>
      </c>
      <c r="C101" s="17">
        <v>600</v>
      </c>
      <c r="D101" s="22">
        <f t="shared" si="5"/>
        <v>600</v>
      </c>
      <c r="E101" s="26" t="s">
        <v>648</v>
      </c>
      <c r="F101" s="23" t="str">
        <f t="shared" si="4"/>
        <v>insert into ins_premium_det (premium_rcv_code,assorted_code, rec_amount,premium_rcv_detail_code,remaining_amt, payrec, mode_code,coinsurance_code,class_cd,it_remarks) values</v>
      </c>
      <c r="G101" s="24" t="str">
        <f t="shared" si="6"/>
        <v>('20Aug240150','040000160983','600',(select max(to_number(i.premium_rcv_detail_code))+1
from ins_premium_det i),'600','600','02', '11000003','00','Request by Mr. Saqib Saleem 21-Aug-2024 sheet5');</v>
      </c>
      <c r="H101" s="25" t="str">
        <f t="shared" si="7"/>
        <v>insert into ins_premium_det (premium_rcv_code,assorted_code, rec_amount,premium_rcv_detail_code,remaining_amt, payrec, mode_code,coinsurance_code,class_cd,it_remarks) values('20Aug240150','040000160983','600',(select max(to_number(i.premium_rcv_detail_code))+1
from ins_premium_det i),'600','600','02', '11000003','00','Request by Mr. Saqib Saleem 21-Aug-2024 sheet5');</v>
      </c>
    </row>
    <row r="102" spans="1:8" ht="105" x14ac:dyDescent="0.25">
      <c r="A102" s="18" t="s">
        <v>636</v>
      </c>
      <c r="B102" s="21" t="str">
        <f>VLOOKUP(A102,[1]Sheet1!$B$2:$C$110,2,0)</f>
        <v>040000160984</v>
      </c>
      <c r="C102" s="17">
        <v>850</v>
      </c>
      <c r="D102" s="22">
        <f t="shared" si="5"/>
        <v>850</v>
      </c>
      <c r="E102" s="26" t="s">
        <v>648</v>
      </c>
      <c r="F102" s="23" t="str">
        <f t="shared" si="4"/>
        <v>insert into ins_premium_det (premium_rcv_code,assorted_code, rec_amount,premium_rcv_detail_code,remaining_amt, payrec, mode_code,coinsurance_code,class_cd,it_remarks) values</v>
      </c>
      <c r="G102" s="24" t="str">
        <f t="shared" si="6"/>
        <v>('20Aug240150','040000160984','850',(select max(to_number(i.premium_rcv_detail_code))+1
from ins_premium_det i),'850','850','02', '11000003','00','Request by Mr. Saqib Saleem 21-Aug-2024 sheet5');</v>
      </c>
      <c r="H102" s="25" t="str">
        <f t="shared" si="7"/>
        <v>insert into ins_premium_det (premium_rcv_code,assorted_code, rec_amount,premium_rcv_detail_code,remaining_amt, payrec, mode_code,coinsurance_code,class_cd,it_remarks) values('20Aug240150','040000160984','850',(select max(to_number(i.premium_rcv_detail_code))+1
from ins_premium_det i),'850','850','02', '11000003','00','Request by Mr. Saqib Saleem 21-Aug-2024 sheet5');</v>
      </c>
    </row>
    <row r="103" spans="1:8" ht="105" x14ac:dyDescent="0.25">
      <c r="A103" s="18" t="s">
        <v>637</v>
      </c>
      <c r="B103" s="21" t="str">
        <f>VLOOKUP(A103,[1]Sheet1!$B$2:$C$110,2,0)</f>
        <v>040000160985</v>
      </c>
      <c r="C103" s="17">
        <v>4949</v>
      </c>
      <c r="D103" s="22">
        <f t="shared" si="5"/>
        <v>4949</v>
      </c>
      <c r="E103" s="26" t="s">
        <v>648</v>
      </c>
      <c r="F103" s="23" t="str">
        <f t="shared" si="4"/>
        <v>insert into ins_premium_det (premium_rcv_code,assorted_code, rec_amount,premium_rcv_detail_code,remaining_amt, payrec, mode_code,coinsurance_code,class_cd,it_remarks) values</v>
      </c>
      <c r="G103" s="24" t="str">
        <f t="shared" si="6"/>
        <v>('20Aug240150','040000160985','4949',(select max(to_number(i.premium_rcv_detail_code))+1
from ins_premium_det i),'4949','4949','02', '11000003','00','Request by Mr. Saqib Saleem 21-Aug-2024 sheet5');</v>
      </c>
      <c r="H103" s="25" t="str">
        <f t="shared" si="7"/>
        <v>insert into ins_premium_det (premium_rcv_code,assorted_code, rec_amount,premium_rcv_detail_code,remaining_amt, payrec, mode_code,coinsurance_code,class_cd,it_remarks) values('20Aug240150','040000160985','4949',(select max(to_number(i.premium_rcv_detail_code))+1
from ins_premium_det i),'4949','4949','02', '11000003','00','Request by Mr. Saqib Saleem 21-Aug-2024 sheet5');</v>
      </c>
    </row>
    <row r="104" spans="1:8" ht="105" x14ac:dyDescent="0.25">
      <c r="A104" s="18" t="s">
        <v>638</v>
      </c>
      <c r="B104" s="21" t="str">
        <f>VLOOKUP(A104,[1]Sheet1!$B$2:$C$110,2,0)</f>
        <v>040000160986</v>
      </c>
      <c r="C104" s="17">
        <v>3548</v>
      </c>
      <c r="D104" s="22">
        <f t="shared" si="5"/>
        <v>3548</v>
      </c>
      <c r="E104" s="26" t="s">
        <v>648</v>
      </c>
      <c r="F104" s="23" t="str">
        <f t="shared" si="4"/>
        <v>insert into ins_premium_det (premium_rcv_code,assorted_code, rec_amount,premium_rcv_detail_code,remaining_amt, payrec, mode_code,coinsurance_code,class_cd,it_remarks) values</v>
      </c>
      <c r="G104" s="24" t="str">
        <f t="shared" si="6"/>
        <v>('20Aug240150','040000160986','3548',(select max(to_number(i.premium_rcv_detail_code))+1
from ins_premium_det i),'3548','3548','02', '11000003','00','Request by Mr. Saqib Saleem 21-Aug-2024 sheet5');</v>
      </c>
      <c r="H104" s="25" t="str">
        <f t="shared" si="7"/>
        <v>insert into ins_premium_det (premium_rcv_code,assorted_code, rec_amount,premium_rcv_detail_code,remaining_amt, payrec, mode_code,coinsurance_code,class_cd,it_remarks) values('20Aug240150','040000160986','3548',(select max(to_number(i.premium_rcv_detail_code))+1
from ins_premium_det i),'3548','3548','02', '11000003','00','Request by Mr. Saqib Saleem 21-Aug-2024 sheet5');</v>
      </c>
    </row>
    <row r="105" spans="1:8" ht="105" x14ac:dyDescent="0.25">
      <c r="A105" s="18" t="s">
        <v>639</v>
      </c>
      <c r="B105" s="21" t="str">
        <f>VLOOKUP(A105,[1]Sheet1!$B$2:$C$110,2,0)</f>
        <v>040000160987</v>
      </c>
      <c r="C105" s="17">
        <v>636</v>
      </c>
      <c r="D105" s="22">
        <f t="shared" si="5"/>
        <v>636</v>
      </c>
      <c r="E105" s="26" t="s">
        <v>648</v>
      </c>
      <c r="F105" s="23" t="str">
        <f t="shared" si="4"/>
        <v>insert into ins_premium_det (premium_rcv_code,assorted_code, rec_amount,premium_rcv_detail_code,remaining_amt, payrec, mode_code,coinsurance_code,class_cd,it_remarks) values</v>
      </c>
      <c r="G105" s="24" t="str">
        <f t="shared" si="6"/>
        <v>('20Aug240150','040000160987','636',(select max(to_number(i.premium_rcv_detail_code))+1
from ins_premium_det i),'636','636','02', '11000003','00','Request by Mr. Saqib Saleem 21-Aug-2024 sheet5');</v>
      </c>
      <c r="H105" s="25" t="str">
        <f t="shared" si="7"/>
        <v>insert into ins_premium_det (premium_rcv_code,assorted_code, rec_amount,premium_rcv_detail_code,remaining_amt, payrec, mode_code,coinsurance_code,class_cd,it_remarks) values('20Aug240150','040000160987','636',(select max(to_number(i.premium_rcv_detail_code))+1
from ins_premium_det i),'636','636','02', '11000003','00','Request by Mr. Saqib Saleem 21-Aug-2024 sheet5');</v>
      </c>
    </row>
    <row r="106" spans="1:8" ht="105" x14ac:dyDescent="0.25">
      <c r="A106" s="18" t="s">
        <v>640</v>
      </c>
      <c r="B106" s="21" t="str">
        <f>VLOOKUP(A106,[1]Sheet1!$B$2:$C$110,2,0)</f>
        <v>040000160988</v>
      </c>
      <c r="C106" s="17">
        <v>970</v>
      </c>
      <c r="D106" s="22">
        <f t="shared" si="5"/>
        <v>970</v>
      </c>
      <c r="E106" s="26" t="s">
        <v>648</v>
      </c>
      <c r="F106" s="23" t="str">
        <f t="shared" si="4"/>
        <v>insert into ins_premium_det (premium_rcv_code,assorted_code, rec_amount,premium_rcv_detail_code,remaining_amt, payrec, mode_code,coinsurance_code,class_cd,it_remarks) values</v>
      </c>
      <c r="G106" s="24" t="str">
        <f t="shared" si="6"/>
        <v>('20Aug240150','040000160988','970',(select max(to_number(i.premium_rcv_detail_code))+1
from ins_premium_det i),'970','970','02', '11000003','00','Request by Mr. Saqib Saleem 21-Aug-2024 sheet5');</v>
      </c>
      <c r="H106" s="25" t="str">
        <f t="shared" si="7"/>
        <v>insert into ins_premium_det (premium_rcv_code,assorted_code, rec_amount,premium_rcv_detail_code,remaining_amt, payrec, mode_code,coinsurance_code,class_cd,it_remarks) values('20Aug240150','040000160988','970',(select max(to_number(i.premium_rcv_detail_code))+1
from ins_premium_det i),'970','970','02', '11000003','00','Request by Mr. Saqib Saleem 21-Aug-2024 sheet5');</v>
      </c>
    </row>
    <row r="107" spans="1:8" ht="105" x14ac:dyDescent="0.25">
      <c r="A107" s="18" t="s">
        <v>641</v>
      </c>
      <c r="B107" s="21" t="str">
        <f>VLOOKUP(A107,[1]Sheet1!$B$2:$C$110,2,0)</f>
        <v>040000160989</v>
      </c>
      <c r="C107" s="17">
        <v>449</v>
      </c>
      <c r="D107" s="22">
        <f t="shared" si="5"/>
        <v>449</v>
      </c>
      <c r="E107" s="26" t="s">
        <v>648</v>
      </c>
      <c r="F107" s="23" t="str">
        <f t="shared" si="4"/>
        <v>insert into ins_premium_det (premium_rcv_code,assorted_code, rec_amount,premium_rcv_detail_code,remaining_amt, payrec, mode_code,coinsurance_code,class_cd,it_remarks) values</v>
      </c>
      <c r="G107" s="24" t="str">
        <f t="shared" si="6"/>
        <v>('20Aug240150','040000160989','449',(select max(to_number(i.premium_rcv_detail_code))+1
from ins_premium_det i),'449','449','02', '11000003','00','Request by Mr. Saqib Saleem 21-Aug-2024 sheet5');</v>
      </c>
      <c r="H107" s="25" t="str">
        <f t="shared" si="7"/>
        <v>insert into ins_premium_det (premium_rcv_code,assorted_code, rec_amount,premium_rcv_detail_code,remaining_amt, payrec, mode_code,coinsurance_code,class_cd,it_remarks) values('20Aug240150','040000160989','449',(select max(to_number(i.premium_rcv_detail_code))+1
from ins_premium_det i),'449','449','02', '11000003','00','Request by Mr. Saqib Saleem 21-Aug-2024 sheet5');</v>
      </c>
    </row>
    <row r="108" spans="1:8" ht="105" x14ac:dyDescent="0.25">
      <c r="A108" s="18" t="s">
        <v>642</v>
      </c>
      <c r="B108" s="21" t="str">
        <f>VLOOKUP(A108,[1]Sheet1!$B$2:$C$110,2,0)</f>
        <v>040000160990</v>
      </c>
      <c r="C108" s="17">
        <v>425</v>
      </c>
      <c r="D108" s="22">
        <f t="shared" si="5"/>
        <v>425</v>
      </c>
      <c r="E108" s="26" t="s">
        <v>648</v>
      </c>
      <c r="F108" s="23" t="str">
        <f t="shared" si="4"/>
        <v>insert into ins_premium_det (premium_rcv_code,assorted_code, rec_amount,premium_rcv_detail_code,remaining_amt, payrec, mode_code,coinsurance_code,class_cd,it_remarks) values</v>
      </c>
      <c r="G108" s="24" t="str">
        <f t="shared" si="6"/>
        <v>('20Aug240150','040000160990','425',(select max(to_number(i.premium_rcv_detail_code))+1
from ins_premium_det i),'425','425','02', '11000003','00','Request by Mr. Saqib Saleem 21-Aug-2024 sheet5');</v>
      </c>
      <c r="H108" s="25" t="str">
        <f t="shared" si="7"/>
        <v>insert into ins_premium_det (premium_rcv_code,assorted_code, rec_amount,premium_rcv_detail_code,remaining_amt, payrec, mode_code,coinsurance_code,class_cd,it_remarks) values('20Aug240150','040000160990','425',(select max(to_number(i.premium_rcv_detail_code))+1
from ins_premium_det i),'425','425','02', '11000003','00','Request by Mr. Saqib Saleem 21-Aug-2024 sheet5');</v>
      </c>
    </row>
    <row r="109" spans="1:8" ht="105" x14ac:dyDescent="0.25">
      <c r="A109" s="18" t="s">
        <v>643</v>
      </c>
      <c r="B109" s="21" t="str">
        <f>VLOOKUP(A109,[1]Sheet1!$B$2:$C$110,2,0)</f>
        <v>040000160991</v>
      </c>
      <c r="C109" s="17">
        <v>557</v>
      </c>
      <c r="D109" s="22">
        <f t="shared" si="5"/>
        <v>557</v>
      </c>
      <c r="E109" s="26" t="s">
        <v>648</v>
      </c>
      <c r="F109" s="23" t="str">
        <f t="shared" si="4"/>
        <v>insert into ins_premium_det (premium_rcv_code,assorted_code, rec_amount,premium_rcv_detail_code,remaining_amt, payrec, mode_code,coinsurance_code,class_cd,it_remarks) values</v>
      </c>
      <c r="G109" s="24" t="str">
        <f t="shared" si="6"/>
        <v>('20Aug240150','040000160991','557',(select max(to_number(i.premium_rcv_detail_code))+1
from ins_premium_det i),'557','557','02', '11000003','00','Request by Mr. Saqib Saleem 21-Aug-2024 sheet5');</v>
      </c>
      <c r="H109" s="25" t="str">
        <f t="shared" si="7"/>
        <v>insert into ins_premium_det (premium_rcv_code,assorted_code, rec_amount,premium_rcv_detail_code,remaining_amt, payrec, mode_code,coinsurance_code,class_cd,it_remarks) values('20Aug240150','040000160991','557',(select max(to_number(i.premium_rcv_detail_code))+1
from ins_premium_det i),'557','557','02', '11000003','00','Request by Mr. Saqib Saleem 21-Aug-2024 sheet5');</v>
      </c>
    </row>
    <row r="110" spans="1:8" ht="105" x14ac:dyDescent="0.25">
      <c r="A110" s="18" t="s">
        <v>644</v>
      </c>
      <c r="B110" s="21" t="str">
        <f>VLOOKUP(A110,[1]Sheet1!$B$2:$C$110,2,0)</f>
        <v>040000160992</v>
      </c>
      <c r="C110" s="17">
        <v>1470</v>
      </c>
      <c r="D110" s="22">
        <f t="shared" si="5"/>
        <v>1470</v>
      </c>
      <c r="E110" s="26" t="s">
        <v>648</v>
      </c>
      <c r="F110" s="23" t="str">
        <f t="shared" si="4"/>
        <v>insert into ins_premium_det (premium_rcv_code,assorted_code, rec_amount,premium_rcv_detail_code,remaining_amt, payrec, mode_code,coinsurance_code,class_cd,it_remarks) values</v>
      </c>
      <c r="G110" s="24" t="str">
        <f t="shared" si="6"/>
        <v>('20Aug240150','040000160992','1470',(select max(to_number(i.premium_rcv_detail_code))+1
from ins_premium_det i),'1470','1470','02', '11000003','00','Request by Mr. Saqib Saleem 21-Aug-2024 sheet5');</v>
      </c>
      <c r="H110" s="25" t="str">
        <f t="shared" si="7"/>
        <v>insert into ins_premium_det (premium_rcv_code,assorted_code, rec_amount,premium_rcv_detail_code,remaining_amt, payrec, mode_code,coinsurance_code,class_cd,it_remarks) values('20Aug240150','040000160992','1470',(select max(to_number(i.premium_rcv_detail_code))+1
from ins_premium_det i),'1470','1470','02', '11000003','00','Request by Mr. Saqib Saleem 21-Aug-2024 sheet5');</v>
      </c>
    </row>
  </sheetData>
  <conditionalFormatting sqref="A1">
    <cfRule type="duplicateValues" dxfId="9" priority="1"/>
  </conditionalFormatting>
  <conditionalFormatting sqref="A2:B2 B3:B110"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2494-6C49-4A52-BF3D-5ABF3D592318}">
  <dimension ref="A1:T109"/>
  <sheetViews>
    <sheetView workbookViewId="0">
      <selection activeCell="E6" sqref="E6"/>
    </sheetView>
  </sheetViews>
  <sheetFormatPr defaultRowHeight="15" x14ac:dyDescent="0.25"/>
  <cols>
    <col min="1" max="1" width="39.85546875" bestFit="1" customWidth="1"/>
    <col min="5" max="5" width="40.5703125" bestFit="1" customWidth="1"/>
    <col min="12" max="12" width="39.85546875" bestFit="1" customWidth="1"/>
  </cols>
  <sheetData>
    <row r="1" spans="1:20" x14ac:dyDescent="0.25">
      <c r="A1" s="18" t="s">
        <v>655</v>
      </c>
      <c r="B1" t="str">
        <f>RIGHT(A1,8)</f>
        <v>-12-2023</v>
      </c>
      <c r="D1">
        <v>20956</v>
      </c>
      <c r="E1" t="str">
        <f>"ia.assorted_string like '%"&amp;D1&amp;B1&amp;"%' or"</f>
        <v>ia.assorted_string like '%20956-12-2023%' or</v>
      </c>
      <c r="L1" s="18" t="s">
        <v>649</v>
      </c>
      <c r="M1" t="s">
        <v>650</v>
      </c>
      <c r="N1" t="s">
        <v>651</v>
      </c>
      <c r="O1" t="s">
        <v>652</v>
      </c>
      <c r="P1" t="s">
        <v>653</v>
      </c>
      <c r="Q1" t="s">
        <v>654</v>
      </c>
      <c r="R1">
        <v>20956</v>
      </c>
      <c r="S1">
        <v>12</v>
      </c>
      <c r="T1">
        <v>2023</v>
      </c>
    </row>
    <row r="2" spans="1:20" x14ac:dyDescent="0.25">
      <c r="A2" s="18" t="s">
        <v>656</v>
      </c>
      <c r="B2" t="str">
        <f t="shared" ref="B2:B65" si="0">RIGHT(A2,8)</f>
        <v>-12-2023</v>
      </c>
      <c r="D2">
        <v>20957</v>
      </c>
      <c r="E2" t="str">
        <f t="shared" ref="E2:E65" si="1">"ia.assorted_string like '%"&amp;D2&amp;B2&amp;"%' or"</f>
        <v>ia.assorted_string like '%20957-12-2023%' or</v>
      </c>
      <c r="L2" s="18" t="s">
        <v>649</v>
      </c>
      <c r="M2" t="s">
        <v>650</v>
      </c>
      <c r="N2" t="s">
        <v>651</v>
      </c>
      <c r="O2" t="s">
        <v>652</v>
      </c>
      <c r="P2" t="s">
        <v>653</v>
      </c>
      <c r="Q2" t="s">
        <v>654</v>
      </c>
      <c r="R2">
        <v>20957</v>
      </c>
      <c r="S2">
        <v>12</v>
      </c>
      <c r="T2">
        <v>2023</v>
      </c>
    </row>
    <row r="3" spans="1:20" x14ac:dyDescent="0.25">
      <c r="A3" s="18" t="s">
        <v>657</v>
      </c>
      <c r="B3" t="str">
        <f t="shared" si="0"/>
        <v>-12-2023</v>
      </c>
      <c r="D3">
        <v>20958</v>
      </c>
      <c r="E3" t="str">
        <f t="shared" si="1"/>
        <v>ia.assorted_string like '%20958-12-2023%' or</v>
      </c>
      <c r="L3" s="18" t="s">
        <v>649</v>
      </c>
      <c r="M3" t="s">
        <v>650</v>
      </c>
      <c r="N3" t="s">
        <v>651</v>
      </c>
      <c r="O3" t="s">
        <v>652</v>
      </c>
      <c r="P3" t="s">
        <v>653</v>
      </c>
      <c r="Q3" t="s">
        <v>654</v>
      </c>
      <c r="R3">
        <v>20958</v>
      </c>
      <c r="S3">
        <v>12</v>
      </c>
      <c r="T3">
        <v>2023</v>
      </c>
    </row>
    <row r="4" spans="1:20" x14ac:dyDescent="0.25">
      <c r="A4" s="18" t="s">
        <v>658</v>
      </c>
      <c r="B4" t="str">
        <f t="shared" si="0"/>
        <v>-12-2023</v>
      </c>
      <c r="D4">
        <v>20959</v>
      </c>
      <c r="E4" t="str">
        <f t="shared" si="1"/>
        <v>ia.assorted_string like '%20959-12-2023%' or</v>
      </c>
      <c r="L4" s="18" t="s">
        <v>649</v>
      </c>
      <c r="M4" t="s">
        <v>650</v>
      </c>
      <c r="N4" t="s">
        <v>651</v>
      </c>
      <c r="O4" t="s">
        <v>652</v>
      </c>
      <c r="P4" t="s">
        <v>653</v>
      </c>
      <c r="Q4" t="s">
        <v>654</v>
      </c>
      <c r="R4">
        <v>20959</v>
      </c>
      <c r="S4">
        <v>12</v>
      </c>
      <c r="T4">
        <v>2023</v>
      </c>
    </row>
    <row r="5" spans="1:20" x14ac:dyDescent="0.25">
      <c r="A5" s="18" t="s">
        <v>659</v>
      </c>
      <c r="B5" t="str">
        <f t="shared" si="0"/>
        <v>-12-2023</v>
      </c>
      <c r="D5">
        <v>20960</v>
      </c>
      <c r="E5" t="str">
        <f t="shared" si="1"/>
        <v>ia.assorted_string like '%20960-12-2023%' or</v>
      </c>
      <c r="L5" s="18" t="s">
        <v>649</v>
      </c>
      <c r="M5" t="s">
        <v>650</v>
      </c>
      <c r="N5" t="s">
        <v>651</v>
      </c>
      <c r="O5" t="s">
        <v>652</v>
      </c>
      <c r="P5" t="s">
        <v>653</v>
      </c>
      <c r="Q5" t="s">
        <v>654</v>
      </c>
      <c r="R5">
        <v>20960</v>
      </c>
      <c r="S5">
        <v>12</v>
      </c>
      <c r="T5">
        <v>2023</v>
      </c>
    </row>
    <row r="6" spans="1:20" x14ac:dyDescent="0.25">
      <c r="A6" s="18" t="s">
        <v>660</v>
      </c>
      <c r="B6" t="str">
        <f t="shared" si="0"/>
        <v>-12-2023</v>
      </c>
      <c r="D6">
        <v>20961</v>
      </c>
      <c r="E6" t="str">
        <f t="shared" si="1"/>
        <v>ia.assorted_string like '%20961-12-2023%' or</v>
      </c>
      <c r="L6" s="18" t="s">
        <v>649</v>
      </c>
      <c r="M6" t="s">
        <v>650</v>
      </c>
      <c r="N6" t="s">
        <v>651</v>
      </c>
      <c r="O6" t="s">
        <v>652</v>
      </c>
      <c r="P6" t="s">
        <v>653</v>
      </c>
      <c r="Q6" t="s">
        <v>654</v>
      </c>
      <c r="R6">
        <v>20961</v>
      </c>
      <c r="S6">
        <v>12</v>
      </c>
      <c r="T6">
        <v>2023</v>
      </c>
    </row>
    <row r="7" spans="1:20" x14ac:dyDescent="0.25">
      <c r="A7" s="18" t="s">
        <v>661</v>
      </c>
      <c r="B7" t="str">
        <f t="shared" si="0"/>
        <v>-12-2023</v>
      </c>
      <c r="D7">
        <v>20962</v>
      </c>
      <c r="E7" t="str">
        <f t="shared" si="1"/>
        <v>ia.assorted_string like '%20962-12-2023%' or</v>
      </c>
      <c r="L7" s="18" t="s">
        <v>649</v>
      </c>
      <c r="M7" t="s">
        <v>650</v>
      </c>
      <c r="N7" t="s">
        <v>651</v>
      </c>
      <c r="O7" t="s">
        <v>652</v>
      </c>
      <c r="P7" t="s">
        <v>653</v>
      </c>
      <c r="Q7" t="s">
        <v>654</v>
      </c>
      <c r="R7">
        <v>20962</v>
      </c>
      <c r="S7">
        <v>12</v>
      </c>
      <c r="T7">
        <v>2023</v>
      </c>
    </row>
    <row r="8" spans="1:20" x14ac:dyDescent="0.25">
      <c r="A8" s="18" t="s">
        <v>662</v>
      </c>
      <c r="B8" t="str">
        <f t="shared" si="0"/>
        <v>-12-2023</v>
      </c>
      <c r="D8">
        <v>20963</v>
      </c>
      <c r="E8" t="str">
        <f t="shared" si="1"/>
        <v>ia.assorted_string like '%20963-12-2023%' or</v>
      </c>
      <c r="L8" s="18" t="s">
        <v>649</v>
      </c>
      <c r="M8" t="s">
        <v>650</v>
      </c>
      <c r="N8" t="s">
        <v>651</v>
      </c>
      <c r="O8" t="s">
        <v>652</v>
      </c>
      <c r="P8" t="s">
        <v>653</v>
      </c>
      <c r="Q8" t="s">
        <v>654</v>
      </c>
      <c r="R8">
        <v>20963</v>
      </c>
      <c r="S8">
        <v>12</v>
      </c>
      <c r="T8">
        <v>2023</v>
      </c>
    </row>
    <row r="9" spans="1:20" x14ac:dyDescent="0.25">
      <c r="A9" s="18" t="s">
        <v>663</v>
      </c>
      <c r="B9" t="str">
        <f t="shared" si="0"/>
        <v>-12-2023</v>
      </c>
      <c r="D9">
        <v>20964</v>
      </c>
      <c r="E9" t="str">
        <f t="shared" si="1"/>
        <v>ia.assorted_string like '%20964-12-2023%' or</v>
      </c>
      <c r="L9" s="18" t="s">
        <v>649</v>
      </c>
      <c r="M9" t="s">
        <v>650</v>
      </c>
      <c r="N9" t="s">
        <v>651</v>
      </c>
      <c r="O9" t="s">
        <v>652</v>
      </c>
      <c r="P9" t="s">
        <v>653</v>
      </c>
      <c r="Q9" t="s">
        <v>654</v>
      </c>
      <c r="R9">
        <v>20964</v>
      </c>
      <c r="S9">
        <v>12</v>
      </c>
      <c r="T9">
        <v>2023</v>
      </c>
    </row>
    <row r="10" spans="1:20" x14ac:dyDescent="0.25">
      <c r="A10" s="18" t="s">
        <v>664</v>
      </c>
      <c r="B10" t="str">
        <f t="shared" si="0"/>
        <v>-12-2023</v>
      </c>
      <c r="D10">
        <v>20965</v>
      </c>
      <c r="E10" t="str">
        <f t="shared" si="1"/>
        <v>ia.assorted_string like '%20965-12-2023%' or</v>
      </c>
      <c r="L10" s="18" t="s">
        <v>649</v>
      </c>
      <c r="M10" t="s">
        <v>650</v>
      </c>
      <c r="N10" t="s">
        <v>651</v>
      </c>
      <c r="O10" t="s">
        <v>652</v>
      </c>
      <c r="P10" t="s">
        <v>653</v>
      </c>
      <c r="Q10" t="s">
        <v>654</v>
      </c>
      <c r="R10">
        <v>20965</v>
      </c>
      <c r="S10">
        <v>12</v>
      </c>
      <c r="T10">
        <v>2023</v>
      </c>
    </row>
    <row r="11" spans="1:20" x14ac:dyDescent="0.25">
      <c r="A11" s="18" t="s">
        <v>665</v>
      </c>
      <c r="B11" t="str">
        <f t="shared" si="0"/>
        <v>-12-2023</v>
      </c>
      <c r="D11">
        <v>20966</v>
      </c>
      <c r="E11" t="str">
        <f t="shared" si="1"/>
        <v>ia.assorted_string like '%20966-12-2023%' or</v>
      </c>
      <c r="L11" s="18" t="s">
        <v>649</v>
      </c>
      <c r="M11" t="s">
        <v>650</v>
      </c>
      <c r="N11" t="s">
        <v>651</v>
      </c>
      <c r="O11" t="s">
        <v>652</v>
      </c>
      <c r="P11" t="s">
        <v>653</v>
      </c>
      <c r="Q11" t="s">
        <v>654</v>
      </c>
      <c r="R11">
        <v>20966</v>
      </c>
      <c r="S11">
        <v>12</v>
      </c>
      <c r="T11">
        <v>2023</v>
      </c>
    </row>
    <row r="12" spans="1:20" x14ac:dyDescent="0.25">
      <c r="A12" s="18" t="s">
        <v>666</v>
      </c>
      <c r="B12" t="str">
        <f t="shared" si="0"/>
        <v>-12-2023</v>
      </c>
      <c r="D12">
        <v>20967</v>
      </c>
      <c r="E12" t="str">
        <f t="shared" si="1"/>
        <v>ia.assorted_string like '%20967-12-2023%' or</v>
      </c>
      <c r="L12" s="18" t="s">
        <v>649</v>
      </c>
      <c r="M12" t="s">
        <v>650</v>
      </c>
      <c r="N12" t="s">
        <v>651</v>
      </c>
      <c r="O12" t="s">
        <v>652</v>
      </c>
      <c r="P12" t="s">
        <v>653</v>
      </c>
      <c r="Q12" t="s">
        <v>654</v>
      </c>
      <c r="R12">
        <v>20967</v>
      </c>
      <c r="S12">
        <v>12</v>
      </c>
      <c r="T12">
        <v>2023</v>
      </c>
    </row>
    <row r="13" spans="1:20" x14ac:dyDescent="0.25">
      <c r="A13" s="18" t="s">
        <v>667</v>
      </c>
      <c r="B13" t="str">
        <f t="shared" si="0"/>
        <v>-12-2023</v>
      </c>
      <c r="D13">
        <v>20968</v>
      </c>
      <c r="E13" t="str">
        <f t="shared" si="1"/>
        <v>ia.assorted_string like '%20968-12-2023%' or</v>
      </c>
      <c r="L13" s="18" t="s">
        <v>649</v>
      </c>
      <c r="M13" t="s">
        <v>650</v>
      </c>
      <c r="N13" t="s">
        <v>651</v>
      </c>
      <c r="O13" t="s">
        <v>652</v>
      </c>
      <c r="P13" t="s">
        <v>653</v>
      </c>
      <c r="Q13" t="s">
        <v>654</v>
      </c>
      <c r="R13">
        <v>20968</v>
      </c>
      <c r="S13">
        <v>12</v>
      </c>
      <c r="T13">
        <v>2023</v>
      </c>
    </row>
    <row r="14" spans="1:20" x14ac:dyDescent="0.25">
      <c r="A14" s="18" t="s">
        <v>668</v>
      </c>
      <c r="B14" t="str">
        <f t="shared" si="0"/>
        <v>-12-2023</v>
      </c>
      <c r="D14">
        <v>20969</v>
      </c>
      <c r="E14" t="str">
        <f t="shared" si="1"/>
        <v>ia.assorted_string like '%20969-12-2023%' or</v>
      </c>
      <c r="L14" s="18" t="s">
        <v>649</v>
      </c>
      <c r="M14" t="s">
        <v>650</v>
      </c>
      <c r="N14" t="s">
        <v>651</v>
      </c>
      <c r="O14" t="s">
        <v>652</v>
      </c>
      <c r="P14" t="s">
        <v>653</v>
      </c>
      <c r="Q14" t="s">
        <v>654</v>
      </c>
      <c r="R14">
        <v>20969</v>
      </c>
      <c r="S14">
        <v>12</v>
      </c>
      <c r="T14">
        <v>2023</v>
      </c>
    </row>
    <row r="15" spans="1:20" x14ac:dyDescent="0.25">
      <c r="A15" s="18" t="s">
        <v>669</v>
      </c>
      <c r="B15" t="str">
        <f t="shared" si="0"/>
        <v>-12-2023</v>
      </c>
      <c r="D15">
        <v>20970</v>
      </c>
      <c r="E15" t="str">
        <f t="shared" si="1"/>
        <v>ia.assorted_string like '%20970-12-2023%' or</v>
      </c>
      <c r="L15" s="18" t="s">
        <v>649</v>
      </c>
      <c r="M15" t="s">
        <v>650</v>
      </c>
      <c r="N15" t="s">
        <v>651</v>
      </c>
      <c r="O15" t="s">
        <v>652</v>
      </c>
      <c r="P15" t="s">
        <v>653</v>
      </c>
      <c r="Q15" t="s">
        <v>654</v>
      </c>
      <c r="R15">
        <v>20970</v>
      </c>
      <c r="S15">
        <v>12</v>
      </c>
      <c r="T15">
        <v>2023</v>
      </c>
    </row>
    <row r="16" spans="1:20" x14ac:dyDescent="0.25">
      <c r="A16" s="18" t="s">
        <v>670</v>
      </c>
      <c r="B16" t="str">
        <f t="shared" si="0"/>
        <v>-12-2023</v>
      </c>
      <c r="D16">
        <v>20971</v>
      </c>
      <c r="E16" t="str">
        <f t="shared" si="1"/>
        <v>ia.assorted_string like '%20971-12-2023%' or</v>
      </c>
      <c r="L16" s="18" t="s">
        <v>649</v>
      </c>
      <c r="M16" t="s">
        <v>650</v>
      </c>
      <c r="N16" t="s">
        <v>651</v>
      </c>
      <c r="O16" t="s">
        <v>652</v>
      </c>
      <c r="P16" t="s">
        <v>653</v>
      </c>
      <c r="Q16" t="s">
        <v>654</v>
      </c>
      <c r="R16">
        <v>20971</v>
      </c>
      <c r="S16">
        <v>12</v>
      </c>
      <c r="T16">
        <v>2023</v>
      </c>
    </row>
    <row r="17" spans="1:20" x14ac:dyDescent="0.25">
      <c r="A17" s="18" t="s">
        <v>671</v>
      </c>
      <c r="B17" t="str">
        <f t="shared" si="0"/>
        <v>-12-2023</v>
      </c>
      <c r="D17">
        <v>20972</v>
      </c>
      <c r="E17" t="str">
        <f t="shared" si="1"/>
        <v>ia.assorted_string like '%20972-12-2023%' or</v>
      </c>
      <c r="L17" s="18" t="s">
        <v>649</v>
      </c>
      <c r="M17" t="s">
        <v>650</v>
      </c>
      <c r="N17" t="s">
        <v>651</v>
      </c>
      <c r="O17" t="s">
        <v>652</v>
      </c>
      <c r="P17" t="s">
        <v>653</v>
      </c>
      <c r="Q17" t="s">
        <v>654</v>
      </c>
      <c r="R17">
        <v>20972</v>
      </c>
      <c r="S17">
        <v>12</v>
      </c>
      <c r="T17">
        <v>2023</v>
      </c>
    </row>
    <row r="18" spans="1:20" x14ac:dyDescent="0.25">
      <c r="A18" s="18" t="s">
        <v>672</v>
      </c>
      <c r="B18" t="str">
        <f t="shared" si="0"/>
        <v>-12-2023</v>
      </c>
      <c r="D18">
        <v>20973</v>
      </c>
      <c r="E18" t="str">
        <f t="shared" si="1"/>
        <v>ia.assorted_string like '%20973-12-2023%' or</v>
      </c>
      <c r="L18" s="18" t="s">
        <v>649</v>
      </c>
      <c r="M18" t="s">
        <v>650</v>
      </c>
      <c r="N18" t="s">
        <v>651</v>
      </c>
      <c r="O18" t="s">
        <v>652</v>
      </c>
      <c r="P18" t="s">
        <v>653</v>
      </c>
      <c r="Q18" t="s">
        <v>654</v>
      </c>
      <c r="R18">
        <v>20973</v>
      </c>
      <c r="S18">
        <v>12</v>
      </c>
      <c r="T18">
        <v>2023</v>
      </c>
    </row>
    <row r="19" spans="1:20" x14ac:dyDescent="0.25">
      <c r="A19" s="18" t="s">
        <v>673</v>
      </c>
      <c r="B19" t="str">
        <f t="shared" si="0"/>
        <v>-12-2023</v>
      </c>
      <c r="D19">
        <v>20974</v>
      </c>
      <c r="E19" t="str">
        <f t="shared" si="1"/>
        <v>ia.assorted_string like '%20974-12-2023%' or</v>
      </c>
      <c r="L19" s="18" t="s">
        <v>649</v>
      </c>
      <c r="M19" t="s">
        <v>650</v>
      </c>
      <c r="N19" t="s">
        <v>651</v>
      </c>
      <c r="O19" t="s">
        <v>652</v>
      </c>
      <c r="P19" t="s">
        <v>653</v>
      </c>
      <c r="Q19" t="s">
        <v>654</v>
      </c>
      <c r="R19">
        <v>20974</v>
      </c>
      <c r="S19">
        <v>12</v>
      </c>
      <c r="T19">
        <v>2023</v>
      </c>
    </row>
    <row r="20" spans="1:20" x14ac:dyDescent="0.25">
      <c r="A20" s="18" t="s">
        <v>674</v>
      </c>
      <c r="B20" t="str">
        <f t="shared" si="0"/>
        <v>-12-2023</v>
      </c>
      <c r="D20">
        <v>20975</v>
      </c>
      <c r="E20" t="str">
        <f t="shared" si="1"/>
        <v>ia.assorted_string like '%20975-12-2023%' or</v>
      </c>
      <c r="L20" s="18" t="s">
        <v>649</v>
      </c>
      <c r="M20" t="s">
        <v>650</v>
      </c>
      <c r="N20" t="s">
        <v>651</v>
      </c>
      <c r="O20" t="s">
        <v>652</v>
      </c>
      <c r="P20" t="s">
        <v>653</v>
      </c>
      <c r="Q20" t="s">
        <v>654</v>
      </c>
      <c r="R20">
        <v>20975</v>
      </c>
      <c r="S20">
        <v>12</v>
      </c>
      <c r="T20">
        <v>2023</v>
      </c>
    </row>
    <row r="21" spans="1:20" x14ac:dyDescent="0.25">
      <c r="A21" s="18" t="s">
        <v>675</v>
      </c>
      <c r="B21" t="str">
        <f t="shared" si="0"/>
        <v>-12-2023</v>
      </c>
      <c r="D21">
        <v>20976</v>
      </c>
      <c r="E21" t="str">
        <f t="shared" si="1"/>
        <v>ia.assorted_string like '%20976-12-2023%' or</v>
      </c>
      <c r="L21" s="18" t="s">
        <v>649</v>
      </c>
      <c r="M21" t="s">
        <v>650</v>
      </c>
      <c r="N21" t="s">
        <v>651</v>
      </c>
      <c r="O21" t="s">
        <v>652</v>
      </c>
      <c r="P21" t="s">
        <v>653</v>
      </c>
      <c r="Q21" t="s">
        <v>654</v>
      </c>
      <c r="R21">
        <v>20976</v>
      </c>
      <c r="S21">
        <v>12</v>
      </c>
      <c r="T21">
        <v>2023</v>
      </c>
    </row>
    <row r="22" spans="1:20" x14ac:dyDescent="0.25">
      <c r="A22" s="18" t="s">
        <v>676</v>
      </c>
      <c r="B22" t="str">
        <f t="shared" si="0"/>
        <v>-12-2023</v>
      </c>
      <c r="D22">
        <v>20977</v>
      </c>
      <c r="E22" t="str">
        <f t="shared" si="1"/>
        <v>ia.assorted_string like '%20977-12-2023%' or</v>
      </c>
      <c r="L22" s="18" t="s">
        <v>649</v>
      </c>
      <c r="M22" t="s">
        <v>650</v>
      </c>
      <c r="N22" t="s">
        <v>651</v>
      </c>
      <c r="O22" t="s">
        <v>652</v>
      </c>
      <c r="P22" t="s">
        <v>653</v>
      </c>
      <c r="Q22" t="s">
        <v>654</v>
      </c>
      <c r="R22">
        <v>20977</v>
      </c>
      <c r="S22">
        <v>12</v>
      </c>
      <c r="T22">
        <v>2023</v>
      </c>
    </row>
    <row r="23" spans="1:20" x14ac:dyDescent="0.25">
      <c r="A23" s="18" t="s">
        <v>677</v>
      </c>
      <c r="B23" t="str">
        <f t="shared" si="0"/>
        <v>-12-2023</v>
      </c>
      <c r="D23">
        <v>20978</v>
      </c>
      <c r="E23" t="str">
        <f t="shared" si="1"/>
        <v>ia.assorted_string like '%20978-12-2023%' or</v>
      </c>
      <c r="L23" s="18" t="s">
        <v>649</v>
      </c>
      <c r="M23" t="s">
        <v>650</v>
      </c>
      <c r="N23" t="s">
        <v>651</v>
      </c>
      <c r="O23" t="s">
        <v>652</v>
      </c>
      <c r="P23" t="s">
        <v>653</v>
      </c>
      <c r="Q23" t="s">
        <v>654</v>
      </c>
      <c r="R23">
        <v>20978</v>
      </c>
      <c r="S23">
        <v>12</v>
      </c>
      <c r="T23">
        <v>2023</v>
      </c>
    </row>
    <row r="24" spans="1:20" x14ac:dyDescent="0.25">
      <c r="A24" s="18" t="s">
        <v>678</v>
      </c>
      <c r="B24" t="str">
        <f t="shared" si="0"/>
        <v>-12-2023</v>
      </c>
      <c r="D24">
        <v>20979</v>
      </c>
      <c r="E24" t="str">
        <f t="shared" si="1"/>
        <v>ia.assorted_string like '%20979-12-2023%' or</v>
      </c>
      <c r="L24" s="18" t="s">
        <v>649</v>
      </c>
      <c r="M24" t="s">
        <v>650</v>
      </c>
      <c r="N24" t="s">
        <v>651</v>
      </c>
      <c r="O24" t="s">
        <v>652</v>
      </c>
      <c r="P24" t="s">
        <v>653</v>
      </c>
      <c r="Q24" t="s">
        <v>654</v>
      </c>
      <c r="R24">
        <v>20979</v>
      </c>
      <c r="S24">
        <v>12</v>
      </c>
      <c r="T24">
        <v>2023</v>
      </c>
    </row>
    <row r="25" spans="1:20" x14ac:dyDescent="0.25">
      <c r="A25" s="18" t="s">
        <v>679</v>
      </c>
      <c r="B25" t="str">
        <f t="shared" si="0"/>
        <v>-12-2023</v>
      </c>
      <c r="D25">
        <v>20980</v>
      </c>
      <c r="E25" t="str">
        <f t="shared" si="1"/>
        <v>ia.assorted_string like '%20980-12-2023%' or</v>
      </c>
      <c r="L25" s="18" t="s">
        <v>649</v>
      </c>
      <c r="M25" t="s">
        <v>650</v>
      </c>
      <c r="N25" t="s">
        <v>651</v>
      </c>
      <c r="O25" t="s">
        <v>652</v>
      </c>
      <c r="P25" t="s">
        <v>653</v>
      </c>
      <c r="Q25" t="s">
        <v>654</v>
      </c>
      <c r="R25">
        <v>20980</v>
      </c>
      <c r="S25">
        <v>12</v>
      </c>
      <c r="T25">
        <v>2023</v>
      </c>
    </row>
    <row r="26" spans="1:20" x14ac:dyDescent="0.25">
      <c r="A26" s="18" t="s">
        <v>680</v>
      </c>
      <c r="B26" t="str">
        <f t="shared" si="0"/>
        <v>-12-2023</v>
      </c>
      <c r="D26">
        <v>20981</v>
      </c>
      <c r="E26" t="str">
        <f t="shared" si="1"/>
        <v>ia.assorted_string like '%20981-12-2023%' or</v>
      </c>
      <c r="L26" s="18" t="s">
        <v>649</v>
      </c>
      <c r="M26" t="s">
        <v>650</v>
      </c>
      <c r="N26" t="s">
        <v>651</v>
      </c>
      <c r="O26" t="s">
        <v>652</v>
      </c>
      <c r="P26" t="s">
        <v>653</v>
      </c>
      <c r="Q26" t="s">
        <v>654</v>
      </c>
      <c r="R26">
        <v>20981</v>
      </c>
      <c r="S26">
        <v>12</v>
      </c>
      <c r="T26">
        <v>2023</v>
      </c>
    </row>
    <row r="27" spans="1:20" x14ac:dyDescent="0.25">
      <c r="A27" s="18" t="s">
        <v>681</v>
      </c>
      <c r="B27" t="str">
        <f t="shared" si="0"/>
        <v>-12-2023</v>
      </c>
      <c r="D27">
        <v>20982</v>
      </c>
      <c r="E27" t="str">
        <f t="shared" si="1"/>
        <v>ia.assorted_string like '%20982-12-2023%' or</v>
      </c>
      <c r="L27" s="18" t="s">
        <v>649</v>
      </c>
      <c r="M27" t="s">
        <v>650</v>
      </c>
      <c r="N27" t="s">
        <v>651</v>
      </c>
      <c r="O27" t="s">
        <v>652</v>
      </c>
      <c r="P27" t="s">
        <v>653</v>
      </c>
      <c r="Q27" t="s">
        <v>654</v>
      </c>
      <c r="R27">
        <v>20982</v>
      </c>
      <c r="S27">
        <v>12</v>
      </c>
      <c r="T27">
        <v>2023</v>
      </c>
    </row>
    <row r="28" spans="1:20" x14ac:dyDescent="0.25">
      <c r="A28" s="18" t="s">
        <v>682</v>
      </c>
      <c r="B28" t="str">
        <f t="shared" si="0"/>
        <v>-12-2023</v>
      </c>
      <c r="D28">
        <v>20983</v>
      </c>
      <c r="E28" t="str">
        <f t="shared" si="1"/>
        <v>ia.assorted_string like '%20983-12-2023%' or</v>
      </c>
      <c r="L28" s="18" t="s">
        <v>649</v>
      </c>
      <c r="M28" t="s">
        <v>650</v>
      </c>
      <c r="N28" t="s">
        <v>651</v>
      </c>
      <c r="O28" t="s">
        <v>652</v>
      </c>
      <c r="P28" t="s">
        <v>653</v>
      </c>
      <c r="Q28" t="s">
        <v>654</v>
      </c>
      <c r="R28">
        <v>20983</v>
      </c>
      <c r="S28">
        <v>12</v>
      </c>
      <c r="T28">
        <v>2023</v>
      </c>
    </row>
    <row r="29" spans="1:20" x14ac:dyDescent="0.25">
      <c r="A29" s="18" t="s">
        <v>683</v>
      </c>
      <c r="B29" t="str">
        <f t="shared" si="0"/>
        <v>-12-2023</v>
      </c>
      <c r="D29">
        <v>20984</v>
      </c>
      <c r="E29" t="str">
        <f t="shared" si="1"/>
        <v>ia.assorted_string like '%20984-12-2023%' or</v>
      </c>
      <c r="L29" s="18" t="s">
        <v>649</v>
      </c>
      <c r="M29" t="s">
        <v>650</v>
      </c>
      <c r="N29" t="s">
        <v>651</v>
      </c>
      <c r="O29" t="s">
        <v>652</v>
      </c>
      <c r="P29" t="s">
        <v>653</v>
      </c>
      <c r="Q29" t="s">
        <v>654</v>
      </c>
      <c r="R29">
        <v>20984</v>
      </c>
      <c r="S29">
        <v>12</v>
      </c>
      <c r="T29">
        <v>2023</v>
      </c>
    </row>
    <row r="30" spans="1:20" x14ac:dyDescent="0.25">
      <c r="A30" s="18" t="s">
        <v>684</v>
      </c>
      <c r="B30" t="str">
        <f t="shared" si="0"/>
        <v>-12-2023</v>
      </c>
      <c r="D30">
        <v>20985</v>
      </c>
      <c r="E30" t="str">
        <f t="shared" si="1"/>
        <v>ia.assorted_string like '%20985-12-2023%' or</v>
      </c>
      <c r="L30" s="18" t="s">
        <v>649</v>
      </c>
      <c r="M30" t="s">
        <v>650</v>
      </c>
      <c r="N30" t="s">
        <v>651</v>
      </c>
      <c r="O30" t="s">
        <v>652</v>
      </c>
      <c r="P30" t="s">
        <v>653</v>
      </c>
      <c r="Q30" t="s">
        <v>654</v>
      </c>
      <c r="R30">
        <v>20985</v>
      </c>
      <c r="S30">
        <v>12</v>
      </c>
      <c r="T30">
        <v>2023</v>
      </c>
    </row>
    <row r="31" spans="1:20" x14ac:dyDescent="0.25">
      <c r="A31" s="18" t="s">
        <v>685</v>
      </c>
      <c r="B31" t="str">
        <f t="shared" si="0"/>
        <v>-12-2023</v>
      </c>
      <c r="D31">
        <v>20986</v>
      </c>
      <c r="E31" t="str">
        <f t="shared" si="1"/>
        <v>ia.assorted_string like '%20986-12-2023%' or</v>
      </c>
      <c r="L31" s="18" t="s">
        <v>649</v>
      </c>
      <c r="M31" t="s">
        <v>650</v>
      </c>
      <c r="N31" t="s">
        <v>651</v>
      </c>
      <c r="O31" t="s">
        <v>652</v>
      </c>
      <c r="P31" t="s">
        <v>653</v>
      </c>
      <c r="Q31" t="s">
        <v>654</v>
      </c>
      <c r="R31">
        <v>20986</v>
      </c>
      <c r="S31">
        <v>12</v>
      </c>
      <c r="T31">
        <v>2023</v>
      </c>
    </row>
    <row r="32" spans="1:20" x14ac:dyDescent="0.25">
      <c r="A32" s="18" t="s">
        <v>686</v>
      </c>
      <c r="B32" t="str">
        <f t="shared" si="0"/>
        <v>-12-2023</v>
      </c>
      <c r="D32">
        <v>20987</v>
      </c>
      <c r="E32" t="str">
        <f t="shared" si="1"/>
        <v>ia.assorted_string like '%20987-12-2023%' or</v>
      </c>
      <c r="L32" s="18" t="s">
        <v>649</v>
      </c>
      <c r="M32" t="s">
        <v>650</v>
      </c>
      <c r="N32" t="s">
        <v>651</v>
      </c>
      <c r="O32" t="s">
        <v>652</v>
      </c>
      <c r="P32" t="s">
        <v>653</v>
      </c>
      <c r="Q32" t="s">
        <v>654</v>
      </c>
      <c r="R32">
        <v>20987</v>
      </c>
      <c r="S32">
        <v>12</v>
      </c>
      <c r="T32">
        <v>2023</v>
      </c>
    </row>
    <row r="33" spans="1:20" x14ac:dyDescent="0.25">
      <c r="A33" s="18" t="s">
        <v>687</v>
      </c>
      <c r="B33" t="str">
        <f t="shared" si="0"/>
        <v>-12-2023</v>
      </c>
      <c r="D33">
        <v>20988</v>
      </c>
      <c r="E33" t="str">
        <f t="shared" si="1"/>
        <v>ia.assorted_string like '%20988-12-2023%' or</v>
      </c>
      <c r="L33" s="18" t="s">
        <v>649</v>
      </c>
      <c r="M33" t="s">
        <v>650</v>
      </c>
      <c r="N33" t="s">
        <v>651</v>
      </c>
      <c r="O33" t="s">
        <v>652</v>
      </c>
      <c r="P33" t="s">
        <v>653</v>
      </c>
      <c r="Q33" t="s">
        <v>654</v>
      </c>
      <c r="R33">
        <v>20988</v>
      </c>
      <c r="S33">
        <v>12</v>
      </c>
      <c r="T33">
        <v>2023</v>
      </c>
    </row>
    <row r="34" spans="1:20" x14ac:dyDescent="0.25">
      <c r="A34" s="18" t="s">
        <v>688</v>
      </c>
      <c r="B34" t="str">
        <f t="shared" si="0"/>
        <v>-12-2023</v>
      </c>
      <c r="D34">
        <v>20989</v>
      </c>
      <c r="E34" t="str">
        <f t="shared" si="1"/>
        <v>ia.assorted_string like '%20989-12-2023%' or</v>
      </c>
      <c r="L34" s="18" t="s">
        <v>649</v>
      </c>
      <c r="M34" t="s">
        <v>650</v>
      </c>
      <c r="N34" t="s">
        <v>651</v>
      </c>
      <c r="O34" t="s">
        <v>652</v>
      </c>
      <c r="P34" t="s">
        <v>653</v>
      </c>
      <c r="Q34" t="s">
        <v>654</v>
      </c>
      <c r="R34">
        <v>20989</v>
      </c>
      <c r="S34">
        <v>12</v>
      </c>
      <c r="T34">
        <v>2023</v>
      </c>
    </row>
    <row r="35" spans="1:20" x14ac:dyDescent="0.25">
      <c r="A35" s="18" t="s">
        <v>689</v>
      </c>
      <c r="B35" t="str">
        <f t="shared" si="0"/>
        <v>-12-2023</v>
      </c>
      <c r="D35">
        <v>20990</v>
      </c>
      <c r="E35" t="str">
        <f t="shared" si="1"/>
        <v>ia.assorted_string like '%20990-12-2023%' or</v>
      </c>
      <c r="L35" s="18" t="s">
        <v>649</v>
      </c>
      <c r="M35" t="s">
        <v>650</v>
      </c>
      <c r="N35" t="s">
        <v>651</v>
      </c>
      <c r="O35" t="s">
        <v>652</v>
      </c>
      <c r="P35" t="s">
        <v>653</v>
      </c>
      <c r="Q35" t="s">
        <v>654</v>
      </c>
      <c r="R35">
        <v>20990</v>
      </c>
      <c r="S35">
        <v>12</v>
      </c>
      <c r="T35">
        <v>2023</v>
      </c>
    </row>
    <row r="36" spans="1:20" x14ac:dyDescent="0.25">
      <c r="A36" s="18" t="s">
        <v>690</v>
      </c>
      <c r="B36" t="str">
        <f t="shared" si="0"/>
        <v>-12-2023</v>
      </c>
      <c r="D36">
        <v>20991</v>
      </c>
      <c r="E36" t="str">
        <f t="shared" si="1"/>
        <v>ia.assorted_string like '%20991-12-2023%' or</v>
      </c>
      <c r="L36" s="18" t="s">
        <v>649</v>
      </c>
      <c r="M36" t="s">
        <v>650</v>
      </c>
      <c r="N36" t="s">
        <v>651</v>
      </c>
      <c r="O36" t="s">
        <v>652</v>
      </c>
      <c r="P36" t="s">
        <v>653</v>
      </c>
      <c r="Q36" t="s">
        <v>654</v>
      </c>
      <c r="R36">
        <v>20991</v>
      </c>
      <c r="S36">
        <v>12</v>
      </c>
      <c r="T36">
        <v>2023</v>
      </c>
    </row>
    <row r="37" spans="1:20" x14ac:dyDescent="0.25">
      <c r="A37" s="18" t="s">
        <v>691</v>
      </c>
      <c r="B37" t="str">
        <f t="shared" si="0"/>
        <v>-12-2023</v>
      </c>
      <c r="D37">
        <v>20992</v>
      </c>
      <c r="E37" t="str">
        <f t="shared" si="1"/>
        <v>ia.assorted_string like '%20992-12-2023%' or</v>
      </c>
      <c r="L37" s="18" t="s">
        <v>649</v>
      </c>
      <c r="M37" t="s">
        <v>650</v>
      </c>
      <c r="N37" t="s">
        <v>651</v>
      </c>
      <c r="O37" t="s">
        <v>652</v>
      </c>
      <c r="P37" t="s">
        <v>653</v>
      </c>
      <c r="Q37" t="s">
        <v>654</v>
      </c>
      <c r="R37">
        <v>20992</v>
      </c>
      <c r="S37">
        <v>12</v>
      </c>
      <c r="T37">
        <v>2023</v>
      </c>
    </row>
    <row r="38" spans="1:20" x14ac:dyDescent="0.25">
      <c r="A38" s="18" t="s">
        <v>692</v>
      </c>
      <c r="B38" t="str">
        <f t="shared" si="0"/>
        <v>-12-2023</v>
      </c>
      <c r="D38">
        <v>20993</v>
      </c>
      <c r="E38" t="str">
        <f t="shared" si="1"/>
        <v>ia.assorted_string like '%20993-12-2023%' or</v>
      </c>
      <c r="L38" s="18" t="s">
        <v>649</v>
      </c>
      <c r="M38" t="s">
        <v>650</v>
      </c>
      <c r="N38" t="s">
        <v>651</v>
      </c>
      <c r="O38" t="s">
        <v>652</v>
      </c>
      <c r="P38" t="s">
        <v>653</v>
      </c>
      <c r="Q38" t="s">
        <v>654</v>
      </c>
      <c r="R38">
        <v>20993</v>
      </c>
      <c r="S38">
        <v>12</v>
      </c>
      <c r="T38">
        <v>2023</v>
      </c>
    </row>
    <row r="39" spans="1:20" x14ac:dyDescent="0.25">
      <c r="A39" s="18" t="s">
        <v>693</v>
      </c>
      <c r="B39" t="str">
        <f t="shared" si="0"/>
        <v>-12-2023</v>
      </c>
      <c r="D39">
        <v>20994</v>
      </c>
      <c r="E39" t="str">
        <f t="shared" si="1"/>
        <v>ia.assorted_string like '%20994-12-2023%' or</v>
      </c>
      <c r="L39" s="18" t="s">
        <v>649</v>
      </c>
      <c r="M39" t="s">
        <v>650</v>
      </c>
      <c r="N39" t="s">
        <v>651</v>
      </c>
      <c r="O39" t="s">
        <v>652</v>
      </c>
      <c r="P39" t="s">
        <v>653</v>
      </c>
      <c r="Q39" t="s">
        <v>654</v>
      </c>
      <c r="R39">
        <v>20994</v>
      </c>
      <c r="S39">
        <v>12</v>
      </c>
      <c r="T39">
        <v>2023</v>
      </c>
    </row>
    <row r="40" spans="1:20" x14ac:dyDescent="0.25">
      <c r="A40" s="18" t="s">
        <v>694</v>
      </c>
      <c r="B40" t="str">
        <f t="shared" si="0"/>
        <v>-12-2023</v>
      </c>
      <c r="D40">
        <v>20995</v>
      </c>
      <c r="E40" t="str">
        <f t="shared" si="1"/>
        <v>ia.assorted_string like '%20995-12-2023%' or</v>
      </c>
      <c r="L40" s="18" t="s">
        <v>649</v>
      </c>
      <c r="M40" t="s">
        <v>650</v>
      </c>
      <c r="N40" t="s">
        <v>651</v>
      </c>
      <c r="O40" t="s">
        <v>652</v>
      </c>
      <c r="P40" t="s">
        <v>653</v>
      </c>
      <c r="Q40" t="s">
        <v>654</v>
      </c>
      <c r="R40">
        <v>20995</v>
      </c>
      <c r="S40">
        <v>12</v>
      </c>
      <c r="T40">
        <v>2023</v>
      </c>
    </row>
    <row r="41" spans="1:20" x14ac:dyDescent="0.25">
      <c r="A41" s="18" t="s">
        <v>695</v>
      </c>
      <c r="B41" t="str">
        <f t="shared" si="0"/>
        <v>-12-2023</v>
      </c>
      <c r="D41">
        <v>20996</v>
      </c>
      <c r="E41" t="str">
        <f t="shared" si="1"/>
        <v>ia.assorted_string like '%20996-12-2023%' or</v>
      </c>
      <c r="L41" s="18" t="s">
        <v>649</v>
      </c>
      <c r="M41" t="s">
        <v>650</v>
      </c>
      <c r="N41" t="s">
        <v>651</v>
      </c>
      <c r="O41" t="s">
        <v>652</v>
      </c>
      <c r="P41" t="s">
        <v>653</v>
      </c>
      <c r="Q41" t="s">
        <v>654</v>
      </c>
      <c r="R41">
        <v>20996</v>
      </c>
      <c r="S41">
        <v>12</v>
      </c>
      <c r="T41">
        <v>2023</v>
      </c>
    </row>
    <row r="42" spans="1:20" x14ac:dyDescent="0.25">
      <c r="A42" s="18" t="s">
        <v>696</v>
      </c>
      <c r="B42" t="str">
        <f t="shared" si="0"/>
        <v>-12-2023</v>
      </c>
      <c r="D42">
        <v>20997</v>
      </c>
      <c r="E42" t="str">
        <f t="shared" si="1"/>
        <v>ia.assorted_string like '%20997-12-2023%' or</v>
      </c>
      <c r="L42" s="18" t="s">
        <v>649</v>
      </c>
      <c r="M42" t="s">
        <v>650</v>
      </c>
      <c r="N42" t="s">
        <v>651</v>
      </c>
      <c r="O42" t="s">
        <v>652</v>
      </c>
      <c r="P42" t="s">
        <v>653</v>
      </c>
      <c r="Q42" t="s">
        <v>654</v>
      </c>
      <c r="R42">
        <v>20997</v>
      </c>
      <c r="S42">
        <v>12</v>
      </c>
      <c r="T42">
        <v>2023</v>
      </c>
    </row>
    <row r="43" spans="1:20" x14ac:dyDescent="0.25">
      <c r="A43" s="18" t="s">
        <v>697</v>
      </c>
      <c r="B43" t="str">
        <f t="shared" si="0"/>
        <v>-12-2023</v>
      </c>
      <c r="D43">
        <v>20998</v>
      </c>
      <c r="E43" t="str">
        <f t="shared" si="1"/>
        <v>ia.assorted_string like '%20998-12-2023%' or</v>
      </c>
      <c r="L43" s="18" t="s">
        <v>649</v>
      </c>
      <c r="M43" t="s">
        <v>650</v>
      </c>
      <c r="N43" t="s">
        <v>651</v>
      </c>
      <c r="O43" t="s">
        <v>652</v>
      </c>
      <c r="P43" t="s">
        <v>653</v>
      </c>
      <c r="Q43" t="s">
        <v>654</v>
      </c>
      <c r="R43">
        <v>20998</v>
      </c>
      <c r="S43">
        <v>12</v>
      </c>
      <c r="T43">
        <v>2023</v>
      </c>
    </row>
    <row r="44" spans="1:20" x14ac:dyDescent="0.25">
      <c r="A44" s="18" t="s">
        <v>698</v>
      </c>
      <c r="B44" t="str">
        <f t="shared" si="0"/>
        <v>-12-2023</v>
      </c>
      <c r="D44">
        <v>20999</v>
      </c>
      <c r="E44" t="str">
        <f t="shared" si="1"/>
        <v>ia.assorted_string like '%20999-12-2023%' or</v>
      </c>
      <c r="L44" s="18" t="s">
        <v>649</v>
      </c>
      <c r="M44" t="s">
        <v>650</v>
      </c>
      <c r="N44" t="s">
        <v>651</v>
      </c>
      <c r="O44" t="s">
        <v>652</v>
      </c>
      <c r="P44" t="s">
        <v>653</v>
      </c>
      <c r="Q44" t="s">
        <v>654</v>
      </c>
      <c r="R44">
        <v>20999</v>
      </c>
      <c r="S44">
        <v>12</v>
      </c>
      <c r="T44">
        <v>2023</v>
      </c>
    </row>
    <row r="45" spans="1:20" x14ac:dyDescent="0.25">
      <c r="A45" s="18" t="s">
        <v>699</v>
      </c>
      <c r="B45" t="str">
        <f t="shared" si="0"/>
        <v>-12-2023</v>
      </c>
      <c r="D45">
        <v>21000</v>
      </c>
      <c r="E45" t="str">
        <f t="shared" si="1"/>
        <v>ia.assorted_string like '%21000-12-2023%' or</v>
      </c>
      <c r="L45" s="18" t="s">
        <v>649</v>
      </c>
      <c r="M45" t="s">
        <v>650</v>
      </c>
      <c r="N45" t="s">
        <v>651</v>
      </c>
      <c r="O45" t="s">
        <v>652</v>
      </c>
      <c r="P45" t="s">
        <v>653</v>
      </c>
      <c r="Q45" t="s">
        <v>654</v>
      </c>
      <c r="R45">
        <v>21000</v>
      </c>
      <c r="S45">
        <v>12</v>
      </c>
      <c r="T45">
        <v>2023</v>
      </c>
    </row>
    <row r="46" spans="1:20" x14ac:dyDescent="0.25">
      <c r="A46" s="18" t="s">
        <v>700</v>
      </c>
      <c r="B46" t="str">
        <f t="shared" si="0"/>
        <v>-12-2023</v>
      </c>
      <c r="D46">
        <v>21001</v>
      </c>
      <c r="E46" t="str">
        <f t="shared" si="1"/>
        <v>ia.assorted_string like '%21001-12-2023%' or</v>
      </c>
      <c r="L46" s="18" t="s">
        <v>649</v>
      </c>
      <c r="M46" t="s">
        <v>650</v>
      </c>
      <c r="N46" t="s">
        <v>651</v>
      </c>
      <c r="O46" t="s">
        <v>652</v>
      </c>
      <c r="P46" t="s">
        <v>653</v>
      </c>
      <c r="Q46" t="s">
        <v>654</v>
      </c>
      <c r="R46">
        <v>21001</v>
      </c>
      <c r="S46">
        <v>12</v>
      </c>
      <c r="T46">
        <v>2023</v>
      </c>
    </row>
    <row r="47" spans="1:20" x14ac:dyDescent="0.25">
      <c r="A47" s="18" t="s">
        <v>701</v>
      </c>
      <c r="B47" t="str">
        <f t="shared" si="0"/>
        <v>-12-2023</v>
      </c>
      <c r="D47">
        <v>21002</v>
      </c>
      <c r="E47" t="str">
        <f t="shared" si="1"/>
        <v>ia.assorted_string like '%21002-12-2023%' or</v>
      </c>
      <c r="L47" s="18" t="s">
        <v>649</v>
      </c>
      <c r="M47" t="s">
        <v>650</v>
      </c>
      <c r="N47" t="s">
        <v>651</v>
      </c>
      <c r="O47" t="s">
        <v>652</v>
      </c>
      <c r="P47" t="s">
        <v>653</v>
      </c>
      <c r="Q47" t="s">
        <v>654</v>
      </c>
      <c r="R47">
        <v>21002</v>
      </c>
      <c r="S47">
        <v>12</v>
      </c>
      <c r="T47">
        <v>2023</v>
      </c>
    </row>
    <row r="48" spans="1:20" x14ac:dyDescent="0.25">
      <c r="A48" s="18" t="s">
        <v>702</v>
      </c>
      <c r="B48" t="str">
        <f t="shared" si="0"/>
        <v>-12-2023</v>
      </c>
      <c r="D48">
        <v>21003</v>
      </c>
      <c r="E48" t="str">
        <f t="shared" si="1"/>
        <v>ia.assorted_string like '%21003-12-2023%' or</v>
      </c>
      <c r="L48" s="18" t="s">
        <v>649</v>
      </c>
      <c r="M48" t="s">
        <v>650</v>
      </c>
      <c r="N48" t="s">
        <v>651</v>
      </c>
      <c r="O48" t="s">
        <v>652</v>
      </c>
      <c r="P48" t="s">
        <v>653</v>
      </c>
      <c r="Q48" t="s">
        <v>654</v>
      </c>
      <c r="R48">
        <v>21003</v>
      </c>
      <c r="S48">
        <v>12</v>
      </c>
      <c r="T48">
        <v>2023</v>
      </c>
    </row>
    <row r="49" spans="1:20" x14ac:dyDescent="0.25">
      <c r="A49" s="18" t="s">
        <v>703</v>
      </c>
      <c r="B49" t="str">
        <f t="shared" si="0"/>
        <v>-12-2023</v>
      </c>
      <c r="D49">
        <v>21004</v>
      </c>
      <c r="E49" t="str">
        <f t="shared" si="1"/>
        <v>ia.assorted_string like '%21004-12-2023%' or</v>
      </c>
      <c r="L49" s="18" t="s">
        <v>649</v>
      </c>
      <c r="M49" t="s">
        <v>650</v>
      </c>
      <c r="N49" t="s">
        <v>651</v>
      </c>
      <c r="O49" t="s">
        <v>652</v>
      </c>
      <c r="P49" t="s">
        <v>653</v>
      </c>
      <c r="Q49" t="s">
        <v>654</v>
      </c>
      <c r="R49">
        <v>21004</v>
      </c>
      <c r="S49">
        <v>12</v>
      </c>
      <c r="T49">
        <v>2023</v>
      </c>
    </row>
    <row r="50" spans="1:20" x14ac:dyDescent="0.25">
      <c r="A50" s="18" t="s">
        <v>704</v>
      </c>
      <c r="B50" t="str">
        <f t="shared" si="0"/>
        <v>-12-2023</v>
      </c>
      <c r="D50">
        <v>21005</v>
      </c>
      <c r="E50" t="str">
        <f t="shared" si="1"/>
        <v>ia.assorted_string like '%21005-12-2023%' or</v>
      </c>
      <c r="L50" s="18" t="s">
        <v>649</v>
      </c>
      <c r="M50" t="s">
        <v>650</v>
      </c>
      <c r="N50" t="s">
        <v>651</v>
      </c>
      <c r="O50" t="s">
        <v>652</v>
      </c>
      <c r="P50" t="s">
        <v>653</v>
      </c>
      <c r="Q50" t="s">
        <v>654</v>
      </c>
      <c r="R50">
        <v>21005</v>
      </c>
      <c r="S50">
        <v>12</v>
      </c>
      <c r="T50">
        <v>2023</v>
      </c>
    </row>
    <row r="51" spans="1:20" x14ac:dyDescent="0.25">
      <c r="A51" s="18" t="s">
        <v>705</v>
      </c>
      <c r="B51" t="str">
        <f t="shared" si="0"/>
        <v>-12-2023</v>
      </c>
      <c r="D51">
        <v>21006</v>
      </c>
      <c r="E51" t="str">
        <f t="shared" si="1"/>
        <v>ia.assorted_string like '%21006-12-2023%' or</v>
      </c>
      <c r="L51" s="18" t="s">
        <v>649</v>
      </c>
      <c r="M51" t="s">
        <v>650</v>
      </c>
      <c r="N51" t="s">
        <v>651</v>
      </c>
      <c r="O51" t="s">
        <v>652</v>
      </c>
      <c r="P51" t="s">
        <v>653</v>
      </c>
      <c r="Q51" t="s">
        <v>654</v>
      </c>
      <c r="R51">
        <v>21006</v>
      </c>
      <c r="S51">
        <v>12</v>
      </c>
      <c r="T51">
        <v>2023</v>
      </c>
    </row>
    <row r="52" spans="1:20" x14ac:dyDescent="0.25">
      <c r="A52" s="18" t="s">
        <v>706</v>
      </c>
      <c r="B52" t="str">
        <f t="shared" si="0"/>
        <v>-12-2023</v>
      </c>
      <c r="D52">
        <v>21007</v>
      </c>
      <c r="E52" t="str">
        <f t="shared" si="1"/>
        <v>ia.assorted_string like '%21007-12-2023%' or</v>
      </c>
      <c r="L52" s="18" t="s">
        <v>649</v>
      </c>
      <c r="M52" t="s">
        <v>650</v>
      </c>
      <c r="N52" t="s">
        <v>651</v>
      </c>
      <c r="O52" t="s">
        <v>652</v>
      </c>
      <c r="P52" t="s">
        <v>653</v>
      </c>
      <c r="Q52" t="s">
        <v>654</v>
      </c>
      <c r="R52">
        <v>21007</v>
      </c>
      <c r="S52">
        <v>12</v>
      </c>
      <c r="T52">
        <v>2023</v>
      </c>
    </row>
    <row r="53" spans="1:20" x14ac:dyDescent="0.25">
      <c r="A53" s="18" t="s">
        <v>707</v>
      </c>
      <c r="B53" t="str">
        <f t="shared" si="0"/>
        <v>-12-2023</v>
      </c>
      <c r="D53">
        <v>21008</v>
      </c>
      <c r="E53" t="str">
        <f t="shared" si="1"/>
        <v>ia.assorted_string like '%21008-12-2023%' or</v>
      </c>
      <c r="L53" s="18" t="s">
        <v>649</v>
      </c>
      <c r="M53" t="s">
        <v>650</v>
      </c>
      <c r="N53" t="s">
        <v>651</v>
      </c>
      <c r="O53" t="s">
        <v>652</v>
      </c>
      <c r="P53" t="s">
        <v>653</v>
      </c>
      <c r="Q53" t="s">
        <v>654</v>
      </c>
      <c r="R53">
        <v>21008</v>
      </c>
      <c r="S53">
        <v>12</v>
      </c>
      <c r="T53">
        <v>2023</v>
      </c>
    </row>
    <row r="54" spans="1:20" x14ac:dyDescent="0.25">
      <c r="A54" s="18" t="s">
        <v>708</v>
      </c>
      <c r="B54" t="str">
        <f t="shared" si="0"/>
        <v>-12-2023</v>
      </c>
      <c r="D54">
        <v>21009</v>
      </c>
      <c r="E54" t="str">
        <f t="shared" si="1"/>
        <v>ia.assorted_string like '%21009-12-2023%' or</v>
      </c>
      <c r="L54" s="18" t="s">
        <v>649</v>
      </c>
      <c r="M54" t="s">
        <v>650</v>
      </c>
      <c r="N54" t="s">
        <v>651</v>
      </c>
      <c r="O54" t="s">
        <v>652</v>
      </c>
      <c r="P54" t="s">
        <v>653</v>
      </c>
      <c r="Q54" t="s">
        <v>654</v>
      </c>
      <c r="R54">
        <v>21009</v>
      </c>
      <c r="S54">
        <v>12</v>
      </c>
      <c r="T54">
        <v>2023</v>
      </c>
    </row>
    <row r="55" spans="1:20" x14ac:dyDescent="0.25">
      <c r="A55" s="18" t="s">
        <v>709</v>
      </c>
      <c r="B55" t="str">
        <f t="shared" si="0"/>
        <v>-12-2023</v>
      </c>
      <c r="D55">
        <v>21010</v>
      </c>
      <c r="E55" t="str">
        <f t="shared" si="1"/>
        <v>ia.assorted_string like '%21010-12-2023%' or</v>
      </c>
      <c r="L55" s="18" t="s">
        <v>649</v>
      </c>
      <c r="M55" t="s">
        <v>650</v>
      </c>
      <c r="N55" t="s">
        <v>651</v>
      </c>
      <c r="O55" t="s">
        <v>652</v>
      </c>
      <c r="P55" t="s">
        <v>653</v>
      </c>
      <c r="Q55" t="s">
        <v>654</v>
      </c>
      <c r="R55">
        <v>21010</v>
      </c>
      <c r="S55">
        <v>12</v>
      </c>
      <c r="T55">
        <v>2023</v>
      </c>
    </row>
    <row r="56" spans="1:20" x14ac:dyDescent="0.25">
      <c r="A56" s="18" t="s">
        <v>710</v>
      </c>
      <c r="B56" t="str">
        <f t="shared" si="0"/>
        <v>-12-2023</v>
      </c>
      <c r="D56">
        <v>21011</v>
      </c>
      <c r="E56" t="str">
        <f t="shared" si="1"/>
        <v>ia.assorted_string like '%21011-12-2023%' or</v>
      </c>
      <c r="L56" s="18" t="s">
        <v>649</v>
      </c>
      <c r="M56" t="s">
        <v>650</v>
      </c>
      <c r="N56" t="s">
        <v>651</v>
      </c>
      <c r="O56" t="s">
        <v>652</v>
      </c>
      <c r="P56" t="s">
        <v>653</v>
      </c>
      <c r="Q56" t="s">
        <v>654</v>
      </c>
      <c r="R56">
        <v>21011</v>
      </c>
      <c r="S56">
        <v>12</v>
      </c>
      <c r="T56">
        <v>2023</v>
      </c>
    </row>
    <row r="57" spans="1:20" x14ac:dyDescent="0.25">
      <c r="A57" s="18" t="s">
        <v>711</v>
      </c>
      <c r="B57" t="str">
        <f t="shared" si="0"/>
        <v>-12-2023</v>
      </c>
      <c r="D57">
        <v>21012</v>
      </c>
      <c r="E57" t="str">
        <f t="shared" si="1"/>
        <v>ia.assorted_string like '%21012-12-2023%' or</v>
      </c>
      <c r="L57" s="18" t="s">
        <v>649</v>
      </c>
      <c r="M57" t="s">
        <v>650</v>
      </c>
      <c r="N57" t="s">
        <v>651</v>
      </c>
      <c r="O57" t="s">
        <v>652</v>
      </c>
      <c r="P57" t="s">
        <v>653</v>
      </c>
      <c r="Q57" t="s">
        <v>654</v>
      </c>
      <c r="R57">
        <v>21012</v>
      </c>
      <c r="S57">
        <v>12</v>
      </c>
      <c r="T57">
        <v>2023</v>
      </c>
    </row>
    <row r="58" spans="1:20" x14ac:dyDescent="0.25">
      <c r="A58" s="18" t="s">
        <v>712</v>
      </c>
      <c r="B58" t="str">
        <f t="shared" si="0"/>
        <v>-12-2023</v>
      </c>
      <c r="D58">
        <v>21013</v>
      </c>
      <c r="E58" t="str">
        <f t="shared" si="1"/>
        <v>ia.assorted_string like '%21013-12-2023%' or</v>
      </c>
      <c r="L58" s="18" t="s">
        <v>649</v>
      </c>
      <c r="M58" t="s">
        <v>650</v>
      </c>
      <c r="N58" t="s">
        <v>651</v>
      </c>
      <c r="O58" t="s">
        <v>652</v>
      </c>
      <c r="P58" t="s">
        <v>653</v>
      </c>
      <c r="Q58" t="s">
        <v>654</v>
      </c>
      <c r="R58">
        <v>21013</v>
      </c>
      <c r="S58">
        <v>12</v>
      </c>
      <c r="T58">
        <v>2023</v>
      </c>
    </row>
    <row r="59" spans="1:20" x14ac:dyDescent="0.25">
      <c r="A59" s="18" t="s">
        <v>713</v>
      </c>
      <c r="B59" t="str">
        <f t="shared" si="0"/>
        <v>-12-2023</v>
      </c>
      <c r="D59">
        <v>21014</v>
      </c>
      <c r="E59" t="str">
        <f t="shared" si="1"/>
        <v>ia.assorted_string like '%21014-12-2023%' or</v>
      </c>
      <c r="L59" s="18" t="s">
        <v>649</v>
      </c>
      <c r="M59" t="s">
        <v>650</v>
      </c>
      <c r="N59" t="s">
        <v>651</v>
      </c>
      <c r="O59" t="s">
        <v>652</v>
      </c>
      <c r="P59" t="s">
        <v>653</v>
      </c>
      <c r="Q59" t="s">
        <v>654</v>
      </c>
      <c r="R59">
        <v>21014</v>
      </c>
      <c r="S59">
        <v>12</v>
      </c>
      <c r="T59">
        <v>2023</v>
      </c>
    </row>
    <row r="60" spans="1:20" x14ac:dyDescent="0.25">
      <c r="A60" s="18" t="s">
        <v>714</v>
      </c>
      <c r="B60" t="str">
        <f t="shared" si="0"/>
        <v>-12-2023</v>
      </c>
      <c r="D60">
        <v>21015</v>
      </c>
      <c r="E60" t="str">
        <f t="shared" si="1"/>
        <v>ia.assorted_string like '%21015-12-2023%' or</v>
      </c>
      <c r="L60" s="18" t="s">
        <v>649</v>
      </c>
      <c r="M60" t="s">
        <v>650</v>
      </c>
      <c r="N60" t="s">
        <v>651</v>
      </c>
      <c r="O60" t="s">
        <v>652</v>
      </c>
      <c r="P60" t="s">
        <v>653</v>
      </c>
      <c r="Q60" t="s">
        <v>654</v>
      </c>
      <c r="R60">
        <v>21015</v>
      </c>
      <c r="S60">
        <v>12</v>
      </c>
      <c r="T60">
        <v>2023</v>
      </c>
    </row>
    <row r="61" spans="1:20" x14ac:dyDescent="0.25">
      <c r="A61" s="18" t="s">
        <v>715</v>
      </c>
      <c r="B61" t="str">
        <f t="shared" si="0"/>
        <v>-12-2023</v>
      </c>
      <c r="D61">
        <v>21016</v>
      </c>
      <c r="E61" t="str">
        <f t="shared" si="1"/>
        <v>ia.assorted_string like '%21016-12-2023%' or</v>
      </c>
      <c r="L61" s="18" t="s">
        <v>649</v>
      </c>
      <c r="M61" t="s">
        <v>650</v>
      </c>
      <c r="N61" t="s">
        <v>651</v>
      </c>
      <c r="O61" t="s">
        <v>652</v>
      </c>
      <c r="P61" t="s">
        <v>653</v>
      </c>
      <c r="Q61" t="s">
        <v>654</v>
      </c>
      <c r="R61">
        <v>21016</v>
      </c>
      <c r="S61">
        <v>12</v>
      </c>
      <c r="T61">
        <v>2023</v>
      </c>
    </row>
    <row r="62" spans="1:20" x14ac:dyDescent="0.25">
      <c r="A62" s="18" t="s">
        <v>716</v>
      </c>
      <c r="B62" t="str">
        <f t="shared" si="0"/>
        <v>-12-2023</v>
      </c>
      <c r="D62">
        <v>21017</v>
      </c>
      <c r="E62" t="str">
        <f t="shared" si="1"/>
        <v>ia.assorted_string like '%21017-12-2023%' or</v>
      </c>
      <c r="L62" s="18" t="s">
        <v>649</v>
      </c>
      <c r="M62" t="s">
        <v>650</v>
      </c>
      <c r="N62" t="s">
        <v>651</v>
      </c>
      <c r="O62" t="s">
        <v>652</v>
      </c>
      <c r="P62" t="s">
        <v>653</v>
      </c>
      <c r="Q62" t="s">
        <v>654</v>
      </c>
      <c r="R62">
        <v>21017</v>
      </c>
      <c r="S62">
        <v>12</v>
      </c>
      <c r="T62">
        <v>2023</v>
      </c>
    </row>
    <row r="63" spans="1:20" x14ac:dyDescent="0.25">
      <c r="A63" s="18" t="s">
        <v>717</v>
      </c>
      <c r="B63" t="str">
        <f t="shared" si="0"/>
        <v>-12-2023</v>
      </c>
      <c r="D63">
        <v>21018</v>
      </c>
      <c r="E63" t="str">
        <f t="shared" si="1"/>
        <v>ia.assorted_string like '%21018-12-2023%' or</v>
      </c>
      <c r="L63" s="18" t="s">
        <v>649</v>
      </c>
      <c r="M63" t="s">
        <v>650</v>
      </c>
      <c r="N63" t="s">
        <v>651</v>
      </c>
      <c r="O63" t="s">
        <v>652</v>
      </c>
      <c r="P63" t="s">
        <v>653</v>
      </c>
      <c r="Q63" t="s">
        <v>654</v>
      </c>
      <c r="R63">
        <v>21018</v>
      </c>
      <c r="S63">
        <v>12</v>
      </c>
      <c r="T63">
        <v>2023</v>
      </c>
    </row>
    <row r="64" spans="1:20" x14ac:dyDescent="0.25">
      <c r="A64" s="18" t="s">
        <v>718</v>
      </c>
      <c r="B64" t="str">
        <f t="shared" si="0"/>
        <v>-12-2023</v>
      </c>
      <c r="D64">
        <v>21019</v>
      </c>
      <c r="E64" t="str">
        <f t="shared" si="1"/>
        <v>ia.assorted_string like '%21019-12-2023%' or</v>
      </c>
      <c r="L64" s="18" t="s">
        <v>649</v>
      </c>
      <c r="M64" t="s">
        <v>650</v>
      </c>
      <c r="N64" t="s">
        <v>651</v>
      </c>
      <c r="O64" t="s">
        <v>652</v>
      </c>
      <c r="P64" t="s">
        <v>653</v>
      </c>
      <c r="Q64" t="s">
        <v>654</v>
      </c>
      <c r="R64">
        <v>21019</v>
      </c>
      <c r="S64">
        <v>12</v>
      </c>
      <c r="T64">
        <v>2023</v>
      </c>
    </row>
    <row r="65" spans="1:20" x14ac:dyDescent="0.25">
      <c r="A65" s="18" t="s">
        <v>719</v>
      </c>
      <c r="B65" t="str">
        <f t="shared" si="0"/>
        <v>-12-2023</v>
      </c>
      <c r="D65">
        <v>21020</v>
      </c>
      <c r="E65" t="str">
        <f t="shared" si="1"/>
        <v>ia.assorted_string like '%21020-12-2023%' or</v>
      </c>
      <c r="L65" s="18" t="s">
        <v>649</v>
      </c>
      <c r="M65" t="s">
        <v>650</v>
      </c>
      <c r="N65" t="s">
        <v>651</v>
      </c>
      <c r="O65" t="s">
        <v>652</v>
      </c>
      <c r="P65" t="s">
        <v>653</v>
      </c>
      <c r="Q65" t="s">
        <v>654</v>
      </c>
      <c r="R65">
        <v>21020</v>
      </c>
      <c r="S65">
        <v>12</v>
      </c>
      <c r="T65">
        <v>2023</v>
      </c>
    </row>
    <row r="66" spans="1:20" x14ac:dyDescent="0.25">
      <c r="A66" s="18" t="s">
        <v>720</v>
      </c>
      <c r="B66" t="str">
        <f t="shared" ref="B66:B109" si="2">RIGHT(A66,8)</f>
        <v>-12-2023</v>
      </c>
      <c r="D66">
        <v>21021</v>
      </c>
      <c r="E66" t="str">
        <f t="shared" ref="E66:E109" si="3">"ia.assorted_string like '%"&amp;D66&amp;B66&amp;"%' or"</f>
        <v>ia.assorted_string like '%21021-12-2023%' or</v>
      </c>
      <c r="L66" s="18" t="s">
        <v>649</v>
      </c>
      <c r="M66" t="s">
        <v>650</v>
      </c>
      <c r="N66" t="s">
        <v>651</v>
      </c>
      <c r="O66" t="s">
        <v>652</v>
      </c>
      <c r="P66" t="s">
        <v>653</v>
      </c>
      <c r="Q66" t="s">
        <v>654</v>
      </c>
      <c r="R66">
        <v>21021</v>
      </c>
      <c r="S66">
        <v>12</v>
      </c>
      <c r="T66">
        <v>2023</v>
      </c>
    </row>
    <row r="67" spans="1:20" x14ac:dyDescent="0.25">
      <c r="A67" s="18" t="s">
        <v>721</v>
      </c>
      <c r="B67" t="str">
        <f t="shared" si="2"/>
        <v>-12-2023</v>
      </c>
      <c r="D67">
        <v>21022</v>
      </c>
      <c r="E67" t="str">
        <f t="shared" si="3"/>
        <v>ia.assorted_string like '%21022-12-2023%' or</v>
      </c>
      <c r="L67" s="18" t="s">
        <v>649</v>
      </c>
      <c r="M67" t="s">
        <v>650</v>
      </c>
      <c r="N67" t="s">
        <v>651</v>
      </c>
      <c r="O67" t="s">
        <v>652</v>
      </c>
      <c r="P67" t="s">
        <v>653</v>
      </c>
      <c r="Q67" t="s">
        <v>654</v>
      </c>
      <c r="R67">
        <v>21022</v>
      </c>
      <c r="S67">
        <v>12</v>
      </c>
      <c r="T67">
        <v>2023</v>
      </c>
    </row>
    <row r="68" spans="1:20" x14ac:dyDescent="0.25">
      <c r="A68" s="18" t="s">
        <v>722</v>
      </c>
      <c r="B68" t="str">
        <f t="shared" si="2"/>
        <v>-12-2023</v>
      </c>
      <c r="D68">
        <v>21023</v>
      </c>
      <c r="E68" t="str">
        <f t="shared" si="3"/>
        <v>ia.assorted_string like '%21023-12-2023%' or</v>
      </c>
      <c r="L68" s="18" t="s">
        <v>649</v>
      </c>
      <c r="M68" t="s">
        <v>650</v>
      </c>
      <c r="N68" t="s">
        <v>651</v>
      </c>
      <c r="O68" t="s">
        <v>652</v>
      </c>
      <c r="P68" t="s">
        <v>653</v>
      </c>
      <c r="Q68" t="s">
        <v>654</v>
      </c>
      <c r="R68">
        <v>21023</v>
      </c>
      <c r="S68">
        <v>12</v>
      </c>
      <c r="T68">
        <v>2023</v>
      </c>
    </row>
    <row r="69" spans="1:20" x14ac:dyDescent="0.25">
      <c r="A69" s="18" t="s">
        <v>723</v>
      </c>
      <c r="B69" t="str">
        <f t="shared" si="2"/>
        <v>-12-2023</v>
      </c>
      <c r="D69">
        <v>21024</v>
      </c>
      <c r="E69" t="str">
        <f t="shared" si="3"/>
        <v>ia.assorted_string like '%21024-12-2023%' or</v>
      </c>
      <c r="L69" s="18" t="s">
        <v>649</v>
      </c>
      <c r="M69" t="s">
        <v>650</v>
      </c>
      <c r="N69" t="s">
        <v>651</v>
      </c>
      <c r="O69" t="s">
        <v>652</v>
      </c>
      <c r="P69" t="s">
        <v>653</v>
      </c>
      <c r="Q69" t="s">
        <v>654</v>
      </c>
      <c r="R69">
        <v>21024</v>
      </c>
      <c r="S69">
        <v>12</v>
      </c>
      <c r="T69">
        <v>2023</v>
      </c>
    </row>
    <row r="70" spans="1:20" x14ac:dyDescent="0.25">
      <c r="A70" s="18" t="s">
        <v>724</v>
      </c>
      <c r="B70" t="str">
        <f t="shared" si="2"/>
        <v>-12-2023</v>
      </c>
      <c r="D70">
        <v>21025</v>
      </c>
      <c r="E70" t="str">
        <f t="shared" si="3"/>
        <v>ia.assorted_string like '%21025-12-2023%' or</v>
      </c>
      <c r="L70" s="18" t="s">
        <v>649</v>
      </c>
      <c r="M70" t="s">
        <v>650</v>
      </c>
      <c r="N70" t="s">
        <v>651</v>
      </c>
      <c r="O70" t="s">
        <v>652</v>
      </c>
      <c r="P70" t="s">
        <v>653</v>
      </c>
      <c r="Q70" t="s">
        <v>654</v>
      </c>
      <c r="R70">
        <v>21025</v>
      </c>
      <c r="S70">
        <v>12</v>
      </c>
      <c r="T70">
        <v>2023</v>
      </c>
    </row>
    <row r="71" spans="1:20" x14ac:dyDescent="0.25">
      <c r="A71" s="18" t="s">
        <v>725</v>
      </c>
      <c r="B71" t="str">
        <f t="shared" si="2"/>
        <v>-12-2023</v>
      </c>
      <c r="D71">
        <v>21026</v>
      </c>
      <c r="E71" t="str">
        <f t="shared" si="3"/>
        <v>ia.assorted_string like '%21026-12-2023%' or</v>
      </c>
      <c r="L71" s="18" t="s">
        <v>649</v>
      </c>
      <c r="M71" t="s">
        <v>650</v>
      </c>
      <c r="N71" t="s">
        <v>651</v>
      </c>
      <c r="O71" t="s">
        <v>652</v>
      </c>
      <c r="P71" t="s">
        <v>653</v>
      </c>
      <c r="Q71" t="s">
        <v>654</v>
      </c>
      <c r="R71">
        <v>21026</v>
      </c>
      <c r="S71">
        <v>12</v>
      </c>
      <c r="T71">
        <v>2023</v>
      </c>
    </row>
    <row r="72" spans="1:20" x14ac:dyDescent="0.25">
      <c r="A72" s="18" t="s">
        <v>726</v>
      </c>
      <c r="B72" t="str">
        <f t="shared" si="2"/>
        <v>-12-2023</v>
      </c>
      <c r="D72">
        <v>21027</v>
      </c>
      <c r="E72" t="str">
        <f t="shared" si="3"/>
        <v>ia.assorted_string like '%21027-12-2023%' or</v>
      </c>
      <c r="L72" s="18" t="s">
        <v>649</v>
      </c>
      <c r="M72" t="s">
        <v>650</v>
      </c>
      <c r="N72" t="s">
        <v>651</v>
      </c>
      <c r="O72" t="s">
        <v>652</v>
      </c>
      <c r="P72" t="s">
        <v>653</v>
      </c>
      <c r="Q72" t="s">
        <v>654</v>
      </c>
      <c r="R72">
        <v>21027</v>
      </c>
      <c r="S72">
        <v>12</v>
      </c>
      <c r="T72">
        <v>2023</v>
      </c>
    </row>
    <row r="73" spans="1:20" x14ac:dyDescent="0.25">
      <c r="A73" s="18" t="s">
        <v>727</v>
      </c>
      <c r="B73" t="str">
        <f t="shared" si="2"/>
        <v>-12-2023</v>
      </c>
      <c r="D73">
        <v>21028</v>
      </c>
      <c r="E73" t="str">
        <f t="shared" si="3"/>
        <v>ia.assorted_string like '%21028-12-2023%' or</v>
      </c>
      <c r="L73" s="18" t="s">
        <v>649</v>
      </c>
      <c r="M73" t="s">
        <v>650</v>
      </c>
      <c r="N73" t="s">
        <v>651</v>
      </c>
      <c r="O73" t="s">
        <v>652</v>
      </c>
      <c r="P73" t="s">
        <v>653</v>
      </c>
      <c r="Q73" t="s">
        <v>654</v>
      </c>
      <c r="R73">
        <v>21028</v>
      </c>
      <c r="S73">
        <v>12</v>
      </c>
      <c r="T73">
        <v>2023</v>
      </c>
    </row>
    <row r="74" spans="1:20" x14ac:dyDescent="0.25">
      <c r="A74" s="18" t="s">
        <v>728</v>
      </c>
      <c r="B74" t="str">
        <f t="shared" si="2"/>
        <v>-12-2023</v>
      </c>
      <c r="D74">
        <v>21029</v>
      </c>
      <c r="E74" t="str">
        <f t="shared" si="3"/>
        <v>ia.assorted_string like '%21029-12-2023%' or</v>
      </c>
      <c r="L74" s="18" t="s">
        <v>649</v>
      </c>
      <c r="M74" t="s">
        <v>650</v>
      </c>
      <c r="N74" t="s">
        <v>651</v>
      </c>
      <c r="O74" t="s">
        <v>652</v>
      </c>
      <c r="P74" t="s">
        <v>653</v>
      </c>
      <c r="Q74" t="s">
        <v>654</v>
      </c>
      <c r="R74">
        <v>21029</v>
      </c>
      <c r="S74">
        <v>12</v>
      </c>
      <c r="T74">
        <v>2023</v>
      </c>
    </row>
    <row r="75" spans="1:20" x14ac:dyDescent="0.25">
      <c r="A75" s="18" t="s">
        <v>729</v>
      </c>
      <c r="B75" t="str">
        <f t="shared" si="2"/>
        <v>-12-2023</v>
      </c>
      <c r="D75">
        <v>21030</v>
      </c>
      <c r="E75" t="str">
        <f t="shared" si="3"/>
        <v>ia.assorted_string like '%21030-12-2023%' or</v>
      </c>
      <c r="L75" s="18" t="s">
        <v>649</v>
      </c>
      <c r="M75" t="s">
        <v>650</v>
      </c>
      <c r="N75" t="s">
        <v>651</v>
      </c>
      <c r="O75" t="s">
        <v>652</v>
      </c>
      <c r="P75" t="s">
        <v>653</v>
      </c>
      <c r="Q75" t="s">
        <v>654</v>
      </c>
      <c r="R75">
        <v>21030</v>
      </c>
      <c r="S75">
        <v>12</v>
      </c>
      <c r="T75">
        <v>2023</v>
      </c>
    </row>
    <row r="76" spans="1:20" x14ac:dyDescent="0.25">
      <c r="A76" s="18" t="s">
        <v>730</v>
      </c>
      <c r="B76" t="str">
        <f t="shared" si="2"/>
        <v>-12-2023</v>
      </c>
      <c r="D76">
        <v>21031</v>
      </c>
      <c r="E76" t="str">
        <f t="shared" si="3"/>
        <v>ia.assorted_string like '%21031-12-2023%' or</v>
      </c>
      <c r="L76" s="18" t="s">
        <v>649</v>
      </c>
      <c r="M76" t="s">
        <v>650</v>
      </c>
      <c r="N76" t="s">
        <v>651</v>
      </c>
      <c r="O76" t="s">
        <v>652</v>
      </c>
      <c r="P76" t="s">
        <v>653</v>
      </c>
      <c r="Q76" t="s">
        <v>654</v>
      </c>
      <c r="R76">
        <v>21031</v>
      </c>
      <c r="S76">
        <v>12</v>
      </c>
      <c r="T76">
        <v>2023</v>
      </c>
    </row>
    <row r="77" spans="1:20" x14ac:dyDescent="0.25">
      <c r="A77" s="18" t="s">
        <v>731</v>
      </c>
      <c r="B77" t="str">
        <f t="shared" si="2"/>
        <v>-12-2023</v>
      </c>
      <c r="D77">
        <v>21032</v>
      </c>
      <c r="E77" t="str">
        <f t="shared" si="3"/>
        <v>ia.assorted_string like '%21032-12-2023%' or</v>
      </c>
      <c r="L77" s="18" t="s">
        <v>649</v>
      </c>
      <c r="M77" t="s">
        <v>650</v>
      </c>
      <c r="N77" t="s">
        <v>651</v>
      </c>
      <c r="O77" t="s">
        <v>652</v>
      </c>
      <c r="P77" t="s">
        <v>653</v>
      </c>
      <c r="Q77" t="s">
        <v>654</v>
      </c>
      <c r="R77">
        <v>21032</v>
      </c>
      <c r="S77">
        <v>12</v>
      </c>
      <c r="T77">
        <v>2023</v>
      </c>
    </row>
    <row r="78" spans="1:20" x14ac:dyDescent="0.25">
      <c r="A78" s="18" t="s">
        <v>732</v>
      </c>
      <c r="B78" t="str">
        <f t="shared" si="2"/>
        <v>-12-2023</v>
      </c>
      <c r="D78">
        <v>21033</v>
      </c>
      <c r="E78" t="str">
        <f t="shared" si="3"/>
        <v>ia.assorted_string like '%21033-12-2023%' or</v>
      </c>
      <c r="L78" s="18" t="s">
        <v>649</v>
      </c>
      <c r="M78" t="s">
        <v>650</v>
      </c>
      <c r="N78" t="s">
        <v>651</v>
      </c>
      <c r="O78" t="s">
        <v>652</v>
      </c>
      <c r="P78" t="s">
        <v>653</v>
      </c>
      <c r="Q78" t="s">
        <v>654</v>
      </c>
      <c r="R78">
        <v>21033</v>
      </c>
      <c r="S78">
        <v>12</v>
      </c>
      <c r="T78">
        <v>2023</v>
      </c>
    </row>
    <row r="79" spans="1:20" x14ac:dyDescent="0.25">
      <c r="A79" s="18" t="s">
        <v>733</v>
      </c>
      <c r="B79" t="str">
        <f t="shared" si="2"/>
        <v>-12-2023</v>
      </c>
      <c r="D79">
        <v>21034</v>
      </c>
      <c r="E79" t="str">
        <f t="shared" si="3"/>
        <v>ia.assorted_string like '%21034-12-2023%' or</v>
      </c>
      <c r="L79" s="18" t="s">
        <v>649</v>
      </c>
      <c r="M79" t="s">
        <v>650</v>
      </c>
      <c r="N79" t="s">
        <v>651</v>
      </c>
      <c r="O79" t="s">
        <v>652</v>
      </c>
      <c r="P79" t="s">
        <v>653</v>
      </c>
      <c r="Q79" t="s">
        <v>654</v>
      </c>
      <c r="R79">
        <v>21034</v>
      </c>
      <c r="S79">
        <v>12</v>
      </c>
      <c r="T79">
        <v>2023</v>
      </c>
    </row>
    <row r="80" spans="1:20" x14ac:dyDescent="0.25">
      <c r="A80" s="18" t="s">
        <v>734</v>
      </c>
      <c r="B80" t="str">
        <f t="shared" si="2"/>
        <v>-12-2023</v>
      </c>
      <c r="D80">
        <v>21035</v>
      </c>
      <c r="E80" t="str">
        <f t="shared" si="3"/>
        <v>ia.assorted_string like '%21035-12-2023%' or</v>
      </c>
      <c r="L80" s="18" t="s">
        <v>649</v>
      </c>
      <c r="M80" t="s">
        <v>650</v>
      </c>
      <c r="N80" t="s">
        <v>651</v>
      </c>
      <c r="O80" t="s">
        <v>652</v>
      </c>
      <c r="P80" t="s">
        <v>653</v>
      </c>
      <c r="Q80" t="s">
        <v>654</v>
      </c>
      <c r="R80">
        <v>21035</v>
      </c>
      <c r="S80">
        <v>12</v>
      </c>
      <c r="T80">
        <v>2023</v>
      </c>
    </row>
    <row r="81" spans="1:20" x14ac:dyDescent="0.25">
      <c r="A81" s="18" t="s">
        <v>735</v>
      </c>
      <c r="B81" t="str">
        <f t="shared" si="2"/>
        <v>-12-2023</v>
      </c>
      <c r="D81">
        <v>21036</v>
      </c>
      <c r="E81" t="str">
        <f t="shared" si="3"/>
        <v>ia.assorted_string like '%21036-12-2023%' or</v>
      </c>
      <c r="L81" s="18" t="s">
        <v>649</v>
      </c>
      <c r="M81" t="s">
        <v>650</v>
      </c>
      <c r="N81" t="s">
        <v>651</v>
      </c>
      <c r="O81" t="s">
        <v>652</v>
      </c>
      <c r="P81" t="s">
        <v>653</v>
      </c>
      <c r="Q81" t="s">
        <v>654</v>
      </c>
      <c r="R81">
        <v>21036</v>
      </c>
      <c r="S81">
        <v>12</v>
      </c>
      <c r="T81">
        <v>2023</v>
      </c>
    </row>
    <row r="82" spans="1:20" x14ac:dyDescent="0.25">
      <c r="A82" s="18" t="s">
        <v>736</v>
      </c>
      <c r="B82" t="str">
        <f t="shared" si="2"/>
        <v>-12-2023</v>
      </c>
      <c r="D82">
        <v>21037</v>
      </c>
      <c r="E82" t="str">
        <f t="shared" si="3"/>
        <v>ia.assorted_string like '%21037-12-2023%' or</v>
      </c>
      <c r="L82" s="18" t="s">
        <v>649</v>
      </c>
      <c r="M82" t="s">
        <v>650</v>
      </c>
      <c r="N82" t="s">
        <v>651</v>
      </c>
      <c r="O82" t="s">
        <v>652</v>
      </c>
      <c r="P82" t="s">
        <v>653</v>
      </c>
      <c r="Q82" t="s">
        <v>654</v>
      </c>
      <c r="R82">
        <v>21037</v>
      </c>
      <c r="S82">
        <v>12</v>
      </c>
      <c r="T82">
        <v>2023</v>
      </c>
    </row>
    <row r="83" spans="1:20" x14ac:dyDescent="0.25">
      <c r="A83" s="18" t="s">
        <v>737</v>
      </c>
      <c r="B83" t="str">
        <f t="shared" si="2"/>
        <v>-12-2023</v>
      </c>
      <c r="D83">
        <v>21038</v>
      </c>
      <c r="E83" t="str">
        <f t="shared" si="3"/>
        <v>ia.assorted_string like '%21038-12-2023%' or</v>
      </c>
      <c r="L83" s="18" t="s">
        <v>649</v>
      </c>
      <c r="M83" t="s">
        <v>650</v>
      </c>
      <c r="N83" t="s">
        <v>651</v>
      </c>
      <c r="O83" t="s">
        <v>652</v>
      </c>
      <c r="P83" t="s">
        <v>653</v>
      </c>
      <c r="Q83" t="s">
        <v>654</v>
      </c>
      <c r="R83">
        <v>21038</v>
      </c>
      <c r="S83">
        <v>12</v>
      </c>
      <c r="T83">
        <v>2023</v>
      </c>
    </row>
    <row r="84" spans="1:20" x14ac:dyDescent="0.25">
      <c r="A84" s="18" t="s">
        <v>738</v>
      </c>
      <c r="B84" t="str">
        <f t="shared" si="2"/>
        <v>-12-2023</v>
      </c>
      <c r="D84">
        <v>21039</v>
      </c>
      <c r="E84" t="str">
        <f t="shared" si="3"/>
        <v>ia.assorted_string like '%21039-12-2023%' or</v>
      </c>
      <c r="L84" s="18" t="s">
        <v>649</v>
      </c>
      <c r="M84" t="s">
        <v>650</v>
      </c>
      <c r="N84" t="s">
        <v>651</v>
      </c>
      <c r="O84" t="s">
        <v>652</v>
      </c>
      <c r="P84" t="s">
        <v>653</v>
      </c>
      <c r="Q84" t="s">
        <v>654</v>
      </c>
      <c r="R84">
        <v>21039</v>
      </c>
      <c r="S84">
        <v>12</v>
      </c>
      <c r="T84">
        <v>2023</v>
      </c>
    </row>
    <row r="85" spans="1:20" x14ac:dyDescent="0.25">
      <c r="A85" s="18" t="s">
        <v>739</v>
      </c>
      <c r="B85" t="str">
        <f t="shared" si="2"/>
        <v>-12-2023</v>
      </c>
      <c r="D85">
        <v>21040</v>
      </c>
      <c r="E85" t="str">
        <f t="shared" si="3"/>
        <v>ia.assorted_string like '%21040-12-2023%' or</v>
      </c>
      <c r="L85" s="18" t="s">
        <v>649</v>
      </c>
      <c r="M85" t="s">
        <v>650</v>
      </c>
      <c r="N85" t="s">
        <v>651</v>
      </c>
      <c r="O85" t="s">
        <v>652</v>
      </c>
      <c r="P85" t="s">
        <v>653</v>
      </c>
      <c r="Q85" t="s">
        <v>654</v>
      </c>
      <c r="R85">
        <v>21040</v>
      </c>
      <c r="S85">
        <v>12</v>
      </c>
      <c r="T85">
        <v>2023</v>
      </c>
    </row>
    <row r="86" spans="1:20" x14ac:dyDescent="0.25">
      <c r="A86" s="18" t="s">
        <v>740</v>
      </c>
      <c r="B86" t="str">
        <f t="shared" si="2"/>
        <v>-12-2023</v>
      </c>
      <c r="D86">
        <v>21041</v>
      </c>
      <c r="E86" t="str">
        <f t="shared" si="3"/>
        <v>ia.assorted_string like '%21041-12-2023%' or</v>
      </c>
      <c r="L86" s="18" t="s">
        <v>649</v>
      </c>
      <c r="M86" t="s">
        <v>650</v>
      </c>
      <c r="N86" t="s">
        <v>651</v>
      </c>
      <c r="O86" t="s">
        <v>652</v>
      </c>
      <c r="P86" t="s">
        <v>653</v>
      </c>
      <c r="Q86" t="s">
        <v>654</v>
      </c>
      <c r="R86">
        <v>21041</v>
      </c>
      <c r="S86">
        <v>12</v>
      </c>
      <c r="T86">
        <v>2023</v>
      </c>
    </row>
    <row r="87" spans="1:20" x14ac:dyDescent="0.25">
      <c r="A87" s="18" t="s">
        <v>741</v>
      </c>
      <c r="B87" t="str">
        <f t="shared" si="2"/>
        <v>-12-2023</v>
      </c>
      <c r="D87">
        <v>21042</v>
      </c>
      <c r="E87" t="str">
        <f t="shared" si="3"/>
        <v>ia.assorted_string like '%21042-12-2023%' or</v>
      </c>
      <c r="L87" s="18" t="s">
        <v>649</v>
      </c>
      <c r="M87" t="s">
        <v>650</v>
      </c>
      <c r="N87" t="s">
        <v>651</v>
      </c>
      <c r="O87" t="s">
        <v>652</v>
      </c>
      <c r="P87" t="s">
        <v>653</v>
      </c>
      <c r="Q87" t="s">
        <v>654</v>
      </c>
      <c r="R87">
        <v>21042</v>
      </c>
      <c r="S87">
        <v>12</v>
      </c>
      <c r="T87">
        <v>2023</v>
      </c>
    </row>
    <row r="88" spans="1:20" x14ac:dyDescent="0.25">
      <c r="A88" s="18" t="s">
        <v>742</v>
      </c>
      <c r="B88" t="str">
        <f t="shared" si="2"/>
        <v>-12-2023</v>
      </c>
      <c r="D88">
        <v>21043</v>
      </c>
      <c r="E88" t="str">
        <f t="shared" si="3"/>
        <v>ia.assorted_string like '%21043-12-2023%' or</v>
      </c>
      <c r="L88" s="18" t="s">
        <v>649</v>
      </c>
      <c r="M88" t="s">
        <v>650</v>
      </c>
      <c r="N88" t="s">
        <v>651</v>
      </c>
      <c r="O88" t="s">
        <v>652</v>
      </c>
      <c r="P88" t="s">
        <v>653</v>
      </c>
      <c r="Q88" t="s">
        <v>654</v>
      </c>
      <c r="R88">
        <v>21043</v>
      </c>
      <c r="S88">
        <v>12</v>
      </c>
      <c r="T88">
        <v>2023</v>
      </c>
    </row>
    <row r="89" spans="1:20" x14ac:dyDescent="0.25">
      <c r="A89" s="18" t="s">
        <v>743</v>
      </c>
      <c r="B89" t="str">
        <f t="shared" si="2"/>
        <v>-12-2023</v>
      </c>
      <c r="D89">
        <v>21044</v>
      </c>
      <c r="E89" t="str">
        <f t="shared" si="3"/>
        <v>ia.assorted_string like '%21044-12-2023%' or</v>
      </c>
      <c r="L89" s="18" t="s">
        <v>649</v>
      </c>
      <c r="M89" t="s">
        <v>650</v>
      </c>
      <c r="N89" t="s">
        <v>651</v>
      </c>
      <c r="O89" t="s">
        <v>652</v>
      </c>
      <c r="P89" t="s">
        <v>653</v>
      </c>
      <c r="Q89" t="s">
        <v>654</v>
      </c>
      <c r="R89">
        <v>21044</v>
      </c>
      <c r="S89">
        <v>12</v>
      </c>
      <c r="T89">
        <v>2023</v>
      </c>
    </row>
    <row r="90" spans="1:20" x14ac:dyDescent="0.25">
      <c r="A90" s="18" t="s">
        <v>744</v>
      </c>
      <c r="B90" t="str">
        <f t="shared" si="2"/>
        <v>-12-2023</v>
      </c>
      <c r="D90">
        <v>21045</v>
      </c>
      <c r="E90" t="str">
        <f t="shared" si="3"/>
        <v>ia.assorted_string like '%21045-12-2023%' or</v>
      </c>
      <c r="L90" s="18" t="s">
        <v>649</v>
      </c>
      <c r="M90" t="s">
        <v>650</v>
      </c>
      <c r="N90" t="s">
        <v>651</v>
      </c>
      <c r="O90" t="s">
        <v>652</v>
      </c>
      <c r="P90" t="s">
        <v>653</v>
      </c>
      <c r="Q90" t="s">
        <v>654</v>
      </c>
      <c r="R90">
        <v>21045</v>
      </c>
      <c r="S90">
        <v>12</v>
      </c>
      <c r="T90">
        <v>2023</v>
      </c>
    </row>
    <row r="91" spans="1:20" x14ac:dyDescent="0.25">
      <c r="A91" s="18" t="s">
        <v>745</v>
      </c>
      <c r="B91" t="str">
        <f t="shared" si="2"/>
        <v>-12-2023</v>
      </c>
      <c r="D91">
        <v>21046</v>
      </c>
      <c r="E91" t="str">
        <f t="shared" si="3"/>
        <v>ia.assorted_string like '%21046-12-2023%' or</v>
      </c>
      <c r="L91" s="18" t="s">
        <v>649</v>
      </c>
      <c r="M91" t="s">
        <v>650</v>
      </c>
      <c r="N91" t="s">
        <v>651</v>
      </c>
      <c r="O91" t="s">
        <v>652</v>
      </c>
      <c r="P91" t="s">
        <v>653</v>
      </c>
      <c r="Q91" t="s">
        <v>654</v>
      </c>
      <c r="R91">
        <v>21046</v>
      </c>
      <c r="S91">
        <v>12</v>
      </c>
      <c r="T91">
        <v>2023</v>
      </c>
    </row>
    <row r="92" spans="1:20" x14ac:dyDescent="0.25">
      <c r="A92" s="18" t="s">
        <v>746</v>
      </c>
      <c r="B92" t="str">
        <f t="shared" si="2"/>
        <v>-12-2023</v>
      </c>
      <c r="D92">
        <v>21047</v>
      </c>
      <c r="E92" t="str">
        <f t="shared" si="3"/>
        <v>ia.assorted_string like '%21047-12-2023%' or</v>
      </c>
      <c r="L92" s="18" t="s">
        <v>649</v>
      </c>
      <c r="M92" t="s">
        <v>650</v>
      </c>
      <c r="N92" t="s">
        <v>651</v>
      </c>
      <c r="O92" t="s">
        <v>652</v>
      </c>
      <c r="P92" t="s">
        <v>653</v>
      </c>
      <c r="Q92" t="s">
        <v>654</v>
      </c>
      <c r="R92">
        <v>21047</v>
      </c>
      <c r="S92">
        <v>12</v>
      </c>
      <c r="T92">
        <v>2023</v>
      </c>
    </row>
    <row r="93" spans="1:20" x14ac:dyDescent="0.25">
      <c r="A93" s="18" t="s">
        <v>747</v>
      </c>
      <c r="B93" t="str">
        <f t="shared" si="2"/>
        <v>-12-2023</v>
      </c>
      <c r="D93">
        <v>21048</v>
      </c>
      <c r="E93" t="str">
        <f t="shared" si="3"/>
        <v>ia.assorted_string like '%21048-12-2023%' or</v>
      </c>
      <c r="L93" s="18" t="s">
        <v>649</v>
      </c>
      <c r="M93" t="s">
        <v>650</v>
      </c>
      <c r="N93" t="s">
        <v>651</v>
      </c>
      <c r="O93" t="s">
        <v>652</v>
      </c>
      <c r="P93" t="s">
        <v>653</v>
      </c>
      <c r="Q93" t="s">
        <v>654</v>
      </c>
      <c r="R93">
        <v>21048</v>
      </c>
      <c r="S93">
        <v>12</v>
      </c>
      <c r="T93">
        <v>2023</v>
      </c>
    </row>
    <row r="94" spans="1:20" x14ac:dyDescent="0.25">
      <c r="A94" s="18" t="s">
        <v>748</v>
      </c>
      <c r="B94" t="str">
        <f t="shared" si="2"/>
        <v>-12-2023</v>
      </c>
      <c r="D94">
        <v>21049</v>
      </c>
      <c r="E94" t="str">
        <f t="shared" si="3"/>
        <v>ia.assorted_string like '%21049-12-2023%' or</v>
      </c>
      <c r="L94" s="18" t="s">
        <v>649</v>
      </c>
      <c r="M94" t="s">
        <v>650</v>
      </c>
      <c r="N94" t="s">
        <v>651</v>
      </c>
      <c r="O94" t="s">
        <v>652</v>
      </c>
      <c r="P94" t="s">
        <v>653</v>
      </c>
      <c r="Q94" t="s">
        <v>654</v>
      </c>
      <c r="R94">
        <v>21049</v>
      </c>
      <c r="S94">
        <v>12</v>
      </c>
      <c r="T94">
        <v>2023</v>
      </c>
    </row>
    <row r="95" spans="1:20" x14ac:dyDescent="0.25">
      <c r="A95" s="18" t="s">
        <v>749</v>
      </c>
      <c r="B95" t="str">
        <f t="shared" si="2"/>
        <v>-12-2023</v>
      </c>
      <c r="D95">
        <v>21050</v>
      </c>
      <c r="E95" t="str">
        <f t="shared" si="3"/>
        <v>ia.assorted_string like '%21050-12-2023%' or</v>
      </c>
      <c r="L95" s="18" t="s">
        <v>649</v>
      </c>
      <c r="M95" t="s">
        <v>650</v>
      </c>
      <c r="N95" t="s">
        <v>651</v>
      </c>
      <c r="O95" t="s">
        <v>652</v>
      </c>
      <c r="P95" t="s">
        <v>653</v>
      </c>
      <c r="Q95" t="s">
        <v>654</v>
      </c>
      <c r="R95">
        <v>21050</v>
      </c>
      <c r="S95">
        <v>12</v>
      </c>
      <c r="T95">
        <v>2023</v>
      </c>
    </row>
    <row r="96" spans="1:20" x14ac:dyDescent="0.25">
      <c r="A96" s="18" t="s">
        <v>750</v>
      </c>
      <c r="B96" t="str">
        <f t="shared" si="2"/>
        <v>-12-2023</v>
      </c>
      <c r="D96">
        <v>21051</v>
      </c>
      <c r="E96" t="str">
        <f t="shared" si="3"/>
        <v>ia.assorted_string like '%21051-12-2023%' or</v>
      </c>
      <c r="L96" s="18" t="s">
        <v>649</v>
      </c>
      <c r="M96" t="s">
        <v>650</v>
      </c>
      <c r="N96" t="s">
        <v>651</v>
      </c>
      <c r="O96" t="s">
        <v>652</v>
      </c>
      <c r="P96" t="s">
        <v>653</v>
      </c>
      <c r="Q96" t="s">
        <v>654</v>
      </c>
      <c r="R96">
        <v>21051</v>
      </c>
      <c r="S96">
        <v>12</v>
      </c>
      <c r="T96">
        <v>2023</v>
      </c>
    </row>
    <row r="97" spans="1:20" x14ac:dyDescent="0.25">
      <c r="A97" s="18" t="s">
        <v>751</v>
      </c>
      <c r="B97" t="str">
        <f t="shared" si="2"/>
        <v>-12-2023</v>
      </c>
      <c r="D97">
        <v>21052</v>
      </c>
      <c r="E97" t="str">
        <f t="shared" si="3"/>
        <v>ia.assorted_string like '%21052-12-2023%' or</v>
      </c>
      <c r="L97" s="18" t="s">
        <v>649</v>
      </c>
      <c r="M97" t="s">
        <v>650</v>
      </c>
      <c r="N97" t="s">
        <v>651</v>
      </c>
      <c r="O97" t="s">
        <v>652</v>
      </c>
      <c r="P97" t="s">
        <v>653</v>
      </c>
      <c r="Q97" t="s">
        <v>654</v>
      </c>
      <c r="R97">
        <v>21052</v>
      </c>
      <c r="S97">
        <v>12</v>
      </c>
      <c r="T97">
        <v>2023</v>
      </c>
    </row>
    <row r="98" spans="1:20" x14ac:dyDescent="0.25">
      <c r="A98" s="18" t="s">
        <v>752</v>
      </c>
      <c r="B98" t="str">
        <f t="shared" si="2"/>
        <v>-12-2023</v>
      </c>
      <c r="D98">
        <v>21053</v>
      </c>
      <c r="E98" t="str">
        <f t="shared" si="3"/>
        <v>ia.assorted_string like '%21053-12-2023%' or</v>
      </c>
      <c r="L98" s="18" t="s">
        <v>649</v>
      </c>
      <c r="M98" t="s">
        <v>650</v>
      </c>
      <c r="N98" t="s">
        <v>651</v>
      </c>
      <c r="O98" t="s">
        <v>652</v>
      </c>
      <c r="P98" t="s">
        <v>653</v>
      </c>
      <c r="Q98" t="s">
        <v>654</v>
      </c>
      <c r="R98">
        <v>21053</v>
      </c>
      <c r="S98">
        <v>12</v>
      </c>
      <c r="T98">
        <v>2023</v>
      </c>
    </row>
    <row r="99" spans="1:20" x14ac:dyDescent="0.25">
      <c r="A99" s="18" t="s">
        <v>753</v>
      </c>
      <c r="B99" t="str">
        <f t="shared" si="2"/>
        <v>-12-2023</v>
      </c>
      <c r="D99">
        <v>21054</v>
      </c>
      <c r="E99" t="str">
        <f t="shared" si="3"/>
        <v>ia.assorted_string like '%21054-12-2023%' or</v>
      </c>
      <c r="L99" s="18" t="s">
        <v>649</v>
      </c>
      <c r="M99" t="s">
        <v>650</v>
      </c>
      <c r="N99" t="s">
        <v>651</v>
      </c>
      <c r="O99" t="s">
        <v>652</v>
      </c>
      <c r="P99" t="s">
        <v>653</v>
      </c>
      <c r="Q99" t="s">
        <v>654</v>
      </c>
      <c r="R99">
        <v>21054</v>
      </c>
      <c r="S99">
        <v>12</v>
      </c>
      <c r="T99">
        <v>2023</v>
      </c>
    </row>
    <row r="100" spans="1:20" x14ac:dyDescent="0.25">
      <c r="A100" s="18" t="s">
        <v>754</v>
      </c>
      <c r="B100" t="str">
        <f t="shared" si="2"/>
        <v>-12-2023</v>
      </c>
      <c r="D100">
        <v>21055</v>
      </c>
      <c r="E100" t="str">
        <f t="shared" si="3"/>
        <v>ia.assorted_string like '%21055-12-2023%' or</v>
      </c>
      <c r="L100" s="18" t="s">
        <v>649</v>
      </c>
      <c r="M100" t="s">
        <v>650</v>
      </c>
      <c r="N100" t="s">
        <v>651</v>
      </c>
      <c r="O100" t="s">
        <v>652</v>
      </c>
      <c r="P100" t="s">
        <v>653</v>
      </c>
      <c r="Q100" t="s">
        <v>654</v>
      </c>
      <c r="R100">
        <v>21055</v>
      </c>
      <c r="S100">
        <v>12</v>
      </c>
      <c r="T100">
        <v>2023</v>
      </c>
    </row>
    <row r="101" spans="1:20" x14ac:dyDescent="0.25">
      <c r="A101" s="18" t="s">
        <v>755</v>
      </c>
      <c r="B101" t="str">
        <f t="shared" si="2"/>
        <v>-12-2023</v>
      </c>
      <c r="D101">
        <v>21056</v>
      </c>
      <c r="E101" t="str">
        <f t="shared" si="3"/>
        <v>ia.assorted_string like '%21056-12-2023%' or</v>
      </c>
      <c r="L101" s="18" t="s">
        <v>649</v>
      </c>
      <c r="M101" t="s">
        <v>650</v>
      </c>
      <c r="N101" t="s">
        <v>651</v>
      </c>
      <c r="O101" t="s">
        <v>652</v>
      </c>
      <c r="P101" t="s">
        <v>653</v>
      </c>
      <c r="Q101" t="s">
        <v>654</v>
      </c>
      <c r="R101">
        <v>21056</v>
      </c>
      <c r="S101">
        <v>12</v>
      </c>
      <c r="T101">
        <v>2023</v>
      </c>
    </row>
    <row r="102" spans="1:20" x14ac:dyDescent="0.25">
      <c r="A102" s="18" t="s">
        <v>756</v>
      </c>
      <c r="B102" t="str">
        <f t="shared" si="2"/>
        <v>-12-2023</v>
      </c>
      <c r="D102">
        <v>21057</v>
      </c>
      <c r="E102" t="str">
        <f t="shared" si="3"/>
        <v>ia.assorted_string like '%21057-12-2023%' or</v>
      </c>
      <c r="L102" s="18" t="s">
        <v>649</v>
      </c>
      <c r="M102" t="s">
        <v>650</v>
      </c>
      <c r="N102" t="s">
        <v>651</v>
      </c>
      <c r="O102" t="s">
        <v>652</v>
      </c>
      <c r="P102" t="s">
        <v>653</v>
      </c>
      <c r="Q102" t="s">
        <v>654</v>
      </c>
      <c r="R102">
        <v>21057</v>
      </c>
      <c r="S102">
        <v>12</v>
      </c>
      <c r="T102">
        <v>2023</v>
      </c>
    </row>
    <row r="103" spans="1:20" x14ac:dyDescent="0.25">
      <c r="A103" s="18" t="s">
        <v>757</v>
      </c>
      <c r="B103" t="str">
        <f t="shared" si="2"/>
        <v>-12-2023</v>
      </c>
      <c r="D103">
        <v>21058</v>
      </c>
      <c r="E103" t="str">
        <f t="shared" si="3"/>
        <v>ia.assorted_string like '%21058-12-2023%' or</v>
      </c>
      <c r="L103" s="18" t="s">
        <v>649</v>
      </c>
      <c r="M103" t="s">
        <v>650</v>
      </c>
      <c r="N103" t="s">
        <v>651</v>
      </c>
      <c r="O103" t="s">
        <v>652</v>
      </c>
      <c r="P103" t="s">
        <v>653</v>
      </c>
      <c r="Q103" t="s">
        <v>654</v>
      </c>
      <c r="R103">
        <v>21058</v>
      </c>
      <c r="S103">
        <v>12</v>
      </c>
      <c r="T103">
        <v>2023</v>
      </c>
    </row>
    <row r="104" spans="1:20" x14ac:dyDescent="0.25">
      <c r="A104" s="18" t="s">
        <v>758</v>
      </c>
      <c r="B104" t="str">
        <f t="shared" si="2"/>
        <v>-12-2023</v>
      </c>
      <c r="D104">
        <v>21059</v>
      </c>
      <c r="E104" t="str">
        <f t="shared" si="3"/>
        <v>ia.assorted_string like '%21059-12-2023%' or</v>
      </c>
      <c r="L104" s="18" t="s">
        <v>649</v>
      </c>
      <c r="M104" t="s">
        <v>650</v>
      </c>
      <c r="N104" t="s">
        <v>651</v>
      </c>
      <c r="O104" t="s">
        <v>652</v>
      </c>
      <c r="P104" t="s">
        <v>653</v>
      </c>
      <c r="Q104" t="s">
        <v>654</v>
      </c>
      <c r="R104">
        <v>21059</v>
      </c>
      <c r="S104">
        <v>12</v>
      </c>
      <c r="T104">
        <v>2023</v>
      </c>
    </row>
    <row r="105" spans="1:20" x14ac:dyDescent="0.25">
      <c r="A105" s="18" t="s">
        <v>759</v>
      </c>
      <c r="B105" t="str">
        <f t="shared" si="2"/>
        <v>-12-2023</v>
      </c>
      <c r="D105">
        <v>21060</v>
      </c>
      <c r="E105" t="str">
        <f t="shared" si="3"/>
        <v>ia.assorted_string like '%21060-12-2023%' or</v>
      </c>
      <c r="L105" s="18" t="s">
        <v>649</v>
      </c>
      <c r="M105" t="s">
        <v>650</v>
      </c>
      <c r="N105" t="s">
        <v>651</v>
      </c>
      <c r="O105" t="s">
        <v>652</v>
      </c>
      <c r="P105" t="s">
        <v>653</v>
      </c>
      <c r="Q105" t="s">
        <v>654</v>
      </c>
      <c r="R105">
        <v>21060</v>
      </c>
      <c r="S105">
        <v>12</v>
      </c>
      <c r="T105">
        <v>2023</v>
      </c>
    </row>
    <row r="106" spans="1:20" x14ac:dyDescent="0.25">
      <c r="A106" s="18" t="s">
        <v>760</v>
      </c>
      <c r="B106" t="str">
        <f t="shared" si="2"/>
        <v>-12-2023</v>
      </c>
      <c r="D106">
        <v>21061</v>
      </c>
      <c r="E106" t="str">
        <f t="shared" si="3"/>
        <v>ia.assorted_string like '%21061-12-2023%' or</v>
      </c>
      <c r="L106" s="18" t="s">
        <v>649</v>
      </c>
      <c r="M106" t="s">
        <v>650</v>
      </c>
      <c r="N106" t="s">
        <v>651</v>
      </c>
      <c r="O106" t="s">
        <v>652</v>
      </c>
      <c r="P106" t="s">
        <v>653</v>
      </c>
      <c r="Q106" t="s">
        <v>654</v>
      </c>
      <c r="R106">
        <v>21061</v>
      </c>
      <c r="S106">
        <v>12</v>
      </c>
      <c r="T106">
        <v>2023</v>
      </c>
    </row>
    <row r="107" spans="1:20" x14ac:dyDescent="0.25">
      <c r="A107" s="18" t="s">
        <v>761</v>
      </c>
      <c r="B107" t="str">
        <f t="shared" si="2"/>
        <v>-12-2023</v>
      </c>
      <c r="D107">
        <v>21062</v>
      </c>
      <c r="E107" t="str">
        <f t="shared" si="3"/>
        <v>ia.assorted_string like '%21062-12-2023%' or</v>
      </c>
      <c r="L107" s="18" t="s">
        <v>649</v>
      </c>
      <c r="M107" t="s">
        <v>650</v>
      </c>
      <c r="N107" t="s">
        <v>651</v>
      </c>
      <c r="O107" t="s">
        <v>652</v>
      </c>
      <c r="P107" t="s">
        <v>653</v>
      </c>
      <c r="Q107" t="s">
        <v>654</v>
      </c>
      <c r="R107">
        <v>21062</v>
      </c>
      <c r="S107">
        <v>12</v>
      </c>
      <c r="T107">
        <v>2023</v>
      </c>
    </row>
    <row r="108" spans="1:20" x14ac:dyDescent="0.25">
      <c r="A108" s="18" t="s">
        <v>762</v>
      </c>
      <c r="B108" t="str">
        <f t="shared" si="2"/>
        <v>-12-2023</v>
      </c>
      <c r="D108">
        <v>21063</v>
      </c>
      <c r="E108" t="str">
        <f t="shared" si="3"/>
        <v>ia.assorted_string like '%21063-12-2023%' or</v>
      </c>
      <c r="L108" s="18" t="s">
        <v>649</v>
      </c>
      <c r="M108" t="s">
        <v>650</v>
      </c>
      <c r="N108" t="s">
        <v>651</v>
      </c>
      <c r="O108" t="s">
        <v>652</v>
      </c>
      <c r="P108" t="s">
        <v>653</v>
      </c>
      <c r="Q108" t="s">
        <v>654</v>
      </c>
      <c r="R108">
        <v>21063</v>
      </c>
      <c r="S108">
        <v>12</v>
      </c>
      <c r="T108">
        <v>2023</v>
      </c>
    </row>
    <row r="109" spans="1:20" x14ac:dyDescent="0.25">
      <c r="A109" s="18" t="s">
        <v>763</v>
      </c>
      <c r="B109" t="str">
        <f t="shared" si="2"/>
        <v>-12-2023</v>
      </c>
      <c r="D109">
        <v>21064</v>
      </c>
      <c r="E109" t="str">
        <f t="shared" si="3"/>
        <v>ia.assorted_string like '%21064-12-2023%' or</v>
      </c>
      <c r="L109" s="18" t="s">
        <v>649</v>
      </c>
      <c r="M109" t="s">
        <v>650</v>
      </c>
      <c r="N109" t="s">
        <v>651</v>
      </c>
      <c r="O109" t="s">
        <v>652</v>
      </c>
      <c r="P109" t="s">
        <v>653</v>
      </c>
      <c r="Q109" t="s">
        <v>654</v>
      </c>
      <c r="R109">
        <v>21064</v>
      </c>
      <c r="S109">
        <v>12</v>
      </c>
      <c r="T109">
        <v>2023</v>
      </c>
    </row>
  </sheetData>
  <conditionalFormatting sqref="A1">
    <cfRule type="duplicateValues" dxfId="5" priority="4"/>
    <cfRule type="duplicateValues" dxfId="4" priority="5"/>
    <cfRule type="duplicateValues" dxfId="3" priority="6"/>
  </conditionalFormatting>
  <conditionalFormatting sqref="L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5" customHeight="1" x14ac:dyDescent="0.25"/>
  <cols>
    <col min="1" max="1" width="5.140625" bestFit="1" customWidth="1"/>
    <col min="2" max="2" width="18.28515625" bestFit="1" customWidth="1"/>
    <col min="3" max="3" width="16.28515625" bestFit="1" customWidth="1"/>
    <col min="4" max="4" width="16.28515625" customWidth="1"/>
    <col min="5" max="5" width="27.42578125" bestFit="1" customWidth="1"/>
    <col min="6" max="6" width="12.5703125" bestFit="1" customWidth="1"/>
    <col min="7" max="7" width="13.42578125" bestFit="1" customWidth="1"/>
    <col min="8" max="8" width="119.7109375" bestFit="1" customWidth="1"/>
    <col min="9" max="9" width="10.7109375" bestFit="1" customWidth="1"/>
    <col min="10" max="10" width="12.42578125" bestFit="1" customWidth="1"/>
    <col min="11" max="11" width="7.5703125" bestFit="1" customWidth="1"/>
  </cols>
  <sheetData>
    <row r="1" spans="1:10" s="4" customFormat="1" ht="15" customHeight="1" x14ac:dyDescent="0.35">
      <c r="A1" s="5" t="s">
        <v>0</v>
      </c>
      <c r="B1" s="5" t="s">
        <v>8</v>
      </c>
      <c r="C1" s="5" t="s">
        <v>1</v>
      </c>
      <c r="D1" s="5" t="s">
        <v>9</v>
      </c>
      <c r="E1" s="5" t="s">
        <v>2</v>
      </c>
      <c r="F1" s="5" t="s">
        <v>3</v>
      </c>
      <c r="G1" s="5" t="s">
        <v>4</v>
      </c>
      <c r="H1" s="5" t="s">
        <v>6</v>
      </c>
      <c r="I1" s="6" t="s">
        <v>7</v>
      </c>
      <c r="J1" s="7" t="s">
        <v>5</v>
      </c>
    </row>
    <row r="2" spans="1:10" s="1" customFormat="1" ht="12.75" customHeight="1" x14ac:dyDescent="0.35">
      <c r="A2" s="12">
        <v>1</v>
      </c>
      <c r="B2" s="11"/>
      <c r="C2" s="10" t="s">
        <v>42</v>
      </c>
      <c r="D2" s="8" t="s">
        <v>17</v>
      </c>
      <c r="E2" s="9" t="s">
        <v>43</v>
      </c>
      <c r="F2" s="9" t="s">
        <v>12</v>
      </c>
      <c r="G2" s="10" t="s">
        <v>44</v>
      </c>
      <c r="H2" s="13" t="s">
        <v>45</v>
      </c>
      <c r="I2" s="14"/>
      <c r="J2" s="15">
        <v>45261</v>
      </c>
    </row>
    <row r="3" spans="1:10" s="1" customFormat="1" ht="12.75" customHeight="1" x14ac:dyDescent="0.35">
      <c r="A3" s="12">
        <f>+A2+1</f>
        <v>2</v>
      </c>
      <c r="B3" s="11"/>
      <c r="C3" s="10" t="s">
        <v>46</v>
      </c>
      <c r="D3" s="8" t="s">
        <v>17</v>
      </c>
      <c r="E3" s="9" t="s">
        <v>47</v>
      </c>
      <c r="F3" s="9" t="s">
        <v>15</v>
      </c>
      <c r="G3" s="10" t="s">
        <v>48</v>
      </c>
      <c r="H3" s="13" t="s">
        <v>49</v>
      </c>
      <c r="I3" s="14"/>
      <c r="J3" s="15">
        <v>45261</v>
      </c>
    </row>
    <row r="4" spans="1:10" s="1" customFormat="1" ht="12.75" customHeight="1" x14ac:dyDescent="0.35">
      <c r="A4" s="12">
        <f t="shared" ref="A4:A19" si="0">+A3+1</f>
        <v>3</v>
      </c>
      <c r="B4" s="11"/>
      <c r="C4" s="10" t="s">
        <v>54</v>
      </c>
      <c r="D4" s="8" t="s">
        <v>17</v>
      </c>
      <c r="E4" s="9" t="s">
        <v>55</v>
      </c>
      <c r="F4" s="9" t="s">
        <v>15</v>
      </c>
      <c r="G4" s="10" t="s">
        <v>56</v>
      </c>
      <c r="H4" s="13" t="s">
        <v>57</v>
      </c>
      <c r="I4" s="14"/>
      <c r="J4" s="15">
        <v>45261</v>
      </c>
    </row>
    <row r="5" spans="1:10" s="1" customFormat="1" ht="12.75" customHeight="1" x14ac:dyDescent="0.35">
      <c r="A5" s="12">
        <f t="shared" si="0"/>
        <v>4</v>
      </c>
      <c r="B5" s="11"/>
      <c r="C5" s="10" t="s">
        <v>62</v>
      </c>
      <c r="D5" s="8" t="s">
        <v>17</v>
      </c>
      <c r="E5" s="9" t="s">
        <v>63</v>
      </c>
      <c r="F5" s="9" t="s">
        <v>16</v>
      </c>
      <c r="G5" s="10" t="s">
        <v>64</v>
      </c>
      <c r="H5" s="13" t="s">
        <v>65</v>
      </c>
      <c r="I5" s="14"/>
      <c r="J5" s="15">
        <v>45261</v>
      </c>
    </row>
    <row r="6" spans="1:10" s="1" customFormat="1" ht="12.75" customHeight="1" x14ac:dyDescent="0.35">
      <c r="A6" s="12">
        <f t="shared" si="0"/>
        <v>5</v>
      </c>
      <c r="B6" s="11"/>
      <c r="C6" s="10" t="s">
        <v>123</v>
      </c>
      <c r="D6" s="8" t="s">
        <v>17</v>
      </c>
      <c r="E6" s="9" t="s">
        <v>124</v>
      </c>
      <c r="F6" s="9" t="s">
        <v>15</v>
      </c>
      <c r="G6" s="10" t="s">
        <v>125</v>
      </c>
      <c r="H6" s="13" t="s">
        <v>126</v>
      </c>
      <c r="I6" s="14"/>
      <c r="J6" s="15">
        <v>45261</v>
      </c>
    </row>
    <row r="7" spans="1:10" s="1" customFormat="1" ht="12.75" customHeight="1" x14ac:dyDescent="0.35">
      <c r="A7" s="12">
        <f t="shared" si="0"/>
        <v>6</v>
      </c>
      <c r="B7" s="11"/>
      <c r="C7" s="10" t="s">
        <v>135</v>
      </c>
      <c r="D7" s="8" t="s">
        <v>17</v>
      </c>
      <c r="E7" s="9" t="s">
        <v>136</v>
      </c>
      <c r="F7" s="9" t="s">
        <v>11</v>
      </c>
      <c r="G7" s="10" t="s">
        <v>137</v>
      </c>
      <c r="H7" s="13" t="s">
        <v>138</v>
      </c>
      <c r="I7" s="14"/>
      <c r="J7" s="15">
        <v>45261</v>
      </c>
    </row>
    <row r="8" spans="1:10" s="1" customFormat="1" ht="12.75" customHeight="1" x14ac:dyDescent="0.35">
      <c r="A8" s="12">
        <f t="shared" si="0"/>
        <v>7</v>
      </c>
      <c r="B8" s="11"/>
      <c r="C8" s="10" t="s">
        <v>171</v>
      </c>
      <c r="D8" s="8" t="s">
        <v>17</v>
      </c>
      <c r="E8" s="9" t="s">
        <v>172</v>
      </c>
      <c r="F8" s="9" t="s">
        <v>11</v>
      </c>
      <c r="G8" s="10" t="s">
        <v>173</v>
      </c>
      <c r="H8" s="13" t="s">
        <v>174</v>
      </c>
      <c r="I8" s="14"/>
      <c r="J8" s="15">
        <v>45261</v>
      </c>
    </row>
    <row r="9" spans="1:10" s="1" customFormat="1" ht="12.75" customHeight="1" x14ac:dyDescent="0.35">
      <c r="A9" s="12">
        <f t="shared" si="0"/>
        <v>8</v>
      </c>
      <c r="B9" s="11"/>
      <c r="C9" s="10" t="s">
        <v>175</v>
      </c>
      <c r="D9" s="8" t="s">
        <v>17</v>
      </c>
      <c r="E9" s="9" t="s">
        <v>176</v>
      </c>
      <c r="F9" s="9" t="s">
        <v>11</v>
      </c>
      <c r="G9" s="10" t="s">
        <v>177</v>
      </c>
      <c r="H9" s="13" t="s">
        <v>178</v>
      </c>
      <c r="I9" s="14"/>
      <c r="J9" s="15">
        <v>45261</v>
      </c>
    </row>
    <row r="10" spans="1:10" s="1" customFormat="1" ht="12.75" customHeight="1" x14ac:dyDescent="0.35">
      <c r="A10" s="12">
        <f t="shared" si="0"/>
        <v>9</v>
      </c>
      <c r="B10" s="11"/>
      <c r="C10" s="10" t="s">
        <v>179</v>
      </c>
      <c r="D10" s="8" t="s">
        <v>17</v>
      </c>
      <c r="E10" s="9" t="s">
        <v>180</v>
      </c>
      <c r="F10" s="9" t="s">
        <v>15</v>
      </c>
      <c r="G10" s="10" t="s">
        <v>181</v>
      </c>
      <c r="H10" s="13" t="s">
        <v>182</v>
      </c>
      <c r="I10" s="14"/>
      <c r="J10" s="15">
        <v>45261</v>
      </c>
    </row>
    <row r="11" spans="1:10" s="1" customFormat="1" ht="12.75" customHeight="1" x14ac:dyDescent="0.35">
      <c r="A11" s="12">
        <f t="shared" si="0"/>
        <v>10</v>
      </c>
      <c r="B11" s="11"/>
      <c r="C11" s="10" t="s">
        <v>183</v>
      </c>
      <c r="D11" s="8" t="s">
        <v>17</v>
      </c>
      <c r="E11" s="9" t="s">
        <v>184</v>
      </c>
      <c r="F11" s="9" t="s">
        <v>12</v>
      </c>
      <c r="G11" s="10" t="s">
        <v>185</v>
      </c>
      <c r="H11" s="13" t="s">
        <v>186</v>
      </c>
      <c r="I11" s="14"/>
      <c r="J11" s="15">
        <v>45261</v>
      </c>
    </row>
    <row r="12" spans="1:10" s="1" customFormat="1" ht="12.75" customHeight="1" x14ac:dyDescent="0.35">
      <c r="A12" s="12">
        <f t="shared" si="0"/>
        <v>11</v>
      </c>
      <c r="B12" s="11"/>
      <c r="C12" s="10" t="s">
        <v>199</v>
      </c>
      <c r="D12" s="8" t="s">
        <v>17</v>
      </c>
      <c r="E12" s="9" t="s">
        <v>200</v>
      </c>
      <c r="F12" s="9" t="s">
        <v>201</v>
      </c>
      <c r="G12" s="10" t="s">
        <v>202</v>
      </c>
      <c r="H12" s="13" t="s">
        <v>203</v>
      </c>
      <c r="I12" s="14"/>
      <c r="J12" s="15">
        <v>45261</v>
      </c>
    </row>
    <row r="13" spans="1:10" s="1" customFormat="1" ht="12.75" customHeight="1" x14ac:dyDescent="0.35">
      <c r="A13" s="12">
        <f t="shared" si="0"/>
        <v>12</v>
      </c>
      <c r="B13" s="11"/>
      <c r="C13" s="10" t="s">
        <v>216</v>
      </c>
      <c r="D13" s="8" t="s">
        <v>17</v>
      </c>
      <c r="E13" s="9" t="s">
        <v>217</v>
      </c>
      <c r="F13" s="9" t="s">
        <v>11</v>
      </c>
      <c r="G13" s="10" t="s">
        <v>218</v>
      </c>
      <c r="H13" s="13" t="s">
        <v>219</v>
      </c>
      <c r="I13" s="14"/>
      <c r="J13" s="15">
        <v>45261</v>
      </c>
    </row>
    <row r="14" spans="1:10" s="1" customFormat="1" ht="12.75" customHeight="1" x14ac:dyDescent="0.35">
      <c r="A14" s="12">
        <f t="shared" si="0"/>
        <v>13</v>
      </c>
      <c r="B14" s="11"/>
      <c r="C14" s="10" t="s">
        <v>278</v>
      </c>
      <c r="D14" s="8" t="s">
        <v>17</v>
      </c>
      <c r="E14" s="9" t="s">
        <v>279</v>
      </c>
      <c r="F14" s="9" t="s">
        <v>12</v>
      </c>
      <c r="G14" s="10" t="s">
        <v>280</v>
      </c>
      <c r="H14" s="13" t="s">
        <v>281</v>
      </c>
      <c r="I14" s="14"/>
      <c r="J14" s="15">
        <v>45261</v>
      </c>
    </row>
    <row r="15" spans="1:10" s="1" customFormat="1" ht="12.75" customHeight="1" x14ac:dyDescent="0.35">
      <c r="A15" s="12">
        <f t="shared" si="0"/>
        <v>14</v>
      </c>
      <c r="B15" s="11"/>
      <c r="C15" s="10" t="s">
        <v>308</v>
      </c>
      <c r="D15" s="8" t="s">
        <v>17</v>
      </c>
      <c r="E15" s="9" t="s">
        <v>309</v>
      </c>
      <c r="F15" s="9" t="s">
        <v>11</v>
      </c>
      <c r="G15" s="10" t="s">
        <v>310</v>
      </c>
      <c r="H15" s="13" t="s">
        <v>311</v>
      </c>
      <c r="I15" s="14"/>
      <c r="J15" s="15">
        <v>45261</v>
      </c>
    </row>
    <row r="16" spans="1:10" s="1" customFormat="1" ht="12.75" customHeight="1" x14ac:dyDescent="0.35">
      <c r="A16" s="12">
        <f t="shared" si="0"/>
        <v>15</v>
      </c>
      <c r="B16" s="11"/>
      <c r="C16" s="10" t="s">
        <v>420</v>
      </c>
      <c r="D16" s="8" t="s">
        <v>17</v>
      </c>
      <c r="E16" s="9" t="s">
        <v>421</v>
      </c>
      <c r="F16" s="9" t="s">
        <v>11</v>
      </c>
      <c r="G16" s="10" t="s">
        <v>422</v>
      </c>
      <c r="H16" s="13" t="s">
        <v>423</v>
      </c>
      <c r="I16" s="14"/>
      <c r="J16" s="15">
        <v>45261</v>
      </c>
    </row>
    <row r="17" spans="1:10" s="1" customFormat="1" ht="12.75" customHeight="1" x14ac:dyDescent="0.35">
      <c r="A17" s="12">
        <f t="shared" si="0"/>
        <v>16</v>
      </c>
      <c r="B17" s="11"/>
      <c r="C17" s="10" t="s">
        <v>456</v>
      </c>
      <c r="D17" s="8" t="s">
        <v>17</v>
      </c>
      <c r="E17" s="9" t="s">
        <v>457</v>
      </c>
      <c r="F17" s="9" t="s">
        <v>14</v>
      </c>
      <c r="G17" s="10" t="s">
        <v>458</v>
      </c>
      <c r="H17" s="13" t="s">
        <v>459</v>
      </c>
      <c r="I17" s="14"/>
      <c r="J17" s="15">
        <v>45261</v>
      </c>
    </row>
    <row r="18" spans="1:10" s="1" customFormat="1" ht="12.75" customHeight="1" x14ac:dyDescent="0.35">
      <c r="A18" s="12">
        <f t="shared" si="0"/>
        <v>17</v>
      </c>
      <c r="B18" s="11"/>
      <c r="C18" s="10" t="s">
        <v>464</v>
      </c>
      <c r="D18" s="8" t="s">
        <v>17</v>
      </c>
      <c r="E18" s="9" t="s">
        <v>465</v>
      </c>
      <c r="F18" s="9" t="s">
        <v>11</v>
      </c>
      <c r="G18" s="10" t="s">
        <v>466</v>
      </c>
      <c r="H18" s="13" t="s">
        <v>467</v>
      </c>
      <c r="I18" s="14"/>
      <c r="J18" s="15">
        <v>45261</v>
      </c>
    </row>
    <row r="19" spans="1:10" s="1" customFormat="1" ht="12.75" customHeight="1" x14ac:dyDescent="0.35">
      <c r="A19" s="12">
        <f t="shared" si="0"/>
        <v>18</v>
      </c>
      <c r="B19" s="11"/>
      <c r="C19" s="10" t="s">
        <v>472</v>
      </c>
      <c r="D19" s="8" t="s">
        <v>17</v>
      </c>
      <c r="E19" s="9" t="s">
        <v>473</v>
      </c>
      <c r="F19" s="9" t="s">
        <v>11</v>
      </c>
      <c r="G19" s="10" t="s">
        <v>474</v>
      </c>
      <c r="H19" s="13" t="s">
        <v>475</v>
      </c>
      <c r="I19" s="14"/>
      <c r="J19" s="15">
        <v>45261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Renewal Dec 2023</vt:lpstr>
      <vt:lpstr>working</vt:lpstr>
      <vt:lpstr>Sheet2</vt:lpstr>
      <vt:lpstr>Liqvidate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Pyar Ali Pirwani</dc:creator>
  <cp:lastModifiedBy>IT User Software</cp:lastModifiedBy>
  <dcterms:created xsi:type="dcterms:W3CDTF">2017-02-15T07:30:48Z</dcterms:created>
  <dcterms:modified xsi:type="dcterms:W3CDTF">2024-08-21T07:52:32Z</dcterms:modified>
</cp:coreProperties>
</file>