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emium\Saqib\21-Aug-2024\"/>
    </mc:Choice>
  </mc:AlternateContent>
  <xr:revisionPtr revIDLastSave="0" documentId="13_ncr:1_{7A4DA0F0-AB03-46BD-A48F-FCF5ED7148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ewal Nov 2023" sheetId="1" r:id="rId1"/>
    <sheet name="working" sheetId="3" r:id="rId2"/>
    <sheet name="Sheet2" sheetId="4" r:id="rId3"/>
    <sheet name="Liqvidate Cases" sheetId="2" r:id="rId4"/>
  </sheets>
  <externalReferences>
    <externalReference r:id="rId5"/>
  </externalReferences>
  <definedNames>
    <definedName name="_xlnm._FilterDatabase" localSheetId="3" hidden="1">'Liqvidate Cases'!$A$1:$J$1</definedName>
    <definedName name="_xlnm._FilterDatabase" localSheetId="0" hidden="1">'Renewal Nov 2023'!$A$1:$J$1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8" i="3"/>
  <c r="H9" i="3"/>
  <c r="H12" i="3"/>
  <c r="H13" i="3"/>
  <c r="H16" i="3"/>
  <c r="H17" i="3"/>
  <c r="H20" i="3"/>
  <c r="H21" i="3"/>
  <c r="H24" i="3"/>
  <c r="H25" i="3"/>
  <c r="H28" i="3"/>
  <c r="H29" i="3"/>
  <c r="H32" i="3"/>
  <c r="H33" i="3"/>
  <c r="H36" i="3"/>
  <c r="H37" i="3"/>
  <c r="H40" i="3"/>
  <c r="H41" i="3"/>
  <c r="H44" i="3"/>
  <c r="H45" i="3"/>
  <c r="H48" i="3"/>
  <c r="H49" i="3"/>
  <c r="H52" i="3"/>
  <c r="H53" i="3"/>
  <c r="H56" i="3"/>
  <c r="H57" i="3"/>
  <c r="H60" i="3"/>
  <c r="H61" i="3"/>
  <c r="H64" i="3"/>
  <c r="H65" i="3"/>
  <c r="H68" i="3"/>
  <c r="H69" i="3"/>
  <c r="H72" i="3"/>
  <c r="H73" i="3"/>
  <c r="H76" i="3"/>
  <c r="H77" i="3"/>
  <c r="H80" i="3"/>
  <c r="H81" i="3"/>
  <c r="H84" i="3"/>
  <c r="H85" i="3"/>
  <c r="H88" i="3"/>
  <c r="H89" i="3"/>
  <c r="H92" i="3"/>
  <c r="H93" i="3"/>
  <c r="H96" i="3"/>
  <c r="H97" i="3"/>
  <c r="H100" i="3"/>
  <c r="H101" i="3"/>
  <c r="H104" i="3"/>
  <c r="H105" i="3"/>
  <c r="G2" i="3"/>
  <c r="H2" i="3" s="1"/>
  <c r="G3" i="3"/>
  <c r="H3" i="3" s="1"/>
  <c r="G4" i="3"/>
  <c r="G5" i="3"/>
  <c r="G6" i="3"/>
  <c r="H6" i="3" s="1"/>
  <c r="G7" i="3"/>
  <c r="H7" i="3" s="1"/>
  <c r="G8" i="3"/>
  <c r="G9" i="3"/>
  <c r="G10" i="3"/>
  <c r="H10" i="3" s="1"/>
  <c r="G11" i="3"/>
  <c r="H11" i="3" s="1"/>
  <c r="G12" i="3"/>
  <c r="G13" i="3"/>
  <c r="G14" i="3"/>
  <c r="H14" i="3" s="1"/>
  <c r="G15" i="3"/>
  <c r="H15" i="3" s="1"/>
  <c r="G16" i="3"/>
  <c r="G17" i="3"/>
  <c r="G18" i="3"/>
  <c r="H18" i="3" s="1"/>
  <c r="G19" i="3"/>
  <c r="H19" i="3" s="1"/>
  <c r="G20" i="3"/>
  <c r="G21" i="3"/>
  <c r="G22" i="3"/>
  <c r="H22" i="3" s="1"/>
  <c r="G23" i="3"/>
  <c r="H23" i="3" s="1"/>
  <c r="G24" i="3"/>
  <c r="G25" i="3"/>
  <c r="G26" i="3"/>
  <c r="H26" i="3" s="1"/>
  <c r="G27" i="3"/>
  <c r="H27" i="3" s="1"/>
  <c r="G28" i="3"/>
  <c r="G29" i="3"/>
  <c r="G30" i="3"/>
  <c r="H30" i="3" s="1"/>
  <c r="G31" i="3"/>
  <c r="H31" i="3" s="1"/>
  <c r="G32" i="3"/>
  <c r="G33" i="3"/>
  <c r="G34" i="3"/>
  <c r="H34" i="3" s="1"/>
  <c r="G35" i="3"/>
  <c r="H35" i="3" s="1"/>
  <c r="G36" i="3"/>
  <c r="G37" i="3"/>
  <c r="G38" i="3"/>
  <c r="H38" i="3" s="1"/>
  <c r="G39" i="3"/>
  <c r="H39" i="3" s="1"/>
  <c r="G40" i="3"/>
  <c r="G41" i="3"/>
  <c r="G42" i="3"/>
  <c r="H42" i="3" s="1"/>
  <c r="G43" i="3"/>
  <c r="H43" i="3" s="1"/>
  <c r="G44" i="3"/>
  <c r="G45" i="3"/>
  <c r="G46" i="3"/>
  <c r="H46" i="3" s="1"/>
  <c r="G47" i="3"/>
  <c r="H47" i="3" s="1"/>
  <c r="G48" i="3"/>
  <c r="G49" i="3"/>
  <c r="G50" i="3"/>
  <c r="H50" i="3" s="1"/>
  <c r="G51" i="3"/>
  <c r="H51" i="3" s="1"/>
  <c r="G52" i="3"/>
  <c r="G53" i="3"/>
  <c r="G54" i="3"/>
  <c r="H54" i="3" s="1"/>
  <c r="G55" i="3"/>
  <c r="H55" i="3" s="1"/>
  <c r="G56" i="3"/>
  <c r="G57" i="3"/>
  <c r="G58" i="3"/>
  <c r="H58" i="3" s="1"/>
  <c r="G59" i="3"/>
  <c r="H59" i="3" s="1"/>
  <c r="G60" i="3"/>
  <c r="G61" i="3"/>
  <c r="G62" i="3"/>
  <c r="H62" i="3" s="1"/>
  <c r="G63" i="3"/>
  <c r="H63" i="3" s="1"/>
  <c r="G64" i="3"/>
  <c r="G65" i="3"/>
  <c r="G66" i="3"/>
  <c r="H66" i="3" s="1"/>
  <c r="G67" i="3"/>
  <c r="H67" i="3" s="1"/>
  <c r="G68" i="3"/>
  <c r="G69" i="3"/>
  <c r="G70" i="3"/>
  <c r="H70" i="3" s="1"/>
  <c r="G71" i="3"/>
  <c r="H71" i="3" s="1"/>
  <c r="G72" i="3"/>
  <c r="G73" i="3"/>
  <c r="G74" i="3"/>
  <c r="H74" i="3" s="1"/>
  <c r="G75" i="3"/>
  <c r="H75" i="3" s="1"/>
  <c r="G76" i="3"/>
  <c r="G77" i="3"/>
  <c r="G78" i="3"/>
  <c r="H78" i="3" s="1"/>
  <c r="G79" i="3"/>
  <c r="H79" i="3" s="1"/>
  <c r="G80" i="3"/>
  <c r="G81" i="3"/>
  <c r="G82" i="3"/>
  <c r="H82" i="3" s="1"/>
  <c r="G83" i="3"/>
  <c r="H83" i="3" s="1"/>
  <c r="G84" i="3"/>
  <c r="G85" i="3"/>
  <c r="G86" i="3"/>
  <c r="H86" i="3" s="1"/>
  <c r="G87" i="3"/>
  <c r="H87" i="3" s="1"/>
  <c r="G88" i="3"/>
  <c r="G89" i="3"/>
  <c r="G90" i="3"/>
  <c r="H90" i="3" s="1"/>
  <c r="G91" i="3"/>
  <c r="H91" i="3" s="1"/>
  <c r="G92" i="3"/>
  <c r="G93" i="3"/>
  <c r="G94" i="3"/>
  <c r="H94" i="3" s="1"/>
  <c r="G95" i="3"/>
  <c r="H95" i="3" s="1"/>
  <c r="G96" i="3"/>
  <c r="G97" i="3"/>
  <c r="G98" i="3"/>
  <c r="H98" i="3" s="1"/>
  <c r="G99" i="3"/>
  <c r="H99" i="3" s="1"/>
  <c r="G100" i="3"/>
  <c r="G101" i="3"/>
  <c r="G102" i="3"/>
  <c r="H102" i="3" s="1"/>
  <c r="G103" i="3"/>
  <c r="H103" i="3" s="1"/>
  <c r="G104" i="3"/>
  <c r="G105" i="3"/>
  <c r="G106" i="3"/>
  <c r="H106" i="3" s="1"/>
  <c r="G107" i="3"/>
  <c r="H107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" i="3"/>
  <c r="G1" i="3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" i="4"/>
  <c r="E1" i="4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F1" i="3"/>
  <c r="D1" i="3"/>
  <c r="H1" i="3" l="1"/>
  <c r="K110" i="1" l="1"/>
  <c r="I110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" i="2"/>
  <c r="A3" i="1"/>
</calcChain>
</file>

<file path=xl/sharedStrings.xml><?xml version="1.0" encoding="utf-8"?>
<sst xmlns="http://schemas.openxmlformats.org/spreadsheetml/2006/main" count="1893" uniqueCount="790">
  <si>
    <t>S.No.</t>
  </si>
  <si>
    <t>Contract Number</t>
  </si>
  <si>
    <t>Customer Name</t>
  </si>
  <si>
    <t>City</t>
  </si>
  <si>
    <t>New NIC</t>
  </si>
  <si>
    <t>Effective Date</t>
  </si>
  <si>
    <t xml:space="preserve">Property Address </t>
  </si>
  <si>
    <t>Sum Insured</t>
  </si>
  <si>
    <t>Old Contract Number</t>
  </si>
  <si>
    <t>Status</t>
  </si>
  <si>
    <t>Contract Status</t>
  </si>
  <si>
    <t>LAHORE</t>
  </si>
  <si>
    <t>KARACHI</t>
  </si>
  <si>
    <t>ISLAMABAD</t>
  </si>
  <si>
    <t>RAWALPINDI</t>
  </si>
  <si>
    <t>FAISALABAD</t>
  </si>
  <si>
    <t>HYDERABAD</t>
  </si>
  <si>
    <t>Karachi.</t>
  </si>
  <si>
    <t>Islamabad.</t>
  </si>
  <si>
    <t>Faisalabad.</t>
  </si>
  <si>
    <t>Lahore.</t>
  </si>
  <si>
    <t>Rawalpinid.</t>
  </si>
  <si>
    <t>MUHAMMAD TAHIR</t>
  </si>
  <si>
    <t>MUHAMMAD ADNAN</t>
  </si>
  <si>
    <t>L</t>
  </si>
  <si>
    <t>9976BUY123310001</t>
  </si>
  <si>
    <t>MUHAMMAD AJMAL KHAN</t>
  </si>
  <si>
    <t>33104-2214044-5</t>
  </si>
  <si>
    <t>HOUSE# 662, BLOCK-J-2, M.A JOHAR TOWN SCHEME, LAHORE</t>
  </si>
  <si>
    <t>997HBUY073270001</t>
  </si>
  <si>
    <t>ABDUL MAJEED</t>
  </si>
  <si>
    <t>37405-0598684-5</t>
  </si>
  <si>
    <t>HOUSE NO.10, LANE NO.3, MAIN ROAD, KHAYABAN-E-TANVEER, CHAKLALA, RAWALPINDI.</t>
  </si>
  <si>
    <t>997HBUY133160001</t>
  </si>
  <si>
    <t>MUHAMMAD KHURRAM</t>
  </si>
  <si>
    <t>42201-3471221-3</t>
  </si>
  <si>
    <t>FLAT# A-7, 4th FLOOR, AMEER COMPLEX, SUB-PLOT# SB-1/1, ON PLOT# SB-1, BLOCK-10-A, GULSHAN-E-IQBAL, KDA SCHEME-24, KARACHI</t>
  </si>
  <si>
    <t>997HBUY153280001</t>
  </si>
  <si>
    <t>AKHTAR HUSSAIN</t>
  </si>
  <si>
    <t>41304-5857742-3</t>
  </si>
  <si>
    <t>FALT # 4, 1ST FLOOR, FALAK NUMA APARTMENT, PLOT # FL-2/A, SUB PLOT # FL-2/A-2, BLOCK-14, KDA SCHEME # 24, GULSHAN-E-IQBAL, KARACHI</t>
  </si>
  <si>
    <t>997HBUY083340001</t>
  </si>
  <si>
    <t>HAFIZ SHEHZAD MALIK</t>
  </si>
  <si>
    <t>35202-7977100-1</t>
  </si>
  <si>
    <t>HOUSE NO.168, SECTOR M, PHASE-VIII, DHA, CANTT., LAHORE.</t>
  </si>
  <si>
    <t>9976REN163350001</t>
  </si>
  <si>
    <t>35201-6663310-7</t>
  </si>
  <si>
    <t>HOUSE NO. E 323, NISHAT COLONY, RABANI ROAD, LAHORE</t>
  </si>
  <si>
    <t>9976BUY143290001</t>
  </si>
  <si>
    <t>17301-1482259-1</t>
  </si>
  <si>
    <t>H.NO 441-C STREET-17 BLOCK-C PAK PWD CHCHS LOHI BHER ISLAMABAD</t>
  </si>
  <si>
    <t>9976BUY133320001</t>
  </si>
  <si>
    <t>HINA BATOOL</t>
  </si>
  <si>
    <t>38201-0962164-4</t>
  </si>
  <si>
    <t>HOUSE# 1509, LANE# 13, SECTOR# IV, AIPORTS EMPLOYEES CO-OPERATIVE HOUSING SOCIETY, RAWALPINDI</t>
  </si>
  <si>
    <t>997BFIN173340001</t>
  </si>
  <si>
    <t>SYED FAROOQ MUSHTAQUI</t>
  </si>
  <si>
    <t>41304-5077386-1</t>
  </si>
  <si>
    <t>FLAT # 108, 1ST FLOOR, ORIENT CENTRE, CITY SURVEY 1050, WARD "F", GARI KHATA, HYDERABAD</t>
  </si>
  <si>
    <t>997HREN163200001</t>
  </si>
  <si>
    <t>ADEEL YOUNIS</t>
  </si>
  <si>
    <t>33301-6208055-9</t>
  </si>
  <si>
    <t>HOUSE NO. P 431, SAAD BIN WAQAS STREET, KHAYABAN GARDENS, SARGODHA ROAD, FAISALABAD</t>
  </si>
  <si>
    <t>997HPUS163070001</t>
  </si>
  <si>
    <t>SYED ABBAS HAIDER ZAIDI</t>
  </si>
  <si>
    <t>42201-0315797-1</t>
  </si>
  <si>
    <t>FLAT NO. B-12, 2ND FLOOR, MAISAM PLAZA, SUB PLOT NO. FL-2/B-4, PLOT NO. FL-2/B, GULSHAN-E-IQBAL, KARACHI</t>
  </si>
  <si>
    <t>997HREN203080001</t>
  </si>
  <si>
    <t>SYED SALMAN AHMED</t>
  </si>
  <si>
    <t>42101-7142939-5</t>
  </si>
  <si>
    <t>FLAT # A1-502, 5TH FLOOR, MATEEN HEAVEN PLOT # FL-10, SECTOR # 5-1, NORTH KARACHI TOWNSHIP, KARACHI</t>
  </si>
  <si>
    <t>997HREN143330001</t>
  </si>
  <si>
    <t>MUHAMMAD HANIF</t>
  </si>
  <si>
    <t>33100-0610114-9</t>
  </si>
  <si>
    <t>HOUSE NO. 21-B, NEW GARDEN BLOCK, SAEED COLONY NO.2, FAISALABAD</t>
  </si>
  <si>
    <t>997HREN203140002</t>
  </si>
  <si>
    <t>FARHAN HABIB</t>
  </si>
  <si>
    <t>42201-3446781-5</t>
  </si>
  <si>
    <t>FLAT # A-206, 2ND FLOOR, ?RUFI HEAVEN? PLOT # 191 (PART) DEH GUJRO, WASIM BAGH EAST, BLOCK # 13D/2, KDA SCHEME 24, GULSHAN-E-IQBAL KARACHI</t>
  </si>
  <si>
    <t>997HREN173340001</t>
  </si>
  <si>
    <t>MUHAMMAD MUNAWAR</t>
  </si>
  <si>
    <t>33100-5181777-1</t>
  </si>
  <si>
    <t>HOUSE # 169-A, BLOCK B, GULSHAN-E-HAYAT COLONY, FAISALABAD</t>
  </si>
  <si>
    <t>9976BUY201410002</t>
  </si>
  <si>
    <t>MUHAMMAD SHAFQAT IQBAL GONDAL</t>
  </si>
  <si>
    <t>37405-0228184-5</t>
  </si>
  <si>
    <t>H NO -583-C BLK-C STREET-41 PAK PWD CECHS LOHI BHER ISB</t>
  </si>
  <si>
    <t>997BFIN143320001</t>
  </si>
  <si>
    <t>MUZAFFAR ALI KHALID</t>
  </si>
  <si>
    <t>42101-4788646-7</t>
  </si>
  <si>
    <t>FLAT NO. A-104, 1ST FLOOR, SOBIA PRIDE, SUB PLOT NO. SB-13/IV, PLOT NO. SB-13/IV, BLOCK-1, GULISTAN-E-JOHAR, KARACHI</t>
  </si>
  <si>
    <t>997HBUY193220002</t>
  </si>
  <si>
    <t>ZAHEEN FATIMA</t>
  </si>
  <si>
    <t>42201-4473283-2</t>
  </si>
  <si>
    <t>FLT NO 001 GRND FLOR KHII UNI EMPLOYES CO-OPRATV HOUSNG SOCITY COMRCIAL PLOT OF LND BEARING NO CM-36 BLK-B SCTR NO 18-A KDA SCHME NO 33 GULZAR-E-HIJRI</t>
  </si>
  <si>
    <t>9976REN163350002</t>
  </si>
  <si>
    <t>AHMED RAZA</t>
  </si>
  <si>
    <t>35202-3703162-9</t>
  </si>
  <si>
    <t>HOUSE NO. 289, BLOCK 1, SECTOR C-2, TOWNSHIP HOUSING SCHEME, LAHORE</t>
  </si>
  <si>
    <t>9976REN173340001</t>
  </si>
  <si>
    <t>MUHAMMAD AZEEM FAISAL</t>
  </si>
  <si>
    <t>35202-2634199-9</t>
  </si>
  <si>
    <t>HOUSE # 14, STREET # F, BLOCK G, NAVAL ANCHARGE, ISLAMABAD</t>
  </si>
  <si>
    <t>997HBUY183120001</t>
  </si>
  <si>
    <t>TAHIRA YASMEEN</t>
  </si>
  <si>
    <t>33105-0918607-8</t>
  </si>
  <si>
    <t>HOUSE # 322, STREET # 11, MUSLIM TOWN # 3, SARGODHA ROAD, FAISALABAD.</t>
  </si>
  <si>
    <t>997HPUS073210002</t>
  </si>
  <si>
    <t>MUHAMMAD RIZWAN UL HAQ</t>
  </si>
  <si>
    <t>35201-1691544-7</t>
  </si>
  <si>
    <t>HOUSE NO.E-94/B, STREET NO.2, SUPER TOWN, CANTT., LAHORE.</t>
  </si>
  <si>
    <t>997HBUY163160001</t>
  </si>
  <si>
    <t>JUNAID QAYYUM</t>
  </si>
  <si>
    <t>42301-0223215-5</t>
  </si>
  <si>
    <t>FLAT NO. B-215, 2ND FLOOR, SURVEY NO. 22/6, SURVEY SHEET NO. CL-9, HINA PALACE HOSHANG ROAD, CIVIL LINES, KARACHI</t>
  </si>
  <si>
    <t>9976BUY123210001</t>
  </si>
  <si>
    <t>AHSAN SARWAR</t>
  </si>
  <si>
    <t>42201-0305741-3</t>
  </si>
  <si>
    <t>FLAT# 202, 2nd FLOOR, MARINE HEIGHTS-I, PLOT# G-1, SUB PLOT# 2, BLOCK# 2, KDA SCHEME# 5, CLIFTON, KARACHI</t>
  </si>
  <si>
    <t>997HBUY203170001</t>
  </si>
  <si>
    <t>SALMAN RYAZ</t>
  </si>
  <si>
    <t>42201-9498722-9</t>
  </si>
  <si>
    <t>FLAT # Q-5, 2ND FLOOR, ?HASSAN EXTENSION APARTMENT? SUB PLOT # FL-6-7/Q-I, PLOT # FL 6 &amp; 7, BLOCK 13/D,</t>
  </si>
  <si>
    <t>997BFIN193340001</t>
  </si>
  <si>
    <t>MUHAMMAD KHATIB ARSHAD</t>
  </si>
  <si>
    <t>33100-5063299-1</t>
  </si>
  <si>
    <t>HOUSE # 212-C, GHULAM MUHAMMAD ABAD, FAISALABAD</t>
  </si>
  <si>
    <t>9976BUY153150001</t>
  </si>
  <si>
    <t>NADEEM YOUNAS</t>
  </si>
  <si>
    <t>35404-4045153-3</t>
  </si>
  <si>
    <t xml:space="preserve"> HOUSE # 289,BLOCK- J-2, PHASE -1, WAPDA EMPLOYEES COOPERATIVE HOUSING SOCIETY LTD, LAHORE</t>
  </si>
  <si>
    <t>9976BUY183100002</t>
  </si>
  <si>
    <t>ZAKI AHMED KHAN</t>
  </si>
  <si>
    <t>42101-1864044-3</t>
  </si>
  <si>
    <t>HOUSE # 16, STREET # 16, ZONE V, RIVER GARDENS HOUSING SCHEME, ISLAMABAD.</t>
  </si>
  <si>
    <t>997HREN201640002</t>
  </si>
  <si>
    <t>MUHAMMAD SALAMAN RANA</t>
  </si>
  <si>
    <t>35202-2701325-7</t>
  </si>
  <si>
    <t>PLOT # 683, BLOCK-B, SQM SITUATED AT LDA SCHEME SABZAZAR, LAHORE</t>
  </si>
  <si>
    <t>997HBUY193340001</t>
  </si>
  <si>
    <t>BILAL ELAHI</t>
  </si>
  <si>
    <t>33100-2334087-5</t>
  </si>
  <si>
    <t>HOUSE # 56/1, BLOCK-B, SHAHBAZ TOWN, FAISALABAD</t>
  </si>
  <si>
    <t>9976BUY203220001</t>
  </si>
  <si>
    <t>SHAMSA MOHSIN</t>
  </si>
  <si>
    <t>35202-9756927-0</t>
  </si>
  <si>
    <t>HOUSE # 946/6, BLOCK-C, PHASE 6 DHA LAHORE CANTT</t>
  </si>
  <si>
    <t>997BFIN123350004</t>
  </si>
  <si>
    <t>NUSRAT JAMIL</t>
  </si>
  <si>
    <t>35201-4102664-6</t>
  </si>
  <si>
    <t>PLOT# 114/4, BLOCK-E, SUI NORTHERN OFFICERS CO-OPERATIVE HOUSING SOCIETY LTD, LAHORE</t>
  </si>
  <si>
    <t>9976BFN153290001</t>
  </si>
  <si>
    <t>MOHAMMAD MAZHAR HUSSAIN</t>
  </si>
  <si>
    <t>208586-427000-1</t>
  </si>
  <si>
    <t>HOUSE # 120, STREET # 9, F-11/1, ISLAMABAD</t>
  </si>
  <si>
    <t>997HBUY203240001</t>
  </si>
  <si>
    <t>FARAH HAMEED</t>
  </si>
  <si>
    <t>42201-1282394-2</t>
  </si>
  <si>
    <t>FLAT # 502-E, 5TH FLOOR, ?GREY NOOR TOWER? PLOT COM 2, SECTOR 29, DEH SONGAL, KDA SCHEME # 33, KARACHI</t>
  </si>
  <si>
    <t>9976BUY183100001</t>
  </si>
  <si>
    <t>NAVEEDA TABASSUM</t>
  </si>
  <si>
    <t>61101-7071992-6</t>
  </si>
  <si>
    <t>HOUSE # 92-A, STREET # 24, SECTOR 1, AECHS, ISLAMABAD.</t>
  </si>
  <si>
    <t>997HBUY183190001</t>
  </si>
  <si>
    <t>SAMEER AHMED</t>
  </si>
  <si>
    <t>33102-6556517-7</t>
  </si>
  <si>
    <t>HOUSE # 845, STREET # 5, AL-MASOOM TOWN, FAISALABAD</t>
  </si>
  <si>
    <t>9976BUY173240001</t>
  </si>
  <si>
    <t>HASEN MAHMOOD</t>
  </si>
  <si>
    <t>35201-9682461-1</t>
  </si>
  <si>
    <t>HOUSE #  402, BLOCK S, PHASE II, DHA, LAHORE.</t>
  </si>
  <si>
    <t>9976BUY123180002</t>
  </si>
  <si>
    <t>FAHMIDA IQBAL</t>
  </si>
  <si>
    <t>37405-1732350-4</t>
  </si>
  <si>
    <t>HOUSE# 14, STREET# 03, SECTOR# E, PHASE# 2, DEFENCE HOUSING SCHEME, ISLAMABAD</t>
  </si>
  <si>
    <t>997HBUY203300001</t>
  </si>
  <si>
    <t>MOHAMMAD IQBAL HASHMI</t>
  </si>
  <si>
    <t>33102-7585741-9</t>
  </si>
  <si>
    <t>HOUSE # 42, AMEER HAMZA BLOCK, GULSHAN E MADNA, PHASE-I, SARGODHA ROAD, FAISALABAD</t>
  </si>
  <si>
    <t>997BFIN183340001</t>
  </si>
  <si>
    <t>SANDEEP KUMAR</t>
  </si>
  <si>
    <t>53202-1153418-7</t>
  </si>
  <si>
    <t>FLAT # 1111, MEASURING 1890 SQ.FTS, 11TH FLOOR, “AASHIANA SHOPPING MALL &amp; APPARTMENT” ,PLOT # G-21,BLOCK-9, KDA SCHEME # 5, CLIFTON, KARACHI.</t>
  </si>
  <si>
    <t>997HBUY193300001</t>
  </si>
  <si>
    <t>ABDUL HAMEED MEER</t>
  </si>
  <si>
    <t>42201-3444636-5</t>
  </si>
  <si>
    <t>FLAT # 03, 3RD FLOOR, SUNSET LANE # 01, PHASE II EXT, PAKISTAN DEFENCE OFFICERS HOUSING AUTHORITY DHA KARACHI</t>
  </si>
  <si>
    <t>997HBUY183340001</t>
  </si>
  <si>
    <t>SHOUKAT ALI</t>
  </si>
  <si>
    <t>35401-4468560-5</t>
  </si>
  <si>
    <t>HOUSE # 69, 70 STREET # 2, AQSA TOWN , MILLAT ROAD, FAISALABAD</t>
  </si>
  <si>
    <t>9976BFN203110002</t>
  </si>
  <si>
    <t>MASOOD AHMAD QAZI</t>
  </si>
  <si>
    <t>PESHAWAR</t>
  </si>
  <si>
    <t>12101-4875755-3</t>
  </si>
  <si>
    <t>HOUSE # 86, SECTOR -K3, STREET # 02, PHASE-III, HAYATABAD PESHAWAR</t>
  </si>
  <si>
    <t>9976BUY163340003</t>
  </si>
  <si>
    <t>SHAZIA ASIM</t>
  </si>
  <si>
    <t>35202-4931885-0</t>
  </si>
  <si>
    <t>HOUSE NO. 159, BLOCK H, PHASE 5, DHA, LAHORE</t>
  </si>
  <si>
    <t>997BFIN173340004</t>
  </si>
  <si>
    <t>MIAN ABDUL WAHEED</t>
  </si>
  <si>
    <t>35201-1297976-1</t>
  </si>
  <si>
    <t>HOUSE # 279, BLOCK X, PHASE III, DHA, LAHORE</t>
  </si>
  <si>
    <t>9976BUY203310002</t>
  </si>
  <si>
    <t>MUHAMMAD MUBASHAR QURESHI</t>
  </si>
  <si>
    <t>36302-0450373-5</t>
  </si>
  <si>
    <t>HOUSE # 258, BLOCK K-3, PHASE-1, WAPDA EMPLOYEES CO-OPERATIVE HOUSING SOCIETY LTD, LAHORE</t>
  </si>
  <si>
    <t>997BFIN203320001</t>
  </si>
  <si>
    <t>RASHID HAMEED</t>
  </si>
  <si>
    <t>GUJRANWALA</t>
  </si>
  <si>
    <t>34101-2459774-9</t>
  </si>
  <si>
    <t>HOUSE # 105, SECTOR 1, CAN VIEW HOUSING SCHEME, GUJRANWALA.</t>
  </si>
  <si>
    <t>9976BFN203300001</t>
  </si>
  <si>
    <t>MUHAMMAD MUNIM KHALID</t>
  </si>
  <si>
    <t>33100-1475194-3</t>
  </si>
  <si>
    <t>HOUSE # 11, AL-BARKAT VILLAS SATIANA ROAD FAISALABAD</t>
  </si>
  <si>
    <t>9976BUY183110001</t>
  </si>
  <si>
    <t>MUHAMMAD ASIM NAGI</t>
  </si>
  <si>
    <t>35202-2723169-7</t>
  </si>
  <si>
    <t>HOUSE # 99-D/2, BLOCK D, MODEL TOWN, LAHORE</t>
  </si>
  <si>
    <t>9976BUY183340002</t>
  </si>
  <si>
    <t>SHOAIB ZAHOOR</t>
  </si>
  <si>
    <t>35202-6413518-9</t>
  </si>
  <si>
    <t>PLOT # 114, BLOCK-A-1, PAKISTAN EXPATRIATES CO-OPERATIVE HOUSING SOCIETY LTD VALANCIA LAHORE</t>
  </si>
  <si>
    <t>9976BUY203300001</t>
  </si>
  <si>
    <t>SHAHZADA ANWAR KABIR</t>
  </si>
  <si>
    <t>35202-2412558-9</t>
  </si>
  <si>
    <t>HOUSE # 154, SECTOR-B, PHASE-I, STATE LIFE INSURANCE EMPLOYEES CO-OPERATIVE HOUSING SOCIETY LTD, LAHORE</t>
  </si>
  <si>
    <t>997HBUY201510013</t>
  </si>
  <si>
    <t>SHEIKH KHURRAM REHMAN</t>
  </si>
  <si>
    <t>42301-1339652-7</t>
  </si>
  <si>
    <t xml:space="preserve"> BUNGALOW # M-48/III, KHAYABAN-E-ITTEHAD, PHASE-VII, DHA , KARACHI</t>
  </si>
  <si>
    <t>9976BUY203290001</t>
  </si>
  <si>
    <t>MUHAMMAD ZAHEER</t>
  </si>
  <si>
    <t>35201-6529935-3</t>
  </si>
  <si>
    <t>HOUSE # 403, BLOCK-L, PHASE-6, DHA LAHORE CANTT</t>
  </si>
  <si>
    <t>9976BUY203230002</t>
  </si>
  <si>
    <t>SAEED  AHMAD</t>
  </si>
  <si>
    <t>61101-9592399-3</t>
  </si>
  <si>
    <t>HOUSE # 29, BLOCK C, PAKISTAN EXPATRIATES CO-OPERATIVE HOUSING SOCIETY LTD (VALENCIA TOWN) LAHORE.</t>
  </si>
  <si>
    <t>997HBUY203100001</t>
  </si>
  <si>
    <t>SHAHZADA</t>
  </si>
  <si>
    <t>42501-5692013-3</t>
  </si>
  <si>
    <t>HOUSE # E-108/1, BLOCK-7, KDA SCHEME # 24, GULSHAN-E-IQBAL, KARACHI.</t>
  </si>
  <si>
    <t>9976BUY183330001</t>
  </si>
  <si>
    <t>MUHAMMAD TAJ UDIN ARIAN</t>
  </si>
  <si>
    <t>61101-7317239-5</t>
  </si>
  <si>
    <t>HOUSE # PLOT # 81-C, SECTOR I-8/3, ISLAMABAD</t>
  </si>
  <si>
    <t>997HBUY203310002</t>
  </si>
  <si>
    <t>SYED RAFI UDDIN</t>
  </si>
  <si>
    <t>42301-6724703-1</t>
  </si>
  <si>
    <t>BUNGLOW # 47, 26TH STREET, PHASE-V-EXT, DHA, KARACHI</t>
  </si>
  <si>
    <t>9976BUY143240002</t>
  </si>
  <si>
    <t>997HREN193330001</t>
  </si>
  <si>
    <t>997HBUY153340004</t>
  </si>
  <si>
    <t>9976BUY213070002</t>
  </si>
  <si>
    <t>MUHAMMAD RAZA</t>
  </si>
  <si>
    <t>42201-9492519-3</t>
  </si>
  <si>
    <t>HOUSE NO 120/1, KHAYABAN E BADAR, PHASE - V, DHA , KARACHI.</t>
  </si>
  <si>
    <t>997NPHF213080007</t>
  </si>
  <si>
    <t>ABDUL GHAFFAR</t>
  </si>
  <si>
    <t>42301-6045964-5</t>
  </si>
  <si>
    <t>HOUSE NO. A-229, BLOCK -VII, SAADI TOWN, PAKLAND HOUSING PVT. LIMITED, DEH DOZAN,TAPPO GUJRO, KDA SCHEME NO 33. KARACHI.</t>
  </si>
  <si>
    <t>997HBUY213080005</t>
  </si>
  <si>
    <t>BATOOL USMAN</t>
  </si>
  <si>
    <t>35202-8623309-0</t>
  </si>
  <si>
    <t>HOUSE NO. 100, BLOCK R, PHASE 2, DHA, LAHORE.</t>
  </si>
  <si>
    <t>9976BUY213090003</t>
  </si>
  <si>
    <t>KHURRAM ALI KHAN</t>
  </si>
  <si>
    <t>42101-6345445-9</t>
  </si>
  <si>
    <t>HOUSE NO. 91/B, SURVEY NO. 433, BLOCK B, SINDH MUSLIM CO OPERATIVE HOUSING SOCIETY LTD. KARACHI.</t>
  </si>
  <si>
    <t>9976BUY213090004</t>
  </si>
  <si>
    <t>AMER SHAHZAD KHAN</t>
  </si>
  <si>
    <t>35202-7762679-3</t>
  </si>
  <si>
    <t>HOUSE NO. 306, BLOCK # N, PHASE - 8, DHA, LAHORE.</t>
  </si>
  <si>
    <t>997NPHF213090009</t>
  </si>
  <si>
    <t>FAIZ MUHAMMAD SHAH</t>
  </si>
  <si>
    <t>43304-9834238-7</t>
  </si>
  <si>
    <t>FLAT # H-1, BLOCK H, GF, STAR SHELTERS, PLOT SURVEY # 118/5-B, DEH OKEWARI TAPPO GADAP, BLOCK 18, KDA SCHEME #36, GULISTAN E JOHAR, KARACHI.</t>
  </si>
  <si>
    <t>997NPHF213090008</t>
  </si>
  <si>
    <t>AZHAR TAJ</t>
  </si>
  <si>
    <t>37201-6089415-7</t>
  </si>
  <si>
    <t>HOUSE NO. 531, KHATOONI NO. 771, KHASRA NO 3039/986, SITUATED IN MOUZA VHUR HARPAAL, MUNICIPAL ADMISNISTRATION, RAWALPINDI.</t>
  </si>
  <si>
    <t>997NPHF213120010</t>
  </si>
  <si>
    <t>MUHAMMAD ASRAR UL HAQ</t>
  </si>
  <si>
    <t>36501-2316982-1</t>
  </si>
  <si>
    <t>HOUSE NO. 60, PRIME HOMES SCHEME NISTER COLONY, HADBAST MOUZA DULLO KALAN, TEHSIL MODEL TOWN, LAHORE.</t>
  </si>
  <si>
    <t>997NPHF213130011</t>
  </si>
  <si>
    <t>IRFAN MAHMOOD</t>
  </si>
  <si>
    <t>33100-1422612-1</t>
  </si>
  <si>
    <t>HOUSE NO. 190, EAST SIDE, BLOCK B, GULSHAN E HAYAT COLONY, NEAR TARIQ ROAD, ABC PULL, FAISALABAD.</t>
  </si>
  <si>
    <t>997NPHF213140013</t>
  </si>
  <si>
    <t>RAJA SHAHID ILYAS</t>
  </si>
  <si>
    <t>37405-0581548-5</t>
  </si>
  <si>
    <t>HOUSE KHEWAT # 667, KHATOONI # 881, KHASRA # 767, MOUZA KHANNA DAAK, MUNICIPAL ADMINISTRATION, RAWALPINDI.</t>
  </si>
  <si>
    <t>997NPHF213140014</t>
  </si>
  <si>
    <t>MUHAMMAD ZUBAIR HUSSAIN</t>
  </si>
  <si>
    <t>42101-1739648-5</t>
  </si>
  <si>
    <t>FLAT NO. B-2/1206, TYPE B-2, 12TH FLOOR, GREY NOOR TOWER, PLOT NO COM-2, SEC 29, DEH SONGAL, KDA SCHEME NO 33 KARACHI</t>
  </si>
  <si>
    <t>997NPHF213140015</t>
  </si>
  <si>
    <t>ZAHID HUSSAIN</t>
  </si>
  <si>
    <t>42301-0784684-5</t>
  </si>
  <si>
    <t>HOUSE KHEWAT # 390/384, KHATOONI # 457, KHASRA # 284, MOUZA RATTA AMRAL, CANTONMENT BOARD, LANE 4, PESHAWAR ROAD, RAWALPINDI.</t>
  </si>
  <si>
    <t>997HBUY213150008</t>
  </si>
  <si>
    <t>NADIA AZHAR</t>
  </si>
  <si>
    <t>37405-9293596-0</t>
  </si>
  <si>
    <t>PLOT NO. 23, SURVEY NO. 109-A/23, GRID STATION CHAKLALA HOUSING SCHEME NO. 01, CHAKLALA CANTONMENT BOARD, RAWALPINDI.</t>
  </si>
  <si>
    <t>997NPHF213160016</t>
  </si>
  <si>
    <t>MUHAMMAD WAQAS</t>
  </si>
  <si>
    <t>33100-0104626-7</t>
  </si>
  <si>
    <t>HOUSE NO. P-315, ISMAIL VALLEY DAEWOO ROAD, FAISALABAD.</t>
  </si>
  <si>
    <t>997NPHF213160017</t>
  </si>
  <si>
    <t>AMEENA PANHWAR</t>
  </si>
  <si>
    <t>Hyderabad.</t>
  </si>
  <si>
    <t>43202-4609371-8</t>
  </si>
  <si>
    <t>FLAT NO. UG-7, BLOCK D, ABDULLAH PALACE  R.S 130/1 AND 130/2, DEH JAMSHORO, TALUKA QASIMABAD, HYDERABAD.</t>
  </si>
  <si>
    <t>997NPHF213190001</t>
  </si>
  <si>
    <t>SYED SHAHERYAR SHOAIB</t>
  </si>
  <si>
    <t>37405-4244632-3</t>
  </si>
  <si>
    <t>HOUSE NO. 58, STREET NO. 57, SECTOR LILLY PHASE DHA HOMES, BLOCK A, DHA, RAWALPINDI.</t>
  </si>
  <si>
    <t>997NPHF213190002</t>
  </si>
  <si>
    <t>IMRAN KHAN</t>
  </si>
  <si>
    <t>42201-1515554-1</t>
  </si>
  <si>
    <t>,PLOT NO. A-26, BLOCK 1, AL JADEED RESIDENCY, SURVEY NO. 19, DEH KHARKHRO, TAPPO KONKAR, TALIKA MURAD MEMON, DISTRICT MALIR, KARACHI.</t>
  </si>
  <si>
    <t>997HBUY213190001</t>
  </si>
  <si>
    <t>QAZI MUHAMMAD WAHAJ</t>
  </si>
  <si>
    <t>42301-6923916-9</t>
  </si>
  <si>
    <t>FLAT NO. A-1003, 10TH FLOOR, CREEK VISTA APARTMENT, 16TH STREET , PHASE VIII, DHA, KARACHI.</t>
  </si>
  <si>
    <t>9976BUY213200002</t>
  </si>
  <si>
    <t>AAMIR ULLAH</t>
  </si>
  <si>
    <t>Peshawar.</t>
  </si>
  <si>
    <t>21202-2013262-9</t>
  </si>
  <si>
    <t>PLOT NO. 115, SECTOR C-1, ZONE 4, REGI MODEL TOWN, PESHAWAR.</t>
  </si>
  <si>
    <t>997NPHF213210004</t>
  </si>
  <si>
    <t>SYED AHMED JAWAD</t>
  </si>
  <si>
    <t>42201-0678989-1</t>
  </si>
  <si>
    <t>PLOT NO. 491F, GULSHAN E ROOMI, SURVEY NO. 67,68,69,70,80,81,82,97,381,382,438 &amp; 439, DEH MEHRAN TAPPO MALIR, KARACHI.</t>
  </si>
  <si>
    <t>997NPHF213210005</t>
  </si>
  <si>
    <t>NASAR AHMAD TARAR</t>
  </si>
  <si>
    <t>34302-9710349-9</t>
  </si>
  <si>
    <t>HOUSE NO. P-514/D, EDEN VALLEY, 208, CHAK ROAD, FAISALABAD.</t>
  </si>
  <si>
    <t>9976BUY213220001</t>
  </si>
  <si>
    <t>KIRSHAN</t>
  </si>
  <si>
    <t>43103-1394965-3</t>
  </si>
  <si>
    <t>FLAT NO. 806, 8TH FLOOR, CLIFTON VIEW APARTMENTS, PLOT / SURVEY NO. 23, SHEET NO. FT 3, FRERE TOWN QUARTERS, KARACHI</t>
  </si>
  <si>
    <t>997NPHF213220002</t>
  </si>
  <si>
    <t>MUHAMMAD MOHSIN</t>
  </si>
  <si>
    <t>45502-0805119-5</t>
  </si>
  <si>
    <t>HOUSE NO 96, ALI BLOCK, BAHRIA TOWN, LAHORE.</t>
  </si>
  <si>
    <t>997HREN213220001</t>
  </si>
  <si>
    <t>ATHER HASSAN</t>
  </si>
  <si>
    <t>42101-5514597-3</t>
  </si>
  <si>
    <t>HOUSE NO. B-154, BLOCK -14, KDA SCHEME NO 36,  GULISTAN E JOHAR, KARACHI.</t>
  </si>
  <si>
    <t>9976REN213220002</t>
  </si>
  <si>
    <t>OMAR MASRUR</t>
  </si>
  <si>
    <t>70258-6431532-1</t>
  </si>
  <si>
    <t>HOUSE NO 696/4, BLOCK Z, PHASE III, DHA, LAHORE.</t>
  </si>
  <si>
    <t>997NPHF213220001</t>
  </si>
  <si>
    <t>MUHAMMAD NOUMAN FAISAL</t>
  </si>
  <si>
    <t>31202-0288508-9</t>
  </si>
  <si>
    <t>HOUSE NO. 1348-D, STREET 54, F-17/2, ISLAMABAD.</t>
  </si>
  <si>
    <t>997NPHF213230001</t>
  </si>
  <si>
    <t>YASIR IMRAN</t>
  </si>
  <si>
    <t>34502-3277704-7</t>
  </si>
  <si>
    <t>HOUSE NO 86, SALEEM BLOCK , IFTEKHAR TOWN, HADBAST MOUZA NIAZ BAIG, LAHORE.</t>
  </si>
  <si>
    <t>997NPHF213260001</t>
  </si>
  <si>
    <t>MUBESHER JAVED</t>
  </si>
  <si>
    <t>37405-3397617-1</t>
  </si>
  <si>
    <t>KHASRA NO. 485/486, KHEWAT NO. 300/287, KHATOONI NO. 370, AT MOUZA KHAMAN TEHSIL &amp; DISTRICT RAWALPINDI.</t>
  </si>
  <si>
    <t>997NPHF213270005</t>
  </si>
  <si>
    <t>JAHANGIR SHAH</t>
  </si>
  <si>
    <t>31101-1553605-7</t>
  </si>
  <si>
    <t>KHEWAT NO. 659, KHATOONI NO. 929, HAMZA TOWN, PHASE II, HADBAST MOUZA KAHNA NAK, TAHSIL MODEL TOWN, LAHORE</t>
  </si>
  <si>
    <t>997NPHF213270006</t>
  </si>
  <si>
    <t>ASIF YOUNAS</t>
  </si>
  <si>
    <t>36502-4653659-5</t>
  </si>
  <si>
    <t>KHASRA NO 2653/99, KHEWAT NO. 2477, KHATOONI NO. 2586, STREET NO. 3, MODERN COLONY MEDICAL CENTER, KOT LAKH PATROAR, LAHORE.</t>
  </si>
  <si>
    <t>997NPHF213270007</t>
  </si>
  <si>
    <t>NABAZ SHARIF</t>
  </si>
  <si>
    <t>42101-1027794-1</t>
  </si>
  <si>
    <t>FLAT NO. A-18, 2ND FLOOR, AL SHAMS COMPLEX, PLOT NO.A, SUB SURVEY NO. 248, DEH OKEWARI, TAPPO SONGAL , BLOCK NO 19, KDA SCHEME 36, GULISTAN E JHR. KARACHI</t>
  </si>
  <si>
    <t>997HBUY213270001</t>
  </si>
  <si>
    <t>JAI KUMAR</t>
  </si>
  <si>
    <t>42501-4484635-3</t>
  </si>
  <si>
    <t>FLAT NO. 405, 4TH FLOOR, TYPE- A, WEST POINT TOWER PLOT NO. C-23, NATIONAL HIGHWAY MAIN KORANGI ROAD PHASE II- DHA KARACHI.</t>
  </si>
  <si>
    <t>997NPHF213290001</t>
  </si>
  <si>
    <t>ZAFFAR MEHMOOD</t>
  </si>
  <si>
    <t>61101-1977107-3</t>
  </si>
  <si>
    <t>KHEWAT NO. 266, KHATOONI NO. 414, KHASRA 1808, MOUZA KHOTA KALLAN DISTRICT RAWALPINDI.</t>
  </si>
  <si>
    <t>997HBUY213300004</t>
  </si>
  <si>
    <t>ZAREEF KHAN</t>
  </si>
  <si>
    <t>56503-1848140-1</t>
  </si>
  <si>
    <t>HOUSE NO. 54, KHAYABAN E  SUHURWARDI G-6/4, ISLAMABAD.</t>
  </si>
  <si>
    <t>997HBUY213300002</t>
  </si>
  <si>
    <t>KHURRAM AMIN</t>
  </si>
  <si>
    <t>42301-8843698-9</t>
  </si>
  <si>
    <t>FLAT NO. C-4, 2ND FLOOR, PLOAT NO. 4/C, ZAMZAMA COMMERCIAL LANE 04, PHASE V, DHA, KARACHI.</t>
  </si>
  <si>
    <t>9976BUY213300001</t>
  </si>
  <si>
    <t>MUHAMMAD RAFIQUE CHOUDHRY</t>
  </si>
  <si>
    <t>42301-2062307-3</t>
  </si>
  <si>
    <t>HOUSE NO. 8/11/A, 18TH STREET, PHASE V, DHA KARACHI.</t>
  </si>
  <si>
    <t>997NPHF213330001</t>
  </si>
  <si>
    <t>ADNAN HASSAN</t>
  </si>
  <si>
    <t>37405-3717501-1</t>
  </si>
  <si>
    <t>HOUSE NO. 695, STREET NO. 28, SECTOR 01, GULSHAN BANO, ADYALA ROAD, RAWALPINDI.</t>
  </si>
  <si>
    <t>997NPHF213330002</t>
  </si>
  <si>
    <t>SYED SHOAIB ALI SHAH</t>
  </si>
  <si>
    <t>42201-9285705-5</t>
  </si>
  <si>
    <t>FLAT NO. 205, 2ND FLOOR, BILLYS SHOPPING GALLERIA &amp; RESIDENCY, PLOT NO. 18, DEH OKEWARI , KDA SCHEME NO.36, GULISTAN E JOHAR, KARACHI.</t>
  </si>
  <si>
    <t>997NPHF213330003</t>
  </si>
  <si>
    <t>SYED KHISAL KAZMI</t>
  </si>
  <si>
    <t>42101-5429101-9</t>
  </si>
  <si>
    <t>FLAT NO. A-2, 1ST FLOOR, MARIUM CENTER PHASE-II, SUB-PLOT NO. SC-8/A-2, PLOT NO. SC-8, BLOCK-H, KDA SCHEME NO. 2. NORTH NAZIMABAD, KARACHI.</t>
  </si>
  <si>
    <t>997NPHF213330004</t>
  </si>
  <si>
    <t>MUHAMMAD SHAHZAD AHMED</t>
  </si>
  <si>
    <t>42301-3061125-5</t>
  </si>
  <si>
    <t>HOUSE NO. L-658, SECTOR NO. 4-B, KDA SCHEME NO. 41, SURJANI TOWN, KARACHI.</t>
  </si>
  <si>
    <t>997NPHF213330005</t>
  </si>
  <si>
    <t>MUHAMMAD UMAR</t>
  </si>
  <si>
    <t>42101-1221908-9</t>
  </si>
  <si>
    <t>FLAT NO.  B-306/3, 3RD FLOOR, FAIZA AVENUE, SUB PLOT NO. FL-1/ST-11/3/VI, PLOT NO. FL-1 (ST-11) SECTOR NO 11-C-1, NORTH KARACHI TOWNSHIP, KARACHI.</t>
  </si>
  <si>
    <t>997NPHF213340001</t>
  </si>
  <si>
    <t>SHERAZ SALEEM KHAN</t>
  </si>
  <si>
    <t>41304-2295575-7</t>
  </si>
  <si>
    <t>FLAT NO. A-207, 2ND FLOOR, SALMAN TERRACE-III, PLOT NO SB-8, SURVEY NO. 274,301 TO 303 &amp; 514, DEH DRIGH TAPO MALIR, KARACHI.</t>
  </si>
  <si>
    <t>997NPHF213340002</t>
  </si>
  <si>
    <t>MUHAMMAD ZAFAR</t>
  </si>
  <si>
    <t>33100-2577210-1</t>
  </si>
  <si>
    <t>HOUSE NO. 47, STREET NO. 1, VIP BLOCK, AL NOOR GARDEN, CHACK NO. 208 RB, FAISALABAD.</t>
  </si>
  <si>
    <t>997NPHF213340003</t>
  </si>
  <si>
    <t>SYED ALI HANI JAFFERY</t>
  </si>
  <si>
    <t>42201-8857411-3</t>
  </si>
  <si>
    <t>FLAT NO. B-204, 2ND FLOOR, ZAINAB PLAZA, SUB PLOT NO. ST-10, BLOCK 17, KDA SCHEME NO 24, GULSHAN E IQBAL, KARACHI.</t>
  </si>
  <si>
    <t>997HREN213340001</t>
  </si>
  <si>
    <t>IBRAHIM AMIN</t>
  </si>
  <si>
    <t>35202-6647199-3</t>
  </si>
  <si>
    <t>APARTMENT NO 42-E, ASKARI 5, WALTON CANTT, LAHORE.</t>
  </si>
  <si>
    <t>997NPHF213340005</t>
  </si>
  <si>
    <t>HUSSAIN</t>
  </si>
  <si>
    <t>42301-5522906-3</t>
  </si>
  <si>
    <t>FLAT NO. 201, 2ND FLOOR, SURVEY SHEET NO. 35-P/1, SURVEY NO SNCC-8, BLOCK NO. 7 &amp;8, KARACHI CO OPERATIVE HOUSING SOCIETY UNION LTD. KARACHI.</t>
  </si>
  <si>
    <t>997NPHF213340006</t>
  </si>
  <si>
    <t>ARSALAN ADIL</t>
  </si>
  <si>
    <t>42101-6326423-7</t>
  </si>
  <si>
    <t>FLAT NO. 11, 3RD FLOOR, ITTEFAQ TERRACE, SUB PLOT NO. SB-12/1, PLOT NO. SB-12, BLOCK 1, KDA SCHEME NO 24, GULSHAN E IQBAL.KARACHI.</t>
  </si>
  <si>
    <t>997NPHF213340007</t>
  </si>
  <si>
    <t>MAHBOOB AHMAD</t>
  </si>
  <si>
    <t>33100-0560472-9</t>
  </si>
  <si>
    <t>HOUSE NO. P-445, SAFFRON ENCLAVE, FOUR SEASON, SAMUNDRI ROAD, FAISALABAD.</t>
  </si>
  <si>
    <t>997NPHF213340008</t>
  </si>
  <si>
    <t>AZMAT AHSAN</t>
  </si>
  <si>
    <t>42201-9759750-0</t>
  </si>
  <si>
    <t>FLAT NO. C-1105, BLOCK NO. III, DANIYAL MEMON TOWER, PLOT C, SECTION 35-A, DEH DOZAN, KDA SCHEME NO. 33, SAADI TOWN ROAD, KARACHI.</t>
  </si>
  <si>
    <t>997HBUY213340002</t>
  </si>
  <si>
    <t>SYEDA UZMA TANVEER H</t>
  </si>
  <si>
    <t>42101-2188720-6</t>
  </si>
  <si>
    <t>HOUSE NO. 44-A/1, 38TH STREET, PHASE VI, DHA, KARACHI.</t>
  </si>
  <si>
    <t>997NPHF213340009</t>
  </si>
  <si>
    <t>MUHAMMAD AHMED</t>
  </si>
  <si>
    <t>33100-2139441-9</t>
  </si>
  <si>
    <t>HOUSE NO. 150, BLOCK-K, NEW GARDEN BLOCK, EDEN GARDEN EXECUTIVE BLOCK, CHAK NO. 208, RB, FAISALABAD.</t>
  </si>
  <si>
    <t>997BFIN213340001</t>
  </si>
  <si>
    <t>KAMRAN ALI CHOUDHARY</t>
  </si>
  <si>
    <t>35201-1526025-5</t>
  </si>
  <si>
    <t>HOUSE NO. 9-A, MIAN COLONY, HADBAST MOUZA ATTARI SAROBA, TEHSIL MODEL TOWN, DISTT LAHORE.</t>
  </si>
  <si>
    <t>9976BUY213340001</t>
  </si>
  <si>
    <t>IMTIAZ AHMED</t>
  </si>
  <si>
    <t>34101-3079492-3</t>
  </si>
  <si>
    <t>HOUSE NO. 34, BLOCK-P, SITUATED IN GULBERG-II, LAHORE.</t>
  </si>
  <si>
    <t>A</t>
  </si>
  <si>
    <t>9976BUY223070002</t>
  </si>
  <si>
    <t>997NPHF223200003</t>
  </si>
  <si>
    <t>997BFIN223340001</t>
  </si>
  <si>
    <t>997BFIN223190001</t>
  </si>
  <si>
    <t>997HBUY223320001</t>
  </si>
  <si>
    <t>997BFIN223220002</t>
  </si>
  <si>
    <t>997NPHF223080001</t>
  </si>
  <si>
    <t>997NPHF223080003</t>
  </si>
  <si>
    <t>997HBUY223210002</t>
  </si>
  <si>
    <t>997HCON223320001</t>
  </si>
  <si>
    <t>997NPHF223340001</t>
  </si>
  <si>
    <t>997HBUY223270001</t>
  </si>
  <si>
    <t>9973PMR223330003</t>
  </si>
  <si>
    <t>9973PMR223330002</t>
  </si>
  <si>
    <t>9973PMR223340005</t>
  </si>
  <si>
    <t>9973PMR223270001</t>
  </si>
  <si>
    <t>9973PMR223180001</t>
  </si>
  <si>
    <t>9973PMR223200004</t>
  </si>
  <si>
    <t>9973PMR223200005</t>
  </si>
  <si>
    <t>9973PMR223250006</t>
  </si>
  <si>
    <t>9973PMR223290001</t>
  </si>
  <si>
    <t>9973PMR223340004</t>
  </si>
  <si>
    <t>RIZWAN YOUNUS</t>
  </si>
  <si>
    <t>Karachi</t>
  </si>
  <si>
    <t>42301-0812390-1</t>
  </si>
  <si>
    <t>HOUSE # SS-1-B, KHAYABAN E JAMI, PHASE II, EXT, DHA, KARACHI.</t>
  </si>
  <si>
    <t>MUHAMMAD FARHAN ANSARI</t>
  </si>
  <si>
    <t>41304-9426651-5</t>
  </si>
  <si>
    <t>FLAT NO. 1/9, 1ST FLOOR, "RAHAT ARCADE", SUB PLOT NO IV, PLOT NO A-1 SECTOR III, BLOCK 19, K.D.A SCHEME NO .36, GULISTAN-E-JAUHAR, KARACHI</t>
  </si>
  <si>
    <t>MUHAMMAD KHALID</t>
  </si>
  <si>
    <t>Faisalabad</t>
  </si>
  <si>
    <t>33100-4050692-3</t>
  </si>
  <si>
    <t xml:space="preserve"> P-134, BLOCK -B, GULSHAN E MADINA PAHSE II, SARGODHA ROAD, FAISALABAD</t>
  </si>
  <si>
    <t>SAJID NASEEM</t>
  </si>
  <si>
    <t>33100-4950315-9</t>
  </si>
  <si>
    <t>HOUSE NO. 53, BLOCK F, EDEN VALLEY, 204 CHAK ROAD, FAISALABAD</t>
  </si>
  <si>
    <t>MUHAMMAD ARIF</t>
  </si>
  <si>
    <t>33100-2352900-7</t>
  </si>
  <si>
    <t>HOUSE # 107, STREET # 3, AL MASOOM TOWN, CHAK # 224/RB, FAISALABAD.</t>
  </si>
  <si>
    <t>AMIR KHAN</t>
  </si>
  <si>
    <t>33100-0663808-9</t>
  </si>
  <si>
    <t>HOUSE NO. 207 STREET NO. 10,  JAMEEL TOWN CHAK.124/B, FAISALABAD</t>
  </si>
  <si>
    <t>ADEEL AHMED KHAN DURRANI</t>
  </si>
  <si>
    <t>42101-8978200-5</t>
  </si>
  <si>
    <t>FLAT # 301/2, 3RD FLOOR,BILLYS GARDEN, SUB PLOT # FL-8/2/17, PLOT # FL-8/2/17, PLOT # 14-A, METROVILLE III, KDA SCHEME # 33, KARACHI.</t>
  </si>
  <si>
    <t>SHAMSHEER ALAM</t>
  </si>
  <si>
    <t>42501-1282149-9</t>
  </si>
  <si>
    <t>HOUSE # 24, BLOCK-A, OGDL EMPLOYEE CO OPERATIVE HOUSING SOCIETY, SURVEY # 258/2, 258/4, 298 &amp; 256, DEH DRIGH ROAD, TALUKA SHAH FAISAL, KORANGI KARACHI</t>
  </si>
  <si>
    <t>MIR ZAMAN KHAN</t>
  </si>
  <si>
    <t>15303-4886436-9</t>
  </si>
  <si>
    <t>HOUSE NO B-145, TYPE B, PCSIR EMPLOYEES CO OPERATIVE SOCTIEY LTD, SECTOR NO 24-A, KDA SCHEME NO 33, KARACHI</t>
  </si>
  <si>
    <t>SYED MUJAHID HUSSAIN JAFRI</t>
  </si>
  <si>
    <t>Lahore</t>
  </si>
  <si>
    <t>33102-1782174-1</t>
  </si>
  <si>
    <t>PLOT # 28 (CORNER), BLOCK -G, SARFARAZ RAFIQUE ROAD, FAZIA  HOUSING SCHEME-1, LAHORE.</t>
  </si>
  <si>
    <t>SIKANDER ABBAS</t>
  </si>
  <si>
    <t>34602-1798026-3</t>
  </si>
  <si>
    <t>HOUSE NO 989, BLOCK 9, SCHEME NO 16, FEDERAL B AREA, KARACHI</t>
  </si>
  <si>
    <t>WAQAS PERVAIZ</t>
  </si>
  <si>
    <t>Islamabad</t>
  </si>
  <si>
    <t>37405-0299311-5</t>
  </si>
  <si>
    <t>HOUSE NO 1540, STREET NO 81, SECTOR I-10/1 ISLAMABAD.</t>
  </si>
  <si>
    <t>SHEIKH ABDUL SATTAR</t>
  </si>
  <si>
    <t>42301-0841514-7</t>
  </si>
  <si>
    <t>HOUSE NO S-54,MEASURING 100 SQ YARDS, KH-E-RIZWAN, PHASE VII, DHA,KARACHI</t>
  </si>
  <si>
    <t>GULZEB RAEES</t>
  </si>
  <si>
    <t>35202-7779958-3</t>
  </si>
  <si>
    <t>PLOT NO 468, BLOCK-X, PHASE-7, DHA, LAHORE</t>
  </si>
  <si>
    <t>KINZA ANJUM</t>
  </si>
  <si>
    <t>35202-1967214-8</t>
  </si>
  <si>
    <t>APPARTMENT NO PT2-17-1703, 17TH FLOOR "PEARL TOWER-2", CRESENT BAY, EMMAR KARACHI, PHASE VIII, DHA, KARACHI</t>
  </si>
  <si>
    <t>SYED ASIF ALI</t>
  </si>
  <si>
    <t>42401-9191435-7</t>
  </si>
  <si>
    <t>FLAT NO A1-413/A, 4th FLOOR, "AL ARIF APARTMENT". PLOT NO 2, BLOCK NO III, SUB BLOCK E, NAZIMABAD, KARACHI</t>
  </si>
  <si>
    <t>ZULQARNAIN BASHER</t>
  </si>
  <si>
    <t>16201-7365419-1</t>
  </si>
  <si>
    <t>HOUSE NO DK-06 (DK-96-M-1 AS PER EXCISE &amp; TAXATION) KHEWAT NO222, KHATOONI NO 226 KHASRA 47, SITUATED AT ASIM KIYANI STREET, TAHLIAN DEHATI RAWALPINDI</t>
  </si>
  <si>
    <t>SYED AFTAB RAZA</t>
  </si>
  <si>
    <t>42201-0242243-1</t>
  </si>
  <si>
    <t>PLOT NO. R-137, BLOCK-14 SITAUTED AT FEDERAL B AREA  KDA SCHEME NO .16 KARACHI.</t>
  </si>
  <si>
    <t>NARESH KUMAR</t>
  </si>
  <si>
    <t>31304-7179282-9</t>
  </si>
  <si>
    <t>FLAT NO A-706, 7TH FLOOR, MEASURING 1090 SQ.FTS,"HAMILTON COURT COMPLEX", SUB PLOT NO IV, PLOT NO G-1, BLOCK 7 KDA SCHEME NO 5, CLIFTON, KARACHI</t>
  </si>
  <si>
    <t>SAIMA SANA</t>
  </si>
  <si>
    <t>41304-0157360-6</t>
  </si>
  <si>
    <t>HOUSE NO A-97, BLOCK III, SAADI TOWN, PAKLAND HOUSING (PRIVATE) LIMITED KDA SCHEME NO 33, KARACHI</t>
  </si>
  <si>
    <t>FAIZ ALI KHAN</t>
  </si>
  <si>
    <t>42401-3016569-1</t>
  </si>
  <si>
    <t>HOUSE # A-93, BLOCK-T, KDA SCHEME # 2, NORTH NAZIMABAD, KARACHI.</t>
  </si>
  <si>
    <t>BASIL NABI MALIK</t>
  </si>
  <si>
    <t>42301-5458623-3</t>
  </si>
  <si>
    <t>APPARTMENT NO CT1-03-0302, 3RD FLOOR, CORAL TOWER-1, NORTH TOWER, CRESENT TOWER, PHASE VIII, DHA KARACHI</t>
  </si>
  <si>
    <t>997HCON223260001</t>
  </si>
  <si>
    <t>JAWAD MAJID KHAN</t>
  </si>
  <si>
    <t>37405-0286906-9</t>
  </si>
  <si>
    <t>PLOT # 70, STREET # B-9/A, BLOCK-B, GULBERG GREENS, ISLAMABAD.</t>
  </si>
  <si>
    <t>KHI/HO/D/FR/ND/P/20679/11/2023</t>
  </si>
  <si>
    <t>KHI/HO/D/FR/ND/P/20680/11/2023</t>
  </si>
  <si>
    <t>KHI/HO/D/FR/ND/P/20681/11/2023</t>
  </si>
  <si>
    <t>KHI/HO/D/FR/ND/P/20682/11/2023</t>
  </si>
  <si>
    <t>KHI/HO/D/FR/ND/P/20683/11/2023</t>
  </si>
  <si>
    <t>KHI/HO/D/FR/ND/P/20684/11/2023</t>
  </si>
  <si>
    <t>KHI/HO/D/FR/ND/P/20685/11/2023</t>
  </si>
  <si>
    <t>KHI/HO/D/FR/ND/P/20686/11/2023</t>
  </si>
  <si>
    <t>KHI/HO/D/FR/ND/P/20687/11/2023</t>
  </si>
  <si>
    <t>KHI/HO/D/FR/ND/P/20688/11/2023</t>
  </si>
  <si>
    <t>KHI/HO/D/FR/ND/P/20689/11/2023</t>
  </si>
  <si>
    <t>KHI/HO/D/FR/ND/P/20690/11/2023</t>
  </si>
  <si>
    <t>KHI/HO/D/FR/ND/P/20691/11/2023</t>
  </si>
  <si>
    <t>KHI/HO/D/FR/ND/P/20692/11/2023</t>
  </si>
  <si>
    <t>KHI/HO/D/FR/ND/P/20693/11/2023</t>
  </si>
  <si>
    <t>KHI/HO/D/FR/ND/P/20694/11/2023</t>
  </si>
  <si>
    <t>KHI/HO/D/FR/ND/P/20695/11/2023</t>
  </si>
  <si>
    <t>KHI/HO/D/FR/ND/P/20696/11/2023</t>
  </si>
  <si>
    <t>KHI/HO/D/FR/ND/P/20697/11/2023</t>
  </si>
  <si>
    <t>KHI/HO/D/FR/ND/P/20698/11/2023</t>
  </si>
  <si>
    <t>KHI/HO/D/FR/ND/P/20699/11/2023</t>
  </si>
  <si>
    <t>KHI/HO/D/FR/ND/P/20700/11/2023</t>
  </si>
  <si>
    <t>KHI/HO/D/FR/ND/P/20701/11/2023</t>
  </si>
  <si>
    <t>KHI/HO/D/FR/ND/P/20702/11/2023</t>
  </si>
  <si>
    <t>KHI/HO/D/FR/ND/P/20703/11/2023</t>
  </si>
  <si>
    <t>KHI/HO/D/FR/ND/P/20704/11/2023</t>
  </si>
  <si>
    <t>KHI/HO/D/FR/ND/P/20705/11/2023</t>
  </si>
  <si>
    <t>KHI/HO/D/FR/ND/P/20706/11/2023</t>
  </si>
  <si>
    <t>KHI/HO/D/FR/ND/P/20707/11/2023</t>
  </si>
  <si>
    <t>KHI/HO/D/FR/ND/P/20708/11/2023</t>
  </si>
  <si>
    <t>KHI/HO/D/FR/ND/P/20709/11/2023</t>
  </si>
  <si>
    <t>KHI/HO/D/FR/ND/P/20710/11/2023</t>
  </si>
  <si>
    <t>KHI/HO/D/FR/ND/P/20711/11/2023</t>
  </si>
  <si>
    <t>KHI/HO/D/FR/ND/P/20712/11/2023</t>
  </si>
  <si>
    <t>KHI/HO/D/FR/ND/P/20713/11/2023</t>
  </si>
  <si>
    <t>KHI/HO/D/FR/ND/P/20714/11/2023</t>
  </si>
  <si>
    <t>KHI/HO/D/FR/ND/P/20715/11/2023</t>
  </si>
  <si>
    <t>KHI/HO/D/FR/ND/P/20716/11/2023</t>
  </si>
  <si>
    <t>KHI/HO/D/FR/ND/P/20717/11/2023</t>
  </si>
  <si>
    <t>KHI/HO/D/FR/ND/P/20718/11/2023</t>
  </si>
  <si>
    <t>KHI/HO/D/FR/ND/P/20719/11/2023</t>
  </si>
  <si>
    <t>KHI/HO/D/FR/ND/P/20720/11/2023</t>
  </si>
  <si>
    <t>KHI/HO/D/FR/ND/P/20721/11/2023</t>
  </si>
  <si>
    <t>KHI/HO/D/FR/ND/P/20722/11/2023</t>
  </si>
  <si>
    <t>KHI/HO/D/FR/ND/P/20723/11/2023</t>
  </si>
  <si>
    <t>KHI/HO/D/FR/ND/P/20724/11/2023</t>
  </si>
  <si>
    <t>KHI/HO/D/FR/ND/P/20725/11/2023</t>
  </si>
  <si>
    <t>KHI/HO/D/FR/ND/P/20726/11/2023</t>
  </si>
  <si>
    <t>KHI/HO/D/FR/ND/P/20727/11/2023</t>
  </si>
  <si>
    <t>KHI/HO/D/FR/ND/P/20728/11/2023</t>
  </si>
  <si>
    <t>KHI/HO/D/FR/ND/P/20729/11/2023</t>
  </si>
  <si>
    <t>KHI/HO/D/FR/ND/P/20730/11/2023</t>
  </si>
  <si>
    <t>KHI/HO/D/FR/ND/P/20731/11/2023</t>
  </si>
  <si>
    <t>KHI/HO/D/FR/ND/P/20732/11/2023</t>
  </si>
  <si>
    <t>KHI/HO/D/FR/ND/P/20733/11/2023</t>
  </si>
  <si>
    <t>KHI/HO/D/FR/ND/P/20734/11/2023</t>
  </si>
  <si>
    <t>KHI/HO/D/FR/ND/P/20735/11/2023</t>
  </si>
  <si>
    <t>KHI/HO/D/FR/ND/P/20736/11/2023</t>
  </si>
  <si>
    <t>KHI/HO/D/FR/ND/P/20737/11/2023</t>
  </si>
  <si>
    <t>KHI/HO/D/FR/ND/P/20738/11/2023</t>
  </si>
  <si>
    <t>KHI/HO/D/FR/ND/P/20739/11/2023</t>
  </si>
  <si>
    <t>KHI/HO/D/FR/ND/P/20740/11/2023</t>
  </si>
  <si>
    <t>KHI/HO/D/FR/ND/P/20741/11/2023</t>
  </si>
  <si>
    <t>KHI/HO/D/FR/ND/P/20742/11/2023</t>
  </si>
  <si>
    <t>KHI/HO/D/FR/ND/P/20743/11/2023</t>
  </si>
  <si>
    <t>KHI/HO/D/FR/ND/P/20744/11/2023</t>
  </si>
  <si>
    <t>KHI/HO/D/FR/ND/P/20745/11/2023</t>
  </si>
  <si>
    <t>KHI/HO/D/FR/ND/P/20746/11/2023</t>
  </si>
  <si>
    <t>KHI/HO/D/FR/ND/P/20747/11/2023</t>
  </si>
  <si>
    <t>KHI/HO/D/FR/ND/P/20748/11/2023</t>
  </si>
  <si>
    <t>KHI/HO/D/FR/ND/P/20749/11/2023</t>
  </si>
  <si>
    <t>KHI/HO/D/FR/ND/P/20750/11/2023</t>
  </si>
  <si>
    <t>KHI/HO/D/FR/ND/P/20751/11/2023</t>
  </si>
  <si>
    <t>KHI/HO/D/FR/ND/P/20752/11/2023</t>
  </si>
  <si>
    <t>KHI/HO/D/FR/ND/P/20753/11/2023</t>
  </si>
  <si>
    <t>KHI/HO/D/FR/ND/P/20754/11/2023</t>
  </si>
  <si>
    <t>KHI/HO/D/FR/ND/P/20755/11/2023</t>
  </si>
  <si>
    <t>KHI/HO/D/FR/ND/P/20756/11/2023</t>
  </si>
  <si>
    <t>KHI/HO/D/FR/ND/P/20757/11/2023</t>
  </si>
  <si>
    <t>KHI/HO/D/FR/ND/P/20758/11/2023</t>
  </si>
  <si>
    <t>KHI/HO/D/FR/ND/P/20759/11/2023</t>
  </si>
  <si>
    <t>KHI/HO/D/FR/ND/P/20760/11/2023</t>
  </si>
  <si>
    <t>KHI/HO/D/FR/ND/P/20761/11/2023</t>
  </si>
  <si>
    <t>KHI/HO/D/FR/ND/P/20762/11/2023</t>
  </si>
  <si>
    <t>KHI/HO/D/FR/ND/P/20763/11/2023</t>
  </si>
  <si>
    <t>KHI/HO/D/FR/ND/P/20764/11/2023</t>
  </si>
  <si>
    <t>KHI/HO/D/FR/ND/P/20765/11/2023</t>
  </si>
  <si>
    <t>KHI/HO/D/FR/ND/P/20766/11/2023</t>
  </si>
  <si>
    <t>KHI/HO/D/FR/ND/P/20767/11/2023</t>
  </si>
  <si>
    <t>KHI/HO/D/FR/ND/P/20768/11/2023</t>
  </si>
  <si>
    <t>KHI/HO/D/FR/ND/P/20769/11/2023</t>
  </si>
  <si>
    <t>KHI/HO/D/FR/ND/P/20770/11/2023</t>
  </si>
  <si>
    <t>KHI/HO/D/FR/ND/P/20771/11/2023</t>
  </si>
  <si>
    <t>KHI/HO/D/FR/ND/P/20772/11/2023</t>
  </si>
  <si>
    <t>KHI/HO/D/FR/ND/P/20773/11/2023</t>
  </si>
  <si>
    <t>KHI/HO/D/FR/ND/P/20774/11/2023</t>
  </si>
  <si>
    <t>KHI/HO/D/FR/ND/P/20775/11/2023</t>
  </si>
  <si>
    <t>KHI/HO/D/FR/ND/P/20776/11/2023</t>
  </si>
  <si>
    <t>KHI/HO/D/FR/ND/P/20777/11/2023</t>
  </si>
  <si>
    <t>KHI/HO/D/FR/ND/P/20778/11/2023</t>
  </si>
  <si>
    <t>KHI/HO/D/FR/ND/P/20779/11/2023</t>
  </si>
  <si>
    <t>KHI/HO/D/FR/ND/P/20780/11/2023</t>
  </si>
  <si>
    <t>KHI/HO/D/FR/ND/P/20781/11/2023</t>
  </si>
  <si>
    <t>KHI/HO/D/FR/ND/P/20782/11/2023</t>
  </si>
  <si>
    <t>KHI/HO/D/FR/ND/P/20783/11/2023</t>
  </si>
  <si>
    <t>KHI/HO/D/FR/ND/P/20784/11/2023</t>
  </si>
  <si>
    <t>KHI/HO/D/FR/ND/P/20785/11/2023</t>
  </si>
  <si>
    <t>Net Contribution</t>
  </si>
  <si>
    <t>STL PMD #</t>
  </si>
  <si>
    <t>20Aug240150</t>
  </si>
  <si>
    <t>KHI-HO-D-FR-ND-P-20679-11-2023</t>
  </si>
  <si>
    <t>KHI-HO-D-FR-ND-P-20680-11-2023</t>
  </si>
  <si>
    <t>KHI-HO-D-FR-ND-P-20681-11-2023</t>
  </si>
  <si>
    <t>KHI-HO-D-FR-ND-P-20682-11-2023</t>
  </si>
  <si>
    <t>KHI-HO-D-FR-ND-P-20683-11-2023</t>
  </si>
  <si>
    <t>KHI-HO-D-FR-ND-P-20684-11-2023</t>
  </si>
  <si>
    <t>KHI-HO-D-FR-ND-P-20685-11-2023</t>
  </si>
  <si>
    <t>KHI-HO-D-FR-ND-P-20686-11-2023</t>
  </si>
  <si>
    <t>KHI-HO-D-FR-ND-P-20687-11-2023</t>
  </si>
  <si>
    <t>KHI-HO-D-FR-ND-P-20688-11-2023</t>
  </si>
  <si>
    <t>KHI-HO-D-FR-ND-P-20689-11-2023</t>
  </si>
  <si>
    <t>KHI-HO-D-FR-ND-P-20690-11-2023</t>
  </si>
  <si>
    <t>KHI-HO-D-FR-ND-P-20691-11-2023</t>
  </si>
  <si>
    <t>KHI-HO-D-FR-ND-P-20692-11-2023</t>
  </si>
  <si>
    <t>KHI-HO-D-FR-ND-P-20693-11-2023</t>
  </si>
  <si>
    <t>KHI-HO-D-FR-ND-P-20694-11-2023</t>
  </si>
  <si>
    <t>KHI-HO-D-FR-ND-P-20695-11-2023</t>
  </si>
  <si>
    <t>KHI-HO-D-FR-ND-P-20696-11-2023</t>
  </si>
  <si>
    <t>KHI-HO-D-FR-ND-P-20697-11-2023</t>
  </si>
  <si>
    <t>KHI-HO-D-FR-ND-P-20698-11-2023</t>
  </si>
  <si>
    <t>KHI-HO-D-FR-ND-P-20699-11-2023</t>
  </si>
  <si>
    <t>KHI-HO-D-FR-ND-P-20700-11-2023</t>
  </si>
  <si>
    <t>KHI-HO-D-FR-ND-P-20701-11-2023</t>
  </si>
  <si>
    <t>KHI-HO-D-FR-ND-P-20702-11-2023</t>
  </si>
  <si>
    <t>KHI-HO-D-FR-ND-P-20703-11-2023</t>
  </si>
  <si>
    <t>KHI-HO-D-FR-ND-P-20704-11-2023</t>
  </si>
  <si>
    <t>KHI-HO-D-FR-ND-P-20705-11-2023</t>
  </si>
  <si>
    <t>KHI-HO-D-FR-ND-P-20706-11-2023</t>
  </si>
  <si>
    <t>KHI-HO-D-FR-ND-P-20707-11-2023</t>
  </si>
  <si>
    <t>KHI-HO-D-FR-ND-P-20708-11-2023</t>
  </si>
  <si>
    <t>KHI-HO-D-FR-ND-P-20709-11-2023</t>
  </si>
  <si>
    <t>KHI-HO-D-FR-ND-P-20710-11-2023</t>
  </si>
  <si>
    <t>KHI-HO-D-FR-ND-P-20711-11-2023</t>
  </si>
  <si>
    <t>KHI-HO-D-FR-ND-P-20712-11-2023</t>
  </si>
  <si>
    <t>KHI-HO-D-FR-ND-P-20713-11-2023</t>
  </si>
  <si>
    <t>KHI-HO-D-FR-ND-P-20714-11-2023</t>
  </si>
  <si>
    <t>KHI-HO-D-FR-ND-P-20715-11-2023</t>
  </si>
  <si>
    <t>KHI-HO-D-FR-ND-P-20716-11-2023</t>
  </si>
  <si>
    <t>KHI-HO-D-FR-ND-P-20717-11-2023</t>
  </si>
  <si>
    <t>KHI-HO-D-FR-ND-P-20718-11-2023</t>
  </si>
  <si>
    <t>KHI-HO-D-FR-ND-P-20719-11-2023</t>
  </si>
  <si>
    <t>KHI-HO-D-FR-ND-P-20720-11-2023</t>
  </si>
  <si>
    <t>KHI-HO-D-FR-ND-P-20721-11-2023</t>
  </si>
  <si>
    <t>KHI-HO-D-FR-ND-P-20722-11-2023</t>
  </si>
  <si>
    <t>KHI-HO-D-FR-ND-P-20723-11-2023</t>
  </si>
  <si>
    <t>KHI-HO-D-FR-ND-P-20724-11-2023</t>
  </si>
  <si>
    <t>KHI-HO-D-FR-ND-P-20725-11-2023</t>
  </si>
  <si>
    <t>KHI-HO-D-FR-ND-P-20726-11-2023</t>
  </si>
  <si>
    <t>KHI-HO-D-FR-ND-P-20727-11-2023</t>
  </si>
  <si>
    <t>KHI-HO-D-FR-ND-P-20728-11-2023</t>
  </si>
  <si>
    <t>KHI-HO-D-FR-ND-P-20729-11-2023</t>
  </si>
  <si>
    <t>KHI-HO-D-FR-ND-P-20730-11-2023</t>
  </si>
  <si>
    <t>KHI-HO-D-FR-ND-P-20731-11-2023</t>
  </si>
  <si>
    <t>KHI-HO-D-FR-ND-P-20732-11-2023</t>
  </si>
  <si>
    <t>KHI-HO-D-FR-ND-P-20733-11-2023</t>
  </si>
  <si>
    <t>KHI-HO-D-FR-ND-P-20734-11-2023</t>
  </si>
  <si>
    <t>KHI-HO-D-FR-ND-P-20735-11-2023</t>
  </si>
  <si>
    <t>KHI-HO-D-FR-ND-P-20736-11-2023</t>
  </si>
  <si>
    <t>KHI-HO-D-FR-ND-P-20737-11-2023</t>
  </si>
  <si>
    <t>KHI-HO-D-FR-ND-P-20738-11-2023</t>
  </si>
  <si>
    <t>KHI-HO-D-FR-ND-P-20739-11-2023</t>
  </si>
  <si>
    <t>KHI-HO-D-FR-ND-P-20740-11-2023</t>
  </si>
  <si>
    <t>KHI-HO-D-FR-ND-P-20741-11-2023</t>
  </si>
  <si>
    <t>KHI-HO-D-FR-ND-P-20742-11-2023</t>
  </si>
  <si>
    <t>KHI-HO-D-FR-ND-P-20743-11-2023</t>
  </si>
  <si>
    <t>KHI-HO-D-FR-ND-P-20744-11-2023</t>
  </si>
  <si>
    <t>KHI-HO-D-FR-ND-P-20745-11-2023</t>
  </si>
  <si>
    <t>KHI-HO-D-FR-ND-P-20746-11-2023</t>
  </si>
  <si>
    <t>KHI-HO-D-FR-ND-P-20747-11-2023</t>
  </si>
  <si>
    <t>KHI-HO-D-FR-ND-P-20748-11-2023</t>
  </si>
  <si>
    <t>KHI-HO-D-FR-ND-P-20749-11-2023</t>
  </si>
  <si>
    <t>KHI-HO-D-FR-ND-P-20750-11-2023</t>
  </si>
  <si>
    <t>KHI-HO-D-FR-ND-P-20751-11-2023</t>
  </si>
  <si>
    <t>KHI-HO-D-FR-ND-P-20752-11-2023</t>
  </si>
  <si>
    <t>KHI-HO-D-FR-ND-P-20753-11-2023</t>
  </si>
  <si>
    <t>KHI-HO-D-FR-ND-P-20754-11-2023</t>
  </si>
  <si>
    <t>KHI-HO-D-FR-ND-P-20755-11-2023</t>
  </si>
  <si>
    <t>KHI-HO-D-FR-ND-P-20756-11-2023</t>
  </si>
  <si>
    <t>KHI-HO-D-FR-ND-P-20757-11-2023</t>
  </si>
  <si>
    <t>KHI-HO-D-FR-ND-P-20758-11-2023</t>
  </si>
  <si>
    <t>KHI-HO-D-FR-ND-P-20759-11-2023</t>
  </si>
  <si>
    <t>KHI-HO-D-FR-ND-P-20760-11-2023</t>
  </si>
  <si>
    <t>KHI-HO-D-FR-ND-P-20761-11-2023</t>
  </si>
  <si>
    <t>KHI-HO-D-FR-ND-P-20762-11-2023</t>
  </si>
  <si>
    <t>KHI-HO-D-FR-ND-P-20763-11-2023</t>
  </si>
  <si>
    <t>KHI-HO-D-FR-ND-P-20764-11-2023</t>
  </si>
  <si>
    <t>KHI-HO-D-FR-ND-P-20765-11-2023</t>
  </si>
  <si>
    <t>KHI-HO-D-FR-ND-P-20766-11-2023</t>
  </si>
  <si>
    <t>KHI-HO-D-FR-ND-P-20767-11-2023</t>
  </si>
  <si>
    <t>KHI-HO-D-FR-ND-P-20768-11-2023</t>
  </si>
  <si>
    <t>KHI-HO-D-FR-ND-P-20769-11-2023</t>
  </si>
  <si>
    <t>KHI-HO-D-FR-ND-P-20770-11-2023</t>
  </si>
  <si>
    <t>KHI-HO-D-FR-ND-P-20771-11-2023</t>
  </si>
  <si>
    <t>KHI-HO-D-FR-ND-P-20772-11-2023</t>
  </si>
  <si>
    <t>KHI-HO-D-FR-ND-P-20773-11-2023</t>
  </si>
  <si>
    <t>KHI-HO-D-FR-ND-P-20774-11-2023</t>
  </si>
  <si>
    <t>KHI-HO-D-FR-ND-P-20775-11-2023</t>
  </si>
  <si>
    <t>KHI-HO-D-FR-ND-P-20776-11-2023</t>
  </si>
  <si>
    <t>KHI-HO-D-FR-ND-P-20777-11-2023</t>
  </si>
  <si>
    <t>KHI-HO-D-FR-ND-P-20778-11-2023</t>
  </si>
  <si>
    <t>KHI-HO-D-FR-ND-P-20779-11-2023</t>
  </si>
  <si>
    <t>KHI-HO-D-FR-ND-P-20780-11-2023</t>
  </si>
  <si>
    <t>KHI-HO-D-FR-ND-P-20781-11-2023</t>
  </si>
  <si>
    <t>KHI-HO-D-FR-ND-P-20782-11-2023</t>
  </si>
  <si>
    <t>KHI-HO-D-FR-ND-P-20783-11-2023</t>
  </si>
  <si>
    <t>KHI-HO-D-FR-ND-P-20784-11-2023</t>
  </si>
  <si>
    <t>KHI-HO-D-FR-ND-P-20785-11-2023</t>
  </si>
  <si>
    <t>KHI</t>
  </si>
  <si>
    <t>HO</t>
  </si>
  <si>
    <t>D</t>
  </si>
  <si>
    <t>FR</t>
  </si>
  <si>
    <t>ND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</si>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</sst>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;@"/>
    <numFmt numFmtId="165" formatCode="#,##0_);\(#,##0\)"/>
    <numFmt numFmtId="169" formatCode="_-* #,##0.00_-;\-* #,##0.00_-;_-* &quot;-&quot;??_-;_-@_-"/>
    <numFmt numFmtId="170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i/>
      <sz val="9"/>
      <color theme="1"/>
      <name val="Trebuchet MS"/>
      <family val="2"/>
    </font>
    <font>
      <b/>
      <sz val="9"/>
      <color indexed="9"/>
      <name val="Trebuchet MS"/>
      <family val="2"/>
    </font>
    <font>
      <b/>
      <sz val="9"/>
      <color theme="1"/>
      <name val="Trebuchet MS"/>
      <family val="2"/>
    </font>
    <font>
      <sz val="9"/>
      <name val="Trebuchet MS"/>
      <family val="2"/>
    </font>
    <font>
      <sz val="9"/>
      <color theme="1"/>
      <name val="Trebuchet MS"/>
      <family val="2"/>
    </font>
    <font>
      <b/>
      <i/>
      <sz val="9"/>
      <color theme="1"/>
      <name val="Trebuchet MS"/>
      <family val="2"/>
    </font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169" fontId="7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8" fontId="1" fillId="0" borderId="0" xfId="0" applyNumberFormat="1" applyFont="1"/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38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38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8" fontId="6" fillId="0" borderId="3" xfId="0" applyNumberFormat="1" applyFont="1" applyBorder="1"/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0" xfId="0"/>
    <xf numFmtId="0" fontId="0" fillId="0" borderId="0" xfId="0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70" fontId="8" fillId="0" borderId="0" xfId="1" applyNumberFormat="1" applyFont="1" applyAlignment="1">
      <alignment vertical="top"/>
    </xf>
    <xf numFmtId="0" fontId="9" fillId="0" borderId="0" xfId="0" applyFont="1"/>
  </cellXfs>
  <cellStyles count="3">
    <cellStyle name="Comma" xfId="1" builtinId="3"/>
    <cellStyle name="Comma 2" xfId="2" xr:uid="{319958B1-F197-4BD9-8F1A-09A5C31EE111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4.xlsx" TargetMode="External"/><Relationship Id="rId1" Type="http://schemas.openxmlformats.org/officeDocument/2006/relationships/externalLinkPath" Target="file:///C:\Users\adil.hassan\Downloads\SHEE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KHI/HO/D/FR/ND/P/20779/11/2023</v>
          </cell>
          <cell r="C2" t="str">
            <v>040000157871</v>
          </cell>
        </row>
        <row r="3">
          <cell r="B3" t="str">
            <v>KHI/HO/D/FR/ND/P/20780/11/2023</v>
          </cell>
          <cell r="C3" t="str">
            <v>040000157872</v>
          </cell>
        </row>
        <row r="4">
          <cell r="B4" t="str">
            <v>KHI/HO/D/FR/ND/P/20783/11/2023</v>
          </cell>
          <cell r="C4" t="str">
            <v>040000157875</v>
          </cell>
        </row>
        <row r="5">
          <cell r="B5" t="str">
            <v>KHI/HO/D/FR/ND/P/20781/11/2023</v>
          </cell>
          <cell r="C5" t="str">
            <v>040000157873</v>
          </cell>
        </row>
        <row r="6">
          <cell r="B6" t="str">
            <v>KHI/HO/D/FR/ND/P/20784/11/2023</v>
          </cell>
          <cell r="C6" t="str">
            <v>040000157876</v>
          </cell>
        </row>
        <row r="7">
          <cell r="B7" t="str">
            <v>KHI/HO/D/FR/ND/P/20785/11/2023</v>
          </cell>
          <cell r="C7" t="str">
            <v>040000157877</v>
          </cell>
        </row>
        <row r="8">
          <cell r="B8" t="str">
            <v>KHI/HO/D/FR/ND/P/20760/11/2023</v>
          </cell>
          <cell r="C8" t="str">
            <v>040000157852</v>
          </cell>
        </row>
        <row r="9">
          <cell r="B9" t="str">
            <v>KHI/HO/D/FR/ND/P/20761/11/2023</v>
          </cell>
          <cell r="C9" t="str">
            <v>040000157853</v>
          </cell>
        </row>
        <row r="10">
          <cell r="B10" t="str">
            <v>KHI/HO/D/FR/ND/P/20763/11/2023</v>
          </cell>
          <cell r="C10" t="str">
            <v>040000157855</v>
          </cell>
        </row>
        <row r="11">
          <cell r="B11" t="str">
            <v>KHI/HO/D/FR/ND/P/20764/11/2023</v>
          </cell>
          <cell r="C11" t="str">
            <v>040000157856</v>
          </cell>
        </row>
        <row r="12">
          <cell r="B12" t="str">
            <v>KHI/HO/D/FR/ND/P/20767/11/2023</v>
          </cell>
          <cell r="C12" t="str">
            <v>040000157859</v>
          </cell>
        </row>
        <row r="13">
          <cell r="B13" t="str">
            <v>KHI/HO/D/FR/ND/P/20766/11/2023</v>
          </cell>
          <cell r="C13" t="str">
            <v>040000157858</v>
          </cell>
        </row>
        <row r="14">
          <cell r="B14" t="str">
            <v>KHI/HO/D/FR/ND/P/20768/11/2023</v>
          </cell>
          <cell r="C14" t="str">
            <v>040000157860</v>
          </cell>
        </row>
        <row r="15">
          <cell r="B15" t="str">
            <v>KHI/HO/D/FR/ND/P/20773/11/2023</v>
          </cell>
          <cell r="C15" t="str">
            <v>040000157865</v>
          </cell>
        </row>
        <row r="16">
          <cell r="B16" t="str">
            <v>KHI/HO/D/FR/ND/P/20772/11/2023</v>
          </cell>
          <cell r="C16" t="str">
            <v>040000157864</v>
          </cell>
        </row>
        <row r="17">
          <cell r="B17" t="str">
            <v>KHI/HO/D/FR/ND/P/20774/11/2023</v>
          </cell>
          <cell r="C17" t="str">
            <v>040000157866</v>
          </cell>
        </row>
        <row r="18">
          <cell r="B18" t="str">
            <v>KHI/HO/D/FR/ND/P/20775/11/2023</v>
          </cell>
          <cell r="C18" t="str">
            <v>040000157867</v>
          </cell>
        </row>
        <row r="19">
          <cell r="B19" t="str">
            <v>KHI/HO/D/FR/ND/P/20777/11/2023</v>
          </cell>
          <cell r="C19" t="str">
            <v>040000157869</v>
          </cell>
        </row>
        <row r="20">
          <cell r="B20" t="str">
            <v>KHI/HO/D/FR/ND/P/20770/11/2023</v>
          </cell>
          <cell r="C20" t="str">
            <v>040000157862</v>
          </cell>
        </row>
        <row r="21">
          <cell r="B21" t="str">
            <v>KHI/HO/D/FR/ND/P/20771/11/2023</v>
          </cell>
          <cell r="C21" t="str">
            <v>040000157863</v>
          </cell>
        </row>
        <row r="22">
          <cell r="B22" t="str">
            <v>KHI/HO/D/FR/ND/P/20778/11/2023</v>
          </cell>
          <cell r="C22" t="str">
            <v>040000157870</v>
          </cell>
        </row>
        <row r="23">
          <cell r="B23" t="str">
            <v>KHI/HO/D/FR/ND/P/20782/11/2023</v>
          </cell>
          <cell r="C23" t="str">
            <v>040000157874</v>
          </cell>
        </row>
        <row r="24">
          <cell r="B24" t="str">
            <v>KHI/HO/D/FR/ND/P/20738/11/2023</v>
          </cell>
          <cell r="C24" t="str">
            <v>040000157830</v>
          </cell>
        </row>
        <row r="25">
          <cell r="B25" t="str">
            <v>KHI/HO/D/FR/ND/P/20739/11/2023</v>
          </cell>
          <cell r="C25" t="str">
            <v>040000157831</v>
          </cell>
        </row>
        <row r="26">
          <cell r="B26" t="str">
            <v>KHI/HO/D/FR/ND/P/20740/11/2023</v>
          </cell>
          <cell r="C26" t="str">
            <v>040000157832</v>
          </cell>
        </row>
        <row r="27">
          <cell r="B27" t="str">
            <v>KHI/HO/D/FR/ND/P/20755/11/2023</v>
          </cell>
          <cell r="C27" t="str">
            <v>040000157847</v>
          </cell>
        </row>
        <row r="28">
          <cell r="B28" t="str">
            <v>KHI/HO/D/FR/ND/P/20758/11/2023</v>
          </cell>
          <cell r="C28" t="str">
            <v>040000157850</v>
          </cell>
        </row>
        <row r="29">
          <cell r="B29" t="str">
            <v>KHI/HO/D/FR/ND/P/20762/11/2023</v>
          </cell>
          <cell r="C29" t="str">
            <v>040000157854</v>
          </cell>
        </row>
        <row r="30">
          <cell r="B30" t="str">
            <v>KHI/HO/D/FR/ND/P/20765/11/2023</v>
          </cell>
          <cell r="C30" t="str">
            <v>040000157857</v>
          </cell>
        </row>
        <row r="31">
          <cell r="B31" t="str">
            <v>KHI/HO/D/FR/ND/P/20742/11/2023</v>
          </cell>
          <cell r="C31" t="str">
            <v>040000157834</v>
          </cell>
        </row>
        <row r="32">
          <cell r="B32" t="str">
            <v>KHI/HO/D/FR/ND/P/20743/11/2023</v>
          </cell>
          <cell r="C32" t="str">
            <v>040000157835</v>
          </cell>
        </row>
        <row r="33">
          <cell r="B33" t="str">
            <v>KHI/HO/D/FR/ND/P/20744/11/2023</v>
          </cell>
          <cell r="C33" t="str">
            <v>040000157836</v>
          </cell>
        </row>
        <row r="34">
          <cell r="B34" t="str">
            <v>KHI/HO/D/FR/ND/P/20747/11/2023</v>
          </cell>
          <cell r="C34" t="str">
            <v>040000157839</v>
          </cell>
        </row>
        <row r="35">
          <cell r="B35" t="str">
            <v>KHI/HO/D/FR/ND/P/20746/11/2023</v>
          </cell>
          <cell r="C35" t="str">
            <v>040000157838</v>
          </cell>
        </row>
        <row r="36">
          <cell r="B36" t="str">
            <v>KHI/HO/D/FR/ND/P/20748/11/2023</v>
          </cell>
          <cell r="C36" t="str">
            <v>040000157840</v>
          </cell>
        </row>
        <row r="37">
          <cell r="B37" t="str">
            <v>KHI/HO/D/FR/ND/P/20751/11/2023</v>
          </cell>
          <cell r="C37" t="str">
            <v>040000157843</v>
          </cell>
        </row>
        <row r="38">
          <cell r="B38" t="str">
            <v>KHI/HO/D/FR/ND/P/20750/11/2023</v>
          </cell>
          <cell r="C38" t="str">
            <v>040000157842</v>
          </cell>
        </row>
        <row r="39">
          <cell r="B39" t="str">
            <v>KHI/HO/D/FR/ND/P/20729/11/2023</v>
          </cell>
          <cell r="C39" t="str">
            <v>040000157821</v>
          </cell>
        </row>
        <row r="40">
          <cell r="B40" t="str">
            <v>KHI/HO/D/FR/ND/P/20730/11/2023</v>
          </cell>
          <cell r="C40" t="str">
            <v>040000157822</v>
          </cell>
        </row>
        <row r="41">
          <cell r="B41" t="str">
            <v>KHI/HO/D/FR/ND/P/20733/11/2023</v>
          </cell>
          <cell r="C41" t="str">
            <v>040000157825</v>
          </cell>
        </row>
        <row r="42">
          <cell r="B42" t="str">
            <v>KHI/HO/D/FR/ND/P/20741/11/2023</v>
          </cell>
          <cell r="C42" t="str">
            <v>040000157833</v>
          </cell>
        </row>
        <row r="43">
          <cell r="B43" t="str">
            <v>KHI/HO/D/FR/ND/P/20745/11/2023</v>
          </cell>
          <cell r="C43" t="str">
            <v>040000157837</v>
          </cell>
        </row>
        <row r="44">
          <cell r="B44" t="str">
            <v>KHI/HO/D/FR/ND/P/20749/11/2023</v>
          </cell>
          <cell r="C44" t="str">
            <v>040000157841</v>
          </cell>
        </row>
        <row r="45">
          <cell r="B45" t="str">
            <v>KHI/HO/D/FR/ND/P/20769/11/2023</v>
          </cell>
          <cell r="C45" t="str">
            <v>040000157861</v>
          </cell>
        </row>
        <row r="46">
          <cell r="B46" t="str">
            <v>KHI/HO/D/FR/ND/P/20731/11/2023</v>
          </cell>
          <cell r="C46" t="str">
            <v>040000157823</v>
          </cell>
        </row>
        <row r="47">
          <cell r="B47" t="str">
            <v>KHI/HO/D/FR/ND/P/20732/11/2023</v>
          </cell>
          <cell r="C47" t="str">
            <v>040000157824</v>
          </cell>
        </row>
        <row r="48">
          <cell r="B48" t="str">
            <v>KHI/HO/D/FR/ND/P/20752/11/2023</v>
          </cell>
          <cell r="C48" t="str">
            <v>040000157844</v>
          </cell>
        </row>
        <row r="49">
          <cell r="B49" t="str">
            <v>KHI/HO/D/FR/ND/P/20754/11/2023</v>
          </cell>
          <cell r="C49" t="str">
            <v>040000157846</v>
          </cell>
        </row>
        <row r="50">
          <cell r="B50" t="str">
            <v>KHI/HO/D/FR/ND/P/20756/11/2023</v>
          </cell>
          <cell r="C50" t="str">
            <v>040000157848</v>
          </cell>
        </row>
        <row r="51">
          <cell r="B51" t="str">
            <v>KHI/HO/D/FR/ND/P/20757/11/2023</v>
          </cell>
          <cell r="C51" t="str">
            <v>040000157849</v>
          </cell>
        </row>
        <row r="52">
          <cell r="B52" t="str">
            <v>KHI/HO/D/FR/ND/P/20759/11/2023</v>
          </cell>
          <cell r="C52" t="str">
            <v>040000157851</v>
          </cell>
        </row>
        <row r="53">
          <cell r="B53" t="str">
            <v>KHI/HO/D/FR/ND/P/20753/11/2023</v>
          </cell>
          <cell r="C53" t="str">
            <v>040000157845</v>
          </cell>
        </row>
        <row r="54">
          <cell r="B54" t="str">
            <v>KHI/HO/D/FR/ND/P/20776/11/2023</v>
          </cell>
          <cell r="C54" t="str">
            <v>040000157868</v>
          </cell>
        </row>
        <row r="55">
          <cell r="B55" t="str">
            <v>KHI/HO/D/FR/ND/P/20734/11/2023</v>
          </cell>
          <cell r="C55" t="str">
            <v>040000157826</v>
          </cell>
        </row>
        <row r="56">
          <cell r="B56" t="str">
            <v>KHI/HO/D/FR/ND/P/20735/11/2023</v>
          </cell>
          <cell r="C56" t="str">
            <v>040000157827</v>
          </cell>
        </row>
        <row r="57">
          <cell r="B57" t="str">
            <v>KHI/HO/D/FR/ND/P/20736/11/2023</v>
          </cell>
          <cell r="C57" t="str">
            <v>040000157828</v>
          </cell>
        </row>
        <row r="58">
          <cell r="B58" t="str">
            <v>KHI/HO/D/FR/ND/P/20737/11/2023</v>
          </cell>
          <cell r="C58" t="str">
            <v>040000157829</v>
          </cell>
        </row>
        <row r="59">
          <cell r="B59" t="str">
            <v>KHI/HO/D/FR/ND/P/20701/11/2023</v>
          </cell>
          <cell r="C59" t="str">
            <v>040000157793</v>
          </cell>
        </row>
        <row r="60">
          <cell r="B60" t="str">
            <v>KHI/HO/D/FR/ND/P/20692/11/2023</v>
          </cell>
          <cell r="C60" t="str">
            <v>040000157784</v>
          </cell>
        </row>
        <row r="61">
          <cell r="B61" t="str">
            <v>KHI/HO/D/FR/ND/P/20693/11/2023</v>
          </cell>
          <cell r="C61" t="str">
            <v>040000157785</v>
          </cell>
        </row>
        <row r="62">
          <cell r="B62" t="str">
            <v>KHI/HO/D/FR/ND/P/20694/11/2023</v>
          </cell>
          <cell r="C62" t="str">
            <v>040000157786</v>
          </cell>
        </row>
        <row r="63">
          <cell r="B63" t="str">
            <v>KHI/HO/D/FR/ND/P/20696/11/2023</v>
          </cell>
          <cell r="C63" t="str">
            <v>040000157788</v>
          </cell>
        </row>
        <row r="64">
          <cell r="B64" t="str">
            <v>KHI/HO/D/FR/ND/P/20697/11/2023</v>
          </cell>
          <cell r="C64" t="str">
            <v>040000157789</v>
          </cell>
        </row>
        <row r="65">
          <cell r="B65" t="str">
            <v>KHI/HO/D/FR/ND/P/20698/11/2023</v>
          </cell>
          <cell r="C65" t="str">
            <v>040000157790</v>
          </cell>
        </row>
        <row r="66">
          <cell r="B66" t="str">
            <v>KHI/HO/D/FR/ND/P/20700/11/2023</v>
          </cell>
          <cell r="C66" t="str">
            <v>040000157792</v>
          </cell>
        </row>
        <row r="67">
          <cell r="B67" t="str">
            <v>KHI/HO/D/FR/ND/P/20703/11/2023</v>
          </cell>
          <cell r="C67" t="str">
            <v>040000157795</v>
          </cell>
        </row>
        <row r="68">
          <cell r="B68" t="str">
            <v>KHI/HO/D/FR/ND/P/20704/11/2023</v>
          </cell>
          <cell r="C68" t="str">
            <v>040000157796</v>
          </cell>
        </row>
        <row r="69">
          <cell r="B69" t="str">
            <v>KHI/HO/D/FR/ND/P/20705/11/2023</v>
          </cell>
          <cell r="C69" t="str">
            <v>040000157797</v>
          </cell>
        </row>
        <row r="70">
          <cell r="B70" t="str">
            <v>KHI/HO/D/FR/ND/P/20707/11/2023</v>
          </cell>
          <cell r="C70" t="str">
            <v>040000157799</v>
          </cell>
        </row>
        <row r="71">
          <cell r="B71" t="str">
            <v>KHI/HO/D/FR/ND/P/20708/11/2023</v>
          </cell>
          <cell r="C71" t="str">
            <v>040000157800</v>
          </cell>
        </row>
        <row r="72">
          <cell r="B72" t="str">
            <v>KHI/HO/D/FR/ND/P/20725/11/2023</v>
          </cell>
          <cell r="C72" t="str">
            <v>040000157817</v>
          </cell>
        </row>
        <row r="73">
          <cell r="B73" t="str">
            <v>KHI/HO/D/FR/ND/P/20702/11/2023</v>
          </cell>
          <cell r="C73" t="str">
            <v>040000157794</v>
          </cell>
        </row>
        <row r="74">
          <cell r="B74" t="str">
            <v>KHI/HO/D/FR/ND/P/20706/11/2023</v>
          </cell>
          <cell r="C74" t="str">
            <v>040000157798</v>
          </cell>
        </row>
        <row r="75">
          <cell r="B75" t="str">
            <v>KHI/HO/D/FR/ND/P/20709/11/2023</v>
          </cell>
          <cell r="C75" t="str">
            <v>040000157801</v>
          </cell>
        </row>
        <row r="76">
          <cell r="B76" t="str">
            <v>KHI/HO/D/FR/ND/P/20710/11/2023</v>
          </cell>
          <cell r="C76" t="str">
            <v>040000157802</v>
          </cell>
        </row>
        <row r="77">
          <cell r="B77" t="str">
            <v>KHI/HO/D/FR/ND/P/20679/11/2023</v>
          </cell>
          <cell r="C77" t="str">
            <v>040000157771</v>
          </cell>
        </row>
        <row r="78">
          <cell r="B78" t="str">
            <v>KHI/HO/D/FR/ND/P/20680/11/2023</v>
          </cell>
          <cell r="C78" t="str">
            <v>040000157772</v>
          </cell>
        </row>
        <row r="79">
          <cell r="B79" t="str">
            <v>KHI/HO/D/FR/ND/P/20683/11/2023</v>
          </cell>
          <cell r="C79" t="str">
            <v>040000157775</v>
          </cell>
        </row>
        <row r="80">
          <cell r="B80" t="str">
            <v>KHI/HO/D/FR/ND/P/20687/11/2023</v>
          </cell>
          <cell r="C80" t="str">
            <v>040000157779</v>
          </cell>
        </row>
        <row r="81">
          <cell r="B81" t="str">
            <v>KHI/HO/D/FR/ND/P/20691/11/2023</v>
          </cell>
          <cell r="C81" t="str">
            <v>040000157783</v>
          </cell>
        </row>
        <row r="82">
          <cell r="B82" t="str">
            <v>KHI/HO/D/FR/ND/P/20695/11/2023</v>
          </cell>
          <cell r="C82" t="str">
            <v>040000157787</v>
          </cell>
        </row>
        <row r="83">
          <cell r="B83" t="str">
            <v>KHI/HO/D/FR/ND/P/20699/11/2023</v>
          </cell>
          <cell r="C83" t="str">
            <v>040000157791</v>
          </cell>
        </row>
        <row r="84">
          <cell r="B84" t="str">
            <v>KHI/HO/D/FR/ND/P/20715/11/2023</v>
          </cell>
          <cell r="C84" t="str">
            <v>040000157807</v>
          </cell>
        </row>
        <row r="85">
          <cell r="B85" t="str">
            <v>KHI/HO/D/FR/ND/P/20718/11/2023</v>
          </cell>
          <cell r="C85" t="str">
            <v>040000157810</v>
          </cell>
        </row>
        <row r="86">
          <cell r="B86" t="str">
            <v>KHI/HO/D/FR/ND/P/20721/11/2023</v>
          </cell>
          <cell r="C86" t="str">
            <v>040000157813</v>
          </cell>
        </row>
        <row r="87">
          <cell r="B87" t="str">
            <v>KHI/HO/D/FR/ND/P/20728/11/2023</v>
          </cell>
          <cell r="C87" t="str">
            <v>040000157820</v>
          </cell>
        </row>
        <row r="88">
          <cell r="B88" t="str">
            <v>KHI/HO/D/FR/ND/P/20727/11/2023</v>
          </cell>
          <cell r="C88" t="str">
            <v>040000157819</v>
          </cell>
        </row>
        <row r="89">
          <cell r="B89" t="str">
            <v>KHI/HO/D/FR/ND/P/20681/11/2023</v>
          </cell>
          <cell r="C89" t="str">
            <v>040000157773</v>
          </cell>
        </row>
        <row r="90">
          <cell r="B90" t="str">
            <v>KHI/HO/D/FR/ND/P/20682/11/2023</v>
          </cell>
          <cell r="C90" t="str">
            <v>040000157774</v>
          </cell>
        </row>
        <row r="91">
          <cell r="B91" t="str">
            <v>KHI/HO/D/FR/ND/P/20684/11/2023</v>
          </cell>
          <cell r="C91" t="str">
            <v>040000157776</v>
          </cell>
        </row>
        <row r="92">
          <cell r="B92" t="str">
            <v>KHI/HO/D/FR/ND/P/20685/11/2023</v>
          </cell>
          <cell r="C92" t="str">
            <v>040000157777</v>
          </cell>
        </row>
        <row r="93">
          <cell r="B93" t="str">
            <v>KHI/HO/D/FR/ND/P/20686/11/2023</v>
          </cell>
          <cell r="C93" t="str">
            <v>040000157778</v>
          </cell>
        </row>
        <row r="94">
          <cell r="B94" t="str">
            <v>KHI/HO/D/FR/ND/P/20688/11/2023</v>
          </cell>
          <cell r="C94" t="str">
            <v>040000157780</v>
          </cell>
        </row>
        <row r="95">
          <cell r="B95" t="str">
            <v>KHI/HO/D/FR/ND/P/20689/11/2023</v>
          </cell>
          <cell r="C95" t="str">
            <v>040000157781</v>
          </cell>
        </row>
        <row r="96">
          <cell r="B96" t="str">
            <v>KHI/HO/D/FR/ND/P/20690/11/2023</v>
          </cell>
          <cell r="C96" t="str">
            <v>040000157782</v>
          </cell>
        </row>
        <row r="97">
          <cell r="B97" t="str">
            <v>KHI/HO/D/FR/ND/P/20711/11/2023</v>
          </cell>
          <cell r="C97" t="str">
            <v>040000157803</v>
          </cell>
        </row>
        <row r="98">
          <cell r="B98" t="str">
            <v>KHI/HO/D/FR/ND/P/20712/11/2023</v>
          </cell>
          <cell r="C98" t="str">
            <v>040000157804</v>
          </cell>
        </row>
        <row r="99">
          <cell r="B99" t="str">
            <v>KHI/HO/D/FR/ND/P/20713/11/2023</v>
          </cell>
          <cell r="C99" t="str">
            <v>040000157805</v>
          </cell>
        </row>
        <row r="100">
          <cell r="B100" t="str">
            <v>KHI/HO/D/FR/ND/P/20714/11/2023</v>
          </cell>
          <cell r="C100" t="str">
            <v>040000157806</v>
          </cell>
        </row>
        <row r="101">
          <cell r="B101" t="str">
            <v>KHI/HO/D/FR/ND/P/20716/11/2023</v>
          </cell>
          <cell r="C101" t="str">
            <v>040000157808</v>
          </cell>
        </row>
        <row r="102">
          <cell r="B102" t="str">
            <v>KHI/HO/D/FR/ND/P/20717/11/2023</v>
          </cell>
          <cell r="C102" t="str">
            <v>040000157809</v>
          </cell>
        </row>
        <row r="103">
          <cell r="B103" t="str">
            <v>KHI/HO/D/FR/ND/P/20719/11/2023</v>
          </cell>
          <cell r="C103" t="str">
            <v>040000157811</v>
          </cell>
        </row>
        <row r="104">
          <cell r="B104" t="str">
            <v>KHI/HO/D/FR/ND/P/20720/11/2023</v>
          </cell>
          <cell r="C104" t="str">
            <v>040000157812</v>
          </cell>
        </row>
        <row r="105">
          <cell r="B105" t="str">
            <v>KHI/HO/D/FR/ND/P/20722/11/2023</v>
          </cell>
          <cell r="C105" t="str">
            <v>040000157814</v>
          </cell>
        </row>
        <row r="106">
          <cell r="B106" t="str">
            <v>KHI/HO/D/FR/ND/P/20723/11/2023</v>
          </cell>
          <cell r="C106" t="str">
            <v>040000157815</v>
          </cell>
        </row>
        <row r="107">
          <cell r="B107" t="str">
            <v>KHI/HO/D/FR/ND/P/20724/11/2023</v>
          </cell>
          <cell r="C107" t="str">
            <v>040000157816</v>
          </cell>
        </row>
        <row r="108">
          <cell r="B108" t="str">
            <v>KHI/HO/D/FR/ND/P/20726/11/2023</v>
          </cell>
          <cell r="C108" t="str">
            <v>040000157818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I99" workbookViewId="0">
      <selection activeCell="N111" sqref="N111"/>
    </sheetView>
  </sheetViews>
  <sheetFormatPr defaultRowHeight="12.75" customHeight="1" x14ac:dyDescent="0.35"/>
  <cols>
    <col min="1" max="1" width="5.140625" style="1" bestFit="1" customWidth="1"/>
    <col min="2" max="2" width="18.28515625" style="2" bestFit="1" customWidth="1"/>
    <col min="3" max="3" width="16.42578125" style="1" bestFit="1" customWidth="1"/>
    <col min="4" max="4" width="16.42578125" style="1" customWidth="1"/>
    <col min="5" max="5" width="37.7109375" style="1" bestFit="1" customWidth="1"/>
    <col min="6" max="6" width="13.28515625" style="2" bestFit="1" customWidth="1"/>
    <col min="7" max="7" width="13.42578125" style="2" bestFit="1" customWidth="1"/>
    <col min="8" max="8" width="145.28515625" style="1" bestFit="1" customWidth="1"/>
    <col min="9" max="9" width="14" style="3" bestFit="1" customWidth="1"/>
    <col min="10" max="10" width="12.42578125" style="1" bestFit="1" customWidth="1"/>
    <col min="11" max="11" width="9.140625" style="1"/>
    <col min="12" max="12" width="28.85546875" style="1" bestFit="1" customWidth="1"/>
    <col min="13" max="16384" width="9.140625" style="1"/>
  </cols>
  <sheetData>
    <row r="1" spans="1:12" s="4" customFormat="1" ht="12.75" customHeight="1" x14ac:dyDescent="0.35">
      <c r="A1" s="5" t="s">
        <v>0</v>
      </c>
      <c r="B1" s="5" t="s">
        <v>8</v>
      </c>
      <c r="C1" s="5" t="s">
        <v>1</v>
      </c>
      <c r="D1" s="5" t="s">
        <v>10</v>
      </c>
      <c r="E1" s="5" t="s">
        <v>2</v>
      </c>
      <c r="F1" s="5" t="s">
        <v>3</v>
      </c>
      <c r="G1" s="5" t="s">
        <v>4</v>
      </c>
      <c r="H1" s="5" t="s">
        <v>6</v>
      </c>
      <c r="I1" s="6" t="s">
        <v>7</v>
      </c>
      <c r="J1" s="7" t="s">
        <v>5</v>
      </c>
      <c r="K1" s="7" t="s">
        <v>674</v>
      </c>
      <c r="L1" s="7" t="s">
        <v>675</v>
      </c>
    </row>
    <row r="2" spans="1:12" ht="12.75" customHeight="1" x14ac:dyDescent="0.35">
      <c r="A2" s="12">
        <v>1</v>
      </c>
      <c r="B2" s="11"/>
      <c r="C2" s="10" t="s">
        <v>33</v>
      </c>
      <c r="D2" s="8" t="s">
        <v>470</v>
      </c>
      <c r="E2" s="9" t="s">
        <v>34</v>
      </c>
      <c r="F2" s="9" t="s">
        <v>12</v>
      </c>
      <c r="G2" s="10" t="s">
        <v>35</v>
      </c>
      <c r="H2" s="13" t="s">
        <v>36</v>
      </c>
      <c r="I2" s="14">
        <v>806265</v>
      </c>
      <c r="J2" s="15">
        <v>45231</v>
      </c>
      <c r="K2" s="19">
        <v>200</v>
      </c>
      <c r="L2" s="20" t="s">
        <v>567</v>
      </c>
    </row>
    <row r="3" spans="1:12" ht="12.75" customHeight="1" x14ac:dyDescent="0.35">
      <c r="A3" s="12">
        <f>+A2+1</f>
        <v>2</v>
      </c>
      <c r="B3" s="11"/>
      <c r="C3" s="10" t="s">
        <v>37</v>
      </c>
      <c r="D3" s="8" t="s">
        <v>470</v>
      </c>
      <c r="E3" s="9" t="s">
        <v>38</v>
      </c>
      <c r="F3" s="9" t="s">
        <v>12</v>
      </c>
      <c r="G3" s="10" t="s">
        <v>39</v>
      </c>
      <c r="H3" s="13" t="s">
        <v>40</v>
      </c>
      <c r="I3" s="14">
        <v>623404</v>
      </c>
      <c r="J3" s="15">
        <v>45231</v>
      </c>
      <c r="K3" s="19">
        <v>200</v>
      </c>
      <c r="L3" s="20" t="s">
        <v>568</v>
      </c>
    </row>
    <row r="4" spans="1:12" ht="12.75" customHeight="1" x14ac:dyDescent="0.35">
      <c r="A4" s="12">
        <f t="shared" ref="A4:A67" si="0">+A3+1</f>
        <v>3</v>
      </c>
      <c r="B4" s="11"/>
      <c r="C4" s="10" t="s">
        <v>41</v>
      </c>
      <c r="D4" s="8" t="s">
        <v>470</v>
      </c>
      <c r="E4" s="9" t="s">
        <v>42</v>
      </c>
      <c r="F4" s="9" t="s">
        <v>11</v>
      </c>
      <c r="G4" s="10" t="s">
        <v>43</v>
      </c>
      <c r="H4" s="13" t="s">
        <v>44</v>
      </c>
      <c r="I4" s="14">
        <v>1040551</v>
      </c>
      <c r="J4" s="15">
        <v>45231</v>
      </c>
      <c r="K4" s="19">
        <v>200</v>
      </c>
      <c r="L4" s="20" t="s">
        <v>569</v>
      </c>
    </row>
    <row r="5" spans="1:12" ht="12.75" customHeight="1" x14ac:dyDescent="0.35">
      <c r="A5" s="12">
        <f t="shared" si="0"/>
        <v>4</v>
      </c>
      <c r="B5" s="11"/>
      <c r="C5" s="10" t="s">
        <v>45</v>
      </c>
      <c r="D5" s="8" t="s">
        <v>470</v>
      </c>
      <c r="E5" s="9" t="s">
        <v>22</v>
      </c>
      <c r="F5" s="9" t="s">
        <v>11</v>
      </c>
      <c r="G5" s="10" t="s">
        <v>46</v>
      </c>
      <c r="H5" s="13" t="s">
        <v>47</v>
      </c>
      <c r="I5" s="14">
        <v>802271</v>
      </c>
      <c r="J5" s="15">
        <v>45231</v>
      </c>
      <c r="K5" s="19">
        <v>200</v>
      </c>
      <c r="L5" s="20" t="s">
        <v>570</v>
      </c>
    </row>
    <row r="6" spans="1:12" ht="12.75" customHeight="1" x14ac:dyDescent="0.35">
      <c r="A6" s="12">
        <f t="shared" si="0"/>
        <v>5</v>
      </c>
      <c r="B6" s="11"/>
      <c r="C6" s="10" t="s">
        <v>48</v>
      </c>
      <c r="D6" s="8" t="s">
        <v>470</v>
      </c>
      <c r="E6" s="9" t="s">
        <v>23</v>
      </c>
      <c r="F6" s="9" t="s">
        <v>13</v>
      </c>
      <c r="G6" s="10" t="s">
        <v>49</v>
      </c>
      <c r="H6" s="13" t="s">
        <v>50</v>
      </c>
      <c r="I6" s="14">
        <v>1039387</v>
      </c>
      <c r="J6" s="15">
        <v>45231</v>
      </c>
      <c r="K6" s="19">
        <v>200</v>
      </c>
      <c r="L6" s="20" t="s">
        <v>571</v>
      </c>
    </row>
    <row r="7" spans="1:12" ht="12.75" customHeight="1" x14ac:dyDescent="0.35">
      <c r="A7" s="12">
        <f t="shared" si="0"/>
        <v>6</v>
      </c>
      <c r="B7" s="11"/>
      <c r="C7" s="10" t="s">
        <v>55</v>
      </c>
      <c r="D7" s="8" t="s">
        <v>470</v>
      </c>
      <c r="E7" s="9" t="s">
        <v>56</v>
      </c>
      <c r="F7" s="9" t="s">
        <v>16</v>
      </c>
      <c r="G7" s="10" t="s">
        <v>57</v>
      </c>
      <c r="H7" s="13" t="s">
        <v>58</v>
      </c>
      <c r="I7" s="14">
        <v>1449226</v>
      </c>
      <c r="J7" s="15">
        <v>45231</v>
      </c>
      <c r="K7" s="19">
        <v>217</v>
      </c>
      <c r="L7" s="20" t="s">
        <v>572</v>
      </c>
    </row>
    <row r="8" spans="1:12" ht="12.75" customHeight="1" x14ac:dyDescent="0.35">
      <c r="A8" s="12">
        <f t="shared" si="0"/>
        <v>7</v>
      </c>
      <c r="B8" s="11"/>
      <c r="C8" s="10" t="s">
        <v>59</v>
      </c>
      <c r="D8" s="8" t="s">
        <v>470</v>
      </c>
      <c r="E8" s="9" t="s">
        <v>60</v>
      </c>
      <c r="F8" s="9" t="s">
        <v>15</v>
      </c>
      <c r="G8" s="10" t="s">
        <v>61</v>
      </c>
      <c r="H8" s="13" t="s">
        <v>62</v>
      </c>
      <c r="I8" s="14">
        <v>1378096</v>
      </c>
      <c r="J8" s="15">
        <v>45231</v>
      </c>
      <c r="K8" s="19">
        <v>207</v>
      </c>
      <c r="L8" s="20" t="s">
        <v>573</v>
      </c>
    </row>
    <row r="9" spans="1:12" ht="12.75" customHeight="1" x14ac:dyDescent="0.35">
      <c r="A9" s="12">
        <f t="shared" si="0"/>
        <v>8</v>
      </c>
      <c r="B9" s="11"/>
      <c r="C9" s="10" t="s">
        <v>67</v>
      </c>
      <c r="D9" s="8" t="s">
        <v>470</v>
      </c>
      <c r="E9" s="9" t="s">
        <v>68</v>
      </c>
      <c r="F9" s="9" t="s">
        <v>12</v>
      </c>
      <c r="G9" s="10" t="s">
        <v>69</v>
      </c>
      <c r="H9" s="13" t="s">
        <v>70</v>
      </c>
      <c r="I9" s="14">
        <v>1482947</v>
      </c>
      <c r="J9" s="15">
        <v>45231</v>
      </c>
      <c r="K9" s="19">
        <v>222</v>
      </c>
      <c r="L9" s="20" t="s">
        <v>574</v>
      </c>
    </row>
    <row r="10" spans="1:12" ht="12.75" customHeight="1" x14ac:dyDescent="0.35">
      <c r="A10" s="12">
        <f t="shared" si="0"/>
        <v>9</v>
      </c>
      <c r="B10" s="11"/>
      <c r="C10" s="10" t="s">
        <v>71</v>
      </c>
      <c r="D10" s="8" t="s">
        <v>470</v>
      </c>
      <c r="E10" s="9" t="s">
        <v>72</v>
      </c>
      <c r="F10" s="9" t="s">
        <v>15</v>
      </c>
      <c r="G10" s="10" t="s">
        <v>73</v>
      </c>
      <c r="H10" s="13" t="s">
        <v>74</v>
      </c>
      <c r="I10" s="14">
        <v>1982413</v>
      </c>
      <c r="J10" s="15">
        <v>45231</v>
      </c>
      <c r="K10" s="19">
        <v>297</v>
      </c>
      <c r="L10" s="20" t="s">
        <v>575</v>
      </c>
    </row>
    <row r="11" spans="1:12" ht="12.75" customHeight="1" x14ac:dyDescent="0.35">
      <c r="A11" s="12">
        <f t="shared" si="0"/>
        <v>10</v>
      </c>
      <c r="B11" s="11"/>
      <c r="C11" s="10" t="s">
        <v>79</v>
      </c>
      <c r="D11" s="8" t="s">
        <v>470</v>
      </c>
      <c r="E11" s="9" t="s">
        <v>80</v>
      </c>
      <c r="F11" s="9" t="s">
        <v>15</v>
      </c>
      <c r="G11" s="10" t="s">
        <v>81</v>
      </c>
      <c r="H11" s="13" t="s">
        <v>82</v>
      </c>
      <c r="I11" s="14">
        <v>1770670</v>
      </c>
      <c r="J11" s="15">
        <v>45231</v>
      </c>
      <c r="K11" s="19">
        <v>266</v>
      </c>
      <c r="L11" s="20" t="s">
        <v>576</v>
      </c>
    </row>
    <row r="12" spans="1:12" ht="12.75" customHeight="1" x14ac:dyDescent="0.35">
      <c r="A12" s="12">
        <f t="shared" si="0"/>
        <v>11</v>
      </c>
      <c r="B12" s="11" t="s">
        <v>253</v>
      </c>
      <c r="C12" s="10" t="s">
        <v>83</v>
      </c>
      <c r="D12" s="8" t="s">
        <v>470</v>
      </c>
      <c r="E12" s="9" t="s">
        <v>84</v>
      </c>
      <c r="F12" s="9" t="s">
        <v>13</v>
      </c>
      <c r="G12" s="10" t="s">
        <v>85</v>
      </c>
      <c r="H12" s="13" t="s">
        <v>86</v>
      </c>
      <c r="I12" s="14">
        <v>861051</v>
      </c>
      <c r="J12" s="15">
        <v>45231</v>
      </c>
      <c r="K12" s="19">
        <v>200</v>
      </c>
      <c r="L12" s="20" t="s">
        <v>577</v>
      </c>
    </row>
    <row r="13" spans="1:12" ht="12.75" customHeight="1" x14ac:dyDescent="0.35">
      <c r="A13" s="12">
        <f t="shared" si="0"/>
        <v>12</v>
      </c>
      <c r="B13" s="11"/>
      <c r="C13" s="10" t="s">
        <v>87</v>
      </c>
      <c r="D13" s="8" t="s">
        <v>470</v>
      </c>
      <c r="E13" s="9" t="s">
        <v>88</v>
      </c>
      <c r="F13" s="9" t="s">
        <v>12</v>
      </c>
      <c r="G13" s="10" t="s">
        <v>89</v>
      </c>
      <c r="H13" s="13" t="s">
        <v>90</v>
      </c>
      <c r="I13" s="14">
        <v>1814413</v>
      </c>
      <c r="J13" s="15">
        <v>45231</v>
      </c>
      <c r="K13" s="19">
        <v>272</v>
      </c>
      <c r="L13" s="20" t="s">
        <v>578</v>
      </c>
    </row>
    <row r="14" spans="1:12" ht="12.75" customHeight="1" x14ac:dyDescent="0.35">
      <c r="A14" s="12">
        <f t="shared" si="0"/>
        <v>13</v>
      </c>
      <c r="B14" s="11"/>
      <c r="C14" s="10" t="s">
        <v>91</v>
      </c>
      <c r="D14" s="8" t="s">
        <v>470</v>
      </c>
      <c r="E14" s="9" t="s">
        <v>92</v>
      </c>
      <c r="F14" s="9" t="s">
        <v>12</v>
      </c>
      <c r="G14" s="10" t="s">
        <v>93</v>
      </c>
      <c r="H14" s="13" t="s">
        <v>94</v>
      </c>
      <c r="I14" s="14">
        <v>2271589</v>
      </c>
      <c r="J14" s="15">
        <v>45231</v>
      </c>
      <c r="K14" s="19">
        <v>341</v>
      </c>
      <c r="L14" s="20" t="s">
        <v>579</v>
      </c>
    </row>
    <row r="15" spans="1:12" ht="12.75" customHeight="1" x14ac:dyDescent="0.35">
      <c r="A15" s="12">
        <f t="shared" si="0"/>
        <v>14</v>
      </c>
      <c r="B15" s="11"/>
      <c r="C15" s="10" t="s">
        <v>99</v>
      </c>
      <c r="D15" s="8" t="s">
        <v>470</v>
      </c>
      <c r="E15" s="9" t="s">
        <v>100</v>
      </c>
      <c r="F15" s="9" t="s">
        <v>13</v>
      </c>
      <c r="G15" s="10" t="s">
        <v>101</v>
      </c>
      <c r="H15" s="13" t="s">
        <v>102</v>
      </c>
      <c r="I15" s="14">
        <v>1867020</v>
      </c>
      <c r="J15" s="15">
        <v>45231</v>
      </c>
      <c r="K15" s="19">
        <v>280</v>
      </c>
      <c r="L15" s="20" t="s">
        <v>580</v>
      </c>
    </row>
    <row r="16" spans="1:12" ht="12.75" customHeight="1" x14ac:dyDescent="0.35">
      <c r="A16" s="12">
        <f t="shared" si="0"/>
        <v>15</v>
      </c>
      <c r="B16" s="11"/>
      <c r="C16" s="10" t="s">
        <v>103</v>
      </c>
      <c r="D16" s="8" t="s">
        <v>470</v>
      </c>
      <c r="E16" s="9" t="s">
        <v>104</v>
      </c>
      <c r="F16" s="9" t="s">
        <v>15</v>
      </c>
      <c r="G16" s="10" t="s">
        <v>105</v>
      </c>
      <c r="H16" s="13" t="s">
        <v>106</v>
      </c>
      <c r="I16" s="14">
        <v>2386746</v>
      </c>
      <c r="J16" s="15">
        <v>45231</v>
      </c>
      <c r="K16" s="19">
        <v>358</v>
      </c>
      <c r="L16" s="20" t="s">
        <v>581</v>
      </c>
    </row>
    <row r="17" spans="1:12" ht="12.75" customHeight="1" x14ac:dyDescent="0.35">
      <c r="A17" s="12">
        <f t="shared" si="0"/>
        <v>16</v>
      </c>
      <c r="B17" s="11"/>
      <c r="C17" s="10" t="s">
        <v>107</v>
      </c>
      <c r="D17" s="8" t="s">
        <v>470</v>
      </c>
      <c r="E17" s="9" t="s">
        <v>108</v>
      </c>
      <c r="F17" s="9" t="s">
        <v>11</v>
      </c>
      <c r="G17" s="10" t="s">
        <v>109</v>
      </c>
      <c r="H17" s="13" t="s">
        <v>110</v>
      </c>
      <c r="I17" s="14">
        <v>2397321</v>
      </c>
      <c r="J17" s="15">
        <v>45231</v>
      </c>
      <c r="K17" s="19">
        <v>360</v>
      </c>
      <c r="L17" s="20" t="s">
        <v>582</v>
      </c>
    </row>
    <row r="18" spans="1:12" ht="12.75" customHeight="1" x14ac:dyDescent="0.35">
      <c r="A18" s="12">
        <f t="shared" si="0"/>
        <v>17</v>
      </c>
      <c r="B18" s="11"/>
      <c r="C18" s="10" t="s">
        <v>111</v>
      </c>
      <c r="D18" s="8" t="s">
        <v>470</v>
      </c>
      <c r="E18" s="9" t="s">
        <v>112</v>
      </c>
      <c r="F18" s="9" t="s">
        <v>12</v>
      </c>
      <c r="G18" s="10" t="s">
        <v>113</v>
      </c>
      <c r="H18" s="13" t="s">
        <v>114</v>
      </c>
      <c r="I18" s="14">
        <v>2974065</v>
      </c>
      <c r="J18" s="15">
        <v>45231</v>
      </c>
      <c r="K18" s="19">
        <v>446</v>
      </c>
      <c r="L18" s="20" t="s">
        <v>583</v>
      </c>
    </row>
    <row r="19" spans="1:12" ht="12.75" customHeight="1" x14ac:dyDescent="0.35">
      <c r="A19" s="12">
        <f t="shared" si="0"/>
        <v>18</v>
      </c>
      <c r="B19" s="11"/>
      <c r="C19" s="10" t="s">
        <v>115</v>
      </c>
      <c r="D19" s="8" t="s">
        <v>470</v>
      </c>
      <c r="E19" s="9" t="s">
        <v>116</v>
      </c>
      <c r="F19" s="9" t="s">
        <v>12</v>
      </c>
      <c r="G19" s="10" t="s">
        <v>117</v>
      </c>
      <c r="H19" s="13" t="s">
        <v>118</v>
      </c>
      <c r="I19" s="14">
        <v>3705583</v>
      </c>
      <c r="J19" s="15">
        <v>45231</v>
      </c>
      <c r="K19" s="19">
        <v>556</v>
      </c>
      <c r="L19" s="20" t="s">
        <v>584</v>
      </c>
    </row>
    <row r="20" spans="1:12" ht="12.75" customHeight="1" x14ac:dyDescent="0.35">
      <c r="A20" s="12">
        <f t="shared" si="0"/>
        <v>19</v>
      </c>
      <c r="B20" s="11"/>
      <c r="C20" s="10" t="s">
        <v>119</v>
      </c>
      <c r="D20" s="8" t="s">
        <v>470</v>
      </c>
      <c r="E20" s="9" t="s">
        <v>120</v>
      </c>
      <c r="F20" s="9" t="s">
        <v>12</v>
      </c>
      <c r="G20" s="10" t="s">
        <v>121</v>
      </c>
      <c r="H20" s="13" t="s">
        <v>122</v>
      </c>
      <c r="I20" s="14">
        <v>1161078</v>
      </c>
      <c r="J20" s="15">
        <v>45231</v>
      </c>
      <c r="K20" s="19">
        <v>200</v>
      </c>
      <c r="L20" s="20" t="s">
        <v>585</v>
      </c>
    </row>
    <row r="21" spans="1:12" ht="12.75" customHeight="1" x14ac:dyDescent="0.35">
      <c r="A21" s="12">
        <f t="shared" si="0"/>
        <v>20</v>
      </c>
      <c r="B21" s="11"/>
      <c r="C21" s="10" t="s">
        <v>123</v>
      </c>
      <c r="D21" s="8" t="s">
        <v>470</v>
      </c>
      <c r="E21" s="9" t="s">
        <v>124</v>
      </c>
      <c r="F21" s="9" t="s">
        <v>15</v>
      </c>
      <c r="G21" s="10" t="s">
        <v>125</v>
      </c>
      <c r="H21" s="13" t="s">
        <v>126</v>
      </c>
      <c r="I21" s="14">
        <v>3936875</v>
      </c>
      <c r="J21" s="15">
        <v>45231</v>
      </c>
      <c r="K21" s="19">
        <v>591</v>
      </c>
      <c r="L21" s="20" t="s">
        <v>586</v>
      </c>
    </row>
    <row r="22" spans="1:12" ht="12.75" customHeight="1" x14ac:dyDescent="0.35">
      <c r="A22" s="12">
        <f t="shared" si="0"/>
        <v>21</v>
      </c>
      <c r="B22" s="11" t="s">
        <v>254</v>
      </c>
      <c r="C22" s="10" t="s">
        <v>135</v>
      </c>
      <c r="D22" s="8" t="s">
        <v>470</v>
      </c>
      <c r="E22" s="9" t="s">
        <v>136</v>
      </c>
      <c r="F22" s="9" t="s">
        <v>11</v>
      </c>
      <c r="G22" s="10" t="s">
        <v>137</v>
      </c>
      <c r="H22" s="13" t="s">
        <v>138</v>
      </c>
      <c r="I22" s="14">
        <v>4548465</v>
      </c>
      <c r="J22" s="15">
        <v>45231</v>
      </c>
      <c r="K22" s="19">
        <v>682</v>
      </c>
      <c r="L22" s="20" t="s">
        <v>587</v>
      </c>
    </row>
    <row r="23" spans="1:12" ht="12.75" customHeight="1" x14ac:dyDescent="0.35">
      <c r="A23" s="12">
        <f t="shared" si="0"/>
        <v>22</v>
      </c>
      <c r="B23" s="11"/>
      <c r="C23" s="10" t="s">
        <v>143</v>
      </c>
      <c r="D23" s="8" t="s">
        <v>470</v>
      </c>
      <c r="E23" s="9" t="s">
        <v>144</v>
      </c>
      <c r="F23" s="9" t="s">
        <v>11</v>
      </c>
      <c r="G23" s="10" t="s">
        <v>145</v>
      </c>
      <c r="H23" s="13" t="s">
        <v>146</v>
      </c>
      <c r="I23" s="14">
        <v>2815332</v>
      </c>
      <c r="J23" s="15">
        <v>45231</v>
      </c>
      <c r="K23" s="19">
        <v>422</v>
      </c>
      <c r="L23" s="20" t="s">
        <v>588</v>
      </c>
    </row>
    <row r="24" spans="1:12" ht="12.75" customHeight="1" x14ac:dyDescent="0.35">
      <c r="A24" s="12">
        <f t="shared" si="0"/>
        <v>23</v>
      </c>
      <c r="B24" s="11"/>
      <c r="C24" s="10" t="s">
        <v>147</v>
      </c>
      <c r="D24" s="8" t="s">
        <v>470</v>
      </c>
      <c r="E24" s="9" t="s">
        <v>148</v>
      </c>
      <c r="F24" s="9" t="s">
        <v>11</v>
      </c>
      <c r="G24" s="10" t="s">
        <v>149</v>
      </c>
      <c r="H24" s="13" t="s">
        <v>150</v>
      </c>
      <c r="I24" s="14">
        <v>4840950</v>
      </c>
      <c r="J24" s="15">
        <v>45231</v>
      </c>
      <c r="K24" s="19">
        <v>726</v>
      </c>
      <c r="L24" s="20" t="s">
        <v>589</v>
      </c>
    </row>
    <row r="25" spans="1:12" ht="12.75" customHeight="1" x14ac:dyDescent="0.35">
      <c r="A25" s="12">
        <f t="shared" si="0"/>
        <v>24</v>
      </c>
      <c r="B25" s="11"/>
      <c r="C25" s="10" t="s">
        <v>159</v>
      </c>
      <c r="D25" s="8" t="s">
        <v>470</v>
      </c>
      <c r="E25" s="9" t="s">
        <v>160</v>
      </c>
      <c r="F25" s="9" t="s">
        <v>13</v>
      </c>
      <c r="G25" s="10" t="s">
        <v>161</v>
      </c>
      <c r="H25" s="13" t="s">
        <v>162</v>
      </c>
      <c r="I25" s="14">
        <v>6385965</v>
      </c>
      <c r="J25" s="15">
        <v>45231</v>
      </c>
      <c r="K25" s="19">
        <v>958</v>
      </c>
      <c r="L25" s="20" t="s">
        <v>590</v>
      </c>
    </row>
    <row r="26" spans="1:12" ht="12.75" customHeight="1" x14ac:dyDescent="0.35">
      <c r="A26" s="12">
        <f t="shared" si="0"/>
        <v>25</v>
      </c>
      <c r="B26" s="11"/>
      <c r="C26" s="10" t="s">
        <v>163</v>
      </c>
      <c r="D26" s="8" t="s">
        <v>470</v>
      </c>
      <c r="E26" s="9" t="s">
        <v>164</v>
      </c>
      <c r="F26" s="9" t="s">
        <v>15</v>
      </c>
      <c r="G26" s="10" t="s">
        <v>165</v>
      </c>
      <c r="H26" s="13" t="s">
        <v>166</v>
      </c>
      <c r="I26" s="14">
        <v>6945269</v>
      </c>
      <c r="J26" s="15">
        <v>45231</v>
      </c>
      <c r="K26" s="19">
        <v>1042</v>
      </c>
      <c r="L26" s="20" t="s">
        <v>591</v>
      </c>
    </row>
    <row r="27" spans="1:12" ht="12.75" customHeight="1" x14ac:dyDescent="0.35">
      <c r="A27" s="12">
        <f t="shared" si="0"/>
        <v>26</v>
      </c>
      <c r="B27" s="11"/>
      <c r="C27" s="10" t="s">
        <v>171</v>
      </c>
      <c r="D27" s="8" t="s">
        <v>470</v>
      </c>
      <c r="E27" s="9" t="s">
        <v>172</v>
      </c>
      <c r="F27" s="9" t="s">
        <v>13</v>
      </c>
      <c r="G27" s="10" t="s">
        <v>173</v>
      </c>
      <c r="H27" s="13" t="s">
        <v>174</v>
      </c>
      <c r="I27" s="14">
        <v>7885417</v>
      </c>
      <c r="J27" s="15">
        <v>45231</v>
      </c>
      <c r="K27" s="19">
        <v>1183</v>
      </c>
      <c r="L27" s="20" t="s">
        <v>592</v>
      </c>
    </row>
    <row r="28" spans="1:12" ht="12.75" customHeight="1" x14ac:dyDescent="0.35">
      <c r="A28" s="12">
        <f t="shared" si="0"/>
        <v>27</v>
      </c>
      <c r="B28" s="11"/>
      <c r="C28" s="10" t="s">
        <v>175</v>
      </c>
      <c r="D28" s="8" t="s">
        <v>470</v>
      </c>
      <c r="E28" s="9" t="s">
        <v>176</v>
      </c>
      <c r="F28" s="9" t="s">
        <v>15</v>
      </c>
      <c r="G28" s="10" t="s">
        <v>177</v>
      </c>
      <c r="H28" s="13" t="s">
        <v>178</v>
      </c>
      <c r="I28" s="14">
        <v>7980563</v>
      </c>
      <c r="J28" s="15">
        <v>45231</v>
      </c>
      <c r="K28" s="19">
        <v>1197</v>
      </c>
      <c r="L28" s="20" t="s">
        <v>593</v>
      </c>
    </row>
    <row r="29" spans="1:12" ht="12.75" customHeight="1" x14ac:dyDescent="0.35">
      <c r="A29" s="12">
        <f t="shared" si="0"/>
        <v>28</v>
      </c>
      <c r="B29" s="11"/>
      <c r="C29" s="10" t="s">
        <v>179</v>
      </c>
      <c r="D29" s="8" t="s">
        <v>470</v>
      </c>
      <c r="E29" s="9" t="s">
        <v>180</v>
      </c>
      <c r="F29" s="9" t="s">
        <v>12</v>
      </c>
      <c r="G29" s="10" t="s">
        <v>181</v>
      </c>
      <c r="H29" s="13" t="s">
        <v>182</v>
      </c>
      <c r="I29" s="14">
        <v>7749909</v>
      </c>
      <c r="J29" s="15">
        <v>45231</v>
      </c>
      <c r="K29" s="19">
        <v>1162</v>
      </c>
      <c r="L29" s="20" t="s">
        <v>594</v>
      </c>
    </row>
    <row r="30" spans="1:12" ht="12.75" customHeight="1" x14ac:dyDescent="0.35">
      <c r="A30" s="12">
        <f t="shared" si="0"/>
        <v>29</v>
      </c>
      <c r="B30" s="11"/>
      <c r="C30" s="10" t="s">
        <v>183</v>
      </c>
      <c r="D30" s="8" t="s">
        <v>470</v>
      </c>
      <c r="E30" s="9" t="s">
        <v>184</v>
      </c>
      <c r="F30" s="9" t="s">
        <v>12</v>
      </c>
      <c r="G30" s="10" t="s">
        <v>185</v>
      </c>
      <c r="H30" s="13" t="s">
        <v>186</v>
      </c>
      <c r="I30" s="14">
        <v>7341980</v>
      </c>
      <c r="J30" s="15">
        <v>45231</v>
      </c>
      <c r="K30" s="19">
        <v>1101</v>
      </c>
      <c r="L30" s="20" t="s">
        <v>595</v>
      </c>
    </row>
    <row r="31" spans="1:12" ht="12.75" customHeight="1" x14ac:dyDescent="0.35">
      <c r="A31" s="12">
        <f t="shared" si="0"/>
        <v>30</v>
      </c>
      <c r="B31" s="11"/>
      <c r="C31" s="10" t="s">
        <v>196</v>
      </c>
      <c r="D31" s="8" t="s">
        <v>470</v>
      </c>
      <c r="E31" s="9" t="s">
        <v>197</v>
      </c>
      <c r="F31" s="9" t="s">
        <v>11</v>
      </c>
      <c r="G31" s="10" t="s">
        <v>198</v>
      </c>
      <c r="H31" s="13" t="s">
        <v>199</v>
      </c>
      <c r="I31" s="14">
        <v>11883618</v>
      </c>
      <c r="J31" s="15">
        <v>45231</v>
      </c>
      <c r="K31" s="19">
        <v>1783</v>
      </c>
      <c r="L31" s="20" t="s">
        <v>596</v>
      </c>
    </row>
    <row r="32" spans="1:12" ht="12.75" customHeight="1" x14ac:dyDescent="0.35">
      <c r="A32" s="12">
        <f t="shared" si="0"/>
        <v>31</v>
      </c>
      <c r="B32" s="11"/>
      <c r="C32" s="10" t="s">
        <v>204</v>
      </c>
      <c r="D32" s="8" t="s">
        <v>470</v>
      </c>
      <c r="E32" s="9" t="s">
        <v>205</v>
      </c>
      <c r="F32" s="9" t="s">
        <v>11</v>
      </c>
      <c r="G32" s="10" t="s">
        <v>206</v>
      </c>
      <c r="H32" s="13" t="s">
        <v>207</v>
      </c>
      <c r="I32" s="14">
        <v>11521432</v>
      </c>
      <c r="J32" s="15">
        <v>45231</v>
      </c>
      <c r="K32" s="19">
        <v>1728</v>
      </c>
      <c r="L32" s="20" t="s">
        <v>597</v>
      </c>
    </row>
    <row r="33" spans="1:12" ht="12.75" customHeight="1" x14ac:dyDescent="0.35">
      <c r="A33" s="12">
        <f t="shared" si="0"/>
        <v>32</v>
      </c>
      <c r="B33" s="11"/>
      <c r="C33" s="10" t="s">
        <v>208</v>
      </c>
      <c r="D33" s="8" t="s">
        <v>470</v>
      </c>
      <c r="E33" s="9" t="s">
        <v>209</v>
      </c>
      <c r="F33" s="9" t="s">
        <v>210</v>
      </c>
      <c r="G33" s="10" t="s">
        <v>211</v>
      </c>
      <c r="H33" s="13" t="s">
        <v>212</v>
      </c>
      <c r="I33" s="14">
        <v>12554571</v>
      </c>
      <c r="J33" s="15">
        <v>45231</v>
      </c>
      <c r="K33" s="19">
        <v>1883</v>
      </c>
      <c r="L33" s="20" t="s">
        <v>598</v>
      </c>
    </row>
    <row r="34" spans="1:12" ht="12.75" customHeight="1" x14ac:dyDescent="0.35">
      <c r="A34" s="12">
        <f t="shared" si="0"/>
        <v>33</v>
      </c>
      <c r="B34" s="11"/>
      <c r="C34" s="10" t="s">
        <v>213</v>
      </c>
      <c r="D34" s="8" t="s">
        <v>470</v>
      </c>
      <c r="E34" s="9" t="s">
        <v>214</v>
      </c>
      <c r="F34" s="9" t="s">
        <v>15</v>
      </c>
      <c r="G34" s="10" t="s">
        <v>215</v>
      </c>
      <c r="H34" s="13" t="s">
        <v>216</v>
      </c>
      <c r="I34" s="14">
        <v>7012341</v>
      </c>
      <c r="J34" s="15">
        <v>45231</v>
      </c>
      <c r="K34" s="19">
        <v>1052</v>
      </c>
      <c r="L34" s="20" t="s">
        <v>599</v>
      </c>
    </row>
    <row r="35" spans="1:12" ht="12.75" customHeight="1" x14ac:dyDescent="0.35">
      <c r="A35" s="12">
        <f t="shared" si="0"/>
        <v>34</v>
      </c>
      <c r="B35" s="11" t="s">
        <v>255</v>
      </c>
      <c r="C35" s="10" t="s">
        <v>229</v>
      </c>
      <c r="D35" s="8" t="s">
        <v>470</v>
      </c>
      <c r="E35" s="9" t="s">
        <v>230</v>
      </c>
      <c r="F35" s="9" t="s">
        <v>12</v>
      </c>
      <c r="G35" s="10" t="s">
        <v>231</v>
      </c>
      <c r="H35" s="13" t="s">
        <v>232</v>
      </c>
      <c r="I35" s="14">
        <v>30373941</v>
      </c>
      <c r="J35" s="15">
        <v>45231</v>
      </c>
      <c r="K35" s="19">
        <v>4556</v>
      </c>
      <c r="L35" s="20" t="s">
        <v>600</v>
      </c>
    </row>
    <row r="36" spans="1:12" ht="12.75" customHeight="1" x14ac:dyDescent="0.35">
      <c r="A36" s="12">
        <f t="shared" si="0"/>
        <v>35</v>
      </c>
      <c r="B36" s="11"/>
      <c r="C36" s="10" t="s">
        <v>233</v>
      </c>
      <c r="D36" s="8" t="s">
        <v>470</v>
      </c>
      <c r="E36" s="9" t="s">
        <v>234</v>
      </c>
      <c r="F36" s="9" t="s">
        <v>11</v>
      </c>
      <c r="G36" s="10" t="s">
        <v>235</v>
      </c>
      <c r="H36" s="13" t="s">
        <v>236</v>
      </c>
      <c r="I36" s="14">
        <v>29896890</v>
      </c>
      <c r="J36" s="15">
        <v>45231</v>
      </c>
      <c r="K36" s="19">
        <v>4485</v>
      </c>
      <c r="L36" s="20" t="s">
        <v>601</v>
      </c>
    </row>
    <row r="37" spans="1:12" ht="12.75" customHeight="1" x14ac:dyDescent="0.35">
      <c r="A37" s="12">
        <f t="shared" si="0"/>
        <v>36</v>
      </c>
      <c r="B37" s="11"/>
      <c r="C37" s="10" t="s">
        <v>237</v>
      </c>
      <c r="D37" s="8" t="s">
        <v>470</v>
      </c>
      <c r="E37" s="9" t="s">
        <v>238</v>
      </c>
      <c r="F37" s="9" t="s">
        <v>11</v>
      </c>
      <c r="G37" s="10" t="s">
        <v>239</v>
      </c>
      <c r="H37" s="13" t="s">
        <v>240</v>
      </c>
      <c r="I37" s="14">
        <v>26455255</v>
      </c>
      <c r="J37" s="15">
        <v>45231</v>
      </c>
      <c r="K37" s="19">
        <v>3968</v>
      </c>
      <c r="L37" s="20" t="s">
        <v>602</v>
      </c>
    </row>
    <row r="38" spans="1:12" ht="12.75" customHeight="1" x14ac:dyDescent="0.35">
      <c r="A38" s="12">
        <f t="shared" si="0"/>
        <v>37</v>
      </c>
      <c r="B38" s="11"/>
      <c r="C38" s="10" t="s">
        <v>241</v>
      </c>
      <c r="D38" s="8" t="s">
        <v>470</v>
      </c>
      <c r="E38" s="9" t="s">
        <v>242</v>
      </c>
      <c r="F38" s="9" t="s">
        <v>12</v>
      </c>
      <c r="G38" s="10" t="s">
        <v>243</v>
      </c>
      <c r="H38" s="13" t="s">
        <v>244</v>
      </c>
      <c r="I38" s="14">
        <v>29439970</v>
      </c>
      <c r="J38" s="15">
        <v>45231</v>
      </c>
      <c r="K38" s="19">
        <v>4416</v>
      </c>
      <c r="L38" s="20" t="s">
        <v>603</v>
      </c>
    </row>
    <row r="39" spans="1:12" ht="12.75" customHeight="1" x14ac:dyDescent="0.35">
      <c r="A39" s="12">
        <f t="shared" si="0"/>
        <v>38</v>
      </c>
      <c r="B39" s="11"/>
      <c r="C39" s="10" t="s">
        <v>256</v>
      </c>
      <c r="D39" s="8" t="s">
        <v>470</v>
      </c>
      <c r="E39" s="9" t="s">
        <v>257</v>
      </c>
      <c r="F39" s="9" t="s">
        <v>17</v>
      </c>
      <c r="G39" s="10" t="s">
        <v>258</v>
      </c>
      <c r="H39" s="13" t="s">
        <v>259</v>
      </c>
      <c r="I39" s="14">
        <v>19898293</v>
      </c>
      <c r="J39" s="15">
        <v>45231</v>
      </c>
      <c r="K39" s="19">
        <v>2985</v>
      </c>
      <c r="L39" s="20" t="s">
        <v>604</v>
      </c>
    </row>
    <row r="40" spans="1:12" ht="12.75" customHeight="1" x14ac:dyDescent="0.35">
      <c r="A40" s="12">
        <f t="shared" si="0"/>
        <v>39</v>
      </c>
      <c r="B40" s="11"/>
      <c r="C40" s="10" t="s">
        <v>260</v>
      </c>
      <c r="D40" s="8" t="s">
        <v>470</v>
      </c>
      <c r="E40" s="9" t="s">
        <v>261</v>
      </c>
      <c r="F40" s="9" t="s">
        <v>17</v>
      </c>
      <c r="G40" s="10" t="s">
        <v>262</v>
      </c>
      <c r="H40" s="13" t="s">
        <v>263</v>
      </c>
      <c r="I40" s="14">
        <v>9224190</v>
      </c>
      <c r="J40" s="15">
        <v>45231</v>
      </c>
      <c r="K40" s="19">
        <v>1384</v>
      </c>
      <c r="L40" s="20" t="s">
        <v>605</v>
      </c>
    </row>
    <row r="41" spans="1:12" ht="12.75" customHeight="1" x14ac:dyDescent="0.35">
      <c r="A41" s="12">
        <f t="shared" si="0"/>
        <v>40</v>
      </c>
      <c r="B41" s="11"/>
      <c r="C41" s="10" t="s">
        <v>264</v>
      </c>
      <c r="D41" s="8" t="s">
        <v>470</v>
      </c>
      <c r="E41" s="9" t="s">
        <v>265</v>
      </c>
      <c r="F41" s="9" t="s">
        <v>20</v>
      </c>
      <c r="G41" s="10" t="s">
        <v>266</v>
      </c>
      <c r="H41" s="13" t="s">
        <v>267</v>
      </c>
      <c r="I41" s="14">
        <v>24539225</v>
      </c>
      <c r="J41" s="15">
        <v>45231</v>
      </c>
      <c r="K41" s="19">
        <v>3681</v>
      </c>
      <c r="L41" s="20" t="s">
        <v>606</v>
      </c>
    </row>
    <row r="42" spans="1:12" ht="12.75" customHeight="1" x14ac:dyDescent="0.35">
      <c r="A42" s="12">
        <f t="shared" si="0"/>
        <v>41</v>
      </c>
      <c r="B42" s="11"/>
      <c r="C42" s="10" t="s">
        <v>268</v>
      </c>
      <c r="D42" s="8" t="s">
        <v>470</v>
      </c>
      <c r="E42" s="9" t="s">
        <v>269</v>
      </c>
      <c r="F42" s="9" t="s">
        <v>17</v>
      </c>
      <c r="G42" s="10" t="s">
        <v>270</v>
      </c>
      <c r="H42" s="13" t="s">
        <v>271</v>
      </c>
      <c r="I42" s="14">
        <v>63574972</v>
      </c>
      <c r="J42" s="15">
        <v>45231</v>
      </c>
      <c r="K42" s="19">
        <v>9536</v>
      </c>
      <c r="L42" s="20" t="s">
        <v>607</v>
      </c>
    </row>
    <row r="43" spans="1:12" ht="12.75" customHeight="1" x14ac:dyDescent="0.35">
      <c r="A43" s="12">
        <f t="shared" si="0"/>
        <v>42</v>
      </c>
      <c r="B43" s="11"/>
      <c r="C43" s="10" t="s">
        <v>276</v>
      </c>
      <c r="D43" s="8" t="s">
        <v>470</v>
      </c>
      <c r="E43" s="9" t="s">
        <v>277</v>
      </c>
      <c r="F43" s="9" t="s">
        <v>17</v>
      </c>
      <c r="G43" s="10" t="s">
        <v>278</v>
      </c>
      <c r="H43" s="13" t="s">
        <v>279</v>
      </c>
      <c r="I43" s="14">
        <v>4626611</v>
      </c>
      <c r="J43" s="15">
        <v>45231</v>
      </c>
      <c r="K43" s="19">
        <v>694</v>
      </c>
      <c r="L43" s="20" t="s">
        <v>608</v>
      </c>
    </row>
    <row r="44" spans="1:12" ht="12.75" customHeight="1" x14ac:dyDescent="0.35">
      <c r="A44" s="12">
        <f t="shared" si="0"/>
        <v>43</v>
      </c>
      <c r="B44" s="11"/>
      <c r="C44" s="10" t="s">
        <v>280</v>
      </c>
      <c r="D44" s="8" t="s">
        <v>470</v>
      </c>
      <c r="E44" s="9" t="s">
        <v>281</v>
      </c>
      <c r="F44" s="9" t="s">
        <v>21</v>
      </c>
      <c r="G44" s="10" t="s">
        <v>282</v>
      </c>
      <c r="H44" s="13" t="s">
        <v>283</v>
      </c>
      <c r="I44" s="14">
        <v>4531213</v>
      </c>
      <c r="J44" s="15">
        <v>45231</v>
      </c>
      <c r="K44" s="19">
        <v>680</v>
      </c>
      <c r="L44" s="20" t="s">
        <v>609</v>
      </c>
    </row>
    <row r="45" spans="1:12" ht="12.75" customHeight="1" x14ac:dyDescent="0.35">
      <c r="A45" s="12">
        <f t="shared" si="0"/>
        <v>44</v>
      </c>
      <c r="B45" s="11"/>
      <c r="C45" s="10" t="s">
        <v>284</v>
      </c>
      <c r="D45" s="8" t="s">
        <v>470</v>
      </c>
      <c r="E45" s="9" t="s">
        <v>285</v>
      </c>
      <c r="F45" s="9" t="s">
        <v>20</v>
      </c>
      <c r="G45" s="10" t="s">
        <v>286</v>
      </c>
      <c r="H45" s="13" t="s">
        <v>287</v>
      </c>
      <c r="I45" s="14">
        <v>4161327</v>
      </c>
      <c r="J45" s="15">
        <v>45231</v>
      </c>
      <c r="K45" s="19">
        <v>624</v>
      </c>
      <c r="L45" s="20" t="s">
        <v>610</v>
      </c>
    </row>
    <row r="46" spans="1:12" ht="12.75" customHeight="1" x14ac:dyDescent="0.35">
      <c r="A46" s="12">
        <f t="shared" si="0"/>
        <v>45</v>
      </c>
      <c r="B46" s="11"/>
      <c r="C46" s="10" t="s">
        <v>288</v>
      </c>
      <c r="D46" s="8" t="s">
        <v>470</v>
      </c>
      <c r="E46" s="9" t="s">
        <v>289</v>
      </c>
      <c r="F46" s="9" t="s">
        <v>19</v>
      </c>
      <c r="G46" s="10" t="s">
        <v>290</v>
      </c>
      <c r="H46" s="13" t="s">
        <v>291</v>
      </c>
      <c r="I46" s="14">
        <v>8647167</v>
      </c>
      <c r="J46" s="15">
        <v>45231</v>
      </c>
      <c r="K46" s="19">
        <v>1297</v>
      </c>
      <c r="L46" s="20" t="s">
        <v>611</v>
      </c>
    </row>
    <row r="47" spans="1:12" ht="12.75" customHeight="1" x14ac:dyDescent="0.35">
      <c r="A47" s="12">
        <f t="shared" si="0"/>
        <v>46</v>
      </c>
      <c r="B47" s="11"/>
      <c r="C47" s="10" t="s">
        <v>292</v>
      </c>
      <c r="D47" s="8" t="s">
        <v>470</v>
      </c>
      <c r="E47" s="9" t="s">
        <v>293</v>
      </c>
      <c r="F47" s="9" t="s">
        <v>21</v>
      </c>
      <c r="G47" s="10" t="s">
        <v>294</v>
      </c>
      <c r="H47" s="13" t="s">
        <v>295</v>
      </c>
      <c r="I47" s="14">
        <v>7071454</v>
      </c>
      <c r="J47" s="15">
        <v>45231</v>
      </c>
      <c r="K47" s="19">
        <v>1061</v>
      </c>
      <c r="L47" s="20" t="s">
        <v>612</v>
      </c>
    </row>
    <row r="48" spans="1:12" ht="12.75" customHeight="1" x14ac:dyDescent="0.35">
      <c r="A48" s="12">
        <f t="shared" si="0"/>
        <v>47</v>
      </c>
      <c r="B48" s="11"/>
      <c r="C48" s="10" t="s">
        <v>296</v>
      </c>
      <c r="D48" s="8" t="s">
        <v>470</v>
      </c>
      <c r="E48" s="9" t="s">
        <v>297</v>
      </c>
      <c r="F48" s="9" t="s">
        <v>17</v>
      </c>
      <c r="G48" s="10" t="s">
        <v>298</v>
      </c>
      <c r="H48" s="13" t="s">
        <v>299</v>
      </c>
      <c r="I48" s="14">
        <v>2534364</v>
      </c>
      <c r="J48" s="15">
        <v>45231</v>
      </c>
      <c r="K48" s="19">
        <v>380</v>
      </c>
      <c r="L48" s="20" t="s">
        <v>613</v>
      </c>
    </row>
    <row r="49" spans="1:12" ht="12.75" customHeight="1" x14ac:dyDescent="0.35">
      <c r="A49" s="12">
        <f t="shared" si="0"/>
        <v>48</v>
      </c>
      <c r="B49" s="11"/>
      <c r="C49" s="10" t="s">
        <v>300</v>
      </c>
      <c r="D49" s="8" t="s">
        <v>470</v>
      </c>
      <c r="E49" s="9" t="s">
        <v>301</v>
      </c>
      <c r="F49" s="9" t="s">
        <v>21</v>
      </c>
      <c r="G49" s="10" t="s">
        <v>302</v>
      </c>
      <c r="H49" s="13" t="s">
        <v>303</v>
      </c>
      <c r="I49" s="14">
        <v>3859267</v>
      </c>
      <c r="J49" s="15">
        <v>45231</v>
      </c>
      <c r="K49" s="19">
        <v>579</v>
      </c>
      <c r="L49" s="20" t="s">
        <v>614</v>
      </c>
    </row>
    <row r="50" spans="1:12" ht="12.75" customHeight="1" x14ac:dyDescent="0.35">
      <c r="A50" s="12">
        <f t="shared" si="0"/>
        <v>49</v>
      </c>
      <c r="B50" s="11"/>
      <c r="C50" s="10" t="s">
        <v>304</v>
      </c>
      <c r="D50" s="8" t="s">
        <v>470</v>
      </c>
      <c r="E50" s="9" t="s">
        <v>305</v>
      </c>
      <c r="F50" s="9" t="s">
        <v>21</v>
      </c>
      <c r="G50" s="10" t="s">
        <v>306</v>
      </c>
      <c r="H50" s="13" t="s">
        <v>307</v>
      </c>
      <c r="I50" s="14">
        <v>7547552</v>
      </c>
      <c r="J50" s="15">
        <v>45231</v>
      </c>
      <c r="K50" s="19">
        <v>1132</v>
      </c>
      <c r="L50" s="20" t="s">
        <v>615</v>
      </c>
    </row>
    <row r="51" spans="1:12" ht="12.75" customHeight="1" x14ac:dyDescent="0.35">
      <c r="A51" s="12">
        <f t="shared" si="0"/>
        <v>50</v>
      </c>
      <c r="B51" s="11"/>
      <c r="C51" s="10" t="s">
        <v>308</v>
      </c>
      <c r="D51" s="8" t="s">
        <v>470</v>
      </c>
      <c r="E51" s="9" t="s">
        <v>309</v>
      </c>
      <c r="F51" s="9" t="s">
        <v>19</v>
      </c>
      <c r="G51" s="10" t="s">
        <v>310</v>
      </c>
      <c r="H51" s="13" t="s">
        <v>311</v>
      </c>
      <c r="I51" s="14">
        <v>8409179</v>
      </c>
      <c r="J51" s="15">
        <v>45231</v>
      </c>
      <c r="K51" s="19">
        <v>1261</v>
      </c>
      <c r="L51" s="20" t="s">
        <v>616</v>
      </c>
    </row>
    <row r="52" spans="1:12" ht="12.75" customHeight="1" x14ac:dyDescent="0.35">
      <c r="A52" s="12">
        <f t="shared" si="0"/>
        <v>51</v>
      </c>
      <c r="B52" s="11"/>
      <c r="C52" s="10" t="s">
        <v>312</v>
      </c>
      <c r="D52" s="8" t="s">
        <v>470</v>
      </c>
      <c r="E52" s="9" t="s">
        <v>313</v>
      </c>
      <c r="F52" s="9" t="s">
        <v>314</v>
      </c>
      <c r="G52" s="10" t="s">
        <v>315</v>
      </c>
      <c r="H52" s="13" t="s">
        <v>316</v>
      </c>
      <c r="I52" s="14">
        <v>4045205</v>
      </c>
      <c r="J52" s="15">
        <v>45231</v>
      </c>
      <c r="K52" s="19">
        <v>607</v>
      </c>
      <c r="L52" s="20" t="s">
        <v>617</v>
      </c>
    </row>
    <row r="53" spans="1:12" ht="12.75" customHeight="1" x14ac:dyDescent="0.35">
      <c r="A53" s="12">
        <f t="shared" si="0"/>
        <v>52</v>
      </c>
      <c r="B53" s="11"/>
      <c r="C53" s="10" t="s">
        <v>317</v>
      </c>
      <c r="D53" s="8" t="s">
        <v>470</v>
      </c>
      <c r="E53" s="9" t="s">
        <v>318</v>
      </c>
      <c r="F53" s="9" t="s">
        <v>21</v>
      </c>
      <c r="G53" s="10" t="s">
        <v>319</v>
      </c>
      <c r="H53" s="13" t="s">
        <v>320</v>
      </c>
      <c r="I53" s="14">
        <v>4287237</v>
      </c>
      <c r="J53" s="15">
        <v>45231</v>
      </c>
      <c r="K53" s="19">
        <v>643</v>
      </c>
      <c r="L53" s="20" t="s">
        <v>618</v>
      </c>
    </row>
    <row r="54" spans="1:12" ht="12.75" customHeight="1" x14ac:dyDescent="0.35">
      <c r="A54" s="12">
        <f t="shared" si="0"/>
        <v>53</v>
      </c>
      <c r="B54" s="11"/>
      <c r="C54" s="10" t="s">
        <v>321</v>
      </c>
      <c r="D54" s="8" t="s">
        <v>470</v>
      </c>
      <c r="E54" s="9" t="s">
        <v>322</v>
      </c>
      <c r="F54" s="9" t="s">
        <v>17</v>
      </c>
      <c r="G54" s="10" t="s">
        <v>323</v>
      </c>
      <c r="H54" s="13" t="s">
        <v>324</v>
      </c>
      <c r="I54" s="14">
        <v>4630392</v>
      </c>
      <c r="J54" s="15">
        <v>45231</v>
      </c>
      <c r="K54" s="19">
        <v>695</v>
      </c>
      <c r="L54" s="20" t="s">
        <v>619</v>
      </c>
    </row>
    <row r="55" spans="1:12" ht="12.75" customHeight="1" x14ac:dyDescent="0.35">
      <c r="A55" s="12">
        <f t="shared" si="0"/>
        <v>54</v>
      </c>
      <c r="B55" s="11"/>
      <c r="C55" s="10" t="s">
        <v>329</v>
      </c>
      <c r="D55" s="8" t="s">
        <v>470</v>
      </c>
      <c r="E55" s="9" t="s">
        <v>330</v>
      </c>
      <c r="F55" s="9" t="s">
        <v>331</v>
      </c>
      <c r="G55" s="10" t="s">
        <v>332</v>
      </c>
      <c r="H55" s="13" t="s">
        <v>333</v>
      </c>
      <c r="I55" s="14">
        <v>11713826</v>
      </c>
      <c r="J55" s="15">
        <v>45231</v>
      </c>
      <c r="K55" s="19">
        <v>1757</v>
      </c>
      <c r="L55" s="20" t="s">
        <v>620</v>
      </c>
    </row>
    <row r="56" spans="1:12" ht="12.75" customHeight="1" x14ac:dyDescent="0.35">
      <c r="A56" s="12">
        <f t="shared" si="0"/>
        <v>55</v>
      </c>
      <c r="B56" s="11"/>
      <c r="C56" s="10" t="s">
        <v>334</v>
      </c>
      <c r="D56" s="8" t="s">
        <v>470</v>
      </c>
      <c r="E56" s="9" t="s">
        <v>335</v>
      </c>
      <c r="F56" s="9" t="s">
        <v>17</v>
      </c>
      <c r="G56" s="10" t="s">
        <v>336</v>
      </c>
      <c r="H56" s="13" t="s">
        <v>337</v>
      </c>
      <c r="I56" s="14">
        <v>5284143</v>
      </c>
      <c r="J56" s="15">
        <v>45231</v>
      </c>
      <c r="K56" s="19">
        <v>793</v>
      </c>
      <c r="L56" s="20" t="s">
        <v>621</v>
      </c>
    </row>
    <row r="57" spans="1:12" ht="12.75" customHeight="1" x14ac:dyDescent="0.35">
      <c r="A57" s="12">
        <f t="shared" si="0"/>
        <v>56</v>
      </c>
      <c r="B57" s="11"/>
      <c r="C57" s="10" t="s">
        <v>338</v>
      </c>
      <c r="D57" s="8" t="s">
        <v>470</v>
      </c>
      <c r="E57" s="9" t="s">
        <v>339</v>
      </c>
      <c r="F57" s="9" t="s">
        <v>19</v>
      </c>
      <c r="G57" s="10" t="s">
        <v>340</v>
      </c>
      <c r="H57" s="13" t="s">
        <v>341</v>
      </c>
      <c r="I57" s="14">
        <v>8647167</v>
      </c>
      <c r="J57" s="15">
        <v>45231</v>
      </c>
      <c r="K57" s="19">
        <v>1297</v>
      </c>
      <c r="L57" s="20" t="s">
        <v>622</v>
      </c>
    </row>
    <row r="58" spans="1:12" ht="12.75" customHeight="1" x14ac:dyDescent="0.35">
      <c r="A58" s="12">
        <f t="shared" si="0"/>
        <v>57</v>
      </c>
      <c r="B58" s="11"/>
      <c r="C58" s="10" t="s">
        <v>342</v>
      </c>
      <c r="D58" s="8" t="s">
        <v>470</v>
      </c>
      <c r="E58" s="9" t="s">
        <v>343</v>
      </c>
      <c r="F58" s="9" t="s">
        <v>17</v>
      </c>
      <c r="G58" s="10" t="s">
        <v>344</v>
      </c>
      <c r="H58" s="13" t="s">
        <v>345</v>
      </c>
      <c r="I58" s="14">
        <v>13523727</v>
      </c>
      <c r="J58" s="15">
        <v>45231</v>
      </c>
      <c r="K58" s="19">
        <v>2029</v>
      </c>
      <c r="L58" s="20" t="s">
        <v>623</v>
      </c>
    </row>
    <row r="59" spans="1:12" ht="12.75" customHeight="1" x14ac:dyDescent="0.35">
      <c r="A59" s="12">
        <f t="shared" si="0"/>
        <v>58</v>
      </c>
      <c r="B59" s="11"/>
      <c r="C59" s="10" t="s">
        <v>346</v>
      </c>
      <c r="D59" s="8" t="s">
        <v>470</v>
      </c>
      <c r="E59" s="9" t="s">
        <v>347</v>
      </c>
      <c r="F59" s="9" t="s">
        <v>20</v>
      </c>
      <c r="G59" s="10" t="s">
        <v>348</v>
      </c>
      <c r="H59" s="13" t="s">
        <v>349</v>
      </c>
      <c r="I59" s="14">
        <v>8906348</v>
      </c>
      <c r="J59" s="15">
        <v>45231</v>
      </c>
      <c r="K59" s="19">
        <v>1336</v>
      </c>
      <c r="L59" s="20" t="s">
        <v>624</v>
      </c>
    </row>
    <row r="60" spans="1:12" ht="12.75" customHeight="1" x14ac:dyDescent="0.35">
      <c r="A60" s="12">
        <f t="shared" si="0"/>
        <v>59</v>
      </c>
      <c r="B60" s="11"/>
      <c r="C60" s="10" t="s">
        <v>350</v>
      </c>
      <c r="D60" s="8" t="s">
        <v>470</v>
      </c>
      <c r="E60" s="9" t="s">
        <v>351</v>
      </c>
      <c r="F60" s="9" t="s">
        <v>17</v>
      </c>
      <c r="G60" s="10" t="s">
        <v>352</v>
      </c>
      <c r="H60" s="13" t="s">
        <v>353</v>
      </c>
      <c r="I60" s="14">
        <v>4652112</v>
      </c>
      <c r="J60" s="15">
        <v>45231</v>
      </c>
      <c r="K60" s="19">
        <v>698</v>
      </c>
      <c r="L60" s="20" t="s">
        <v>625</v>
      </c>
    </row>
    <row r="61" spans="1:12" ht="12.75" customHeight="1" x14ac:dyDescent="0.35">
      <c r="A61" s="12">
        <f t="shared" si="0"/>
        <v>60</v>
      </c>
      <c r="B61" s="11"/>
      <c r="C61" s="10" t="s">
        <v>354</v>
      </c>
      <c r="D61" s="8" t="s">
        <v>470</v>
      </c>
      <c r="E61" s="9" t="s">
        <v>355</v>
      </c>
      <c r="F61" s="9" t="s">
        <v>20</v>
      </c>
      <c r="G61" s="10" t="s">
        <v>356</v>
      </c>
      <c r="H61" s="13" t="s">
        <v>357</v>
      </c>
      <c r="I61" s="14">
        <v>5541943</v>
      </c>
      <c r="J61" s="15">
        <v>45231</v>
      </c>
      <c r="K61" s="19">
        <v>831</v>
      </c>
      <c r="L61" s="20" t="s">
        <v>626</v>
      </c>
    </row>
    <row r="62" spans="1:12" ht="12.75" customHeight="1" x14ac:dyDescent="0.35">
      <c r="A62" s="12">
        <f t="shared" si="0"/>
        <v>61</v>
      </c>
      <c r="B62" s="11"/>
      <c r="C62" s="10" t="s">
        <v>358</v>
      </c>
      <c r="D62" s="8" t="s">
        <v>470</v>
      </c>
      <c r="E62" s="9" t="s">
        <v>359</v>
      </c>
      <c r="F62" s="9" t="s">
        <v>18</v>
      </c>
      <c r="G62" s="10" t="s">
        <v>360</v>
      </c>
      <c r="H62" s="13" t="s">
        <v>361</v>
      </c>
      <c r="I62" s="14">
        <v>8403714</v>
      </c>
      <c r="J62" s="15">
        <v>45231</v>
      </c>
      <c r="K62" s="19">
        <v>1261</v>
      </c>
      <c r="L62" s="20" t="s">
        <v>627</v>
      </c>
    </row>
    <row r="63" spans="1:12" ht="12.75" customHeight="1" x14ac:dyDescent="0.35">
      <c r="A63" s="12">
        <f t="shared" si="0"/>
        <v>62</v>
      </c>
      <c r="B63" s="11"/>
      <c r="C63" s="10" t="s">
        <v>362</v>
      </c>
      <c r="D63" s="8" t="s">
        <v>470</v>
      </c>
      <c r="E63" s="9" t="s">
        <v>363</v>
      </c>
      <c r="F63" s="9" t="s">
        <v>20</v>
      </c>
      <c r="G63" s="10" t="s">
        <v>364</v>
      </c>
      <c r="H63" s="13" t="s">
        <v>365</v>
      </c>
      <c r="I63" s="14">
        <v>2534364</v>
      </c>
      <c r="J63" s="15">
        <v>45231</v>
      </c>
      <c r="K63" s="19">
        <v>380</v>
      </c>
      <c r="L63" s="20" t="s">
        <v>628</v>
      </c>
    </row>
    <row r="64" spans="1:12" ht="12.75" customHeight="1" x14ac:dyDescent="0.35">
      <c r="A64" s="12">
        <f t="shared" si="0"/>
        <v>63</v>
      </c>
      <c r="B64" s="11"/>
      <c r="C64" s="10" t="s">
        <v>366</v>
      </c>
      <c r="D64" s="8" t="s">
        <v>470</v>
      </c>
      <c r="E64" s="9" t="s">
        <v>367</v>
      </c>
      <c r="F64" s="9" t="s">
        <v>21</v>
      </c>
      <c r="G64" s="10" t="s">
        <v>368</v>
      </c>
      <c r="H64" s="13" t="s">
        <v>369</v>
      </c>
      <c r="I64" s="14">
        <v>5647695</v>
      </c>
      <c r="J64" s="15">
        <v>45231</v>
      </c>
      <c r="K64" s="19">
        <v>847</v>
      </c>
      <c r="L64" s="20" t="s">
        <v>629</v>
      </c>
    </row>
    <row r="65" spans="1:12" ht="12.75" customHeight="1" x14ac:dyDescent="0.35">
      <c r="A65" s="12">
        <f t="shared" si="0"/>
        <v>64</v>
      </c>
      <c r="B65" s="11"/>
      <c r="C65" s="10" t="s">
        <v>370</v>
      </c>
      <c r="D65" s="8" t="s">
        <v>470</v>
      </c>
      <c r="E65" s="9" t="s">
        <v>371</v>
      </c>
      <c r="F65" s="9" t="s">
        <v>20</v>
      </c>
      <c r="G65" s="10" t="s">
        <v>372</v>
      </c>
      <c r="H65" s="13" t="s">
        <v>373</v>
      </c>
      <c r="I65" s="14">
        <v>4047518</v>
      </c>
      <c r="J65" s="15">
        <v>45231</v>
      </c>
      <c r="K65" s="19">
        <v>607</v>
      </c>
      <c r="L65" s="20" t="s">
        <v>630</v>
      </c>
    </row>
    <row r="66" spans="1:12" ht="12.75" customHeight="1" x14ac:dyDescent="0.35">
      <c r="A66" s="12">
        <f t="shared" si="0"/>
        <v>65</v>
      </c>
      <c r="B66" s="11"/>
      <c r="C66" s="10" t="s">
        <v>374</v>
      </c>
      <c r="D66" s="8" t="s">
        <v>470</v>
      </c>
      <c r="E66" s="9" t="s">
        <v>375</v>
      </c>
      <c r="F66" s="9" t="s">
        <v>20</v>
      </c>
      <c r="G66" s="10" t="s">
        <v>376</v>
      </c>
      <c r="H66" s="13" t="s">
        <v>377</v>
      </c>
      <c r="I66" s="14">
        <v>4376963</v>
      </c>
      <c r="J66" s="15">
        <v>45231</v>
      </c>
      <c r="K66" s="19">
        <v>657</v>
      </c>
      <c r="L66" s="20" t="s">
        <v>631</v>
      </c>
    </row>
    <row r="67" spans="1:12" ht="12.75" customHeight="1" x14ac:dyDescent="0.35">
      <c r="A67" s="12">
        <f t="shared" si="0"/>
        <v>66</v>
      </c>
      <c r="B67" s="11"/>
      <c r="C67" s="10" t="s">
        <v>378</v>
      </c>
      <c r="D67" s="8" t="s">
        <v>470</v>
      </c>
      <c r="E67" s="9" t="s">
        <v>379</v>
      </c>
      <c r="F67" s="9" t="s">
        <v>17</v>
      </c>
      <c r="G67" s="10" t="s">
        <v>380</v>
      </c>
      <c r="H67" s="13" t="s">
        <v>381</v>
      </c>
      <c r="I67" s="14">
        <v>4248011</v>
      </c>
      <c r="J67" s="15">
        <v>45231</v>
      </c>
      <c r="K67" s="19">
        <v>637</v>
      </c>
      <c r="L67" s="20" t="s">
        <v>632</v>
      </c>
    </row>
    <row r="68" spans="1:12" ht="12.75" customHeight="1" x14ac:dyDescent="0.35">
      <c r="A68" s="12">
        <f t="shared" ref="A68:A108" si="1">+A67+1</f>
        <v>67</v>
      </c>
      <c r="B68" s="11"/>
      <c r="C68" s="10" t="s">
        <v>382</v>
      </c>
      <c r="D68" s="8" t="s">
        <v>470</v>
      </c>
      <c r="E68" s="9" t="s">
        <v>383</v>
      </c>
      <c r="F68" s="9" t="s">
        <v>17</v>
      </c>
      <c r="G68" s="10" t="s">
        <v>384</v>
      </c>
      <c r="H68" s="13" t="s">
        <v>385</v>
      </c>
      <c r="I68" s="14">
        <v>12193934</v>
      </c>
      <c r="J68" s="15">
        <v>45231</v>
      </c>
      <c r="K68" s="19">
        <v>1829</v>
      </c>
      <c r="L68" s="20" t="s">
        <v>633</v>
      </c>
    </row>
    <row r="69" spans="1:12" ht="12.75" customHeight="1" x14ac:dyDescent="0.35">
      <c r="A69" s="12">
        <f t="shared" si="1"/>
        <v>68</v>
      </c>
      <c r="B69" s="11"/>
      <c r="C69" s="10" t="s">
        <v>386</v>
      </c>
      <c r="D69" s="8" t="s">
        <v>470</v>
      </c>
      <c r="E69" s="9" t="s">
        <v>387</v>
      </c>
      <c r="F69" s="9" t="s">
        <v>21</v>
      </c>
      <c r="G69" s="10" t="s">
        <v>388</v>
      </c>
      <c r="H69" s="13" t="s">
        <v>389</v>
      </c>
      <c r="I69" s="14">
        <v>2580045</v>
      </c>
      <c r="J69" s="15">
        <v>45231</v>
      </c>
      <c r="K69" s="19">
        <v>387</v>
      </c>
      <c r="L69" s="20" t="s">
        <v>634</v>
      </c>
    </row>
    <row r="70" spans="1:12" ht="12.75" customHeight="1" x14ac:dyDescent="0.35">
      <c r="A70" s="12">
        <f t="shared" si="1"/>
        <v>69</v>
      </c>
      <c r="B70" s="11"/>
      <c r="C70" s="10" t="s">
        <v>394</v>
      </c>
      <c r="D70" s="8" t="s">
        <v>470</v>
      </c>
      <c r="E70" s="9" t="s">
        <v>395</v>
      </c>
      <c r="F70" s="9" t="s">
        <v>17</v>
      </c>
      <c r="G70" s="10" t="s">
        <v>396</v>
      </c>
      <c r="H70" s="13" t="s">
        <v>397</v>
      </c>
      <c r="I70" s="14">
        <v>6411973</v>
      </c>
      <c r="J70" s="15">
        <v>45231</v>
      </c>
      <c r="K70" s="19">
        <v>962</v>
      </c>
      <c r="L70" s="20" t="s">
        <v>635</v>
      </c>
    </row>
    <row r="71" spans="1:12" ht="12.75" customHeight="1" x14ac:dyDescent="0.35">
      <c r="A71" s="12">
        <f t="shared" si="1"/>
        <v>70</v>
      </c>
      <c r="B71" s="11"/>
      <c r="C71" s="10" t="s">
        <v>398</v>
      </c>
      <c r="D71" s="8" t="s">
        <v>470</v>
      </c>
      <c r="E71" s="9" t="s">
        <v>399</v>
      </c>
      <c r="F71" s="9" t="s">
        <v>17</v>
      </c>
      <c r="G71" s="10" t="s">
        <v>400</v>
      </c>
      <c r="H71" s="13" t="s">
        <v>401</v>
      </c>
      <c r="I71" s="14">
        <v>43345315</v>
      </c>
      <c r="J71" s="15">
        <v>45231</v>
      </c>
      <c r="K71" s="19">
        <v>6502</v>
      </c>
      <c r="L71" s="20" t="s">
        <v>636</v>
      </c>
    </row>
    <row r="72" spans="1:12" ht="12.75" customHeight="1" x14ac:dyDescent="0.35">
      <c r="A72" s="12">
        <f t="shared" si="1"/>
        <v>71</v>
      </c>
      <c r="B72" s="11"/>
      <c r="C72" s="10" t="s">
        <v>402</v>
      </c>
      <c r="D72" s="8" t="s">
        <v>470</v>
      </c>
      <c r="E72" s="9" t="s">
        <v>403</v>
      </c>
      <c r="F72" s="9" t="s">
        <v>21</v>
      </c>
      <c r="G72" s="10" t="s">
        <v>404</v>
      </c>
      <c r="H72" s="13" t="s">
        <v>405</v>
      </c>
      <c r="I72" s="14">
        <v>9358809</v>
      </c>
      <c r="J72" s="15">
        <v>45231</v>
      </c>
      <c r="K72" s="19">
        <v>1404</v>
      </c>
      <c r="L72" s="20" t="s">
        <v>637</v>
      </c>
    </row>
    <row r="73" spans="1:12" ht="12.75" customHeight="1" x14ac:dyDescent="0.35">
      <c r="A73" s="12">
        <f t="shared" si="1"/>
        <v>72</v>
      </c>
      <c r="B73" s="11"/>
      <c r="C73" s="10" t="s">
        <v>406</v>
      </c>
      <c r="D73" s="8" t="s">
        <v>470</v>
      </c>
      <c r="E73" s="9" t="s">
        <v>407</v>
      </c>
      <c r="F73" s="9" t="s">
        <v>17</v>
      </c>
      <c r="G73" s="10" t="s">
        <v>408</v>
      </c>
      <c r="H73" s="13" t="s">
        <v>409</v>
      </c>
      <c r="I73" s="14">
        <v>8587751</v>
      </c>
      <c r="J73" s="15">
        <v>45231</v>
      </c>
      <c r="K73" s="19">
        <v>1288</v>
      </c>
      <c r="L73" s="20" t="s">
        <v>638</v>
      </c>
    </row>
    <row r="74" spans="1:12" ht="12.75" customHeight="1" x14ac:dyDescent="0.35">
      <c r="A74" s="12">
        <f t="shared" si="1"/>
        <v>73</v>
      </c>
      <c r="B74" s="11"/>
      <c r="C74" s="10" t="s">
        <v>410</v>
      </c>
      <c r="D74" s="8" t="s">
        <v>470</v>
      </c>
      <c r="E74" s="9" t="s">
        <v>411</v>
      </c>
      <c r="F74" s="9" t="s">
        <v>17</v>
      </c>
      <c r="G74" s="10" t="s">
        <v>412</v>
      </c>
      <c r="H74" s="13" t="s">
        <v>413</v>
      </c>
      <c r="I74" s="14">
        <v>9260785</v>
      </c>
      <c r="J74" s="15">
        <v>45231</v>
      </c>
      <c r="K74" s="19">
        <v>1389</v>
      </c>
      <c r="L74" s="20" t="s">
        <v>639</v>
      </c>
    </row>
    <row r="75" spans="1:12" ht="12.75" customHeight="1" x14ac:dyDescent="0.35">
      <c r="A75" s="12">
        <f t="shared" si="1"/>
        <v>74</v>
      </c>
      <c r="B75" s="11"/>
      <c r="C75" s="10" t="s">
        <v>414</v>
      </c>
      <c r="D75" s="8" t="s">
        <v>470</v>
      </c>
      <c r="E75" s="9" t="s">
        <v>415</v>
      </c>
      <c r="F75" s="9" t="s">
        <v>17</v>
      </c>
      <c r="G75" s="10" t="s">
        <v>416</v>
      </c>
      <c r="H75" s="13" t="s">
        <v>417</v>
      </c>
      <c r="I75" s="14">
        <v>3209613</v>
      </c>
      <c r="J75" s="15">
        <v>45231</v>
      </c>
      <c r="K75" s="19">
        <v>481</v>
      </c>
      <c r="L75" s="20" t="s">
        <v>640</v>
      </c>
    </row>
    <row r="76" spans="1:12" ht="12.75" customHeight="1" x14ac:dyDescent="0.35">
      <c r="A76" s="12">
        <f t="shared" si="1"/>
        <v>75</v>
      </c>
      <c r="B76" s="11"/>
      <c r="C76" s="10" t="s">
        <v>418</v>
      </c>
      <c r="D76" s="8" t="s">
        <v>470</v>
      </c>
      <c r="E76" s="9" t="s">
        <v>419</v>
      </c>
      <c r="F76" s="9" t="s">
        <v>17</v>
      </c>
      <c r="G76" s="10" t="s">
        <v>420</v>
      </c>
      <c r="H76" s="13" t="s">
        <v>421</v>
      </c>
      <c r="I76" s="14">
        <v>3653289</v>
      </c>
      <c r="J76" s="15">
        <v>45231</v>
      </c>
      <c r="K76" s="19">
        <v>548</v>
      </c>
      <c r="L76" s="20" t="s">
        <v>641</v>
      </c>
    </row>
    <row r="77" spans="1:12" ht="12.75" customHeight="1" x14ac:dyDescent="0.35">
      <c r="A77" s="12">
        <f t="shared" si="1"/>
        <v>76</v>
      </c>
      <c r="B77" s="11"/>
      <c r="C77" s="10" t="s">
        <v>422</v>
      </c>
      <c r="D77" s="8" t="s">
        <v>470</v>
      </c>
      <c r="E77" s="9" t="s">
        <v>423</v>
      </c>
      <c r="F77" s="9" t="s">
        <v>17</v>
      </c>
      <c r="G77" s="10" t="s">
        <v>424</v>
      </c>
      <c r="H77" s="13" t="s">
        <v>425</v>
      </c>
      <c r="I77" s="14">
        <v>4054005</v>
      </c>
      <c r="J77" s="15">
        <v>45231</v>
      </c>
      <c r="K77" s="19">
        <v>608</v>
      </c>
      <c r="L77" s="20" t="s">
        <v>642</v>
      </c>
    </row>
    <row r="78" spans="1:12" ht="12.75" customHeight="1" x14ac:dyDescent="0.35">
      <c r="A78" s="12">
        <f t="shared" si="1"/>
        <v>77</v>
      </c>
      <c r="B78" s="11"/>
      <c r="C78" s="10" t="s">
        <v>426</v>
      </c>
      <c r="D78" s="8" t="s">
        <v>470</v>
      </c>
      <c r="E78" s="9" t="s">
        <v>427</v>
      </c>
      <c r="F78" s="9" t="s">
        <v>19</v>
      </c>
      <c r="G78" s="10" t="s">
        <v>428</v>
      </c>
      <c r="H78" s="13" t="s">
        <v>429</v>
      </c>
      <c r="I78" s="14">
        <v>8109867</v>
      </c>
      <c r="J78" s="15">
        <v>45231</v>
      </c>
      <c r="K78" s="19">
        <v>1216</v>
      </c>
      <c r="L78" s="20" t="s">
        <v>643</v>
      </c>
    </row>
    <row r="79" spans="1:12" ht="12.75" customHeight="1" x14ac:dyDescent="0.35">
      <c r="A79" s="12">
        <f t="shared" si="1"/>
        <v>78</v>
      </c>
      <c r="B79" s="11"/>
      <c r="C79" s="10" t="s">
        <v>430</v>
      </c>
      <c r="D79" s="8" t="s">
        <v>470</v>
      </c>
      <c r="E79" s="9" t="s">
        <v>431</v>
      </c>
      <c r="F79" s="9" t="s">
        <v>17</v>
      </c>
      <c r="G79" s="10" t="s">
        <v>432</v>
      </c>
      <c r="H79" s="13" t="s">
        <v>433</v>
      </c>
      <c r="I79" s="14">
        <v>6016384</v>
      </c>
      <c r="J79" s="15">
        <v>45231</v>
      </c>
      <c r="K79" s="19">
        <v>902</v>
      </c>
      <c r="L79" s="20" t="s">
        <v>644</v>
      </c>
    </row>
    <row r="80" spans="1:12" ht="12.75" customHeight="1" x14ac:dyDescent="0.35">
      <c r="A80" s="12">
        <f t="shared" si="1"/>
        <v>79</v>
      </c>
      <c r="B80" s="11"/>
      <c r="C80" s="10" t="s">
        <v>434</v>
      </c>
      <c r="D80" s="8" t="s">
        <v>470</v>
      </c>
      <c r="E80" s="9" t="s">
        <v>435</v>
      </c>
      <c r="F80" s="9" t="s">
        <v>20</v>
      </c>
      <c r="G80" s="10" t="s">
        <v>436</v>
      </c>
      <c r="H80" s="13" t="s">
        <v>437</v>
      </c>
      <c r="I80" s="14">
        <v>9069990</v>
      </c>
      <c r="J80" s="15">
        <v>45231</v>
      </c>
      <c r="K80" s="19">
        <v>1360</v>
      </c>
      <c r="L80" s="20" t="s">
        <v>645</v>
      </c>
    </row>
    <row r="81" spans="1:12" ht="12.75" customHeight="1" x14ac:dyDescent="0.35">
      <c r="A81" s="12">
        <f t="shared" si="1"/>
        <v>80</v>
      </c>
      <c r="B81" s="11"/>
      <c r="C81" s="10" t="s">
        <v>442</v>
      </c>
      <c r="D81" s="8" t="s">
        <v>470</v>
      </c>
      <c r="E81" s="9" t="s">
        <v>443</v>
      </c>
      <c r="F81" s="9" t="s">
        <v>17</v>
      </c>
      <c r="G81" s="10" t="s">
        <v>444</v>
      </c>
      <c r="H81" s="13" t="s">
        <v>445</v>
      </c>
      <c r="I81" s="14">
        <v>5664028</v>
      </c>
      <c r="J81" s="15">
        <v>45231</v>
      </c>
      <c r="K81" s="19">
        <v>850</v>
      </c>
      <c r="L81" s="20" t="s">
        <v>646</v>
      </c>
    </row>
    <row r="82" spans="1:12" ht="12.75" customHeight="1" x14ac:dyDescent="0.35">
      <c r="A82" s="12">
        <f t="shared" si="1"/>
        <v>81</v>
      </c>
      <c r="B82" s="11"/>
      <c r="C82" s="10" t="s">
        <v>446</v>
      </c>
      <c r="D82" s="8" t="s">
        <v>470</v>
      </c>
      <c r="E82" s="9" t="s">
        <v>447</v>
      </c>
      <c r="F82" s="9" t="s">
        <v>19</v>
      </c>
      <c r="G82" s="10" t="s">
        <v>448</v>
      </c>
      <c r="H82" s="13" t="s">
        <v>449</v>
      </c>
      <c r="I82" s="14">
        <v>6789669</v>
      </c>
      <c r="J82" s="15">
        <v>45231</v>
      </c>
      <c r="K82" s="19">
        <v>1018</v>
      </c>
      <c r="L82" s="20" t="s">
        <v>647</v>
      </c>
    </row>
    <row r="83" spans="1:12" ht="12.75" customHeight="1" x14ac:dyDescent="0.35">
      <c r="A83" s="12">
        <f t="shared" si="1"/>
        <v>82</v>
      </c>
      <c r="B83" s="11"/>
      <c r="C83" s="10" t="s">
        <v>450</v>
      </c>
      <c r="D83" s="8" t="s">
        <v>470</v>
      </c>
      <c r="E83" s="9" t="s">
        <v>451</v>
      </c>
      <c r="F83" s="9" t="s">
        <v>17</v>
      </c>
      <c r="G83" s="10" t="s">
        <v>452</v>
      </c>
      <c r="H83" s="13" t="s">
        <v>453</v>
      </c>
      <c r="I83" s="14">
        <v>4672818</v>
      </c>
      <c r="J83" s="15">
        <v>45231</v>
      </c>
      <c r="K83" s="19">
        <v>701</v>
      </c>
      <c r="L83" s="20" t="s">
        <v>648</v>
      </c>
    </row>
    <row r="84" spans="1:12" ht="12.75" customHeight="1" x14ac:dyDescent="0.35">
      <c r="A84" s="12">
        <f t="shared" si="1"/>
        <v>83</v>
      </c>
      <c r="B84" s="11"/>
      <c r="C84" s="10" t="s">
        <v>454</v>
      </c>
      <c r="D84" s="8" t="s">
        <v>470</v>
      </c>
      <c r="E84" s="9" t="s">
        <v>455</v>
      </c>
      <c r="F84" s="9" t="s">
        <v>17</v>
      </c>
      <c r="G84" s="10" t="s">
        <v>456</v>
      </c>
      <c r="H84" s="13" t="s">
        <v>457</v>
      </c>
      <c r="I84" s="14">
        <v>40921657</v>
      </c>
      <c r="J84" s="15">
        <v>45231</v>
      </c>
      <c r="K84" s="19">
        <v>6138</v>
      </c>
      <c r="L84" s="20" t="s">
        <v>649</v>
      </c>
    </row>
    <row r="85" spans="1:12" ht="12.75" customHeight="1" x14ac:dyDescent="0.35">
      <c r="A85" s="12">
        <f t="shared" si="1"/>
        <v>84</v>
      </c>
      <c r="B85" s="11"/>
      <c r="C85" s="10" t="s">
        <v>458</v>
      </c>
      <c r="D85" s="8" t="s">
        <v>470</v>
      </c>
      <c r="E85" s="9" t="s">
        <v>459</v>
      </c>
      <c r="F85" s="9" t="s">
        <v>19</v>
      </c>
      <c r="G85" s="10" t="s">
        <v>460</v>
      </c>
      <c r="H85" s="13" t="s">
        <v>461</v>
      </c>
      <c r="I85" s="14">
        <v>8647155</v>
      </c>
      <c r="J85" s="15">
        <v>45231</v>
      </c>
      <c r="K85" s="19">
        <v>1297</v>
      </c>
      <c r="L85" s="20" t="s">
        <v>650</v>
      </c>
    </row>
    <row r="86" spans="1:12" ht="12.75" customHeight="1" x14ac:dyDescent="0.35">
      <c r="A86" s="12">
        <f t="shared" si="1"/>
        <v>85</v>
      </c>
      <c r="B86" s="11"/>
      <c r="C86" s="10" t="s">
        <v>462</v>
      </c>
      <c r="D86" s="8" t="s">
        <v>470</v>
      </c>
      <c r="E86" s="9" t="s">
        <v>463</v>
      </c>
      <c r="F86" s="9" t="s">
        <v>20</v>
      </c>
      <c r="G86" s="10" t="s">
        <v>464</v>
      </c>
      <c r="H86" s="13" t="s">
        <v>465</v>
      </c>
      <c r="I86" s="14">
        <v>4431783</v>
      </c>
      <c r="J86" s="15">
        <v>45231</v>
      </c>
      <c r="K86" s="19">
        <v>665</v>
      </c>
      <c r="L86" s="20" t="s">
        <v>651</v>
      </c>
    </row>
    <row r="87" spans="1:12" ht="12.75" customHeight="1" x14ac:dyDescent="0.35">
      <c r="A87" s="12">
        <f t="shared" si="1"/>
        <v>86</v>
      </c>
      <c r="B87" s="11"/>
      <c r="C87" s="10" t="s">
        <v>471</v>
      </c>
      <c r="D87" s="8" t="s">
        <v>470</v>
      </c>
      <c r="E87" s="9" t="s">
        <v>493</v>
      </c>
      <c r="F87" s="9" t="s">
        <v>494</v>
      </c>
      <c r="G87" s="10" t="s">
        <v>495</v>
      </c>
      <c r="H87" s="13" t="s">
        <v>496</v>
      </c>
      <c r="I87" s="14">
        <v>30628667</v>
      </c>
      <c r="J87" s="15">
        <v>45231</v>
      </c>
      <c r="K87" s="19">
        <v>4594</v>
      </c>
      <c r="L87" s="20" t="s">
        <v>652</v>
      </c>
    </row>
    <row r="88" spans="1:12" ht="12.75" customHeight="1" x14ac:dyDescent="0.35">
      <c r="A88" s="12">
        <f t="shared" si="1"/>
        <v>87</v>
      </c>
      <c r="B88" s="11"/>
      <c r="C88" s="10" t="s">
        <v>472</v>
      </c>
      <c r="D88" s="8" t="s">
        <v>470</v>
      </c>
      <c r="E88" s="9" t="s">
        <v>497</v>
      </c>
      <c r="F88" s="9" t="s">
        <v>494</v>
      </c>
      <c r="G88" s="10" t="s">
        <v>498</v>
      </c>
      <c r="H88" s="13" t="s">
        <v>499</v>
      </c>
      <c r="I88" s="14">
        <v>3695776</v>
      </c>
      <c r="J88" s="15">
        <v>45231</v>
      </c>
      <c r="K88" s="19">
        <v>554</v>
      </c>
      <c r="L88" s="20" t="s">
        <v>653</v>
      </c>
    </row>
    <row r="89" spans="1:12" ht="12.75" customHeight="1" x14ac:dyDescent="0.35">
      <c r="A89" s="12">
        <f t="shared" si="1"/>
        <v>88</v>
      </c>
      <c r="B89" s="11"/>
      <c r="C89" s="10" t="s">
        <v>473</v>
      </c>
      <c r="D89" s="8" t="s">
        <v>470</v>
      </c>
      <c r="E89" s="9" t="s">
        <v>500</v>
      </c>
      <c r="F89" s="9" t="s">
        <v>501</v>
      </c>
      <c r="G89" s="10" t="s">
        <v>502</v>
      </c>
      <c r="H89" s="13" t="s">
        <v>503</v>
      </c>
      <c r="I89" s="14">
        <v>12795593</v>
      </c>
      <c r="J89" s="15">
        <v>45231</v>
      </c>
      <c r="K89" s="19">
        <v>1919</v>
      </c>
      <c r="L89" s="20" t="s">
        <v>654</v>
      </c>
    </row>
    <row r="90" spans="1:12" ht="12.75" customHeight="1" x14ac:dyDescent="0.35">
      <c r="A90" s="12">
        <f t="shared" si="1"/>
        <v>89</v>
      </c>
      <c r="B90" s="11"/>
      <c r="C90" s="10" t="s">
        <v>474</v>
      </c>
      <c r="D90" s="8" t="s">
        <v>470</v>
      </c>
      <c r="E90" s="9" t="s">
        <v>504</v>
      </c>
      <c r="F90" s="9" t="s">
        <v>501</v>
      </c>
      <c r="G90" s="10" t="s">
        <v>505</v>
      </c>
      <c r="H90" s="13" t="s">
        <v>506</v>
      </c>
      <c r="I90" s="14">
        <v>6032857</v>
      </c>
      <c r="J90" s="15">
        <v>45231</v>
      </c>
      <c r="K90" s="19">
        <v>905</v>
      </c>
      <c r="L90" s="20" t="s">
        <v>655</v>
      </c>
    </row>
    <row r="91" spans="1:12" ht="12.75" customHeight="1" x14ac:dyDescent="0.35">
      <c r="A91" s="12">
        <f t="shared" si="1"/>
        <v>90</v>
      </c>
      <c r="B91" s="11"/>
      <c r="C91" s="10" t="s">
        <v>475</v>
      </c>
      <c r="D91" s="8" t="s">
        <v>470</v>
      </c>
      <c r="E91" s="9" t="s">
        <v>507</v>
      </c>
      <c r="F91" s="9" t="s">
        <v>501</v>
      </c>
      <c r="G91" s="10" t="s">
        <v>508</v>
      </c>
      <c r="H91" s="13" t="s">
        <v>509</v>
      </c>
      <c r="I91" s="14">
        <v>10343853</v>
      </c>
      <c r="J91" s="15">
        <v>45231</v>
      </c>
      <c r="K91" s="19">
        <v>1552</v>
      </c>
      <c r="L91" s="20" t="s">
        <v>656</v>
      </c>
    </row>
    <row r="92" spans="1:12" ht="12.75" customHeight="1" x14ac:dyDescent="0.35">
      <c r="A92" s="12">
        <f t="shared" si="1"/>
        <v>91</v>
      </c>
      <c r="B92" s="11"/>
      <c r="C92" s="10" t="s">
        <v>476</v>
      </c>
      <c r="D92" s="8" t="s">
        <v>470</v>
      </c>
      <c r="E92" s="9" t="s">
        <v>510</v>
      </c>
      <c r="F92" s="9" t="s">
        <v>501</v>
      </c>
      <c r="G92" s="10" t="s">
        <v>511</v>
      </c>
      <c r="H92" s="13" t="s">
        <v>512</v>
      </c>
      <c r="I92" s="14">
        <v>6947137</v>
      </c>
      <c r="J92" s="15">
        <v>45231</v>
      </c>
      <c r="K92" s="19">
        <v>1042</v>
      </c>
      <c r="L92" s="20" t="s">
        <v>657</v>
      </c>
    </row>
    <row r="93" spans="1:12" ht="12.75" customHeight="1" x14ac:dyDescent="0.35">
      <c r="A93" s="12">
        <f t="shared" si="1"/>
        <v>92</v>
      </c>
      <c r="B93" s="11"/>
      <c r="C93" s="10" t="s">
        <v>477</v>
      </c>
      <c r="D93" s="8" t="s">
        <v>470</v>
      </c>
      <c r="E93" s="9" t="s">
        <v>513</v>
      </c>
      <c r="F93" s="9" t="s">
        <v>494</v>
      </c>
      <c r="G93" s="10" t="s">
        <v>514</v>
      </c>
      <c r="H93" s="13" t="s">
        <v>515</v>
      </c>
      <c r="I93" s="14">
        <v>3710284</v>
      </c>
      <c r="J93" s="15">
        <v>45231</v>
      </c>
      <c r="K93" s="19">
        <v>557</v>
      </c>
      <c r="L93" s="20" t="s">
        <v>658</v>
      </c>
    </row>
    <row r="94" spans="1:12" ht="12.75" customHeight="1" x14ac:dyDescent="0.35">
      <c r="A94" s="12">
        <f t="shared" si="1"/>
        <v>93</v>
      </c>
      <c r="B94" s="11"/>
      <c r="C94" s="10" t="s">
        <v>478</v>
      </c>
      <c r="D94" s="8" t="s">
        <v>470</v>
      </c>
      <c r="E94" s="9" t="s">
        <v>516</v>
      </c>
      <c r="F94" s="9" t="s">
        <v>494</v>
      </c>
      <c r="G94" s="10" t="s">
        <v>517</v>
      </c>
      <c r="H94" s="13" t="s">
        <v>518</v>
      </c>
      <c r="I94" s="14">
        <v>8705194</v>
      </c>
      <c r="J94" s="15">
        <v>45231</v>
      </c>
      <c r="K94" s="19">
        <v>1306</v>
      </c>
      <c r="L94" s="20" t="s">
        <v>659</v>
      </c>
    </row>
    <row r="95" spans="1:12" ht="12.75" customHeight="1" x14ac:dyDescent="0.35">
      <c r="A95" s="12">
        <f t="shared" si="1"/>
        <v>94</v>
      </c>
      <c r="B95" s="11"/>
      <c r="C95" s="10" t="s">
        <v>479</v>
      </c>
      <c r="D95" s="8" t="s">
        <v>470</v>
      </c>
      <c r="E95" s="9" t="s">
        <v>519</v>
      </c>
      <c r="F95" s="9" t="s">
        <v>494</v>
      </c>
      <c r="G95" s="10" t="s">
        <v>520</v>
      </c>
      <c r="H95" s="13" t="s">
        <v>521</v>
      </c>
      <c r="I95" s="14">
        <v>38643222</v>
      </c>
      <c r="J95" s="15">
        <v>45231</v>
      </c>
      <c r="K95" s="19">
        <v>5796</v>
      </c>
      <c r="L95" s="20" t="s">
        <v>660</v>
      </c>
    </row>
    <row r="96" spans="1:12" ht="12.75" customHeight="1" x14ac:dyDescent="0.35">
      <c r="A96" s="12">
        <f t="shared" si="1"/>
        <v>95</v>
      </c>
      <c r="B96" s="11"/>
      <c r="C96" s="10" t="s">
        <v>480</v>
      </c>
      <c r="D96" s="8" t="s">
        <v>470</v>
      </c>
      <c r="E96" s="9" t="s">
        <v>522</v>
      </c>
      <c r="F96" s="9" t="s">
        <v>523</v>
      </c>
      <c r="G96" s="10" t="s">
        <v>524</v>
      </c>
      <c r="H96" s="13" t="s">
        <v>525</v>
      </c>
      <c r="I96" s="14">
        <v>8418269</v>
      </c>
      <c r="J96" s="15">
        <v>45231</v>
      </c>
      <c r="K96" s="19">
        <v>1263</v>
      </c>
      <c r="L96" s="20" t="s">
        <v>661</v>
      </c>
    </row>
    <row r="97" spans="1:12" ht="12.75" customHeight="1" x14ac:dyDescent="0.35">
      <c r="A97" s="12">
        <f t="shared" si="1"/>
        <v>96</v>
      </c>
      <c r="B97" s="11"/>
      <c r="C97" s="10" t="s">
        <v>481</v>
      </c>
      <c r="D97" s="8" t="s">
        <v>470</v>
      </c>
      <c r="E97" s="9" t="s">
        <v>526</v>
      </c>
      <c r="F97" s="9" t="s">
        <v>494</v>
      </c>
      <c r="G97" s="10" t="s">
        <v>527</v>
      </c>
      <c r="H97" s="13" t="s">
        <v>528</v>
      </c>
      <c r="I97" s="14">
        <v>9802271</v>
      </c>
      <c r="J97" s="15">
        <v>45231</v>
      </c>
      <c r="K97" s="19">
        <v>1470</v>
      </c>
      <c r="L97" s="20" t="s">
        <v>662</v>
      </c>
    </row>
    <row r="98" spans="1:12" ht="12.75" customHeight="1" x14ac:dyDescent="0.35">
      <c r="A98" s="12">
        <f t="shared" si="1"/>
        <v>97</v>
      </c>
      <c r="B98" s="11"/>
      <c r="C98" s="10" t="s">
        <v>482</v>
      </c>
      <c r="D98" s="8" t="s">
        <v>470</v>
      </c>
      <c r="E98" s="9" t="s">
        <v>529</v>
      </c>
      <c r="F98" s="9" t="s">
        <v>530</v>
      </c>
      <c r="G98" s="10" t="s">
        <v>531</v>
      </c>
      <c r="H98" s="13" t="s">
        <v>532</v>
      </c>
      <c r="I98" s="14">
        <v>9963694</v>
      </c>
      <c r="J98" s="15">
        <v>45231</v>
      </c>
      <c r="K98" s="19">
        <v>1495</v>
      </c>
      <c r="L98" s="20" t="s">
        <v>663</v>
      </c>
    </row>
    <row r="99" spans="1:12" ht="12.75" customHeight="1" x14ac:dyDescent="0.35">
      <c r="A99" s="12">
        <f t="shared" si="1"/>
        <v>98</v>
      </c>
      <c r="B99" s="11"/>
      <c r="C99" s="10" t="s">
        <v>483</v>
      </c>
      <c r="D99" s="8" t="s">
        <v>470</v>
      </c>
      <c r="E99" s="9" t="s">
        <v>533</v>
      </c>
      <c r="F99" s="9" t="s">
        <v>494</v>
      </c>
      <c r="G99" s="10" t="s">
        <v>534</v>
      </c>
      <c r="H99" s="13" t="s">
        <v>535</v>
      </c>
      <c r="I99" s="14">
        <v>18326150</v>
      </c>
      <c r="J99" s="15">
        <v>45231</v>
      </c>
      <c r="K99" s="19">
        <v>2749</v>
      </c>
      <c r="L99" s="20" t="s">
        <v>664</v>
      </c>
    </row>
    <row r="100" spans="1:12" ht="12.75" customHeight="1" x14ac:dyDescent="0.35">
      <c r="A100" s="12">
        <f t="shared" si="1"/>
        <v>99</v>
      </c>
      <c r="B100" s="11"/>
      <c r="C100" s="10" t="s">
        <v>484</v>
      </c>
      <c r="D100" s="8" t="s">
        <v>470</v>
      </c>
      <c r="E100" s="9" t="s">
        <v>536</v>
      </c>
      <c r="F100" s="9" t="s">
        <v>523</v>
      </c>
      <c r="G100" s="10" t="s">
        <v>537</v>
      </c>
      <c r="H100" s="13" t="s">
        <v>538</v>
      </c>
      <c r="I100" s="14">
        <v>12994456</v>
      </c>
      <c r="J100" s="15">
        <v>45231</v>
      </c>
      <c r="K100" s="19">
        <v>1949</v>
      </c>
      <c r="L100" s="20" t="s">
        <v>665</v>
      </c>
    </row>
    <row r="101" spans="1:12" ht="12.75" customHeight="1" x14ac:dyDescent="0.35">
      <c r="A101" s="12">
        <f t="shared" si="1"/>
        <v>100</v>
      </c>
      <c r="B101" s="11"/>
      <c r="C101" s="10" t="s">
        <v>485</v>
      </c>
      <c r="D101" s="8" t="s">
        <v>470</v>
      </c>
      <c r="E101" s="9" t="s">
        <v>539</v>
      </c>
      <c r="F101" s="9" t="s">
        <v>494</v>
      </c>
      <c r="G101" s="10" t="s">
        <v>540</v>
      </c>
      <c r="H101" s="13" t="s">
        <v>541</v>
      </c>
      <c r="I101" s="14">
        <v>42484350</v>
      </c>
      <c r="J101" s="15">
        <v>45231</v>
      </c>
      <c r="K101" s="19">
        <v>6373</v>
      </c>
      <c r="L101" s="20" t="s">
        <v>666</v>
      </c>
    </row>
    <row r="102" spans="1:12" ht="12.75" customHeight="1" x14ac:dyDescent="0.35">
      <c r="A102" s="12">
        <f t="shared" si="1"/>
        <v>101</v>
      </c>
      <c r="B102" s="11"/>
      <c r="C102" s="10" t="s">
        <v>486</v>
      </c>
      <c r="D102" s="8" t="s">
        <v>470</v>
      </c>
      <c r="E102" s="9" t="s">
        <v>542</v>
      </c>
      <c r="F102" s="9" t="s">
        <v>494</v>
      </c>
      <c r="G102" s="10" t="s">
        <v>543</v>
      </c>
      <c r="H102" s="13" t="s">
        <v>544</v>
      </c>
      <c r="I102" s="14">
        <v>3575199</v>
      </c>
      <c r="J102" s="15">
        <v>45231</v>
      </c>
      <c r="K102" s="19">
        <v>536</v>
      </c>
      <c r="L102" s="20" t="s">
        <v>667</v>
      </c>
    </row>
    <row r="103" spans="1:12" ht="12.75" customHeight="1" x14ac:dyDescent="0.35">
      <c r="A103" s="12">
        <f t="shared" si="1"/>
        <v>102</v>
      </c>
      <c r="B103" s="11"/>
      <c r="C103" s="10" t="s">
        <v>487</v>
      </c>
      <c r="D103" s="8" t="s">
        <v>470</v>
      </c>
      <c r="E103" s="9" t="s">
        <v>545</v>
      </c>
      <c r="F103" s="9" t="s">
        <v>530</v>
      </c>
      <c r="G103" s="10" t="s">
        <v>546</v>
      </c>
      <c r="H103" s="13" t="s">
        <v>547</v>
      </c>
      <c r="I103" s="14">
        <v>9944631</v>
      </c>
      <c r="J103" s="15">
        <v>45231</v>
      </c>
      <c r="K103" s="19">
        <v>1492</v>
      </c>
      <c r="L103" s="20" t="s">
        <v>668</v>
      </c>
    </row>
    <row r="104" spans="1:12" ht="12.75" customHeight="1" x14ac:dyDescent="0.35">
      <c r="A104" s="12">
        <f t="shared" si="1"/>
        <v>103</v>
      </c>
      <c r="B104" s="11"/>
      <c r="C104" s="10" t="s">
        <v>488</v>
      </c>
      <c r="D104" s="8" t="s">
        <v>470</v>
      </c>
      <c r="E104" s="9" t="s">
        <v>548</v>
      </c>
      <c r="F104" s="9" t="s">
        <v>494</v>
      </c>
      <c r="G104" s="10" t="s">
        <v>549</v>
      </c>
      <c r="H104" s="13" t="s">
        <v>550</v>
      </c>
      <c r="I104" s="14">
        <v>7969267</v>
      </c>
      <c r="J104" s="15">
        <v>45231</v>
      </c>
      <c r="K104" s="19">
        <v>1195</v>
      </c>
      <c r="L104" s="20" t="s">
        <v>669</v>
      </c>
    </row>
    <row r="105" spans="1:12" ht="12.75" customHeight="1" x14ac:dyDescent="0.35">
      <c r="A105" s="12">
        <f t="shared" si="1"/>
        <v>104</v>
      </c>
      <c r="B105" s="11"/>
      <c r="C105" s="10" t="s">
        <v>489</v>
      </c>
      <c r="D105" s="8" t="s">
        <v>470</v>
      </c>
      <c r="E105" s="9" t="s">
        <v>551</v>
      </c>
      <c r="F105" s="9" t="s">
        <v>494</v>
      </c>
      <c r="G105" s="10" t="s">
        <v>552</v>
      </c>
      <c r="H105" s="13" t="s">
        <v>553</v>
      </c>
      <c r="I105" s="14">
        <v>11547146</v>
      </c>
      <c r="J105" s="15">
        <v>45231</v>
      </c>
      <c r="K105" s="19">
        <v>1732</v>
      </c>
      <c r="L105" s="20" t="s">
        <v>670</v>
      </c>
    </row>
    <row r="106" spans="1:12" ht="12.75" customHeight="1" x14ac:dyDescent="0.35">
      <c r="A106" s="12">
        <f t="shared" si="1"/>
        <v>105</v>
      </c>
      <c r="B106" s="11"/>
      <c r="C106" s="10" t="s">
        <v>490</v>
      </c>
      <c r="D106" s="8" t="s">
        <v>470</v>
      </c>
      <c r="E106" s="9" t="s">
        <v>554</v>
      </c>
      <c r="F106" s="9" t="s">
        <v>494</v>
      </c>
      <c r="G106" s="10" t="s">
        <v>555</v>
      </c>
      <c r="H106" s="13" t="s">
        <v>556</v>
      </c>
      <c r="I106" s="14">
        <v>3671668</v>
      </c>
      <c r="J106" s="15">
        <v>45231</v>
      </c>
      <c r="K106" s="19">
        <v>551</v>
      </c>
      <c r="L106" s="20" t="s">
        <v>671</v>
      </c>
    </row>
    <row r="107" spans="1:12" ht="12.75" customHeight="1" x14ac:dyDescent="0.35">
      <c r="A107" s="12">
        <f t="shared" si="1"/>
        <v>106</v>
      </c>
      <c r="B107" s="11"/>
      <c r="C107" s="10" t="s">
        <v>491</v>
      </c>
      <c r="D107" s="8" t="s">
        <v>470</v>
      </c>
      <c r="E107" s="9" t="s">
        <v>557</v>
      </c>
      <c r="F107" s="9" t="s">
        <v>494</v>
      </c>
      <c r="G107" s="10" t="s">
        <v>558</v>
      </c>
      <c r="H107" s="13" t="s">
        <v>559</v>
      </c>
      <c r="I107" s="14">
        <v>15421494</v>
      </c>
      <c r="J107" s="15">
        <v>45231</v>
      </c>
      <c r="K107" s="19">
        <v>2313</v>
      </c>
      <c r="L107" s="20" t="s">
        <v>672</v>
      </c>
    </row>
    <row r="108" spans="1:12" ht="12.75" customHeight="1" x14ac:dyDescent="0.35">
      <c r="A108" s="12">
        <f t="shared" si="1"/>
        <v>107</v>
      </c>
      <c r="B108" s="11"/>
      <c r="C108" s="10" t="s">
        <v>492</v>
      </c>
      <c r="D108" s="8" t="s">
        <v>470</v>
      </c>
      <c r="E108" s="9" t="s">
        <v>560</v>
      </c>
      <c r="F108" s="9" t="s">
        <v>494</v>
      </c>
      <c r="G108" s="10" t="s">
        <v>561</v>
      </c>
      <c r="H108" s="13" t="s">
        <v>562</v>
      </c>
      <c r="I108" s="14">
        <v>6362224</v>
      </c>
      <c r="J108" s="15">
        <v>45231</v>
      </c>
      <c r="K108" s="19">
        <v>954</v>
      </c>
      <c r="L108" s="20" t="s">
        <v>673</v>
      </c>
    </row>
    <row r="109" spans="1:12" ht="12.75" customHeight="1" x14ac:dyDescent="0.35">
      <c r="K109" s="18"/>
      <c r="L109" s="17"/>
    </row>
    <row r="110" spans="1:12" ht="15.75" thickBot="1" x14ac:dyDescent="0.4">
      <c r="I110" s="16">
        <f>SUM(I2:I109)</f>
        <v>999460290</v>
      </c>
      <c r="K110" s="16">
        <f>SUM(K2:K109)</f>
        <v>150368</v>
      </c>
      <c r="L110" s="17"/>
    </row>
    <row r="111" spans="1:12" ht="12.75" customHeight="1" thickTop="1" x14ac:dyDescent="0.35"/>
  </sheetData>
  <sortState xmlns:xlrd2="http://schemas.microsoft.com/office/spreadsheetml/2017/richdata2" ref="C2:J112">
    <sortCondition ref="C2:C1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F1DC-36F7-4953-87D8-DAE93B6D35A5}">
  <dimension ref="A1:H107"/>
  <sheetViews>
    <sheetView topLeftCell="G1" workbookViewId="0">
      <selection activeCell="H107" sqref="H1:H107"/>
    </sheetView>
  </sheetViews>
  <sheetFormatPr defaultRowHeight="15" x14ac:dyDescent="0.25"/>
  <cols>
    <col min="1" max="1" width="39.85546875" bestFit="1" customWidth="1"/>
    <col min="2" max="2" width="13.140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44.42578125" customWidth="1"/>
    <col min="7" max="7" width="54.28515625" customWidth="1"/>
    <col min="8" max="8" width="64.140625" customWidth="1"/>
  </cols>
  <sheetData>
    <row r="1" spans="1:8" ht="103.5" customHeight="1" x14ac:dyDescent="0.25">
      <c r="A1" s="20" t="s">
        <v>567</v>
      </c>
      <c r="B1" s="22" t="str">
        <f>VLOOKUP(A1,[1]Sheet1!$B$2:$C$108,2,0)</f>
        <v>040000157771</v>
      </c>
      <c r="C1" s="19">
        <v>200</v>
      </c>
      <c r="D1" s="26">
        <f>ROUND(C1,0)</f>
        <v>200</v>
      </c>
      <c r="E1" s="27" t="s">
        <v>676</v>
      </c>
      <c r="F1" s="23" t="str">
        <f t="shared" ref="F1:F64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" s="24" t="str">
        <f>"('"&amp;E1&amp;"','"&amp;B1&amp;"','"&amp;D1&amp;"',(select max(to_number(i.premium_rcv_detail_code))+1
from ins_premium_det i),'"&amp;D1&amp;"','"&amp;D1&amp;"','02', '11000003','00','Request by Mr. Saqib Saleem 21-Aug-2024 sheet4');"</f>
        <v>('20Aug240150','040000157771','200',(select max(to_number(i.premium_rcv_detail_code))+1
from ins_premium_det i),'200','200','02', '11000003','00','Request by Mr. Saqib Saleem 21-Aug-2024 sheet4');</v>
      </c>
      <c r="H1" s="25" t="str">
        <f>F1&amp;G1</f>
        <v>insert into ins_premium_det (premium_rcv_code,assorted_code, rec_amount,premium_rcv_detail_code,remaining_amt, payrec, mode_code,coinsurance_code,class_cd,it_remarks) values('20Aug240150','040000157771','200',(select max(to_number(i.premium_rcv_detail_code))+1
from ins_premium_det i),'200','200','02', '11000003','00','Request by Mr. Saqib Saleem 21-Aug-2024 sheet4');</v>
      </c>
    </row>
    <row r="2" spans="1:8" ht="105" x14ac:dyDescent="0.25">
      <c r="A2" s="20" t="s">
        <v>568</v>
      </c>
      <c r="B2" s="22" t="str">
        <f>VLOOKUP(A2,[1]Sheet1!$B$2:$C$108,2,0)</f>
        <v>040000157772</v>
      </c>
      <c r="C2" s="19">
        <v>200</v>
      </c>
      <c r="D2" s="26">
        <f t="shared" ref="D2:D65" si="1">ROUND(C2,0)</f>
        <v>200</v>
      </c>
      <c r="E2" s="27" t="s">
        <v>676</v>
      </c>
      <c r="F2" s="23" t="str">
        <f t="shared" si="0"/>
        <v>insert into ins_premium_det (premium_rcv_code,assorted_code, rec_amount,premium_rcv_detail_code,remaining_amt, payrec, mode_code,coinsurance_code,class_cd,it_remarks) values</v>
      </c>
      <c r="G2" s="24" t="str">
        <f t="shared" ref="G2:G65" si="2">"('"&amp;E2&amp;"','"&amp;B2&amp;"','"&amp;D2&amp;"',(select max(to_number(i.premium_rcv_detail_code))+1
from ins_premium_det i),'"&amp;D2&amp;"','"&amp;D2&amp;"','02', '11000003','00','Request by Mr. Saqib Saleem 21-Aug-2024 sheet4');"</f>
        <v>('20Aug240150','040000157772','200',(select max(to_number(i.premium_rcv_detail_code))+1
from ins_premium_det i),'200','200','02', '11000003','00','Request by Mr. Saqib Saleem 21-Aug-2024 sheet4');</v>
      </c>
      <c r="H2" s="25" t="str">
        <f t="shared" ref="H2:H65" si="3">F2&amp;G2</f>
        <v>insert into ins_premium_det (premium_rcv_code,assorted_code, rec_amount,premium_rcv_detail_code,remaining_amt, payrec, mode_code,coinsurance_code,class_cd,it_remarks) values('20Aug240150','040000157772','200',(select max(to_number(i.premium_rcv_detail_code))+1
from ins_premium_det i),'200','200','02', '11000003','00','Request by Mr. Saqib Saleem 21-Aug-2024 sheet4');</v>
      </c>
    </row>
    <row r="3" spans="1:8" ht="105" x14ac:dyDescent="0.25">
      <c r="A3" s="20" t="s">
        <v>569</v>
      </c>
      <c r="B3" s="22" t="str">
        <f>VLOOKUP(A3,[1]Sheet1!$B$2:$C$108,2,0)</f>
        <v>040000157773</v>
      </c>
      <c r="C3" s="19">
        <v>200</v>
      </c>
      <c r="D3" s="26">
        <f t="shared" si="1"/>
        <v>200</v>
      </c>
      <c r="E3" s="27" t="s">
        <v>676</v>
      </c>
      <c r="F3" s="23" t="str">
        <f t="shared" si="0"/>
        <v>insert into ins_premium_det (premium_rcv_code,assorted_code, rec_amount,premium_rcv_detail_code,remaining_amt, payrec, mode_code,coinsurance_code,class_cd,it_remarks) values</v>
      </c>
      <c r="G3" s="24" t="str">
        <f t="shared" si="2"/>
        <v>('20Aug240150','040000157773','200',(select max(to_number(i.premium_rcv_detail_code))+1
from ins_premium_det i),'200','200','02', '11000003','00','Request by Mr. Saqib Saleem 21-Aug-2024 sheet4');</v>
      </c>
      <c r="H3" s="25" t="str">
        <f t="shared" si="3"/>
        <v>insert into ins_premium_det (premium_rcv_code,assorted_code, rec_amount,premium_rcv_detail_code,remaining_amt, payrec, mode_code,coinsurance_code,class_cd,it_remarks) values('20Aug240150','040000157773','200',(select max(to_number(i.premium_rcv_detail_code))+1
from ins_premium_det i),'200','200','02', '11000003','00','Request by Mr. Saqib Saleem 21-Aug-2024 sheet4');</v>
      </c>
    </row>
    <row r="4" spans="1:8" ht="105" x14ac:dyDescent="0.25">
      <c r="A4" s="20" t="s">
        <v>570</v>
      </c>
      <c r="B4" s="22" t="str">
        <f>VLOOKUP(A4,[1]Sheet1!$B$2:$C$108,2,0)</f>
        <v>040000157774</v>
      </c>
      <c r="C4" s="19">
        <v>200</v>
      </c>
      <c r="D4" s="26">
        <f t="shared" si="1"/>
        <v>200</v>
      </c>
      <c r="E4" s="27" t="s">
        <v>676</v>
      </c>
      <c r="F4" s="23" t="str">
        <f t="shared" si="0"/>
        <v>insert into ins_premium_det (premium_rcv_code,assorted_code, rec_amount,premium_rcv_detail_code,remaining_amt, payrec, mode_code,coinsurance_code,class_cd,it_remarks) values</v>
      </c>
      <c r="G4" s="24" t="str">
        <f t="shared" si="2"/>
        <v>('20Aug240150','040000157774','200',(select max(to_number(i.premium_rcv_detail_code))+1
from ins_premium_det i),'200','200','02', '11000003','00','Request by Mr. Saqib Saleem 21-Aug-2024 sheet4');</v>
      </c>
      <c r="H4" s="25" t="str">
        <f t="shared" si="3"/>
        <v>insert into ins_premium_det (premium_rcv_code,assorted_code, rec_amount,premium_rcv_detail_code,remaining_amt, payrec, mode_code,coinsurance_code,class_cd,it_remarks) values('20Aug240150','040000157774','200',(select max(to_number(i.premium_rcv_detail_code))+1
from ins_premium_det i),'200','200','02', '11000003','00','Request by Mr. Saqib Saleem 21-Aug-2024 sheet4');</v>
      </c>
    </row>
    <row r="5" spans="1:8" ht="105" x14ac:dyDescent="0.25">
      <c r="A5" s="20" t="s">
        <v>571</v>
      </c>
      <c r="B5" s="22" t="str">
        <f>VLOOKUP(A5,[1]Sheet1!$B$2:$C$108,2,0)</f>
        <v>040000157775</v>
      </c>
      <c r="C5" s="19">
        <v>200</v>
      </c>
      <c r="D5" s="26">
        <f t="shared" si="1"/>
        <v>200</v>
      </c>
      <c r="E5" s="27" t="s">
        <v>676</v>
      </c>
      <c r="F5" s="23" t="str">
        <f t="shared" si="0"/>
        <v>insert into ins_premium_det (premium_rcv_code,assorted_code, rec_amount,premium_rcv_detail_code,remaining_amt, payrec, mode_code,coinsurance_code,class_cd,it_remarks) values</v>
      </c>
      <c r="G5" s="24" t="str">
        <f t="shared" si="2"/>
        <v>('20Aug240150','040000157775','200',(select max(to_number(i.premium_rcv_detail_code))+1
from ins_premium_det i),'200','200','02', '11000003','00','Request by Mr. Saqib Saleem 21-Aug-2024 sheet4');</v>
      </c>
      <c r="H5" s="25" t="str">
        <f t="shared" si="3"/>
        <v>insert into ins_premium_det (premium_rcv_code,assorted_code, rec_amount,premium_rcv_detail_code,remaining_amt, payrec, mode_code,coinsurance_code,class_cd,it_remarks) values('20Aug240150','040000157775','200',(select max(to_number(i.premium_rcv_detail_code))+1
from ins_premium_det i),'200','200','02', '11000003','00','Request by Mr. Saqib Saleem 21-Aug-2024 sheet4');</v>
      </c>
    </row>
    <row r="6" spans="1:8" ht="105" x14ac:dyDescent="0.25">
      <c r="A6" s="20" t="s">
        <v>572</v>
      </c>
      <c r="B6" s="22" t="str">
        <f>VLOOKUP(A6,[1]Sheet1!$B$2:$C$108,2,0)</f>
        <v>040000157776</v>
      </c>
      <c r="C6" s="19">
        <v>217</v>
      </c>
      <c r="D6" s="26">
        <f t="shared" si="1"/>
        <v>217</v>
      </c>
      <c r="E6" s="27" t="s">
        <v>676</v>
      </c>
      <c r="F6" s="23" t="str">
        <f t="shared" si="0"/>
        <v>insert into ins_premium_det (premium_rcv_code,assorted_code, rec_amount,premium_rcv_detail_code,remaining_amt, payrec, mode_code,coinsurance_code,class_cd,it_remarks) values</v>
      </c>
      <c r="G6" s="24" t="str">
        <f t="shared" si="2"/>
        <v>('20Aug240150','040000157776','217',(select max(to_number(i.premium_rcv_detail_code))+1
from ins_premium_det i),'217','217','02', '11000003','00','Request by Mr. Saqib Saleem 21-Aug-2024 sheet4');</v>
      </c>
      <c r="H6" s="25" t="str">
        <f t="shared" si="3"/>
        <v>insert into ins_premium_det (premium_rcv_code,assorted_code, rec_amount,premium_rcv_detail_code,remaining_amt, payrec, mode_code,coinsurance_code,class_cd,it_remarks) values('20Aug240150','040000157776','217',(select max(to_number(i.premium_rcv_detail_code))+1
from ins_premium_det i),'217','217','02', '11000003','00','Request by Mr. Saqib Saleem 21-Aug-2024 sheet4');</v>
      </c>
    </row>
    <row r="7" spans="1:8" ht="105" x14ac:dyDescent="0.25">
      <c r="A7" s="20" t="s">
        <v>573</v>
      </c>
      <c r="B7" s="22" t="str">
        <f>VLOOKUP(A7,[1]Sheet1!$B$2:$C$108,2,0)</f>
        <v>040000157777</v>
      </c>
      <c r="C7" s="19">
        <v>207</v>
      </c>
      <c r="D7" s="26">
        <f t="shared" si="1"/>
        <v>207</v>
      </c>
      <c r="E7" s="27" t="s">
        <v>676</v>
      </c>
      <c r="F7" s="23" t="str">
        <f t="shared" si="0"/>
        <v>insert into ins_premium_det (premium_rcv_code,assorted_code, rec_amount,premium_rcv_detail_code,remaining_amt, payrec, mode_code,coinsurance_code,class_cd,it_remarks) values</v>
      </c>
      <c r="G7" s="24" t="str">
        <f t="shared" si="2"/>
        <v>('20Aug240150','040000157777','207',(select max(to_number(i.premium_rcv_detail_code))+1
from ins_premium_det i),'207','207','02', '11000003','00','Request by Mr. Saqib Saleem 21-Aug-2024 sheet4');</v>
      </c>
      <c r="H7" s="25" t="str">
        <f t="shared" si="3"/>
        <v>insert into ins_premium_det (premium_rcv_code,assorted_code, rec_amount,premium_rcv_detail_code,remaining_amt, payrec, mode_code,coinsurance_code,class_cd,it_remarks) values('20Aug240150','040000157777','207',(select max(to_number(i.premium_rcv_detail_code))+1
from ins_premium_det i),'207','207','02', '11000003','00','Request by Mr. Saqib Saleem 21-Aug-2024 sheet4');</v>
      </c>
    </row>
    <row r="8" spans="1:8" ht="105" x14ac:dyDescent="0.25">
      <c r="A8" s="20" t="s">
        <v>574</v>
      </c>
      <c r="B8" s="22" t="str">
        <f>VLOOKUP(A8,[1]Sheet1!$B$2:$C$108,2,0)</f>
        <v>040000157778</v>
      </c>
      <c r="C8" s="19">
        <v>222</v>
      </c>
      <c r="D8" s="26">
        <f t="shared" si="1"/>
        <v>222</v>
      </c>
      <c r="E8" s="27" t="s">
        <v>676</v>
      </c>
      <c r="F8" s="23" t="str">
        <f t="shared" si="0"/>
        <v>insert into ins_premium_det (premium_rcv_code,assorted_code, rec_amount,premium_rcv_detail_code,remaining_amt, payrec, mode_code,coinsurance_code,class_cd,it_remarks) values</v>
      </c>
      <c r="G8" s="24" t="str">
        <f t="shared" si="2"/>
        <v>('20Aug240150','040000157778','222',(select max(to_number(i.premium_rcv_detail_code))+1
from ins_premium_det i),'222','222','02', '11000003','00','Request by Mr. Saqib Saleem 21-Aug-2024 sheet4');</v>
      </c>
      <c r="H8" s="25" t="str">
        <f t="shared" si="3"/>
        <v>insert into ins_premium_det (premium_rcv_code,assorted_code, rec_amount,premium_rcv_detail_code,remaining_amt, payrec, mode_code,coinsurance_code,class_cd,it_remarks) values('20Aug240150','040000157778','222',(select max(to_number(i.premium_rcv_detail_code))+1
from ins_premium_det i),'222','222','02', '11000003','00','Request by Mr. Saqib Saleem 21-Aug-2024 sheet4');</v>
      </c>
    </row>
    <row r="9" spans="1:8" ht="105" x14ac:dyDescent="0.25">
      <c r="A9" s="20" t="s">
        <v>575</v>
      </c>
      <c r="B9" s="22" t="str">
        <f>VLOOKUP(A9,[1]Sheet1!$B$2:$C$108,2,0)</f>
        <v>040000157779</v>
      </c>
      <c r="C9" s="19">
        <v>297</v>
      </c>
      <c r="D9" s="26">
        <f t="shared" si="1"/>
        <v>297</v>
      </c>
      <c r="E9" s="27" t="s">
        <v>676</v>
      </c>
      <c r="F9" s="23" t="str">
        <f t="shared" si="0"/>
        <v>insert into ins_premium_det (premium_rcv_code,assorted_code, rec_amount,premium_rcv_detail_code,remaining_amt, payrec, mode_code,coinsurance_code,class_cd,it_remarks) values</v>
      </c>
      <c r="G9" s="24" t="str">
        <f t="shared" si="2"/>
        <v>('20Aug240150','040000157779','297',(select max(to_number(i.premium_rcv_detail_code))+1
from ins_premium_det i),'297','297','02', '11000003','00','Request by Mr. Saqib Saleem 21-Aug-2024 sheet4');</v>
      </c>
      <c r="H9" s="25" t="str">
        <f t="shared" si="3"/>
        <v>insert into ins_premium_det (premium_rcv_code,assorted_code, rec_amount,premium_rcv_detail_code,remaining_amt, payrec, mode_code,coinsurance_code,class_cd,it_remarks) values('20Aug240150','040000157779','297',(select max(to_number(i.premium_rcv_detail_code))+1
from ins_premium_det i),'297','297','02', '11000003','00','Request by Mr. Saqib Saleem 21-Aug-2024 sheet4');</v>
      </c>
    </row>
    <row r="10" spans="1:8" ht="105" x14ac:dyDescent="0.25">
      <c r="A10" s="20" t="s">
        <v>576</v>
      </c>
      <c r="B10" s="22" t="str">
        <f>VLOOKUP(A10,[1]Sheet1!$B$2:$C$108,2,0)</f>
        <v>040000157780</v>
      </c>
      <c r="C10" s="19">
        <v>266</v>
      </c>
      <c r="D10" s="26">
        <f t="shared" si="1"/>
        <v>266</v>
      </c>
      <c r="E10" s="27" t="s">
        <v>676</v>
      </c>
      <c r="F10" s="23" t="str">
        <f t="shared" si="0"/>
        <v>insert into ins_premium_det (premium_rcv_code,assorted_code, rec_amount,premium_rcv_detail_code,remaining_amt, payrec, mode_code,coinsurance_code,class_cd,it_remarks) values</v>
      </c>
      <c r="G10" s="24" t="str">
        <f t="shared" si="2"/>
        <v>('20Aug240150','040000157780','266',(select max(to_number(i.premium_rcv_detail_code))+1
from ins_premium_det i),'266','266','02', '11000003','00','Request by Mr. Saqib Saleem 21-Aug-2024 sheet4');</v>
      </c>
      <c r="H10" s="25" t="str">
        <f t="shared" si="3"/>
        <v>insert into ins_premium_det (premium_rcv_code,assorted_code, rec_amount,premium_rcv_detail_code,remaining_amt, payrec, mode_code,coinsurance_code,class_cd,it_remarks) values('20Aug240150','040000157780','266',(select max(to_number(i.premium_rcv_detail_code))+1
from ins_premium_det i),'266','266','02', '11000003','00','Request by Mr. Saqib Saleem 21-Aug-2024 sheet4');</v>
      </c>
    </row>
    <row r="11" spans="1:8" ht="105" x14ac:dyDescent="0.25">
      <c r="A11" s="20" t="s">
        <v>577</v>
      </c>
      <c r="B11" s="22" t="str">
        <f>VLOOKUP(A11,[1]Sheet1!$B$2:$C$108,2,0)</f>
        <v>040000157781</v>
      </c>
      <c r="C11" s="19">
        <v>200</v>
      </c>
      <c r="D11" s="26">
        <f t="shared" si="1"/>
        <v>200</v>
      </c>
      <c r="E11" s="27" t="s">
        <v>676</v>
      </c>
      <c r="F11" s="23" t="str">
        <f t="shared" si="0"/>
        <v>insert into ins_premium_det (premium_rcv_code,assorted_code, rec_amount,premium_rcv_detail_code,remaining_amt, payrec, mode_code,coinsurance_code,class_cd,it_remarks) values</v>
      </c>
      <c r="G11" s="24" t="str">
        <f t="shared" si="2"/>
        <v>('20Aug240150','040000157781','200',(select max(to_number(i.premium_rcv_detail_code))+1
from ins_premium_det i),'200','200','02', '11000003','00','Request by Mr. Saqib Saleem 21-Aug-2024 sheet4');</v>
      </c>
      <c r="H11" s="25" t="str">
        <f t="shared" si="3"/>
        <v>insert into ins_premium_det (premium_rcv_code,assorted_code, rec_amount,premium_rcv_detail_code,remaining_amt, payrec, mode_code,coinsurance_code,class_cd,it_remarks) values('20Aug240150','040000157781','200',(select max(to_number(i.premium_rcv_detail_code))+1
from ins_premium_det i),'200','200','02', '11000003','00','Request by Mr. Saqib Saleem 21-Aug-2024 sheet4');</v>
      </c>
    </row>
    <row r="12" spans="1:8" ht="105" x14ac:dyDescent="0.25">
      <c r="A12" s="20" t="s">
        <v>578</v>
      </c>
      <c r="B12" s="22" t="str">
        <f>VLOOKUP(A12,[1]Sheet1!$B$2:$C$108,2,0)</f>
        <v>040000157782</v>
      </c>
      <c r="C12" s="19">
        <v>272</v>
      </c>
      <c r="D12" s="26">
        <f t="shared" si="1"/>
        <v>272</v>
      </c>
      <c r="E12" s="27" t="s">
        <v>676</v>
      </c>
      <c r="F12" s="23" t="str">
        <f t="shared" si="0"/>
        <v>insert into ins_premium_det (premium_rcv_code,assorted_code, rec_amount,premium_rcv_detail_code,remaining_amt, payrec, mode_code,coinsurance_code,class_cd,it_remarks) values</v>
      </c>
      <c r="G12" s="24" t="str">
        <f t="shared" si="2"/>
        <v>('20Aug240150','040000157782','272',(select max(to_number(i.premium_rcv_detail_code))+1
from ins_premium_det i),'272','272','02', '11000003','00','Request by Mr. Saqib Saleem 21-Aug-2024 sheet4');</v>
      </c>
      <c r="H12" s="25" t="str">
        <f t="shared" si="3"/>
        <v>insert into ins_premium_det (premium_rcv_code,assorted_code, rec_amount,premium_rcv_detail_code,remaining_amt, payrec, mode_code,coinsurance_code,class_cd,it_remarks) values('20Aug240150','040000157782','272',(select max(to_number(i.premium_rcv_detail_code))+1
from ins_premium_det i),'272','272','02', '11000003','00','Request by Mr. Saqib Saleem 21-Aug-2024 sheet4');</v>
      </c>
    </row>
    <row r="13" spans="1:8" ht="105" x14ac:dyDescent="0.25">
      <c r="A13" s="20" t="s">
        <v>579</v>
      </c>
      <c r="B13" s="22" t="str">
        <f>VLOOKUP(A13,[1]Sheet1!$B$2:$C$108,2,0)</f>
        <v>040000157783</v>
      </c>
      <c r="C13" s="19">
        <v>341</v>
      </c>
      <c r="D13" s="26">
        <f t="shared" si="1"/>
        <v>341</v>
      </c>
      <c r="E13" s="27" t="s">
        <v>676</v>
      </c>
      <c r="F13" s="23" t="str">
        <f t="shared" si="0"/>
        <v>insert into ins_premium_det (premium_rcv_code,assorted_code, rec_amount,premium_rcv_detail_code,remaining_amt, payrec, mode_code,coinsurance_code,class_cd,it_remarks) values</v>
      </c>
      <c r="G13" s="24" t="str">
        <f t="shared" si="2"/>
        <v>('20Aug240150','040000157783','341',(select max(to_number(i.premium_rcv_detail_code))+1
from ins_premium_det i),'341','341','02', '11000003','00','Request by Mr. Saqib Saleem 21-Aug-2024 sheet4');</v>
      </c>
      <c r="H13" s="25" t="str">
        <f t="shared" si="3"/>
        <v>insert into ins_premium_det (premium_rcv_code,assorted_code, rec_amount,premium_rcv_detail_code,remaining_amt, payrec, mode_code,coinsurance_code,class_cd,it_remarks) values('20Aug240150','040000157783','341',(select max(to_number(i.premium_rcv_detail_code))+1
from ins_premium_det i),'341','341','02', '11000003','00','Request by Mr. Saqib Saleem 21-Aug-2024 sheet4');</v>
      </c>
    </row>
    <row r="14" spans="1:8" ht="105" x14ac:dyDescent="0.25">
      <c r="A14" s="20" t="s">
        <v>580</v>
      </c>
      <c r="B14" s="22" t="str">
        <f>VLOOKUP(A14,[1]Sheet1!$B$2:$C$108,2,0)</f>
        <v>040000157784</v>
      </c>
      <c r="C14" s="19">
        <v>280</v>
      </c>
      <c r="D14" s="26">
        <f t="shared" si="1"/>
        <v>280</v>
      </c>
      <c r="E14" s="27" t="s">
        <v>676</v>
      </c>
      <c r="F14" s="23" t="str">
        <f t="shared" si="0"/>
        <v>insert into ins_premium_det (premium_rcv_code,assorted_code, rec_amount,premium_rcv_detail_code,remaining_amt, payrec, mode_code,coinsurance_code,class_cd,it_remarks) values</v>
      </c>
      <c r="G14" s="24" t="str">
        <f t="shared" si="2"/>
        <v>('20Aug240150','040000157784','280',(select max(to_number(i.premium_rcv_detail_code))+1
from ins_premium_det i),'280','280','02', '11000003','00','Request by Mr. Saqib Saleem 21-Aug-2024 sheet4');</v>
      </c>
      <c r="H14" s="25" t="str">
        <f t="shared" si="3"/>
        <v>insert into ins_premium_det (premium_rcv_code,assorted_code, rec_amount,premium_rcv_detail_code,remaining_amt, payrec, mode_code,coinsurance_code,class_cd,it_remarks) values('20Aug240150','040000157784','280',(select max(to_number(i.premium_rcv_detail_code))+1
from ins_premium_det i),'280','280','02', '11000003','00','Request by Mr. Saqib Saleem 21-Aug-2024 sheet4');</v>
      </c>
    </row>
    <row r="15" spans="1:8" ht="105" x14ac:dyDescent="0.25">
      <c r="A15" s="20" t="s">
        <v>581</v>
      </c>
      <c r="B15" s="22" t="str">
        <f>VLOOKUP(A15,[1]Sheet1!$B$2:$C$108,2,0)</f>
        <v>040000157785</v>
      </c>
      <c r="C15" s="19">
        <v>358</v>
      </c>
      <c r="D15" s="26">
        <f t="shared" si="1"/>
        <v>358</v>
      </c>
      <c r="E15" s="27" t="s">
        <v>676</v>
      </c>
      <c r="F15" s="23" t="str">
        <f t="shared" si="0"/>
        <v>insert into ins_premium_det (premium_rcv_code,assorted_code, rec_amount,premium_rcv_detail_code,remaining_amt, payrec, mode_code,coinsurance_code,class_cd,it_remarks) values</v>
      </c>
      <c r="G15" s="24" t="str">
        <f t="shared" si="2"/>
        <v>('20Aug240150','040000157785','358',(select max(to_number(i.premium_rcv_detail_code))+1
from ins_premium_det i),'358','358','02', '11000003','00','Request by Mr. Saqib Saleem 21-Aug-2024 sheet4');</v>
      </c>
      <c r="H15" s="25" t="str">
        <f t="shared" si="3"/>
        <v>insert into ins_premium_det (premium_rcv_code,assorted_code, rec_amount,premium_rcv_detail_code,remaining_amt, payrec, mode_code,coinsurance_code,class_cd,it_remarks) values('20Aug240150','040000157785','358',(select max(to_number(i.premium_rcv_detail_code))+1
from ins_premium_det i),'358','358','02', '11000003','00','Request by Mr. Saqib Saleem 21-Aug-2024 sheet4');</v>
      </c>
    </row>
    <row r="16" spans="1:8" ht="105" x14ac:dyDescent="0.25">
      <c r="A16" s="20" t="s">
        <v>582</v>
      </c>
      <c r="B16" s="22" t="str">
        <f>VLOOKUP(A16,[1]Sheet1!$B$2:$C$108,2,0)</f>
        <v>040000157786</v>
      </c>
      <c r="C16" s="19">
        <v>360</v>
      </c>
      <c r="D16" s="26">
        <f t="shared" si="1"/>
        <v>360</v>
      </c>
      <c r="E16" s="27" t="s">
        <v>676</v>
      </c>
      <c r="F16" s="23" t="str">
        <f t="shared" si="0"/>
        <v>insert into ins_premium_det (premium_rcv_code,assorted_code, rec_amount,premium_rcv_detail_code,remaining_amt, payrec, mode_code,coinsurance_code,class_cd,it_remarks) values</v>
      </c>
      <c r="G16" s="24" t="str">
        <f t="shared" si="2"/>
        <v>('20Aug240150','040000157786','360',(select max(to_number(i.premium_rcv_detail_code))+1
from ins_premium_det i),'360','360','02', '11000003','00','Request by Mr. Saqib Saleem 21-Aug-2024 sheet4');</v>
      </c>
      <c r="H16" s="25" t="str">
        <f t="shared" si="3"/>
        <v>insert into ins_premium_det (premium_rcv_code,assorted_code, rec_amount,premium_rcv_detail_code,remaining_amt, payrec, mode_code,coinsurance_code,class_cd,it_remarks) values('20Aug240150','040000157786','360',(select max(to_number(i.premium_rcv_detail_code))+1
from ins_premium_det i),'360','360','02', '11000003','00','Request by Mr. Saqib Saleem 21-Aug-2024 sheet4');</v>
      </c>
    </row>
    <row r="17" spans="1:8" ht="105" x14ac:dyDescent="0.25">
      <c r="A17" s="20" t="s">
        <v>583</v>
      </c>
      <c r="B17" s="22" t="str">
        <f>VLOOKUP(A17,[1]Sheet1!$B$2:$C$108,2,0)</f>
        <v>040000157787</v>
      </c>
      <c r="C17" s="19">
        <v>446</v>
      </c>
      <c r="D17" s="26">
        <f t="shared" si="1"/>
        <v>446</v>
      </c>
      <c r="E17" s="27" t="s">
        <v>676</v>
      </c>
      <c r="F17" s="23" t="str">
        <f t="shared" si="0"/>
        <v>insert into ins_premium_det (premium_rcv_code,assorted_code, rec_amount,premium_rcv_detail_code,remaining_amt, payrec, mode_code,coinsurance_code,class_cd,it_remarks) values</v>
      </c>
      <c r="G17" s="24" t="str">
        <f t="shared" si="2"/>
        <v>('20Aug240150','040000157787','446',(select max(to_number(i.premium_rcv_detail_code))+1
from ins_premium_det i),'446','446','02', '11000003','00','Request by Mr. Saqib Saleem 21-Aug-2024 sheet4');</v>
      </c>
      <c r="H17" s="25" t="str">
        <f t="shared" si="3"/>
        <v>insert into ins_premium_det (premium_rcv_code,assorted_code, rec_amount,premium_rcv_detail_code,remaining_amt, payrec, mode_code,coinsurance_code,class_cd,it_remarks) values('20Aug240150','040000157787','446',(select max(to_number(i.premium_rcv_detail_code))+1
from ins_premium_det i),'446','446','02', '11000003','00','Request by Mr. Saqib Saleem 21-Aug-2024 sheet4');</v>
      </c>
    </row>
    <row r="18" spans="1:8" ht="105" x14ac:dyDescent="0.25">
      <c r="A18" s="20" t="s">
        <v>584</v>
      </c>
      <c r="B18" s="22" t="str">
        <f>VLOOKUP(A18,[1]Sheet1!$B$2:$C$108,2,0)</f>
        <v>040000157788</v>
      </c>
      <c r="C18" s="19">
        <v>556</v>
      </c>
      <c r="D18" s="26">
        <f t="shared" si="1"/>
        <v>556</v>
      </c>
      <c r="E18" s="27" t="s">
        <v>676</v>
      </c>
      <c r="F18" s="23" t="str">
        <f t="shared" si="0"/>
        <v>insert into ins_premium_det (premium_rcv_code,assorted_code, rec_amount,premium_rcv_detail_code,remaining_amt, payrec, mode_code,coinsurance_code,class_cd,it_remarks) values</v>
      </c>
      <c r="G18" s="24" t="str">
        <f t="shared" si="2"/>
        <v>('20Aug240150','040000157788','556',(select max(to_number(i.premium_rcv_detail_code))+1
from ins_premium_det i),'556','556','02', '11000003','00','Request by Mr. Saqib Saleem 21-Aug-2024 sheet4');</v>
      </c>
      <c r="H18" s="25" t="str">
        <f t="shared" si="3"/>
        <v>insert into ins_premium_det (premium_rcv_code,assorted_code, rec_amount,premium_rcv_detail_code,remaining_amt, payrec, mode_code,coinsurance_code,class_cd,it_remarks) values('20Aug240150','040000157788','556',(select max(to_number(i.premium_rcv_detail_code))+1
from ins_premium_det i),'556','556','02', '11000003','00','Request by Mr. Saqib Saleem 21-Aug-2024 sheet4');</v>
      </c>
    </row>
    <row r="19" spans="1:8" ht="105" x14ac:dyDescent="0.25">
      <c r="A19" s="20" t="s">
        <v>585</v>
      </c>
      <c r="B19" s="22" t="str">
        <f>VLOOKUP(A19,[1]Sheet1!$B$2:$C$108,2,0)</f>
        <v>040000157789</v>
      </c>
      <c r="C19" s="19">
        <v>200</v>
      </c>
      <c r="D19" s="26">
        <f t="shared" si="1"/>
        <v>200</v>
      </c>
      <c r="E19" s="27" t="s">
        <v>676</v>
      </c>
      <c r="F19" s="23" t="str">
        <f t="shared" si="0"/>
        <v>insert into ins_premium_det (premium_rcv_code,assorted_code, rec_amount,premium_rcv_detail_code,remaining_amt, payrec, mode_code,coinsurance_code,class_cd,it_remarks) values</v>
      </c>
      <c r="G19" s="24" t="str">
        <f t="shared" si="2"/>
        <v>('20Aug240150','040000157789','200',(select max(to_number(i.premium_rcv_detail_code))+1
from ins_premium_det i),'200','200','02', '11000003','00','Request by Mr. Saqib Saleem 21-Aug-2024 sheet4');</v>
      </c>
      <c r="H19" s="25" t="str">
        <f t="shared" si="3"/>
        <v>insert into ins_premium_det (premium_rcv_code,assorted_code, rec_amount,premium_rcv_detail_code,remaining_amt, payrec, mode_code,coinsurance_code,class_cd,it_remarks) values('20Aug240150','040000157789','200',(select max(to_number(i.premium_rcv_detail_code))+1
from ins_premium_det i),'200','200','02', '11000003','00','Request by Mr. Saqib Saleem 21-Aug-2024 sheet4');</v>
      </c>
    </row>
    <row r="20" spans="1:8" ht="105" x14ac:dyDescent="0.25">
      <c r="A20" s="20" t="s">
        <v>586</v>
      </c>
      <c r="B20" s="22" t="str">
        <f>VLOOKUP(A20,[1]Sheet1!$B$2:$C$108,2,0)</f>
        <v>040000157790</v>
      </c>
      <c r="C20" s="19">
        <v>591</v>
      </c>
      <c r="D20" s="26">
        <f t="shared" si="1"/>
        <v>591</v>
      </c>
      <c r="E20" s="27" t="s">
        <v>676</v>
      </c>
      <c r="F20" s="23" t="str">
        <f t="shared" si="0"/>
        <v>insert into ins_premium_det (premium_rcv_code,assorted_code, rec_amount,premium_rcv_detail_code,remaining_amt, payrec, mode_code,coinsurance_code,class_cd,it_remarks) values</v>
      </c>
      <c r="G20" s="24" t="str">
        <f t="shared" si="2"/>
        <v>('20Aug240150','040000157790','591',(select max(to_number(i.premium_rcv_detail_code))+1
from ins_premium_det i),'591','591','02', '11000003','00','Request by Mr. Saqib Saleem 21-Aug-2024 sheet4');</v>
      </c>
      <c r="H20" s="25" t="str">
        <f t="shared" si="3"/>
        <v>insert into ins_premium_det (premium_rcv_code,assorted_code, rec_amount,premium_rcv_detail_code,remaining_amt, payrec, mode_code,coinsurance_code,class_cd,it_remarks) values('20Aug240150','040000157790','591',(select max(to_number(i.premium_rcv_detail_code))+1
from ins_premium_det i),'591','591','02', '11000003','00','Request by Mr. Saqib Saleem 21-Aug-2024 sheet4');</v>
      </c>
    </row>
    <row r="21" spans="1:8" ht="105" x14ac:dyDescent="0.25">
      <c r="A21" s="20" t="s">
        <v>587</v>
      </c>
      <c r="B21" s="22" t="str">
        <f>VLOOKUP(A21,[1]Sheet1!$B$2:$C$108,2,0)</f>
        <v>040000157791</v>
      </c>
      <c r="C21" s="19">
        <v>682</v>
      </c>
      <c r="D21" s="26">
        <f t="shared" si="1"/>
        <v>682</v>
      </c>
      <c r="E21" s="27" t="s">
        <v>676</v>
      </c>
      <c r="F21" s="23" t="str">
        <f t="shared" si="0"/>
        <v>insert into ins_premium_det (premium_rcv_code,assorted_code, rec_amount,premium_rcv_detail_code,remaining_amt, payrec, mode_code,coinsurance_code,class_cd,it_remarks) values</v>
      </c>
      <c r="G21" s="24" t="str">
        <f t="shared" si="2"/>
        <v>('20Aug240150','040000157791','682',(select max(to_number(i.premium_rcv_detail_code))+1
from ins_premium_det i),'682','682','02', '11000003','00','Request by Mr. Saqib Saleem 21-Aug-2024 sheet4');</v>
      </c>
      <c r="H21" s="25" t="str">
        <f t="shared" si="3"/>
        <v>insert into ins_premium_det (premium_rcv_code,assorted_code, rec_amount,premium_rcv_detail_code,remaining_amt, payrec, mode_code,coinsurance_code,class_cd,it_remarks) values('20Aug240150','040000157791','682',(select max(to_number(i.premium_rcv_detail_code))+1
from ins_premium_det i),'682','682','02', '11000003','00','Request by Mr. Saqib Saleem 21-Aug-2024 sheet4');</v>
      </c>
    </row>
    <row r="22" spans="1:8" ht="105" x14ac:dyDescent="0.25">
      <c r="A22" s="20" t="s">
        <v>588</v>
      </c>
      <c r="B22" s="22" t="str">
        <f>VLOOKUP(A22,[1]Sheet1!$B$2:$C$108,2,0)</f>
        <v>040000157792</v>
      </c>
      <c r="C22" s="19">
        <v>422</v>
      </c>
      <c r="D22" s="26">
        <f t="shared" si="1"/>
        <v>422</v>
      </c>
      <c r="E22" s="27" t="s">
        <v>676</v>
      </c>
      <c r="F22" s="23" t="str">
        <f t="shared" si="0"/>
        <v>insert into ins_premium_det (premium_rcv_code,assorted_code, rec_amount,premium_rcv_detail_code,remaining_amt, payrec, mode_code,coinsurance_code,class_cd,it_remarks) values</v>
      </c>
      <c r="G22" s="24" t="str">
        <f t="shared" si="2"/>
        <v>('20Aug240150','040000157792','422',(select max(to_number(i.premium_rcv_detail_code))+1
from ins_premium_det i),'422','422','02', '11000003','00','Request by Mr. Saqib Saleem 21-Aug-2024 sheet4');</v>
      </c>
      <c r="H22" s="25" t="str">
        <f t="shared" si="3"/>
        <v>insert into ins_premium_det (premium_rcv_code,assorted_code, rec_amount,premium_rcv_detail_code,remaining_amt, payrec, mode_code,coinsurance_code,class_cd,it_remarks) values('20Aug240150','040000157792','422',(select max(to_number(i.premium_rcv_detail_code))+1
from ins_premium_det i),'422','422','02', '11000003','00','Request by Mr. Saqib Saleem 21-Aug-2024 sheet4');</v>
      </c>
    </row>
    <row r="23" spans="1:8" ht="105" x14ac:dyDescent="0.25">
      <c r="A23" s="20" t="s">
        <v>589</v>
      </c>
      <c r="B23" s="22" t="str">
        <f>VLOOKUP(A23,[1]Sheet1!$B$2:$C$108,2,0)</f>
        <v>040000157793</v>
      </c>
      <c r="C23" s="19">
        <v>726</v>
      </c>
      <c r="D23" s="26">
        <f t="shared" si="1"/>
        <v>726</v>
      </c>
      <c r="E23" s="27" t="s">
        <v>676</v>
      </c>
      <c r="F23" s="23" t="str">
        <f t="shared" si="0"/>
        <v>insert into ins_premium_det (premium_rcv_code,assorted_code, rec_amount,premium_rcv_detail_code,remaining_amt, payrec, mode_code,coinsurance_code,class_cd,it_remarks) values</v>
      </c>
      <c r="G23" s="24" t="str">
        <f t="shared" si="2"/>
        <v>('20Aug240150','040000157793','726',(select max(to_number(i.premium_rcv_detail_code))+1
from ins_premium_det i),'726','726','02', '11000003','00','Request by Mr. Saqib Saleem 21-Aug-2024 sheet4');</v>
      </c>
      <c r="H23" s="25" t="str">
        <f t="shared" si="3"/>
        <v>insert into ins_premium_det (premium_rcv_code,assorted_code, rec_amount,premium_rcv_detail_code,remaining_amt, payrec, mode_code,coinsurance_code,class_cd,it_remarks) values('20Aug240150','040000157793','726',(select max(to_number(i.premium_rcv_detail_code))+1
from ins_premium_det i),'726','726','02', '11000003','00','Request by Mr. Saqib Saleem 21-Aug-2024 sheet4');</v>
      </c>
    </row>
    <row r="24" spans="1:8" ht="105" x14ac:dyDescent="0.25">
      <c r="A24" s="20" t="s">
        <v>590</v>
      </c>
      <c r="B24" s="22" t="str">
        <f>VLOOKUP(A24,[1]Sheet1!$B$2:$C$108,2,0)</f>
        <v>040000157794</v>
      </c>
      <c r="C24" s="19">
        <v>958</v>
      </c>
      <c r="D24" s="26">
        <f t="shared" si="1"/>
        <v>958</v>
      </c>
      <c r="E24" s="27" t="s">
        <v>676</v>
      </c>
      <c r="F24" s="23" t="str">
        <f t="shared" si="0"/>
        <v>insert into ins_premium_det (premium_rcv_code,assorted_code, rec_amount,premium_rcv_detail_code,remaining_amt, payrec, mode_code,coinsurance_code,class_cd,it_remarks) values</v>
      </c>
      <c r="G24" s="24" t="str">
        <f t="shared" si="2"/>
        <v>('20Aug240150','040000157794','958',(select max(to_number(i.premium_rcv_detail_code))+1
from ins_premium_det i),'958','958','02', '11000003','00','Request by Mr. Saqib Saleem 21-Aug-2024 sheet4');</v>
      </c>
      <c r="H24" s="25" t="str">
        <f t="shared" si="3"/>
        <v>insert into ins_premium_det (premium_rcv_code,assorted_code, rec_amount,premium_rcv_detail_code,remaining_amt, payrec, mode_code,coinsurance_code,class_cd,it_remarks) values('20Aug240150','040000157794','958',(select max(to_number(i.premium_rcv_detail_code))+1
from ins_premium_det i),'958','958','02', '11000003','00','Request by Mr. Saqib Saleem 21-Aug-2024 sheet4');</v>
      </c>
    </row>
    <row r="25" spans="1:8" ht="105" x14ac:dyDescent="0.25">
      <c r="A25" s="20" t="s">
        <v>591</v>
      </c>
      <c r="B25" s="22" t="str">
        <f>VLOOKUP(A25,[1]Sheet1!$B$2:$C$108,2,0)</f>
        <v>040000157795</v>
      </c>
      <c r="C25" s="19">
        <v>1042</v>
      </c>
      <c r="D25" s="26">
        <f t="shared" si="1"/>
        <v>1042</v>
      </c>
      <c r="E25" s="27" t="s">
        <v>676</v>
      </c>
      <c r="F25" s="23" t="str">
        <f t="shared" si="0"/>
        <v>insert into ins_premium_det (premium_rcv_code,assorted_code, rec_amount,premium_rcv_detail_code,remaining_amt, payrec, mode_code,coinsurance_code,class_cd,it_remarks) values</v>
      </c>
      <c r="G25" s="24" t="str">
        <f t="shared" si="2"/>
        <v>('20Aug240150','040000157795','1042',(select max(to_number(i.premium_rcv_detail_code))+1
from ins_premium_det i),'1042','1042','02', '11000003','00','Request by Mr. Saqib Saleem 21-Aug-2024 sheet4');</v>
      </c>
      <c r="H25" s="25" t="str">
        <f t="shared" si="3"/>
        <v>insert into ins_premium_det (premium_rcv_code,assorted_code, rec_amount,premium_rcv_detail_code,remaining_amt, payrec, mode_code,coinsurance_code,class_cd,it_remarks) values('20Aug240150','040000157795','1042',(select max(to_number(i.premium_rcv_detail_code))+1
from ins_premium_det i),'1042','1042','02', '11000003','00','Request by Mr. Saqib Saleem 21-Aug-2024 sheet4');</v>
      </c>
    </row>
    <row r="26" spans="1:8" ht="105" x14ac:dyDescent="0.25">
      <c r="A26" s="20" t="s">
        <v>592</v>
      </c>
      <c r="B26" s="22" t="str">
        <f>VLOOKUP(A26,[1]Sheet1!$B$2:$C$108,2,0)</f>
        <v>040000157796</v>
      </c>
      <c r="C26" s="19">
        <v>1183</v>
      </c>
      <c r="D26" s="26">
        <f t="shared" si="1"/>
        <v>1183</v>
      </c>
      <c r="E26" s="27" t="s">
        <v>676</v>
      </c>
      <c r="F26" s="23" t="str">
        <f t="shared" si="0"/>
        <v>insert into ins_premium_det (premium_rcv_code,assorted_code, rec_amount,premium_rcv_detail_code,remaining_amt, payrec, mode_code,coinsurance_code,class_cd,it_remarks) values</v>
      </c>
      <c r="G26" s="24" t="str">
        <f t="shared" si="2"/>
        <v>('20Aug240150','040000157796','1183',(select max(to_number(i.premium_rcv_detail_code))+1
from ins_premium_det i),'1183','1183','02', '11000003','00','Request by Mr. Saqib Saleem 21-Aug-2024 sheet4');</v>
      </c>
      <c r="H26" s="25" t="str">
        <f t="shared" si="3"/>
        <v>insert into ins_premium_det (premium_rcv_code,assorted_code, rec_amount,premium_rcv_detail_code,remaining_amt, payrec, mode_code,coinsurance_code,class_cd,it_remarks) values('20Aug240150','040000157796','1183',(select max(to_number(i.premium_rcv_detail_code))+1
from ins_premium_det i),'1183','1183','02', '11000003','00','Request by Mr. Saqib Saleem 21-Aug-2024 sheet4');</v>
      </c>
    </row>
    <row r="27" spans="1:8" ht="105" x14ac:dyDescent="0.25">
      <c r="A27" s="20" t="s">
        <v>593</v>
      </c>
      <c r="B27" s="22" t="str">
        <f>VLOOKUP(A27,[1]Sheet1!$B$2:$C$108,2,0)</f>
        <v>040000157797</v>
      </c>
      <c r="C27" s="19">
        <v>1197</v>
      </c>
      <c r="D27" s="26">
        <f t="shared" si="1"/>
        <v>1197</v>
      </c>
      <c r="E27" s="27" t="s">
        <v>676</v>
      </c>
      <c r="F27" s="23" t="str">
        <f t="shared" si="0"/>
        <v>insert into ins_premium_det (premium_rcv_code,assorted_code, rec_amount,premium_rcv_detail_code,remaining_amt, payrec, mode_code,coinsurance_code,class_cd,it_remarks) values</v>
      </c>
      <c r="G27" s="24" t="str">
        <f t="shared" si="2"/>
        <v>('20Aug240150','040000157797','1197',(select max(to_number(i.premium_rcv_detail_code))+1
from ins_premium_det i),'1197','1197','02', '11000003','00','Request by Mr. Saqib Saleem 21-Aug-2024 sheet4');</v>
      </c>
      <c r="H27" s="25" t="str">
        <f t="shared" si="3"/>
        <v>insert into ins_premium_det (premium_rcv_code,assorted_code, rec_amount,premium_rcv_detail_code,remaining_amt, payrec, mode_code,coinsurance_code,class_cd,it_remarks) values('20Aug240150','040000157797','1197',(select max(to_number(i.premium_rcv_detail_code))+1
from ins_premium_det i),'1197','1197','02', '11000003','00','Request by Mr. Saqib Saleem 21-Aug-2024 sheet4');</v>
      </c>
    </row>
    <row r="28" spans="1:8" ht="105" x14ac:dyDescent="0.25">
      <c r="A28" s="20" t="s">
        <v>594</v>
      </c>
      <c r="B28" s="22" t="str">
        <f>VLOOKUP(A28,[1]Sheet1!$B$2:$C$108,2,0)</f>
        <v>040000157798</v>
      </c>
      <c r="C28" s="19">
        <v>1162</v>
      </c>
      <c r="D28" s="26">
        <f t="shared" si="1"/>
        <v>1162</v>
      </c>
      <c r="E28" s="27" t="s">
        <v>676</v>
      </c>
      <c r="F28" s="23" t="str">
        <f t="shared" si="0"/>
        <v>insert into ins_premium_det (premium_rcv_code,assorted_code, rec_amount,premium_rcv_detail_code,remaining_amt, payrec, mode_code,coinsurance_code,class_cd,it_remarks) values</v>
      </c>
      <c r="G28" s="24" t="str">
        <f t="shared" si="2"/>
        <v>('20Aug240150','040000157798','1162',(select max(to_number(i.premium_rcv_detail_code))+1
from ins_premium_det i),'1162','1162','02', '11000003','00','Request by Mr. Saqib Saleem 21-Aug-2024 sheet4');</v>
      </c>
      <c r="H28" s="25" t="str">
        <f t="shared" si="3"/>
        <v>insert into ins_premium_det (premium_rcv_code,assorted_code, rec_amount,premium_rcv_detail_code,remaining_amt, payrec, mode_code,coinsurance_code,class_cd,it_remarks) values('20Aug240150','040000157798','1162',(select max(to_number(i.premium_rcv_detail_code))+1
from ins_premium_det i),'1162','1162','02', '11000003','00','Request by Mr. Saqib Saleem 21-Aug-2024 sheet4');</v>
      </c>
    </row>
    <row r="29" spans="1:8" ht="105" x14ac:dyDescent="0.25">
      <c r="A29" s="20" t="s">
        <v>595</v>
      </c>
      <c r="B29" s="22" t="str">
        <f>VLOOKUP(A29,[1]Sheet1!$B$2:$C$108,2,0)</f>
        <v>040000157799</v>
      </c>
      <c r="C29" s="19">
        <v>1101</v>
      </c>
      <c r="D29" s="26">
        <f t="shared" si="1"/>
        <v>1101</v>
      </c>
      <c r="E29" s="27" t="s">
        <v>676</v>
      </c>
      <c r="F29" s="23" t="str">
        <f t="shared" si="0"/>
        <v>insert into ins_premium_det (premium_rcv_code,assorted_code, rec_amount,premium_rcv_detail_code,remaining_amt, payrec, mode_code,coinsurance_code,class_cd,it_remarks) values</v>
      </c>
      <c r="G29" s="24" t="str">
        <f t="shared" si="2"/>
        <v>('20Aug240150','040000157799','1101',(select max(to_number(i.premium_rcv_detail_code))+1
from ins_premium_det i),'1101','1101','02', '11000003','00','Request by Mr. Saqib Saleem 21-Aug-2024 sheet4');</v>
      </c>
      <c r="H29" s="25" t="str">
        <f t="shared" si="3"/>
        <v>insert into ins_premium_det (premium_rcv_code,assorted_code, rec_amount,premium_rcv_detail_code,remaining_amt, payrec, mode_code,coinsurance_code,class_cd,it_remarks) values('20Aug240150','040000157799','1101',(select max(to_number(i.premium_rcv_detail_code))+1
from ins_premium_det i),'1101','1101','02', '11000003','00','Request by Mr. Saqib Saleem 21-Aug-2024 sheet4');</v>
      </c>
    </row>
    <row r="30" spans="1:8" ht="105" x14ac:dyDescent="0.25">
      <c r="A30" s="20" t="s">
        <v>596</v>
      </c>
      <c r="B30" s="22" t="str">
        <f>VLOOKUP(A30,[1]Sheet1!$B$2:$C$108,2,0)</f>
        <v>040000157800</v>
      </c>
      <c r="C30" s="19">
        <v>1783</v>
      </c>
      <c r="D30" s="26">
        <f t="shared" si="1"/>
        <v>1783</v>
      </c>
      <c r="E30" s="27" t="s">
        <v>676</v>
      </c>
      <c r="F30" s="23" t="str">
        <f t="shared" si="0"/>
        <v>insert into ins_premium_det (premium_rcv_code,assorted_code, rec_amount,premium_rcv_detail_code,remaining_amt, payrec, mode_code,coinsurance_code,class_cd,it_remarks) values</v>
      </c>
      <c r="G30" s="24" t="str">
        <f t="shared" si="2"/>
        <v>('20Aug240150','040000157800','1783',(select max(to_number(i.premium_rcv_detail_code))+1
from ins_premium_det i),'1783','1783','02', '11000003','00','Request by Mr. Saqib Saleem 21-Aug-2024 sheet4');</v>
      </c>
      <c r="H30" s="25" t="str">
        <f t="shared" si="3"/>
        <v>insert into ins_premium_det (premium_rcv_code,assorted_code, rec_amount,premium_rcv_detail_code,remaining_amt, payrec, mode_code,coinsurance_code,class_cd,it_remarks) values('20Aug240150','040000157800','1783',(select max(to_number(i.premium_rcv_detail_code))+1
from ins_premium_det i),'1783','1783','02', '11000003','00','Request by Mr. Saqib Saleem 21-Aug-2024 sheet4');</v>
      </c>
    </row>
    <row r="31" spans="1:8" ht="105" x14ac:dyDescent="0.25">
      <c r="A31" s="20" t="s">
        <v>597</v>
      </c>
      <c r="B31" s="22" t="str">
        <f>VLOOKUP(A31,[1]Sheet1!$B$2:$C$108,2,0)</f>
        <v>040000157801</v>
      </c>
      <c r="C31" s="19">
        <v>1728</v>
      </c>
      <c r="D31" s="26">
        <f t="shared" si="1"/>
        <v>1728</v>
      </c>
      <c r="E31" s="27" t="s">
        <v>676</v>
      </c>
      <c r="F31" s="23" t="str">
        <f t="shared" si="0"/>
        <v>insert into ins_premium_det (premium_rcv_code,assorted_code, rec_amount,premium_rcv_detail_code,remaining_amt, payrec, mode_code,coinsurance_code,class_cd,it_remarks) values</v>
      </c>
      <c r="G31" s="24" t="str">
        <f t="shared" si="2"/>
        <v>('20Aug240150','040000157801','1728',(select max(to_number(i.premium_rcv_detail_code))+1
from ins_premium_det i),'1728','1728','02', '11000003','00','Request by Mr. Saqib Saleem 21-Aug-2024 sheet4');</v>
      </c>
      <c r="H31" s="25" t="str">
        <f t="shared" si="3"/>
        <v>insert into ins_premium_det (premium_rcv_code,assorted_code, rec_amount,premium_rcv_detail_code,remaining_amt, payrec, mode_code,coinsurance_code,class_cd,it_remarks) values('20Aug240150','040000157801','1728',(select max(to_number(i.premium_rcv_detail_code))+1
from ins_premium_det i),'1728','1728','02', '11000003','00','Request by Mr. Saqib Saleem 21-Aug-2024 sheet4');</v>
      </c>
    </row>
    <row r="32" spans="1:8" ht="105" x14ac:dyDescent="0.25">
      <c r="A32" s="20" t="s">
        <v>598</v>
      </c>
      <c r="B32" s="22" t="str">
        <f>VLOOKUP(A32,[1]Sheet1!$B$2:$C$108,2,0)</f>
        <v>040000157802</v>
      </c>
      <c r="C32" s="19">
        <v>1883</v>
      </c>
      <c r="D32" s="26">
        <f t="shared" si="1"/>
        <v>1883</v>
      </c>
      <c r="E32" s="27" t="s">
        <v>676</v>
      </c>
      <c r="F32" s="23" t="str">
        <f t="shared" si="0"/>
        <v>insert into ins_premium_det (premium_rcv_code,assorted_code, rec_amount,premium_rcv_detail_code,remaining_amt, payrec, mode_code,coinsurance_code,class_cd,it_remarks) values</v>
      </c>
      <c r="G32" s="24" t="str">
        <f t="shared" si="2"/>
        <v>('20Aug240150','040000157802','1883',(select max(to_number(i.premium_rcv_detail_code))+1
from ins_premium_det i),'1883','1883','02', '11000003','00','Request by Mr. Saqib Saleem 21-Aug-2024 sheet4');</v>
      </c>
      <c r="H32" s="25" t="str">
        <f t="shared" si="3"/>
        <v>insert into ins_premium_det (premium_rcv_code,assorted_code, rec_amount,premium_rcv_detail_code,remaining_amt, payrec, mode_code,coinsurance_code,class_cd,it_remarks) values('20Aug240150','040000157802','1883',(select max(to_number(i.premium_rcv_detail_code))+1
from ins_premium_det i),'1883','1883','02', '11000003','00','Request by Mr. Saqib Saleem 21-Aug-2024 sheet4');</v>
      </c>
    </row>
    <row r="33" spans="1:8" ht="105" x14ac:dyDescent="0.25">
      <c r="A33" s="20" t="s">
        <v>599</v>
      </c>
      <c r="B33" s="22" t="str">
        <f>VLOOKUP(A33,[1]Sheet1!$B$2:$C$108,2,0)</f>
        <v>040000157803</v>
      </c>
      <c r="C33" s="19">
        <v>1052</v>
      </c>
      <c r="D33" s="26">
        <f t="shared" si="1"/>
        <v>1052</v>
      </c>
      <c r="E33" s="27" t="s">
        <v>676</v>
      </c>
      <c r="F33" s="23" t="str">
        <f t="shared" si="0"/>
        <v>insert into ins_premium_det (premium_rcv_code,assorted_code, rec_amount,premium_rcv_detail_code,remaining_amt, payrec, mode_code,coinsurance_code,class_cd,it_remarks) values</v>
      </c>
      <c r="G33" s="24" t="str">
        <f t="shared" si="2"/>
        <v>('20Aug240150','040000157803','1052',(select max(to_number(i.premium_rcv_detail_code))+1
from ins_premium_det i),'1052','1052','02', '11000003','00','Request by Mr. Saqib Saleem 21-Aug-2024 sheet4');</v>
      </c>
      <c r="H33" s="25" t="str">
        <f t="shared" si="3"/>
        <v>insert into ins_premium_det (premium_rcv_code,assorted_code, rec_amount,premium_rcv_detail_code,remaining_amt, payrec, mode_code,coinsurance_code,class_cd,it_remarks) values('20Aug240150','040000157803','1052',(select max(to_number(i.premium_rcv_detail_code))+1
from ins_premium_det i),'1052','1052','02', '11000003','00','Request by Mr. Saqib Saleem 21-Aug-2024 sheet4');</v>
      </c>
    </row>
    <row r="34" spans="1:8" ht="105" x14ac:dyDescent="0.25">
      <c r="A34" s="20" t="s">
        <v>600</v>
      </c>
      <c r="B34" s="22" t="str">
        <f>VLOOKUP(A34,[1]Sheet1!$B$2:$C$108,2,0)</f>
        <v>040000157804</v>
      </c>
      <c r="C34" s="19">
        <v>4556</v>
      </c>
      <c r="D34" s="26">
        <f t="shared" si="1"/>
        <v>4556</v>
      </c>
      <c r="E34" s="27" t="s">
        <v>676</v>
      </c>
      <c r="F34" s="23" t="str">
        <f t="shared" si="0"/>
        <v>insert into ins_premium_det (premium_rcv_code,assorted_code, rec_amount,premium_rcv_detail_code,remaining_amt, payrec, mode_code,coinsurance_code,class_cd,it_remarks) values</v>
      </c>
      <c r="G34" s="24" t="str">
        <f t="shared" si="2"/>
        <v>('20Aug240150','040000157804','4556',(select max(to_number(i.premium_rcv_detail_code))+1
from ins_premium_det i),'4556','4556','02', '11000003','00','Request by Mr. Saqib Saleem 21-Aug-2024 sheet4');</v>
      </c>
      <c r="H34" s="25" t="str">
        <f t="shared" si="3"/>
        <v>insert into ins_premium_det (premium_rcv_code,assorted_code, rec_amount,premium_rcv_detail_code,remaining_amt, payrec, mode_code,coinsurance_code,class_cd,it_remarks) values('20Aug240150','040000157804','4556',(select max(to_number(i.premium_rcv_detail_code))+1
from ins_premium_det i),'4556','4556','02', '11000003','00','Request by Mr. Saqib Saleem 21-Aug-2024 sheet4');</v>
      </c>
    </row>
    <row r="35" spans="1:8" ht="105" x14ac:dyDescent="0.25">
      <c r="A35" s="20" t="s">
        <v>601</v>
      </c>
      <c r="B35" s="22" t="str">
        <f>VLOOKUP(A35,[1]Sheet1!$B$2:$C$108,2,0)</f>
        <v>040000157805</v>
      </c>
      <c r="C35" s="19">
        <v>4485</v>
      </c>
      <c r="D35" s="26">
        <f t="shared" si="1"/>
        <v>4485</v>
      </c>
      <c r="E35" s="27" t="s">
        <v>676</v>
      </c>
      <c r="F35" s="23" t="str">
        <f t="shared" si="0"/>
        <v>insert into ins_premium_det (premium_rcv_code,assorted_code, rec_amount,premium_rcv_detail_code,remaining_amt, payrec, mode_code,coinsurance_code,class_cd,it_remarks) values</v>
      </c>
      <c r="G35" s="24" t="str">
        <f t="shared" si="2"/>
        <v>('20Aug240150','040000157805','4485',(select max(to_number(i.premium_rcv_detail_code))+1
from ins_premium_det i),'4485','4485','02', '11000003','00','Request by Mr. Saqib Saleem 21-Aug-2024 sheet4');</v>
      </c>
      <c r="H35" s="25" t="str">
        <f t="shared" si="3"/>
        <v>insert into ins_premium_det (premium_rcv_code,assorted_code, rec_amount,premium_rcv_detail_code,remaining_amt, payrec, mode_code,coinsurance_code,class_cd,it_remarks) values('20Aug240150','040000157805','4485',(select max(to_number(i.premium_rcv_detail_code))+1
from ins_premium_det i),'4485','4485','02', '11000003','00','Request by Mr. Saqib Saleem 21-Aug-2024 sheet4');</v>
      </c>
    </row>
    <row r="36" spans="1:8" ht="105" x14ac:dyDescent="0.25">
      <c r="A36" s="20" t="s">
        <v>602</v>
      </c>
      <c r="B36" s="22" t="str">
        <f>VLOOKUP(A36,[1]Sheet1!$B$2:$C$108,2,0)</f>
        <v>040000157806</v>
      </c>
      <c r="C36" s="19">
        <v>3968</v>
      </c>
      <c r="D36" s="26">
        <f t="shared" si="1"/>
        <v>3968</v>
      </c>
      <c r="E36" s="27" t="s">
        <v>676</v>
      </c>
      <c r="F36" s="23" t="str">
        <f t="shared" si="0"/>
        <v>insert into ins_premium_det (premium_rcv_code,assorted_code, rec_amount,premium_rcv_detail_code,remaining_amt, payrec, mode_code,coinsurance_code,class_cd,it_remarks) values</v>
      </c>
      <c r="G36" s="24" t="str">
        <f t="shared" si="2"/>
        <v>('20Aug240150','040000157806','3968',(select max(to_number(i.premium_rcv_detail_code))+1
from ins_premium_det i),'3968','3968','02', '11000003','00','Request by Mr. Saqib Saleem 21-Aug-2024 sheet4');</v>
      </c>
      <c r="H36" s="25" t="str">
        <f t="shared" si="3"/>
        <v>insert into ins_premium_det (premium_rcv_code,assorted_code, rec_amount,premium_rcv_detail_code,remaining_amt, payrec, mode_code,coinsurance_code,class_cd,it_remarks) values('20Aug240150','040000157806','3968',(select max(to_number(i.premium_rcv_detail_code))+1
from ins_premium_det i),'3968','3968','02', '11000003','00','Request by Mr. Saqib Saleem 21-Aug-2024 sheet4');</v>
      </c>
    </row>
    <row r="37" spans="1:8" ht="105" x14ac:dyDescent="0.25">
      <c r="A37" s="20" t="s">
        <v>603</v>
      </c>
      <c r="B37" s="22" t="str">
        <f>VLOOKUP(A37,[1]Sheet1!$B$2:$C$108,2,0)</f>
        <v>040000157807</v>
      </c>
      <c r="C37" s="19">
        <v>4416</v>
      </c>
      <c r="D37" s="26">
        <f t="shared" si="1"/>
        <v>4416</v>
      </c>
      <c r="E37" s="27" t="s">
        <v>676</v>
      </c>
      <c r="F37" s="23" t="str">
        <f t="shared" si="0"/>
        <v>insert into ins_premium_det (premium_rcv_code,assorted_code, rec_amount,premium_rcv_detail_code,remaining_amt, payrec, mode_code,coinsurance_code,class_cd,it_remarks) values</v>
      </c>
      <c r="G37" s="24" t="str">
        <f t="shared" si="2"/>
        <v>('20Aug240150','040000157807','4416',(select max(to_number(i.premium_rcv_detail_code))+1
from ins_premium_det i),'4416','4416','02', '11000003','00','Request by Mr. Saqib Saleem 21-Aug-2024 sheet4');</v>
      </c>
      <c r="H37" s="25" t="str">
        <f t="shared" si="3"/>
        <v>insert into ins_premium_det (premium_rcv_code,assorted_code, rec_amount,premium_rcv_detail_code,remaining_amt, payrec, mode_code,coinsurance_code,class_cd,it_remarks) values('20Aug240150','040000157807','4416',(select max(to_number(i.premium_rcv_detail_code))+1
from ins_premium_det i),'4416','4416','02', '11000003','00','Request by Mr. Saqib Saleem 21-Aug-2024 sheet4');</v>
      </c>
    </row>
    <row r="38" spans="1:8" ht="105" x14ac:dyDescent="0.25">
      <c r="A38" s="20" t="s">
        <v>604</v>
      </c>
      <c r="B38" s="22" t="str">
        <f>VLOOKUP(A38,[1]Sheet1!$B$2:$C$108,2,0)</f>
        <v>040000157808</v>
      </c>
      <c r="C38" s="19">
        <v>2985</v>
      </c>
      <c r="D38" s="26">
        <f t="shared" si="1"/>
        <v>2985</v>
      </c>
      <c r="E38" s="27" t="s">
        <v>676</v>
      </c>
      <c r="F38" s="23" t="str">
        <f t="shared" si="0"/>
        <v>insert into ins_premium_det (premium_rcv_code,assorted_code, rec_amount,premium_rcv_detail_code,remaining_amt, payrec, mode_code,coinsurance_code,class_cd,it_remarks) values</v>
      </c>
      <c r="G38" s="24" t="str">
        <f t="shared" si="2"/>
        <v>('20Aug240150','040000157808','2985',(select max(to_number(i.premium_rcv_detail_code))+1
from ins_premium_det i),'2985','2985','02', '11000003','00','Request by Mr. Saqib Saleem 21-Aug-2024 sheet4');</v>
      </c>
      <c r="H38" s="25" t="str">
        <f t="shared" si="3"/>
        <v>insert into ins_premium_det (premium_rcv_code,assorted_code, rec_amount,premium_rcv_detail_code,remaining_amt, payrec, mode_code,coinsurance_code,class_cd,it_remarks) values('20Aug240150','040000157808','2985',(select max(to_number(i.premium_rcv_detail_code))+1
from ins_premium_det i),'2985','2985','02', '11000003','00','Request by Mr. Saqib Saleem 21-Aug-2024 sheet4');</v>
      </c>
    </row>
    <row r="39" spans="1:8" ht="105" x14ac:dyDescent="0.25">
      <c r="A39" s="20" t="s">
        <v>605</v>
      </c>
      <c r="B39" s="22" t="str">
        <f>VLOOKUP(A39,[1]Sheet1!$B$2:$C$108,2,0)</f>
        <v>040000157809</v>
      </c>
      <c r="C39" s="19">
        <v>1384</v>
      </c>
      <c r="D39" s="26">
        <f t="shared" si="1"/>
        <v>1384</v>
      </c>
      <c r="E39" s="27" t="s">
        <v>676</v>
      </c>
      <c r="F39" s="23" t="str">
        <f t="shared" si="0"/>
        <v>insert into ins_premium_det (premium_rcv_code,assorted_code, rec_amount,premium_rcv_detail_code,remaining_amt, payrec, mode_code,coinsurance_code,class_cd,it_remarks) values</v>
      </c>
      <c r="G39" s="24" t="str">
        <f t="shared" si="2"/>
        <v>('20Aug240150','040000157809','1384',(select max(to_number(i.premium_rcv_detail_code))+1
from ins_premium_det i),'1384','1384','02', '11000003','00','Request by Mr. Saqib Saleem 21-Aug-2024 sheet4');</v>
      </c>
      <c r="H39" s="25" t="str">
        <f t="shared" si="3"/>
        <v>insert into ins_premium_det (premium_rcv_code,assorted_code, rec_amount,premium_rcv_detail_code,remaining_amt, payrec, mode_code,coinsurance_code,class_cd,it_remarks) values('20Aug240150','040000157809','1384',(select max(to_number(i.premium_rcv_detail_code))+1
from ins_premium_det i),'1384','1384','02', '11000003','00','Request by Mr. Saqib Saleem 21-Aug-2024 sheet4');</v>
      </c>
    </row>
    <row r="40" spans="1:8" ht="105" x14ac:dyDescent="0.25">
      <c r="A40" s="20" t="s">
        <v>606</v>
      </c>
      <c r="B40" s="22" t="str">
        <f>VLOOKUP(A40,[1]Sheet1!$B$2:$C$108,2,0)</f>
        <v>040000157810</v>
      </c>
      <c r="C40" s="19">
        <v>3681</v>
      </c>
      <c r="D40" s="26">
        <f t="shared" si="1"/>
        <v>3681</v>
      </c>
      <c r="E40" s="27" t="s">
        <v>676</v>
      </c>
      <c r="F40" s="23" t="str">
        <f t="shared" si="0"/>
        <v>insert into ins_premium_det (premium_rcv_code,assorted_code, rec_amount,premium_rcv_detail_code,remaining_amt, payrec, mode_code,coinsurance_code,class_cd,it_remarks) values</v>
      </c>
      <c r="G40" s="24" t="str">
        <f t="shared" si="2"/>
        <v>('20Aug240150','040000157810','3681',(select max(to_number(i.premium_rcv_detail_code))+1
from ins_premium_det i),'3681','3681','02', '11000003','00','Request by Mr. Saqib Saleem 21-Aug-2024 sheet4');</v>
      </c>
      <c r="H40" s="25" t="str">
        <f t="shared" si="3"/>
        <v>insert into ins_premium_det (premium_rcv_code,assorted_code, rec_amount,premium_rcv_detail_code,remaining_amt, payrec, mode_code,coinsurance_code,class_cd,it_remarks) values('20Aug240150','040000157810','3681',(select max(to_number(i.premium_rcv_detail_code))+1
from ins_premium_det i),'3681','3681','02', '11000003','00','Request by Mr. Saqib Saleem 21-Aug-2024 sheet4');</v>
      </c>
    </row>
    <row r="41" spans="1:8" ht="105" x14ac:dyDescent="0.25">
      <c r="A41" s="20" t="s">
        <v>607</v>
      </c>
      <c r="B41" s="22" t="str">
        <f>VLOOKUP(A41,[1]Sheet1!$B$2:$C$108,2,0)</f>
        <v>040000157811</v>
      </c>
      <c r="C41" s="19">
        <v>9536</v>
      </c>
      <c r="D41" s="26">
        <f t="shared" si="1"/>
        <v>9536</v>
      </c>
      <c r="E41" s="27" t="s">
        <v>676</v>
      </c>
      <c r="F41" s="23" t="str">
        <f t="shared" si="0"/>
        <v>insert into ins_premium_det (premium_rcv_code,assorted_code, rec_amount,premium_rcv_detail_code,remaining_amt, payrec, mode_code,coinsurance_code,class_cd,it_remarks) values</v>
      </c>
      <c r="G41" s="24" t="str">
        <f t="shared" si="2"/>
        <v>('20Aug240150','040000157811','9536',(select max(to_number(i.premium_rcv_detail_code))+1
from ins_premium_det i),'9536','9536','02', '11000003','00','Request by Mr. Saqib Saleem 21-Aug-2024 sheet4');</v>
      </c>
      <c r="H41" s="25" t="str">
        <f t="shared" si="3"/>
        <v>insert into ins_premium_det (premium_rcv_code,assorted_code, rec_amount,premium_rcv_detail_code,remaining_amt, payrec, mode_code,coinsurance_code,class_cd,it_remarks) values('20Aug240150','040000157811','9536',(select max(to_number(i.premium_rcv_detail_code))+1
from ins_premium_det i),'9536','9536','02', '11000003','00','Request by Mr. Saqib Saleem 21-Aug-2024 sheet4');</v>
      </c>
    </row>
    <row r="42" spans="1:8" ht="105" x14ac:dyDescent="0.25">
      <c r="A42" s="20" t="s">
        <v>608</v>
      </c>
      <c r="B42" s="22" t="str">
        <f>VLOOKUP(A42,[1]Sheet1!$B$2:$C$108,2,0)</f>
        <v>040000157812</v>
      </c>
      <c r="C42" s="19">
        <v>694</v>
      </c>
      <c r="D42" s="26">
        <f t="shared" si="1"/>
        <v>694</v>
      </c>
      <c r="E42" s="27" t="s">
        <v>676</v>
      </c>
      <c r="F42" s="23" t="str">
        <f t="shared" si="0"/>
        <v>insert into ins_premium_det (premium_rcv_code,assorted_code, rec_amount,premium_rcv_detail_code,remaining_amt, payrec, mode_code,coinsurance_code,class_cd,it_remarks) values</v>
      </c>
      <c r="G42" s="24" t="str">
        <f t="shared" si="2"/>
        <v>('20Aug240150','040000157812','694',(select max(to_number(i.premium_rcv_detail_code))+1
from ins_premium_det i),'694','694','02', '11000003','00','Request by Mr. Saqib Saleem 21-Aug-2024 sheet4');</v>
      </c>
      <c r="H42" s="25" t="str">
        <f t="shared" si="3"/>
        <v>insert into ins_premium_det (premium_rcv_code,assorted_code, rec_amount,premium_rcv_detail_code,remaining_amt, payrec, mode_code,coinsurance_code,class_cd,it_remarks) values('20Aug240150','040000157812','694',(select max(to_number(i.premium_rcv_detail_code))+1
from ins_premium_det i),'694','694','02', '11000003','00','Request by Mr. Saqib Saleem 21-Aug-2024 sheet4');</v>
      </c>
    </row>
    <row r="43" spans="1:8" ht="105" x14ac:dyDescent="0.25">
      <c r="A43" s="20" t="s">
        <v>609</v>
      </c>
      <c r="B43" s="22" t="str">
        <f>VLOOKUP(A43,[1]Sheet1!$B$2:$C$108,2,0)</f>
        <v>040000157813</v>
      </c>
      <c r="C43" s="19">
        <v>680</v>
      </c>
      <c r="D43" s="26">
        <f t="shared" si="1"/>
        <v>680</v>
      </c>
      <c r="E43" s="27" t="s">
        <v>676</v>
      </c>
      <c r="F43" s="23" t="str">
        <f t="shared" si="0"/>
        <v>insert into ins_premium_det (premium_rcv_code,assorted_code, rec_amount,premium_rcv_detail_code,remaining_amt, payrec, mode_code,coinsurance_code,class_cd,it_remarks) values</v>
      </c>
      <c r="G43" s="24" t="str">
        <f t="shared" si="2"/>
        <v>('20Aug240150','040000157813','680',(select max(to_number(i.premium_rcv_detail_code))+1
from ins_premium_det i),'680','680','02', '11000003','00','Request by Mr. Saqib Saleem 21-Aug-2024 sheet4');</v>
      </c>
      <c r="H43" s="25" t="str">
        <f t="shared" si="3"/>
        <v>insert into ins_premium_det (premium_rcv_code,assorted_code, rec_amount,premium_rcv_detail_code,remaining_amt, payrec, mode_code,coinsurance_code,class_cd,it_remarks) values('20Aug240150','040000157813','680',(select max(to_number(i.premium_rcv_detail_code))+1
from ins_premium_det i),'680','680','02', '11000003','00','Request by Mr. Saqib Saleem 21-Aug-2024 sheet4');</v>
      </c>
    </row>
    <row r="44" spans="1:8" ht="105" x14ac:dyDescent="0.25">
      <c r="A44" s="20" t="s">
        <v>610</v>
      </c>
      <c r="B44" s="22" t="str">
        <f>VLOOKUP(A44,[1]Sheet1!$B$2:$C$108,2,0)</f>
        <v>040000157814</v>
      </c>
      <c r="C44" s="19">
        <v>624</v>
      </c>
      <c r="D44" s="26">
        <f t="shared" si="1"/>
        <v>624</v>
      </c>
      <c r="E44" s="27" t="s">
        <v>676</v>
      </c>
      <c r="F44" s="23" t="str">
        <f t="shared" si="0"/>
        <v>insert into ins_premium_det (premium_rcv_code,assorted_code, rec_amount,premium_rcv_detail_code,remaining_amt, payrec, mode_code,coinsurance_code,class_cd,it_remarks) values</v>
      </c>
      <c r="G44" s="24" t="str">
        <f t="shared" si="2"/>
        <v>('20Aug240150','040000157814','624',(select max(to_number(i.premium_rcv_detail_code))+1
from ins_premium_det i),'624','624','02', '11000003','00','Request by Mr. Saqib Saleem 21-Aug-2024 sheet4');</v>
      </c>
      <c r="H44" s="25" t="str">
        <f t="shared" si="3"/>
        <v>insert into ins_premium_det (premium_rcv_code,assorted_code, rec_amount,premium_rcv_detail_code,remaining_amt, payrec, mode_code,coinsurance_code,class_cd,it_remarks) values('20Aug240150','040000157814','624',(select max(to_number(i.premium_rcv_detail_code))+1
from ins_premium_det i),'624','624','02', '11000003','00','Request by Mr. Saqib Saleem 21-Aug-2024 sheet4');</v>
      </c>
    </row>
    <row r="45" spans="1:8" ht="105" x14ac:dyDescent="0.25">
      <c r="A45" s="20" t="s">
        <v>611</v>
      </c>
      <c r="B45" s="22" t="str">
        <f>VLOOKUP(A45,[1]Sheet1!$B$2:$C$108,2,0)</f>
        <v>040000157815</v>
      </c>
      <c r="C45" s="19">
        <v>1297</v>
      </c>
      <c r="D45" s="26">
        <f t="shared" si="1"/>
        <v>1297</v>
      </c>
      <c r="E45" s="27" t="s">
        <v>676</v>
      </c>
      <c r="F45" s="23" t="str">
        <f t="shared" si="0"/>
        <v>insert into ins_premium_det (premium_rcv_code,assorted_code, rec_amount,premium_rcv_detail_code,remaining_amt, payrec, mode_code,coinsurance_code,class_cd,it_remarks) values</v>
      </c>
      <c r="G45" s="24" t="str">
        <f t="shared" si="2"/>
        <v>('20Aug240150','040000157815','1297',(select max(to_number(i.premium_rcv_detail_code))+1
from ins_premium_det i),'1297','1297','02', '11000003','00','Request by Mr. Saqib Saleem 21-Aug-2024 sheet4');</v>
      </c>
      <c r="H45" s="25" t="str">
        <f t="shared" si="3"/>
        <v>insert into ins_premium_det (premium_rcv_code,assorted_code, rec_amount,premium_rcv_detail_code,remaining_amt, payrec, mode_code,coinsurance_code,class_cd,it_remarks) values('20Aug240150','040000157815','1297',(select max(to_number(i.premium_rcv_detail_code))+1
from ins_premium_det i),'1297','1297','02', '11000003','00','Request by Mr. Saqib Saleem 21-Aug-2024 sheet4');</v>
      </c>
    </row>
    <row r="46" spans="1:8" ht="105" x14ac:dyDescent="0.25">
      <c r="A46" s="20" t="s">
        <v>612</v>
      </c>
      <c r="B46" s="22" t="str">
        <f>VLOOKUP(A46,[1]Sheet1!$B$2:$C$108,2,0)</f>
        <v>040000157816</v>
      </c>
      <c r="C46" s="19">
        <v>1061</v>
      </c>
      <c r="D46" s="26">
        <f t="shared" si="1"/>
        <v>1061</v>
      </c>
      <c r="E46" s="27" t="s">
        <v>676</v>
      </c>
      <c r="F46" s="23" t="str">
        <f t="shared" si="0"/>
        <v>insert into ins_premium_det (premium_rcv_code,assorted_code, rec_amount,premium_rcv_detail_code,remaining_amt, payrec, mode_code,coinsurance_code,class_cd,it_remarks) values</v>
      </c>
      <c r="G46" s="24" t="str">
        <f t="shared" si="2"/>
        <v>('20Aug240150','040000157816','1061',(select max(to_number(i.premium_rcv_detail_code))+1
from ins_premium_det i),'1061','1061','02', '11000003','00','Request by Mr. Saqib Saleem 21-Aug-2024 sheet4');</v>
      </c>
      <c r="H46" s="25" t="str">
        <f t="shared" si="3"/>
        <v>insert into ins_premium_det (premium_rcv_code,assorted_code, rec_amount,premium_rcv_detail_code,remaining_amt, payrec, mode_code,coinsurance_code,class_cd,it_remarks) values('20Aug240150','040000157816','1061',(select max(to_number(i.premium_rcv_detail_code))+1
from ins_premium_det i),'1061','1061','02', '11000003','00','Request by Mr. Saqib Saleem 21-Aug-2024 sheet4');</v>
      </c>
    </row>
    <row r="47" spans="1:8" ht="105" x14ac:dyDescent="0.25">
      <c r="A47" s="20" t="s">
        <v>613</v>
      </c>
      <c r="B47" s="22" t="str">
        <f>VLOOKUP(A47,[1]Sheet1!$B$2:$C$108,2,0)</f>
        <v>040000157817</v>
      </c>
      <c r="C47" s="19">
        <v>380</v>
      </c>
      <c r="D47" s="26">
        <f t="shared" si="1"/>
        <v>380</v>
      </c>
      <c r="E47" s="27" t="s">
        <v>676</v>
      </c>
      <c r="F47" s="23" t="str">
        <f t="shared" si="0"/>
        <v>insert into ins_premium_det (premium_rcv_code,assorted_code, rec_amount,premium_rcv_detail_code,remaining_amt, payrec, mode_code,coinsurance_code,class_cd,it_remarks) values</v>
      </c>
      <c r="G47" s="24" t="str">
        <f t="shared" si="2"/>
        <v>('20Aug240150','040000157817','380',(select max(to_number(i.premium_rcv_detail_code))+1
from ins_premium_det i),'380','380','02', '11000003','00','Request by Mr. Saqib Saleem 21-Aug-2024 sheet4');</v>
      </c>
      <c r="H47" s="25" t="str">
        <f t="shared" si="3"/>
        <v>insert into ins_premium_det (premium_rcv_code,assorted_code, rec_amount,premium_rcv_detail_code,remaining_amt, payrec, mode_code,coinsurance_code,class_cd,it_remarks) values('20Aug240150','040000157817','380',(select max(to_number(i.premium_rcv_detail_code))+1
from ins_premium_det i),'380','380','02', '11000003','00','Request by Mr. Saqib Saleem 21-Aug-2024 sheet4');</v>
      </c>
    </row>
    <row r="48" spans="1:8" ht="105" x14ac:dyDescent="0.25">
      <c r="A48" s="20" t="s">
        <v>614</v>
      </c>
      <c r="B48" s="22" t="str">
        <f>VLOOKUP(A48,[1]Sheet1!$B$2:$C$108,2,0)</f>
        <v>040000157818</v>
      </c>
      <c r="C48" s="19">
        <v>579</v>
      </c>
      <c r="D48" s="26">
        <f t="shared" si="1"/>
        <v>579</v>
      </c>
      <c r="E48" s="27" t="s">
        <v>676</v>
      </c>
      <c r="F48" s="23" t="str">
        <f t="shared" si="0"/>
        <v>insert into ins_premium_det (premium_rcv_code,assorted_code, rec_amount,premium_rcv_detail_code,remaining_amt, payrec, mode_code,coinsurance_code,class_cd,it_remarks) values</v>
      </c>
      <c r="G48" s="24" t="str">
        <f t="shared" si="2"/>
        <v>('20Aug240150','040000157818','579',(select max(to_number(i.premium_rcv_detail_code))+1
from ins_premium_det i),'579','579','02', '11000003','00','Request by Mr. Saqib Saleem 21-Aug-2024 sheet4');</v>
      </c>
      <c r="H48" s="25" t="str">
        <f t="shared" si="3"/>
        <v>insert into ins_premium_det (premium_rcv_code,assorted_code, rec_amount,premium_rcv_detail_code,remaining_amt, payrec, mode_code,coinsurance_code,class_cd,it_remarks) values('20Aug240150','040000157818','579',(select max(to_number(i.premium_rcv_detail_code))+1
from ins_premium_det i),'579','579','02', '11000003','00','Request by Mr. Saqib Saleem 21-Aug-2024 sheet4');</v>
      </c>
    </row>
    <row r="49" spans="1:8" ht="105" x14ac:dyDescent="0.25">
      <c r="A49" s="20" t="s">
        <v>615</v>
      </c>
      <c r="B49" s="22" t="str">
        <f>VLOOKUP(A49,[1]Sheet1!$B$2:$C$108,2,0)</f>
        <v>040000157819</v>
      </c>
      <c r="C49" s="19">
        <v>1132</v>
      </c>
      <c r="D49" s="26">
        <f t="shared" si="1"/>
        <v>1132</v>
      </c>
      <c r="E49" s="27" t="s">
        <v>676</v>
      </c>
      <c r="F49" s="23" t="str">
        <f t="shared" si="0"/>
        <v>insert into ins_premium_det (premium_rcv_code,assorted_code, rec_amount,premium_rcv_detail_code,remaining_amt, payrec, mode_code,coinsurance_code,class_cd,it_remarks) values</v>
      </c>
      <c r="G49" s="24" t="str">
        <f t="shared" si="2"/>
        <v>('20Aug240150','040000157819','1132',(select max(to_number(i.premium_rcv_detail_code))+1
from ins_premium_det i),'1132','1132','02', '11000003','00','Request by Mr. Saqib Saleem 21-Aug-2024 sheet4');</v>
      </c>
      <c r="H49" s="25" t="str">
        <f t="shared" si="3"/>
        <v>insert into ins_premium_det (premium_rcv_code,assorted_code, rec_amount,premium_rcv_detail_code,remaining_amt, payrec, mode_code,coinsurance_code,class_cd,it_remarks) values('20Aug240150','040000157819','1132',(select max(to_number(i.premium_rcv_detail_code))+1
from ins_premium_det i),'1132','1132','02', '11000003','00','Request by Mr. Saqib Saleem 21-Aug-2024 sheet4');</v>
      </c>
    </row>
    <row r="50" spans="1:8" ht="105" x14ac:dyDescent="0.25">
      <c r="A50" s="20" t="s">
        <v>616</v>
      </c>
      <c r="B50" s="22" t="str">
        <f>VLOOKUP(A50,[1]Sheet1!$B$2:$C$108,2,0)</f>
        <v>040000157820</v>
      </c>
      <c r="C50" s="19">
        <v>1261</v>
      </c>
      <c r="D50" s="26">
        <f t="shared" si="1"/>
        <v>1261</v>
      </c>
      <c r="E50" s="27" t="s">
        <v>676</v>
      </c>
      <c r="F50" s="23" t="str">
        <f t="shared" si="0"/>
        <v>insert into ins_premium_det (premium_rcv_code,assorted_code, rec_amount,premium_rcv_detail_code,remaining_amt, payrec, mode_code,coinsurance_code,class_cd,it_remarks) values</v>
      </c>
      <c r="G50" s="24" t="str">
        <f t="shared" si="2"/>
        <v>('20Aug240150','040000157820','1261',(select max(to_number(i.premium_rcv_detail_code))+1
from ins_premium_det i),'1261','1261','02', '11000003','00','Request by Mr. Saqib Saleem 21-Aug-2024 sheet4');</v>
      </c>
      <c r="H50" s="25" t="str">
        <f t="shared" si="3"/>
        <v>insert into ins_premium_det (premium_rcv_code,assorted_code, rec_amount,premium_rcv_detail_code,remaining_amt, payrec, mode_code,coinsurance_code,class_cd,it_remarks) values('20Aug240150','040000157820','1261',(select max(to_number(i.premium_rcv_detail_code))+1
from ins_premium_det i),'1261','1261','02', '11000003','00','Request by Mr. Saqib Saleem 21-Aug-2024 sheet4');</v>
      </c>
    </row>
    <row r="51" spans="1:8" ht="105" x14ac:dyDescent="0.25">
      <c r="A51" s="20" t="s">
        <v>617</v>
      </c>
      <c r="B51" s="22" t="str">
        <f>VLOOKUP(A51,[1]Sheet1!$B$2:$C$108,2,0)</f>
        <v>040000157821</v>
      </c>
      <c r="C51" s="19">
        <v>607</v>
      </c>
      <c r="D51" s="26">
        <f t="shared" si="1"/>
        <v>607</v>
      </c>
      <c r="E51" s="27" t="s">
        <v>676</v>
      </c>
      <c r="F51" s="23" t="str">
        <f t="shared" si="0"/>
        <v>insert into ins_premium_det (premium_rcv_code,assorted_code, rec_amount,premium_rcv_detail_code,remaining_amt, payrec, mode_code,coinsurance_code,class_cd,it_remarks) values</v>
      </c>
      <c r="G51" s="24" t="str">
        <f t="shared" si="2"/>
        <v>('20Aug240150','040000157821','607',(select max(to_number(i.premium_rcv_detail_code))+1
from ins_premium_det i),'607','607','02', '11000003','00','Request by Mr. Saqib Saleem 21-Aug-2024 sheet4');</v>
      </c>
      <c r="H51" s="25" t="str">
        <f t="shared" si="3"/>
        <v>insert into ins_premium_det (premium_rcv_code,assorted_code, rec_amount,premium_rcv_detail_code,remaining_amt, payrec, mode_code,coinsurance_code,class_cd,it_remarks) values('20Aug240150','040000157821','607',(select max(to_number(i.premium_rcv_detail_code))+1
from ins_premium_det i),'607','607','02', '11000003','00','Request by Mr. Saqib Saleem 21-Aug-2024 sheet4');</v>
      </c>
    </row>
    <row r="52" spans="1:8" ht="105" x14ac:dyDescent="0.25">
      <c r="A52" s="20" t="s">
        <v>618</v>
      </c>
      <c r="B52" s="22" t="str">
        <f>VLOOKUP(A52,[1]Sheet1!$B$2:$C$108,2,0)</f>
        <v>040000157822</v>
      </c>
      <c r="C52" s="19">
        <v>643</v>
      </c>
      <c r="D52" s="26">
        <f t="shared" si="1"/>
        <v>643</v>
      </c>
      <c r="E52" s="27" t="s">
        <v>676</v>
      </c>
      <c r="F52" s="23" t="str">
        <f t="shared" si="0"/>
        <v>insert into ins_premium_det (premium_rcv_code,assorted_code, rec_amount,premium_rcv_detail_code,remaining_amt, payrec, mode_code,coinsurance_code,class_cd,it_remarks) values</v>
      </c>
      <c r="G52" s="24" t="str">
        <f t="shared" si="2"/>
        <v>('20Aug240150','040000157822','643',(select max(to_number(i.premium_rcv_detail_code))+1
from ins_premium_det i),'643','643','02', '11000003','00','Request by Mr. Saqib Saleem 21-Aug-2024 sheet4');</v>
      </c>
      <c r="H52" s="25" t="str">
        <f t="shared" si="3"/>
        <v>insert into ins_premium_det (premium_rcv_code,assorted_code, rec_amount,premium_rcv_detail_code,remaining_amt, payrec, mode_code,coinsurance_code,class_cd,it_remarks) values('20Aug240150','040000157822','643',(select max(to_number(i.premium_rcv_detail_code))+1
from ins_premium_det i),'643','643','02', '11000003','00','Request by Mr. Saqib Saleem 21-Aug-2024 sheet4');</v>
      </c>
    </row>
    <row r="53" spans="1:8" ht="105" x14ac:dyDescent="0.25">
      <c r="A53" s="20" t="s">
        <v>619</v>
      </c>
      <c r="B53" s="22" t="str">
        <f>VLOOKUP(A53,[1]Sheet1!$B$2:$C$108,2,0)</f>
        <v>040000157823</v>
      </c>
      <c r="C53" s="19">
        <v>695</v>
      </c>
      <c r="D53" s="26">
        <f t="shared" si="1"/>
        <v>695</v>
      </c>
      <c r="E53" s="27" t="s">
        <v>676</v>
      </c>
      <c r="F53" s="23" t="str">
        <f t="shared" si="0"/>
        <v>insert into ins_premium_det (premium_rcv_code,assorted_code, rec_amount,premium_rcv_detail_code,remaining_amt, payrec, mode_code,coinsurance_code,class_cd,it_remarks) values</v>
      </c>
      <c r="G53" s="24" t="str">
        <f t="shared" si="2"/>
        <v>('20Aug240150','040000157823','695',(select max(to_number(i.premium_rcv_detail_code))+1
from ins_premium_det i),'695','695','02', '11000003','00','Request by Mr. Saqib Saleem 21-Aug-2024 sheet4');</v>
      </c>
      <c r="H53" s="25" t="str">
        <f t="shared" si="3"/>
        <v>insert into ins_premium_det (premium_rcv_code,assorted_code, rec_amount,premium_rcv_detail_code,remaining_amt, payrec, mode_code,coinsurance_code,class_cd,it_remarks) values('20Aug240150','040000157823','695',(select max(to_number(i.premium_rcv_detail_code))+1
from ins_premium_det i),'695','695','02', '11000003','00','Request by Mr. Saqib Saleem 21-Aug-2024 sheet4');</v>
      </c>
    </row>
    <row r="54" spans="1:8" ht="105" x14ac:dyDescent="0.25">
      <c r="A54" s="20" t="s">
        <v>620</v>
      </c>
      <c r="B54" s="22" t="str">
        <f>VLOOKUP(A54,[1]Sheet1!$B$2:$C$108,2,0)</f>
        <v>040000157824</v>
      </c>
      <c r="C54" s="19">
        <v>1757</v>
      </c>
      <c r="D54" s="26">
        <f t="shared" si="1"/>
        <v>1757</v>
      </c>
      <c r="E54" s="27" t="s">
        <v>676</v>
      </c>
      <c r="F54" s="23" t="str">
        <f t="shared" si="0"/>
        <v>insert into ins_premium_det (premium_rcv_code,assorted_code, rec_amount,premium_rcv_detail_code,remaining_amt, payrec, mode_code,coinsurance_code,class_cd,it_remarks) values</v>
      </c>
      <c r="G54" s="24" t="str">
        <f t="shared" si="2"/>
        <v>('20Aug240150','040000157824','1757',(select max(to_number(i.premium_rcv_detail_code))+1
from ins_premium_det i),'1757','1757','02', '11000003','00','Request by Mr. Saqib Saleem 21-Aug-2024 sheet4');</v>
      </c>
      <c r="H54" s="25" t="str">
        <f t="shared" si="3"/>
        <v>insert into ins_premium_det (premium_rcv_code,assorted_code, rec_amount,premium_rcv_detail_code,remaining_amt, payrec, mode_code,coinsurance_code,class_cd,it_remarks) values('20Aug240150','040000157824','1757',(select max(to_number(i.premium_rcv_detail_code))+1
from ins_premium_det i),'1757','1757','02', '11000003','00','Request by Mr. Saqib Saleem 21-Aug-2024 sheet4');</v>
      </c>
    </row>
    <row r="55" spans="1:8" ht="105" x14ac:dyDescent="0.25">
      <c r="A55" s="20" t="s">
        <v>621</v>
      </c>
      <c r="B55" s="22" t="str">
        <f>VLOOKUP(A55,[1]Sheet1!$B$2:$C$108,2,0)</f>
        <v>040000157825</v>
      </c>
      <c r="C55" s="19">
        <v>793</v>
      </c>
      <c r="D55" s="26">
        <f t="shared" si="1"/>
        <v>793</v>
      </c>
      <c r="E55" s="27" t="s">
        <v>676</v>
      </c>
      <c r="F55" s="23" t="str">
        <f t="shared" si="0"/>
        <v>insert into ins_premium_det (premium_rcv_code,assorted_code, rec_amount,premium_rcv_detail_code,remaining_amt, payrec, mode_code,coinsurance_code,class_cd,it_remarks) values</v>
      </c>
      <c r="G55" s="24" t="str">
        <f t="shared" si="2"/>
        <v>('20Aug240150','040000157825','793',(select max(to_number(i.premium_rcv_detail_code))+1
from ins_premium_det i),'793','793','02', '11000003','00','Request by Mr. Saqib Saleem 21-Aug-2024 sheet4');</v>
      </c>
      <c r="H55" s="25" t="str">
        <f t="shared" si="3"/>
        <v>insert into ins_premium_det (premium_rcv_code,assorted_code, rec_amount,premium_rcv_detail_code,remaining_amt, payrec, mode_code,coinsurance_code,class_cd,it_remarks) values('20Aug240150','040000157825','793',(select max(to_number(i.premium_rcv_detail_code))+1
from ins_premium_det i),'793','793','02', '11000003','00','Request by Mr. Saqib Saleem 21-Aug-2024 sheet4');</v>
      </c>
    </row>
    <row r="56" spans="1:8" ht="105" x14ac:dyDescent="0.25">
      <c r="A56" s="20" t="s">
        <v>622</v>
      </c>
      <c r="B56" s="22" t="str">
        <f>VLOOKUP(A56,[1]Sheet1!$B$2:$C$108,2,0)</f>
        <v>040000157826</v>
      </c>
      <c r="C56" s="19">
        <v>1297</v>
      </c>
      <c r="D56" s="26">
        <f t="shared" si="1"/>
        <v>1297</v>
      </c>
      <c r="E56" s="27" t="s">
        <v>676</v>
      </c>
      <c r="F56" s="23" t="str">
        <f t="shared" si="0"/>
        <v>insert into ins_premium_det (premium_rcv_code,assorted_code, rec_amount,premium_rcv_detail_code,remaining_amt, payrec, mode_code,coinsurance_code,class_cd,it_remarks) values</v>
      </c>
      <c r="G56" s="24" t="str">
        <f t="shared" si="2"/>
        <v>('20Aug240150','040000157826','1297',(select max(to_number(i.premium_rcv_detail_code))+1
from ins_premium_det i),'1297','1297','02', '11000003','00','Request by Mr. Saqib Saleem 21-Aug-2024 sheet4');</v>
      </c>
      <c r="H56" s="25" t="str">
        <f t="shared" si="3"/>
        <v>insert into ins_premium_det (premium_rcv_code,assorted_code, rec_amount,premium_rcv_detail_code,remaining_amt, payrec, mode_code,coinsurance_code,class_cd,it_remarks) values('20Aug240150','040000157826','1297',(select max(to_number(i.premium_rcv_detail_code))+1
from ins_premium_det i),'1297','1297','02', '11000003','00','Request by Mr. Saqib Saleem 21-Aug-2024 sheet4');</v>
      </c>
    </row>
    <row r="57" spans="1:8" ht="105" x14ac:dyDescent="0.25">
      <c r="A57" s="20" t="s">
        <v>623</v>
      </c>
      <c r="B57" s="22" t="str">
        <f>VLOOKUP(A57,[1]Sheet1!$B$2:$C$108,2,0)</f>
        <v>040000157827</v>
      </c>
      <c r="C57" s="19">
        <v>2029</v>
      </c>
      <c r="D57" s="26">
        <f t="shared" si="1"/>
        <v>2029</v>
      </c>
      <c r="E57" s="27" t="s">
        <v>676</v>
      </c>
      <c r="F57" s="23" t="str">
        <f t="shared" si="0"/>
        <v>insert into ins_premium_det (premium_rcv_code,assorted_code, rec_amount,premium_rcv_detail_code,remaining_amt, payrec, mode_code,coinsurance_code,class_cd,it_remarks) values</v>
      </c>
      <c r="G57" s="24" t="str">
        <f t="shared" si="2"/>
        <v>('20Aug240150','040000157827','2029',(select max(to_number(i.premium_rcv_detail_code))+1
from ins_premium_det i),'2029','2029','02', '11000003','00','Request by Mr. Saqib Saleem 21-Aug-2024 sheet4');</v>
      </c>
      <c r="H57" s="25" t="str">
        <f t="shared" si="3"/>
        <v>insert into ins_premium_det (premium_rcv_code,assorted_code, rec_amount,premium_rcv_detail_code,remaining_amt, payrec, mode_code,coinsurance_code,class_cd,it_remarks) values('20Aug240150','040000157827','2029',(select max(to_number(i.premium_rcv_detail_code))+1
from ins_premium_det i),'2029','2029','02', '11000003','00','Request by Mr. Saqib Saleem 21-Aug-2024 sheet4');</v>
      </c>
    </row>
    <row r="58" spans="1:8" ht="105" x14ac:dyDescent="0.25">
      <c r="A58" s="20" t="s">
        <v>624</v>
      </c>
      <c r="B58" s="22" t="str">
        <f>VLOOKUP(A58,[1]Sheet1!$B$2:$C$108,2,0)</f>
        <v>040000157828</v>
      </c>
      <c r="C58" s="19">
        <v>1336</v>
      </c>
      <c r="D58" s="26">
        <f t="shared" si="1"/>
        <v>1336</v>
      </c>
      <c r="E58" s="27" t="s">
        <v>676</v>
      </c>
      <c r="F58" s="23" t="str">
        <f t="shared" si="0"/>
        <v>insert into ins_premium_det (premium_rcv_code,assorted_code, rec_amount,premium_rcv_detail_code,remaining_amt, payrec, mode_code,coinsurance_code,class_cd,it_remarks) values</v>
      </c>
      <c r="G58" s="24" t="str">
        <f t="shared" si="2"/>
        <v>('20Aug240150','040000157828','1336',(select max(to_number(i.premium_rcv_detail_code))+1
from ins_premium_det i),'1336','1336','02', '11000003','00','Request by Mr. Saqib Saleem 21-Aug-2024 sheet4');</v>
      </c>
      <c r="H58" s="25" t="str">
        <f t="shared" si="3"/>
        <v>insert into ins_premium_det (premium_rcv_code,assorted_code, rec_amount,premium_rcv_detail_code,remaining_amt, payrec, mode_code,coinsurance_code,class_cd,it_remarks) values('20Aug240150','040000157828','1336',(select max(to_number(i.premium_rcv_detail_code))+1
from ins_premium_det i),'1336','1336','02', '11000003','00','Request by Mr. Saqib Saleem 21-Aug-2024 sheet4');</v>
      </c>
    </row>
    <row r="59" spans="1:8" ht="105" x14ac:dyDescent="0.25">
      <c r="A59" s="20" t="s">
        <v>625</v>
      </c>
      <c r="B59" s="22" t="str">
        <f>VLOOKUP(A59,[1]Sheet1!$B$2:$C$108,2,0)</f>
        <v>040000157829</v>
      </c>
      <c r="C59" s="19">
        <v>698</v>
      </c>
      <c r="D59" s="26">
        <f t="shared" si="1"/>
        <v>698</v>
      </c>
      <c r="E59" s="27" t="s">
        <v>676</v>
      </c>
      <c r="F59" s="23" t="str">
        <f t="shared" si="0"/>
        <v>insert into ins_premium_det (premium_rcv_code,assorted_code, rec_amount,premium_rcv_detail_code,remaining_amt, payrec, mode_code,coinsurance_code,class_cd,it_remarks) values</v>
      </c>
      <c r="G59" s="24" t="str">
        <f t="shared" si="2"/>
        <v>('20Aug240150','040000157829','698',(select max(to_number(i.premium_rcv_detail_code))+1
from ins_premium_det i),'698','698','02', '11000003','00','Request by Mr. Saqib Saleem 21-Aug-2024 sheet4');</v>
      </c>
      <c r="H59" s="25" t="str">
        <f t="shared" si="3"/>
        <v>insert into ins_premium_det (premium_rcv_code,assorted_code, rec_amount,premium_rcv_detail_code,remaining_amt, payrec, mode_code,coinsurance_code,class_cd,it_remarks) values('20Aug240150','040000157829','698',(select max(to_number(i.premium_rcv_detail_code))+1
from ins_premium_det i),'698','698','02', '11000003','00','Request by Mr. Saqib Saleem 21-Aug-2024 sheet4');</v>
      </c>
    </row>
    <row r="60" spans="1:8" ht="105" x14ac:dyDescent="0.25">
      <c r="A60" s="20" t="s">
        <v>626</v>
      </c>
      <c r="B60" s="22" t="str">
        <f>VLOOKUP(A60,[1]Sheet1!$B$2:$C$108,2,0)</f>
        <v>040000157830</v>
      </c>
      <c r="C60" s="19">
        <v>831</v>
      </c>
      <c r="D60" s="26">
        <f t="shared" si="1"/>
        <v>831</v>
      </c>
      <c r="E60" s="27" t="s">
        <v>676</v>
      </c>
      <c r="F60" s="23" t="str">
        <f t="shared" si="0"/>
        <v>insert into ins_premium_det (premium_rcv_code,assorted_code, rec_amount,premium_rcv_detail_code,remaining_amt, payrec, mode_code,coinsurance_code,class_cd,it_remarks) values</v>
      </c>
      <c r="G60" s="24" t="str">
        <f t="shared" si="2"/>
        <v>('20Aug240150','040000157830','831',(select max(to_number(i.premium_rcv_detail_code))+1
from ins_premium_det i),'831','831','02', '11000003','00','Request by Mr. Saqib Saleem 21-Aug-2024 sheet4');</v>
      </c>
      <c r="H60" s="25" t="str">
        <f t="shared" si="3"/>
        <v>insert into ins_premium_det (premium_rcv_code,assorted_code, rec_amount,premium_rcv_detail_code,remaining_amt, payrec, mode_code,coinsurance_code,class_cd,it_remarks) values('20Aug240150','040000157830','831',(select max(to_number(i.premium_rcv_detail_code))+1
from ins_premium_det i),'831','831','02', '11000003','00','Request by Mr. Saqib Saleem 21-Aug-2024 sheet4');</v>
      </c>
    </row>
    <row r="61" spans="1:8" ht="105" x14ac:dyDescent="0.25">
      <c r="A61" s="20" t="s">
        <v>627</v>
      </c>
      <c r="B61" s="22" t="str">
        <f>VLOOKUP(A61,[1]Sheet1!$B$2:$C$108,2,0)</f>
        <v>040000157831</v>
      </c>
      <c r="C61" s="19">
        <v>1261</v>
      </c>
      <c r="D61" s="26">
        <f t="shared" si="1"/>
        <v>1261</v>
      </c>
      <c r="E61" s="27" t="s">
        <v>676</v>
      </c>
      <c r="F61" s="23" t="str">
        <f t="shared" si="0"/>
        <v>insert into ins_premium_det (premium_rcv_code,assorted_code, rec_amount,premium_rcv_detail_code,remaining_amt, payrec, mode_code,coinsurance_code,class_cd,it_remarks) values</v>
      </c>
      <c r="G61" s="24" t="str">
        <f t="shared" si="2"/>
        <v>('20Aug240150','040000157831','1261',(select max(to_number(i.premium_rcv_detail_code))+1
from ins_premium_det i),'1261','1261','02', '11000003','00','Request by Mr. Saqib Saleem 21-Aug-2024 sheet4');</v>
      </c>
      <c r="H61" s="25" t="str">
        <f t="shared" si="3"/>
        <v>insert into ins_premium_det (premium_rcv_code,assorted_code, rec_amount,premium_rcv_detail_code,remaining_amt, payrec, mode_code,coinsurance_code,class_cd,it_remarks) values('20Aug240150','040000157831','1261',(select max(to_number(i.premium_rcv_detail_code))+1
from ins_premium_det i),'1261','1261','02', '11000003','00','Request by Mr. Saqib Saleem 21-Aug-2024 sheet4');</v>
      </c>
    </row>
    <row r="62" spans="1:8" ht="105" x14ac:dyDescent="0.25">
      <c r="A62" s="20" t="s">
        <v>628</v>
      </c>
      <c r="B62" s="22" t="str">
        <f>VLOOKUP(A62,[1]Sheet1!$B$2:$C$108,2,0)</f>
        <v>040000157832</v>
      </c>
      <c r="C62" s="19">
        <v>380</v>
      </c>
      <c r="D62" s="26">
        <f t="shared" si="1"/>
        <v>380</v>
      </c>
      <c r="E62" s="27" t="s">
        <v>676</v>
      </c>
      <c r="F62" s="23" t="str">
        <f t="shared" si="0"/>
        <v>insert into ins_premium_det (premium_rcv_code,assorted_code, rec_amount,premium_rcv_detail_code,remaining_amt, payrec, mode_code,coinsurance_code,class_cd,it_remarks) values</v>
      </c>
      <c r="G62" s="24" t="str">
        <f t="shared" si="2"/>
        <v>('20Aug240150','040000157832','380',(select max(to_number(i.premium_rcv_detail_code))+1
from ins_premium_det i),'380','380','02', '11000003','00','Request by Mr. Saqib Saleem 21-Aug-2024 sheet4');</v>
      </c>
      <c r="H62" s="25" t="str">
        <f t="shared" si="3"/>
        <v>insert into ins_premium_det (premium_rcv_code,assorted_code, rec_amount,premium_rcv_detail_code,remaining_amt, payrec, mode_code,coinsurance_code,class_cd,it_remarks) values('20Aug240150','040000157832','380',(select max(to_number(i.premium_rcv_detail_code))+1
from ins_premium_det i),'380','380','02', '11000003','00','Request by Mr. Saqib Saleem 21-Aug-2024 sheet4');</v>
      </c>
    </row>
    <row r="63" spans="1:8" ht="105" x14ac:dyDescent="0.25">
      <c r="A63" s="20" t="s">
        <v>629</v>
      </c>
      <c r="B63" s="22" t="str">
        <f>VLOOKUP(A63,[1]Sheet1!$B$2:$C$108,2,0)</f>
        <v>040000157833</v>
      </c>
      <c r="C63" s="19">
        <v>847</v>
      </c>
      <c r="D63" s="26">
        <f t="shared" si="1"/>
        <v>847</v>
      </c>
      <c r="E63" s="27" t="s">
        <v>676</v>
      </c>
      <c r="F63" s="23" t="str">
        <f t="shared" si="0"/>
        <v>insert into ins_premium_det (premium_rcv_code,assorted_code, rec_amount,premium_rcv_detail_code,remaining_amt, payrec, mode_code,coinsurance_code,class_cd,it_remarks) values</v>
      </c>
      <c r="G63" s="24" t="str">
        <f t="shared" si="2"/>
        <v>('20Aug240150','040000157833','847',(select max(to_number(i.premium_rcv_detail_code))+1
from ins_premium_det i),'847','847','02', '11000003','00','Request by Mr. Saqib Saleem 21-Aug-2024 sheet4');</v>
      </c>
      <c r="H63" s="25" t="str">
        <f t="shared" si="3"/>
        <v>insert into ins_premium_det (premium_rcv_code,assorted_code, rec_amount,premium_rcv_detail_code,remaining_amt, payrec, mode_code,coinsurance_code,class_cd,it_remarks) values('20Aug240150','040000157833','847',(select max(to_number(i.premium_rcv_detail_code))+1
from ins_premium_det i),'847','847','02', '11000003','00','Request by Mr. Saqib Saleem 21-Aug-2024 sheet4');</v>
      </c>
    </row>
    <row r="64" spans="1:8" ht="105" x14ac:dyDescent="0.25">
      <c r="A64" s="20" t="s">
        <v>630</v>
      </c>
      <c r="B64" s="22" t="str">
        <f>VLOOKUP(A64,[1]Sheet1!$B$2:$C$108,2,0)</f>
        <v>040000157834</v>
      </c>
      <c r="C64" s="19">
        <v>607</v>
      </c>
      <c r="D64" s="26">
        <f t="shared" si="1"/>
        <v>607</v>
      </c>
      <c r="E64" s="27" t="s">
        <v>676</v>
      </c>
      <c r="F64" s="23" t="str">
        <f t="shared" si="0"/>
        <v>insert into ins_premium_det (premium_rcv_code,assorted_code, rec_amount,premium_rcv_detail_code,remaining_amt, payrec, mode_code,coinsurance_code,class_cd,it_remarks) values</v>
      </c>
      <c r="G64" s="24" t="str">
        <f t="shared" si="2"/>
        <v>('20Aug240150','040000157834','607',(select max(to_number(i.premium_rcv_detail_code))+1
from ins_premium_det i),'607','607','02', '11000003','00','Request by Mr. Saqib Saleem 21-Aug-2024 sheet4');</v>
      </c>
      <c r="H64" s="25" t="str">
        <f t="shared" si="3"/>
        <v>insert into ins_premium_det (premium_rcv_code,assorted_code, rec_amount,premium_rcv_detail_code,remaining_amt, payrec, mode_code,coinsurance_code,class_cd,it_remarks) values('20Aug240150','040000157834','607',(select max(to_number(i.premium_rcv_detail_code))+1
from ins_premium_det i),'607','607','02', '11000003','00','Request by Mr. Saqib Saleem 21-Aug-2024 sheet4');</v>
      </c>
    </row>
    <row r="65" spans="1:8" ht="105" x14ac:dyDescent="0.25">
      <c r="A65" s="20" t="s">
        <v>631</v>
      </c>
      <c r="B65" s="22" t="str">
        <f>VLOOKUP(A65,[1]Sheet1!$B$2:$C$108,2,0)</f>
        <v>040000157835</v>
      </c>
      <c r="C65" s="19">
        <v>657</v>
      </c>
      <c r="D65" s="26">
        <f t="shared" si="1"/>
        <v>657</v>
      </c>
      <c r="E65" s="27" t="s">
        <v>676</v>
      </c>
      <c r="F65" s="23" t="str">
        <f t="shared" ref="F65:F107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5" s="24" t="str">
        <f t="shared" si="2"/>
        <v>('20Aug240150','040000157835','657',(select max(to_number(i.premium_rcv_detail_code))+1
from ins_premium_det i),'657','657','02', '11000003','00','Request by Mr. Saqib Saleem 21-Aug-2024 sheet4');</v>
      </c>
      <c r="H65" s="25" t="str">
        <f t="shared" si="3"/>
        <v>insert into ins_premium_det (premium_rcv_code,assorted_code, rec_amount,premium_rcv_detail_code,remaining_amt, payrec, mode_code,coinsurance_code,class_cd,it_remarks) values('20Aug240150','040000157835','657',(select max(to_number(i.premium_rcv_detail_code))+1
from ins_premium_det i),'657','657','02', '11000003','00','Request by Mr. Saqib Saleem 21-Aug-2024 sheet4');</v>
      </c>
    </row>
    <row r="66" spans="1:8" ht="105" x14ac:dyDescent="0.25">
      <c r="A66" s="20" t="s">
        <v>632</v>
      </c>
      <c r="B66" s="22" t="str">
        <f>VLOOKUP(A66,[1]Sheet1!$B$2:$C$108,2,0)</f>
        <v>040000157836</v>
      </c>
      <c r="C66" s="19">
        <v>637</v>
      </c>
      <c r="D66" s="26">
        <f t="shared" ref="D66:D107" si="5">ROUND(C66,0)</f>
        <v>637</v>
      </c>
      <c r="E66" s="27" t="s">
        <v>676</v>
      </c>
      <c r="F66" s="23" t="str">
        <f t="shared" si="4"/>
        <v>insert into ins_premium_det (premium_rcv_code,assorted_code, rec_amount,premium_rcv_detail_code,remaining_amt, payrec, mode_code,coinsurance_code,class_cd,it_remarks) values</v>
      </c>
      <c r="G66" s="24" t="str">
        <f t="shared" ref="G66:G107" si="6">"('"&amp;E66&amp;"','"&amp;B66&amp;"','"&amp;D66&amp;"',(select max(to_number(i.premium_rcv_detail_code))+1
from ins_premium_det i),'"&amp;D66&amp;"','"&amp;D66&amp;"','02', '11000003','00','Request by Mr. Saqib Saleem 21-Aug-2024 sheet4');"</f>
        <v>('20Aug240150','040000157836','637',(select max(to_number(i.premium_rcv_detail_code))+1
from ins_premium_det i),'637','637','02', '11000003','00','Request by Mr. Saqib Saleem 21-Aug-2024 sheet4');</v>
      </c>
      <c r="H66" s="25" t="str">
        <f t="shared" ref="H66:H107" si="7">F66&amp;G66</f>
        <v>insert into ins_premium_det (premium_rcv_code,assorted_code, rec_amount,premium_rcv_detail_code,remaining_amt, payrec, mode_code,coinsurance_code,class_cd,it_remarks) values('20Aug240150','040000157836','637',(select max(to_number(i.premium_rcv_detail_code))+1
from ins_premium_det i),'637','637','02', '11000003','00','Request by Mr. Saqib Saleem 21-Aug-2024 sheet4');</v>
      </c>
    </row>
    <row r="67" spans="1:8" ht="105" x14ac:dyDescent="0.25">
      <c r="A67" s="20" t="s">
        <v>633</v>
      </c>
      <c r="B67" s="22" t="str">
        <f>VLOOKUP(A67,[1]Sheet1!$B$2:$C$108,2,0)</f>
        <v>040000157837</v>
      </c>
      <c r="C67" s="19">
        <v>1829</v>
      </c>
      <c r="D67" s="26">
        <f t="shared" si="5"/>
        <v>1829</v>
      </c>
      <c r="E67" s="27" t="s">
        <v>676</v>
      </c>
      <c r="F67" s="23" t="str">
        <f t="shared" si="4"/>
        <v>insert into ins_premium_det (premium_rcv_code,assorted_code, rec_amount,premium_rcv_detail_code,remaining_amt, payrec, mode_code,coinsurance_code,class_cd,it_remarks) values</v>
      </c>
      <c r="G67" s="24" t="str">
        <f t="shared" si="6"/>
        <v>('20Aug240150','040000157837','1829',(select max(to_number(i.premium_rcv_detail_code))+1
from ins_premium_det i),'1829','1829','02', '11000003','00','Request by Mr. Saqib Saleem 21-Aug-2024 sheet4');</v>
      </c>
      <c r="H67" s="25" t="str">
        <f t="shared" si="7"/>
        <v>insert into ins_premium_det (premium_rcv_code,assorted_code, rec_amount,premium_rcv_detail_code,remaining_amt, payrec, mode_code,coinsurance_code,class_cd,it_remarks) values('20Aug240150','040000157837','1829',(select max(to_number(i.premium_rcv_detail_code))+1
from ins_premium_det i),'1829','1829','02', '11000003','00','Request by Mr. Saqib Saleem 21-Aug-2024 sheet4');</v>
      </c>
    </row>
    <row r="68" spans="1:8" ht="105" x14ac:dyDescent="0.25">
      <c r="A68" s="20" t="s">
        <v>634</v>
      </c>
      <c r="B68" s="22" t="str">
        <f>VLOOKUP(A68,[1]Sheet1!$B$2:$C$108,2,0)</f>
        <v>040000157838</v>
      </c>
      <c r="C68" s="19">
        <v>387</v>
      </c>
      <c r="D68" s="26">
        <f t="shared" si="5"/>
        <v>387</v>
      </c>
      <c r="E68" s="27" t="s">
        <v>676</v>
      </c>
      <c r="F68" s="23" t="str">
        <f t="shared" si="4"/>
        <v>insert into ins_premium_det (premium_rcv_code,assorted_code, rec_amount,premium_rcv_detail_code,remaining_amt, payrec, mode_code,coinsurance_code,class_cd,it_remarks) values</v>
      </c>
      <c r="G68" s="24" t="str">
        <f t="shared" si="6"/>
        <v>('20Aug240150','040000157838','387',(select max(to_number(i.premium_rcv_detail_code))+1
from ins_premium_det i),'387','387','02', '11000003','00','Request by Mr. Saqib Saleem 21-Aug-2024 sheet4');</v>
      </c>
      <c r="H68" s="25" t="str">
        <f t="shared" si="7"/>
        <v>insert into ins_premium_det (premium_rcv_code,assorted_code, rec_amount,premium_rcv_detail_code,remaining_amt, payrec, mode_code,coinsurance_code,class_cd,it_remarks) values('20Aug240150','040000157838','387',(select max(to_number(i.premium_rcv_detail_code))+1
from ins_premium_det i),'387','387','02', '11000003','00','Request by Mr. Saqib Saleem 21-Aug-2024 sheet4');</v>
      </c>
    </row>
    <row r="69" spans="1:8" ht="105" x14ac:dyDescent="0.25">
      <c r="A69" s="20" t="s">
        <v>635</v>
      </c>
      <c r="B69" s="22" t="str">
        <f>VLOOKUP(A69,[1]Sheet1!$B$2:$C$108,2,0)</f>
        <v>040000157839</v>
      </c>
      <c r="C69" s="19">
        <v>962</v>
      </c>
      <c r="D69" s="26">
        <f t="shared" si="5"/>
        <v>962</v>
      </c>
      <c r="E69" s="27" t="s">
        <v>676</v>
      </c>
      <c r="F69" s="23" t="str">
        <f t="shared" si="4"/>
        <v>insert into ins_premium_det (premium_rcv_code,assorted_code, rec_amount,premium_rcv_detail_code,remaining_amt, payrec, mode_code,coinsurance_code,class_cd,it_remarks) values</v>
      </c>
      <c r="G69" s="24" t="str">
        <f t="shared" si="6"/>
        <v>('20Aug240150','040000157839','962',(select max(to_number(i.premium_rcv_detail_code))+1
from ins_premium_det i),'962','962','02', '11000003','00','Request by Mr. Saqib Saleem 21-Aug-2024 sheet4');</v>
      </c>
      <c r="H69" s="25" t="str">
        <f t="shared" si="7"/>
        <v>insert into ins_premium_det (premium_rcv_code,assorted_code, rec_amount,premium_rcv_detail_code,remaining_amt, payrec, mode_code,coinsurance_code,class_cd,it_remarks) values('20Aug240150','040000157839','962',(select max(to_number(i.premium_rcv_detail_code))+1
from ins_premium_det i),'962','962','02', '11000003','00','Request by Mr. Saqib Saleem 21-Aug-2024 sheet4');</v>
      </c>
    </row>
    <row r="70" spans="1:8" ht="105" x14ac:dyDescent="0.25">
      <c r="A70" s="20" t="s">
        <v>636</v>
      </c>
      <c r="B70" s="22" t="str">
        <f>VLOOKUP(A70,[1]Sheet1!$B$2:$C$108,2,0)</f>
        <v>040000157840</v>
      </c>
      <c r="C70" s="19">
        <v>6502</v>
      </c>
      <c r="D70" s="26">
        <f t="shared" si="5"/>
        <v>6502</v>
      </c>
      <c r="E70" s="27" t="s">
        <v>676</v>
      </c>
      <c r="F70" s="23" t="str">
        <f t="shared" si="4"/>
        <v>insert into ins_premium_det (premium_rcv_code,assorted_code, rec_amount,premium_rcv_detail_code,remaining_amt, payrec, mode_code,coinsurance_code,class_cd,it_remarks) values</v>
      </c>
      <c r="G70" s="24" t="str">
        <f t="shared" si="6"/>
        <v>('20Aug240150','040000157840','6502',(select max(to_number(i.premium_rcv_detail_code))+1
from ins_premium_det i),'6502','6502','02', '11000003','00','Request by Mr. Saqib Saleem 21-Aug-2024 sheet4');</v>
      </c>
      <c r="H70" s="25" t="str">
        <f t="shared" si="7"/>
        <v>insert into ins_premium_det (premium_rcv_code,assorted_code, rec_amount,premium_rcv_detail_code,remaining_amt, payrec, mode_code,coinsurance_code,class_cd,it_remarks) values('20Aug240150','040000157840','6502',(select max(to_number(i.premium_rcv_detail_code))+1
from ins_premium_det i),'6502','6502','02', '11000003','00','Request by Mr. Saqib Saleem 21-Aug-2024 sheet4');</v>
      </c>
    </row>
    <row r="71" spans="1:8" ht="105" x14ac:dyDescent="0.25">
      <c r="A71" s="20" t="s">
        <v>637</v>
      </c>
      <c r="B71" s="22" t="str">
        <f>VLOOKUP(A71,[1]Sheet1!$B$2:$C$108,2,0)</f>
        <v>040000157841</v>
      </c>
      <c r="C71" s="19">
        <v>1404</v>
      </c>
      <c r="D71" s="26">
        <f t="shared" si="5"/>
        <v>1404</v>
      </c>
      <c r="E71" s="27" t="s">
        <v>676</v>
      </c>
      <c r="F71" s="23" t="str">
        <f t="shared" si="4"/>
        <v>insert into ins_premium_det (premium_rcv_code,assorted_code, rec_amount,premium_rcv_detail_code,remaining_amt, payrec, mode_code,coinsurance_code,class_cd,it_remarks) values</v>
      </c>
      <c r="G71" s="24" t="str">
        <f t="shared" si="6"/>
        <v>('20Aug240150','040000157841','1404',(select max(to_number(i.premium_rcv_detail_code))+1
from ins_premium_det i),'1404','1404','02', '11000003','00','Request by Mr. Saqib Saleem 21-Aug-2024 sheet4');</v>
      </c>
      <c r="H71" s="25" t="str">
        <f t="shared" si="7"/>
        <v>insert into ins_premium_det (premium_rcv_code,assorted_code, rec_amount,premium_rcv_detail_code,remaining_amt, payrec, mode_code,coinsurance_code,class_cd,it_remarks) values('20Aug240150','040000157841','1404',(select max(to_number(i.premium_rcv_detail_code))+1
from ins_premium_det i),'1404','1404','02', '11000003','00','Request by Mr. Saqib Saleem 21-Aug-2024 sheet4');</v>
      </c>
    </row>
    <row r="72" spans="1:8" ht="105" x14ac:dyDescent="0.25">
      <c r="A72" s="20" t="s">
        <v>638</v>
      </c>
      <c r="B72" s="22" t="str">
        <f>VLOOKUP(A72,[1]Sheet1!$B$2:$C$108,2,0)</f>
        <v>040000157842</v>
      </c>
      <c r="C72" s="19">
        <v>1288</v>
      </c>
      <c r="D72" s="26">
        <f t="shared" si="5"/>
        <v>1288</v>
      </c>
      <c r="E72" s="27" t="s">
        <v>676</v>
      </c>
      <c r="F72" s="23" t="str">
        <f t="shared" si="4"/>
        <v>insert into ins_premium_det (premium_rcv_code,assorted_code, rec_amount,premium_rcv_detail_code,remaining_amt, payrec, mode_code,coinsurance_code,class_cd,it_remarks) values</v>
      </c>
      <c r="G72" s="24" t="str">
        <f t="shared" si="6"/>
        <v>('20Aug240150','040000157842','1288',(select max(to_number(i.premium_rcv_detail_code))+1
from ins_premium_det i),'1288','1288','02', '11000003','00','Request by Mr. Saqib Saleem 21-Aug-2024 sheet4');</v>
      </c>
      <c r="H72" s="25" t="str">
        <f t="shared" si="7"/>
        <v>insert into ins_premium_det (premium_rcv_code,assorted_code, rec_amount,premium_rcv_detail_code,remaining_amt, payrec, mode_code,coinsurance_code,class_cd,it_remarks) values('20Aug240150','040000157842','1288',(select max(to_number(i.premium_rcv_detail_code))+1
from ins_premium_det i),'1288','1288','02', '11000003','00','Request by Mr. Saqib Saleem 21-Aug-2024 sheet4');</v>
      </c>
    </row>
    <row r="73" spans="1:8" ht="105" x14ac:dyDescent="0.25">
      <c r="A73" s="20" t="s">
        <v>639</v>
      </c>
      <c r="B73" s="22" t="str">
        <f>VLOOKUP(A73,[1]Sheet1!$B$2:$C$108,2,0)</f>
        <v>040000157843</v>
      </c>
      <c r="C73" s="19">
        <v>1389</v>
      </c>
      <c r="D73" s="26">
        <f t="shared" si="5"/>
        <v>1389</v>
      </c>
      <c r="E73" s="27" t="s">
        <v>676</v>
      </c>
      <c r="F73" s="23" t="str">
        <f t="shared" si="4"/>
        <v>insert into ins_premium_det (premium_rcv_code,assorted_code, rec_amount,premium_rcv_detail_code,remaining_amt, payrec, mode_code,coinsurance_code,class_cd,it_remarks) values</v>
      </c>
      <c r="G73" s="24" t="str">
        <f t="shared" si="6"/>
        <v>('20Aug240150','040000157843','1389',(select max(to_number(i.premium_rcv_detail_code))+1
from ins_premium_det i),'1389','1389','02', '11000003','00','Request by Mr. Saqib Saleem 21-Aug-2024 sheet4');</v>
      </c>
      <c r="H73" s="25" t="str">
        <f t="shared" si="7"/>
        <v>insert into ins_premium_det (premium_rcv_code,assorted_code, rec_amount,premium_rcv_detail_code,remaining_amt, payrec, mode_code,coinsurance_code,class_cd,it_remarks) values('20Aug240150','040000157843','1389',(select max(to_number(i.premium_rcv_detail_code))+1
from ins_premium_det i),'1389','1389','02', '11000003','00','Request by Mr. Saqib Saleem 21-Aug-2024 sheet4');</v>
      </c>
    </row>
    <row r="74" spans="1:8" ht="105" x14ac:dyDescent="0.25">
      <c r="A74" s="20" t="s">
        <v>640</v>
      </c>
      <c r="B74" s="22" t="str">
        <f>VLOOKUP(A74,[1]Sheet1!$B$2:$C$108,2,0)</f>
        <v>040000157844</v>
      </c>
      <c r="C74" s="19">
        <v>481</v>
      </c>
      <c r="D74" s="26">
        <f t="shared" si="5"/>
        <v>481</v>
      </c>
      <c r="E74" s="27" t="s">
        <v>676</v>
      </c>
      <c r="F74" s="23" t="str">
        <f t="shared" si="4"/>
        <v>insert into ins_premium_det (premium_rcv_code,assorted_code, rec_amount,premium_rcv_detail_code,remaining_amt, payrec, mode_code,coinsurance_code,class_cd,it_remarks) values</v>
      </c>
      <c r="G74" s="24" t="str">
        <f t="shared" si="6"/>
        <v>('20Aug240150','040000157844','481',(select max(to_number(i.premium_rcv_detail_code))+1
from ins_premium_det i),'481','481','02', '11000003','00','Request by Mr. Saqib Saleem 21-Aug-2024 sheet4');</v>
      </c>
      <c r="H74" s="25" t="str">
        <f t="shared" si="7"/>
        <v>insert into ins_premium_det (premium_rcv_code,assorted_code, rec_amount,premium_rcv_detail_code,remaining_amt, payrec, mode_code,coinsurance_code,class_cd,it_remarks) values('20Aug240150','040000157844','481',(select max(to_number(i.premium_rcv_detail_code))+1
from ins_premium_det i),'481','481','02', '11000003','00','Request by Mr. Saqib Saleem 21-Aug-2024 sheet4');</v>
      </c>
    </row>
    <row r="75" spans="1:8" ht="105" x14ac:dyDescent="0.25">
      <c r="A75" s="20" t="s">
        <v>641</v>
      </c>
      <c r="B75" s="22" t="str">
        <f>VLOOKUP(A75,[1]Sheet1!$B$2:$C$108,2,0)</f>
        <v>040000157845</v>
      </c>
      <c r="C75" s="19">
        <v>548</v>
      </c>
      <c r="D75" s="26">
        <f t="shared" si="5"/>
        <v>548</v>
      </c>
      <c r="E75" s="27" t="s">
        <v>676</v>
      </c>
      <c r="F75" s="23" t="str">
        <f t="shared" si="4"/>
        <v>insert into ins_premium_det (premium_rcv_code,assorted_code, rec_amount,premium_rcv_detail_code,remaining_amt, payrec, mode_code,coinsurance_code,class_cd,it_remarks) values</v>
      </c>
      <c r="G75" s="24" t="str">
        <f t="shared" si="6"/>
        <v>('20Aug240150','040000157845','548',(select max(to_number(i.premium_rcv_detail_code))+1
from ins_premium_det i),'548','548','02', '11000003','00','Request by Mr. Saqib Saleem 21-Aug-2024 sheet4');</v>
      </c>
      <c r="H75" s="25" t="str">
        <f t="shared" si="7"/>
        <v>insert into ins_premium_det (premium_rcv_code,assorted_code, rec_amount,premium_rcv_detail_code,remaining_amt, payrec, mode_code,coinsurance_code,class_cd,it_remarks) values('20Aug240150','040000157845','548',(select max(to_number(i.premium_rcv_detail_code))+1
from ins_premium_det i),'548','548','02', '11000003','00','Request by Mr. Saqib Saleem 21-Aug-2024 sheet4');</v>
      </c>
    </row>
    <row r="76" spans="1:8" ht="105" x14ac:dyDescent="0.25">
      <c r="A76" s="20" t="s">
        <v>642</v>
      </c>
      <c r="B76" s="22" t="str">
        <f>VLOOKUP(A76,[1]Sheet1!$B$2:$C$108,2,0)</f>
        <v>040000157846</v>
      </c>
      <c r="C76" s="19">
        <v>608</v>
      </c>
      <c r="D76" s="26">
        <f t="shared" si="5"/>
        <v>608</v>
      </c>
      <c r="E76" s="27" t="s">
        <v>676</v>
      </c>
      <c r="F76" s="23" t="str">
        <f t="shared" si="4"/>
        <v>insert into ins_premium_det (premium_rcv_code,assorted_code, rec_amount,premium_rcv_detail_code,remaining_amt, payrec, mode_code,coinsurance_code,class_cd,it_remarks) values</v>
      </c>
      <c r="G76" s="24" t="str">
        <f t="shared" si="6"/>
        <v>('20Aug240150','040000157846','608',(select max(to_number(i.premium_rcv_detail_code))+1
from ins_premium_det i),'608','608','02', '11000003','00','Request by Mr. Saqib Saleem 21-Aug-2024 sheet4');</v>
      </c>
      <c r="H76" s="25" t="str">
        <f t="shared" si="7"/>
        <v>insert into ins_premium_det (premium_rcv_code,assorted_code, rec_amount,premium_rcv_detail_code,remaining_amt, payrec, mode_code,coinsurance_code,class_cd,it_remarks) values('20Aug240150','040000157846','608',(select max(to_number(i.premium_rcv_detail_code))+1
from ins_premium_det i),'608','608','02', '11000003','00','Request by Mr. Saqib Saleem 21-Aug-2024 sheet4');</v>
      </c>
    </row>
    <row r="77" spans="1:8" ht="105" x14ac:dyDescent="0.25">
      <c r="A77" s="20" t="s">
        <v>643</v>
      </c>
      <c r="B77" s="22" t="str">
        <f>VLOOKUP(A77,[1]Sheet1!$B$2:$C$108,2,0)</f>
        <v>040000157847</v>
      </c>
      <c r="C77" s="19">
        <v>1216</v>
      </c>
      <c r="D77" s="26">
        <f t="shared" si="5"/>
        <v>1216</v>
      </c>
      <c r="E77" s="27" t="s">
        <v>676</v>
      </c>
      <c r="F77" s="23" t="str">
        <f t="shared" si="4"/>
        <v>insert into ins_premium_det (premium_rcv_code,assorted_code, rec_amount,premium_rcv_detail_code,remaining_amt, payrec, mode_code,coinsurance_code,class_cd,it_remarks) values</v>
      </c>
      <c r="G77" s="24" t="str">
        <f t="shared" si="6"/>
        <v>('20Aug240150','040000157847','1216',(select max(to_number(i.premium_rcv_detail_code))+1
from ins_premium_det i),'1216','1216','02', '11000003','00','Request by Mr. Saqib Saleem 21-Aug-2024 sheet4');</v>
      </c>
      <c r="H77" s="25" t="str">
        <f t="shared" si="7"/>
        <v>insert into ins_premium_det (premium_rcv_code,assorted_code, rec_amount,premium_rcv_detail_code,remaining_amt, payrec, mode_code,coinsurance_code,class_cd,it_remarks) values('20Aug240150','040000157847','1216',(select max(to_number(i.premium_rcv_detail_code))+1
from ins_premium_det i),'1216','1216','02', '11000003','00','Request by Mr. Saqib Saleem 21-Aug-2024 sheet4');</v>
      </c>
    </row>
    <row r="78" spans="1:8" ht="105" x14ac:dyDescent="0.25">
      <c r="A78" s="20" t="s">
        <v>644</v>
      </c>
      <c r="B78" s="22" t="str">
        <f>VLOOKUP(A78,[1]Sheet1!$B$2:$C$108,2,0)</f>
        <v>040000157848</v>
      </c>
      <c r="C78" s="19">
        <v>902</v>
      </c>
      <c r="D78" s="26">
        <f t="shared" si="5"/>
        <v>902</v>
      </c>
      <c r="E78" s="27" t="s">
        <v>676</v>
      </c>
      <c r="F78" s="23" t="str">
        <f t="shared" si="4"/>
        <v>insert into ins_premium_det (premium_rcv_code,assorted_code, rec_amount,premium_rcv_detail_code,remaining_amt, payrec, mode_code,coinsurance_code,class_cd,it_remarks) values</v>
      </c>
      <c r="G78" s="24" t="str">
        <f t="shared" si="6"/>
        <v>('20Aug240150','040000157848','902',(select max(to_number(i.premium_rcv_detail_code))+1
from ins_premium_det i),'902','902','02', '11000003','00','Request by Mr. Saqib Saleem 21-Aug-2024 sheet4');</v>
      </c>
      <c r="H78" s="25" t="str">
        <f t="shared" si="7"/>
        <v>insert into ins_premium_det (premium_rcv_code,assorted_code, rec_amount,premium_rcv_detail_code,remaining_amt, payrec, mode_code,coinsurance_code,class_cd,it_remarks) values('20Aug240150','040000157848','902',(select max(to_number(i.premium_rcv_detail_code))+1
from ins_premium_det i),'902','902','02', '11000003','00','Request by Mr. Saqib Saleem 21-Aug-2024 sheet4');</v>
      </c>
    </row>
    <row r="79" spans="1:8" ht="105" x14ac:dyDescent="0.25">
      <c r="A79" s="20" t="s">
        <v>645</v>
      </c>
      <c r="B79" s="22" t="str">
        <f>VLOOKUP(A79,[1]Sheet1!$B$2:$C$108,2,0)</f>
        <v>040000157849</v>
      </c>
      <c r="C79" s="19">
        <v>1360</v>
      </c>
      <c r="D79" s="26">
        <f t="shared" si="5"/>
        <v>1360</v>
      </c>
      <c r="E79" s="27" t="s">
        <v>676</v>
      </c>
      <c r="F79" s="23" t="str">
        <f t="shared" si="4"/>
        <v>insert into ins_premium_det (premium_rcv_code,assorted_code, rec_amount,premium_rcv_detail_code,remaining_amt, payrec, mode_code,coinsurance_code,class_cd,it_remarks) values</v>
      </c>
      <c r="G79" s="24" t="str">
        <f t="shared" si="6"/>
        <v>('20Aug240150','040000157849','1360',(select max(to_number(i.premium_rcv_detail_code))+1
from ins_premium_det i),'1360','1360','02', '11000003','00','Request by Mr. Saqib Saleem 21-Aug-2024 sheet4');</v>
      </c>
      <c r="H79" s="25" t="str">
        <f t="shared" si="7"/>
        <v>insert into ins_premium_det (premium_rcv_code,assorted_code, rec_amount,premium_rcv_detail_code,remaining_amt, payrec, mode_code,coinsurance_code,class_cd,it_remarks) values('20Aug240150','040000157849','1360',(select max(to_number(i.premium_rcv_detail_code))+1
from ins_premium_det i),'1360','1360','02', '11000003','00','Request by Mr. Saqib Saleem 21-Aug-2024 sheet4');</v>
      </c>
    </row>
    <row r="80" spans="1:8" ht="105" x14ac:dyDescent="0.25">
      <c r="A80" s="20" t="s">
        <v>646</v>
      </c>
      <c r="B80" s="22" t="str">
        <f>VLOOKUP(A80,[1]Sheet1!$B$2:$C$108,2,0)</f>
        <v>040000157850</v>
      </c>
      <c r="C80" s="19">
        <v>850</v>
      </c>
      <c r="D80" s="26">
        <f t="shared" si="5"/>
        <v>850</v>
      </c>
      <c r="E80" s="27" t="s">
        <v>676</v>
      </c>
      <c r="F80" s="23" t="str">
        <f t="shared" si="4"/>
        <v>insert into ins_premium_det (premium_rcv_code,assorted_code, rec_amount,premium_rcv_detail_code,remaining_amt, payrec, mode_code,coinsurance_code,class_cd,it_remarks) values</v>
      </c>
      <c r="G80" s="24" t="str">
        <f t="shared" si="6"/>
        <v>('20Aug240150','040000157850','850',(select max(to_number(i.premium_rcv_detail_code))+1
from ins_premium_det i),'850','850','02', '11000003','00','Request by Mr. Saqib Saleem 21-Aug-2024 sheet4');</v>
      </c>
      <c r="H80" s="25" t="str">
        <f t="shared" si="7"/>
        <v>insert into ins_premium_det (premium_rcv_code,assorted_code, rec_amount,premium_rcv_detail_code,remaining_amt, payrec, mode_code,coinsurance_code,class_cd,it_remarks) values('20Aug240150','040000157850','850',(select max(to_number(i.premium_rcv_detail_code))+1
from ins_premium_det i),'850','850','02', '11000003','00','Request by Mr. Saqib Saleem 21-Aug-2024 sheet4');</v>
      </c>
    </row>
    <row r="81" spans="1:8" ht="105" x14ac:dyDescent="0.25">
      <c r="A81" s="20" t="s">
        <v>647</v>
      </c>
      <c r="B81" s="22" t="str">
        <f>VLOOKUP(A81,[1]Sheet1!$B$2:$C$108,2,0)</f>
        <v>040000157851</v>
      </c>
      <c r="C81" s="19">
        <v>1018</v>
      </c>
      <c r="D81" s="26">
        <f t="shared" si="5"/>
        <v>1018</v>
      </c>
      <c r="E81" s="27" t="s">
        <v>676</v>
      </c>
      <c r="F81" s="23" t="str">
        <f t="shared" si="4"/>
        <v>insert into ins_premium_det (premium_rcv_code,assorted_code, rec_amount,premium_rcv_detail_code,remaining_amt, payrec, mode_code,coinsurance_code,class_cd,it_remarks) values</v>
      </c>
      <c r="G81" s="24" t="str">
        <f t="shared" si="6"/>
        <v>('20Aug240150','040000157851','1018',(select max(to_number(i.premium_rcv_detail_code))+1
from ins_premium_det i),'1018','1018','02', '11000003','00','Request by Mr. Saqib Saleem 21-Aug-2024 sheet4');</v>
      </c>
      <c r="H81" s="25" t="str">
        <f t="shared" si="7"/>
        <v>insert into ins_premium_det (premium_rcv_code,assorted_code, rec_amount,premium_rcv_detail_code,remaining_amt, payrec, mode_code,coinsurance_code,class_cd,it_remarks) values('20Aug240150','040000157851','1018',(select max(to_number(i.premium_rcv_detail_code))+1
from ins_premium_det i),'1018','1018','02', '11000003','00','Request by Mr. Saqib Saleem 21-Aug-2024 sheet4');</v>
      </c>
    </row>
    <row r="82" spans="1:8" ht="105" x14ac:dyDescent="0.25">
      <c r="A82" s="20" t="s">
        <v>648</v>
      </c>
      <c r="B82" s="22" t="str">
        <f>VLOOKUP(A82,[1]Sheet1!$B$2:$C$108,2,0)</f>
        <v>040000157852</v>
      </c>
      <c r="C82" s="19">
        <v>701</v>
      </c>
      <c r="D82" s="26">
        <f t="shared" si="5"/>
        <v>701</v>
      </c>
      <c r="E82" s="27" t="s">
        <v>676</v>
      </c>
      <c r="F82" s="23" t="str">
        <f t="shared" si="4"/>
        <v>insert into ins_premium_det (premium_rcv_code,assorted_code, rec_amount,premium_rcv_detail_code,remaining_amt, payrec, mode_code,coinsurance_code,class_cd,it_remarks) values</v>
      </c>
      <c r="G82" s="24" t="str">
        <f t="shared" si="6"/>
        <v>('20Aug240150','040000157852','701',(select max(to_number(i.premium_rcv_detail_code))+1
from ins_premium_det i),'701','701','02', '11000003','00','Request by Mr. Saqib Saleem 21-Aug-2024 sheet4');</v>
      </c>
      <c r="H82" s="25" t="str">
        <f t="shared" si="7"/>
        <v>insert into ins_premium_det (premium_rcv_code,assorted_code, rec_amount,premium_rcv_detail_code,remaining_amt, payrec, mode_code,coinsurance_code,class_cd,it_remarks) values('20Aug240150','040000157852','701',(select max(to_number(i.premium_rcv_detail_code))+1
from ins_premium_det i),'701','701','02', '11000003','00','Request by Mr. Saqib Saleem 21-Aug-2024 sheet4');</v>
      </c>
    </row>
    <row r="83" spans="1:8" ht="105" x14ac:dyDescent="0.25">
      <c r="A83" s="20" t="s">
        <v>649</v>
      </c>
      <c r="B83" s="22" t="str">
        <f>VLOOKUP(A83,[1]Sheet1!$B$2:$C$108,2,0)</f>
        <v>040000157853</v>
      </c>
      <c r="C83" s="19">
        <v>6138</v>
      </c>
      <c r="D83" s="26">
        <f t="shared" si="5"/>
        <v>6138</v>
      </c>
      <c r="E83" s="27" t="s">
        <v>676</v>
      </c>
      <c r="F83" s="23" t="str">
        <f t="shared" si="4"/>
        <v>insert into ins_premium_det (premium_rcv_code,assorted_code, rec_amount,premium_rcv_detail_code,remaining_amt, payrec, mode_code,coinsurance_code,class_cd,it_remarks) values</v>
      </c>
      <c r="G83" s="24" t="str">
        <f t="shared" si="6"/>
        <v>('20Aug240150','040000157853','6138',(select max(to_number(i.premium_rcv_detail_code))+1
from ins_premium_det i),'6138','6138','02', '11000003','00','Request by Mr. Saqib Saleem 21-Aug-2024 sheet4');</v>
      </c>
      <c r="H83" s="25" t="str">
        <f t="shared" si="7"/>
        <v>insert into ins_premium_det (premium_rcv_code,assorted_code, rec_amount,premium_rcv_detail_code,remaining_amt, payrec, mode_code,coinsurance_code,class_cd,it_remarks) values('20Aug240150','040000157853','6138',(select max(to_number(i.premium_rcv_detail_code))+1
from ins_premium_det i),'6138','6138','02', '11000003','00','Request by Mr. Saqib Saleem 21-Aug-2024 sheet4');</v>
      </c>
    </row>
    <row r="84" spans="1:8" ht="105" x14ac:dyDescent="0.25">
      <c r="A84" s="20" t="s">
        <v>650</v>
      </c>
      <c r="B84" s="22" t="str">
        <f>VLOOKUP(A84,[1]Sheet1!$B$2:$C$108,2,0)</f>
        <v>040000157854</v>
      </c>
      <c r="C84" s="19">
        <v>1297</v>
      </c>
      <c r="D84" s="26">
        <f t="shared" si="5"/>
        <v>1297</v>
      </c>
      <c r="E84" s="27" t="s">
        <v>676</v>
      </c>
      <c r="F84" s="23" t="str">
        <f t="shared" si="4"/>
        <v>insert into ins_premium_det (premium_rcv_code,assorted_code, rec_amount,premium_rcv_detail_code,remaining_amt, payrec, mode_code,coinsurance_code,class_cd,it_remarks) values</v>
      </c>
      <c r="G84" s="24" t="str">
        <f t="shared" si="6"/>
        <v>('20Aug240150','040000157854','1297',(select max(to_number(i.premium_rcv_detail_code))+1
from ins_premium_det i),'1297','1297','02', '11000003','00','Request by Mr. Saqib Saleem 21-Aug-2024 sheet4');</v>
      </c>
      <c r="H84" s="25" t="str">
        <f t="shared" si="7"/>
        <v>insert into ins_premium_det (premium_rcv_code,assorted_code, rec_amount,premium_rcv_detail_code,remaining_amt, payrec, mode_code,coinsurance_code,class_cd,it_remarks) values('20Aug240150','040000157854','1297',(select max(to_number(i.premium_rcv_detail_code))+1
from ins_premium_det i),'1297','1297','02', '11000003','00','Request by Mr. Saqib Saleem 21-Aug-2024 sheet4');</v>
      </c>
    </row>
    <row r="85" spans="1:8" ht="105" x14ac:dyDescent="0.25">
      <c r="A85" s="20" t="s">
        <v>651</v>
      </c>
      <c r="B85" s="22" t="str">
        <f>VLOOKUP(A85,[1]Sheet1!$B$2:$C$108,2,0)</f>
        <v>040000157855</v>
      </c>
      <c r="C85" s="19">
        <v>665</v>
      </c>
      <c r="D85" s="26">
        <f t="shared" si="5"/>
        <v>665</v>
      </c>
      <c r="E85" s="27" t="s">
        <v>676</v>
      </c>
      <c r="F85" s="23" t="str">
        <f t="shared" si="4"/>
        <v>insert into ins_premium_det (premium_rcv_code,assorted_code, rec_amount,premium_rcv_detail_code,remaining_amt, payrec, mode_code,coinsurance_code,class_cd,it_remarks) values</v>
      </c>
      <c r="G85" s="24" t="str">
        <f t="shared" si="6"/>
        <v>('20Aug240150','040000157855','665',(select max(to_number(i.premium_rcv_detail_code))+1
from ins_premium_det i),'665','665','02', '11000003','00','Request by Mr. Saqib Saleem 21-Aug-2024 sheet4');</v>
      </c>
      <c r="H85" s="25" t="str">
        <f t="shared" si="7"/>
        <v>insert into ins_premium_det (premium_rcv_code,assorted_code, rec_amount,premium_rcv_detail_code,remaining_amt, payrec, mode_code,coinsurance_code,class_cd,it_remarks) values('20Aug240150','040000157855','665',(select max(to_number(i.premium_rcv_detail_code))+1
from ins_premium_det i),'665','665','02', '11000003','00','Request by Mr. Saqib Saleem 21-Aug-2024 sheet4');</v>
      </c>
    </row>
    <row r="86" spans="1:8" ht="105" x14ac:dyDescent="0.25">
      <c r="A86" s="20" t="s">
        <v>652</v>
      </c>
      <c r="B86" s="22" t="str">
        <f>VLOOKUP(A86,[1]Sheet1!$B$2:$C$108,2,0)</f>
        <v>040000157856</v>
      </c>
      <c r="C86" s="19">
        <v>4594</v>
      </c>
      <c r="D86" s="26">
        <f t="shared" si="5"/>
        <v>4594</v>
      </c>
      <c r="E86" s="27" t="s">
        <v>676</v>
      </c>
      <c r="F86" s="23" t="str">
        <f t="shared" si="4"/>
        <v>insert into ins_premium_det (premium_rcv_code,assorted_code, rec_amount,premium_rcv_detail_code,remaining_amt, payrec, mode_code,coinsurance_code,class_cd,it_remarks) values</v>
      </c>
      <c r="G86" s="24" t="str">
        <f t="shared" si="6"/>
        <v>('20Aug240150','040000157856','4594',(select max(to_number(i.premium_rcv_detail_code))+1
from ins_premium_det i),'4594','4594','02', '11000003','00','Request by Mr. Saqib Saleem 21-Aug-2024 sheet4');</v>
      </c>
      <c r="H86" s="25" t="str">
        <f t="shared" si="7"/>
        <v>insert into ins_premium_det (premium_rcv_code,assorted_code, rec_amount,premium_rcv_detail_code,remaining_amt, payrec, mode_code,coinsurance_code,class_cd,it_remarks) values('20Aug240150','040000157856','4594',(select max(to_number(i.premium_rcv_detail_code))+1
from ins_premium_det i),'4594','4594','02', '11000003','00','Request by Mr. Saqib Saleem 21-Aug-2024 sheet4');</v>
      </c>
    </row>
    <row r="87" spans="1:8" ht="105" x14ac:dyDescent="0.25">
      <c r="A87" s="20" t="s">
        <v>653</v>
      </c>
      <c r="B87" s="22" t="str">
        <f>VLOOKUP(A87,[1]Sheet1!$B$2:$C$108,2,0)</f>
        <v>040000157857</v>
      </c>
      <c r="C87" s="19">
        <v>554</v>
      </c>
      <c r="D87" s="26">
        <f t="shared" si="5"/>
        <v>554</v>
      </c>
      <c r="E87" s="27" t="s">
        <v>676</v>
      </c>
      <c r="F87" s="23" t="str">
        <f t="shared" si="4"/>
        <v>insert into ins_premium_det (premium_rcv_code,assorted_code, rec_amount,premium_rcv_detail_code,remaining_amt, payrec, mode_code,coinsurance_code,class_cd,it_remarks) values</v>
      </c>
      <c r="G87" s="24" t="str">
        <f t="shared" si="6"/>
        <v>('20Aug240150','040000157857','554',(select max(to_number(i.premium_rcv_detail_code))+1
from ins_premium_det i),'554','554','02', '11000003','00','Request by Mr. Saqib Saleem 21-Aug-2024 sheet4');</v>
      </c>
      <c r="H87" s="25" t="str">
        <f t="shared" si="7"/>
        <v>insert into ins_premium_det (premium_rcv_code,assorted_code, rec_amount,premium_rcv_detail_code,remaining_amt, payrec, mode_code,coinsurance_code,class_cd,it_remarks) values('20Aug240150','040000157857','554',(select max(to_number(i.premium_rcv_detail_code))+1
from ins_premium_det i),'554','554','02', '11000003','00','Request by Mr. Saqib Saleem 21-Aug-2024 sheet4');</v>
      </c>
    </row>
    <row r="88" spans="1:8" ht="105" x14ac:dyDescent="0.25">
      <c r="A88" s="20" t="s">
        <v>654</v>
      </c>
      <c r="B88" s="22" t="str">
        <f>VLOOKUP(A88,[1]Sheet1!$B$2:$C$108,2,0)</f>
        <v>040000157858</v>
      </c>
      <c r="C88" s="19">
        <v>1919</v>
      </c>
      <c r="D88" s="26">
        <f t="shared" si="5"/>
        <v>1919</v>
      </c>
      <c r="E88" s="27" t="s">
        <v>676</v>
      </c>
      <c r="F88" s="23" t="str">
        <f t="shared" si="4"/>
        <v>insert into ins_premium_det (premium_rcv_code,assorted_code, rec_amount,premium_rcv_detail_code,remaining_amt, payrec, mode_code,coinsurance_code,class_cd,it_remarks) values</v>
      </c>
      <c r="G88" s="24" t="str">
        <f t="shared" si="6"/>
        <v>('20Aug240150','040000157858','1919',(select max(to_number(i.premium_rcv_detail_code))+1
from ins_premium_det i),'1919','1919','02', '11000003','00','Request by Mr. Saqib Saleem 21-Aug-2024 sheet4');</v>
      </c>
      <c r="H88" s="25" t="str">
        <f t="shared" si="7"/>
        <v>insert into ins_premium_det (premium_rcv_code,assorted_code, rec_amount,premium_rcv_detail_code,remaining_amt, payrec, mode_code,coinsurance_code,class_cd,it_remarks) values('20Aug240150','040000157858','1919',(select max(to_number(i.premium_rcv_detail_code))+1
from ins_premium_det i),'1919','1919','02', '11000003','00','Request by Mr. Saqib Saleem 21-Aug-2024 sheet4');</v>
      </c>
    </row>
    <row r="89" spans="1:8" ht="105" x14ac:dyDescent="0.25">
      <c r="A89" s="20" t="s">
        <v>655</v>
      </c>
      <c r="B89" s="22" t="str">
        <f>VLOOKUP(A89,[1]Sheet1!$B$2:$C$108,2,0)</f>
        <v>040000157859</v>
      </c>
      <c r="C89" s="19">
        <v>905</v>
      </c>
      <c r="D89" s="26">
        <f t="shared" si="5"/>
        <v>905</v>
      </c>
      <c r="E89" s="27" t="s">
        <v>676</v>
      </c>
      <c r="F89" s="23" t="str">
        <f t="shared" si="4"/>
        <v>insert into ins_premium_det (premium_rcv_code,assorted_code, rec_amount,premium_rcv_detail_code,remaining_amt, payrec, mode_code,coinsurance_code,class_cd,it_remarks) values</v>
      </c>
      <c r="G89" s="24" t="str">
        <f t="shared" si="6"/>
        <v>('20Aug240150','040000157859','905',(select max(to_number(i.premium_rcv_detail_code))+1
from ins_premium_det i),'905','905','02', '11000003','00','Request by Mr. Saqib Saleem 21-Aug-2024 sheet4');</v>
      </c>
      <c r="H89" s="25" t="str">
        <f t="shared" si="7"/>
        <v>insert into ins_premium_det (premium_rcv_code,assorted_code, rec_amount,premium_rcv_detail_code,remaining_amt, payrec, mode_code,coinsurance_code,class_cd,it_remarks) values('20Aug240150','040000157859','905',(select max(to_number(i.premium_rcv_detail_code))+1
from ins_premium_det i),'905','905','02', '11000003','00','Request by Mr. Saqib Saleem 21-Aug-2024 sheet4');</v>
      </c>
    </row>
    <row r="90" spans="1:8" ht="105" x14ac:dyDescent="0.25">
      <c r="A90" s="20" t="s">
        <v>656</v>
      </c>
      <c r="B90" s="22" t="str">
        <f>VLOOKUP(A90,[1]Sheet1!$B$2:$C$108,2,0)</f>
        <v>040000157860</v>
      </c>
      <c r="C90" s="19">
        <v>1552</v>
      </c>
      <c r="D90" s="26">
        <f t="shared" si="5"/>
        <v>1552</v>
      </c>
      <c r="E90" s="27" t="s">
        <v>676</v>
      </c>
      <c r="F90" s="23" t="str">
        <f t="shared" si="4"/>
        <v>insert into ins_premium_det (premium_rcv_code,assorted_code, rec_amount,premium_rcv_detail_code,remaining_amt, payrec, mode_code,coinsurance_code,class_cd,it_remarks) values</v>
      </c>
      <c r="G90" s="24" t="str">
        <f t="shared" si="6"/>
        <v>('20Aug240150','040000157860','1552',(select max(to_number(i.premium_rcv_detail_code))+1
from ins_premium_det i),'1552','1552','02', '11000003','00','Request by Mr. Saqib Saleem 21-Aug-2024 sheet4');</v>
      </c>
      <c r="H90" s="25" t="str">
        <f t="shared" si="7"/>
        <v>insert into ins_premium_det (premium_rcv_code,assorted_code, rec_amount,premium_rcv_detail_code,remaining_amt, payrec, mode_code,coinsurance_code,class_cd,it_remarks) values('20Aug240150','040000157860','1552',(select max(to_number(i.premium_rcv_detail_code))+1
from ins_premium_det i),'1552','1552','02', '11000003','00','Request by Mr. Saqib Saleem 21-Aug-2024 sheet4');</v>
      </c>
    </row>
    <row r="91" spans="1:8" ht="105" x14ac:dyDescent="0.25">
      <c r="A91" s="20" t="s">
        <v>657</v>
      </c>
      <c r="B91" s="22" t="str">
        <f>VLOOKUP(A91,[1]Sheet1!$B$2:$C$108,2,0)</f>
        <v>040000157861</v>
      </c>
      <c r="C91" s="19">
        <v>1042</v>
      </c>
      <c r="D91" s="26">
        <f t="shared" si="5"/>
        <v>1042</v>
      </c>
      <c r="E91" s="27" t="s">
        <v>676</v>
      </c>
      <c r="F91" s="23" t="str">
        <f t="shared" si="4"/>
        <v>insert into ins_premium_det (premium_rcv_code,assorted_code, rec_amount,premium_rcv_detail_code,remaining_amt, payrec, mode_code,coinsurance_code,class_cd,it_remarks) values</v>
      </c>
      <c r="G91" s="24" t="str">
        <f t="shared" si="6"/>
        <v>('20Aug240150','040000157861','1042',(select max(to_number(i.premium_rcv_detail_code))+1
from ins_premium_det i),'1042','1042','02', '11000003','00','Request by Mr. Saqib Saleem 21-Aug-2024 sheet4');</v>
      </c>
      <c r="H91" s="25" t="str">
        <f t="shared" si="7"/>
        <v>insert into ins_premium_det (premium_rcv_code,assorted_code, rec_amount,premium_rcv_detail_code,remaining_amt, payrec, mode_code,coinsurance_code,class_cd,it_remarks) values('20Aug240150','040000157861','1042',(select max(to_number(i.premium_rcv_detail_code))+1
from ins_premium_det i),'1042','1042','02', '11000003','00','Request by Mr. Saqib Saleem 21-Aug-2024 sheet4');</v>
      </c>
    </row>
    <row r="92" spans="1:8" ht="105" x14ac:dyDescent="0.25">
      <c r="A92" s="20" t="s">
        <v>658</v>
      </c>
      <c r="B92" s="22" t="str">
        <f>VLOOKUP(A92,[1]Sheet1!$B$2:$C$108,2,0)</f>
        <v>040000157862</v>
      </c>
      <c r="C92" s="19">
        <v>557</v>
      </c>
      <c r="D92" s="26">
        <f t="shared" si="5"/>
        <v>557</v>
      </c>
      <c r="E92" s="27" t="s">
        <v>676</v>
      </c>
      <c r="F92" s="23" t="str">
        <f t="shared" si="4"/>
        <v>insert into ins_premium_det (premium_rcv_code,assorted_code, rec_amount,premium_rcv_detail_code,remaining_amt, payrec, mode_code,coinsurance_code,class_cd,it_remarks) values</v>
      </c>
      <c r="G92" s="24" t="str">
        <f t="shared" si="6"/>
        <v>('20Aug240150','040000157862','557',(select max(to_number(i.premium_rcv_detail_code))+1
from ins_premium_det i),'557','557','02', '11000003','00','Request by Mr. Saqib Saleem 21-Aug-2024 sheet4');</v>
      </c>
      <c r="H92" s="25" t="str">
        <f t="shared" si="7"/>
        <v>insert into ins_premium_det (premium_rcv_code,assorted_code, rec_amount,premium_rcv_detail_code,remaining_amt, payrec, mode_code,coinsurance_code,class_cd,it_remarks) values('20Aug240150','040000157862','557',(select max(to_number(i.premium_rcv_detail_code))+1
from ins_premium_det i),'557','557','02', '11000003','00','Request by Mr. Saqib Saleem 21-Aug-2024 sheet4');</v>
      </c>
    </row>
    <row r="93" spans="1:8" ht="105" x14ac:dyDescent="0.25">
      <c r="A93" s="20" t="s">
        <v>659</v>
      </c>
      <c r="B93" s="22" t="str">
        <f>VLOOKUP(A93,[1]Sheet1!$B$2:$C$108,2,0)</f>
        <v>040000157863</v>
      </c>
      <c r="C93" s="19">
        <v>1306</v>
      </c>
      <c r="D93" s="26">
        <f t="shared" si="5"/>
        <v>1306</v>
      </c>
      <c r="E93" s="27" t="s">
        <v>676</v>
      </c>
      <c r="F93" s="23" t="str">
        <f t="shared" si="4"/>
        <v>insert into ins_premium_det (premium_rcv_code,assorted_code, rec_amount,premium_rcv_detail_code,remaining_amt, payrec, mode_code,coinsurance_code,class_cd,it_remarks) values</v>
      </c>
      <c r="G93" s="24" t="str">
        <f t="shared" si="6"/>
        <v>('20Aug240150','040000157863','1306',(select max(to_number(i.premium_rcv_detail_code))+1
from ins_premium_det i),'1306','1306','02', '11000003','00','Request by Mr. Saqib Saleem 21-Aug-2024 sheet4');</v>
      </c>
      <c r="H93" s="25" t="str">
        <f t="shared" si="7"/>
        <v>insert into ins_premium_det (premium_rcv_code,assorted_code, rec_amount,premium_rcv_detail_code,remaining_amt, payrec, mode_code,coinsurance_code,class_cd,it_remarks) values('20Aug240150','040000157863','1306',(select max(to_number(i.premium_rcv_detail_code))+1
from ins_premium_det i),'1306','1306','02', '11000003','00','Request by Mr. Saqib Saleem 21-Aug-2024 sheet4');</v>
      </c>
    </row>
    <row r="94" spans="1:8" ht="105" x14ac:dyDescent="0.25">
      <c r="A94" s="20" t="s">
        <v>660</v>
      </c>
      <c r="B94" s="22" t="str">
        <f>VLOOKUP(A94,[1]Sheet1!$B$2:$C$108,2,0)</f>
        <v>040000157864</v>
      </c>
      <c r="C94" s="19">
        <v>5796</v>
      </c>
      <c r="D94" s="26">
        <f t="shared" si="5"/>
        <v>5796</v>
      </c>
      <c r="E94" s="27" t="s">
        <v>676</v>
      </c>
      <c r="F94" s="23" t="str">
        <f t="shared" si="4"/>
        <v>insert into ins_premium_det (premium_rcv_code,assorted_code, rec_amount,premium_rcv_detail_code,remaining_amt, payrec, mode_code,coinsurance_code,class_cd,it_remarks) values</v>
      </c>
      <c r="G94" s="24" t="str">
        <f t="shared" si="6"/>
        <v>('20Aug240150','040000157864','5796',(select max(to_number(i.premium_rcv_detail_code))+1
from ins_premium_det i),'5796','5796','02', '11000003','00','Request by Mr. Saqib Saleem 21-Aug-2024 sheet4');</v>
      </c>
      <c r="H94" s="25" t="str">
        <f t="shared" si="7"/>
        <v>insert into ins_premium_det (premium_rcv_code,assorted_code, rec_amount,premium_rcv_detail_code,remaining_amt, payrec, mode_code,coinsurance_code,class_cd,it_remarks) values('20Aug240150','040000157864','5796',(select max(to_number(i.premium_rcv_detail_code))+1
from ins_premium_det i),'5796','5796','02', '11000003','00','Request by Mr. Saqib Saleem 21-Aug-2024 sheet4');</v>
      </c>
    </row>
    <row r="95" spans="1:8" ht="105" x14ac:dyDescent="0.25">
      <c r="A95" s="20" t="s">
        <v>661</v>
      </c>
      <c r="B95" s="22" t="str">
        <f>VLOOKUP(A95,[1]Sheet1!$B$2:$C$108,2,0)</f>
        <v>040000157865</v>
      </c>
      <c r="C95" s="19">
        <v>1263</v>
      </c>
      <c r="D95" s="26">
        <f t="shared" si="5"/>
        <v>1263</v>
      </c>
      <c r="E95" s="27" t="s">
        <v>676</v>
      </c>
      <c r="F95" s="23" t="str">
        <f t="shared" si="4"/>
        <v>insert into ins_premium_det (premium_rcv_code,assorted_code, rec_amount,premium_rcv_detail_code,remaining_amt, payrec, mode_code,coinsurance_code,class_cd,it_remarks) values</v>
      </c>
      <c r="G95" s="24" t="str">
        <f t="shared" si="6"/>
        <v>('20Aug240150','040000157865','1263',(select max(to_number(i.premium_rcv_detail_code))+1
from ins_premium_det i),'1263','1263','02', '11000003','00','Request by Mr. Saqib Saleem 21-Aug-2024 sheet4');</v>
      </c>
      <c r="H95" s="25" t="str">
        <f t="shared" si="7"/>
        <v>insert into ins_premium_det (premium_rcv_code,assorted_code, rec_amount,premium_rcv_detail_code,remaining_amt, payrec, mode_code,coinsurance_code,class_cd,it_remarks) values('20Aug240150','040000157865','1263',(select max(to_number(i.premium_rcv_detail_code))+1
from ins_premium_det i),'1263','1263','02', '11000003','00','Request by Mr. Saqib Saleem 21-Aug-2024 sheet4');</v>
      </c>
    </row>
    <row r="96" spans="1:8" ht="105" x14ac:dyDescent="0.25">
      <c r="A96" s="20" t="s">
        <v>662</v>
      </c>
      <c r="B96" s="22" t="str">
        <f>VLOOKUP(A96,[1]Sheet1!$B$2:$C$108,2,0)</f>
        <v>040000157866</v>
      </c>
      <c r="C96" s="19">
        <v>1470</v>
      </c>
      <c r="D96" s="26">
        <f t="shared" si="5"/>
        <v>1470</v>
      </c>
      <c r="E96" s="27" t="s">
        <v>676</v>
      </c>
      <c r="F96" s="23" t="str">
        <f t="shared" si="4"/>
        <v>insert into ins_premium_det (premium_rcv_code,assorted_code, rec_amount,premium_rcv_detail_code,remaining_amt, payrec, mode_code,coinsurance_code,class_cd,it_remarks) values</v>
      </c>
      <c r="G96" s="24" t="str">
        <f t="shared" si="6"/>
        <v>('20Aug240150','040000157866','1470',(select max(to_number(i.premium_rcv_detail_code))+1
from ins_premium_det i),'1470','1470','02', '11000003','00','Request by Mr. Saqib Saleem 21-Aug-2024 sheet4');</v>
      </c>
      <c r="H96" s="25" t="str">
        <f t="shared" si="7"/>
        <v>insert into ins_premium_det (premium_rcv_code,assorted_code, rec_amount,premium_rcv_detail_code,remaining_amt, payrec, mode_code,coinsurance_code,class_cd,it_remarks) values('20Aug240150','040000157866','1470',(select max(to_number(i.premium_rcv_detail_code))+1
from ins_premium_det i),'1470','1470','02', '11000003','00','Request by Mr. Saqib Saleem 21-Aug-2024 sheet4');</v>
      </c>
    </row>
    <row r="97" spans="1:8" ht="105" x14ac:dyDescent="0.25">
      <c r="A97" s="20" t="s">
        <v>663</v>
      </c>
      <c r="B97" s="22" t="str">
        <f>VLOOKUP(A97,[1]Sheet1!$B$2:$C$108,2,0)</f>
        <v>040000157867</v>
      </c>
      <c r="C97" s="19">
        <v>1495</v>
      </c>
      <c r="D97" s="26">
        <f t="shared" si="5"/>
        <v>1495</v>
      </c>
      <c r="E97" s="27" t="s">
        <v>676</v>
      </c>
      <c r="F97" s="23" t="str">
        <f t="shared" si="4"/>
        <v>insert into ins_premium_det (premium_rcv_code,assorted_code, rec_amount,premium_rcv_detail_code,remaining_amt, payrec, mode_code,coinsurance_code,class_cd,it_remarks) values</v>
      </c>
      <c r="G97" s="24" t="str">
        <f t="shared" si="6"/>
        <v>('20Aug240150','040000157867','1495',(select max(to_number(i.premium_rcv_detail_code))+1
from ins_premium_det i),'1495','1495','02', '11000003','00','Request by Mr. Saqib Saleem 21-Aug-2024 sheet4');</v>
      </c>
      <c r="H97" s="25" t="str">
        <f t="shared" si="7"/>
        <v>insert into ins_premium_det (premium_rcv_code,assorted_code, rec_amount,premium_rcv_detail_code,remaining_amt, payrec, mode_code,coinsurance_code,class_cd,it_remarks) values('20Aug240150','040000157867','1495',(select max(to_number(i.premium_rcv_detail_code))+1
from ins_premium_det i),'1495','1495','02', '11000003','00','Request by Mr. Saqib Saleem 21-Aug-2024 sheet4');</v>
      </c>
    </row>
    <row r="98" spans="1:8" ht="105" x14ac:dyDescent="0.25">
      <c r="A98" s="20" t="s">
        <v>664</v>
      </c>
      <c r="B98" s="22" t="str">
        <f>VLOOKUP(A98,[1]Sheet1!$B$2:$C$108,2,0)</f>
        <v>040000157868</v>
      </c>
      <c r="C98" s="19">
        <v>2749</v>
      </c>
      <c r="D98" s="26">
        <f t="shared" si="5"/>
        <v>2749</v>
      </c>
      <c r="E98" s="27" t="s">
        <v>676</v>
      </c>
      <c r="F98" s="23" t="str">
        <f t="shared" si="4"/>
        <v>insert into ins_premium_det (premium_rcv_code,assorted_code, rec_amount,premium_rcv_detail_code,remaining_amt, payrec, mode_code,coinsurance_code,class_cd,it_remarks) values</v>
      </c>
      <c r="G98" s="24" t="str">
        <f t="shared" si="6"/>
        <v>('20Aug240150','040000157868','2749',(select max(to_number(i.premium_rcv_detail_code))+1
from ins_premium_det i),'2749','2749','02', '11000003','00','Request by Mr. Saqib Saleem 21-Aug-2024 sheet4');</v>
      </c>
      <c r="H98" s="25" t="str">
        <f t="shared" si="7"/>
        <v>insert into ins_premium_det (premium_rcv_code,assorted_code, rec_amount,premium_rcv_detail_code,remaining_amt, payrec, mode_code,coinsurance_code,class_cd,it_remarks) values('20Aug240150','040000157868','2749',(select max(to_number(i.premium_rcv_detail_code))+1
from ins_premium_det i),'2749','2749','02', '11000003','00','Request by Mr. Saqib Saleem 21-Aug-2024 sheet4');</v>
      </c>
    </row>
    <row r="99" spans="1:8" ht="105" x14ac:dyDescent="0.25">
      <c r="A99" s="20" t="s">
        <v>665</v>
      </c>
      <c r="B99" s="22" t="str">
        <f>VLOOKUP(A99,[1]Sheet1!$B$2:$C$108,2,0)</f>
        <v>040000157869</v>
      </c>
      <c r="C99" s="19">
        <v>1949</v>
      </c>
      <c r="D99" s="26">
        <f t="shared" si="5"/>
        <v>1949</v>
      </c>
      <c r="E99" s="27" t="s">
        <v>676</v>
      </c>
      <c r="F99" s="23" t="str">
        <f t="shared" si="4"/>
        <v>insert into ins_premium_det (premium_rcv_code,assorted_code, rec_amount,premium_rcv_detail_code,remaining_amt, payrec, mode_code,coinsurance_code,class_cd,it_remarks) values</v>
      </c>
      <c r="G99" s="24" t="str">
        <f t="shared" si="6"/>
        <v>('20Aug240150','040000157869','1949',(select max(to_number(i.premium_rcv_detail_code))+1
from ins_premium_det i),'1949','1949','02', '11000003','00','Request by Mr. Saqib Saleem 21-Aug-2024 sheet4');</v>
      </c>
      <c r="H99" s="25" t="str">
        <f t="shared" si="7"/>
        <v>insert into ins_premium_det (premium_rcv_code,assorted_code, rec_amount,premium_rcv_detail_code,remaining_amt, payrec, mode_code,coinsurance_code,class_cd,it_remarks) values('20Aug240150','040000157869','1949',(select max(to_number(i.premium_rcv_detail_code))+1
from ins_premium_det i),'1949','1949','02', '11000003','00','Request by Mr. Saqib Saleem 21-Aug-2024 sheet4');</v>
      </c>
    </row>
    <row r="100" spans="1:8" ht="105" x14ac:dyDescent="0.25">
      <c r="A100" s="20" t="s">
        <v>666</v>
      </c>
      <c r="B100" s="22" t="str">
        <f>VLOOKUP(A100,[1]Sheet1!$B$2:$C$108,2,0)</f>
        <v>040000157870</v>
      </c>
      <c r="C100" s="19">
        <v>6373</v>
      </c>
      <c r="D100" s="26">
        <f t="shared" si="5"/>
        <v>6373</v>
      </c>
      <c r="E100" s="27" t="s">
        <v>676</v>
      </c>
      <c r="F100" s="23" t="str">
        <f t="shared" si="4"/>
        <v>insert into ins_premium_det (premium_rcv_code,assorted_code, rec_amount,premium_rcv_detail_code,remaining_amt, payrec, mode_code,coinsurance_code,class_cd,it_remarks) values</v>
      </c>
      <c r="G100" s="24" t="str">
        <f t="shared" si="6"/>
        <v>('20Aug240150','040000157870','6373',(select max(to_number(i.premium_rcv_detail_code))+1
from ins_premium_det i),'6373','6373','02', '11000003','00','Request by Mr. Saqib Saleem 21-Aug-2024 sheet4');</v>
      </c>
      <c r="H100" s="25" t="str">
        <f t="shared" si="7"/>
        <v>insert into ins_premium_det (premium_rcv_code,assorted_code, rec_amount,premium_rcv_detail_code,remaining_amt, payrec, mode_code,coinsurance_code,class_cd,it_remarks) values('20Aug240150','040000157870','6373',(select max(to_number(i.premium_rcv_detail_code))+1
from ins_premium_det i),'6373','6373','02', '11000003','00','Request by Mr. Saqib Saleem 21-Aug-2024 sheet4');</v>
      </c>
    </row>
    <row r="101" spans="1:8" ht="105" x14ac:dyDescent="0.25">
      <c r="A101" s="20" t="s">
        <v>667</v>
      </c>
      <c r="B101" s="22" t="str">
        <f>VLOOKUP(A101,[1]Sheet1!$B$2:$C$108,2,0)</f>
        <v>040000157871</v>
      </c>
      <c r="C101" s="19">
        <v>536</v>
      </c>
      <c r="D101" s="26">
        <f t="shared" si="5"/>
        <v>536</v>
      </c>
      <c r="E101" s="27" t="s">
        <v>676</v>
      </c>
      <c r="F101" s="23" t="str">
        <f t="shared" si="4"/>
        <v>insert into ins_premium_det (premium_rcv_code,assorted_code, rec_amount,premium_rcv_detail_code,remaining_amt, payrec, mode_code,coinsurance_code,class_cd,it_remarks) values</v>
      </c>
      <c r="G101" s="24" t="str">
        <f t="shared" si="6"/>
        <v>('20Aug240150','040000157871','536',(select max(to_number(i.premium_rcv_detail_code))+1
from ins_premium_det i),'536','536','02', '11000003','00','Request by Mr. Saqib Saleem 21-Aug-2024 sheet4');</v>
      </c>
      <c r="H101" s="25" t="str">
        <f t="shared" si="7"/>
        <v>insert into ins_premium_det (premium_rcv_code,assorted_code, rec_amount,premium_rcv_detail_code,remaining_amt, payrec, mode_code,coinsurance_code,class_cd,it_remarks) values('20Aug240150','040000157871','536',(select max(to_number(i.premium_rcv_detail_code))+1
from ins_premium_det i),'536','536','02', '11000003','00','Request by Mr. Saqib Saleem 21-Aug-2024 sheet4');</v>
      </c>
    </row>
    <row r="102" spans="1:8" ht="105" x14ac:dyDescent="0.25">
      <c r="A102" s="20" t="s">
        <v>668</v>
      </c>
      <c r="B102" s="22" t="str">
        <f>VLOOKUP(A102,[1]Sheet1!$B$2:$C$108,2,0)</f>
        <v>040000157872</v>
      </c>
      <c r="C102" s="19">
        <v>1492</v>
      </c>
      <c r="D102" s="26">
        <f t="shared" si="5"/>
        <v>1492</v>
      </c>
      <c r="E102" s="27" t="s">
        <v>676</v>
      </c>
      <c r="F102" s="23" t="str">
        <f t="shared" si="4"/>
        <v>insert into ins_premium_det (premium_rcv_code,assorted_code, rec_amount,premium_rcv_detail_code,remaining_amt, payrec, mode_code,coinsurance_code,class_cd,it_remarks) values</v>
      </c>
      <c r="G102" s="24" t="str">
        <f t="shared" si="6"/>
        <v>('20Aug240150','040000157872','1492',(select max(to_number(i.premium_rcv_detail_code))+1
from ins_premium_det i),'1492','1492','02', '11000003','00','Request by Mr. Saqib Saleem 21-Aug-2024 sheet4');</v>
      </c>
      <c r="H102" s="25" t="str">
        <f t="shared" si="7"/>
        <v>insert into ins_premium_det (premium_rcv_code,assorted_code, rec_amount,premium_rcv_detail_code,remaining_amt, payrec, mode_code,coinsurance_code,class_cd,it_remarks) values('20Aug240150','040000157872','1492',(select max(to_number(i.premium_rcv_detail_code))+1
from ins_premium_det i),'1492','1492','02', '11000003','00','Request by Mr. Saqib Saleem 21-Aug-2024 sheet4');</v>
      </c>
    </row>
    <row r="103" spans="1:8" ht="105" x14ac:dyDescent="0.25">
      <c r="A103" s="20" t="s">
        <v>669</v>
      </c>
      <c r="B103" s="22" t="str">
        <f>VLOOKUP(A103,[1]Sheet1!$B$2:$C$108,2,0)</f>
        <v>040000157873</v>
      </c>
      <c r="C103" s="19">
        <v>1195</v>
      </c>
      <c r="D103" s="26">
        <f t="shared" si="5"/>
        <v>1195</v>
      </c>
      <c r="E103" s="27" t="s">
        <v>676</v>
      </c>
      <c r="F103" s="23" t="str">
        <f t="shared" si="4"/>
        <v>insert into ins_premium_det (premium_rcv_code,assorted_code, rec_amount,premium_rcv_detail_code,remaining_amt, payrec, mode_code,coinsurance_code,class_cd,it_remarks) values</v>
      </c>
      <c r="G103" s="24" t="str">
        <f t="shared" si="6"/>
        <v>('20Aug240150','040000157873','1195',(select max(to_number(i.premium_rcv_detail_code))+1
from ins_premium_det i),'1195','1195','02', '11000003','00','Request by Mr. Saqib Saleem 21-Aug-2024 sheet4');</v>
      </c>
      <c r="H103" s="25" t="str">
        <f t="shared" si="7"/>
        <v>insert into ins_premium_det (premium_rcv_code,assorted_code, rec_amount,premium_rcv_detail_code,remaining_amt, payrec, mode_code,coinsurance_code,class_cd,it_remarks) values('20Aug240150','040000157873','1195',(select max(to_number(i.premium_rcv_detail_code))+1
from ins_premium_det i),'1195','1195','02', '11000003','00','Request by Mr. Saqib Saleem 21-Aug-2024 sheet4');</v>
      </c>
    </row>
    <row r="104" spans="1:8" ht="105" x14ac:dyDescent="0.25">
      <c r="A104" s="20" t="s">
        <v>670</v>
      </c>
      <c r="B104" s="22" t="str">
        <f>VLOOKUP(A104,[1]Sheet1!$B$2:$C$108,2,0)</f>
        <v>040000157874</v>
      </c>
      <c r="C104" s="19">
        <v>1732</v>
      </c>
      <c r="D104" s="26">
        <f t="shared" si="5"/>
        <v>1732</v>
      </c>
      <c r="E104" s="27" t="s">
        <v>676</v>
      </c>
      <c r="F104" s="23" t="str">
        <f t="shared" si="4"/>
        <v>insert into ins_premium_det (premium_rcv_code,assorted_code, rec_amount,premium_rcv_detail_code,remaining_amt, payrec, mode_code,coinsurance_code,class_cd,it_remarks) values</v>
      </c>
      <c r="G104" s="24" t="str">
        <f t="shared" si="6"/>
        <v>('20Aug240150','040000157874','1732',(select max(to_number(i.premium_rcv_detail_code))+1
from ins_premium_det i),'1732','1732','02', '11000003','00','Request by Mr. Saqib Saleem 21-Aug-2024 sheet4');</v>
      </c>
      <c r="H104" s="25" t="str">
        <f t="shared" si="7"/>
        <v>insert into ins_premium_det (premium_rcv_code,assorted_code, rec_amount,premium_rcv_detail_code,remaining_amt, payrec, mode_code,coinsurance_code,class_cd,it_remarks) values('20Aug240150','040000157874','1732',(select max(to_number(i.premium_rcv_detail_code))+1
from ins_premium_det i),'1732','1732','02', '11000003','00','Request by Mr. Saqib Saleem 21-Aug-2024 sheet4');</v>
      </c>
    </row>
    <row r="105" spans="1:8" ht="105" x14ac:dyDescent="0.25">
      <c r="A105" s="20" t="s">
        <v>671</v>
      </c>
      <c r="B105" s="22" t="str">
        <f>VLOOKUP(A105,[1]Sheet1!$B$2:$C$108,2,0)</f>
        <v>040000157875</v>
      </c>
      <c r="C105" s="19">
        <v>551</v>
      </c>
      <c r="D105" s="26">
        <f t="shared" si="5"/>
        <v>551</v>
      </c>
      <c r="E105" s="27" t="s">
        <v>676</v>
      </c>
      <c r="F105" s="23" t="str">
        <f t="shared" si="4"/>
        <v>insert into ins_premium_det (premium_rcv_code,assorted_code, rec_amount,premium_rcv_detail_code,remaining_amt, payrec, mode_code,coinsurance_code,class_cd,it_remarks) values</v>
      </c>
      <c r="G105" s="24" t="str">
        <f t="shared" si="6"/>
        <v>('20Aug240150','040000157875','551',(select max(to_number(i.premium_rcv_detail_code))+1
from ins_premium_det i),'551','551','02', '11000003','00','Request by Mr. Saqib Saleem 21-Aug-2024 sheet4');</v>
      </c>
      <c r="H105" s="25" t="str">
        <f t="shared" si="7"/>
        <v>insert into ins_premium_det (premium_rcv_code,assorted_code, rec_amount,premium_rcv_detail_code,remaining_amt, payrec, mode_code,coinsurance_code,class_cd,it_remarks) values('20Aug240150','040000157875','551',(select max(to_number(i.premium_rcv_detail_code))+1
from ins_premium_det i),'551','551','02', '11000003','00','Request by Mr. Saqib Saleem 21-Aug-2024 sheet4');</v>
      </c>
    </row>
    <row r="106" spans="1:8" ht="105" x14ac:dyDescent="0.25">
      <c r="A106" s="20" t="s">
        <v>672</v>
      </c>
      <c r="B106" s="22" t="str">
        <f>VLOOKUP(A106,[1]Sheet1!$B$2:$C$108,2,0)</f>
        <v>040000157876</v>
      </c>
      <c r="C106" s="19">
        <v>2313</v>
      </c>
      <c r="D106" s="26">
        <f t="shared" si="5"/>
        <v>2313</v>
      </c>
      <c r="E106" s="27" t="s">
        <v>676</v>
      </c>
      <c r="F106" s="23" t="str">
        <f t="shared" si="4"/>
        <v>insert into ins_premium_det (premium_rcv_code,assorted_code, rec_amount,premium_rcv_detail_code,remaining_amt, payrec, mode_code,coinsurance_code,class_cd,it_remarks) values</v>
      </c>
      <c r="G106" s="24" t="str">
        <f t="shared" si="6"/>
        <v>('20Aug240150','040000157876','2313',(select max(to_number(i.premium_rcv_detail_code))+1
from ins_premium_det i),'2313','2313','02', '11000003','00','Request by Mr. Saqib Saleem 21-Aug-2024 sheet4');</v>
      </c>
      <c r="H106" s="25" t="str">
        <f t="shared" si="7"/>
        <v>insert into ins_premium_det (premium_rcv_code,assorted_code, rec_amount,premium_rcv_detail_code,remaining_amt, payrec, mode_code,coinsurance_code,class_cd,it_remarks) values('20Aug240150','040000157876','2313',(select max(to_number(i.premium_rcv_detail_code))+1
from ins_premium_det i),'2313','2313','02', '11000003','00','Request by Mr. Saqib Saleem 21-Aug-2024 sheet4');</v>
      </c>
    </row>
    <row r="107" spans="1:8" ht="105" x14ac:dyDescent="0.25">
      <c r="A107" s="20" t="s">
        <v>673</v>
      </c>
      <c r="B107" s="22" t="str">
        <f>VLOOKUP(A107,[1]Sheet1!$B$2:$C$108,2,0)</f>
        <v>040000157877</v>
      </c>
      <c r="C107" s="19">
        <v>954</v>
      </c>
      <c r="D107" s="26">
        <f t="shared" si="5"/>
        <v>954</v>
      </c>
      <c r="E107" s="27" t="s">
        <v>676</v>
      </c>
      <c r="F107" s="23" t="str">
        <f t="shared" si="4"/>
        <v>insert into ins_premium_det (premium_rcv_code,assorted_code, rec_amount,premium_rcv_detail_code,remaining_amt, payrec, mode_code,coinsurance_code,class_cd,it_remarks) values</v>
      </c>
      <c r="G107" s="24" t="str">
        <f t="shared" si="6"/>
        <v>('20Aug240150','040000157877','954',(select max(to_number(i.premium_rcv_detail_code))+1
from ins_premium_det i),'954','954','02', '11000003','00','Request by Mr. Saqib Saleem 21-Aug-2024 sheet4');</v>
      </c>
      <c r="H107" s="25" t="str">
        <f t="shared" si="7"/>
        <v>insert into ins_premium_det (premium_rcv_code,assorted_code, rec_amount,premium_rcv_detail_code,remaining_amt, payrec, mode_code,coinsurance_code,class_cd,it_remarks) values('20Aug240150','040000157877','954',(select max(to_number(i.premium_rcv_detail_code))+1
from ins_premium_det i),'954','954','02', '11000003','00','Request by Mr. Saqib Saleem 21-Aug-2024 sheet4');</v>
      </c>
    </row>
  </sheetData>
  <phoneticPr fontId="10" type="noConversion"/>
  <conditionalFormatting sqref="A1:B1 B2:B107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CA4A-E299-4D09-9193-D5215B7D1135}">
  <dimension ref="A1:P107"/>
  <sheetViews>
    <sheetView workbookViewId="0">
      <selection activeCell="E8" sqref="E8"/>
    </sheetView>
  </sheetViews>
  <sheetFormatPr defaultRowHeight="15" x14ac:dyDescent="0.25"/>
  <cols>
    <col min="1" max="1" width="39.85546875" bestFit="1" customWidth="1"/>
    <col min="2" max="2" width="12.140625" customWidth="1"/>
    <col min="4" max="4" width="6" bestFit="1" customWidth="1"/>
    <col min="5" max="5" width="40.5703125" bestFit="1" customWidth="1"/>
    <col min="8" max="8" width="28.85546875" bestFit="1" customWidth="1"/>
  </cols>
  <sheetData>
    <row r="1" spans="1:16" x14ac:dyDescent="0.25">
      <c r="A1" s="20" t="s">
        <v>677</v>
      </c>
      <c r="B1" s="21" t="str">
        <f>RIGHT(A1,8)</f>
        <v>-11-2023</v>
      </c>
      <c r="C1" s="21"/>
      <c r="D1" s="21">
        <v>20679</v>
      </c>
      <c r="E1" s="21" t="str">
        <f>"ia.assorted_string like '%"&amp;D1&amp;B1&amp;"%' or"</f>
        <v>ia.assorted_string like '%20679-11-2023%' or</v>
      </c>
      <c r="H1" s="20" t="s">
        <v>784</v>
      </c>
      <c r="I1" t="s">
        <v>785</v>
      </c>
      <c r="J1" t="s">
        <v>786</v>
      </c>
      <c r="K1" t="s">
        <v>787</v>
      </c>
      <c r="L1" t="s">
        <v>788</v>
      </c>
      <c r="M1" t="s">
        <v>789</v>
      </c>
      <c r="N1">
        <v>20679</v>
      </c>
      <c r="O1">
        <v>11</v>
      </c>
      <c r="P1">
        <v>2023</v>
      </c>
    </row>
    <row r="2" spans="1:16" x14ac:dyDescent="0.25">
      <c r="A2" s="20" t="s">
        <v>678</v>
      </c>
      <c r="B2" s="21" t="str">
        <f t="shared" ref="B2:B65" si="0">RIGHT(A2,8)</f>
        <v>-11-2023</v>
      </c>
      <c r="D2" s="21">
        <v>20680</v>
      </c>
      <c r="E2" s="21" t="str">
        <f t="shared" ref="E2:E65" si="1">"ia.assorted_string like '%"&amp;D2&amp;B2&amp;"%' or"</f>
        <v>ia.assorted_string like '%20680-11-2023%' or</v>
      </c>
      <c r="H2" s="20" t="s">
        <v>784</v>
      </c>
      <c r="I2" t="s">
        <v>785</v>
      </c>
      <c r="J2" t="s">
        <v>786</v>
      </c>
      <c r="K2" t="s">
        <v>787</v>
      </c>
      <c r="L2" t="s">
        <v>788</v>
      </c>
      <c r="M2" t="s">
        <v>789</v>
      </c>
      <c r="N2">
        <v>20680</v>
      </c>
      <c r="O2">
        <v>11</v>
      </c>
      <c r="P2">
        <v>2023</v>
      </c>
    </row>
    <row r="3" spans="1:16" x14ac:dyDescent="0.25">
      <c r="A3" s="20" t="s">
        <v>679</v>
      </c>
      <c r="B3" s="21" t="str">
        <f t="shared" si="0"/>
        <v>-11-2023</v>
      </c>
      <c r="D3" s="21">
        <v>20681</v>
      </c>
      <c r="E3" s="21" t="str">
        <f t="shared" si="1"/>
        <v>ia.assorted_string like '%20681-11-2023%' or</v>
      </c>
      <c r="H3" s="20" t="s">
        <v>784</v>
      </c>
      <c r="I3" t="s">
        <v>785</v>
      </c>
      <c r="J3" t="s">
        <v>786</v>
      </c>
      <c r="K3" t="s">
        <v>787</v>
      </c>
      <c r="L3" t="s">
        <v>788</v>
      </c>
      <c r="M3" t="s">
        <v>789</v>
      </c>
      <c r="N3">
        <v>20681</v>
      </c>
      <c r="O3">
        <v>11</v>
      </c>
      <c r="P3">
        <v>2023</v>
      </c>
    </row>
    <row r="4" spans="1:16" x14ac:dyDescent="0.25">
      <c r="A4" s="20" t="s">
        <v>680</v>
      </c>
      <c r="B4" s="21" t="str">
        <f t="shared" si="0"/>
        <v>-11-2023</v>
      </c>
      <c r="D4" s="21">
        <v>20682</v>
      </c>
      <c r="E4" s="21" t="str">
        <f t="shared" si="1"/>
        <v>ia.assorted_string like '%20682-11-2023%' or</v>
      </c>
      <c r="H4" s="20" t="s">
        <v>784</v>
      </c>
      <c r="I4" t="s">
        <v>785</v>
      </c>
      <c r="J4" t="s">
        <v>786</v>
      </c>
      <c r="K4" t="s">
        <v>787</v>
      </c>
      <c r="L4" t="s">
        <v>788</v>
      </c>
      <c r="M4" t="s">
        <v>789</v>
      </c>
      <c r="N4">
        <v>20682</v>
      </c>
      <c r="O4">
        <v>11</v>
      </c>
      <c r="P4">
        <v>2023</v>
      </c>
    </row>
    <row r="5" spans="1:16" x14ac:dyDescent="0.25">
      <c r="A5" s="20" t="s">
        <v>681</v>
      </c>
      <c r="B5" s="21" t="str">
        <f t="shared" si="0"/>
        <v>-11-2023</v>
      </c>
      <c r="D5" s="21">
        <v>20683</v>
      </c>
      <c r="E5" s="21" t="str">
        <f t="shared" si="1"/>
        <v>ia.assorted_string like '%20683-11-2023%' or</v>
      </c>
      <c r="H5" s="20" t="s">
        <v>784</v>
      </c>
      <c r="I5" t="s">
        <v>785</v>
      </c>
      <c r="J5" t="s">
        <v>786</v>
      </c>
      <c r="K5" t="s">
        <v>787</v>
      </c>
      <c r="L5" t="s">
        <v>788</v>
      </c>
      <c r="M5" t="s">
        <v>789</v>
      </c>
      <c r="N5">
        <v>20683</v>
      </c>
      <c r="O5">
        <v>11</v>
      </c>
      <c r="P5">
        <v>2023</v>
      </c>
    </row>
    <row r="6" spans="1:16" x14ac:dyDescent="0.25">
      <c r="A6" s="20" t="s">
        <v>682</v>
      </c>
      <c r="B6" s="21" t="str">
        <f t="shared" si="0"/>
        <v>-11-2023</v>
      </c>
      <c r="D6" s="21">
        <v>20684</v>
      </c>
      <c r="E6" s="21" t="str">
        <f t="shared" si="1"/>
        <v>ia.assorted_string like '%20684-11-2023%' or</v>
      </c>
      <c r="H6" s="20" t="s">
        <v>784</v>
      </c>
      <c r="I6" t="s">
        <v>785</v>
      </c>
      <c r="J6" t="s">
        <v>786</v>
      </c>
      <c r="K6" t="s">
        <v>787</v>
      </c>
      <c r="L6" t="s">
        <v>788</v>
      </c>
      <c r="M6" t="s">
        <v>789</v>
      </c>
      <c r="N6">
        <v>20684</v>
      </c>
      <c r="O6">
        <v>11</v>
      </c>
      <c r="P6">
        <v>2023</v>
      </c>
    </row>
    <row r="7" spans="1:16" x14ac:dyDescent="0.25">
      <c r="A7" s="20" t="s">
        <v>683</v>
      </c>
      <c r="B7" s="21" t="str">
        <f t="shared" si="0"/>
        <v>-11-2023</v>
      </c>
      <c r="D7" s="21">
        <v>20685</v>
      </c>
      <c r="E7" s="21" t="str">
        <f t="shared" si="1"/>
        <v>ia.assorted_string like '%20685-11-2023%' or</v>
      </c>
      <c r="H7" s="20" t="s">
        <v>784</v>
      </c>
      <c r="I7" t="s">
        <v>785</v>
      </c>
      <c r="J7" t="s">
        <v>786</v>
      </c>
      <c r="K7" t="s">
        <v>787</v>
      </c>
      <c r="L7" t="s">
        <v>788</v>
      </c>
      <c r="M7" t="s">
        <v>789</v>
      </c>
      <c r="N7">
        <v>20685</v>
      </c>
      <c r="O7">
        <v>11</v>
      </c>
      <c r="P7">
        <v>2023</v>
      </c>
    </row>
    <row r="8" spans="1:16" x14ac:dyDescent="0.25">
      <c r="A8" s="20" t="s">
        <v>684</v>
      </c>
      <c r="B8" s="21" t="str">
        <f t="shared" si="0"/>
        <v>-11-2023</v>
      </c>
      <c r="D8" s="21">
        <v>20686</v>
      </c>
      <c r="E8" s="21" t="str">
        <f t="shared" si="1"/>
        <v>ia.assorted_string like '%20686-11-2023%' or</v>
      </c>
      <c r="H8" s="20" t="s">
        <v>784</v>
      </c>
      <c r="I8" t="s">
        <v>785</v>
      </c>
      <c r="J8" t="s">
        <v>786</v>
      </c>
      <c r="K8" t="s">
        <v>787</v>
      </c>
      <c r="L8" t="s">
        <v>788</v>
      </c>
      <c r="M8" t="s">
        <v>789</v>
      </c>
      <c r="N8">
        <v>20686</v>
      </c>
      <c r="O8">
        <v>11</v>
      </c>
      <c r="P8">
        <v>2023</v>
      </c>
    </row>
    <row r="9" spans="1:16" x14ac:dyDescent="0.25">
      <c r="A9" s="20" t="s">
        <v>685</v>
      </c>
      <c r="B9" s="21" t="str">
        <f t="shared" si="0"/>
        <v>-11-2023</v>
      </c>
      <c r="D9" s="21">
        <v>20687</v>
      </c>
      <c r="E9" s="21" t="str">
        <f t="shared" si="1"/>
        <v>ia.assorted_string like '%20687-11-2023%' or</v>
      </c>
      <c r="H9" s="20" t="s">
        <v>784</v>
      </c>
      <c r="I9" t="s">
        <v>785</v>
      </c>
      <c r="J9" t="s">
        <v>786</v>
      </c>
      <c r="K9" t="s">
        <v>787</v>
      </c>
      <c r="L9" t="s">
        <v>788</v>
      </c>
      <c r="M9" t="s">
        <v>789</v>
      </c>
      <c r="N9">
        <v>20687</v>
      </c>
      <c r="O9">
        <v>11</v>
      </c>
      <c r="P9">
        <v>2023</v>
      </c>
    </row>
    <row r="10" spans="1:16" x14ac:dyDescent="0.25">
      <c r="A10" s="20" t="s">
        <v>686</v>
      </c>
      <c r="B10" s="21" t="str">
        <f t="shared" si="0"/>
        <v>-11-2023</v>
      </c>
      <c r="D10" s="21">
        <v>20688</v>
      </c>
      <c r="E10" s="21" t="str">
        <f t="shared" si="1"/>
        <v>ia.assorted_string like '%20688-11-2023%' or</v>
      </c>
      <c r="H10" s="20" t="s">
        <v>784</v>
      </c>
      <c r="I10" t="s">
        <v>785</v>
      </c>
      <c r="J10" t="s">
        <v>786</v>
      </c>
      <c r="K10" t="s">
        <v>787</v>
      </c>
      <c r="L10" t="s">
        <v>788</v>
      </c>
      <c r="M10" t="s">
        <v>789</v>
      </c>
      <c r="N10">
        <v>20688</v>
      </c>
      <c r="O10">
        <v>11</v>
      </c>
      <c r="P10">
        <v>2023</v>
      </c>
    </row>
    <row r="11" spans="1:16" x14ac:dyDescent="0.25">
      <c r="A11" s="20" t="s">
        <v>687</v>
      </c>
      <c r="B11" s="21" t="str">
        <f t="shared" si="0"/>
        <v>-11-2023</v>
      </c>
      <c r="D11" s="21">
        <v>20689</v>
      </c>
      <c r="E11" s="21" t="str">
        <f t="shared" si="1"/>
        <v>ia.assorted_string like '%20689-11-2023%' or</v>
      </c>
      <c r="H11" s="20" t="s">
        <v>784</v>
      </c>
      <c r="I11" t="s">
        <v>785</v>
      </c>
      <c r="J11" t="s">
        <v>786</v>
      </c>
      <c r="K11" t="s">
        <v>787</v>
      </c>
      <c r="L11" t="s">
        <v>788</v>
      </c>
      <c r="M11" t="s">
        <v>789</v>
      </c>
      <c r="N11">
        <v>20689</v>
      </c>
      <c r="O11">
        <v>11</v>
      </c>
      <c r="P11">
        <v>2023</v>
      </c>
    </row>
    <row r="12" spans="1:16" x14ac:dyDescent="0.25">
      <c r="A12" s="20" t="s">
        <v>688</v>
      </c>
      <c r="B12" s="21" t="str">
        <f t="shared" si="0"/>
        <v>-11-2023</v>
      </c>
      <c r="D12" s="21">
        <v>20690</v>
      </c>
      <c r="E12" s="21" t="str">
        <f t="shared" si="1"/>
        <v>ia.assorted_string like '%20690-11-2023%' or</v>
      </c>
      <c r="H12" s="20" t="s">
        <v>784</v>
      </c>
      <c r="I12" t="s">
        <v>785</v>
      </c>
      <c r="J12" t="s">
        <v>786</v>
      </c>
      <c r="K12" t="s">
        <v>787</v>
      </c>
      <c r="L12" t="s">
        <v>788</v>
      </c>
      <c r="M12" t="s">
        <v>789</v>
      </c>
      <c r="N12">
        <v>20690</v>
      </c>
      <c r="O12">
        <v>11</v>
      </c>
      <c r="P12">
        <v>2023</v>
      </c>
    </row>
    <row r="13" spans="1:16" x14ac:dyDescent="0.25">
      <c r="A13" s="20" t="s">
        <v>689</v>
      </c>
      <c r="B13" s="21" t="str">
        <f t="shared" si="0"/>
        <v>-11-2023</v>
      </c>
      <c r="D13" s="21">
        <v>20691</v>
      </c>
      <c r="E13" s="21" t="str">
        <f t="shared" si="1"/>
        <v>ia.assorted_string like '%20691-11-2023%' or</v>
      </c>
      <c r="H13" s="20" t="s">
        <v>784</v>
      </c>
      <c r="I13" t="s">
        <v>785</v>
      </c>
      <c r="J13" t="s">
        <v>786</v>
      </c>
      <c r="K13" t="s">
        <v>787</v>
      </c>
      <c r="L13" t="s">
        <v>788</v>
      </c>
      <c r="M13" t="s">
        <v>789</v>
      </c>
      <c r="N13">
        <v>20691</v>
      </c>
      <c r="O13">
        <v>11</v>
      </c>
      <c r="P13">
        <v>2023</v>
      </c>
    </row>
    <row r="14" spans="1:16" x14ac:dyDescent="0.25">
      <c r="A14" s="20" t="s">
        <v>690</v>
      </c>
      <c r="B14" s="21" t="str">
        <f t="shared" si="0"/>
        <v>-11-2023</v>
      </c>
      <c r="D14" s="21">
        <v>20692</v>
      </c>
      <c r="E14" s="21" t="str">
        <f t="shared" si="1"/>
        <v>ia.assorted_string like '%20692-11-2023%' or</v>
      </c>
      <c r="H14" s="20" t="s">
        <v>784</v>
      </c>
      <c r="I14" t="s">
        <v>785</v>
      </c>
      <c r="J14" t="s">
        <v>786</v>
      </c>
      <c r="K14" t="s">
        <v>787</v>
      </c>
      <c r="L14" t="s">
        <v>788</v>
      </c>
      <c r="M14" t="s">
        <v>789</v>
      </c>
      <c r="N14">
        <v>20692</v>
      </c>
      <c r="O14">
        <v>11</v>
      </c>
      <c r="P14">
        <v>2023</v>
      </c>
    </row>
    <row r="15" spans="1:16" x14ac:dyDescent="0.25">
      <c r="A15" s="20" t="s">
        <v>691</v>
      </c>
      <c r="B15" s="21" t="str">
        <f t="shared" si="0"/>
        <v>-11-2023</v>
      </c>
      <c r="D15" s="21">
        <v>20693</v>
      </c>
      <c r="E15" s="21" t="str">
        <f t="shared" si="1"/>
        <v>ia.assorted_string like '%20693-11-2023%' or</v>
      </c>
      <c r="H15" s="20" t="s">
        <v>784</v>
      </c>
      <c r="I15" t="s">
        <v>785</v>
      </c>
      <c r="J15" t="s">
        <v>786</v>
      </c>
      <c r="K15" t="s">
        <v>787</v>
      </c>
      <c r="L15" t="s">
        <v>788</v>
      </c>
      <c r="M15" t="s">
        <v>789</v>
      </c>
      <c r="N15">
        <v>20693</v>
      </c>
      <c r="O15">
        <v>11</v>
      </c>
      <c r="P15">
        <v>2023</v>
      </c>
    </row>
    <row r="16" spans="1:16" x14ac:dyDescent="0.25">
      <c r="A16" s="20" t="s">
        <v>692</v>
      </c>
      <c r="B16" s="21" t="str">
        <f t="shared" si="0"/>
        <v>-11-2023</v>
      </c>
      <c r="D16" s="21">
        <v>20694</v>
      </c>
      <c r="E16" s="21" t="str">
        <f t="shared" si="1"/>
        <v>ia.assorted_string like '%20694-11-2023%' or</v>
      </c>
      <c r="H16" s="20" t="s">
        <v>784</v>
      </c>
      <c r="I16" t="s">
        <v>785</v>
      </c>
      <c r="J16" t="s">
        <v>786</v>
      </c>
      <c r="K16" t="s">
        <v>787</v>
      </c>
      <c r="L16" t="s">
        <v>788</v>
      </c>
      <c r="M16" t="s">
        <v>789</v>
      </c>
      <c r="N16">
        <v>20694</v>
      </c>
      <c r="O16">
        <v>11</v>
      </c>
      <c r="P16">
        <v>2023</v>
      </c>
    </row>
    <row r="17" spans="1:16" x14ac:dyDescent="0.25">
      <c r="A17" s="20" t="s">
        <v>693</v>
      </c>
      <c r="B17" s="21" t="str">
        <f t="shared" si="0"/>
        <v>-11-2023</v>
      </c>
      <c r="D17" s="21">
        <v>20695</v>
      </c>
      <c r="E17" s="21" t="str">
        <f t="shared" si="1"/>
        <v>ia.assorted_string like '%20695-11-2023%' or</v>
      </c>
      <c r="H17" s="20" t="s">
        <v>784</v>
      </c>
      <c r="I17" t="s">
        <v>785</v>
      </c>
      <c r="J17" t="s">
        <v>786</v>
      </c>
      <c r="K17" t="s">
        <v>787</v>
      </c>
      <c r="L17" t="s">
        <v>788</v>
      </c>
      <c r="M17" t="s">
        <v>789</v>
      </c>
      <c r="N17">
        <v>20695</v>
      </c>
      <c r="O17">
        <v>11</v>
      </c>
      <c r="P17">
        <v>2023</v>
      </c>
    </row>
    <row r="18" spans="1:16" x14ac:dyDescent="0.25">
      <c r="A18" s="20" t="s">
        <v>694</v>
      </c>
      <c r="B18" s="21" t="str">
        <f t="shared" si="0"/>
        <v>-11-2023</v>
      </c>
      <c r="D18" s="21">
        <v>20696</v>
      </c>
      <c r="E18" s="21" t="str">
        <f t="shared" si="1"/>
        <v>ia.assorted_string like '%20696-11-2023%' or</v>
      </c>
      <c r="H18" s="20" t="s">
        <v>784</v>
      </c>
      <c r="I18" t="s">
        <v>785</v>
      </c>
      <c r="J18" t="s">
        <v>786</v>
      </c>
      <c r="K18" t="s">
        <v>787</v>
      </c>
      <c r="L18" t="s">
        <v>788</v>
      </c>
      <c r="M18" t="s">
        <v>789</v>
      </c>
      <c r="N18">
        <v>20696</v>
      </c>
      <c r="O18">
        <v>11</v>
      </c>
      <c r="P18">
        <v>2023</v>
      </c>
    </row>
    <row r="19" spans="1:16" x14ac:dyDescent="0.25">
      <c r="A19" s="20" t="s">
        <v>695</v>
      </c>
      <c r="B19" s="21" t="str">
        <f t="shared" si="0"/>
        <v>-11-2023</v>
      </c>
      <c r="D19" s="21">
        <v>20697</v>
      </c>
      <c r="E19" s="21" t="str">
        <f t="shared" si="1"/>
        <v>ia.assorted_string like '%20697-11-2023%' or</v>
      </c>
      <c r="H19" s="20" t="s">
        <v>784</v>
      </c>
      <c r="I19" t="s">
        <v>785</v>
      </c>
      <c r="J19" t="s">
        <v>786</v>
      </c>
      <c r="K19" t="s">
        <v>787</v>
      </c>
      <c r="L19" t="s">
        <v>788</v>
      </c>
      <c r="M19" t="s">
        <v>789</v>
      </c>
      <c r="N19">
        <v>20697</v>
      </c>
      <c r="O19">
        <v>11</v>
      </c>
      <c r="P19">
        <v>2023</v>
      </c>
    </row>
    <row r="20" spans="1:16" x14ac:dyDescent="0.25">
      <c r="A20" s="20" t="s">
        <v>696</v>
      </c>
      <c r="B20" s="21" t="str">
        <f t="shared" si="0"/>
        <v>-11-2023</v>
      </c>
      <c r="D20" s="21">
        <v>20698</v>
      </c>
      <c r="E20" s="21" t="str">
        <f t="shared" si="1"/>
        <v>ia.assorted_string like '%20698-11-2023%' or</v>
      </c>
      <c r="H20" s="20" t="s">
        <v>784</v>
      </c>
      <c r="I20" t="s">
        <v>785</v>
      </c>
      <c r="J20" t="s">
        <v>786</v>
      </c>
      <c r="K20" t="s">
        <v>787</v>
      </c>
      <c r="L20" t="s">
        <v>788</v>
      </c>
      <c r="M20" t="s">
        <v>789</v>
      </c>
      <c r="N20">
        <v>20698</v>
      </c>
      <c r="O20">
        <v>11</v>
      </c>
      <c r="P20">
        <v>2023</v>
      </c>
    </row>
    <row r="21" spans="1:16" x14ac:dyDescent="0.25">
      <c r="A21" s="20" t="s">
        <v>697</v>
      </c>
      <c r="B21" s="21" t="str">
        <f t="shared" si="0"/>
        <v>-11-2023</v>
      </c>
      <c r="D21" s="21">
        <v>20699</v>
      </c>
      <c r="E21" s="21" t="str">
        <f t="shared" si="1"/>
        <v>ia.assorted_string like '%20699-11-2023%' or</v>
      </c>
      <c r="H21" s="20" t="s">
        <v>784</v>
      </c>
      <c r="I21" t="s">
        <v>785</v>
      </c>
      <c r="J21" t="s">
        <v>786</v>
      </c>
      <c r="K21" t="s">
        <v>787</v>
      </c>
      <c r="L21" t="s">
        <v>788</v>
      </c>
      <c r="M21" t="s">
        <v>789</v>
      </c>
      <c r="N21">
        <v>20699</v>
      </c>
      <c r="O21">
        <v>11</v>
      </c>
      <c r="P21">
        <v>2023</v>
      </c>
    </row>
    <row r="22" spans="1:16" x14ac:dyDescent="0.25">
      <c r="A22" s="20" t="s">
        <v>698</v>
      </c>
      <c r="B22" s="21" t="str">
        <f t="shared" si="0"/>
        <v>-11-2023</v>
      </c>
      <c r="D22" s="21">
        <v>20700</v>
      </c>
      <c r="E22" s="21" t="str">
        <f t="shared" si="1"/>
        <v>ia.assorted_string like '%20700-11-2023%' or</v>
      </c>
      <c r="H22" s="20" t="s">
        <v>784</v>
      </c>
      <c r="I22" t="s">
        <v>785</v>
      </c>
      <c r="J22" t="s">
        <v>786</v>
      </c>
      <c r="K22" t="s">
        <v>787</v>
      </c>
      <c r="L22" t="s">
        <v>788</v>
      </c>
      <c r="M22" t="s">
        <v>789</v>
      </c>
      <c r="N22">
        <v>20700</v>
      </c>
      <c r="O22">
        <v>11</v>
      </c>
      <c r="P22">
        <v>2023</v>
      </c>
    </row>
    <row r="23" spans="1:16" x14ac:dyDescent="0.25">
      <c r="A23" s="20" t="s">
        <v>699</v>
      </c>
      <c r="B23" s="21" t="str">
        <f t="shared" si="0"/>
        <v>-11-2023</v>
      </c>
      <c r="D23" s="21">
        <v>20701</v>
      </c>
      <c r="E23" s="21" t="str">
        <f t="shared" si="1"/>
        <v>ia.assorted_string like '%20701-11-2023%' or</v>
      </c>
      <c r="H23" s="20" t="s">
        <v>784</v>
      </c>
      <c r="I23" t="s">
        <v>785</v>
      </c>
      <c r="J23" t="s">
        <v>786</v>
      </c>
      <c r="K23" t="s">
        <v>787</v>
      </c>
      <c r="L23" t="s">
        <v>788</v>
      </c>
      <c r="M23" t="s">
        <v>789</v>
      </c>
      <c r="N23">
        <v>20701</v>
      </c>
      <c r="O23">
        <v>11</v>
      </c>
      <c r="P23">
        <v>2023</v>
      </c>
    </row>
    <row r="24" spans="1:16" x14ac:dyDescent="0.25">
      <c r="A24" s="20" t="s">
        <v>700</v>
      </c>
      <c r="B24" s="21" t="str">
        <f t="shared" si="0"/>
        <v>-11-2023</v>
      </c>
      <c r="D24" s="21">
        <v>20702</v>
      </c>
      <c r="E24" s="21" t="str">
        <f t="shared" si="1"/>
        <v>ia.assorted_string like '%20702-11-2023%' or</v>
      </c>
      <c r="H24" s="20" t="s">
        <v>784</v>
      </c>
      <c r="I24" t="s">
        <v>785</v>
      </c>
      <c r="J24" t="s">
        <v>786</v>
      </c>
      <c r="K24" t="s">
        <v>787</v>
      </c>
      <c r="L24" t="s">
        <v>788</v>
      </c>
      <c r="M24" t="s">
        <v>789</v>
      </c>
      <c r="N24">
        <v>20702</v>
      </c>
      <c r="O24">
        <v>11</v>
      </c>
      <c r="P24">
        <v>2023</v>
      </c>
    </row>
    <row r="25" spans="1:16" x14ac:dyDescent="0.25">
      <c r="A25" s="20" t="s">
        <v>701</v>
      </c>
      <c r="B25" s="21" t="str">
        <f t="shared" si="0"/>
        <v>-11-2023</v>
      </c>
      <c r="D25" s="21">
        <v>20703</v>
      </c>
      <c r="E25" s="21" t="str">
        <f t="shared" si="1"/>
        <v>ia.assorted_string like '%20703-11-2023%' or</v>
      </c>
      <c r="H25" s="20" t="s">
        <v>784</v>
      </c>
      <c r="I25" t="s">
        <v>785</v>
      </c>
      <c r="J25" t="s">
        <v>786</v>
      </c>
      <c r="K25" t="s">
        <v>787</v>
      </c>
      <c r="L25" t="s">
        <v>788</v>
      </c>
      <c r="M25" t="s">
        <v>789</v>
      </c>
      <c r="N25">
        <v>20703</v>
      </c>
      <c r="O25">
        <v>11</v>
      </c>
      <c r="P25">
        <v>2023</v>
      </c>
    </row>
    <row r="26" spans="1:16" x14ac:dyDescent="0.25">
      <c r="A26" s="20" t="s">
        <v>702</v>
      </c>
      <c r="B26" s="21" t="str">
        <f t="shared" si="0"/>
        <v>-11-2023</v>
      </c>
      <c r="D26" s="21">
        <v>20704</v>
      </c>
      <c r="E26" s="21" t="str">
        <f t="shared" si="1"/>
        <v>ia.assorted_string like '%20704-11-2023%' or</v>
      </c>
      <c r="H26" s="20" t="s">
        <v>784</v>
      </c>
      <c r="I26" t="s">
        <v>785</v>
      </c>
      <c r="J26" t="s">
        <v>786</v>
      </c>
      <c r="K26" t="s">
        <v>787</v>
      </c>
      <c r="L26" t="s">
        <v>788</v>
      </c>
      <c r="M26" t="s">
        <v>789</v>
      </c>
      <c r="N26">
        <v>20704</v>
      </c>
      <c r="O26">
        <v>11</v>
      </c>
      <c r="P26">
        <v>2023</v>
      </c>
    </row>
    <row r="27" spans="1:16" x14ac:dyDescent="0.25">
      <c r="A27" s="20" t="s">
        <v>703</v>
      </c>
      <c r="B27" s="21" t="str">
        <f t="shared" si="0"/>
        <v>-11-2023</v>
      </c>
      <c r="D27" s="21">
        <v>20705</v>
      </c>
      <c r="E27" s="21" t="str">
        <f t="shared" si="1"/>
        <v>ia.assorted_string like '%20705-11-2023%' or</v>
      </c>
      <c r="H27" s="20" t="s">
        <v>784</v>
      </c>
      <c r="I27" t="s">
        <v>785</v>
      </c>
      <c r="J27" t="s">
        <v>786</v>
      </c>
      <c r="K27" t="s">
        <v>787</v>
      </c>
      <c r="L27" t="s">
        <v>788</v>
      </c>
      <c r="M27" t="s">
        <v>789</v>
      </c>
      <c r="N27">
        <v>20705</v>
      </c>
      <c r="O27">
        <v>11</v>
      </c>
      <c r="P27">
        <v>2023</v>
      </c>
    </row>
    <row r="28" spans="1:16" x14ac:dyDescent="0.25">
      <c r="A28" s="20" t="s">
        <v>704</v>
      </c>
      <c r="B28" s="21" t="str">
        <f t="shared" si="0"/>
        <v>-11-2023</v>
      </c>
      <c r="D28" s="21">
        <v>20706</v>
      </c>
      <c r="E28" s="21" t="str">
        <f t="shared" si="1"/>
        <v>ia.assorted_string like '%20706-11-2023%' or</v>
      </c>
      <c r="H28" s="20" t="s">
        <v>784</v>
      </c>
      <c r="I28" t="s">
        <v>785</v>
      </c>
      <c r="J28" t="s">
        <v>786</v>
      </c>
      <c r="K28" t="s">
        <v>787</v>
      </c>
      <c r="L28" t="s">
        <v>788</v>
      </c>
      <c r="M28" t="s">
        <v>789</v>
      </c>
      <c r="N28">
        <v>20706</v>
      </c>
      <c r="O28">
        <v>11</v>
      </c>
      <c r="P28">
        <v>2023</v>
      </c>
    </row>
    <row r="29" spans="1:16" x14ac:dyDescent="0.25">
      <c r="A29" s="20" t="s">
        <v>705</v>
      </c>
      <c r="B29" s="21" t="str">
        <f t="shared" si="0"/>
        <v>-11-2023</v>
      </c>
      <c r="D29" s="21">
        <v>20707</v>
      </c>
      <c r="E29" s="21" t="str">
        <f t="shared" si="1"/>
        <v>ia.assorted_string like '%20707-11-2023%' or</v>
      </c>
      <c r="H29" s="20" t="s">
        <v>784</v>
      </c>
      <c r="I29" t="s">
        <v>785</v>
      </c>
      <c r="J29" t="s">
        <v>786</v>
      </c>
      <c r="K29" t="s">
        <v>787</v>
      </c>
      <c r="L29" t="s">
        <v>788</v>
      </c>
      <c r="M29" t="s">
        <v>789</v>
      </c>
      <c r="N29">
        <v>20707</v>
      </c>
      <c r="O29">
        <v>11</v>
      </c>
      <c r="P29">
        <v>2023</v>
      </c>
    </row>
    <row r="30" spans="1:16" x14ac:dyDescent="0.25">
      <c r="A30" s="20" t="s">
        <v>706</v>
      </c>
      <c r="B30" s="21" t="str">
        <f t="shared" si="0"/>
        <v>-11-2023</v>
      </c>
      <c r="D30" s="21">
        <v>20708</v>
      </c>
      <c r="E30" s="21" t="str">
        <f t="shared" si="1"/>
        <v>ia.assorted_string like '%20708-11-2023%' or</v>
      </c>
      <c r="H30" s="20" t="s">
        <v>784</v>
      </c>
      <c r="I30" t="s">
        <v>785</v>
      </c>
      <c r="J30" t="s">
        <v>786</v>
      </c>
      <c r="K30" t="s">
        <v>787</v>
      </c>
      <c r="L30" t="s">
        <v>788</v>
      </c>
      <c r="M30" t="s">
        <v>789</v>
      </c>
      <c r="N30">
        <v>20708</v>
      </c>
      <c r="O30">
        <v>11</v>
      </c>
      <c r="P30">
        <v>2023</v>
      </c>
    </row>
    <row r="31" spans="1:16" x14ac:dyDescent="0.25">
      <c r="A31" s="20" t="s">
        <v>707</v>
      </c>
      <c r="B31" s="21" t="str">
        <f t="shared" si="0"/>
        <v>-11-2023</v>
      </c>
      <c r="D31" s="21">
        <v>20709</v>
      </c>
      <c r="E31" s="21" t="str">
        <f t="shared" si="1"/>
        <v>ia.assorted_string like '%20709-11-2023%' or</v>
      </c>
      <c r="H31" s="20" t="s">
        <v>784</v>
      </c>
      <c r="I31" t="s">
        <v>785</v>
      </c>
      <c r="J31" t="s">
        <v>786</v>
      </c>
      <c r="K31" t="s">
        <v>787</v>
      </c>
      <c r="L31" t="s">
        <v>788</v>
      </c>
      <c r="M31" t="s">
        <v>789</v>
      </c>
      <c r="N31">
        <v>20709</v>
      </c>
      <c r="O31">
        <v>11</v>
      </c>
      <c r="P31">
        <v>2023</v>
      </c>
    </row>
    <row r="32" spans="1:16" x14ac:dyDescent="0.25">
      <c r="A32" s="20" t="s">
        <v>708</v>
      </c>
      <c r="B32" s="21" t="str">
        <f t="shared" si="0"/>
        <v>-11-2023</v>
      </c>
      <c r="D32" s="21">
        <v>20710</v>
      </c>
      <c r="E32" s="21" t="str">
        <f t="shared" si="1"/>
        <v>ia.assorted_string like '%20710-11-2023%' or</v>
      </c>
      <c r="H32" s="20" t="s">
        <v>784</v>
      </c>
      <c r="I32" t="s">
        <v>785</v>
      </c>
      <c r="J32" t="s">
        <v>786</v>
      </c>
      <c r="K32" t="s">
        <v>787</v>
      </c>
      <c r="L32" t="s">
        <v>788</v>
      </c>
      <c r="M32" t="s">
        <v>789</v>
      </c>
      <c r="N32">
        <v>20710</v>
      </c>
      <c r="O32">
        <v>11</v>
      </c>
      <c r="P32">
        <v>2023</v>
      </c>
    </row>
    <row r="33" spans="1:16" x14ac:dyDescent="0.25">
      <c r="A33" s="20" t="s">
        <v>709</v>
      </c>
      <c r="B33" s="21" t="str">
        <f t="shared" si="0"/>
        <v>-11-2023</v>
      </c>
      <c r="D33" s="21">
        <v>20711</v>
      </c>
      <c r="E33" s="21" t="str">
        <f t="shared" si="1"/>
        <v>ia.assorted_string like '%20711-11-2023%' or</v>
      </c>
      <c r="H33" s="20" t="s">
        <v>784</v>
      </c>
      <c r="I33" t="s">
        <v>785</v>
      </c>
      <c r="J33" t="s">
        <v>786</v>
      </c>
      <c r="K33" t="s">
        <v>787</v>
      </c>
      <c r="L33" t="s">
        <v>788</v>
      </c>
      <c r="M33" t="s">
        <v>789</v>
      </c>
      <c r="N33">
        <v>20711</v>
      </c>
      <c r="O33">
        <v>11</v>
      </c>
      <c r="P33">
        <v>2023</v>
      </c>
    </row>
    <row r="34" spans="1:16" x14ac:dyDescent="0.25">
      <c r="A34" s="20" t="s">
        <v>710</v>
      </c>
      <c r="B34" s="21" t="str">
        <f t="shared" si="0"/>
        <v>-11-2023</v>
      </c>
      <c r="D34" s="21">
        <v>20712</v>
      </c>
      <c r="E34" s="21" t="str">
        <f t="shared" si="1"/>
        <v>ia.assorted_string like '%20712-11-2023%' or</v>
      </c>
      <c r="H34" s="20" t="s">
        <v>784</v>
      </c>
      <c r="I34" t="s">
        <v>785</v>
      </c>
      <c r="J34" t="s">
        <v>786</v>
      </c>
      <c r="K34" t="s">
        <v>787</v>
      </c>
      <c r="L34" t="s">
        <v>788</v>
      </c>
      <c r="M34" t="s">
        <v>789</v>
      </c>
      <c r="N34">
        <v>20712</v>
      </c>
      <c r="O34">
        <v>11</v>
      </c>
      <c r="P34">
        <v>2023</v>
      </c>
    </row>
    <row r="35" spans="1:16" x14ac:dyDescent="0.25">
      <c r="A35" s="20" t="s">
        <v>711</v>
      </c>
      <c r="B35" s="21" t="str">
        <f t="shared" si="0"/>
        <v>-11-2023</v>
      </c>
      <c r="D35" s="21">
        <v>20713</v>
      </c>
      <c r="E35" s="21" t="str">
        <f t="shared" si="1"/>
        <v>ia.assorted_string like '%20713-11-2023%' or</v>
      </c>
      <c r="H35" s="20" t="s">
        <v>784</v>
      </c>
      <c r="I35" t="s">
        <v>785</v>
      </c>
      <c r="J35" t="s">
        <v>786</v>
      </c>
      <c r="K35" t="s">
        <v>787</v>
      </c>
      <c r="L35" t="s">
        <v>788</v>
      </c>
      <c r="M35" t="s">
        <v>789</v>
      </c>
      <c r="N35">
        <v>20713</v>
      </c>
      <c r="O35">
        <v>11</v>
      </c>
      <c r="P35">
        <v>2023</v>
      </c>
    </row>
    <row r="36" spans="1:16" x14ac:dyDescent="0.25">
      <c r="A36" s="20" t="s">
        <v>712</v>
      </c>
      <c r="B36" s="21" t="str">
        <f t="shared" si="0"/>
        <v>-11-2023</v>
      </c>
      <c r="D36" s="21">
        <v>20714</v>
      </c>
      <c r="E36" s="21" t="str">
        <f t="shared" si="1"/>
        <v>ia.assorted_string like '%20714-11-2023%' or</v>
      </c>
      <c r="H36" s="20" t="s">
        <v>784</v>
      </c>
      <c r="I36" t="s">
        <v>785</v>
      </c>
      <c r="J36" t="s">
        <v>786</v>
      </c>
      <c r="K36" t="s">
        <v>787</v>
      </c>
      <c r="L36" t="s">
        <v>788</v>
      </c>
      <c r="M36" t="s">
        <v>789</v>
      </c>
      <c r="N36">
        <v>20714</v>
      </c>
      <c r="O36">
        <v>11</v>
      </c>
      <c r="P36">
        <v>2023</v>
      </c>
    </row>
    <row r="37" spans="1:16" x14ac:dyDescent="0.25">
      <c r="A37" s="20" t="s">
        <v>713</v>
      </c>
      <c r="B37" s="21" t="str">
        <f t="shared" si="0"/>
        <v>-11-2023</v>
      </c>
      <c r="D37" s="21">
        <v>20715</v>
      </c>
      <c r="E37" s="21" t="str">
        <f t="shared" si="1"/>
        <v>ia.assorted_string like '%20715-11-2023%' or</v>
      </c>
      <c r="H37" s="20" t="s">
        <v>784</v>
      </c>
      <c r="I37" t="s">
        <v>785</v>
      </c>
      <c r="J37" t="s">
        <v>786</v>
      </c>
      <c r="K37" t="s">
        <v>787</v>
      </c>
      <c r="L37" t="s">
        <v>788</v>
      </c>
      <c r="M37" t="s">
        <v>789</v>
      </c>
      <c r="N37">
        <v>20715</v>
      </c>
      <c r="O37">
        <v>11</v>
      </c>
      <c r="P37">
        <v>2023</v>
      </c>
    </row>
    <row r="38" spans="1:16" x14ac:dyDescent="0.25">
      <c r="A38" s="20" t="s">
        <v>714</v>
      </c>
      <c r="B38" s="21" t="str">
        <f t="shared" si="0"/>
        <v>-11-2023</v>
      </c>
      <c r="D38" s="21">
        <v>20716</v>
      </c>
      <c r="E38" s="21" t="str">
        <f t="shared" si="1"/>
        <v>ia.assorted_string like '%20716-11-2023%' or</v>
      </c>
      <c r="H38" s="20" t="s">
        <v>784</v>
      </c>
      <c r="I38" t="s">
        <v>785</v>
      </c>
      <c r="J38" t="s">
        <v>786</v>
      </c>
      <c r="K38" t="s">
        <v>787</v>
      </c>
      <c r="L38" t="s">
        <v>788</v>
      </c>
      <c r="M38" t="s">
        <v>789</v>
      </c>
      <c r="N38">
        <v>20716</v>
      </c>
      <c r="O38">
        <v>11</v>
      </c>
      <c r="P38">
        <v>2023</v>
      </c>
    </row>
    <row r="39" spans="1:16" x14ac:dyDescent="0.25">
      <c r="A39" s="20" t="s">
        <v>715</v>
      </c>
      <c r="B39" s="21" t="str">
        <f t="shared" si="0"/>
        <v>-11-2023</v>
      </c>
      <c r="D39" s="21">
        <v>20717</v>
      </c>
      <c r="E39" s="21" t="str">
        <f t="shared" si="1"/>
        <v>ia.assorted_string like '%20717-11-2023%' or</v>
      </c>
      <c r="H39" s="20" t="s">
        <v>784</v>
      </c>
      <c r="I39" t="s">
        <v>785</v>
      </c>
      <c r="J39" t="s">
        <v>786</v>
      </c>
      <c r="K39" t="s">
        <v>787</v>
      </c>
      <c r="L39" t="s">
        <v>788</v>
      </c>
      <c r="M39" t="s">
        <v>789</v>
      </c>
      <c r="N39">
        <v>20717</v>
      </c>
      <c r="O39">
        <v>11</v>
      </c>
      <c r="P39">
        <v>2023</v>
      </c>
    </row>
    <row r="40" spans="1:16" x14ac:dyDescent="0.25">
      <c r="A40" s="20" t="s">
        <v>716</v>
      </c>
      <c r="B40" s="21" t="str">
        <f t="shared" si="0"/>
        <v>-11-2023</v>
      </c>
      <c r="D40" s="21">
        <v>20718</v>
      </c>
      <c r="E40" s="21" t="str">
        <f t="shared" si="1"/>
        <v>ia.assorted_string like '%20718-11-2023%' or</v>
      </c>
      <c r="H40" s="20" t="s">
        <v>784</v>
      </c>
      <c r="I40" t="s">
        <v>785</v>
      </c>
      <c r="J40" t="s">
        <v>786</v>
      </c>
      <c r="K40" t="s">
        <v>787</v>
      </c>
      <c r="L40" t="s">
        <v>788</v>
      </c>
      <c r="M40" t="s">
        <v>789</v>
      </c>
      <c r="N40">
        <v>20718</v>
      </c>
      <c r="O40">
        <v>11</v>
      </c>
      <c r="P40">
        <v>2023</v>
      </c>
    </row>
    <row r="41" spans="1:16" x14ac:dyDescent="0.25">
      <c r="A41" s="20" t="s">
        <v>717</v>
      </c>
      <c r="B41" s="21" t="str">
        <f t="shared" si="0"/>
        <v>-11-2023</v>
      </c>
      <c r="D41" s="21">
        <v>20719</v>
      </c>
      <c r="E41" s="21" t="str">
        <f t="shared" si="1"/>
        <v>ia.assorted_string like '%20719-11-2023%' or</v>
      </c>
      <c r="H41" s="20" t="s">
        <v>784</v>
      </c>
      <c r="I41" t="s">
        <v>785</v>
      </c>
      <c r="J41" t="s">
        <v>786</v>
      </c>
      <c r="K41" t="s">
        <v>787</v>
      </c>
      <c r="L41" t="s">
        <v>788</v>
      </c>
      <c r="M41" t="s">
        <v>789</v>
      </c>
      <c r="N41">
        <v>20719</v>
      </c>
      <c r="O41">
        <v>11</v>
      </c>
      <c r="P41">
        <v>2023</v>
      </c>
    </row>
    <row r="42" spans="1:16" x14ac:dyDescent="0.25">
      <c r="A42" s="20" t="s">
        <v>718</v>
      </c>
      <c r="B42" s="21" t="str">
        <f t="shared" si="0"/>
        <v>-11-2023</v>
      </c>
      <c r="D42" s="21">
        <v>20720</v>
      </c>
      <c r="E42" s="21" t="str">
        <f t="shared" si="1"/>
        <v>ia.assorted_string like '%20720-11-2023%' or</v>
      </c>
      <c r="H42" s="20" t="s">
        <v>784</v>
      </c>
      <c r="I42" t="s">
        <v>785</v>
      </c>
      <c r="J42" t="s">
        <v>786</v>
      </c>
      <c r="K42" t="s">
        <v>787</v>
      </c>
      <c r="L42" t="s">
        <v>788</v>
      </c>
      <c r="M42" t="s">
        <v>789</v>
      </c>
      <c r="N42">
        <v>20720</v>
      </c>
      <c r="O42">
        <v>11</v>
      </c>
      <c r="P42">
        <v>2023</v>
      </c>
    </row>
    <row r="43" spans="1:16" x14ac:dyDescent="0.25">
      <c r="A43" s="20" t="s">
        <v>719</v>
      </c>
      <c r="B43" s="21" t="str">
        <f t="shared" si="0"/>
        <v>-11-2023</v>
      </c>
      <c r="D43" s="21">
        <v>20721</v>
      </c>
      <c r="E43" s="21" t="str">
        <f t="shared" si="1"/>
        <v>ia.assorted_string like '%20721-11-2023%' or</v>
      </c>
      <c r="H43" s="20" t="s">
        <v>784</v>
      </c>
      <c r="I43" t="s">
        <v>785</v>
      </c>
      <c r="J43" t="s">
        <v>786</v>
      </c>
      <c r="K43" t="s">
        <v>787</v>
      </c>
      <c r="L43" t="s">
        <v>788</v>
      </c>
      <c r="M43" t="s">
        <v>789</v>
      </c>
      <c r="N43">
        <v>20721</v>
      </c>
      <c r="O43">
        <v>11</v>
      </c>
      <c r="P43">
        <v>2023</v>
      </c>
    </row>
    <row r="44" spans="1:16" x14ac:dyDescent="0.25">
      <c r="A44" s="20" t="s">
        <v>720</v>
      </c>
      <c r="B44" s="21" t="str">
        <f t="shared" si="0"/>
        <v>-11-2023</v>
      </c>
      <c r="D44" s="21">
        <v>20722</v>
      </c>
      <c r="E44" s="21" t="str">
        <f t="shared" si="1"/>
        <v>ia.assorted_string like '%20722-11-2023%' or</v>
      </c>
      <c r="H44" s="20" t="s">
        <v>784</v>
      </c>
      <c r="I44" t="s">
        <v>785</v>
      </c>
      <c r="J44" t="s">
        <v>786</v>
      </c>
      <c r="K44" t="s">
        <v>787</v>
      </c>
      <c r="L44" t="s">
        <v>788</v>
      </c>
      <c r="M44" t="s">
        <v>789</v>
      </c>
      <c r="N44">
        <v>20722</v>
      </c>
      <c r="O44">
        <v>11</v>
      </c>
      <c r="P44">
        <v>2023</v>
      </c>
    </row>
    <row r="45" spans="1:16" x14ac:dyDescent="0.25">
      <c r="A45" s="20" t="s">
        <v>721</v>
      </c>
      <c r="B45" s="21" t="str">
        <f t="shared" si="0"/>
        <v>-11-2023</v>
      </c>
      <c r="D45" s="21">
        <v>20723</v>
      </c>
      <c r="E45" s="21" t="str">
        <f t="shared" si="1"/>
        <v>ia.assorted_string like '%20723-11-2023%' or</v>
      </c>
      <c r="H45" s="20" t="s">
        <v>784</v>
      </c>
      <c r="I45" t="s">
        <v>785</v>
      </c>
      <c r="J45" t="s">
        <v>786</v>
      </c>
      <c r="K45" t="s">
        <v>787</v>
      </c>
      <c r="L45" t="s">
        <v>788</v>
      </c>
      <c r="M45" t="s">
        <v>789</v>
      </c>
      <c r="N45">
        <v>20723</v>
      </c>
      <c r="O45">
        <v>11</v>
      </c>
      <c r="P45">
        <v>2023</v>
      </c>
    </row>
    <row r="46" spans="1:16" x14ac:dyDescent="0.25">
      <c r="A46" s="20" t="s">
        <v>722</v>
      </c>
      <c r="B46" s="21" t="str">
        <f t="shared" si="0"/>
        <v>-11-2023</v>
      </c>
      <c r="D46" s="21">
        <v>20724</v>
      </c>
      <c r="E46" s="21" t="str">
        <f t="shared" si="1"/>
        <v>ia.assorted_string like '%20724-11-2023%' or</v>
      </c>
      <c r="H46" s="20" t="s">
        <v>784</v>
      </c>
      <c r="I46" t="s">
        <v>785</v>
      </c>
      <c r="J46" t="s">
        <v>786</v>
      </c>
      <c r="K46" t="s">
        <v>787</v>
      </c>
      <c r="L46" t="s">
        <v>788</v>
      </c>
      <c r="M46" t="s">
        <v>789</v>
      </c>
      <c r="N46">
        <v>20724</v>
      </c>
      <c r="O46">
        <v>11</v>
      </c>
      <c r="P46">
        <v>2023</v>
      </c>
    </row>
    <row r="47" spans="1:16" x14ac:dyDescent="0.25">
      <c r="A47" s="20" t="s">
        <v>723</v>
      </c>
      <c r="B47" s="21" t="str">
        <f t="shared" si="0"/>
        <v>-11-2023</v>
      </c>
      <c r="D47" s="21">
        <v>20725</v>
      </c>
      <c r="E47" s="21" t="str">
        <f t="shared" si="1"/>
        <v>ia.assorted_string like '%20725-11-2023%' or</v>
      </c>
      <c r="H47" s="20" t="s">
        <v>784</v>
      </c>
      <c r="I47" t="s">
        <v>785</v>
      </c>
      <c r="J47" t="s">
        <v>786</v>
      </c>
      <c r="K47" t="s">
        <v>787</v>
      </c>
      <c r="L47" t="s">
        <v>788</v>
      </c>
      <c r="M47" t="s">
        <v>789</v>
      </c>
      <c r="N47">
        <v>20725</v>
      </c>
      <c r="O47">
        <v>11</v>
      </c>
      <c r="P47">
        <v>2023</v>
      </c>
    </row>
    <row r="48" spans="1:16" x14ac:dyDescent="0.25">
      <c r="A48" s="20" t="s">
        <v>724</v>
      </c>
      <c r="B48" s="21" t="str">
        <f t="shared" si="0"/>
        <v>-11-2023</v>
      </c>
      <c r="D48" s="21">
        <v>20726</v>
      </c>
      <c r="E48" s="21" t="str">
        <f t="shared" si="1"/>
        <v>ia.assorted_string like '%20726-11-2023%' or</v>
      </c>
      <c r="H48" s="20" t="s">
        <v>784</v>
      </c>
      <c r="I48" t="s">
        <v>785</v>
      </c>
      <c r="J48" t="s">
        <v>786</v>
      </c>
      <c r="K48" t="s">
        <v>787</v>
      </c>
      <c r="L48" t="s">
        <v>788</v>
      </c>
      <c r="M48" t="s">
        <v>789</v>
      </c>
      <c r="N48">
        <v>20726</v>
      </c>
      <c r="O48">
        <v>11</v>
      </c>
      <c r="P48">
        <v>2023</v>
      </c>
    </row>
    <row r="49" spans="1:16" x14ac:dyDescent="0.25">
      <c r="A49" s="20" t="s">
        <v>725</v>
      </c>
      <c r="B49" s="21" t="str">
        <f t="shared" si="0"/>
        <v>-11-2023</v>
      </c>
      <c r="D49" s="21">
        <v>20727</v>
      </c>
      <c r="E49" s="21" t="str">
        <f t="shared" si="1"/>
        <v>ia.assorted_string like '%20727-11-2023%' or</v>
      </c>
      <c r="H49" s="20" t="s">
        <v>784</v>
      </c>
      <c r="I49" t="s">
        <v>785</v>
      </c>
      <c r="J49" t="s">
        <v>786</v>
      </c>
      <c r="K49" t="s">
        <v>787</v>
      </c>
      <c r="L49" t="s">
        <v>788</v>
      </c>
      <c r="M49" t="s">
        <v>789</v>
      </c>
      <c r="N49">
        <v>20727</v>
      </c>
      <c r="O49">
        <v>11</v>
      </c>
      <c r="P49">
        <v>2023</v>
      </c>
    </row>
    <row r="50" spans="1:16" x14ac:dyDescent="0.25">
      <c r="A50" s="20" t="s">
        <v>726</v>
      </c>
      <c r="B50" s="21" t="str">
        <f t="shared" si="0"/>
        <v>-11-2023</v>
      </c>
      <c r="D50" s="21">
        <v>20728</v>
      </c>
      <c r="E50" s="21" t="str">
        <f t="shared" si="1"/>
        <v>ia.assorted_string like '%20728-11-2023%' or</v>
      </c>
      <c r="H50" s="20" t="s">
        <v>784</v>
      </c>
      <c r="I50" t="s">
        <v>785</v>
      </c>
      <c r="J50" t="s">
        <v>786</v>
      </c>
      <c r="K50" t="s">
        <v>787</v>
      </c>
      <c r="L50" t="s">
        <v>788</v>
      </c>
      <c r="M50" t="s">
        <v>789</v>
      </c>
      <c r="N50">
        <v>20728</v>
      </c>
      <c r="O50">
        <v>11</v>
      </c>
      <c r="P50">
        <v>2023</v>
      </c>
    </row>
    <row r="51" spans="1:16" x14ac:dyDescent="0.25">
      <c r="A51" s="20" t="s">
        <v>727</v>
      </c>
      <c r="B51" s="21" t="str">
        <f t="shared" si="0"/>
        <v>-11-2023</v>
      </c>
      <c r="D51" s="21">
        <v>20729</v>
      </c>
      <c r="E51" s="21" t="str">
        <f t="shared" si="1"/>
        <v>ia.assorted_string like '%20729-11-2023%' or</v>
      </c>
      <c r="H51" s="20" t="s">
        <v>784</v>
      </c>
      <c r="I51" t="s">
        <v>785</v>
      </c>
      <c r="J51" t="s">
        <v>786</v>
      </c>
      <c r="K51" t="s">
        <v>787</v>
      </c>
      <c r="L51" t="s">
        <v>788</v>
      </c>
      <c r="M51" t="s">
        <v>789</v>
      </c>
      <c r="N51">
        <v>20729</v>
      </c>
      <c r="O51">
        <v>11</v>
      </c>
      <c r="P51">
        <v>2023</v>
      </c>
    </row>
    <row r="52" spans="1:16" x14ac:dyDescent="0.25">
      <c r="A52" s="20" t="s">
        <v>728</v>
      </c>
      <c r="B52" s="21" t="str">
        <f t="shared" si="0"/>
        <v>-11-2023</v>
      </c>
      <c r="D52" s="21">
        <v>20730</v>
      </c>
      <c r="E52" s="21" t="str">
        <f t="shared" si="1"/>
        <v>ia.assorted_string like '%20730-11-2023%' or</v>
      </c>
      <c r="H52" s="20" t="s">
        <v>784</v>
      </c>
      <c r="I52" t="s">
        <v>785</v>
      </c>
      <c r="J52" t="s">
        <v>786</v>
      </c>
      <c r="K52" t="s">
        <v>787</v>
      </c>
      <c r="L52" t="s">
        <v>788</v>
      </c>
      <c r="M52" t="s">
        <v>789</v>
      </c>
      <c r="N52">
        <v>20730</v>
      </c>
      <c r="O52">
        <v>11</v>
      </c>
      <c r="P52">
        <v>2023</v>
      </c>
    </row>
    <row r="53" spans="1:16" x14ac:dyDescent="0.25">
      <c r="A53" s="20" t="s">
        <v>729</v>
      </c>
      <c r="B53" s="21" t="str">
        <f t="shared" si="0"/>
        <v>-11-2023</v>
      </c>
      <c r="D53" s="21">
        <v>20731</v>
      </c>
      <c r="E53" s="21" t="str">
        <f t="shared" si="1"/>
        <v>ia.assorted_string like '%20731-11-2023%' or</v>
      </c>
      <c r="H53" s="20" t="s">
        <v>784</v>
      </c>
      <c r="I53" t="s">
        <v>785</v>
      </c>
      <c r="J53" t="s">
        <v>786</v>
      </c>
      <c r="K53" t="s">
        <v>787</v>
      </c>
      <c r="L53" t="s">
        <v>788</v>
      </c>
      <c r="M53" t="s">
        <v>789</v>
      </c>
      <c r="N53">
        <v>20731</v>
      </c>
      <c r="O53">
        <v>11</v>
      </c>
      <c r="P53">
        <v>2023</v>
      </c>
    </row>
    <row r="54" spans="1:16" x14ac:dyDescent="0.25">
      <c r="A54" s="20" t="s">
        <v>730</v>
      </c>
      <c r="B54" s="21" t="str">
        <f t="shared" si="0"/>
        <v>-11-2023</v>
      </c>
      <c r="D54" s="21">
        <v>20732</v>
      </c>
      <c r="E54" s="21" t="str">
        <f t="shared" si="1"/>
        <v>ia.assorted_string like '%20732-11-2023%' or</v>
      </c>
      <c r="H54" s="20" t="s">
        <v>784</v>
      </c>
      <c r="I54" t="s">
        <v>785</v>
      </c>
      <c r="J54" t="s">
        <v>786</v>
      </c>
      <c r="K54" t="s">
        <v>787</v>
      </c>
      <c r="L54" t="s">
        <v>788</v>
      </c>
      <c r="M54" t="s">
        <v>789</v>
      </c>
      <c r="N54">
        <v>20732</v>
      </c>
      <c r="O54">
        <v>11</v>
      </c>
      <c r="P54">
        <v>2023</v>
      </c>
    </row>
    <row r="55" spans="1:16" x14ac:dyDescent="0.25">
      <c r="A55" s="20" t="s">
        <v>731</v>
      </c>
      <c r="B55" s="21" t="str">
        <f t="shared" si="0"/>
        <v>-11-2023</v>
      </c>
      <c r="D55" s="21">
        <v>20733</v>
      </c>
      <c r="E55" s="21" t="str">
        <f t="shared" si="1"/>
        <v>ia.assorted_string like '%20733-11-2023%' or</v>
      </c>
      <c r="H55" s="20" t="s">
        <v>784</v>
      </c>
      <c r="I55" t="s">
        <v>785</v>
      </c>
      <c r="J55" t="s">
        <v>786</v>
      </c>
      <c r="K55" t="s">
        <v>787</v>
      </c>
      <c r="L55" t="s">
        <v>788</v>
      </c>
      <c r="M55" t="s">
        <v>789</v>
      </c>
      <c r="N55">
        <v>20733</v>
      </c>
      <c r="O55">
        <v>11</v>
      </c>
      <c r="P55">
        <v>2023</v>
      </c>
    </row>
    <row r="56" spans="1:16" x14ac:dyDescent="0.25">
      <c r="A56" s="20" t="s">
        <v>732</v>
      </c>
      <c r="B56" s="21" t="str">
        <f t="shared" si="0"/>
        <v>-11-2023</v>
      </c>
      <c r="D56" s="21">
        <v>20734</v>
      </c>
      <c r="E56" s="21" t="str">
        <f t="shared" si="1"/>
        <v>ia.assorted_string like '%20734-11-2023%' or</v>
      </c>
      <c r="H56" s="20" t="s">
        <v>784</v>
      </c>
      <c r="I56" t="s">
        <v>785</v>
      </c>
      <c r="J56" t="s">
        <v>786</v>
      </c>
      <c r="K56" t="s">
        <v>787</v>
      </c>
      <c r="L56" t="s">
        <v>788</v>
      </c>
      <c r="M56" t="s">
        <v>789</v>
      </c>
      <c r="N56">
        <v>20734</v>
      </c>
      <c r="O56">
        <v>11</v>
      </c>
      <c r="P56">
        <v>2023</v>
      </c>
    </row>
    <row r="57" spans="1:16" x14ac:dyDescent="0.25">
      <c r="A57" s="20" t="s">
        <v>733</v>
      </c>
      <c r="B57" s="21" t="str">
        <f t="shared" si="0"/>
        <v>-11-2023</v>
      </c>
      <c r="D57" s="21">
        <v>20735</v>
      </c>
      <c r="E57" s="21" t="str">
        <f t="shared" si="1"/>
        <v>ia.assorted_string like '%20735-11-2023%' or</v>
      </c>
      <c r="H57" s="20" t="s">
        <v>784</v>
      </c>
      <c r="I57" t="s">
        <v>785</v>
      </c>
      <c r="J57" t="s">
        <v>786</v>
      </c>
      <c r="K57" t="s">
        <v>787</v>
      </c>
      <c r="L57" t="s">
        <v>788</v>
      </c>
      <c r="M57" t="s">
        <v>789</v>
      </c>
      <c r="N57">
        <v>20735</v>
      </c>
      <c r="O57">
        <v>11</v>
      </c>
      <c r="P57">
        <v>2023</v>
      </c>
    </row>
    <row r="58" spans="1:16" x14ac:dyDescent="0.25">
      <c r="A58" s="20" t="s">
        <v>734</v>
      </c>
      <c r="B58" s="21" t="str">
        <f t="shared" si="0"/>
        <v>-11-2023</v>
      </c>
      <c r="D58" s="21">
        <v>20736</v>
      </c>
      <c r="E58" s="21" t="str">
        <f t="shared" si="1"/>
        <v>ia.assorted_string like '%20736-11-2023%' or</v>
      </c>
      <c r="H58" s="20" t="s">
        <v>784</v>
      </c>
      <c r="I58" t="s">
        <v>785</v>
      </c>
      <c r="J58" t="s">
        <v>786</v>
      </c>
      <c r="K58" t="s">
        <v>787</v>
      </c>
      <c r="L58" t="s">
        <v>788</v>
      </c>
      <c r="M58" t="s">
        <v>789</v>
      </c>
      <c r="N58">
        <v>20736</v>
      </c>
      <c r="O58">
        <v>11</v>
      </c>
      <c r="P58">
        <v>2023</v>
      </c>
    </row>
    <row r="59" spans="1:16" x14ac:dyDescent="0.25">
      <c r="A59" s="20" t="s">
        <v>735</v>
      </c>
      <c r="B59" s="21" t="str">
        <f t="shared" si="0"/>
        <v>-11-2023</v>
      </c>
      <c r="D59" s="21">
        <v>20737</v>
      </c>
      <c r="E59" s="21" t="str">
        <f t="shared" si="1"/>
        <v>ia.assorted_string like '%20737-11-2023%' or</v>
      </c>
      <c r="H59" s="20" t="s">
        <v>784</v>
      </c>
      <c r="I59" t="s">
        <v>785</v>
      </c>
      <c r="J59" t="s">
        <v>786</v>
      </c>
      <c r="K59" t="s">
        <v>787</v>
      </c>
      <c r="L59" t="s">
        <v>788</v>
      </c>
      <c r="M59" t="s">
        <v>789</v>
      </c>
      <c r="N59">
        <v>20737</v>
      </c>
      <c r="O59">
        <v>11</v>
      </c>
      <c r="P59">
        <v>2023</v>
      </c>
    </row>
    <row r="60" spans="1:16" x14ac:dyDescent="0.25">
      <c r="A60" s="20" t="s">
        <v>736</v>
      </c>
      <c r="B60" s="21" t="str">
        <f t="shared" si="0"/>
        <v>-11-2023</v>
      </c>
      <c r="D60" s="21">
        <v>20738</v>
      </c>
      <c r="E60" s="21" t="str">
        <f t="shared" si="1"/>
        <v>ia.assorted_string like '%20738-11-2023%' or</v>
      </c>
      <c r="H60" s="20" t="s">
        <v>784</v>
      </c>
      <c r="I60" t="s">
        <v>785</v>
      </c>
      <c r="J60" t="s">
        <v>786</v>
      </c>
      <c r="K60" t="s">
        <v>787</v>
      </c>
      <c r="L60" t="s">
        <v>788</v>
      </c>
      <c r="M60" t="s">
        <v>789</v>
      </c>
      <c r="N60">
        <v>20738</v>
      </c>
      <c r="O60">
        <v>11</v>
      </c>
      <c r="P60">
        <v>2023</v>
      </c>
    </row>
    <row r="61" spans="1:16" x14ac:dyDescent="0.25">
      <c r="A61" s="20" t="s">
        <v>737</v>
      </c>
      <c r="B61" s="21" t="str">
        <f t="shared" si="0"/>
        <v>-11-2023</v>
      </c>
      <c r="D61" s="21">
        <v>20739</v>
      </c>
      <c r="E61" s="21" t="str">
        <f t="shared" si="1"/>
        <v>ia.assorted_string like '%20739-11-2023%' or</v>
      </c>
      <c r="H61" s="20" t="s">
        <v>784</v>
      </c>
      <c r="I61" t="s">
        <v>785</v>
      </c>
      <c r="J61" t="s">
        <v>786</v>
      </c>
      <c r="K61" t="s">
        <v>787</v>
      </c>
      <c r="L61" t="s">
        <v>788</v>
      </c>
      <c r="M61" t="s">
        <v>789</v>
      </c>
      <c r="N61">
        <v>20739</v>
      </c>
      <c r="O61">
        <v>11</v>
      </c>
      <c r="P61">
        <v>2023</v>
      </c>
    </row>
    <row r="62" spans="1:16" x14ac:dyDescent="0.25">
      <c r="A62" s="20" t="s">
        <v>738</v>
      </c>
      <c r="B62" s="21" t="str">
        <f t="shared" si="0"/>
        <v>-11-2023</v>
      </c>
      <c r="D62" s="21">
        <v>20740</v>
      </c>
      <c r="E62" s="21" t="str">
        <f t="shared" si="1"/>
        <v>ia.assorted_string like '%20740-11-2023%' or</v>
      </c>
      <c r="H62" s="20" t="s">
        <v>784</v>
      </c>
      <c r="I62" t="s">
        <v>785</v>
      </c>
      <c r="J62" t="s">
        <v>786</v>
      </c>
      <c r="K62" t="s">
        <v>787</v>
      </c>
      <c r="L62" t="s">
        <v>788</v>
      </c>
      <c r="M62" t="s">
        <v>789</v>
      </c>
      <c r="N62">
        <v>20740</v>
      </c>
      <c r="O62">
        <v>11</v>
      </c>
      <c r="P62">
        <v>2023</v>
      </c>
    </row>
    <row r="63" spans="1:16" x14ac:dyDescent="0.25">
      <c r="A63" s="20" t="s">
        <v>739</v>
      </c>
      <c r="B63" s="21" t="str">
        <f t="shared" si="0"/>
        <v>-11-2023</v>
      </c>
      <c r="D63" s="21">
        <v>20741</v>
      </c>
      <c r="E63" s="21" t="str">
        <f t="shared" si="1"/>
        <v>ia.assorted_string like '%20741-11-2023%' or</v>
      </c>
      <c r="H63" s="20" t="s">
        <v>784</v>
      </c>
      <c r="I63" t="s">
        <v>785</v>
      </c>
      <c r="J63" t="s">
        <v>786</v>
      </c>
      <c r="K63" t="s">
        <v>787</v>
      </c>
      <c r="L63" t="s">
        <v>788</v>
      </c>
      <c r="M63" t="s">
        <v>789</v>
      </c>
      <c r="N63">
        <v>20741</v>
      </c>
      <c r="O63">
        <v>11</v>
      </c>
      <c r="P63">
        <v>2023</v>
      </c>
    </row>
    <row r="64" spans="1:16" x14ac:dyDescent="0.25">
      <c r="A64" s="20" t="s">
        <v>740</v>
      </c>
      <c r="B64" s="21" t="str">
        <f t="shared" si="0"/>
        <v>-11-2023</v>
      </c>
      <c r="D64" s="21">
        <v>20742</v>
      </c>
      <c r="E64" s="21" t="str">
        <f t="shared" si="1"/>
        <v>ia.assorted_string like '%20742-11-2023%' or</v>
      </c>
      <c r="H64" s="20" t="s">
        <v>784</v>
      </c>
      <c r="I64" t="s">
        <v>785</v>
      </c>
      <c r="J64" t="s">
        <v>786</v>
      </c>
      <c r="K64" t="s">
        <v>787</v>
      </c>
      <c r="L64" t="s">
        <v>788</v>
      </c>
      <c r="M64" t="s">
        <v>789</v>
      </c>
      <c r="N64">
        <v>20742</v>
      </c>
      <c r="O64">
        <v>11</v>
      </c>
      <c r="P64">
        <v>2023</v>
      </c>
    </row>
    <row r="65" spans="1:16" x14ac:dyDescent="0.25">
      <c r="A65" s="20" t="s">
        <v>741</v>
      </c>
      <c r="B65" s="21" t="str">
        <f t="shared" si="0"/>
        <v>-11-2023</v>
      </c>
      <c r="D65" s="21">
        <v>20743</v>
      </c>
      <c r="E65" s="21" t="str">
        <f t="shared" si="1"/>
        <v>ia.assorted_string like '%20743-11-2023%' or</v>
      </c>
      <c r="H65" s="20" t="s">
        <v>784</v>
      </c>
      <c r="I65" t="s">
        <v>785</v>
      </c>
      <c r="J65" t="s">
        <v>786</v>
      </c>
      <c r="K65" t="s">
        <v>787</v>
      </c>
      <c r="L65" t="s">
        <v>788</v>
      </c>
      <c r="M65" t="s">
        <v>789</v>
      </c>
      <c r="N65">
        <v>20743</v>
      </c>
      <c r="O65">
        <v>11</v>
      </c>
      <c r="P65">
        <v>2023</v>
      </c>
    </row>
    <row r="66" spans="1:16" x14ac:dyDescent="0.25">
      <c r="A66" s="20" t="s">
        <v>742</v>
      </c>
      <c r="B66" s="21" t="str">
        <f t="shared" ref="B66:B107" si="2">RIGHT(A66,8)</f>
        <v>-11-2023</v>
      </c>
      <c r="D66" s="21">
        <v>20744</v>
      </c>
      <c r="E66" s="21" t="str">
        <f t="shared" ref="E66:E107" si="3">"ia.assorted_string like '%"&amp;D66&amp;B66&amp;"%' or"</f>
        <v>ia.assorted_string like '%20744-11-2023%' or</v>
      </c>
      <c r="H66" s="20" t="s">
        <v>784</v>
      </c>
      <c r="I66" t="s">
        <v>785</v>
      </c>
      <c r="J66" t="s">
        <v>786</v>
      </c>
      <c r="K66" t="s">
        <v>787</v>
      </c>
      <c r="L66" t="s">
        <v>788</v>
      </c>
      <c r="M66" t="s">
        <v>789</v>
      </c>
      <c r="N66">
        <v>20744</v>
      </c>
      <c r="O66">
        <v>11</v>
      </c>
      <c r="P66">
        <v>2023</v>
      </c>
    </row>
    <row r="67" spans="1:16" x14ac:dyDescent="0.25">
      <c r="A67" s="20" t="s">
        <v>743</v>
      </c>
      <c r="B67" s="21" t="str">
        <f t="shared" si="2"/>
        <v>-11-2023</v>
      </c>
      <c r="D67" s="21">
        <v>20745</v>
      </c>
      <c r="E67" s="21" t="str">
        <f t="shared" si="3"/>
        <v>ia.assorted_string like '%20745-11-2023%' or</v>
      </c>
      <c r="H67" s="20" t="s">
        <v>784</v>
      </c>
      <c r="I67" t="s">
        <v>785</v>
      </c>
      <c r="J67" t="s">
        <v>786</v>
      </c>
      <c r="K67" t="s">
        <v>787</v>
      </c>
      <c r="L67" t="s">
        <v>788</v>
      </c>
      <c r="M67" t="s">
        <v>789</v>
      </c>
      <c r="N67">
        <v>20745</v>
      </c>
      <c r="O67">
        <v>11</v>
      </c>
      <c r="P67">
        <v>2023</v>
      </c>
    </row>
    <row r="68" spans="1:16" x14ac:dyDescent="0.25">
      <c r="A68" s="20" t="s">
        <v>744</v>
      </c>
      <c r="B68" s="21" t="str">
        <f t="shared" si="2"/>
        <v>-11-2023</v>
      </c>
      <c r="D68" s="21">
        <v>20746</v>
      </c>
      <c r="E68" s="21" t="str">
        <f t="shared" si="3"/>
        <v>ia.assorted_string like '%20746-11-2023%' or</v>
      </c>
      <c r="H68" s="20" t="s">
        <v>784</v>
      </c>
      <c r="I68" t="s">
        <v>785</v>
      </c>
      <c r="J68" t="s">
        <v>786</v>
      </c>
      <c r="K68" t="s">
        <v>787</v>
      </c>
      <c r="L68" t="s">
        <v>788</v>
      </c>
      <c r="M68" t="s">
        <v>789</v>
      </c>
      <c r="N68">
        <v>20746</v>
      </c>
      <c r="O68">
        <v>11</v>
      </c>
      <c r="P68">
        <v>2023</v>
      </c>
    </row>
    <row r="69" spans="1:16" x14ac:dyDescent="0.25">
      <c r="A69" s="20" t="s">
        <v>745</v>
      </c>
      <c r="B69" s="21" t="str">
        <f t="shared" si="2"/>
        <v>-11-2023</v>
      </c>
      <c r="D69" s="21">
        <v>20747</v>
      </c>
      <c r="E69" s="21" t="str">
        <f t="shared" si="3"/>
        <v>ia.assorted_string like '%20747-11-2023%' or</v>
      </c>
      <c r="H69" s="20" t="s">
        <v>784</v>
      </c>
      <c r="I69" t="s">
        <v>785</v>
      </c>
      <c r="J69" t="s">
        <v>786</v>
      </c>
      <c r="K69" t="s">
        <v>787</v>
      </c>
      <c r="L69" t="s">
        <v>788</v>
      </c>
      <c r="M69" t="s">
        <v>789</v>
      </c>
      <c r="N69">
        <v>20747</v>
      </c>
      <c r="O69">
        <v>11</v>
      </c>
      <c r="P69">
        <v>2023</v>
      </c>
    </row>
    <row r="70" spans="1:16" x14ac:dyDescent="0.25">
      <c r="A70" s="20" t="s">
        <v>746</v>
      </c>
      <c r="B70" s="21" t="str">
        <f t="shared" si="2"/>
        <v>-11-2023</v>
      </c>
      <c r="D70" s="21">
        <v>20748</v>
      </c>
      <c r="E70" s="21" t="str">
        <f t="shared" si="3"/>
        <v>ia.assorted_string like '%20748-11-2023%' or</v>
      </c>
      <c r="H70" s="20" t="s">
        <v>784</v>
      </c>
      <c r="I70" t="s">
        <v>785</v>
      </c>
      <c r="J70" t="s">
        <v>786</v>
      </c>
      <c r="K70" t="s">
        <v>787</v>
      </c>
      <c r="L70" t="s">
        <v>788</v>
      </c>
      <c r="M70" t="s">
        <v>789</v>
      </c>
      <c r="N70">
        <v>20748</v>
      </c>
      <c r="O70">
        <v>11</v>
      </c>
      <c r="P70">
        <v>2023</v>
      </c>
    </row>
    <row r="71" spans="1:16" x14ac:dyDescent="0.25">
      <c r="A71" s="20" t="s">
        <v>747</v>
      </c>
      <c r="B71" s="21" t="str">
        <f t="shared" si="2"/>
        <v>-11-2023</v>
      </c>
      <c r="D71" s="21">
        <v>20749</v>
      </c>
      <c r="E71" s="21" t="str">
        <f t="shared" si="3"/>
        <v>ia.assorted_string like '%20749-11-2023%' or</v>
      </c>
      <c r="H71" s="20" t="s">
        <v>784</v>
      </c>
      <c r="I71" t="s">
        <v>785</v>
      </c>
      <c r="J71" t="s">
        <v>786</v>
      </c>
      <c r="K71" t="s">
        <v>787</v>
      </c>
      <c r="L71" t="s">
        <v>788</v>
      </c>
      <c r="M71" t="s">
        <v>789</v>
      </c>
      <c r="N71">
        <v>20749</v>
      </c>
      <c r="O71">
        <v>11</v>
      </c>
      <c r="P71">
        <v>2023</v>
      </c>
    </row>
    <row r="72" spans="1:16" x14ac:dyDescent="0.25">
      <c r="A72" s="20" t="s">
        <v>748</v>
      </c>
      <c r="B72" s="21" t="str">
        <f t="shared" si="2"/>
        <v>-11-2023</v>
      </c>
      <c r="D72" s="21">
        <v>20750</v>
      </c>
      <c r="E72" s="21" t="str">
        <f t="shared" si="3"/>
        <v>ia.assorted_string like '%20750-11-2023%' or</v>
      </c>
      <c r="H72" s="20" t="s">
        <v>784</v>
      </c>
      <c r="I72" t="s">
        <v>785</v>
      </c>
      <c r="J72" t="s">
        <v>786</v>
      </c>
      <c r="K72" t="s">
        <v>787</v>
      </c>
      <c r="L72" t="s">
        <v>788</v>
      </c>
      <c r="M72" t="s">
        <v>789</v>
      </c>
      <c r="N72">
        <v>20750</v>
      </c>
      <c r="O72">
        <v>11</v>
      </c>
      <c r="P72">
        <v>2023</v>
      </c>
    </row>
    <row r="73" spans="1:16" x14ac:dyDescent="0.25">
      <c r="A73" s="20" t="s">
        <v>749</v>
      </c>
      <c r="B73" s="21" t="str">
        <f t="shared" si="2"/>
        <v>-11-2023</v>
      </c>
      <c r="D73" s="21">
        <v>20751</v>
      </c>
      <c r="E73" s="21" t="str">
        <f t="shared" si="3"/>
        <v>ia.assorted_string like '%20751-11-2023%' or</v>
      </c>
      <c r="H73" s="20" t="s">
        <v>784</v>
      </c>
      <c r="I73" t="s">
        <v>785</v>
      </c>
      <c r="J73" t="s">
        <v>786</v>
      </c>
      <c r="K73" t="s">
        <v>787</v>
      </c>
      <c r="L73" t="s">
        <v>788</v>
      </c>
      <c r="M73" t="s">
        <v>789</v>
      </c>
      <c r="N73">
        <v>20751</v>
      </c>
      <c r="O73">
        <v>11</v>
      </c>
      <c r="P73">
        <v>2023</v>
      </c>
    </row>
    <row r="74" spans="1:16" x14ac:dyDescent="0.25">
      <c r="A74" s="20" t="s">
        <v>750</v>
      </c>
      <c r="B74" s="21" t="str">
        <f t="shared" si="2"/>
        <v>-11-2023</v>
      </c>
      <c r="D74" s="21">
        <v>20752</v>
      </c>
      <c r="E74" s="21" t="str">
        <f t="shared" si="3"/>
        <v>ia.assorted_string like '%20752-11-2023%' or</v>
      </c>
      <c r="H74" s="20" t="s">
        <v>784</v>
      </c>
      <c r="I74" t="s">
        <v>785</v>
      </c>
      <c r="J74" t="s">
        <v>786</v>
      </c>
      <c r="K74" t="s">
        <v>787</v>
      </c>
      <c r="L74" t="s">
        <v>788</v>
      </c>
      <c r="M74" t="s">
        <v>789</v>
      </c>
      <c r="N74">
        <v>20752</v>
      </c>
      <c r="O74">
        <v>11</v>
      </c>
      <c r="P74">
        <v>2023</v>
      </c>
    </row>
    <row r="75" spans="1:16" x14ac:dyDescent="0.25">
      <c r="A75" s="20" t="s">
        <v>751</v>
      </c>
      <c r="B75" s="21" t="str">
        <f t="shared" si="2"/>
        <v>-11-2023</v>
      </c>
      <c r="D75" s="21">
        <v>20753</v>
      </c>
      <c r="E75" s="21" t="str">
        <f t="shared" si="3"/>
        <v>ia.assorted_string like '%20753-11-2023%' or</v>
      </c>
      <c r="H75" s="20" t="s">
        <v>784</v>
      </c>
      <c r="I75" t="s">
        <v>785</v>
      </c>
      <c r="J75" t="s">
        <v>786</v>
      </c>
      <c r="K75" t="s">
        <v>787</v>
      </c>
      <c r="L75" t="s">
        <v>788</v>
      </c>
      <c r="M75" t="s">
        <v>789</v>
      </c>
      <c r="N75">
        <v>20753</v>
      </c>
      <c r="O75">
        <v>11</v>
      </c>
      <c r="P75">
        <v>2023</v>
      </c>
    </row>
    <row r="76" spans="1:16" x14ac:dyDescent="0.25">
      <c r="A76" s="20" t="s">
        <v>752</v>
      </c>
      <c r="B76" s="21" t="str">
        <f t="shared" si="2"/>
        <v>-11-2023</v>
      </c>
      <c r="D76" s="21">
        <v>20754</v>
      </c>
      <c r="E76" s="21" t="str">
        <f t="shared" si="3"/>
        <v>ia.assorted_string like '%20754-11-2023%' or</v>
      </c>
      <c r="H76" s="20" t="s">
        <v>784</v>
      </c>
      <c r="I76" t="s">
        <v>785</v>
      </c>
      <c r="J76" t="s">
        <v>786</v>
      </c>
      <c r="K76" t="s">
        <v>787</v>
      </c>
      <c r="L76" t="s">
        <v>788</v>
      </c>
      <c r="M76" t="s">
        <v>789</v>
      </c>
      <c r="N76">
        <v>20754</v>
      </c>
      <c r="O76">
        <v>11</v>
      </c>
      <c r="P76">
        <v>2023</v>
      </c>
    </row>
    <row r="77" spans="1:16" x14ac:dyDescent="0.25">
      <c r="A77" s="20" t="s">
        <v>753</v>
      </c>
      <c r="B77" s="21" t="str">
        <f t="shared" si="2"/>
        <v>-11-2023</v>
      </c>
      <c r="D77" s="21">
        <v>20755</v>
      </c>
      <c r="E77" s="21" t="str">
        <f t="shared" si="3"/>
        <v>ia.assorted_string like '%20755-11-2023%' or</v>
      </c>
      <c r="H77" s="20" t="s">
        <v>784</v>
      </c>
      <c r="I77" t="s">
        <v>785</v>
      </c>
      <c r="J77" t="s">
        <v>786</v>
      </c>
      <c r="K77" t="s">
        <v>787</v>
      </c>
      <c r="L77" t="s">
        <v>788</v>
      </c>
      <c r="M77" t="s">
        <v>789</v>
      </c>
      <c r="N77">
        <v>20755</v>
      </c>
      <c r="O77">
        <v>11</v>
      </c>
      <c r="P77">
        <v>2023</v>
      </c>
    </row>
    <row r="78" spans="1:16" x14ac:dyDescent="0.25">
      <c r="A78" s="20" t="s">
        <v>754</v>
      </c>
      <c r="B78" s="21" t="str">
        <f t="shared" si="2"/>
        <v>-11-2023</v>
      </c>
      <c r="D78" s="21">
        <v>20756</v>
      </c>
      <c r="E78" s="21" t="str">
        <f t="shared" si="3"/>
        <v>ia.assorted_string like '%20756-11-2023%' or</v>
      </c>
      <c r="H78" s="20" t="s">
        <v>784</v>
      </c>
      <c r="I78" t="s">
        <v>785</v>
      </c>
      <c r="J78" t="s">
        <v>786</v>
      </c>
      <c r="K78" t="s">
        <v>787</v>
      </c>
      <c r="L78" t="s">
        <v>788</v>
      </c>
      <c r="M78" t="s">
        <v>789</v>
      </c>
      <c r="N78">
        <v>20756</v>
      </c>
      <c r="O78">
        <v>11</v>
      </c>
      <c r="P78">
        <v>2023</v>
      </c>
    </row>
    <row r="79" spans="1:16" x14ac:dyDescent="0.25">
      <c r="A79" s="20" t="s">
        <v>755</v>
      </c>
      <c r="B79" s="21" t="str">
        <f t="shared" si="2"/>
        <v>-11-2023</v>
      </c>
      <c r="D79" s="21">
        <v>20757</v>
      </c>
      <c r="E79" s="21" t="str">
        <f t="shared" si="3"/>
        <v>ia.assorted_string like '%20757-11-2023%' or</v>
      </c>
      <c r="H79" s="20" t="s">
        <v>784</v>
      </c>
      <c r="I79" t="s">
        <v>785</v>
      </c>
      <c r="J79" t="s">
        <v>786</v>
      </c>
      <c r="K79" t="s">
        <v>787</v>
      </c>
      <c r="L79" t="s">
        <v>788</v>
      </c>
      <c r="M79" t="s">
        <v>789</v>
      </c>
      <c r="N79">
        <v>20757</v>
      </c>
      <c r="O79">
        <v>11</v>
      </c>
      <c r="P79">
        <v>2023</v>
      </c>
    </row>
    <row r="80" spans="1:16" x14ac:dyDescent="0.25">
      <c r="A80" s="20" t="s">
        <v>756</v>
      </c>
      <c r="B80" s="21" t="str">
        <f t="shared" si="2"/>
        <v>-11-2023</v>
      </c>
      <c r="D80" s="21">
        <v>20758</v>
      </c>
      <c r="E80" s="21" t="str">
        <f t="shared" si="3"/>
        <v>ia.assorted_string like '%20758-11-2023%' or</v>
      </c>
      <c r="H80" s="20" t="s">
        <v>784</v>
      </c>
      <c r="I80" t="s">
        <v>785</v>
      </c>
      <c r="J80" t="s">
        <v>786</v>
      </c>
      <c r="K80" t="s">
        <v>787</v>
      </c>
      <c r="L80" t="s">
        <v>788</v>
      </c>
      <c r="M80" t="s">
        <v>789</v>
      </c>
      <c r="N80">
        <v>20758</v>
      </c>
      <c r="O80">
        <v>11</v>
      </c>
      <c r="P80">
        <v>2023</v>
      </c>
    </row>
    <row r="81" spans="1:16" x14ac:dyDescent="0.25">
      <c r="A81" s="20" t="s">
        <v>757</v>
      </c>
      <c r="B81" s="21" t="str">
        <f t="shared" si="2"/>
        <v>-11-2023</v>
      </c>
      <c r="D81" s="21">
        <v>20759</v>
      </c>
      <c r="E81" s="21" t="str">
        <f t="shared" si="3"/>
        <v>ia.assorted_string like '%20759-11-2023%' or</v>
      </c>
      <c r="H81" s="20" t="s">
        <v>784</v>
      </c>
      <c r="I81" t="s">
        <v>785</v>
      </c>
      <c r="J81" t="s">
        <v>786</v>
      </c>
      <c r="K81" t="s">
        <v>787</v>
      </c>
      <c r="L81" t="s">
        <v>788</v>
      </c>
      <c r="M81" t="s">
        <v>789</v>
      </c>
      <c r="N81">
        <v>20759</v>
      </c>
      <c r="O81">
        <v>11</v>
      </c>
      <c r="P81">
        <v>2023</v>
      </c>
    </row>
    <row r="82" spans="1:16" x14ac:dyDescent="0.25">
      <c r="A82" s="20" t="s">
        <v>758</v>
      </c>
      <c r="B82" s="21" t="str">
        <f t="shared" si="2"/>
        <v>-11-2023</v>
      </c>
      <c r="D82" s="21">
        <v>20760</v>
      </c>
      <c r="E82" s="21" t="str">
        <f t="shared" si="3"/>
        <v>ia.assorted_string like '%20760-11-2023%' or</v>
      </c>
      <c r="H82" s="20" t="s">
        <v>784</v>
      </c>
      <c r="I82" t="s">
        <v>785</v>
      </c>
      <c r="J82" t="s">
        <v>786</v>
      </c>
      <c r="K82" t="s">
        <v>787</v>
      </c>
      <c r="L82" t="s">
        <v>788</v>
      </c>
      <c r="M82" t="s">
        <v>789</v>
      </c>
      <c r="N82">
        <v>20760</v>
      </c>
      <c r="O82">
        <v>11</v>
      </c>
      <c r="P82">
        <v>2023</v>
      </c>
    </row>
    <row r="83" spans="1:16" x14ac:dyDescent="0.25">
      <c r="A83" s="20" t="s">
        <v>759</v>
      </c>
      <c r="B83" s="21" t="str">
        <f t="shared" si="2"/>
        <v>-11-2023</v>
      </c>
      <c r="D83" s="21">
        <v>20761</v>
      </c>
      <c r="E83" s="21" t="str">
        <f t="shared" si="3"/>
        <v>ia.assorted_string like '%20761-11-2023%' or</v>
      </c>
      <c r="H83" s="20" t="s">
        <v>784</v>
      </c>
      <c r="I83" t="s">
        <v>785</v>
      </c>
      <c r="J83" t="s">
        <v>786</v>
      </c>
      <c r="K83" t="s">
        <v>787</v>
      </c>
      <c r="L83" t="s">
        <v>788</v>
      </c>
      <c r="M83" t="s">
        <v>789</v>
      </c>
      <c r="N83">
        <v>20761</v>
      </c>
      <c r="O83">
        <v>11</v>
      </c>
      <c r="P83">
        <v>2023</v>
      </c>
    </row>
    <row r="84" spans="1:16" x14ac:dyDescent="0.25">
      <c r="A84" s="20" t="s">
        <v>760</v>
      </c>
      <c r="B84" s="21" t="str">
        <f t="shared" si="2"/>
        <v>-11-2023</v>
      </c>
      <c r="D84" s="21">
        <v>20762</v>
      </c>
      <c r="E84" s="21" t="str">
        <f t="shared" si="3"/>
        <v>ia.assorted_string like '%20762-11-2023%' or</v>
      </c>
      <c r="H84" s="20" t="s">
        <v>784</v>
      </c>
      <c r="I84" t="s">
        <v>785</v>
      </c>
      <c r="J84" t="s">
        <v>786</v>
      </c>
      <c r="K84" t="s">
        <v>787</v>
      </c>
      <c r="L84" t="s">
        <v>788</v>
      </c>
      <c r="M84" t="s">
        <v>789</v>
      </c>
      <c r="N84">
        <v>20762</v>
      </c>
      <c r="O84">
        <v>11</v>
      </c>
      <c r="P84">
        <v>2023</v>
      </c>
    </row>
    <row r="85" spans="1:16" x14ac:dyDescent="0.25">
      <c r="A85" s="20" t="s">
        <v>761</v>
      </c>
      <c r="B85" s="21" t="str">
        <f t="shared" si="2"/>
        <v>-11-2023</v>
      </c>
      <c r="D85" s="21">
        <v>20763</v>
      </c>
      <c r="E85" s="21" t="str">
        <f t="shared" si="3"/>
        <v>ia.assorted_string like '%20763-11-2023%' or</v>
      </c>
      <c r="H85" s="20" t="s">
        <v>784</v>
      </c>
      <c r="I85" t="s">
        <v>785</v>
      </c>
      <c r="J85" t="s">
        <v>786</v>
      </c>
      <c r="K85" t="s">
        <v>787</v>
      </c>
      <c r="L85" t="s">
        <v>788</v>
      </c>
      <c r="M85" t="s">
        <v>789</v>
      </c>
      <c r="N85">
        <v>20763</v>
      </c>
      <c r="O85">
        <v>11</v>
      </c>
      <c r="P85">
        <v>2023</v>
      </c>
    </row>
    <row r="86" spans="1:16" x14ac:dyDescent="0.25">
      <c r="A86" s="20" t="s">
        <v>762</v>
      </c>
      <c r="B86" s="21" t="str">
        <f t="shared" si="2"/>
        <v>-11-2023</v>
      </c>
      <c r="D86" s="21">
        <v>20764</v>
      </c>
      <c r="E86" s="21" t="str">
        <f t="shared" si="3"/>
        <v>ia.assorted_string like '%20764-11-2023%' or</v>
      </c>
      <c r="H86" s="20" t="s">
        <v>784</v>
      </c>
      <c r="I86" t="s">
        <v>785</v>
      </c>
      <c r="J86" t="s">
        <v>786</v>
      </c>
      <c r="K86" t="s">
        <v>787</v>
      </c>
      <c r="L86" t="s">
        <v>788</v>
      </c>
      <c r="M86" t="s">
        <v>789</v>
      </c>
      <c r="N86">
        <v>20764</v>
      </c>
      <c r="O86">
        <v>11</v>
      </c>
      <c r="P86">
        <v>2023</v>
      </c>
    </row>
    <row r="87" spans="1:16" x14ac:dyDescent="0.25">
      <c r="A87" s="20" t="s">
        <v>763</v>
      </c>
      <c r="B87" s="21" t="str">
        <f t="shared" si="2"/>
        <v>-11-2023</v>
      </c>
      <c r="D87" s="21">
        <v>20765</v>
      </c>
      <c r="E87" s="21" t="str">
        <f t="shared" si="3"/>
        <v>ia.assorted_string like '%20765-11-2023%' or</v>
      </c>
      <c r="H87" s="20" t="s">
        <v>784</v>
      </c>
      <c r="I87" t="s">
        <v>785</v>
      </c>
      <c r="J87" t="s">
        <v>786</v>
      </c>
      <c r="K87" t="s">
        <v>787</v>
      </c>
      <c r="L87" t="s">
        <v>788</v>
      </c>
      <c r="M87" t="s">
        <v>789</v>
      </c>
      <c r="N87">
        <v>20765</v>
      </c>
      <c r="O87">
        <v>11</v>
      </c>
      <c r="P87">
        <v>2023</v>
      </c>
    </row>
    <row r="88" spans="1:16" x14ac:dyDescent="0.25">
      <c r="A88" s="20" t="s">
        <v>764</v>
      </c>
      <c r="B88" s="21" t="str">
        <f t="shared" si="2"/>
        <v>-11-2023</v>
      </c>
      <c r="D88" s="21">
        <v>20766</v>
      </c>
      <c r="E88" s="21" t="str">
        <f t="shared" si="3"/>
        <v>ia.assorted_string like '%20766-11-2023%' or</v>
      </c>
      <c r="H88" s="20" t="s">
        <v>784</v>
      </c>
      <c r="I88" t="s">
        <v>785</v>
      </c>
      <c r="J88" t="s">
        <v>786</v>
      </c>
      <c r="K88" t="s">
        <v>787</v>
      </c>
      <c r="L88" t="s">
        <v>788</v>
      </c>
      <c r="M88" t="s">
        <v>789</v>
      </c>
      <c r="N88">
        <v>20766</v>
      </c>
      <c r="O88">
        <v>11</v>
      </c>
      <c r="P88">
        <v>2023</v>
      </c>
    </row>
    <row r="89" spans="1:16" x14ac:dyDescent="0.25">
      <c r="A89" s="20" t="s">
        <v>765</v>
      </c>
      <c r="B89" s="21" t="str">
        <f t="shared" si="2"/>
        <v>-11-2023</v>
      </c>
      <c r="D89" s="21">
        <v>20767</v>
      </c>
      <c r="E89" s="21" t="str">
        <f t="shared" si="3"/>
        <v>ia.assorted_string like '%20767-11-2023%' or</v>
      </c>
      <c r="H89" s="20" t="s">
        <v>784</v>
      </c>
      <c r="I89" t="s">
        <v>785</v>
      </c>
      <c r="J89" t="s">
        <v>786</v>
      </c>
      <c r="K89" t="s">
        <v>787</v>
      </c>
      <c r="L89" t="s">
        <v>788</v>
      </c>
      <c r="M89" t="s">
        <v>789</v>
      </c>
      <c r="N89">
        <v>20767</v>
      </c>
      <c r="O89">
        <v>11</v>
      </c>
      <c r="P89">
        <v>2023</v>
      </c>
    </row>
    <row r="90" spans="1:16" x14ac:dyDescent="0.25">
      <c r="A90" s="20" t="s">
        <v>766</v>
      </c>
      <c r="B90" s="21" t="str">
        <f t="shared" si="2"/>
        <v>-11-2023</v>
      </c>
      <c r="D90" s="21">
        <v>20768</v>
      </c>
      <c r="E90" s="21" t="str">
        <f t="shared" si="3"/>
        <v>ia.assorted_string like '%20768-11-2023%' or</v>
      </c>
      <c r="H90" s="20" t="s">
        <v>784</v>
      </c>
      <c r="I90" t="s">
        <v>785</v>
      </c>
      <c r="J90" t="s">
        <v>786</v>
      </c>
      <c r="K90" t="s">
        <v>787</v>
      </c>
      <c r="L90" t="s">
        <v>788</v>
      </c>
      <c r="M90" t="s">
        <v>789</v>
      </c>
      <c r="N90">
        <v>20768</v>
      </c>
      <c r="O90">
        <v>11</v>
      </c>
      <c r="P90">
        <v>2023</v>
      </c>
    </row>
    <row r="91" spans="1:16" x14ac:dyDescent="0.25">
      <c r="A91" s="20" t="s">
        <v>767</v>
      </c>
      <c r="B91" s="21" t="str">
        <f t="shared" si="2"/>
        <v>-11-2023</v>
      </c>
      <c r="D91" s="21">
        <v>20769</v>
      </c>
      <c r="E91" s="21" t="str">
        <f t="shared" si="3"/>
        <v>ia.assorted_string like '%20769-11-2023%' or</v>
      </c>
      <c r="H91" s="20" t="s">
        <v>784</v>
      </c>
      <c r="I91" t="s">
        <v>785</v>
      </c>
      <c r="J91" t="s">
        <v>786</v>
      </c>
      <c r="K91" t="s">
        <v>787</v>
      </c>
      <c r="L91" t="s">
        <v>788</v>
      </c>
      <c r="M91" t="s">
        <v>789</v>
      </c>
      <c r="N91">
        <v>20769</v>
      </c>
      <c r="O91">
        <v>11</v>
      </c>
      <c r="P91">
        <v>2023</v>
      </c>
    </row>
    <row r="92" spans="1:16" x14ac:dyDescent="0.25">
      <c r="A92" s="20" t="s">
        <v>768</v>
      </c>
      <c r="B92" s="21" t="str">
        <f t="shared" si="2"/>
        <v>-11-2023</v>
      </c>
      <c r="D92" s="21">
        <v>20770</v>
      </c>
      <c r="E92" s="21" t="str">
        <f t="shared" si="3"/>
        <v>ia.assorted_string like '%20770-11-2023%' or</v>
      </c>
      <c r="H92" s="20" t="s">
        <v>784</v>
      </c>
      <c r="I92" t="s">
        <v>785</v>
      </c>
      <c r="J92" t="s">
        <v>786</v>
      </c>
      <c r="K92" t="s">
        <v>787</v>
      </c>
      <c r="L92" t="s">
        <v>788</v>
      </c>
      <c r="M92" t="s">
        <v>789</v>
      </c>
      <c r="N92">
        <v>20770</v>
      </c>
      <c r="O92">
        <v>11</v>
      </c>
      <c r="P92">
        <v>2023</v>
      </c>
    </row>
    <row r="93" spans="1:16" x14ac:dyDescent="0.25">
      <c r="A93" s="20" t="s">
        <v>769</v>
      </c>
      <c r="B93" s="21" t="str">
        <f t="shared" si="2"/>
        <v>-11-2023</v>
      </c>
      <c r="D93" s="21">
        <v>20771</v>
      </c>
      <c r="E93" s="21" t="str">
        <f t="shared" si="3"/>
        <v>ia.assorted_string like '%20771-11-2023%' or</v>
      </c>
      <c r="H93" s="20" t="s">
        <v>784</v>
      </c>
      <c r="I93" t="s">
        <v>785</v>
      </c>
      <c r="J93" t="s">
        <v>786</v>
      </c>
      <c r="K93" t="s">
        <v>787</v>
      </c>
      <c r="L93" t="s">
        <v>788</v>
      </c>
      <c r="M93" t="s">
        <v>789</v>
      </c>
      <c r="N93">
        <v>20771</v>
      </c>
      <c r="O93">
        <v>11</v>
      </c>
      <c r="P93">
        <v>2023</v>
      </c>
    </row>
    <row r="94" spans="1:16" x14ac:dyDescent="0.25">
      <c r="A94" s="20" t="s">
        <v>770</v>
      </c>
      <c r="B94" s="21" t="str">
        <f t="shared" si="2"/>
        <v>-11-2023</v>
      </c>
      <c r="D94" s="21">
        <v>20772</v>
      </c>
      <c r="E94" s="21" t="str">
        <f t="shared" si="3"/>
        <v>ia.assorted_string like '%20772-11-2023%' or</v>
      </c>
      <c r="H94" s="20" t="s">
        <v>784</v>
      </c>
      <c r="I94" t="s">
        <v>785</v>
      </c>
      <c r="J94" t="s">
        <v>786</v>
      </c>
      <c r="K94" t="s">
        <v>787</v>
      </c>
      <c r="L94" t="s">
        <v>788</v>
      </c>
      <c r="M94" t="s">
        <v>789</v>
      </c>
      <c r="N94">
        <v>20772</v>
      </c>
      <c r="O94">
        <v>11</v>
      </c>
      <c r="P94">
        <v>2023</v>
      </c>
    </row>
    <row r="95" spans="1:16" x14ac:dyDescent="0.25">
      <c r="A95" s="20" t="s">
        <v>771</v>
      </c>
      <c r="B95" s="21" t="str">
        <f t="shared" si="2"/>
        <v>-11-2023</v>
      </c>
      <c r="D95" s="21">
        <v>20773</v>
      </c>
      <c r="E95" s="21" t="str">
        <f t="shared" si="3"/>
        <v>ia.assorted_string like '%20773-11-2023%' or</v>
      </c>
      <c r="H95" s="20" t="s">
        <v>784</v>
      </c>
      <c r="I95" t="s">
        <v>785</v>
      </c>
      <c r="J95" t="s">
        <v>786</v>
      </c>
      <c r="K95" t="s">
        <v>787</v>
      </c>
      <c r="L95" t="s">
        <v>788</v>
      </c>
      <c r="M95" t="s">
        <v>789</v>
      </c>
      <c r="N95">
        <v>20773</v>
      </c>
      <c r="O95">
        <v>11</v>
      </c>
      <c r="P95">
        <v>2023</v>
      </c>
    </row>
    <row r="96" spans="1:16" x14ac:dyDescent="0.25">
      <c r="A96" s="20" t="s">
        <v>772</v>
      </c>
      <c r="B96" s="21" t="str">
        <f t="shared" si="2"/>
        <v>-11-2023</v>
      </c>
      <c r="D96" s="21">
        <v>20774</v>
      </c>
      <c r="E96" s="21" t="str">
        <f t="shared" si="3"/>
        <v>ia.assorted_string like '%20774-11-2023%' or</v>
      </c>
      <c r="H96" s="20" t="s">
        <v>784</v>
      </c>
      <c r="I96" t="s">
        <v>785</v>
      </c>
      <c r="J96" t="s">
        <v>786</v>
      </c>
      <c r="K96" t="s">
        <v>787</v>
      </c>
      <c r="L96" t="s">
        <v>788</v>
      </c>
      <c r="M96" t="s">
        <v>789</v>
      </c>
      <c r="N96">
        <v>20774</v>
      </c>
      <c r="O96">
        <v>11</v>
      </c>
      <c r="P96">
        <v>2023</v>
      </c>
    </row>
    <row r="97" spans="1:16" x14ac:dyDescent="0.25">
      <c r="A97" s="20" t="s">
        <v>773</v>
      </c>
      <c r="B97" s="21" t="str">
        <f t="shared" si="2"/>
        <v>-11-2023</v>
      </c>
      <c r="D97" s="21">
        <v>20775</v>
      </c>
      <c r="E97" s="21" t="str">
        <f t="shared" si="3"/>
        <v>ia.assorted_string like '%20775-11-2023%' or</v>
      </c>
      <c r="H97" s="20" t="s">
        <v>784</v>
      </c>
      <c r="I97" t="s">
        <v>785</v>
      </c>
      <c r="J97" t="s">
        <v>786</v>
      </c>
      <c r="K97" t="s">
        <v>787</v>
      </c>
      <c r="L97" t="s">
        <v>788</v>
      </c>
      <c r="M97" t="s">
        <v>789</v>
      </c>
      <c r="N97">
        <v>20775</v>
      </c>
      <c r="O97">
        <v>11</v>
      </c>
      <c r="P97">
        <v>2023</v>
      </c>
    </row>
    <row r="98" spans="1:16" x14ac:dyDescent="0.25">
      <c r="A98" s="20" t="s">
        <v>774</v>
      </c>
      <c r="B98" s="21" t="str">
        <f t="shared" si="2"/>
        <v>-11-2023</v>
      </c>
      <c r="D98" s="21">
        <v>20776</v>
      </c>
      <c r="E98" s="21" t="str">
        <f t="shared" si="3"/>
        <v>ia.assorted_string like '%20776-11-2023%' or</v>
      </c>
      <c r="H98" s="20" t="s">
        <v>784</v>
      </c>
      <c r="I98" t="s">
        <v>785</v>
      </c>
      <c r="J98" t="s">
        <v>786</v>
      </c>
      <c r="K98" t="s">
        <v>787</v>
      </c>
      <c r="L98" t="s">
        <v>788</v>
      </c>
      <c r="M98" t="s">
        <v>789</v>
      </c>
      <c r="N98">
        <v>20776</v>
      </c>
      <c r="O98">
        <v>11</v>
      </c>
      <c r="P98">
        <v>2023</v>
      </c>
    </row>
    <row r="99" spans="1:16" x14ac:dyDescent="0.25">
      <c r="A99" s="20" t="s">
        <v>775</v>
      </c>
      <c r="B99" s="21" t="str">
        <f t="shared" si="2"/>
        <v>-11-2023</v>
      </c>
      <c r="D99" s="21">
        <v>20777</v>
      </c>
      <c r="E99" s="21" t="str">
        <f t="shared" si="3"/>
        <v>ia.assorted_string like '%20777-11-2023%' or</v>
      </c>
      <c r="H99" s="20" t="s">
        <v>784</v>
      </c>
      <c r="I99" t="s">
        <v>785</v>
      </c>
      <c r="J99" t="s">
        <v>786</v>
      </c>
      <c r="K99" t="s">
        <v>787</v>
      </c>
      <c r="L99" t="s">
        <v>788</v>
      </c>
      <c r="M99" t="s">
        <v>789</v>
      </c>
      <c r="N99">
        <v>20777</v>
      </c>
      <c r="O99">
        <v>11</v>
      </c>
      <c r="P99">
        <v>2023</v>
      </c>
    </row>
    <row r="100" spans="1:16" x14ac:dyDescent="0.25">
      <c r="A100" s="20" t="s">
        <v>776</v>
      </c>
      <c r="B100" s="21" t="str">
        <f t="shared" si="2"/>
        <v>-11-2023</v>
      </c>
      <c r="D100" s="21">
        <v>20778</v>
      </c>
      <c r="E100" s="21" t="str">
        <f t="shared" si="3"/>
        <v>ia.assorted_string like '%20778-11-2023%' or</v>
      </c>
      <c r="H100" s="20" t="s">
        <v>784</v>
      </c>
      <c r="I100" t="s">
        <v>785</v>
      </c>
      <c r="J100" t="s">
        <v>786</v>
      </c>
      <c r="K100" t="s">
        <v>787</v>
      </c>
      <c r="L100" t="s">
        <v>788</v>
      </c>
      <c r="M100" t="s">
        <v>789</v>
      </c>
      <c r="N100">
        <v>20778</v>
      </c>
      <c r="O100">
        <v>11</v>
      </c>
      <c r="P100">
        <v>2023</v>
      </c>
    </row>
    <row r="101" spans="1:16" x14ac:dyDescent="0.25">
      <c r="A101" s="20" t="s">
        <v>777</v>
      </c>
      <c r="B101" s="21" t="str">
        <f t="shared" si="2"/>
        <v>-11-2023</v>
      </c>
      <c r="D101" s="21">
        <v>20779</v>
      </c>
      <c r="E101" s="21" t="str">
        <f t="shared" si="3"/>
        <v>ia.assorted_string like '%20779-11-2023%' or</v>
      </c>
      <c r="H101" s="20" t="s">
        <v>784</v>
      </c>
      <c r="I101" t="s">
        <v>785</v>
      </c>
      <c r="J101" t="s">
        <v>786</v>
      </c>
      <c r="K101" t="s">
        <v>787</v>
      </c>
      <c r="L101" t="s">
        <v>788</v>
      </c>
      <c r="M101" t="s">
        <v>789</v>
      </c>
      <c r="N101">
        <v>20779</v>
      </c>
      <c r="O101">
        <v>11</v>
      </c>
      <c r="P101">
        <v>2023</v>
      </c>
    </row>
    <row r="102" spans="1:16" x14ac:dyDescent="0.25">
      <c r="A102" s="20" t="s">
        <v>778</v>
      </c>
      <c r="B102" s="21" t="str">
        <f t="shared" si="2"/>
        <v>-11-2023</v>
      </c>
      <c r="D102" s="21">
        <v>20780</v>
      </c>
      <c r="E102" s="21" t="str">
        <f t="shared" si="3"/>
        <v>ia.assorted_string like '%20780-11-2023%' or</v>
      </c>
      <c r="H102" s="20" t="s">
        <v>784</v>
      </c>
      <c r="I102" t="s">
        <v>785</v>
      </c>
      <c r="J102" t="s">
        <v>786</v>
      </c>
      <c r="K102" t="s">
        <v>787</v>
      </c>
      <c r="L102" t="s">
        <v>788</v>
      </c>
      <c r="M102" t="s">
        <v>789</v>
      </c>
      <c r="N102">
        <v>20780</v>
      </c>
      <c r="O102">
        <v>11</v>
      </c>
      <c r="P102">
        <v>2023</v>
      </c>
    </row>
    <row r="103" spans="1:16" x14ac:dyDescent="0.25">
      <c r="A103" s="20" t="s">
        <v>779</v>
      </c>
      <c r="B103" s="21" t="str">
        <f t="shared" si="2"/>
        <v>-11-2023</v>
      </c>
      <c r="D103" s="21">
        <v>20781</v>
      </c>
      <c r="E103" s="21" t="str">
        <f t="shared" si="3"/>
        <v>ia.assorted_string like '%20781-11-2023%' or</v>
      </c>
      <c r="H103" s="20" t="s">
        <v>784</v>
      </c>
      <c r="I103" t="s">
        <v>785</v>
      </c>
      <c r="J103" t="s">
        <v>786</v>
      </c>
      <c r="K103" t="s">
        <v>787</v>
      </c>
      <c r="L103" t="s">
        <v>788</v>
      </c>
      <c r="M103" t="s">
        <v>789</v>
      </c>
      <c r="N103">
        <v>20781</v>
      </c>
      <c r="O103">
        <v>11</v>
      </c>
      <c r="P103">
        <v>2023</v>
      </c>
    </row>
    <row r="104" spans="1:16" x14ac:dyDescent="0.25">
      <c r="A104" s="20" t="s">
        <v>780</v>
      </c>
      <c r="B104" s="21" t="str">
        <f t="shared" si="2"/>
        <v>-11-2023</v>
      </c>
      <c r="D104" s="21">
        <v>20782</v>
      </c>
      <c r="E104" s="21" t="str">
        <f t="shared" si="3"/>
        <v>ia.assorted_string like '%20782-11-2023%' or</v>
      </c>
      <c r="H104" s="20" t="s">
        <v>784</v>
      </c>
      <c r="I104" t="s">
        <v>785</v>
      </c>
      <c r="J104" t="s">
        <v>786</v>
      </c>
      <c r="K104" t="s">
        <v>787</v>
      </c>
      <c r="L104" t="s">
        <v>788</v>
      </c>
      <c r="M104" t="s">
        <v>789</v>
      </c>
      <c r="N104">
        <v>20782</v>
      </c>
      <c r="O104">
        <v>11</v>
      </c>
      <c r="P104">
        <v>2023</v>
      </c>
    </row>
    <row r="105" spans="1:16" x14ac:dyDescent="0.25">
      <c r="A105" s="20" t="s">
        <v>781</v>
      </c>
      <c r="B105" s="21" t="str">
        <f t="shared" si="2"/>
        <v>-11-2023</v>
      </c>
      <c r="D105" s="21">
        <v>20783</v>
      </c>
      <c r="E105" s="21" t="str">
        <f t="shared" si="3"/>
        <v>ia.assorted_string like '%20783-11-2023%' or</v>
      </c>
      <c r="H105" s="20" t="s">
        <v>784</v>
      </c>
      <c r="I105" t="s">
        <v>785</v>
      </c>
      <c r="J105" t="s">
        <v>786</v>
      </c>
      <c r="K105" t="s">
        <v>787</v>
      </c>
      <c r="L105" t="s">
        <v>788</v>
      </c>
      <c r="M105" t="s">
        <v>789</v>
      </c>
      <c r="N105">
        <v>20783</v>
      </c>
      <c r="O105">
        <v>11</v>
      </c>
      <c r="P105">
        <v>2023</v>
      </c>
    </row>
    <row r="106" spans="1:16" x14ac:dyDescent="0.25">
      <c r="A106" s="20" t="s">
        <v>782</v>
      </c>
      <c r="B106" s="21" t="str">
        <f t="shared" si="2"/>
        <v>-11-2023</v>
      </c>
      <c r="D106" s="21">
        <v>20784</v>
      </c>
      <c r="E106" s="21" t="str">
        <f t="shared" si="3"/>
        <v>ia.assorted_string like '%20784-11-2023%' or</v>
      </c>
      <c r="H106" s="20" t="s">
        <v>784</v>
      </c>
      <c r="I106" t="s">
        <v>785</v>
      </c>
      <c r="J106" t="s">
        <v>786</v>
      </c>
      <c r="K106" t="s">
        <v>787</v>
      </c>
      <c r="L106" t="s">
        <v>788</v>
      </c>
      <c r="M106" t="s">
        <v>789</v>
      </c>
      <c r="N106">
        <v>20784</v>
      </c>
      <c r="O106">
        <v>11</v>
      </c>
      <c r="P106">
        <v>2023</v>
      </c>
    </row>
    <row r="107" spans="1:16" x14ac:dyDescent="0.25">
      <c r="A107" s="20" t="s">
        <v>783</v>
      </c>
      <c r="B107" s="21" t="str">
        <f t="shared" si="2"/>
        <v>-11-2023</v>
      </c>
      <c r="D107" s="21">
        <v>20785</v>
      </c>
      <c r="E107" s="21" t="str">
        <f t="shared" si="3"/>
        <v>ia.assorted_string like '%20785-11-2023%' or</v>
      </c>
      <c r="H107" s="20" t="s">
        <v>784</v>
      </c>
      <c r="I107" t="s">
        <v>785</v>
      </c>
      <c r="J107" t="s">
        <v>786</v>
      </c>
      <c r="K107" t="s">
        <v>787</v>
      </c>
      <c r="L107" t="s">
        <v>788</v>
      </c>
      <c r="M107" t="s">
        <v>789</v>
      </c>
      <c r="N107">
        <v>20785</v>
      </c>
      <c r="O107">
        <v>11</v>
      </c>
      <c r="P107">
        <v>2023</v>
      </c>
    </row>
  </sheetData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opLeftCell="F16" workbookViewId="0">
      <selection activeCell="K40" sqref="K40"/>
    </sheetView>
  </sheetViews>
  <sheetFormatPr defaultRowHeight="15" customHeight="1" x14ac:dyDescent="0.25"/>
  <cols>
    <col min="1" max="1" width="5.140625" bestFit="1" customWidth="1"/>
    <col min="2" max="2" width="18.28515625" bestFit="1" customWidth="1"/>
    <col min="3" max="3" width="16.28515625" bestFit="1" customWidth="1"/>
    <col min="4" max="4" width="16.28515625" customWidth="1"/>
    <col min="5" max="5" width="27.42578125" bestFit="1" customWidth="1"/>
    <col min="6" max="6" width="12.5703125" bestFit="1" customWidth="1"/>
    <col min="7" max="7" width="13.42578125" bestFit="1" customWidth="1"/>
    <col min="8" max="8" width="119.7109375" bestFit="1" customWidth="1"/>
    <col min="9" max="9" width="10.7109375" bestFit="1" customWidth="1"/>
    <col min="10" max="10" width="12.42578125" bestFit="1" customWidth="1"/>
    <col min="11" max="11" width="7.5703125" bestFit="1" customWidth="1"/>
  </cols>
  <sheetData>
    <row r="1" spans="1:10" s="4" customFormat="1" ht="15" customHeight="1" x14ac:dyDescent="0.35">
      <c r="A1" s="5" t="s">
        <v>0</v>
      </c>
      <c r="B1" s="5" t="s">
        <v>8</v>
      </c>
      <c r="C1" s="5" t="s">
        <v>1</v>
      </c>
      <c r="D1" s="5" t="s">
        <v>9</v>
      </c>
      <c r="E1" s="5" t="s">
        <v>2</v>
      </c>
      <c r="F1" s="5" t="s">
        <v>3</v>
      </c>
      <c r="G1" s="5" t="s">
        <v>4</v>
      </c>
      <c r="H1" s="5" t="s">
        <v>6</v>
      </c>
      <c r="I1" s="6" t="s">
        <v>7</v>
      </c>
      <c r="J1" s="7" t="s">
        <v>5</v>
      </c>
    </row>
    <row r="2" spans="1:10" s="1" customFormat="1" ht="12.75" customHeight="1" x14ac:dyDescent="0.35">
      <c r="A2" s="12">
        <v>1</v>
      </c>
      <c r="B2" s="11"/>
      <c r="C2" s="10" t="s">
        <v>25</v>
      </c>
      <c r="D2" s="8" t="s">
        <v>24</v>
      </c>
      <c r="E2" s="9" t="s">
        <v>26</v>
      </c>
      <c r="F2" s="9" t="s">
        <v>11</v>
      </c>
      <c r="G2" s="10" t="s">
        <v>27</v>
      </c>
      <c r="H2" s="13" t="s">
        <v>28</v>
      </c>
      <c r="I2" s="14"/>
      <c r="J2" s="15"/>
    </row>
    <row r="3" spans="1:10" s="1" customFormat="1" ht="12.75" customHeight="1" x14ac:dyDescent="0.35">
      <c r="A3" s="12">
        <f t="shared" ref="A3:A27" si="0">+A2+1</f>
        <v>2</v>
      </c>
      <c r="B3" s="11"/>
      <c r="C3" s="10" t="s">
        <v>29</v>
      </c>
      <c r="D3" s="8" t="s">
        <v>24</v>
      </c>
      <c r="E3" s="9" t="s">
        <v>30</v>
      </c>
      <c r="F3" s="9" t="s">
        <v>14</v>
      </c>
      <c r="G3" s="10" t="s">
        <v>31</v>
      </c>
      <c r="H3" s="13" t="s">
        <v>32</v>
      </c>
      <c r="I3" s="14"/>
      <c r="J3" s="15"/>
    </row>
    <row r="4" spans="1:10" s="1" customFormat="1" ht="12.75" customHeight="1" x14ac:dyDescent="0.35">
      <c r="A4" s="12">
        <f t="shared" si="0"/>
        <v>3</v>
      </c>
      <c r="B4" s="11"/>
      <c r="C4" s="10" t="s">
        <v>51</v>
      </c>
      <c r="D4" s="8" t="s">
        <v>24</v>
      </c>
      <c r="E4" s="9" t="s">
        <v>52</v>
      </c>
      <c r="F4" s="9" t="s">
        <v>14</v>
      </c>
      <c r="G4" s="10" t="s">
        <v>53</v>
      </c>
      <c r="H4" s="13" t="s">
        <v>54</v>
      </c>
      <c r="I4" s="14"/>
      <c r="J4" s="15"/>
    </row>
    <row r="5" spans="1:10" s="1" customFormat="1" ht="12.75" customHeight="1" x14ac:dyDescent="0.35">
      <c r="A5" s="12">
        <f t="shared" si="0"/>
        <v>4</v>
      </c>
      <c r="B5" s="11"/>
      <c r="C5" s="10" t="s">
        <v>63</v>
      </c>
      <c r="D5" s="8" t="s">
        <v>24</v>
      </c>
      <c r="E5" s="9" t="s">
        <v>64</v>
      </c>
      <c r="F5" s="9" t="s">
        <v>12</v>
      </c>
      <c r="G5" s="10" t="s">
        <v>65</v>
      </c>
      <c r="H5" s="13" t="s">
        <v>66</v>
      </c>
      <c r="I5" s="14"/>
      <c r="J5" s="15"/>
    </row>
    <row r="6" spans="1:10" s="1" customFormat="1" ht="12.75" customHeight="1" x14ac:dyDescent="0.35">
      <c r="A6" s="12">
        <f t="shared" si="0"/>
        <v>5</v>
      </c>
      <c r="B6" s="11"/>
      <c r="C6" s="10" t="s">
        <v>75</v>
      </c>
      <c r="D6" s="8" t="s">
        <v>24</v>
      </c>
      <c r="E6" s="9" t="s">
        <v>76</v>
      </c>
      <c r="F6" s="9" t="s">
        <v>12</v>
      </c>
      <c r="G6" s="10" t="s">
        <v>77</v>
      </c>
      <c r="H6" s="13" t="s">
        <v>78</v>
      </c>
      <c r="I6" s="14"/>
      <c r="J6" s="15"/>
    </row>
    <row r="7" spans="1:10" s="1" customFormat="1" ht="12.75" customHeight="1" x14ac:dyDescent="0.35">
      <c r="A7" s="12">
        <f t="shared" si="0"/>
        <v>6</v>
      </c>
      <c r="B7" s="11"/>
      <c r="C7" s="10" t="s">
        <v>95</v>
      </c>
      <c r="D7" s="8" t="s">
        <v>24</v>
      </c>
      <c r="E7" s="9" t="s">
        <v>96</v>
      </c>
      <c r="F7" s="9" t="s">
        <v>11</v>
      </c>
      <c r="G7" s="10" t="s">
        <v>97</v>
      </c>
      <c r="H7" s="13" t="s">
        <v>98</v>
      </c>
      <c r="I7" s="14"/>
      <c r="J7" s="15"/>
    </row>
    <row r="8" spans="1:10" s="1" customFormat="1" ht="12.75" customHeight="1" x14ac:dyDescent="0.35">
      <c r="A8" s="12">
        <f t="shared" si="0"/>
        <v>7</v>
      </c>
      <c r="B8" s="11"/>
      <c r="C8" s="10" t="s">
        <v>127</v>
      </c>
      <c r="D8" s="8" t="s">
        <v>24</v>
      </c>
      <c r="E8" s="9" t="s">
        <v>128</v>
      </c>
      <c r="F8" s="9" t="s">
        <v>11</v>
      </c>
      <c r="G8" s="10" t="s">
        <v>129</v>
      </c>
      <c r="H8" s="13" t="s">
        <v>130</v>
      </c>
      <c r="I8" s="14"/>
      <c r="J8" s="15"/>
    </row>
    <row r="9" spans="1:10" s="1" customFormat="1" ht="12.75" customHeight="1" x14ac:dyDescent="0.35">
      <c r="A9" s="12">
        <f t="shared" si="0"/>
        <v>8</v>
      </c>
      <c r="B9" s="11"/>
      <c r="C9" s="10" t="s">
        <v>131</v>
      </c>
      <c r="D9" s="8" t="s">
        <v>24</v>
      </c>
      <c r="E9" s="9" t="s">
        <v>132</v>
      </c>
      <c r="F9" s="9" t="s">
        <v>13</v>
      </c>
      <c r="G9" s="10" t="s">
        <v>133</v>
      </c>
      <c r="H9" s="13" t="s">
        <v>134</v>
      </c>
      <c r="I9" s="14"/>
      <c r="J9" s="15"/>
    </row>
    <row r="10" spans="1:10" s="1" customFormat="1" ht="12.75" customHeight="1" x14ac:dyDescent="0.35">
      <c r="A10" s="12">
        <f t="shared" si="0"/>
        <v>9</v>
      </c>
      <c r="B10" s="11"/>
      <c r="C10" s="10" t="s">
        <v>139</v>
      </c>
      <c r="D10" s="8" t="s">
        <v>24</v>
      </c>
      <c r="E10" s="9" t="s">
        <v>140</v>
      </c>
      <c r="F10" s="9" t="s">
        <v>15</v>
      </c>
      <c r="G10" s="10" t="s">
        <v>141</v>
      </c>
      <c r="H10" s="13" t="s">
        <v>142</v>
      </c>
      <c r="I10" s="14"/>
      <c r="J10" s="15"/>
    </row>
    <row r="11" spans="1:10" s="1" customFormat="1" ht="12.75" customHeight="1" x14ac:dyDescent="0.35">
      <c r="A11" s="12">
        <f t="shared" si="0"/>
        <v>10</v>
      </c>
      <c r="B11" s="11"/>
      <c r="C11" s="10" t="s">
        <v>151</v>
      </c>
      <c r="D11" s="8" t="s">
        <v>24</v>
      </c>
      <c r="E11" s="9" t="s">
        <v>152</v>
      </c>
      <c r="F11" s="9" t="s">
        <v>13</v>
      </c>
      <c r="G11" s="10" t="s">
        <v>153</v>
      </c>
      <c r="H11" s="13" t="s">
        <v>154</v>
      </c>
      <c r="I11" s="14"/>
      <c r="J11" s="15"/>
    </row>
    <row r="12" spans="1:10" s="1" customFormat="1" ht="12.75" customHeight="1" x14ac:dyDescent="0.35">
      <c r="A12" s="12">
        <f t="shared" si="0"/>
        <v>11</v>
      </c>
      <c r="B12" s="11"/>
      <c r="C12" s="10" t="s">
        <v>155</v>
      </c>
      <c r="D12" s="8" t="s">
        <v>24</v>
      </c>
      <c r="E12" s="9" t="s">
        <v>156</v>
      </c>
      <c r="F12" s="9" t="s">
        <v>12</v>
      </c>
      <c r="G12" s="10" t="s">
        <v>157</v>
      </c>
      <c r="H12" s="13" t="s">
        <v>158</v>
      </c>
      <c r="I12" s="14"/>
      <c r="J12" s="15"/>
    </row>
    <row r="13" spans="1:10" s="1" customFormat="1" ht="12.75" customHeight="1" x14ac:dyDescent="0.35">
      <c r="A13" s="12">
        <f t="shared" si="0"/>
        <v>12</v>
      </c>
      <c r="B13" s="11"/>
      <c r="C13" s="10" t="s">
        <v>167</v>
      </c>
      <c r="D13" s="8" t="s">
        <v>24</v>
      </c>
      <c r="E13" s="9" t="s">
        <v>168</v>
      </c>
      <c r="F13" s="9" t="s">
        <v>11</v>
      </c>
      <c r="G13" s="10" t="s">
        <v>169</v>
      </c>
      <c r="H13" s="13" t="s">
        <v>170</v>
      </c>
      <c r="I13" s="14"/>
      <c r="J13" s="15"/>
    </row>
    <row r="14" spans="1:10" s="1" customFormat="1" ht="12.75" customHeight="1" x14ac:dyDescent="0.35">
      <c r="A14" s="12">
        <f t="shared" si="0"/>
        <v>13</v>
      </c>
      <c r="B14" s="11"/>
      <c r="C14" s="10" t="s">
        <v>187</v>
      </c>
      <c r="D14" s="8" t="s">
        <v>24</v>
      </c>
      <c r="E14" s="9" t="s">
        <v>188</v>
      </c>
      <c r="F14" s="9" t="s">
        <v>15</v>
      </c>
      <c r="G14" s="10" t="s">
        <v>189</v>
      </c>
      <c r="H14" s="13" t="s">
        <v>190</v>
      </c>
      <c r="I14" s="14"/>
      <c r="J14" s="15"/>
    </row>
    <row r="15" spans="1:10" s="1" customFormat="1" ht="12.75" customHeight="1" x14ac:dyDescent="0.35">
      <c r="A15" s="12">
        <f t="shared" si="0"/>
        <v>14</v>
      </c>
      <c r="B15" s="11"/>
      <c r="C15" s="10" t="s">
        <v>191</v>
      </c>
      <c r="D15" s="8" t="s">
        <v>24</v>
      </c>
      <c r="E15" s="9" t="s">
        <v>192</v>
      </c>
      <c r="F15" s="9" t="s">
        <v>193</v>
      </c>
      <c r="G15" s="10" t="s">
        <v>194</v>
      </c>
      <c r="H15" s="13" t="s">
        <v>195</v>
      </c>
      <c r="I15" s="14"/>
      <c r="J15" s="15"/>
    </row>
    <row r="16" spans="1:10" s="1" customFormat="1" ht="12.75" customHeight="1" x14ac:dyDescent="0.35">
      <c r="A16" s="12">
        <f t="shared" si="0"/>
        <v>15</v>
      </c>
      <c r="B16" s="11"/>
      <c r="C16" s="10" t="s">
        <v>200</v>
      </c>
      <c r="D16" s="8" t="s">
        <v>24</v>
      </c>
      <c r="E16" s="9" t="s">
        <v>201</v>
      </c>
      <c r="F16" s="9" t="s">
        <v>11</v>
      </c>
      <c r="G16" s="10" t="s">
        <v>202</v>
      </c>
      <c r="H16" s="13" t="s">
        <v>203</v>
      </c>
      <c r="I16" s="14"/>
      <c r="J16" s="15"/>
    </row>
    <row r="17" spans="1:10" s="1" customFormat="1" ht="12.75" customHeight="1" x14ac:dyDescent="0.35">
      <c r="A17" s="12">
        <f t="shared" si="0"/>
        <v>16</v>
      </c>
      <c r="B17" s="11"/>
      <c r="C17" s="10" t="s">
        <v>217</v>
      </c>
      <c r="D17" s="8" t="s">
        <v>24</v>
      </c>
      <c r="E17" s="9" t="s">
        <v>218</v>
      </c>
      <c r="F17" s="9" t="s">
        <v>11</v>
      </c>
      <c r="G17" s="10" t="s">
        <v>219</v>
      </c>
      <c r="H17" s="13" t="s">
        <v>220</v>
      </c>
      <c r="I17" s="14"/>
      <c r="J17" s="15"/>
    </row>
    <row r="18" spans="1:10" s="1" customFormat="1" ht="12.75" customHeight="1" x14ac:dyDescent="0.35">
      <c r="A18" s="12">
        <f t="shared" si="0"/>
        <v>17</v>
      </c>
      <c r="B18" s="11"/>
      <c r="C18" s="10" t="s">
        <v>221</v>
      </c>
      <c r="D18" s="8" t="s">
        <v>24</v>
      </c>
      <c r="E18" s="9" t="s">
        <v>222</v>
      </c>
      <c r="F18" s="9" t="s">
        <v>11</v>
      </c>
      <c r="G18" s="10" t="s">
        <v>223</v>
      </c>
      <c r="H18" s="13" t="s">
        <v>224</v>
      </c>
      <c r="I18" s="14"/>
      <c r="J18" s="15"/>
    </row>
    <row r="19" spans="1:10" s="1" customFormat="1" ht="12.75" customHeight="1" x14ac:dyDescent="0.35">
      <c r="A19" s="12">
        <f t="shared" si="0"/>
        <v>18</v>
      </c>
      <c r="B19" s="11"/>
      <c r="C19" s="10" t="s">
        <v>225</v>
      </c>
      <c r="D19" s="8" t="s">
        <v>24</v>
      </c>
      <c r="E19" s="9" t="s">
        <v>226</v>
      </c>
      <c r="F19" s="9" t="s">
        <v>11</v>
      </c>
      <c r="G19" s="10" t="s">
        <v>227</v>
      </c>
      <c r="H19" s="13" t="s">
        <v>228</v>
      </c>
      <c r="I19" s="14"/>
      <c r="J19" s="15"/>
    </row>
    <row r="20" spans="1:10" s="1" customFormat="1" ht="12.75" customHeight="1" x14ac:dyDescent="0.35">
      <c r="A20" s="12">
        <f t="shared" si="0"/>
        <v>19</v>
      </c>
      <c r="B20" s="11"/>
      <c r="C20" s="10" t="s">
        <v>245</v>
      </c>
      <c r="D20" s="8" t="s">
        <v>24</v>
      </c>
      <c r="E20" s="9" t="s">
        <v>246</v>
      </c>
      <c r="F20" s="9" t="s">
        <v>13</v>
      </c>
      <c r="G20" s="10" t="s">
        <v>247</v>
      </c>
      <c r="H20" s="13" t="s">
        <v>248</v>
      </c>
      <c r="I20" s="14"/>
      <c r="J20" s="15"/>
    </row>
    <row r="21" spans="1:10" s="1" customFormat="1" ht="12.75" customHeight="1" x14ac:dyDescent="0.35">
      <c r="A21" s="12">
        <f t="shared" si="0"/>
        <v>20</v>
      </c>
      <c r="B21" s="11"/>
      <c r="C21" s="10" t="s">
        <v>249</v>
      </c>
      <c r="D21" s="8" t="s">
        <v>24</v>
      </c>
      <c r="E21" s="9" t="s">
        <v>250</v>
      </c>
      <c r="F21" s="9" t="s">
        <v>12</v>
      </c>
      <c r="G21" s="10" t="s">
        <v>251</v>
      </c>
      <c r="H21" s="13" t="s">
        <v>252</v>
      </c>
      <c r="I21" s="14"/>
      <c r="J21" s="15"/>
    </row>
    <row r="22" spans="1:10" s="1" customFormat="1" ht="12.75" customHeight="1" x14ac:dyDescent="0.35">
      <c r="A22" s="12">
        <f t="shared" si="0"/>
        <v>21</v>
      </c>
      <c r="B22" s="11"/>
      <c r="C22" s="10" t="s">
        <v>272</v>
      </c>
      <c r="D22" s="8" t="s">
        <v>24</v>
      </c>
      <c r="E22" s="9" t="s">
        <v>273</v>
      </c>
      <c r="F22" s="9" t="s">
        <v>20</v>
      </c>
      <c r="G22" s="10" t="s">
        <v>274</v>
      </c>
      <c r="H22" s="13" t="s">
        <v>275</v>
      </c>
      <c r="I22" s="14"/>
      <c r="J22" s="15"/>
    </row>
    <row r="23" spans="1:10" s="1" customFormat="1" ht="12.75" customHeight="1" x14ac:dyDescent="0.35">
      <c r="A23" s="12">
        <f t="shared" si="0"/>
        <v>22</v>
      </c>
      <c r="B23" s="11"/>
      <c r="C23" s="10" t="s">
        <v>325</v>
      </c>
      <c r="D23" s="8" t="s">
        <v>24</v>
      </c>
      <c r="E23" s="9" t="s">
        <v>326</v>
      </c>
      <c r="F23" s="9" t="s">
        <v>17</v>
      </c>
      <c r="G23" s="10" t="s">
        <v>327</v>
      </c>
      <c r="H23" s="13" t="s">
        <v>328</v>
      </c>
      <c r="I23" s="14"/>
      <c r="J23" s="15"/>
    </row>
    <row r="24" spans="1:10" s="1" customFormat="1" ht="12.75" customHeight="1" x14ac:dyDescent="0.35">
      <c r="A24" s="12">
        <f t="shared" si="0"/>
        <v>23</v>
      </c>
      <c r="B24" s="11"/>
      <c r="C24" s="10" t="s">
        <v>390</v>
      </c>
      <c r="D24" s="8" t="s">
        <v>24</v>
      </c>
      <c r="E24" s="9" t="s">
        <v>391</v>
      </c>
      <c r="F24" s="9" t="s">
        <v>18</v>
      </c>
      <c r="G24" s="10" t="s">
        <v>392</v>
      </c>
      <c r="H24" s="13" t="s">
        <v>393</v>
      </c>
      <c r="I24" s="14"/>
      <c r="J24" s="15"/>
    </row>
    <row r="25" spans="1:10" s="1" customFormat="1" ht="12.75" customHeight="1" x14ac:dyDescent="0.35">
      <c r="A25" s="12">
        <f t="shared" si="0"/>
        <v>24</v>
      </c>
      <c r="B25" s="11"/>
      <c r="C25" s="10" t="s">
        <v>438</v>
      </c>
      <c r="D25" s="8" t="s">
        <v>24</v>
      </c>
      <c r="E25" s="9" t="s">
        <v>439</v>
      </c>
      <c r="F25" s="9" t="s">
        <v>17</v>
      </c>
      <c r="G25" s="10" t="s">
        <v>440</v>
      </c>
      <c r="H25" s="13" t="s">
        <v>441</v>
      </c>
      <c r="I25" s="14"/>
      <c r="J25" s="15"/>
    </row>
    <row r="26" spans="1:10" s="1" customFormat="1" ht="12.75" customHeight="1" x14ac:dyDescent="0.35">
      <c r="A26" s="12">
        <f t="shared" si="0"/>
        <v>25</v>
      </c>
      <c r="B26" s="11"/>
      <c r="C26" s="10" t="s">
        <v>466</v>
      </c>
      <c r="D26" s="8" t="s">
        <v>24</v>
      </c>
      <c r="E26" s="9" t="s">
        <v>467</v>
      </c>
      <c r="F26" s="9" t="s">
        <v>20</v>
      </c>
      <c r="G26" s="10" t="s">
        <v>468</v>
      </c>
      <c r="H26" s="13" t="s">
        <v>469</v>
      </c>
      <c r="I26" s="14"/>
      <c r="J26" s="15"/>
    </row>
    <row r="27" spans="1:10" s="1" customFormat="1" ht="12.75" customHeight="1" x14ac:dyDescent="0.35">
      <c r="A27" s="12">
        <f t="shared" si="0"/>
        <v>26</v>
      </c>
      <c r="B27" s="11"/>
      <c r="C27" s="10" t="s">
        <v>563</v>
      </c>
      <c r="D27" s="8" t="s">
        <v>24</v>
      </c>
      <c r="E27" s="9" t="s">
        <v>564</v>
      </c>
      <c r="F27" s="9" t="s">
        <v>530</v>
      </c>
      <c r="G27" s="10" t="s">
        <v>565</v>
      </c>
      <c r="H27" s="13" t="s">
        <v>566</v>
      </c>
      <c r="I27" s="14"/>
      <c r="J27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Renewal Nov 2023</vt:lpstr>
      <vt:lpstr>working</vt:lpstr>
      <vt:lpstr>Sheet2</vt:lpstr>
      <vt:lpstr>Liqvidate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Pyar Ali Pirwani</dc:creator>
  <cp:lastModifiedBy>IT User Software</cp:lastModifiedBy>
  <dcterms:created xsi:type="dcterms:W3CDTF">2017-02-15T07:30:48Z</dcterms:created>
  <dcterms:modified xsi:type="dcterms:W3CDTF">2024-08-21T07:44:20Z</dcterms:modified>
</cp:coreProperties>
</file>