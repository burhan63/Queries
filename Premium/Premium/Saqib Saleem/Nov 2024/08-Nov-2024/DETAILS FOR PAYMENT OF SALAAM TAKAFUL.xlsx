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emium\Premium\Saqib Saleem\Nov 2024\08-Nov-2024\"/>
    </mc:Choice>
  </mc:AlternateContent>
  <xr:revisionPtr revIDLastSave="0" documentId="13_ncr:1_{6AB1142F-BE84-4026-9213-83577D014DFD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PAYMENT ON MONTH OF OCT-2024" sheetId="1" r:id="rId1"/>
    <sheet name="working" sheetId="2" r:id="rId2"/>
    <sheet name="Sheet2" sheetId="3" r:id="rId3"/>
    <sheet name="policy" sheetId="4" r:id="rId4"/>
  </sheets>
  <definedNames>
    <definedName name="_xlnm._FilterDatabase" localSheetId="0" hidden="1">'PAYMENT ON MONTH OF OCT-2024'!$A$1:$K$60</definedName>
    <definedName name="_xlnm._FilterDatabase" localSheetId="2" hidden="1">Sheet2!$H$1:$H$57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0" i="2" l="1"/>
  <c r="F64" i="1"/>
  <c r="F60" i="1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5" i="2"/>
  <c r="H4" i="2"/>
  <c r="H3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D3" i="2"/>
  <c r="D4" i="2"/>
  <c r="D5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2" i="2"/>
  <c r="F2" i="2"/>
  <c r="D2" i="2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4" i="3"/>
  <c r="J3" i="3"/>
  <c r="J2" i="3"/>
  <c r="J1" i="3"/>
  <c r="H2" i="2" l="1"/>
</calcChain>
</file>

<file path=xl/sharedStrings.xml><?xml version="1.0" encoding="utf-8"?>
<sst xmlns="http://schemas.openxmlformats.org/spreadsheetml/2006/main" count="929" uniqueCount="477">
  <si>
    <t>Contract No.</t>
  </si>
  <si>
    <t>Customer Name</t>
  </si>
  <si>
    <t>CNIC No.</t>
  </si>
  <si>
    <t>Engine No.</t>
  </si>
  <si>
    <t>Chassis No.</t>
  </si>
  <si>
    <t>Premium</t>
  </si>
  <si>
    <t>ACC Number</t>
  </si>
  <si>
    <t>ACC Branch</t>
  </si>
  <si>
    <t>INSURANCE CO.</t>
  </si>
  <si>
    <t>0006437055</t>
  </si>
  <si>
    <t>106</t>
  </si>
  <si>
    <t>SALAAM TAKAFUL PAKISTAN</t>
  </si>
  <si>
    <t>9976AD1242130007</t>
  </si>
  <si>
    <t>RIZWAN IQBAL</t>
  </si>
  <si>
    <t>33100-1956069-1</t>
  </si>
  <si>
    <t>325286</t>
  </si>
  <si>
    <t>1225184</t>
  </si>
  <si>
    <t>9976AD1242330001</t>
  </si>
  <si>
    <t>MUHAMMAD ADEEL IKRAM</t>
  </si>
  <si>
    <t>34101-0722384-9</t>
  </si>
  <si>
    <t>Q370976</t>
  </si>
  <si>
    <t>7070199</t>
  </si>
  <si>
    <t>9976AP1242780003</t>
  </si>
  <si>
    <t>ASIF ZIA</t>
  </si>
  <si>
    <t>33102-9295396-3</t>
  </si>
  <si>
    <t>RR043568</t>
  </si>
  <si>
    <t>9976AP1242780004</t>
  </si>
  <si>
    <t>SAMI TARIQ</t>
  </si>
  <si>
    <t>33102-3276370-1</t>
  </si>
  <si>
    <t>Z537042</t>
  </si>
  <si>
    <t>4162736</t>
  </si>
  <si>
    <t>9976AP1242850002</t>
  </si>
  <si>
    <t>MUHAMMAD ARIF</t>
  </si>
  <si>
    <t>42301-4613699-5</t>
  </si>
  <si>
    <t>7459610</t>
  </si>
  <si>
    <t>202516</t>
  </si>
  <si>
    <t>9976AP1243020005</t>
  </si>
  <si>
    <t>MUHAMMAD MUZAMMIL</t>
  </si>
  <si>
    <t>45504-0886797-7</t>
  </si>
  <si>
    <t>Z570880</t>
  </si>
  <si>
    <t>4199297</t>
  </si>
  <si>
    <t>9976AP1243020007</t>
  </si>
  <si>
    <t>BASHARAT HAMID</t>
  </si>
  <si>
    <t>33105-0361437-1</t>
  </si>
  <si>
    <t>2010115</t>
  </si>
  <si>
    <t>9976AP1243030008</t>
  </si>
  <si>
    <t>MUHAMMAD SHAHID</t>
  </si>
  <si>
    <t>31303-8682978-9</t>
  </si>
  <si>
    <t>6R193509</t>
  </si>
  <si>
    <t>1093495</t>
  </si>
  <si>
    <t>9976AP1243030010</t>
  </si>
  <si>
    <t>ABDUL GHAFFAR RAJPUT</t>
  </si>
  <si>
    <t>45504-1148201-3</t>
  </si>
  <si>
    <t>10114097</t>
  </si>
  <si>
    <t>9976AP1243040011</t>
  </si>
  <si>
    <t>YASIR SHAHZAD</t>
  </si>
  <si>
    <t>33100-9359463-7</t>
  </si>
  <si>
    <t>6R290289</t>
  </si>
  <si>
    <t>1190328</t>
  </si>
  <si>
    <t>9976AP1243040014</t>
  </si>
  <si>
    <t>MUHAMMAD MASUD</t>
  </si>
  <si>
    <t>37405-4906219-7</t>
  </si>
  <si>
    <t>10080121</t>
  </si>
  <si>
    <t>9976AP1243050022</t>
  </si>
  <si>
    <t>SALEEM ABBAS</t>
  </si>
  <si>
    <t>33100-0893342-7</t>
  </si>
  <si>
    <t>6R302672</t>
  </si>
  <si>
    <t>1202663</t>
  </si>
  <si>
    <t>9976AP1243050024</t>
  </si>
  <si>
    <t>MEHMOOD HUSSAIN SOOMRO</t>
  </si>
  <si>
    <t>41303-1245142-3</t>
  </si>
  <si>
    <t>324508</t>
  </si>
  <si>
    <t>1224534</t>
  </si>
  <si>
    <t>9976AP1243050027</t>
  </si>
  <si>
    <t>ABDUL BARI</t>
  </si>
  <si>
    <t>43105-5181326-9</t>
  </si>
  <si>
    <t>6R209999</t>
  </si>
  <si>
    <t>1109974</t>
  </si>
  <si>
    <t>9976AP1243050033</t>
  </si>
  <si>
    <t>ABDUL REHMAN</t>
  </si>
  <si>
    <t>33100-9441387-3</t>
  </si>
  <si>
    <t>713940</t>
  </si>
  <si>
    <t>9976AP2242880001</t>
  </si>
  <si>
    <t>USMAN KHALID</t>
  </si>
  <si>
    <t>13501-9396280-1</t>
  </si>
  <si>
    <t>04577</t>
  </si>
  <si>
    <t>9976AP2242890003</t>
  </si>
  <si>
    <t>MUHAMMAD SALMAN SHAFI</t>
  </si>
  <si>
    <t>33102-1818399-5</t>
  </si>
  <si>
    <t>Q047220</t>
  </si>
  <si>
    <t>6024713</t>
  </si>
  <si>
    <t>9976AP2242910006</t>
  </si>
  <si>
    <t>TAIMOOR SAEED</t>
  </si>
  <si>
    <t>33100-3423270-7</t>
  </si>
  <si>
    <t>320931</t>
  </si>
  <si>
    <t>1220965</t>
  </si>
  <si>
    <t>9976AP2243030001</t>
  </si>
  <si>
    <t>LATIF ULLAH</t>
  </si>
  <si>
    <t>11101-4375118-3</t>
  </si>
  <si>
    <t>323977</t>
  </si>
  <si>
    <t>1223803</t>
  </si>
  <si>
    <t>9976AP2243050005</t>
  </si>
  <si>
    <t>ZULFIQAR ALI</t>
  </si>
  <si>
    <t>33100-9672807-5</t>
  </si>
  <si>
    <t>067191</t>
  </si>
  <si>
    <t>9976AP2243050007</t>
  </si>
  <si>
    <t>AMIR GULZAR</t>
  </si>
  <si>
    <t>33103-4786683-3</t>
  </si>
  <si>
    <t>1007587</t>
  </si>
  <si>
    <t>9976AP2243050008</t>
  </si>
  <si>
    <t>ALI RAZA</t>
  </si>
  <si>
    <t>41306-7788764-3</t>
  </si>
  <si>
    <t>1111004</t>
  </si>
  <si>
    <t>997AFRA242420002</t>
  </si>
  <si>
    <t>MUNAZA KHALID</t>
  </si>
  <si>
    <t>35202-9684981-4</t>
  </si>
  <si>
    <t>2A69428</t>
  </si>
  <si>
    <t>7046711</t>
  </si>
  <si>
    <t>997AFRA242560003</t>
  </si>
  <si>
    <t>MUHAMMAD KHIZAR ALI</t>
  </si>
  <si>
    <t>33100-6880762-7</t>
  </si>
  <si>
    <t>503320</t>
  </si>
  <si>
    <t>1002167</t>
  </si>
  <si>
    <t>997AFRA242640007</t>
  </si>
  <si>
    <t>CHAUDHRY IRFAN ZAHEER</t>
  </si>
  <si>
    <t>35201-7501742-5</t>
  </si>
  <si>
    <t>RR044362</t>
  </si>
  <si>
    <t>997AFRA242640008</t>
  </si>
  <si>
    <t>MUHAMMAD INAAM</t>
  </si>
  <si>
    <t>37405-5341048-3</t>
  </si>
  <si>
    <t>10148514</t>
  </si>
  <si>
    <t>997AFRA242700005</t>
  </si>
  <si>
    <t>MASOOD SULTAN</t>
  </si>
  <si>
    <t>37405-2888010-1</t>
  </si>
  <si>
    <t>044374</t>
  </si>
  <si>
    <t>997AFRA242740002</t>
  </si>
  <si>
    <t>FAIZA YOUNAS SIDDIQUI</t>
  </si>
  <si>
    <t>37405-5672270-8</t>
  </si>
  <si>
    <t>R044499</t>
  </si>
  <si>
    <t>997AFRR242830001</t>
  </si>
  <si>
    <t>MUHAMMAD USMAN ALI</t>
  </si>
  <si>
    <t>33100-8619177-1</t>
  </si>
  <si>
    <t>R047119</t>
  </si>
  <si>
    <t>997AFRR242840002</t>
  </si>
  <si>
    <t>MUHAMMAD AYUB</t>
  </si>
  <si>
    <t>33100-0992920-1</t>
  </si>
  <si>
    <t>2A02989</t>
  </si>
  <si>
    <t>7001281</t>
  </si>
  <si>
    <t>997AFRR242850002</t>
  </si>
  <si>
    <t>AMIR ANWAR</t>
  </si>
  <si>
    <t>33102-6292969-3</t>
  </si>
  <si>
    <t>RR044195</t>
  </si>
  <si>
    <t>997AFRR242850003</t>
  </si>
  <si>
    <t>DANYAL ARSHAD</t>
  </si>
  <si>
    <t>33100-6830115-9</t>
  </si>
  <si>
    <t>303936</t>
  </si>
  <si>
    <t>997AFRR242900015</t>
  </si>
  <si>
    <t>JUNAID AHMED</t>
  </si>
  <si>
    <t>42401-9400946-9</t>
  </si>
  <si>
    <t>6R190618</t>
  </si>
  <si>
    <t>1090648</t>
  </si>
  <si>
    <t>997AFRR242910002</t>
  </si>
  <si>
    <t>MUHAMAMD HAMMAD</t>
  </si>
  <si>
    <t>35102-6441191-1</t>
  </si>
  <si>
    <t>RR043971</t>
  </si>
  <si>
    <t>997AFRR242950021</t>
  </si>
  <si>
    <t>HASSAM ASIM</t>
  </si>
  <si>
    <t>35202-5027535-7</t>
  </si>
  <si>
    <t>KR2486200</t>
  </si>
  <si>
    <t>997AFRR242960025</t>
  </si>
  <si>
    <t>MAZHAR FAREED</t>
  </si>
  <si>
    <t>33100-0296858-5</t>
  </si>
  <si>
    <t>Q330906</t>
  </si>
  <si>
    <t>R-7030030</t>
  </si>
  <si>
    <t>997AFRR242970028</t>
  </si>
  <si>
    <t>MUHAMMAD ZAFAR</t>
  </si>
  <si>
    <t>33100-4589153-1</t>
  </si>
  <si>
    <t>C503253</t>
  </si>
  <si>
    <t>R1002027</t>
  </si>
  <si>
    <t>997AFRR242990002</t>
  </si>
  <si>
    <t>ALYAS ARIF</t>
  </si>
  <si>
    <t>35201-9338722-1</t>
  </si>
  <si>
    <t>Q034970</t>
  </si>
  <si>
    <t>6012439</t>
  </si>
  <si>
    <t>997AFRR242990004</t>
  </si>
  <si>
    <t>MUHAMMAD YOUSAF</t>
  </si>
  <si>
    <t>33100-2993176-5</t>
  </si>
  <si>
    <t>Q317399</t>
  </si>
  <si>
    <t>7016483</t>
  </si>
  <si>
    <t>997AFRR243030012</t>
  </si>
  <si>
    <t>ARSLAN AZHAR SHEIKH</t>
  </si>
  <si>
    <t>35302-4954324-7</t>
  </si>
  <si>
    <t>Q083187</t>
  </si>
  <si>
    <t>6060690</t>
  </si>
  <si>
    <t>997AFRR243040020</t>
  </si>
  <si>
    <t>ASIF TAYYAB</t>
  </si>
  <si>
    <t>33100-0692389-7</t>
  </si>
  <si>
    <t>6R324303</t>
  </si>
  <si>
    <t>1224360</t>
  </si>
  <si>
    <t>997AFRR243050031</t>
  </si>
  <si>
    <t>ABDUL WAHAB</t>
  </si>
  <si>
    <t>33102-8314599-1</t>
  </si>
  <si>
    <t>R005963</t>
  </si>
  <si>
    <t>997AFRR243050034</t>
  </si>
  <si>
    <t>MUHAMMAD ALI</t>
  </si>
  <si>
    <t>33100-0996658-5</t>
  </si>
  <si>
    <t>00100461</t>
  </si>
  <si>
    <t>997AFRR243050037</t>
  </si>
  <si>
    <t>MUHAMMAD AMJID</t>
  </si>
  <si>
    <t>33100-5944493-7</t>
  </si>
  <si>
    <t>2A11944</t>
  </si>
  <si>
    <t>9504942</t>
  </si>
  <si>
    <t>997AFRR243050041</t>
  </si>
  <si>
    <t>VINESH KUMAR</t>
  </si>
  <si>
    <t>41207-3024393-9</t>
  </si>
  <si>
    <t>1224625</t>
  </si>
  <si>
    <t>997AFRR243050047</t>
  </si>
  <si>
    <t>ARSALAN KHAN</t>
  </si>
  <si>
    <t>41303-0542551-9</t>
  </si>
  <si>
    <t>1094538</t>
  </si>
  <si>
    <t>997AFRR243050048</t>
  </si>
  <si>
    <t>MUHAMMAD TALHA JAVED</t>
  </si>
  <si>
    <t>33102-5954363-1</t>
  </si>
  <si>
    <t>300584</t>
  </si>
  <si>
    <t>997AFRR243050049</t>
  </si>
  <si>
    <t>MUHAMMAD DANISH RASHEED</t>
  </si>
  <si>
    <t>33100-0613021-3</t>
  </si>
  <si>
    <t>248386</t>
  </si>
  <si>
    <t>997AFRR243050056</t>
  </si>
  <si>
    <t>WAQAR HUSSAIN</t>
  </si>
  <si>
    <t>33100-1018314-7</t>
  </si>
  <si>
    <t>323686</t>
  </si>
  <si>
    <t>1223649</t>
  </si>
  <si>
    <t>997AFRR243050064</t>
  </si>
  <si>
    <t>MUHAMMAD UMAR AFZAL</t>
  </si>
  <si>
    <t>33100-8434789-1</t>
  </si>
  <si>
    <t>6R325186</t>
  </si>
  <si>
    <t>H1225618</t>
  </si>
  <si>
    <t>997AFRR243060001</t>
  </si>
  <si>
    <t>ABUBAKAR DAUDPOTA</t>
  </si>
  <si>
    <t>41307-2235409-5</t>
  </si>
  <si>
    <t>326270</t>
  </si>
  <si>
    <t>1226248</t>
  </si>
  <si>
    <t>997AFRR243060002</t>
  </si>
  <si>
    <t>MUHAMMAD TAHIR AFTAB</t>
  </si>
  <si>
    <t>33100-6553406-1</t>
  </si>
  <si>
    <t>R012914</t>
  </si>
  <si>
    <t>997APD1242810001</t>
  </si>
  <si>
    <t>SYED USAMA NASIR</t>
  </si>
  <si>
    <t>33100-5897028-7</t>
  </si>
  <si>
    <t>043365</t>
  </si>
  <si>
    <t>997APD1242950003</t>
  </si>
  <si>
    <t>HAFIZ MUHAMMAD SAJID RASOOL</t>
  </si>
  <si>
    <t>36601-1561051-3</t>
  </si>
  <si>
    <t>6R319408</t>
  </si>
  <si>
    <t>1219394</t>
  </si>
  <si>
    <t>997APD2242810001</t>
  </si>
  <si>
    <t>HIRA IQBAL</t>
  </si>
  <si>
    <t>33301-9493719-6</t>
  </si>
  <si>
    <t>702130</t>
  </si>
  <si>
    <t>997APD2242830001</t>
  </si>
  <si>
    <t>ASHFAQ AHMAD</t>
  </si>
  <si>
    <t>41304-6961890-5</t>
  </si>
  <si>
    <t>10136807</t>
  </si>
  <si>
    <t>997APD2242970006</t>
  </si>
  <si>
    <t>MUHAMMAD YASEEN</t>
  </si>
  <si>
    <t>35301-2151235-7</t>
  </si>
  <si>
    <t>10083211</t>
  </si>
  <si>
    <t xml:space="preserve">Policy No. </t>
  </si>
  <si>
    <t>TMS Premium</t>
  </si>
  <si>
    <t>KHI/HO/D/MO/PC COMP/C/96638/46/09/2024</t>
  </si>
  <si>
    <t>KHI/HO/D/MO/PC COMP/C/96638/29/09/2024</t>
  </si>
  <si>
    <t>L12B51027005</t>
  </si>
  <si>
    <t>244H0004449</t>
  </si>
  <si>
    <t>PK10B214082</t>
  </si>
  <si>
    <t>PK10K180108</t>
  </si>
  <si>
    <t>G3LARP035640</t>
  </si>
  <si>
    <t>04603851W</t>
  </si>
  <si>
    <t>R18Z16915268</t>
  </si>
  <si>
    <t>JL473QFM3CAD535008</t>
  </si>
  <si>
    <t>210986</t>
  </si>
  <si>
    <t>L12B51027102</t>
  </si>
  <si>
    <t>PK10B248521</t>
  </si>
  <si>
    <t>L12B51027709</t>
  </si>
  <si>
    <t>L12B51027757</t>
  </si>
  <si>
    <t>R18Z12943825</t>
  </si>
  <si>
    <t>L12B51027510</t>
  </si>
  <si>
    <t>G4NANU634046</t>
  </si>
  <si>
    <t>L15Z81016663</t>
  </si>
  <si>
    <t>L13Z17530239</t>
  </si>
  <si>
    <t>R18Z12904113</t>
  </si>
  <si>
    <t>R06AR1000442</t>
  </si>
  <si>
    <t>6R324580</t>
  </si>
  <si>
    <t>194555</t>
  </si>
  <si>
    <t>G4NAKH030143</t>
  </si>
  <si>
    <t>L15A79795020</t>
  </si>
  <si>
    <t>L12B51008129</t>
  </si>
  <si>
    <t>L12B51026846</t>
  </si>
  <si>
    <t>G3LALP024891</t>
  </si>
  <si>
    <t>PK10B236915</t>
  </si>
  <si>
    <t>PK10K183256</t>
  </si>
  <si>
    <t>Advance</t>
  </si>
  <si>
    <t>Payment Recived</t>
  </si>
  <si>
    <t>KHI/HO/D/MO/PC COMP/C/98824/38/10/2024</t>
  </si>
  <si>
    <t>KHI/HO/D/MO/PC COMP/C/98824/18/10/2024</t>
  </si>
  <si>
    <t>KHI/HO/D/MO/PC COMP/C/98824/4/10/2024</t>
  </si>
  <si>
    <t>KHI/HO/D/MO/PC COMP/C/98824/5/10/2024</t>
  </si>
  <si>
    <t>KHI/HO/D/MO/PC COMP/C/98824/33/10/2024</t>
  </si>
  <si>
    <t>KHI/HO/D/MO/PC COMP/C/98824/36/10/2024</t>
  </si>
  <si>
    <t>KHI/HO/D/MO/PC COMP/C/98824/32/10/2024</t>
  </si>
  <si>
    <t>KHI/HO/D/MO/PC COMP/C/98824/39/10/2024</t>
  </si>
  <si>
    <t>KHI/HO/D/MO/PC COMP/C/98824/35/10/2024</t>
  </si>
  <si>
    <t>KHI/HO/D/MO/PC COMP/C/98824/44/10/2024</t>
  </si>
  <si>
    <t>KHI/HO/D/MO/PC COMP/C/98824/48/10/2024</t>
  </si>
  <si>
    <t>KHI/HO/D/MO/PC COMP/C/98824/46/10/2024</t>
  </si>
  <si>
    <t>KHI/HO/D/MO/PC COMP/C/98824/41/10/2024</t>
  </si>
  <si>
    <t>KHI/HO/D/MO/PC COMP/C/98824/58/10/2024</t>
  </si>
  <si>
    <t>KHI/HO/D/MO/PC COMP/C/98824/9/10/2024</t>
  </si>
  <si>
    <t>KHI/HO/D/MO/PC COMP/C/98824/19/10/2024</t>
  </si>
  <si>
    <t>KHI/HO/D/MO/PC COMP/C/98824/14/10/2024</t>
  </si>
  <si>
    <t>KHI/HO/D/MO/PC COMP/C/98824/25/10/2024</t>
  </si>
  <si>
    <t>KHI/HO/D/MO/PC COMP/C/98824/47/10/2024</t>
  </si>
  <si>
    <t>KHI/HO/D/MO/PC COMP/C/98824/55/10/2024</t>
  </si>
  <si>
    <t>KHI/HO/D/MO/PC COMP/C/98824/53/10/2024</t>
  </si>
  <si>
    <t>KHI/HO/D/MO/PC COMP/C/98824/20/10/2024</t>
  </si>
  <si>
    <t>KHI/HO/D/MO/PC COMP/C/98824/29/10/2024</t>
  </si>
  <si>
    <t>KHI/HO/D/MO/PC COMP/C/98824/24/10/2024</t>
  </si>
  <si>
    <t>KHI/HO/D/MO/PC COMP/C/98824/22/10/2024</t>
  </si>
  <si>
    <t>KHI/HO/D/MO/PC COMP/C/98824/10/10/2024</t>
  </si>
  <si>
    <t>KHI/HO/D/MO/PC COMP/C/98824/13/10/2024</t>
  </si>
  <si>
    <t>KHI/HO/D/MO/PC COMP/C/98824/11/10/2024</t>
  </si>
  <si>
    <t>KHI/HO/D/MO/PC COMP/C/98824/15/10/2024</t>
  </si>
  <si>
    <t>KHI/HO/D/MO/PC COMP/C/98824/21/10/2024</t>
  </si>
  <si>
    <t>KHI/HO/D/MO/PC COMP/C/98824/8/10/2024</t>
  </si>
  <si>
    <t>KHI/HO/D/MO/PC COMP/C/98824/27/10/2024</t>
  </si>
  <si>
    <t>KHI/HO/D/MO/PC COMP/C/98824/26/10/2024</t>
  </si>
  <si>
    <t>KHI/HO/D/MO/PC COMP/C/98824/23/10/2024</t>
  </si>
  <si>
    <t>KHI/HO/D/MO/PC COMP/C/98824/30/10/2024</t>
  </si>
  <si>
    <t>KHI/HO/D/MO/PC COMP/C/98824/31/10/2024</t>
  </si>
  <si>
    <t>KHI/HO/D/MO/PC COMP/C/98824/34/10/2024</t>
  </si>
  <si>
    <t>KHI/HO/D/MO/PC COMP/C/98824/37/10/2024</t>
  </si>
  <si>
    <t>KHI/HO/D/MO/PC COMP/C/98824/45/10/2024</t>
  </si>
  <si>
    <t>KHI/HO/D/MO/PC COMP/C/98824/42/10/2024</t>
  </si>
  <si>
    <t>KHI/HO/D/MO/PC COMP/C/98824/49/10/2024</t>
  </si>
  <si>
    <t>KHI/HO/D/MO/PC COMP/C/98824/40/10/2024</t>
  </si>
  <si>
    <t>KHI/HO/D/MO/PC COMP/C/98824/54/10/2024</t>
  </si>
  <si>
    <t>KHI/HO/D/MO/PC COMP/C/98824/50/10/2024</t>
  </si>
  <si>
    <t>KHI/HO/D/MO/PC COMP/C/98824/52/10/2024</t>
  </si>
  <si>
    <t>KHI/HO/D/MO/PC COMP/C/98824/51/10/2024</t>
  </si>
  <si>
    <t>KHI/HO/D/MO/PC COMP/C/98824/56/10/2024</t>
  </si>
  <si>
    <t>KHI/HO/D/MO/PC COMP/C/98824/43/10/2024</t>
  </si>
  <si>
    <t>KHI/HO/D/MO/PC COMP/C/98824/57/10/2024</t>
  </si>
  <si>
    <t>KHI/HO/D/MO/PC COMP/C/98824/3/10/2024</t>
  </si>
  <si>
    <t>KHI/HO/D/MO/PC COMP/C/98824/16/10/2024</t>
  </si>
  <si>
    <t>KHI/HO/D/MO/PC COMP/C/98824/6/10/2024</t>
  </si>
  <si>
    <t>KHI/HO/D/MO/PC COMP/C/98824/7/10/2024</t>
  </si>
  <si>
    <t>KHI/HO/D/MO/PC COMP/C/98824/28/10/2024</t>
  </si>
  <si>
    <t xml:space="preserve"> </t>
  </si>
  <si>
    <t>-10-2024</t>
  </si>
  <si>
    <t>#N-A</t>
  </si>
  <si>
    <t>-09-2024</t>
  </si>
  <si>
    <t>00038</t>
  </si>
  <si>
    <t>00018</t>
  </si>
  <si>
    <t>00004</t>
  </si>
  <si>
    <t>00005</t>
  </si>
  <si>
    <t>00033</t>
  </si>
  <si>
    <t>00036</t>
  </si>
  <si>
    <t>00032</t>
  </si>
  <si>
    <t>00039</t>
  </si>
  <si>
    <t>00035</t>
  </si>
  <si>
    <t>00044</t>
  </si>
  <si>
    <t>00048</t>
  </si>
  <si>
    <t>00046</t>
  </si>
  <si>
    <t>00041</t>
  </si>
  <si>
    <t>00058</t>
  </si>
  <si>
    <t>00009</t>
  </si>
  <si>
    <t>00019</t>
  </si>
  <si>
    <t>00014</t>
  </si>
  <si>
    <t>00025</t>
  </si>
  <si>
    <t>00047</t>
  </si>
  <si>
    <t>00055</t>
  </si>
  <si>
    <t>00053</t>
  </si>
  <si>
    <t>00029</t>
  </si>
  <si>
    <t>00020</t>
  </si>
  <si>
    <t>00024</t>
  </si>
  <si>
    <t>00022</t>
  </si>
  <si>
    <t>00010</t>
  </si>
  <si>
    <t>00013</t>
  </si>
  <si>
    <t>00011</t>
  </si>
  <si>
    <t>00015</t>
  </si>
  <si>
    <t>00021</t>
  </si>
  <si>
    <t>00008</t>
  </si>
  <si>
    <t>00027</t>
  </si>
  <si>
    <t>00026</t>
  </si>
  <si>
    <t>00023</t>
  </si>
  <si>
    <t>00030</t>
  </si>
  <si>
    <t>00031</t>
  </si>
  <si>
    <t>00034</t>
  </si>
  <si>
    <t>00037</t>
  </si>
  <si>
    <t>00045</t>
  </si>
  <si>
    <t>00042</t>
  </si>
  <si>
    <t>00049</t>
  </si>
  <si>
    <t>00040</t>
  </si>
  <si>
    <t>00054</t>
  </si>
  <si>
    <t>00050</t>
  </si>
  <si>
    <t>00052</t>
  </si>
  <si>
    <t>00051</t>
  </si>
  <si>
    <t>00056</t>
  </si>
  <si>
    <t>00043</t>
  </si>
  <si>
    <t>00057</t>
  </si>
  <si>
    <t>00003</t>
  </si>
  <si>
    <t>00016</t>
  </si>
  <si>
    <t>00006</t>
  </si>
  <si>
    <t>00007</t>
  </si>
  <si>
    <t>00028</t>
  </si>
  <si>
    <t xml:space="preserve">   </t>
  </si>
  <si>
    <t>FUNC_ASSORTED_STRING(IA.ASSORTED_CODE)</t>
  </si>
  <si>
    <t>ASSORTED_CODE</t>
  </si>
  <si>
    <t>070000167338</t>
  </si>
  <si>
    <t>070000166965</t>
  </si>
  <si>
    <t>070000166966</t>
  </si>
  <si>
    <t>070000166967</t>
  </si>
  <si>
    <t>070000167276</t>
  </si>
  <si>
    <t>070000167277</t>
  </si>
  <si>
    <t>070000167317</t>
  </si>
  <si>
    <t>070000169037</t>
  </si>
  <si>
    <t>070000167625</t>
  </si>
  <si>
    <t>070000167355</t>
  </si>
  <si>
    <t>070000169366</t>
  </si>
  <si>
    <t>070000169369</t>
  </si>
  <si>
    <t>070000169376</t>
  </si>
  <si>
    <t>070000168699</t>
  </si>
  <si>
    <t>070000169387</t>
  </si>
  <si>
    <t>070000169336</t>
  </si>
  <si>
    <t>070000169016</t>
  </si>
  <si>
    <t>070000169358</t>
  </si>
  <si>
    <t>070000167635</t>
  </si>
  <si>
    <t>070000169348</t>
  </si>
  <si>
    <t>070000169420</t>
  </si>
  <si>
    <t>070000169421</t>
  </si>
  <si>
    <t>070000166997</t>
  </si>
  <si>
    <t>070000169289</t>
  </si>
  <si>
    <t>070000167027</t>
  </si>
  <si>
    <t>070000169399</t>
  </si>
  <si>
    <t>070000167444</t>
  </si>
  <si>
    <t>070000167557</t>
  </si>
  <si>
    <t>070000167012</t>
  </si>
  <si>
    <t>070000169011</t>
  </si>
  <si>
    <t>070000167522</t>
  </si>
  <si>
    <t>070000167499</t>
  </si>
  <si>
    <t>070000169386</t>
  </si>
  <si>
    <t>070000169407</t>
  </si>
  <si>
    <t>070000169408</t>
  </si>
  <si>
    <t>070000167630</t>
  </si>
  <si>
    <t>070000165511</t>
  </si>
  <si>
    <t>070000167339</t>
  </si>
  <si>
    <t>070000166579</t>
  </si>
  <si>
    <t>070000169051</t>
  </si>
  <si>
    <t>070000167870</t>
  </si>
  <si>
    <t>070000167519</t>
  </si>
  <si>
    <t>070000167682</t>
  </si>
  <si>
    <t>070000169040</t>
  </si>
  <si>
    <t>070000169345</t>
  </si>
  <si>
    <t>070000169346</t>
  </si>
  <si>
    <t>070000169043</t>
  </si>
  <si>
    <t>070000169393</t>
  </si>
  <si>
    <t>070000167566</t>
  </si>
  <si>
    <t>070000167569</t>
  </si>
  <si>
    <t>070000169388</t>
  </si>
  <si>
    <t>070000167032</t>
  </si>
  <si>
    <t>070000169042</t>
  </si>
  <si>
    <t>070000169347</t>
  </si>
  <si>
    <t>070000169044</t>
  </si>
  <si>
    <t>070000169422</t>
  </si>
  <si>
    <t>POLICY NO.</t>
  </si>
  <si>
    <t>Assorted_code</t>
  </si>
  <si>
    <t>08Nov240048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</si>
</sst>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_-* #,##0_-;\-* #,##0_-;_-* &quot;-&quot;??_-;_-@_-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 "/>
    </font>
    <font>
      <b/>
      <sz val="9"/>
      <color theme="1"/>
      <name val="Segoe UI"/>
      <family val="2"/>
      <charset val="1"/>
    </font>
    <font>
      <sz val="9"/>
      <color theme="1"/>
      <name val="Segoe UI"/>
      <family val="2"/>
      <charset val="1"/>
    </font>
    <font>
      <sz val="11"/>
      <color rgb="FF1F497D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0" fontId="1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3" borderId="1" xfId="0" applyFill="1" applyBorder="1"/>
    <xf numFmtId="165" fontId="2" fillId="2" borderId="1" xfId="0" applyNumberFormat="1" applyFont="1" applyFill="1" applyBorder="1"/>
    <xf numFmtId="0" fontId="0" fillId="0" borderId="1" xfId="0" applyBorder="1" applyAlignment="1">
      <alignment vertical="top"/>
    </xf>
    <xf numFmtId="0" fontId="0" fillId="3" borderId="1" xfId="0" applyFill="1" applyBorder="1" applyAlignment="1">
      <alignment vertical="top"/>
    </xf>
    <xf numFmtId="166" fontId="2" fillId="0" borderId="1" xfId="4" applyNumberFormat="1" applyFont="1" applyFill="1" applyBorder="1"/>
    <xf numFmtId="166" fontId="0" fillId="0" borderId="1" xfId="4" applyNumberFormat="1" applyFont="1" applyBorder="1"/>
    <xf numFmtId="166" fontId="0" fillId="3" borderId="1" xfId="4" applyNumberFormat="1" applyFont="1" applyFill="1" applyBorder="1"/>
    <xf numFmtId="165" fontId="2" fillId="0" borderId="1" xfId="0" applyNumberFormat="1" applyFont="1" applyFill="1" applyBorder="1"/>
    <xf numFmtId="0" fontId="2" fillId="0" borderId="1" xfId="0" applyFont="1" applyFill="1" applyBorder="1"/>
    <xf numFmtId="0" fontId="4" fillId="0" borderId="0" xfId="0" applyFont="1"/>
    <xf numFmtId="0" fontId="2" fillId="0" borderId="1" xfId="0" applyFont="1" applyBorder="1" applyAlignment="1">
      <alignment horizontal="center"/>
    </xf>
    <xf numFmtId="0" fontId="0" fillId="0" borderId="0" xfId="0" applyAlignment="1">
      <alignment vertical="top"/>
    </xf>
    <xf numFmtId="165" fontId="5" fillId="0" borderId="0" xfId="4" applyNumberFormat="1" applyFont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wrapText="1"/>
    </xf>
    <xf numFmtId="0" fontId="6" fillId="0" borderId="0" xfId="0" applyFont="1"/>
    <xf numFmtId="165" fontId="0" fillId="0" borderId="1" xfId="0" applyNumberFormat="1" applyBorder="1"/>
    <xf numFmtId="165" fontId="0" fillId="0" borderId="0" xfId="0" applyNumberFormat="1"/>
  </cellXfs>
  <cellStyles count="5">
    <cellStyle name="Comma" xfId="4" builtinId="3"/>
    <cellStyle name="Comma 2" xfId="3" xr:uid="{00000000-0005-0000-0000-000000000000}"/>
    <cellStyle name="Normal" xfId="0" builtinId="0"/>
    <cellStyle name="Normal 2" xfId="1" xr:uid="{00000000-0005-0000-0000-000002000000}"/>
    <cellStyle name="Normal 2 2" xfId="2" xr:uid="{00000000-0005-0000-0000-000003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4"/>
  <sheetViews>
    <sheetView topLeftCell="C46" zoomScale="85" zoomScaleNormal="85" workbookViewId="0">
      <selection activeCell="F65" sqref="F65"/>
    </sheetView>
  </sheetViews>
  <sheetFormatPr defaultColWidth="108.140625" defaultRowHeight="15"/>
  <cols>
    <col min="1" max="1" width="18.140625" style="2" bestFit="1" customWidth="1"/>
    <col min="2" max="2" width="29" style="2" customWidth="1"/>
    <col min="3" max="3" width="15.7109375" style="2" bestFit="1" customWidth="1"/>
    <col min="4" max="4" width="19.140625" style="2" bestFit="1" customWidth="1"/>
    <col min="5" max="5" width="16.42578125" style="2" bestFit="1" customWidth="1"/>
    <col min="6" max="6" width="11.28515625" style="2" customWidth="1"/>
    <col min="7" max="7" width="12.140625" style="2" customWidth="1"/>
    <col min="8" max="8" width="13.7109375" style="2" bestFit="1" customWidth="1"/>
    <col min="9" max="9" width="25.28515625" style="2" bestFit="1" customWidth="1"/>
    <col min="10" max="10" width="42.28515625" style="2" bestFit="1" customWidth="1"/>
    <col min="11" max="11" width="13.42578125" style="8" bestFit="1" customWidth="1"/>
    <col min="12" max="12" width="36.42578125" bestFit="1" customWidth="1"/>
    <col min="13" max="13" width="9.42578125" bestFit="1" customWidth="1"/>
    <col min="14" max="14" width="10.4257812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268</v>
      </c>
      <c r="K1" s="7" t="s">
        <v>269</v>
      </c>
    </row>
    <row r="2" spans="1:11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>
        <v>53288</v>
      </c>
      <c r="G2" s="2" t="s">
        <v>9</v>
      </c>
      <c r="H2" s="2" t="s">
        <v>10</v>
      </c>
      <c r="I2" s="2" t="s">
        <v>11</v>
      </c>
      <c r="J2" s="2" t="s">
        <v>303</v>
      </c>
      <c r="K2" s="8">
        <v>53288</v>
      </c>
    </row>
    <row r="3" spans="1:11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>
        <v>133543</v>
      </c>
      <c r="G3" s="2" t="s">
        <v>9</v>
      </c>
      <c r="H3" s="2" t="s">
        <v>10</v>
      </c>
      <c r="I3" s="2" t="s">
        <v>11</v>
      </c>
      <c r="J3" s="2" t="s">
        <v>304</v>
      </c>
      <c r="K3" s="8">
        <v>133543</v>
      </c>
    </row>
    <row r="4" spans="1:11">
      <c r="A4" s="2" t="s">
        <v>22</v>
      </c>
      <c r="B4" s="2" t="s">
        <v>23</v>
      </c>
      <c r="C4" s="2" t="s">
        <v>24</v>
      </c>
      <c r="D4" s="5" t="s">
        <v>272</v>
      </c>
      <c r="E4" s="2" t="s">
        <v>25</v>
      </c>
      <c r="F4" s="2">
        <v>82583</v>
      </c>
      <c r="G4" s="2" t="s">
        <v>9</v>
      </c>
      <c r="H4" s="2" t="s">
        <v>10</v>
      </c>
      <c r="I4" s="2" t="s">
        <v>11</v>
      </c>
      <c r="J4" s="2" t="s">
        <v>305</v>
      </c>
      <c r="K4" s="8">
        <v>82583</v>
      </c>
    </row>
    <row r="5" spans="1:11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>
        <v>75250</v>
      </c>
      <c r="G5" s="2" t="s">
        <v>9</v>
      </c>
      <c r="H5" s="2" t="s">
        <v>10</v>
      </c>
      <c r="I5" s="2" t="s">
        <v>11</v>
      </c>
      <c r="J5" s="2" t="s">
        <v>306</v>
      </c>
      <c r="K5" s="8">
        <v>75250</v>
      </c>
    </row>
    <row r="6" spans="1:11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>
        <v>52500</v>
      </c>
      <c r="G6" s="2" t="s">
        <v>9</v>
      </c>
      <c r="H6" s="2" t="s">
        <v>10</v>
      </c>
      <c r="I6" s="2" t="s">
        <v>11</v>
      </c>
      <c r="J6" s="2" t="e">
        <v>#N/A</v>
      </c>
    </row>
    <row r="7" spans="1:11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>
        <v>73500</v>
      </c>
      <c r="G7" s="2" t="s">
        <v>9</v>
      </c>
      <c r="H7" s="2" t="s">
        <v>10</v>
      </c>
      <c r="I7" s="2" t="s">
        <v>11</v>
      </c>
      <c r="J7" s="2" t="s">
        <v>307</v>
      </c>
      <c r="K7" s="8">
        <v>73500</v>
      </c>
    </row>
    <row r="8" spans="1:11">
      <c r="A8" s="2" t="s">
        <v>41</v>
      </c>
      <c r="B8" s="2" t="s">
        <v>42</v>
      </c>
      <c r="C8" s="2" t="s">
        <v>43</v>
      </c>
      <c r="D8" s="5" t="s">
        <v>273</v>
      </c>
      <c r="E8" s="2" t="s">
        <v>44</v>
      </c>
      <c r="F8" s="2">
        <v>165182</v>
      </c>
      <c r="G8" s="2" t="s">
        <v>9</v>
      </c>
      <c r="H8" s="2" t="s">
        <v>10</v>
      </c>
      <c r="I8" s="2" t="s">
        <v>11</v>
      </c>
      <c r="J8" s="2" t="s">
        <v>308</v>
      </c>
      <c r="K8" s="8">
        <v>165182</v>
      </c>
    </row>
    <row r="9" spans="1:11">
      <c r="A9" s="2" t="s">
        <v>45</v>
      </c>
      <c r="B9" s="2" t="s">
        <v>46</v>
      </c>
      <c r="C9" s="2" t="s">
        <v>47</v>
      </c>
      <c r="D9" s="2" t="s">
        <v>48</v>
      </c>
      <c r="E9" s="2" t="s">
        <v>49</v>
      </c>
      <c r="F9" s="2">
        <v>45500</v>
      </c>
      <c r="G9" s="2" t="s">
        <v>9</v>
      </c>
      <c r="H9" s="2" t="s">
        <v>10</v>
      </c>
      <c r="I9" s="2" t="s">
        <v>11</v>
      </c>
      <c r="J9" s="2" t="s">
        <v>309</v>
      </c>
      <c r="K9" s="8">
        <v>45500</v>
      </c>
    </row>
    <row r="10" spans="1:11">
      <c r="A10" s="2" t="s">
        <v>50</v>
      </c>
      <c r="B10" s="2" t="s">
        <v>51</v>
      </c>
      <c r="C10" s="2" t="s">
        <v>52</v>
      </c>
      <c r="D10" s="5" t="s">
        <v>274</v>
      </c>
      <c r="E10" s="2" t="s">
        <v>53</v>
      </c>
      <c r="F10" s="2">
        <v>45063</v>
      </c>
      <c r="G10" s="2" t="s">
        <v>9</v>
      </c>
      <c r="H10" s="2" t="s">
        <v>10</v>
      </c>
      <c r="I10" s="2" t="s">
        <v>11</v>
      </c>
      <c r="J10" s="2" t="s">
        <v>310</v>
      </c>
      <c r="K10" s="8">
        <v>45063</v>
      </c>
    </row>
    <row r="11" spans="1:11">
      <c r="A11" s="2" t="s">
        <v>54</v>
      </c>
      <c r="B11" s="2" t="s">
        <v>55</v>
      </c>
      <c r="C11" s="2" t="s">
        <v>56</v>
      </c>
      <c r="D11" s="2" t="s">
        <v>57</v>
      </c>
      <c r="E11" s="2" t="s">
        <v>58</v>
      </c>
      <c r="F11" s="2">
        <v>53288</v>
      </c>
      <c r="G11" s="2" t="s">
        <v>9</v>
      </c>
      <c r="H11" s="2" t="s">
        <v>10</v>
      </c>
      <c r="I11" s="2" t="s">
        <v>11</v>
      </c>
      <c r="J11" s="2" t="s">
        <v>311</v>
      </c>
      <c r="K11" s="8">
        <v>53288</v>
      </c>
    </row>
    <row r="12" spans="1:11">
      <c r="A12" s="2" t="s">
        <v>59</v>
      </c>
      <c r="B12" s="2" t="s">
        <v>60</v>
      </c>
      <c r="C12" s="2" t="s">
        <v>61</v>
      </c>
      <c r="D12" s="5" t="s">
        <v>275</v>
      </c>
      <c r="E12" s="2" t="s">
        <v>62</v>
      </c>
      <c r="F12" s="2">
        <v>44250</v>
      </c>
      <c r="G12" s="2" t="s">
        <v>9</v>
      </c>
      <c r="H12" s="2" t="s">
        <v>10</v>
      </c>
      <c r="I12" s="2" t="s">
        <v>11</v>
      </c>
      <c r="J12" s="2" t="s">
        <v>312</v>
      </c>
      <c r="K12" s="8">
        <v>44250</v>
      </c>
    </row>
    <row r="13" spans="1:11">
      <c r="A13" s="2" t="s">
        <v>63</v>
      </c>
      <c r="B13" s="2" t="s">
        <v>64</v>
      </c>
      <c r="C13" s="2" t="s">
        <v>65</v>
      </c>
      <c r="D13" s="2" t="s">
        <v>66</v>
      </c>
      <c r="E13" s="2" t="s">
        <v>67</v>
      </c>
      <c r="F13" s="2">
        <v>47163</v>
      </c>
      <c r="G13" s="2" t="s">
        <v>9</v>
      </c>
      <c r="H13" s="2" t="s">
        <v>10</v>
      </c>
      <c r="I13" s="2" t="s">
        <v>11</v>
      </c>
      <c r="J13" s="2" t="s">
        <v>313</v>
      </c>
      <c r="K13" s="8">
        <v>47163</v>
      </c>
    </row>
    <row r="14" spans="1:11">
      <c r="A14" s="2" t="s">
        <v>68</v>
      </c>
      <c r="B14" s="2" t="s">
        <v>69</v>
      </c>
      <c r="C14" s="2" t="s">
        <v>70</v>
      </c>
      <c r="D14" s="2" t="s">
        <v>71</v>
      </c>
      <c r="E14" s="2" t="s">
        <v>72</v>
      </c>
      <c r="F14" s="2">
        <v>53288</v>
      </c>
      <c r="G14" s="2" t="s">
        <v>9</v>
      </c>
      <c r="H14" s="2" t="s">
        <v>10</v>
      </c>
      <c r="I14" s="2" t="s">
        <v>11</v>
      </c>
      <c r="J14" s="2" t="s">
        <v>314</v>
      </c>
      <c r="K14" s="8">
        <v>53288</v>
      </c>
    </row>
    <row r="15" spans="1:11">
      <c r="A15" s="2" t="s">
        <v>73</v>
      </c>
      <c r="B15" s="2" t="s">
        <v>74</v>
      </c>
      <c r="C15" s="2" t="s">
        <v>75</v>
      </c>
      <c r="D15" s="3" t="s">
        <v>76</v>
      </c>
      <c r="E15" s="2" t="s">
        <v>77</v>
      </c>
      <c r="F15" s="3">
        <v>39813</v>
      </c>
      <c r="G15" s="2" t="s">
        <v>9</v>
      </c>
      <c r="H15" s="2" t="s">
        <v>10</v>
      </c>
      <c r="I15" s="2" t="s">
        <v>11</v>
      </c>
      <c r="J15" s="2" t="s">
        <v>315</v>
      </c>
      <c r="K15" s="9">
        <v>39813</v>
      </c>
    </row>
    <row r="16" spans="1:11">
      <c r="A16" s="2" t="s">
        <v>78</v>
      </c>
      <c r="B16" s="2" t="s">
        <v>79</v>
      </c>
      <c r="C16" s="2" t="s">
        <v>80</v>
      </c>
      <c r="D16" s="5" t="s">
        <v>276</v>
      </c>
      <c r="E16" s="2" t="s">
        <v>81</v>
      </c>
      <c r="F16" s="2">
        <v>67375</v>
      </c>
      <c r="G16" s="2" t="s">
        <v>9</v>
      </c>
      <c r="H16" s="2" t="s">
        <v>10</v>
      </c>
      <c r="I16" s="2" t="s">
        <v>11</v>
      </c>
      <c r="J16" s="2" t="s">
        <v>316</v>
      </c>
      <c r="K16" s="8">
        <v>67375</v>
      </c>
    </row>
    <row r="17" spans="1:11">
      <c r="A17" s="2" t="s">
        <v>82</v>
      </c>
      <c r="B17" s="2" t="s">
        <v>83</v>
      </c>
      <c r="C17" s="2" t="s">
        <v>84</v>
      </c>
      <c r="D17" s="5" t="s">
        <v>277</v>
      </c>
      <c r="E17" s="2" t="s">
        <v>85</v>
      </c>
      <c r="F17" s="2">
        <v>32988</v>
      </c>
      <c r="G17" s="2" t="s">
        <v>9</v>
      </c>
      <c r="H17" s="2" t="s">
        <v>10</v>
      </c>
      <c r="I17" s="2" t="s">
        <v>11</v>
      </c>
      <c r="J17" s="2" t="s">
        <v>317</v>
      </c>
      <c r="K17" s="8">
        <v>32988</v>
      </c>
    </row>
    <row r="18" spans="1:11">
      <c r="A18" s="2" t="s">
        <v>86</v>
      </c>
      <c r="B18" s="2" t="s">
        <v>87</v>
      </c>
      <c r="C18" s="2" t="s">
        <v>88</v>
      </c>
      <c r="D18" s="2" t="s">
        <v>89</v>
      </c>
      <c r="E18" s="2" t="s">
        <v>90</v>
      </c>
      <c r="F18" s="2">
        <v>78750</v>
      </c>
      <c r="G18" s="2" t="s">
        <v>9</v>
      </c>
      <c r="H18" s="2" t="s">
        <v>10</v>
      </c>
      <c r="I18" s="2" t="s">
        <v>11</v>
      </c>
      <c r="J18" s="2" t="s">
        <v>318</v>
      </c>
      <c r="K18" s="8">
        <v>78750</v>
      </c>
    </row>
    <row r="19" spans="1:11">
      <c r="A19" s="2" t="s">
        <v>91</v>
      </c>
      <c r="B19" s="2" t="s">
        <v>92</v>
      </c>
      <c r="C19" s="2" t="s">
        <v>93</v>
      </c>
      <c r="D19" s="2" t="s">
        <v>94</v>
      </c>
      <c r="E19" s="2" t="s">
        <v>95</v>
      </c>
      <c r="F19" s="2">
        <v>53288</v>
      </c>
      <c r="G19" s="2" t="s">
        <v>9</v>
      </c>
      <c r="H19" s="2" t="s">
        <v>10</v>
      </c>
      <c r="I19" s="2" t="s">
        <v>11</v>
      </c>
      <c r="J19" s="2" t="s">
        <v>319</v>
      </c>
      <c r="K19" s="8">
        <v>53288</v>
      </c>
    </row>
    <row r="20" spans="1:11">
      <c r="A20" s="2" t="s">
        <v>96</v>
      </c>
      <c r="B20" s="2" t="s">
        <v>97</v>
      </c>
      <c r="C20" s="2" t="s">
        <v>98</v>
      </c>
      <c r="D20" s="2" t="s">
        <v>99</v>
      </c>
      <c r="E20" s="2" t="s">
        <v>100</v>
      </c>
      <c r="F20" s="2">
        <v>53288</v>
      </c>
      <c r="G20" s="2" t="s">
        <v>9</v>
      </c>
      <c r="H20" s="2" t="s">
        <v>10</v>
      </c>
      <c r="I20" s="2" t="s">
        <v>11</v>
      </c>
      <c r="J20" s="2" t="s">
        <v>320</v>
      </c>
      <c r="K20" s="8">
        <v>53288</v>
      </c>
    </row>
    <row r="21" spans="1:11">
      <c r="A21" s="2" t="s">
        <v>101</v>
      </c>
      <c r="B21" s="2" t="s">
        <v>102</v>
      </c>
      <c r="C21" s="2" t="s">
        <v>103</v>
      </c>
      <c r="D21" s="5" t="s">
        <v>278</v>
      </c>
      <c r="E21" s="2" t="s">
        <v>104</v>
      </c>
      <c r="F21" s="2">
        <v>92750</v>
      </c>
      <c r="G21" s="2" t="s">
        <v>9</v>
      </c>
      <c r="H21" s="2" t="s">
        <v>10</v>
      </c>
      <c r="I21" s="2" t="s">
        <v>11</v>
      </c>
      <c r="J21" s="2" t="s">
        <v>321</v>
      </c>
      <c r="K21" s="8">
        <v>92750</v>
      </c>
    </row>
    <row r="22" spans="1:11">
      <c r="A22" s="2" t="s">
        <v>105</v>
      </c>
      <c r="B22" s="2" t="s">
        <v>106</v>
      </c>
      <c r="C22" s="2" t="s">
        <v>107</v>
      </c>
      <c r="D22" s="5" t="s">
        <v>279</v>
      </c>
      <c r="E22" s="2" t="s">
        <v>108</v>
      </c>
      <c r="F22" s="2">
        <v>60375</v>
      </c>
      <c r="G22" s="2" t="s">
        <v>9</v>
      </c>
      <c r="H22" s="2" t="s">
        <v>10</v>
      </c>
      <c r="I22" s="2" t="s">
        <v>11</v>
      </c>
      <c r="J22" s="2" t="s">
        <v>322</v>
      </c>
      <c r="K22" s="8">
        <v>60375</v>
      </c>
    </row>
    <row r="23" spans="1:11">
      <c r="A23" s="2" t="s">
        <v>109</v>
      </c>
      <c r="B23" s="2" t="s">
        <v>110</v>
      </c>
      <c r="C23" s="2" t="s">
        <v>111</v>
      </c>
      <c r="D23" s="5" t="s">
        <v>280</v>
      </c>
      <c r="E23" s="2" t="s">
        <v>112</v>
      </c>
      <c r="F23" s="2">
        <v>42875</v>
      </c>
      <c r="G23" s="2" t="s">
        <v>9</v>
      </c>
      <c r="H23" s="2" t="s">
        <v>10</v>
      </c>
      <c r="I23" s="2" t="s">
        <v>11</v>
      </c>
      <c r="J23" s="2" t="s">
        <v>323</v>
      </c>
      <c r="K23" s="8">
        <v>42875</v>
      </c>
    </row>
    <row r="24" spans="1:11">
      <c r="A24" s="2" t="s">
        <v>113</v>
      </c>
      <c r="B24" s="2" t="s">
        <v>114</v>
      </c>
      <c r="C24" s="2" t="s">
        <v>115</v>
      </c>
      <c r="D24" s="2" t="s">
        <v>116</v>
      </c>
      <c r="E24" s="2" t="s">
        <v>117</v>
      </c>
      <c r="F24" s="2">
        <v>95200</v>
      </c>
      <c r="G24" s="2" t="s">
        <v>9</v>
      </c>
      <c r="H24" s="2" t="s">
        <v>10</v>
      </c>
      <c r="I24" s="2" t="s">
        <v>11</v>
      </c>
      <c r="J24" s="2" t="s">
        <v>270</v>
      </c>
      <c r="K24" s="8">
        <v>95200</v>
      </c>
    </row>
    <row r="25" spans="1:11">
      <c r="A25" s="2" t="s">
        <v>118</v>
      </c>
      <c r="B25" s="2" t="s">
        <v>119</v>
      </c>
      <c r="C25" s="2" t="s">
        <v>120</v>
      </c>
      <c r="D25" s="2" t="s">
        <v>121</v>
      </c>
      <c r="E25" s="2" t="s">
        <v>122</v>
      </c>
      <c r="F25" s="2">
        <v>66483</v>
      </c>
      <c r="G25" s="2" t="s">
        <v>9</v>
      </c>
      <c r="H25" s="2" t="s">
        <v>10</v>
      </c>
      <c r="I25" s="2" t="s">
        <v>11</v>
      </c>
      <c r="J25" s="2" t="s">
        <v>271</v>
      </c>
      <c r="K25" s="8">
        <v>66483</v>
      </c>
    </row>
    <row r="26" spans="1:11">
      <c r="A26" s="2" t="s">
        <v>123</v>
      </c>
      <c r="B26" s="2" t="s">
        <v>124</v>
      </c>
      <c r="C26" s="2" t="s">
        <v>125</v>
      </c>
      <c r="D26" s="5" t="s">
        <v>281</v>
      </c>
      <c r="E26" s="2" t="s">
        <v>126</v>
      </c>
      <c r="F26" s="2">
        <v>82583</v>
      </c>
      <c r="G26" s="2" t="s">
        <v>9</v>
      </c>
      <c r="H26" s="2" t="s">
        <v>10</v>
      </c>
      <c r="I26" s="2" t="s">
        <v>11</v>
      </c>
      <c r="J26" s="2" t="s">
        <v>324</v>
      </c>
      <c r="K26" s="8">
        <v>82583</v>
      </c>
    </row>
    <row r="27" spans="1:11">
      <c r="A27" s="2" t="s">
        <v>127</v>
      </c>
      <c r="B27" s="2" t="s">
        <v>128</v>
      </c>
      <c r="C27" s="2" t="s">
        <v>129</v>
      </c>
      <c r="D27" s="5" t="s">
        <v>282</v>
      </c>
      <c r="E27" s="2" t="s">
        <v>130</v>
      </c>
      <c r="F27" s="2">
        <v>68240</v>
      </c>
      <c r="G27" s="2" t="s">
        <v>9</v>
      </c>
      <c r="H27" s="2" t="s">
        <v>10</v>
      </c>
      <c r="I27" s="2" t="s">
        <v>11</v>
      </c>
      <c r="J27" s="2" t="s">
        <v>325</v>
      </c>
      <c r="K27" s="8">
        <v>68240</v>
      </c>
    </row>
    <row r="28" spans="1:11">
      <c r="A28" s="2" t="s">
        <v>131</v>
      </c>
      <c r="B28" s="2" t="s">
        <v>132</v>
      </c>
      <c r="C28" s="2" t="s">
        <v>133</v>
      </c>
      <c r="D28" s="5" t="s">
        <v>283</v>
      </c>
      <c r="E28" s="2" t="s">
        <v>134</v>
      </c>
      <c r="F28" s="2">
        <v>94380</v>
      </c>
      <c r="G28" s="2" t="s">
        <v>9</v>
      </c>
      <c r="H28" s="2" t="s">
        <v>10</v>
      </c>
      <c r="I28" s="2" t="s">
        <v>11</v>
      </c>
      <c r="J28" s="2" t="s">
        <v>326</v>
      </c>
      <c r="K28" s="8">
        <v>94380</v>
      </c>
    </row>
    <row r="29" spans="1:11">
      <c r="A29" s="2" t="s">
        <v>135</v>
      </c>
      <c r="B29" s="2" t="s">
        <v>136</v>
      </c>
      <c r="C29" s="2" t="s">
        <v>137</v>
      </c>
      <c r="D29" s="5" t="s">
        <v>284</v>
      </c>
      <c r="E29" s="2" t="s">
        <v>138</v>
      </c>
      <c r="F29" s="2">
        <v>94380</v>
      </c>
      <c r="G29" s="2" t="s">
        <v>9</v>
      </c>
      <c r="H29" s="2" t="s">
        <v>10</v>
      </c>
      <c r="I29" s="2" t="s">
        <v>11</v>
      </c>
      <c r="J29" s="2" t="s">
        <v>327</v>
      </c>
      <c r="K29" s="8">
        <v>94380</v>
      </c>
    </row>
    <row r="30" spans="1:11">
      <c r="A30" s="2" t="s">
        <v>139</v>
      </c>
      <c r="B30" s="2" t="s">
        <v>140</v>
      </c>
      <c r="C30" s="2" t="s">
        <v>141</v>
      </c>
      <c r="D30" s="5" t="s">
        <v>285</v>
      </c>
      <c r="E30" s="2" t="s">
        <v>142</v>
      </c>
      <c r="F30" s="2">
        <v>81900</v>
      </c>
      <c r="G30" s="2" t="s">
        <v>9</v>
      </c>
      <c r="H30" s="2" t="s">
        <v>10</v>
      </c>
      <c r="I30" s="2" t="s">
        <v>11</v>
      </c>
      <c r="J30" s="2" t="s">
        <v>328</v>
      </c>
      <c r="K30" s="8">
        <v>81900</v>
      </c>
    </row>
    <row r="31" spans="1:11">
      <c r="A31" s="2" t="s">
        <v>143</v>
      </c>
      <c r="B31" s="2" t="s">
        <v>144</v>
      </c>
      <c r="C31" s="2" t="s">
        <v>145</v>
      </c>
      <c r="D31" s="2" t="s">
        <v>146</v>
      </c>
      <c r="E31" s="2" t="s">
        <v>147</v>
      </c>
      <c r="F31" s="2">
        <v>68250</v>
      </c>
      <c r="G31" s="2" t="s">
        <v>9</v>
      </c>
      <c r="H31" s="2" t="s">
        <v>10</v>
      </c>
      <c r="I31" s="2" t="s">
        <v>11</v>
      </c>
      <c r="J31" s="2" t="s">
        <v>329</v>
      </c>
      <c r="K31" s="8">
        <v>68250</v>
      </c>
    </row>
    <row r="32" spans="1:11">
      <c r="A32" s="2" t="s">
        <v>148</v>
      </c>
      <c r="B32" s="2" t="s">
        <v>149</v>
      </c>
      <c r="C32" s="2" t="s">
        <v>150</v>
      </c>
      <c r="D32" s="5" t="s">
        <v>286</v>
      </c>
      <c r="E32" s="2" t="s">
        <v>151</v>
      </c>
      <c r="F32" s="2">
        <v>82495</v>
      </c>
      <c r="G32" s="2" t="s">
        <v>9</v>
      </c>
      <c r="H32" s="2" t="s">
        <v>10</v>
      </c>
      <c r="I32" s="2" t="s">
        <v>11</v>
      </c>
      <c r="J32" s="2" t="s">
        <v>330</v>
      </c>
      <c r="K32" s="8">
        <v>82495</v>
      </c>
    </row>
    <row r="33" spans="1:11">
      <c r="A33" s="2" t="s">
        <v>152</v>
      </c>
      <c r="B33" s="2" t="s">
        <v>153</v>
      </c>
      <c r="C33" s="2" t="s">
        <v>154</v>
      </c>
      <c r="D33" s="5" t="s">
        <v>287</v>
      </c>
      <c r="E33" s="2" t="s">
        <v>155</v>
      </c>
      <c r="F33" s="2">
        <v>92750</v>
      </c>
      <c r="G33" s="2" t="s">
        <v>9</v>
      </c>
      <c r="H33" s="2" t="s">
        <v>10</v>
      </c>
      <c r="I33" s="2" t="s">
        <v>11</v>
      </c>
      <c r="J33" s="2" t="s">
        <v>331</v>
      </c>
      <c r="K33" s="8">
        <v>92750</v>
      </c>
    </row>
    <row r="34" spans="1:11">
      <c r="A34" s="2" t="s">
        <v>156</v>
      </c>
      <c r="B34" s="2" t="s">
        <v>157</v>
      </c>
      <c r="C34" s="2" t="s">
        <v>158</v>
      </c>
      <c r="D34" s="2" t="s">
        <v>159</v>
      </c>
      <c r="E34" s="2" t="s">
        <v>160</v>
      </c>
      <c r="F34" s="2">
        <v>40950</v>
      </c>
      <c r="G34" s="2" t="s">
        <v>9</v>
      </c>
      <c r="H34" s="2" t="s">
        <v>10</v>
      </c>
      <c r="I34" s="2" t="s">
        <v>11</v>
      </c>
      <c r="J34" s="2" t="s">
        <v>332</v>
      </c>
      <c r="K34" s="8">
        <v>40950</v>
      </c>
    </row>
    <row r="35" spans="1:11">
      <c r="A35" s="2" t="s">
        <v>161</v>
      </c>
      <c r="B35" s="2" t="s">
        <v>162</v>
      </c>
      <c r="C35" s="2" t="s">
        <v>163</v>
      </c>
      <c r="D35" s="5" t="s">
        <v>288</v>
      </c>
      <c r="E35" s="2" t="s">
        <v>164</v>
      </c>
      <c r="F35" s="2">
        <v>102883</v>
      </c>
      <c r="G35" s="2" t="s">
        <v>9</v>
      </c>
      <c r="H35" s="2" t="s">
        <v>10</v>
      </c>
      <c r="I35" s="2" t="s">
        <v>11</v>
      </c>
      <c r="J35" s="2" t="s">
        <v>333</v>
      </c>
      <c r="K35" s="8">
        <v>102883</v>
      </c>
    </row>
    <row r="36" spans="1:11">
      <c r="A36" s="2" t="s">
        <v>165</v>
      </c>
      <c r="B36" s="2" t="s">
        <v>166</v>
      </c>
      <c r="C36" s="2" t="s">
        <v>167</v>
      </c>
      <c r="D36" s="5" t="s">
        <v>289</v>
      </c>
      <c r="E36" s="2" t="s">
        <v>168</v>
      </c>
      <c r="F36" s="2">
        <v>57750</v>
      </c>
      <c r="G36" s="2" t="s">
        <v>9</v>
      </c>
      <c r="H36" s="2" t="s">
        <v>10</v>
      </c>
      <c r="I36" s="2" t="s">
        <v>11</v>
      </c>
      <c r="J36" s="2" t="s">
        <v>334</v>
      </c>
      <c r="K36" s="8">
        <v>57750</v>
      </c>
    </row>
    <row r="37" spans="1:11">
      <c r="A37" s="2" t="s">
        <v>169</v>
      </c>
      <c r="B37" s="2" t="s">
        <v>170</v>
      </c>
      <c r="C37" s="2" t="s">
        <v>171</v>
      </c>
      <c r="D37" s="2" t="s">
        <v>172</v>
      </c>
      <c r="E37" s="2" t="s">
        <v>173</v>
      </c>
      <c r="F37" s="2">
        <v>82250</v>
      </c>
      <c r="G37" s="2" t="s">
        <v>9</v>
      </c>
      <c r="H37" s="2" t="s">
        <v>10</v>
      </c>
      <c r="I37" s="2" t="s">
        <v>11</v>
      </c>
      <c r="J37" s="2" t="s">
        <v>335</v>
      </c>
      <c r="K37" s="8">
        <v>82250</v>
      </c>
    </row>
    <row r="38" spans="1:11">
      <c r="A38" s="2" t="s">
        <v>174</v>
      </c>
      <c r="B38" s="2" t="s">
        <v>175</v>
      </c>
      <c r="C38" s="2" t="s">
        <v>176</v>
      </c>
      <c r="D38" s="2" t="s">
        <v>177</v>
      </c>
      <c r="E38" s="2" t="s">
        <v>178</v>
      </c>
      <c r="F38" s="2">
        <v>53358</v>
      </c>
      <c r="G38" s="2" t="s">
        <v>9</v>
      </c>
      <c r="H38" s="2" t="s">
        <v>10</v>
      </c>
      <c r="I38" s="2" t="s">
        <v>11</v>
      </c>
      <c r="J38" s="2" t="s">
        <v>336</v>
      </c>
      <c r="K38" s="8">
        <v>53358</v>
      </c>
    </row>
    <row r="39" spans="1:11">
      <c r="A39" s="2" t="s">
        <v>179</v>
      </c>
      <c r="B39" s="2" t="s">
        <v>180</v>
      </c>
      <c r="C39" s="2" t="s">
        <v>181</v>
      </c>
      <c r="D39" s="2" t="s">
        <v>182</v>
      </c>
      <c r="E39" s="2" t="s">
        <v>183</v>
      </c>
      <c r="F39" s="2">
        <v>60638</v>
      </c>
      <c r="G39" s="2" t="s">
        <v>9</v>
      </c>
      <c r="H39" s="2" t="s">
        <v>10</v>
      </c>
      <c r="I39" s="2" t="s">
        <v>11</v>
      </c>
      <c r="J39" s="2" t="s">
        <v>337</v>
      </c>
      <c r="K39" s="8">
        <v>60638</v>
      </c>
    </row>
    <row r="40" spans="1:11">
      <c r="A40" s="2" t="s">
        <v>184</v>
      </c>
      <c r="B40" s="2" t="s">
        <v>185</v>
      </c>
      <c r="C40" s="2" t="s">
        <v>186</v>
      </c>
      <c r="D40" s="2" t="s">
        <v>187</v>
      </c>
      <c r="E40" s="2" t="s">
        <v>188</v>
      </c>
      <c r="F40" s="2">
        <v>77000</v>
      </c>
      <c r="G40" s="2" t="s">
        <v>9</v>
      </c>
      <c r="H40" s="2" t="s">
        <v>10</v>
      </c>
      <c r="I40" s="2" t="s">
        <v>11</v>
      </c>
      <c r="J40" s="2" t="s">
        <v>338</v>
      </c>
      <c r="K40" s="8">
        <v>77000</v>
      </c>
    </row>
    <row r="41" spans="1:11">
      <c r="A41" s="2" t="s">
        <v>189</v>
      </c>
      <c r="B41" s="2" t="s">
        <v>190</v>
      </c>
      <c r="C41" s="2" t="s">
        <v>191</v>
      </c>
      <c r="D41" s="2" t="s">
        <v>192</v>
      </c>
      <c r="E41" s="2" t="s">
        <v>193</v>
      </c>
      <c r="F41" s="2">
        <v>96250</v>
      </c>
      <c r="G41" s="2" t="s">
        <v>9</v>
      </c>
      <c r="H41" s="2" t="s">
        <v>10</v>
      </c>
      <c r="I41" s="2" t="s">
        <v>11</v>
      </c>
      <c r="J41" s="2" t="s">
        <v>339</v>
      </c>
      <c r="K41" s="8">
        <v>96250</v>
      </c>
    </row>
    <row r="42" spans="1:11">
      <c r="A42" s="2" t="s">
        <v>194</v>
      </c>
      <c r="B42" s="2" t="s">
        <v>195</v>
      </c>
      <c r="C42" s="2" t="s">
        <v>196</v>
      </c>
      <c r="D42" s="2" t="s">
        <v>197</v>
      </c>
      <c r="E42" s="2" t="s">
        <v>198</v>
      </c>
      <c r="F42" s="2">
        <v>53288</v>
      </c>
      <c r="G42" s="2" t="s">
        <v>9</v>
      </c>
      <c r="H42" s="2" t="s">
        <v>10</v>
      </c>
      <c r="I42" s="2" t="s">
        <v>11</v>
      </c>
      <c r="J42" s="2" t="s">
        <v>340</v>
      </c>
      <c r="K42" s="8">
        <v>53288</v>
      </c>
    </row>
    <row r="43" spans="1:11">
      <c r="A43" s="2" t="s">
        <v>199</v>
      </c>
      <c r="B43" s="2" t="s">
        <v>200</v>
      </c>
      <c r="C43" s="2" t="s">
        <v>201</v>
      </c>
      <c r="D43" s="6" t="s">
        <v>290</v>
      </c>
      <c r="E43" s="2" t="s">
        <v>202</v>
      </c>
      <c r="F43" s="3">
        <v>75250</v>
      </c>
      <c r="G43" s="2" t="s">
        <v>9</v>
      </c>
      <c r="H43" s="2" t="s">
        <v>10</v>
      </c>
      <c r="I43" s="2" t="s">
        <v>11</v>
      </c>
      <c r="J43" s="2" t="s">
        <v>341</v>
      </c>
      <c r="K43" s="9">
        <v>75250</v>
      </c>
    </row>
    <row r="44" spans="1:11">
      <c r="A44" s="2" t="s">
        <v>203</v>
      </c>
      <c r="B44" s="2" t="s">
        <v>204</v>
      </c>
      <c r="C44" s="2" t="s">
        <v>205</v>
      </c>
      <c r="D44" s="5" t="s">
        <v>291</v>
      </c>
      <c r="E44" s="2" t="s">
        <v>206</v>
      </c>
      <c r="F44" s="2">
        <v>48983</v>
      </c>
      <c r="G44" s="2" t="s">
        <v>9</v>
      </c>
      <c r="H44" s="2" t="s">
        <v>10</v>
      </c>
      <c r="I44" s="2" t="s">
        <v>11</v>
      </c>
      <c r="J44" s="2" t="s">
        <v>342</v>
      </c>
      <c r="K44" s="8">
        <v>48983</v>
      </c>
    </row>
    <row r="45" spans="1:11">
      <c r="A45" s="2" t="s">
        <v>207</v>
      </c>
      <c r="B45" s="2" t="s">
        <v>208</v>
      </c>
      <c r="C45" s="2" t="s">
        <v>209</v>
      </c>
      <c r="D45" s="2" t="s">
        <v>210</v>
      </c>
      <c r="E45" s="2" t="s">
        <v>211</v>
      </c>
      <c r="F45" s="2">
        <v>74375</v>
      </c>
      <c r="G45" s="2" t="s">
        <v>9</v>
      </c>
      <c r="H45" s="2" t="s">
        <v>10</v>
      </c>
      <c r="I45" s="2" t="s">
        <v>11</v>
      </c>
      <c r="J45" s="2" t="s">
        <v>343</v>
      </c>
      <c r="K45" s="8">
        <v>74375</v>
      </c>
    </row>
    <row r="46" spans="1:11">
      <c r="A46" s="2" t="s">
        <v>212</v>
      </c>
      <c r="B46" s="2" t="s">
        <v>213</v>
      </c>
      <c r="C46" s="2" t="s">
        <v>214</v>
      </c>
      <c r="D46" s="6" t="s">
        <v>292</v>
      </c>
      <c r="E46" s="3" t="s">
        <v>215</v>
      </c>
      <c r="F46" s="2">
        <v>47373</v>
      </c>
      <c r="G46" s="2" t="s">
        <v>9</v>
      </c>
      <c r="H46" s="2" t="s">
        <v>10</v>
      </c>
      <c r="I46" s="2" t="s">
        <v>11</v>
      </c>
      <c r="J46" s="2" t="s">
        <v>344</v>
      </c>
      <c r="K46" s="8">
        <v>47373</v>
      </c>
    </row>
    <row r="47" spans="1:11">
      <c r="A47" s="2" t="s">
        <v>216</v>
      </c>
      <c r="B47" s="2" t="s">
        <v>217</v>
      </c>
      <c r="C47" s="2" t="s">
        <v>218</v>
      </c>
      <c r="D47" s="5" t="s">
        <v>293</v>
      </c>
      <c r="E47" s="2" t="s">
        <v>219</v>
      </c>
      <c r="F47" s="2">
        <v>38500</v>
      </c>
      <c r="G47" s="2" t="s">
        <v>9</v>
      </c>
      <c r="H47" s="2" t="s">
        <v>10</v>
      </c>
      <c r="I47" s="2" t="s">
        <v>11</v>
      </c>
      <c r="J47" s="2" t="s">
        <v>345</v>
      </c>
      <c r="K47" s="8">
        <v>38500</v>
      </c>
    </row>
    <row r="48" spans="1:11">
      <c r="A48" s="2" t="s">
        <v>220</v>
      </c>
      <c r="B48" s="2" t="s">
        <v>221</v>
      </c>
      <c r="C48" s="2" t="s">
        <v>222</v>
      </c>
      <c r="D48" s="5" t="s">
        <v>294</v>
      </c>
      <c r="E48" s="2" t="s">
        <v>223</v>
      </c>
      <c r="F48" s="2">
        <v>105000</v>
      </c>
      <c r="G48" s="2" t="s">
        <v>9</v>
      </c>
      <c r="H48" s="2" t="s">
        <v>10</v>
      </c>
      <c r="I48" s="2" t="s">
        <v>11</v>
      </c>
      <c r="J48" s="2" t="s">
        <v>346</v>
      </c>
      <c r="K48" s="8">
        <v>105000</v>
      </c>
    </row>
    <row r="49" spans="1:11">
      <c r="A49" s="2" t="s">
        <v>224</v>
      </c>
      <c r="B49" s="2" t="s">
        <v>225</v>
      </c>
      <c r="C49" s="2" t="s">
        <v>226</v>
      </c>
      <c r="D49" s="5" t="s">
        <v>295</v>
      </c>
      <c r="E49" s="2" t="s">
        <v>227</v>
      </c>
      <c r="F49" s="2">
        <v>68250</v>
      </c>
      <c r="G49" s="2" t="s">
        <v>9</v>
      </c>
      <c r="H49" s="2" t="s">
        <v>10</v>
      </c>
      <c r="I49" s="2" t="s">
        <v>11</v>
      </c>
      <c r="J49" s="2" t="s">
        <v>347</v>
      </c>
      <c r="K49" s="8">
        <v>68250</v>
      </c>
    </row>
    <row r="50" spans="1:11">
      <c r="A50" s="2" t="s">
        <v>228</v>
      </c>
      <c r="B50" s="2" t="s">
        <v>229</v>
      </c>
      <c r="C50" s="2" t="s">
        <v>230</v>
      </c>
      <c r="D50" s="2" t="s">
        <v>231</v>
      </c>
      <c r="E50" s="2" t="s">
        <v>232</v>
      </c>
      <c r="F50" s="2">
        <v>47373</v>
      </c>
      <c r="G50" s="2" t="s">
        <v>9</v>
      </c>
      <c r="H50" s="2" t="s">
        <v>10</v>
      </c>
      <c r="I50" s="2" t="s">
        <v>11</v>
      </c>
      <c r="J50" s="2" t="s">
        <v>348</v>
      </c>
      <c r="K50" s="8">
        <v>47373</v>
      </c>
    </row>
    <row r="51" spans="1:11">
      <c r="A51" s="2" t="s">
        <v>233</v>
      </c>
      <c r="B51" s="2" t="s">
        <v>234</v>
      </c>
      <c r="C51" s="2" t="s">
        <v>235</v>
      </c>
      <c r="D51" s="2" t="s">
        <v>236</v>
      </c>
      <c r="E51" s="2" t="s">
        <v>237</v>
      </c>
      <c r="F51" s="2">
        <v>47373</v>
      </c>
      <c r="G51" s="2" t="s">
        <v>9</v>
      </c>
      <c r="H51" s="2" t="s">
        <v>10</v>
      </c>
      <c r="I51" s="2" t="s">
        <v>11</v>
      </c>
      <c r="J51" s="2" t="s">
        <v>349</v>
      </c>
      <c r="K51" s="8">
        <v>47373</v>
      </c>
    </row>
    <row r="52" spans="1:11">
      <c r="A52" s="2" t="s">
        <v>238</v>
      </c>
      <c r="B52" s="2" t="s">
        <v>239</v>
      </c>
      <c r="C52" s="2" t="s">
        <v>240</v>
      </c>
      <c r="D52" s="2" t="s">
        <v>241</v>
      </c>
      <c r="E52" s="2" t="s">
        <v>242</v>
      </c>
      <c r="F52" s="2">
        <v>47373</v>
      </c>
      <c r="G52" s="2" t="s">
        <v>9</v>
      </c>
      <c r="H52" s="2" t="s">
        <v>10</v>
      </c>
      <c r="I52" s="2" t="s">
        <v>11</v>
      </c>
      <c r="J52" s="2" t="s">
        <v>350</v>
      </c>
      <c r="K52" s="8">
        <v>47373</v>
      </c>
    </row>
    <row r="53" spans="1:11">
      <c r="A53" s="2" t="s">
        <v>243</v>
      </c>
      <c r="B53" s="2" t="s">
        <v>244</v>
      </c>
      <c r="C53" s="2" t="s">
        <v>245</v>
      </c>
      <c r="D53" s="5" t="s">
        <v>296</v>
      </c>
      <c r="E53" s="2" t="s">
        <v>246</v>
      </c>
      <c r="F53" s="2">
        <v>72625</v>
      </c>
      <c r="G53" s="2" t="s">
        <v>9</v>
      </c>
      <c r="H53" s="2" t="s">
        <v>10</v>
      </c>
      <c r="I53" s="2" t="s">
        <v>11</v>
      </c>
      <c r="J53" s="2" t="s">
        <v>351</v>
      </c>
      <c r="K53" s="8">
        <v>72625</v>
      </c>
    </row>
    <row r="54" spans="1:11">
      <c r="A54" s="2" t="s">
        <v>247</v>
      </c>
      <c r="B54" s="2" t="s">
        <v>248</v>
      </c>
      <c r="C54" s="2" t="s">
        <v>249</v>
      </c>
      <c r="D54" s="5" t="s">
        <v>297</v>
      </c>
      <c r="E54" s="2" t="s">
        <v>250</v>
      </c>
      <c r="F54" s="2">
        <v>89565</v>
      </c>
      <c r="G54" s="2" t="s">
        <v>9</v>
      </c>
      <c r="H54" s="2" t="s">
        <v>10</v>
      </c>
      <c r="I54" s="2" t="s">
        <v>11</v>
      </c>
      <c r="J54" s="2" t="s">
        <v>352</v>
      </c>
      <c r="K54" s="8">
        <v>89565</v>
      </c>
    </row>
    <row r="55" spans="1:11">
      <c r="A55" s="2" t="s">
        <v>251</v>
      </c>
      <c r="B55" s="2" t="s">
        <v>252</v>
      </c>
      <c r="C55" s="2" t="s">
        <v>253</v>
      </c>
      <c r="D55" s="2" t="s">
        <v>254</v>
      </c>
      <c r="E55" s="2" t="s">
        <v>255</v>
      </c>
      <c r="F55" s="2">
        <v>47373</v>
      </c>
      <c r="G55" s="2" t="s">
        <v>9</v>
      </c>
      <c r="H55" s="2" t="s">
        <v>10</v>
      </c>
      <c r="I55" s="2" t="s">
        <v>11</v>
      </c>
      <c r="J55" s="2" t="s">
        <v>353</v>
      </c>
      <c r="K55" s="8">
        <v>47373</v>
      </c>
    </row>
    <row r="56" spans="1:11">
      <c r="A56" s="2" t="s">
        <v>256</v>
      </c>
      <c r="B56" s="2" t="s">
        <v>257</v>
      </c>
      <c r="C56" s="2" t="s">
        <v>258</v>
      </c>
      <c r="D56" s="5" t="s">
        <v>298</v>
      </c>
      <c r="E56" s="2" t="s">
        <v>259</v>
      </c>
      <c r="F56" s="2">
        <v>42000</v>
      </c>
      <c r="G56" s="2" t="s">
        <v>9</v>
      </c>
      <c r="H56" s="2" t="s">
        <v>10</v>
      </c>
      <c r="I56" s="2" t="s">
        <v>11</v>
      </c>
      <c r="J56" s="2" t="s">
        <v>354</v>
      </c>
      <c r="K56" s="8">
        <v>42000</v>
      </c>
    </row>
    <row r="57" spans="1:11">
      <c r="A57" s="2" t="s">
        <v>260</v>
      </c>
      <c r="B57" s="2" t="s">
        <v>261</v>
      </c>
      <c r="C57" s="2" t="s">
        <v>262</v>
      </c>
      <c r="D57" s="5" t="s">
        <v>299</v>
      </c>
      <c r="E57" s="2" t="s">
        <v>263</v>
      </c>
      <c r="F57" s="2">
        <v>53375</v>
      </c>
      <c r="G57" s="2" t="s">
        <v>9</v>
      </c>
      <c r="H57" s="2" t="s">
        <v>10</v>
      </c>
      <c r="I57" s="2" t="s">
        <v>11</v>
      </c>
      <c r="J57" s="2" t="s">
        <v>355</v>
      </c>
      <c r="K57" s="8">
        <v>53375</v>
      </c>
    </row>
    <row r="58" spans="1:11">
      <c r="A58" s="2" t="s">
        <v>264</v>
      </c>
      <c r="B58" s="2" t="s">
        <v>265</v>
      </c>
      <c r="C58" s="2" t="s">
        <v>266</v>
      </c>
      <c r="D58" s="5" t="s">
        <v>300</v>
      </c>
      <c r="E58" s="2" t="s">
        <v>267</v>
      </c>
      <c r="F58" s="2">
        <v>45500</v>
      </c>
      <c r="G58" s="2" t="s">
        <v>9</v>
      </c>
      <c r="H58" s="2" t="s">
        <v>10</v>
      </c>
      <c r="I58" s="2" t="s">
        <v>11</v>
      </c>
      <c r="J58" s="2" t="s">
        <v>356</v>
      </c>
      <c r="K58" s="8">
        <v>45500</v>
      </c>
    </row>
    <row r="60" spans="1:11">
      <c r="E60" s="11" t="s">
        <v>302</v>
      </c>
      <c r="F60" s="4">
        <f>SUM(F2:F59)</f>
        <v>3847216</v>
      </c>
      <c r="K60" s="7">
        <v>3794716</v>
      </c>
    </row>
    <row r="61" spans="1:11">
      <c r="E61" s="11"/>
      <c r="F61" s="7">
        <v>3794716</v>
      </c>
    </row>
    <row r="62" spans="1:11">
      <c r="E62" s="11" t="s">
        <v>301</v>
      </c>
      <c r="F62" s="10">
        <v>52500</v>
      </c>
    </row>
    <row r="64" spans="1:11">
      <c r="F64" s="20">
        <f>F60-F62</f>
        <v>3794716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68D98-224C-4973-917B-0B24F48F2D1F}">
  <dimension ref="A1:H60"/>
  <sheetViews>
    <sheetView tabSelected="1" topLeftCell="A5" workbookViewId="0">
      <selection activeCell="B6" sqref="B6"/>
    </sheetView>
  </sheetViews>
  <sheetFormatPr defaultRowHeight="15"/>
  <cols>
    <col min="1" max="1" width="39.85546875" bestFit="1" customWidth="1"/>
    <col min="2" max="2" width="14.28515625" bestFit="1" customWidth="1"/>
    <col min="3" max="3" width="13.28515625" bestFit="1" customWidth="1"/>
    <col min="4" max="4" width="10.5703125" bestFit="1" customWidth="1"/>
    <col min="5" max="5" width="13.7109375" bestFit="1" customWidth="1"/>
    <col min="6" max="6" width="93.28515625" customWidth="1"/>
    <col min="7" max="7" width="84.28515625" customWidth="1"/>
    <col min="8" max="8" width="75.7109375" customWidth="1"/>
  </cols>
  <sheetData>
    <row r="1" spans="1:8">
      <c r="A1" s="13" t="s">
        <v>474</v>
      </c>
      <c r="B1" t="s">
        <v>475</v>
      </c>
      <c r="D1" s="1" t="s">
        <v>5</v>
      </c>
      <c r="E1" s="19" t="s">
        <v>476</v>
      </c>
    </row>
    <row r="2" spans="1:8" ht="90" customHeight="1">
      <c r="A2" s="2" t="s">
        <v>303</v>
      </c>
      <c r="B2" s="14" t="str">
        <f>VLOOKUP(A2,policy!B:C,2,0)</f>
        <v>070000169051</v>
      </c>
      <c r="C2" s="2">
        <v>53288</v>
      </c>
      <c r="D2" s="15">
        <f>ROUND(C2,0)</f>
        <v>53288</v>
      </c>
      <c r="E2" s="19" t="s">
        <v>476</v>
      </c>
      <c r="F2" s="16" t="str">
        <f t="shared" ref="F2:F58" si="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" s="17" t="str">
        <f>"('"&amp;E2&amp;"','"&amp;B2&amp;"','"&amp;D2&amp;"',(select max(to_number(i.premium_rcv_detail_code))+1
from ins_premium_det i),'"&amp;D2&amp;"','"&amp;D2&amp;"','02', '11000003','00','Request by Mr. Saqib Saleem 08-Nov-2024');"</f>
        <v>('08Nov240048','070000169051','53288',(select max(to_number(i.premium_rcv_detail_code))+1
from ins_premium_det i),'53288','53288','02', '11000003','00','Request by Mr. Saqib Saleem 08-Nov-2024');</v>
      </c>
      <c r="H2" s="18" t="str">
        <f>F2&amp;G2</f>
        <v>insert into ins_premium_det (premium_rcv_code,assorted_code, rec_amount,premium_rcv_detail_code,remaining_amt, payrec, mode_code,coinsurance_code,class_cd,it_remarks) values('08Nov240048','070000169051','53288',(select max(to_number(i.premium_rcv_detail_code))+1
from ins_premium_det i),'53288','53288','02', '11000003','00','Request by Mr. Saqib Saleem 08-Nov-2024');</v>
      </c>
    </row>
    <row r="3" spans="1:8" ht="105">
      <c r="A3" s="2" t="s">
        <v>304</v>
      </c>
      <c r="B3" s="14" t="str">
        <f>VLOOKUP(A3,policy!B:C,2,0)</f>
        <v>070000167444</v>
      </c>
      <c r="C3" s="2">
        <v>133543</v>
      </c>
      <c r="D3" s="15">
        <f t="shared" ref="D3:D58" si="1">ROUND(C3,0)</f>
        <v>133543</v>
      </c>
      <c r="E3" s="19" t="s">
        <v>476</v>
      </c>
      <c r="F3" s="16" t="str">
        <f t="shared" si="0"/>
        <v>insert into ins_premium_det (premium_rcv_code,assorted_code, rec_amount,premium_rcv_detail_code,remaining_amt, payrec, mode_code,coinsurance_code,class_cd,it_remarks) values</v>
      </c>
      <c r="G3" s="17" t="str">
        <f t="shared" ref="G3:G58" si="2">"('"&amp;E3&amp;"','"&amp;B3&amp;"','"&amp;D3&amp;"',(select max(to_number(i.premium_rcv_detail_code))+1
from ins_premium_det i),'"&amp;D3&amp;"','"&amp;D3&amp;"','02', '11000003','00','Request by Mr. Saqib Saleem 08-Nov-2024');"</f>
        <v>('08Nov240048','070000167444','133543',(select max(to_number(i.premium_rcv_detail_code))+1
from ins_premium_det i),'133543','133543','02', '11000003','00','Request by Mr. Saqib Saleem 08-Nov-2024');</v>
      </c>
      <c r="H3" s="18" t="str">
        <f t="shared" ref="H3:H58" si="3">F3&amp;G3</f>
        <v>insert into ins_premium_det (premium_rcv_code,assorted_code, rec_amount,premium_rcv_detail_code,remaining_amt, payrec, mode_code,coinsurance_code,class_cd,it_remarks) values('08Nov240048','070000167444','133543',(select max(to_number(i.premium_rcv_detail_code))+1
from ins_premium_det i),'133543','133543','02', '11000003','00','Request by Mr. Saqib Saleem 08-Nov-2024');</v>
      </c>
    </row>
    <row r="4" spans="1:8" ht="105">
      <c r="A4" s="2" t="s">
        <v>305</v>
      </c>
      <c r="B4" s="14" t="str">
        <f>VLOOKUP(A4,policy!B:C,2,0)</f>
        <v>070000166966</v>
      </c>
      <c r="C4" s="2">
        <v>82583</v>
      </c>
      <c r="D4" s="15">
        <f t="shared" si="1"/>
        <v>82583</v>
      </c>
      <c r="E4" s="19" t="s">
        <v>476</v>
      </c>
      <c r="F4" s="16" t="str">
        <f t="shared" si="0"/>
        <v>insert into ins_premium_det (premium_rcv_code,assorted_code, rec_amount,premium_rcv_detail_code,remaining_amt, payrec, mode_code,coinsurance_code,class_cd,it_remarks) values</v>
      </c>
      <c r="G4" s="17" t="str">
        <f t="shared" si="2"/>
        <v>('08Nov240048','070000166966','82583',(select max(to_number(i.premium_rcv_detail_code))+1
from ins_premium_det i),'82583','82583','02', '11000003','00','Request by Mr. Saqib Saleem 08-Nov-2024');</v>
      </c>
      <c r="H4" s="18" t="str">
        <f t="shared" si="3"/>
        <v>insert into ins_premium_det (premium_rcv_code,assorted_code, rec_amount,premium_rcv_detail_code,remaining_amt, payrec, mode_code,coinsurance_code,class_cd,it_remarks) values('08Nov240048','070000166966','82583',(select max(to_number(i.premium_rcv_detail_code))+1
from ins_premium_det i),'82583','82583','02', '11000003','00','Request by Mr. Saqib Saleem 08-Nov-2024');</v>
      </c>
    </row>
    <row r="5" spans="1:8" ht="105">
      <c r="A5" s="2" t="s">
        <v>306</v>
      </c>
      <c r="B5" s="14" t="str">
        <f>VLOOKUP(A5,policy!B:C,2,0)</f>
        <v>070000166967</v>
      </c>
      <c r="C5" s="2">
        <v>75250</v>
      </c>
      <c r="D5" s="15">
        <f t="shared" si="1"/>
        <v>75250</v>
      </c>
      <c r="E5" s="19" t="s">
        <v>476</v>
      </c>
      <c r="F5" s="16" t="str">
        <f t="shared" si="0"/>
        <v>insert into ins_premium_det (premium_rcv_code,assorted_code, rec_amount,premium_rcv_detail_code,remaining_amt, payrec, mode_code,coinsurance_code,class_cd,it_remarks) values</v>
      </c>
      <c r="G5" s="17" t="str">
        <f t="shared" si="2"/>
        <v>('08Nov240048','070000166967','75250',(select max(to_number(i.premium_rcv_detail_code))+1
from ins_premium_det i),'75250','75250','02', '11000003','00','Request by Mr. Saqib Saleem 08-Nov-2024');</v>
      </c>
      <c r="H5" s="18" t="str">
        <f t="shared" si="3"/>
        <v>insert into ins_premium_det (premium_rcv_code,assorted_code, rec_amount,premium_rcv_detail_code,remaining_amt, payrec, mode_code,coinsurance_code,class_cd,it_remarks) values('08Nov240048','070000166967','75250',(select max(to_number(i.premium_rcv_detail_code))+1
from ins_premium_det i),'75250','75250','02', '11000003','00','Request by Mr. Saqib Saleem 08-Nov-2024');</v>
      </c>
    </row>
    <row r="6" spans="1:8" ht="45">
      <c r="A6" s="2" t="e">
        <v>#N/A</v>
      </c>
      <c r="B6" s="14" t="e">
        <f>VLOOKUP(A6,policy!B:C,2,0)</f>
        <v>#N/A</v>
      </c>
      <c r="C6" s="2" t="s">
        <v>357</v>
      </c>
      <c r="D6" s="15" t="s">
        <v>357</v>
      </c>
      <c r="E6" s="19" t="s">
        <v>476</v>
      </c>
      <c r="F6" s="16" t="str">
        <f t="shared" si="0"/>
        <v>insert into ins_premium_det (premium_rcv_code,assorted_code, rec_amount,premium_rcv_detail_code,remaining_amt, payrec, mode_code,coinsurance_code,class_cd,it_remarks) values</v>
      </c>
      <c r="G6" s="17" t="e">
        <f t="shared" si="2"/>
        <v>#N/A</v>
      </c>
      <c r="H6" s="18" t="s">
        <v>357</v>
      </c>
    </row>
    <row r="7" spans="1:8" ht="105">
      <c r="A7" s="2" t="s">
        <v>307</v>
      </c>
      <c r="B7" s="14" t="str">
        <f>VLOOKUP(A7,policy!B:C,2,0)</f>
        <v>070000169037</v>
      </c>
      <c r="C7" s="2">
        <v>73500</v>
      </c>
      <c r="D7" s="15">
        <f t="shared" si="1"/>
        <v>73500</v>
      </c>
      <c r="E7" s="19" t="s">
        <v>476</v>
      </c>
      <c r="F7" s="16" t="str">
        <f t="shared" si="0"/>
        <v>insert into ins_premium_det (premium_rcv_code,assorted_code, rec_amount,premium_rcv_detail_code,remaining_amt, payrec, mode_code,coinsurance_code,class_cd,it_remarks) values</v>
      </c>
      <c r="G7" s="17" t="str">
        <f t="shared" si="2"/>
        <v>('08Nov240048','070000169037','73500',(select max(to_number(i.premium_rcv_detail_code))+1
from ins_premium_det i),'73500','73500','02', '11000003','00','Request by Mr. Saqib Saleem 08-Nov-2024');</v>
      </c>
      <c r="H7" s="18" t="str">
        <f t="shared" si="3"/>
        <v>insert into ins_premium_det (premium_rcv_code,assorted_code, rec_amount,premium_rcv_detail_code,remaining_amt, payrec, mode_code,coinsurance_code,class_cd,it_remarks) values('08Nov240048','070000169037','73500',(select max(to_number(i.premium_rcv_detail_code))+1
from ins_premium_det i),'73500','73500','02', '11000003','00','Request by Mr. Saqib Saleem 08-Nov-2024');</v>
      </c>
    </row>
    <row r="8" spans="1:8" ht="105">
      <c r="A8" s="2" t="s">
        <v>308</v>
      </c>
      <c r="B8" s="14" t="str">
        <f>VLOOKUP(A8,policy!B:C,2,0)</f>
        <v>070000169043</v>
      </c>
      <c r="C8" s="2">
        <v>165182</v>
      </c>
      <c r="D8" s="15">
        <f t="shared" si="1"/>
        <v>165182</v>
      </c>
      <c r="E8" s="19" t="s">
        <v>476</v>
      </c>
      <c r="F8" s="16" t="str">
        <f t="shared" si="0"/>
        <v>insert into ins_premium_det (premium_rcv_code,assorted_code, rec_amount,premium_rcv_detail_code,remaining_amt, payrec, mode_code,coinsurance_code,class_cd,it_remarks) values</v>
      </c>
      <c r="G8" s="17" t="str">
        <f t="shared" si="2"/>
        <v>('08Nov240048','070000169043','165182',(select max(to_number(i.premium_rcv_detail_code))+1
from ins_premium_det i),'165182','165182','02', '11000003','00','Request by Mr. Saqib Saleem 08-Nov-2024');</v>
      </c>
      <c r="H8" s="18" t="str">
        <f t="shared" si="3"/>
        <v>insert into ins_premium_det (premium_rcv_code,assorted_code, rec_amount,premium_rcv_detail_code,remaining_amt, payrec, mode_code,coinsurance_code,class_cd,it_remarks) values('08Nov240048','070000169043','165182',(select max(to_number(i.premium_rcv_detail_code))+1
from ins_premium_det i),'165182','165182','02', '11000003','00','Request by Mr. Saqib Saleem 08-Nov-2024');</v>
      </c>
    </row>
    <row r="9" spans="1:8" ht="105">
      <c r="A9" s="2" t="s">
        <v>309</v>
      </c>
      <c r="B9" s="14" t="str">
        <f>VLOOKUP(A9,policy!B:C,2,0)</f>
        <v>070000169016</v>
      </c>
      <c r="C9" s="2">
        <v>45500</v>
      </c>
      <c r="D9" s="15">
        <f t="shared" si="1"/>
        <v>45500</v>
      </c>
      <c r="E9" s="19" t="s">
        <v>476</v>
      </c>
      <c r="F9" s="16" t="str">
        <f t="shared" si="0"/>
        <v>insert into ins_premium_det (premium_rcv_code,assorted_code, rec_amount,premium_rcv_detail_code,remaining_amt, payrec, mode_code,coinsurance_code,class_cd,it_remarks) values</v>
      </c>
      <c r="G9" s="17" t="str">
        <f t="shared" si="2"/>
        <v>('08Nov240048','070000169016','45500',(select max(to_number(i.premium_rcv_detail_code))+1
from ins_premium_det i),'45500','45500','02', '11000003','00','Request by Mr. Saqib Saleem 08-Nov-2024');</v>
      </c>
      <c r="H9" s="18" t="str">
        <f t="shared" si="3"/>
        <v>insert into ins_premium_det (premium_rcv_code,assorted_code, rec_amount,premium_rcv_detail_code,remaining_amt, payrec, mode_code,coinsurance_code,class_cd,it_remarks) values('08Nov240048','070000169016','45500',(select max(to_number(i.premium_rcv_detail_code))+1
from ins_premium_det i),'45500','45500','02', '11000003','00','Request by Mr. Saqib Saleem 08-Nov-2024');</v>
      </c>
    </row>
    <row r="10" spans="1:8" ht="105">
      <c r="A10" s="2" t="s">
        <v>310</v>
      </c>
      <c r="B10" s="14" t="str">
        <f>VLOOKUP(A10,policy!B:C,2,0)</f>
        <v>070000169289</v>
      </c>
      <c r="C10" s="2">
        <v>45063</v>
      </c>
      <c r="D10" s="15">
        <f t="shared" si="1"/>
        <v>45063</v>
      </c>
      <c r="E10" s="19" t="s">
        <v>476</v>
      </c>
      <c r="F10" s="16" t="str">
        <f t="shared" si="0"/>
        <v>insert into ins_premium_det (premium_rcv_code,assorted_code, rec_amount,premium_rcv_detail_code,remaining_amt, payrec, mode_code,coinsurance_code,class_cd,it_remarks) values</v>
      </c>
      <c r="G10" s="17" t="str">
        <f t="shared" si="2"/>
        <v>('08Nov240048','070000169289','45063',(select max(to_number(i.premium_rcv_detail_code))+1
from ins_premium_det i),'45063','45063','02', '11000003','00','Request by Mr. Saqib Saleem 08-Nov-2024');</v>
      </c>
      <c r="H10" s="18" t="str">
        <f t="shared" si="3"/>
        <v>insert into ins_premium_det (premium_rcv_code,assorted_code, rec_amount,premium_rcv_detail_code,remaining_amt, payrec, mode_code,coinsurance_code,class_cd,it_remarks) values('08Nov240048','070000169289','45063',(select max(to_number(i.premium_rcv_detail_code))+1
from ins_premium_det i),'45063','45063','02', '11000003','00','Request by Mr. Saqib Saleem 08-Nov-2024');</v>
      </c>
    </row>
    <row r="11" spans="1:8" ht="105">
      <c r="A11" s="2" t="s">
        <v>311</v>
      </c>
      <c r="B11" s="14" t="str">
        <f>VLOOKUP(A11,policy!B:C,2,0)</f>
        <v>070000169042</v>
      </c>
      <c r="C11" s="2">
        <v>53288</v>
      </c>
      <c r="D11" s="15">
        <f t="shared" si="1"/>
        <v>53288</v>
      </c>
      <c r="E11" s="19" t="s">
        <v>476</v>
      </c>
      <c r="F11" s="16" t="str">
        <f t="shared" si="0"/>
        <v>insert into ins_premium_det (premium_rcv_code,assorted_code, rec_amount,premium_rcv_detail_code,remaining_amt, payrec, mode_code,coinsurance_code,class_cd,it_remarks) values</v>
      </c>
      <c r="G11" s="17" t="str">
        <f t="shared" si="2"/>
        <v>('08Nov240048','070000169042','53288',(select max(to_number(i.premium_rcv_detail_code))+1
from ins_premium_det i),'53288','53288','02', '11000003','00','Request by Mr. Saqib Saleem 08-Nov-2024');</v>
      </c>
      <c r="H11" s="18" t="str">
        <f t="shared" si="3"/>
        <v>insert into ins_premium_det (premium_rcv_code,assorted_code, rec_amount,premium_rcv_detail_code,remaining_amt, payrec, mode_code,coinsurance_code,class_cd,it_remarks) values('08Nov240048','070000169042','53288',(select max(to_number(i.premium_rcv_detail_code))+1
from ins_premium_det i),'53288','53288','02', '11000003','00','Request by Mr. Saqib Saleem 08-Nov-2024');</v>
      </c>
    </row>
    <row r="12" spans="1:8" ht="105">
      <c r="A12" s="2" t="s">
        <v>312</v>
      </c>
      <c r="B12" s="14" t="str">
        <f>VLOOKUP(A12,policy!B:C,2,0)</f>
        <v>070000169348</v>
      </c>
      <c r="C12" s="2">
        <v>44250</v>
      </c>
      <c r="D12" s="15">
        <f t="shared" si="1"/>
        <v>44250</v>
      </c>
      <c r="E12" s="19" t="s">
        <v>476</v>
      </c>
      <c r="F12" s="16" t="str">
        <f t="shared" si="0"/>
        <v>insert into ins_premium_det (premium_rcv_code,assorted_code, rec_amount,premium_rcv_detail_code,remaining_amt, payrec, mode_code,coinsurance_code,class_cd,it_remarks) values</v>
      </c>
      <c r="G12" s="17" t="str">
        <f t="shared" si="2"/>
        <v>('08Nov240048','070000169348','44250',(select max(to_number(i.premium_rcv_detail_code))+1
from ins_premium_det i),'44250','44250','02', '11000003','00','Request by Mr. Saqib Saleem 08-Nov-2024');</v>
      </c>
      <c r="H12" s="18" t="str">
        <f t="shared" si="3"/>
        <v>insert into ins_premium_det (premium_rcv_code,assorted_code, rec_amount,premium_rcv_detail_code,remaining_amt, payrec, mode_code,coinsurance_code,class_cd,it_remarks) values('08Nov240048','070000169348','44250',(select max(to_number(i.premium_rcv_detail_code))+1
from ins_premium_det i),'44250','44250','02', '11000003','00','Request by Mr. Saqib Saleem 08-Nov-2024');</v>
      </c>
    </row>
    <row r="13" spans="1:8" ht="105">
      <c r="A13" s="2" t="s">
        <v>313</v>
      </c>
      <c r="B13" s="14" t="str">
        <f>VLOOKUP(A13,policy!B:C,2,0)</f>
        <v>070000169376</v>
      </c>
      <c r="C13" s="2">
        <v>47163</v>
      </c>
      <c r="D13" s="15">
        <f t="shared" si="1"/>
        <v>47163</v>
      </c>
      <c r="E13" s="19" t="s">
        <v>476</v>
      </c>
      <c r="F13" s="16" t="str">
        <f t="shared" si="0"/>
        <v>insert into ins_premium_det (premium_rcv_code,assorted_code, rec_amount,premium_rcv_detail_code,remaining_amt, payrec, mode_code,coinsurance_code,class_cd,it_remarks) values</v>
      </c>
      <c r="G13" s="17" t="str">
        <f t="shared" si="2"/>
        <v>('08Nov240048','070000169376','47163',(select max(to_number(i.premium_rcv_detail_code))+1
from ins_premium_det i),'47163','47163','02', '11000003','00','Request by Mr. Saqib Saleem 08-Nov-2024');</v>
      </c>
      <c r="H13" s="18" t="str">
        <f t="shared" si="3"/>
        <v>insert into ins_premium_det (premium_rcv_code,assorted_code, rec_amount,premium_rcv_detail_code,remaining_amt, payrec, mode_code,coinsurance_code,class_cd,it_remarks) values('08Nov240048','070000169376','47163',(select max(to_number(i.premium_rcv_detail_code))+1
from ins_premium_det i),'47163','47163','02', '11000003','00','Request by Mr. Saqib Saleem 08-Nov-2024');</v>
      </c>
    </row>
    <row r="14" spans="1:8" ht="105">
      <c r="A14" s="2" t="s">
        <v>314</v>
      </c>
      <c r="B14" s="14" t="str">
        <f>VLOOKUP(A14,policy!B:C,2,0)</f>
        <v>070000169366</v>
      </c>
      <c r="C14" s="2">
        <v>53288</v>
      </c>
      <c r="D14" s="15">
        <f t="shared" si="1"/>
        <v>53288</v>
      </c>
      <c r="E14" s="19" t="s">
        <v>476</v>
      </c>
      <c r="F14" s="16" t="str">
        <f t="shared" si="0"/>
        <v>insert into ins_premium_det (premium_rcv_code,assorted_code, rec_amount,premium_rcv_detail_code,remaining_amt, payrec, mode_code,coinsurance_code,class_cd,it_remarks) values</v>
      </c>
      <c r="G14" s="17" t="str">
        <f t="shared" si="2"/>
        <v>('08Nov240048','070000169366','53288',(select max(to_number(i.premium_rcv_detail_code))+1
from ins_premium_det i),'53288','53288','02', '11000003','00','Request by Mr. Saqib Saleem 08-Nov-2024');</v>
      </c>
      <c r="H14" s="18" t="str">
        <f t="shared" si="3"/>
        <v>insert into ins_premium_det (premium_rcv_code,assorted_code, rec_amount,premium_rcv_detail_code,remaining_amt, payrec, mode_code,coinsurance_code,class_cd,it_remarks) values('08Nov240048','070000169366','53288',(select max(to_number(i.premium_rcv_detail_code))+1
from ins_premium_det i),'53288','53288','02', '11000003','00','Request by Mr. Saqib Saleem 08-Nov-2024');</v>
      </c>
    </row>
    <row r="15" spans="1:8" ht="105">
      <c r="A15" s="2" t="s">
        <v>315</v>
      </c>
      <c r="B15" s="14" t="str">
        <f>VLOOKUP(A15,policy!B:C,2,0)</f>
        <v>070000169345</v>
      </c>
      <c r="C15" s="3">
        <v>39813</v>
      </c>
      <c r="D15" s="15">
        <f t="shared" si="1"/>
        <v>39813</v>
      </c>
      <c r="E15" s="19" t="s">
        <v>476</v>
      </c>
      <c r="F15" s="16" t="str">
        <f t="shared" si="0"/>
        <v>insert into ins_premium_det (premium_rcv_code,assorted_code, rec_amount,premium_rcv_detail_code,remaining_amt, payrec, mode_code,coinsurance_code,class_cd,it_remarks) values</v>
      </c>
      <c r="G15" s="17" t="str">
        <f t="shared" si="2"/>
        <v>('08Nov240048','070000169345','39813',(select max(to_number(i.premium_rcv_detail_code))+1
from ins_premium_det i),'39813','39813','02', '11000003','00','Request by Mr. Saqib Saleem 08-Nov-2024');</v>
      </c>
      <c r="H15" s="18" t="str">
        <f t="shared" si="3"/>
        <v>insert into ins_premium_det (premium_rcv_code,assorted_code, rec_amount,premium_rcv_detail_code,remaining_amt, payrec, mode_code,coinsurance_code,class_cd,it_remarks) values('08Nov240048','070000169345','39813',(select max(to_number(i.premium_rcv_detail_code))+1
from ins_premium_det i),'39813','39813','02', '11000003','00','Request by Mr. Saqib Saleem 08-Nov-2024');</v>
      </c>
    </row>
    <row r="16" spans="1:8" ht="105">
      <c r="A16" s="2" t="s">
        <v>316</v>
      </c>
      <c r="B16" s="14" t="str">
        <f>VLOOKUP(A16,policy!B:C,2,0)</f>
        <v>070000169422</v>
      </c>
      <c r="C16" s="2">
        <v>67375</v>
      </c>
      <c r="D16" s="15">
        <f t="shared" si="1"/>
        <v>67375</v>
      </c>
      <c r="E16" s="19" t="s">
        <v>476</v>
      </c>
      <c r="F16" s="16" t="str">
        <f t="shared" si="0"/>
        <v>insert into ins_premium_det (premium_rcv_code,assorted_code, rec_amount,premium_rcv_detail_code,remaining_amt, payrec, mode_code,coinsurance_code,class_cd,it_remarks) values</v>
      </c>
      <c r="G16" s="17" t="str">
        <f t="shared" si="2"/>
        <v>('08Nov240048','070000169422','67375',(select max(to_number(i.premium_rcv_detail_code))+1
from ins_premium_det i),'67375','67375','02', '11000003','00','Request by Mr. Saqib Saleem 08-Nov-2024');</v>
      </c>
      <c r="H16" s="18" t="str">
        <f t="shared" si="3"/>
        <v>insert into ins_premium_det (premium_rcv_code,assorted_code, rec_amount,premium_rcv_detail_code,remaining_amt, payrec, mode_code,coinsurance_code,class_cd,it_remarks) values('08Nov240048','070000169422','67375',(select max(to_number(i.premium_rcv_detail_code))+1
from ins_premium_det i),'67375','67375','02', '11000003','00','Request by Mr. Saqib Saleem 08-Nov-2024');</v>
      </c>
    </row>
    <row r="17" spans="1:8" ht="105">
      <c r="A17" s="2" t="s">
        <v>317</v>
      </c>
      <c r="B17" s="14" t="str">
        <f>VLOOKUP(A17,policy!B:C,2,0)</f>
        <v>070000167032</v>
      </c>
      <c r="C17" s="2">
        <v>32988</v>
      </c>
      <c r="D17" s="15">
        <f t="shared" si="1"/>
        <v>32988</v>
      </c>
      <c r="E17" s="19" t="s">
        <v>476</v>
      </c>
      <c r="F17" s="16" t="str">
        <f t="shared" si="0"/>
        <v>insert into ins_premium_det (premium_rcv_code,assorted_code, rec_amount,premium_rcv_detail_code,remaining_amt, payrec, mode_code,coinsurance_code,class_cd,it_remarks) values</v>
      </c>
      <c r="G17" s="17" t="str">
        <f t="shared" si="2"/>
        <v>('08Nov240048','070000167032','32988',(select max(to_number(i.premium_rcv_detail_code))+1
from ins_premium_det i),'32988','32988','02', '11000003','00','Request by Mr. Saqib Saleem 08-Nov-2024');</v>
      </c>
      <c r="H17" s="18" t="str">
        <f t="shared" si="3"/>
        <v>insert into ins_premium_det (premium_rcv_code,assorted_code, rec_amount,premium_rcv_detail_code,remaining_amt, payrec, mode_code,coinsurance_code,class_cd,it_remarks) values('08Nov240048','070000167032','32988',(select max(to_number(i.premium_rcv_detail_code))+1
from ins_premium_det i),'32988','32988','02', '11000003','00','Request by Mr. Saqib Saleem 08-Nov-2024');</v>
      </c>
    </row>
    <row r="18" spans="1:8" ht="105">
      <c r="A18" s="2" t="s">
        <v>318</v>
      </c>
      <c r="B18" s="14" t="str">
        <f>VLOOKUP(A18,policy!B:C,2,0)</f>
        <v>070000167499</v>
      </c>
      <c r="C18" s="2">
        <v>78750</v>
      </c>
      <c r="D18" s="15">
        <f t="shared" si="1"/>
        <v>78750</v>
      </c>
      <c r="E18" s="19" t="s">
        <v>476</v>
      </c>
      <c r="F18" s="16" t="str">
        <f t="shared" si="0"/>
        <v>insert into ins_premium_det (premium_rcv_code,assorted_code, rec_amount,premium_rcv_detail_code,remaining_amt, payrec, mode_code,coinsurance_code,class_cd,it_remarks) values</v>
      </c>
      <c r="G18" s="17" t="str">
        <f t="shared" si="2"/>
        <v>('08Nov240048','070000167499','78750',(select max(to_number(i.premium_rcv_detail_code))+1
from ins_premium_det i),'78750','78750','02', '11000003','00','Request by Mr. Saqib Saleem 08-Nov-2024');</v>
      </c>
      <c r="H18" s="18" t="str">
        <f t="shared" si="3"/>
        <v>insert into ins_premium_det (premium_rcv_code,assorted_code, rec_amount,premium_rcv_detail_code,remaining_amt, payrec, mode_code,coinsurance_code,class_cd,it_remarks) values('08Nov240048','070000167499','78750',(select max(to_number(i.premium_rcv_detail_code))+1
from ins_premium_det i),'78750','78750','02', '11000003','00','Request by Mr. Saqib Saleem 08-Nov-2024');</v>
      </c>
    </row>
    <row r="19" spans="1:8" ht="105">
      <c r="A19" s="2" t="s">
        <v>319</v>
      </c>
      <c r="B19" s="14" t="str">
        <f>VLOOKUP(A19,policy!B:C,2,0)</f>
        <v>070000167338</v>
      </c>
      <c r="C19" s="2">
        <v>53288</v>
      </c>
      <c r="D19" s="15">
        <f t="shared" si="1"/>
        <v>53288</v>
      </c>
      <c r="E19" s="19" t="s">
        <v>476</v>
      </c>
      <c r="F19" s="16" t="str">
        <f t="shared" si="0"/>
        <v>insert into ins_premium_det (premium_rcv_code,assorted_code, rec_amount,premium_rcv_detail_code,remaining_amt, payrec, mode_code,coinsurance_code,class_cd,it_remarks) values</v>
      </c>
      <c r="G19" s="17" t="str">
        <f t="shared" si="2"/>
        <v>('08Nov240048','070000167338','53288',(select max(to_number(i.premium_rcv_detail_code))+1
from ins_premium_det i),'53288','53288','02', '11000003','00','Request by Mr. Saqib Saleem 08-Nov-2024');</v>
      </c>
      <c r="H19" s="18" t="str">
        <f t="shared" si="3"/>
        <v>insert into ins_premium_det (premium_rcv_code,assorted_code, rec_amount,premium_rcv_detail_code,remaining_amt, payrec, mode_code,coinsurance_code,class_cd,it_remarks) values('08Nov240048','070000167338','53288',(select max(to_number(i.premium_rcv_detail_code))+1
from ins_premium_det i),'53288','53288','02', '11000003','00','Request by Mr. Saqib Saleem 08-Nov-2024');</v>
      </c>
    </row>
    <row r="20" spans="1:8" ht="105">
      <c r="A20" s="2" t="s">
        <v>320</v>
      </c>
      <c r="B20" s="14" t="str">
        <f>VLOOKUP(A20,policy!B:C,2,0)</f>
        <v>070000167625</v>
      </c>
      <c r="C20" s="2">
        <v>53288</v>
      </c>
      <c r="D20" s="15">
        <f t="shared" si="1"/>
        <v>53288</v>
      </c>
      <c r="E20" s="19" t="s">
        <v>476</v>
      </c>
      <c r="F20" s="16" t="str">
        <f t="shared" si="0"/>
        <v>insert into ins_premium_det (premium_rcv_code,assorted_code, rec_amount,premium_rcv_detail_code,remaining_amt, payrec, mode_code,coinsurance_code,class_cd,it_remarks) values</v>
      </c>
      <c r="G20" s="17" t="str">
        <f t="shared" si="2"/>
        <v>('08Nov240048','070000167625','53288',(select max(to_number(i.premium_rcv_detail_code))+1
from ins_premium_det i),'53288','53288','02', '11000003','00','Request by Mr. Saqib Saleem 08-Nov-2024');</v>
      </c>
      <c r="H20" s="18" t="str">
        <f t="shared" si="3"/>
        <v>insert into ins_premium_det (premium_rcv_code,assorted_code, rec_amount,premium_rcv_detail_code,remaining_amt, payrec, mode_code,coinsurance_code,class_cd,it_remarks) values('08Nov240048','070000167625','53288',(select max(to_number(i.premium_rcv_detail_code))+1
from ins_premium_det i),'53288','53288','02', '11000003','00','Request by Mr. Saqib Saleem 08-Nov-2024');</v>
      </c>
    </row>
    <row r="21" spans="1:8" ht="105">
      <c r="A21" s="2" t="s">
        <v>321</v>
      </c>
      <c r="B21" s="14" t="str">
        <f>VLOOKUP(A21,policy!B:C,2,0)</f>
        <v>070000169369</v>
      </c>
      <c r="C21" s="2">
        <v>92750</v>
      </c>
      <c r="D21" s="15">
        <f t="shared" si="1"/>
        <v>92750</v>
      </c>
      <c r="E21" s="19" t="s">
        <v>476</v>
      </c>
      <c r="F21" s="16" t="str">
        <f t="shared" si="0"/>
        <v>insert into ins_premium_det (premium_rcv_code,assorted_code, rec_amount,premium_rcv_detail_code,remaining_amt, payrec, mode_code,coinsurance_code,class_cd,it_remarks) values</v>
      </c>
      <c r="G21" s="17" t="str">
        <f t="shared" si="2"/>
        <v>('08Nov240048','070000169369','92750',(select max(to_number(i.premium_rcv_detail_code))+1
from ins_premium_det i),'92750','92750','02', '11000003','00','Request by Mr. Saqib Saleem 08-Nov-2024');</v>
      </c>
      <c r="H21" s="18" t="str">
        <f t="shared" si="3"/>
        <v>insert into ins_premium_det (premium_rcv_code,assorted_code, rec_amount,premium_rcv_detail_code,remaining_amt, payrec, mode_code,coinsurance_code,class_cd,it_remarks) values('08Nov240048','070000169369','92750',(select max(to_number(i.premium_rcv_detail_code))+1
from ins_premium_det i),'92750','92750','02', '11000003','00','Request by Mr. Saqib Saleem 08-Nov-2024');</v>
      </c>
    </row>
    <row r="22" spans="1:8" ht="105">
      <c r="A22" s="2" t="s">
        <v>322</v>
      </c>
      <c r="B22" s="14" t="str">
        <f>VLOOKUP(A22,policy!B:C,2,0)</f>
        <v>070000169408</v>
      </c>
      <c r="C22" s="2">
        <v>60375</v>
      </c>
      <c r="D22" s="15">
        <f t="shared" si="1"/>
        <v>60375</v>
      </c>
      <c r="E22" s="19" t="s">
        <v>476</v>
      </c>
      <c r="F22" s="16" t="str">
        <f t="shared" si="0"/>
        <v>insert into ins_premium_det (premium_rcv_code,assorted_code, rec_amount,premium_rcv_detail_code,remaining_amt, payrec, mode_code,coinsurance_code,class_cd,it_remarks) values</v>
      </c>
      <c r="G22" s="17" t="str">
        <f t="shared" si="2"/>
        <v>('08Nov240048','070000169408','60375',(select max(to_number(i.premium_rcv_detail_code))+1
from ins_premium_det i),'60375','60375','02', '11000003','00','Request by Mr. Saqib Saleem 08-Nov-2024');</v>
      </c>
      <c r="H22" s="18" t="str">
        <f t="shared" si="3"/>
        <v>insert into ins_premium_det (premium_rcv_code,assorted_code, rec_amount,premium_rcv_detail_code,remaining_amt, payrec, mode_code,coinsurance_code,class_cd,it_remarks) values('08Nov240048','070000169408','60375',(select max(to_number(i.premium_rcv_detail_code))+1
from ins_premium_det i),'60375','60375','02', '11000003','00','Request by Mr. Saqib Saleem 08-Nov-2024');</v>
      </c>
    </row>
    <row r="23" spans="1:8" ht="105">
      <c r="A23" s="2" t="s">
        <v>323</v>
      </c>
      <c r="B23" s="14" t="str">
        <f>VLOOKUP(A23,policy!B:C,2,0)</f>
        <v>070000169399</v>
      </c>
      <c r="C23" s="2">
        <v>42875</v>
      </c>
      <c r="D23" s="15">
        <f t="shared" si="1"/>
        <v>42875</v>
      </c>
      <c r="E23" s="19" t="s">
        <v>476</v>
      </c>
      <c r="F23" s="16" t="str">
        <f t="shared" si="0"/>
        <v>insert into ins_premium_det (premium_rcv_code,assorted_code, rec_amount,premium_rcv_detail_code,remaining_amt, payrec, mode_code,coinsurance_code,class_cd,it_remarks) values</v>
      </c>
      <c r="G23" s="17" t="str">
        <f t="shared" si="2"/>
        <v>('08Nov240048','070000169399','42875',(select max(to_number(i.premium_rcv_detail_code))+1
from ins_premium_det i),'42875','42875','02', '11000003','00','Request by Mr. Saqib Saleem 08-Nov-2024');</v>
      </c>
      <c r="H23" s="18" t="str">
        <f t="shared" si="3"/>
        <v>insert into ins_premium_det (premium_rcv_code,assorted_code, rec_amount,premium_rcv_detail_code,remaining_amt, payrec, mode_code,coinsurance_code,class_cd,it_remarks) values('08Nov240048','070000169399','42875',(select max(to_number(i.premium_rcv_detail_code))+1
from ins_premium_det i),'42875','42875','02', '11000003','00','Request by Mr. Saqib Saleem 08-Nov-2024');</v>
      </c>
    </row>
    <row r="24" spans="1:8" ht="105">
      <c r="A24" s="2" t="s">
        <v>270</v>
      </c>
      <c r="B24" s="14" t="str">
        <f>VLOOKUP(A24,policy!B:C,2,0)</f>
        <v>070000166579</v>
      </c>
      <c r="C24" s="2">
        <v>95200</v>
      </c>
      <c r="D24" s="15">
        <f t="shared" si="1"/>
        <v>95200</v>
      </c>
      <c r="E24" s="19" t="s">
        <v>476</v>
      </c>
      <c r="F24" s="16" t="str">
        <f t="shared" si="0"/>
        <v>insert into ins_premium_det (premium_rcv_code,assorted_code, rec_amount,premium_rcv_detail_code,remaining_amt, payrec, mode_code,coinsurance_code,class_cd,it_remarks) values</v>
      </c>
      <c r="G24" s="17" t="str">
        <f t="shared" si="2"/>
        <v>('08Nov240048','070000166579','95200',(select max(to_number(i.premium_rcv_detail_code))+1
from ins_premium_det i),'95200','95200','02', '11000003','00','Request by Mr. Saqib Saleem 08-Nov-2024');</v>
      </c>
      <c r="H24" s="18" t="str">
        <f t="shared" si="3"/>
        <v>insert into ins_premium_det (premium_rcv_code,assorted_code, rec_amount,premium_rcv_detail_code,remaining_amt, payrec, mode_code,coinsurance_code,class_cd,it_remarks) values('08Nov240048','070000166579','95200',(select max(to_number(i.premium_rcv_detail_code))+1
from ins_premium_det i),'95200','95200','02', '11000003','00','Request by Mr. Saqib Saleem 08-Nov-2024');</v>
      </c>
    </row>
    <row r="25" spans="1:8" ht="105">
      <c r="A25" s="2" t="s">
        <v>271</v>
      </c>
      <c r="B25" s="14" t="str">
        <f>VLOOKUP(A25,policy!B:C,2,0)</f>
        <v>070000165511</v>
      </c>
      <c r="C25" s="2">
        <v>66483</v>
      </c>
      <c r="D25" s="15">
        <f t="shared" si="1"/>
        <v>66483</v>
      </c>
      <c r="E25" s="19" t="s">
        <v>476</v>
      </c>
      <c r="F25" s="16" t="str">
        <f t="shared" si="0"/>
        <v>insert into ins_premium_det (premium_rcv_code,assorted_code, rec_amount,premium_rcv_detail_code,remaining_amt, payrec, mode_code,coinsurance_code,class_cd,it_remarks) values</v>
      </c>
      <c r="G25" s="17" t="str">
        <f t="shared" si="2"/>
        <v>('08Nov240048','070000165511','66483',(select max(to_number(i.premium_rcv_detail_code))+1
from ins_premium_det i),'66483','66483','02', '11000003','00','Request by Mr. Saqib Saleem 08-Nov-2024');</v>
      </c>
      <c r="H25" s="18" t="str">
        <f t="shared" si="3"/>
        <v>insert into ins_premium_det (premium_rcv_code,assorted_code, rec_amount,premium_rcv_detail_code,remaining_amt, payrec, mode_code,coinsurance_code,class_cd,it_remarks) values('08Nov240048','070000165511','66483',(select max(to_number(i.premium_rcv_detail_code))+1
from ins_premium_det i),'66483','66483','02', '11000003','00','Request by Mr. Saqib Saleem 08-Nov-2024');</v>
      </c>
    </row>
    <row r="26" spans="1:8" ht="105">
      <c r="A26" s="2" t="s">
        <v>324</v>
      </c>
      <c r="B26" s="14" t="str">
        <f>VLOOKUP(A26,policy!B:C,2,0)</f>
        <v>070000167519</v>
      </c>
      <c r="C26" s="2">
        <v>82583</v>
      </c>
      <c r="D26" s="15">
        <f t="shared" si="1"/>
        <v>82583</v>
      </c>
      <c r="E26" s="19" t="s">
        <v>476</v>
      </c>
      <c r="F26" s="16" t="str">
        <f t="shared" si="0"/>
        <v>insert into ins_premium_det (premium_rcv_code,assorted_code, rec_amount,premium_rcv_detail_code,remaining_amt, payrec, mode_code,coinsurance_code,class_cd,it_remarks) values</v>
      </c>
      <c r="G26" s="17" t="str">
        <f t="shared" si="2"/>
        <v>('08Nov240048','070000167519','82583',(select max(to_number(i.premium_rcv_detail_code))+1
from ins_premium_det i),'82583','82583','02', '11000003','00','Request by Mr. Saqib Saleem 08-Nov-2024');</v>
      </c>
      <c r="H26" s="18" t="str">
        <f t="shared" si="3"/>
        <v>insert into ins_premium_det (premium_rcv_code,assorted_code, rec_amount,premium_rcv_detail_code,remaining_amt, payrec, mode_code,coinsurance_code,class_cd,it_remarks) values('08Nov240048','070000167519','82583',(select max(to_number(i.premium_rcv_detail_code))+1
from ins_premium_det i),'82583','82583','02', '11000003','00','Request by Mr. Saqib Saleem 08-Nov-2024');</v>
      </c>
    </row>
    <row r="27" spans="1:8" ht="105">
      <c r="A27" s="2" t="s">
        <v>325</v>
      </c>
      <c r="B27" s="14" t="str">
        <f>VLOOKUP(A27,policy!B:C,2,0)</f>
        <v>070000167870</v>
      </c>
      <c r="C27" s="2">
        <v>68240</v>
      </c>
      <c r="D27" s="15">
        <f t="shared" si="1"/>
        <v>68240</v>
      </c>
      <c r="E27" s="19" t="s">
        <v>476</v>
      </c>
      <c r="F27" s="16" t="str">
        <f t="shared" si="0"/>
        <v>insert into ins_premium_det (premium_rcv_code,assorted_code, rec_amount,premium_rcv_detail_code,remaining_amt, payrec, mode_code,coinsurance_code,class_cd,it_remarks) values</v>
      </c>
      <c r="G27" s="17" t="str">
        <f t="shared" si="2"/>
        <v>('08Nov240048','070000167870','68240',(select max(to_number(i.premium_rcv_detail_code))+1
from ins_premium_det i),'68240','68240','02', '11000003','00','Request by Mr. Saqib Saleem 08-Nov-2024');</v>
      </c>
      <c r="H27" s="18" t="str">
        <f t="shared" si="3"/>
        <v>insert into ins_premium_det (premium_rcv_code,assorted_code, rec_amount,premium_rcv_detail_code,remaining_amt, payrec, mode_code,coinsurance_code,class_cd,it_remarks) values('08Nov240048','070000167870','68240',(select max(to_number(i.premium_rcv_detail_code))+1
from ins_premium_det i),'68240','68240','02', '11000003','00','Request by Mr. Saqib Saleem 08-Nov-2024');</v>
      </c>
    </row>
    <row r="28" spans="1:8" ht="105">
      <c r="A28" s="2" t="s">
        <v>326</v>
      </c>
      <c r="B28" s="14" t="str">
        <f>VLOOKUP(A28,policy!B:C,2,0)</f>
        <v>070000167569</v>
      </c>
      <c r="C28" s="2">
        <v>94380</v>
      </c>
      <c r="D28" s="15">
        <f t="shared" si="1"/>
        <v>94380</v>
      </c>
      <c r="E28" s="19" t="s">
        <v>476</v>
      </c>
      <c r="F28" s="16" t="str">
        <f t="shared" si="0"/>
        <v>insert into ins_premium_det (premium_rcv_code,assorted_code, rec_amount,premium_rcv_detail_code,remaining_amt, payrec, mode_code,coinsurance_code,class_cd,it_remarks) values</v>
      </c>
      <c r="G28" s="17" t="str">
        <f t="shared" si="2"/>
        <v>('08Nov240048','070000167569','94380',(select max(to_number(i.premium_rcv_detail_code))+1
from ins_premium_det i),'94380','94380','02', '11000003','00','Request by Mr. Saqib Saleem 08-Nov-2024');</v>
      </c>
      <c r="H28" s="18" t="str">
        <f t="shared" si="3"/>
        <v>insert into ins_premium_det (premium_rcv_code,assorted_code, rec_amount,premium_rcv_detail_code,remaining_amt, payrec, mode_code,coinsurance_code,class_cd,it_remarks) values('08Nov240048','070000167569','94380',(select max(to_number(i.premium_rcv_detail_code))+1
from ins_premium_det i),'94380','94380','02', '11000003','00','Request by Mr. Saqib Saleem 08-Nov-2024');</v>
      </c>
    </row>
    <row r="29" spans="1:8" ht="105">
      <c r="A29" s="2" t="s">
        <v>327</v>
      </c>
      <c r="B29" s="14" t="str">
        <f>VLOOKUP(A29,policy!B:C,2,0)</f>
        <v>070000167557</v>
      </c>
      <c r="C29" s="2">
        <v>94380</v>
      </c>
      <c r="D29" s="15">
        <f t="shared" si="1"/>
        <v>94380</v>
      </c>
      <c r="E29" s="19" t="s">
        <v>476</v>
      </c>
      <c r="F29" s="16" t="str">
        <f t="shared" si="0"/>
        <v>insert into ins_premium_det (premium_rcv_code,assorted_code, rec_amount,premium_rcv_detail_code,remaining_amt, payrec, mode_code,coinsurance_code,class_cd,it_remarks) values</v>
      </c>
      <c r="G29" s="17" t="str">
        <f t="shared" si="2"/>
        <v>('08Nov240048','070000167557','94380',(select max(to_number(i.premium_rcv_detail_code))+1
from ins_premium_det i),'94380','94380','02', '11000003','00','Request by Mr. Saqib Saleem 08-Nov-2024');</v>
      </c>
      <c r="H29" s="18" t="str">
        <f t="shared" si="3"/>
        <v>insert into ins_premium_det (premium_rcv_code,assorted_code, rec_amount,premium_rcv_detail_code,remaining_amt, payrec, mode_code,coinsurance_code,class_cd,it_remarks) values('08Nov240048','070000167557','94380',(select max(to_number(i.premium_rcv_detail_code))+1
from ins_premium_det i),'94380','94380','02', '11000003','00','Request by Mr. Saqib Saleem 08-Nov-2024');</v>
      </c>
    </row>
    <row r="30" spans="1:8" ht="105">
      <c r="A30" s="2" t="s">
        <v>328</v>
      </c>
      <c r="B30" s="14" t="str">
        <f>VLOOKUP(A30,policy!B:C,2,0)</f>
        <v>070000167276</v>
      </c>
      <c r="C30" s="2">
        <v>81900</v>
      </c>
      <c r="D30" s="15">
        <f t="shared" si="1"/>
        <v>81900</v>
      </c>
      <c r="E30" s="19" t="s">
        <v>476</v>
      </c>
      <c r="F30" s="16" t="str">
        <f t="shared" si="0"/>
        <v>insert into ins_premium_det (premium_rcv_code,assorted_code, rec_amount,premium_rcv_detail_code,remaining_amt, payrec, mode_code,coinsurance_code,class_cd,it_remarks) values</v>
      </c>
      <c r="G30" s="17" t="str">
        <f t="shared" si="2"/>
        <v>('08Nov240048','070000167276','81900',(select max(to_number(i.premium_rcv_detail_code))+1
from ins_premium_det i),'81900','81900','02', '11000003','00','Request by Mr. Saqib Saleem 08-Nov-2024');</v>
      </c>
      <c r="H30" s="18" t="str">
        <f t="shared" si="3"/>
        <v>insert into ins_premium_det (premium_rcv_code,assorted_code, rec_amount,premium_rcv_detail_code,remaining_amt, payrec, mode_code,coinsurance_code,class_cd,it_remarks) values('08Nov240048','070000167276','81900',(select max(to_number(i.premium_rcv_detail_code))+1
from ins_premium_det i),'81900','81900','02', '11000003','00','Request by Mr. Saqib Saleem 08-Nov-2024');</v>
      </c>
    </row>
    <row r="31" spans="1:8" ht="105">
      <c r="A31" s="2" t="s">
        <v>329</v>
      </c>
      <c r="B31" s="14" t="str">
        <f>VLOOKUP(A31,policy!B:C,2,0)</f>
        <v>070000167317</v>
      </c>
      <c r="C31" s="2">
        <v>68250</v>
      </c>
      <c r="D31" s="15">
        <f t="shared" si="1"/>
        <v>68250</v>
      </c>
      <c r="E31" s="19" t="s">
        <v>476</v>
      </c>
      <c r="F31" s="16" t="str">
        <f t="shared" si="0"/>
        <v>insert into ins_premium_det (premium_rcv_code,assorted_code, rec_amount,premium_rcv_detail_code,remaining_amt, payrec, mode_code,coinsurance_code,class_cd,it_remarks) values</v>
      </c>
      <c r="G31" s="17" t="str">
        <f t="shared" si="2"/>
        <v>('08Nov240048','070000167317','68250',(select max(to_number(i.premium_rcv_detail_code))+1
from ins_premium_det i),'68250','68250','02', '11000003','00','Request by Mr. Saqib Saleem 08-Nov-2024');</v>
      </c>
      <c r="H31" s="18" t="str">
        <f t="shared" si="3"/>
        <v>insert into ins_premium_det (premium_rcv_code,assorted_code, rec_amount,premium_rcv_detail_code,remaining_amt, payrec, mode_code,coinsurance_code,class_cd,it_remarks) values('08Nov240048','070000167317','68250',(select max(to_number(i.premium_rcv_detail_code))+1
from ins_premium_det i),'68250','68250','02', '11000003','00','Request by Mr. Saqib Saleem 08-Nov-2024');</v>
      </c>
    </row>
    <row r="32" spans="1:8" ht="105">
      <c r="A32" s="2" t="s">
        <v>330</v>
      </c>
      <c r="B32" s="14" t="str">
        <f>VLOOKUP(A32,policy!B:C,2,0)</f>
        <v>070000167277</v>
      </c>
      <c r="C32" s="2">
        <v>82495</v>
      </c>
      <c r="D32" s="15">
        <f t="shared" si="1"/>
        <v>82495</v>
      </c>
      <c r="E32" s="19" t="s">
        <v>476</v>
      </c>
      <c r="F32" s="16" t="str">
        <f t="shared" si="0"/>
        <v>insert into ins_premium_det (premium_rcv_code,assorted_code, rec_amount,premium_rcv_detail_code,remaining_amt, payrec, mode_code,coinsurance_code,class_cd,it_remarks) values</v>
      </c>
      <c r="G32" s="17" t="str">
        <f t="shared" si="2"/>
        <v>('08Nov240048','070000167277','82495',(select max(to_number(i.premium_rcv_detail_code))+1
from ins_premium_det i),'82495','82495','02', '11000003','00','Request by Mr. Saqib Saleem 08-Nov-2024');</v>
      </c>
      <c r="H32" s="18" t="str">
        <f t="shared" si="3"/>
        <v>insert into ins_premium_det (premium_rcv_code,assorted_code, rec_amount,premium_rcv_detail_code,remaining_amt, payrec, mode_code,coinsurance_code,class_cd,it_remarks) values('08Nov240048','070000167277','82495',(select max(to_number(i.premium_rcv_detail_code))+1
from ins_premium_det i),'82495','82495','02', '11000003','00','Request by Mr. Saqib Saleem 08-Nov-2024');</v>
      </c>
    </row>
    <row r="33" spans="1:8" ht="105">
      <c r="A33" s="2" t="s">
        <v>331</v>
      </c>
      <c r="B33" s="14" t="str">
        <f>VLOOKUP(A33,policy!B:C,2,0)</f>
        <v>070000167339</v>
      </c>
      <c r="C33" s="2">
        <v>92750</v>
      </c>
      <c r="D33" s="15">
        <f t="shared" si="1"/>
        <v>92750</v>
      </c>
      <c r="E33" s="19" t="s">
        <v>476</v>
      </c>
      <c r="F33" s="16" t="str">
        <f t="shared" si="0"/>
        <v>insert into ins_premium_det (premium_rcv_code,assorted_code, rec_amount,premium_rcv_detail_code,remaining_amt, payrec, mode_code,coinsurance_code,class_cd,it_remarks) values</v>
      </c>
      <c r="G33" s="17" t="str">
        <f t="shared" si="2"/>
        <v>('08Nov240048','070000167339','92750',(select max(to_number(i.premium_rcv_detail_code))+1
from ins_premium_det i),'92750','92750','02', '11000003','00','Request by Mr. Saqib Saleem 08-Nov-2024');</v>
      </c>
      <c r="H33" s="18" t="str">
        <f t="shared" si="3"/>
        <v>insert into ins_premium_det (premium_rcv_code,assorted_code, rec_amount,premium_rcv_detail_code,remaining_amt, payrec, mode_code,coinsurance_code,class_cd,it_remarks) values('08Nov240048','070000167339','92750',(select max(to_number(i.premium_rcv_detail_code))+1
from ins_premium_det i),'92750','92750','02', '11000003','00','Request by Mr. Saqib Saleem 08-Nov-2024');</v>
      </c>
    </row>
    <row r="34" spans="1:8" ht="105">
      <c r="A34" s="2" t="s">
        <v>332</v>
      </c>
      <c r="B34" s="14" t="str">
        <f>VLOOKUP(A34,policy!B:C,2,0)</f>
        <v>070000167522</v>
      </c>
      <c r="C34" s="2">
        <v>40950</v>
      </c>
      <c r="D34" s="15">
        <f t="shared" si="1"/>
        <v>40950</v>
      </c>
      <c r="E34" s="19" t="s">
        <v>476</v>
      </c>
      <c r="F34" s="16" t="str">
        <f t="shared" si="0"/>
        <v>insert into ins_premium_det (premium_rcv_code,assorted_code, rec_amount,premium_rcv_detail_code,remaining_amt, payrec, mode_code,coinsurance_code,class_cd,it_remarks) values</v>
      </c>
      <c r="G34" s="17" t="str">
        <f t="shared" si="2"/>
        <v>('08Nov240048','070000167522','40950',(select max(to_number(i.premium_rcv_detail_code))+1
from ins_premium_det i),'40950','40950','02', '11000003','00','Request by Mr. Saqib Saleem 08-Nov-2024');</v>
      </c>
      <c r="H34" s="18" t="str">
        <f t="shared" si="3"/>
        <v>insert into ins_premium_det (premium_rcv_code,assorted_code, rec_amount,premium_rcv_detail_code,remaining_amt, payrec, mode_code,coinsurance_code,class_cd,it_remarks) values('08Nov240048','070000167522','40950',(select max(to_number(i.premium_rcv_detail_code))+1
from ins_premium_det i),'40950','40950','02', '11000003','00','Request by Mr. Saqib Saleem 08-Nov-2024');</v>
      </c>
    </row>
    <row r="35" spans="1:8" ht="105">
      <c r="A35" s="2" t="s">
        <v>333</v>
      </c>
      <c r="B35" s="14" t="str">
        <f>VLOOKUP(A35,policy!B:C,2,0)</f>
        <v>070000167027</v>
      </c>
      <c r="C35" s="2">
        <v>102883</v>
      </c>
      <c r="D35" s="15">
        <f t="shared" si="1"/>
        <v>102883</v>
      </c>
      <c r="E35" s="19" t="s">
        <v>476</v>
      </c>
      <c r="F35" s="16" t="str">
        <f t="shared" si="0"/>
        <v>insert into ins_premium_det (premium_rcv_code,assorted_code, rec_amount,premium_rcv_detail_code,remaining_amt, payrec, mode_code,coinsurance_code,class_cd,it_remarks) values</v>
      </c>
      <c r="G35" s="17" t="str">
        <f t="shared" si="2"/>
        <v>('08Nov240048','070000167027','102883',(select max(to_number(i.premium_rcv_detail_code))+1
from ins_premium_det i),'102883','102883','02', '11000003','00','Request by Mr. Saqib Saleem 08-Nov-2024');</v>
      </c>
      <c r="H35" s="18" t="str">
        <f t="shared" si="3"/>
        <v>insert into ins_premium_det (premium_rcv_code,assorted_code, rec_amount,premium_rcv_detail_code,remaining_amt, payrec, mode_code,coinsurance_code,class_cd,it_remarks) values('08Nov240048','070000167027','102883',(select max(to_number(i.premium_rcv_detail_code))+1
from ins_premium_det i),'102883','102883','02', '11000003','00','Request by Mr. Saqib Saleem 08-Nov-2024');</v>
      </c>
    </row>
    <row r="36" spans="1:8" ht="105">
      <c r="A36" s="2" t="s">
        <v>334</v>
      </c>
      <c r="B36" s="14" t="str">
        <f>VLOOKUP(A36,policy!B:C,2,0)</f>
        <v>070000167635</v>
      </c>
      <c r="C36" s="2">
        <v>57750</v>
      </c>
      <c r="D36" s="15">
        <f t="shared" si="1"/>
        <v>57750</v>
      </c>
      <c r="E36" s="19" t="s">
        <v>476</v>
      </c>
      <c r="F36" s="16" t="str">
        <f t="shared" si="0"/>
        <v>insert into ins_premium_det (premium_rcv_code,assorted_code, rec_amount,premium_rcv_detail_code,remaining_amt, payrec, mode_code,coinsurance_code,class_cd,it_remarks) values</v>
      </c>
      <c r="G36" s="17" t="str">
        <f t="shared" si="2"/>
        <v>('08Nov240048','070000167635','57750',(select max(to_number(i.premium_rcv_detail_code))+1
from ins_premium_det i),'57750','57750','02', '11000003','00','Request by Mr. Saqib Saleem 08-Nov-2024');</v>
      </c>
      <c r="H36" s="18" t="str">
        <f t="shared" si="3"/>
        <v>insert into ins_premium_det (premium_rcv_code,assorted_code, rec_amount,premium_rcv_detail_code,remaining_amt, payrec, mode_code,coinsurance_code,class_cd,it_remarks) values('08Nov240048','070000167635','57750',(select max(to_number(i.premium_rcv_detail_code))+1
from ins_premium_det i),'57750','57750','02', '11000003','00','Request by Mr. Saqib Saleem 08-Nov-2024');</v>
      </c>
    </row>
    <row r="37" spans="1:8" ht="105">
      <c r="A37" s="2" t="s">
        <v>335</v>
      </c>
      <c r="B37" s="14" t="str">
        <f>VLOOKUP(A37,policy!B:C,2,0)</f>
        <v>070000167630</v>
      </c>
      <c r="C37" s="2">
        <v>82250</v>
      </c>
      <c r="D37" s="15">
        <f t="shared" si="1"/>
        <v>82250</v>
      </c>
      <c r="E37" s="19" t="s">
        <v>476</v>
      </c>
      <c r="F37" s="16" t="str">
        <f t="shared" si="0"/>
        <v>insert into ins_premium_det (premium_rcv_code,assorted_code, rec_amount,premium_rcv_detail_code,remaining_amt, payrec, mode_code,coinsurance_code,class_cd,it_remarks) values</v>
      </c>
      <c r="G37" s="17" t="str">
        <f t="shared" si="2"/>
        <v>('08Nov240048','070000167630','82250',(select max(to_number(i.premium_rcv_detail_code))+1
from ins_premium_det i),'82250','82250','02', '11000003','00','Request by Mr. Saqib Saleem 08-Nov-2024');</v>
      </c>
      <c r="H37" s="18" t="str">
        <f t="shared" si="3"/>
        <v>insert into ins_premium_det (premium_rcv_code,assorted_code, rec_amount,premium_rcv_detail_code,remaining_amt, payrec, mode_code,coinsurance_code,class_cd,it_remarks) values('08Nov240048','070000167630','82250',(select max(to_number(i.premium_rcv_detail_code))+1
from ins_premium_det i),'82250','82250','02', '11000003','00','Request by Mr. Saqib Saleem 08-Nov-2024');</v>
      </c>
    </row>
    <row r="38" spans="1:8" ht="105">
      <c r="A38" s="2" t="s">
        <v>336</v>
      </c>
      <c r="B38" s="14" t="str">
        <f>VLOOKUP(A38,policy!B:C,2,0)</f>
        <v>070000167566</v>
      </c>
      <c r="C38" s="2">
        <v>53358</v>
      </c>
      <c r="D38" s="15">
        <f t="shared" si="1"/>
        <v>53358</v>
      </c>
      <c r="E38" s="19" t="s">
        <v>476</v>
      </c>
      <c r="F38" s="16" t="str">
        <f t="shared" si="0"/>
        <v>insert into ins_premium_det (premium_rcv_code,assorted_code, rec_amount,premium_rcv_detail_code,remaining_amt, payrec, mode_code,coinsurance_code,class_cd,it_remarks) values</v>
      </c>
      <c r="G38" s="17" t="str">
        <f t="shared" si="2"/>
        <v>('08Nov240048','070000167566','53358',(select max(to_number(i.premium_rcv_detail_code))+1
from ins_premium_det i),'53358','53358','02', '11000003','00','Request by Mr. Saqib Saleem 08-Nov-2024');</v>
      </c>
      <c r="H38" s="18" t="str">
        <f t="shared" si="3"/>
        <v>insert into ins_premium_det (premium_rcv_code,assorted_code, rec_amount,premium_rcv_detail_code,remaining_amt, payrec, mode_code,coinsurance_code,class_cd,it_remarks) values('08Nov240048','070000167566','53358',(select max(to_number(i.premium_rcv_detail_code))+1
from ins_premium_det i),'53358','53358','02', '11000003','00','Request by Mr. Saqib Saleem 08-Nov-2024');</v>
      </c>
    </row>
    <row r="39" spans="1:8" ht="105">
      <c r="A39" s="2" t="s">
        <v>337</v>
      </c>
      <c r="B39" s="14" t="str">
        <f>VLOOKUP(A39,policy!B:C,2,0)</f>
        <v>070000168699</v>
      </c>
      <c r="C39" s="2">
        <v>60638</v>
      </c>
      <c r="D39" s="15">
        <f t="shared" si="1"/>
        <v>60638</v>
      </c>
      <c r="E39" s="19" t="s">
        <v>476</v>
      </c>
      <c r="F39" s="16" t="str">
        <f t="shared" si="0"/>
        <v>insert into ins_premium_det (premium_rcv_code,assorted_code, rec_amount,premium_rcv_detail_code,remaining_amt, payrec, mode_code,coinsurance_code,class_cd,it_remarks) values</v>
      </c>
      <c r="G39" s="17" t="str">
        <f t="shared" si="2"/>
        <v>('08Nov240048','070000168699','60638',(select max(to_number(i.premium_rcv_detail_code))+1
from ins_premium_det i),'60638','60638','02', '11000003','00','Request by Mr. Saqib Saleem 08-Nov-2024');</v>
      </c>
      <c r="H39" s="18" t="str">
        <f t="shared" si="3"/>
        <v>insert into ins_premium_det (premium_rcv_code,assorted_code, rec_amount,premium_rcv_detail_code,remaining_amt, payrec, mode_code,coinsurance_code,class_cd,it_remarks) values('08Nov240048','070000168699','60638',(select max(to_number(i.premium_rcv_detail_code))+1
from ins_premium_det i),'60638','60638','02', '11000003','00','Request by Mr. Saqib Saleem 08-Nov-2024');</v>
      </c>
    </row>
    <row r="40" spans="1:8" ht="105">
      <c r="A40" s="2" t="s">
        <v>338</v>
      </c>
      <c r="B40" s="14" t="str">
        <f>VLOOKUP(A40,policy!B:C,2,0)</f>
        <v>070000169011</v>
      </c>
      <c r="C40" s="2">
        <v>77000</v>
      </c>
      <c r="D40" s="15">
        <f t="shared" si="1"/>
        <v>77000</v>
      </c>
      <c r="E40" s="19" t="s">
        <v>476</v>
      </c>
      <c r="F40" s="16" t="str">
        <f t="shared" si="0"/>
        <v>insert into ins_premium_det (premium_rcv_code,assorted_code, rec_amount,premium_rcv_detail_code,remaining_amt, payrec, mode_code,coinsurance_code,class_cd,it_remarks) values</v>
      </c>
      <c r="G40" s="17" t="str">
        <f t="shared" si="2"/>
        <v>('08Nov240048','070000169011','77000',(select max(to_number(i.premium_rcv_detail_code))+1
from ins_premium_det i),'77000','77000','02', '11000003','00','Request by Mr. Saqib Saleem 08-Nov-2024');</v>
      </c>
      <c r="H40" s="18" t="str">
        <f t="shared" si="3"/>
        <v>insert into ins_premium_det (premium_rcv_code,assorted_code, rec_amount,premium_rcv_detail_code,remaining_amt, payrec, mode_code,coinsurance_code,class_cd,it_remarks) values('08Nov240048','070000169011','77000',(select max(to_number(i.premium_rcv_detail_code))+1
from ins_premium_det i),'77000','77000','02', '11000003','00','Request by Mr. Saqib Saleem 08-Nov-2024');</v>
      </c>
    </row>
    <row r="41" spans="1:8" ht="105">
      <c r="A41" s="2" t="s">
        <v>339</v>
      </c>
      <c r="B41" s="14" t="str">
        <f>VLOOKUP(A41,policy!B:C,2,0)</f>
        <v>070000169040</v>
      </c>
      <c r="C41" s="2">
        <v>96250</v>
      </c>
      <c r="D41" s="15">
        <f t="shared" si="1"/>
        <v>96250</v>
      </c>
      <c r="E41" s="19" t="s">
        <v>476</v>
      </c>
      <c r="F41" s="16" t="str">
        <f t="shared" si="0"/>
        <v>insert into ins_premium_det (premium_rcv_code,assorted_code, rec_amount,premium_rcv_detail_code,remaining_amt, payrec, mode_code,coinsurance_code,class_cd,it_remarks) values</v>
      </c>
      <c r="G41" s="17" t="str">
        <f t="shared" si="2"/>
        <v>('08Nov240048','070000169040','96250',(select max(to_number(i.premium_rcv_detail_code))+1
from ins_premium_det i),'96250','96250','02', '11000003','00','Request by Mr. Saqib Saleem 08-Nov-2024');</v>
      </c>
      <c r="H41" s="18" t="str">
        <f t="shared" si="3"/>
        <v>insert into ins_premium_det (premium_rcv_code,assorted_code, rec_amount,premium_rcv_detail_code,remaining_amt, payrec, mode_code,coinsurance_code,class_cd,it_remarks) values('08Nov240048','070000169040','96250',(select max(to_number(i.premium_rcv_detail_code))+1
from ins_premium_det i),'96250','96250','02', '11000003','00','Request by Mr. Saqib Saleem 08-Nov-2024');</v>
      </c>
    </row>
    <row r="42" spans="1:8" ht="105">
      <c r="A42" s="2" t="s">
        <v>340</v>
      </c>
      <c r="B42" s="14" t="str">
        <f>VLOOKUP(A42,policy!B:C,2,0)</f>
        <v>070000169044</v>
      </c>
      <c r="C42" s="2">
        <v>53288</v>
      </c>
      <c r="D42" s="15">
        <f t="shared" si="1"/>
        <v>53288</v>
      </c>
      <c r="E42" s="19" t="s">
        <v>476</v>
      </c>
      <c r="F42" s="16" t="str">
        <f t="shared" si="0"/>
        <v>insert into ins_premium_det (premium_rcv_code,assorted_code, rec_amount,premium_rcv_detail_code,remaining_amt, payrec, mode_code,coinsurance_code,class_cd,it_remarks) values</v>
      </c>
      <c r="G42" s="17" t="str">
        <f t="shared" si="2"/>
        <v>('08Nov240048','070000169044','53288',(select max(to_number(i.premium_rcv_detail_code))+1
from ins_premium_det i),'53288','53288','02', '11000003','00','Request by Mr. Saqib Saleem 08-Nov-2024');</v>
      </c>
      <c r="H42" s="18" t="str">
        <f t="shared" si="3"/>
        <v>insert into ins_premium_det (premium_rcv_code,assorted_code, rec_amount,premium_rcv_detail_code,remaining_amt, payrec, mode_code,coinsurance_code,class_cd,it_remarks) values('08Nov240048','070000169044','53288',(select max(to_number(i.premium_rcv_detail_code))+1
from ins_premium_det i),'53288','53288','02', '11000003','00','Request by Mr. Saqib Saleem 08-Nov-2024');</v>
      </c>
    </row>
    <row r="43" spans="1:8" ht="105">
      <c r="A43" s="2" t="s">
        <v>341</v>
      </c>
      <c r="B43" s="14" t="str">
        <f>VLOOKUP(A43,policy!B:C,2,0)</f>
        <v>070000169358</v>
      </c>
      <c r="C43" s="3">
        <v>75250</v>
      </c>
      <c r="D43" s="15">
        <f t="shared" si="1"/>
        <v>75250</v>
      </c>
      <c r="E43" s="19" t="s">
        <v>476</v>
      </c>
      <c r="F43" s="16" t="str">
        <f t="shared" si="0"/>
        <v>insert into ins_premium_det (premium_rcv_code,assorted_code, rec_amount,premium_rcv_detail_code,remaining_amt, payrec, mode_code,coinsurance_code,class_cd,it_remarks) values</v>
      </c>
      <c r="G43" s="17" t="str">
        <f t="shared" si="2"/>
        <v>('08Nov240048','070000169358','75250',(select max(to_number(i.premium_rcv_detail_code))+1
from ins_premium_det i),'75250','75250','02', '11000003','00','Request by Mr. Saqib Saleem 08-Nov-2024');</v>
      </c>
      <c r="H43" s="18" t="str">
        <f t="shared" si="3"/>
        <v>insert into ins_premium_det (premium_rcv_code,assorted_code, rec_amount,premium_rcv_detail_code,remaining_amt, payrec, mode_code,coinsurance_code,class_cd,it_remarks) values('08Nov240048','070000169358','75250',(select max(to_number(i.premium_rcv_detail_code))+1
from ins_premium_det i),'75250','75250','02', '11000003','00','Request by Mr. Saqib Saleem 08-Nov-2024');</v>
      </c>
    </row>
    <row r="44" spans="1:8" ht="105">
      <c r="A44" s="2" t="s">
        <v>342</v>
      </c>
      <c r="B44" s="14" t="str">
        <f>VLOOKUP(A44,policy!B:C,2,0)</f>
        <v>070000169346</v>
      </c>
      <c r="C44" s="2">
        <v>48983</v>
      </c>
      <c r="D44" s="15">
        <f t="shared" si="1"/>
        <v>48983</v>
      </c>
      <c r="E44" s="19" t="s">
        <v>476</v>
      </c>
      <c r="F44" s="16" t="str">
        <f t="shared" si="0"/>
        <v>insert into ins_premium_det (premium_rcv_code,assorted_code, rec_amount,premium_rcv_detail_code,remaining_amt, payrec, mode_code,coinsurance_code,class_cd,it_remarks) values</v>
      </c>
      <c r="G44" s="17" t="str">
        <f t="shared" si="2"/>
        <v>('08Nov240048','070000169346','48983',(select max(to_number(i.premium_rcv_detail_code))+1
from ins_premium_det i),'48983','48983','02', '11000003','00','Request by Mr. Saqib Saleem 08-Nov-2024');</v>
      </c>
      <c r="H44" s="18" t="str">
        <f t="shared" si="3"/>
        <v>insert into ins_premium_det (premium_rcv_code,assorted_code, rec_amount,premium_rcv_detail_code,remaining_amt, payrec, mode_code,coinsurance_code,class_cd,it_remarks) values('08Nov240048','070000169346','48983',(select max(to_number(i.premium_rcv_detail_code))+1
from ins_premium_det i),'48983','48983','02', '11000003','00','Request by Mr. Saqib Saleem 08-Nov-2024');</v>
      </c>
    </row>
    <row r="45" spans="1:8" ht="105">
      <c r="A45" s="2" t="s">
        <v>343</v>
      </c>
      <c r="B45" s="14" t="str">
        <f>VLOOKUP(A45,policy!B:C,2,0)</f>
        <v>070000169386</v>
      </c>
      <c r="C45" s="2">
        <v>74375</v>
      </c>
      <c r="D45" s="15">
        <f t="shared" si="1"/>
        <v>74375</v>
      </c>
      <c r="E45" s="19" t="s">
        <v>476</v>
      </c>
      <c r="F45" s="16" t="str">
        <f t="shared" si="0"/>
        <v>insert into ins_premium_det (premium_rcv_code,assorted_code, rec_amount,premium_rcv_detail_code,remaining_amt, payrec, mode_code,coinsurance_code,class_cd,it_remarks) values</v>
      </c>
      <c r="G45" s="17" t="str">
        <f t="shared" si="2"/>
        <v>('08Nov240048','070000169386','74375',(select max(to_number(i.premium_rcv_detail_code))+1
from ins_premium_det i),'74375','74375','02', '11000003','00','Request by Mr. Saqib Saleem 08-Nov-2024');</v>
      </c>
      <c r="H45" s="18" t="str">
        <f t="shared" si="3"/>
        <v>insert into ins_premium_det (premium_rcv_code,assorted_code, rec_amount,premium_rcv_detail_code,remaining_amt, payrec, mode_code,coinsurance_code,class_cd,it_remarks) values('08Nov240048','070000169386','74375',(select max(to_number(i.premium_rcv_detail_code))+1
from ins_premium_det i),'74375','74375','02', '11000003','00','Request by Mr. Saqib Saleem 08-Nov-2024');</v>
      </c>
    </row>
    <row r="46" spans="1:8" ht="105">
      <c r="A46" s="2" t="s">
        <v>344</v>
      </c>
      <c r="B46" s="14" t="str">
        <f>VLOOKUP(A46,policy!B:C,2,0)</f>
        <v>070000169336</v>
      </c>
      <c r="C46" s="2">
        <v>47373</v>
      </c>
      <c r="D46" s="15">
        <f t="shared" si="1"/>
        <v>47373</v>
      </c>
      <c r="E46" s="19" t="s">
        <v>476</v>
      </c>
      <c r="F46" s="16" t="str">
        <f t="shared" si="0"/>
        <v>insert into ins_premium_det (premium_rcv_code,assorted_code, rec_amount,premium_rcv_detail_code,remaining_amt, payrec, mode_code,coinsurance_code,class_cd,it_remarks) values</v>
      </c>
      <c r="G46" s="17" t="str">
        <f t="shared" si="2"/>
        <v>('08Nov240048','070000169336','47373',(select max(to_number(i.premium_rcv_detail_code))+1
from ins_premium_det i),'47373','47373','02', '11000003','00','Request by Mr. Saqib Saleem 08-Nov-2024');</v>
      </c>
      <c r="H46" s="18" t="str">
        <f t="shared" si="3"/>
        <v>insert into ins_premium_det (premium_rcv_code,assorted_code, rec_amount,premium_rcv_detail_code,remaining_amt, payrec, mode_code,coinsurance_code,class_cd,it_remarks) values('08Nov240048','070000169336','47373',(select max(to_number(i.premium_rcv_detail_code))+1
from ins_premium_det i),'47373','47373','02', '11000003','00','Request by Mr. Saqib Saleem 08-Nov-2024');</v>
      </c>
    </row>
    <row r="47" spans="1:8" ht="105">
      <c r="A47" s="2" t="s">
        <v>345</v>
      </c>
      <c r="B47" s="14" t="str">
        <f>VLOOKUP(A47,policy!B:C,2,0)</f>
        <v>070000169407</v>
      </c>
      <c r="C47" s="2">
        <v>38500</v>
      </c>
      <c r="D47" s="15">
        <f t="shared" si="1"/>
        <v>38500</v>
      </c>
      <c r="E47" s="19" t="s">
        <v>476</v>
      </c>
      <c r="F47" s="16" t="str">
        <f t="shared" si="0"/>
        <v>insert into ins_premium_det (premium_rcv_code,assorted_code, rec_amount,premium_rcv_detail_code,remaining_amt, payrec, mode_code,coinsurance_code,class_cd,it_remarks) values</v>
      </c>
      <c r="G47" s="17" t="str">
        <f t="shared" si="2"/>
        <v>('08Nov240048','070000169407','38500',(select max(to_number(i.premium_rcv_detail_code))+1
from ins_premium_det i),'38500','38500','02', '11000003','00','Request by Mr. Saqib Saleem 08-Nov-2024');</v>
      </c>
      <c r="H47" s="18" t="str">
        <f t="shared" si="3"/>
        <v>insert into ins_premium_det (premium_rcv_code,assorted_code, rec_amount,premium_rcv_detail_code,remaining_amt, payrec, mode_code,coinsurance_code,class_cd,it_remarks) values('08Nov240048','070000169407','38500',(select max(to_number(i.premium_rcv_detail_code))+1
from ins_premium_det i),'38500','38500','02', '11000003','00','Request by Mr. Saqib Saleem 08-Nov-2024');</v>
      </c>
    </row>
    <row r="48" spans="1:8" ht="105">
      <c r="A48" s="2" t="s">
        <v>346</v>
      </c>
      <c r="B48" s="14" t="str">
        <f>VLOOKUP(A48,policy!B:C,2,0)</f>
        <v>070000169387</v>
      </c>
      <c r="C48" s="2">
        <v>105000</v>
      </c>
      <c r="D48" s="15">
        <f t="shared" si="1"/>
        <v>105000</v>
      </c>
      <c r="E48" s="19" t="s">
        <v>476</v>
      </c>
      <c r="F48" s="16" t="str">
        <f t="shared" si="0"/>
        <v>insert into ins_premium_det (premium_rcv_code,assorted_code, rec_amount,premium_rcv_detail_code,remaining_amt, payrec, mode_code,coinsurance_code,class_cd,it_remarks) values</v>
      </c>
      <c r="G48" s="17" t="str">
        <f t="shared" si="2"/>
        <v>('08Nov240048','070000169387','105000',(select max(to_number(i.premium_rcv_detail_code))+1
from ins_premium_det i),'105000','105000','02', '11000003','00','Request by Mr. Saqib Saleem 08-Nov-2024');</v>
      </c>
      <c r="H48" s="18" t="str">
        <f t="shared" si="3"/>
        <v>insert into ins_premium_det (premium_rcv_code,assorted_code, rec_amount,premium_rcv_detail_code,remaining_amt, payrec, mode_code,coinsurance_code,class_cd,it_remarks) values('08Nov240048','070000169387','105000',(select max(to_number(i.premium_rcv_detail_code))+1
from ins_premium_det i),'105000','105000','02', '11000003','00','Request by Mr. Saqib Saleem 08-Nov-2024');</v>
      </c>
    </row>
    <row r="49" spans="1:8" ht="105">
      <c r="A49" s="2" t="s">
        <v>347</v>
      </c>
      <c r="B49" s="14" t="str">
        <f>VLOOKUP(A49,policy!B:C,2,0)</f>
        <v>070000169393</v>
      </c>
      <c r="C49" s="2">
        <v>68250</v>
      </c>
      <c r="D49" s="15">
        <f t="shared" si="1"/>
        <v>68250</v>
      </c>
      <c r="E49" s="19" t="s">
        <v>476</v>
      </c>
      <c r="F49" s="16" t="str">
        <f t="shared" si="0"/>
        <v>insert into ins_premium_det (premium_rcv_code,assorted_code, rec_amount,premium_rcv_detail_code,remaining_amt, payrec, mode_code,coinsurance_code,class_cd,it_remarks) values</v>
      </c>
      <c r="G49" s="17" t="str">
        <f t="shared" si="2"/>
        <v>('08Nov240048','070000169393','68250',(select max(to_number(i.premium_rcv_detail_code))+1
from ins_premium_det i),'68250','68250','02', '11000003','00','Request by Mr. Saqib Saleem 08-Nov-2024');</v>
      </c>
      <c r="H49" s="18" t="str">
        <f t="shared" si="3"/>
        <v>insert into ins_premium_det (premium_rcv_code,assorted_code, rec_amount,premium_rcv_detail_code,remaining_amt, payrec, mode_code,coinsurance_code,class_cd,it_remarks) values('08Nov240048','070000169393','68250',(select max(to_number(i.premium_rcv_detail_code))+1
from ins_premium_det i),'68250','68250','02', '11000003','00','Request by Mr. Saqib Saleem 08-Nov-2024');</v>
      </c>
    </row>
    <row r="50" spans="1:8" ht="105">
      <c r="A50" s="2" t="s">
        <v>348</v>
      </c>
      <c r="B50" s="14" t="str">
        <f>VLOOKUP(A50,policy!B:C,2,0)</f>
        <v>070000169388</v>
      </c>
      <c r="C50" s="2">
        <v>47373</v>
      </c>
      <c r="D50" s="15">
        <f t="shared" si="1"/>
        <v>47373</v>
      </c>
      <c r="E50" s="19" t="s">
        <v>476</v>
      </c>
      <c r="F50" s="16" t="str">
        <f t="shared" si="0"/>
        <v>insert into ins_premium_det (premium_rcv_code,assorted_code, rec_amount,premium_rcv_detail_code,remaining_amt, payrec, mode_code,coinsurance_code,class_cd,it_remarks) values</v>
      </c>
      <c r="G50" s="17" t="str">
        <f t="shared" si="2"/>
        <v>('08Nov240048','070000169388','47373',(select max(to_number(i.premium_rcv_detail_code))+1
from ins_premium_det i),'47373','47373','02', '11000003','00','Request by Mr. Saqib Saleem 08-Nov-2024');</v>
      </c>
      <c r="H50" s="18" t="str">
        <f t="shared" si="3"/>
        <v>insert into ins_premium_det (premium_rcv_code,assorted_code, rec_amount,premium_rcv_detail_code,remaining_amt, payrec, mode_code,coinsurance_code,class_cd,it_remarks) values('08Nov240048','070000169388','47373',(select max(to_number(i.premium_rcv_detail_code))+1
from ins_premium_det i),'47373','47373','02', '11000003','00','Request by Mr. Saqib Saleem 08-Nov-2024');</v>
      </c>
    </row>
    <row r="51" spans="1:8" ht="105">
      <c r="A51" s="2" t="s">
        <v>349</v>
      </c>
      <c r="B51" s="14" t="str">
        <f>VLOOKUP(A51,policy!B:C,2,0)</f>
        <v>070000169420</v>
      </c>
      <c r="C51" s="2">
        <v>47373</v>
      </c>
      <c r="D51" s="15">
        <f t="shared" si="1"/>
        <v>47373</v>
      </c>
      <c r="E51" s="19" t="s">
        <v>476</v>
      </c>
      <c r="F51" s="16" t="str">
        <f t="shared" si="0"/>
        <v>insert into ins_premium_det (premium_rcv_code,assorted_code, rec_amount,premium_rcv_detail_code,remaining_amt, payrec, mode_code,coinsurance_code,class_cd,it_remarks) values</v>
      </c>
      <c r="G51" s="17" t="str">
        <f t="shared" si="2"/>
        <v>('08Nov240048','070000169420','47373',(select max(to_number(i.premium_rcv_detail_code))+1
from ins_premium_det i),'47373','47373','02', '11000003','00','Request by Mr. Saqib Saleem 08-Nov-2024');</v>
      </c>
      <c r="H51" s="18" t="str">
        <f t="shared" si="3"/>
        <v>insert into ins_premium_det (premium_rcv_code,assorted_code, rec_amount,premium_rcv_detail_code,remaining_amt, payrec, mode_code,coinsurance_code,class_cd,it_remarks) values('08Nov240048','070000169420','47373',(select max(to_number(i.premium_rcv_detail_code))+1
from ins_premium_det i),'47373','47373','02', '11000003','00','Request by Mr. Saqib Saleem 08-Nov-2024');</v>
      </c>
    </row>
    <row r="52" spans="1:8" ht="105">
      <c r="A52" s="2" t="s">
        <v>350</v>
      </c>
      <c r="B52" s="14" t="str">
        <f>VLOOKUP(A52,policy!B:C,2,0)</f>
        <v>070000169347</v>
      </c>
      <c r="C52" s="2">
        <v>47373</v>
      </c>
      <c r="D52" s="15">
        <f t="shared" si="1"/>
        <v>47373</v>
      </c>
      <c r="E52" s="19" t="s">
        <v>476</v>
      </c>
      <c r="F52" s="16" t="str">
        <f t="shared" si="0"/>
        <v>insert into ins_premium_det (premium_rcv_code,assorted_code, rec_amount,premium_rcv_detail_code,remaining_amt, payrec, mode_code,coinsurance_code,class_cd,it_remarks) values</v>
      </c>
      <c r="G52" s="17" t="str">
        <f t="shared" si="2"/>
        <v>('08Nov240048','070000169347','47373',(select max(to_number(i.premium_rcv_detail_code))+1
from ins_premium_det i),'47373','47373','02', '11000003','00','Request by Mr. Saqib Saleem 08-Nov-2024');</v>
      </c>
      <c r="H52" s="18" t="str">
        <f t="shared" si="3"/>
        <v>insert into ins_premium_det (premium_rcv_code,assorted_code, rec_amount,premium_rcv_detail_code,remaining_amt, payrec, mode_code,coinsurance_code,class_cd,it_remarks) values('08Nov240048','070000169347','47373',(select max(to_number(i.premium_rcv_detail_code))+1
from ins_premium_det i),'47373','47373','02', '11000003','00','Request by Mr. Saqib Saleem 08-Nov-2024');</v>
      </c>
    </row>
    <row r="53" spans="1:8" ht="105">
      <c r="A53" s="2" t="s">
        <v>351</v>
      </c>
      <c r="B53" s="14" t="str">
        <f>VLOOKUP(A53,policy!B:C,2,0)</f>
        <v>070000169421</v>
      </c>
      <c r="C53" s="2">
        <v>72625</v>
      </c>
      <c r="D53" s="15">
        <f t="shared" si="1"/>
        <v>72625</v>
      </c>
      <c r="E53" s="19" t="s">
        <v>476</v>
      </c>
      <c r="F53" s="16" t="str">
        <f t="shared" si="0"/>
        <v>insert into ins_premium_det (premium_rcv_code,assorted_code, rec_amount,premium_rcv_detail_code,remaining_amt, payrec, mode_code,coinsurance_code,class_cd,it_remarks) values</v>
      </c>
      <c r="G53" s="17" t="str">
        <f t="shared" si="2"/>
        <v>('08Nov240048','070000169421','72625',(select max(to_number(i.premium_rcv_detail_code))+1
from ins_premium_det i),'72625','72625','02', '11000003','00','Request by Mr. Saqib Saleem 08-Nov-2024');</v>
      </c>
      <c r="H53" s="18" t="str">
        <f t="shared" si="3"/>
        <v>insert into ins_premium_det (premium_rcv_code,assorted_code, rec_amount,premium_rcv_detail_code,remaining_amt, payrec, mode_code,coinsurance_code,class_cd,it_remarks) values('08Nov240048','070000169421','72625',(select max(to_number(i.premium_rcv_detail_code))+1
from ins_premium_det i),'72625','72625','02', '11000003','00','Request by Mr. Saqib Saleem 08-Nov-2024');</v>
      </c>
    </row>
    <row r="54" spans="1:8" ht="105">
      <c r="A54" s="2" t="s">
        <v>352</v>
      </c>
      <c r="B54" s="14" t="str">
        <f>VLOOKUP(A54,policy!B:C,2,0)</f>
        <v>070000166965</v>
      </c>
      <c r="C54" s="2">
        <v>89565</v>
      </c>
      <c r="D54" s="15">
        <f t="shared" si="1"/>
        <v>89565</v>
      </c>
      <c r="E54" s="19" t="s">
        <v>476</v>
      </c>
      <c r="F54" s="16" t="str">
        <f t="shared" si="0"/>
        <v>insert into ins_premium_det (premium_rcv_code,assorted_code, rec_amount,premium_rcv_detail_code,remaining_amt, payrec, mode_code,coinsurance_code,class_cd,it_remarks) values</v>
      </c>
      <c r="G54" s="17" t="str">
        <f t="shared" si="2"/>
        <v>('08Nov240048','070000166965','89565',(select max(to_number(i.premium_rcv_detail_code))+1
from ins_premium_det i),'89565','89565','02', '11000003','00','Request by Mr. Saqib Saleem 08-Nov-2024');</v>
      </c>
      <c r="H54" s="18" t="str">
        <f t="shared" si="3"/>
        <v>insert into ins_premium_det (premium_rcv_code,assorted_code, rec_amount,premium_rcv_detail_code,remaining_amt, payrec, mode_code,coinsurance_code,class_cd,it_remarks) values('08Nov240048','070000166965','89565',(select max(to_number(i.premium_rcv_detail_code))+1
from ins_premium_det i),'89565','89565','02', '11000003','00','Request by Mr. Saqib Saleem 08-Nov-2024');</v>
      </c>
    </row>
    <row r="55" spans="1:8" ht="105">
      <c r="A55" s="2" t="s">
        <v>353</v>
      </c>
      <c r="B55" s="14" t="str">
        <f>VLOOKUP(A55,policy!B:C,2,0)</f>
        <v>070000167355</v>
      </c>
      <c r="C55" s="2">
        <v>47373</v>
      </c>
      <c r="D55" s="15">
        <f t="shared" si="1"/>
        <v>47373</v>
      </c>
      <c r="E55" s="19" t="s">
        <v>476</v>
      </c>
      <c r="F55" s="16" t="str">
        <f t="shared" si="0"/>
        <v>insert into ins_premium_det (premium_rcv_code,assorted_code, rec_amount,premium_rcv_detail_code,remaining_amt, payrec, mode_code,coinsurance_code,class_cd,it_remarks) values</v>
      </c>
      <c r="G55" s="17" t="str">
        <f t="shared" si="2"/>
        <v>('08Nov240048','070000167355','47373',(select max(to_number(i.premium_rcv_detail_code))+1
from ins_premium_det i),'47373','47373','02', '11000003','00','Request by Mr. Saqib Saleem 08-Nov-2024');</v>
      </c>
      <c r="H55" s="18" t="str">
        <f t="shared" si="3"/>
        <v>insert into ins_premium_det (premium_rcv_code,assorted_code, rec_amount,premium_rcv_detail_code,remaining_amt, payrec, mode_code,coinsurance_code,class_cd,it_remarks) values('08Nov240048','070000167355','47373',(select max(to_number(i.premium_rcv_detail_code))+1
from ins_premium_det i),'47373','47373','02', '11000003','00','Request by Mr. Saqib Saleem 08-Nov-2024');</v>
      </c>
    </row>
    <row r="56" spans="1:8" ht="105">
      <c r="A56" s="2" t="s">
        <v>354</v>
      </c>
      <c r="B56" s="14" t="str">
        <f>VLOOKUP(A56,policy!B:C,2,0)</f>
        <v>070000166997</v>
      </c>
      <c r="C56" s="2">
        <v>42000</v>
      </c>
      <c r="D56" s="15">
        <f t="shared" si="1"/>
        <v>42000</v>
      </c>
      <c r="E56" s="19" t="s">
        <v>476</v>
      </c>
      <c r="F56" s="16" t="str">
        <f t="shared" si="0"/>
        <v>insert into ins_premium_det (premium_rcv_code,assorted_code, rec_amount,premium_rcv_detail_code,remaining_amt, payrec, mode_code,coinsurance_code,class_cd,it_remarks) values</v>
      </c>
      <c r="G56" s="17" t="str">
        <f t="shared" si="2"/>
        <v>('08Nov240048','070000166997','42000',(select max(to_number(i.premium_rcv_detail_code))+1
from ins_premium_det i),'42000','42000','02', '11000003','00','Request by Mr. Saqib Saleem 08-Nov-2024');</v>
      </c>
      <c r="H56" s="18" t="str">
        <f t="shared" si="3"/>
        <v>insert into ins_premium_det (premium_rcv_code,assorted_code, rec_amount,premium_rcv_detail_code,remaining_amt, payrec, mode_code,coinsurance_code,class_cd,it_remarks) values('08Nov240048','070000166997','42000',(select max(to_number(i.premium_rcv_detail_code))+1
from ins_premium_det i),'42000','42000','02', '11000003','00','Request by Mr. Saqib Saleem 08-Nov-2024');</v>
      </c>
    </row>
    <row r="57" spans="1:8" ht="105">
      <c r="A57" s="2" t="s">
        <v>355</v>
      </c>
      <c r="B57" s="14" t="str">
        <f>VLOOKUP(A57,policy!B:C,2,0)</f>
        <v>070000167012</v>
      </c>
      <c r="C57" s="2">
        <v>53375</v>
      </c>
      <c r="D57" s="15">
        <f t="shared" si="1"/>
        <v>53375</v>
      </c>
      <c r="E57" s="19" t="s">
        <v>476</v>
      </c>
      <c r="F57" s="16" t="str">
        <f t="shared" si="0"/>
        <v>insert into ins_premium_det (premium_rcv_code,assorted_code, rec_amount,premium_rcv_detail_code,remaining_amt, payrec, mode_code,coinsurance_code,class_cd,it_remarks) values</v>
      </c>
      <c r="G57" s="17" t="str">
        <f t="shared" si="2"/>
        <v>('08Nov240048','070000167012','53375',(select max(to_number(i.premium_rcv_detail_code))+1
from ins_premium_det i),'53375','53375','02', '11000003','00','Request by Mr. Saqib Saleem 08-Nov-2024');</v>
      </c>
      <c r="H57" s="18" t="str">
        <f t="shared" si="3"/>
        <v>insert into ins_premium_det (premium_rcv_code,assorted_code, rec_amount,premium_rcv_detail_code,remaining_amt, payrec, mode_code,coinsurance_code,class_cd,it_remarks) values('08Nov240048','070000167012','53375',(select max(to_number(i.premium_rcv_detail_code))+1
from ins_premium_det i),'53375','53375','02', '11000003','00','Request by Mr. Saqib Saleem 08-Nov-2024');</v>
      </c>
    </row>
    <row r="58" spans="1:8" ht="105">
      <c r="A58" s="2" t="s">
        <v>356</v>
      </c>
      <c r="B58" s="14" t="str">
        <f>VLOOKUP(A58,policy!B:C,2,0)</f>
        <v>070000167682</v>
      </c>
      <c r="C58" s="2">
        <v>45500</v>
      </c>
      <c r="D58" s="15">
        <f t="shared" si="1"/>
        <v>45500</v>
      </c>
      <c r="E58" s="19" t="s">
        <v>476</v>
      </c>
      <c r="F58" s="16" t="str">
        <f t="shared" si="0"/>
        <v>insert into ins_premium_det (premium_rcv_code,assorted_code, rec_amount,premium_rcv_detail_code,remaining_amt, payrec, mode_code,coinsurance_code,class_cd,it_remarks) values</v>
      </c>
      <c r="G58" s="17" t="str">
        <f t="shared" si="2"/>
        <v>('08Nov240048','070000167682','45500',(select max(to_number(i.premium_rcv_detail_code))+1
from ins_premium_det i),'45500','45500','02', '11000003','00','Request by Mr. Saqib Saleem 08-Nov-2024');</v>
      </c>
      <c r="H58" s="18" t="str">
        <f t="shared" si="3"/>
        <v>insert into ins_premium_det (premium_rcv_code,assorted_code, rec_amount,premium_rcv_detail_code,remaining_amt, payrec, mode_code,coinsurance_code,class_cd,it_remarks) values('08Nov240048','070000167682','45500',(select max(to_number(i.premium_rcv_detail_code))+1
from ins_premium_det i),'45500','45500','02', '11000003','00','Request by Mr. Saqib Saleem 08-Nov-2024');</v>
      </c>
    </row>
    <row r="60" spans="1:8">
      <c r="D60" s="21">
        <f>SUM(D2:D58)</f>
        <v>3794716</v>
      </c>
    </row>
  </sheetData>
  <conditionalFormatting sqref="A1">
    <cfRule type="duplicateValues" dxfId="3" priority="1"/>
  </conditionalFormatting>
  <conditionalFormatting sqref="A2:B2 B3:B58"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9ABCA-3A9C-4D78-B4C3-58EE6FF290F6}">
  <dimension ref="A1:J57"/>
  <sheetViews>
    <sheetView topLeftCell="A49" workbookViewId="0">
      <selection activeCell="F58" sqref="F58"/>
    </sheetView>
  </sheetViews>
  <sheetFormatPr defaultRowHeight="15"/>
  <cols>
    <col min="1" max="1" width="49.5703125" customWidth="1"/>
    <col min="2" max="2" width="15.140625" customWidth="1"/>
  </cols>
  <sheetData>
    <row r="1" spans="1:10">
      <c r="A1" s="2" t="s">
        <v>303</v>
      </c>
      <c r="B1" t="s">
        <v>358</v>
      </c>
      <c r="H1">
        <v>98824</v>
      </c>
      <c r="I1" t="s">
        <v>361</v>
      </c>
      <c r="J1" t="str">
        <f>"ia.assorted_string like '%"&amp;H1&amp;"-"&amp;I1&amp;B1&amp;"%' or"</f>
        <v>ia.assorted_string like '%98824-00038-10-2024%' or</v>
      </c>
    </row>
    <row r="2" spans="1:10">
      <c r="A2" s="2" t="s">
        <v>304</v>
      </c>
      <c r="B2" t="s">
        <v>358</v>
      </c>
      <c r="H2">
        <v>98824</v>
      </c>
      <c r="I2" t="s">
        <v>362</v>
      </c>
      <c r="J2" t="str">
        <f t="shared" ref="J2:J4" si="0">"ia.assorted_string like '%"&amp;H2&amp;"-"&amp;I2&amp;B2&amp;"%' or"</f>
        <v>ia.assorted_string like '%98824-00018-10-2024%' or</v>
      </c>
    </row>
    <row r="3" spans="1:10">
      <c r="A3" s="2" t="s">
        <v>305</v>
      </c>
      <c r="B3" t="s">
        <v>358</v>
      </c>
      <c r="H3">
        <v>98824</v>
      </c>
      <c r="I3" t="s">
        <v>363</v>
      </c>
      <c r="J3" t="str">
        <f t="shared" si="0"/>
        <v>ia.assorted_string like '%98824-00004-10-2024%' or</v>
      </c>
    </row>
    <row r="4" spans="1:10">
      <c r="A4" s="2" t="s">
        <v>306</v>
      </c>
      <c r="B4" t="s">
        <v>358</v>
      </c>
      <c r="H4">
        <v>98824</v>
      </c>
      <c r="I4" t="s">
        <v>364</v>
      </c>
      <c r="J4" t="str">
        <f t="shared" si="0"/>
        <v>ia.assorted_string like '%98824-00005-10-2024%' or</v>
      </c>
    </row>
    <row r="5" spans="1:10">
      <c r="A5" s="2" t="e">
        <v>#N/A</v>
      </c>
      <c r="B5" t="s">
        <v>359</v>
      </c>
    </row>
    <row r="6" spans="1:10">
      <c r="A6" s="2" t="s">
        <v>307</v>
      </c>
      <c r="B6" t="s">
        <v>358</v>
      </c>
      <c r="H6">
        <v>98824</v>
      </c>
      <c r="I6" t="s">
        <v>365</v>
      </c>
      <c r="J6" t="str">
        <f t="shared" ref="J6:J57" si="1">"ia.assorted_string like '%"&amp;H6&amp;"-"&amp;I6&amp;B6&amp;"%' or"</f>
        <v>ia.assorted_string like '%98824-00033-10-2024%' or</v>
      </c>
    </row>
    <row r="7" spans="1:10">
      <c r="A7" s="2" t="s">
        <v>308</v>
      </c>
      <c r="B7" t="s">
        <v>358</v>
      </c>
      <c r="H7">
        <v>98824</v>
      </c>
      <c r="I7" t="s">
        <v>366</v>
      </c>
      <c r="J7" t="str">
        <f t="shared" si="1"/>
        <v>ia.assorted_string like '%98824-00036-10-2024%' or</v>
      </c>
    </row>
    <row r="8" spans="1:10">
      <c r="A8" s="2" t="s">
        <v>309</v>
      </c>
      <c r="B8" t="s">
        <v>358</v>
      </c>
      <c r="H8">
        <v>98824</v>
      </c>
      <c r="I8" t="s">
        <v>367</v>
      </c>
      <c r="J8" t="str">
        <f t="shared" si="1"/>
        <v>ia.assorted_string like '%98824-00032-10-2024%' or</v>
      </c>
    </row>
    <row r="9" spans="1:10">
      <c r="A9" s="2" t="s">
        <v>310</v>
      </c>
      <c r="B9" t="s">
        <v>358</v>
      </c>
      <c r="H9">
        <v>98824</v>
      </c>
      <c r="I9" t="s">
        <v>368</v>
      </c>
      <c r="J9" t="str">
        <f t="shared" si="1"/>
        <v>ia.assorted_string like '%98824-00039-10-2024%' or</v>
      </c>
    </row>
    <row r="10" spans="1:10">
      <c r="A10" s="2" t="s">
        <v>311</v>
      </c>
      <c r="B10" t="s">
        <v>358</v>
      </c>
      <c r="H10">
        <v>98824</v>
      </c>
      <c r="I10" t="s">
        <v>369</v>
      </c>
      <c r="J10" t="str">
        <f t="shared" si="1"/>
        <v>ia.assorted_string like '%98824-00035-10-2024%' or</v>
      </c>
    </row>
    <row r="11" spans="1:10">
      <c r="A11" s="2" t="s">
        <v>312</v>
      </c>
      <c r="B11" t="s">
        <v>358</v>
      </c>
      <c r="H11">
        <v>98824</v>
      </c>
      <c r="I11" t="s">
        <v>370</v>
      </c>
      <c r="J11" t="str">
        <f t="shared" si="1"/>
        <v>ia.assorted_string like '%98824-00044-10-2024%' or</v>
      </c>
    </row>
    <row r="12" spans="1:10">
      <c r="A12" s="2" t="s">
        <v>313</v>
      </c>
      <c r="B12" t="s">
        <v>358</v>
      </c>
      <c r="H12">
        <v>98824</v>
      </c>
      <c r="I12" t="s">
        <v>371</v>
      </c>
      <c r="J12" t="str">
        <f t="shared" si="1"/>
        <v>ia.assorted_string like '%98824-00048-10-2024%' or</v>
      </c>
    </row>
    <row r="13" spans="1:10">
      <c r="A13" s="2" t="s">
        <v>314</v>
      </c>
      <c r="B13" t="s">
        <v>358</v>
      </c>
      <c r="H13">
        <v>98824</v>
      </c>
      <c r="I13" t="s">
        <v>372</v>
      </c>
      <c r="J13" t="str">
        <f t="shared" si="1"/>
        <v>ia.assorted_string like '%98824-00046-10-2024%' or</v>
      </c>
    </row>
    <row r="14" spans="1:10">
      <c r="A14" s="2" t="s">
        <v>315</v>
      </c>
      <c r="B14" t="s">
        <v>358</v>
      </c>
      <c r="H14">
        <v>98824</v>
      </c>
      <c r="I14" t="s">
        <v>373</v>
      </c>
      <c r="J14" t="str">
        <f t="shared" si="1"/>
        <v>ia.assorted_string like '%98824-00041-10-2024%' or</v>
      </c>
    </row>
    <row r="15" spans="1:10">
      <c r="A15" s="2" t="s">
        <v>316</v>
      </c>
      <c r="B15" t="s">
        <v>358</v>
      </c>
      <c r="H15">
        <v>98824</v>
      </c>
      <c r="I15" t="s">
        <v>374</v>
      </c>
      <c r="J15" t="str">
        <f t="shared" si="1"/>
        <v>ia.assorted_string like '%98824-00058-10-2024%' or</v>
      </c>
    </row>
    <row r="16" spans="1:10">
      <c r="A16" s="2" t="s">
        <v>317</v>
      </c>
      <c r="B16" t="s">
        <v>358</v>
      </c>
      <c r="H16">
        <v>98824</v>
      </c>
      <c r="I16" t="s">
        <v>375</v>
      </c>
      <c r="J16" t="str">
        <f t="shared" si="1"/>
        <v>ia.assorted_string like '%98824-00009-10-2024%' or</v>
      </c>
    </row>
    <row r="17" spans="1:10">
      <c r="A17" s="2" t="s">
        <v>318</v>
      </c>
      <c r="B17" t="s">
        <v>358</v>
      </c>
      <c r="H17">
        <v>98824</v>
      </c>
      <c r="I17" t="s">
        <v>376</v>
      </c>
      <c r="J17" t="str">
        <f t="shared" si="1"/>
        <v>ia.assorted_string like '%98824-00019-10-2024%' or</v>
      </c>
    </row>
    <row r="18" spans="1:10">
      <c r="A18" s="2" t="s">
        <v>319</v>
      </c>
      <c r="B18" t="s">
        <v>358</v>
      </c>
      <c r="H18">
        <v>98824</v>
      </c>
      <c r="I18" t="s">
        <v>377</v>
      </c>
      <c r="J18" t="str">
        <f t="shared" si="1"/>
        <v>ia.assorted_string like '%98824-00014-10-2024%' or</v>
      </c>
    </row>
    <row r="19" spans="1:10">
      <c r="A19" s="2" t="s">
        <v>320</v>
      </c>
      <c r="B19" t="s">
        <v>358</v>
      </c>
      <c r="H19">
        <v>98824</v>
      </c>
      <c r="I19" t="s">
        <v>378</v>
      </c>
      <c r="J19" t="str">
        <f t="shared" si="1"/>
        <v>ia.assorted_string like '%98824-00025-10-2024%' or</v>
      </c>
    </row>
    <row r="20" spans="1:10">
      <c r="A20" s="2" t="s">
        <v>321</v>
      </c>
      <c r="B20" t="s">
        <v>358</v>
      </c>
      <c r="H20">
        <v>98824</v>
      </c>
      <c r="I20" t="s">
        <v>379</v>
      </c>
      <c r="J20" t="str">
        <f t="shared" si="1"/>
        <v>ia.assorted_string like '%98824-00047-10-2024%' or</v>
      </c>
    </row>
    <row r="21" spans="1:10">
      <c r="A21" s="2" t="s">
        <v>322</v>
      </c>
      <c r="B21" t="s">
        <v>358</v>
      </c>
      <c r="H21">
        <v>98824</v>
      </c>
      <c r="I21" t="s">
        <v>380</v>
      </c>
      <c r="J21" t="str">
        <f t="shared" si="1"/>
        <v>ia.assorted_string like '%98824-00055-10-2024%' or</v>
      </c>
    </row>
    <row r="22" spans="1:10">
      <c r="A22" s="2" t="s">
        <v>323</v>
      </c>
      <c r="B22" t="s">
        <v>358</v>
      </c>
      <c r="H22">
        <v>98824</v>
      </c>
      <c r="I22" t="s">
        <v>381</v>
      </c>
      <c r="J22" t="str">
        <f t="shared" si="1"/>
        <v>ia.assorted_string like '%98824-00053-10-2024%' or</v>
      </c>
    </row>
    <row r="23" spans="1:10">
      <c r="A23" s="2" t="s">
        <v>270</v>
      </c>
      <c r="B23" t="s">
        <v>360</v>
      </c>
      <c r="H23">
        <v>96638</v>
      </c>
      <c r="I23" t="s">
        <v>372</v>
      </c>
      <c r="J23" t="str">
        <f t="shared" si="1"/>
        <v>ia.assorted_string like '%96638-00046-09-2024%' or</v>
      </c>
    </row>
    <row r="24" spans="1:10">
      <c r="A24" s="2" t="s">
        <v>271</v>
      </c>
      <c r="B24" t="s">
        <v>360</v>
      </c>
      <c r="H24">
        <v>96638</v>
      </c>
      <c r="I24" t="s">
        <v>382</v>
      </c>
      <c r="J24" t="str">
        <f t="shared" si="1"/>
        <v>ia.assorted_string like '%96638-00029-09-2024%' or</v>
      </c>
    </row>
    <row r="25" spans="1:10">
      <c r="A25" s="2" t="s">
        <v>324</v>
      </c>
      <c r="B25" t="s">
        <v>358</v>
      </c>
      <c r="H25">
        <v>98824</v>
      </c>
      <c r="I25" t="s">
        <v>383</v>
      </c>
      <c r="J25" t="str">
        <f t="shared" si="1"/>
        <v>ia.assorted_string like '%98824-00020-10-2024%' or</v>
      </c>
    </row>
    <row r="26" spans="1:10">
      <c r="A26" s="2" t="s">
        <v>325</v>
      </c>
      <c r="B26" t="s">
        <v>358</v>
      </c>
      <c r="H26">
        <v>98824</v>
      </c>
      <c r="I26" t="s">
        <v>382</v>
      </c>
      <c r="J26" t="str">
        <f t="shared" si="1"/>
        <v>ia.assorted_string like '%98824-00029-10-2024%' or</v>
      </c>
    </row>
    <row r="27" spans="1:10">
      <c r="A27" s="2" t="s">
        <v>326</v>
      </c>
      <c r="B27" t="s">
        <v>358</v>
      </c>
      <c r="H27">
        <v>98824</v>
      </c>
      <c r="I27" t="s">
        <v>384</v>
      </c>
      <c r="J27" t="str">
        <f t="shared" si="1"/>
        <v>ia.assorted_string like '%98824-00024-10-2024%' or</v>
      </c>
    </row>
    <row r="28" spans="1:10">
      <c r="A28" s="2" t="s">
        <v>327</v>
      </c>
      <c r="B28" t="s">
        <v>358</v>
      </c>
      <c r="H28">
        <v>98824</v>
      </c>
      <c r="I28" t="s">
        <v>385</v>
      </c>
      <c r="J28" t="str">
        <f t="shared" si="1"/>
        <v>ia.assorted_string like '%98824-00022-10-2024%' or</v>
      </c>
    </row>
    <row r="29" spans="1:10">
      <c r="A29" s="2" t="s">
        <v>328</v>
      </c>
      <c r="B29" t="s">
        <v>358</v>
      </c>
      <c r="H29">
        <v>98824</v>
      </c>
      <c r="I29" t="s">
        <v>386</v>
      </c>
      <c r="J29" t="str">
        <f t="shared" si="1"/>
        <v>ia.assorted_string like '%98824-00010-10-2024%' or</v>
      </c>
    </row>
    <row r="30" spans="1:10">
      <c r="A30" s="2" t="s">
        <v>329</v>
      </c>
      <c r="B30" t="s">
        <v>358</v>
      </c>
      <c r="H30">
        <v>98824</v>
      </c>
      <c r="I30" t="s">
        <v>387</v>
      </c>
      <c r="J30" t="str">
        <f t="shared" si="1"/>
        <v>ia.assorted_string like '%98824-00013-10-2024%' or</v>
      </c>
    </row>
    <row r="31" spans="1:10">
      <c r="A31" s="2" t="s">
        <v>330</v>
      </c>
      <c r="B31" t="s">
        <v>358</v>
      </c>
      <c r="H31">
        <v>98824</v>
      </c>
      <c r="I31" t="s">
        <v>388</v>
      </c>
      <c r="J31" t="str">
        <f t="shared" si="1"/>
        <v>ia.assorted_string like '%98824-00011-10-2024%' or</v>
      </c>
    </row>
    <row r="32" spans="1:10">
      <c r="A32" s="2" t="s">
        <v>331</v>
      </c>
      <c r="B32" t="s">
        <v>358</v>
      </c>
      <c r="H32">
        <v>98824</v>
      </c>
      <c r="I32" t="s">
        <v>389</v>
      </c>
      <c r="J32" t="str">
        <f t="shared" si="1"/>
        <v>ia.assorted_string like '%98824-00015-10-2024%' or</v>
      </c>
    </row>
    <row r="33" spans="1:10">
      <c r="A33" s="2" t="s">
        <v>332</v>
      </c>
      <c r="B33" t="s">
        <v>358</v>
      </c>
      <c r="H33">
        <v>98824</v>
      </c>
      <c r="I33" t="s">
        <v>390</v>
      </c>
      <c r="J33" t="str">
        <f t="shared" si="1"/>
        <v>ia.assorted_string like '%98824-00021-10-2024%' or</v>
      </c>
    </row>
    <row r="34" spans="1:10">
      <c r="A34" s="2" t="s">
        <v>333</v>
      </c>
      <c r="B34" t="s">
        <v>358</v>
      </c>
      <c r="H34">
        <v>98824</v>
      </c>
      <c r="I34" t="s">
        <v>391</v>
      </c>
      <c r="J34" t="str">
        <f t="shared" si="1"/>
        <v>ia.assorted_string like '%98824-00008-10-2024%' or</v>
      </c>
    </row>
    <row r="35" spans="1:10">
      <c r="A35" s="2" t="s">
        <v>334</v>
      </c>
      <c r="B35" t="s">
        <v>358</v>
      </c>
      <c r="H35">
        <v>98824</v>
      </c>
      <c r="I35" t="s">
        <v>392</v>
      </c>
      <c r="J35" t="str">
        <f t="shared" si="1"/>
        <v>ia.assorted_string like '%98824-00027-10-2024%' or</v>
      </c>
    </row>
    <row r="36" spans="1:10">
      <c r="A36" s="2" t="s">
        <v>335</v>
      </c>
      <c r="B36" t="s">
        <v>358</v>
      </c>
      <c r="H36">
        <v>98824</v>
      </c>
      <c r="I36" t="s">
        <v>393</v>
      </c>
      <c r="J36" t="str">
        <f t="shared" si="1"/>
        <v>ia.assorted_string like '%98824-00026-10-2024%' or</v>
      </c>
    </row>
    <row r="37" spans="1:10">
      <c r="A37" s="2" t="s">
        <v>336</v>
      </c>
      <c r="B37" t="s">
        <v>358</v>
      </c>
      <c r="H37">
        <v>98824</v>
      </c>
      <c r="I37" t="s">
        <v>394</v>
      </c>
      <c r="J37" t="str">
        <f t="shared" si="1"/>
        <v>ia.assorted_string like '%98824-00023-10-2024%' or</v>
      </c>
    </row>
    <row r="38" spans="1:10">
      <c r="A38" s="2" t="s">
        <v>337</v>
      </c>
      <c r="B38" t="s">
        <v>358</v>
      </c>
      <c r="H38">
        <v>98824</v>
      </c>
      <c r="I38" t="s">
        <v>395</v>
      </c>
      <c r="J38" t="str">
        <f t="shared" si="1"/>
        <v>ia.assorted_string like '%98824-00030-10-2024%' or</v>
      </c>
    </row>
    <row r="39" spans="1:10">
      <c r="A39" s="2" t="s">
        <v>338</v>
      </c>
      <c r="B39" t="s">
        <v>358</v>
      </c>
      <c r="H39">
        <v>98824</v>
      </c>
      <c r="I39" t="s">
        <v>396</v>
      </c>
      <c r="J39" t="str">
        <f t="shared" si="1"/>
        <v>ia.assorted_string like '%98824-00031-10-2024%' or</v>
      </c>
    </row>
    <row r="40" spans="1:10">
      <c r="A40" s="2" t="s">
        <v>339</v>
      </c>
      <c r="B40" t="s">
        <v>358</v>
      </c>
      <c r="H40">
        <v>98824</v>
      </c>
      <c r="I40" t="s">
        <v>397</v>
      </c>
      <c r="J40" t="str">
        <f t="shared" si="1"/>
        <v>ia.assorted_string like '%98824-00034-10-2024%' or</v>
      </c>
    </row>
    <row r="41" spans="1:10">
      <c r="A41" s="2" t="s">
        <v>340</v>
      </c>
      <c r="B41" t="s">
        <v>358</v>
      </c>
      <c r="H41">
        <v>98824</v>
      </c>
      <c r="I41" t="s">
        <v>398</v>
      </c>
      <c r="J41" t="str">
        <f t="shared" si="1"/>
        <v>ia.assorted_string like '%98824-00037-10-2024%' or</v>
      </c>
    </row>
    <row r="42" spans="1:10">
      <c r="A42" s="2" t="s">
        <v>341</v>
      </c>
      <c r="B42" t="s">
        <v>358</v>
      </c>
      <c r="H42">
        <v>98824</v>
      </c>
      <c r="I42" t="s">
        <v>399</v>
      </c>
      <c r="J42" t="str">
        <f t="shared" si="1"/>
        <v>ia.assorted_string like '%98824-00045-10-2024%' or</v>
      </c>
    </row>
    <row r="43" spans="1:10">
      <c r="A43" s="2" t="s">
        <v>342</v>
      </c>
      <c r="B43" t="s">
        <v>358</v>
      </c>
      <c r="H43">
        <v>98824</v>
      </c>
      <c r="I43" t="s">
        <v>400</v>
      </c>
      <c r="J43" t="str">
        <f t="shared" si="1"/>
        <v>ia.assorted_string like '%98824-00042-10-2024%' or</v>
      </c>
    </row>
    <row r="44" spans="1:10">
      <c r="A44" s="2" t="s">
        <v>343</v>
      </c>
      <c r="B44" t="s">
        <v>358</v>
      </c>
      <c r="H44">
        <v>98824</v>
      </c>
      <c r="I44" t="s">
        <v>401</v>
      </c>
      <c r="J44" t="str">
        <f t="shared" si="1"/>
        <v>ia.assorted_string like '%98824-00049-10-2024%' or</v>
      </c>
    </row>
    <row r="45" spans="1:10">
      <c r="A45" s="2" t="s">
        <v>344</v>
      </c>
      <c r="B45" t="s">
        <v>358</v>
      </c>
      <c r="H45">
        <v>98824</v>
      </c>
      <c r="I45" t="s">
        <v>402</v>
      </c>
      <c r="J45" t="str">
        <f t="shared" si="1"/>
        <v>ia.assorted_string like '%98824-00040-10-2024%' or</v>
      </c>
    </row>
    <row r="46" spans="1:10">
      <c r="A46" s="2" t="s">
        <v>345</v>
      </c>
      <c r="B46" t="s">
        <v>358</v>
      </c>
      <c r="H46">
        <v>98824</v>
      </c>
      <c r="I46" t="s">
        <v>403</v>
      </c>
      <c r="J46" t="str">
        <f t="shared" si="1"/>
        <v>ia.assorted_string like '%98824-00054-10-2024%' or</v>
      </c>
    </row>
    <row r="47" spans="1:10">
      <c r="A47" s="2" t="s">
        <v>346</v>
      </c>
      <c r="B47" t="s">
        <v>358</v>
      </c>
      <c r="H47">
        <v>98824</v>
      </c>
      <c r="I47" t="s">
        <v>404</v>
      </c>
      <c r="J47" t="str">
        <f t="shared" si="1"/>
        <v>ia.assorted_string like '%98824-00050-10-2024%' or</v>
      </c>
    </row>
    <row r="48" spans="1:10">
      <c r="A48" s="2" t="s">
        <v>347</v>
      </c>
      <c r="B48" t="s">
        <v>358</v>
      </c>
      <c r="H48">
        <v>98824</v>
      </c>
      <c r="I48" t="s">
        <v>405</v>
      </c>
      <c r="J48" t="str">
        <f t="shared" si="1"/>
        <v>ia.assorted_string like '%98824-00052-10-2024%' or</v>
      </c>
    </row>
    <row r="49" spans="1:10">
      <c r="A49" s="2" t="s">
        <v>348</v>
      </c>
      <c r="B49" t="s">
        <v>358</v>
      </c>
      <c r="H49">
        <v>98824</v>
      </c>
      <c r="I49" t="s">
        <v>406</v>
      </c>
      <c r="J49" t="str">
        <f t="shared" si="1"/>
        <v>ia.assorted_string like '%98824-00051-10-2024%' or</v>
      </c>
    </row>
    <row r="50" spans="1:10">
      <c r="A50" s="2" t="s">
        <v>349</v>
      </c>
      <c r="B50" t="s">
        <v>358</v>
      </c>
      <c r="H50">
        <v>98824</v>
      </c>
      <c r="I50" t="s">
        <v>407</v>
      </c>
      <c r="J50" t="str">
        <f t="shared" si="1"/>
        <v>ia.assorted_string like '%98824-00056-10-2024%' or</v>
      </c>
    </row>
    <row r="51" spans="1:10">
      <c r="A51" s="2" t="s">
        <v>350</v>
      </c>
      <c r="B51" t="s">
        <v>358</v>
      </c>
      <c r="H51">
        <v>98824</v>
      </c>
      <c r="I51" t="s">
        <v>408</v>
      </c>
      <c r="J51" t="str">
        <f t="shared" si="1"/>
        <v>ia.assorted_string like '%98824-00043-10-2024%' or</v>
      </c>
    </row>
    <row r="52" spans="1:10">
      <c r="A52" s="2" t="s">
        <v>351</v>
      </c>
      <c r="B52" t="s">
        <v>358</v>
      </c>
      <c r="H52">
        <v>98824</v>
      </c>
      <c r="I52" t="s">
        <v>409</v>
      </c>
      <c r="J52" t="str">
        <f t="shared" si="1"/>
        <v>ia.assorted_string like '%98824-00057-10-2024%' or</v>
      </c>
    </row>
    <row r="53" spans="1:10">
      <c r="A53" s="2" t="s">
        <v>352</v>
      </c>
      <c r="B53" t="s">
        <v>358</v>
      </c>
      <c r="H53">
        <v>98824</v>
      </c>
      <c r="I53" t="s">
        <v>410</v>
      </c>
      <c r="J53" t="str">
        <f t="shared" si="1"/>
        <v>ia.assorted_string like '%98824-00003-10-2024%' or</v>
      </c>
    </row>
    <row r="54" spans="1:10">
      <c r="A54" s="2" t="s">
        <v>353</v>
      </c>
      <c r="B54" t="s">
        <v>358</v>
      </c>
      <c r="H54">
        <v>98824</v>
      </c>
      <c r="I54" t="s">
        <v>411</v>
      </c>
      <c r="J54" t="str">
        <f t="shared" si="1"/>
        <v>ia.assorted_string like '%98824-00016-10-2024%' or</v>
      </c>
    </row>
    <row r="55" spans="1:10">
      <c r="A55" s="2" t="s">
        <v>354</v>
      </c>
      <c r="B55" t="s">
        <v>358</v>
      </c>
      <c r="H55">
        <v>98824</v>
      </c>
      <c r="I55" t="s">
        <v>412</v>
      </c>
      <c r="J55" t="str">
        <f t="shared" si="1"/>
        <v>ia.assorted_string like '%98824-00006-10-2024%' or</v>
      </c>
    </row>
    <row r="56" spans="1:10">
      <c r="A56" s="2" t="s">
        <v>355</v>
      </c>
      <c r="B56" t="s">
        <v>358</v>
      </c>
      <c r="H56">
        <v>98824</v>
      </c>
      <c r="I56" t="s">
        <v>413</v>
      </c>
      <c r="J56" t="str">
        <f t="shared" si="1"/>
        <v>ia.assorted_string like '%98824-00007-10-2024%' or</v>
      </c>
    </row>
    <row r="57" spans="1:10">
      <c r="A57" s="2" t="s">
        <v>356</v>
      </c>
      <c r="B57" t="s">
        <v>358</v>
      </c>
      <c r="H57">
        <v>98824</v>
      </c>
      <c r="I57" t="s">
        <v>414</v>
      </c>
      <c r="J57" t="str">
        <f t="shared" si="1"/>
        <v>ia.assorted_string like '%98824-00028-10-2024%' or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3A7AF-0622-4EBC-AD9D-F94AC1CA59CF}">
  <dimension ref="A1:C57"/>
  <sheetViews>
    <sheetView workbookViewId="0">
      <selection activeCell="E6" sqref="E6"/>
    </sheetView>
  </sheetViews>
  <sheetFormatPr defaultRowHeight="15"/>
  <cols>
    <col min="1" max="1" width="3" bestFit="1" customWidth="1"/>
    <col min="2" max="2" width="42.28515625" bestFit="1" customWidth="1"/>
    <col min="3" max="3" width="15" bestFit="1" customWidth="1"/>
  </cols>
  <sheetData>
    <row r="1" spans="1:3">
      <c r="A1" s="12" t="s">
        <v>415</v>
      </c>
      <c r="B1" s="12" t="s">
        <v>416</v>
      </c>
      <c r="C1" s="12" t="s">
        <v>417</v>
      </c>
    </row>
    <row r="2" spans="1:3">
      <c r="A2">
        <v>1</v>
      </c>
      <c r="B2" t="s">
        <v>319</v>
      </c>
      <c r="C2" t="s">
        <v>418</v>
      </c>
    </row>
    <row r="3" spans="1:3">
      <c r="A3">
        <v>2</v>
      </c>
      <c r="B3" t="s">
        <v>352</v>
      </c>
      <c r="C3" t="s">
        <v>419</v>
      </c>
    </row>
    <row r="4" spans="1:3">
      <c r="A4">
        <v>3</v>
      </c>
      <c r="B4" t="s">
        <v>305</v>
      </c>
      <c r="C4" t="s">
        <v>420</v>
      </c>
    </row>
    <row r="5" spans="1:3">
      <c r="A5">
        <v>4</v>
      </c>
      <c r="B5" t="s">
        <v>306</v>
      </c>
      <c r="C5" t="s">
        <v>421</v>
      </c>
    </row>
    <row r="6" spans="1:3">
      <c r="A6">
        <v>5</v>
      </c>
      <c r="B6" t="s">
        <v>328</v>
      </c>
      <c r="C6" t="s">
        <v>422</v>
      </c>
    </row>
    <row r="7" spans="1:3">
      <c r="A7">
        <v>6</v>
      </c>
      <c r="B7" t="s">
        <v>330</v>
      </c>
      <c r="C7" t="s">
        <v>423</v>
      </c>
    </row>
    <row r="8" spans="1:3">
      <c r="A8">
        <v>7</v>
      </c>
      <c r="B8" t="s">
        <v>329</v>
      </c>
      <c r="C8" t="s">
        <v>424</v>
      </c>
    </row>
    <row r="9" spans="1:3">
      <c r="A9">
        <v>8</v>
      </c>
      <c r="B9" t="s">
        <v>307</v>
      </c>
      <c r="C9" t="s">
        <v>425</v>
      </c>
    </row>
    <row r="10" spans="1:3">
      <c r="A10">
        <v>9</v>
      </c>
      <c r="B10" t="s">
        <v>320</v>
      </c>
      <c r="C10" t="s">
        <v>426</v>
      </c>
    </row>
    <row r="11" spans="1:3">
      <c r="A11">
        <v>10</v>
      </c>
      <c r="B11" t="s">
        <v>353</v>
      </c>
      <c r="C11" t="s">
        <v>427</v>
      </c>
    </row>
    <row r="12" spans="1:3">
      <c r="A12">
        <v>11</v>
      </c>
      <c r="B12" t="s">
        <v>314</v>
      </c>
      <c r="C12" t="s">
        <v>428</v>
      </c>
    </row>
    <row r="13" spans="1:3">
      <c r="A13">
        <v>12</v>
      </c>
      <c r="B13" t="s">
        <v>321</v>
      </c>
      <c r="C13" t="s">
        <v>429</v>
      </c>
    </row>
    <row r="14" spans="1:3">
      <c r="A14">
        <v>13</v>
      </c>
      <c r="B14" t="s">
        <v>313</v>
      </c>
      <c r="C14" t="s">
        <v>430</v>
      </c>
    </row>
    <row r="15" spans="1:3">
      <c r="A15">
        <v>14</v>
      </c>
      <c r="B15" t="s">
        <v>337</v>
      </c>
      <c r="C15" t="s">
        <v>431</v>
      </c>
    </row>
    <row r="16" spans="1:3">
      <c r="A16">
        <v>15</v>
      </c>
      <c r="B16" t="s">
        <v>346</v>
      </c>
      <c r="C16" t="s">
        <v>432</v>
      </c>
    </row>
    <row r="17" spans="1:3">
      <c r="A17">
        <v>16</v>
      </c>
      <c r="B17" t="s">
        <v>344</v>
      </c>
      <c r="C17" t="s">
        <v>433</v>
      </c>
    </row>
    <row r="18" spans="1:3">
      <c r="A18">
        <v>17</v>
      </c>
      <c r="B18" t="s">
        <v>309</v>
      </c>
      <c r="C18" t="s">
        <v>434</v>
      </c>
    </row>
    <row r="19" spans="1:3">
      <c r="A19">
        <v>18</v>
      </c>
      <c r="B19" t="s">
        <v>341</v>
      </c>
      <c r="C19" t="s">
        <v>435</v>
      </c>
    </row>
    <row r="20" spans="1:3">
      <c r="A20">
        <v>19</v>
      </c>
      <c r="B20" t="s">
        <v>334</v>
      </c>
      <c r="C20" t="s">
        <v>436</v>
      </c>
    </row>
    <row r="21" spans="1:3">
      <c r="A21">
        <v>20</v>
      </c>
      <c r="B21" t="s">
        <v>312</v>
      </c>
      <c r="C21" t="s">
        <v>437</v>
      </c>
    </row>
    <row r="22" spans="1:3">
      <c r="A22">
        <v>21</v>
      </c>
      <c r="B22" t="s">
        <v>349</v>
      </c>
      <c r="C22" t="s">
        <v>438</v>
      </c>
    </row>
    <row r="23" spans="1:3">
      <c r="A23">
        <v>22</v>
      </c>
      <c r="B23" t="s">
        <v>351</v>
      </c>
      <c r="C23" t="s">
        <v>439</v>
      </c>
    </row>
    <row r="24" spans="1:3">
      <c r="A24">
        <v>23</v>
      </c>
      <c r="B24" t="s">
        <v>354</v>
      </c>
      <c r="C24" t="s">
        <v>440</v>
      </c>
    </row>
    <row r="25" spans="1:3">
      <c r="A25">
        <v>24</v>
      </c>
      <c r="B25" t="s">
        <v>310</v>
      </c>
      <c r="C25" t="s">
        <v>441</v>
      </c>
    </row>
    <row r="26" spans="1:3">
      <c r="A26">
        <v>25</v>
      </c>
      <c r="B26" t="s">
        <v>333</v>
      </c>
      <c r="C26" t="s">
        <v>442</v>
      </c>
    </row>
    <row r="27" spans="1:3">
      <c r="A27">
        <v>26</v>
      </c>
      <c r="B27" t="s">
        <v>323</v>
      </c>
      <c r="C27" t="s">
        <v>443</v>
      </c>
    </row>
    <row r="28" spans="1:3">
      <c r="A28">
        <v>27</v>
      </c>
      <c r="B28" t="s">
        <v>304</v>
      </c>
      <c r="C28" t="s">
        <v>444</v>
      </c>
    </row>
    <row r="29" spans="1:3">
      <c r="A29">
        <v>28</v>
      </c>
      <c r="B29" t="s">
        <v>327</v>
      </c>
      <c r="C29" t="s">
        <v>445</v>
      </c>
    </row>
    <row r="30" spans="1:3">
      <c r="A30">
        <v>29</v>
      </c>
      <c r="B30" t="s">
        <v>355</v>
      </c>
      <c r="C30" t="s">
        <v>446</v>
      </c>
    </row>
    <row r="31" spans="1:3">
      <c r="A31">
        <v>30</v>
      </c>
      <c r="B31" t="s">
        <v>338</v>
      </c>
      <c r="C31" t="s">
        <v>447</v>
      </c>
    </row>
    <row r="32" spans="1:3">
      <c r="A32">
        <v>31</v>
      </c>
      <c r="B32" t="s">
        <v>332</v>
      </c>
      <c r="C32" t="s">
        <v>448</v>
      </c>
    </row>
    <row r="33" spans="1:3">
      <c r="A33">
        <v>32</v>
      </c>
      <c r="B33" t="s">
        <v>318</v>
      </c>
      <c r="C33" t="s">
        <v>449</v>
      </c>
    </row>
    <row r="34" spans="1:3">
      <c r="A34">
        <v>33</v>
      </c>
      <c r="B34" t="s">
        <v>343</v>
      </c>
      <c r="C34" t="s">
        <v>450</v>
      </c>
    </row>
    <row r="35" spans="1:3">
      <c r="A35">
        <v>34</v>
      </c>
      <c r="B35" t="s">
        <v>345</v>
      </c>
      <c r="C35" t="s">
        <v>451</v>
      </c>
    </row>
    <row r="36" spans="1:3">
      <c r="A36">
        <v>35</v>
      </c>
      <c r="B36" t="s">
        <v>322</v>
      </c>
      <c r="C36" t="s">
        <v>452</v>
      </c>
    </row>
    <row r="37" spans="1:3">
      <c r="A37">
        <v>36</v>
      </c>
      <c r="B37" t="s">
        <v>335</v>
      </c>
      <c r="C37" t="s">
        <v>453</v>
      </c>
    </row>
    <row r="38" spans="1:3">
      <c r="A38">
        <v>37</v>
      </c>
      <c r="B38" t="s">
        <v>271</v>
      </c>
      <c r="C38" t="s">
        <v>454</v>
      </c>
    </row>
    <row r="39" spans="1:3">
      <c r="A39">
        <v>38</v>
      </c>
      <c r="B39" t="s">
        <v>331</v>
      </c>
      <c r="C39" t="s">
        <v>455</v>
      </c>
    </row>
    <row r="40" spans="1:3">
      <c r="A40">
        <v>39</v>
      </c>
      <c r="B40" t="s">
        <v>270</v>
      </c>
      <c r="C40" t="s">
        <v>456</v>
      </c>
    </row>
    <row r="41" spans="1:3">
      <c r="A41">
        <v>40</v>
      </c>
      <c r="B41" t="s">
        <v>303</v>
      </c>
      <c r="C41" t="s">
        <v>457</v>
      </c>
    </row>
    <row r="42" spans="1:3">
      <c r="A42">
        <v>41</v>
      </c>
      <c r="B42" t="s">
        <v>325</v>
      </c>
      <c r="C42" t="s">
        <v>458</v>
      </c>
    </row>
    <row r="43" spans="1:3">
      <c r="A43">
        <v>42</v>
      </c>
      <c r="B43" t="s">
        <v>324</v>
      </c>
      <c r="C43" t="s">
        <v>459</v>
      </c>
    </row>
    <row r="44" spans="1:3">
      <c r="A44">
        <v>43</v>
      </c>
      <c r="B44" t="s">
        <v>356</v>
      </c>
      <c r="C44" t="s">
        <v>460</v>
      </c>
    </row>
    <row r="45" spans="1:3">
      <c r="A45">
        <v>44</v>
      </c>
      <c r="B45" t="s">
        <v>339</v>
      </c>
      <c r="C45" t="s">
        <v>461</v>
      </c>
    </row>
    <row r="46" spans="1:3">
      <c r="A46">
        <v>45</v>
      </c>
      <c r="B46" t="s">
        <v>315</v>
      </c>
      <c r="C46" t="s">
        <v>462</v>
      </c>
    </row>
    <row r="47" spans="1:3">
      <c r="A47">
        <v>46</v>
      </c>
      <c r="B47" t="s">
        <v>342</v>
      </c>
      <c r="C47" t="s">
        <v>463</v>
      </c>
    </row>
    <row r="48" spans="1:3">
      <c r="A48">
        <v>47</v>
      </c>
      <c r="B48" t="s">
        <v>308</v>
      </c>
      <c r="C48" t="s">
        <v>464</v>
      </c>
    </row>
    <row r="49" spans="1:3">
      <c r="A49">
        <v>48</v>
      </c>
      <c r="B49" t="s">
        <v>347</v>
      </c>
      <c r="C49" t="s">
        <v>465</v>
      </c>
    </row>
    <row r="50" spans="1:3">
      <c r="A50">
        <v>49</v>
      </c>
      <c r="B50" t="s">
        <v>336</v>
      </c>
      <c r="C50" t="s">
        <v>466</v>
      </c>
    </row>
    <row r="51" spans="1:3">
      <c r="A51">
        <v>50</v>
      </c>
      <c r="B51" t="s">
        <v>326</v>
      </c>
      <c r="C51" t="s">
        <v>467</v>
      </c>
    </row>
    <row r="52" spans="1:3">
      <c r="A52">
        <v>51</v>
      </c>
      <c r="B52" t="s">
        <v>348</v>
      </c>
      <c r="C52" t="s">
        <v>468</v>
      </c>
    </row>
    <row r="53" spans="1:3">
      <c r="A53">
        <v>52</v>
      </c>
      <c r="B53" t="s">
        <v>317</v>
      </c>
      <c r="C53" t="s">
        <v>469</v>
      </c>
    </row>
    <row r="54" spans="1:3">
      <c r="A54">
        <v>53</v>
      </c>
      <c r="B54" t="s">
        <v>311</v>
      </c>
      <c r="C54" t="s">
        <v>470</v>
      </c>
    </row>
    <row r="55" spans="1:3">
      <c r="A55">
        <v>54</v>
      </c>
      <c r="B55" t="s">
        <v>350</v>
      </c>
      <c r="C55" t="s">
        <v>471</v>
      </c>
    </row>
    <row r="56" spans="1:3">
      <c r="A56">
        <v>55</v>
      </c>
      <c r="B56" t="s">
        <v>340</v>
      </c>
      <c r="C56" t="s">
        <v>472</v>
      </c>
    </row>
    <row r="57" spans="1:3">
      <c r="A57">
        <v>56</v>
      </c>
      <c r="B57" t="s">
        <v>316</v>
      </c>
      <c r="C57" t="s">
        <v>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PAYMENT ON MONTH OF OCT-2024</vt:lpstr>
      <vt:lpstr>working</vt:lpstr>
      <vt:lpstr>Sheet2</vt:lpstr>
      <vt:lpstr>policy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 Ali</dc:creator>
  <cp:lastModifiedBy>IT User Software</cp:lastModifiedBy>
  <dcterms:created xsi:type="dcterms:W3CDTF">2019-01-18T06:35:24Z</dcterms:created>
  <dcterms:modified xsi:type="dcterms:W3CDTF">2024-11-11T05:26:43Z</dcterms:modified>
</cp:coreProperties>
</file>