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Nov 2024\08-Nov-2024\"/>
    </mc:Choice>
  </mc:AlternateContent>
  <xr:revisionPtr revIDLastSave="0" documentId="13_ncr:1_{10AF221C-78E1-4EAD-AEB3-FC4A4248A543}" xr6:coauthVersionLast="47" xr6:coauthVersionMax="47" xr10:uidLastSave="{00000000-0000-0000-0000-000000000000}"/>
  <bookViews>
    <workbookView xWindow="-120" yWindow="-120" windowWidth="20730" windowHeight="11040" tabRatio="687" activeTab="3" xr2:uid="{00000000-000D-0000-FFFF-FFFF00000000}"/>
  </bookViews>
  <sheets>
    <sheet name="BSPL" sheetId="3" r:id="rId1"/>
    <sheet name="working Premium" sheetId="4" r:id="rId2"/>
    <sheet name="working commission" sheetId="7" r:id="rId3"/>
    <sheet name="working Service Charges" sheetId="8" r:id="rId4"/>
    <sheet name="Policy" sheetId="5" r:id="rId5"/>
    <sheet name="work" sheetId="6" r:id="rId6"/>
  </sheets>
  <definedNames>
    <definedName name="_xlnm._FilterDatabase" localSheetId="0" hidden="1">BSPL!$A$1:$Y$46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C47" i="8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H3" i="7" s="1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G2" i="7"/>
  <c r="F2" i="7"/>
  <c r="H2" i="7" s="1"/>
  <c r="F2" i="4" l="1"/>
  <c r="C47" i="7"/>
  <c r="V48" i="3"/>
  <c r="S48" i="3"/>
  <c r="U48" i="3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E3" i="8"/>
  <c r="G3" i="8" s="1"/>
  <c r="H3" i="8" s="1"/>
  <c r="E4" i="8"/>
  <c r="G4" i="8" s="1"/>
  <c r="E5" i="8"/>
  <c r="G5" i="8" s="1"/>
  <c r="H5" i="8" s="1"/>
  <c r="E6" i="8"/>
  <c r="G6" i="8" s="1"/>
  <c r="H6" i="8" s="1"/>
  <c r="E7" i="8"/>
  <c r="G7" i="8" s="1"/>
  <c r="H7" i="8" s="1"/>
  <c r="E8" i="8"/>
  <c r="G8" i="8" s="1"/>
  <c r="E9" i="8"/>
  <c r="G9" i="8" s="1"/>
  <c r="H9" i="8" s="1"/>
  <c r="E10" i="8"/>
  <c r="G10" i="8" s="1"/>
  <c r="H10" i="8" s="1"/>
  <c r="E11" i="8"/>
  <c r="G11" i="8" s="1"/>
  <c r="H11" i="8" s="1"/>
  <c r="E12" i="8"/>
  <c r="G12" i="8" s="1"/>
  <c r="E13" i="8"/>
  <c r="G13" i="8" s="1"/>
  <c r="H13" i="8" s="1"/>
  <c r="E14" i="8"/>
  <c r="G14" i="8" s="1"/>
  <c r="H14" i="8" s="1"/>
  <c r="E15" i="8"/>
  <c r="G15" i="8" s="1"/>
  <c r="H15" i="8" s="1"/>
  <c r="E16" i="8"/>
  <c r="G16" i="8" s="1"/>
  <c r="E17" i="8"/>
  <c r="G17" i="8" s="1"/>
  <c r="H17" i="8" s="1"/>
  <c r="E18" i="8"/>
  <c r="G18" i="8" s="1"/>
  <c r="H18" i="8" s="1"/>
  <c r="E19" i="8"/>
  <c r="G19" i="8" s="1"/>
  <c r="H19" i="8" s="1"/>
  <c r="E20" i="8"/>
  <c r="G20" i="8" s="1"/>
  <c r="E21" i="8"/>
  <c r="G21" i="8" s="1"/>
  <c r="H21" i="8" s="1"/>
  <c r="E22" i="8"/>
  <c r="G22" i="8" s="1"/>
  <c r="H22" i="8" s="1"/>
  <c r="E23" i="8"/>
  <c r="G23" i="8" s="1"/>
  <c r="H23" i="8" s="1"/>
  <c r="E24" i="8"/>
  <c r="G24" i="8" s="1"/>
  <c r="E25" i="8"/>
  <c r="G25" i="8" s="1"/>
  <c r="H25" i="8" s="1"/>
  <c r="E26" i="8"/>
  <c r="G26" i="8" s="1"/>
  <c r="H26" i="8" s="1"/>
  <c r="E27" i="8"/>
  <c r="G27" i="8" s="1"/>
  <c r="H27" i="8" s="1"/>
  <c r="E28" i="8"/>
  <c r="G28" i="8" s="1"/>
  <c r="E29" i="8"/>
  <c r="G29" i="8" s="1"/>
  <c r="H29" i="8" s="1"/>
  <c r="E30" i="8"/>
  <c r="G30" i="8" s="1"/>
  <c r="H30" i="8" s="1"/>
  <c r="E31" i="8"/>
  <c r="G31" i="8" s="1"/>
  <c r="H31" i="8" s="1"/>
  <c r="E32" i="8"/>
  <c r="G32" i="8" s="1"/>
  <c r="E33" i="8"/>
  <c r="G33" i="8" s="1"/>
  <c r="H33" i="8" s="1"/>
  <c r="E34" i="8"/>
  <c r="G34" i="8" s="1"/>
  <c r="H34" i="8" s="1"/>
  <c r="E35" i="8"/>
  <c r="G35" i="8" s="1"/>
  <c r="H35" i="8" s="1"/>
  <c r="E36" i="8"/>
  <c r="G36" i="8" s="1"/>
  <c r="E37" i="8"/>
  <c r="G37" i="8" s="1"/>
  <c r="H37" i="8" s="1"/>
  <c r="E38" i="8"/>
  <c r="G38" i="8" s="1"/>
  <c r="H38" i="8" s="1"/>
  <c r="E39" i="8"/>
  <c r="G39" i="8" s="1"/>
  <c r="H39" i="8" s="1"/>
  <c r="E40" i="8"/>
  <c r="G40" i="8" s="1"/>
  <c r="E41" i="8"/>
  <c r="G41" i="8" s="1"/>
  <c r="H41" i="8" s="1"/>
  <c r="E42" i="8"/>
  <c r="G42" i="8" s="1"/>
  <c r="H42" i="8" s="1"/>
  <c r="E43" i="8"/>
  <c r="G43" i="8" s="1"/>
  <c r="H43" i="8" s="1"/>
  <c r="E44" i="8"/>
  <c r="G44" i="8" s="1"/>
  <c r="E45" i="8"/>
  <c r="G45" i="8" s="1"/>
  <c r="H45" i="8" s="1"/>
  <c r="E2" i="8"/>
  <c r="G2" i="8" s="1"/>
  <c r="H2" i="8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2" i="7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D46" i="4"/>
  <c r="C4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2" i="4"/>
  <c r="D2" i="4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1" i="6"/>
  <c r="H40" i="8" l="1"/>
  <c r="H44" i="8"/>
  <c r="H36" i="8"/>
  <c r="H32" i="8"/>
  <c r="H28" i="8"/>
  <c r="H24" i="8"/>
  <c r="H20" i="8"/>
  <c r="H16" i="8"/>
  <c r="H12" i="8"/>
  <c r="H8" i="8"/>
  <c r="H4" i="8"/>
  <c r="H2" i="4"/>
</calcChain>
</file>

<file path=xl/sharedStrings.xml><?xml version="1.0" encoding="utf-8"?>
<sst xmlns="http://schemas.openxmlformats.org/spreadsheetml/2006/main" count="1196" uniqueCount="261">
  <si>
    <t>Br. Code</t>
  </si>
  <si>
    <t>Branch Name</t>
  </si>
  <si>
    <t>Document No.</t>
  </si>
  <si>
    <t>Type Code</t>
  </si>
  <si>
    <t>Business Type</t>
  </si>
  <si>
    <t>Class</t>
  </si>
  <si>
    <t>Leader Ref. No</t>
  </si>
  <si>
    <t>Code</t>
  </si>
  <si>
    <t>Insurance Company</t>
  </si>
  <si>
    <t>Client Code</t>
  </si>
  <si>
    <t>Client Name</t>
  </si>
  <si>
    <t>Insurance</t>
  </si>
  <si>
    <t>Base No.</t>
  </si>
  <si>
    <t>Base date</t>
  </si>
  <si>
    <t>Date</t>
  </si>
  <si>
    <t>Premium Payable as per OS report</t>
  </si>
  <si>
    <t>Paid on Collection</t>
  </si>
  <si>
    <t>Claim Receivable</t>
  </si>
  <si>
    <t>S. Charges Receivable</t>
  </si>
  <si>
    <t>Commission Receivable</t>
  </si>
  <si>
    <t>Net</t>
  </si>
  <si>
    <t>220</t>
  </si>
  <si>
    <t>GROUP UNIT</t>
  </si>
  <si>
    <t>2024/01/GUEBPOP00003</t>
  </si>
  <si>
    <t>E025</t>
  </si>
  <si>
    <t>BOILER PRESSURE VESSEL</t>
  </si>
  <si>
    <t>Engineering</t>
  </si>
  <si>
    <t>3114700001</t>
  </si>
  <si>
    <t>SALAM TAKAFUL LIMITED</t>
  </si>
  <si>
    <t>1110100035</t>
  </si>
  <si>
    <t>BULLEH SHAH PACKAGING (PRIVATE) LIMITED</t>
  </si>
  <si>
    <t>2024/01/GUEBPOT00004</t>
  </si>
  <si>
    <t>2024/01/GUEBPOP00004</t>
  </si>
  <si>
    <t>2024/01/GUEBPOT00005</t>
  </si>
  <si>
    <t>2024/01/GUEBPOP00005</t>
  </si>
  <si>
    <t>2024/01/GUEBPOT00006</t>
  </si>
  <si>
    <t>2024/01/GUFFDOP00005</t>
  </si>
  <si>
    <t>F02</t>
  </si>
  <si>
    <t>Fire Declaration Policy</t>
  </si>
  <si>
    <t>Fire</t>
  </si>
  <si>
    <t>2024/01/GUFFDOT00007</t>
  </si>
  <si>
    <t>2024/01/GUFFDOP00006</t>
  </si>
  <si>
    <t>2024/01/GUFFDOT00008</t>
  </si>
  <si>
    <t>2024/01/GUFFDOP00015</t>
  </si>
  <si>
    <t>1110100040</t>
  </si>
  <si>
    <t>PACKAGES CONVERTORS LIMITED</t>
  </si>
  <si>
    <t>2024/01/GUFFDOT00012</t>
  </si>
  <si>
    <t>2024/01/GUFFNOP00004</t>
  </si>
  <si>
    <t>F01</t>
  </si>
  <si>
    <t>Normal Fire Policy</t>
  </si>
  <si>
    <t>2024/01/GUFFNOT00006</t>
  </si>
  <si>
    <t>2024/01/GUFFNOP00012</t>
  </si>
  <si>
    <t>2024/01/GUFFNOT00009</t>
  </si>
  <si>
    <t>2024/01/GUFFNOP00014</t>
  </si>
  <si>
    <t>2024/01/GUFFNOT00011</t>
  </si>
  <si>
    <t>2024/01/GUFFNOP00017</t>
  </si>
  <si>
    <t>1110100020</t>
  </si>
  <si>
    <t>PACKAGES LIMITED</t>
  </si>
  <si>
    <t>2024/01/GUFFNOT00014</t>
  </si>
  <si>
    <t>2024/01/GUFLOOP00003</t>
  </si>
  <si>
    <t>F03</t>
  </si>
  <si>
    <t>Loss of Profit</t>
  </si>
  <si>
    <t>2024/01/GUFLOOT00005</t>
  </si>
  <si>
    <t>2024/01/GUFLOOP00013</t>
  </si>
  <si>
    <t>2024/01/GUFLOOT00010</t>
  </si>
  <si>
    <t>2024/04/GUFFDOE00034</t>
  </si>
  <si>
    <t>2024/04/GUFFNOE00032</t>
  </si>
  <si>
    <t>2024/04/GUFFNOE00035</t>
  </si>
  <si>
    <t>2024/05/GUFFDOE00036</t>
  </si>
  <si>
    <t>2024/05/GUFFDOE00037</t>
  </si>
  <si>
    <t>2024/06/GUFFDOE00042</t>
  </si>
  <si>
    <t>2024/06/GUFFDOE00044</t>
  </si>
  <si>
    <t>2024/06/GUFFDOE00045</t>
  </si>
  <si>
    <t>2024/06/GUFFDOE00051</t>
  </si>
  <si>
    <t>2024/06/GUFFNOE00041</t>
  </si>
  <si>
    <t>2024/06/GUFFNOE00043</t>
  </si>
  <si>
    <t>2024/06/GUFFNOE00047</t>
  </si>
  <si>
    <t>2024/06/GUFFNOE00048</t>
  </si>
  <si>
    <t>2024/06/GUFFNOE00049</t>
  </si>
  <si>
    <t>2024/07/GUFFDOE00052</t>
  </si>
  <si>
    <t>2024/07/GUFFDOE00053</t>
  </si>
  <si>
    <t>2024/07/GUFFDOE00057</t>
  </si>
  <si>
    <t>2024/07/GUFFNOE00055</t>
  </si>
  <si>
    <t>2024/07/GUFFNOE00056</t>
  </si>
  <si>
    <t>2024/07/GUFFNOE00061</t>
  </si>
  <si>
    <t>2024/07/GUFFNOE00062</t>
  </si>
  <si>
    <t>2024/08/GUFFDOE00067</t>
  </si>
  <si>
    <t>2024/08/GUFFDOE00068</t>
  </si>
  <si>
    <t>2024/08/GUFFDOE00071</t>
  </si>
  <si>
    <t>2024/08/GUFFNOE00069</t>
  </si>
  <si>
    <t>2024/08/GUFFNOE00070</t>
  </si>
  <si>
    <t>2024/09/GUEBPOE00019</t>
  </si>
  <si>
    <t>2024/09/GUFFDOE00074</t>
  </si>
  <si>
    <t>2024/09/GUFFDOE00075</t>
  </si>
  <si>
    <t>2024/09/GUFFDOE00079</t>
  </si>
  <si>
    <t>2024/09/GUFFNOE00078</t>
  </si>
  <si>
    <t>2024/09/GUFFNOE00080</t>
  </si>
  <si>
    <t>2024GUFFDOI00001-3-1</t>
  </si>
  <si>
    <t>LHR/LHR/F/EG/BPV/P/1176/04/2024</t>
  </si>
  <si>
    <t>STL POLICY NO</t>
  </si>
  <si>
    <t>LHR/LHR/F/EG/BPV/P/1177/04/2024</t>
  </si>
  <si>
    <t>LHR/LHR/F/EG/BPV/P/1178/04/2024</t>
  </si>
  <si>
    <t>LHR/LHR/F/FR/D/P/21853/03/2024</t>
  </si>
  <si>
    <t>LHR/LHR/F/FR/D/P/21854/03/2024</t>
  </si>
  <si>
    <t>LHR/LHR/F/FR/ND/P/21852/03/2024</t>
  </si>
  <si>
    <t>LHR/LHR/F/FR/LOP/P/21851/03/2024</t>
  </si>
  <si>
    <t>LHR/LHR/F/FR/D/P/22062/04/2024</t>
  </si>
  <si>
    <t>LHR/LHR/F/FR/ND/P/22059/04/2024</t>
  </si>
  <si>
    <t>LHR/LHR/F/FR/ND/P/22061/04/2024</t>
  </si>
  <si>
    <t>LHR/LHR/F/FR/LOP/P/22060/04/2024</t>
  </si>
  <si>
    <t>LHR/LHR/F/FR/ND/E/10619/09/2024</t>
  </si>
  <si>
    <t>LHR/LHR/F/FR/ND/E/10615/09/2024</t>
  </si>
  <si>
    <t>LHR/LHR/F/FR/ND/E/10616/09/2024</t>
  </si>
  <si>
    <t>LHR/LHR/F/FR/ND/E/10617/09/2024</t>
  </si>
  <si>
    <t>LHR/LHR/F/FR/ND/E/10618/09/2024</t>
  </si>
  <si>
    <t>LHR/LHR/F/FR/D/E/10307/07/2024</t>
  </si>
  <si>
    <t>LHR/LHR/F/FR/ND/P/22063/04/2024</t>
  </si>
  <si>
    <t>LHR/LHR/F/FR/D/E/10768/10/2024</t>
  </si>
  <si>
    <t>LHR/LHR/F/FR/D/E/10769/10/2024</t>
  </si>
  <si>
    <t>LHR/LHR/F/FR/D/E/10770/10/2024</t>
  </si>
  <si>
    <t>LHR/LHR/F/FR/D/E/10772/10/2024</t>
  </si>
  <si>
    <t>LHR/LHR/F/FR/D/E/10773/10/2024</t>
  </si>
  <si>
    <t>LHR/LHR/F/FR/D/E/10774/10/2024</t>
  </si>
  <si>
    <t>LHR/LHR/F/FR/D/E/10792/11/2024</t>
  </si>
  <si>
    <t>LHR/LHR/F/FR/D/E/10795/11/2024</t>
  </si>
  <si>
    <t>LHR/LHR/F/FR/ND/E/10796/11/2024</t>
  </si>
  <si>
    <t>LHR/LHR/F/FR/ND/E/10798/11/2024</t>
  </si>
  <si>
    <t>LHR/LHR/F/FR/ND/E/10791/11/2024</t>
  </si>
  <si>
    <t>LHR/LHR/F/FR/D/E/10804/11/2024</t>
  </si>
  <si>
    <t>LHR/LHR/F/FR/ND/E/10801/11/2024</t>
  </si>
  <si>
    <t>LHR/LHR/F/FR/ND/E/10803/11/2024</t>
  </si>
  <si>
    <t>LHR/LHR/F/FR/D/E/10806/11/2024</t>
  </si>
  <si>
    <t>LHR/LHR/F/FR/ND/E/10805/11/2024</t>
  </si>
  <si>
    <t>LHR/LHR/F/FR/ND/E/10813/11/2024</t>
  </si>
  <si>
    <t>LHR/0220/FR/D/92/1589/11/2024</t>
  </si>
  <si>
    <t>-04-2024</t>
  </si>
  <si>
    <t>-03-2024</t>
  </si>
  <si>
    <t>-07-2024</t>
  </si>
  <si>
    <t>-11-2024</t>
  </si>
  <si>
    <t>-09-2024</t>
  </si>
  <si>
    <t>-10-2024</t>
  </si>
  <si>
    <t xml:space="preserve">   </t>
  </si>
  <si>
    <t>FUNC_ASSORTED_STRING(IA.ASSORTED_CODE)</t>
  </si>
  <si>
    <t>ASSORTED_CODE</t>
  </si>
  <si>
    <t>AGENCY_CODE</t>
  </si>
  <si>
    <t>KHI/HO/D/MO/PD COMP/R/71176/04/2024</t>
  </si>
  <si>
    <t>080000156893</t>
  </si>
  <si>
    <t>09000221</t>
  </si>
  <si>
    <t>040000169361</t>
  </si>
  <si>
    <t>09000397</t>
  </si>
  <si>
    <t>040000169362</t>
  </si>
  <si>
    <t>040000169359</t>
  </si>
  <si>
    <t>040000170923</t>
  </si>
  <si>
    <t>040000170889</t>
  </si>
  <si>
    <t>SKT/SKT/D/MO/PC COMP/R/71177/04/2024</t>
  </si>
  <si>
    <t>080000157146</t>
  </si>
  <si>
    <t>09000350</t>
  </si>
  <si>
    <t>SKT/SKT/D/MO/PC COMP/R/71178/04/2024</t>
  </si>
  <si>
    <t>080000157147</t>
  </si>
  <si>
    <t>040000171025</t>
  </si>
  <si>
    <t>040000170892</t>
  </si>
  <si>
    <t>040000170920</t>
  </si>
  <si>
    <t>040000169360</t>
  </si>
  <si>
    <t>040000170918</t>
  </si>
  <si>
    <t>040000171031</t>
  </si>
  <si>
    <t>KHI/HO/D/MO/PC COMP/E/41178/04/2024</t>
  </si>
  <si>
    <t>050000739769</t>
  </si>
  <si>
    <t>KHI/HO/D/MO/PC COMP/E/41177/04/2024</t>
  </si>
  <si>
    <t>050000739740</t>
  </si>
  <si>
    <t>040000171029</t>
  </si>
  <si>
    <t>KHI/HO/D/MO/PD COMP/E/41176/04/2024</t>
  </si>
  <si>
    <t>050000739734</t>
  </si>
  <si>
    <t>09000210</t>
  </si>
  <si>
    <t>050000816029</t>
  </si>
  <si>
    <t>050000816060</t>
  </si>
  <si>
    <t>050000816047</t>
  </si>
  <si>
    <t>050000788834</t>
  </si>
  <si>
    <t>050000764457</t>
  </si>
  <si>
    <t>050000788836</t>
  </si>
  <si>
    <t>050000788846</t>
  </si>
  <si>
    <t>050000816064</t>
  </si>
  <si>
    <t>050000816013</t>
  </si>
  <si>
    <t>050000788833</t>
  </si>
  <si>
    <t>050000816022</t>
  </si>
  <si>
    <t>050000788843</t>
  </si>
  <si>
    <t>050000822555</t>
  </si>
  <si>
    <t>050000821705</t>
  </si>
  <si>
    <t>050000821973</t>
  </si>
  <si>
    <t>050000821946</t>
  </si>
  <si>
    <t>050000822545</t>
  </si>
  <si>
    <t>050000822543</t>
  </si>
  <si>
    <t>050000822548</t>
  </si>
  <si>
    <t>050000822394</t>
  </si>
  <si>
    <t>050000821466</t>
  </si>
  <si>
    <t>050000821691</t>
  </si>
  <si>
    <t>050000821459</t>
  </si>
  <si>
    <t>POLICY NO.</t>
  </si>
  <si>
    <t>Assorted_code</t>
  </si>
  <si>
    <t>Premium</t>
  </si>
  <si>
    <t>07Nov240059</t>
  </si>
  <si>
    <t>Commission</t>
  </si>
  <si>
    <t>-2019</t>
  </si>
  <si>
    <t>-10</t>
  </si>
  <si>
    <t>-113</t>
  </si>
  <si>
    <t>-416</t>
  </si>
  <si>
    <t>-4455</t>
  </si>
  <si>
    <t>-1377</t>
  </si>
  <si>
    <t>-26624</t>
  </si>
  <si>
    <t>-116</t>
  </si>
  <si>
    <t>-5424</t>
  </si>
  <si>
    <t>-527</t>
  </si>
  <si>
    <t>-4102</t>
  </si>
  <si>
    <t>-1991</t>
  </si>
  <si>
    <t>-833</t>
  </si>
  <si>
    <t>-51</t>
  </si>
  <si>
    <t>-1336</t>
  </si>
  <si>
    <t>-1237</t>
  </si>
  <si>
    <t>-270</t>
  </si>
  <si>
    <t>-40</t>
  </si>
  <si>
    <t>-425</t>
  </si>
  <si>
    <t>-98</t>
  </si>
  <si>
    <t>-85</t>
  </si>
  <si>
    <t>-1</t>
  </si>
  <si>
    <t>-31</t>
  </si>
  <si>
    <t>-600</t>
  </si>
  <si>
    <t>-96</t>
  </si>
  <si>
    <t>-616</t>
  </si>
  <si>
    <t>-68</t>
  </si>
  <si>
    <t>-245</t>
  </si>
  <si>
    <t>-27</t>
  </si>
  <si>
    <t>(2019)</t>
  </si>
  <si>
    <t>(10)</t>
  </si>
  <si>
    <t>(113)</t>
  </si>
  <si>
    <t>(416)</t>
  </si>
  <si>
    <t>(4455)</t>
  </si>
  <si>
    <t>(1377)</t>
  </si>
  <si>
    <t>(26624)</t>
  </si>
  <si>
    <t>(116)</t>
  </si>
  <si>
    <t>(5424)</t>
  </si>
  <si>
    <t>(527)</t>
  </si>
  <si>
    <t>(4102)</t>
  </si>
  <si>
    <t>(1991)</t>
  </si>
  <si>
    <t>(833)</t>
  </si>
  <si>
    <t>(51)</t>
  </si>
  <si>
    <t>(1336)</t>
  </si>
  <si>
    <t>(1237)</t>
  </si>
  <si>
    <t>(270)</t>
  </si>
  <si>
    <t>(40)</t>
  </si>
  <si>
    <t>(425)</t>
  </si>
  <si>
    <t>(98)</t>
  </si>
  <si>
    <t>(85)</t>
  </si>
  <si>
    <t>(1)</t>
  </si>
  <si>
    <t>(31)</t>
  </si>
  <si>
    <t>(600)</t>
  </si>
  <si>
    <t>(96)</t>
  </si>
  <si>
    <t>(616)</t>
  </si>
  <si>
    <t>(1223)</t>
  </si>
  <si>
    <t>(68)</t>
  </si>
  <si>
    <t>(245)</t>
  </si>
  <si>
    <t>(27)</t>
  </si>
  <si>
    <t>-1223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</si>
</sst>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409]d\-mmm\-yy;@"/>
    <numFmt numFmtId="166" formatCode="_(* #,##0_);_(* \(#,##0\);_(* &quot;-&quot;??_);_(@_)"/>
    <numFmt numFmtId="167" formatCode="\ dd\/mm\/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9">
    <xf numFmtId="0" fontId="0" fillId="0" borderId="0" xfId="0"/>
    <xf numFmtId="164" fontId="3" fillId="0" borderId="1" xfId="2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166" fontId="3" fillId="0" borderId="1" xfId="1" applyNumberFormat="1" applyFont="1" applyFill="1" applyBorder="1" applyAlignment="1">
      <alignment horizontal="center" vertical="center" wrapText="1"/>
    </xf>
    <xf numFmtId="164" fontId="3" fillId="2" borderId="2" xfId="2" applyFont="1" applyFill="1" applyBorder="1" applyAlignment="1">
      <alignment horizontal="center" vertical="center" wrapText="1"/>
    </xf>
    <xf numFmtId="164" fontId="3" fillId="2" borderId="3" xfId="2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166" fontId="4" fillId="0" borderId="0" xfId="1" applyNumberFormat="1" applyFont="1" applyFill="1" applyAlignment="1">
      <alignment vertical="top"/>
    </xf>
    <xf numFmtId="166" fontId="6" fillId="0" borderId="0" xfId="1" applyNumberFormat="1" applyFont="1" applyFill="1" applyAlignment="1">
      <alignment vertical="top"/>
    </xf>
    <xf numFmtId="0" fontId="4" fillId="0" borderId="0" xfId="0" applyFont="1" applyAlignment="1">
      <alignment vertical="top" wrapText="1"/>
    </xf>
    <xf numFmtId="167" fontId="4" fillId="0" borderId="0" xfId="0" applyNumberFormat="1" applyFont="1" applyAlignment="1">
      <alignment vertical="top"/>
    </xf>
    <xf numFmtId="0" fontId="5" fillId="0" borderId="0" xfId="0" applyFont="1"/>
    <xf numFmtId="166" fontId="6" fillId="3" borderId="0" xfId="1" applyNumberFormat="1" applyFont="1" applyFill="1" applyAlignment="1">
      <alignment vertical="top"/>
    </xf>
    <xf numFmtId="166" fontId="3" fillId="4" borderId="1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9" fillId="0" borderId="0" xfId="0" applyFont="1"/>
    <xf numFmtId="0" fontId="0" fillId="0" borderId="0" xfId="0" applyAlignment="1">
      <alignment vertical="top"/>
    </xf>
    <xf numFmtId="166" fontId="10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66" fontId="0" fillId="0" borderId="0" xfId="0" applyNumberFormat="1"/>
    <xf numFmtId="0" fontId="11" fillId="0" borderId="0" xfId="0" applyFont="1" applyAlignment="1">
      <alignment vertical="top"/>
    </xf>
    <xf numFmtId="164" fontId="0" fillId="0" borderId="4" xfId="1" applyFont="1" applyBorder="1" applyAlignment="1">
      <alignment horizontal="center" vertical="top"/>
    </xf>
    <xf numFmtId="164" fontId="2" fillId="0" borderId="4" xfId="1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166" fontId="5" fillId="0" borderId="0" xfId="0" applyNumberFormat="1" applyFont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7" fillId="0" borderId="4" xfId="0" applyNumberFormat="1" applyFont="1" applyBorder="1"/>
    <xf numFmtId="2" fontId="0" fillId="0" borderId="0" xfId="0" applyNumberFormat="1"/>
    <xf numFmtId="166" fontId="4" fillId="4" borderId="0" xfId="1" applyNumberFormat="1" applyFont="1" applyFill="1" applyAlignment="1">
      <alignment horizontal="right" vertical="top"/>
    </xf>
  </cellXfs>
  <cellStyles count="3">
    <cellStyle name="Comma" xfId="1" builtinId="3"/>
    <cellStyle name="Comma 2" xfId="2" xr:uid="{00000000-0005-0000-0000-000001000000}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opLeftCell="L30" workbookViewId="0">
      <selection activeCell="Y2" sqref="Y2:Y45"/>
    </sheetView>
  </sheetViews>
  <sheetFormatPr defaultRowHeight="15" x14ac:dyDescent="0.25"/>
  <cols>
    <col min="1" max="2" width="0" hidden="1" customWidth="1"/>
    <col min="3" max="3" width="21.140625" hidden="1" customWidth="1"/>
    <col min="4" max="4" width="0" hidden="1" customWidth="1"/>
    <col min="5" max="5" width="20.28515625" hidden="1" customWidth="1"/>
    <col min="6" max="6" width="10.140625" hidden="1" customWidth="1"/>
    <col min="7" max="7" width="0" hidden="1" customWidth="1"/>
    <col min="8" max="8" width="11" hidden="1" customWidth="1"/>
    <col min="9" max="9" width="17.28515625" hidden="1" customWidth="1"/>
    <col min="10" max="10" width="75.85546875" customWidth="1"/>
    <col min="11" max="11" width="11" bestFit="1" customWidth="1"/>
    <col min="12" max="12" width="30.5703125" bestFit="1" customWidth="1"/>
    <col min="14" max="14" width="18.140625" bestFit="1" customWidth="1"/>
    <col min="15" max="15" width="10.85546875" bestFit="1" customWidth="1"/>
    <col min="16" max="16" width="9.28515625" bestFit="1" customWidth="1"/>
    <col min="17" max="19" width="10" bestFit="1" customWidth="1"/>
    <col min="20" max="22" width="9.28515625" bestFit="1" customWidth="1"/>
    <col min="23" max="23" width="10" bestFit="1" customWidth="1"/>
    <col min="25" max="25" width="9.140625" style="33"/>
  </cols>
  <sheetData>
    <row r="1" spans="1:25" ht="34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3" t="s">
        <v>15</v>
      </c>
      <c r="R1" s="3" t="s">
        <v>15</v>
      </c>
      <c r="S1" s="15" t="s">
        <v>16</v>
      </c>
      <c r="T1" s="3" t="s">
        <v>17</v>
      </c>
      <c r="U1" s="15" t="s">
        <v>18</v>
      </c>
      <c r="V1" s="15" t="s">
        <v>19</v>
      </c>
      <c r="W1" s="3" t="s">
        <v>20</v>
      </c>
    </row>
    <row r="2" spans="1:25" s="13" customFormat="1" ht="15.75" customHeight="1" thickTop="1" x14ac:dyDescent="0.2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/>
      <c r="H2" s="6" t="s">
        <v>27</v>
      </c>
      <c r="I2" s="6" t="s">
        <v>28</v>
      </c>
      <c r="J2" s="7" t="s">
        <v>98</v>
      </c>
      <c r="K2" s="6" t="s">
        <v>29</v>
      </c>
      <c r="L2" s="6" t="s">
        <v>30</v>
      </c>
      <c r="M2" s="6"/>
      <c r="N2" s="6" t="s">
        <v>31</v>
      </c>
      <c r="O2" s="6"/>
      <c r="P2" s="8">
        <v>45322</v>
      </c>
      <c r="Q2" s="9">
        <v>80760</v>
      </c>
      <c r="R2" s="9">
        <v>94483</v>
      </c>
      <c r="S2" s="9">
        <v>94483</v>
      </c>
      <c r="T2" s="9">
        <v>0</v>
      </c>
      <c r="U2" s="9">
        <v>2019</v>
      </c>
      <c r="V2" s="9">
        <v>12111</v>
      </c>
      <c r="W2" s="10">
        <v>80353</v>
      </c>
      <c r="X2" s="13" t="s">
        <v>201</v>
      </c>
      <c r="Y2" s="34" t="s">
        <v>230</v>
      </c>
    </row>
    <row r="3" spans="1:25" s="13" customFormat="1" ht="12.75" x14ac:dyDescent="0.2">
      <c r="A3" s="6" t="s">
        <v>21</v>
      </c>
      <c r="B3" s="6" t="s">
        <v>22</v>
      </c>
      <c r="C3" s="6" t="s">
        <v>32</v>
      </c>
      <c r="D3" s="6" t="s">
        <v>24</v>
      </c>
      <c r="E3" s="6" t="s">
        <v>25</v>
      </c>
      <c r="F3" s="6" t="s">
        <v>26</v>
      </c>
      <c r="G3" s="6"/>
      <c r="H3" s="6" t="s">
        <v>27</v>
      </c>
      <c r="I3" s="6" t="s">
        <v>28</v>
      </c>
      <c r="J3" s="7" t="s">
        <v>100</v>
      </c>
      <c r="K3" s="6" t="s">
        <v>29</v>
      </c>
      <c r="L3" s="6" t="s">
        <v>30</v>
      </c>
      <c r="M3" s="6"/>
      <c r="N3" s="6" t="s">
        <v>33</v>
      </c>
      <c r="O3" s="6"/>
      <c r="P3" s="8">
        <v>45322</v>
      </c>
      <c r="Q3" s="9">
        <v>400</v>
      </c>
      <c r="R3" s="9">
        <v>502</v>
      </c>
      <c r="S3" s="9">
        <v>502</v>
      </c>
      <c r="T3" s="9">
        <v>0</v>
      </c>
      <c r="U3" s="9">
        <v>10</v>
      </c>
      <c r="V3" s="9">
        <v>51</v>
      </c>
      <c r="W3" s="10">
        <v>441</v>
      </c>
      <c r="X3" s="13" t="s">
        <v>202</v>
      </c>
      <c r="Y3" s="34" t="s">
        <v>231</v>
      </c>
    </row>
    <row r="4" spans="1:25" s="13" customFormat="1" ht="12.75" x14ac:dyDescent="0.2">
      <c r="A4" s="6" t="s">
        <v>21</v>
      </c>
      <c r="B4" s="6" t="s">
        <v>22</v>
      </c>
      <c r="C4" s="6" t="s">
        <v>34</v>
      </c>
      <c r="D4" s="6" t="s">
        <v>24</v>
      </c>
      <c r="E4" s="6" t="s">
        <v>25</v>
      </c>
      <c r="F4" s="6" t="s">
        <v>26</v>
      </c>
      <c r="G4" s="6"/>
      <c r="H4" s="6" t="s">
        <v>27</v>
      </c>
      <c r="I4" s="6" t="s">
        <v>28</v>
      </c>
      <c r="J4" s="7" t="s">
        <v>101</v>
      </c>
      <c r="K4" s="6" t="s">
        <v>29</v>
      </c>
      <c r="L4" s="6" t="s">
        <v>30</v>
      </c>
      <c r="M4" s="6"/>
      <c r="N4" s="6" t="s">
        <v>35</v>
      </c>
      <c r="O4" s="6"/>
      <c r="P4" s="8">
        <v>45322</v>
      </c>
      <c r="Q4" s="9">
        <v>4520</v>
      </c>
      <c r="R4" s="9">
        <v>5298</v>
      </c>
      <c r="S4" s="9">
        <v>5298</v>
      </c>
      <c r="T4" s="9">
        <v>0</v>
      </c>
      <c r="U4" s="9">
        <v>113</v>
      </c>
      <c r="V4" s="9">
        <v>564</v>
      </c>
      <c r="W4" s="10">
        <v>4621</v>
      </c>
      <c r="X4" s="13" t="s">
        <v>203</v>
      </c>
      <c r="Y4" s="34" t="s">
        <v>232</v>
      </c>
    </row>
    <row r="5" spans="1:25" s="13" customFormat="1" ht="12.75" x14ac:dyDescent="0.2">
      <c r="A5" s="6" t="s">
        <v>21</v>
      </c>
      <c r="B5" s="6" t="s">
        <v>22</v>
      </c>
      <c r="C5" s="6" t="s">
        <v>36</v>
      </c>
      <c r="D5" s="6" t="s">
        <v>37</v>
      </c>
      <c r="E5" s="6" t="s">
        <v>38</v>
      </c>
      <c r="F5" s="6" t="s">
        <v>39</v>
      </c>
      <c r="G5" s="6"/>
      <c r="H5" s="6" t="s">
        <v>27</v>
      </c>
      <c r="I5" s="6" t="s">
        <v>28</v>
      </c>
      <c r="J5" s="7" t="s">
        <v>102</v>
      </c>
      <c r="K5" s="6" t="s">
        <v>29</v>
      </c>
      <c r="L5" s="6" t="s">
        <v>30</v>
      </c>
      <c r="M5" s="6"/>
      <c r="N5" s="6" t="s">
        <v>40</v>
      </c>
      <c r="O5" s="6"/>
      <c r="P5" s="8">
        <v>45320</v>
      </c>
      <c r="Q5" s="9">
        <v>16640</v>
      </c>
      <c r="R5" s="9">
        <v>19503</v>
      </c>
      <c r="S5" s="9">
        <v>19503</v>
      </c>
      <c r="T5" s="9">
        <v>0</v>
      </c>
      <c r="U5" s="9">
        <v>416</v>
      </c>
      <c r="V5" s="9">
        <v>2498</v>
      </c>
      <c r="W5" s="10">
        <v>16589</v>
      </c>
      <c r="X5" s="13" t="s">
        <v>204</v>
      </c>
      <c r="Y5" s="34" t="s">
        <v>233</v>
      </c>
    </row>
    <row r="6" spans="1:25" s="13" customFormat="1" ht="12.75" x14ac:dyDescent="0.2">
      <c r="A6" s="6" t="s">
        <v>21</v>
      </c>
      <c r="B6" s="6" t="s">
        <v>22</v>
      </c>
      <c r="C6" s="6" t="s">
        <v>41</v>
      </c>
      <c r="D6" s="6" t="s">
        <v>37</v>
      </c>
      <c r="E6" s="6" t="s">
        <v>38</v>
      </c>
      <c r="F6" s="6" t="s">
        <v>39</v>
      </c>
      <c r="G6" s="6"/>
      <c r="H6" s="6" t="s">
        <v>27</v>
      </c>
      <c r="I6" s="6" t="s">
        <v>28</v>
      </c>
      <c r="J6" s="7" t="s">
        <v>103</v>
      </c>
      <c r="K6" s="6" t="s">
        <v>29</v>
      </c>
      <c r="L6" s="6" t="s">
        <v>30</v>
      </c>
      <c r="M6" s="6"/>
      <c r="N6" s="6" t="s">
        <v>42</v>
      </c>
      <c r="O6" s="6"/>
      <c r="P6" s="8">
        <v>45320</v>
      </c>
      <c r="Q6" s="9">
        <v>178200</v>
      </c>
      <c r="R6" s="9">
        <v>208516</v>
      </c>
      <c r="S6" s="9">
        <v>208516</v>
      </c>
      <c r="T6" s="9">
        <v>0</v>
      </c>
      <c r="U6" s="9">
        <v>4455</v>
      </c>
      <c r="V6" s="9">
        <v>26731</v>
      </c>
      <c r="W6" s="10">
        <v>177330</v>
      </c>
      <c r="X6" s="13" t="s">
        <v>205</v>
      </c>
      <c r="Y6" s="34" t="s">
        <v>234</v>
      </c>
    </row>
    <row r="7" spans="1:25" s="13" customFormat="1" ht="12.75" x14ac:dyDescent="0.2">
      <c r="A7" s="6" t="s">
        <v>21</v>
      </c>
      <c r="B7" s="6" t="s">
        <v>22</v>
      </c>
      <c r="C7" s="6" t="s">
        <v>43</v>
      </c>
      <c r="D7" s="6" t="s">
        <v>37</v>
      </c>
      <c r="E7" s="6" t="s">
        <v>38</v>
      </c>
      <c r="F7" s="6" t="s">
        <v>39</v>
      </c>
      <c r="G7" s="6"/>
      <c r="H7" s="6" t="s">
        <v>27</v>
      </c>
      <c r="I7" s="6" t="s">
        <v>28</v>
      </c>
      <c r="J7" s="7" t="s">
        <v>106</v>
      </c>
      <c r="K7" s="6" t="s">
        <v>44</v>
      </c>
      <c r="L7" s="6" t="s">
        <v>45</v>
      </c>
      <c r="M7" s="6"/>
      <c r="N7" s="6" t="s">
        <v>46</v>
      </c>
      <c r="O7" s="6"/>
      <c r="P7" s="8">
        <v>45321</v>
      </c>
      <c r="Q7" s="9">
        <v>55080</v>
      </c>
      <c r="R7" s="9">
        <v>64460</v>
      </c>
      <c r="S7" s="9">
        <v>64460</v>
      </c>
      <c r="T7" s="9">
        <v>0</v>
      </c>
      <c r="U7" s="9">
        <v>1377</v>
      </c>
      <c r="V7" s="9">
        <v>8262</v>
      </c>
      <c r="W7" s="10">
        <v>54821</v>
      </c>
      <c r="X7" s="13" t="s">
        <v>206</v>
      </c>
      <c r="Y7" s="34" t="s">
        <v>235</v>
      </c>
    </row>
    <row r="8" spans="1:25" s="13" customFormat="1" ht="12.75" x14ac:dyDescent="0.2">
      <c r="A8" s="6" t="s">
        <v>21</v>
      </c>
      <c r="B8" s="6" t="s">
        <v>22</v>
      </c>
      <c r="C8" s="6" t="s">
        <v>47</v>
      </c>
      <c r="D8" s="6" t="s">
        <v>48</v>
      </c>
      <c r="E8" s="6" t="s">
        <v>49</v>
      </c>
      <c r="F8" s="6" t="s">
        <v>39</v>
      </c>
      <c r="G8" s="6"/>
      <c r="H8" s="6" t="s">
        <v>27</v>
      </c>
      <c r="I8" s="6" t="s">
        <v>28</v>
      </c>
      <c r="J8" s="7" t="s">
        <v>104</v>
      </c>
      <c r="K8" s="6" t="s">
        <v>29</v>
      </c>
      <c r="L8" s="6" t="s">
        <v>30</v>
      </c>
      <c r="M8" s="6"/>
      <c r="N8" s="6" t="s">
        <v>50</v>
      </c>
      <c r="O8" s="6"/>
      <c r="P8" s="8">
        <v>45320</v>
      </c>
      <c r="Q8" s="9">
        <v>1064960</v>
      </c>
      <c r="R8" s="9">
        <v>1245998</v>
      </c>
      <c r="S8" s="9">
        <v>1245998</v>
      </c>
      <c r="T8" s="9">
        <v>0</v>
      </c>
      <c r="U8" s="9">
        <v>26624</v>
      </c>
      <c r="V8" s="9">
        <v>159741</v>
      </c>
      <c r="W8" s="10">
        <v>1059633</v>
      </c>
      <c r="X8" s="13" t="s">
        <v>207</v>
      </c>
      <c r="Y8" s="34" t="s">
        <v>236</v>
      </c>
    </row>
    <row r="9" spans="1:25" s="13" customFormat="1" ht="12.75" x14ac:dyDescent="0.2">
      <c r="A9" s="6" t="s">
        <v>21</v>
      </c>
      <c r="B9" s="6" t="s">
        <v>22</v>
      </c>
      <c r="C9" s="6" t="s">
        <v>51</v>
      </c>
      <c r="D9" s="6" t="s">
        <v>48</v>
      </c>
      <c r="E9" s="6" t="s">
        <v>49</v>
      </c>
      <c r="F9" s="6" t="s">
        <v>39</v>
      </c>
      <c r="G9" s="6"/>
      <c r="H9" s="6" t="s">
        <v>27</v>
      </c>
      <c r="I9" s="6" t="s">
        <v>28</v>
      </c>
      <c r="J9" s="7" t="s">
        <v>107</v>
      </c>
      <c r="K9" s="6" t="s">
        <v>44</v>
      </c>
      <c r="L9" s="6" t="s">
        <v>45</v>
      </c>
      <c r="M9" s="6"/>
      <c r="N9" s="6" t="s">
        <v>52</v>
      </c>
      <c r="O9" s="6"/>
      <c r="P9" s="8">
        <v>45321</v>
      </c>
      <c r="Q9" s="9">
        <v>4640</v>
      </c>
      <c r="R9" s="9">
        <v>5446</v>
      </c>
      <c r="S9" s="9">
        <v>5446</v>
      </c>
      <c r="T9" s="9">
        <v>0</v>
      </c>
      <c r="U9" s="9">
        <v>116</v>
      </c>
      <c r="V9" s="9">
        <v>696</v>
      </c>
      <c r="W9" s="10">
        <v>4634</v>
      </c>
      <c r="X9" s="13" t="s">
        <v>208</v>
      </c>
      <c r="Y9" s="34" t="s">
        <v>237</v>
      </c>
    </row>
    <row r="10" spans="1:25" s="13" customFormat="1" ht="12.75" x14ac:dyDescent="0.2">
      <c r="A10" s="6" t="s">
        <v>21</v>
      </c>
      <c r="B10" s="6" t="s">
        <v>22</v>
      </c>
      <c r="C10" s="6" t="s">
        <v>53</v>
      </c>
      <c r="D10" s="6" t="s">
        <v>48</v>
      </c>
      <c r="E10" s="6" t="s">
        <v>49</v>
      </c>
      <c r="F10" s="6" t="s">
        <v>39</v>
      </c>
      <c r="G10" s="6"/>
      <c r="H10" s="6" t="s">
        <v>27</v>
      </c>
      <c r="I10" s="6" t="s">
        <v>28</v>
      </c>
      <c r="J10" s="7" t="s">
        <v>108</v>
      </c>
      <c r="K10" s="6" t="s">
        <v>44</v>
      </c>
      <c r="L10" s="6" t="s">
        <v>45</v>
      </c>
      <c r="M10" s="6"/>
      <c r="N10" s="6" t="s">
        <v>54</v>
      </c>
      <c r="O10" s="6"/>
      <c r="P10" s="8">
        <v>45321</v>
      </c>
      <c r="Q10" s="9">
        <v>216960</v>
      </c>
      <c r="R10" s="9">
        <v>253846</v>
      </c>
      <c r="S10" s="9">
        <v>253846</v>
      </c>
      <c r="T10" s="9">
        <v>0</v>
      </c>
      <c r="U10" s="9">
        <v>5424</v>
      </c>
      <c r="V10" s="9">
        <v>32542</v>
      </c>
      <c r="W10" s="10">
        <v>215880</v>
      </c>
      <c r="X10" s="13" t="s">
        <v>209</v>
      </c>
      <c r="Y10" s="34" t="s">
        <v>238</v>
      </c>
    </row>
    <row r="11" spans="1:25" s="13" customFormat="1" ht="12.75" x14ac:dyDescent="0.2">
      <c r="A11" s="6" t="s">
        <v>21</v>
      </c>
      <c r="B11" s="6" t="s">
        <v>22</v>
      </c>
      <c r="C11" s="6" t="s">
        <v>55</v>
      </c>
      <c r="D11" s="6" t="s">
        <v>48</v>
      </c>
      <c r="E11" s="6" t="s">
        <v>49</v>
      </c>
      <c r="F11" s="6" t="s">
        <v>39</v>
      </c>
      <c r="G11" s="6"/>
      <c r="H11" s="6" t="s">
        <v>27</v>
      </c>
      <c r="I11" s="6" t="s">
        <v>28</v>
      </c>
      <c r="J11" s="6" t="s">
        <v>116</v>
      </c>
      <c r="K11" s="6" t="s">
        <v>56</v>
      </c>
      <c r="L11" s="6" t="s">
        <v>57</v>
      </c>
      <c r="M11" s="6"/>
      <c r="N11" s="6" t="s">
        <v>58</v>
      </c>
      <c r="O11" s="6"/>
      <c r="P11" s="8">
        <v>45321</v>
      </c>
      <c r="Q11" s="9">
        <v>21080</v>
      </c>
      <c r="R11" s="9">
        <v>24695</v>
      </c>
      <c r="S11" s="9">
        <v>24695</v>
      </c>
      <c r="T11" s="9">
        <v>0</v>
      </c>
      <c r="U11" s="9">
        <v>527</v>
      </c>
      <c r="V11" s="9">
        <v>3164</v>
      </c>
      <c r="W11" s="10">
        <v>21004</v>
      </c>
      <c r="X11" s="13" t="s">
        <v>210</v>
      </c>
      <c r="Y11" s="34" t="s">
        <v>239</v>
      </c>
    </row>
    <row r="12" spans="1:25" s="13" customFormat="1" ht="12.75" x14ac:dyDescent="0.2">
      <c r="A12" s="6" t="s">
        <v>21</v>
      </c>
      <c r="B12" s="6" t="s">
        <v>22</v>
      </c>
      <c r="C12" s="6" t="s">
        <v>59</v>
      </c>
      <c r="D12" s="6" t="s">
        <v>60</v>
      </c>
      <c r="E12" s="6" t="s">
        <v>61</v>
      </c>
      <c r="F12" s="6" t="s">
        <v>39</v>
      </c>
      <c r="G12" s="6"/>
      <c r="H12" s="6" t="s">
        <v>27</v>
      </c>
      <c r="I12" s="6" t="s">
        <v>28</v>
      </c>
      <c r="J12" s="7" t="s">
        <v>105</v>
      </c>
      <c r="K12" s="6" t="s">
        <v>29</v>
      </c>
      <c r="L12" s="6" t="s">
        <v>30</v>
      </c>
      <c r="M12" s="6"/>
      <c r="N12" s="6" t="s">
        <v>62</v>
      </c>
      <c r="O12" s="6"/>
      <c r="P12" s="8">
        <v>45320</v>
      </c>
      <c r="Q12" s="9">
        <v>164080</v>
      </c>
      <c r="R12" s="9">
        <v>192000</v>
      </c>
      <c r="S12" s="9">
        <v>192000</v>
      </c>
      <c r="T12" s="9">
        <v>0</v>
      </c>
      <c r="U12" s="9">
        <v>4102</v>
      </c>
      <c r="V12" s="9">
        <v>24613</v>
      </c>
      <c r="W12" s="10">
        <v>163285</v>
      </c>
      <c r="X12" s="13" t="s">
        <v>211</v>
      </c>
      <c r="Y12" s="34" t="s">
        <v>240</v>
      </c>
    </row>
    <row r="13" spans="1:25" s="13" customFormat="1" ht="12.75" x14ac:dyDescent="0.2">
      <c r="A13" s="6" t="s">
        <v>21</v>
      </c>
      <c r="B13" s="6" t="s">
        <v>22</v>
      </c>
      <c r="C13" s="6" t="s">
        <v>63</v>
      </c>
      <c r="D13" s="6" t="s">
        <v>60</v>
      </c>
      <c r="E13" s="6" t="s">
        <v>61</v>
      </c>
      <c r="F13" s="6" t="s">
        <v>39</v>
      </c>
      <c r="G13" s="6"/>
      <c r="H13" s="6" t="s">
        <v>27</v>
      </c>
      <c r="I13" s="6" t="s">
        <v>28</v>
      </c>
      <c r="J13" s="7" t="s">
        <v>109</v>
      </c>
      <c r="K13" s="6" t="s">
        <v>44</v>
      </c>
      <c r="L13" s="6" t="s">
        <v>45</v>
      </c>
      <c r="M13" s="6"/>
      <c r="N13" s="6" t="s">
        <v>64</v>
      </c>
      <c r="O13" s="6"/>
      <c r="P13" s="8">
        <v>45321</v>
      </c>
      <c r="Q13" s="9">
        <v>79640</v>
      </c>
      <c r="R13" s="9">
        <v>93206</v>
      </c>
      <c r="S13" s="9">
        <v>93206</v>
      </c>
      <c r="T13" s="9">
        <v>0</v>
      </c>
      <c r="U13" s="9">
        <v>1991</v>
      </c>
      <c r="V13" s="9">
        <v>11947</v>
      </c>
      <c r="W13" s="10">
        <v>79268</v>
      </c>
      <c r="X13" s="13" t="s">
        <v>212</v>
      </c>
      <c r="Y13" s="34" t="s">
        <v>241</v>
      </c>
    </row>
    <row r="14" spans="1:25" s="13" customFormat="1" ht="12.75" x14ac:dyDescent="0.2">
      <c r="A14" s="6" t="s">
        <v>21</v>
      </c>
      <c r="B14" s="6" t="s">
        <v>22</v>
      </c>
      <c r="C14" s="6" t="s">
        <v>65</v>
      </c>
      <c r="D14" s="6" t="s">
        <v>37</v>
      </c>
      <c r="E14" s="6" t="s">
        <v>38</v>
      </c>
      <c r="F14" s="6" t="s">
        <v>39</v>
      </c>
      <c r="G14" s="6"/>
      <c r="H14" s="6" t="s">
        <v>27</v>
      </c>
      <c r="I14" s="6" t="s">
        <v>28</v>
      </c>
      <c r="J14" s="7" t="s">
        <v>102</v>
      </c>
      <c r="K14" s="6" t="s">
        <v>29</v>
      </c>
      <c r="L14" s="6" t="s">
        <v>30</v>
      </c>
      <c r="M14" s="6"/>
      <c r="N14" s="6" t="s">
        <v>36</v>
      </c>
      <c r="O14" s="6"/>
      <c r="P14" s="8">
        <v>45411</v>
      </c>
      <c r="Q14" s="9">
        <v>33320</v>
      </c>
      <c r="R14" s="9">
        <v>39111</v>
      </c>
      <c r="S14" s="9">
        <v>39111</v>
      </c>
      <c r="T14" s="9">
        <v>0</v>
      </c>
      <c r="U14" s="9">
        <v>833</v>
      </c>
      <c r="V14" s="9">
        <v>5001</v>
      </c>
      <c r="W14" s="10">
        <v>33277</v>
      </c>
      <c r="X14" s="13" t="s">
        <v>213</v>
      </c>
      <c r="Y14" s="34" t="s">
        <v>242</v>
      </c>
    </row>
    <row r="15" spans="1:25" s="13" customFormat="1" ht="12.75" x14ac:dyDescent="0.2">
      <c r="A15" s="6" t="s">
        <v>21</v>
      </c>
      <c r="B15" s="6" t="s">
        <v>22</v>
      </c>
      <c r="C15" s="6" t="s">
        <v>66</v>
      </c>
      <c r="D15" s="6" t="s">
        <v>48</v>
      </c>
      <c r="E15" s="6" t="s">
        <v>49</v>
      </c>
      <c r="F15" s="6" t="s">
        <v>39</v>
      </c>
      <c r="G15" s="6"/>
      <c r="H15" s="6" t="s">
        <v>27</v>
      </c>
      <c r="I15" s="6" t="s">
        <v>28</v>
      </c>
      <c r="J15" s="7" t="s">
        <v>108</v>
      </c>
      <c r="K15" s="6" t="s">
        <v>44</v>
      </c>
      <c r="L15" s="6" t="s">
        <v>45</v>
      </c>
      <c r="M15" s="6"/>
      <c r="N15" s="6" t="s">
        <v>53</v>
      </c>
      <c r="O15" s="6"/>
      <c r="P15" s="8">
        <v>45407</v>
      </c>
      <c r="Q15" s="9">
        <v>2040</v>
      </c>
      <c r="R15" s="9">
        <v>2485</v>
      </c>
      <c r="S15" s="9">
        <v>2485</v>
      </c>
      <c r="T15" s="9">
        <v>0</v>
      </c>
      <c r="U15" s="9">
        <v>51</v>
      </c>
      <c r="V15" s="9">
        <v>305</v>
      </c>
      <c r="W15" s="10">
        <v>2129</v>
      </c>
      <c r="X15" s="13" t="s">
        <v>214</v>
      </c>
      <c r="Y15" s="34" t="s">
        <v>243</v>
      </c>
    </row>
    <row r="16" spans="1:25" s="13" customFormat="1" ht="12.75" x14ac:dyDescent="0.2">
      <c r="A16" s="6" t="s">
        <v>21</v>
      </c>
      <c r="B16" s="6" t="s">
        <v>22</v>
      </c>
      <c r="C16" s="6" t="s">
        <v>67</v>
      </c>
      <c r="D16" s="6" t="s">
        <v>48</v>
      </c>
      <c r="E16" s="6" t="s">
        <v>49</v>
      </c>
      <c r="F16" s="6" t="s">
        <v>39</v>
      </c>
      <c r="G16" s="6"/>
      <c r="H16" s="6" t="s">
        <v>27</v>
      </c>
      <c r="I16" s="6" t="s">
        <v>28</v>
      </c>
      <c r="J16" s="7" t="s">
        <v>104</v>
      </c>
      <c r="K16" s="6" t="s">
        <v>29</v>
      </c>
      <c r="L16" s="6" t="s">
        <v>30</v>
      </c>
      <c r="M16" s="6"/>
      <c r="N16" s="6" t="s">
        <v>47</v>
      </c>
      <c r="O16" s="6"/>
      <c r="P16" s="8">
        <v>45412</v>
      </c>
      <c r="Q16" s="9">
        <v>53440</v>
      </c>
      <c r="R16" s="9">
        <v>62654</v>
      </c>
      <c r="S16" s="9">
        <v>62654</v>
      </c>
      <c r="T16" s="9">
        <v>0</v>
      </c>
      <c r="U16" s="9">
        <v>1336</v>
      </c>
      <c r="V16" s="9">
        <v>8019</v>
      </c>
      <c r="W16" s="10">
        <v>53299</v>
      </c>
      <c r="X16" s="13" t="s">
        <v>215</v>
      </c>
      <c r="Y16" s="34" t="s">
        <v>244</v>
      </c>
    </row>
    <row r="17" spans="1:25" s="13" customFormat="1" ht="12.75" x14ac:dyDescent="0.2">
      <c r="A17" s="6" t="s">
        <v>21</v>
      </c>
      <c r="B17" s="6" t="s">
        <v>22</v>
      </c>
      <c r="C17" s="6" t="s">
        <v>68</v>
      </c>
      <c r="D17" s="6" t="s">
        <v>37</v>
      </c>
      <c r="E17" s="6" t="s">
        <v>38</v>
      </c>
      <c r="F17" s="6" t="s">
        <v>39</v>
      </c>
      <c r="G17" s="6"/>
      <c r="H17" s="6" t="s">
        <v>27</v>
      </c>
      <c r="I17" s="6" t="s">
        <v>28</v>
      </c>
      <c r="J17" s="7" t="s">
        <v>102</v>
      </c>
      <c r="K17" s="6" t="s">
        <v>29</v>
      </c>
      <c r="L17" s="6" t="s">
        <v>30</v>
      </c>
      <c r="M17" s="6"/>
      <c r="N17" s="6" t="s">
        <v>36</v>
      </c>
      <c r="O17" s="6"/>
      <c r="P17" s="8">
        <v>45444</v>
      </c>
      <c r="Q17" s="9">
        <v>49480</v>
      </c>
      <c r="R17" s="9">
        <v>57894</v>
      </c>
      <c r="S17" s="9">
        <v>57894</v>
      </c>
      <c r="T17" s="9">
        <v>0</v>
      </c>
      <c r="U17" s="9">
        <v>1237</v>
      </c>
      <c r="V17" s="9">
        <v>7422</v>
      </c>
      <c r="W17" s="10">
        <v>49235</v>
      </c>
      <c r="X17" s="13" t="s">
        <v>216</v>
      </c>
      <c r="Y17" s="34" t="s">
        <v>245</v>
      </c>
    </row>
    <row r="18" spans="1:25" s="13" customFormat="1" ht="12.75" x14ac:dyDescent="0.2">
      <c r="A18" s="6" t="s">
        <v>21</v>
      </c>
      <c r="B18" s="6" t="s">
        <v>22</v>
      </c>
      <c r="C18" s="6" t="s">
        <v>69</v>
      </c>
      <c r="D18" s="6" t="s">
        <v>37</v>
      </c>
      <c r="E18" s="6" t="s">
        <v>38</v>
      </c>
      <c r="F18" s="6" t="s">
        <v>39</v>
      </c>
      <c r="G18" s="6"/>
      <c r="H18" s="6" t="s">
        <v>27</v>
      </c>
      <c r="I18" s="6" t="s">
        <v>28</v>
      </c>
      <c r="J18" s="7" t="s">
        <v>103</v>
      </c>
      <c r="K18" s="6" t="s">
        <v>29</v>
      </c>
      <c r="L18" s="6" t="s">
        <v>30</v>
      </c>
      <c r="M18" s="6"/>
      <c r="N18" s="6" t="s">
        <v>41</v>
      </c>
      <c r="O18" s="6"/>
      <c r="P18" s="8">
        <v>45444</v>
      </c>
      <c r="Q18" s="9">
        <v>-61800</v>
      </c>
      <c r="R18" s="9">
        <v>-62432</v>
      </c>
      <c r="S18" s="9">
        <v>-62432</v>
      </c>
      <c r="T18" s="9">
        <v>0</v>
      </c>
      <c r="U18" s="9">
        <v>-1545</v>
      </c>
      <c r="V18" s="9">
        <v>-9272</v>
      </c>
      <c r="W18" s="10">
        <v>-51615</v>
      </c>
      <c r="X18" s="32">
        <v>1545</v>
      </c>
      <c r="Y18" s="35">
        <v>1545</v>
      </c>
    </row>
    <row r="19" spans="1:25" s="13" customFormat="1" ht="12.75" x14ac:dyDescent="0.2">
      <c r="A19" s="6" t="s">
        <v>21</v>
      </c>
      <c r="B19" s="6" t="s">
        <v>22</v>
      </c>
      <c r="C19" s="6" t="s">
        <v>70</v>
      </c>
      <c r="D19" s="6" t="s">
        <v>37</v>
      </c>
      <c r="E19" s="6" t="s">
        <v>38</v>
      </c>
      <c r="F19" s="6" t="s">
        <v>39</v>
      </c>
      <c r="G19" s="6"/>
      <c r="H19" s="6" t="s">
        <v>27</v>
      </c>
      <c r="I19" s="6" t="s">
        <v>28</v>
      </c>
      <c r="J19" s="7" t="s">
        <v>106</v>
      </c>
      <c r="K19" s="6" t="s">
        <v>44</v>
      </c>
      <c r="L19" s="6" t="s">
        <v>45</v>
      </c>
      <c r="M19" s="6"/>
      <c r="N19" s="6" t="s">
        <v>43</v>
      </c>
      <c r="O19" s="6"/>
      <c r="P19" s="8">
        <v>45448</v>
      </c>
      <c r="Q19" s="9">
        <v>-6040</v>
      </c>
      <c r="R19" s="9">
        <v>-6085</v>
      </c>
      <c r="S19" s="9">
        <v>-6085</v>
      </c>
      <c r="T19" s="9">
        <v>0</v>
      </c>
      <c r="U19" s="9">
        <v>-151</v>
      </c>
      <c r="V19" s="9">
        <v>-904</v>
      </c>
      <c r="W19" s="10">
        <v>-5030</v>
      </c>
      <c r="X19" s="13">
        <v>151</v>
      </c>
      <c r="Y19" s="34">
        <v>151</v>
      </c>
    </row>
    <row r="20" spans="1:25" s="13" customFormat="1" ht="12.75" x14ac:dyDescent="0.2">
      <c r="A20" s="6" t="s">
        <v>21</v>
      </c>
      <c r="B20" s="6" t="s">
        <v>22</v>
      </c>
      <c r="C20" s="6" t="s">
        <v>71</v>
      </c>
      <c r="D20" s="6" t="s">
        <v>37</v>
      </c>
      <c r="E20" s="6" t="s">
        <v>38</v>
      </c>
      <c r="F20" s="6" t="s">
        <v>39</v>
      </c>
      <c r="G20" s="6"/>
      <c r="H20" s="6" t="s">
        <v>27</v>
      </c>
      <c r="I20" s="6" t="s">
        <v>28</v>
      </c>
      <c r="J20" s="6" t="s">
        <v>115</v>
      </c>
      <c r="K20" s="6" t="s">
        <v>29</v>
      </c>
      <c r="L20" s="6" t="s">
        <v>30</v>
      </c>
      <c r="M20" s="6"/>
      <c r="N20" s="6" t="s">
        <v>36</v>
      </c>
      <c r="O20" s="6"/>
      <c r="P20" s="8">
        <v>45450</v>
      </c>
      <c r="Q20" s="9">
        <v>10800</v>
      </c>
      <c r="R20" s="9">
        <v>12641</v>
      </c>
      <c r="S20" s="9">
        <v>12641</v>
      </c>
      <c r="T20" s="9">
        <v>0</v>
      </c>
      <c r="U20" s="9">
        <v>270</v>
      </c>
      <c r="V20" s="9">
        <v>1621</v>
      </c>
      <c r="W20" s="10">
        <v>10750</v>
      </c>
      <c r="X20" s="13" t="s">
        <v>217</v>
      </c>
      <c r="Y20" s="34" t="s">
        <v>246</v>
      </c>
    </row>
    <row r="21" spans="1:25" s="13" customFormat="1" ht="12.75" x14ac:dyDescent="0.2">
      <c r="A21" s="6" t="s">
        <v>21</v>
      </c>
      <c r="B21" s="6" t="s">
        <v>22</v>
      </c>
      <c r="C21" s="6" t="s">
        <v>72</v>
      </c>
      <c r="D21" s="6" t="s">
        <v>37</v>
      </c>
      <c r="E21" s="6" t="s">
        <v>38</v>
      </c>
      <c r="F21" s="6" t="s">
        <v>39</v>
      </c>
      <c r="G21" s="6"/>
      <c r="H21" s="6" t="s">
        <v>27</v>
      </c>
      <c r="I21" s="6" t="s">
        <v>28</v>
      </c>
      <c r="J21" s="7" t="s">
        <v>103</v>
      </c>
      <c r="K21" s="6" t="s">
        <v>29</v>
      </c>
      <c r="L21" s="6" t="s">
        <v>30</v>
      </c>
      <c r="M21" s="6"/>
      <c r="N21" s="6" t="s">
        <v>41</v>
      </c>
      <c r="O21" s="6"/>
      <c r="P21" s="8">
        <v>45450</v>
      </c>
      <c r="Q21" s="9">
        <v>-160040</v>
      </c>
      <c r="R21" s="9">
        <v>-161648</v>
      </c>
      <c r="S21" s="9">
        <v>-161648</v>
      </c>
      <c r="T21" s="9">
        <v>0</v>
      </c>
      <c r="U21" s="9">
        <v>-4001</v>
      </c>
      <c r="V21" s="9">
        <v>-24007</v>
      </c>
      <c r="W21" s="10">
        <v>-133640</v>
      </c>
      <c r="X21" s="13">
        <v>4001</v>
      </c>
      <c r="Y21" s="34">
        <v>4001</v>
      </c>
    </row>
    <row r="22" spans="1:25" s="13" customFormat="1" ht="12.75" x14ac:dyDescent="0.2">
      <c r="A22" s="6" t="s">
        <v>21</v>
      </c>
      <c r="B22" s="6" t="s">
        <v>22</v>
      </c>
      <c r="C22" s="6" t="s">
        <v>73</v>
      </c>
      <c r="D22" s="6" t="s">
        <v>37</v>
      </c>
      <c r="E22" s="6" t="s">
        <v>38</v>
      </c>
      <c r="F22" s="6" t="s">
        <v>39</v>
      </c>
      <c r="G22" s="6"/>
      <c r="H22" s="6" t="s">
        <v>27</v>
      </c>
      <c r="I22" s="6" t="s">
        <v>28</v>
      </c>
      <c r="J22" s="6" t="s">
        <v>123</v>
      </c>
      <c r="K22" s="6" t="s">
        <v>44</v>
      </c>
      <c r="L22" s="6" t="s">
        <v>45</v>
      </c>
      <c r="M22" s="6"/>
      <c r="N22" s="6" t="s">
        <v>43</v>
      </c>
      <c r="O22" s="6"/>
      <c r="P22" s="8">
        <v>45471</v>
      </c>
      <c r="Q22" s="9">
        <v>10800</v>
      </c>
      <c r="R22" s="9">
        <v>12634</v>
      </c>
      <c r="S22" s="9">
        <v>12634</v>
      </c>
      <c r="T22" s="9">
        <v>0</v>
      </c>
      <c r="U22" s="9">
        <v>270</v>
      </c>
      <c r="V22" s="9">
        <v>1620</v>
      </c>
      <c r="W22" s="10">
        <v>10744</v>
      </c>
      <c r="X22" s="13" t="s">
        <v>217</v>
      </c>
      <c r="Y22" s="34" t="s">
        <v>246</v>
      </c>
    </row>
    <row r="23" spans="1:25" s="13" customFormat="1" ht="12.75" x14ac:dyDescent="0.2">
      <c r="A23" s="6" t="s">
        <v>21</v>
      </c>
      <c r="B23" s="6" t="s">
        <v>22</v>
      </c>
      <c r="C23" s="6" t="s">
        <v>74</v>
      </c>
      <c r="D23" s="6" t="s">
        <v>48</v>
      </c>
      <c r="E23" s="6" t="s">
        <v>49</v>
      </c>
      <c r="F23" s="6" t="s">
        <v>39</v>
      </c>
      <c r="G23" s="6"/>
      <c r="H23" s="6" t="s">
        <v>27</v>
      </c>
      <c r="I23" s="6" t="s">
        <v>28</v>
      </c>
      <c r="J23" s="7" t="s">
        <v>110</v>
      </c>
      <c r="K23" s="6" t="s">
        <v>44</v>
      </c>
      <c r="L23" s="6" t="s">
        <v>45</v>
      </c>
      <c r="M23" s="6"/>
      <c r="N23" s="6" t="s">
        <v>51</v>
      </c>
      <c r="O23" s="6"/>
      <c r="P23" s="8">
        <v>45448</v>
      </c>
      <c r="Q23" s="9">
        <v>1600</v>
      </c>
      <c r="R23" s="9">
        <v>1886</v>
      </c>
      <c r="S23" s="9">
        <v>1886</v>
      </c>
      <c r="T23" s="9">
        <v>0</v>
      </c>
      <c r="U23" s="9">
        <v>40</v>
      </c>
      <c r="V23" s="9">
        <v>242</v>
      </c>
      <c r="W23" s="10">
        <v>1604</v>
      </c>
      <c r="X23" s="13" t="s">
        <v>218</v>
      </c>
      <c r="Y23" s="34" t="s">
        <v>247</v>
      </c>
    </row>
    <row r="24" spans="1:25" s="13" customFormat="1" ht="12.75" x14ac:dyDescent="0.2">
      <c r="A24" s="6" t="s">
        <v>21</v>
      </c>
      <c r="B24" s="6" t="s">
        <v>22</v>
      </c>
      <c r="C24" s="6" t="s">
        <v>75</v>
      </c>
      <c r="D24" s="6" t="s">
        <v>48</v>
      </c>
      <c r="E24" s="6" t="s">
        <v>49</v>
      </c>
      <c r="F24" s="6" t="s">
        <v>39</v>
      </c>
      <c r="G24" s="6"/>
      <c r="H24" s="6" t="s">
        <v>27</v>
      </c>
      <c r="I24" s="6" t="s">
        <v>28</v>
      </c>
      <c r="J24" s="7" t="s">
        <v>111</v>
      </c>
      <c r="K24" s="6" t="s">
        <v>44</v>
      </c>
      <c r="L24" s="6" t="s">
        <v>45</v>
      </c>
      <c r="M24" s="6"/>
      <c r="N24" s="6" t="s">
        <v>53</v>
      </c>
      <c r="O24" s="6"/>
      <c r="P24" s="8">
        <v>45449</v>
      </c>
      <c r="Q24" s="9">
        <v>17000</v>
      </c>
      <c r="R24" s="9">
        <v>19873</v>
      </c>
      <c r="S24" s="9">
        <v>19873</v>
      </c>
      <c r="T24" s="9">
        <v>0</v>
      </c>
      <c r="U24" s="9">
        <v>425</v>
      </c>
      <c r="V24" s="9">
        <v>2548</v>
      </c>
      <c r="W24" s="10">
        <v>16900</v>
      </c>
      <c r="X24" s="13" t="s">
        <v>219</v>
      </c>
      <c r="Y24" s="34" t="s">
        <v>248</v>
      </c>
    </row>
    <row r="25" spans="1:25" s="13" customFormat="1" ht="12.75" x14ac:dyDescent="0.2">
      <c r="A25" s="6" t="s">
        <v>21</v>
      </c>
      <c r="B25" s="6" t="s">
        <v>22</v>
      </c>
      <c r="C25" s="6" t="s">
        <v>76</v>
      </c>
      <c r="D25" s="6" t="s">
        <v>48</v>
      </c>
      <c r="E25" s="6" t="s">
        <v>49</v>
      </c>
      <c r="F25" s="6" t="s">
        <v>39</v>
      </c>
      <c r="G25" s="6"/>
      <c r="H25" s="6" t="s">
        <v>27</v>
      </c>
      <c r="I25" s="6" t="s">
        <v>28</v>
      </c>
      <c r="J25" s="7" t="s">
        <v>112</v>
      </c>
      <c r="K25" s="6" t="s">
        <v>44</v>
      </c>
      <c r="L25" s="6" t="s">
        <v>45</v>
      </c>
      <c r="M25" s="6"/>
      <c r="N25" s="6" t="s">
        <v>53</v>
      </c>
      <c r="O25" s="6"/>
      <c r="P25" s="8">
        <v>45463</v>
      </c>
      <c r="Q25" s="9">
        <v>-16040</v>
      </c>
      <c r="R25" s="9">
        <v>-16386</v>
      </c>
      <c r="S25" s="9">
        <v>-16386</v>
      </c>
      <c r="T25" s="9">
        <v>0</v>
      </c>
      <c r="U25" s="9">
        <v>-401</v>
      </c>
      <c r="V25" s="9">
        <v>-2407</v>
      </c>
      <c r="W25" s="10">
        <v>-13578</v>
      </c>
      <c r="X25" s="13">
        <v>401</v>
      </c>
      <c r="Y25" s="34">
        <v>401</v>
      </c>
    </row>
    <row r="26" spans="1:25" s="13" customFormat="1" ht="12.75" x14ac:dyDescent="0.2">
      <c r="A26" s="6" t="s">
        <v>21</v>
      </c>
      <c r="B26" s="6" t="s">
        <v>22</v>
      </c>
      <c r="C26" s="6" t="s">
        <v>77</v>
      </c>
      <c r="D26" s="6" t="s">
        <v>48</v>
      </c>
      <c r="E26" s="6" t="s">
        <v>49</v>
      </c>
      <c r="F26" s="6" t="s">
        <v>39</v>
      </c>
      <c r="G26" s="6"/>
      <c r="H26" s="6" t="s">
        <v>27</v>
      </c>
      <c r="I26" s="6" t="s">
        <v>28</v>
      </c>
      <c r="J26" s="7" t="s">
        <v>113</v>
      </c>
      <c r="K26" s="6" t="s">
        <v>44</v>
      </c>
      <c r="L26" s="6" t="s">
        <v>45</v>
      </c>
      <c r="M26" s="6"/>
      <c r="N26" s="6" t="s">
        <v>53</v>
      </c>
      <c r="O26" s="6"/>
      <c r="P26" s="8">
        <v>45463</v>
      </c>
      <c r="Q26" s="9">
        <v>3920</v>
      </c>
      <c r="R26" s="9">
        <v>4582</v>
      </c>
      <c r="S26" s="9">
        <v>4582</v>
      </c>
      <c r="T26" s="9">
        <v>0</v>
      </c>
      <c r="U26" s="9">
        <v>98</v>
      </c>
      <c r="V26" s="9">
        <v>587</v>
      </c>
      <c r="W26" s="10">
        <v>3897</v>
      </c>
      <c r="X26" s="13" t="s">
        <v>220</v>
      </c>
      <c r="Y26" s="34" t="s">
        <v>249</v>
      </c>
    </row>
    <row r="27" spans="1:25" s="13" customFormat="1" ht="12.75" x14ac:dyDescent="0.2">
      <c r="A27" s="6" t="s">
        <v>21</v>
      </c>
      <c r="B27" s="6" t="s">
        <v>22</v>
      </c>
      <c r="C27" s="6" t="s">
        <v>78</v>
      </c>
      <c r="D27" s="6" t="s">
        <v>48</v>
      </c>
      <c r="E27" s="6" t="s">
        <v>49</v>
      </c>
      <c r="F27" s="6" t="s">
        <v>39</v>
      </c>
      <c r="G27" s="6"/>
      <c r="H27" s="6" t="s">
        <v>27</v>
      </c>
      <c r="I27" s="6" t="s">
        <v>28</v>
      </c>
      <c r="J27" s="7" t="s">
        <v>114</v>
      </c>
      <c r="K27" s="6" t="s">
        <v>44</v>
      </c>
      <c r="L27" s="6" t="s">
        <v>45</v>
      </c>
      <c r="M27" s="6"/>
      <c r="N27" s="6" t="s">
        <v>53</v>
      </c>
      <c r="O27" s="6"/>
      <c r="P27" s="8">
        <v>45467</v>
      </c>
      <c r="Q27" s="9">
        <v>3400</v>
      </c>
      <c r="R27" s="9">
        <v>4163</v>
      </c>
      <c r="S27" s="9">
        <v>4163</v>
      </c>
      <c r="T27" s="9">
        <v>0</v>
      </c>
      <c r="U27" s="9">
        <v>85</v>
      </c>
      <c r="V27" s="9">
        <v>508</v>
      </c>
      <c r="W27" s="10">
        <v>3570</v>
      </c>
      <c r="X27" s="13" t="s">
        <v>221</v>
      </c>
      <c r="Y27" s="34" t="s">
        <v>250</v>
      </c>
    </row>
    <row r="28" spans="1:25" s="13" customFormat="1" ht="12.75" x14ac:dyDescent="0.2">
      <c r="A28" s="6" t="s">
        <v>21</v>
      </c>
      <c r="B28" s="6" t="s">
        <v>22</v>
      </c>
      <c r="C28" s="6" t="s">
        <v>79</v>
      </c>
      <c r="D28" s="6" t="s">
        <v>37</v>
      </c>
      <c r="E28" s="6" t="s">
        <v>38</v>
      </c>
      <c r="F28" s="6" t="s">
        <v>39</v>
      </c>
      <c r="G28" s="6"/>
      <c r="H28" s="6" t="s">
        <v>27</v>
      </c>
      <c r="I28" s="6" t="s">
        <v>28</v>
      </c>
      <c r="J28" s="6" t="s">
        <v>117</v>
      </c>
      <c r="K28" s="6" t="s">
        <v>29</v>
      </c>
      <c r="L28" s="6" t="s">
        <v>30</v>
      </c>
      <c r="M28" s="6"/>
      <c r="N28" s="6" t="s">
        <v>36</v>
      </c>
      <c r="O28" s="6"/>
      <c r="P28" s="8">
        <v>45484</v>
      </c>
      <c r="Q28" s="9">
        <v>-11760</v>
      </c>
      <c r="R28" s="9">
        <v>-11862</v>
      </c>
      <c r="S28" s="9">
        <v>-11862</v>
      </c>
      <c r="T28" s="9">
        <v>0</v>
      </c>
      <c r="U28" s="9">
        <v>-294</v>
      </c>
      <c r="V28" s="9">
        <v>-1762</v>
      </c>
      <c r="W28" s="10">
        <v>-9806</v>
      </c>
      <c r="X28" s="13">
        <v>294</v>
      </c>
      <c r="Y28" s="34">
        <v>294</v>
      </c>
    </row>
    <row r="29" spans="1:25" s="13" customFormat="1" ht="12.75" x14ac:dyDescent="0.2">
      <c r="A29" s="6" t="s">
        <v>21</v>
      </c>
      <c r="B29" s="6" t="s">
        <v>22</v>
      </c>
      <c r="C29" s="6" t="s">
        <v>80</v>
      </c>
      <c r="D29" s="6" t="s">
        <v>37</v>
      </c>
      <c r="E29" s="6" t="s">
        <v>38</v>
      </c>
      <c r="F29" s="6" t="s">
        <v>39</v>
      </c>
      <c r="G29" s="6"/>
      <c r="H29" s="6" t="s">
        <v>27</v>
      </c>
      <c r="I29" s="6" t="s">
        <v>28</v>
      </c>
      <c r="J29" s="6" t="s">
        <v>118</v>
      </c>
      <c r="K29" s="6" t="s">
        <v>29</v>
      </c>
      <c r="L29" s="6" t="s">
        <v>30</v>
      </c>
      <c r="M29" s="6"/>
      <c r="N29" s="6" t="s">
        <v>41</v>
      </c>
      <c r="O29" s="6"/>
      <c r="P29" s="8">
        <v>45484</v>
      </c>
      <c r="Q29" s="9">
        <v>-76880</v>
      </c>
      <c r="R29" s="9">
        <v>-77664</v>
      </c>
      <c r="S29" s="9">
        <v>-77664</v>
      </c>
      <c r="T29" s="9">
        <v>0</v>
      </c>
      <c r="U29" s="9">
        <v>-1922</v>
      </c>
      <c r="V29" s="9">
        <v>-11534</v>
      </c>
      <c r="W29" s="10">
        <v>-64208</v>
      </c>
      <c r="X29" s="13">
        <v>1922</v>
      </c>
      <c r="Y29" s="34">
        <v>1922</v>
      </c>
    </row>
    <row r="30" spans="1:25" s="13" customFormat="1" ht="12.75" x14ac:dyDescent="0.2">
      <c r="A30" s="6" t="s">
        <v>21</v>
      </c>
      <c r="B30" s="6" t="s">
        <v>22</v>
      </c>
      <c r="C30" s="6" t="s">
        <v>81</v>
      </c>
      <c r="D30" s="6" t="s">
        <v>37</v>
      </c>
      <c r="E30" s="6" t="s">
        <v>38</v>
      </c>
      <c r="F30" s="6" t="s">
        <v>39</v>
      </c>
      <c r="G30" s="6"/>
      <c r="H30" s="6" t="s">
        <v>27</v>
      </c>
      <c r="I30" s="6" t="s">
        <v>28</v>
      </c>
      <c r="J30" s="6" t="s">
        <v>124</v>
      </c>
      <c r="K30" s="6" t="s">
        <v>44</v>
      </c>
      <c r="L30" s="6" t="s">
        <v>45</v>
      </c>
      <c r="M30" s="6"/>
      <c r="N30" s="6" t="s">
        <v>43</v>
      </c>
      <c r="O30" s="6"/>
      <c r="P30" s="8">
        <v>45499</v>
      </c>
      <c r="Q30" s="9">
        <v>-22520</v>
      </c>
      <c r="R30" s="9">
        <v>-22759</v>
      </c>
      <c r="S30" s="9">
        <v>-22759</v>
      </c>
      <c r="T30" s="9">
        <v>0</v>
      </c>
      <c r="U30" s="9">
        <v>-563</v>
      </c>
      <c r="V30" s="9">
        <v>-3380</v>
      </c>
      <c r="W30" s="10">
        <v>-18816</v>
      </c>
      <c r="X30" s="13">
        <v>563</v>
      </c>
      <c r="Y30" s="34">
        <v>563</v>
      </c>
    </row>
    <row r="31" spans="1:25" s="13" customFormat="1" ht="12.75" x14ac:dyDescent="0.2">
      <c r="A31" s="6" t="s">
        <v>21</v>
      </c>
      <c r="B31" s="6" t="s">
        <v>22</v>
      </c>
      <c r="C31" s="6" t="s">
        <v>82</v>
      </c>
      <c r="D31" s="6" t="s">
        <v>48</v>
      </c>
      <c r="E31" s="6" t="s">
        <v>49</v>
      </c>
      <c r="F31" s="6" t="s">
        <v>39</v>
      </c>
      <c r="G31" s="6"/>
      <c r="H31" s="6" t="s">
        <v>27</v>
      </c>
      <c r="I31" s="6" t="s">
        <v>28</v>
      </c>
      <c r="J31" s="6" t="s">
        <v>125</v>
      </c>
      <c r="K31" s="6" t="s">
        <v>44</v>
      </c>
      <c r="L31" s="6" t="s">
        <v>45</v>
      </c>
      <c r="M31" s="6"/>
      <c r="N31" s="6" t="s">
        <v>51</v>
      </c>
      <c r="O31" s="6"/>
      <c r="P31" s="8">
        <v>45499</v>
      </c>
      <c r="Q31" s="9">
        <v>40</v>
      </c>
      <c r="R31" s="9">
        <v>38</v>
      </c>
      <c r="S31" s="9">
        <v>38</v>
      </c>
      <c r="T31" s="9">
        <v>0</v>
      </c>
      <c r="U31" s="9">
        <v>1</v>
      </c>
      <c r="V31" s="9">
        <v>5</v>
      </c>
      <c r="W31" s="10">
        <v>32</v>
      </c>
      <c r="X31" s="13" t="s">
        <v>222</v>
      </c>
      <c r="Y31" s="34" t="s">
        <v>251</v>
      </c>
    </row>
    <row r="32" spans="1:25" s="13" customFormat="1" ht="12.75" x14ac:dyDescent="0.2">
      <c r="A32" s="6" t="s">
        <v>21</v>
      </c>
      <c r="B32" s="6" t="s">
        <v>22</v>
      </c>
      <c r="C32" s="6" t="s">
        <v>83</v>
      </c>
      <c r="D32" s="6" t="s">
        <v>48</v>
      </c>
      <c r="E32" s="6" t="s">
        <v>49</v>
      </c>
      <c r="F32" s="6" t="s">
        <v>39</v>
      </c>
      <c r="G32" s="6"/>
      <c r="H32" s="6" t="s">
        <v>27</v>
      </c>
      <c r="I32" s="6" t="s">
        <v>28</v>
      </c>
      <c r="J32" s="6" t="s">
        <v>108</v>
      </c>
      <c r="K32" s="6" t="s">
        <v>44</v>
      </c>
      <c r="L32" s="6" t="s">
        <v>45</v>
      </c>
      <c r="M32" s="6"/>
      <c r="N32" s="6" t="s">
        <v>53</v>
      </c>
      <c r="O32" s="6"/>
      <c r="P32" s="8">
        <v>45499</v>
      </c>
      <c r="Q32" s="9">
        <v>-40520</v>
      </c>
      <c r="R32" s="9">
        <v>-40914</v>
      </c>
      <c r="S32" s="9">
        <v>-40914</v>
      </c>
      <c r="T32" s="9">
        <v>0</v>
      </c>
      <c r="U32" s="9">
        <v>-1013</v>
      </c>
      <c r="V32" s="9">
        <v>-6076</v>
      </c>
      <c r="W32" s="10">
        <v>-33825</v>
      </c>
      <c r="X32" s="13">
        <v>1013</v>
      </c>
      <c r="Y32" s="34">
        <v>1013</v>
      </c>
    </row>
    <row r="33" spans="1:25" s="13" customFormat="1" ht="12.75" x14ac:dyDescent="0.2">
      <c r="A33" s="6" t="s">
        <v>21</v>
      </c>
      <c r="B33" s="6" t="s">
        <v>22</v>
      </c>
      <c r="C33" s="6" t="s">
        <v>84</v>
      </c>
      <c r="D33" s="6" t="s">
        <v>48</v>
      </c>
      <c r="E33" s="6" t="s">
        <v>49</v>
      </c>
      <c r="F33" s="6" t="s">
        <v>39</v>
      </c>
      <c r="G33" s="6"/>
      <c r="H33" s="6" t="s">
        <v>27</v>
      </c>
      <c r="I33" s="6" t="s">
        <v>28</v>
      </c>
      <c r="J33" s="6" t="s">
        <v>126</v>
      </c>
      <c r="K33" s="6" t="s">
        <v>44</v>
      </c>
      <c r="L33" s="6" t="s">
        <v>45</v>
      </c>
      <c r="M33" s="6"/>
      <c r="N33" s="6" t="s">
        <v>51</v>
      </c>
      <c r="O33" s="6"/>
      <c r="P33" s="8">
        <v>45502</v>
      </c>
      <c r="Q33" s="9">
        <v>1240</v>
      </c>
      <c r="R33" s="9">
        <v>1435</v>
      </c>
      <c r="S33" s="9">
        <v>1435</v>
      </c>
      <c r="T33" s="9">
        <v>0</v>
      </c>
      <c r="U33" s="9">
        <v>31</v>
      </c>
      <c r="V33" s="9">
        <v>184</v>
      </c>
      <c r="W33" s="10">
        <v>1220</v>
      </c>
      <c r="X33" s="13" t="s">
        <v>223</v>
      </c>
      <c r="Y33" s="34" t="s">
        <v>252</v>
      </c>
    </row>
    <row r="34" spans="1:25" s="13" customFormat="1" ht="12.75" x14ac:dyDescent="0.2">
      <c r="A34" s="6" t="s">
        <v>21</v>
      </c>
      <c r="B34" s="6" t="s">
        <v>22</v>
      </c>
      <c r="C34" s="6" t="s">
        <v>85</v>
      </c>
      <c r="D34" s="6" t="s">
        <v>48</v>
      </c>
      <c r="E34" s="6" t="s">
        <v>49</v>
      </c>
      <c r="F34" s="6" t="s">
        <v>39</v>
      </c>
      <c r="G34" s="6"/>
      <c r="H34" s="6" t="s">
        <v>27</v>
      </c>
      <c r="I34" s="6" t="s">
        <v>28</v>
      </c>
      <c r="J34" s="6" t="s">
        <v>127</v>
      </c>
      <c r="K34" s="6" t="s">
        <v>44</v>
      </c>
      <c r="L34" s="6" t="s">
        <v>45</v>
      </c>
      <c r="M34" s="6"/>
      <c r="N34" s="6" t="s">
        <v>53</v>
      </c>
      <c r="O34" s="6"/>
      <c r="P34" s="8">
        <v>45502</v>
      </c>
      <c r="Q34" s="9">
        <v>24000</v>
      </c>
      <c r="R34" s="9">
        <v>28085</v>
      </c>
      <c r="S34" s="9">
        <v>28085</v>
      </c>
      <c r="T34" s="9">
        <v>0</v>
      </c>
      <c r="U34" s="9">
        <v>600</v>
      </c>
      <c r="V34" s="9">
        <v>3599</v>
      </c>
      <c r="W34" s="10">
        <v>23886</v>
      </c>
      <c r="X34" s="13" t="s">
        <v>224</v>
      </c>
      <c r="Y34" s="34" t="s">
        <v>253</v>
      </c>
    </row>
    <row r="35" spans="1:25" s="13" customFormat="1" ht="12.75" x14ac:dyDescent="0.2">
      <c r="A35" s="6" t="s">
        <v>21</v>
      </c>
      <c r="B35" s="6" t="s">
        <v>22</v>
      </c>
      <c r="C35" s="6" t="s">
        <v>86</v>
      </c>
      <c r="D35" s="6" t="s">
        <v>37</v>
      </c>
      <c r="E35" s="6" t="s">
        <v>38</v>
      </c>
      <c r="F35" s="6" t="s">
        <v>39</v>
      </c>
      <c r="G35" s="6"/>
      <c r="H35" s="6" t="s">
        <v>27</v>
      </c>
      <c r="I35" s="6" t="s">
        <v>28</v>
      </c>
      <c r="J35" s="7" t="s">
        <v>119</v>
      </c>
      <c r="K35" s="6" t="s">
        <v>29</v>
      </c>
      <c r="L35" s="6" t="s">
        <v>30</v>
      </c>
      <c r="M35" s="6"/>
      <c r="N35" s="6" t="s">
        <v>36</v>
      </c>
      <c r="O35" s="6"/>
      <c r="P35" s="8">
        <v>45513</v>
      </c>
      <c r="Q35" s="9">
        <v>-14520</v>
      </c>
      <c r="R35" s="9">
        <v>-14670</v>
      </c>
      <c r="S35" s="9">
        <v>-14670</v>
      </c>
      <c r="T35" s="9">
        <v>0</v>
      </c>
      <c r="U35" s="9">
        <v>-363</v>
      </c>
      <c r="V35" s="9">
        <v>-2179</v>
      </c>
      <c r="W35" s="10">
        <v>-12128</v>
      </c>
      <c r="X35" s="13">
        <v>363</v>
      </c>
      <c r="Y35" s="34">
        <v>363</v>
      </c>
    </row>
    <row r="36" spans="1:25" s="13" customFormat="1" ht="12.75" x14ac:dyDescent="0.2">
      <c r="A36" s="6" t="s">
        <v>21</v>
      </c>
      <c r="B36" s="6" t="s">
        <v>22</v>
      </c>
      <c r="C36" s="6" t="s">
        <v>87</v>
      </c>
      <c r="D36" s="6" t="s">
        <v>37</v>
      </c>
      <c r="E36" s="6" t="s">
        <v>38</v>
      </c>
      <c r="F36" s="6" t="s">
        <v>39</v>
      </c>
      <c r="G36" s="6"/>
      <c r="H36" s="6" t="s">
        <v>27</v>
      </c>
      <c r="I36" s="6" t="s">
        <v>28</v>
      </c>
      <c r="J36" s="6" t="s">
        <v>120</v>
      </c>
      <c r="K36" s="6" t="s">
        <v>29</v>
      </c>
      <c r="L36" s="6" t="s">
        <v>30</v>
      </c>
      <c r="M36" s="6"/>
      <c r="N36" s="6" t="s">
        <v>41</v>
      </c>
      <c r="O36" s="6"/>
      <c r="P36" s="8">
        <v>45513</v>
      </c>
      <c r="Q36" s="9">
        <v>-95720</v>
      </c>
      <c r="R36" s="9">
        <v>-96674</v>
      </c>
      <c r="S36" s="9">
        <v>-96674</v>
      </c>
      <c r="T36" s="9">
        <v>0</v>
      </c>
      <c r="U36" s="9">
        <v>-2393</v>
      </c>
      <c r="V36" s="9">
        <v>-14358</v>
      </c>
      <c r="W36" s="10">
        <v>-79923</v>
      </c>
      <c r="X36" s="13">
        <v>2393</v>
      </c>
      <c r="Y36" s="34">
        <v>2393</v>
      </c>
    </row>
    <row r="37" spans="1:25" s="13" customFormat="1" ht="12.75" x14ac:dyDescent="0.2">
      <c r="A37" s="6" t="s">
        <v>21</v>
      </c>
      <c r="B37" s="6" t="s">
        <v>22</v>
      </c>
      <c r="C37" s="6" t="s">
        <v>88</v>
      </c>
      <c r="D37" s="6" t="s">
        <v>37</v>
      </c>
      <c r="E37" s="6" t="s">
        <v>38</v>
      </c>
      <c r="F37" s="6" t="s">
        <v>39</v>
      </c>
      <c r="G37" s="6"/>
      <c r="H37" s="6" t="s">
        <v>27</v>
      </c>
      <c r="I37" s="6" t="s">
        <v>28</v>
      </c>
      <c r="J37" s="6" t="s">
        <v>128</v>
      </c>
      <c r="K37" s="6" t="s">
        <v>44</v>
      </c>
      <c r="L37" s="6" t="s">
        <v>45</v>
      </c>
      <c r="M37" s="6"/>
      <c r="N37" s="6" t="s">
        <v>43</v>
      </c>
      <c r="O37" s="6"/>
      <c r="P37" s="8">
        <v>45517</v>
      </c>
      <c r="Q37" s="9">
        <v>-34320</v>
      </c>
      <c r="R37" s="9">
        <v>-34678</v>
      </c>
      <c r="S37" s="9">
        <v>-34678</v>
      </c>
      <c r="T37" s="9">
        <v>0</v>
      </c>
      <c r="U37" s="9">
        <v>-858</v>
      </c>
      <c r="V37" s="9">
        <v>-5150</v>
      </c>
      <c r="W37" s="10">
        <v>-28670</v>
      </c>
      <c r="X37" s="13">
        <v>858</v>
      </c>
      <c r="Y37" s="34">
        <v>858</v>
      </c>
    </row>
    <row r="38" spans="1:25" s="13" customFormat="1" ht="12.75" x14ac:dyDescent="0.2">
      <c r="A38" s="6" t="s">
        <v>21</v>
      </c>
      <c r="B38" s="6" t="s">
        <v>22</v>
      </c>
      <c r="C38" s="6" t="s">
        <v>89</v>
      </c>
      <c r="D38" s="6" t="s">
        <v>48</v>
      </c>
      <c r="E38" s="6" t="s">
        <v>49</v>
      </c>
      <c r="F38" s="6" t="s">
        <v>39</v>
      </c>
      <c r="G38" s="6"/>
      <c r="H38" s="6" t="s">
        <v>27</v>
      </c>
      <c r="I38" s="6" t="s">
        <v>28</v>
      </c>
      <c r="J38" s="6" t="s">
        <v>129</v>
      </c>
      <c r="K38" s="6" t="s">
        <v>44</v>
      </c>
      <c r="L38" s="6" t="s">
        <v>45</v>
      </c>
      <c r="M38" s="6"/>
      <c r="N38" s="6" t="s">
        <v>53</v>
      </c>
      <c r="O38" s="6"/>
      <c r="P38" s="8">
        <v>45517</v>
      </c>
      <c r="Q38" s="9">
        <v>3840</v>
      </c>
      <c r="R38" s="9">
        <v>4479</v>
      </c>
      <c r="S38" s="9">
        <v>4479</v>
      </c>
      <c r="T38" s="9">
        <v>0</v>
      </c>
      <c r="U38" s="9">
        <v>96</v>
      </c>
      <c r="V38" s="9">
        <v>574</v>
      </c>
      <c r="W38" s="10">
        <v>3809</v>
      </c>
      <c r="X38" s="13" t="s">
        <v>225</v>
      </c>
      <c r="Y38" s="34" t="s">
        <v>254</v>
      </c>
    </row>
    <row r="39" spans="1:25" s="13" customFormat="1" ht="12.75" x14ac:dyDescent="0.2">
      <c r="A39" s="6" t="s">
        <v>21</v>
      </c>
      <c r="B39" s="6" t="s">
        <v>22</v>
      </c>
      <c r="C39" s="6" t="s">
        <v>90</v>
      </c>
      <c r="D39" s="6" t="s">
        <v>48</v>
      </c>
      <c r="E39" s="6" t="s">
        <v>49</v>
      </c>
      <c r="F39" s="6" t="s">
        <v>39</v>
      </c>
      <c r="G39" s="6"/>
      <c r="H39" s="6" t="s">
        <v>27</v>
      </c>
      <c r="I39" s="6" t="s">
        <v>28</v>
      </c>
      <c r="J39" s="6" t="s">
        <v>130</v>
      </c>
      <c r="K39" s="6" t="s">
        <v>44</v>
      </c>
      <c r="L39" s="6" t="s">
        <v>45</v>
      </c>
      <c r="M39" s="6"/>
      <c r="N39" s="6" t="s">
        <v>51</v>
      </c>
      <c r="O39" s="6"/>
      <c r="P39" s="8">
        <v>45517</v>
      </c>
      <c r="Q39" s="9">
        <v>40</v>
      </c>
      <c r="R39" s="9">
        <v>36</v>
      </c>
      <c r="S39" s="9">
        <v>36</v>
      </c>
      <c r="T39" s="9">
        <v>0</v>
      </c>
      <c r="U39" s="9">
        <v>1</v>
      </c>
      <c r="V39" s="9">
        <v>5</v>
      </c>
      <c r="W39" s="10">
        <v>30</v>
      </c>
      <c r="X39" s="13" t="s">
        <v>222</v>
      </c>
      <c r="Y39" s="34" t="s">
        <v>251</v>
      </c>
    </row>
    <row r="40" spans="1:25" s="13" customFormat="1" ht="12.75" x14ac:dyDescent="0.2">
      <c r="A40" s="6" t="s">
        <v>21</v>
      </c>
      <c r="B40" s="6" t="s">
        <v>22</v>
      </c>
      <c r="C40" s="6" t="s">
        <v>91</v>
      </c>
      <c r="D40" s="6" t="s">
        <v>24</v>
      </c>
      <c r="E40" s="6" t="s">
        <v>25</v>
      </c>
      <c r="F40" s="6" t="s">
        <v>26</v>
      </c>
      <c r="G40" s="6"/>
      <c r="H40" s="6" t="s">
        <v>27</v>
      </c>
      <c r="I40" s="6" t="s">
        <v>28</v>
      </c>
      <c r="J40" s="7" t="s">
        <v>98</v>
      </c>
      <c r="K40" s="6" t="s">
        <v>29</v>
      </c>
      <c r="L40" s="6" t="s">
        <v>30</v>
      </c>
      <c r="M40" s="6"/>
      <c r="N40" s="6" t="s">
        <v>23</v>
      </c>
      <c r="O40" s="6"/>
      <c r="P40" s="8">
        <v>45560</v>
      </c>
      <c r="Q40" s="9">
        <v>24640</v>
      </c>
      <c r="R40" s="9">
        <v>28823</v>
      </c>
      <c r="S40" s="9">
        <v>28823</v>
      </c>
      <c r="T40" s="9">
        <v>0</v>
      </c>
      <c r="U40" s="9">
        <v>616</v>
      </c>
      <c r="V40" s="9">
        <v>2464</v>
      </c>
      <c r="W40" s="10">
        <v>25743</v>
      </c>
      <c r="X40" s="13" t="s">
        <v>226</v>
      </c>
      <c r="Y40" s="34" t="s">
        <v>255</v>
      </c>
    </row>
    <row r="41" spans="1:25" s="13" customFormat="1" ht="12.75" x14ac:dyDescent="0.2">
      <c r="A41" s="6" t="s">
        <v>21</v>
      </c>
      <c r="B41" s="6" t="s">
        <v>22</v>
      </c>
      <c r="C41" s="6" t="s">
        <v>92</v>
      </c>
      <c r="D41" s="6" t="s">
        <v>37</v>
      </c>
      <c r="E41" s="6" t="s">
        <v>38</v>
      </c>
      <c r="F41" s="6" t="s">
        <v>39</v>
      </c>
      <c r="G41" s="6"/>
      <c r="H41" s="6" t="s">
        <v>27</v>
      </c>
      <c r="I41" s="6" t="s">
        <v>28</v>
      </c>
      <c r="J41" s="7" t="s">
        <v>121</v>
      </c>
      <c r="K41" s="6" t="s">
        <v>29</v>
      </c>
      <c r="L41" s="6" t="s">
        <v>30</v>
      </c>
      <c r="M41" s="6"/>
      <c r="N41" s="6" t="s">
        <v>36</v>
      </c>
      <c r="O41" s="6"/>
      <c r="P41" s="8">
        <v>45540</v>
      </c>
      <c r="Q41" s="9">
        <v>-8680</v>
      </c>
      <c r="R41" s="9">
        <v>-8781</v>
      </c>
      <c r="S41" s="9">
        <v>-8781</v>
      </c>
      <c r="T41" s="9">
        <v>0</v>
      </c>
      <c r="U41" s="9">
        <v>-217</v>
      </c>
      <c r="V41" s="9">
        <v>-1304</v>
      </c>
      <c r="W41" s="10">
        <v>-7260</v>
      </c>
      <c r="X41" s="13">
        <v>217</v>
      </c>
      <c r="Y41" s="34">
        <v>217</v>
      </c>
    </row>
    <row r="42" spans="1:25" s="13" customFormat="1" ht="12.75" x14ac:dyDescent="0.2">
      <c r="A42" s="6" t="s">
        <v>21</v>
      </c>
      <c r="B42" s="6" t="s">
        <v>22</v>
      </c>
      <c r="C42" s="6" t="s">
        <v>93</v>
      </c>
      <c r="D42" s="6" t="s">
        <v>37</v>
      </c>
      <c r="E42" s="6" t="s">
        <v>38</v>
      </c>
      <c r="F42" s="6" t="s">
        <v>39</v>
      </c>
      <c r="G42" s="6"/>
      <c r="H42" s="6" t="s">
        <v>27</v>
      </c>
      <c r="I42" s="6" t="s">
        <v>28</v>
      </c>
      <c r="J42" s="7" t="s">
        <v>122</v>
      </c>
      <c r="K42" s="6" t="s">
        <v>29</v>
      </c>
      <c r="L42" s="6" t="s">
        <v>30</v>
      </c>
      <c r="M42" s="6"/>
      <c r="N42" s="6" t="s">
        <v>41</v>
      </c>
      <c r="O42" s="6"/>
      <c r="P42" s="8">
        <v>45544</v>
      </c>
      <c r="Q42" s="9">
        <v>48920</v>
      </c>
      <c r="R42" s="9">
        <v>57242</v>
      </c>
      <c r="S42" s="9">
        <v>57242</v>
      </c>
      <c r="T42" s="9">
        <v>0</v>
      </c>
      <c r="U42" s="9">
        <v>1223</v>
      </c>
      <c r="V42" s="9">
        <v>7339</v>
      </c>
      <c r="W42" s="10">
        <v>48680</v>
      </c>
      <c r="X42" s="13">
        <v>1223</v>
      </c>
      <c r="Y42" s="34" t="s">
        <v>256</v>
      </c>
    </row>
    <row r="43" spans="1:25" s="13" customFormat="1" ht="12.75" x14ac:dyDescent="0.2">
      <c r="A43" s="6" t="s">
        <v>21</v>
      </c>
      <c r="B43" s="6" t="s">
        <v>22</v>
      </c>
      <c r="C43" s="6" t="s">
        <v>94</v>
      </c>
      <c r="D43" s="6" t="s">
        <v>37</v>
      </c>
      <c r="E43" s="6" t="s">
        <v>38</v>
      </c>
      <c r="F43" s="6" t="s">
        <v>39</v>
      </c>
      <c r="G43" s="6"/>
      <c r="H43" s="6" t="s">
        <v>27</v>
      </c>
      <c r="I43" s="6" t="s">
        <v>28</v>
      </c>
      <c r="J43" s="6" t="s">
        <v>131</v>
      </c>
      <c r="K43" s="6" t="s">
        <v>44</v>
      </c>
      <c r="L43" s="6" t="s">
        <v>45</v>
      </c>
      <c r="M43" s="6"/>
      <c r="N43" s="6" t="s">
        <v>43</v>
      </c>
      <c r="O43" s="6"/>
      <c r="P43" s="8">
        <v>45553</v>
      </c>
      <c r="Q43" s="9">
        <v>2720</v>
      </c>
      <c r="R43" s="9">
        <v>3194</v>
      </c>
      <c r="S43" s="9">
        <v>3194</v>
      </c>
      <c r="T43" s="9">
        <v>0</v>
      </c>
      <c r="U43" s="9">
        <v>68</v>
      </c>
      <c r="V43" s="9">
        <v>410</v>
      </c>
      <c r="W43" s="10">
        <v>2716</v>
      </c>
      <c r="X43" s="13" t="s">
        <v>227</v>
      </c>
      <c r="Y43" s="34" t="s">
        <v>257</v>
      </c>
    </row>
    <row r="44" spans="1:25" s="13" customFormat="1" ht="12.75" x14ac:dyDescent="0.2">
      <c r="A44" s="6" t="s">
        <v>21</v>
      </c>
      <c r="B44" s="6" t="s">
        <v>22</v>
      </c>
      <c r="C44" s="6" t="s">
        <v>95</v>
      </c>
      <c r="D44" s="6" t="s">
        <v>48</v>
      </c>
      <c r="E44" s="6" t="s">
        <v>49</v>
      </c>
      <c r="F44" s="6" t="s">
        <v>39</v>
      </c>
      <c r="G44" s="6"/>
      <c r="H44" s="6" t="s">
        <v>27</v>
      </c>
      <c r="I44" s="6" t="s">
        <v>28</v>
      </c>
      <c r="J44" s="6" t="s">
        <v>132</v>
      </c>
      <c r="K44" s="6" t="s">
        <v>44</v>
      </c>
      <c r="L44" s="6" t="s">
        <v>45</v>
      </c>
      <c r="M44" s="6"/>
      <c r="N44" s="6" t="s">
        <v>53</v>
      </c>
      <c r="O44" s="6"/>
      <c r="P44" s="8">
        <v>45548</v>
      </c>
      <c r="Q44" s="9">
        <v>9800</v>
      </c>
      <c r="R44" s="9">
        <v>11453</v>
      </c>
      <c r="S44" s="9">
        <v>11453</v>
      </c>
      <c r="T44" s="9">
        <v>0</v>
      </c>
      <c r="U44" s="9">
        <v>245</v>
      </c>
      <c r="V44" s="9">
        <v>1468</v>
      </c>
      <c r="W44" s="10">
        <v>9740</v>
      </c>
      <c r="X44" s="13" t="s">
        <v>228</v>
      </c>
      <c r="Y44" s="34" t="s">
        <v>258</v>
      </c>
    </row>
    <row r="45" spans="1:25" s="13" customFormat="1" ht="12.75" x14ac:dyDescent="0.2">
      <c r="A45" s="6" t="s">
        <v>21</v>
      </c>
      <c r="B45" s="6" t="s">
        <v>22</v>
      </c>
      <c r="C45" s="6" t="s">
        <v>96</v>
      </c>
      <c r="D45" s="6" t="s">
        <v>48</v>
      </c>
      <c r="E45" s="6" t="s">
        <v>49</v>
      </c>
      <c r="F45" s="6" t="s">
        <v>39</v>
      </c>
      <c r="G45" s="6"/>
      <c r="H45" s="6" t="s">
        <v>27</v>
      </c>
      <c r="I45" s="6" t="s">
        <v>28</v>
      </c>
      <c r="J45" s="6" t="s">
        <v>133</v>
      </c>
      <c r="K45" s="6" t="s">
        <v>44</v>
      </c>
      <c r="L45" s="6" t="s">
        <v>45</v>
      </c>
      <c r="M45" s="6"/>
      <c r="N45" s="6" t="s">
        <v>51</v>
      </c>
      <c r="O45" s="6"/>
      <c r="P45" s="8">
        <v>45553</v>
      </c>
      <c r="Q45" s="9">
        <v>1080</v>
      </c>
      <c r="R45" s="9">
        <v>1265</v>
      </c>
      <c r="S45" s="9">
        <v>1265</v>
      </c>
      <c r="T45" s="9">
        <v>0</v>
      </c>
      <c r="U45" s="9">
        <v>27</v>
      </c>
      <c r="V45" s="9">
        <v>162</v>
      </c>
      <c r="W45" s="10">
        <v>1076</v>
      </c>
      <c r="X45" s="13" t="s">
        <v>229</v>
      </c>
      <c r="Y45" s="34" t="s">
        <v>259</v>
      </c>
    </row>
    <row r="46" spans="1:25" s="13" customFormat="1" ht="12.75" x14ac:dyDescent="0.2">
      <c r="A46" s="6" t="s">
        <v>21</v>
      </c>
      <c r="B46" s="6" t="s">
        <v>22</v>
      </c>
      <c r="C46" s="6" t="s">
        <v>97</v>
      </c>
      <c r="D46" s="6" t="s">
        <v>37</v>
      </c>
      <c r="E46" s="6" t="s">
        <v>38</v>
      </c>
      <c r="F46" s="6" t="s">
        <v>39</v>
      </c>
      <c r="G46" s="6"/>
      <c r="H46" s="6" t="s">
        <v>27</v>
      </c>
      <c r="I46" s="6" t="s">
        <v>28</v>
      </c>
      <c r="J46" s="11" t="s">
        <v>134</v>
      </c>
      <c r="K46" s="6" t="s">
        <v>29</v>
      </c>
      <c r="L46" s="6" t="s">
        <v>30</v>
      </c>
      <c r="M46" s="6"/>
      <c r="N46" s="6" t="s">
        <v>36</v>
      </c>
      <c r="O46" s="12">
        <v>45497</v>
      </c>
      <c r="P46" s="8">
        <v>45525</v>
      </c>
      <c r="Q46" s="9">
        <v>0</v>
      </c>
      <c r="R46" s="9">
        <v>0</v>
      </c>
      <c r="S46" s="9">
        <v>0</v>
      </c>
      <c r="T46" s="9">
        <v>2173</v>
      </c>
      <c r="U46" s="9">
        <v>0</v>
      </c>
      <c r="V46" s="9">
        <v>0</v>
      </c>
      <c r="W46" s="10">
        <v>-2173</v>
      </c>
      <c r="Y46" s="34"/>
    </row>
    <row r="47" spans="1:25" x14ac:dyDescent="0.25"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5" x14ac:dyDescent="0.25"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32">
        <f>SUM(S2:S45)</f>
        <v>2007373</v>
      </c>
      <c r="T48" s="13"/>
      <c r="U48" s="32">
        <f>SUM(U2:U45)</f>
        <v>41006</v>
      </c>
      <c r="V48" s="32">
        <f>SUM(V2:V45)</f>
        <v>244670</v>
      </c>
      <c r="W48" s="14">
        <v>1719524</v>
      </c>
    </row>
    <row r="49" spans="19:22" ht="23.25" thickBot="1" x14ac:dyDescent="0.3">
      <c r="S49" s="15" t="s">
        <v>16</v>
      </c>
      <c r="U49" s="15" t="s">
        <v>18</v>
      </c>
      <c r="V49" s="15" t="s">
        <v>19</v>
      </c>
    </row>
    <row r="50" spans="19:22" ht="15.75" thickTop="1" x14ac:dyDescent="0.25"/>
  </sheetData>
  <autoFilter ref="A1:Y46" xr:uid="{00000000-0001-0000-0000-000000000000}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8AD3-FC8A-4BA0-BECF-A1A947576532}">
  <dimension ref="A1:H46"/>
  <sheetViews>
    <sheetView topLeftCell="A22" workbookViewId="0">
      <selection activeCell="H2" sqref="H2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4" bestFit="1" customWidth="1"/>
    <col min="4" max="4" width="10.5703125" bestFit="1" customWidth="1"/>
    <col min="5" max="5" width="13.7109375" bestFit="1" customWidth="1"/>
    <col min="6" max="6" width="96.140625" customWidth="1"/>
    <col min="7" max="7" width="86.5703125" customWidth="1"/>
    <col min="8" max="8" width="77.5703125" customWidth="1"/>
  </cols>
  <sheetData>
    <row r="1" spans="1:8" x14ac:dyDescent="0.25">
      <c r="A1" s="17" t="s">
        <v>196</v>
      </c>
      <c r="B1" t="s">
        <v>197</v>
      </c>
      <c r="D1" s="18" t="s">
        <v>198</v>
      </c>
      <c r="E1" s="19" t="s">
        <v>199</v>
      </c>
    </row>
    <row r="2" spans="1:8" ht="141" customHeight="1" x14ac:dyDescent="0.25">
      <c r="A2" s="7" t="s">
        <v>98</v>
      </c>
      <c r="B2" s="20" t="str">
        <f>VLOOKUP(A2,Policy!B:D,2,0)</f>
        <v>040000171025</v>
      </c>
      <c r="C2" s="9">
        <v>94483</v>
      </c>
      <c r="D2" s="21">
        <f>ROUND(C2,0)</f>
        <v>94483</v>
      </c>
      <c r="E2" s="19" t="s">
        <v>199</v>
      </c>
      <c r="F2" s="22" t="str">
        <f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3" t="str">
        <f>"('"&amp;E2&amp;"','"&amp;B2&amp;"','"&amp;D2&amp;"',(select max(to_number(i.premium_rcv_detail_code))+1
from ins_premium_det i),'"&amp;D2&amp;"','"&amp;D2&amp;"','02', '11000003','00','Request by Mr. Saqib Saleem 08-Nov-2024 Added Premium');"</f>
        <v>('07Nov240059','040000171025','94483',(select max(to_number(i.premium_rcv_detail_code))+1
from ins_premium_det i),'94483','94483','02', '11000003','00','Request by Mr. Saqib Saleem 08-Nov-2024 Added Premium');</v>
      </c>
      <c r="H2" s="24" t="str">
        <f>F2&amp;G2</f>
        <v>insert into ins_premium_det (premium_rcv_code,assorted_code, rec_amount,premium_rcv_detail_code,remaining_amt, payrec, mode_code,coinsurance_code,class_cd,it_remarks) values('07Nov240059','040000171025','94483',(select max(to_number(i.premium_rcv_detail_code))+1
from ins_premium_det i),'94483','94483','02', '11000003','00','Request by Mr. Saqib Saleem 08-Nov-2024 Added Premium');</v>
      </c>
    </row>
    <row r="3" spans="1:8" ht="105" x14ac:dyDescent="0.25">
      <c r="A3" s="7" t="s">
        <v>100</v>
      </c>
      <c r="B3" s="20" t="str">
        <f>VLOOKUP(A3,Policy!B:D,2,0)</f>
        <v>040000171029</v>
      </c>
      <c r="C3" s="9">
        <v>502</v>
      </c>
      <c r="D3" s="21">
        <f t="shared" ref="D3:D45" si="0">ROUND(C3,0)</f>
        <v>502</v>
      </c>
      <c r="E3" s="19" t="s">
        <v>199</v>
      </c>
      <c r="F3" s="22" t="str">
        <f t="shared" ref="F3:F45" si="1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" s="23" t="str">
        <f t="shared" ref="G3:G45" si="2">"('"&amp;E3&amp;"','"&amp;B3&amp;"','"&amp;D3&amp;"',(select max(to_number(i.premium_rcv_detail_code))+1
from ins_premium_det i),'"&amp;D3&amp;"','"&amp;D3&amp;"','02', '11000003','00','Request by Mr. Saqib Saleem 08-Nov-2024 Added Premium');"</f>
        <v>('07Nov240059','040000171029','502',(select max(to_number(i.premium_rcv_detail_code))+1
from ins_premium_det i),'502','502','02', '11000003','00','Request by Mr. Saqib Saleem 08-Nov-2024 Added Premium');</v>
      </c>
      <c r="H3" s="24" t="str">
        <f t="shared" ref="H3:H45" si="3">F3&amp;G3</f>
        <v>insert into ins_premium_det (premium_rcv_code,assorted_code, rec_amount,premium_rcv_detail_code,remaining_amt, payrec, mode_code,coinsurance_code,class_cd,it_remarks) values('07Nov240059','040000171029','502',(select max(to_number(i.premium_rcv_detail_code))+1
from ins_premium_det i),'502','502','02', '11000003','00','Request by Mr. Saqib Saleem 08-Nov-2024 Added Premium');</v>
      </c>
    </row>
    <row r="4" spans="1:8" ht="105" x14ac:dyDescent="0.25">
      <c r="A4" s="7" t="s">
        <v>101</v>
      </c>
      <c r="B4" s="20" t="str">
        <f>VLOOKUP(A4,Policy!B:D,2,0)</f>
        <v>040000171031</v>
      </c>
      <c r="C4" s="9">
        <v>5298</v>
      </c>
      <c r="D4" s="21">
        <f t="shared" si="0"/>
        <v>5298</v>
      </c>
      <c r="E4" s="19" t="s">
        <v>199</v>
      </c>
      <c r="F4" s="22" t="str">
        <f t="shared" si="1"/>
        <v>insert into ins_premium_det (premium_rcv_code,assorted_code, rec_amount,premium_rcv_detail_code,remaining_amt, payrec, mode_code,coinsurance_code,class_cd,it_remarks) values</v>
      </c>
      <c r="G4" s="23" t="str">
        <f t="shared" si="2"/>
        <v>('07Nov240059','040000171031','5298',(select max(to_number(i.premium_rcv_detail_code))+1
from ins_premium_det i),'5298','5298','02', '11000003','00','Request by Mr. Saqib Saleem 08-Nov-2024 Added Premium');</v>
      </c>
      <c r="H4" s="24" t="str">
        <f t="shared" si="3"/>
        <v>insert into ins_premium_det (premium_rcv_code,assorted_code, rec_amount,premium_rcv_detail_code,remaining_amt, payrec, mode_code,coinsurance_code,class_cd,it_remarks) values('07Nov240059','040000171031','5298',(select max(to_number(i.premium_rcv_detail_code))+1
from ins_premium_det i),'5298','5298','02', '11000003','00','Request by Mr. Saqib Saleem 08-Nov-2024 Added Premium');</v>
      </c>
    </row>
    <row r="5" spans="1:8" ht="105" x14ac:dyDescent="0.25">
      <c r="A5" s="7" t="s">
        <v>102</v>
      </c>
      <c r="B5" s="20" t="str">
        <f>VLOOKUP(A5,Policy!B:D,2,0)</f>
        <v>040000169361</v>
      </c>
      <c r="C5" s="9">
        <v>19503</v>
      </c>
      <c r="D5" s="21">
        <f t="shared" si="0"/>
        <v>19503</v>
      </c>
      <c r="E5" s="19" t="s">
        <v>199</v>
      </c>
      <c r="F5" s="22" t="str">
        <f t="shared" si="1"/>
        <v>insert into ins_premium_det (premium_rcv_code,assorted_code, rec_amount,premium_rcv_detail_code,remaining_amt, payrec, mode_code,coinsurance_code,class_cd,it_remarks) values</v>
      </c>
      <c r="G5" s="23" t="str">
        <f t="shared" si="2"/>
        <v>('07Nov240059','040000169361','19503',(select max(to_number(i.premium_rcv_detail_code))+1
from ins_premium_det i),'19503','19503','02', '11000003','00','Request by Mr. Saqib Saleem 08-Nov-2024 Added Premium');</v>
      </c>
      <c r="H5" s="24" t="str">
        <f t="shared" si="3"/>
        <v>insert into ins_premium_det (premium_rcv_code,assorted_code, rec_amount,premium_rcv_detail_code,remaining_amt, payrec, mode_code,coinsurance_code,class_cd,it_remarks) values('07Nov240059','040000169361','19503',(select max(to_number(i.premium_rcv_detail_code))+1
from ins_premium_det i),'19503','19503','02', '11000003','00','Request by Mr. Saqib Saleem 08-Nov-2024 Added Premium');</v>
      </c>
    </row>
    <row r="6" spans="1:8" ht="105" x14ac:dyDescent="0.25">
      <c r="A6" s="7" t="s">
        <v>103</v>
      </c>
      <c r="B6" s="20" t="str">
        <f>VLOOKUP(A6,Policy!B:D,2,0)</f>
        <v>040000169362</v>
      </c>
      <c r="C6" s="9">
        <v>208516</v>
      </c>
      <c r="D6" s="21">
        <f t="shared" si="0"/>
        <v>208516</v>
      </c>
      <c r="E6" s="19" t="s">
        <v>199</v>
      </c>
      <c r="F6" s="22" t="str">
        <f t="shared" si="1"/>
        <v>insert into ins_premium_det (premium_rcv_code,assorted_code, rec_amount,premium_rcv_detail_code,remaining_amt, payrec, mode_code,coinsurance_code,class_cd,it_remarks) values</v>
      </c>
      <c r="G6" s="23" t="str">
        <f t="shared" si="2"/>
        <v>('07Nov240059','040000169362','208516',(select max(to_number(i.premium_rcv_detail_code))+1
from ins_premium_det i),'208516','208516','02', '11000003','00','Request by Mr. Saqib Saleem 08-Nov-2024 Added Premium');</v>
      </c>
      <c r="H6" s="24" t="str">
        <f t="shared" si="3"/>
        <v>insert into ins_premium_det (premium_rcv_code,assorted_code, rec_amount,premium_rcv_detail_code,remaining_amt, payrec, mode_code,coinsurance_code,class_cd,it_remarks) values('07Nov240059','040000169362','208516',(select max(to_number(i.premium_rcv_detail_code))+1
from ins_premium_det i),'208516','208516','02', '11000003','00','Request by Mr. Saqib Saleem 08-Nov-2024 Added Premium');</v>
      </c>
    </row>
    <row r="7" spans="1:8" ht="105" x14ac:dyDescent="0.25">
      <c r="A7" s="7" t="s">
        <v>106</v>
      </c>
      <c r="B7" s="20" t="str">
        <f>VLOOKUP(A7,Policy!B:D,2,0)</f>
        <v>040000170920</v>
      </c>
      <c r="C7" s="9">
        <v>64460</v>
      </c>
      <c r="D7" s="21">
        <f t="shared" si="0"/>
        <v>64460</v>
      </c>
      <c r="E7" s="19" t="s">
        <v>199</v>
      </c>
      <c r="F7" s="22" t="str">
        <f t="shared" si="1"/>
        <v>insert into ins_premium_det (premium_rcv_code,assorted_code, rec_amount,premium_rcv_detail_code,remaining_amt, payrec, mode_code,coinsurance_code,class_cd,it_remarks) values</v>
      </c>
      <c r="G7" s="23" t="str">
        <f t="shared" si="2"/>
        <v>('07Nov240059','040000170920','64460',(select max(to_number(i.premium_rcv_detail_code))+1
from ins_premium_det i),'64460','64460','02', '11000003','00','Request by Mr. Saqib Saleem 08-Nov-2024 Added Premium');</v>
      </c>
      <c r="H7" s="24" t="str">
        <f t="shared" si="3"/>
        <v>insert into ins_premium_det (premium_rcv_code,assorted_code, rec_amount,premium_rcv_detail_code,remaining_amt, payrec, mode_code,coinsurance_code,class_cd,it_remarks) values('07Nov240059','040000170920','64460',(select max(to_number(i.premium_rcv_detail_code))+1
from ins_premium_det i),'64460','64460','02', '11000003','00','Request by Mr. Saqib Saleem 08-Nov-2024 Added Premium');</v>
      </c>
    </row>
    <row r="8" spans="1:8" ht="105" x14ac:dyDescent="0.25">
      <c r="A8" s="7" t="s">
        <v>104</v>
      </c>
      <c r="B8" s="20" t="str">
        <f>VLOOKUP(A8,Policy!B:D,2,0)</f>
        <v>040000169360</v>
      </c>
      <c r="C8" s="9">
        <v>1245998</v>
      </c>
      <c r="D8" s="21">
        <f t="shared" si="0"/>
        <v>1245998</v>
      </c>
      <c r="E8" s="19" t="s">
        <v>199</v>
      </c>
      <c r="F8" s="22" t="str">
        <f t="shared" si="1"/>
        <v>insert into ins_premium_det (premium_rcv_code,assorted_code, rec_amount,premium_rcv_detail_code,remaining_amt, payrec, mode_code,coinsurance_code,class_cd,it_remarks) values</v>
      </c>
      <c r="G8" s="23" t="str">
        <f t="shared" si="2"/>
        <v>('07Nov240059','040000169360','1245998',(select max(to_number(i.premium_rcv_detail_code))+1
from ins_premium_det i),'1245998','1245998','02', '11000003','00','Request by Mr. Saqib Saleem 08-Nov-2024 Added Premium');</v>
      </c>
      <c r="H8" s="24" t="str">
        <f t="shared" si="3"/>
        <v>insert into ins_premium_det (premium_rcv_code,assorted_code, rec_amount,premium_rcv_detail_code,remaining_amt, payrec, mode_code,coinsurance_code,class_cd,it_remarks) values('07Nov240059','040000169360','1245998',(select max(to_number(i.premium_rcv_detail_code))+1
from ins_premium_det i),'1245998','1245998','02', '11000003','00','Request by Mr. Saqib Saleem 08-Nov-2024 Added Premium');</v>
      </c>
    </row>
    <row r="9" spans="1:8" ht="105" x14ac:dyDescent="0.25">
      <c r="A9" s="7" t="s">
        <v>107</v>
      </c>
      <c r="B9" s="20" t="str">
        <f>VLOOKUP(A9,Policy!B:D,2,0)</f>
        <v>040000170889</v>
      </c>
      <c r="C9" s="9">
        <v>5446</v>
      </c>
      <c r="D9" s="21">
        <f t="shared" si="0"/>
        <v>5446</v>
      </c>
      <c r="E9" s="19" t="s">
        <v>199</v>
      </c>
      <c r="F9" s="22" t="str">
        <f t="shared" si="1"/>
        <v>insert into ins_premium_det (premium_rcv_code,assorted_code, rec_amount,premium_rcv_detail_code,remaining_amt, payrec, mode_code,coinsurance_code,class_cd,it_remarks) values</v>
      </c>
      <c r="G9" s="23" t="str">
        <f t="shared" si="2"/>
        <v>('07Nov240059','040000170889','5446',(select max(to_number(i.premium_rcv_detail_code))+1
from ins_premium_det i),'5446','5446','02', '11000003','00','Request by Mr. Saqib Saleem 08-Nov-2024 Added Premium');</v>
      </c>
      <c r="H9" s="24" t="str">
        <f t="shared" si="3"/>
        <v>insert into ins_premium_det (premium_rcv_code,assorted_code, rec_amount,premium_rcv_detail_code,remaining_amt, payrec, mode_code,coinsurance_code,class_cd,it_remarks) values('07Nov240059','040000170889','5446',(select max(to_number(i.premium_rcv_detail_code))+1
from ins_premium_det i),'5446','5446','02', '11000003','00','Request by Mr. Saqib Saleem 08-Nov-2024 Added Premium');</v>
      </c>
    </row>
    <row r="10" spans="1:8" ht="105" x14ac:dyDescent="0.25">
      <c r="A10" s="7" t="s">
        <v>108</v>
      </c>
      <c r="B10" s="20" t="str">
        <f>VLOOKUP(A10,Policy!B:D,2,0)</f>
        <v>040000170918</v>
      </c>
      <c r="C10" s="9">
        <v>253846</v>
      </c>
      <c r="D10" s="21">
        <f t="shared" si="0"/>
        <v>253846</v>
      </c>
      <c r="E10" s="19" t="s">
        <v>199</v>
      </c>
      <c r="F10" s="22" t="str">
        <f t="shared" si="1"/>
        <v>insert into ins_premium_det (premium_rcv_code,assorted_code, rec_amount,premium_rcv_detail_code,remaining_amt, payrec, mode_code,coinsurance_code,class_cd,it_remarks) values</v>
      </c>
      <c r="G10" s="23" t="str">
        <f t="shared" si="2"/>
        <v>('07Nov240059','040000170918','253846',(select max(to_number(i.premium_rcv_detail_code))+1
from ins_premium_det i),'253846','253846','02', '11000003','00','Request by Mr. Saqib Saleem 08-Nov-2024 Added Premium');</v>
      </c>
      <c r="H10" s="24" t="str">
        <f t="shared" si="3"/>
        <v>insert into ins_premium_det (premium_rcv_code,assorted_code, rec_amount,premium_rcv_detail_code,remaining_amt, payrec, mode_code,coinsurance_code,class_cd,it_remarks) values('07Nov240059','040000170918','253846',(select max(to_number(i.premium_rcv_detail_code))+1
from ins_premium_det i),'253846','253846','02', '11000003','00','Request by Mr. Saqib Saleem 08-Nov-2024 Added Premium');</v>
      </c>
    </row>
    <row r="11" spans="1:8" ht="105" x14ac:dyDescent="0.25">
      <c r="A11" s="6" t="s">
        <v>116</v>
      </c>
      <c r="B11" s="20" t="str">
        <f>VLOOKUP(A11,Policy!B:D,2,0)</f>
        <v>040000170923</v>
      </c>
      <c r="C11" s="9">
        <v>24695</v>
      </c>
      <c r="D11" s="21">
        <f t="shared" si="0"/>
        <v>24695</v>
      </c>
      <c r="E11" s="19" t="s">
        <v>199</v>
      </c>
      <c r="F11" s="22" t="str">
        <f t="shared" si="1"/>
        <v>insert into ins_premium_det (premium_rcv_code,assorted_code, rec_amount,premium_rcv_detail_code,remaining_amt, payrec, mode_code,coinsurance_code,class_cd,it_remarks) values</v>
      </c>
      <c r="G11" s="23" t="str">
        <f t="shared" si="2"/>
        <v>('07Nov240059','040000170923','24695',(select max(to_number(i.premium_rcv_detail_code))+1
from ins_premium_det i),'24695','24695','02', '11000003','00','Request by Mr. Saqib Saleem 08-Nov-2024 Added Premium');</v>
      </c>
      <c r="H11" s="24" t="str">
        <f t="shared" si="3"/>
        <v>insert into ins_premium_det (premium_rcv_code,assorted_code, rec_amount,premium_rcv_detail_code,remaining_amt, payrec, mode_code,coinsurance_code,class_cd,it_remarks) values('07Nov240059','040000170923','24695',(select max(to_number(i.premium_rcv_detail_code))+1
from ins_premium_det i),'24695','24695','02', '11000003','00','Request by Mr. Saqib Saleem 08-Nov-2024 Added Premium');</v>
      </c>
    </row>
    <row r="12" spans="1:8" ht="105" x14ac:dyDescent="0.25">
      <c r="A12" s="7" t="s">
        <v>105</v>
      </c>
      <c r="B12" s="20" t="str">
        <f>VLOOKUP(A12,Policy!B:D,2,0)</f>
        <v>040000169359</v>
      </c>
      <c r="C12" s="9">
        <v>192000</v>
      </c>
      <c r="D12" s="21">
        <f t="shared" si="0"/>
        <v>192000</v>
      </c>
      <c r="E12" s="19" t="s">
        <v>199</v>
      </c>
      <c r="F12" s="22" t="str">
        <f t="shared" si="1"/>
        <v>insert into ins_premium_det (premium_rcv_code,assorted_code, rec_amount,premium_rcv_detail_code,remaining_amt, payrec, mode_code,coinsurance_code,class_cd,it_remarks) values</v>
      </c>
      <c r="G12" s="23" t="str">
        <f t="shared" si="2"/>
        <v>('07Nov240059','040000169359','192000',(select max(to_number(i.premium_rcv_detail_code))+1
from ins_premium_det i),'192000','192000','02', '11000003','00','Request by Mr. Saqib Saleem 08-Nov-2024 Added Premium');</v>
      </c>
      <c r="H12" s="24" t="str">
        <f t="shared" si="3"/>
        <v>insert into ins_premium_det (premium_rcv_code,assorted_code, rec_amount,premium_rcv_detail_code,remaining_amt, payrec, mode_code,coinsurance_code,class_cd,it_remarks) values('07Nov240059','040000169359','192000',(select max(to_number(i.premium_rcv_detail_code))+1
from ins_premium_det i),'192000','192000','02', '11000003','00','Request by Mr. Saqib Saleem 08-Nov-2024 Added Premium');</v>
      </c>
    </row>
    <row r="13" spans="1:8" ht="105" x14ac:dyDescent="0.25">
      <c r="A13" s="7" t="s">
        <v>109</v>
      </c>
      <c r="B13" s="20" t="str">
        <f>VLOOKUP(A13,Policy!B:D,2,0)</f>
        <v>040000170892</v>
      </c>
      <c r="C13" s="9">
        <v>93206</v>
      </c>
      <c r="D13" s="21">
        <f t="shared" si="0"/>
        <v>93206</v>
      </c>
      <c r="E13" s="19" t="s">
        <v>199</v>
      </c>
      <c r="F13" s="22" t="str">
        <f t="shared" si="1"/>
        <v>insert into ins_premium_det (premium_rcv_code,assorted_code, rec_amount,premium_rcv_detail_code,remaining_amt, payrec, mode_code,coinsurance_code,class_cd,it_remarks) values</v>
      </c>
      <c r="G13" s="23" t="str">
        <f t="shared" si="2"/>
        <v>('07Nov240059','040000170892','93206',(select max(to_number(i.premium_rcv_detail_code))+1
from ins_premium_det i),'93206','93206','02', '11000003','00','Request by Mr. Saqib Saleem 08-Nov-2024 Added Premium');</v>
      </c>
      <c r="H13" s="24" t="str">
        <f t="shared" si="3"/>
        <v>insert into ins_premium_det (premium_rcv_code,assorted_code, rec_amount,premium_rcv_detail_code,remaining_amt, payrec, mode_code,coinsurance_code,class_cd,it_remarks) values('07Nov240059','040000170892','93206',(select max(to_number(i.premium_rcv_detail_code))+1
from ins_premium_det i),'93206','93206','02', '11000003','00','Request by Mr. Saqib Saleem 08-Nov-2024 Added Premium');</v>
      </c>
    </row>
    <row r="14" spans="1:8" ht="105" x14ac:dyDescent="0.25">
      <c r="A14" s="7" t="s">
        <v>102</v>
      </c>
      <c r="B14" s="20" t="str">
        <f>VLOOKUP(A14,Policy!B:D,2,0)</f>
        <v>040000169361</v>
      </c>
      <c r="C14" s="9">
        <v>39111</v>
      </c>
      <c r="D14" s="21">
        <f t="shared" si="0"/>
        <v>39111</v>
      </c>
      <c r="E14" s="19" t="s">
        <v>199</v>
      </c>
      <c r="F14" s="22" t="str">
        <f t="shared" si="1"/>
        <v>insert into ins_premium_det (premium_rcv_code,assorted_code, rec_amount,premium_rcv_detail_code,remaining_amt, payrec, mode_code,coinsurance_code,class_cd,it_remarks) values</v>
      </c>
      <c r="G14" s="23" t="str">
        <f t="shared" si="2"/>
        <v>('07Nov240059','040000169361','39111',(select max(to_number(i.premium_rcv_detail_code))+1
from ins_premium_det i),'39111','39111','02', '11000003','00','Request by Mr. Saqib Saleem 08-Nov-2024 Added Premium');</v>
      </c>
      <c r="H14" s="24" t="str">
        <f t="shared" si="3"/>
        <v>insert into ins_premium_det (premium_rcv_code,assorted_code, rec_amount,premium_rcv_detail_code,remaining_amt, payrec, mode_code,coinsurance_code,class_cd,it_remarks) values('07Nov240059','040000169361','39111',(select max(to_number(i.premium_rcv_detail_code))+1
from ins_premium_det i),'39111','39111','02', '11000003','00','Request by Mr. Saqib Saleem 08-Nov-2024 Added Premium');</v>
      </c>
    </row>
    <row r="15" spans="1:8" ht="105" x14ac:dyDescent="0.25">
      <c r="A15" s="7" t="s">
        <v>108</v>
      </c>
      <c r="B15" s="20" t="str">
        <f>VLOOKUP(A15,Policy!B:D,2,0)</f>
        <v>040000170918</v>
      </c>
      <c r="C15" s="9">
        <v>2485</v>
      </c>
      <c r="D15" s="21">
        <f t="shared" si="0"/>
        <v>2485</v>
      </c>
      <c r="E15" s="19" t="s">
        <v>199</v>
      </c>
      <c r="F15" s="22" t="str">
        <f t="shared" si="1"/>
        <v>insert into ins_premium_det (premium_rcv_code,assorted_code, rec_amount,premium_rcv_detail_code,remaining_amt, payrec, mode_code,coinsurance_code,class_cd,it_remarks) values</v>
      </c>
      <c r="G15" s="23" t="str">
        <f t="shared" si="2"/>
        <v>('07Nov240059','040000170918','2485',(select max(to_number(i.premium_rcv_detail_code))+1
from ins_premium_det i),'2485','2485','02', '11000003','00','Request by Mr. Saqib Saleem 08-Nov-2024 Added Premium');</v>
      </c>
      <c r="H15" s="24" t="str">
        <f t="shared" si="3"/>
        <v>insert into ins_premium_det (premium_rcv_code,assorted_code, rec_amount,premium_rcv_detail_code,remaining_amt, payrec, mode_code,coinsurance_code,class_cd,it_remarks) values('07Nov240059','040000170918','2485',(select max(to_number(i.premium_rcv_detail_code))+1
from ins_premium_det i),'2485','2485','02', '11000003','00','Request by Mr. Saqib Saleem 08-Nov-2024 Added Premium');</v>
      </c>
    </row>
    <row r="16" spans="1:8" ht="105" x14ac:dyDescent="0.25">
      <c r="A16" s="7" t="s">
        <v>104</v>
      </c>
      <c r="B16" s="20" t="str">
        <f>VLOOKUP(A16,Policy!B:D,2,0)</f>
        <v>040000169360</v>
      </c>
      <c r="C16" s="9">
        <v>62654</v>
      </c>
      <c r="D16" s="21">
        <f t="shared" si="0"/>
        <v>62654</v>
      </c>
      <c r="E16" s="19" t="s">
        <v>199</v>
      </c>
      <c r="F16" s="22" t="str">
        <f t="shared" si="1"/>
        <v>insert into ins_premium_det (premium_rcv_code,assorted_code, rec_amount,premium_rcv_detail_code,remaining_amt, payrec, mode_code,coinsurance_code,class_cd,it_remarks) values</v>
      </c>
      <c r="G16" s="23" t="str">
        <f t="shared" si="2"/>
        <v>('07Nov240059','040000169360','62654',(select max(to_number(i.premium_rcv_detail_code))+1
from ins_premium_det i),'62654','62654','02', '11000003','00','Request by Mr. Saqib Saleem 08-Nov-2024 Added Premium');</v>
      </c>
      <c r="H16" s="24" t="str">
        <f t="shared" si="3"/>
        <v>insert into ins_premium_det (premium_rcv_code,assorted_code, rec_amount,premium_rcv_detail_code,remaining_amt, payrec, mode_code,coinsurance_code,class_cd,it_remarks) values('07Nov240059','040000169360','62654',(select max(to_number(i.premium_rcv_detail_code))+1
from ins_premium_det i),'62654','62654','02', '11000003','00','Request by Mr. Saqib Saleem 08-Nov-2024 Added Premium');</v>
      </c>
    </row>
    <row r="17" spans="1:8" ht="105" x14ac:dyDescent="0.25">
      <c r="A17" s="7" t="s">
        <v>102</v>
      </c>
      <c r="B17" s="20" t="str">
        <f>VLOOKUP(A17,Policy!B:D,2,0)</f>
        <v>040000169361</v>
      </c>
      <c r="C17" s="9">
        <v>57894</v>
      </c>
      <c r="D17" s="21">
        <f t="shared" si="0"/>
        <v>57894</v>
      </c>
      <c r="E17" s="19" t="s">
        <v>199</v>
      </c>
      <c r="F17" s="22" t="str">
        <f t="shared" si="1"/>
        <v>insert into ins_premium_det (premium_rcv_code,assorted_code, rec_amount,premium_rcv_detail_code,remaining_amt, payrec, mode_code,coinsurance_code,class_cd,it_remarks) values</v>
      </c>
      <c r="G17" s="23" t="str">
        <f t="shared" si="2"/>
        <v>('07Nov240059','040000169361','57894',(select max(to_number(i.premium_rcv_detail_code))+1
from ins_premium_det i),'57894','57894','02', '11000003','00','Request by Mr. Saqib Saleem 08-Nov-2024 Added Premium');</v>
      </c>
      <c r="H17" s="24" t="str">
        <f t="shared" si="3"/>
        <v>insert into ins_premium_det (premium_rcv_code,assorted_code, rec_amount,premium_rcv_detail_code,remaining_amt, payrec, mode_code,coinsurance_code,class_cd,it_remarks) values('07Nov240059','040000169361','57894',(select max(to_number(i.premium_rcv_detail_code))+1
from ins_premium_det i),'57894','57894','02', '11000003','00','Request by Mr. Saqib Saleem 08-Nov-2024 Added Premium');</v>
      </c>
    </row>
    <row r="18" spans="1:8" ht="105" x14ac:dyDescent="0.25">
      <c r="A18" s="7" t="s">
        <v>103</v>
      </c>
      <c r="B18" s="20" t="str">
        <f>VLOOKUP(A18,Policy!B:D,2,0)</f>
        <v>040000169362</v>
      </c>
      <c r="C18" s="9">
        <v>-62432</v>
      </c>
      <c r="D18" s="21">
        <f t="shared" si="0"/>
        <v>-62432</v>
      </c>
      <c r="E18" s="19" t="s">
        <v>199</v>
      </c>
      <c r="F18" s="22" t="str">
        <f t="shared" si="1"/>
        <v>insert into ins_premium_det (premium_rcv_code,assorted_code, rec_amount,premium_rcv_detail_code,remaining_amt, payrec, mode_code,coinsurance_code,class_cd,it_remarks) values</v>
      </c>
      <c r="G18" s="23" t="str">
        <f t="shared" si="2"/>
        <v>('07Nov240059','040000169362','-62432',(select max(to_number(i.premium_rcv_detail_code))+1
from ins_premium_det i),'-62432','-62432','02', '11000003','00','Request by Mr. Saqib Saleem 08-Nov-2024 Added Premium');</v>
      </c>
      <c r="H18" s="24" t="str">
        <f t="shared" si="3"/>
        <v>insert into ins_premium_det (premium_rcv_code,assorted_code, rec_amount,premium_rcv_detail_code,remaining_amt, payrec, mode_code,coinsurance_code,class_cd,it_remarks) values('07Nov240059','040000169362','-62432',(select max(to_number(i.premium_rcv_detail_code))+1
from ins_premium_det i),'-62432','-62432','02', '11000003','00','Request by Mr. Saqib Saleem 08-Nov-2024 Added Premium');</v>
      </c>
    </row>
    <row r="19" spans="1:8" ht="105" x14ac:dyDescent="0.25">
      <c r="A19" s="7" t="s">
        <v>106</v>
      </c>
      <c r="B19" s="20" t="str">
        <f>VLOOKUP(A19,Policy!B:D,2,0)</f>
        <v>040000170920</v>
      </c>
      <c r="C19" s="9">
        <v>-6085</v>
      </c>
      <c r="D19" s="21">
        <f t="shared" si="0"/>
        <v>-6085</v>
      </c>
      <c r="E19" s="19" t="s">
        <v>199</v>
      </c>
      <c r="F19" s="22" t="str">
        <f t="shared" si="1"/>
        <v>insert into ins_premium_det (premium_rcv_code,assorted_code, rec_amount,premium_rcv_detail_code,remaining_amt, payrec, mode_code,coinsurance_code,class_cd,it_remarks) values</v>
      </c>
      <c r="G19" s="23" t="str">
        <f t="shared" si="2"/>
        <v>('07Nov240059','040000170920','-6085',(select max(to_number(i.premium_rcv_detail_code))+1
from ins_premium_det i),'-6085','-6085','02', '11000003','00','Request by Mr. Saqib Saleem 08-Nov-2024 Added Premium');</v>
      </c>
      <c r="H19" s="24" t="str">
        <f t="shared" si="3"/>
        <v>insert into ins_premium_det (premium_rcv_code,assorted_code, rec_amount,premium_rcv_detail_code,remaining_amt, payrec, mode_code,coinsurance_code,class_cd,it_remarks) values('07Nov240059','040000170920','-6085',(select max(to_number(i.premium_rcv_detail_code))+1
from ins_premium_det i),'-6085','-6085','02', '11000003','00','Request by Mr. Saqib Saleem 08-Nov-2024 Added Premium');</v>
      </c>
    </row>
    <row r="20" spans="1:8" ht="105" x14ac:dyDescent="0.25">
      <c r="A20" s="6" t="s">
        <v>115</v>
      </c>
      <c r="B20" s="20" t="str">
        <f>VLOOKUP(A20,Policy!B:D,2,0)</f>
        <v>050000764457</v>
      </c>
      <c r="C20" s="9">
        <v>12641</v>
      </c>
      <c r="D20" s="21">
        <f t="shared" si="0"/>
        <v>12641</v>
      </c>
      <c r="E20" s="19" t="s">
        <v>199</v>
      </c>
      <c r="F20" s="22" t="str">
        <f t="shared" si="1"/>
        <v>insert into ins_premium_det (premium_rcv_code,assorted_code, rec_amount,premium_rcv_detail_code,remaining_amt, payrec, mode_code,coinsurance_code,class_cd,it_remarks) values</v>
      </c>
      <c r="G20" s="23" t="str">
        <f t="shared" si="2"/>
        <v>('07Nov240059','050000764457','12641',(select max(to_number(i.premium_rcv_detail_code))+1
from ins_premium_det i),'12641','12641','02', '11000003','00','Request by Mr. Saqib Saleem 08-Nov-2024 Added Premium');</v>
      </c>
      <c r="H20" s="24" t="str">
        <f t="shared" si="3"/>
        <v>insert into ins_premium_det (premium_rcv_code,assorted_code, rec_amount,premium_rcv_detail_code,remaining_amt, payrec, mode_code,coinsurance_code,class_cd,it_remarks) values('07Nov240059','050000764457','12641',(select max(to_number(i.premium_rcv_detail_code))+1
from ins_premium_det i),'12641','12641','02', '11000003','00','Request by Mr. Saqib Saleem 08-Nov-2024 Added Premium');</v>
      </c>
    </row>
    <row r="21" spans="1:8" ht="105" x14ac:dyDescent="0.25">
      <c r="A21" s="7" t="s">
        <v>103</v>
      </c>
      <c r="B21" s="20" t="str">
        <f>VLOOKUP(A21,Policy!B:D,2,0)</f>
        <v>040000169362</v>
      </c>
      <c r="C21" s="9">
        <v>-161648</v>
      </c>
      <c r="D21" s="21">
        <f t="shared" si="0"/>
        <v>-161648</v>
      </c>
      <c r="E21" s="19" t="s">
        <v>199</v>
      </c>
      <c r="F21" s="22" t="str">
        <f t="shared" si="1"/>
        <v>insert into ins_premium_det (premium_rcv_code,assorted_code, rec_amount,premium_rcv_detail_code,remaining_amt, payrec, mode_code,coinsurance_code,class_cd,it_remarks) values</v>
      </c>
      <c r="G21" s="23" t="str">
        <f t="shared" si="2"/>
        <v>('07Nov240059','040000169362','-161648',(select max(to_number(i.premium_rcv_detail_code))+1
from ins_premium_det i),'-161648','-161648','02', '11000003','00','Request by Mr. Saqib Saleem 08-Nov-2024 Added Premium');</v>
      </c>
      <c r="H21" s="24" t="str">
        <f t="shared" si="3"/>
        <v>insert into ins_premium_det (premium_rcv_code,assorted_code, rec_amount,premium_rcv_detail_code,remaining_amt, payrec, mode_code,coinsurance_code,class_cd,it_remarks) values('07Nov240059','040000169362','-161648',(select max(to_number(i.premium_rcv_detail_code))+1
from ins_premium_det i),'-161648','-161648','02', '11000003','00','Request by Mr. Saqib Saleem 08-Nov-2024 Added Premium');</v>
      </c>
    </row>
    <row r="22" spans="1:8" ht="105" x14ac:dyDescent="0.25">
      <c r="A22" s="6" t="s">
        <v>123</v>
      </c>
      <c r="B22" s="20" t="str">
        <f>VLOOKUP(A22,Policy!B:D,2,0)</f>
        <v>050000821466</v>
      </c>
      <c r="C22" s="9">
        <v>12634</v>
      </c>
      <c r="D22" s="21">
        <f t="shared" si="0"/>
        <v>12634</v>
      </c>
      <c r="E22" s="19" t="s">
        <v>199</v>
      </c>
      <c r="F22" s="22" t="str">
        <f t="shared" si="1"/>
        <v>insert into ins_premium_det (premium_rcv_code,assorted_code, rec_amount,premium_rcv_detail_code,remaining_amt, payrec, mode_code,coinsurance_code,class_cd,it_remarks) values</v>
      </c>
      <c r="G22" s="23" t="str">
        <f t="shared" si="2"/>
        <v>('07Nov240059','050000821466','12634',(select max(to_number(i.premium_rcv_detail_code))+1
from ins_premium_det i),'12634','12634','02', '11000003','00','Request by Mr. Saqib Saleem 08-Nov-2024 Added Premium');</v>
      </c>
      <c r="H22" s="24" t="str">
        <f t="shared" si="3"/>
        <v>insert into ins_premium_det (premium_rcv_code,assorted_code, rec_amount,premium_rcv_detail_code,remaining_amt, payrec, mode_code,coinsurance_code,class_cd,it_remarks) values('07Nov240059','050000821466','12634',(select max(to_number(i.premium_rcv_detail_code))+1
from ins_premium_det i),'12634','12634','02', '11000003','00','Request by Mr. Saqib Saleem 08-Nov-2024 Added Premium');</v>
      </c>
    </row>
    <row r="23" spans="1:8" ht="105" x14ac:dyDescent="0.25">
      <c r="A23" s="7" t="s">
        <v>110</v>
      </c>
      <c r="B23" s="20" t="str">
        <f>VLOOKUP(A23,Policy!B:D,2,0)</f>
        <v>050000788846</v>
      </c>
      <c r="C23" s="9">
        <v>1886</v>
      </c>
      <c r="D23" s="21">
        <f t="shared" si="0"/>
        <v>1886</v>
      </c>
      <c r="E23" s="19" t="s">
        <v>199</v>
      </c>
      <c r="F23" s="22" t="str">
        <f t="shared" si="1"/>
        <v>insert into ins_premium_det (premium_rcv_code,assorted_code, rec_amount,premium_rcv_detail_code,remaining_amt, payrec, mode_code,coinsurance_code,class_cd,it_remarks) values</v>
      </c>
      <c r="G23" s="23" t="str">
        <f t="shared" si="2"/>
        <v>('07Nov240059','050000788846','1886',(select max(to_number(i.premium_rcv_detail_code))+1
from ins_premium_det i),'1886','1886','02', '11000003','00','Request by Mr. Saqib Saleem 08-Nov-2024 Added Premium');</v>
      </c>
      <c r="H23" s="24" t="str">
        <f t="shared" si="3"/>
        <v>insert into ins_premium_det (premium_rcv_code,assorted_code, rec_amount,premium_rcv_detail_code,remaining_amt, payrec, mode_code,coinsurance_code,class_cd,it_remarks) values('07Nov240059','050000788846','1886',(select max(to_number(i.premium_rcv_detail_code))+1
from ins_premium_det i),'1886','1886','02', '11000003','00','Request by Mr. Saqib Saleem 08-Nov-2024 Added Premium');</v>
      </c>
    </row>
    <row r="24" spans="1:8" ht="105" x14ac:dyDescent="0.25">
      <c r="A24" s="7" t="s">
        <v>111</v>
      </c>
      <c r="B24" s="20" t="str">
        <f>VLOOKUP(A24,Policy!B:D,2,0)</f>
        <v>050000788833</v>
      </c>
      <c r="C24" s="9">
        <v>19873</v>
      </c>
      <c r="D24" s="21">
        <f t="shared" si="0"/>
        <v>19873</v>
      </c>
      <c r="E24" s="19" t="s">
        <v>199</v>
      </c>
      <c r="F24" s="22" t="str">
        <f t="shared" si="1"/>
        <v>insert into ins_premium_det (premium_rcv_code,assorted_code, rec_amount,premium_rcv_detail_code,remaining_amt, payrec, mode_code,coinsurance_code,class_cd,it_remarks) values</v>
      </c>
      <c r="G24" s="23" t="str">
        <f t="shared" si="2"/>
        <v>('07Nov240059','050000788833','19873',(select max(to_number(i.premium_rcv_detail_code))+1
from ins_premium_det i),'19873','19873','02', '11000003','00','Request by Mr. Saqib Saleem 08-Nov-2024 Added Premium');</v>
      </c>
      <c r="H24" s="24" t="str">
        <f t="shared" si="3"/>
        <v>insert into ins_premium_det (premium_rcv_code,assorted_code, rec_amount,premium_rcv_detail_code,remaining_amt, payrec, mode_code,coinsurance_code,class_cd,it_remarks) values('07Nov240059','050000788833','19873',(select max(to_number(i.premium_rcv_detail_code))+1
from ins_premium_det i),'19873','19873','02', '11000003','00','Request by Mr. Saqib Saleem 08-Nov-2024 Added Premium');</v>
      </c>
    </row>
    <row r="25" spans="1:8" ht="105" x14ac:dyDescent="0.25">
      <c r="A25" s="7" t="s">
        <v>112</v>
      </c>
      <c r="B25" s="20" t="str">
        <f>VLOOKUP(A25,Policy!B:D,2,0)</f>
        <v>050000788834</v>
      </c>
      <c r="C25" s="9">
        <v>-16386</v>
      </c>
      <c r="D25" s="21">
        <f t="shared" si="0"/>
        <v>-16386</v>
      </c>
      <c r="E25" s="19" t="s">
        <v>199</v>
      </c>
      <c r="F25" s="22" t="str">
        <f t="shared" si="1"/>
        <v>insert into ins_premium_det (premium_rcv_code,assorted_code, rec_amount,premium_rcv_detail_code,remaining_amt, payrec, mode_code,coinsurance_code,class_cd,it_remarks) values</v>
      </c>
      <c r="G25" s="23" t="str">
        <f t="shared" si="2"/>
        <v>('07Nov240059','050000788834','-16386',(select max(to_number(i.premium_rcv_detail_code))+1
from ins_premium_det i),'-16386','-16386','02', '11000003','00','Request by Mr. Saqib Saleem 08-Nov-2024 Added Premium');</v>
      </c>
      <c r="H25" s="24" t="str">
        <f t="shared" si="3"/>
        <v>insert into ins_premium_det (premium_rcv_code,assorted_code, rec_amount,premium_rcv_detail_code,remaining_amt, payrec, mode_code,coinsurance_code,class_cd,it_remarks) values('07Nov240059','050000788834','-16386',(select max(to_number(i.premium_rcv_detail_code))+1
from ins_premium_det i),'-16386','-16386','02', '11000003','00','Request by Mr. Saqib Saleem 08-Nov-2024 Added Premium');</v>
      </c>
    </row>
    <row r="26" spans="1:8" ht="105" x14ac:dyDescent="0.25">
      <c r="A26" s="7" t="s">
        <v>113</v>
      </c>
      <c r="B26" s="20" t="str">
        <f>VLOOKUP(A26,Policy!B:D,2,0)</f>
        <v>050000788836</v>
      </c>
      <c r="C26" s="9">
        <v>4582</v>
      </c>
      <c r="D26" s="21">
        <f t="shared" si="0"/>
        <v>4582</v>
      </c>
      <c r="E26" s="19" t="s">
        <v>199</v>
      </c>
      <c r="F26" s="22" t="str">
        <f t="shared" si="1"/>
        <v>insert into ins_premium_det (premium_rcv_code,assorted_code, rec_amount,premium_rcv_detail_code,remaining_amt, payrec, mode_code,coinsurance_code,class_cd,it_remarks) values</v>
      </c>
      <c r="G26" s="23" t="str">
        <f t="shared" si="2"/>
        <v>('07Nov240059','050000788836','4582',(select max(to_number(i.premium_rcv_detail_code))+1
from ins_premium_det i),'4582','4582','02', '11000003','00','Request by Mr. Saqib Saleem 08-Nov-2024 Added Premium');</v>
      </c>
      <c r="H26" s="24" t="str">
        <f t="shared" si="3"/>
        <v>insert into ins_premium_det (premium_rcv_code,assorted_code, rec_amount,premium_rcv_detail_code,remaining_amt, payrec, mode_code,coinsurance_code,class_cd,it_remarks) values('07Nov240059','050000788836','4582',(select max(to_number(i.premium_rcv_detail_code))+1
from ins_premium_det i),'4582','4582','02', '11000003','00','Request by Mr. Saqib Saleem 08-Nov-2024 Added Premium');</v>
      </c>
    </row>
    <row r="27" spans="1:8" ht="105" x14ac:dyDescent="0.25">
      <c r="A27" s="7" t="s">
        <v>114</v>
      </c>
      <c r="B27" s="20" t="str">
        <f>VLOOKUP(A27,Policy!B:D,2,0)</f>
        <v>050000788843</v>
      </c>
      <c r="C27" s="9">
        <v>4163</v>
      </c>
      <c r="D27" s="21">
        <f t="shared" si="0"/>
        <v>4163</v>
      </c>
      <c r="E27" s="19" t="s">
        <v>199</v>
      </c>
      <c r="F27" s="22" t="str">
        <f t="shared" si="1"/>
        <v>insert into ins_premium_det (premium_rcv_code,assorted_code, rec_amount,premium_rcv_detail_code,remaining_amt, payrec, mode_code,coinsurance_code,class_cd,it_remarks) values</v>
      </c>
      <c r="G27" s="23" t="str">
        <f t="shared" si="2"/>
        <v>('07Nov240059','050000788843','4163',(select max(to_number(i.premium_rcv_detail_code))+1
from ins_premium_det i),'4163','4163','02', '11000003','00','Request by Mr. Saqib Saleem 08-Nov-2024 Added Premium');</v>
      </c>
      <c r="H27" s="24" t="str">
        <f t="shared" si="3"/>
        <v>insert into ins_premium_det (premium_rcv_code,assorted_code, rec_amount,premium_rcv_detail_code,remaining_amt, payrec, mode_code,coinsurance_code,class_cd,it_remarks) values('07Nov240059','050000788843','4163',(select max(to_number(i.premium_rcv_detail_code))+1
from ins_premium_det i),'4163','4163','02', '11000003','00','Request by Mr. Saqib Saleem 08-Nov-2024 Added Premium');</v>
      </c>
    </row>
    <row r="28" spans="1:8" ht="105" x14ac:dyDescent="0.25">
      <c r="A28" s="6" t="s">
        <v>117</v>
      </c>
      <c r="B28" s="20" t="str">
        <f>VLOOKUP(A28,Policy!B:D,2,0)</f>
        <v>050000816013</v>
      </c>
      <c r="C28" s="9">
        <v>-11862</v>
      </c>
      <c r="D28" s="21">
        <f t="shared" si="0"/>
        <v>-11862</v>
      </c>
      <c r="E28" s="19" t="s">
        <v>199</v>
      </c>
      <c r="F28" s="22" t="str">
        <f t="shared" si="1"/>
        <v>insert into ins_premium_det (premium_rcv_code,assorted_code, rec_amount,premium_rcv_detail_code,remaining_amt, payrec, mode_code,coinsurance_code,class_cd,it_remarks) values</v>
      </c>
      <c r="G28" s="23" t="str">
        <f t="shared" si="2"/>
        <v>('07Nov240059','050000816013','-11862',(select max(to_number(i.premium_rcv_detail_code))+1
from ins_premium_det i),'-11862','-11862','02', '11000003','00','Request by Mr. Saqib Saleem 08-Nov-2024 Added Premium');</v>
      </c>
      <c r="H28" s="24" t="str">
        <f t="shared" si="3"/>
        <v>insert into ins_premium_det (premium_rcv_code,assorted_code, rec_amount,premium_rcv_detail_code,remaining_amt, payrec, mode_code,coinsurance_code,class_cd,it_remarks) values('07Nov240059','050000816013','-11862',(select max(to_number(i.premium_rcv_detail_code))+1
from ins_premium_det i),'-11862','-11862','02', '11000003','00','Request by Mr. Saqib Saleem 08-Nov-2024 Added Premium');</v>
      </c>
    </row>
    <row r="29" spans="1:8" ht="105" x14ac:dyDescent="0.25">
      <c r="A29" s="6" t="s">
        <v>118</v>
      </c>
      <c r="B29" s="20" t="str">
        <f>VLOOKUP(A29,Policy!B:D,2,0)</f>
        <v>050000816022</v>
      </c>
      <c r="C29" s="9">
        <v>-77664</v>
      </c>
      <c r="D29" s="21">
        <f t="shared" si="0"/>
        <v>-77664</v>
      </c>
      <c r="E29" s="19" t="s">
        <v>199</v>
      </c>
      <c r="F29" s="22" t="str">
        <f t="shared" si="1"/>
        <v>insert into ins_premium_det (premium_rcv_code,assorted_code, rec_amount,premium_rcv_detail_code,remaining_amt, payrec, mode_code,coinsurance_code,class_cd,it_remarks) values</v>
      </c>
      <c r="G29" s="23" t="str">
        <f t="shared" si="2"/>
        <v>('07Nov240059','050000816022','-77664',(select max(to_number(i.premium_rcv_detail_code))+1
from ins_premium_det i),'-77664','-77664','02', '11000003','00','Request by Mr. Saqib Saleem 08-Nov-2024 Added Premium');</v>
      </c>
      <c r="H29" s="24" t="str">
        <f t="shared" si="3"/>
        <v>insert into ins_premium_det (premium_rcv_code,assorted_code, rec_amount,premium_rcv_detail_code,remaining_amt, payrec, mode_code,coinsurance_code,class_cd,it_remarks) values('07Nov240059','050000816022','-77664',(select max(to_number(i.premium_rcv_detail_code))+1
from ins_premium_det i),'-77664','-77664','02', '11000003','00','Request by Mr. Saqib Saleem 08-Nov-2024 Added Premium');</v>
      </c>
    </row>
    <row r="30" spans="1:8" ht="105" x14ac:dyDescent="0.25">
      <c r="A30" s="6" t="s">
        <v>124</v>
      </c>
      <c r="B30" s="20" t="str">
        <f>VLOOKUP(A30,Policy!B:D,2,0)</f>
        <v>050000821691</v>
      </c>
      <c r="C30" s="9">
        <v>-22759</v>
      </c>
      <c r="D30" s="21">
        <f t="shared" si="0"/>
        <v>-22759</v>
      </c>
      <c r="E30" s="19" t="s">
        <v>199</v>
      </c>
      <c r="F30" s="22" t="str">
        <f t="shared" si="1"/>
        <v>insert into ins_premium_det (premium_rcv_code,assorted_code, rec_amount,premium_rcv_detail_code,remaining_amt, payrec, mode_code,coinsurance_code,class_cd,it_remarks) values</v>
      </c>
      <c r="G30" s="23" t="str">
        <f t="shared" si="2"/>
        <v>('07Nov240059','050000821691','-22759',(select max(to_number(i.premium_rcv_detail_code))+1
from ins_premium_det i),'-22759','-22759','02', '11000003','00','Request by Mr. Saqib Saleem 08-Nov-2024 Added Premium');</v>
      </c>
      <c r="H30" s="24" t="str">
        <f t="shared" si="3"/>
        <v>insert into ins_premium_det (premium_rcv_code,assorted_code, rec_amount,premium_rcv_detail_code,remaining_amt, payrec, mode_code,coinsurance_code,class_cd,it_remarks) values('07Nov240059','050000821691','-22759',(select max(to_number(i.premium_rcv_detail_code))+1
from ins_premium_det i),'-22759','-22759','02', '11000003','00','Request by Mr. Saqib Saleem 08-Nov-2024 Added Premium');</v>
      </c>
    </row>
    <row r="31" spans="1:8" ht="105" x14ac:dyDescent="0.25">
      <c r="A31" s="6" t="s">
        <v>125</v>
      </c>
      <c r="B31" s="20" t="str">
        <f>VLOOKUP(A31,Policy!B:D,2,0)</f>
        <v>050000821705</v>
      </c>
      <c r="C31" s="9">
        <v>38</v>
      </c>
      <c r="D31" s="21">
        <f t="shared" si="0"/>
        <v>38</v>
      </c>
      <c r="E31" s="19" t="s">
        <v>199</v>
      </c>
      <c r="F31" s="22" t="str">
        <f t="shared" si="1"/>
        <v>insert into ins_premium_det (premium_rcv_code,assorted_code, rec_amount,premium_rcv_detail_code,remaining_amt, payrec, mode_code,coinsurance_code,class_cd,it_remarks) values</v>
      </c>
      <c r="G31" s="23" t="str">
        <f t="shared" si="2"/>
        <v>('07Nov240059','050000821705','38',(select max(to_number(i.premium_rcv_detail_code))+1
from ins_premium_det i),'38','38','02', '11000003','00','Request by Mr. Saqib Saleem 08-Nov-2024 Added Premium');</v>
      </c>
      <c r="H31" s="24" t="str">
        <f t="shared" si="3"/>
        <v>insert into ins_premium_det (premium_rcv_code,assorted_code, rec_amount,premium_rcv_detail_code,remaining_amt, payrec, mode_code,coinsurance_code,class_cd,it_remarks) values('07Nov240059','050000821705','38',(select max(to_number(i.premium_rcv_detail_code))+1
from ins_premium_det i),'38','38','02', '11000003','00','Request by Mr. Saqib Saleem 08-Nov-2024 Added Premium');</v>
      </c>
    </row>
    <row r="32" spans="1:8" ht="105" x14ac:dyDescent="0.25">
      <c r="A32" s="6" t="s">
        <v>108</v>
      </c>
      <c r="B32" s="20" t="str">
        <f>VLOOKUP(A32,Policy!B:D,2,0)</f>
        <v>040000170918</v>
      </c>
      <c r="C32" s="9">
        <v>-40914</v>
      </c>
      <c r="D32" s="21">
        <f t="shared" si="0"/>
        <v>-40914</v>
      </c>
      <c r="E32" s="19" t="s">
        <v>199</v>
      </c>
      <c r="F32" s="22" t="str">
        <f t="shared" si="1"/>
        <v>insert into ins_premium_det (premium_rcv_code,assorted_code, rec_amount,premium_rcv_detail_code,remaining_amt, payrec, mode_code,coinsurance_code,class_cd,it_remarks) values</v>
      </c>
      <c r="G32" s="23" t="str">
        <f t="shared" si="2"/>
        <v>('07Nov240059','040000170918','-40914',(select max(to_number(i.premium_rcv_detail_code))+1
from ins_premium_det i),'-40914','-40914','02', '11000003','00','Request by Mr. Saqib Saleem 08-Nov-2024 Added Premium');</v>
      </c>
      <c r="H32" s="24" t="str">
        <f t="shared" si="3"/>
        <v>insert into ins_premium_det (premium_rcv_code,assorted_code, rec_amount,premium_rcv_detail_code,remaining_amt, payrec, mode_code,coinsurance_code,class_cd,it_remarks) values('07Nov240059','040000170918','-40914',(select max(to_number(i.premium_rcv_detail_code))+1
from ins_premium_det i),'-40914','-40914','02', '11000003','00','Request by Mr. Saqib Saleem 08-Nov-2024 Added Premium');</v>
      </c>
    </row>
    <row r="33" spans="1:8" ht="105" x14ac:dyDescent="0.25">
      <c r="A33" s="6" t="s">
        <v>126</v>
      </c>
      <c r="B33" s="20" t="str">
        <f>VLOOKUP(A33,Policy!B:D,2,0)</f>
        <v>050000821946</v>
      </c>
      <c r="C33" s="9">
        <v>1435</v>
      </c>
      <c r="D33" s="21">
        <f t="shared" si="0"/>
        <v>1435</v>
      </c>
      <c r="E33" s="19" t="s">
        <v>199</v>
      </c>
      <c r="F33" s="22" t="str">
        <f t="shared" si="1"/>
        <v>insert into ins_premium_det (premium_rcv_code,assorted_code, rec_amount,premium_rcv_detail_code,remaining_amt, payrec, mode_code,coinsurance_code,class_cd,it_remarks) values</v>
      </c>
      <c r="G33" s="23" t="str">
        <f t="shared" si="2"/>
        <v>('07Nov240059','050000821946','1435',(select max(to_number(i.premium_rcv_detail_code))+1
from ins_premium_det i),'1435','1435','02', '11000003','00','Request by Mr. Saqib Saleem 08-Nov-2024 Added Premium');</v>
      </c>
      <c r="H33" s="24" t="str">
        <f t="shared" si="3"/>
        <v>insert into ins_premium_det (premium_rcv_code,assorted_code, rec_amount,premium_rcv_detail_code,remaining_amt, payrec, mode_code,coinsurance_code,class_cd,it_remarks) values('07Nov240059','050000821946','1435',(select max(to_number(i.premium_rcv_detail_code))+1
from ins_premium_det i),'1435','1435','02', '11000003','00','Request by Mr. Saqib Saleem 08-Nov-2024 Added Premium');</v>
      </c>
    </row>
    <row r="34" spans="1:8" ht="105" x14ac:dyDescent="0.25">
      <c r="A34" s="6" t="s">
        <v>127</v>
      </c>
      <c r="B34" s="20" t="str">
        <f>VLOOKUP(A34,Policy!B:D,2,0)</f>
        <v>050000821459</v>
      </c>
      <c r="C34" s="9">
        <v>28085</v>
      </c>
      <c r="D34" s="21">
        <f t="shared" si="0"/>
        <v>28085</v>
      </c>
      <c r="E34" s="19" t="s">
        <v>199</v>
      </c>
      <c r="F34" s="22" t="str">
        <f t="shared" si="1"/>
        <v>insert into ins_premium_det (premium_rcv_code,assorted_code, rec_amount,premium_rcv_detail_code,remaining_amt, payrec, mode_code,coinsurance_code,class_cd,it_remarks) values</v>
      </c>
      <c r="G34" s="23" t="str">
        <f t="shared" si="2"/>
        <v>('07Nov240059','050000821459','28085',(select max(to_number(i.premium_rcv_detail_code))+1
from ins_premium_det i),'28085','28085','02', '11000003','00','Request by Mr. Saqib Saleem 08-Nov-2024 Added Premium');</v>
      </c>
      <c r="H34" s="24" t="str">
        <f t="shared" si="3"/>
        <v>insert into ins_premium_det (premium_rcv_code,assorted_code, rec_amount,premium_rcv_detail_code,remaining_amt, payrec, mode_code,coinsurance_code,class_cd,it_remarks) values('07Nov240059','050000821459','28085',(select max(to_number(i.premium_rcv_detail_code))+1
from ins_premium_det i),'28085','28085','02', '11000003','00','Request by Mr. Saqib Saleem 08-Nov-2024 Added Premium');</v>
      </c>
    </row>
    <row r="35" spans="1:8" ht="105" x14ac:dyDescent="0.25">
      <c r="A35" s="7" t="s">
        <v>119</v>
      </c>
      <c r="B35" s="20" t="str">
        <f>VLOOKUP(A35,Policy!B:D,2,0)</f>
        <v>050000816029</v>
      </c>
      <c r="C35" s="9">
        <v>-14670</v>
      </c>
      <c r="D35" s="21">
        <f t="shared" si="0"/>
        <v>-14670</v>
      </c>
      <c r="E35" s="19" t="s">
        <v>199</v>
      </c>
      <c r="F35" s="22" t="str">
        <f t="shared" si="1"/>
        <v>insert into ins_premium_det (premium_rcv_code,assorted_code, rec_amount,premium_rcv_detail_code,remaining_amt, payrec, mode_code,coinsurance_code,class_cd,it_remarks) values</v>
      </c>
      <c r="G35" s="23" t="str">
        <f t="shared" si="2"/>
        <v>('07Nov240059','050000816029','-14670',(select max(to_number(i.premium_rcv_detail_code))+1
from ins_premium_det i),'-14670','-14670','02', '11000003','00','Request by Mr. Saqib Saleem 08-Nov-2024 Added Premium');</v>
      </c>
      <c r="H35" s="24" t="str">
        <f t="shared" si="3"/>
        <v>insert into ins_premium_det (premium_rcv_code,assorted_code, rec_amount,premium_rcv_detail_code,remaining_amt, payrec, mode_code,coinsurance_code,class_cd,it_remarks) values('07Nov240059','050000816029','-14670',(select max(to_number(i.premium_rcv_detail_code))+1
from ins_premium_det i),'-14670','-14670','02', '11000003','00','Request by Mr. Saqib Saleem 08-Nov-2024 Added Premium');</v>
      </c>
    </row>
    <row r="36" spans="1:8" ht="105" x14ac:dyDescent="0.25">
      <c r="A36" s="6" t="s">
        <v>120</v>
      </c>
      <c r="B36" s="20" t="str">
        <f>VLOOKUP(A36,Policy!B:D,2,0)</f>
        <v>050000816047</v>
      </c>
      <c r="C36" s="9">
        <v>-96674</v>
      </c>
      <c r="D36" s="21">
        <f t="shared" si="0"/>
        <v>-96674</v>
      </c>
      <c r="E36" s="19" t="s">
        <v>199</v>
      </c>
      <c r="F36" s="22" t="str">
        <f t="shared" si="1"/>
        <v>insert into ins_premium_det (premium_rcv_code,assorted_code, rec_amount,premium_rcv_detail_code,remaining_amt, payrec, mode_code,coinsurance_code,class_cd,it_remarks) values</v>
      </c>
      <c r="G36" s="23" t="str">
        <f t="shared" si="2"/>
        <v>('07Nov240059','050000816047','-96674',(select max(to_number(i.premium_rcv_detail_code))+1
from ins_premium_det i),'-96674','-96674','02', '11000003','00','Request by Mr. Saqib Saleem 08-Nov-2024 Added Premium');</v>
      </c>
      <c r="H36" s="24" t="str">
        <f t="shared" si="3"/>
        <v>insert into ins_premium_det (premium_rcv_code,assorted_code, rec_amount,premium_rcv_detail_code,remaining_amt, payrec, mode_code,coinsurance_code,class_cd,it_remarks) values('07Nov240059','050000816047','-96674',(select max(to_number(i.premium_rcv_detail_code))+1
from ins_premium_det i),'-96674','-96674','02', '11000003','00','Request by Mr. Saqib Saleem 08-Nov-2024 Added Premium');</v>
      </c>
    </row>
    <row r="37" spans="1:8" ht="105" x14ac:dyDescent="0.25">
      <c r="A37" s="6" t="s">
        <v>128</v>
      </c>
      <c r="B37" s="20" t="str">
        <f>VLOOKUP(A37,Policy!B:D,2,0)</f>
        <v>050000822543</v>
      </c>
      <c r="C37" s="9">
        <v>-34678</v>
      </c>
      <c r="D37" s="21">
        <f t="shared" si="0"/>
        <v>-34678</v>
      </c>
      <c r="E37" s="19" t="s">
        <v>199</v>
      </c>
      <c r="F37" s="22" t="str">
        <f t="shared" si="1"/>
        <v>insert into ins_premium_det (premium_rcv_code,assorted_code, rec_amount,premium_rcv_detail_code,remaining_amt, payrec, mode_code,coinsurance_code,class_cd,it_remarks) values</v>
      </c>
      <c r="G37" s="23" t="str">
        <f t="shared" si="2"/>
        <v>('07Nov240059','050000822543','-34678',(select max(to_number(i.premium_rcv_detail_code))+1
from ins_premium_det i),'-34678','-34678','02', '11000003','00','Request by Mr. Saqib Saleem 08-Nov-2024 Added Premium');</v>
      </c>
      <c r="H37" s="24" t="str">
        <f t="shared" si="3"/>
        <v>insert into ins_premium_det (premium_rcv_code,assorted_code, rec_amount,premium_rcv_detail_code,remaining_amt, payrec, mode_code,coinsurance_code,class_cd,it_remarks) values('07Nov240059','050000822543','-34678',(select max(to_number(i.premium_rcv_detail_code))+1
from ins_premium_det i),'-34678','-34678','02', '11000003','00','Request by Mr. Saqib Saleem 08-Nov-2024 Added Premium');</v>
      </c>
    </row>
    <row r="38" spans="1:8" ht="105" x14ac:dyDescent="0.25">
      <c r="A38" s="6" t="s">
        <v>129</v>
      </c>
      <c r="B38" s="20" t="str">
        <f>VLOOKUP(A38,Policy!B:D,2,0)</f>
        <v>050000821973</v>
      </c>
      <c r="C38" s="9">
        <v>4479</v>
      </c>
      <c r="D38" s="21">
        <f t="shared" si="0"/>
        <v>4479</v>
      </c>
      <c r="E38" s="19" t="s">
        <v>199</v>
      </c>
      <c r="F38" s="22" t="str">
        <f t="shared" si="1"/>
        <v>insert into ins_premium_det (premium_rcv_code,assorted_code, rec_amount,premium_rcv_detail_code,remaining_amt, payrec, mode_code,coinsurance_code,class_cd,it_remarks) values</v>
      </c>
      <c r="G38" s="23" t="str">
        <f t="shared" si="2"/>
        <v>('07Nov240059','050000821973','4479',(select max(to_number(i.premium_rcv_detail_code))+1
from ins_premium_det i),'4479','4479','02', '11000003','00','Request by Mr. Saqib Saleem 08-Nov-2024 Added Premium');</v>
      </c>
      <c r="H38" s="24" t="str">
        <f t="shared" si="3"/>
        <v>insert into ins_premium_det (premium_rcv_code,assorted_code, rec_amount,premium_rcv_detail_code,remaining_amt, payrec, mode_code,coinsurance_code,class_cd,it_remarks) values('07Nov240059','050000821973','4479',(select max(to_number(i.premium_rcv_detail_code))+1
from ins_premium_det i),'4479','4479','02', '11000003','00','Request by Mr. Saqib Saleem 08-Nov-2024 Added Premium');</v>
      </c>
    </row>
    <row r="39" spans="1:8" ht="105" x14ac:dyDescent="0.25">
      <c r="A39" s="6" t="s">
        <v>130</v>
      </c>
      <c r="B39" s="20" t="str">
        <f>VLOOKUP(A39,Policy!B:D,2,0)</f>
        <v>050000822394</v>
      </c>
      <c r="C39" s="9">
        <v>36</v>
      </c>
      <c r="D39" s="21">
        <f t="shared" si="0"/>
        <v>36</v>
      </c>
      <c r="E39" s="19" t="s">
        <v>199</v>
      </c>
      <c r="F39" s="22" t="str">
        <f t="shared" si="1"/>
        <v>insert into ins_premium_det (premium_rcv_code,assorted_code, rec_amount,premium_rcv_detail_code,remaining_amt, payrec, mode_code,coinsurance_code,class_cd,it_remarks) values</v>
      </c>
      <c r="G39" s="23" t="str">
        <f t="shared" si="2"/>
        <v>('07Nov240059','050000822394','36',(select max(to_number(i.premium_rcv_detail_code))+1
from ins_premium_det i),'36','36','02', '11000003','00','Request by Mr. Saqib Saleem 08-Nov-2024 Added Premium');</v>
      </c>
      <c r="H39" s="24" t="str">
        <f t="shared" si="3"/>
        <v>insert into ins_premium_det (premium_rcv_code,assorted_code, rec_amount,premium_rcv_detail_code,remaining_amt, payrec, mode_code,coinsurance_code,class_cd,it_remarks) values('07Nov240059','050000822394','36',(select max(to_number(i.premium_rcv_detail_code))+1
from ins_premium_det i),'36','36','02', '11000003','00','Request by Mr. Saqib Saleem 08-Nov-2024 Added Premium');</v>
      </c>
    </row>
    <row r="40" spans="1:8" ht="105" x14ac:dyDescent="0.25">
      <c r="A40" s="7" t="s">
        <v>98</v>
      </c>
      <c r="B40" s="20" t="str">
        <f>VLOOKUP(A40,Policy!B:D,2,0)</f>
        <v>040000171025</v>
      </c>
      <c r="C40" s="9">
        <v>28823</v>
      </c>
      <c r="D40" s="21">
        <f t="shared" si="0"/>
        <v>28823</v>
      </c>
      <c r="E40" s="19" t="s">
        <v>199</v>
      </c>
      <c r="F40" s="22" t="str">
        <f t="shared" si="1"/>
        <v>insert into ins_premium_det (premium_rcv_code,assorted_code, rec_amount,premium_rcv_detail_code,remaining_amt, payrec, mode_code,coinsurance_code,class_cd,it_remarks) values</v>
      </c>
      <c r="G40" s="23" t="str">
        <f t="shared" si="2"/>
        <v>('07Nov240059','040000171025','28823',(select max(to_number(i.premium_rcv_detail_code))+1
from ins_premium_det i),'28823','28823','02', '11000003','00','Request by Mr. Saqib Saleem 08-Nov-2024 Added Premium');</v>
      </c>
      <c r="H40" s="24" t="str">
        <f t="shared" si="3"/>
        <v>insert into ins_premium_det (premium_rcv_code,assorted_code, rec_amount,premium_rcv_detail_code,remaining_amt, payrec, mode_code,coinsurance_code,class_cd,it_remarks) values('07Nov240059','040000171025','28823',(select max(to_number(i.premium_rcv_detail_code))+1
from ins_premium_det i),'28823','28823','02', '11000003','00','Request by Mr. Saqib Saleem 08-Nov-2024 Added Premium');</v>
      </c>
    </row>
    <row r="41" spans="1:8" ht="105" x14ac:dyDescent="0.25">
      <c r="A41" s="7" t="s">
        <v>121</v>
      </c>
      <c r="B41" s="20" t="str">
        <f>VLOOKUP(A41,Policy!B:D,2,0)</f>
        <v>050000816060</v>
      </c>
      <c r="C41" s="9">
        <v>-8781</v>
      </c>
      <c r="D41" s="21">
        <f t="shared" si="0"/>
        <v>-8781</v>
      </c>
      <c r="E41" s="19" t="s">
        <v>199</v>
      </c>
      <c r="F41" s="22" t="str">
        <f t="shared" si="1"/>
        <v>insert into ins_premium_det (premium_rcv_code,assorted_code, rec_amount,premium_rcv_detail_code,remaining_amt, payrec, mode_code,coinsurance_code,class_cd,it_remarks) values</v>
      </c>
      <c r="G41" s="23" t="str">
        <f t="shared" si="2"/>
        <v>('07Nov240059','050000816060','-8781',(select max(to_number(i.premium_rcv_detail_code))+1
from ins_premium_det i),'-8781','-8781','02', '11000003','00','Request by Mr. Saqib Saleem 08-Nov-2024 Added Premium');</v>
      </c>
      <c r="H41" s="24" t="str">
        <f t="shared" si="3"/>
        <v>insert into ins_premium_det (premium_rcv_code,assorted_code, rec_amount,premium_rcv_detail_code,remaining_amt, payrec, mode_code,coinsurance_code,class_cd,it_remarks) values('07Nov240059','050000816060','-8781',(select max(to_number(i.premium_rcv_detail_code))+1
from ins_premium_det i),'-8781','-8781','02', '11000003','00','Request by Mr. Saqib Saleem 08-Nov-2024 Added Premium');</v>
      </c>
    </row>
    <row r="42" spans="1:8" ht="105" x14ac:dyDescent="0.25">
      <c r="A42" s="7" t="s">
        <v>122</v>
      </c>
      <c r="B42" s="20" t="str">
        <f>VLOOKUP(A42,Policy!B:D,2,0)</f>
        <v>050000816064</v>
      </c>
      <c r="C42" s="9">
        <v>57242</v>
      </c>
      <c r="D42" s="21">
        <f t="shared" si="0"/>
        <v>57242</v>
      </c>
      <c r="E42" s="19" t="s">
        <v>199</v>
      </c>
      <c r="F42" s="22" t="str">
        <f t="shared" si="1"/>
        <v>insert into ins_premium_det (premium_rcv_code,assorted_code, rec_amount,premium_rcv_detail_code,remaining_amt, payrec, mode_code,coinsurance_code,class_cd,it_remarks) values</v>
      </c>
      <c r="G42" s="23" t="str">
        <f t="shared" si="2"/>
        <v>('07Nov240059','050000816064','57242',(select max(to_number(i.premium_rcv_detail_code))+1
from ins_premium_det i),'57242','57242','02', '11000003','00','Request by Mr. Saqib Saleem 08-Nov-2024 Added Premium');</v>
      </c>
      <c r="H42" s="24" t="str">
        <f t="shared" si="3"/>
        <v>insert into ins_premium_det (premium_rcv_code,assorted_code, rec_amount,premium_rcv_detail_code,remaining_amt, payrec, mode_code,coinsurance_code,class_cd,it_remarks) values('07Nov240059','050000816064','57242',(select max(to_number(i.premium_rcv_detail_code))+1
from ins_premium_det i),'57242','57242','02', '11000003','00','Request by Mr. Saqib Saleem 08-Nov-2024 Added Premium');</v>
      </c>
    </row>
    <row r="43" spans="1:8" ht="105" x14ac:dyDescent="0.25">
      <c r="A43" s="6" t="s">
        <v>131</v>
      </c>
      <c r="B43" s="20" t="str">
        <f>VLOOKUP(A43,Policy!B:D,2,0)</f>
        <v>050000822548</v>
      </c>
      <c r="C43" s="9">
        <v>3194</v>
      </c>
      <c r="D43" s="21">
        <f t="shared" si="0"/>
        <v>3194</v>
      </c>
      <c r="E43" s="19" t="s">
        <v>199</v>
      </c>
      <c r="F43" s="22" t="str">
        <f t="shared" si="1"/>
        <v>insert into ins_premium_det (premium_rcv_code,assorted_code, rec_amount,premium_rcv_detail_code,remaining_amt, payrec, mode_code,coinsurance_code,class_cd,it_remarks) values</v>
      </c>
      <c r="G43" s="23" t="str">
        <f t="shared" si="2"/>
        <v>('07Nov240059','050000822548','3194',(select max(to_number(i.premium_rcv_detail_code))+1
from ins_premium_det i),'3194','3194','02', '11000003','00','Request by Mr. Saqib Saleem 08-Nov-2024 Added Premium');</v>
      </c>
      <c r="H43" s="24" t="str">
        <f t="shared" si="3"/>
        <v>insert into ins_premium_det (premium_rcv_code,assorted_code, rec_amount,premium_rcv_detail_code,remaining_amt, payrec, mode_code,coinsurance_code,class_cd,it_remarks) values('07Nov240059','050000822548','3194',(select max(to_number(i.premium_rcv_detail_code))+1
from ins_premium_det i),'3194','3194','02', '11000003','00','Request by Mr. Saqib Saleem 08-Nov-2024 Added Premium');</v>
      </c>
    </row>
    <row r="44" spans="1:8" ht="105" x14ac:dyDescent="0.25">
      <c r="A44" s="6" t="s">
        <v>132</v>
      </c>
      <c r="B44" s="20" t="str">
        <f>VLOOKUP(A44,Policy!B:D,2,0)</f>
        <v>050000822545</v>
      </c>
      <c r="C44" s="9">
        <v>11453</v>
      </c>
      <c r="D44" s="21">
        <f t="shared" si="0"/>
        <v>11453</v>
      </c>
      <c r="E44" s="19" t="s">
        <v>199</v>
      </c>
      <c r="F44" s="22" t="str">
        <f t="shared" si="1"/>
        <v>insert into ins_premium_det (premium_rcv_code,assorted_code, rec_amount,premium_rcv_detail_code,remaining_amt, payrec, mode_code,coinsurance_code,class_cd,it_remarks) values</v>
      </c>
      <c r="G44" s="23" t="str">
        <f t="shared" si="2"/>
        <v>('07Nov240059','050000822545','11453',(select max(to_number(i.premium_rcv_detail_code))+1
from ins_premium_det i),'11453','11453','02', '11000003','00','Request by Mr. Saqib Saleem 08-Nov-2024 Added Premium');</v>
      </c>
      <c r="H44" s="24" t="str">
        <f t="shared" si="3"/>
        <v>insert into ins_premium_det (premium_rcv_code,assorted_code, rec_amount,premium_rcv_detail_code,remaining_amt, payrec, mode_code,coinsurance_code,class_cd,it_remarks) values('07Nov240059','050000822545','11453',(select max(to_number(i.premium_rcv_detail_code))+1
from ins_premium_det i),'11453','11453','02', '11000003','00','Request by Mr. Saqib Saleem 08-Nov-2024 Added Premium');</v>
      </c>
    </row>
    <row r="45" spans="1:8" ht="105" x14ac:dyDescent="0.25">
      <c r="A45" s="6" t="s">
        <v>133</v>
      </c>
      <c r="B45" s="20" t="str">
        <f>VLOOKUP(A45,Policy!B:D,2,0)</f>
        <v>050000822555</v>
      </c>
      <c r="C45" s="9">
        <v>1265</v>
      </c>
      <c r="D45" s="21">
        <f t="shared" si="0"/>
        <v>1265</v>
      </c>
      <c r="E45" s="19" t="s">
        <v>199</v>
      </c>
      <c r="F45" s="22" t="str">
        <f t="shared" si="1"/>
        <v>insert into ins_premium_det (premium_rcv_code,assorted_code, rec_amount,premium_rcv_detail_code,remaining_amt, payrec, mode_code,coinsurance_code,class_cd,it_remarks) values</v>
      </c>
      <c r="G45" s="23" t="str">
        <f t="shared" si="2"/>
        <v>('07Nov240059','050000822555','1265',(select max(to_number(i.premium_rcv_detail_code))+1
from ins_premium_det i),'1265','1265','02', '11000003','00','Request by Mr. Saqib Saleem 08-Nov-2024 Added Premium');</v>
      </c>
      <c r="H45" s="24" t="str">
        <f t="shared" si="3"/>
        <v>insert into ins_premium_det (premium_rcv_code,assorted_code, rec_amount,premium_rcv_detail_code,remaining_amt, payrec, mode_code,coinsurance_code,class_cd,it_remarks) values('07Nov240059','050000822555','1265',(select max(to_number(i.premium_rcv_detail_code))+1
from ins_premium_det i),'1265','1265','02', '11000003','00','Request by Mr. Saqib Saleem 08-Nov-2024 Added Premium');</v>
      </c>
    </row>
    <row r="46" spans="1:8" x14ac:dyDescent="0.25">
      <c r="C46" s="25">
        <f>SUM(C2:C45)</f>
        <v>2007373</v>
      </c>
      <c r="D46" s="25">
        <f>SUM(D2:D45)</f>
        <v>2007373</v>
      </c>
    </row>
  </sheetData>
  <conditionalFormatting sqref="A1">
    <cfRule type="duplicateValues" dxfId="11" priority="1"/>
  </conditionalFormatting>
  <conditionalFormatting sqref="A2:B2 B3:B45">
    <cfRule type="duplicateValues" dxfId="10" priority="2"/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DFE9-A8D7-48FA-821C-B0E69BD86F3A}">
  <dimension ref="A1:H47"/>
  <sheetViews>
    <sheetView workbookViewId="0">
      <selection activeCell="D2" sqref="D2"/>
    </sheetView>
  </sheetViews>
  <sheetFormatPr defaultRowHeight="15" x14ac:dyDescent="0.25"/>
  <cols>
    <col min="1" max="1" width="32.5703125" bestFit="1" customWidth="1"/>
    <col min="2" max="2" width="14.5703125" bestFit="1" customWidth="1"/>
    <col min="3" max="3" width="11.85546875" bestFit="1" customWidth="1"/>
    <col min="4" max="4" width="12" bestFit="1" customWidth="1"/>
    <col min="5" max="5" width="10.140625" bestFit="1" customWidth="1"/>
    <col min="6" max="6" width="103.140625" customWidth="1"/>
    <col min="7" max="7" width="94.7109375" customWidth="1"/>
    <col min="8" max="8" width="87.28515625" customWidth="1"/>
  </cols>
  <sheetData>
    <row r="1" spans="1:8" x14ac:dyDescent="0.25">
      <c r="A1" s="17" t="s">
        <v>196</v>
      </c>
      <c r="B1" t="s">
        <v>197</v>
      </c>
      <c r="C1" s="18" t="s">
        <v>200</v>
      </c>
      <c r="D1" s="26" t="s">
        <v>199</v>
      </c>
      <c r="E1" s="26"/>
    </row>
    <row r="2" spans="1:8" ht="131.25" customHeight="1" x14ac:dyDescent="0.25">
      <c r="A2" s="7" t="s">
        <v>98</v>
      </c>
      <c r="B2" s="27" t="str">
        <f>VLOOKUP(A2,Policy!B:C,2,0)</f>
        <v>040000171025</v>
      </c>
      <c r="C2" s="9">
        <v>12111</v>
      </c>
      <c r="D2" s="26" t="s">
        <v>199</v>
      </c>
      <c r="E2" s="28" t="str">
        <f>VLOOKUP(A2,Policy!B:D,3,0)</f>
        <v>09000397</v>
      </c>
      <c r="F2" s="29" t="str">
        <f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30" t="str">
        <f>"('"&amp;D1&amp;"','"&amp;B2&amp;"','"&amp;C2&amp;"',(select max(to_number(i.premium_rcv_detail_code))+1 from ins_premium_det i),'"&amp;C2&amp;"','"&amp;C2&amp;"','03', '"&amp;E2&amp;"','00');"</f>
        <v>('07Nov240059','040000171025','12111',(select max(to_number(i.premium_rcv_detail_code))+1 from ins_premium_det i),'12111','12111','03', '09000397','00');</v>
      </c>
      <c r="H2" s="31" t="str">
        <f t="shared" ref="H2:H45" si="0">F2&amp;G2</f>
        <v>insert into ins_premium_det (premium_rcv_code,assorted_code, rec_amount,premium_rcv_detail_code,remaining_amt, payrec, mode_code,paid_to_code,class_cd) values('07Nov240059','040000171025','12111',(select max(to_number(i.premium_rcv_detail_code))+1 from ins_premium_det i),'12111','12111','03', '09000397','00');</v>
      </c>
    </row>
    <row r="3" spans="1:8" ht="75" x14ac:dyDescent="0.25">
      <c r="A3" s="7" t="s">
        <v>100</v>
      </c>
      <c r="B3" s="27" t="str">
        <f>VLOOKUP(A3,Policy!B:C,2,0)</f>
        <v>040000171029</v>
      </c>
      <c r="C3" s="9">
        <v>51</v>
      </c>
      <c r="D3" s="26" t="s">
        <v>199</v>
      </c>
      <c r="E3" s="28" t="str">
        <f>VLOOKUP(A3,Policy!B:D,3,0)</f>
        <v>09000397</v>
      </c>
      <c r="F3" s="29" t="str">
        <f t="shared" ref="F3:F45" si="1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3" s="30" t="str">
        <f t="shared" ref="G3:G45" si="2">"('"&amp;D2&amp;"','"&amp;B3&amp;"','"&amp;C3&amp;"',(select max(to_number(i.premium_rcv_detail_code))+1 from ins_premium_det i),'"&amp;C3&amp;"','"&amp;C3&amp;"','03', '"&amp;E3&amp;"','00');"</f>
        <v>('07Nov240059','040000171029','51',(select max(to_number(i.premium_rcv_detail_code))+1 from ins_premium_det i),'51','51','03', '09000397','00');</v>
      </c>
      <c r="H3" s="31" t="str">
        <f t="shared" si="0"/>
        <v>insert into ins_premium_det (premium_rcv_code,assorted_code, rec_amount,premium_rcv_detail_code,remaining_amt, payrec, mode_code,paid_to_code,class_cd) values('07Nov240059','040000171029','51',(select max(to_number(i.premium_rcv_detail_code))+1 from ins_premium_det i),'51','51','03', '09000397','00');</v>
      </c>
    </row>
    <row r="4" spans="1:8" ht="75" x14ac:dyDescent="0.25">
      <c r="A4" s="7" t="s">
        <v>101</v>
      </c>
      <c r="B4" s="27" t="str">
        <f>VLOOKUP(A4,Policy!B:C,2,0)</f>
        <v>040000171031</v>
      </c>
      <c r="C4" s="9">
        <v>564</v>
      </c>
      <c r="D4" s="26" t="s">
        <v>199</v>
      </c>
      <c r="E4" s="28" t="str">
        <f>VLOOKUP(A4,Policy!B:D,3,0)</f>
        <v>09000397</v>
      </c>
      <c r="F4" s="29" t="str">
        <f t="shared" si="1"/>
        <v>insert into ins_premium_det (premium_rcv_code,assorted_code, rec_amount,premium_rcv_detail_code,remaining_amt, payrec, mode_code,paid_to_code,class_cd) values</v>
      </c>
      <c r="G4" s="30" t="str">
        <f t="shared" si="2"/>
        <v>('07Nov240059','040000171031','564',(select max(to_number(i.premium_rcv_detail_code))+1 from ins_premium_det i),'564','564','03', '09000397','00');</v>
      </c>
      <c r="H4" s="31" t="str">
        <f t="shared" si="0"/>
        <v>insert into ins_premium_det (premium_rcv_code,assorted_code, rec_amount,premium_rcv_detail_code,remaining_amt, payrec, mode_code,paid_to_code,class_cd) values('07Nov240059','040000171031','564',(select max(to_number(i.premium_rcv_detail_code))+1 from ins_premium_det i),'564','564','03', '09000397','00');</v>
      </c>
    </row>
    <row r="5" spans="1:8" ht="75" x14ac:dyDescent="0.25">
      <c r="A5" s="7" t="s">
        <v>102</v>
      </c>
      <c r="B5" s="27" t="str">
        <f>VLOOKUP(A5,Policy!B:C,2,0)</f>
        <v>040000169361</v>
      </c>
      <c r="C5" s="9">
        <v>2498</v>
      </c>
      <c r="D5" s="26" t="s">
        <v>199</v>
      </c>
      <c r="E5" s="28" t="str">
        <f>VLOOKUP(A5,Policy!B:D,3,0)</f>
        <v>09000397</v>
      </c>
      <c r="F5" s="29" t="str">
        <f t="shared" si="1"/>
        <v>insert into ins_premium_det (premium_rcv_code,assorted_code, rec_amount,premium_rcv_detail_code,remaining_amt, payrec, mode_code,paid_to_code,class_cd) values</v>
      </c>
      <c r="G5" s="30" t="str">
        <f t="shared" si="2"/>
        <v>('07Nov240059','040000169361','2498',(select max(to_number(i.premium_rcv_detail_code))+1 from ins_premium_det i),'2498','2498','03', '09000397','00');</v>
      </c>
      <c r="H5" s="31" t="str">
        <f t="shared" si="0"/>
        <v>insert into ins_premium_det (premium_rcv_code,assorted_code, rec_amount,premium_rcv_detail_code,remaining_amt, payrec, mode_code,paid_to_code,class_cd) values('07Nov240059','040000169361','2498',(select max(to_number(i.premium_rcv_detail_code))+1 from ins_premium_det i),'2498','2498','03', '09000397','00');</v>
      </c>
    </row>
    <row r="6" spans="1:8" ht="75" x14ac:dyDescent="0.25">
      <c r="A6" s="7" t="s">
        <v>103</v>
      </c>
      <c r="B6" s="27" t="str">
        <f>VLOOKUP(A6,Policy!B:C,2,0)</f>
        <v>040000169362</v>
      </c>
      <c r="C6" s="9">
        <v>26731</v>
      </c>
      <c r="D6" s="26" t="s">
        <v>199</v>
      </c>
      <c r="E6" s="28" t="str">
        <f>VLOOKUP(A6,Policy!B:D,3,0)</f>
        <v>09000397</v>
      </c>
      <c r="F6" s="29" t="str">
        <f t="shared" si="1"/>
        <v>insert into ins_premium_det (premium_rcv_code,assorted_code, rec_amount,premium_rcv_detail_code,remaining_amt, payrec, mode_code,paid_to_code,class_cd) values</v>
      </c>
      <c r="G6" s="30" t="str">
        <f t="shared" si="2"/>
        <v>('07Nov240059','040000169362','26731',(select max(to_number(i.premium_rcv_detail_code))+1 from ins_premium_det i),'26731','26731','03', '09000397','00');</v>
      </c>
      <c r="H6" s="31" t="str">
        <f t="shared" si="0"/>
        <v>insert into ins_premium_det (premium_rcv_code,assorted_code, rec_amount,premium_rcv_detail_code,remaining_amt, payrec, mode_code,paid_to_code,class_cd) values('07Nov240059','040000169362','26731',(select max(to_number(i.premium_rcv_detail_code))+1 from ins_premium_det i),'26731','26731','03', '09000397','00');</v>
      </c>
    </row>
    <row r="7" spans="1:8" ht="75" x14ac:dyDescent="0.25">
      <c r="A7" s="7" t="s">
        <v>106</v>
      </c>
      <c r="B7" s="27" t="str">
        <f>VLOOKUP(A7,Policy!B:C,2,0)</f>
        <v>040000170920</v>
      </c>
      <c r="C7" s="9">
        <v>8262</v>
      </c>
      <c r="D7" s="26" t="s">
        <v>199</v>
      </c>
      <c r="E7" s="28" t="str">
        <f>VLOOKUP(A7,Policy!B:D,3,0)</f>
        <v>09000397</v>
      </c>
      <c r="F7" s="29" t="str">
        <f t="shared" si="1"/>
        <v>insert into ins_premium_det (premium_rcv_code,assorted_code, rec_amount,premium_rcv_detail_code,remaining_amt, payrec, mode_code,paid_to_code,class_cd) values</v>
      </c>
      <c r="G7" s="30" t="str">
        <f t="shared" si="2"/>
        <v>('07Nov240059','040000170920','8262',(select max(to_number(i.premium_rcv_detail_code))+1 from ins_premium_det i),'8262','8262','03', '09000397','00');</v>
      </c>
      <c r="H7" s="31" t="str">
        <f t="shared" si="0"/>
        <v>insert into ins_premium_det (premium_rcv_code,assorted_code, rec_amount,premium_rcv_detail_code,remaining_amt, payrec, mode_code,paid_to_code,class_cd) values('07Nov240059','040000170920','8262',(select max(to_number(i.premium_rcv_detail_code))+1 from ins_premium_det i),'8262','8262','03', '09000397','00');</v>
      </c>
    </row>
    <row r="8" spans="1:8" ht="75" x14ac:dyDescent="0.25">
      <c r="A8" s="7" t="s">
        <v>104</v>
      </c>
      <c r="B8" s="27" t="str">
        <f>VLOOKUP(A8,Policy!B:C,2,0)</f>
        <v>040000169360</v>
      </c>
      <c r="C8" s="9">
        <v>159741</v>
      </c>
      <c r="D8" s="26" t="s">
        <v>199</v>
      </c>
      <c r="E8" s="28" t="str">
        <f>VLOOKUP(A8,Policy!B:D,3,0)</f>
        <v>09000397</v>
      </c>
      <c r="F8" s="29" t="str">
        <f t="shared" si="1"/>
        <v>insert into ins_premium_det (premium_rcv_code,assorted_code, rec_amount,premium_rcv_detail_code,remaining_amt, payrec, mode_code,paid_to_code,class_cd) values</v>
      </c>
      <c r="G8" s="30" t="str">
        <f t="shared" si="2"/>
        <v>('07Nov240059','040000169360','159741',(select max(to_number(i.premium_rcv_detail_code))+1 from ins_premium_det i),'159741','159741','03', '09000397','00');</v>
      </c>
      <c r="H8" s="31" t="str">
        <f t="shared" si="0"/>
        <v>insert into ins_premium_det (premium_rcv_code,assorted_code, rec_amount,premium_rcv_detail_code,remaining_amt, payrec, mode_code,paid_to_code,class_cd) values('07Nov240059','040000169360','159741',(select max(to_number(i.premium_rcv_detail_code))+1 from ins_premium_det i),'159741','159741','03', '09000397','00');</v>
      </c>
    </row>
    <row r="9" spans="1:8" ht="75" x14ac:dyDescent="0.25">
      <c r="A9" s="7" t="s">
        <v>107</v>
      </c>
      <c r="B9" s="27" t="str">
        <f>VLOOKUP(A9,Policy!B:C,2,0)</f>
        <v>040000170889</v>
      </c>
      <c r="C9" s="9">
        <v>696</v>
      </c>
      <c r="D9" s="26" t="s">
        <v>199</v>
      </c>
      <c r="E9" s="28" t="str">
        <f>VLOOKUP(A9,Policy!B:D,3,0)</f>
        <v>09000397</v>
      </c>
      <c r="F9" s="29" t="str">
        <f t="shared" si="1"/>
        <v>insert into ins_premium_det (premium_rcv_code,assorted_code, rec_amount,premium_rcv_detail_code,remaining_amt, payrec, mode_code,paid_to_code,class_cd) values</v>
      </c>
      <c r="G9" s="30" t="str">
        <f t="shared" si="2"/>
        <v>('07Nov240059','040000170889','696',(select max(to_number(i.premium_rcv_detail_code))+1 from ins_premium_det i),'696','696','03', '09000397','00');</v>
      </c>
      <c r="H9" s="31" t="str">
        <f t="shared" si="0"/>
        <v>insert into ins_premium_det (premium_rcv_code,assorted_code, rec_amount,premium_rcv_detail_code,remaining_amt, payrec, mode_code,paid_to_code,class_cd) values('07Nov240059','040000170889','696',(select max(to_number(i.premium_rcv_detail_code))+1 from ins_premium_det i),'696','696','03', '09000397','00');</v>
      </c>
    </row>
    <row r="10" spans="1:8" ht="75" x14ac:dyDescent="0.25">
      <c r="A10" s="7" t="s">
        <v>108</v>
      </c>
      <c r="B10" s="27" t="str">
        <f>VLOOKUP(A10,Policy!B:C,2,0)</f>
        <v>040000170918</v>
      </c>
      <c r="C10" s="9">
        <v>32542</v>
      </c>
      <c r="D10" s="26" t="s">
        <v>199</v>
      </c>
      <c r="E10" s="28" t="str">
        <f>VLOOKUP(A10,Policy!B:D,3,0)</f>
        <v>09000397</v>
      </c>
      <c r="F10" s="29" t="str">
        <f t="shared" si="1"/>
        <v>insert into ins_premium_det (premium_rcv_code,assorted_code, rec_amount,premium_rcv_detail_code,remaining_amt, payrec, mode_code,paid_to_code,class_cd) values</v>
      </c>
      <c r="G10" s="30" t="str">
        <f t="shared" si="2"/>
        <v>('07Nov240059','040000170918','32542',(select max(to_number(i.premium_rcv_detail_code))+1 from ins_premium_det i),'32542','32542','03', '09000397','00');</v>
      </c>
      <c r="H10" s="31" t="str">
        <f t="shared" si="0"/>
        <v>insert into ins_premium_det (premium_rcv_code,assorted_code, rec_amount,premium_rcv_detail_code,remaining_amt, payrec, mode_code,paid_to_code,class_cd) values('07Nov240059','040000170918','32542',(select max(to_number(i.premium_rcv_detail_code))+1 from ins_premium_det i),'32542','32542','03', '09000397','00');</v>
      </c>
    </row>
    <row r="11" spans="1:8" ht="75" x14ac:dyDescent="0.25">
      <c r="A11" s="6" t="s">
        <v>116</v>
      </c>
      <c r="B11" s="27" t="str">
        <f>VLOOKUP(A11,Policy!B:C,2,0)</f>
        <v>040000170923</v>
      </c>
      <c r="C11" s="9">
        <v>3164</v>
      </c>
      <c r="D11" s="26" t="s">
        <v>199</v>
      </c>
      <c r="E11" s="28" t="str">
        <f>VLOOKUP(A11,Policy!B:D,3,0)</f>
        <v>09000397</v>
      </c>
      <c r="F11" s="29" t="str">
        <f t="shared" si="1"/>
        <v>insert into ins_premium_det (premium_rcv_code,assorted_code, rec_amount,premium_rcv_detail_code,remaining_amt, payrec, mode_code,paid_to_code,class_cd) values</v>
      </c>
      <c r="G11" s="30" t="str">
        <f t="shared" si="2"/>
        <v>('07Nov240059','040000170923','3164',(select max(to_number(i.premium_rcv_detail_code))+1 from ins_premium_det i),'3164','3164','03', '09000397','00');</v>
      </c>
      <c r="H11" s="31" t="str">
        <f t="shared" si="0"/>
        <v>insert into ins_premium_det (premium_rcv_code,assorted_code, rec_amount,premium_rcv_detail_code,remaining_amt, payrec, mode_code,paid_to_code,class_cd) values('07Nov240059','040000170923','3164',(select max(to_number(i.premium_rcv_detail_code))+1 from ins_premium_det i),'3164','3164','03', '09000397','00');</v>
      </c>
    </row>
    <row r="12" spans="1:8" ht="75" x14ac:dyDescent="0.25">
      <c r="A12" s="7" t="s">
        <v>105</v>
      </c>
      <c r="B12" s="27" t="str">
        <f>VLOOKUP(A12,Policy!B:C,2,0)</f>
        <v>040000169359</v>
      </c>
      <c r="C12" s="9">
        <v>24613</v>
      </c>
      <c r="D12" s="26" t="s">
        <v>199</v>
      </c>
      <c r="E12" s="28" t="str">
        <f>VLOOKUP(A12,Policy!B:D,3,0)</f>
        <v>09000397</v>
      </c>
      <c r="F12" s="29" t="str">
        <f t="shared" si="1"/>
        <v>insert into ins_premium_det (premium_rcv_code,assorted_code, rec_amount,premium_rcv_detail_code,remaining_amt, payrec, mode_code,paid_to_code,class_cd) values</v>
      </c>
      <c r="G12" s="30" t="str">
        <f t="shared" si="2"/>
        <v>('07Nov240059','040000169359','24613',(select max(to_number(i.premium_rcv_detail_code))+1 from ins_premium_det i),'24613','24613','03', '09000397','00');</v>
      </c>
      <c r="H12" s="31" t="str">
        <f t="shared" si="0"/>
        <v>insert into ins_premium_det (premium_rcv_code,assorted_code, rec_amount,premium_rcv_detail_code,remaining_amt, payrec, mode_code,paid_to_code,class_cd) values('07Nov240059','040000169359','24613',(select max(to_number(i.premium_rcv_detail_code))+1 from ins_premium_det i),'24613','24613','03', '09000397','00');</v>
      </c>
    </row>
    <row r="13" spans="1:8" ht="75" x14ac:dyDescent="0.25">
      <c r="A13" s="7" t="s">
        <v>109</v>
      </c>
      <c r="B13" s="27" t="str">
        <f>VLOOKUP(A13,Policy!B:C,2,0)</f>
        <v>040000170892</v>
      </c>
      <c r="C13" s="9">
        <v>11947</v>
      </c>
      <c r="D13" s="26" t="s">
        <v>199</v>
      </c>
      <c r="E13" s="28" t="str">
        <f>VLOOKUP(A13,Policy!B:D,3,0)</f>
        <v>09000397</v>
      </c>
      <c r="F13" s="29" t="str">
        <f t="shared" si="1"/>
        <v>insert into ins_premium_det (premium_rcv_code,assorted_code, rec_amount,premium_rcv_detail_code,remaining_amt, payrec, mode_code,paid_to_code,class_cd) values</v>
      </c>
      <c r="G13" s="30" t="str">
        <f t="shared" si="2"/>
        <v>('07Nov240059','040000170892','11947',(select max(to_number(i.premium_rcv_detail_code))+1 from ins_premium_det i),'11947','11947','03', '09000397','00');</v>
      </c>
      <c r="H13" s="31" t="str">
        <f t="shared" si="0"/>
        <v>insert into ins_premium_det (premium_rcv_code,assorted_code, rec_amount,premium_rcv_detail_code,remaining_amt, payrec, mode_code,paid_to_code,class_cd) values('07Nov240059','040000170892','11947',(select max(to_number(i.premium_rcv_detail_code))+1 from ins_premium_det i),'11947','11947','03', '09000397','00');</v>
      </c>
    </row>
    <row r="14" spans="1:8" ht="75" x14ac:dyDescent="0.25">
      <c r="A14" s="7" t="s">
        <v>102</v>
      </c>
      <c r="B14" s="27" t="str">
        <f>VLOOKUP(A14,Policy!B:C,2,0)</f>
        <v>040000169361</v>
      </c>
      <c r="C14" s="9">
        <v>5001</v>
      </c>
      <c r="D14" s="26" t="s">
        <v>199</v>
      </c>
      <c r="E14" s="28" t="str">
        <f>VLOOKUP(A14,Policy!B:D,3,0)</f>
        <v>09000397</v>
      </c>
      <c r="F14" s="29" t="str">
        <f t="shared" si="1"/>
        <v>insert into ins_premium_det (premium_rcv_code,assorted_code, rec_amount,premium_rcv_detail_code,remaining_amt, payrec, mode_code,paid_to_code,class_cd) values</v>
      </c>
      <c r="G14" s="30" t="str">
        <f t="shared" si="2"/>
        <v>('07Nov240059','040000169361','5001',(select max(to_number(i.premium_rcv_detail_code))+1 from ins_premium_det i),'5001','5001','03', '09000397','00');</v>
      </c>
      <c r="H14" s="31" t="str">
        <f t="shared" si="0"/>
        <v>insert into ins_premium_det (premium_rcv_code,assorted_code, rec_amount,premium_rcv_detail_code,remaining_amt, payrec, mode_code,paid_to_code,class_cd) values('07Nov240059','040000169361','5001',(select max(to_number(i.premium_rcv_detail_code))+1 from ins_premium_det i),'5001','5001','03', '09000397','00');</v>
      </c>
    </row>
    <row r="15" spans="1:8" ht="75" x14ac:dyDescent="0.25">
      <c r="A15" s="7" t="s">
        <v>108</v>
      </c>
      <c r="B15" s="27" t="str">
        <f>VLOOKUP(A15,Policy!B:C,2,0)</f>
        <v>040000170918</v>
      </c>
      <c r="C15" s="9">
        <v>305</v>
      </c>
      <c r="D15" s="26" t="s">
        <v>199</v>
      </c>
      <c r="E15" s="28" t="str">
        <f>VLOOKUP(A15,Policy!B:D,3,0)</f>
        <v>09000397</v>
      </c>
      <c r="F15" s="29" t="str">
        <f t="shared" si="1"/>
        <v>insert into ins_premium_det (premium_rcv_code,assorted_code, rec_amount,premium_rcv_detail_code,remaining_amt, payrec, mode_code,paid_to_code,class_cd) values</v>
      </c>
      <c r="G15" s="30" t="str">
        <f t="shared" si="2"/>
        <v>('07Nov240059','040000170918','305',(select max(to_number(i.premium_rcv_detail_code))+1 from ins_premium_det i),'305','305','03', '09000397','00');</v>
      </c>
      <c r="H15" s="31" t="str">
        <f t="shared" si="0"/>
        <v>insert into ins_premium_det (premium_rcv_code,assorted_code, rec_amount,premium_rcv_detail_code,remaining_amt, payrec, mode_code,paid_to_code,class_cd) values('07Nov240059','040000170918','305',(select max(to_number(i.premium_rcv_detail_code))+1 from ins_premium_det i),'305','305','03', '09000397','00');</v>
      </c>
    </row>
    <row r="16" spans="1:8" ht="75" x14ac:dyDescent="0.25">
      <c r="A16" s="7" t="s">
        <v>104</v>
      </c>
      <c r="B16" s="27" t="str">
        <f>VLOOKUP(A16,Policy!B:C,2,0)</f>
        <v>040000169360</v>
      </c>
      <c r="C16" s="9">
        <v>8019</v>
      </c>
      <c r="D16" s="26" t="s">
        <v>199</v>
      </c>
      <c r="E16" s="28" t="str">
        <f>VLOOKUP(A16,Policy!B:D,3,0)</f>
        <v>09000397</v>
      </c>
      <c r="F16" s="29" t="str">
        <f t="shared" si="1"/>
        <v>insert into ins_premium_det (premium_rcv_code,assorted_code, rec_amount,premium_rcv_detail_code,remaining_amt, payrec, mode_code,paid_to_code,class_cd) values</v>
      </c>
      <c r="G16" s="30" t="str">
        <f t="shared" si="2"/>
        <v>('07Nov240059','040000169360','8019',(select max(to_number(i.premium_rcv_detail_code))+1 from ins_premium_det i),'8019','8019','03', '09000397','00');</v>
      </c>
      <c r="H16" s="31" t="str">
        <f t="shared" si="0"/>
        <v>insert into ins_premium_det (premium_rcv_code,assorted_code, rec_amount,premium_rcv_detail_code,remaining_amt, payrec, mode_code,paid_to_code,class_cd) values('07Nov240059','040000169360','8019',(select max(to_number(i.premium_rcv_detail_code))+1 from ins_premium_det i),'8019','8019','03', '09000397','00');</v>
      </c>
    </row>
    <row r="17" spans="1:8" ht="75" x14ac:dyDescent="0.25">
      <c r="A17" s="7" t="s">
        <v>102</v>
      </c>
      <c r="B17" s="27" t="str">
        <f>VLOOKUP(A17,Policy!B:C,2,0)</f>
        <v>040000169361</v>
      </c>
      <c r="C17" s="9">
        <v>7422</v>
      </c>
      <c r="D17" s="26" t="s">
        <v>199</v>
      </c>
      <c r="E17" s="28" t="str">
        <f>VLOOKUP(A17,Policy!B:D,3,0)</f>
        <v>09000397</v>
      </c>
      <c r="F17" s="29" t="str">
        <f t="shared" si="1"/>
        <v>insert into ins_premium_det (premium_rcv_code,assorted_code, rec_amount,premium_rcv_detail_code,remaining_amt, payrec, mode_code,paid_to_code,class_cd) values</v>
      </c>
      <c r="G17" s="30" t="str">
        <f t="shared" si="2"/>
        <v>('07Nov240059','040000169361','7422',(select max(to_number(i.premium_rcv_detail_code))+1 from ins_premium_det i),'7422','7422','03', '09000397','00');</v>
      </c>
      <c r="H17" s="31" t="str">
        <f t="shared" si="0"/>
        <v>insert into ins_premium_det (premium_rcv_code,assorted_code, rec_amount,premium_rcv_detail_code,remaining_amt, payrec, mode_code,paid_to_code,class_cd) values('07Nov240059','040000169361','7422',(select max(to_number(i.premium_rcv_detail_code))+1 from ins_premium_det i),'7422','7422','03', '09000397','00');</v>
      </c>
    </row>
    <row r="18" spans="1:8" ht="75" x14ac:dyDescent="0.25">
      <c r="A18" s="7" t="s">
        <v>103</v>
      </c>
      <c r="B18" s="27" t="str">
        <f>VLOOKUP(A18,Policy!B:C,2,0)</f>
        <v>040000169362</v>
      </c>
      <c r="C18" s="9">
        <v>-9272</v>
      </c>
      <c r="D18" s="26" t="s">
        <v>199</v>
      </c>
      <c r="E18" s="28" t="str">
        <f>VLOOKUP(A18,Policy!B:D,3,0)</f>
        <v>09000397</v>
      </c>
      <c r="F18" s="29" t="str">
        <f t="shared" si="1"/>
        <v>insert into ins_premium_det (premium_rcv_code,assorted_code, rec_amount,premium_rcv_detail_code,remaining_amt, payrec, mode_code,paid_to_code,class_cd) values</v>
      </c>
      <c r="G18" s="30" t="str">
        <f t="shared" si="2"/>
        <v>('07Nov240059','040000169362','-9272',(select max(to_number(i.premium_rcv_detail_code))+1 from ins_premium_det i),'-9272','-9272','03', '09000397','00');</v>
      </c>
      <c r="H18" s="31" t="str">
        <f t="shared" si="0"/>
        <v>insert into ins_premium_det (premium_rcv_code,assorted_code, rec_amount,premium_rcv_detail_code,remaining_amt, payrec, mode_code,paid_to_code,class_cd) values('07Nov240059','040000169362','-9272',(select max(to_number(i.premium_rcv_detail_code))+1 from ins_premium_det i),'-9272','-9272','03', '09000397','00');</v>
      </c>
    </row>
    <row r="19" spans="1:8" ht="75" x14ac:dyDescent="0.25">
      <c r="A19" s="7" t="s">
        <v>106</v>
      </c>
      <c r="B19" s="27" t="str">
        <f>VLOOKUP(A19,Policy!B:C,2,0)</f>
        <v>040000170920</v>
      </c>
      <c r="C19" s="9">
        <v>-904</v>
      </c>
      <c r="D19" s="26" t="s">
        <v>199</v>
      </c>
      <c r="E19" s="28" t="str">
        <f>VLOOKUP(A19,Policy!B:D,3,0)</f>
        <v>09000397</v>
      </c>
      <c r="F19" s="29" t="str">
        <f t="shared" si="1"/>
        <v>insert into ins_premium_det (premium_rcv_code,assorted_code, rec_amount,premium_rcv_detail_code,remaining_amt, payrec, mode_code,paid_to_code,class_cd) values</v>
      </c>
      <c r="G19" s="30" t="str">
        <f t="shared" si="2"/>
        <v>('07Nov240059','040000170920','-904',(select max(to_number(i.premium_rcv_detail_code))+1 from ins_premium_det i),'-904','-904','03', '09000397','00');</v>
      </c>
      <c r="H19" s="31" t="str">
        <f t="shared" si="0"/>
        <v>insert into ins_premium_det (premium_rcv_code,assorted_code, rec_amount,premium_rcv_detail_code,remaining_amt, payrec, mode_code,paid_to_code,class_cd) values('07Nov240059','040000170920','-904',(select max(to_number(i.premium_rcv_detail_code))+1 from ins_premium_det i),'-904','-904','03', '09000397','00');</v>
      </c>
    </row>
    <row r="20" spans="1:8" ht="75" x14ac:dyDescent="0.25">
      <c r="A20" s="6" t="s">
        <v>115</v>
      </c>
      <c r="B20" s="27" t="str">
        <f>VLOOKUP(A20,Policy!B:C,2,0)</f>
        <v>050000764457</v>
      </c>
      <c r="C20" s="9">
        <v>1621</v>
      </c>
      <c r="D20" s="26" t="s">
        <v>199</v>
      </c>
      <c r="E20" s="28" t="str">
        <f>VLOOKUP(A20,Policy!B:D,3,0)</f>
        <v>09000397</v>
      </c>
      <c r="F20" s="29" t="str">
        <f t="shared" si="1"/>
        <v>insert into ins_premium_det (premium_rcv_code,assorted_code, rec_amount,premium_rcv_detail_code,remaining_amt, payrec, mode_code,paid_to_code,class_cd) values</v>
      </c>
      <c r="G20" s="30" t="str">
        <f t="shared" si="2"/>
        <v>('07Nov240059','050000764457','1621',(select max(to_number(i.premium_rcv_detail_code))+1 from ins_premium_det i),'1621','1621','03', '09000397','00');</v>
      </c>
      <c r="H20" s="31" t="str">
        <f t="shared" si="0"/>
        <v>insert into ins_premium_det (premium_rcv_code,assorted_code, rec_amount,premium_rcv_detail_code,remaining_amt, payrec, mode_code,paid_to_code,class_cd) values('07Nov240059','050000764457','1621',(select max(to_number(i.premium_rcv_detail_code))+1 from ins_premium_det i),'1621','1621','03', '09000397','00');</v>
      </c>
    </row>
    <row r="21" spans="1:8" ht="75" x14ac:dyDescent="0.25">
      <c r="A21" s="7" t="s">
        <v>103</v>
      </c>
      <c r="B21" s="27" t="str">
        <f>VLOOKUP(A21,Policy!B:C,2,0)</f>
        <v>040000169362</v>
      </c>
      <c r="C21" s="9">
        <v>-24007</v>
      </c>
      <c r="D21" s="26" t="s">
        <v>199</v>
      </c>
      <c r="E21" s="28" t="str">
        <f>VLOOKUP(A21,Policy!B:D,3,0)</f>
        <v>09000397</v>
      </c>
      <c r="F21" s="29" t="str">
        <f t="shared" si="1"/>
        <v>insert into ins_premium_det (premium_rcv_code,assorted_code, rec_amount,premium_rcv_detail_code,remaining_amt, payrec, mode_code,paid_to_code,class_cd) values</v>
      </c>
      <c r="G21" s="30" t="str">
        <f t="shared" si="2"/>
        <v>('07Nov240059','040000169362','-24007',(select max(to_number(i.premium_rcv_detail_code))+1 from ins_premium_det i),'-24007','-24007','03', '09000397','00');</v>
      </c>
      <c r="H21" s="31" t="str">
        <f t="shared" si="0"/>
        <v>insert into ins_premium_det (premium_rcv_code,assorted_code, rec_amount,premium_rcv_detail_code,remaining_amt, payrec, mode_code,paid_to_code,class_cd) values('07Nov240059','040000169362','-24007',(select max(to_number(i.premium_rcv_detail_code))+1 from ins_premium_det i),'-24007','-24007','03', '09000397','00');</v>
      </c>
    </row>
    <row r="22" spans="1:8" ht="75" x14ac:dyDescent="0.25">
      <c r="A22" s="6" t="s">
        <v>123</v>
      </c>
      <c r="B22" s="27" t="str">
        <f>VLOOKUP(A22,Policy!B:C,2,0)</f>
        <v>050000821466</v>
      </c>
      <c r="C22" s="9">
        <v>1620</v>
      </c>
      <c r="D22" s="26" t="s">
        <v>199</v>
      </c>
      <c r="E22" s="28" t="str">
        <f>VLOOKUP(A22,Policy!B:D,3,0)</f>
        <v>09000397</v>
      </c>
      <c r="F22" s="29" t="str">
        <f t="shared" si="1"/>
        <v>insert into ins_premium_det (premium_rcv_code,assorted_code, rec_amount,premium_rcv_detail_code,remaining_amt, payrec, mode_code,paid_to_code,class_cd) values</v>
      </c>
      <c r="G22" s="30" t="str">
        <f t="shared" si="2"/>
        <v>('07Nov240059','050000821466','1620',(select max(to_number(i.premium_rcv_detail_code))+1 from ins_premium_det i),'1620','1620','03', '09000397','00');</v>
      </c>
      <c r="H22" s="31" t="str">
        <f t="shared" si="0"/>
        <v>insert into ins_premium_det (premium_rcv_code,assorted_code, rec_amount,premium_rcv_detail_code,remaining_amt, payrec, mode_code,paid_to_code,class_cd) values('07Nov240059','050000821466','1620',(select max(to_number(i.premium_rcv_detail_code))+1 from ins_premium_det i),'1620','1620','03', '09000397','00');</v>
      </c>
    </row>
    <row r="23" spans="1:8" ht="75" x14ac:dyDescent="0.25">
      <c r="A23" s="7" t="s">
        <v>110</v>
      </c>
      <c r="B23" s="27" t="str">
        <f>VLOOKUP(A23,Policy!B:C,2,0)</f>
        <v>050000788846</v>
      </c>
      <c r="C23" s="9">
        <v>242</v>
      </c>
      <c r="D23" s="26" t="s">
        <v>199</v>
      </c>
      <c r="E23" s="28" t="str">
        <f>VLOOKUP(A23,Policy!B:D,3,0)</f>
        <v>09000397</v>
      </c>
      <c r="F23" s="29" t="str">
        <f t="shared" si="1"/>
        <v>insert into ins_premium_det (premium_rcv_code,assorted_code, rec_amount,premium_rcv_detail_code,remaining_amt, payrec, mode_code,paid_to_code,class_cd) values</v>
      </c>
      <c r="G23" s="30" t="str">
        <f t="shared" si="2"/>
        <v>('07Nov240059','050000788846','242',(select max(to_number(i.premium_rcv_detail_code))+1 from ins_premium_det i),'242','242','03', '09000397','00');</v>
      </c>
      <c r="H23" s="31" t="str">
        <f t="shared" si="0"/>
        <v>insert into ins_premium_det (premium_rcv_code,assorted_code, rec_amount,premium_rcv_detail_code,remaining_amt, payrec, mode_code,paid_to_code,class_cd) values('07Nov240059','050000788846','242',(select max(to_number(i.premium_rcv_detail_code))+1 from ins_premium_det i),'242','242','03', '09000397','00');</v>
      </c>
    </row>
    <row r="24" spans="1:8" ht="75" x14ac:dyDescent="0.25">
      <c r="A24" s="7" t="s">
        <v>111</v>
      </c>
      <c r="B24" s="27" t="str">
        <f>VLOOKUP(A24,Policy!B:C,2,0)</f>
        <v>050000788833</v>
      </c>
      <c r="C24" s="9">
        <v>2548</v>
      </c>
      <c r="D24" s="26" t="s">
        <v>199</v>
      </c>
      <c r="E24" s="28" t="str">
        <f>VLOOKUP(A24,Policy!B:D,3,0)</f>
        <v>09000397</v>
      </c>
      <c r="F24" s="29" t="str">
        <f t="shared" si="1"/>
        <v>insert into ins_premium_det (premium_rcv_code,assorted_code, rec_amount,premium_rcv_detail_code,remaining_amt, payrec, mode_code,paid_to_code,class_cd) values</v>
      </c>
      <c r="G24" s="30" t="str">
        <f t="shared" si="2"/>
        <v>('07Nov240059','050000788833','2548',(select max(to_number(i.premium_rcv_detail_code))+1 from ins_premium_det i),'2548','2548','03', '09000397','00');</v>
      </c>
      <c r="H24" s="31" t="str">
        <f t="shared" si="0"/>
        <v>insert into ins_premium_det (premium_rcv_code,assorted_code, rec_amount,premium_rcv_detail_code,remaining_amt, payrec, mode_code,paid_to_code,class_cd) values('07Nov240059','050000788833','2548',(select max(to_number(i.premium_rcv_detail_code))+1 from ins_premium_det i),'2548','2548','03', '09000397','00');</v>
      </c>
    </row>
    <row r="25" spans="1:8" ht="75" x14ac:dyDescent="0.25">
      <c r="A25" s="7" t="s">
        <v>112</v>
      </c>
      <c r="B25" s="27" t="str">
        <f>VLOOKUP(A25,Policy!B:C,2,0)</f>
        <v>050000788834</v>
      </c>
      <c r="C25" s="9">
        <v>-2407</v>
      </c>
      <c r="D25" s="26" t="s">
        <v>199</v>
      </c>
      <c r="E25" s="28" t="str">
        <f>VLOOKUP(A25,Policy!B:D,3,0)</f>
        <v>09000397</v>
      </c>
      <c r="F25" s="29" t="str">
        <f t="shared" si="1"/>
        <v>insert into ins_premium_det (premium_rcv_code,assorted_code, rec_amount,premium_rcv_detail_code,remaining_amt, payrec, mode_code,paid_to_code,class_cd) values</v>
      </c>
      <c r="G25" s="30" t="str">
        <f t="shared" si="2"/>
        <v>('07Nov240059','050000788834','-2407',(select max(to_number(i.premium_rcv_detail_code))+1 from ins_premium_det i),'-2407','-2407','03', '09000397','00');</v>
      </c>
      <c r="H25" s="31" t="str">
        <f t="shared" si="0"/>
        <v>insert into ins_premium_det (premium_rcv_code,assorted_code, rec_amount,premium_rcv_detail_code,remaining_amt, payrec, mode_code,paid_to_code,class_cd) values('07Nov240059','050000788834','-2407',(select max(to_number(i.premium_rcv_detail_code))+1 from ins_premium_det i),'-2407','-2407','03', '09000397','00');</v>
      </c>
    </row>
    <row r="26" spans="1:8" ht="75" x14ac:dyDescent="0.25">
      <c r="A26" s="7" t="s">
        <v>113</v>
      </c>
      <c r="B26" s="27" t="str">
        <f>VLOOKUP(A26,Policy!B:C,2,0)</f>
        <v>050000788836</v>
      </c>
      <c r="C26" s="9">
        <v>587</v>
      </c>
      <c r="D26" s="26" t="s">
        <v>199</v>
      </c>
      <c r="E26" s="28" t="str">
        <f>VLOOKUP(A26,Policy!B:D,3,0)</f>
        <v>09000397</v>
      </c>
      <c r="F26" s="29" t="str">
        <f t="shared" si="1"/>
        <v>insert into ins_premium_det (premium_rcv_code,assorted_code, rec_amount,premium_rcv_detail_code,remaining_amt, payrec, mode_code,paid_to_code,class_cd) values</v>
      </c>
      <c r="G26" s="30" t="str">
        <f t="shared" si="2"/>
        <v>('07Nov240059','050000788836','587',(select max(to_number(i.premium_rcv_detail_code))+1 from ins_premium_det i),'587','587','03', '09000397','00');</v>
      </c>
      <c r="H26" s="31" t="str">
        <f t="shared" si="0"/>
        <v>insert into ins_premium_det (premium_rcv_code,assorted_code, rec_amount,premium_rcv_detail_code,remaining_amt, payrec, mode_code,paid_to_code,class_cd) values('07Nov240059','050000788836','587',(select max(to_number(i.premium_rcv_detail_code))+1 from ins_premium_det i),'587','587','03', '09000397','00');</v>
      </c>
    </row>
    <row r="27" spans="1:8" ht="75" x14ac:dyDescent="0.25">
      <c r="A27" s="7" t="s">
        <v>114</v>
      </c>
      <c r="B27" s="27" t="str">
        <f>VLOOKUP(A27,Policy!B:C,2,0)</f>
        <v>050000788843</v>
      </c>
      <c r="C27" s="9">
        <v>508</v>
      </c>
      <c r="D27" s="26" t="s">
        <v>199</v>
      </c>
      <c r="E27" s="28" t="str">
        <f>VLOOKUP(A27,Policy!B:D,3,0)</f>
        <v>09000397</v>
      </c>
      <c r="F27" s="29" t="str">
        <f t="shared" si="1"/>
        <v>insert into ins_premium_det (premium_rcv_code,assorted_code, rec_amount,premium_rcv_detail_code,remaining_amt, payrec, mode_code,paid_to_code,class_cd) values</v>
      </c>
      <c r="G27" s="30" t="str">
        <f t="shared" si="2"/>
        <v>('07Nov240059','050000788843','508',(select max(to_number(i.premium_rcv_detail_code))+1 from ins_premium_det i),'508','508','03', '09000397','00');</v>
      </c>
      <c r="H27" s="31" t="str">
        <f t="shared" si="0"/>
        <v>insert into ins_premium_det (premium_rcv_code,assorted_code, rec_amount,premium_rcv_detail_code,remaining_amt, payrec, mode_code,paid_to_code,class_cd) values('07Nov240059','050000788843','508',(select max(to_number(i.premium_rcv_detail_code))+1 from ins_premium_det i),'508','508','03', '09000397','00');</v>
      </c>
    </row>
    <row r="28" spans="1:8" ht="75" x14ac:dyDescent="0.25">
      <c r="A28" s="6" t="s">
        <v>117</v>
      </c>
      <c r="B28" s="27" t="str">
        <f>VLOOKUP(A28,Policy!B:C,2,0)</f>
        <v>050000816013</v>
      </c>
      <c r="C28" s="9">
        <v>-1762</v>
      </c>
      <c r="D28" s="26" t="s">
        <v>199</v>
      </c>
      <c r="E28" s="28" t="str">
        <f>VLOOKUP(A28,Policy!B:D,3,0)</f>
        <v>09000397</v>
      </c>
      <c r="F28" s="29" t="str">
        <f t="shared" si="1"/>
        <v>insert into ins_premium_det (premium_rcv_code,assorted_code, rec_amount,premium_rcv_detail_code,remaining_amt, payrec, mode_code,paid_to_code,class_cd) values</v>
      </c>
      <c r="G28" s="30" t="str">
        <f t="shared" si="2"/>
        <v>('07Nov240059','050000816013','-1762',(select max(to_number(i.premium_rcv_detail_code))+1 from ins_premium_det i),'-1762','-1762','03', '09000397','00');</v>
      </c>
      <c r="H28" s="31" t="str">
        <f t="shared" si="0"/>
        <v>insert into ins_premium_det (premium_rcv_code,assorted_code, rec_amount,premium_rcv_detail_code,remaining_amt, payrec, mode_code,paid_to_code,class_cd) values('07Nov240059','050000816013','-1762',(select max(to_number(i.premium_rcv_detail_code))+1 from ins_premium_det i),'-1762','-1762','03', '09000397','00');</v>
      </c>
    </row>
    <row r="29" spans="1:8" ht="75" x14ac:dyDescent="0.25">
      <c r="A29" s="6" t="s">
        <v>118</v>
      </c>
      <c r="B29" s="27" t="str">
        <f>VLOOKUP(A29,Policy!B:C,2,0)</f>
        <v>050000816022</v>
      </c>
      <c r="C29" s="9">
        <v>-11534</v>
      </c>
      <c r="D29" s="26" t="s">
        <v>199</v>
      </c>
      <c r="E29" s="28" t="str">
        <f>VLOOKUP(A29,Policy!B:D,3,0)</f>
        <v>09000397</v>
      </c>
      <c r="F29" s="29" t="str">
        <f t="shared" si="1"/>
        <v>insert into ins_premium_det (premium_rcv_code,assorted_code, rec_amount,premium_rcv_detail_code,remaining_amt, payrec, mode_code,paid_to_code,class_cd) values</v>
      </c>
      <c r="G29" s="30" t="str">
        <f t="shared" si="2"/>
        <v>('07Nov240059','050000816022','-11534',(select max(to_number(i.premium_rcv_detail_code))+1 from ins_premium_det i),'-11534','-11534','03', '09000397','00');</v>
      </c>
      <c r="H29" s="31" t="str">
        <f t="shared" si="0"/>
        <v>insert into ins_premium_det (premium_rcv_code,assorted_code, rec_amount,premium_rcv_detail_code,remaining_amt, payrec, mode_code,paid_to_code,class_cd) values('07Nov240059','050000816022','-11534',(select max(to_number(i.premium_rcv_detail_code))+1 from ins_premium_det i),'-11534','-11534','03', '09000397','00');</v>
      </c>
    </row>
    <row r="30" spans="1:8" ht="75" x14ac:dyDescent="0.25">
      <c r="A30" s="6" t="s">
        <v>124</v>
      </c>
      <c r="B30" s="27" t="str">
        <f>VLOOKUP(A30,Policy!B:C,2,0)</f>
        <v>050000821691</v>
      </c>
      <c r="C30" s="9">
        <v>-3380</v>
      </c>
      <c r="D30" s="26" t="s">
        <v>199</v>
      </c>
      <c r="E30" s="28" t="str">
        <f>VLOOKUP(A30,Policy!B:D,3,0)</f>
        <v>09000397</v>
      </c>
      <c r="F30" s="29" t="str">
        <f t="shared" si="1"/>
        <v>insert into ins_premium_det (premium_rcv_code,assorted_code, rec_amount,premium_rcv_detail_code,remaining_amt, payrec, mode_code,paid_to_code,class_cd) values</v>
      </c>
      <c r="G30" s="30" t="str">
        <f t="shared" si="2"/>
        <v>('07Nov240059','050000821691','-3380',(select max(to_number(i.premium_rcv_detail_code))+1 from ins_premium_det i),'-3380','-3380','03', '09000397','00');</v>
      </c>
      <c r="H30" s="31" t="str">
        <f t="shared" si="0"/>
        <v>insert into ins_premium_det (premium_rcv_code,assorted_code, rec_amount,premium_rcv_detail_code,remaining_amt, payrec, mode_code,paid_to_code,class_cd) values('07Nov240059','050000821691','-3380',(select max(to_number(i.premium_rcv_detail_code))+1 from ins_premium_det i),'-3380','-3380','03', '09000397','00');</v>
      </c>
    </row>
    <row r="31" spans="1:8" ht="75" x14ac:dyDescent="0.25">
      <c r="A31" s="6" t="s">
        <v>125</v>
      </c>
      <c r="B31" s="27" t="str">
        <f>VLOOKUP(A31,Policy!B:C,2,0)</f>
        <v>050000821705</v>
      </c>
      <c r="C31" s="9">
        <v>5</v>
      </c>
      <c r="D31" s="26" t="s">
        <v>199</v>
      </c>
      <c r="E31" s="28" t="str">
        <f>VLOOKUP(A31,Policy!B:D,3,0)</f>
        <v>09000397</v>
      </c>
      <c r="F31" s="29" t="str">
        <f t="shared" si="1"/>
        <v>insert into ins_premium_det (premium_rcv_code,assorted_code, rec_amount,premium_rcv_detail_code,remaining_amt, payrec, mode_code,paid_to_code,class_cd) values</v>
      </c>
      <c r="G31" s="30" t="str">
        <f t="shared" si="2"/>
        <v>('07Nov240059','050000821705','5',(select max(to_number(i.premium_rcv_detail_code))+1 from ins_premium_det i),'5','5','03', '09000397','00');</v>
      </c>
      <c r="H31" s="31" t="str">
        <f t="shared" si="0"/>
        <v>insert into ins_premium_det (premium_rcv_code,assorted_code, rec_amount,premium_rcv_detail_code,remaining_amt, payrec, mode_code,paid_to_code,class_cd) values('07Nov240059','050000821705','5',(select max(to_number(i.premium_rcv_detail_code))+1 from ins_premium_det i),'5','5','03', '09000397','00');</v>
      </c>
    </row>
    <row r="32" spans="1:8" ht="75" x14ac:dyDescent="0.25">
      <c r="A32" s="6" t="s">
        <v>108</v>
      </c>
      <c r="B32" s="27" t="str">
        <f>VLOOKUP(A32,Policy!B:C,2,0)</f>
        <v>040000170918</v>
      </c>
      <c r="C32" s="9">
        <v>-6076</v>
      </c>
      <c r="D32" s="26" t="s">
        <v>199</v>
      </c>
      <c r="E32" s="28" t="str">
        <f>VLOOKUP(A32,Policy!B:D,3,0)</f>
        <v>09000397</v>
      </c>
      <c r="F32" s="29" t="str">
        <f t="shared" si="1"/>
        <v>insert into ins_premium_det (premium_rcv_code,assorted_code, rec_amount,premium_rcv_detail_code,remaining_amt, payrec, mode_code,paid_to_code,class_cd) values</v>
      </c>
      <c r="G32" s="30" t="str">
        <f t="shared" si="2"/>
        <v>('07Nov240059','040000170918','-6076',(select max(to_number(i.premium_rcv_detail_code))+1 from ins_premium_det i),'-6076','-6076','03', '09000397','00');</v>
      </c>
      <c r="H32" s="31" t="str">
        <f t="shared" si="0"/>
        <v>insert into ins_premium_det (premium_rcv_code,assorted_code, rec_amount,premium_rcv_detail_code,remaining_amt, payrec, mode_code,paid_to_code,class_cd) values('07Nov240059','040000170918','-6076',(select max(to_number(i.premium_rcv_detail_code))+1 from ins_premium_det i),'-6076','-6076','03', '09000397','00');</v>
      </c>
    </row>
    <row r="33" spans="1:8" ht="75" x14ac:dyDescent="0.25">
      <c r="A33" s="6" t="s">
        <v>126</v>
      </c>
      <c r="B33" s="27" t="str">
        <f>VLOOKUP(A33,Policy!B:C,2,0)</f>
        <v>050000821946</v>
      </c>
      <c r="C33" s="9">
        <v>184</v>
      </c>
      <c r="D33" s="26" t="s">
        <v>199</v>
      </c>
      <c r="E33" s="28" t="str">
        <f>VLOOKUP(A33,Policy!B:D,3,0)</f>
        <v>09000397</v>
      </c>
      <c r="F33" s="29" t="str">
        <f t="shared" si="1"/>
        <v>insert into ins_premium_det (premium_rcv_code,assorted_code, rec_amount,premium_rcv_detail_code,remaining_amt, payrec, mode_code,paid_to_code,class_cd) values</v>
      </c>
      <c r="G33" s="30" t="str">
        <f t="shared" si="2"/>
        <v>('07Nov240059','050000821946','184',(select max(to_number(i.premium_rcv_detail_code))+1 from ins_premium_det i),'184','184','03', '09000397','00');</v>
      </c>
      <c r="H33" s="31" t="str">
        <f t="shared" si="0"/>
        <v>insert into ins_premium_det (premium_rcv_code,assorted_code, rec_amount,premium_rcv_detail_code,remaining_amt, payrec, mode_code,paid_to_code,class_cd) values('07Nov240059','050000821946','184',(select max(to_number(i.premium_rcv_detail_code))+1 from ins_premium_det i),'184','184','03', '09000397','00');</v>
      </c>
    </row>
    <row r="34" spans="1:8" ht="75" x14ac:dyDescent="0.25">
      <c r="A34" s="6" t="s">
        <v>127</v>
      </c>
      <c r="B34" s="27" t="str">
        <f>VLOOKUP(A34,Policy!B:C,2,0)</f>
        <v>050000821459</v>
      </c>
      <c r="C34" s="9">
        <v>3599</v>
      </c>
      <c r="D34" s="26" t="s">
        <v>199</v>
      </c>
      <c r="E34" s="28" t="str">
        <f>VLOOKUP(A34,Policy!B:D,3,0)</f>
        <v>09000397</v>
      </c>
      <c r="F34" s="29" t="str">
        <f t="shared" si="1"/>
        <v>insert into ins_premium_det (premium_rcv_code,assorted_code, rec_amount,premium_rcv_detail_code,remaining_amt, payrec, mode_code,paid_to_code,class_cd) values</v>
      </c>
      <c r="G34" s="30" t="str">
        <f t="shared" si="2"/>
        <v>('07Nov240059','050000821459','3599',(select max(to_number(i.premium_rcv_detail_code))+1 from ins_premium_det i),'3599','3599','03', '09000397','00');</v>
      </c>
      <c r="H34" s="31" t="str">
        <f t="shared" si="0"/>
        <v>insert into ins_premium_det (premium_rcv_code,assorted_code, rec_amount,premium_rcv_detail_code,remaining_amt, payrec, mode_code,paid_to_code,class_cd) values('07Nov240059','050000821459','3599',(select max(to_number(i.premium_rcv_detail_code))+1 from ins_premium_det i),'3599','3599','03', '09000397','00');</v>
      </c>
    </row>
    <row r="35" spans="1:8" ht="75" x14ac:dyDescent="0.25">
      <c r="A35" s="7" t="s">
        <v>119</v>
      </c>
      <c r="B35" s="27" t="str">
        <f>VLOOKUP(A35,Policy!B:C,2,0)</f>
        <v>050000816029</v>
      </c>
      <c r="C35" s="9">
        <v>-2179</v>
      </c>
      <c r="D35" s="26" t="s">
        <v>199</v>
      </c>
      <c r="E35" s="28" t="str">
        <f>VLOOKUP(A35,Policy!B:D,3,0)</f>
        <v>09000397</v>
      </c>
      <c r="F35" s="29" t="str">
        <f t="shared" si="1"/>
        <v>insert into ins_premium_det (premium_rcv_code,assorted_code, rec_amount,premium_rcv_detail_code,remaining_amt, payrec, mode_code,paid_to_code,class_cd) values</v>
      </c>
      <c r="G35" s="30" t="str">
        <f t="shared" si="2"/>
        <v>('07Nov240059','050000816029','-2179',(select max(to_number(i.premium_rcv_detail_code))+1 from ins_premium_det i),'-2179','-2179','03', '09000397','00');</v>
      </c>
      <c r="H35" s="31" t="str">
        <f t="shared" si="0"/>
        <v>insert into ins_premium_det (premium_rcv_code,assorted_code, rec_amount,premium_rcv_detail_code,remaining_amt, payrec, mode_code,paid_to_code,class_cd) values('07Nov240059','050000816029','-2179',(select max(to_number(i.premium_rcv_detail_code))+1 from ins_premium_det i),'-2179','-2179','03', '09000397','00');</v>
      </c>
    </row>
    <row r="36" spans="1:8" ht="75" x14ac:dyDescent="0.25">
      <c r="A36" s="6" t="s">
        <v>120</v>
      </c>
      <c r="B36" s="27" t="str">
        <f>VLOOKUP(A36,Policy!B:C,2,0)</f>
        <v>050000816047</v>
      </c>
      <c r="C36" s="9">
        <v>-14358</v>
      </c>
      <c r="D36" s="26" t="s">
        <v>199</v>
      </c>
      <c r="E36" s="28" t="str">
        <f>VLOOKUP(A36,Policy!B:D,3,0)</f>
        <v>09000397</v>
      </c>
      <c r="F36" s="29" t="str">
        <f t="shared" si="1"/>
        <v>insert into ins_premium_det (premium_rcv_code,assorted_code, rec_amount,premium_rcv_detail_code,remaining_amt, payrec, mode_code,paid_to_code,class_cd) values</v>
      </c>
      <c r="G36" s="30" t="str">
        <f t="shared" si="2"/>
        <v>('07Nov240059','050000816047','-14358',(select max(to_number(i.premium_rcv_detail_code))+1 from ins_premium_det i),'-14358','-14358','03', '09000397','00');</v>
      </c>
      <c r="H36" s="31" t="str">
        <f t="shared" si="0"/>
        <v>insert into ins_premium_det (premium_rcv_code,assorted_code, rec_amount,premium_rcv_detail_code,remaining_amt, payrec, mode_code,paid_to_code,class_cd) values('07Nov240059','050000816047','-14358',(select max(to_number(i.premium_rcv_detail_code))+1 from ins_premium_det i),'-14358','-14358','03', '09000397','00');</v>
      </c>
    </row>
    <row r="37" spans="1:8" ht="75" x14ac:dyDescent="0.25">
      <c r="A37" s="6" t="s">
        <v>128</v>
      </c>
      <c r="B37" s="27" t="str">
        <f>VLOOKUP(A37,Policy!B:C,2,0)</f>
        <v>050000822543</v>
      </c>
      <c r="C37" s="9">
        <v>-5150</v>
      </c>
      <c r="D37" s="26" t="s">
        <v>199</v>
      </c>
      <c r="E37" s="28" t="str">
        <f>VLOOKUP(A37,Policy!B:D,3,0)</f>
        <v>09000397</v>
      </c>
      <c r="F37" s="29" t="str">
        <f t="shared" si="1"/>
        <v>insert into ins_premium_det (premium_rcv_code,assorted_code, rec_amount,premium_rcv_detail_code,remaining_amt, payrec, mode_code,paid_to_code,class_cd) values</v>
      </c>
      <c r="G37" s="30" t="str">
        <f t="shared" si="2"/>
        <v>('07Nov240059','050000822543','-5150',(select max(to_number(i.premium_rcv_detail_code))+1 from ins_premium_det i),'-5150','-5150','03', '09000397','00');</v>
      </c>
      <c r="H37" s="31" t="str">
        <f t="shared" si="0"/>
        <v>insert into ins_premium_det (premium_rcv_code,assorted_code, rec_amount,premium_rcv_detail_code,remaining_amt, payrec, mode_code,paid_to_code,class_cd) values('07Nov240059','050000822543','-5150',(select max(to_number(i.premium_rcv_detail_code))+1 from ins_premium_det i),'-5150','-5150','03', '09000397','00');</v>
      </c>
    </row>
    <row r="38" spans="1:8" ht="75" x14ac:dyDescent="0.25">
      <c r="A38" s="6" t="s">
        <v>129</v>
      </c>
      <c r="B38" s="27" t="str">
        <f>VLOOKUP(A38,Policy!B:C,2,0)</f>
        <v>050000821973</v>
      </c>
      <c r="C38" s="9">
        <v>574</v>
      </c>
      <c r="D38" s="26" t="s">
        <v>199</v>
      </c>
      <c r="E38" s="28" t="str">
        <f>VLOOKUP(A38,Policy!B:D,3,0)</f>
        <v>09000397</v>
      </c>
      <c r="F38" s="29" t="str">
        <f t="shared" si="1"/>
        <v>insert into ins_premium_det (premium_rcv_code,assorted_code, rec_amount,premium_rcv_detail_code,remaining_amt, payrec, mode_code,paid_to_code,class_cd) values</v>
      </c>
      <c r="G38" s="30" t="str">
        <f t="shared" si="2"/>
        <v>('07Nov240059','050000821973','574',(select max(to_number(i.premium_rcv_detail_code))+1 from ins_premium_det i),'574','574','03', '09000397','00');</v>
      </c>
      <c r="H38" s="31" t="str">
        <f t="shared" si="0"/>
        <v>insert into ins_premium_det (premium_rcv_code,assorted_code, rec_amount,premium_rcv_detail_code,remaining_amt, payrec, mode_code,paid_to_code,class_cd) values('07Nov240059','050000821973','574',(select max(to_number(i.premium_rcv_detail_code))+1 from ins_premium_det i),'574','574','03', '09000397','00');</v>
      </c>
    </row>
    <row r="39" spans="1:8" ht="75" x14ac:dyDescent="0.25">
      <c r="A39" s="6" t="s">
        <v>130</v>
      </c>
      <c r="B39" s="27" t="str">
        <f>VLOOKUP(A39,Policy!B:C,2,0)</f>
        <v>050000822394</v>
      </c>
      <c r="C39" s="9">
        <v>5</v>
      </c>
      <c r="D39" s="26" t="s">
        <v>199</v>
      </c>
      <c r="E39" s="28" t="str">
        <f>VLOOKUP(A39,Policy!B:D,3,0)</f>
        <v>09000397</v>
      </c>
      <c r="F39" s="29" t="str">
        <f t="shared" si="1"/>
        <v>insert into ins_premium_det (premium_rcv_code,assorted_code, rec_amount,premium_rcv_detail_code,remaining_amt, payrec, mode_code,paid_to_code,class_cd) values</v>
      </c>
      <c r="G39" s="30" t="str">
        <f t="shared" si="2"/>
        <v>('07Nov240059','050000822394','5',(select max(to_number(i.premium_rcv_detail_code))+1 from ins_premium_det i),'5','5','03', '09000397','00');</v>
      </c>
      <c r="H39" s="31" t="str">
        <f t="shared" si="0"/>
        <v>insert into ins_premium_det (premium_rcv_code,assorted_code, rec_amount,premium_rcv_detail_code,remaining_amt, payrec, mode_code,paid_to_code,class_cd) values('07Nov240059','050000822394','5',(select max(to_number(i.premium_rcv_detail_code))+1 from ins_premium_det i),'5','5','03', '09000397','00');</v>
      </c>
    </row>
    <row r="40" spans="1:8" ht="75" x14ac:dyDescent="0.25">
      <c r="A40" s="7" t="s">
        <v>98</v>
      </c>
      <c r="B40" s="27" t="str">
        <f>VLOOKUP(A40,Policy!B:C,2,0)</f>
        <v>040000171025</v>
      </c>
      <c r="C40" s="9">
        <v>2464</v>
      </c>
      <c r="D40" s="26" t="s">
        <v>199</v>
      </c>
      <c r="E40" s="28" t="str">
        <f>VLOOKUP(A40,Policy!B:D,3,0)</f>
        <v>09000397</v>
      </c>
      <c r="F40" s="29" t="str">
        <f t="shared" si="1"/>
        <v>insert into ins_premium_det (premium_rcv_code,assorted_code, rec_amount,premium_rcv_detail_code,remaining_amt, payrec, mode_code,paid_to_code,class_cd) values</v>
      </c>
      <c r="G40" s="30" t="str">
        <f t="shared" si="2"/>
        <v>('07Nov240059','040000171025','2464',(select max(to_number(i.premium_rcv_detail_code))+1 from ins_premium_det i),'2464','2464','03', '09000397','00');</v>
      </c>
      <c r="H40" s="31" t="str">
        <f t="shared" si="0"/>
        <v>insert into ins_premium_det (premium_rcv_code,assorted_code, rec_amount,premium_rcv_detail_code,remaining_amt, payrec, mode_code,paid_to_code,class_cd) values('07Nov240059','040000171025','2464',(select max(to_number(i.premium_rcv_detail_code))+1 from ins_premium_det i),'2464','2464','03', '09000397','00');</v>
      </c>
    </row>
    <row r="41" spans="1:8" ht="75" x14ac:dyDescent="0.25">
      <c r="A41" s="7" t="s">
        <v>121</v>
      </c>
      <c r="B41" s="27" t="str">
        <f>VLOOKUP(A41,Policy!B:C,2,0)</f>
        <v>050000816060</v>
      </c>
      <c r="C41" s="9">
        <v>-1304</v>
      </c>
      <c r="D41" s="26" t="s">
        <v>199</v>
      </c>
      <c r="E41" s="28" t="str">
        <f>VLOOKUP(A41,Policy!B:D,3,0)</f>
        <v>09000397</v>
      </c>
      <c r="F41" s="29" t="str">
        <f t="shared" si="1"/>
        <v>insert into ins_premium_det (premium_rcv_code,assorted_code, rec_amount,premium_rcv_detail_code,remaining_amt, payrec, mode_code,paid_to_code,class_cd) values</v>
      </c>
      <c r="G41" s="30" t="str">
        <f t="shared" si="2"/>
        <v>('07Nov240059','050000816060','-1304',(select max(to_number(i.premium_rcv_detail_code))+1 from ins_premium_det i),'-1304','-1304','03', '09000397','00');</v>
      </c>
      <c r="H41" s="31" t="str">
        <f t="shared" si="0"/>
        <v>insert into ins_premium_det (premium_rcv_code,assorted_code, rec_amount,premium_rcv_detail_code,remaining_amt, payrec, mode_code,paid_to_code,class_cd) values('07Nov240059','050000816060','-1304',(select max(to_number(i.premium_rcv_detail_code))+1 from ins_premium_det i),'-1304','-1304','03', '09000397','00');</v>
      </c>
    </row>
    <row r="42" spans="1:8" ht="75" x14ac:dyDescent="0.25">
      <c r="A42" s="7" t="s">
        <v>122</v>
      </c>
      <c r="B42" s="27" t="str">
        <f>VLOOKUP(A42,Policy!B:C,2,0)</f>
        <v>050000816064</v>
      </c>
      <c r="C42" s="9">
        <v>7339</v>
      </c>
      <c r="D42" s="26" t="s">
        <v>199</v>
      </c>
      <c r="E42" s="28" t="str">
        <f>VLOOKUP(A42,Policy!B:D,3,0)</f>
        <v>09000397</v>
      </c>
      <c r="F42" s="29" t="str">
        <f t="shared" si="1"/>
        <v>insert into ins_premium_det (premium_rcv_code,assorted_code, rec_amount,premium_rcv_detail_code,remaining_amt, payrec, mode_code,paid_to_code,class_cd) values</v>
      </c>
      <c r="G42" s="30" t="str">
        <f t="shared" si="2"/>
        <v>('07Nov240059','050000816064','7339',(select max(to_number(i.premium_rcv_detail_code))+1 from ins_premium_det i),'7339','7339','03', '09000397','00');</v>
      </c>
      <c r="H42" s="31" t="str">
        <f t="shared" si="0"/>
        <v>insert into ins_premium_det (premium_rcv_code,assorted_code, rec_amount,premium_rcv_detail_code,remaining_amt, payrec, mode_code,paid_to_code,class_cd) values('07Nov240059','050000816064','7339',(select max(to_number(i.premium_rcv_detail_code))+1 from ins_premium_det i),'7339','7339','03', '09000397','00');</v>
      </c>
    </row>
    <row r="43" spans="1:8" ht="75" x14ac:dyDescent="0.25">
      <c r="A43" s="6" t="s">
        <v>131</v>
      </c>
      <c r="B43" s="27" t="str">
        <f>VLOOKUP(A43,Policy!B:C,2,0)</f>
        <v>050000822548</v>
      </c>
      <c r="C43" s="9">
        <v>410</v>
      </c>
      <c r="D43" s="26" t="s">
        <v>199</v>
      </c>
      <c r="E43" s="28" t="str">
        <f>VLOOKUP(A43,Policy!B:D,3,0)</f>
        <v>09000397</v>
      </c>
      <c r="F43" s="29" t="str">
        <f t="shared" si="1"/>
        <v>insert into ins_premium_det (premium_rcv_code,assorted_code, rec_amount,premium_rcv_detail_code,remaining_amt, payrec, mode_code,paid_to_code,class_cd) values</v>
      </c>
      <c r="G43" s="30" t="str">
        <f t="shared" si="2"/>
        <v>('07Nov240059','050000822548','410',(select max(to_number(i.premium_rcv_detail_code))+1 from ins_premium_det i),'410','410','03', '09000397','00');</v>
      </c>
      <c r="H43" s="31" t="str">
        <f t="shared" si="0"/>
        <v>insert into ins_premium_det (premium_rcv_code,assorted_code, rec_amount,premium_rcv_detail_code,remaining_amt, payrec, mode_code,paid_to_code,class_cd) values('07Nov240059','050000822548','410',(select max(to_number(i.premium_rcv_detail_code))+1 from ins_premium_det i),'410','410','03', '09000397','00');</v>
      </c>
    </row>
    <row r="44" spans="1:8" ht="75" x14ac:dyDescent="0.25">
      <c r="A44" s="6" t="s">
        <v>132</v>
      </c>
      <c r="B44" s="27" t="str">
        <f>VLOOKUP(A44,Policy!B:C,2,0)</f>
        <v>050000822545</v>
      </c>
      <c r="C44" s="9">
        <v>1468</v>
      </c>
      <c r="D44" s="26" t="s">
        <v>199</v>
      </c>
      <c r="E44" s="28" t="str">
        <f>VLOOKUP(A44,Policy!B:D,3,0)</f>
        <v>09000397</v>
      </c>
      <c r="F44" s="29" t="str">
        <f t="shared" si="1"/>
        <v>insert into ins_premium_det (premium_rcv_code,assorted_code, rec_amount,premium_rcv_detail_code,remaining_amt, payrec, mode_code,paid_to_code,class_cd) values</v>
      </c>
      <c r="G44" s="30" t="str">
        <f t="shared" si="2"/>
        <v>('07Nov240059','050000822545','1468',(select max(to_number(i.premium_rcv_detail_code))+1 from ins_premium_det i),'1468','1468','03', '09000397','00');</v>
      </c>
      <c r="H44" s="31" t="str">
        <f t="shared" si="0"/>
        <v>insert into ins_premium_det (premium_rcv_code,assorted_code, rec_amount,premium_rcv_detail_code,remaining_amt, payrec, mode_code,paid_to_code,class_cd) values('07Nov240059','050000822545','1468',(select max(to_number(i.premium_rcv_detail_code))+1 from ins_premium_det i),'1468','1468','03', '09000397','00');</v>
      </c>
    </row>
    <row r="45" spans="1:8" ht="75" x14ac:dyDescent="0.25">
      <c r="A45" s="6" t="s">
        <v>133</v>
      </c>
      <c r="B45" s="27" t="str">
        <f>VLOOKUP(A45,Policy!B:C,2,0)</f>
        <v>050000822555</v>
      </c>
      <c r="C45" s="9">
        <v>162</v>
      </c>
      <c r="D45" s="26" t="s">
        <v>199</v>
      </c>
      <c r="E45" s="28" t="str">
        <f>VLOOKUP(A45,Policy!B:D,3,0)</f>
        <v>09000397</v>
      </c>
      <c r="F45" s="29" t="str">
        <f t="shared" si="1"/>
        <v>insert into ins_premium_det (premium_rcv_code,assorted_code, rec_amount,premium_rcv_detail_code,remaining_amt, payrec, mode_code,paid_to_code,class_cd) values</v>
      </c>
      <c r="G45" s="30" t="str">
        <f t="shared" si="2"/>
        <v>('07Nov240059','050000822555','162',(select max(to_number(i.premium_rcv_detail_code))+1 from ins_premium_det i),'162','162','03', '09000397','00');</v>
      </c>
      <c r="H45" s="31" t="str">
        <f t="shared" si="0"/>
        <v>insert into ins_premium_det (premium_rcv_code,assorted_code, rec_amount,premium_rcv_detail_code,remaining_amt, payrec, mode_code,paid_to_code,class_cd) values('07Nov240059','050000822555','162',(select max(to_number(i.premium_rcv_detail_code))+1 from ins_premium_det i),'162','162','03', '09000397','00');</v>
      </c>
    </row>
    <row r="47" spans="1:8" x14ac:dyDescent="0.25">
      <c r="C47" s="25">
        <f>SUM(C2:C45)</f>
        <v>244670</v>
      </c>
    </row>
  </sheetData>
  <conditionalFormatting sqref="A1">
    <cfRule type="duplicateValues" dxfId="7" priority="4"/>
  </conditionalFormatting>
  <conditionalFormatting sqref="A2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DA1F-BDC9-49F4-A77F-DE2713DA1A5C}">
  <dimension ref="A1:H47"/>
  <sheetViews>
    <sheetView tabSelected="1" topLeftCell="A43" workbookViewId="0">
      <selection activeCell="C45" sqref="C45"/>
    </sheetView>
  </sheetViews>
  <sheetFormatPr defaultRowHeight="15" x14ac:dyDescent="0.25"/>
  <cols>
    <col min="1" max="1" width="30.5703125" bestFit="1" customWidth="1"/>
    <col min="2" max="2" width="14.5703125" bestFit="1" customWidth="1"/>
    <col min="3" max="3" width="11.85546875" style="37" bestFit="1" customWidth="1"/>
    <col min="4" max="4" width="12" bestFit="1" customWidth="1"/>
    <col min="5" max="5" width="10.140625" bestFit="1" customWidth="1"/>
    <col min="6" max="6" width="104.5703125" customWidth="1"/>
    <col min="7" max="7" width="96.85546875" customWidth="1"/>
    <col min="8" max="8" width="87.85546875" customWidth="1"/>
  </cols>
  <sheetData>
    <row r="1" spans="1:8" x14ac:dyDescent="0.25">
      <c r="A1" s="17" t="s">
        <v>196</v>
      </c>
      <c r="B1" t="s">
        <v>197</v>
      </c>
      <c r="C1" s="36" t="s">
        <v>200</v>
      </c>
      <c r="D1" s="26" t="s">
        <v>199</v>
      </c>
      <c r="E1" s="26"/>
    </row>
    <row r="2" spans="1:8" ht="120.75" customHeight="1" x14ac:dyDescent="0.25">
      <c r="A2" s="7" t="s">
        <v>98</v>
      </c>
      <c r="B2" s="27" t="s">
        <v>159</v>
      </c>
      <c r="C2" s="38" t="s">
        <v>201</v>
      </c>
      <c r="D2" s="26" t="s">
        <v>199</v>
      </c>
      <c r="E2" s="28" t="str">
        <f>VLOOKUP(A2,Policy!B:D,3,0)</f>
        <v>09000397</v>
      </c>
      <c r="F2" s="29" t="str">
        <f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30" t="str">
        <f>"('"&amp;D1&amp;"','"&amp;B2&amp;"','"&amp;C2&amp;"',(select max(to_number(i.premium_rcv_detail_code))+1 from ins_premium_det i),'"&amp;C2&amp;"','"&amp;C2&amp;"','05', '"&amp;E2&amp;"','00');"</f>
        <v>('07Nov240059','040000171025','-2019',(select max(to_number(i.premium_rcv_detail_code))+1 from ins_premium_det i),'-2019','-2019','05', '09000397','00');</v>
      </c>
      <c r="H2" s="31" t="str">
        <f t="shared" ref="H2:H45" si="0">F2&amp;G2</f>
        <v>insert into ins_premium_det (premium_rcv_code,assorted_code, rec_amount,premium_rcv_detail_code,remaining_amt, payrec, mode_code,paid_to_code,class_cd) values('07Nov240059','040000171025','-2019',(select max(to_number(i.premium_rcv_detail_code))+1 from ins_premium_det i),'-2019','-2019','05', '09000397','00');</v>
      </c>
    </row>
    <row r="3" spans="1:8" ht="75" x14ac:dyDescent="0.25">
      <c r="A3" s="7" t="s">
        <v>100</v>
      </c>
      <c r="B3" s="27" t="s">
        <v>169</v>
      </c>
      <c r="C3" s="38" t="s">
        <v>202</v>
      </c>
      <c r="D3" s="26" t="s">
        <v>199</v>
      </c>
      <c r="E3" s="28" t="str">
        <f>VLOOKUP(A3,Policy!B:D,3,0)</f>
        <v>09000397</v>
      </c>
      <c r="F3" s="29" t="str">
        <f t="shared" ref="F3:F45" si="1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3" s="30" t="str">
        <f>"('"&amp;D2&amp;"','"&amp;B3&amp;"','"&amp;C3&amp;"',(select max(to_number(i.premium_rcv_detail_code))+1 from ins_premium_det i),'"&amp;C3&amp;"','"&amp;C3&amp;"','05', '"&amp;E3&amp;"','00');"</f>
        <v>('07Nov240059','040000171029','-10',(select max(to_number(i.premium_rcv_detail_code))+1 from ins_premium_det i),'-10','-10','05', '09000397','00');</v>
      </c>
      <c r="H3" s="31" t="str">
        <f t="shared" si="0"/>
        <v>insert into ins_premium_det (premium_rcv_code,assorted_code, rec_amount,premium_rcv_detail_code,remaining_amt, payrec, mode_code,paid_to_code,class_cd) values('07Nov240059','040000171029','-10',(select max(to_number(i.premium_rcv_detail_code))+1 from ins_premium_det i),'-10','-10','05', '09000397','00');</v>
      </c>
    </row>
    <row r="4" spans="1:8" ht="75" x14ac:dyDescent="0.25">
      <c r="A4" s="7" t="s">
        <v>101</v>
      </c>
      <c r="B4" s="27" t="s">
        <v>164</v>
      </c>
      <c r="C4" s="38" t="s">
        <v>203</v>
      </c>
      <c r="D4" s="26" t="s">
        <v>199</v>
      </c>
      <c r="E4" s="28" t="str">
        <f>VLOOKUP(A4,Policy!B:D,3,0)</f>
        <v>09000397</v>
      </c>
      <c r="F4" s="29" t="str">
        <f t="shared" si="1"/>
        <v>insert into ins_premium_det (premium_rcv_code,assorted_code, rec_amount,premium_rcv_detail_code,remaining_amt, payrec, mode_code,paid_to_code,class_cd) values</v>
      </c>
      <c r="G4" s="30" t="str">
        <f>"('"&amp;D3&amp;"','"&amp;B4&amp;"','"&amp;C4&amp;"',(select max(to_number(i.premium_rcv_detail_code))+1 from ins_premium_det i),'"&amp;C4&amp;"','"&amp;C4&amp;"','05', '"&amp;E4&amp;"','00');"</f>
        <v>('07Nov240059','040000171031','-113',(select max(to_number(i.premium_rcv_detail_code))+1 from ins_premium_det i),'-113','-113','05', '09000397','00');</v>
      </c>
      <c r="H4" s="31" t="str">
        <f t="shared" si="0"/>
        <v>insert into ins_premium_det (premium_rcv_code,assorted_code, rec_amount,premium_rcv_detail_code,remaining_amt, payrec, mode_code,paid_to_code,class_cd) values('07Nov240059','040000171031','-113',(select max(to_number(i.premium_rcv_detail_code))+1 from ins_premium_det i),'-113','-113','05', '09000397','00');</v>
      </c>
    </row>
    <row r="5" spans="1:8" ht="75" x14ac:dyDescent="0.25">
      <c r="A5" s="7" t="s">
        <v>102</v>
      </c>
      <c r="B5" s="27" t="s">
        <v>148</v>
      </c>
      <c r="C5" s="38" t="s">
        <v>204</v>
      </c>
      <c r="D5" s="26" t="s">
        <v>199</v>
      </c>
      <c r="E5" s="28" t="str">
        <f>VLOOKUP(A5,Policy!B:D,3,0)</f>
        <v>09000397</v>
      </c>
      <c r="F5" s="29" t="str">
        <f t="shared" si="1"/>
        <v>insert into ins_premium_det (premium_rcv_code,assorted_code, rec_amount,premium_rcv_detail_code,remaining_amt, payrec, mode_code,paid_to_code,class_cd) values</v>
      </c>
      <c r="G5" s="30" t="str">
        <f>"('"&amp;D4&amp;"','"&amp;B5&amp;"','"&amp;C5&amp;"',(select max(to_number(i.premium_rcv_detail_code))+1 from ins_premium_det i),'"&amp;C5&amp;"','"&amp;C5&amp;"','05', '"&amp;E5&amp;"','00');"</f>
        <v>('07Nov240059','040000169361','-416',(select max(to_number(i.premium_rcv_detail_code))+1 from ins_premium_det i),'-416','-416','05', '09000397','00');</v>
      </c>
      <c r="H5" s="31" t="str">
        <f t="shared" si="0"/>
        <v>insert into ins_premium_det (premium_rcv_code,assorted_code, rec_amount,premium_rcv_detail_code,remaining_amt, payrec, mode_code,paid_to_code,class_cd) values('07Nov240059','040000169361','-416',(select max(to_number(i.premium_rcv_detail_code))+1 from ins_premium_det i),'-416','-416','05', '09000397','00');</v>
      </c>
    </row>
    <row r="6" spans="1:8" ht="75" x14ac:dyDescent="0.25">
      <c r="A6" s="7" t="s">
        <v>103</v>
      </c>
      <c r="B6" s="27" t="s">
        <v>150</v>
      </c>
      <c r="C6" s="38" t="s">
        <v>205</v>
      </c>
      <c r="D6" s="26" t="s">
        <v>199</v>
      </c>
      <c r="E6" s="28" t="str">
        <f>VLOOKUP(A6,Policy!B:D,3,0)</f>
        <v>09000397</v>
      </c>
      <c r="F6" s="29" t="str">
        <f t="shared" si="1"/>
        <v>insert into ins_premium_det (premium_rcv_code,assorted_code, rec_amount,premium_rcv_detail_code,remaining_amt, payrec, mode_code,paid_to_code,class_cd) values</v>
      </c>
      <c r="G6" s="30" t="str">
        <f>"('"&amp;D5&amp;"','"&amp;B6&amp;"','"&amp;C6&amp;"',(select max(to_number(i.premium_rcv_detail_code))+1 from ins_premium_det i),'"&amp;C6&amp;"','"&amp;C6&amp;"','05', '"&amp;E6&amp;"','00');"</f>
        <v>('07Nov240059','040000169362','-4455',(select max(to_number(i.premium_rcv_detail_code))+1 from ins_premium_det i),'-4455','-4455','05', '09000397','00');</v>
      </c>
      <c r="H6" s="31" t="str">
        <f t="shared" si="0"/>
        <v>insert into ins_premium_det (premium_rcv_code,assorted_code, rec_amount,premium_rcv_detail_code,remaining_amt, payrec, mode_code,paid_to_code,class_cd) values('07Nov240059','040000169362','-4455',(select max(to_number(i.premium_rcv_detail_code))+1 from ins_premium_det i),'-4455','-4455','05', '09000397','00');</v>
      </c>
    </row>
    <row r="7" spans="1:8" ht="75" x14ac:dyDescent="0.25">
      <c r="A7" s="7" t="s">
        <v>106</v>
      </c>
      <c r="B7" s="27" t="s">
        <v>161</v>
      </c>
      <c r="C7" s="38" t="s">
        <v>206</v>
      </c>
      <c r="D7" s="26" t="s">
        <v>199</v>
      </c>
      <c r="E7" s="28" t="str">
        <f>VLOOKUP(A7,Policy!B:D,3,0)</f>
        <v>09000397</v>
      </c>
      <c r="F7" s="29" t="str">
        <f t="shared" si="1"/>
        <v>insert into ins_premium_det (premium_rcv_code,assorted_code, rec_amount,premium_rcv_detail_code,remaining_amt, payrec, mode_code,paid_to_code,class_cd) values</v>
      </c>
      <c r="G7" s="30" t="str">
        <f>"('"&amp;D6&amp;"','"&amp;B7&amp;"','"&amp;C7&amp;"',(select max(to_number(i.premium_rcv_detail_code))+1 from ins_premium_det i),'"&amp;C7&amp;"','"&amp;C7&amp;"','05', '"&amp;E7&amp;"','00');"</f>
        <v>('07Nov240059','040000170920','-1377',(select max(to_number(i.premium_rcv_detail_code))+1 from ins_premium_det i),'-1377','-1377','05', '09000397','00');</v>
      </c>
      <c r="H7" s="31" t="str">
        <f t="shared" si="0"/>
        <v>insert into ins_premium_det (premium_rcv_code,assorted_code, rec_amount,premium_rcv_detail_code,remaining_amt, payrec, mode_code,paid_to_code,class_cd) values('07Nov240059','040000170920','-1377',(select max(to_number(i.premium_rcv_detail_code))+1 from ins_premium_det i),'-1377','-1377','05', '09000397','00');</v>
      </c>
    </row>
    <row r="8" spans="1:8" ht="75" x14ac:dyDescent="0.25">
      <c r="A8" s="7" t="s">
        <v>104</v>
      </c>
      <c r="B8" s="27" t="s">
        <v>162</v>
      </c>
      <c r="C8" s="38" t="s">
        <v>207</v>
      </c>
      <c r="D8" s="26" t="s">
        <v>199</v>
      </c>
      <c r="E8" s="28" t="str">
        <f>VLOOKUP(A8,Policy!B:D,3,0)</f>
        <v>09000397</v>
      </c>
      <c r="F8" s="29" t="str">
        <f t="shared" si="1"/>
        <v>insert into ins_premium_det (premium_rcv_code,assorted_code, rec_amount,premium_rcv_detail_code,remaining_amt, payrec, mode_code,paid_to_code,class_cd) values</v>
      </c>
      <c r="G8" s="30" t="str">
        <f>"('"&amp;D7&amp;"','"&amp;B8&amp;"','"&amp;C8&amp;"',(select max(to_number(i.premium_rcv_detail_code))+1 from ins_premium_det i),'"&amp;C8&amp;"','"&amp;C8&amp;"','05', '"&amp;E8&amp;"','00');"</f>
        <v>('07Nov240059','040000169360','-26624',(select max(to_number(i.premium_rcv_detail_code))+1 from ins_premium_det i),'-26624','-26624','05', '09000397','00');</v>
      </c>
      <c r="H8" s="31" t="str">
        <f t="shared" si="0"/>
        <v>insert into ins_premium_det (premium_rcv_code,assorted_code, rec_amount,premium_rcv_detail_code,remaining_amt, payrec, mode_code,paid_to_code,class_cd) values('07Nov240059','040000169360','-26624',(select max(to_number(i.premium_rcv_detail_code))+1 from ins_premium_det i),'-26624','-26624','05', '09000397','00');</v>
      </c>
    </row>
    <row r="9" spans="1:8" ht="75" x14ac:dyDescent="0.25">
      <c r="A9" s="7" t="s">
        <v>107</v>
      </c>
      <c r="B9" s="27" t="s">
        <v>153</v>
      </c>
      <c r="C9" s="38" t="s">
        <v>208</v>
      </c>
      <c r="D9" s="26" t="s">
        <v>199</v>
      </c>
      <c r="E9" s="28" t="str">
        <f>VLOOKUP(A9,Policy!B:D,3,0)</f>
        <v>09000397</v>
      </c>
      <c r="F9" s="29" t="str">
        <f t="shared" si="1"/>
        <v>insert into ins_premium_det (premium_rcv_code,assorted_code, rec_amount,premium_rcv_detail_code,remaining_amt, payrec, mode_code,paid_to_code,class_cd) values</v>
      </c>
      <c r="G9" s="30" t="str">
        <f>"('"&amp;D8&amp;"','"&amp;B9&amp;"','"&amp;C9&amp;"',(select max(to_number(i.premium_rcv_detail_code))+1 from ins_premium_det i),'"&amp;C9&amp;"','"&amp;C9&amp;"','05', '"&amp;E9&amp;"','00');"</f>
        <v>('07Nov240059','040000170889','-116',(select max(to_number(i.premium_rcv_detail_code))+1 from ins_premium_det i),'-116','-116','05', '09000397','00');</v>
      </c>
      <c r="H9" s="31" t="str">
        <f t="shared" si="0"/>
        <v>insert into ins_premium_det (premium_rcv_code,assorted_code, rec_amount,premium_rcv_detail_code,remaining_amt, payrec, mode_code,paid_to_code,class_cd) values('07Nov240059','040000170889','-116',(select max(to_number(i.premium_rcv_detail_code))+1 from ins_premium_det i),'-116','-116','05', '09000397','00');</v>
      </c>
    </row>
    <row r="10" spans="1:8" ht="75" x14ac:dyDescent="0.25">
      <c r="A10" s="7" t="s">
        <v>108</v>
      </c>
      <c r="B10" s="27" t="s">
        <v>163</v>
      </c>
      <c r="C10" s="38" t="s">
        <v>209</v>
      </c>
      <c r="D10" s="26" t="s">
        <v>199</v>
      </c>
      <c r="E10" s="28" t="str">
        <f>VLOOKUP(A10,Policy!B:D,3,0)</f>
        <v>09000397</v>
      </c>
      <c r="F10" s="29" t="str">
        <f t="shared" si="1"/>
        <v>insert into ins_premium_det (premium_rcv_code,assorted_code, rec_amount,premium_rcv_detail_code,remaining_amt, payrec, mode_code,paid_to_code,class_cd) values</v>
      </c>
      <c r="G10" s="30" t="str">
        <f>"('"&amp;D9&amp;"','"&amp;B10&amp;"','"&amp;C10&amp;"',(select max(to_number(i.premium_rcv_detail_code))+1 from ins_premium_det i),'"&amp;C10&amp;"','"&amp;C10&amp;"','05', '"&amp;E10&amp;"','00');"</f>
        <v>('07Nov240059','040000170918','-5424',(select max(to_number(i.premium_rcv_detail_code))+1 from ins_premium_det i),'-5424','-5424','05', '09000397','00');</v>
      </c>
      <c r="H10" s="31" t="str">
        <f t="shared" si="0"/>
        <v>insert into ins_premium_det (premium_rcv_code,assorted_code, rec_amount,premium_rcv_detail_code,remaining_amt, payrec, mode_code,paid_to_code,class_cd) values('07Nov240059','040000170918','-5424',(select max(to_number(i.premium_rcv_detail_code))+1 from ins_premium_det i),'-5424','-5424','05', '09000397','00');</v>
      </c>
    </row>
    <row r="11" spans="1:8" ht="75" x14ac:dyDescent="0.25">
      <c r="A11" s="6" t="s">
        <v>116</v>
      </c>
      <c r="B11" s="27" t="s">
        <v>152</v>
      </c>
      <c r="C11" s="38" t="s">
        <v>210</v>
      </c>
      <c r="D11" s="26" t="s">
        <v>199</v>
      </c>
      <c r="E11" s="28" t="str">
        <f>VLOOKUP(A11,Policy!B:D,3,0)</f>
        <v>09000397</v>
      </c>
      <c r="F11" s="29" t="str">
        <f t="shared" si="1"/>
        <v>insert into ins_premium_det (premium_rcv_code,assorted_code, rec_amount,premium_rcv_detail_code,remaining_amt, payrec, mode_code,paid_to_code,class_cd) values</v>
      </c>
      <c r="G11" s="30" t="str">
        <f>"('"&amp;D10&amp;"','"&amp;B11&amp;"','"&amp;C11&amp;"',(select max(to_number(i.premium_rcv_detail_code))+1 from ins_premium_det i),'"&amp;C11&amp;"','"&amp;C11&amp;"','05', '"&amp;E11&amp;"','00');"</f>
        <v>('07Nov240059','040000170923','-527',(select max(to_number(i.premium_rcv_detail_code))+1 from ins_premium_det i),'-527','-527','05', '09000397','00');</v>
      </c>
      <c r="H11" s="31" t="str">
        <f t="shared" si="0"/>
        <v>insert into ins_premium_det (premium_rcv_code,assorted_code, rec_amount,premium_rcv_detail_code,remaining_amt, payrec, mode_code,paid_to_code,class_cd) values('07Nov240059','040000170923','-527',(select max(to_number(i.premium_rcv_detail_code))+1 from ins_premium_det i),'-527','-527','05', '09000397','00');</v>
      </c>
    </row>
    <row r="12" spans="1:8" ht="75" x14ac:dyDescent="0.25">
      <c r="A12" s="7" t="s">
        <v>105</v>
      </c>
      <c r="B12" s="27" t="s">
        <v>151</v>
      </c>
      <c r="C12" s="38" t="s">
        <v>211</v>
      </c>
      <c r="D12" s="26" t="s">
        <v>199</v>
      </c>
      <c r="E12" s="28" t="str">
        <f>VLOOKUP(A12,Policy!B:D,3,0)</f>
        <v>09000397</v>
      </c>
      <c r="F12" s="29" t="str">
        <f t="shared" si="1"/>
        <v>insert into ins_premium_det (premium_rcv_code,assorted_code, rec_amount,premium_rcv_detail_code,remaining_amt, payrec, mode_code,paid_to_code,class_cd) values</v>
      </c>
      <c r="G12" s="30" t="str">
        <f>"('"&amp;D11&amp;"','"&amp;B12&amp;"','"&amp;C12&amp;"',(select max(to_number(i.premium_rcv_detail_code))+1 from ins_premium_det i),'"&amp;C12&amp;"','"&amp;C12&amp;"','05', '"&amp;E12&amp;"','00');"</f>
        <v>('07Nov240059','040000169359','-4102',(select max(to_number(i.premium_rcv_detail_code))+1 from ins_premium_det i),'-4102','-4102','05', '09000397','00');</v>
      </c>
      <c r="H12" s="31" t="str">
        <f t="shared" si="0"/>
        <v>insert into ins_premium_det (premium_rcv_code,assorted_code, rec_amount,premium_rcv_detail_code,remaining_amt, payrec, mode_code,paid_to_code,class_cd) values('07Nov240059','040000169359','-4102',(select max(to_number(i.premium_rcv_detail_code))+1 from ins_premium_det i),'-4102','-4102','05', '09000397','00');</v>
      </c>
    </row>
    <row r="13" spans="1:8" ht="75" x14ac:dyDescent="0.25">
      <c r="A13" s="7" t="s">
        <v>109</v>
      </c>
      <c r="B13" s="27" t="s">
        <v>160</v>
      </c>
      <c r="C13" s="38" t="s">
        <v>212</v>
      </c>
      <c r="D13" s="26" t="s">
        <v>199</v>
      </c>
      <c r="E13" s="28" t="str">
        <f>VLOOKUP(A13,Policy!B:D,3,0)</f>
        <v>09000397</v>
      </c>
      <c r="F13" s="29" t="str">
        <f t="shared" si="1"/>
        <v>insert into ins_premium_det (premium_rcv_code,assorted_code, rec_amount,premium_rcv_detail_code,remaining_amt, payrec, mode_code,paid_to_code,class_cd) values</v>
      </c>
      <c r="G13" s="30" t="str">
        <f>"('"&amp;D12&amp;"','"&amp;B13&amp;"','"&amp;C13&amp;"',(select max(to_number(i.premium_rcv_detail_code))+1 from ins_premium_det i),'"&amp;C13&amp;"','"&amp;C13&amp;"','05', '"&amp;E13&amp;"','00');"</f>
        <v>('07Nov240059','040000170892','-1991',(select max(to_number(i.premium_rcv_detail_code))+1 from ins_premium_det i),'-1991','-1991','05', '09000397','00');</v>
      </c>
      <c r="H13" s="31" t="str">
        <f t="shared" si="0"/>
        <v>insert into ins_premium_det (premium_rcv_code,assorted_code, rec_amount,premium_rcv_detail_code,remaining_amt, payrec, mode_code,paid_to_code,class_cd) values('07Nov240059','040000170892','-1991',(select max(to_number(i.premium_rcv_detail_code))+1 from ins_premium_det i),'-1991','-1991','05', '09000397','00');</v>
      </c>
    </row>
    <row r="14" spans="1:8" ht="75" x14ac:dyDescent="0.25">
      <c r="A14" s="7" t="s">
        <v>102</v>
      </c>
      <c r="B14" s="27" t="s">
        <v>148</v>
      </c>
      <c r="C14" s="38" t="s">
        <v>213</v>
      </c>
      <c r="D14" s="26" t="s">
        <v>199</v>
      </c>
      <c r="E14" s="28" t="str">
        <f>VLOOKUP(A14,Policy!B:D,3,0)</f>
        <v>09000397</v>
      </c>
      <c r="F14" s="29" t="str">
        <f t="shared" si="1"/>
        <v>insert into ins_premium_det (premium_rcv_code,assorted_code, rec_amount,premium_rcv_detail_code,remaining_amt, payrec, mode_code,paid_to_code,class_cd) values</v>
      </c>
      <c r="G14" s="30" t="str">
        <f>"('"&amp;D13&amp;"','"&amp;B14&amp;"','"&amp;C14&amp;"',(select max(to_number(i.premium_rcv_detail_code))+1 from ins_premium_det i),'"&amp;C14&amp;"','"&amp;C14&amp;"','05', '"&amp;E14&amp;"','00');"</f>
        <v>('07Nov240059','040000169361','-833',(select max(to_number(i.premium_rcv_detail_code))+1 from ins_premium_det i),'-833','-833','05', '09000397','00');</v>
      </c>
      <c r="H14" s="31" t="str">
        <f t="shared" si="0"/>
        <v>insert into ins_premium_det (premium_rcv_code,assorted_code, rec_amount,premium_rcv_detail_code,remaining_amt, payrec, mode_code,paid_to_code,class_cd) values('07Nov240059','040000169361','-833',(select max(to_number(i.premium_rcv_detail_code))+1 from ins_premium_det i),'-833','-833','05', '09000397','00');</v>
      </c>
    </row>
    <row r="15" spans="1:8" ht="75" x14ac:dyDescent="0.25">
      <c r="A15" s="7" t="s">
        <v>108</v>
      </c>
      <c r="B15" s="27" t="s">
        <v>163</v>
      </c>
      <c r="C15" s="38" t="s">
        <v>214</v>
      </c>
      <c r="D15" s="26" t="s">
        <v>199</v>
      </c>
      <c r="E15" s="28" t="str">
        <f>VLOOKUP(A15,Policy!B:D,3,0)</f>
        <v>09000397</v>
      </c>
      <c r="F15" s="29" t="str">
        <f t="shared" si="1"/>
        <v>insert into ins_premium_det (premium_rcv_code,assorted_code, rec_amount,premium_rcv_detail_code,remaining_amt, payrec, mode_code,paid_to_code,class_cd) values</v>
      </c>
      <c r="G15" s="30" t="str">
        <f>"('"&amp;D14&amp;"','"&amp;B15&amp;"','"&amp;C15&amp;"',(select max(to_number(i.premium_rcv_detail_code))+1 from ins_premium_det i),'"&amp;C15&amp;"','"&amp;C15&amp;"','05', '"&amp;E15&amp;"','00');"</f>
        <v>('07Nov240059','040000170918','-51',(select max(to_number(i.premium_rcv_detail_code))+1 from ins_premium_det i),'-51','-51','05', '09000397','00');</v>
      </c>
      <c r="H15" s="31" t="str">
        <f t="shared" si="0"/>
        <v>insert into ins_premium_det (premium_rcv_code,assorted_code, rec_amount,premium_rcv_detail_code,remaining_amt, payrec, mode_code,paid_to_code,class_cd) values('07Nov240059','040000170918','-51',(select max(to_number(i.premium_rcv_detail_code))+1 from ins_premium_det i),'-51','-51','05', '09000397','00');</v>
      </c>
    </row>
    <row r="16" spans="1:8" ht="75" x14ac:dyDescent="0.25">
      <c r="A16" s="7" t="s">
        <v>104</v>
      </c>
      <c r="B16" s="27" t="s">
        <v>162</v>
      </c>
      <c r="C16" s="38" t="s">
        <v>215</v>
      </c>
      <c r="D16" s="26" t="s">
        <v>199</v>
      </c>
      <c r="E16" s="28" t="str">
        <f>VLOOKUP(A16,Policy!B:D,3,0)</f>
        <v>09000397</v>
      </c>
      <c r="F16" s="29" t="str">
        <f t="shared" si="1"/>
        <v>insert into ins_premium_det (premium_rcv_code,assorted_code, rec_amount,premium_rcv_detail_code,remaining_amt, payrec, mode_code,paid_to_code,class_cd) values</v>
      </c>
      <c r="G16" s="30" t="str">
        <f>"('"&amp;D15&amp;"','"&amp;B16&amp;"','"&amp;C16&amp;"',(select max(to_number(i.premium_rcv_detail_code))+1 from ins_premium_det i),'"&amp;C16&amp;"','"&amp;C16&amp;"','05', '"&amp;E16&amp;"','00');"</f>
        <v>('07Nov240059','040000169360','-1336',(select max(to_number(i.premium_rcv_detail_code))+1 from ins_premium_det i),'-1336','-1336','05', '09000397','00');</v>
      </c>
      <c r="H16" s="31" t="str">
        <f t="shared" si="0"/>
        <v>insert into ins_premium_det (premium_rcv_code,assorted_code, rec_amount,premium_rcv_detail_code,remaining_amt, payrec, mode_code,paid_to_code,class_cd) values('07Nov240059','040000169360','-1336',(select max(to_number(i.premium_rcv_detail_code))+1 from ins_premium_det i),'-1336','-1336','05', '09000397','00');</v>
      </c>
    </row>
    <row r="17" spans="1:8" ht="75" x14ac:dyDescent="0.25">
      <c r="A17" s="7" t="s">
        <v>102</v>
      </c>
      <c r="B17" s="27" t="s">
        <v>148</v>
      </c>
      <c r="C17" s="38" t="s">
        <v>216</v>
      </c>
      <c r="D17" s="26" t="s">
        <v>199</v>
      </c>
      <c r="E17" s="28" t="str">
        <f>VLOOKUP(A17,Policy!B:D,3,0)</f>
        <v>09000397</v>
      </c>
      <c r="F17" s="29" t="str">
        <f t="shared" si="1"/>
        <v>insert into ins_premium_det (premium_rcv_code,assorted_code, rec_amount,premium_rcv_detail_code,remaining_amt, payrec, mode_code,paid_to_code,class_cd) values</v>
      </c>
      <c r="G17" s="30" t="str">
        <f>"('"&amp;D16&amp;"','"&amp;B17&amp;"','"&amp;C17&amp;"',(select max(to_number(i.premium_rcv_detail_code))+1 from ins_premium_det i),'"&amp;C17&amp;"','"&amp;C17&amp;"','05', '"&amp;E17&amp;"','00');"</f>
        <v>('07Nov240059','040000169361','-1237',(select max(to_number(i.premium_rcv_detail_code))+1 from ins_premium_det i),'-1237','-1237','05', '09000397','00');</v>
      </c>
      <c r="H17" s="31" t="str">
        <f t="shared" si="0"/>
        <v>insert into ins_premium_det (premium_rcv_code,assorted_code, rec_amount,premium_rcv_detail_code,remaining_amt, payrec, mode_code,paid_to_code,class_cd) values('07Nov240059','040000169361','-1237',(select max(to_number(i.premium_rcv_detail_code))+1 from ins_premium_det i),'-1237','-1237','05', '09000397','00');</v>
      </c>
    </row>
    <row r="18" spans="1:8" ht="75" x14ac:dyDescent="0.25">
      <c r="A18" s="7" t="s">
        <v>103</v>
      </c>
      <c r="B18" s="27" t="s">
        <v>150</v>
      </c>
      <c r="C18" s="38">
        <v>1545</v>
      </c>
      <c r="D18" s="26" t="s">
        <v>199</v>
      </c>
      <c r="E18" s="28" t="str">
        <f>VLOOKUP(A18,Policy!B:D,3,0)</f>
        <v>09000397</v>
      </c>
      <c r="F18" s="29" t="str">
        <f t="shared" si="1"/>
        <v>insert into ins_premium_det (premium_rcv_code,assorted_code, rec_amount,premium_rcv_detail_code,remaining_amt, payrec, mode_code,paid_to_code,class_cd) values</v>
      </c>
      <c r="G18" s="30" t="str">
        <f>"('"&amp;D17&amp;"','"&amp;B18&amp;"','"&amp;C18&amp;"',(select max(to_number(i.premium_rcv_detail_code))+1 from ins_premium_det i),'"&amp;C18&amp;"','"&amp;C18&amp;"','05', '"&amp;E18&amp;"','00');"</f>
        <v>('07Nov240059','040000169362','1545',(select max(to_number(i.premium_rcv_detail_code))+1 from ins_premium_det i),'1545','1545','05', '09000397','00');</v>
      </c>
      <c r="H18" s="31" t="str">
        <f t="shared" si="0"/>
        <v>insert into ins_premium_det (premium_rcv_code,assorted_code, rec_amount,premium_rcv_detail_code,remaining_amt, payrec, mode_code,paid_to_code,class_cd) values('07Nov240059','040000169362','1545',(select max(to_number(i.premium_rcv_detail_code))+1 from ins_premium_det i),'1545','1545','05', '09000397','00');</v>
      </c>
    </row>
    <row r="19" spans="1:8" ht="75" x14ac:dyDescent="0.25">
      <c r="A19" s="7" t="s">
        <v>106</v>
      </c>
      <c r="B19" s="27" t="s">
        <v>161</v>
      </c>
      <c r="C19" s="38">
        <v>151</v>
      </c>
      <c r="D19" s="26" t="s">
        <v>199</v>
      </c>
      <c r="E19" s="28" t="str">
        <f>VLOOKUP(A19,Policy!B:D,3,0)</f>
        <v>09000397</v>
      </c>
      <c r="F19" s="29" t="str">
        <f t="shared" si="1"/>
        <v>insert into ins_premium_det (premium_rcv_code,assorted_code, rec_amount,premium_rcv_detail_code,remaining_amt, payrec, mode_code,paid_to_code,class_cd) values</v>
      </c>
      <c r="G19" s="30" t="str">
        <f>"('"&amp;D18&amp;"','"&amp;B19&amp;"','"&amp;C19&amp;"',(select max(to_number(i.premium_rcv_detail_code))+1 from ins_premium_det i),'"&amp;C19&amp;"','"&amp;C19&amp;"','05', '"&amp;E19&amp;"','00');"</f>
        <v>('07Nov240059','040000170920','151',(select max(to_number(i.premium_rcv_detail_code))+1 from ins_premium_det i),'151','151','05', '09000397','00');</v>
      </c>
      <c r="H19" s="31" t="str">
        <f t="shared" si="0"/>
        <v>insert into ins_premium_det (premium_rcv_code,assorted_code, rec_amount,premium_rcv_detail_code,remaining_amt, payrec, mode_code,paid_to_code,class_cd) values('07Nov240059','040000170920','151',(select max(to_number(i.premium_rcv_detail_code))+1 from ins_premium_det i),'151','151','05', '09000397','00');</v>
      </c>
    </row>
    <row r="20" spans="1:8" ht="75" x14ac:dyDescent="0.25">
      <c r="A20" s="6" t="s">
        <v>115</v>
      </c>
      <c r="B20" s="27" t="s">
        <v>177</v>
      </c>
      <c r="C20" s="38" t="s">
        <v>217</v>
      </c>
      <c r="D20" s="26" t="s">
        <v>199</v>
      </c>
      <c r="E20" s="28" t="str">
        <f>VLOOKUP(A20,Policy!B:D,3,0)</f>
        <v>09000397</v>
      </c>
      <c r="F20" s="29" t="str">
        <f t="shared" si="1"/>
        <v>insert into ins_premium_det (premium_rcv_code,assorted_code, rec_amount,premium_rcv_detail_code,remaining_amt, payrec, mode_code,paid_to_code,class_cd) values</v>
      </c>
      <c r="G20" s="30" t="str">
        <f>"('"&amp;D19&amp;"','"&amp;B20&amp;"','"&amp;C20&amp;"',(select max(to_number(i.premium_rcv_detail_code))+1 from ins_premium_det i),'"&amp;C20&amp;"','"&amp;C20&amp;"','05', '"&amp;E20&amp;"','00');"</f>
        <v>('07Nov240059','050000764457','-270',(select max(to_number(i.premium_rcv_detail_code))+1 from ins_premium_det i),'-270','-270','05', '09000397','00');</v>
      </c>
      <c r="H20" s="31" t="str">
        <f t="shared" si="0"/>
        <v>insert into ins_premium_det (premium_rcv_code,assorted_code, rec_amount,premium_rcv_detail_code,remaining_amt, payrec, mode_code,paid_to_code,class_cd) values('07Nov240059','050000764457','-270',(select max(to_number(i.premium_rcv_detail_code))+1 from ins_premium_det i),'-270','-270','05', '09000397','00');</v>
      </c>
    </row>
    <row r="21" spans="1:8" ht="75" x14ac:dyDescent="0.25">
      <c r="A21" s="7" t="s">
        <v>103</v>
      </c>
      <c r="B21" s="27" t="s">
        <v>150</v>
      </c>
      <c r="C21" s="38">
        <v>4001</v>
      </c>
      <c r="D21" s="26" t="s">
        <v>199</v>
      </c>
      <c r="E21" s="28" t="str">
        <f>VLOOKUP(A21,Policy!B:D,3,0)</f>
        <v>09000397</v>
      </c>
      <c r="F21" s="29" t="str">
        <f t="shared" si="1"/>
        <v>insert into ins_premium_det (premium_rcv_code,assorted_code, rec_amount,premium_rcv_detail_code,remaining_amt, payrec, mode_code,paid_to_code,class_cd) values</v>
      </c>
      <c r="G21" s="30" t="str">
        <f>"('"&amp;D20&amp;"','"&amp;B21&amp;"','"&amp;C21&amp;"',(select max(to_number(i.premium_rcv_detail_code))+1 from ins_premium_det i),'"&amp;C21&amp;"','"&amp;C21&amp;"','05', '"&amp;E21&amp;"','00');"</f>
        <v>('07Nov240059','040000169362','4001',(select max(to_number(i.premium_rcv_detail_code))+1 from ins_premium_det i),'4001','4001','05', '09000397','00');</v>
      </c>
      <c r="H21" s="31" t="str">
        <f t="shared" si="0"/>
        <v>insert into ins_premium_det (premium_rcv_code,assorted_code, rec_amount,premium_rcv_detail_code,remaining_amt, payrec, mode_code,paid_to_code,class_cd) values('07Nov240059','040000169362','4001',(select max(to_number(i.premium_rcv_detail_code))+1 from ins_premium_det i),'4001','4001','05', '09000397','00');</v>
      </c>
    </row>
    <row r="22" spans="1:8" ht="75" x14ac:dyDescent="0.25">
      <c r="A22" s="6" t="s">
        <v>123</v>
      </c>
      <c r="B22" s="27" t="s">
        <v>193</v>
      </c>
      <c r="C22" s="38" t="s">
        <v>217</v>
      </c>
      <c r="D22" s="26" t="s">
        <v>199</v>
      </c>
      <c r="E22" s="28" t="str">
        <f>VLOOKUP(A22,Policy!B:D,3,0)</f>
        <v>09000397</v>
      </c>
      <c r="F22" s="29" t="str">
        <f t="shared" si="1"/>
        <v>insert into ins_premium_det (premium_rcv_code,assorted_code, rec_amount,premium_rcv_detail_code,remaining_amt, payrec, mode_code,paid_to_code,class_cd) values</v>
      </c>
      <c r="G22" s="30" t="str">
        <f>"('"&amp;D21&amp;"','"&amp;B22&amp;"','"&amp;C22&amp;"',(select max(to_number(i.premium_rcv_detail_code))+1 from ins_premium_det i),'"&amp;C22&amp;"','"&amp;C22&amp;"','05', '"&amp;E22&amp;"','00');"</f>
        <v>('07Nov240059','050000821466','-270',(select max(to_number(i.premium_rcv_detail_code))+1 from ins_premium_det i),'-270','-270','05', '09000397','00');</v>
      </c>
      <c r="H22" s="31" t="str">
        <f t="shared" si="0"/>
        <v>insert into ins_premium_det (premium_rcv_code,assorted_code, rec_amount,premium_rcv_detail_code,remaining_amt, payrec, mode_code,paid_to_code,class_cd) values('07Nov240059','050000821466','-270',(select max(to_number(i.premium_rcv_detail_code))+1 from ins_premium_det i),'-270','-270','05', '09000397','00');</v>
      </c>
    </row>
    <row r="23" spans="1:8" ht="75" x14ac:dyDescent="0.25">
      <c r="A23" s="7" t="s">
        <v>110</v>
      </c>
      <c r="B23" s="27" t="s">
        <v>179</v>
      </c>
      <c r="C23" s="38" t="s">
        <v>218</v>
      </c>
      <c r="D23" s="26" t="s">
        <v>199</v>
      </c>
      <c r="E23" s="28" t="str">
        <f>VLOOKUP(A23,Policy!B:D,3,0)</f>
        <v>09000397</v>
      </c>
      <c r="F23" s="29" t="str">
        <f t="shared" si="1"/>
        <v>insert into ins_premium_det (premium_rcv_code,assorted_code, rec_amount,premium_rcv_detail_code,remaining_amt, payrec, mode_code,paid_to_code,class_cd) values</v>
      </c>
      <c r="G23" s="30" t="str">
        <f>"('"&amp;D22&amp;"','"&amp;B23&amp;"','"&amp;C23&amp;"',(select max(to_number(i.premium_rcv_detail_code))+1 from ins_premium_det i),'"&amp;C23&amp;"','"&amp;C23&amp;"','05', '"&amp;E23&amp;"','00');"</f>
        <v>('07Nov240059','050000788846','-40',(select max(to_number(i.premium_rcv_detail_code))+1 from ins_premium_det i),'-40','-40','05', '09000397','00');</v>
      </c>
      <c r="H23" s="31" t="str">
        <f t="shared" si="0"/>
        <v>insert into ins_premium_det (premium_rcv_code,assorted_code, rec_amount,premium_rcv_detail_code,remaining_amt, payrec, mode_code,paid_to_code,class_cd) values('07Nov240059','050000788846','-40',(select max(to_number(i.premium_rcv_detail_code))+1 from ins_premium_det i),'-40','-40','05', '09000397','00');</v>
      </c>
    </row>
    <row r="24" spans="1:8" ht="75" x14ac:dyDescent="0.25">
      <c r="A24" s="7" t="s">
        <v>111</v>
      </c>
      <c r="B24" s="27" t="s">
        <v>182</v>
      </c>
      <c r="C24" s="38" t="s">
        <v>219</v>
      </c>
      <c r="D24" s="26" t="s">
        <v>199</v>
      </c>
      <c r="E24" s="28" t="str">
        <f>VLOOKUP(A24,Policy!B:D,3,0)</f>
        <v>09000397</v>
      </c>
      <c r="F24" s="29" t="str">
        <f t="shared" si="1"/>
        <v>insert into ins_premium_det (premium_rcv_code,assorted_code, rec_amount,premium_rcv_detail_code,remaining_amt, payrec, mode_code,paid_to_code,class_cd) values</v>
      </c>
      <c r="G24" s="30" t="str">
        <f>"('"&amp;D23&amp;"','"&amp;B24&amp;"','"&amp;C24&amp;"',(select max(to_number(i.premium_rcv_detail_code))+1 from ins_premium_det i),'"&amp;C24&amp;"','"&amp;C24&amp;"','05', '"&amp;E24&amp;"','00');"</f>
        <v>('07Nov240059','050000788833','-425',(select max(to_number(i.premium_rcv_detail_code))+1 from ins_premium_det i),'-425','-425','05', '09000397','00');</v>
      </c>
      <c r="H24" s="31" t="str">
        <f t="shared" si="0"/>
        <v>insert into ins_premium_det (premium_rcv_code,assorted_code, rec_amount,premium_rcv_detail_code,remaining_amt, payrec, mode_code,paid_to_code,class_cd) values('07Nov240059','050000788833','-425',(select max(to_number(i.premium_rcv_detail_code))+1 from ins_premium_det i),'-425','-425','05', '09000397','00');</v>
      </c>
    </row>
    <row r="25" spans="1:8" ht="75" x14ac:dyDescent="0.25">
      <c r="A25" s="7" t="s">
        <v>112</v>
      </c>
      <c r="B25" s="27" t="s">
        <v>176</v>
      </c>
      <c r="C25" s="38">
        <v>401</v>
      </c>
      <c r="D25" s="26" t="s">
        <v>199</v>
      </c>
      <c r="E25" s="28" t="str">
        <f>VLOOKUP(A25,Policy!B:D,3,0)</f>
        <v>09000397</v>
      </c>
      <c r="F25" s="29" t="str">
        <f t="shared" si="1"/>
        <v>insert into ins_premium_det (premium_rcv_code,assorted_code, rec_amount,premium_rcv_detail_code,remaining_amt, payrec, mode_code,paid_to_code,class_cd) values</v>
      </c>
      <c r="G25" s="30" t="str">
        <f>"('"&amp;D24&amp;"','"&amp;B25&amp;"','"&amp;C25&amp;"',(select max(to_number(i.premium_rcv_detail_code))+1 from ins_premium_det i),'"&amp;C25&amp;"','"&amp;C25&amp;"','05', '"&amp;E25&amp;"','00');"</f>
        <v>('07Nov240059','050000788834','401',(select max(to_number(i.premium_rcv_detail_code))+1 from ins_premium_det i),'401','401','05', '09000397','00');</v>
      </c>
      <c r="H25" s="31" t="str">
        <f t="shared" si="0"/>
        <v>insert into ins_premium_det (premium_rcv_code,assorted_code, rec_amount,premium_rcv_detail_code,remaining_amt, payrec, mode_code,paid_to_code,class_cd) values('07Nov240059','050000788834','401',(select max(to_number(i.premium_rcv_detail_code))+1 from ins_premium_det i),'401','401','05', '09000397','00');</v>
      </c>
    </row>
    <row r="26" spans="1:8" ht="75" x14ac:dyDescent="0.25">
      <c r="A26" s="7" t="s">
        <v>113</v>
      </c>
      <c r="B26" s="27" t="s">
        <v>178</v>
      </c>
      <c r="C26" s="38" t="s">
        <v>220</v>
      </c>
      <c r="D26" s="26" t="s">
        <v>199</v>
      </c>
      <c r="E26" s="28" t="str">
        <f>VLOOKUP(A26,Policy!B:D,3,0)</f>
        <v>09000397</v>
      </c>
      <c r="F26" s="29" t="str">
        <f t="shared" si="1"/>
        <v>insert into ins_premium_det (premium_rcv_code,assorted_code, rec_amount,premium_rcv_detail_code,remaining_amt, payrec, mode_code,paid_to_code,class_cd) values</v>
      </c>
      <c r="G26" s="30" t="str">
        <f>"('"&amp;D25&amp;"','"&amp;B26&amp;"','"&amp;C26&amp;"',(select max(to_number(i.premium_rcv_detail_code))+1 from ins_premium_det i),'"&amp;C26&amp;"','"&amp;C26&amp;"','05', '"&amp;E26&amp;"','00');"</f>
        <v>('07Nov240059','050000788836','-98',(select max(to_number(i.premium_rcv_detail_code))+1 from ins_premium_det i),'-98','-98','05', '09000397','00');</v>
      </c>
      <c r="H26" s="31" t="str">
        <f t="shared" si="0"/>
        <v>insert into ins_premium_det (premium_rcv_code,assorted_code, rec_amount,premium_rcv_detail_code,remaining_amt, payrec, mode_code,paid_to_code,class_cd) values('07Nov240059','050000788836','-98',(select max(to_number(i.premium_rcv_detail_code))+1 from ins_premium_det i),'-98','-98','05', '09000397','00');</v>
      </c>
    </row>
    <row r="27" spans="1:8" ht="75" x14ac:dyDescent="0.25">
      <c r="A27" s="7" t="s">
        <v>114</v>
      </c>
      <c r="B27" s="27" t="s">
        <v>184</v>
      </c>
      <c r="C27" s="38" t="s">
        <v>221</v>
      </c>
      <c r="D27" s="26" t="s">
        <v>199</v>
      </c>
      <c r="E27" s="28" t="str">
        <f>VLOOKUP(A27,Policy!B:D,3,0)</f>
        <v>09000397</v>
      </c>
      <c r="F27" s="29" t="str">
        <f t="shared" si="1"/>
        <v>insert into ins_premium_det (premium_rcv_code,assorted_code, rec_amount,premium_rcv_detail_code,remaining_amt, payrec, mode_code,paid_to_code,class_cd) values</v>
      </c>
      <c r="G27" s="30" t="str">
        <f>"('"&amp;D26&amp;"','"&amp;B27&amp;"','"&amp;C27&amp;"',(select max(to_number(i.premium_rcv_detail_code))+1 from ins_premium_det i),'"&amp;C27&amp;"','"&amp;C27&amp;"','05', '"&amp;E27&amp;"','00');"</f>
        <v>('07Nov240059','050000788843','-85',(select max(to_number(i.premium_rcv_detail_code))+1 from ins_premium_det i),'-85','-85','05', '09000397','00');</v>
      </c>
      <c r="H27" s="31" t="str">
        <f t="shared" si="0"/>
        <v>insert into ins_premium_det (premium_rcv_code,assorted_code, rec_amount,premium_rcv_detail_code,remaining_amt, payrec, mode_code,paid_to_code,class_cd) values('07Nov240059','050000788843','-85',(select max(to_number(i.premium_rcv_detail_code))+1 from ins_premium_det i),'-85','-85','05', '09000397','00');</v>
      </c>
    </row>
    <row r="28" spans="1:8" ht="75" x14ac:dyDescent="0.25">
      <c r="A28" s="6" t="s">
        <v>117</v>
      </c>
      <c r="B28" s="27" t="s">
        <v>181</v>
      </c>
      <c r="C28" s="38">
        <v>294</v>
      </c>
      <c r="D28" s="26" t="s">
        <v>199</v>
      </c>
      <c r="E28" s="28" t="str">
        <f>VLOOKUP(A28,Policy!B:D,3,0)</f>
        <v>09000397</v>
      </c>
      <c r="F28" s="29" t="str">
        <f t="shared" si="1"/>
        <v>insert into ins_premium_det (premium_rcv_code,assorted_code, rec_amount,premium_rcv_detail_code,remaining_amt, payrec, mode_code,paid_to_code,class_cd) values</v>
      </c>
      <c r="G28" s="30" t="str">
        <f>"('"&amp;D27&amp;"','"&amp;B28&amp;"','"&amp;C28&amp;"',(select max(to_number(i.premium_rcv_detail_code))+1 from ins_premium_det i),'"&amp;C28&amp;"','"&amp;C28&amp;"','05', '"&amp;E28&amp;"','00');"</f>
        <v>('07Nov240059','050000816013','294',(select max(to_number(i.premium_rcv_detail_code))+1 from ins_premium_det i),'294','294','05', '09000397','00');</v>
      </c>
      <c r="H28" s="31" t="str">
        <f t="shared" si="0"/>
        <v>insert into ins_premium_det (premium_rcv_code,assorted_code, rec_amount,premium_rcv_detail_code,remaining_amt, payrec, mode_code,paid_to_code,class_cd) values('07Nov240059','050000816013','294',(select max(to_number(i.premium_rcv_detail_code))+1 from ins_premium_det i),'294','294','05', '09000397','00');</v>
      </c>
    </row>
    <row r="29" spans="1:8" ht="75" x14ac:dyDescent="0.25">
      <c r="A29" s="6" t="s">
        <v>118</v>
      </c>
      <c r="B29" s="27" t="s">
        <v>183</v>
      </c>
      <c r="C29" s="38">
        <v>1922</v>
      </c>
      <c r="D29" s="26" t="s">
        <v>199</v>
      </c>
      <c r="E29" s="28" t="str">
        <f>VLOOKUP(A29,Policy!B:D,3,0)</f>
        <v>09000397</v>
      </c>
      <c r="F29" s="29" t="str">
        <f t="shared" si="1"/>
        <v>insert into ins_premium_det (premium_rcv_code,assorted_code, rec_amount,premium_rcv_detail_code,remaining_amt, payrec, mode_code,paid_to_code,class_cd) values</v>
      </c>
      <c r="G29" s="30" t="str">
        <f>"('"&amp;D28&amp;"','"&amp;B29&amp;"','"&amp;C29&amp;"',(select max(to_number(i.premium_rcv_detail_code))+1 from ins_premium_det i),'"&amp;C29&amp;"','"&amp;C29&amp;"','05', '"&amp;E29&amp;"','00');"</f>
        <v>('07Nov240059','050000816022','1922',(select max(to_number(i.premium_rcv_detail_code))+1 from ins_premium_det i),'1922','1922','05', '09000397','00');</v>
      </c>
      <c r="H29" s="31" t="str">
        <f t="shared" si="0"/>
        <v>insert into ins_premium_det (premium_rcv_code,assorted_code, rec_amount,premium_rcv_detail_code,remaining_amt, payrec, mode_code,paid_to_code,class_cd) values('07Nov240059','050000816022','1922',(select max(to_number(i.premium_rcv_detail_code))+1 from ins_premium_det i),'1922','1922','05', '09000397','00');</v>
      </c>
    </row>
    <row r="30" spans="1:8" ht="75" x14ac:dyDescent="0.25">
      <c r="A30" s="6" t="s">
        <v>124</v>
      </c>
      <c r="B30" s="27" t="s">
        <v>194</v>
      </c>
      <c r="C30" s="38">
        <v>563</v>
      </c>
      <c r="D30" s="26" t="s">
        <v>199</v>
      </c>
      <c r="E30" s="28" t="str">
        <f>VLOOKUP(A30,Policy!B:D,3,0)</f>
        <v>09000397</v>
      </c>
      <c r="F30" s="29" t="str">
        <f t="shared" si="1"/>
        <v>insert into ins_premium_det (premium_rcv_code,assorted_code, rec_amount,premium_rcv_detail_code,remaining_amt, payrec, mode_code,paid_to_code,class_cd) values</v>
      </c>
      <c r="G30" s="30" t="str">
        <f>"('"&amp;D29&amp;"','"&amp;B30&amp;"','"&amp;C30&amp;"',(select max(to_number(i.premium_rcv_detail_code))+1 from ins_premium_det i),'"&amp;C30&amp;"','"&amp;C30&amp;"','05', '"&amp;E30&amp;"','00');"</f>
        <v>('07Nov240059','050000821691','563',(select max(to_number(i.premium_rcv_detail_code))+1 from ins_premium_det i),'563','563','05', '09000397','00');</v>
      </c>
      <c r="H30" s="31" t="str">
        <f t="shared" si="0"/>
        <v>insert into ins_premium_det (premium_rcv_code,assorted_code, rec_amount,premium_rcv_detail_code,remaining_amt, payrec, mode_code,paid_to_code,class_cd) values('07Nov240059','050000821691','563',(select max(to_number(i.premium_rcv_detail_code))+1 from ins_premium_det i),'563','563','05', '09000397','00');</v>
      </c>
    </row>
    <row r="31" spans="1:8" ht="75" x14ac:dyDescent="0.25">
      <c r="A31" s="6" t="s">
        <v>125</v>
      </c>
      <c r="B31" s="27" t="s">
        <v>186</v>
      </c>
      <c r="C31" s="38" t="s">
        <v>222</v>
      </c>
      <c r="D31" s="26" t="s">
        <v>199</v>
      </c>
      <c r="E31" s="28" t="str">
        <f>VLOOKUP(A31,Policy!B:D,3,0)</f>
        <v>09000397</v>
      </c>
      <c r="F31" s="29" t="str">
        <f t="shared" si="1"/>
        <v>insert into ins_premium_det (premium_rcv_code,assorted_code, rec_amount,premium_rcv_detail_code,remaining_amt, payrec, mode_code,paid_to_code,class_cd) values</v>
      </c>
      <c r="G31" s="30" t="str">
        <f>"('"&amp;D30&amp;"','"&amp;B31&amp;"','"&amp;C31&amp;"',(select max(to_number(i.premium_rcv_detail_code))+1 from ins_premium_det i),'"&amp;C31&amp;"','"&amp;C31&amp;"','05', '"&amp;E31&amp;"','00');"</f>
        <v>('07Nov240059','050000821705','-1',(select max(to_number(i.premium_rcv_detail_code))+1 from ins_premium_det i),'-1','-1','05', '09000397','00');</v>
      </c>
      <c r="H31" s="31" t="str">
        <f t="shared" si="0"/>
        <v>insert into ins_premium_det (premium_rcv_code,assorted_code, rec_amount,premium_rcv_detail_code,remaining_amt, payrec, mode_code,paid_to_code,class_cd) values('07Nov240059','050000821705','-1',(select max(to_number(i.premium_rcv_detail_code))+1 from ins_premium_det i),'-1','-1','05', '09000397','00');</v>
      </c>
    </row>
    <row r="32" spans="1:8" ht="75" x14ac:dyDescent="0.25">
      <c r="A32" s="6" t="s">
        <v>108</v>
      </c>
      <c r="B32" s="27" t="s">
        <v>163</v>
      </c>
      <c r="C32" s="38">
        <v>1013</v>
      </c>
      <c r="D32" s="26" t="s">
        <v>199</v>
      </c>
      <c r="E32" s="28" t="str">
        <f>VLOOKUP(A32,Policy!B:D,3,0)</f>
        <v>09000397</v>
      </c>
      <c r="F32" s="29" t="str">
        <f t="shared" si="1"/>
        <v>insert into ins_premium_det (premium_rcv_code,assorted_code, rec_amount,premium_rcv_detail_code,remaining_amt, payrec, mode_code,paid_to_code,class_cd) values</v>
      </c>
      <c r="G32" s="30" t="str">
        <f>"('"&amp;D31&amp;"','"&amp;B32&amp;"','"&amp;C32&amp;"',(select max(to_number(i.premium_rcv_detail_code))+1 from ins_premium_det i),'"&amp;C32&amp;"','"&amp;C32&amp;"','05', '"&amp;E32&amp;"','00');"</f>
        <v>('07Nov240059','040000170918','1013',(select max(to_number(i.premium_rcv_detail_code))+1 from ins_premium_det i),'1013','1013','05', '09000397','00');</v>
      </c>
      <c r="H32" s="31" t="str">
        <f t="shared" si="0"/>
        <v>insert into ins_premium_det (premium_rcv_code,assorted_code, rec_amount,premium_rcv_detail_code,remaining_amt, payrec, mode_code,paid_to_code,class_cd) values('07Nov240059','040000170918','1013',(select max(to_number(i.premium_rcv_detail_code))+1 from ins_premium_det i),'1013','1013','05', '09000397','00');</v>
      </c>
    </row>
    <row r="33" spans="1:8" ht="75" x14ac:dyDescent="0.25">
      <c r="A33" s="6" t="s">
        <v>126</v>
      </c>
      <c r="B33" s="27" t="s">
        <v>188</v>
      </c>
      <c r="C33" s="38" t="s">
        <v>223</v>
      </c>
      <c r="D33" s="26" t="s">
        <v>199</v>
      </c>
      <c r="E33" s="28" t="str">
        <f>VLOOKUP(A33,Policy!B:D,3,0)</f>
        <v>09000397</v>
      </c>
      <c r="F33" s="29" t="str">
        <f t="shared" si="1"/>
        <v>insert into ins_premium_det (premium_rcv_code,assorted_code, rec_amount,premium_rcv_detail_code,remaining_amt, payrec, mode_code,paid_to_code,class_cd) values</v>
      </c>
      <c r="G33" s="30" t="str">
        <f>"('"&amp;D32&amp;"','"&amp;B33&amp;"','"&amp;C33&amp;"',(select max(to_number(i.premium_rcv_detail_code))+1 from ins_premium_det i),'"&amp;C33&amp;"','"&amp;C33&amp;"','05', '"&amp;E33&amp;"','00');"</f>
        <v>('07Nov240059','050000821946','-31',(select max(to_number(i.premium_rcv_detail_code))+1 from ins_premium_det i),'-31','-31','05', '09000397','00');</v>
      </c>
      <c r="H33" s="31" t="str">
        <f t="shared" si="0"/>
        <v>insert into ins_premium_det (premium_rcv_code,assorted_code, rec_amount,premium_rcv_detail_code,remaining_amt, payrec, mode_code,paid_to_code,class_cd) values('07Nov240059','050000821946','-31',(select max(to_number(i.premium_rcv_detail_code))+1 from ins_premium_det i),'-31','-31','05', '09000397','00');</v>
      </c>
    </row>
    <row r="34" spans="1:8" ht="75" x14ac:dyDescent="0.25">
      <c r="A34" s="6" t="s">
        <v>127</v>
      </c>
      <c r="B34" s="27" t="s">
        <v>195</v>
      </c>
      <c r="C34" s="38" t="s">
        <v>224</v>
      </c>
      <c r="D34" s="26" t="s">
        <v>199</v>
      </c>
      <c r="E34" s="28" t="str">
        <f>VLOOKUP(A34,Policy!B:D,3,0)</f>
        <v>09000397</v>
      </c>
      <c r="F34" s="29" t="str">
        <f t="shared" si="1"/>
        <v>insert into ins_premium_det (premium_rcv_code,assorted_code, rec_amount,premium_rcv_detail_code,remaining_amt, payrec, mode_code,paid_to_code,class_cd) values</v>
      </c>
      <c r="G34" s="30" t="str">
        <f>"('"&amp;D33&amp;"','"&amp;B34&amp;"','"&amp;C34&amp;"',(select max(to_number(i.premium_rcv_detail_code))+1 from ins_premium_det i),'"&amp;C34&amp;"','"&amp;C34&amp;"','05', '"&amp;E34&amp;"','00');"</f>
        <v>('07Nov240059','050000821459','-600',(select max(to_number(i.premium_rcv_detail_code))+1 from ins_premium_det i),'-600','-600','05', '09000397','00');</v>
      </c>
      <c r="H34" s="31" t="str">
        <f t="shared" si="0"/>
        <v>insert into ins_premium_det (premium_rcv_code,assorted_code, rec_amount,premium_rcv_detail_code,remaining_amt, payrec, mode_code,paid_to_code,class_cd) values('07Nov240059','050000821459','-600',(select max(to_number(i.premium_rcv_detail_code))+1 from ins_premium_det i),'-600','-600','05', '09000397','00');</v>
      </c>
    </row>
    <row r="35" spans="1:8" ht="75" x14ac:dyDescent="0.25">
      <c r="A35" s="7" t="s">
        <v>119</v>
      </c>
      <c r="B35" s="27" t="s">
        <v>173</v>
      </c>
      <c r="C35" s="38">
        <v>363</v>
      </c>
      <c r="D35" s="26" t="s">
        <v>199</v>
      </c>
      <c r="E35" s="28" t="str">
        <f>VLOOKUP(A35,Policy!B:D,3,0)</f>
        <v>09000397</v>
      </c>
      <c r="F35" s="29" t="str">
        <f t="shared" si="1"/>
        <v>insert into ins_premium_det (premium_rcv_code,assorted_code, rec_amount,premium_rcv_detail_code,remaining_amt, payrec, mode_code,paid_to_code,class_cd) values</v>
      </c>
      <c r="G35" s="30" t="str">
        <f>"('"&amp;D34&amp;"','"&amp;B35&amp;"','"&amp;C35&amp;"',(select max(to_number(i.premium_rcv_detail_code))+1 from ins_premium_det i),'"&amp;C35&amp;"','"&amp;C35&amp;"','05', '"&amp;E35&amp;"','00');"</f>
        <v>('07Nov240059','050000816029','363',(select max(to_number(i.premium_rcv_detail_code))+1 from ins_premium_det i),'363','363','05', '09000397','00');</v>
      </c>
      <c r="H35" s="31" t="str">
        <f t="shared" si="0"/>
        <v>insert into ins_premium_det (premium_rcv_code,assorted_code, rec_amount,premium_rcv_detail_code,remaining_amt, payrec, mode_code,paid_to_code,class_cd) values('07Nov240059','050000816029','363',(select max(to_number(i.premium_rcv_detail_code))+1 from ins_premium_det i),'363','363','05', '09000397','00');</v>
      </c>
    </row>
    <row r="36" spans="1:8" ht="75" x14ac:dyDescent="0.25">
      <c r="A36" s="6" t="s">
        <v>120</v>
      </c>
      <c r="B36" s="27" t="s">
        <v>175</v>
      </c>
      <c r="C36" s="38">
        <v>2393</v>
      </c>
      <c r="D36" s="26" t="s">
        <v>199</v>
      </c>
      <c r="E36" s="28" t="str">
        <f>VLOOKUP(A36,Policy!B:D,3,0)</f>
        <v>09000397</v>
      </c>
      <c r="F36" s="29" t="str">
        <f t="shared" si="1"/>
        <v>insert into ins_premium_det (premium_rcv_code,assorted_code, rec_amount,premium_rcv_detail_code,remaining_amt, payrec, mode_code,paid_to_code,class_cd) values</v>
      </c>
      <c r="G36" s="30" t="str">
        <f>"('"&amp;D35&amp;"','"&amp;B36&amp;"','"&amp;C36&amp;"',(select max(to_number(i.premium_rcv_detail_code))+1 from ins_premium_det i),'"&amp;C36&amp;"','"&amp;C36&amp;"','05', '"&amp;E36&amp;"','00');"</f>
        <v>('07Nov240059','050000816047','2393',(select max(to_number(i.premium_rcv_detail_code))+1 from ins_premium_det i),'2393','2393','05', '09000397','00');</v>
      </c>
      <c r="H36" s="31" t="str">
        <f t="shared" si="0"/>
        <v>insert into ins_premium_det (premium_rcv_code,assorted_code, rec_amount,premium_rcv_detail_code,remaining_amt, payrec, mode_code,paid_to_code,class_cd) values('07Nov240059','050000816047','2393',(select max(to_number(i.premium_rcv_detail_code))+1 from ins_premium_det i),'2393','2393','05', '09000397','00');</v>
      </c>
    </row>
    <row r="37" spans="1:8" ht="75" x14ac:dyDescent="0.25">
      <c r="A37" s="6" t="s">
        <v>128</v>
      </c>
      <c r="B37" s="27" t="s">
        <v>190</v>
      </c>
      <c r="C37" s="38">
        <v>858</v>
      </c>
      <c r="D37" s="26" t="s">
        <v>199</v>
      </c>
      <c r="E37" s="28" t="str">
        <f>VLOOKUP(A37,Policy!B:D,3,0)</f>
        <v>09000397</v>
      </c>
      <c r="F37" s="29" t="str">
        <f t="shared" si="1"/>
        <v>insert into ins_premium_det (premium_rcv_code,assorted_code, rec_amount,premium_rcv_detail_code,remaining_amt, payrec, mode_code,paid_to_code,class_cd) values</v>
      </c>
      <c r="G37" s="30" t="str">
        <f>"('"&amp;D36&amp;"','"&amp;B37&amp;"','"&amp;C37&amp;"',(select max(to_number(i.premium_rcv_detail_code))+1 from ins_premium_det i),'"&amp;C37&amp;"','"&amp;C37&amp;"','05', '"&amp;E37&amp;"','00');"</f>
        <v>('07Nov240059','050000822543','858',(select max(to_number(i.premium_rcv_detail_code))+1 from ins_premium_det i),'858','858','05', '09000397','00');</v>
      </c>
      <c r="H37" s="31" t="str">
        <f t="shared" si="0"/>
        <v>insert into ins_premium_det (premium_rcv_code,assorted_code, rec_amount,premium_rcv_detail_code,remaining_amt, payrec, mode_code,paid_to_code,class_cd) values('07Nov240059','050000822543','858',(select max(to_number(i.premium_rcv_detail_code))+1 from ins_premium_det i),'858','858','05', '09000397','00');</v>
      </c>
    </row>
    <row r="38" spans="1:8" ht="75" x14ac:dyDescent="0.25">
      <c r="A38" s="6" t="s">
        <v>129</v>
      </c>
      <c r="B38" s="27" t="s">
        <v>187</v>
      </c>
      <c r="C38" s="38" t="s">
        <v>225</v>
      </c>
      <c r="D38" s="26" t="s">
        <v>199</v>
      </c>
      <c r="E38" s="28" t="str">
        <f>VLOOKUP(A38,Policy!B:D,3,0)</f>
        <v>09000397</v>
      </c>
      <c r="F38" s="29" t="str">
        <f t="shared" si="1"/>
        <v>insert into ins_premium_det (premium_rcv_code,assorted_code, rec_amount,premium_rcv_detail_code,remaining_amt, payrec, mode_code,paid_to_code,class_cd) values</v>
      </c>
      <c r="G38" s="30" t="str">
        <f>"('"&amp;D37&amp;"','"&amp;B38&amp;"','"&amp;C38&amp;"',(select max(to_number(i.premium_rcv_detail_code))+1 from ins_premium_det i),'"&amp;C38&amp;"','"&amp;C38&amp;"','05', '"&amp;E38&amp;"','00');"</f>
        <v>('07Nov240059','050000821973','-96',(select max(to_number(i.premium_rcv_detail_code))+1 from ins_premium_det i),'-96','-96','05', '09000397','00');</v>
      </c>
      <c r="H38" s="31" t="str">
        <f t="shared" si="0"/>
        <v>insert into ins_premium_det (premium_rcv_code,assorted_code, rec_amount,premium_rcv_detail_code,remaining_amt, payrec, mode_code,paid_to_code,class_cd) values('07Nov240059','050000821973','-96',(select max(to_number(i.premium_rcv_detail_code))+1 from ins_premium_det i),'-96','-96','05', '09000397','00');</v>
      </c>
    </row>
    <row r="39" spans="1:8" ht="75" x14ac:dyDescent="0.25">
      <c r="A39" s="6" t="s">
        <v>130</v>
      </c>
      <c r="B39" s="27" t="s">
        <v>192</v>
      </c>
      <c r="C39" s="38" t="s">
        <v>222</v>
      </c>
      <c r="D39" s="26" t="s">
        <v>199</v>
      </c>
      <c r="E39" s="28" t="str">
        <f>VLOOKUP(A39,Policy!B:D,3,0)</f>
        <v>09000397</v>
      </c>
      <c r="F39" s="29" t="str">
        <f t="shared" si="1"/>
        <v>insert into ins_premium_det (premium_rcv_code,assorted_code, rec_amount,premium_rcv_detail_code,remaining_amt, payrec, mode_code,paid_to_code,class_cd) values</v>
      </c>
      <c r="G39" s="30" t="str">
        <f>"('"&amp;D38&amp;"','"&amp;B39&amp;"','"&amp;C39&amp;"',(select max(to_number(i.premium_rcv_detail_code))+1 from ins_premium_det i),'"&amp;C39&amp;"','"&amp;C39&amp;"','05', '"&amp;E39&amp;"','00');"</f>
        <v>('07Nov240059','050000822394','-1',(select max(to_number(i.premium_rcv_detail_code))+1 from ins_premium_det i),'-1','-1','05', '09000397','00');</v>
      </c>
      <c r="H39" s="31" t="str">
        <f t="shared" si="0"/>
        <v>insert into ins_premium_det (premium_rcv_code,assorted_code, rec_amount,premium_rcv_detail_code,remaining_amt, payrec, mode_code,paid_to_code,class_cd) values('07Nov240059','050000822394','-1',(select max(to_number(i.premium_rcv_detail_code))+1 from ins_premium_det i),'-1','-1','05', '09000397','00');</v>
      </c>
    </row>
    <row r="40" spans="1:8" ht="75" x14ac:dyDescent="0.25">
      <c r="A40" s="7" t="s">
        <v>98</v>
      </c>
      <c r="B40" s="27" t="s">
        <v>159</v>
      </c>
      <c r="C40" s="38" t="s">
        <v>226</v>
      </c>
      <c r="D40" s="26" t="s">
        <v>199</v>
      </c>
      <c r="E40" s="28" t="str">
        <f>VLOOKUP(A40,Policy!B:D,3,0)</f>
        <v>09000397</v>
      </c>
      <c r="F40" s="29" t="str">
        <f t="shared" si="1"/>
        <v>insert into ins_premium_det (premium_rcv_code,assorted_code, rec_amount,premium_rcv_detail_code,remaining_amt, payrec, mode_code,paid_to_code,class_cd) values</v>
      </c>
      <c r="G40" s="30" t="str">
        <f>"('"&amp;D39&amp;"','"&amp;B40&amp;"','"&amp;C40&amp;"',(select max(to_number(i.premium_rcv_detail_code))+1 from ins_premium_det i),'"&amp;C40&amp;"','"&amp;C40&amp;"','05', '"&amp;E40&amp;"','00');"</f>
        <v>('07Nov240059','040000171025','-616',(select max(to_number(i.premium_rcv_detail_code))+1 from ins_premium_det i),'-616','-616','05', '09000397','00');</v>
      </c>
      <c r="H40" s="31" t="str">
        <f t="shared" si="0"/>
        <v>insert into ins_premium_det (premium_rcv_code,assorted_code, rec_amount,premium_rcv_detail_code,remaining_amt, payrec, mode_code,paid_to_code,class_cd) values('07Nov240059','040000171025','-616',(select max(to_number(i.premium_rcv_detail_code))+1 from ins_premium_det i),'-616','-616','05', '09000397','00');</v>
      </c>
    </row>
    <row r="41" spans="1:8" ht="75" x14ac:dyDescent="0.25">
      <c r="A41" s="7" t="s">
        <v>121</v>
      </c>
      <c r="B41" s="27" t="s">
        <v>174</v>
      </c>
      <c r="C41" s="38">
        <v>217</v>
      </c>
      <c r="D41" s="26" t="s">
        <v>199</v>
      </c>
      <c r="E41" s="28" t="str">
        <f>VLOOKUP(A41,Policy!B:D,3,0)</f>
        <v>09000397</v>
      </c>
      <c r="F41" s="29" t="str">
        <f t="shared" si="1"/>
        <v>insert into ins_premium_det (premium_rcv_code,assorted_code, rec_amount,premium_rcv_detail_code,remaining_amt, payrec, mode_code,paid_to_code,class_cd) values</v>
      </c>
      <c r="G41" s="30" t="str">
        <f>"('"&amp;D40&amp;"','"&amp;B41&amp;"','"&amp;C41&amp;"',(select max(to_number(i.premium_rcv_detail_code))+1 from ins_premium_det i),'"&amp;C41&amp;"','"&amp;C41&amp;"','05', '"&amp;E41&amp;"','00');"</f>
        <v>('07Nov240059','050000816060','217',(select max(to_number(i.premium_rcv_detail_code))+1 from ins_premium_det i),'217','217','05', '09000397','00');</v>
      </c>
      <c r="H41" s="31" t="str">
        <f t="shared" si="0"/>
        <v>insert into ins_premium_det (premium_rcv_code,assorted_code, rec_amount,premium_rcv_detail_code,remaining_amt, payrec, mode_code,paid_to_code,class_cd) values('07Nov240059','050000816060','217',(select max(to_number(i.premium_rcv_detail_code))+1 from ins_premium_det i),'217','217','05', '09000397','00');</v>
      </c>
    </row>
    <row r="42" spans="1:8" ht="75" x14ac:dyDescent="0.25">
      <c r="A42" s="7" t="s">
        <v>122</v>
      </c>
      <c r="B42" s="27" t="s">
        <v>180</v>
      </c>
      <c r="C42" s="38" t="s">
        <v>260</v>
      </c>
      <c r="D42" s="26" t="s">
        <v>199</v>
      </c>
      <c r="E42" s="28" t="str">
        <f>VLOOKUP(A42,Policy!B:D,3,0)</f>
        <v>09000397</v>
      </c>
      <c r="F42" s="29" t="str">
        <f t="shared" si="1"/>
        <v>insert into ins_premium_det (premium_rcv_code,assorted_code, rec_amount,premium_rcv_detail_code,remaining_amt, payrec, mode_code,paid_to_code,class_cd) values</v>
      </c>
      <c r="G42" s="30" t="str">
        <f>"('"&amp;D41&amp;"','"&amp;B42&amp;"','"&amp;C42&amp;"',(select max(to_number(i.premium_rcv_detail_code))+1 from ins_premium_det i),'"&amp;C42&amp;"','"&amp;C42&amp;"','05', '"&amp;E42&amp;"','00');"</f>
        <v>('07Nov240059','050000816064','-1223',(select max(to_number(i.premium_rcv_detail_code))+1 from ins_premium_det i),'-1223','-1223','05', '09000397','00');</v>
      </c>
      <c r="H42" s="31" t="str">
        <f t="shared" si="0"/>
        <v>insert into ins_premium_det (premium_rcv_code,assorted_code, rec_amount,premium_rcv_detail_code,remaining_amt, payrec, mode_code,paid_to_code,class_cd) values('07Nov240059','050000816064','-1223',(select max(to_number(i.premium_rcv_detail_code))+1 from ins_premium_det i),'-1223','-1223','05', '09000397','00');</v>
      </c>
    </row>
    <row r="43" spans="1:8" ht="75" x14ac:dyDescent="0.25">
      <c r="A43" s="6" t="s">
        <v>131</v>
      </c>
      <c r="B43" s="27" t="s">
        <v>191</v>
      </c>
      <c r="C43" s="38" t="s">
        <v>227</v>
      </c>
      <c r="D43" s="26" t="s">
        <v>199</v>
      </c>
      <c r="E43" s="28" t="str">
        <f>VLOOKUP(A43,Policy!B:D,3,0)</f>
        <v>09000397</v>
      </c>
      <c r="F43" s="29" t="str">
        <f t="shared" si="1"/>
        <v>insert into ins_premium_det (premium_rcv_code,assorted_code, rec_amount,premium_rcv_detail_code,remaining_amt, payrec, mode_code,paid_to_code,class_cd) values</v>
      </c>
      <c r="G43" s="30" t="str">
        <f>"('"&amp;D42&amp;"','"&amp;B43&amp;"','"&amp;C43&amp;"',(select max(to_number(i.premium_rcv_detail_code))+1 from ins_premium_det i),'"&amp;C43&amp;"','"&amp;C43&amp;"','05', '"&amp;E43&amp;"','00');"</f>
        <v>('07Nov240059','050000822548','-68',(select max(to_number(i.premium_rcv_detail_code))+1 from ins_premium_det i),'-68','-68','05', '09000397','00');</v>
      </c>
      <c r="H43" s="31" t="str">
        <f t="shared" si="0"/>
        <v>insert into ins_premium_det (premium_rcv_code,assorted_code, rec_amount,premium_rcv_detail_code,remaining_amt, payrec, mode_code,paid_to_code,class_cd) values('07Nov240059','050000822548','-68',(select max(to_number(i.premium_rcv_detail_code))+1 from ins_premium_det i),'-68','-68','05', '09000397','00');</v>
      </c>
    </row>
    <row r="44" spans="1:8" ht="75" x14ac:dyDescent="0.25">
      <c r="A44" s="6" t="s">
        <v>132</v>
      </c>
      <c r="B44" s="27" t="s">
        <v>189</v>
      </c>
      <c r="C44" s="38" t="s">
        <v>228</v>
      </c>
      <c r="D44" s="26" t="s">
        <v>199</v>
      </c>
      <c r="E44" s="28" t="str">
        <f>VLOOKUP(A44,Policy!B:D,3,0)</f>
        <v>09000397</v>
      </c>
      <c r="F44" s="29" t="str">
        <f t="shared" si="1"/>
        <v>insert into ins_premium_det (premium_rcv_code,assorted_code, rec_amount,premium_rcv_detail_code,remaining_amt, payrec, mode_code,paid_to_code,class_cd) values</v>
      </c>
      <c r="G44" s="30" t="str">
        <f>"('"&amp;D43&amp;"','"&amp;B44&amp;"','"&amp;C44&amp;"',(select max(to_number(i.premium_rcv_detail_code))+1 from ins_premium_det i),'"&amp;C44&amp;"','"&amp;C44&amp;"','05', '"&amp;E44&amp;"','00');"</f>
        <v>('07Nov240059','050000822545','-245',(select max(to_number(i.premium_rcv_detail_code))+1 from ins_premium_det i),'-245','-245','05', '09000397','00');</v>
      </c>
      <c r="H44" s="31" t="str">
        <f t="shared" si="0"/>
        <v>insert into ins_premium_det (premium_rcv_code,assorted_code, rec_amount,premium_rcv_detail_code,remaining_amt, payrec, mode_code,paid_to_code,class_cd) values('07Nov240059','050000822545','-245',(select max(to_number(i.premium_rcv_detail_code))+1 from ins_premium_det i),'-245','-245','05', '09000397','00');</v>
      </c>
    </row>
    <row r="45" spans="1:8" ht="75" x14ac:dyDescent="0.25">
      <c r="A45" s="6" t="s">
        <v>133</v>
      </c>
      <c r="B45" s="27" t="s">
        <v>185</v>
      </c>
      <c r="C45" s="38" t="s">
        <v>229</v>
      </c>
      <c r="D45" s="26" t="s">
        <v>199</v>
      </c>
      <c r="E45" s="28" t="str">
        <f>VLOOKUP(A45,Policy!B:D,3,0)</f>
        <v>09000397</v>
      </c>
      <c r="F45" s="29" t="str">
        <f t="shared" si="1"/>
        <v>insert into ins_premium_det (premium_rcv_code,assorted_code, rec_amount,premium_rcv_detail_code,remaining_amt, payrec, mode_code,paid_to_code,class_cd) values</v>
      </c>
      <c r="G45" s="30" t="str">
        <f>"('"&amp;D44&amp;"','"&amp;B45&amp;"','"&amp;C45&amp;"',(select max(to_number(i.premium_rcv_detail_code))+1 from ins_premium_det i),'"&amp;C45&amp;"','"&amp;C45&amp;"','05', '"&amp;E45&amp;"','00');"</f>
        <v>('07Nov240059','050000822555','-27',(select max(to_number(i.premium_rcv_detail_code))+1 from ins_premium_det i),'-27','-27','05', '09000397','00');</v>
      </c>
      <c r="H45" s="31" t="str">
        <f t="shared" si="0"/>
        <v>insert into ins_premium_det (premium_rcv_code,assorted_code, rec_amount,premium_rcv_detail_code,remaining_amt, payrec, mode_code,paid_to_code,class_cd) values('07Nov240059','050000822555','-27',(select max(to_number(i.premium_rcv_detail_code))+1 from ins_premium_det i),'-27','-27','05', '09000397','00');</v>
      </c>
    </row>
    <row r="47" spans="1:8" x14ac:dyDescent="0.25">
      <c r="C47" s="37">
        <f>SUM(C2:C45)</f>
        <v>13721</v>
      </c>
    </row>
  </sheetData>
  <conditionalFormatting sqref="A1">
    <cfRule type="duplicateValues" dxfId="3" priority="4"/>
  </conditionalFormatting>
  <conditionalFormatting sqref="A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horizontalDpi="300" verticalDpi="300" r:id="rId1"/>
  <ignoredErrors>
    <ignoredError sqref="C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1AC2-73AE-4A85-82EF-6467674F71DD}">
  <dimension ref="A1:D42"/>
  <sheetViews>
    <sheetView workbookViewId="0">
      <selection activeCell="H9" sqref="H9"/>
    </sheetView>
  </sheetViews>
  <sheetFormatPr defaultRowHeight="15" x14ac:dyDescent="0.25"/>
  <cols>
    <col min="1" max="1" width="3" bestFit="1" customWidth="1"/>
    <col min="2" max="2" width="40" bestFit="1" customWidth="1"/>
    <col min="3" max="3" width="15" bestFit="1" customWidth="1"/>
    <col min="4" max="4" width="12.7109375" customWidth="1"/>
  </cols>
  <sheetData>
    <row r="1" spans="1:4" x14ac:dyDescent="0.25">
      <c r="A1" s="16" t="s">
        <v>141</v>
      </c>
      <c r="B1" s="16" t="s">
        <v>142</v>
      </c>
      <c r="C1" s="16" t="s">
        <v>143</v>
      </c>
      <c r="D1" s="16" t="s">
        <v>144</v>
      </c>
    </row>
    <row r="2" spans="1:4" x14ac:dyDescent="0.25">
      <c r="A2">
        <v>1</v>
      </c>
      <c r="B2" t="s">
        <v>145</v>
      </c>
      <c r="C2" t="s">
        <v>146</v>
      </c>
      <c r="D2" t="s">
        <v>147</v>
      </c>
    </row>
    <row r="3" spans="1:4" x14ac:dyDescent="0.25">
      <c r="A3">
        <v>2</v>
      </c>
      <c r="B3" t="s">
        <v>102</v>
      </c>
      <c r="C3" t="s">
        <v>148</v>
      </c>
      <c r="D3" t="s">
        <v>149</v>
      </c>
    </row>
    <row r="4" spans="1:4" x14ac:dyDescent="0.25">
      <c r="A4">
        <v>3</v>
      </c>
      <c r="B4" t="s">
        <v>103</v>
      </c>
      <c r="C4" t="s">
        <v>150</v>
      </c>
      <c r="D4" t="s">
        <v>149</v>
      </c>
    </row>
    <row r="5" spans="1:4" x14ac:dyDescent="0.25">
      <c r="A5">
        <v>4</v>
      </c>
      <c r="B5" t="s">
        <v>105</v>
      </c>
      <c r="C5" t="s">
        <v>151</v>
      </c>
      <c r="D5" t="s">
        <v>149</v>
      </c>
    </row>
    <row r="6" spans="1:4" x14ac:dyDescent="0.25">
      <c r="A6">
        <v>5</v>
      </c>
      <c r="B6" t="s">
        <v>116</v>
      </c>
      <c r="C6" t="s">
        <v>152</v>
      </c>
      <c r="D6" t="s">
        <v>149</v>
      </c>
    </row>
    <row r="7" spans="1:4" x14ac:dyDescent="0.25">
      <c r="A7">
        <v>6</v>
      </c>
      <c r="B7" t="s">
        <v>107</v>
      </c>
      <c r="C7" t="s">
        <v>153</v>
      </c>
      <c r="D7" t="s">
        <v>149</v>
      </c>
    </row>
    <row r="8" spans="1:4" x14ac:dyDescent="0.25">
      <c r="A8">
        <v>7</v>
      </c>
      <c r="B8" t="s">
        <v>154</v>
      </c>
      <c r="C8" t="s">
        <v>155</v>
      </c>
      <c r="D8" t="s">
        <v>156</v>
      </c>
    </row>
    <row r="9" spans="1:4" x14ac:dyDescent="0.25">
      <c r="A9">
        <v>8</v>
      </c>
      <c r="B9" t="s">
        <v>157</v>
      </c>
      <c r="C9" t="s">
        <v>158</v>
      </c>
      <c r="D9" t="s">
        <v>156</v>
      </c>
    </row>
    <row r="10" spans="1:4" x14ac:dyDescent="0.25">
      <c r="A10">
        <v>9</v>
      </c>
      <c r="B10" t="s">
        <v>98</v>
      </c>
      <c r="C10" t="s">
        <v>159</v>
      </c>
      <c r="D10" t="s">
        <v>149</v>
      </c>
    </row>
    <row r="11" spans="1:4" x14ac:dyDescent="0.25">
      <c r="A11">
        <v>10</v>
      </c>
      <c r="B11" t="s">
        <v>109</v>
      </c>
      <c r="C11" t="s">
        <v>160</v>
      </c>
      <c r="D11" t="s">
        <v>149</v>
      </c>
    </row>
    <row r="12" spans="1:4" x14ac:dyDescent="0.25">
      <c r="A12">
        <v>11</v>
      </c>
      <c r="B12" t="s">
        <v>106</v>
      </c>
      <c r="C12" t="s">
        <v>161</v>
      </c>
      <c r="D12" t="s">
        <v>149</v>
      </c>
    </row>
    <row r="13" spans="1:4" x14ac:dyDescent="0.25">
      <c r="A13">
        <v>12</v>
      </c>
      <c r="B13" t="s">
        <v>104</v>
      </c>
      <c r="C13" t="s">
        <v>162</v>
      </c>
      <c r="D13" t="s">
        <v>149</v>
      </c>
    </row>
    <row r="14" spans="1:4" x14ac:dyDescent="0.25">
      <c r="A14">
        <v>13</v>
      </c>
      <c r="B14" t="s">
        <v>108</v>
      </c>
      <c r="C14" t="s">
        <v>163</v>
      </c>
      <c r="D14" t="s">
        <v>149</v>
      </c>
    </row>
    <row r="15" spans="1:4" x14ac:dyDescent="0.25">
      <c r="A15">
        <v>14</v>
      </c>
      <c r="B15" t="s">
        <v>101</v>
      </c>
      <c r="C15" t="s">
        <v>164</v>
      </c>
      <c r="D15" t="s">
        <v>149</v>
      </c>
    </row>
    <row r="16" spans="1:4" x14ac:dyDescent="0.25">
      <c r="A16">
        <v>15</v>
      </c>
      <c r="B16" t="s">
        <v>165</v>
      </c>
      <c r="C16" t="s">
        <v>166</v>
      </c>
      <c r="D16" t="s">
        <v>147</v>
      </c>
    </row>
    <row r="17" spans="1:4" x14ac:dyDescent="0.25">
      <c r="A17">
        <v>16</v>
      </c>
      <c r="B17" t="s">
        <v>167</v>
      </c>
      <c r="C17" t="s">
        <v>168</v>
      </c>
      <c r="D17" t="s">
        <v>147</v>
      </c>
    </row>
    <row r="18" spans="1:4" x14ac:dyDescent="0.25">
      <c r="A18">
        <v>17</v>
      </c>
      <c r="B18" t="s">
        <v>100</v>
      </c>
      <c r="C18" t="s">
        <v>169</v>
      </c>
      <c r="D18" t="s">
        <v>149</v>
      </c>
    </row>
    <row r="19" spans="1:4" x14ac:dyDescent="0.25">
      <c r="A19">
        <v>18</v>
      </c>
      <c r="B19" t="s">
        <v>170</v>
      </c>
      <c r="C19" t="s">
        <v>171</v>
      </c>
      <c r="D19" t="s">
        <v>172</v>
      </c>
    </row>
    <row r="20" spans="1:4" x14ac:dyDescent="0.25">
      <c r="A20">
        <v>19</v>
      </c>
      <c r="B20" t="s">
        <v>119</v>
      </c>
      <c r="C20" t="s">
        <v>173</v>
      </c>
      <c r="D20" t="s">
        <v>149</v>
      </c>
    </row>
    <row r="21" spans="1:4" x14ac:dyDescent="0.25">
      <c r="A21">
        <v>20</v>
      </c>
      <c r="B21" t="s">
        <v>121</v>
      </c>
      <c r="C21" t="s">
        <v>174</v>
      </c>
      <c r="D21" t="s">
        <v>149</v>
      </c>
    </row>
    <row r="22" spans="1:4" x14ac:dyDescent="0.25">
      <c r="A22">
        <v>21</v>
      </c>
      <c r="B22" t="s">
        <v>120</v>
      </c>
      <c r="C22" t="s">
        <v>175</v>
      </c>
      <c r="D22" t="s">
        <v>149</v>
      </c>
    </row>
    <row r="23" spans="1:4" x14ac:dyDescent="0.25">
      <c r="A23">
        <v>22</v>
      </c>
      <c r="B23" t="s">
        <v>112</v>
      </c>
      <c r="C23" t="s">
        <v>176</v>
      </c>
      <c r="D23" t="s">
        <v>149</v>
      </c>
    </row>
    <row r="24" spans="1:4" x14ac:dyDescent="0.25">
      <c r="A24">
        <v>23</v>
      </c>
      <c r="B24" t="s">
        <v>115</v>
      </c>
      <c r="C24" t="s">
        <v>177</v>
      </c>
      <c r="D24" t="s">
        <v>149</v>
      </c>
    </row>
    <row r="25" spans="1:4" x14ac:dyDescent="0.25">
      <c r="A25">
        <v>24</v>
      </c>
      <c r="B25" t="s">
        <v>113</v>
      </c>
      <c r="C25" t="s">
        <v>178</v>
      </c>
      <c r="D25" t="s">
        <v>149</v>
      </c>
    </row>
    <row r="26" spans="1:4" x14ac:dyDescent="0.25">
      <c r="A26">
        <v>25</v>
      </c>
      <c r="B26" t="s">
        <v>110</v>
      </c>
      <c r="C26" t="s">
        <v>179</v>
      </c>
      <c r="D26" t="s">
        <v>149</v>
      </c>
    </row>
    <row r="27" spans="1:4" x14ac:dyDescent="0.25">
      <c r="A27">
        <v>26</v>
      </c>
      <c r="B27" t="s">
        <v>122</v>
      </c>
      <c r="C27" t="s">
        <v>180</v>
      </c>
      <c r="D27" t="s">
        <v>149</v>
      </c>
    </row>
    <row r="28" spans="1:4" x14ac:dyDescent="0.25">
      <c r="A28">
        <v>27</v>
      </c>
      <c r="B28" t="s">
        <v>117</v>
      </c>
      <c r="C28" t="s">
        <v>181</v>
      </c>
      <c r="D28" t="s">
        <v>149</v>
      </c>
    </row>
    <row r="29" spans="1:4" x14ac:dyDescent="0.25">
      <c r="A29">
        <v>28</v>
      </c>
      <c r="B29" t="s">
        <v>111</v>
      </c>
      <c r="C29" t="s">
        <v>182</v>
      </c>
      <c r="D29" t="s">
        <v>149</v>
      </c>
    </row>
    <row r="30" spans="1:4" x14ac:dyDescent="0.25">
      <c r="A30">
        <v>29</v>
      </c>
      <c r="B30" t="s">
        <v>118</v>
      </c>
      <c r="C30" t="s">
        <v>183</v>
      </c>
      <c r="D30" t="s">
        <v>149</v>
      </c>
    </row>
    <row r="31" spans="1:4" x14ac:dyDescent="0.25">
      <c r="A31">
        <v>30</v>
      </c>
      <c r="B31" t="s">
        <v>114</v>
      </c>
      <c r="C31" t="s">
        <v>184</v>
      </c>
      <c r="D31" t="s">
        <v>149</v>
      </c>
    </row>
    <row r="32" spans="1:4" x14ac:dyDescent="0.25">
      <c r="A32">
        <v>31</v>
      </c>
      <c r="B32" t="s">
        <v>133</v>
      </c>
      <c r="C32" t="s">
        <v>185</v>
      </c>
      <c r="D32" t="s">
        <v>149</v>
      </c>
    </row>
    <row r="33" spans="1:4" x14ac:dyDescent="0.25">
      <c r="A33">
        <v>32</v>
      </c>
      <c r="B33" t="s">
        <v>125</v>
      </c>
      <c r="C33" t="s">
        <v>186</v>
      </c>
      <c r="D33" t="s">
        <v>149</v>
      </c>
    </row>
    <row r="34" spans="1:4" x14ac:dyDescent="0.25">
      <c r="A34">
        <v>33</v>
      </c>
      <c r="B34" t="s">
        <v>129</v>
      </c>
      <c r="C34" t="s">
        <v>187</v>
      </c>
      <c r="D34" t="s">
        <v>149</v>
      </c>
    </row>
    <row r="35" spans="1:4" x14ac:dyDescent="0.25">
      <c r="A35">
        <v>34</v>
      </c>
      <c r="B35" t="s">
        <v>126</v>
      </c>
      <c r="C35" t="s">
        <v>188</v>
      </c>
      <c r="D35" t="s">
        <v>149</v>
      </c>
    </row>
    <row r="36" spans="1:4" x14ac:dyDescent="0.25">
      <c r="A36">
        <v>35</v>
      </c>
      <c r="B36" t="s">
        <v>132</v>
      </c>
      <c r="C36" t="s">
        <v>189</v>
      </c>
      <c r="D36" t="s">
        <v>149</v>
      </c>
    </row>
    <row r="37" spans="1:4" x14ac:dyDescent="0.25">
      <c r="A37">
        <v>36</v>
      </c>
      <c r="B37" t="s">
        <v>128</v>
      </c>
      <c r="C37" t="s">
        <v>190</v>
      </c>
      <c r="D37" t="s">
        <v>149</v>
      </c>
    </row>
    <row r="38" spans="1:4" x14ac:dyDescent="0.25">
      <c r="A38">
        <v>37</v>
      </c>
      <c r="B38" t="s">
        <v>131</v>
      </c>
      <c r="C38" t="s">
        <v>191</v>
      </c>
      <c r="D38" t="s">
        <v>149</v>
      </c>
    </row>
    <row r="39" spans="1:4" x14ac:dyDescent="0.25">
      <c r="A39">
        <v>38</v>
      </c>
      <c r="B39" t="s">
        <v>130</v>
      </c>
      <c r="C39" t="s">
        <v>192</v>
      </c>
      <c r="D39" t="s">
        <v>149</v>
      </c>
    </row>
    <row r="40" spans="1:4" x14ac:dyDescent="0.25">
      <c r="A40">
        <v>39</v>
      </c>
      <c r="B40" t="s">
        <v>123</v>
      </c>
      <c r="C40" t="s">
        <v>193</v>
      </c>
      <c r="D40" t="s">
        <v>149</v>
      </c>
    </row>
    <row r="41" spans="1:4" x14ac:dyDescent="0.25">
      <c r="A41">
        <v>40</v>
      </c>
      <c r="B41" t="s">
        <v>124</v>
      </c>
      <c r="C41" t="s">
        <v>194</v>
      </c>
      <c r="D41" t="s">
        <v>149</v>
      </c>
    </row>
    <row r="42" spans="1:4" x14ac:dyDescent="0.25">
      <c r="A42">
        <v>41</v>
      </c>
      <c r="B42" t="s">
        <v>127</v>
      </c>
      <c r="C42" t="s">
        <v>195</v>
      </c>
      <c r="D42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D21F7-2E89-4B45-9327-8F3A54224D14}">
  <dimension ref="A1:E44"/>
  <sheetViews>
    <sheetView workbookViewId="0">
      <selection activeCell="K13" sqref="K13"/>
    </sheetView>
  </sheetViews>
  <sheetFormatPr defaultRowHeight="15" x14ac:dyDescent="0.25"/>
  <cols>
    <col min="1" max="1" width="30.85546875" bestFit="1" customWidth="1"/>
  </cols>
  <sheetData>
    <row r="1" spans="1:5" x14ac:dyDescent="0.25">
      <c r="A1" s="7" t="s">
        <v>98</v>
      </c>
      <c r="B1" t="s">
        <v>135</v>
      </c>
      <c r="D1">
        <v>1176</v>
      </c>
      <c r="E1" t="str">
        <f>"ia.assorted_string like '%"&amp;D1&amp;B1&amp;"%' or"</f>
        <v>ia.assorted_string like '%1176-04-2024%' or</v>
      </c>
    </row>
    <row r="2" spans="1:5" x14ac:dyDescent="0.25">
      <c r="A2" s="7" t="s">
        <v>100</v>
      </c>
      <c r="B2" t="s">
        <v>135</v>
      </c>
      <c r="D2">
        <v>1177</v>
      </c>
      <c r="E2" t="str">
        <f t="shared" ref="E2:E44" si="0">"ia.assorted_string like '%"&amp;D2&amp;B2&amp;"%' or"</f>
        <v>ia.assorted_string like '%1177-04-2024%' or</v>
      </c>
    </row>
    <row r="3" spans="1:5" x14ac:dyDescent="0.25">
      <c r="A3" s="7" t="s">
        <v>101</v>
      </c>
      <c r="B3" t="s">
        <v>135</v>
      </c>
      <c r="D3">
        <v>1178</v>
      </c>
      <c r="E3" t="str">
        <f t="shared" si="0"/>
        <v>ia.assorted_string like '%1178-04-2024%' or</v>
      </c>
    </row>
    <row r="4" spans="1:5" x14ac:dyDescent="0.25">
      <c r="A4" s="7" t="s">
        <v>102</v>
      </c>
      <c r="B4" t="s">
        <v>136</v>
      </c>
      <c r="D4">
        <v>21853</v>
      </c>
      <c r="E4" t="str">
        <f t="shared" si="0"/>
        <v>ia.assorted_string like '%21853-03-2024%' or</v>
      </c>
    </row>
    <row r="5" spans="1:5" x14ac:dyDescent="0.25">
      <c r="A5" s="7" t="s">
        <v>103</v>
      </c>
      <c r="B5" t="s">
        <v>136</v>
      </c>
      <c r="D5">
        <v>21854</v>
      </c>
      <c r="E5" t="str">
        <f t="shared" si="0"/>
        <v>ia.assorted_string like '%21854-03-2024%' or</v>
      </c>
    </row>
    <row r="6" spans="1:5" x14ac:dyDescent="0.25">
      <c r="A6" s="7" t="s">
        <v>106</v>
      </c>
      <c r="B6" t="s">
        <v>135</v>
      </c>
      <c r="D6">
        <v>22062</v>
      </c>
      <c r="E6" t="str">
        <f t="shared" si="0"/>
        <v>ia.assorted_string like '%22062-04-2024%' or</v>
      </c>
    </row>
    <row r="7" spans="1:5" x14ac:dyDescent="0.25">
      <c r="A7" s="7" t="s">
        <v>104</v>
      </c>
      <c r="B7" t="s">
        <v>136</v>
      </c>
      <c r="D7">
        <v>21852</v>
      </c>
      <c r="E7" t="str">
        <f t="shared" si="0"/>
        <v>ia.assorted_string like '%21852-03-2024%' or</v>
      </c>
    </row>
    <row r="8" spans="1:5" x14ac:dyDescent="0.25">
      <c r="A8" s="7" t="s">
        <v>107</v>
      </c>
      <c r="B8" t="s">
        <v>135</v>
      </c>
      <c r="D8">
        <v>22059</v>
      </c>
      <c r="E8" t="str">
        <f t="shared" si="0"/>
        <v>ia.assorted_string like '%22059-04-2024%' or</v>
      </c>
    </row>
    <row r="9" spans="1:5" x14ac:dyDescent="0.25">
      <c r="A9" s="7" t="s">
        <v>108</v>
      </c>
      <c r="B9" t="s">
        <v>135</v>
      </c>
      <c r="D9">
        <v>22061</v>
      </c>
      <c r="E9" t="str">
        <f t="shared" si="0"/>
        <v>ia.assorted_string like '%22061-04-2024%' or</v>
      </c>
    </row>
    <row r="10" spans="1:5" x14ac:dyDescent="0.25">
      <c r="A10" s="6" t="s">
        <v>116</v>
      </c>
      <c r="B10" t="s">
        <v>135</v>
      </c>
      <c r="D10">
        <v>22063</v>
      </c>
      <c r="E10" t="str">
        <f t="shared" si="0"/>
        <v>ia.assorted_string like '%22063-04-2024%' or</v>
      </c>
    </row>
    <row r="11" spans="1:5" x14ac:dyDescent="0.25">
      <c r="A11" s="7" t="s">
        <v>105</v>
      </c>
      <c r="B11" t="s">
        <v>136</v>
      </c>
      <c r="D11">
        <v>21851</v>
      </c>
      <c r="E11" t="str">
        <f t="shared" si="0"/>
        <v>ia.assorted_string like '%21851-03-2024%' or</v>
      </c>
    </row>
    <row r="12" spans="1:5" x14ac:dyDescent="0.25">
      <c r="A12" s="7" t="s">
        <v>109</v>
      </c>
      <c r="B12" t="s">
        <v>135</v>
      </c>
      <c r="D12">
        <v>22060</v>
      </c>
      <c r="E12" t="str">
        <f t="shared" si="0"/>
        <v>ia.assorted_string like '%22060-04-2024%' or</v>
      </c>
    </row>
    <row r="13" spans="1:5" x14ac:dyDescent="0.25">
      <c r="A13" s="7" t="s">
        <v>102</v>
      </c>
      <c r="B13" t="s">
        <v>136</v>
      </c>
      <c r="D13">
        <v>21853</v>
      </c>
      <c r="E13" t="str">
        <f t="shared" si="0"/>
        <v>ia.assorted_string like '%21853-03-2024%' or</v>
      </c>
    </row>
    <row r="14" spans="1:5" x14ac:dyDescent="0.25">
      <c r="A14" s="7" t="s">
        <v>108</v>
      </c>
      <c r="B14" t="s">
        <v>135</v>
      </c>
      <c r="D14">
        <v>22061</v>
      </c>
      <c r="E14" t="str">
        <f t="shared" si="0"/>
        <v>ia.assorted_string like '%22061-04-2024%' or</v>
      </c>
    </row>
    <row r="15" spans="1:5" x14ac:dyDescent="0.25">
      <c r="A15" s="7" t="s">
        <v>104</v>
      </c>
      <c r="B15" t="s">
        <v>136</v>
      </c>
      <c r="D15">
        <v>21852</v>
      </c>
      <c r="E15" t="str">
        <f t="shared" si="0"/>
        <v>ia.assorted_string like '%21852-03-2024%' or</v>
      </c>
    </row>
    <row r="16" spans="1:5" x14ac:dyDescent="0.25">
      <c r="A16" s="7" t="s">
        <v>102</v>
      </c>
      <c r="B16" t="s">
        <v>136</v>
      </c>
      <c r="D16">
        <v>21853</v>
      </c>
      <c r="E16" t="str">
        <f t="shared" si="0"/>
        <v>ia.assorted_string like '%21853-03-2024%' or</v>
      </c>
    </row>
    <row r="17" spans="1:5" x14ac:dyDescent="0.25">
      <c r="A17" s="7" t="s">
        <v>103</v>
      </c>
      <c r="B17" t="s">
        <v>136</v>
      </c>
      <c r="D17">
        <v>21854</v>
      </c>
      <c r="E17" t="str">
        <f t="shared" si="0"/>
        <v>ia.assorted_string like '%21854-03-2024%' or</v>
      </c>
    </row>
    <row r="18" spans="1:5" x14ac:dyDescent="0.25">
      <c r="A18" s="7" t="s">
        <v>106</v>
      </c>
      <c r="B18" t="s">
        <v>135</v>
      </c>
      <c r="D18">
        <v>22062</v>
      </c>
      <c r="E18" t="str">
        <f t="shared" si="0"/>
        <v>ia.assorted_string like '%22062-04-2024%' or</v>
      </c>
    </row>
    <row r="19" spans="1:5" x14ac:dyDescent="0.25">
      <c r="A19" s="6" t="s">
        <v>115</v>
      </c>
      <c r="B19" t="s">
        <v>137</v>
      </c>
      <c r="D19">
        <v>10307</v>
      </c>
      <c r="E19" t="str">
        <f t="shared" si="0"/>
        <v>ia.assorted_string like '%10307-07-2024%' or</v>
      </c>
    </row>
    <row r="20" spans="1:5" x14ac:dyDescent="0.25">
      <c r="A20" s="7" t="s">
        <v>103</v>
      </c>
      <c r="B20" t="s">
        <v>136</v>
      </c>
      <c r="D20">
        <v>21854</v>
      </c>
      <c r="E20" t="str">
        <f t="shared" si="0"/>
        <v>ia.assorted_string like '%21854-03-2024%' or</v>
      </c>
    </row>
    <row r="21" spans="1:5" x14ac:dyDescent="0.25">
      <c r="A21" s="6" t="s">
        <v>123</v>
      </c>
      <c r="B21" t="s">
        <v>138</v>
      </c>
      <c r="D21">
        <v>10792</v>
      </c>
      <c r="E21" t="str">
        <f t="shared" si="0"/>
        <v>ia.assorted_string like '%10792-11-2024%' or</v>
      </c>
    </row>
    <row r="22" spans="1:5" x14ac:dyDescent="0.25">
      <c r="A22" s="7" t="s">
        <v>110</v>
      </c>
      <c r="B22" t="s">
        <v>139</v>
      </c>
      <c r="D22">
        <v>10619</v>
      </c>
      <c r="E22" t="str">
        <f t="shared" si="0"/>
        <v>ia.assorted_string like '%10619-09-2024%' or</v>
      </c>
    </row>
    <row r="23" spans="1:5" x14ac:dyDescent="0.25">
      <c r="A23" s="7" t="s">
        <v>111</v>
      </c>
      <c r="B23" t="s">
        <v>139</v>
      </c>
      <c r="D23">
        <v>10615</v>
      </c>
      <c r="E23" t="str">
        <f t="shared" si="0"/>
        <v>ia.assorted_string like '%10615-09-2024%' or</v>
      </c>
    </row>
    <row r="24" spans="1:5" x14ac:dyDescent="0.25">
      <c r="A24" s="7" t="s">
        <v>112</v>
      </c>
      <c r="B24" t="s">
        <v>139</v>
      </c>
      <c r="D24">
        <v>10616</v>
      </c>
      <c r="E24" t="str">
        <f t="shared" si="0"/>
        <v>ia.assorted_string like '%10616-09-2024%' or</v>
      </c>
    </row>
    <row r="25" spans="1:5" x14ac:dyDescent="0.25">
      <c r="A25" s="7" t="s">
        <v>113</v>
      </c>
      <c r="B25" t="s">
        <v>139</v>
      </c>
      <c r="D25">
        <v>10617</v>
      </c>
      <c r="E25" t="str">
        <f t="shared" si="0"/>
        <v>ia.assorted_string like '%10617-09-2024%' or</v>
      </c>
    </row>
    <row r="26" spans="1:5" x14ac:dyDescent="0.25">
      <c r="A26" s="7" t="s">
        <v>114</v>
      </c>
      <c r="B26" t="s">
        <v>139</v>
      </c>
      <c r="D26">
        <v>10618</v>
      </c>
      <c r="E26" t="str">
        <f t="shared" si="0"/>
        <v>ia.assorted_string like '%10618-09-2024%' or</v>
      </c>
    </row>
    <row r="27" spans="1:5" x14ac:dyDescent="0.25">
      <c r="A27" s="6" t="s">
        <v>117</v>
      </c>
      <c r="B27" t="s">
        <v>140</v>
      </c>
      <c r="D27">
        <v>10768</v>
      </c>
      <c r="E27" t="str">
        <f t="shared" si="0"/>
        <v>ia.assorted_string like '%10768-10-2024%' or</v>
      </c>
    </row>
    <row r="28" spans="1:5" x14ac:dyDescent="0.25">
      <c r="A28" s="6" t="s">
        <v>118</v>
      </c>
      <c r="B28" t="s">
        <v>140</v>
      </c>
      <c r="D28">
        <v>10769</v>
      </c>
      <c r="E28" t="str">
        <f t="shared" si="0"/>
        <v>ia.assorted_string like '%10769-10-2024%' or</v>
      </c>
    </row>
    <row r="29" spans="1:5" x14ac:dyDescent="0.25">
      <c r="A29" s="6" t="s">
        <v>124</v>
      </c>
      <c r="B29" t="s">
        <v>138</v>
      </c>
      <c r="D29">
        <v>10795</v>
      </c>
      <c r="E29" t="str">
        <f t="shared" si="0"/>
        <v>ia.assorted_string like '%10795-11-2024%' or</v>
      </c>
    </row>
    <row r="30" spans="1:5" x14ac:dyDescent="0.25">
      <c r="A30" s="6" t="s">
        <v>125</v>
      </c>
      <c r="B30" t="s">
        <v>138</v>
      </c>
      <c r="D30">
        <v>10796</v>
      </c>
      <c r="E30" t="str">
        <f t="shared" si="0"/>
        <v>ia.assorted_string like '%10796-11-2024%' or</v>
      </c>
    </row>
    <row r="31" spans="1:5" x14ac:dyDescent="0.25">
      <c r="A31" s="6" t="s">
        <v>108</v>
      </c>
      <c r="B31" t="s">
        <v>135</v>
      </c>
      <c r="D31">
        <v>22061</v>
      </c>
      <c r="E31" t="str">
        <f t="shared" si="0"/>
        <v>ia.assorted_string like '%22061-04-2024%' or</v>
      </c>
    </row>
    <row r="32" spans="1:5" x14ac:dyDescent="0.25">
      <c r="A32" s="6" t="s">
        <v>126</v>
      </c>
      <c r="B32" t="s">
        <v>138</v>
      </c>
      <c r="D32">
        <v>10798</v>
      </c>
      <c r="E32" t="str">
        <f t="shared" si="0"/>
        <v>ia.assorted_string like '%10798-11-2024%' or</v>
      </c>
    </row>
    <row r="33" spans="1:5" x14ac:dyDescent="0.25">
      <c r="A33" s="6" t="s">
        <v>127</v>
      </c>
      <c r="B33" t="s">
        <v>138</v>
      </c>
      <c r="D33">
        <v>10791</v>
      </c>
      <c r="E33" t="str">
        <f t="shared" si="0"/>
        <v>ia.assorted_string like '%10791-11-2024%' or</v>
      </c>
    </row>
    <row r="34" spans="1:5" x14ac:dyDescent="0.25">
      <c r="A34" s="7" t="s">
        <v>119</v>
      </c>
      <c r="B34" t="s">
        <v>140</v>
      </c>
      <c r="D34">
        <v>10770</v>
      </c>
      <c r="E34" t="str">
        <f t="shared" si="0"/>
        <v>ia.assorted_string like '%10770-10-2024%' or</v>
      </c>
    </row>
    <row r="35" spans="1:5" x14ac:dyDescent="0.25">
      <c r="A35" s="6" t="s">
        <v>120</v>
      </c>
      <c r="B35" t="s">
        <v>140</v>
      </c>
      <c r="D35">
        <v>10772</v>
      </c>
      <c r="E35" t="str">
        <f t="shared" si="0"/>
        <v>ia.assorted_string like '%10772-10-2024%' or</v>
      </c>
    </row>
    <row r="36" spans="1:5" x14ac:dyDescent="0.25">
      <c r="A36" s="6" t="s">
        <v>128</v>
      </c>
      <c r="B36" t="s">
        <v>138</v>
      </c>
      <c r="D36">
        <v>10804</v>
      </c>
      <c r="E36" t="str">
        <f t="shared" si="0"/>
        <v>ia.assorted_string like '%10804-11-2024%' or</v>
      </c>
    </row>
    <row r="37" spans="1:5" x14ac:dyDescent="0.25">
      <c r="A37" s="6" t="s">
        <v>129</v>
      </c>
      <c r="B37" t="s">
        <v>138</v>
      </c>
      <c r="D37">
        <v>10801</v>
      </c>
      <c r="E37" t="str">
        <f t="shared" si="0"/>
        <v>ia.assorted_string like '%10801-11-2024%' or</v>
      </c>
    </row>
    <row r="38" spans="1:5" x14ac:dyDescent="0.25">
      <c r="A38" s="6" t="s">
        <v>130</v>
      </c>
      <c r="B38" t="s">
        <v>138</v>
      </c>
      <c r="D38">
        <v>10803</v>
      </c>
      <c r="E38" t="str">
        <f t="shared" si="0"/>
        <v>ia.assorted_string like '%10803-11-2024%' or</v>
      </c>
    </row>
    <row r="39" spans="1:5" x14ac:dyDescent="0.25">
      <c r="A39" s="7" t="s">
        <v>98</v>
      </c>
      <c r="B39" t="s">
        <v>135</v>
      </c>
      <c r="D39">
        <v>1176</v>
      </c>
      <c r="E39" t="str">
        <f t="shared" si="0"/>
        <v>ia.assorted_string like '%1176-04-2024%' or</v>
      </c>
    </row>
    <row r="40" spans="1:5" x14ac:dyDescent="0.25">
      <c r="A40" s="7" t="s">
        <v>121</v>
      </c>
      <c r="B40" t="s">
        <v>140</v>
      </c>
      <c r="D40">
        <v>10773</v>
      </c>
      <c r="E40" t="str">
        <f t="shared" si="0"/>
        <v>ia.assorted_string like '%10773-10-2024%' or</v>
      </c>
    </row>
    <row r="41" spans="1:5" x14ac:dyDescent="0.25">
      <c r="A41" s="7" t="s">
        <v>122</v>
      </c>
      <c r="B41" t="s">
        <v>140</v>
      </c>
      <c r="D41">
        <v>10774</v>
      </c>
      <c r="E41" t="str">
        <f t="shared" si="0"/>
        <v>ia.assorted_string like '%10774-10-2024%' or</v>
      </c>
    </row>
    <row r="42" spans="1:5" x14ac:dyDescent="0.25">
      <c r="A42" s="6" t="s">
        <v>131</v>
      </c>
      <c r="B42" t="s">
        <v>138</v>
      </c>
      <c r="D42">
        <v>10806</v>
      </c>
      <c r="E42" t="str">
        <f t="shared" si="0"/>
        <v>ia.assorted_string like '%10806-11-2024%' or</v>
      </c>
    </row>
    <row r="43" spans="1:5" x14ac:dyDescent="0.25">
      <c r="A43" s="6" t="s">
        <v>132</v>
      </c>
      <c r="B43" t="s">
        <v>138</v>
      </c>
      <c r="D43">
        <v>10805</v>
      </c>
      <c r="E43" t="str">
        <f t="shared" si="0"/>
        <v>ia.assorted_string like '%10805-11-2024%' or</v>
      </c>
    </row>
    <row r="44" spans="1:5" x14ac:dyDescent="0.25">
      <c r="A44" s="6" t="s">
        <v>133</v>
      </c>
      <c r="B44" t="s">
        <v>138</v>
      </c>
      <c r="D44">
        <v>10813</v>
      </c>
      <c r="E44" t="str">
        <f t="shared" si="0"/>
        <v>ia.assorted_string like '%10813-11-2024%' 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BSPL</vt:lpstr>
      <vt:lpstr>working Premium</vt:lpstr>
      <vt:lpstr>working commission</vt:lpstr>
      <vt:lpstr>working Service Charges</vt:lpstr>
      <vt:lpstr>Policy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Saifullah/Finance/Karachi</dc:creator>
  <cp:lastModifiedBy>IT User Software</cp:lastModifiedBy>
  <dcterms:created xsi:type="dcterms:W3CDTF">2024-10-22T06:50:21Z</dcterms:created>
  <dcterms:modified xsi:type="dcterms:W3CDTF">2024-11-13T11:31:51Z</dcterms:modified>
</cp:coreProperties>
</file>