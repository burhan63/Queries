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remium\Premium\Saqib Saleem\Nov 2024\14-Nov-2024\"/>
    </mc:Choice>
  </mc:AlternateContent>
  <xr:revisionPtr revIDLastSave="0" documentId="13_ncr:1_{2DA7AB3F-2A12-400C-8A31-A1FC51AA5B61}" xr6:coauthVersionLast="47" xr6:coauthVersionMax="47" xr10:uidLastSave="{00000000-0000-0000-0000-000000000000}"/>
  <bookViews>
    <workbookView xWindow="-120" yWindow="-120" windowWidth="20730" windowHeight="11040" tabRatio="941" xr2:uid="{00000000-000D-0000-FFFF-FFFF00000000}"/>
  </bookViews>
  <sheets>
    <sheet name="STL 3 QTR" sheetId="67" r:id="rId1"/>
    <sheet name="working" sheetId="68" r:id="rId2"/>
    <sheet name="Sheet2" sheetId="69" r:id="rId3"/>
    <sheet name="policy" sheetId="70" r:id="rId4"/>
  </sheets>
  <definedNames>
    <definedName name="_xlnm._FilterDatabase" localSheetId="0" hidden="1">'STL 3 QTR'!$A$5:$O$113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8" i="68" l="1"/>
  <c r="H107" i="68"/>
  <c r="H106" i="68"/>
  <c r="H105" i="68"/>
  <c r="H104" i="68"/>
  <c r="H103" i="68"/>
  <c r="H102" i="68"/>
  <c r="H101" i="68"/>
  <c r="H100" i="68"/>
  <c r="H99" i="68"/>
  <c r="H98" i="68"/>
  <c r="H97" i="68"/>
  <c r="H96" i="68"/>
  <c r="H95" i="68"/>
  <c r="H94" i="68"/>
  <c r="H93" i="68"/>
  <c r="H92" i="68"/>
  <c r="H91" i="68"/>
  <c r="H90" i="68"/>
  <c r="H89" i="68"/>
  <c r="H88" i="68"/>
  <c r="H87" i="68"/>
  <c r="H86" i="68"/>
  <c r="H85" i="68"/>
  <c r="H84" i="68"/>
  <c r="H83" i="68"/>
  <c r="H82" i="68"/>
  <c r="H81" i="68"/>
  <c r="H80" i="68"/>
  <c r="H79" i="68"/>
  <c r="H78" i="68"/>
  <c r="H77" i="68"/>
  <c r="H76" i="68"/>
  <c r="H75" i="68"/>
  <c r="H74" i="68"/>
  <c r="H73" i="68"/>
  <c r="H72" i="68"/>
  <c r="H71" i="68"/>
  <c r="H70" i="68"/>
  <c r="H69" i="68"/>
  <c r="H68" i="68"/>
  <c r="H67" i="68"/>
  <c r="H66" i="68"/>
  <c r="H65" i="68"/>
  <c r="H64" i="68"/>
  <c r="H63" i="68"/>
  <c r="H62" i="68"/>
  <c r="H61" i="68"/>
  <c r="H60" i="68"/>
  <c r="H59" i="68"/>
  <c r="H58" i="68"/>
  <c r="H57" i="68"/>
  <c r="H56" i="68"/>
  <c r="H55" i="68"/>
  <c r="H54" i="68"/>
  <c r="H53" i="68"/>
  <c r="H52" i="68"/>
  <c r="H51" i="68"/>
  <c r="H50" i="68"/>
  <c r="H49" i="68"/>
  <c r="H48" i="68"/>
  <c r="H47" i="68"/>
  <c r="H46" i="68"/>
  <c r="H45" i="68"/>
  <c r="H44" i="68"/>
  <c r="H43" i="68"/>
  <c r="H42" i="68"/>
  <c r="H41" i="68"/>
  <c r="H40" i="68"/>
  <c r="H39" i="68"/>
  <c r="H38" i="68"/>
  <c r="H37" i="68"/>
  <c r="H36" i="68"/>
  <c r="H35" i="68"/>
  <c r="H34" i="68"/>
  <c r="H33" i="68"/>
  <c r="H32" i="68"/>
  <c r="H31" i="68"/>
  <c r="H30" i="68"/>
  <c r="H29" i="68"/>
  <c r="H28" i="68"/>
  <c r="H27" i="68"/>
  <c r="H26" i="68"/>
  <c r="H25" i="68"/>
  <c r="H24" i="68"/>
  <c r="H23" i="68"/>
  <c r="H22" i="68"/>
  <c r="H21" i="68"/>
  <c r="H20" i="68"/>
  <c r="H19" i="68"/>
  <c r="H18" i="68"/>
  <c r="H17" i="68"/>
  <c r="H16" i="68"/>
  <c r="H15" i="68"/>
  <c r="H14" i="68"/>
  <c r="H13" i="68"/>
  <c r="H12" i="68"/>
  <c r="H11" i="68"/>
  <c r="H10" i="68"/>
  <c r="H9" i="68"/>
  <c r="H8" i="68"/>
  <c r="H7" i="68"/>
  <c r="H6" i="68"/>
  <c r="H5" i="68"/>
  <c r="H4" i="68"/>
  <c r="H3" i="68"/>
  <c r="G108" i="68"/>
  <c r="G107" i="68"/>
  <c r="G106" i="68"/>
  <c r="G105" i="68"/>
  <c r="G104" i="68"/>
  <c r="G103" i="68"/>
  <c r="G102" i="68"/>
  <c r="G101" i="68"/>
  <c r="G100" i="68"/>
  <c r="G99" i="68"/>
  <c r="G98" i="68"/>
  <c r="G97" i="68"/>
  <c r="G96" i="68"/>
  <c r="G95" i="68"/>
  <c r="G94" i="68"/>
  <c r="G93" i="68"/>
  <c r="G92" i="68"/>
  <c r="G91" i="68"/>
  <c r="G90" i="68"/>
  <c r="G89" i="68"/>
  <c r="G88" i="68"/>
  <c r="G87" i="68"/>
  <c r="G86" i="68"/>
  <c r="G85" i="68"/>
  <c r="G84" i="68"/>
  <c r="G83" i="68"/>
  <c r="G82" i="68"/>
  <c r="G81" i="68"/>
  <c r="G80" i="68"/>
  <c r="G79" i="68"/>
  <c r="G78" i="68"/>
  <c r="G77" i="68"/>
  <c r="G76" i="68"/>
  <c r="G75" i="68"/>
  <c r="G74" i="68"/>
  <c r="G73" i="68"/>
  <c r="G72" i="68"/>
  <c r="G71" i="68"/>
  <c r="G70" i="68"/>
  <c r="G69" i="68"/>
  <c r="G68" i="68"/>
  <c r="G67" i="68"/>
  <c r="G66" i="68"/>
  <c r="G65" i="68"/>
  <c r="G64" i="68"/>
  <c r="G63" i="68"/>
  <c r="G62" i="68"/>
  <c r="G61" i="68"/>
  <c r="G60" i="68"/>
  <c r="G59" i="68"/>
  <c r="G58" i="68"/>
  <c r="G57" i="68"/>
  <c r="G56" i="68"/>
  <c r="G55" i="68"/>
  <c r="G54" i="68"/>
  <c r="G53" i="68"/>
  <c r="G52" i="68"/>
  <c r="G51" i="68"/>
  <c r="G50" i="68"/>
  <c r="G49" i="68"/>
  <c r="G48" i="68"/>
  <c r="G47" i="68"/>
  <c r="G46" i="68"/>
  <c r="G45" i="68"/>
  <c r="G44" i="68"/>
  <c r="G43" i="68"/>
  <c r="G42" i="68"/>
  <c r="G41" i="68"/>
  <c r="G40" i="68"/>
  <c r="G39" i="68"/>
  <c r="G38" i="68"/>
  <c r="G37" i="68"/>
  <c r="G36" i="68"/>
  <c r="G35" i="68"/>
  <c r="G34" i="68"/>
  <c r="G33" i="68"/>
  <c r="G32" i="68"/>
  <c r="G31" i="68"/>
  <c r="G30" i="68"/>
  <c r="G29" i="68"/>
  <c r="G28" i="68"/>
  <c r="G27" i="68"/>
  <c r="G26" i="68"/>
  <c r="G25" i="68"/>
  <c r="G24" i="68"/>
  <c r="G23" i="68"/>
  <c r="G22" i="68"/>
  <c r="G21" i="68"/>
  <c r="G20" i="68"/>
  <c r="G19" i="68"/>
  <c r="G18" i="68"/>
  <c r="G17" i="68"/>
  <c r="G16" i="68"/>
  <c r="G15" i="68"/>
  <c r="G14" i="68"/>
  <c r="G13" i="68"/>
  <c r="G12" i="68"/>
  <c r="G11" i="68"/>
  <c r="G10" i="68"/>
  <c r="G9" i="68"/>
  <c r="G8" i="68"/>
  <c r="G7" i="68"/>
  <c r="G6" i="68"/>
  <c r="G5" i="68"/>
  <c r="G4" i="68"/>
  <c r="G3" i="68"/>
  <c r="G2" i="68"/>
  <c r="F108" i="68"/>
  <c r="F107" i="68"/>
  <c r="F106" i="68"/>
  <c r="F105" i="68"/>
  <c r="F104" i="68"/>
  <c r="F103" i="68"/>
  <c r="F102" i="68"/>
  <c r="F101" i="68"/>
  <c r="F100" i="68"/>
  <c r="F99" i="68"/>
  <c r="F98" i="68"/>
  <c r="F97" i="68"/>
  <c r="F96" i="68"/>
  <c r="F95" i="68"/>
  <c r="F94" i="68"/>
  <c r="F93" i="68"/>
  <c r="F92" i="68"/>
  <c r="F91" i="68"/>
  <c r="F90" i="68"/>
  <c r="F89" i="68"/>
  <c r="F88" i="68"/>
  <c r="F87" i="68"/>
  <c r="F86" i="68"/>
  <c r="F85" i="68"/>
  <c r="F84" i="68"/>
  <c r="F83" i="68"/>
  <c r="F82" i="68"/>
  <c r="F81" i="68"/>
  <c r="F80" i="68"/>
  <c r="F79" i="68"/>
  <c r="F78" i="68"/>
  <c r="F77" i="68"/>
  <c r="F76" i="68"/>
  <c r="F75" i="68"/>
  <c r="F74" i="68"/>
  <c r="F73" i="68"/>
  <c r="F72" i="68"/>
  <c r="F71" i="68"/>
  <c r="F70" i="68"/>
  <c r="F69" i="68"/>
  <c r="F68" i="68"/>
  <c r="F67" i="68"/>
  <c r="F66" i="68"/>
  <c r="F65" i="68"/>
  <c r="F64" i="68"/>
  <c r="F63" i="68"/>
  <c r="F62" i="68"/>
  <c r="F61" i="68"/>
  <c r="F60" i="68"/>
  <c r="F59" i="68"/>
  <c r="F58" i="68"/>
  <c r="F57" i="68"/>
  <c r="F56" i="68"/>
  <c r="F55" i="68"/>
  <c r="F54" i="68"/>
  <c r="F53" i="68"/>
  <c r="F52" i="68"/>
  <c r="F51" i="68"/>
  <c r="F50" i="68"/>
  <c r="F49" i="68"/>
  <c r="F48" i="68"/>
  <c r="F47" i="68"/>
  <c r="F46" i="68"/>
  <c r="F45" i="68"/>
  <c r="F44" i="68"/>
  <c r="F43" i="68"/>
  <c r="F42" i="68"/>
  <c r="F41" i="68"/>
  <c r="F40" i="68"/>
  <c r="F39" i="68"/>
  <c r="F38" i="68"/>
  <c r="F37" i="68"/>
  <c r="F36" i="68"/>
  <c r="F35" i="68"/>
  <c r="F34" i="68"/>
  <c r="F33" i="68"/>
  <c r="F32" i="68"/>
  <c r="F31" i="68"/>
  <c r="F30" i="68"/>
  <c r="F29" i="68"/>
  <c r="F28" i="68"/>
  <c r="F27" i="68"/>
  <c r="F26" i="68"/>
  <c r="F25" i="68"/>
  <c r="F24" i="68"/>
  <c r="F23" i="68"/>
  <c r="F22" i="68"/>
  <c r="F21" i="68"/>
  <c r="F20" i="68"/>
  <c r="F19" i="68"/>
  <c r="F18" i="68"/>
  <c r="F17" i="68"/>
  <c r="F16" i="68"/>
  <c r="F15" i="68"/>
  <c r="F14" i="68"/>
  <c r="F13" i="68"/>
  <c r="F12" i="68"/>
  <c r="F11" i="68"/>
  <c r="F10" i="68"/>
  <c r="F9" i="68"/>
  <c r="F8" i="68"/>
  <c r="F7" i="68"/>
  <c r="F6" i="68"/>
  <c r="F5" i="68"/>
  <c r="F4" i="68"/>
  <c r="F3" i="68"/>
  <c r="D3" i="68"/>
  <c r="D4" i="68"/>
  <c r="D5" i="68"/>
  <c r="D6" i="68"/>
  <c r="D7" i="68"/>
  <c r="D8" i="68"/>
  <c r="D9" i="68"/>
  <c r="D10" i="68"/>
  <c r="D11" i="68"/>
  <c r="D12" i="68"/>
  <c r="D13" i="68"/>
  <c r="D14" i="68"/>
  <c r="D15" i="68"/>
  <c r="D16" i="68"/>
  <c r="D17" i="68"/>
  <c r="D18" i="68"/>
  <c r="D19" i="68"/>
  <c r="D20" i="68"/>
  <c r="D21" i="68"/>
  <c r="D22" i="68"/>
  <c r="D23" i="68"/>
  <c r="D24" i="68"/>
  <c r="D25" i="68"/>
  <c r="D26" i="68"/>
  <c r="D27" i="68"/>
  <c r="D28" i="68"/>
  <c r="D29" i="68"/>
  <c r="D30" i="68"/>
  <c r="D31" i="68"/>
  <c r="D32" i="68"/>
  <c r="D33" i="68"/>
  <c r="D34" i="68"/>
  <c r="D35" i="68"/>
  <c r="D36" i="68"/>
  <c r="D37" i="68"/>
  <c r="D38" i="68"/>
  <c r="D39" i="68"/>
  <c r="D40" i="68"/>
  <c r="D41" i="68"/>
  <c r="D42" i="68"/>
  <c r="D43" i="68"/>
  <c r="D44" i="68"/>
  <c r="D45" i="68"/>
  <c r="D46" i="68"/>
  <c r="D47" i="68"/>
  <c r="D48" i="68"/>
  <c r="D49" i="68"/>
  <c r="D50" i="68"/>
  <c r="D51" i="68"/>
  <c r="D52" i="68"/>
  <c r="D53" i="68"/>
  <c r="D54" i="68"/>
  <c r="D55" i="68"/>
  <c r="D56" i="68"/>
  <c r="D57" i="68"/>
  <c r="D58" i="68"/>
  <c r="D59" i="68"/>
  <c r="D60" i="68"/>
  <c r="D61" i="68"/>
  <c r="D62" i="68"/>
  <c r="D63" i="68"/>
  <c r="D64" i="68"/>
  <c r="D65" i="68"/>
  <c r="D66" i="68"/>
  <c r="D67" i="68"/>
  <c r="D68" i="68"/>
  <c r="D69" i="68"/>
  <c r="D70" i="68"/>
  <c r="D71" i="68"/>
  <c r="D72" i="68"/>
  <c r="D73" i="68"/>
  <c r="D74" i="68"/>
  <c r="D75" i="68"/>
  <c r="D76" i="68"/>
  <c r="D77" i="68"/>
  <c r="D78" i="68"/>
  <c r="D79" i="68"/>
  <c r="D80" i="68"/>
  <c r="D81" i="68"/>
  <c r="D82" i="68"/>
  <c r="D83" i="68"/>
  <c r="D84" i="68"/>
  <c r="D85" i="68"/>
  <c r="D86" i="68"/>
  <c r="D87" i="68"/>
  <c r="D88" i="68"/>
  <c r="D89" i="68"/>
  <c r="D90" i="68"/>
  <c r="D91" i="68"/>
  <c r="D92" i="68"/>
  <c r="D93" i="68"/>
  <c r="D94" i="68"/>
  <c r="D95" i="68"/>
  <c r="D96" i="68"/>
  <c r="D97" i="68"/>
  <c r="D98" i="68"/>
  <c r="D99" i="68"/>
  <c r="D100" i="68"/>
  <c r="D101" i="68"/>
  <c r="D102" i="68"/>
  <c r="D103" i="68"/>
  <c r="D104" i="68"/>
  <c r="D105" i="68"/>
  <c r="D106" i="68"/>
  <c r="D107" i="68"/>
  <c r="D108" i="68"/>
  <c r="B3" i="68"/>
  <c r="B4" i="68"/>
  <c r="B5" i="68"/>
  <c r="B6" i="68"/>
  <c r="B7" i="68"/>
  <c r="B8" i="68"/>
  <c r="B9" i="68"/>
  <c r="B10" i="68"/>
  <c r="B11" i="68"/>
  <c r="B12" i="68"/>
  <c r="B13" i="68"/>
  <c r="B14" i="68"/>
  <c r="B15" i="68"/>
  <c r="B16" i="68"/>
  <c r="B17" i="68"/>
  <c r="B18" i="68"/>
  <c r="B19" i="68"/>
  <c r="B20" i="68"/>
  <c r="B21" i="68"/>
  <c r="B22" i="68"/>
  <c r="B23" i="68"/>
  <c r="B24" i="68"/>
  <c r="B25" i="68"/>
  <c r="B26" i="68"/>
  <c r="B27" i="68"/>
  <c r="B28" i="68"/>
  <c r="B29" i="68"/>
  <c r="B30" i="68"/>
  <c r="B31" i="68"/>
  <c r="B32" i="68"/>
  <c r="B33" i="68"/>
  <c r="B34" i="68"/>
  <c r="B35" i="68"/>
  <c r="B36" i="68"/>
  <c r="B37" i="68"/>
  <c r="B38" i="68"/>
  <c r="B39" i="68"/>
  <c r="B40" i="68"/>
  <c r="B41" i="68"/>
  <c r="B42" i="68"/>
  <c r="B43" i="68"/>
  <c r="B44" i="68"/>
  <c r="B45" i="68"/>
  <c r="B46" i="68"/>
  <c r="B47" i="68"/>
  <c r="B48" i="68"/>
  <c r="B49" i="68"/>
  <c r="B50" i="68"/>
  <c r="B51" i="68"/>
  <c r="B52" i="68"/>
  <c r="B53" i="68"/>
  <c r="B54" i="68"/>
  <c r="B55" i="68"/>
  <c r="B56" i="68"/>
  <c r="B57" i="68"/>
  <c r="B58" i="68"/>
  <c r="B59" i="68"/>
  <c r="B60" i="68"/>
  <c r="B61" i="68"/>
  <c r="B62" i="68"/>
  <c r="B63" i="68"/>
  <c r="B64" i="68"/>
  <c r="B65" i="68"/>
  <c r="B66" i="68"/>
  <c r="B67" i="68"/>
  <c r="B68" i="68"/>
  <c r="B69" i="68"/>
  <c r="B70" i="68"/>
  <c r="B71" i="68"/>
  <c r="B72" i="68"/>
  <c r="B73" i="68"/>
  <c r="B74" i="68"/>
  <c r="B75" i="68"/>
  <c r="B76" i="68"/>
  <c r="B77" i="68"/>
  <c r="B78" i="68"/>
  <c r="B79" i="68"/>
  <c r="B80" i="68"/>
  <c r="B81" i="68"/>
  <c r="B82" i="68"/>
  <c r="B83" i="68"/>
  <c r="B84" i="68"/>
  <c r="B85" i="68"/>
  <c r="B86" i="68"/>
  <c r="B87" i="68"/>
  <c r="B89" i="68"/>
  <c r="B90" i="68"/>
  <c r="B91" i="68"/>
  <c r="B92" i="68"/>
  <c r="B93" i="68"/>
  <c r="B94" i="68"/>
  <c r="B95" i="68"/>
  <c r="B96" i="68"/>
  <c r="B97" i="68"/>
  <c r="B98" i="68"/>
  <c r="B99" i="68"/>
  <c r="B100" i="68"/>
  <c r="B101" i="68"/>
  <c r="B102" i="68"/>
  <c r="B103" i="68"/>
  <c r="B104" i="68"/>
  <c r="B105" i="68"/>
  <c r="B106" i="68"/>
  <c r="B107" i="68"/>
  <c r="B108" i="68"/>
  <c r="B2" i="68"/>
  <c r="F2" i="68"/>
  <c r="D2" i="68"/>
  <c r="E2" i="69"/>
  <c r="E3" i="69"/>
  <c r="E4" i="69"/>
  <c r="E5" i="69"/>
  <c r="E6" i="69"/>
  <c r="E7" i="69"/>
  <c r="E8" i="69"/>
  <c r="E9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3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E65" i="69"/>
  <c r="E66" i="69"/>
  <c r="E67" i="69"/>
  <c r="E68" i="69"/>
  <c r="E69" i="69"/>
  <c r="E70" i="69"/>
  <c r="E71" i="69"/>
  <c r="E72" i="69"/>
  <c r="E73" i="69"/>
  <c r="E74" i="69"/>
  <c r="E75" i="69"/>
  <c r="E76" i="69"/>
  <c r="E77" i="69"/>
  <c r="E78" i="69"/>
  <c r="E79" i="69"/>
  <c r="E80" i="69"/>
  <c r="E81" i="69"/>
  <c r="E82" i="69"/>
  <c r="E83" i="69"/>
  <c r="E84" i="69"/>
  <c r="E85" i="69"/>
  <c r="E86" i="69"/>
  <c r="E87" i="69"/>
  <c r="E88" i="69"/>
  <c r="E89" i="69"/>
  <c r="E90" i="69"/>
  <c r="E91" i="69"/>
  <c r="E92" i="69"/>
  <c r="E93" i="69"/>
  <c r="E94" i="69"/>
  <c r="E95" i="69"/>
  <c r="E96" i="69"/>
  <c r="E97" i="69"/>
  <c r="E98" i="69"/>
  <c r="E99" i="69"/>
  <c r="E100" i="69"/>
  <c r="E101" i="69"/>
  <c r="E102" i="69"/>
  <c r="E103" i="69"/>
  <c r="E104" i="69"/>
  <c r="E105" i="69"/>
  <c r="E106" i="69"/>
  <c r="E107" i="69"/>
  <c r="E1" i="69"/>
  <c r="H2" i="68" l="1"/>
  <c r="J112" i="67" l="1"/>
  <c r="M111" i="67" l="1"/>
  <c r="J111" i="67"/>
  <c r="M110" i="67"/>
  <c r="J110" i="67"/>
  <c r="M109" i="67"/>
  <c r="J109" i="67"/>
  <c r="M108" i="67"/>
  <c r="J108" i="67"/>
  <c r="M107" i="67"/>
  <c r="J107" i="67"/>
  <c r="M106" i="67"/>
  <c r="J106" i="67"/>
  <c r="M105" i="67"/>
  <c r="M104" i="67"/>
  <c r="M103" i="67"/>
  <c r="M102" i="67"/>
  <c r="M101" i="67"/>
  <c r="M100" i="67"/>
  <c r="M99" i="67"/>
  <c r="M98" i="67"/>
  <c r="M97" i="67"/>
  <c r="M96" i="67"/>
  <c r="M95" i="67"/>
  <c r="M94" i="67"/>
  <c r="M93" i="67"/>
  <c r="M92" i="67"/>
  <c r="M91" i="67"/>
  <c r="M90" i="67"/>
  <c r="M89" i="67"/>
  <c r="M88" i="67"/>
  <c r="M87" i="67"/>
  <c r="M86" i="67"/>
  <c r="M85" i="67"/>
  <c r="M84" i="67"/>
  <c r="M83" i="67"/>
  <c r="M82" i="67"/>
  <c r="M81" i="67"/>
  <c r="M80" i="67"/>
  <c r="M79" i="67"/>
  <c r="M78" i="67"/>
  <c r="M77" i="67"/>
  <c r="M76" i="67"/>
  <c r="M75" i="67"/>
  <c r="M74" i="67"/>
  <c r="M73" i="67"/>
  <c r="M72" i="67"/>
  <c r="M71" i="67"/>
  <c r="M70" i="67"/>
  <c r="M69" i="67"/>
  <c r="M68" i="67"/>
  <c r="M67" i="67"/>
  <c r="M66" i="67"/>
  <c r="M65" i="67"/>
  <c r="M64" i="67"/>
  <c r="M63" i="67"/>
  <c r="M62" i="67"/>
  <c r="M61" i="67"/>
  <c r="M60" i="67"/>
  <c r="M59" i="67"/>
  <c r="M58" i="67"/>
  <c r="M57" i="67"/>
  <c r="M56" i="67"/>
  <c r="M55" i="67"/>
  <c r="M54" i="67"/>
  <c r="M53" i="67"/>
  <c r="M52" i="67"/>
  <c r="M51" i="67"/>
  <c r="M50" i="67"/>
  <c r="M49" i="67"/>
  <c r="M48" i="67"/>
  <c r="M47" i="67"/>
  <c r="M46" i="67"/>
  <c r="M45" i="67"/>
  <c r="M44" i="67"/>
  <c r="M43" i="67"/>
  <c r="M42" i="67"/>
  <c r="M41" i="67"/>
  <c r="M40" i="67"/>
  <c r="M39" i="67"/>
  <c r="M38" i="67"/>
  <c r="M37" i="67"/>
  <c r="M36" i="67"/>
  <c r="M35" i="67"/>
  <c r="M34" i="67"/>
  <c r="M33" i="67"/>
  <c r="M32" i="67"/>
  <c r="M31" i="67"/>
  <c r="M30" i="67"/>
  <c r="M29" i="67"/>
  <c r="M28" i="67"/>
  <c r="M27" i="67"/>
  <c r="M26" i="67"/>
  <c r="M25" i="67"/>
  <c r="M24" i="67"/>
  <c r="M23" i="67"/>
  <c r="M22" i="67"/>
  <c r="M21" i="67"/>
  <c r="M119" i="67"/>
  <c r="M20" i="67"/>
  <c r="M118" i="67"/>
  <c r="M19" i="67"/>
  <c r="M18" i="67"/>
  <c r="M17" i="67"/>
  <c r="M16" i="67"/>
  <c r="M15" i="67"/>
  <c r="M14" i="67"/>
  <c r="M13" i="67"/>
  <c r="M12" i="67"/>
  <c r="M11" i="67"/>
  <c r="M10" i="67"/>
  <c r="M9" i="67"/>
  <c r="M8" i="67"/>
  <c r="M7" i="67"/>
  <c r="M6" i="67"/>
  <c r="M117" i="67"/>
  <c r="M113" i="67" l="1"/>
  <c r="N113" i="67" l="1"/>
</calcChain>
</file>

<file path=xl/sharedStrings.xml><?xml version="1.0" encoding="utf-8"?>
<sst xmlns="http://schemas.openxmlformats.org/spreadsheetml/2006/main" count="1244" uniqueCount="402">
  <si>
    <t>Make</t>
  </si>
  <si>
    <t>Engine #</t>
  </si>
  <si>
    <t>Chassis #</t>
  </si>
  <si>
    <t>Colour</t>
  </si>
  <si>
    <t>Owner</t>
  </si>
  <si>
    <t>Model</t>
  </si>
  <si>
    <t>Black</t>
  </si>
  <si>
    <t>White</t>
  </si>
  <si>
    <t>Silver</t>
  </si>
  <si>
    <t>2KDU256930</t>
  </si>
  <si>
    <t>2KDU224633</t>
  </si>
  <si>
    <t>Sr.</t>
  </si>
  <si>
    <t>KUN25R9603057</t>
  </si>
  <si>
    <t>KUN25R9603227</t>
  </si>
  <si>
    <t>End Dt</t>
  </si>
  <si>
    <t>Start Dt.</t>
  </si>
  <si>
    <t>Sum Insu.</t>
  </si>
  <si>
    <t>Z481955</t>
  </si>
  <si>
    <t>NZE170R-4108146</t>
  </si>
  <si>
    <t>Z482035</t>
  </si>
  <si>
    <t>NZE170R-4108175</t>
  </si>
  <si>
    <t>Z480598</t>
  </si>
  <si>
    <t>NZE170R-4108148</t>
  </si>
  <si>
    <t>Z480569</t>
  </si>
  <si>
    <t>NZE170R-4108149</t>
  </si>
  <si>
    <t>Z482066</t>
  </si>
  <si>
    <t>NZE170R-4108177</t>
  </si>
  <si>
    <t>NZE170R-4108176</t>
  </si>
  <si>
    <t>Z482039</t>
  </si>
  <si>
    <t>Z486628</t>
  </si>
  <si>
    <t>NZE170R-4112846</t>
  </si>
  <si>
    <t>NFBFC6668HR028534</t>
  </si>
  <si>
    <t>Z517800</t>
  </si>
  <si>
    <t>Z517619</t>
  </si>
  <si>
    <t>Z517799</t>
  </si>
  <si>
    <t>Z517616</t>
  </si>
  <si>
    <t>Z517798</t>
  </si>
  <si>
    <t>Z517692</t>
  </si>
  <si>
    <t>NZE170R-4143440</t>
  </si>
  <si>
    <t>NZE170R-4143726</t>
  </si>
  <si>
    <t>NZE170R-4143437</t>
  </si>
  <si>
    <t>NZE170R-4143747</t>
  </si>
  <si>
    <t>NZE170R-4143438</t>
  </si>
  <si>
    <t>NZE170R-4143439</t>
  </si>
  <si>
    <t>Z532839</t>
  </si>
  <si>
    <t>Z532865</t>
  </si>
  <si>
    <t>Z532898</t>
  </si>
  <si>
    <t>Z532329</t>
  </si>
  <si>
    <t>Z532954</t>
  </si>
  <si>
    <t>Z532886</t>
  </si>
  <si>
    <t>NZE170R-4158650</t>
  </si>
  <si>
    <t>NZE170R-4158648</t>
  </si>
  <si>
    <t>NZE170R-4158716</t>
  </si>
  <si>
    <t>NZE170R-4158700</t>
  </si>
  <si>
    <t>NZE170R-4158698</t>
  </si>
  <si>
    <t>NZE170R-4158741</t>
  </si>
  <si>
    <t>Z554322</t>
  </si>
  <si>
    <t>NZE170R-4180199</t>
  </si>
  <si>
    <t>Z554370</t>
  </si>
  <si>
    <t>NZE170R-4180200</t>
  </si>
  <si>
    <t>Z554496</t>
  </si>
  <si>
    <t>NZE170R-4179559</t>
  </si>
  <si>
    <t>Z554281</t>
  </si>
  <si>
    <t>NZE170R-4180257</t>
  </si>
  <si>
    <t>Z554369</t>
  </si>
  <si>
    <t>NZE170R-4180194</t>
  </si>
  <si>
    <t>Z554307</t>
  </si>
  <si>
    <t>NZE170R-4180187</t>
  </si>
  <si>
    <t>Z554358</t>
  </si>
  <si>
    <t>NZE170R-4180189</t>
  </si>
  <si>
    <t>Z554372</t>
  </si>
  <si>
    <t>NZE170R-4180197</t>
  </si>
  <si>
    <t>BPU 442</t>
  </si>
  <si>
    <t>NFBFC6661KR053248</t>
  </si>
  <si>
    <t>NFBFC666XKR053247</t>
  </si>
  <si>
    <t>R18Z12949760</t>
  </si>
  <si>
    <t>R18Z12949755</t>
  </si>
  <si>
    <t>R18Z12950285</t>
  </si>
  <si>
    <t>NFBFC6665KR053754</t>
  </si>
  <si>
    <t>R18Z12950276</t>
  </si>
  <si>
    <t>NFBFC6667KR053755</t>
  </si>
  <si>
    <t>R18Z12953578</t>
  </si>
  <si>
    <t>R18Z12953579</t>
  </si>
  <si>
    <t>NZE170R-4191532</t>
  </si>
  <si>
    <t>Z566244</t>
  </si>
  <si>
    <t>NZE170R-4191652</t>
  </si>
  <si>
    <t>Z566313</t>
  </si>
  <si>
    <t>NZE 170R-4191534</t>
  </si>
  <si>
    <t>Z566248</t>
  </si>
  <si>
    <t>NZE170R-4191640</t>
  </si>
  <si>
    <t>Z565557</t>
  </si>
  <si>
    <t>NZE170R-4191537</t>
  </si>
  <si>
    <t>Z565599</t>
  </si>
  <si>
    <t>Z566217</t>
  </si>
  <si>
    <t>NZE170R-4192564</t>
  </si>
  <si>
    <t>Z566963</t>
  </si>
  <si>
    <t>NZE170R-4192545</t>
  </si>
  <si>
    <t>Z566961</t>
  </si>
  <si>
    <t>NZE170R-4192549</t>
  </si>
  <si>
    <t>Z566777</t>
  </si>
  <si>
    <t>NZE170R-4192587</t>
  </si>
  <si>
    <t>Z567062</t>
  </si>
  <si>
    <t>NZE170R-4192617</t>
  </si>
  <si>
    <t>Z566805</t>
  </si>
  <si>
    <t>NZE170R-4192586</t>
  </si>
  <si>
    <t>Z566962</t>
  </si>
  <si>
    <t>NZE170R-4192566</t>
  </si>
  <si>
    <t>Z566766</t>
  </si>
  <si>
    <t>NZE170R-4192585</t>
  </si>
  <si>
    <t>Z566810</t>
  </si>
  <si>
    <t>NZE170R-4192588</t>
  </si>
  <si>
    <t>Z566811</t>
  </si>
  <si>
    <t>NZE170R-4192590</t>
  </si>
  <si>
    <t>Z566958</t>
  </si>
  <si>
    <t>Z566210</t>
  </si>
  <si>
    <t>Z566807</t>
  </si>
  <si>
    <t>Z566767</t>
  </si>
  <si>
    <t>Z567005</t>
  </si>
  <si>
    <t>NZE170R-4192565</t>
  </si>
  <si>
    <t>NZE170R-4192546</t>
  </si>
  <si>
    <t>NZE170R-4192583</t>
  </si>
  <si>
    <t>NZE170R-4192562</t>
  </si>
  <si>
    <t>NZE170R-4192550</t>
  </si>
  <si>
    <t>Z568393</t>
  </si>
  <si>
    <t>Z569552</t>
  </si>
  <si>
    <t>Z569584</t>
  </si>
  <si>
    <t>Z569182</t>
  </si>
  <si>
    <t>Z569545</t>
  </si>
  <si>
    <t>Z569229</t>
  </si>
  <si>
    <t>NZE170R-4194574</t>
  </si>
  <si>
    <t>NZE170R-4194555</t>
  </si>
  <si>
    <t>NZE170R-4194557</t>
  </si>
  <si>
    <t>NZE170R-4194560</t>
  </si>
  <si>
    <t>NZE170R-4194572</t>
  </si>
  <si>
    <t>NZE170R-4194534</t>
  </si>
  <si>
    <t>R18Z12954460</t>
  </si>
  <si>
    <t>R18Z12953514</t>
  </si>
  <si>
    <t>NFBFC6668KR057944</t>
  </si>
  <si>
    <t>NFBFC6662KR056918</t>
  </si>
  <si>
    <t>Z568619</t>
  </si>
  <si>
    <t>NZE170R-4195067</t>
  </si>
  <si>
    <t>R18Z12953236</t>
  </si>
  <si>
    <t>NFBFC6661KR056649</t>
  </si>
  <si>
    <t>R18Z12953229</t>
  </si>
  <si>
    <t>NFBFC6665KR056654</t>
  </si>
  <si>
    <t>Z570201</t>
  </si>
  <si>
    <t>Z570551</t>
  </si>
  <si>
    <t>Z570572</t>
  </si>
  <si>
    <t>NZE170R-4195085</t>
  </si>
  <si>
    <t>NZE170R-4195613</t>
  </si>
  <si>
    <t>NZE170R-4195612</t>
  </si>
  <si>
    <t>R18Z12953375</t>
  </si>
  <si>
    <t>NFBFC6661KR056795</t>
  </si>
  <si>
    <t>R18Z12953610</t>
  </si>
  <si>
    <t>NFBFC6664KR057035</t>
  </si>
  <si>
    <t>R18Z12954109</t>
  </si>
  <si>
    <t>R18Z12953973</t>
  </si>
  <si>
    <t>NFBFC6665KR057447</t>
  </si>
  <si>
    <t>NFBFC6663KR057575</t>
  </si>
  <si>
    <t>G.Grey</t>
  </si>
  <si>
    <t>Z572102</t>
  </si>
  <si>
    <t>NZE170R-4197494</t>
  </si>
  <si>
    <t>Z570641</t>
  </si>
  <si>
    <t>NZE170R-4197479</t>
  </si>
  <si>
    <t>Z571275</t>
  </si>
  <si>
    <t>NZE170R-4197478</t>
  </si>
  <si>
    <t>Z572244</t>
  </si>
  <si>
    <t>NZE170R-4197636</t>
  </si>
  <si>
    <t>Z566588</t>
  </si>
  <si>
    <t>NZE170R-4192224</t>
  </si>
  <si>
    <t>2A02169</t>
  </si>
  <si>
    <t>NSP150R-7000699</t>
  </si>
  <si>
    <t>GREY</t>
  </si>
  <si>
    <t>2A15993</t>
  </si>
  <si>
    <t>NSP150R-7009451</t>
  </si>
  <si>
    <t>2A16083</t>
  </si>
  <si>
    <t>NSP150R-7009561</t>
  </si>
  <si>
    <t>2A18131</t>
  </si>
  <si>
    <t>NSP150R-7010723</t>
  </si>
  <si>
    <t>2A17998</t>
  </si>
  <si>
    <t>NSP150R-7010721</t>
  </si>
  <si>
    <t>R18Z12925192</t>
  </si>
  <si>
    <t>2A21980</t>
  </si>
  <si>
    <t>2A22042</t>
  </si>
  <si>
    <t>2A21851</t>
  </si>
  <si>
    <t>2A21954</t>
  </si>
  <si>
    <t>2A22051</t>
  </si>
  <si>
    <t>NSP150R-7012991</t>
  </si>
  <si>
    <t xml:space="preserve">NSP150R-7013051 </t>
  </si>
  <si>
    <t>NSP150R-7013091</t>
  </si>
  <si>
    <t xml:space="preserve">NSP150R-7013024 </t>
  </si>
  <si>
    <t xml:space="preserve">NSP150R-7012966 </t>
  </si>
  <si>
    <t>Days</t>
  </si>
  <si>
    <t>IGD5114093</t>
  </si>
  <si>
    <t>GUN126R-5551421</t>
  </si>
  <si>
    <t>IGD5114308</t>
  </si>
  <si>
    <t>GUN126R-5551517</t>
  </si>
  <si>
    <t>IGD5114316</t>
  </si>
  <si>
    <t>GUN126R-5551503</t>
  </si>
  <si>
    <t>IGD5114315</t>
  </si>
  <si>
    <t>GUN126R-5551343</t>
  </si>
  <si>
    <t>R18Z16931050</t>
  </si>
  <si>
    <t>NFBFC6668NR083643</t>
  </si>
  <si>
    <t>R18Z16931222</t>
  </si>
  <si>
    <t>NFBFC6666NR083804</t>
  </si>
  <si>
    <t>E321153</t>
  </si>
  <si>
    <t>RED</t>
  </si>
  <si>
    <t>2A57875</t>
  </si>
  <si>
    <t>2A57874</t>
  </si>
  <si>
    <t>2A57849</t>
  </si>
  <si>
    <t>NSP151R-9521221</t>
  </si>
  <si>
    <t>NSP151R-9521219</t>
  </si>
  <si>
    <t>NSP151R-9521209</t>
  </si>
  <si>
    <t>2A58840</t>
  </si>
  <si>
    <t>2A58843</t>
  </si>
  <si>
    <t>NSP150R-7037409</t>
  </si>
  <si>
    <t>NSP150R-7037410</t>
  </si>
  <si>
    <t>NFBFC6663KR056989</t>
  </si>
  <si>
    <t>NFBFC666XKR056990</t>
  </si>
  <si>
    <t>GH963691</t>
  </si>
  <si>
    <t>HONDA CIVIC i-VTEC ORIEL NAVIGATION</t>
  </si>
  <si>
    <t>HONDA CIVIC i-VTEC NAVIGATION</t>
  </si>
  <si>
    <t>HONDA CIVIC i-VTEC ORIEL</t>
  </si>
  <si>
    <t>Corolla GLI 138B MT</t>
  </si>
  <si>
    <t>Corolla GLI 178B MT</t>
  </si>
  <si>
    <t>HILUX VIGO CHAMP D/C MANUAL</t>
  </si>
  <si>
    <t>YARIS 662B 1.3 MT</t>
  </si>
  <si>
    <t>YARIS 662B 1.3 CVT</t>
  </si>
  <si>
    <t>YARIS 662B 1.3 HCVT</t>
  </si>
  <si>
    <t>REVO645B 4X4 G AT</t>
  </si>
  <si>
    <t>Corolla GLI 138B AUTO</t>
  </si>
  <si>
    <t>HONDA CIVIC i-VTEC ORIEL (NAV-SR)</t>
  </si>
  <si>
    <t>YARIS 662B ATIV X CVT (1.5)</t>
  </si>
  <si>
    <t>IGD5316814</t>
  </si>
  <si>
    <t>GUN126R-5559951</t>
  </si>
  <si>
    <t>MOTOR CYCLE CD 70</t>
  </si>
  <si>
    <t>AFX-518</t>
  </si>
  <si>
    <t>BPX -211</t>
  </si>
  <si>
    <t>BPX-212</t>
  </si>
  <si>
    <t>ANC-962</t>
  </si>
  <si>
    <t>ANC-958</t>
  </si>
  <si>
    <t>ANX-651</t>
  </si>
  <si>
    <t>ANX-653</t>
  </si>
  <si>
    <t>APS-641</t>
  </si>
  <si>
    <t>APS-642</t>
  </si>
  <si>
    <t>APT-751</t>
  </si>
  <si>
    <t>APT-752</t>
  </si>
  <si>
    <t>APG-636</t>
  </si>
  <si>
    <t>APG-676</t>
  </si>
  <si>
    <t>BQY-085</t>
  </si>
  <si>
    <t>BQY-086</t>
  </si>
  <si>
    <t>ACX-825</t>
  </si>
  <si>
    <t>ACX-824</t>
  </si>
  <si>
    <t>BHU-634</t>
  </si>
  <si>
    <t>BHU-635</t>
  </si>
  <si>
    <t>BHU-636</t>
  </si>
  <si>
    <t>BHU-637</t>
  </si>
  <si>
    <t>ADE-584</t>
  </si>
  <si>
    <t>AHC-791</t>
  </si>
  <si>
    <t>AHC-792</t>
  </si>
  <si>
    <t>AHC-793</t>
  </si>
  <si>
    <t>AHC-794</t>
  </si>
  <si>
    <t>AHC-795</t>
  </si>
  <si>
    <t>AHC-796</t>
  </si>
  <si>
    <t>BNE-306</t>
  </si>
  <si>
    <t>BNE-309</t>
  </si>
  <si>
    <t>AKA-431</t>
  </si>
  <si>
    <t>AKA-432</t>
  </si>
  <si>
    <t>AKA-433</t>
  </si>
  <si>
    <t>AKA-435</t>
  </si>
  <si>
    <t>BPU-439</t>
  </si>
  <si>
    <t>BPU-440</t>
  </si>
  <si>
    <t>BPU-441</t>
  </si>
  <si>
    <t>AMT-601</t>
  </si>
  <si>
    <t>AMT-602</t>
  </si>
  <si>
    <t>AMT-603</t>
  </si>
  <si>
    <t>AMT-604</t>
  </si>
  <si>
    <t>APA-641</t>
  </si>
  <si>
    <t>APA-642</t>
  </si>
  <si>
    <t>APA-643</t>
  </si>
  <si>
    <t>APA-644</t>
  </si>
  <si>
    <t>APA-645</t>
  </si>
  <si>
    <t>APC-406</t>
  </si>
  <si>
    <t>APC-408</t>
  </si>
  <si>
    <t>APC-409</t>
  </si>
  <si>
    <t>APC-417</t>
  </si>
  <si>
    <t>APC-419</t>
  </si>
  <si>
    <t>ANS-712</t>
  </si>
  <si>
    <t>ANS-774</t>
  </si>
  <si>
    <t>ANS-866</t>
  </si>
  <si>
    <t>ANS-932</t>
  </si>
  <si>
    <t>ANS-947</t>
  </si>
  <si>
    <t>APF-996</t>
  </si>
  <si>
    <t>APF-997</t>
  </si>
  <si>
    <t>APF-998</t>
  </si>
  <si>
    <t>APE-431</t>
  </si>
  <si>
    <t>BQV-126</t>
  </si>
  <si>
    <t>BQV-134</t>
  </si>
  <si>
    <t>BQV-135</t>
  </si>
  <si>
    <t>BQV-138</t>
  </si>
  <si>
    <t>BQV-139</t>
  </si>
  <si>
    <t>BQV-146</t>
  </si>
  <si>
    <t>APJ-547</t>
  </si>
  <si>
    <t>APK-602</t>
  </si>
  <si>
    <t>APK-603</t>
  </si>
  <si>
    <t>APK-604</t>
  </si>
  <si>
    <t>APV-915</t>
  </si>
  <si>
    <t>APV-916</t>
  </si>
  <si>
    <t>APV-917</t>
  </si>
  <si>
    <t>APV-918</t>
  </si>
  <si>
    <t>APV-919</t>
  </si>
  <si>
    <t>ZC-261</t>
  </si>
  <si>
    <t>ZA-563</t>
  </si>
  <si>
    <t>ARG-697</t>
  </si>
  <si>
    <t>ASG-951</t>
  </si>
  <si>
    <t>ASG-952</t>
  </si>
  <si>
    <t>ACP-443</t>
  </si>
  <si>
    <t>ACP-442</t>
  </si>
  <si>
    <t>BTG-220</t>
  </si>
  <si>
    <t>BTG-221</t>
  </si>
  <si>
    <t>BTG-224</t>
  </si>
  <si>
    <t>BTG-223</t>
  </si>
  <si>
    <t>BTG-225</t>
  </si>
  <si>
    <t>ALX-6971</t>
  </si>
  <si>
    <t>LB-0261</t>
  </si>
  <si>
    <t>LB-0262</t>
  </si>
  <si>
    <t>LB-0263</t>
  </si>
  <si>
    <t>LB-0327</t>
  </si>
  <si>
    <t>LD-0578</t>
  </si>
  <si>
    <t>BVR-336</t>
  </si>
  <si>
    <t>BVR-337</t>
  </si>
  <si>
    <t>ANK-633</t>
  </si>
  <si>
    <t>ANK-668</t>
  </si>
  <si>
    <t>ANE-144</t>
  </si>
  <si>
    <t>ANE-574</t>
  </si>
  <si>
    <t>ANJ-877</t>
  </si>
  <si>
    <t>Capital Car Rental Pvt Ltd</t>
  </si>
  <si>
    <t>Habib Bank Ltd</t>
  </si>
  <si>
    <t>Regn #</t>
  </si>
  <si>
    <t>3rd Quartar 92 Days</t>
  </si>
  <si>
    <t>Toyota Jhelum Motors Pvt Ltd</t>
  </si>
  <si>
    <t>FOR THE PERIOD 01 JAN 2024 - 31 DEC 2024 @1.65%</t>
  </si>
  <si>
    <t xml:space="preserve">CCR FLEET COMPREHENSIVELY INSURED FROM SALAAM TAKAFUL LTD </t>
  </si>
  <si>
    <t>2A65297</t>
  </si>
  <si>
    <t>NSP150R-7042922</t>
  </si>
  <si>
    <t>2A65298</t>
  </si>
  <si>
    <t>NSP150R-7042924</t>
  </si>
  <si>
    <t>2A65365</t>
  </si>
  <si>
    <t>NSP150R-7042982</t>
  </si>
  <si>
    <t>2A65305</t>
  </si>
  <si>
    <t>NSP150R-7042926</t>
  </si>
  <si>
    <t>2A65294</t>
  </si>
  <si>
    <t>NSP150R-7042938</t>
  </si>
  <si>
    <t>ARA-309</t>
  </si>
  <si>
    <t>ARA-361</t>
  </si>
  <si>
    <t>ARA-723</t>
  </si>
  <si>
    <t>ARA-731</t>
  </si>
  <si>
    <t>ARA-790</t>
  </si>
  <si>
    <t>Q107370</t>
  </si>
  <si>
    <t>ZRE171R-6084866</t>
  </si>
  <si>
    <t>ARH-544</t>
  </si>
  <si>
    <t>Annual Premium</t>
  </si>
  <si>
    <t>9Z04472</t>
  </si>
  <si>
    <t>ZVG10R-0903387</t>
  </si>
  <si>
    <t>CONVENTIONAL FLEET 3 QTR (JULY - SEPT 2024)</t>
  </si>
  <si>
    <t>APE-433</t>
  </si>
  <si>
    <t>ALTIS 1.6 CVT M22</t>
  </si>
  <si>
    <t>Corolla Cross 164/D/942W HV 1.8X 1799cc</t>
  </si>
  <si>
    <t>ASA-854</t>
  </si>
  <si>
    <t>2 Qtr payment</t>
  </si>
  <si>
    <t>SOLD OUT VEHICLES DETAIL</t>
  </si>
  <si>
    <t>KHI/HO/D/MO/PC TPP/P/82548/01/2024</t>
  </si>
  <si>
    <t>KHI/HO/D/MO/PC TPP/P/82549/01/2024</t>
  </si>
  <si>
    <t>KHI/HO/D/MO/PC TPP/P/82546/01/2024</t>
  </si>
  <si>
    <t>Policy #</t>
  </si>
  <si>
    <t>KHI/HO/D/MO/PC TPP/P/82550/01/2024</t>
  </si>
  <si>
    <t>KHI/HO/D/MO/PC TPP/P/86642/04/2024</t>
  </si>
  <si>
    <t>KHI/HO/D/MO/PC TPP/P/85556/03/2024</t>
  </si>
  <si>
    <t>KHI/HO/D/MO/PC TPP/P/82552/01/2024</t>
  </si>
  <si>
    <t>KHI/HO/D/MO/PC TPP/P/85423/03/2024</t>
  </si>
  <si>
    <t>KHI/HO/D/MO/PC TPP/P/82555/01/2024</t>
  </si>
  <si>
    <t xml:space="preserve"> </t>
  </si>
  <si>
    <t>-01-2024</t>
  </si>
  <si>
    <t>-03-2024</t>
  </si>
  <si>
    <t>-04-2024</t>
  </si>
  <si>
    <t xml:space="preserve">   </t>
  </si>
  <si>
    <t>FUNC_ASSORTED_STRING(IA.ASSORTED_CODE)</t>
  </si>
  <si>
    <t>ASSORTED_CODE</t>
  </si>
  <si>
    <t>KHI/HO/D/MO/MC COMP/P/82555/01/2024</t>
  </si>
  <si>
    <t>040000164240</t>
  </si>
  <si>
    <t>040000168478</t>
  </si>
  <si>
    <t>040000164223</t>
  </si>
  <si>
    <t>040000164227</t>
  </si>
  <si>
    <t>040000164229</t>
  </si>
  <si>
    <t>040000164226</t>
  </si>
  <si>
    <t>040000164225</t>
  </si>
  <si>
    <t>040000170253</t>
  </si>
  <si>
    <t>040000168665</t>
  </si>
  <si>
    <t>POLICY NO.</t>
  </si>
  <si>
    <t>Assorted_code</t>
  </si>
  <si>
    <t>Premium</t>
  </si>
  <si>
    <t>14Nov240007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</si>
</sst>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409]d\-mmm\-yy;@"/>
    <numFmt numFmtId="167" formatCode="_(* #,##0_);_(* \(#,##0\);_(* &quot;-&quot;??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9"/>
      <color rgb="FFC00000"/>
      <name val="Arial"/>
      <family val="2"/>
    </font>
    <font>
      <sz val="9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7">
    <xf numFmtId="0" fontId="0" fillId="0" borderId="0"/>
    <xf numFmtId="43" fontId="5" fillId="0" borderId="0" applyFont="0" applyFill="0" applyBorder="0" applyAlignment="0" applyProtection="0"/>
    <xf numFmtId="0" fontId="5" fillId="0" borderId="0"/>
    <xf numFmtId="0" fontId="13" fillId="0" borderId="0"/>
    <xf numFmtId="0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/>
    <xf numFmtId="0" fontId="3" fillId="0" borderId="0"/>
    <xf numFmtId="0" fontId="5" fillId="0" borderId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101">
    <xf numFmtId="0" fontId="0" fillId="0" borderId="0" xfId="0"/>
    <xf numFmtId="0" fontId="6" fillId="0" borderId="1" xfId="0" applyFont="1" applyBorder="1" applyAlignment="1">
      <alignment horizontal="left"/>
    </xf>
    <xf numFmtId="165" fontId="6" fillId="0" borderId="1" xfId="1" applyNumberFormat="1" applyFont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166" fontId="6" fillId="3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left"/>
    </xf>
    <xf numFmtId="166" fontId="6" fillId="3" borderId="1" xfId="0" applyNumberFormat="1" applyFont="1" applyFill="1" applyBorder="1"/>
    <xf numFmtId="0" fontId="6" fillId="3" borderId="4" xfId="0" applyFont="1" applyFill="1" applyBorder="1" applyAlignment="1">
      <alignment horizontal="left"/>
    </xf>
    <xf numFmtId="0" fontId="6" fillId="3" borderId="1" xfId="0" applyFont="1" applyFill="1" applyBorder="1" applyAlignment="1">
      <alignment vertical="center"/>
    </xf>
    <xf numFmtId="165" fontId="7" fillId="0" borderId="1" xfId="1" applyNumberFormat="1" applyFont="1" applyBorder="1" applyAlignment="1">
      <alignment horizontal="right"/>
    </xf>
    <xf numFmtId="0" fontId="8" fillId="3" borderId="1" xfId="0" applyFont="1" applyFill="1" applyBorder="1" applyAlignment="1">
      <alignment horizontal="left" vertical="center"/>
    </xf>
    <xf numFmtId="167" fontId="7" fillId="0" borderId="1" xfId="1" applyNumberFormat="1" applyFont="1" applyBorder="1" applyAlignment="1">
      <alignment horizontal="right"/>
    </xf>
    <xf numFmtId="165" fontId="7" fillId="3" borderId="1" xfId="1" applyNumberFormat="1" applyFont="1" applyFill="1" applyBorder="1" applyAlignment="1">
      <alignment horizontal="right"/>
    </xf>
    <xf numFmtId="167" fontId="7" fillId="3" borderId="1" xfId="10" applyNumberFormat="1" applyFont="1" applyFill="1" applyBorder="1" applyAlignment="1">
      <alignment horizontal="right"/>
    </xf>
    <xf numFmtId="167" fontId="7" fillId="3" borderId="1" xfId="1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6" fillId="2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167" fontId="7" fillId="3" borderId="1" xfId="1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3" fontId="8" fillId="3" borderId="1" xfId="0" applyNumberFormat="1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167" fontId="6" fillId="0" borderId="1" xfId="0" applyNumberFormat="1" applyFont="1" applyBorder="1"/>
    <xf numFmtId="167" fontId="15" fillId="3" borderId="5" xfId="1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9" fillId="3" borderId="0" xfId="0" applyFont="1" applyFill="1" applyAlignment="1">
      <alignment vertical="center" wrapText="1"/>
    </xf>
    <xf numFmtId="167" fontId="15" fillId="3" borderId="0" xfId="1" applyNumberFormat="1" applyFont="1" applyFill="1" applyBorder="1" applyAlignment="1">
      <alignment horizontal="righ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vertical="center" wrapText="1"/>
    </xf>
    <xf numFmtId="0" fontId="8" fillId="3" borderId="4" xfId="0" applyFont="1" applyFill="1" applyBorder="1" applyAlignment="1">
      <alignment horizontal="left" vertical="center"/>
    </xf>
    <xf numFmtId="167" fontId="7" fillId="4" borderId="1" xfId="9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17" fillId="4" borderId="1" xfId="0" applyFont="1" applyFill="1" applyBorder="1" applyAlignment="1">
      <alignment horizontal="left"/>
    </xf>
    <xf numFmtId="166" fontId="7" fillId="4" borderId="1" xfId="0" applyNumberFormat="1" applyFont="1" applyFill="1" applyBorder="1" applyAlignment="1">
      <alignment horizontal="right"/>
    </xf>
    <xf numFmtId="166" fontId="7" fillId="4" borderId="1" xfId="0" applyNumberFormat="1" applyFont="1" applyFill="1" applyBorder="1"/>
    <xf numFmtId="165" fontId="7" fillId="4" borderId="1" xfId="1" applyNumberFormat="1" applyFont="1" applyFill="1" applyBorder="1" applyAlignment="1">
      <alignment horizontal="right"/>
    </xf>
    <xf numFmtId="167" fontId="7" fillId="4" borderId="1" xfId="0" applyNumberFormat="1" applyFont="1" applyFill="1" applyBorder="1"/>
    <xf numFmtId="165" fontId="6" fillId="3" borderId="1" xfId="1" applyNumberFormat="1" applyFont="1" applyFill="1" applyBorder="1" applyAlignment="1">
      <alignment horizontal="right"/>
    </xf>
    <xf numFmtId="0" fontId="15" fillId="0" borderId="0" xfId="0" applyFont="1" applyAlignment="1">
      <alignment horizontal="center" vertical="top"/>
    </xf>
    <xf numFmtId="167" fontId="7" fillId="4" borderId="1" xfId="1" applyNumberFormat="1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166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/>
    <xf numFmtId="167" fontId="7" fillId="4" borderId="2" xfId="0" applyNumberFormat="1" applyFont="1" applyFill="1" applyBorder="1"/>
    <xf numFmtId="0" fontId="15" fillId="3" borderId="0" xfId="0" applyFont="1" applyFill="1" applyAlignment="1">
      <alignment horizontal="left" vertical="top"/>
    </xf>
    <xf numFmtId="165" fontId="7" fillId="0" borderId="1" xfId="1" applyNumberFormat="1" applyFont="1" applyBorder="1" applyAlignment="1">
      <alignment horizontal="center"/>
    </xf>
    <xf numFmtId="0" fontId="18" fillId="4" borderId="1" xfId="0" applyFont="1" applyFill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vertical="center"/>
    </xf>
    <xf numFmtId="0" fontId="6" fillId="0" borderId="2" xfId="0" applyFont="1" applyBorder="1" applyAlignment="1">
      <alignment horizontal="left"/>
    </xf>
    <xf numFmtId="167" fontId="7" fillId="3" borderId="2" xfId="10" applyNumberFormat="1" applyFont="1" applyFill="1" applyBorder="1" applyAlignment="1">
      <alignment horizontal="right"/>
    </xf>
    <xf numFmtId="166" fontId="6" fillId="3" borderId="2" xfId="0" applyNumberFormat="1" applyFont="1" applyFill="1" applyBorder="1" applyAlignment="1">
      <alignment horizontal="right"/>
    </xf>
    <xf numFmtId="166" fontId="6" fillId="3" borderId="2" xfId="0" applyNumberFormat="1" applyFont="1" applyFill="1" applyBorder="1"/>
    <xf numFmtId="165" fontId="6" fillId="0" borderId="2" xfId="1" applyNumberFormat="1" applyFont="1" applyBorder="1" applyAlignment="1">
      <alignment horizontal="right"/>
    </xf>
    <xf numFmtId="167" fontId="6" fillId="0" borderId="2" xfId="0" applyNumberFormat="1" applyFont="1" applyBorder="1"/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left" vertical="center"/>
    </xf>
    <xf numFmtId="0" fontId="10" fillId="3" borderId="18" xfId="0" applyFont="1" applyFill="1" applyBorder="1" applyAlignment="1">
      <alignment horizontal="right" vertical="center"/>
    </xf>
    <xf numFmtId="165" fontId="10" fillId="3" borderId="19" xfId="1" applyNumberFormat="1" applyFont="1" applyFill="1" applyBorder="1" applyAlignment="1">
      <alignment horizontal="center" wrapText="1"/>
    </xf>
    <xf numFmtId="165" fontId="10" fillId="3" borderId="6" xfId="1" applyNumberFormat="1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0" fontId="6" fillId="5" borderId="1" xfId="0" applyFont="1" applyFill="1" applyBorder="1"/>
    <xf numFmtId="0" fontId="16" fillId="4" borderId="6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11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5" fillId="0" borderId="13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5" fillId="0" borderId="16" xfId="0" applyFont="1" applyBorder="1" applyAlignment="1">
      <alignment horizontal="center" vertical="top"/>
    </xf>
    <xf numFmtId="0" fontId="20" fillId="0" borderId="0" xfId="0" applyFont="1"/>
    <xf numFmtId="0" fontId="19" fillId="0" borderId="1" xfId="0" applyFont="1" applyBorder="1" applyAlignment="1">
      <alignment horizontal="center"/>
    </xf>
    <xf numFmtId="0" fontId="19" fillId="0" borderId="1" xfId="0" applyFont="1" applyBorder="1"/>
    <xf numFmtId="0" fontId="21" fillId="0" borderId="0" xfId="0" applyFont="1"/>
    <xf numFmtId="0" fontId="0" fillId="0" borderId="0" xfId="0" applyAlignment="1">
      <alignment vertical="top"/>
    </xf>
    <xf numFmtId="167" fontId="22" fillId="0" borderId="0" xfId="1" applyNumberFormat="1" applyFont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wrapText="1"/>
    </xf>
  </cellXfs>
  <cellStyles count="37">
    <cellStyle name="Comma" xfId="1" builtinId="3"/>
    <cellStyle name="Comma 2" xfId="6" xr:uid="{00000000-0005-0000-0000-000001000000}"/>
    <cellStyle name="Comma 2 2" xfId="4" xr:uid="{00000000-0005-0000-0000-000002000000}"/>
    <cellStyle name="Comma 2 3" xfId="18" xr:uid="{00000000-0005-0000-0000-000003000000}"/>
    <cellStyle name="Comma 2 3 2" xfId="34" xr:uid="{00000000-0005-0000-0000-000004000000}"/>
    <cellStyle name="Comma 2 4" xfId="13" xr:uid="{00000000-0005-0000-0000-000005000000}"/>
    <cellStyle name="Comma 2 4 2" xfId="29" xr:uid="{00000000-0005-0000-0000-000006000000}"/>
    <cellStyle name="Comma 2 5" xfId="24" xr:uid="{00000000-0005-0000-0000-000007000000}"/>
    <cellStyle name="Comma 3" xfId="10" xr:uid="{00000000-0005-0000-0000-000008000000}"/>
    <cellStyle name="Comma 3 2" xfId="20" xr:uid="{00000000-0005-0000-0000-000009000000}"/>
    <cellStyle name="Comma 3 2 2" xfId="36" xr:uid="{00000000-0005-0000-0000-00000A000000}"/>
    <cellStyle name="Comma 3 3" xfId="26" xr:uid="{00000000-0005-0000-0000-00000B000000}"/>
    <cellStyle name="Comma 4" xfId="15" xr:uid="{00000000-0005-0000-0000-00000C000000}"/>
    <cellStyle name="Comma 4 2" xfId="31" xr:uid="{00000000-0005-0000-0000-00000D000000}"/>
    <cellStyle name="Comma 5" xfId="21" xr:uid="{00000000-0005-0000-0000-00000E000000}"/>
    <cellStyle name="Normal" xfId="0" builtinId="0"/>
    <cellStyle name="Normal 2" xfId="2" xr:uid="{00000000-0005-0000-0000-000010000000}"/>
    <cellStyle name="Normal 3" xfId="3" xr:uid="{00000000-0005-0000-0000-000011000000}"/>
    <cellStyle name="Normal 3 2" xfId="16" xr:uid="{00000000-0005-0000-0000-000012000000}"/>
    <cellStyle name="Normal 3 2 2" xfId="32" xr:uid="{00000000-0005-0000-0000-000013000000}"/>
    <cellStyle name="Normal 3 3" xfId="11" xr:uid="{00000000-0005-0000-0000-000014000000}"/>
    <cellStyle name="Normal 3 3 2" xfId="27" xr:uid="{00000000-0005-0000-0000-000015000000}"/>
    <cellStyle name="Normal 3 4" xfId="22" xr:uid="{00000000-0005-0000-0000-000016000000}"/>
    <cellStyle name="Normal 4" xfId="5" xr:uid="{00000000-0005-0000-0000-000017000000}"/>
    <cellStyle name="Normal 4 2" xfId="17" xr:uid="{00000000-0005-0000-0000-000018000000}"/>
    <cellStyle name="Normal 4 2 2" xfId="33" xr:uid="{00000000-0005-0000-0000-000019000000}"/>
    <cellStyle name="Normal 4 3" xfId="12" xr:uid="{00000000-0005-0000-0000-00001A000000}"/>
    <cellStyle name="Normal 4 3 2" xfId="28" xr:uid="{00000000-0005-0000-0000-00001B000000}"/>
    <cellStyle name="Normal 4 4" xfId="23" xr:uid="{00000000-0005-0000-0000-00001C000000}"/>
    <cellStyle name="Normal 5" xfId="7" xr:uid="{00000000-0005-0000-0000-00001D000000}"/>
    <cellStyle name="Normal 6" xfId="8" xr:uid="{00000000-0005-0000-0000-00001E000000}"/>
    <cellStyle name="Normal 6 2" xfId="19" xr:uid="{00000000-0005-0000-0000-00001F000000}"/>
    <cellStyle name="Normal 6 2 2" xfId="35" xr:uid="{00000000-0005-0000-0000-000020000000}"/>
    <cellStyle name="Normal 6 3" xfId="14" xr:uid="{00000000-0005-0000-0000-000021000000}"/>
    <cellStyle name="Normal 6 3 2" xfId="30" xr:uid="{00000000-0005-0000-0000-000022000000}"/>
    <cellStyle name="Normal 6 4" xfId="25" xr:uid="{00000000-0005-0000-0000-000023000000}"/>
    <cellStyle name="Normal 7" xfId="9" xr:uid="{00000000-0005-0000-0000-000024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</dxfs>
  <tableStyles count="0" defaultTableStyle="TableStyleMedium9" defaultPivotStyle="PivotStyleLight16"/>
  <colors>
    <mruColors>
      <color rgb="FFFF3300"/>
      <color rgb="FFFF0000"/>
      <color rgb="FF3333FF"/>
      <color rgb="FFFF00FF"/>
      <color rgb="FFCC33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9"/>
  <sheetViews>
    <sheetView tabSelected="1" workbookViewId="0">
      <pane ySplit="5" topLeftCell="A109" activePane="bottomLeft" state="frozen"/>
      <selection pane="bottomLeft" activeCell="V116" sqref="V116"/>
    </sheetView>
  </sheetViews>
  <sheetFormatPr defaultRowHeight="12.75" x14ac:dyDescent="0.2"/>
  <cols>
    <col min="1" max="1" width="3.5703125" bestFit="1" customWidth="1"/>
    <col min="2" max="2" width="25.42578125" hidden="1" customWidth="1"/>
    <col min="3" max="3" width="8.5703125" hidden="1" customWidth="1"/>
    <col min="4" max="4" width="11.5703125" hidden="1" customWidth="1"/>
    <col min="5" max="5" width="16.5703125" hidden="1" customWidth="1"/>
    <col min="6" max="6" width="8.5703125" hidden="1" customWidth="1"/>
    <col min="7" max="7" width="22.140625" hidden="1" customWidth="1"/>
    <col min="8" max="8" width="8.140625" hidden="1" customWidth="1"/>
    <col min="9" max="9" width="13" hidden="1" customWidth="1"/>
    <col min="10" max="10" width="5.42578125" hidden="1" customWidth="1"/>
    <col min="11" max="11" width="9.85546875" hidden="1" customWidth="1"/>
    <col min="12" max="12" width="8.42578125" hidden="1" customWidth="1"/>
    <col min="13" max="13" width="11.85546875" hidden="1" customWidth="1"/>
    <col min="14" max="14" width="10.85546875" bestFit="1" customWidth="1"/>
    <col min="15" max="15" width="27.85546875" bestFit="1" customWidth="1"/>
  </cols>
  <sheetData>
    <row r="1" spans="1:15" ht="13.5" thickBot="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5" x14ac:dyDescent="0.2">
      <c r="A2" s="83" t="s">
        <v>342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5"/>
    </row>
    <row r="3" spans="1:15" x14ac:dyDescent="0.2">
      <c r="A3" s="86" t="s">
        <v>341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8"/>
    </row>
    <row r="4" spans="1:15" ht="13.5" thickBot="1" x14ac:dyDescent="0.25">
      <c r="A4" s="89" t="s">
        <v>364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1"/>
    </row>
    <row r="5" spans="1:15" ht="27" customHeight="1" thickBot="1" x14ac:dyDescent="0.25">
      <c r="A5" s="71" t="s">
        <v>11</v>
      </c>
      <c r="B5" s="72" t="s">
        <v>0</v>
      </c>
      <c r="C5" s="72" t="s">
        <v>338</v>
      </c>
      <c r="D5" s="72" t="s">
        <v>1</v>
      </c>
      <c r="E5" s="72" t="s">
        <v>2</v>
      </c>
      <c r="F5" s="72" t="s">
        <v>3</v>
      </c>
      <c r="G5" s="72" t="s">
        <v>4</v>
      </c>
      <c r="H5" s="72" t="s">
        <v>5</v>
      </c>
      <c r="I5" s="73" t="s">
        <v>16</v>
      </c>
      <c r="J5" s="72" t="s">
        <v>192</v>
      </c>
      <c r="K5" s="72" t="s">
        <v>15</v>
      </c>
      <c r="L5" s="72" t="s">
        <v>14</v>
      </c>
      <c r="M5" s="74" t="s">
        <v>361</v>
      </c>
      <c r="N5" s="75" t="s">
        <v>339</v>
      </c>
      <c r="O5" s="76" t="s">
        <v>374</v>
      </c>
    </row>
    <row r="6" spans="1:15" x14ac:dyDescent="0.2">
      <c r="A6" s="62">
        <v>1</v>
      </c>
      <c r="B6" s="63" t="s">
        <v>221</v>
      </c>
      <c r="C6" s="63" t="s">
        <v>237</v>
      </c>
      <c r="D6" s="64" t="s">
        <v>75</v>
      </c>
      <c r="E6" s="64" t="s">
        <v>73</v>
      </c>
      <c r="F6" s="63" t="s">
        <v>7</v>
      </c>
      <c r="G6" s="65" t="s">
        <v>336</v>
      </c>
      <c r="H6" s="63">
        <v>2019</v>
      </c>
      <c r="I6" s="66">
        <v>3200000</v>
      </c>
      <c r="J6" s="65">
        <v>366</v>
      </c>
      <c r="K6" s="67">
        <v>45292</v>
      </c>
      <c r="L6" s="68">
        <v>45657</v>
      </c>
      <c r="M6" s="69">
        <f t="shared" ref="M6:M37" si="0">I6*1.65%</f>
        <v>52800</v>
      </c>
      <c r="N6" s="70">
        <v>13272.131147540984</v>
      </c>
      <c r="O6" s="77" t="s">
        <v>371</v>
      </c>
    </row>
    <row r="7" spans="1:15" x14ac:dyDescent="0.2">
      <c r="A7" s="8">
        <v>2</v>
      </c>
      <c r="B7" s="10" t="s">
        <v>221</v>
      </c>
      <c r="C7" s="10" t="s">
        <v>238</v>
      </c>
      <c r="D7" s="13" t="s">
        <v>76</v>
      </c>
      <c r="E7" s="13" t="s">
        <v>74</v>
      </c>
      <c r="F7" s="10" t="s">
        <v>7</v>
      </c>
      <c r="G7" s="1" t="s">
        <v>336</v>
      </c>
      <c r="H7" s="10">
        <v>2019</v>
      </c>
      <c r="I7" s="18">
        <v>3200000</v>
      </c>
      <c r="J7" s="1">
        <v>366</v>
      </c>
      <c r="K7" s="9">
        <v>45292</v>
      </c>
      <c r="L7" s="11">
        <v>45657</v>
      </c>
      <c r="M7" s="2">
        <f t="shared" si="0"/>
        <v>52800</v>
      </c>
      <c r="N7" s="37">
        <v>13272.131147540984</v>
      </c>
      <c r="O7" s="77" t="s">
        <v>371</v>
      </c>
    </row>
    <row r="8" spans="1:15" x14ac:dyDescent="0.2">
      <c r="A8" s="8">
        <v>3</v>
      </c>
      <c r="B8" s="10" t="s">
        <v>222</v>
      </c>
      <c r="C8" s="10" t="s">
        <v>239</v>
      </c>
      <c r="D8" s="13" t="s">
        <v>77</v>
      </c>
      <c r="E8" s="13" t="s">
        <v>78</v>
      </c>
      <c r="F8" s="10" t="s">
        <v>7</v>
      </c>
      <c r="G8" s="1" t="s">
        <v>336</v>
      </c>
      <c r="H8" s="10">
        <v>2019</v>
      </c>
      <c r="I8" s="18">
        <v>3200000</v>
      </c>
      <c r="J8" s="1">
        <v>366</v>
      </c>
      <c r="K8" s="9">
        <v>45292</v>
      </c>
      <c r="L8" s="11">
        <v>45657</v>
      </c>
      <c r="M8" s="2">
        <f t="shared" si="0"/>
        <v>52800</v>
      </c>
      <c r="N8" s="37">
        <v>13272.131147540984</v>
      </c>
      <c r="O8" s="77" t="s">
        <v>371</v>
      </c>
    </row>
    <row r="9" spans="1:15" x14ac:dyDescent="0.2">
      <c r="A9" s="8">
        <v>4</v>
      </c>
      <c r="B9" s="10" t="s">
        <v>222</v>
      </c>
      <c r="C9" s="10" t="s">
        <v>240</v>
      </c>
      <c r="D9" s="13" t="s">
        <v>79</v>
      </c>
      <c r="E9" s="13" t="s">
        <v>80</v>
      </c>
      <c r="F9" s="10" t="s">
        <v>7</v>
      </c>
      <c r="G9" s="1" t="s">
        <v>336</v>
      </c>
      <c r="H9" s="10">
        <v>2019</v>
      </c>
      <c r="I9" s="18">
        <v>3200000</v>
      </c>
      <c r="J9" s="1">
        <v>366</v>
      </c>
      <c r="K9" s="9">
        <v>45292</v>
      </c>
      <c r="L9" s="11">
        <v>45657</v>
      </c>
      <c r="M9" s="2">
        <f t="shared" si="0"/>
        <v>52800</v>
      </c>
      <c r="N9" s="37">
        <v>13272.131147540984</v>
      </c>
      <c r="O9" s="77" t="s">
        <v>371</v>
      </c>
    </row>
    <row r="10" spans="1:15" x14ac:dyDescent="0.2">
      <c r="A10" s="8">
        <v>5</v>
      </c>
      <c r="B10" s="10" t="s">
        <v>222</v>
      </c>
      <c r="C10" s="10" t="s">
        <v>241</v>
      </c>
      <c r="D10" s="13" t="s">
        <v>82</v>
      </c>
      <c r="E10" s="13" t="s">
        <v>218</v>
      </c>
      <c r="F10" s="10" t="s">
        <v>7</v>
      </c>
      <c r="G10" s="1" t="s">
        <v>336</v>
      </c>
      <c r="H10" s="10">
        <v>2019</v>
      </c>
      <c r="I10" s="18">
        <v>3200000</v>
      </c>
      <c r="J10" s="1">
        <v>366</v>
      </c>
      <c r="K10" s="9">
        <v>45292</v>
      </c>
      <c r="L10" s="11">
        <v>45657</v>
      </c>
      <c r="M10" s="2">
        <f t="shared" si="0"/>
        <v>52800</v>
      </c>
      <c r="N10" s="37">
        <v>13272.131147540984</v>
      </c>
      <c r="O10" s="77" t="s">
        <v>371</v>
      </c>
    </row>
    <row r="11" spans="1:15" x14ac:dyDescent="0.2">
      <c r="A11" s="8">
        <v>6</v>
      </c>
      <c r="B11" s="10" t="s">
        <v>222</v>
      </c>
      <c r="C11" s="10" t="s">
        <v>242</v>
      </c>
      <c r="D11" s="13" t="s">
        <v>81</v>
      </c>
      <c r="E11" s="13" t="s">
        <v>217</v>
      </c>
      <c r="F11" s="10" t="s">
        <v>7</v>
      </c>
      <c r="G11" s="1" t="s">
        <v>336</v>
      </c>
      <c r="H11" s="10">
        <v>2019</v>
      </c>
      <c r="I11" s="18">
        <v>3200000</v>
      </c>
      <c r="J11" s="1">
        <v>366</v>
      </c>
      <c r="K11" s="9">
        <v>45292</v>
      </c>
      <c r="L11" s="11">
        <v>45657</v>
      </c>
      <c r="M11" s="2">
        <f t="shared" si="0"/>
        <v>52800</v>
      </c>
      <c r="N11" s="37">
        <v>13272.131147540984</v>
      </c>
      <c r="O11" s="77" t="s">
        <v>371</v>
      </c>
    </row>
    <row r="12" spans="1:15" x14ac:dyDescent="0.2">
      <c r="A12" s="8">
        <v>7</v>
      </c>
      <c r="B12" s="10" t="s">
        <v>222</v>
      </c>
      <c r="C12" s="10" t="s">
        <v>243</v>
      </c>
      <c r="D12" s="13" t="s">
        <v>151</v>
      </c>
      <c r="E12" s="13" t="s">
        <v>152</v>
      </c>
      <c r="F12" s="10" t="s">
        <v>7</v>
      </c>
      <c r="G12" s="1" t="s">
        <v>336</v>
      </c>
      <c r="H12" s="10">
        <v>2019</v>
      </c>
      <c r="I12" s="18">
        <v>3200000</v>
      </c>
      <c r="J12" s="1">
        <v>366</v>
      </c>
      <c r="K12" s="9">
        <v>45292</v>
      </c>
      <c r="L12" s="11">
        <v>45657</v>
      </c>
      <c r="M12" s="2">
        <f t="shared" si="0"/>
        <v>52800</v>
      </c>
      <c r="N12" s="37">
        <v>13272.131147540984</v>
      </c>
      <c r="O12" s="77" t="s">
        <v>371</v>
      </c>
    </row>
    <row r="13" spans="1:15" x14ac:dyDescent="0.2">
      <c r="A13" s="8">
        <v>8</v>
      </c>
      <c r="B13" s="10" t="s">
        <v>222</v>
      </c>
      <c r="C13" s="10" t="s">
        <v>244</v>
      </c>
      <c r="D13" s="13" t="s">
        <v>153</v>
      </c>
      <c r="E13" s="13" t="s">
        <v>154</v>
      </c>
      <c r="F13" s="10" t="s">
        <v>7</v>
      </c>
      <c r="G13" s="1" t="s">
        <v>336</v>
      </c>
      <c r="H13" s="10">
        <v>2019</v>
      </c>
      <c r="I13" s="18">
        <v>3200000</v>
      </c>
      <c r="J13" s="1">
        <v>366</v>
      </c>
      <c r="K13" s="9">
        <v>45292</v>
      </c>
      <c r="L13" s="11">
        <v>45657</v>
      </c>
      <c r="M13" s="2">
        <f t="shared" si="0"/>
        <v>52800</v>
      </c>
      <c r="N13" s="37">
        <v>13272.131147540984</v>
      </c>
      <c r="O13" s="77" t="s">
        <v>371</v>
      </c>
    </row>
    <row r="14" spans="1:15" x14ac:dyDescent="0.2">
      <c r="A14" s="8">
        <v>9</v>
      </c>
      <c r="B14" s="10" t="s">
        <v>222</v>
      </c>
      <c r="C14" s="10" t="s">
        <v>245</v>
      </c>
      <c r="D14" s="13" t="s">
        <v>156</v>
      </c>
      <c r="E14" s="13" t="s">
        <v>157</v>
      </c>
      <c r="F14" s="10" t="s">
        <v>7</v>
      </c>
      <c r="G14" s="1" t="s">
        <v>336</v>
      </c>
      <c r="H14" s="10">
        <v>2019</v>
      </c>
      <c r="I14" s="18">
        <v>3200000</v>
      </c>
      <c r="J14" s="1">
        <v>366</v>
      </c>
      <c r="K14" s="9">
        <v>45292</v>
      </c>
      <c r="L14" s="11">
        <v>45657</v>
      </c>
      <c r="M14" s="2">
        <f t="shared" si="0"/>
        <v>52800</v>
      </c>
      <c r="N14" s="37">
        <v>13272.131147540984</v>
      </c>
      <c r="O14" s="77" t="s">
        <v>371</v>
      </c>
    </row>
    <row r="15" spans="1:15" x14ac:dyDescent="0.2">
      <c r="A15" s="8">
        <v>10</v>
      </c>
      <c r="B15" s="10" t="s">
        <v>222</v>
      </c>
      <c r="C15" s="10" t="s">
        <v>246</v>
      </c>
      <c r="D15" s="13" t="s">
        <v>155</v>
      </c>
      <c r="E15" s="13" t="s">
        <v>158</v>
      </c>
      <c r="F15" s="10" t="s">
        <v>7</v>
      </c>
      <c r="G15" s="1" t="s">
        <v>336</v>
      </c>
      <c r="H15" s="10">
        <v>2019</v>
      </c>
      <c r="I15" s="18">
        <v>3200000</v>
      </c>
      <c r="J15" s="1">
        <v>366</v>
      </c>
      <c r="K15" s="9">
        <v>45292</v>
      </c>
      <c r="L15" s="11">
        <v>45657</v>
      </c>
      <c r="M15" s="2">
        <f t="shared" si="0"/>
        <v>52800</v>
      </c>
      <c r="N15" s="37">
        <v>13272.131147540984</v>
      </c>
      <c r="O15" s="77" t="s">
        <v>371</v>
      </c>
    </row>
    <row r="16" spans="1:15" x14ac:dyDescent="0.2">
      <c r="A16" s="8">
        <v>11</v>
      </c>
      <c r="B16" s="10" t="s">
        <v>222</v>
      </c>
      <c r="C16" s="5" t="s">
        <v>247</v>
      </c>
      <c r="D16" s="13" t="s">
        <v>135</v>
      </c>
      <c r="E16" s="13" t="s">
        <v>137</v>
      </c>
      <c r="F16" s="10" t="s">
        <v>7</v>
      </c>
      <c r="G16" s="1" t="s">
        <v>336</v>
      </c>
      <c r="H16" s="10">
        <v>2019</v>
      </c>
      <c r="I16" s="18">
        <v>3200000</v>
      </c>
      <c r="J16" s="1">
        <v>366</v>
      </c>
      <c r="K16" s="9">
        <v>45292</v>
      </c>
      <c r="L16" s="11">
        <v>45657</v>
      </c>
      <c r="M16" s="2">
        <f t="shared" si="0"/>
        <v>52800</v>
      </c>
      <c r="N16" s="37">
        <v>13272.131147540984</v>
      </c>
      <c r="O16" s="77" t="s">
        <v>372</v>
      </c>
    </row>
    <row r="17" spans="1:15" x14ac:dyDescent="0.2">
      <c r="A17" s="8">
        <v>12</v>
      </c>
      <c r="B17" s="10" t="s">
        <v>222</v>
      </c>
      <c r="C17" s="5" t="s">
        <v>248</v>
      </c>
      <c r="D17" s="13" t="s">
        <v>136</v>
      </c>
      <c r="E17" s="13" t="s">
        <v>138</v>
      </c>
      <c r="F17" s="10" t="s">
        <v>7</v>
      </c>
      <c r="G17" s="1" t="s">
        <v>336</v>
      </c>
      <c r="H17" s="10">
        <v>2019</v>
      </c>
      <c r="I17" s="18">
        <v>3200000</v>
      </c>
      <c r="J17" s="1">
        <v>366</v>
      </c>
      <c r="K17" s="9">
        <v>45292</v>
      </c>
      <c r="L17" s="11">
        <v>45657</v>
      </c>
      <c r="M17" s="2">
        <f t="shared" si="0"/>
        <v>52800</v>
      </c>
      <c r="N17" s="37">
        <v>13272.131147540984</v>
      </c>
      <c r="O17" s="77" t="s">
        <v>372</v>
      </c>
    </row>
    <row r="18" spans="1:15" x14ac:dyDescent="0.2">
      <c r="A18" s="8">
        <v>13</v>
      </c>
      <c r="B18" s="10" t="s">
        <v>222</v>
      </c>
      <c r="C18" s="5" t="s">
        <v>249</v>
      </c>
      <c r="D18" s="13" t="s">
        <v>141</v>
      </c>
      <c r="E18" s="13" t="s">
        <v>142</v>
      </c>
      <c r="F18" s="10" t="s">
        <v>7</v>
      </c>
      <c r="G18" s="1" t="s">
        <v>336</v>
      </c>
      <c r="H18" s="10">
        <v>2019</v>
      </c>
      <c r="I18" s="18">
        <v>3200000</v>
      </c>
      <c r="J18" s="1">
        <v>366</v>
      </c>
      <c r="K18" s="9">
        <v>45292</v>
      </c>
      <c r="L18" s="11">
        <v>45657</v>
      </c>
      <c r="M18" s="2">
        <f t="shared" si="0"/>
        <v>52800</v>
      </c>
      <c r="N18" s="37">
        <v>13272.131147540984</v>
      </c>
      <c r="O18" s="77" t="s">
        <v>372</v>
      </c>
    </row>
    <row r="19" spans="1:15" x14ac:dyDescent="0.2">
      <c r="A19" s="8">
        <v>14</v>
      </c>
      <c r="B19" s="10" t="s">
        <v>222</v>
      </c>
      <c r="C19" s="5" t="s">
        <v>250</v>
      </c>
      <c r="D19" s="13" t="s">
        <v>143</v>
      </c>
      <c r="E19" s="13" t="s">
        <v>144</v>
      </c>
      <c r="F19" s="10" t="s">
        <v>7</v>
      </c>
      <c r="G19" s="1" t="s">
        <v>336</v>
      </c>
      <c r="H19" s="10">
        <v>2019</v>
      </c>
      <c r="I19" s="18">
        <v>3200000</v>
      </c>
      <c r="J19" s="1">
        <v>366</v>
      </c>
      <c r="K19" s="9">
        <v>45292</v>
      </c>
      <c r="L19" s="11">
        <v>45657</v>
      </c>
      <c r="M19" s="2">
        <f t="shared" si="0"/>
        <v>52800</v>
      </c>
      <c r="N19" s="37">
        <v>13272.131147540984</v>
      </c>
      <c r="O19" s="77" t="s">
        <v>372</v>
      </c>
    </row>
    <row r="20" spans="1:15" x14ac:dyDescent="0.2">
      <c r="A20" s="8">
        <v>15</v>
      </c>
      <c r="B20" s="10" t="s">
        <v>223</v>
      </c>
      <c r="C20" s="5" t="s">
        <v>252</v>
      </c>
      <c r="D20" s="22" t="s">
        <v>17</v>
      </c>
      <c r="E20" s="10" t="s">
        <v>18</v>
      </c>
      <c r="F20" s="10" t="s">
        <v>7</v>
      </c>
      <c r="G20" s="10" t="s">
        <v>336</v>
      </c>
      <c r="H20" s="10">
        <v>2017</v>
      </c>
      <c r="I20" s="19">
        <v>2300000</v>
      </c>
      <c r="J20" s="10">
        <v>366</v>
      </c>
      <c r="K20" s="9">
        <v>45292</v>
      </c>
      <c r="L20" s="11">
        <v>45657</v>
      </c>
      <c r="M20" s="52">
        <f t="shared" si="0"/>
        <v>37950</v>
      </c>
      <c r="N20" s="37">
        <v>9539.3442622950824</v>
      </c>
      <c r="O20" s="78" t="s">
        <v>373</v>
      </c>
    </row>
    <row r="21" spans="1:15" x14ac:dyDescent="0.2">
      <c r="A21" s="8">
        <v>16</v>
      </c>
      <c r="B21" s="10" t="s">
        <v>223</v>
      </c>
      <c r="C21" s="5" t="s">
        <v>254</v>
      </c>
      <c r="D21" s="6" t="s">
        <v>23</v>
      </c>
      <c r="E21" s="1" t="s">
        <v>24</v>
      </c>
      <c r="F21" s="1" t="s">
        <v>7</v>
      </c>
      <c r="G21" s="1" t="s">
        <v>336</v>
      </c>
      <c r="H21" s="1">
        <v>2017</v>
      </c>
      <c r="I21" s="16">
        <v>2300000</v>
      </c>
      <c r="J21" s="1">
        <v>366</v>
      </c>
      <c r="K21" s="9">
        <v>45292</v>
      </c>
      <c r="L21" s="11">
        <v>45657</v>
      </c>
      <c r="M21" s="2">
        <f t="shared" si="0"/>
        <v>37950</v>
      </c>
      <c r="N21" s="37">
        <v>9539.3442622950824</v>
      </c>
      <c r="O21" s="77" t="s">
        <v>373</v>
      </c>
    </row>
    <row r="22" spans="1:15" x14ac:dyDescent="0.2">
      <c r="A22" s="8">
        <v>17</v>
      </c>
      <c r="B22" s="10" t="s">
        <v>223</v>
      </c>
      <c r="C22" s="5" t="s">
        <v>255</v>
      </c>
      <c r="D22" s="6" t="s">
        <v>21</v>
      </c>
      <c r="E22" s="1" t="s">
        <v>22</v>
      </c>
      <c r="F22" s="1" t="s">
        <v>7</v>
      </c>
      <c r="G22" s="1" t="s">
        <v>336</v>
      </c>
      <c r="H22" s="1">
        <v>2017</v>
      </c>
      <c r="I22" s="16">
        <v>2300000</v>
      </c>
      <c r="J22" s="1">
        <v>366</v>
      </c>
      <c r="K22" s="9">
        <v>45292</v>
      </c>
      <c r="L22" s="11">
        <v>45657</v>
      </c>
      <c r="M22" s="2">
        <f t="shared" si="0"/>
        <v>37950</v>
      </c>
      <c r="N22" s="37">
        <v>9539.3442622950824</v>
      </c>
      <c r="O22" s="77" t="s">
        <v>373</v>
      </c>
    </row>
    <row r="23" spans="1:15" x14ac:dyDescent="0.2">
      <c r="A23" s="8">
        <v>18</v>
      </c>
      <c r="B23" s="10" t="s">
        <v>223</v>
      </c>
      <c r="C23" s="5" t="s">
        <v>256</v>
      </c>
      <c r="D23" s="6" t="s">
        <v>28</v>
      </c>
      <c r="E23" s="1" t="s">
        <v>27</v>
      </c>
      <c r="F23" s="1" t="s">
        <v>7</v>
      </c>
      <c r="G23" s="1" t="s">
        <v>336</v>
      </c>
      <c r="H23" s="1">
        <v>2017</v>
      </c>
      <c r="I23" s="16">
        <v>2300000</v>
      </c>
      <c r="J23" s="1">
        <v>366</v>
      </c>
      <c r="K23" s="9">
        <v>45292</v>
      </c>
      <c r="L23" s="11">
        <v>45657</v>
      </c>
      <c r="M23" s="2">
        <f t="shared" si="0"/>
        <v>37950</v>
      </c>
      <c r="N23" s="37">
        <v>9539.3442622950824</v>
      </c>
      <c r="O23" s="77" t="s">
        <v>373</v>
      </c>
    </row>
    <row r="24" spans="1:15" x14ac:dyDescent="0.2">
      <c r="A24" s="8">
        <v>19</v>
      </c>
      <c r="B24" s="10" t="s">
        <v>223</v>
      </c>
      <c r="C24" s="5" t="s">
        <v>257</v>
      </c>
      <c r="D24" s="6" t="s">
        <v>29</v>
      </c>
      <c r="E24" s="1" t="s">
        <v>30</v>
      </c>
      <c r="F24" s="1" t="s">
        <v>7</v>
      </c>
      <c r="G24" s="1" t="s">
        <v>336</v>
      </c>
      <c r="H24" s="1">
        <v>2017</v>
      </c>
      <c r="I24" s="16">
        <v>2300000</v>
      </c>
      <c r="J24" s="1">
        <v>366</v>
      </c>
      <c r="K24" s="9">
        <v>45292</v>
      </c>
      <c r="L24" s="11">
        <v>45657</v>
      </c>
      <c r="M24" s="2">
        <f t="shared" si="0"/>
        <v>37950</v>
      </c>
      <c r="N24" s="37">
        <v>9539.3442622950824</v>
      </c>
      <c r="O24" s="77" t="s">
        <v>373</v>
      </c>
    </row>
    <row r="25" spans="1:15" x14ac:dyDescent="0.2">
      <c r="A25" s="8">
        <v>20</v>
      </c>
      <c r="B25" s="10" t="s">
        <v>224</v>
      </c>
      <c r="C25" s="5" t="s">
        <v>258</v>
      </c>
      <c r="D25" s="7" t="s">
        <v>32</v>
      </c>
      <c r="E25" s="4" t="s">
        <v>38</v>
      </c>
      <c r="F25" s="1" t="s">
        <v>7</v>
      </c>
      <c r="G25" s="1" t="s">
        <v>336</v>
      </c>
      <c r="H25" s="1">
        <v>2018</v>
      </c>
      <c r="I25" s="18">
        <v>2600000</v>
      </c>
      <c r="J25" s="1">
        <v>366</v>
      </c>
      <c r="K25" s="9">
        <v>45292</v>
      </c>
      <c r="L25" s="11">
        <v>45657</v>
      </c>
      <c r="M25" s="2">
        <f t="shared" si="0"/>
        <v>42900</v>
      </c>
      <c r="N25" s="37">
        <v>10783.606557377048</v>
      </c>
      <c r="O25" s="77" t="s">
        <v>373</v>
      </c>
    </row>
    <row r="26" spans="1:15" x14ac:dyDescent="0.2">
      <c r="A26" s="8">
        <v>21</v>
      </c>
      <c r="B26" s="10" t="s">
        <v>224</v>
      </c>
      <c r="C26" s="5" t="s">
        <v>259</v>
      </c>
      <c r="D26" s="7" t="s">
        <v>35</v>
      </c>
      <c r="E26" s="4" t="s">
        <v>41</v>
      </c>
      <c r="F26" s="1" t="s">
        <v>7</v>
      </c>
      <c r="G26" s="1" t="s">
        <v>336</v>
      </c>
      <c r="H26" s="1">
        <v>2018</v>
      </c>
      <c r="I26" s="18">
        <v>2600000</v>
      </c>
      <c r="J26" s="1">
        <v>366</v>
      </c>
      <c r="K26" s="9">
        <v>45292</v>
      </c>
      <c r="L26" s="11">
        <v>45657</v>
      </c>
      <c r="M26" s="2">
        <f t="shared" si="0"/>
        <v>42900</v>
      </c>
      <c r="N26" s="37">
        <v>10783.606557377048</v>
      </c>
      <c r="O26" s="77" t="s">
        <v>373</v>
      </c>
    </row>
    <row r="27" spans="1:15" x14ac:dyDescent="0.2">
      <c r="A27" s="8">
        <v>22</v>
      </c>
      <c r="B27" s="10" t="s">
        <v>224</v>
      </c>
      <c r="C27" s="5" t="s">
        <v>260</v>
      </c>
      <c r="D27" s="7" t="s">
        <v>33</v>
      </c>
      <c r="E27" s="4" t="s">
        <v>39</v>
      </c>
      <c r="F27" s="1" t="s">
        <v>7</v>
      </c>
      <c r="G27" s="1" t="s">
        <v>336</v>
      </c>
      <c r="H27" s="1">
        <v>2018</v>
      </c>
      <c r="I27" s="18">
        <v>2600000</v>
      </c>
      <c r="J27" s="1">
        <v>366</v>
      </c>
      <c r="K27" s="9">
        <v>45292</v>
      </c>
      <c r="L27" s="11">
        <v>45657</v>
      </c>
      <c r="M27" s="2">
        <f t="shared" si="0"/>
        <v>42900</v>
      </c>
      <c r="N27" s="37">
        <v>10783.606557377048</v>
      </c>
      <c r="O27" s="77" t="s">
        <v>373</v>
      </c>
    </row>
    <row r="28" spans="1:15" x14ac:dyDescent="0.2">
      <c r="A28" s="8">
        <v>23</v>
      </c>
      <c r="B28" s="10" t="s">
        <v>224</v>
      </c>
      <c r="C28" s="5" t="s">
        <v>261</v>
      </c>
      <c r="D28" s="7" t="s">
        <v>34</v>
      </c>
      <c r="E28" s="4" t="s">
        <v>40</v>
      </c>
      <c r="F28" s="1" t="s">
        <v>7</v>
      </c>
      <c r="G28" s="1" t="s">
        <v>336</v>
      </c>
      <c r="H28" s="1">
        <v>2018</v>
      </c>
      <c r="I28" s="18">
        <v>2600000</v>
      </c>
      <c r="J28" s="1">
        <v>366</v>
      </c>
      <c r="K28" s="9">
        <v>45292</v>
      </c>
      <c r="L28" s="11">
        <v>45657</v>
      </c>
      <c r="M28" s="2">
        <f t="shared" si="0"/>
        <v>42900</v>
      </c>
      <c r="N28" s="37">
        <v>10783.606557377048</v>
      </c>
      <c r="O28" s="77" t="s">
        <v>373</v>
      </c>
    </row>
    <row r="29" spans="1:15" x14ac:dyDescent="0.2">
      <c r="A29" s="8">
        <v>24</v>
      </c>
      <c r="B29" s="10" t="s">
        <v>224</v>
      </c>
      <c r="C29" s="5" t="s">
        <v>262</v>
      </c>
      <c r="D29" s="7" t="s">
        <v>37</v>
      </c>
      <c r="E29" s="4" t="s">
        <v>43</v>
      </c>
      <c r="F29" s="1" t="s">
        <v>7</v>
      </c>
      <c r="G29" s="1" t="s">
        <v>336</v>
      </c>
      <c r="H29" s="1">
        <v>2018</v>
      </c>
      <c r="I29" s="18">
        <v>2600000</v>
      </c>
      <c r="J29" s="1">
        <v>366</v>
      </c>
      <c r="K29" s="9">
        <v>45292</v>
      </c>
      <c r="L29" s="11">
        <v>45657</v>
      </c>
      <c r="M29" s="2">
        <f t="shared" si="0"/>
        <v>42900</v>
      </c>
      <c r="N29" s="37">
        <v>10783.606557377048</v>
      </c>
      <c r="O29" s="77" t="s">
        <v>373</v>
      </c>
    </row>
    <row r="30" spans="1:15" x14ac:dyDescent="0.2">
      <c r="A30" s="8">
        <v>25</v>
      </c>
      <c r="B30" s="10" t="s">
        <v>224</v>
      </c>
      <c r="C30" s="5" t="s">
        <v>263</v>
      </c>
      <c r="D30" s="7" t="s">
        <v>36</v>
      </c>
      <c r="E30" s="4" t="s">
        <v>42</v>
      </c>
      <c r="F30" s="1" t="s">
        <v>7</v>
      </c>
      <c r="G30" s="1" t="s">
        <v>336</v>
      </c>
      <c r="H30" s="1">
        <v>2018</v>
      </c>
      <c r="I30" s="18">
        <v>2600000</v>
      </c>
      <c r="J30" s="1">
        <v>366</v>
      </c>
      <c r="K30" s="9">
        <v>45292</v>
      </c>
      <c r="L30" s="11">
        <v>45657</v>
      </c>
      <c r="M30" s="2">
        <f t="shared" si="0"/>
        <v>42900</v>
      </c>
      <c r="N30" s="37">
        <v>10783.606557377048</v>
      </c>
      <c r="O30" s="77" t="s">
        <v>373</v>
      </c>
    </row>
    <row r="31" spans="1:15" x14ac:dyDescent="0.2">
      <c r="A31" s="8">
        <v>26</v>
      </c>
      <c r="B31" s="10" t="s">
        <v>224</v>
      </c>
      <c r="C31" s="5" t="s">
        <v>264</v>
      </c>
      <c r="D31" s="7" t="s">
        <v>44</v>
      </c>
      <c r="E31" s="4" t="s">
        <v>50</v>
      </c>
      <c r="F31" s="1" t="s">
        <v>7</v>
      </c>
      <c r="G31" s="1" t="s">
        <v>336</v>
      </c>
      <c r="H31" s="1">
        <v>2018</v>
      </c>
      <c r="I31" s="18">
        <v>2600000</v>
      </c>
      <c r="J31" s="1">
        <v>366</v>
      </c>
      <c r="K31" s="9">
        <v>45292</v>
      </c>
      <c r="L31" s="11">
        <v>45657</v>
      </c>
      <c r="M31" s="2">
        <f t="shared" si="0"/>
        <v>42900</v>
      </c>
      <c r="N31" s="37">
        <v>10783.606557377048</v>
      </c>
      <c r="O31" s="77" t="s">
        <v>373</v>
      </c>
    </row>
    <row r="32" spans="1:15" x14ac:dyDescent="0.2">
      <c r="A32" s="8">
        <v>27</v>
      </c>
      <c r="B32" s="10" t="s">
        <v>224</v>
      </c>
      <c r="C32" s="5" t="s">
        <v>265</v>
      </c>
      <c r="D32" s="7" t="s">
        <v>45</v>
      </c>
      <c r="E32" s="4" t="s">
        <v>51</v>
      </c>
      <c r="F32" s="1" t="s">
        <v>7</v>
      </c>
      <c r="G32" s="1" t="s">
        <v>336</v>
      </c>
      <c r="H32" s="1">
        <v>2018</v>
      </c>
      <c r="I32" s="18">
        <v>2600000</v>
      </c>
      <c r="J32" s="1">
        <v>366</v>
      </c>
      <c r="K32" s="9">
        <v>45292</v>
      </c>
      <c r="L32" s="11">
        <v>45657</v>
      </c>
      <c r="M32" s="2">
        <f t="shared" si="0"/>
        <v>42900</v>
      </c>
      <c r="N32" s="37">
        <v>10783.606557377048</v>
      </c>
      <c r="O32" s="77" t="s">
        <v>373</v>
      </c>
    </row>
    <row r="33" spans="1:15" x14ac:dyDescent="0.2">
      <c r="A33" s="8">
        <v>28</v>
      </c>
      <c r="B33" s="10" t="s">
        <v>224</v>
      </c>
      <c r="C33" s="5" t="s">
        <v>266</v>
      </c>
      <c r="D33" s="7" t="s">
        <v>48</v>
      </c>
      <c r="E33" s="4" t="s">
        <v>54</v>
      </c>
      <c r="F33" s="1" t="s">
        <v>7</v>
      </c>
      <c r="G33" s="1" t="s">
        <v>336</v>
      </c>
      <c r="H33" s="1">
        <v>2018</v>
      </c>
      <c r="I33" s="18">
        <v>2600000</v>
      </c>
      <c r="J33" s="1">
        <v>366</v>
      </c>
      <c r="K33" s="9">
        <v>45292</v>
      </c>
      <c r="L33" s="11">
        <v>45657</v>
      </c>
      <c r="M33" s="2">
        <f t="shared" si="0"/>
        <v>42900</v>
      </c>
      <c r="N33" s="37">
        <v>10783.606557377048</v>
      </c>
      <c r="O33" s="77" t="s">
        <v>373</v>
      </c>
    </row>
    <row r="34" spans="1:15" x14ac:dyDescent="0.2">
      <c r="A34" s="8">
        <v>29</v>
      </c>
      <c r="B34" s="10" t="s">
        <v>224</v>
      </c>
      <c r="C34" s="5" t="s">
        <v>267</v>
      </c>
      <c r="D34" s="6" t="s">
        <v>47</v>
      </c>
      <c r="E34" s="1" t="s">
        <v>53</v>
      </c>
      <c r="F34" s="1" t="s">
        <v>7</v>
      </c>
      <c r="G34" s="1" t="s">
        <v>336</v>
      </c>
      <c r="H34" s="1">
        <v>2018</v>
      </c>
      <c r="I34" s="18">
        <v>2600000</v>
      </c>
      <c r="J34" s="1">
        <v>366</v>
      </c>
      <c r="K34" s="9">
        <v>45292</v>
      </c>
      <c r="L34" s="11">
        <v>45657</v>
      </c>
      <c r="M34" s="2">
        <f t="shared" si="0"/>
        <v>42900</v>
      </c>
      <c r="N34" s="37">
        <v>10783.606557377048</v>
      </c>
      <c r="O34" s="77" t="s">
        <v>373</v>
      </c>
    </row>
    <row r="35" spans="1:15" x14ac:dyDescent="0.2">
      <c r="A35" s="8">
        <v>30</v>
      </c>
      <c r="B35" s="10" t="s">
        <v>224</v>
      </c>
      <c r="C35" s="5" t="s">
        <v>268</v>
      </c>
      <c r="D35" s="7" t="s">
        <v>46</v>
      </c>
      <c r="E35" s="1" t="s">
        <v>52</v>
      </c>
      <c r="F35" s="1" t="s">
        <v>7</v>
      </c>
      <c r="G35" s="1" t="s">
        <v>336</v>
      </c>
      <c r="H35" s="1">
        <v>2018</v>
      </c>
      <c r="I35" s="18">
        <v>2600000</v>
      </c>
      <c r="J35" s="1">
        <v>366</v>
      </c>
      <c r="K35" s="9">
        <v>45292</v>
      </c>
      <c r="L35" s="11">
        <v>45657</v>
      </c>
      <c r="M35" s="2">
        <f t="shared" si="0"/>
        <v>42900</v>
      </c>
      <c r="N35" s="37">
        <v>10783.606557377048</v>
      </c>
      <c r="O35" s="77" t="s">
        <v>373</v>
      </c>
    </row>
    <row r="36" spans="1:15" x14ac:dyDescent="0.2">
      <c r="A36" s="8">
        <v>31</v>
      </c>
      <c r="B36" s="10" t="s">
        <v>224</v>
      </c>
      <c r="C36" s="5" t="s">
        <v>269</v>
      </c>
      <c r="D36" s="7" t="s">
        <v>49</v>
      </c>
      <c r="E36" s="1" t="s">
        <v>55</v>
      </c>
      <c r="F36" s="1" t="s">
        <v>7</v>
      </c>
      <c r="G36" s="1" t="s">
        <v>336</v>
      </c>
      <c r="H36" s="1">
        <v>2018</v>
      </c>
      <c r="I36" s="18">
        <v>2600000</v>
      </c>
      <c r="J36" s="1">
        <v>366</v>
      </c>
      <c r="K36" s="9">
        <v>45292</v>
      </c>
      <c r="L36" s="11">
        <v>45657</v>
      </c>
      <c r="M36" s="2">
        <f t="shared" si="0"/>
        <v>42900</v>
      </c>
      <c r="N36" s="37">
        <v>10783.606557377048</v>
      </c>
      <c r="O36" s="77" t="s">
        <v>373</v>
      </c>
    </row>
    <row r="37" spans="1:15" x14ac:dyDescent="0.2">
      <c r="A37" s="8">
        <v>32</v>
      </c>
      <c r="B37" s="10" t="s">
        <v>224</v>
      </c>
      <c r="C37" s="5" t="s">
        <v>270</v>
      </c>
      <c r="D37" s="30" t="s">
        <v>58</v>
      </c>
      <c r="E37" s="10" t="s">
        <v>59</v>
      </c>
      <c r="F37" s="10" t="s">
        <v>7</v>
      </c>
      <c r="G37" s="1" t="s">
        <v>336</v>
      </c>
      <c r="H37" s="10">
        <v>2019</v>
      </c>
      <c r="I37" s="19">
        <v>2700000</v>
      </c>
      <c r="J37" s="1">
        <v>366</v>
      </c>
      <c r="K37" s="9">
        <v>45292</v>
      </c>
      <c r="L37" s="11">
        <v>45657</v>
      </c>
      <c r="M37" s="2">
        <f t="shared" si="0"/>
        <v>44550</v>
      </c>
      <c r="N37" s="37">
        <v>11198.360655737704</v>
      </c>
      <c r="O37" s="77" t="s">
        <v>373</v>
      </c>
    </row>
    <row r="38" spans="1:15" x14ac:dyDescent="0.2">
      <c r="A38" s="8">
        <v>33</v>
      </c>
      <c r="B38" s="10" t="s">
        <v>224</v>
      </c>
      <c r="C38" s="5" t="s">
        <v>271</v>
      </c>
      <c r="D38" s="30" t="s">
        <v>60</v>
      </c>
      <c r="E38" s="10" t="s">
        <v>61</v>
      </c>
      <c r="F38" s="10" t="s">
        <v>7</v>
      </c>
      <c r="G38" s="1" t="s">
        <v>336</v>
      </c>
      <c r="H38" s="10">
        <v>2019</v>
      </c>
      <c r="I38" s="19">
        <v>2700000</v>
      </c>
      <c r="J38" s="1">
        <v>366</v>
      </c>
      <c r="K38" s="9">
        <v>45292</v>
      </c>
      <c r="L38" s="11">
        <v>45657</v>
      </c>
      <c r="M38" s="2">
        <f t="shared" ref="M38:M66" si="1">I38*1.65%</f>
        <v>44550</v>
      </c>
      <c r="N38" s="37">
        <v>11198.360655737704</v>
      </c>
      <c r="O38" s="77" t="s">
        <v>373</v>
      </c>
    </row>
    <row r="39" spans="1:15" x14ac:dyDescent="0.2">
      <c r="A39" s="8">
        <v>34</v>
      </c>
      <c r="B39" s="10" t="s">
        <v>224</v>
      </c>
      <c r="C39" s="5" t="s">
        <v>272</v>
      </c>
      <c r="D39" s="30" t="s">
        <v>62</v>
      </c>
      <c r="E39" s="10" t="s">
        <v>63</v>
      </c>
      <c r="F39" s="10" t="s">
        <v>7</v>
      </c>
      <c r="G39" s="1" t="s">
        <v>336</v>
      </c>
      <c r="H39" s="10">
        <v>2019</v>
      </c>
      <c r="I39" s="19">
        <v>2700000</v>
      </c>
      <c r="J39" s="1">
        <v>366</v>
      </c>
      <c r="K39" s="9">
        <v>45292</v>
      </c>
      <c r="L39" s="11">
        <v>45657</v>
      </c>
      <c r="M39" s="2">
        <f t="shared" si="1"/>
        <v>44550</v>
      </c>
      <c r="N39" s="37">
        <v>11198.360655737704</v>
      </c>
      <c r="O39" s="77" t="s">
        <v>373</v>
      </c>
    </row>
    <row r="40" spans="1:15" x14ac:dyDescent="0.2">
      <c r="A40" s="8">
        <v>35</v>
      </c>
      <c r="B40" s="10" t="s">
        <v>224</v>
      </c>
      <c r="C40" s="5" t="s">
        <v>72</v>
      </c>
      <c r="D40" s="30" t="s">
        <v>56</v>
      </c>
      <c r="E40" s="10" t="s">
        <v>57</v>
      </c>
      <c r="F40" s="10" t="s">
        <v>7</v>
      </c>
      <c r="G40" s="1" t="s">
        <v>336</v>
      </c>
      <c r="H40" s="10">
        <v>2019</v>
      </c>
      <c r="I40" s="19">
        <v>2700000</v>
      </c>
      <c r="J40" s="1">
        <v>366</v>
      </c>
      <c r="K40" s="9">
        <v>45292</v>
      </c>
      <c r="L40" s="11">
        <v>45657</v>
      </c>
      <c r="M40" s="2">
        <f t="shared" si="1"/>
        <v>44550</v>
      </c>
      <c r="N40" s="37">
        <v>11198.360655737704</v>
      </c>
      <c r="O40" s="77" t="s">
        <v>373</v>
      </c>
    </row>
    <row r="41" spans="1:15" x14ac:dyDescent="0.2">
      <c r="A41" s="8">
        <v>36</v>
      </c>
      <c r="B41" s="10" t="s">
        <v>223</v>
      </c>
      <c r="C41" s="5" t="s">
        <v>273</v>
      </c>
      <c r="D41" s="21" t="s">
        <v>66</v>
      </c>
      <c r="E41" s="13" t="s">
        <v>67</v>
      </c>
      <c r="F41" s="10" t="s">
        <v>7</v>
      </c>
      <c r="G41" s="1" t="s">
        <v>336</v>
      </c>
      <c r="H41" s="10">
        <v>2019</v>
      </c>
      <c r="I41" s="19">
        <v>2700000</v>
      </c>
      <c r="J41" s="1">
        <v>366</v>
      </c>
      <c r="K41" s="9">
        <v>45292</v>
      </c>
      <c r="L41" s="11">
        <v>45657</v>
      </c>
      <c r="M41" s="2">
        <f t="shared" si="1"/>
        <v>44550</v>
      </c>
      <c r="N41" s="37">
        <v>11198.360655737704</v>
      </c>
      <c r="O41" s="77" t="s">
        <v>373</v>
      </c>
    </row>
    <row r="42" spans="1:15" x14ac:dyDescent="0.2">
      <c r="A42" s="8">
        <v>37</v>
      </c>
      <c r="B42" s="10" t="s">
        <v>223</v>
      </c>
      <c r="C42" s="5" t="s">
        <v>274</v>
      </c>
      <c r="D42" s="21" t="s">
        <v>68</v>
      </c>
      <c r="E42" s="13" t="s">
        <v>69</v>
      </c>
      <c r="F42" s="10" t="s">
        <v>7</v>
      </c>
      <c r="G42" s="1" t="s">
        <v>336</v>
      </c>
      <c r="H42" s="10">
        <v>2019</v>
      </c>
      <c r="I42" s="19">
        <v>2700000</v>
      </c>
      <c r="J42" s="1">
        <v>366</v>
      </c>
      <c r="K42" s="9">
        <v>45292</v>
      </c>
      <c r="L42" s="11">
        <v>45657</v>
      </c>
      <c r="M42" s="2">
        <f>I42*1.65%</f>
        <v>44550</v>
      </c>
      <c r="N42" s="37">
        <v>11198.360655737704</v>
      </c>
      <c r="O42" s="77" t="s">
        <v>373</v>
      </c>
    </row>
    <row r="43" spans="1:15" x14ac:dyDescent="0.2">
      <c r="A43" s="8">
        <v>38</v>
      </c>
      <c r="B43" s="10" t="s">
        <v>223</v>
      </c>
      <c r="C43" s="5" t="s">
        <v>275</v>
      </c>
      <c r="D43" s="21" t="s">
        <v>64</v>
      </c>
      <c r="E43" s="13" t="s">
        <v>65</v>
      </c>
      <c r="F43" s="10" t="s">
        <v>7</v>
      </c>
      <c r="G43" s="1" t="s">
        <v>336</v>
      </c>
      <c r="H43" s="10">
        <v>2019</v>
      </c>
      <c r="I43" s="19">
        <v>2700000</v>
      </c>
      <c r="J43" s="1">
        <v>366</v>
      </c>
      <c r="K43" s="9">
        <v>45292</v>
      </c>
      <c r="L43" s="11">
        <v>45657</v>
      </c>
      <c r="M43" s="2">
        <f>I43*1.65%</f>
        <v>44550</v>
      </c>
      <c r="N43" s="37">
        <v>11198.360655737704</v>
      </c>
      <c r="O43" s="77" t="s">
        <v>373</v>
      </c>
    </row>
    <row r="44" spans="1:15" x14ac:dyDescent="0.2">
      <c r="A44" s="8">
        <v>39</v>
      </c>
      <c r="B44" s="10" t="s">
        <v>223</v>
      </c>
      <c r="C44" s="5" t="s">
        <v>276</v>
      </c>
      <c r="D44" s="21" t="s">
        <v>70</v>
      </c>
      <c r="E44" s="13" t="s">
        <v>71</v>
      </c>
      <c r="F44" s="10" t="s">
        <v>7</v>
      </c>
      <c r="G44" s="1" t="s">
        <v>336</v>
      </c>
      <c r="H44" s="10">
        <v>2019</v>
      </c>
      <c r="I44" s="19">
        <v>2700000</v>
      </c>
      <c r="J44" s="1">
        <v>366</v>
      </c>
      <c r="K44" s="9">
        <v>45292</v>
      </c>
      <c r="L44" s="11">
        <v>45657</v>
      </c>
      <c r="M44" s="2">
        <f t="shared" si="1"/>
        <v>44550</v>
      </c>
      <c r="N44" s="37">
        <v>11198.360655737704</v>
      </c>
      <c r="O44" s="77" t="s">
        <v>373</v>
      </c>
    </row>
    <row r="45" spans="1:15" x14ac:dyDescent="0.2">
      <c r="A45" s="8">
        <v>40</v>
      </c>
      <c r="B45" s="10" t="s">
        <v>223</v>
      </c>
      <c r="C45" s="5" t="s">
        <v>277</v>
      </c>
      <c r="D45" s="21" t="s">
        <v>84</v>
      </c>
      <c r="E45" s="13" t="s">
        <v>83</v>
      </c>
      <c r="F45" s="10" t="s">
        <v>7</v>
      </c>
      <c r="G45" s="1" t="s">
        <v>336</v>
      </c>
      <c r="H45" s="1">
        <v>2019</v>
      </c>
      <c r="I45" s="19">
        <v>2700000</v>
      </c>
      <c r="J45" s="1">
        <v>366</v>
      </c>
      <c r="K45" s="9">
        <v>45292</v>
      </c>
      <c r="L45" s="11">
        <v>45657</v>
      </c>
      <c r="M45" s="2">
        <f t="shared" si="1"/>
        <v>44550</v>
      </c>
      <c r="N45" s="37">
        <v>11198.360655737704</v>
      </c>
      <c r="O45" s="77" t="s">
        <v>372</v>
      </c>
    </row>
    <row r="46" spans="1:15" x14ac:dyDescent="0.2">
      <c r="A46" s="8">
        <v>41</v>
      </c>
      <c r="B46" s="10" t="s">
        <v>223</v>
      </c>
      <c r="C46" s="5" t="s">
        <v>278</v>
      </c>
      <c r="D46" s="13" t="s">
        <v>88</v>
      </c>
      <c r="E46" s="13" t="s">
        <v>87</v>
      </c>
      <c r="F46" s="10" t="s">
        <v>7</v>
      </c>
      <c r="G46" s="1" t="s">
        <v>336</v>
      </c>
      <c r="H46" s="1">
        <v>2019</v>
      </c>
      <c r="I46" s="19">
        <v>2700000</v>
      </c>
      <c r="J46" s="1">
        <v>366</v>
      </c>
      <c r="K46" s="9">
        <v>45292</v>
      </c>
      <c r="L46" s="11">
        <v>45657</v>
      </c>
      <c r="M46" s="2">
        <f t="shared" si="1"/>
        <v>44550</v>
      </c>
      <c r="N46" s="37">
        <v>11198.360655737704</v>
      </c>
      <c r="O46" s="77" t="s">
        <v>372</v>
      </c>
    </row>
    <row r="47" spans="1:15" x14ac:dyDescent="0.2">
      <c r="A47" s="8">
        <v>42</v>
      </c>
      <c r="B47" s="10" t="s">
        <v>223</v>
      </c>
      <c r="C47" s="5" t="s">
        <v>279</v>
      </c>
      <c r="D47" s="13" t="s">
        <v>92</v>
      </c>
      <c r="E47" s="13" t="s">
        <v>91</v>
      </c>
      <c r="F47" s="20" t="s">
        <v>7</v>
      </c>
      <c r="G47" s="1" t="s">
        <v>336</v>
      </c>
      <c r="H47" s="20">
        <v>2019</v>
      </c>
      <c r="I47" s="19">
        <v>2700000</v>
      </c>
      <c r="J47" s="1">
        <v>366</v>
      </c>
      <c r="K47" s="9">
        <v>45292</v>
      </c>
      <c r="L47" s="11">
        <v>45657</v>
      </c>
      <c r="M47" s="2">
        <f t="shared" si="1"/>
        <v>44550</v>
      </c>
      <c r="N47" s="37">
        <v>11198.360655737704</v>
      </c>
      <c r="O47" s="77" t="s">
        <v>372</v>
      </c>
    </row>
    <row r="48" spans="1:15" x14ac:dyDescent="0.2">
      <c r="A48" s="8">
        <v>43</v>
      </c>
      <c r="B48" s="10" t="s">
        <v>223</v>
      </c>
      <c r="C48" s="5" t="s">
        <v>280</v>
      </c>
      <c r="D48" s="21" t="s">
        <v>90</v>
      </c>
      <c r="E48" s="13" t="s">
        <v>89</v>
      </c>
      <c r="F48" s="10" t="s">
        <v>7</v>
      </c>
      <c r="G48" s="1" t="s">
        <v>336</v>
      </c>
      <c r="H48" s="10">
        <v>2019</v>
      </c>
      <c r="I48" s="19">
        <v>2700000</v>
      </c>
      <c r="J48" s="1">
        <v>366</v>
      </c>
      <c r="K48" s="9">
        <v>45292</v>
      </c>
      <c r="L48" s="11">
        <v>45657</v>
      </c>
      <c r="M48" s="2">
        <f t="shared" si="1"/>
        <v>44550</v>
      </c>
      <c r="N48" s="37">
        <v>11198.360655737704</v>
      </c>
      <c r="O48" s="77" t="s">
        <v>372</v>
      </c>
    </row>
    <row r="49" spans="1:15" x14ac:dyDescent="0.2">
      <c r="A49" s="8">
        <v>44</v>
      </c>
      <c r="B49" s="10" t="s">
        <v>223</v>
      </c>
      <c r="C49" s="5" t="s">
        <v>281</v>
      </c>
      <c r="D49" s="13" t="s">
        <v>86</v>
      </c>
      <c r="E49" s="13" t="s">
        <v>85</v>
      </c>
      <c r="F49" s="20" t="s">
        <v>7</v>
      </c>
      <c r="G49" s="1" t="s">
        <v>336</v>
      </c>
      <c r="H49" s="20">
        <v>2019</v>
      </c>
      <c r="I49" s="19">
        <v>2700000</v>
      </c>
      <c r="J49" s="1">
        <v>366</v>
      </c>
      <c r="K49" s="9">
        <v>45292</v>
      </c>
      <c r="L49" s="11">
        <v>45657</v>
      </c>
      <c r="M49" s="2">
        <f t="shared" si="1"/>
        <v>44550</v>
      </c>
      <c r="N49" s="37">
        <v>11198.360655737704</v>
      </c>
      <c r="O49" s="77" t="s">
        <v>372</v>
      </c>
    </row>
    <row r="50" spans="1:15" x14ac:dyDescent="0.2">
      <c r="A50" s="8">
        <v>45</v>
      </c>
      <c r="B50" s="10" t="s">
        <v>223</v>
      </c>
      <c r="C50" s="5" t="s">
        <v>282</v>
      </c>
      <c r="D50" s="21" t="s">
        <v>93</v>
      </c>
      <c r="E50" s="13" t="s">
        <v>94</v>
      </c>
      <c r="F50" s="10" t="s">
        <v>7</v>
      </c>
      <c r="G50" s="1" t="s">
        <v>336</v>
      </c>
      <c r="H50" s="1">
        <v>2019</v>
      </c>
      <c r="I50" s="19">
        <v>2700000</v>
      </c>
      <c r="J50" s="1">
        <v>366</v>
      </c>
      <c r="K50" s="9">
        <v>45292</v>
      </c>
      <c r="L50" s="11">
        <v>45657</v>
      </c>
      <c r="M50" s="2">
        <f t="shared" si="1"/>
        <v>44550</v>
      </c>
      <c r="N50" s="37">
        <v>11198.360655737704</v>
      </c>
      <c r="O50" s="77" t="s">
        <v>372</v>
      </c>
    </row>
    <row r="51" spans="1:15" x14ac:dyDescent="0.2">
      <c r="A51" s="8">
        <v>46</v>
      </c>
      <c r="B51" s="10" t="s">
        <v>223</v>
      </c>
      <c r="C51" s="5" t="s">
        <v>283</v>
      </c>
      <c r="D51" s="21" t="s">
        <v>99</v>
      </c>
      <c r="E51" s="13" t="s">
        <v>100</v>
      </c>
      <c r="F51" s="10" t="s">
        <v>7</v>
      </c>
      <c r="G51" s="1" t="s">
        <v>336</v>
      </c>
      <c r="H51" s="10">
        <v>2019</v>
      </c>
      <c r="I51" s="19">
        <v>2700000</v>
      </c>
      <c r="J51" s="1">
        <v>366</v>
      </c>
      <c r="K51" s="9">
        <v>45292</v>
      </c>
      <c r="L51" s="11">
        <v>45657</v>
      </c>
      <c r="M51" s="2">
        <f t="shared" si="1"/>
        <v>44550</v>
      </c>
      <c r="N51" s="37">
        <v>11198.360655737704</v>
      </c>
      <c r="O51" s="77" t="s">
        <v>372</v>
      </c>
    </row>
    <row r="52" spans="1:15" x14ac:dyDescent="0.2">
      <c r="A52" s="8">
        <v>47</v>
      </c>
      <c r="B52" s="10" t="s">
        <v>223</v>
      </c>
      <c r="C52" s="5" t="s">
        <v>284</v>
      </c>
      <c r="D52" s="21" t="s">
        <v>101</v>
      </c>
      <c r="E52" s="13" t="s">
        <v>102</v>
      </c>
      <c r="F52" s="10" t="s">
        <v>7</v>
      </c>
      <c r="G52" s="1" t="s">
        <v>336</v>
      </c>
      <c r="H52" s="10">
        <v>2019</v>
      </c>
      <c r="I52" s="19">
        <v>2700000</v>
      </c>
      <c r="J52" s="1">
        <v>366</v>
      </c>
      <c r="K52" s="9">
        <v>45292</v>
      </c>
      <c r="L52" s="11">
        <v>45657</v>
      </c>
      <c r="M52" s="2">
        <f t="shared" si="1"/>
        <v>44550</v>
      </c>
      <c r="N52" s="37">
        <v>11198.360655737704</v>
      </c>
      <c r="O52" s="77" t="s">
        <v>372</v>
      </c>
    </row>
    <row r="53" spans="1:15" x14ac:dyDescent="0.2">
      <c r="A53" s="8">
        <v>48</v>
      </c>
      <c r="B53" s="10" t="s">
        <v>223</v>
      </c>
      <c r="C53" s="5" t="s">
        <v>285</v>
      </c>
      <c r="D53" s="21" t="s">
        <v>97</v>
      </c>
      <c r="E53" s="13" t="s">
        <v>98</v>
      </c>
      <c r="F53" s="10" t="s">
        <v>7</v>
      </c>
      <c r="G53" s="1" t="s">
        <v>336</v>
      </c>
      <c r="H53" s="10">
        <v>2019</v>
      </c>
      <c r="I53" s="19">
        <v>2700000</v>
      </c>
      <c r="J53" s="1">
        <v>366</v>
      </c>
      <c r="K53" s="9">
        <v>45292</v>
      </c>
      <c r="L53" s="11">
        <v>45657</v>
      </c>
      <c r="M53" s="2">
        <f t="shared" si="1"/>
        <v>44550</v>
      </c>
      <c r="N53" s="37">
        <v>11198.360655737704</v>
      </c>
      <c r="O53" s="77" t="s">
        <v>372</v>
      </c>
    </row>
    <row r="54" spans="1:15" x14ac:dyDescent="0.2">
      <c r="A54" s="8">
        <v>49</v>
      </c>
      <c r="B54" s="10" t="s">
        <v>223</v>
      </c>
      <c r="C54" s="5" t="s">
        <v>286</v>
      </c>
      <c r="D54" s="21" t="s">
        <v>95</v>
      </c>
      <c r="E54" s="13" t="s">
        <v>96</v>
      </c>
      <c r="F54" s="10" t="s">
        <v>7</v>
      </c>
      <c r="G54" s="1" t="s">
        <v>336</v>
      </c>
      <c r="H54" s="10">
        <v>2019</v>
      </c>
      <c r="I54" s="19">
        <v>2700000</v>
      </c>
      <c r="J54" s="1">
        <v>366</v>
      </c>
      <c r="K54" s="9">
        <v>45292</v>
      </c>
      <c r="L54" s="11">
        <v>45657</v>
      </c>
      <c r="M54" s="2">
        <f t="shared" si="1"/>
        <v>44550</v>
      </c>
      <c r="N54" s="37">
        <v>11198.360655737704</v>
      </c>
      <c r="O54" s="77" t="s">
        <v>372</v>
      </c>
    </row>
    <row r="55" spans="1:15" x14ac:dyDescent="0.2">
      <c r="A55" s="8">
        <v>50</v>
      </c>
      <c r="B55" s="10" t="s">
        <v>223</v>
      </c>
      <c r="C55" s="5" t="s">
        <v>287</v>
      </c>
      <c r="D55" s="21" t="s">
        <v>103</v>
      </c>
      <c r="E55" s="13" t="s">
        <v>104</v>
      </c>
      <c r="F55" s="10" t="s">
        <v>7</v>
      </c>
      <c r="G55" s="1" t="s">
        <v>336</v>
      </c>
      <c r="H55" s="10">
        <v>2019</v>
      </c>
      <c r="I55" s="19">
        <v>2700000</v>
      </c>
      <c r="J55" s="1">
        <v>366</v>
      </c>
      <c r="K55" s="9">
        <v>45292</v>
      </c>
      <c r="L55" s="11">
        <v>45657</v>
      </c>
      <c r="M55" s="2">
        <f t="shared" si="1"/>
        <v>44550</v>
      </c>
      <c r="N55" s="37">
        <v>11198.360655737704</v>
      </c>
      <c r="O55" s="77" t="s">
        <v>372</v>
      </c>
    </row>
    <row r="56" spans="1:15" x14ac:dyDescent="0.2">
      <c r="A56" s="8">
        <v>51</v>
      </c>
      <c r="B56" s="10" t="s">
        <v>223</v>
      </c>
      <c r="C56" s="5" t="s">
        <v>288</v>
      </c>
      <c r="D56" s="21" t="s">
        <v>105</v>
      </c>
      <c r="E56" s="13" t="s">
        <v>106</v>
      </c>
      <c r="F56" s="10" t="s">
        <v>7</v>
      </c>
      <c r="G56" s="1" t="s">
        <v>336</v>
      </c>
      <c r="H56" s="10">
        <v>2019</v>
      </c>
      <c r="I56" s="19">
        <v>2700000</v>
      </c>
      <c r="J56" s="1">
        <v>366</v>
      </c>
      <c r="K56" s="9">
        <v>45292</v>
      </c>
      <c r="L56" s="11">
        <v>45657</v>
      </c>
      <c r="M56" s="2">
        <f t="shared" si="1"/>
        <v>44550</v>
      </c>
      <c r="N56" s="37">
        <v>11198.360655737704</v>
      </c>
      <c r="O56" s="77" t="s">
        <v>372</v>
      </c>
    </row>
    <row r="57" spans="1:15" x14ac:dyDescent="0.2">
      <c r="A57" s="8">
        <v>52</v>
      </c>
      <c r="B57" s="10" t="s">
        <v>223</v>
      </c>
      <c r="C57" s="5" t="s">
        <v>289</v>
      </c>
      <c r="D57" s="13" t="s">
        <v>107</v>
      </c>
      <c r="E57" s="13" t="s">
        <v>108</v>
      </c>
      <c r="F57" s="10" t="s">
        <v>7</v>
      </c>
      <c r="G57" s="1" t="s">
        <v>336</v>
      </c>
      <c r="H57" s="10">
        <v>2019</v>
      </c>
      <c r="I57" s="19">
        <v>2700000</v>
      </c>
      <c r="J57" s="1">
        <v>366</v>
      </c>
      <c r="K57" s="9">
        <v>45292</v>
      </c>
      <c r="L57" s="11">
        <v>45657</v>
      </c>
      <c r="M57" s="2">
        <f t="shared" si="1"/>
        <v>44550</v>
      </c>
      <c r="N57" s="37">
        <v>11198.360655737704</v>
      </c>
      <c r="O57" s="77" t="s">
        <v>372</v>
      </c>
    </row>
    <row r="58" spans="1:15" x14ac:dyDescent="0.2">
      <c r="A58" s="8">
        <v>53</v>
      </c>
      <c r="B58" s="10" t="s">
        <v>223</v>
      </c>
      <c r="C58" s="5" t="s">
        <v>290</v>
      </c>
      <c r="D58" s="13" t="s">
        <v>109</v>
      </c>
      <c r="E58" s="13" t="s">
        <v>110</v>
      </c>
      <c r="F58" s="10" t="s">
        <v>7</v>
      </c>
      <c r="G58" s="1" t="s">
        <v>336</v>
      </c>
      <c r="H58" s="10">
        <v>2019</v>
      </c>
      <c r="I58" s="19">
        <v>2700000</v>
      </c>
      <c r="J58" s="1">
        <v>366</v>
      </c>
      <c r="K58" s="9">
        <v>45292</v>
      </c>
      <c r="L58" s="11">
        <v>45657</v>
      </c>
      <c r="M58" s="2">
        <f t="shared" si="1"/>
        <v>44550</v>
      </c>
      <c r="N58" s="37">
        <v>11198.360655737704</v>
      </c>
      <c r="O58" s="77" t="s">
        <v>372</v>
      </c>
    </row>
    <row r="59" spans="1:15" x14ac:dyDescent="0.2">
      <c r="A59" s="8">
        <v>54</v>
      </c>
      <c r="B59" s="10" t="s">
        <v>223</v>
      </c>
      <c r="C59" s="5" t="s">
        <v>291</v>
      </c>
      <c r="D59" s="13" t="s">
        <v>111</v>
      </c>
      <c r="E59" s="13" t="s">
        <v>112</v>
      </c>
      <c r="F59" s="10" t="s">
        <v>7</v>
      </c>
      <c r="G59" s="1" t="s">
        <v>336</v>
      </c>
      <c r="H59" s="10">
        <v>2019</v>
      </c>
      <c r="I59" s="19">
        <v>2700000</v>
      </c>
      <c r="J59" s="1">
        <v>366</v>
      </c>
      <c r="K59" s="9">
        <v>45292</v>
      </c>
      <c r="L59" s="11">
        <v>45657</v>
      </c>
      <c r="M59" s="2">
        <f t="shared" si="1"/>
        <v>44550</v>
      </c>
      <c r="N59" s="37">
        <v>11198.360655737704</v>
      </c>
      <c r="O59" s="77" t="s">
        <v>372</v>
      </c>
    </row>
    <row r="60" spans="1:15" x14ac:dyDescent="0.2">
      <c r="A60" s="8">
        <v>55</v>
      </c>
      <c r="B60" s="10" t="s">
        <v>223</v>
      </c>
      <c r="C60" s="5" t="s">
        <v>292</v>
      </c>
      <c r="D60" s="13" t="s">
        <v>113</v>
      </c>
      <c r="E60" s="13" t="s">
        <v>119</v>
      </c>
      <c r="F60" s="10" t="s">
        <v>7</v>
      </c>
      <c r="G60" s="1" t="s">
        <v>336</v>
      </c>
      <c r="H60" s="10">
        <v>2019</v>
      </c>
      <c r="I60" s="19">
        <v>2700000</v>
      </c>
      <c r="J60" s="1">
        <v>366</v>
      </c>
      <c r="K60" s="9">
        <v>45292</v>
      </c>
      <c r="L60" s="11">
        <v>45657</v>
      </c>
      <c r="M60" s="2">
        <f t="shared" si="1"/>
        <v>44550</v>
      </c>
      <c r="N60" s="37">
        <v>11198.360655737704</v>
      </c>
      <c r="O60" s="77" t="s">
        <v>372</v>
      </c>
    </row>
    <row r="61" spans="1:15" x14ac:dyDescent="0.2">
      <c r="A61" s="8">
        <v>56</v>
      </c>
      <c r="B61" s="10" t="s">
        <v>223</v>
      </c>
      <c r="C61" s="5" t="s">
        <v>293</v>
      </c>
      <c r="D61" s="13" t="s">
        <v>115</v>
      </c>
      <c r="E61" s="13" t="s">
        <v>121</v>
      </c>
      <c r="F61" s="10" t="s">
        <v>7</v>
      </c>
      <c r="G61" s="1" t="s">
        <v>336</v>
      </c>
      <c r="H61" s="10">
        <v>2019</v>
      </c>
      <c r="I61" s="19">
        <v>2700000</v>
      </c>
      <c r="J61" s="1">
        <v>366</v>
      </c>
      <c r="K61" s="9">
        <v>45292</v>
      </c>
      <c r="L61" s="11">
        <v>45657</v>
      </c>
      <c r="M61" s="2">
        <f t="shared" si="1"/>
        <v>44550</v>
      </c>
      <c r="N61" s="37">
        <v>11198.360655737704</v>
      </c>
      <c r="O61" s="77" t="s">
        <v>372</v>
      </c>
    </row>
    <row r="62" spans="1:15" x14ac:dyDescent="0.2">
      <c r="A62" s="8">
        <v>57</v>
      </c>
      <c r="B62" s="10" t="s">
        <v>223</v>
      </c>
      <c r="C62" s="5" t="s">
        <v>294</v>
      </c>
      <c r="D62" s="13" t="s">
        <v>114</v>
      </c>
      <c r="E62" s="13" t="s">
        <v>118</v>
      </c>
      <c r="F62" s="10" t="s">
        <v>7</v>
      </c>
      <c r="G62" s="1" t="s">
        <v>336</v>
      </c>
      <c r="H62" s="10">
        <v>2019</v>
      </c>
      <c r="I62" s="19">
        <v>2700000</v>
      </c>
      <c r="J62" s="1">
        <v>366</v>
      </c>
      <c r="K62" s="9">
        <v>45292</v>
      </c>
      <c r="L62" s="11">
        <v>45657</v>
      </c>
      <c r="M62" s="2">
        <f t="shared" si="1"/>
        <v>44550</v>
      </c>
      <c r="N62" s="37">
        <v>11198.360655737704</v>
      </c>
      <c r="O62" s="77" t="s">
        <v>372</v>
      </c>
    </row>
    <row r="63" spans="1:15" x14ac:dyDescent="0.2">
      <c r="A63" s="8">
        <v>58</v>
      </c>
      <c r="B63" s="10" t="s">
        <v>223</v>
      </c>
      <c r="C63" s="5" t="s">
        <v>295</v>
      </c>
      <c r="D63" s="13" t="s">
        <v>116</v>
      </c>
      <c r="E63" s="13" t="s">
        <v>120</v>
      </c>
      <c r="F63" s="10" t="s">
        <v>7</v>
      </c>
      <c r="G63" s="1" t="s">
        <v>336</v>
      </c>
      <c r="H63" s="10">
        <v>2019</v>
      </c>
      <c r="I63" s="19">
        <v>2700000</v>
      </c>
      <c r="J63" s="1">
        <v>366</v>
      </c>
      <c r="K63" s="9">
        <v>45292</v>
      </c>
      <c r="L63" s="11">
        <v>45657</v>
      </c>
      <c r="M63" s="2">
        <f t="shared" si="1"/>
        <v>44550</v>
      </c>
      <c r="N63" s="37">
        <v>11198.360655737704</v>
      </c>
      <c r="O63" s="77" t="s">
        <v>372</v>
      </c>
    </row>
    <row r="64" spans="1:15" x14ac:dyDescent="0.2">
      <c r="A64" s="8">
        <v>59</v>
      </c>
      <c r="B64" s="10" t="s">
        <v>223</v>
      </c>
      <c r="C64" s="5" t="s">
        <v>365</v>
      </c>
      <c r="D64" s="13" t="s">
        <v>117</v>
      </c>
      <c r="E64" s="13" t="s">
        <v>122</v>
      </c>
      <c r="F64" s="10" t="s">
        <v>7</v>
      </c>
      <c r="G64" s="1" t="s">
        <v>336</v>
      </c>
      <c r="H64" s="10">
        <v>2019</v>
      </c>
      <c r="I64" s="19">
        <v>2700000</v>
      </c>
      <c r="J64" s="1">
        <v>366</v>
      </c>
      <c r="K64" s="9">
        <v>45292</v>
      </c>
      <c r="L64" s="11">
        <v>45657</v>
      </c>
      <c r="M64" s="2">
        <f t="shared" si="1"/>
        <v>44550</v>
      </c>
      <c r="N64" s="37">
        <v>11198.360655737704</v>
      </c>
      <c r="O64" s="77" t="s">
        <v>372</v>
      </c>
    </row>
    <row r="65" spans="1:15" x14ac:dyDescent="0.2">
      <c r="A65" s="8">
        <v>60</v>
      </c>
      <c r="B65" s="10" t="s">
        <v>223</v>
      </c>
      <c r="C65" s="5" t="s">
        <v>296</v>
      </c>
      <c r="D65" s="13" t="s">
        <v>125</v>
      </c>
      <c r="E65" s="13" t="s">
        <v>131</v>
      </c>
      <c r="F65" s="10" t="s">
        <v>7</v>
      </c>
      <c r="G65" s="1" t="s">
        <v>336</v>
      </c>
      <c r="H65" s="10">
        <v>2019</v>
      </c>
      <c r="I65" s="19">
        <v>2700000</v>
      </c>
      <c r="J65" s="1">
        <v>366</v>
      </c>
      <c r="K65" s="9">
        <v>45292</v>
      </c>
      <c r="L65" s="11">
        <v>45657</v>
      </c>
      <c r="M65" s="2">
        <f t="shared" si="1"/>
        <v>44550</v>
      </c>
      <c r="N65" s="37">
        <v>11198.360655737704</v>
      </c>
      <c r="O65" s="77" t="s">
        <v>372</v>
      </c>
    </row>
    <row r="66" spans="1:15" x14ac:dyDescent="0.2">
      <c r="A66" s="8">
        <v>61</v>
      </c>
      <c r="B66" s="10" t="s">
        <v>223</v>
      </c>
      <c r="C66" s="5" t="s">
        <v>297</v>
      </c>
      <c r="D66" s="13" t="s">
        <v>124</v>
      </c>
      <c r="E66" s="13" t="s">
        <v>130</v>
      </c>
      <c r="F66" s="10" t="s">
        <v>7</v>
      </c>
      <c r="G66" s="1" t="s">
        <v>336</v>
      </c>
      <c r="H66" s="1">
        <v>2019</v>
      </c>
      <c r="I66" s="19">
        <v>2700000</v>
      </c>
      <c r="J66" s="1">
        <v>366</v>
      </c>
      <c r="K66" s="9">
        <v>45292</v>
      </c>
      <c r="L66" s="11">
        <v>45657</v>
      </c>
      <c r="M66" s="2">
        <f t="shared" si="1"/>
        <v>44550</v>
      </c>
      <c r="N66" s="37">
        <v>11198.360655737704</v>
      </c>
      <c r="O66" s="77" t="s">
        <v>372</v>
      </c>
    </row>
    <row r="67" spans="1:15" x14ac:dyDescent="0.2">
      <c r="A67" s="8">
        <v>62</v>
      </c>
      <c r="B67" s="10" t="s">
        <v>223</v>
      </c>
      <c r="C67" s="5" t="s">
        <v>298</v>
      </c>
      <c r="D67" s="13" t="s">
        <v>126</v>
      </c>
      <c r="E67" s="13" t="s">
        <v>132</v>
      </c>
      <c r="F67" s="10" t="s">
        <v>7</v>
      </c>
      <c r="G67" s="1" t="s">
        <v>336</v>
      </c>
      <c r="H67" s="1">
        <v>2019</v>
      </c>
      <c r="I67" s="19">
        <v>2700000</v>
      </c>
      <c r="J67" s="1">
        <v>366</v>
      </c>
      <c r="K67" s="9">
        <v>45292</v>
      </c>
      <c r="L67" s="11">
        <v>45657</v>
      </c>
      <c r="M67" s="2">
        <f t="shared" ref="M67:M91" si="2">I67*1.65%</f>
        <v>44550</v>
      </c>
      <c r="N67" s="37">
        <v>11198.360655737704</v>
      </c>
      <c r="O67" s="77" t="s">
        <v>372</v>
      </c>
    </row>
    <row r="68" spans="1:15" x14ac:dyDescent="0.2">
      <c r="A68" s="8">
        <v>63</v>
      </c>
      <c r="B68" s="10" t="s">
        <v>223</v>
      </c>
      <c r="C68" s="5" t="s">
        <v>299</v>
      </c>
      <c r="D68" s="13" t="s">
        <v>128</v>
      </c>
      <c r="E68" s="13" t="s">
        <v>134</v>
      </c>
      <c r="F68" s="10" t="s">
        <v>7</v>
      </c>
      <c r="G68" s="1" t="s">
        <v>336</v>
      </c>
      <c r="H68" s="1">
        <v>2019</v>
      </c>
      <c r="I68" s="19">
        <v>2700000</v>
      </c>
      <c r="J68" s="1">
        <v>366</v>
      </c>
      <c r="K68" s="9">
        <v>45292</v>
      </c>
      <c r="L68" s="11">
        <v>45657</v>
      </c>
      <c r="M68" s="2">
        <f t="shared" si="2"/>
        <v>44550</v>
      </c>
      <c r="N68" s="37">
        <v>11198.360655737704</v>
      </c>
      <c r="O68" s="77" t="s">
        <v>372</v>
      </c>
    </row>
    <row r="69" spans="1:15" x14ac:dyDescent="0.2">
      <c r="A69" s="8">
        <v>64</v>
      </c>
      <c r="B69" s="10" t="s">
        <v>223</v>
      </c>
      <c r="C69" s="5" t="s">
        <v>300</v>
      </c>
      <c r="D69" s="13" t="s">
        <v>127</v>
      </c>
      <c r="E69" s="13" t="s">
        <v>133</v>
      </c>
      <c r="F69" s="10" t="s">
        <v>7</v>
      </c>
      <c r="G69" s="1" t="s">
        <v>336</v>
      </c>
      <c r="H69" s="1">
        <v>2019</v>
      </c>
      <c r="I69" s="19">
        <v>2700000</v>
      </c>
      <c r="J69" s="1">
        <v>366</v>
      </c>
      <c r="K69" s="9">
        <v>45292</v>
      </c>
      <c r="L69" s="11">
        <v>45657</v>
      </c>
      <c r="M69" s="2">
        <f t="shared" si="2"/>
        <v>44550</v>
      </c>
      <c r="N69" s="37">
        <v>11198.360655737704</v>
      </c>
      <c r="O69" s="77" t="s">
        <v>372</v>
      </c>
    </row>
    <row r="70" spans="1:15" x14ac:dyDescent="0.2">
      <c r="A70" s="8">
        <v>65</v>
      </c>
      <c r="B70" s="10" t="s">
        <v>223</v>
      </c>
      <c r="C70" s="5" t="s">
        <v>301</v>
      </c>
      <c r="D70" s="13" t="s">
        <v>123</v>
      </c>
      <c r="E70" s="13" t="s">
        <v>129</v>
      </c>
      <c r="F70" s="10" t="s">
        <v>7</v>
      </c>
      <c r="G70" s="1" t="s">
        <v>336</v>
      </c>
      <c r="H70" s="1">
        <v>2019</v>
      </c>
      <c r="I70" s="19">
        <v>2700000</v>
      </c>
      <c r="J70" s="1">
        <v>366</v>
      </c>
      <c r="K70" s="9">
        <v>45292</v>
      </c>
      <c r="L70" s="11">
        <v>45657</v>
      </c>
      <c r="M70" s="2">
        <f t="shared" si="2"/>
        <v>44550</v>
      </c>
      <c r="N70" s="37">
        <v>11198.360655737704</v>
      </c>
      <c r="O70" s="77" t="s">
        <v>372</v>
      </c>
    </row>
    <row r="71" spans="1:15" x14ac:dyDescent="0.2">
      <c r="A71" s="8">
        <v>66</v>
      </c>
      <c r="B71" s="10" t="s">
        <v>223</v>
      </c>
      <c r="C71" s="5" t="s">
        <v>302</v>
      </c>
      <c r="D71" s="13" t="s">
        <v>139</v>
      </c>
      <c r="E71" s="13" t="s">
        <v>140</v>
      </c>
      <c r="F71" s="10" t="s">
        <v>7</v>
      </c>
      <c r="G71" s="1" t="s">
        <v>336</v>
      </c>
      <c r="H71" s="1">
        <v>2019</v>
      </c>
      <c r="I71" s="19">
        <v>2700000</v>
      </c>
      <c r="J71" s="1">
        <v>366</v>
      </c>
      <c r="K71" s="9">
        <v>45292</v>
      </c>
      <c r="L71" s="11">
        <v>45657</v>
      </c>
      <c r="M71" s="2">
        <f t="shared" si="2"/>
        <v>44550</v>
      </c>
      <c r="N71" s="37">
        <v>11198.360655737704</v>
      </c>
      <c r="O71" s="77" t="s">
        <v>372</v>
      </c>
    </row>
    <row r="72" spans="1:15" x14ac:dyDescent="0.2">
      <c r="A72" s="8">
        <v>67</v>
      </c>
      <c r="B72" s="5" t="s">
        <v>230</v>
      </c>
      <c r="C72" s="5" t="s">
        <v>303</v>
      </c>
      <c r="D72" s="13" t="s">
        <v>145</v>
      </c>
      <c r="E72" s="13" t="s">
        <v>148</v>
      </c>
      <c r="F72" s="10" t="s">
        <v>7</v>
      </c>
      <c r="G72" s="1" t="s">
        <v>336</v>
      </c>
      <c r="H72" s="1">
        <v>2019</v>
      </c>
      <c r="I72" s="19">
        <v>2700000</v>
      </c>
      <c r="J72" s="1">
        <v>366</v>
      </c>
      <c r="K72" s="9">
        <v>45292</v>
      </c>
      <c r="L72" s="11">
        <v>45657</v>
      </c>
      <c r="M72" s="2">
        <f t="shared" si="2"/>
        <v>44550</v>
      </c>
      <c r="N72" s="37">
        <v>11198.360655737704</v>
      </c>
      <c r="O72" s="77" t="s">
        <v>372</v>
      </c>
    </row>
    <row r="73" spans="1:15" x14ac:dyDescent="0.2">
      <c r="A73" s="8">
        <v>68</v>
      </c>
      <c r="B73" s="5" t="s">
        <v>230</v>
      </c>
      <c r="C73" s="5" t="s">
        <v>304</v>
      </c>
      <c r="D73" s="13" t="s">
        <v>147</v>
      </c>
      <c r="E73" s="13" t="s">
        <v>150</v>
      </c>
      <c r="F73" s="10" t="s">
        <v>7</v>
      </c>
      <c r="G73" s="1" t="s">
        <v>336</v>
      </c>
      <c r="H73" s="1">
        <v>2019</v>
      </c>
      <c r="I73" s="19">
        <v>2700000</v>
      </c>
      <c r="J73" s="1">
        <v>366</v>
      </c>
      <c r="K73" s="9">
        <v>45292</v>
      </c>
      <c r="L73" s="11">
        <v>45657</v>
      </c>
      <c r="M73" s="2">
        <f t="shared" si="2"/>
        <v>44550</v>
      </c>
      <c r="N73" s="37">
        <v>11198.360655737704</v>
      </c>
      <c r="O73" s="77" t="s">
        <v>372</v>
      </c>
    </row>
    <row r="74" spans="1:15" x14ac:dyDescent="0.2">
      <c r="A74" s="8">
        <v>69</v>
      </c>
      <c r="B74" s="5" t="s">
        <v>230</v>
      </c>
      <c r="C74" s="5" t="s">
        <v>305</v>
      </c>
      <c r="D74" s="13" t="s">
        <v>146</v>
      </c>
      <c r="E74" s="13" t="s">
        <v>149</v>
      </c>
      <c r="F74" s="10" t="s">
        <v>7</v>
      </c>
      <c r="G74" s="1" t="s">
        <v>336</v>
      </c>
      <c r="H74" s="1">
        <v>2019</v>
      </c>
      <c r="I74" s="19">
        <v>2700000</v>
      </c>
      <c r="J74" s="1">
        <v>366</v>
      </c>
      <c r="K74" s="9">
        <v>45292</v>
      </c>
      <c r="L74" s="11">
        <v>45657</v>
      </c>
      <c r="M74" s="2">
        <f t="shared" si="2"/>
        <v>44550</v>
      </c>
      <c r="N74" s="37">
        <v>11198.360655737704</v>
      </c>
      <c r="O74" s="77" t="s">
        <v>372</v>
      </c>
    </row>
    <row r="75" spans="1:15" x14ac:dyDescent="0.2">
      <c r="A75" s="8">
        <v>70</v>
      </c>
      <c r="B75" s="10" t="s">
        <v>224</v>
      </c>
      <c r="C75" s="33" t="s">
        <v>306</v>
      </c>
      <c r="D75" s="21" t="s">
        <v>168</v>
      </c>
      <c r="E75" s="13" t="s">
        <v>169</v>
      </c>
      <c r="F75" s="10" t="s">
        <v>159</v>
      </c>
      <c r="G75" s="1" t="s">
        <v>336</v>
      </c>
      <c r="H75" s="10">
        <v>2019</v>
      </c>
      <c r="I75" s="19">
        <v>2700000</v>
      </c>
      <c r="J75" s="1">
        <v>366</v>
      </c>
      <c r="K75" s="9">
        <v>45292</v>
      </c>
      <c r="L75" s="11">
        <v>45657</v>
      </c>
      <c r="M75" s="2">
        <f t="shared" si="2"/>
        <v>44550</v>
      </c>
      <c r="N75" s="37">
        <v>11198.360655737704</v>
      </c>
      <c r="O75" s="77" t="s">
        <v>371</v>
      </c>
    </row>
    <row r="76" spans="1:15" x14ac:dyDescent="0.2">
      <c r="A76" s="8">
        <v>71</v>
      </c>
      <c r="B76" s="10" t="s">
        <v>224</v>
      </c>
      <c r="C76" s="33" t="s">
        <v>307</v>
      </c>
      <c r="D76" s="21" t="s">
        <v>164</v>
      </c>
      <c r="E76" s="13" t="s">
        <v>165</v>
      </c>
      <c r="F76" s="10" t="s">
        <v>7</v>
      </c>
      <c r="G76" s="1" t="s">
        <v>336</v>
      </c>
      <c r="H76" s="10">
        <v>2019</v>
      </c>
      <c r="I76" s="19">
        <v>2700000</v>
      </c>
      <c r="J76" s="1">
        <v>366</v>
      </c>
      <c r="K76" s="9">
        <v>45292</v>
      </c>
      <c r="L76" s="11">
        <v>45657</v>
      </c>
      <c r="M76" s="2">
        <f t="shared" si="2"/>
        <v>44550</v>
      </c>
      <c r="N76" s="37">
        <v>11198.360655737704</v>
      </c>
      <c r="O76" s="77" t="s">
        <v>371</v>
      </c>
    </row>
    <row r="77" spans="1:15" x14ac:dyDescent="0.2">
      <c r="A77" s="8">
        <v>72</v>
      </c>
      <c r="B77" s="10" t="s">
        <v>224</v>
      </c>
      <c r="C77" s="33" t="s">
        <v>308</v>
      </c>
      <c r="D77" s="21" t="s">
        <v>162</v>
      </c>
      <c r="E77" s="13" t="s">
        <v>163</v>
      </c>
      <c r="F77" s="10" t="s">
        <v>7</v>
      </c>
      <c r="G77" s="1" t="s">
        <v>336</v>
      </c>
      <c r="H77" s="10">
        <v>2019</v>
      </c>
      <c r="I77" s="19">
        <v>2700000</v>
      </c>
      <c r="J77" s="1">
        <v>366</v>
      </c>
      <c r="K77" s="9">
        <v>45292</v>
      </c>
      <c r="L77" s="11">
        <v>45657</v>
      </c>
      <c r="M77" s="2">
        <f t="shared" si="2"/>
        <v>44550</v>
      </c>
      <c r="N77" s="37">
        <v>11198.360655737704</v>
      </c>
      <c r="O77" s="77" t="s">
        <v>371</v>
      </c>
    </row>
    <row r="78" spans="1:15" x14ac:dyDescent="0.2">
      <c r="A78" s="8">
        <v>73</v>
      </c>
      <c r="B78" s="10" t="s">
        <v>224</v>
      </c>
      <c r="C78" s="33" t="s">
        <v>309</v>
      </c>
      <c r="D78" s="21" t="s">
        <v>160</v>
      </c>
      <c r="E78" s="13" t="s">
        <v>161</v>
      </c>
      <c r="F78" s="10" t="s">
        <v>7</v>
      </c>
      <c r="G78" s="1" t="s">
        <v>336</v>
      </c>
      <c r="H78" s="10">
        <v>2019</v>
      </c>
      <c r="I78" s="19">
        <v>2700000</v>
      </c>
      <c r="J78" s="1">
        <v>366</v>
      </c>
      <c r="K78" s="9">
        <v>45292</v>
      </c>
      <c r="L78" s="11">
        <v>45657</v>
      </c>
      <c r="M78" s="2">
        <f t="shared" si="2"/>
        <v>44550</v>
      </c>
      <c r="N78" s="37">
        <v>11198.360655737704</v>
      </c>
      <c r="O78" s="77" t="s">
        <v>371</v>
      </c>
    </row>
    <row r="79" spans="1:15" x14ac:dyDescent="0.2">
      <c r="A79" s="8">
        <v>74</v>
      </c>
      <c r="B79" s="10" t="s">
        <v>224</v>
      </c>
      <c r="C79" s="33" t="s">
        <v>310</v>
      </c>
      <c r="D79" s="21" t="s">
        <v>166</v>
      </c>
      <c r="E79" s="13" t="s">
        <v>167</v>
      </c>
      <c r="F79" s="10" t="s">
        <v>7</v>
      </c>
      <c r="G79" s="1" t="s">
        <v>336</v>
      </c>
      <c r="H79" s="10">
        <v>2019</v>
      </c>
      <c r="I79" s="19">
        <v>2700000</v>
      </c>
      <c r="J79" s="1">
        <v>366</v>
      </c>
      <c r="K79" s="9">
        <v>45292</v>
      </c>
      <c r="L79" s="11">
        <v>45657</v>
      </c>
      <c r="M79" s="2">
        <f t="shared" si="2"/>
        <v>44550</v>
      </c>
      <c r="N79" s="37">
        <v>11198.360655737704</v>
      </c>
      <c r="O79" s="77" t="s">
        <v>371</v>
      </c>
    </row>
    <row r="80" spans="1:15" x14ac:dyDescent="0.2">
      <c r="A80" s="8">
        <v>75</v>
      </c>
      <c r="B80" s="10" t="s">
        <v>225</v>
      </c>
      <c r="C80" s="5" t="s">
        <v>311</v>
      </c>
      <c r="D80" s="1" t="s">
        <v>10</v>
      </c>
      <c r="E80" s="3" t="s">
        <v>12</v>
      </c>
      <c r="F80" s="3" t="s">
        <v>8</v>
      </c>
      <c r="G80" s="1" t="s">
        <v>336</v>
      </c>
      <c r="H80" s="3">
        <v>2013</v>
      </c>
      <c r="I80" s="17">
        <v>2600000</v>
      </c>
      <c r="J80" s="1">
        <v>366</v>
      </c>
      <c r="K80" s="9">
        <v>45292</v>
      </c>
      <c r="L80" s="11">
        <v>45657</v>
      </c>
      <c r="M80" s="2">
        <f t="shared" si="2"/>
        <v>42900</v>
      </c>
      <c r="N80" s="37">
        <v>10783.606557377048</v>
      </c>
      <c r="O80" s="77" t="s">
        <v>373</v>
      </c>
    </row>
    <row r="81" spans="1:15" x14ac:dyDescent="0.2">
      <c r="A81" s="8">
        <v>76</v>
      </c>
      <c r="B81" s="10" t="s">
        <v>225</v>
      </c>
      <c r="C81" s="5" t="s">
        <v>312</v>
      </c>
      <c r="D81" s="1" t="s">
        <v>9</v>
      </c>
      <c r="E81" s="3" t="s">
        <v>13</v>
      </c>
      <c r="F81" s="3" t="s">
        <v>6</v>
      </c>
      <c r="G81" s="1" t="s">
        <v>336</v>
      </c>
      <c r="H81" s="3">
        <v>2013</v>
      </c>
      <c r="I81" s="17">
        <v>2600000</v>
      </c>
      <c r="J81" s="1">
        <v>366</v>
      </c>
      <c r="K81" s="9">
        <v>45292</v>
      </c>
      <c r="L81" s="11">
        <v>45657</v>
      </c>
      <c r="M81" s="2">
        <f t="shared" si="2"/>
        <v>42900</v>
      </c>
      <c r="N81" s="37">
        <v>10783.606557377048</v>
      </c>
      <c r="O81" s="77" t="s">
        <v>373</v>
      </c>
    </row>
    <row r="82" spans="1:15" x14ac:dyDescent="0.2">
      <c r="A82" s="8">
        <v>77</v>
      </c>
      <c r="B82" s="5" t="s">
        <v>227</v>
      </c>
      <c r="C82" s="15" t="s">
        <v>313</v>
      </c>
      <c r="D82" s="10" t="s">
        <v>170</v>
      </c>
      <c r="E82" s="1" t="s">
        <v>171</v>
      </c>
      <c r="F82" s="10" t="s">
        <v>172</v>
      </c>
      <c r="G82" s="1" t="s">
        <v>336</v>
      </c>
      <c r="H82" s="10">
        <v>2020</v>
      </c>
      <c r="I82" s="19">
        <v>2678000</v>
      </c>
      <c r="J82" s="1">
        <v>366</v>
      </c>
      <c r="K82" s="9">
        <v>45292</v>
      </c>
      <c r="L82" s="11">
        <v>45657</v>
      </c>
      <c r="M82" s="2">
        <f t="shared" si="2"/>
        <v>44187</v>
      </c>
      <c r="N82" s="37">
        <v>11107.11475409836</v>
      </c>
      <c r="O82" s="77" t="s">
        <v>373</v>
      </c>
    </row>
    <row r="83" spans="1:15" x14ac:dyDescent="0.2">
      <c r="A83" s="8">
        <v>78</v>
      </c>
      <c r="B83" s="5" t="s">
        <v>227</v>
      </c>
      <c r="C83" s="5" t="s">
        <v>314</v>
      </c>
      <c r="D83" s="10" t="s">
        <v>173</v>
      </c>
      <c r="E83" s="1" t="s">
        <v>174</v>
      </c>
      <c r="F83" s="10" t="s">
        <v>7</v>
      </c>
      <c r="G83" s="1" t="s">
        <v>336</v>
      </c>
      <c r="H83" s="10">
        <v>2021</v>
      </c>
      <c r="I83" s="19">
        <v>2723000</v>
      </c>
      <c r="J83" s="1">
        <v>366</v>
      </c>
      <c r="K83" s="9">
        <v>45292</v>
      </c>
      <c r="L83" s="11">
        <v>45657</v>
      </c>
      <c r="M83" s="2">
        <f t="shared" si="2"/>
        <v>44929.5</v>
      </c>
      <c r="N83" s="37">
        <v>11293.754098360656</v>
      </c>
      <c r="O83" s="77" t="s">
        <v>373</v>
      </c>
    </row>
    <row r="84" spans="1:15" x14ac:dyDescent="0.2">
      <c r="A84" s="8">
        <v>79</v>
      </c>
      <c r="B84" s="5" t="s">
        <v>226</v>
      </c>
      <c r="C84" s="5" t="s">
        <v>315</v>
      </c>
      <c r="D84" s="10" t="s">
        <v>175</v>
      </c>
      <c r="E84" s="1" t="s">
        <v>176</v>
      </c>
      <c r="F84" s="10" t="s">
        <v>8</v>
      </c>
      <c r="G84" s="1" t="s">
        <v>336</v>
      </c>
      <c r="H84" s="10">
        <v>2021</v>
      </c>
      <c r="I84" s="19">
        <v>2503000</v>
      </c>
      <c r="J84" s="1">
        <v>366</v>
      </c>
      <c r="K84" s="9">
        <v>45292</v>
      </c>
      <c r="L84" s="11">
        <v>45657</v>
      </c>
      <c r="M84" s="2">
        <f t="shared" si="2"/>
        <v>41299.5</v>
      </c>
      <c r="N84" s="37">
        <v>10381.295081967213</v>
      </c>
      <c r="O84" s="77" t="s">
        <v>373</v>
      </c>
    </row>
    <row r="85" spans="1:15" x14ac:dyDescent="0.2">
      <c r="A85" s="8">
        <v>80</v>
      </c>
      <c r="B85" s="5" t="s">
        <v>226</v>
      </c>
      <c r="C85" s="15" t="s">
        <v>316</v>
      </c>
      <c r="D85" s="10" t="s">
        <v>177</v>
      </c>
      <c r="E85" s="1" t="s">
        <v>178</v>
      </c>
      <c r="F85" s="10" t="s">
        <v>8</v>
      </c>
      <c r="G85" s="1" t="s">
        <v>336</v>
      </c>
      <c r="H85" s="10">
        <v>2021</v>
      </c>
      <c r="I85" s="19">
        <v>2503000</v>
      </c>
      <c r="J85" s="1">
        <v>366</v>
      </c>
      <c r="K85" s="9">
        <v>45292</v>
      </c>
      <c r="L85" s="11">
        <v>45657</v>
      </c>
      <c r="M85" s="2">
        <f t="shared" si="2"/>
        <v>41299.5</v>
      </c>
      <c r="N85" s="37">
        <v>10381.295081967213</v>
      </c>
      <c r="O85" s="77" t="s">
        <v>373</v>
      </c>
    </row>
    <row r="86" spans="1:15" x14ac:dyDescent="0.2">
      <c r="A86" s="8">
        <v>81</v>
      </c>
      <c r="B86" s="5" t="s">
        <v>226</v>
      </c>
      <c r="C86" s="15" t="s">
        <v>317</v>
      </c>
      <c r="D86" s="10" t="s">
        <v>179</v>
      </c>
      <c r="E86" s="1" t="s">
        <v>180</v>
      </c>
      <c r="F86" s="10" t="s">
        <v>8</v>
      </c>
      <c r="G86" s="1" t="s">
        <v>336</v>
      </c>
      <c r="H86" s="10">
        <v>2021</v>
      </c>
      <c r="I86" s="19">
        <v>2503000</v>
      </c>
      <c r="J86" s="1">
        <v>366</v>
      </c>
      <c r="K86" s="9">
        <v>45292</v>
      </c>
      <c r="L86" s="11">
        <v>45657</v>
      </c>
      <c r="M86" s="2">
        <f t="shared" si="2"/>
        <v>41299.5</v>
      </c>
      <c r="N86" s="37">
        <v>10381.295081967213</v>
      </c>
      <c r="O86" s="77" t="s">
        <v>373</v>
      </c>
    </row>
    <row r="87" spans="1:15" x14ac:dyDescent="0.2">
      <c r="A87" s="8">
        <v>82</v>
      </c>
      <c r="B87" s="5" t="s">
        <v>226</v>
      </c>
      <c r="C87" s="5" t="s">
        <v>318</v>
      </c>
      <c r="D87" s="25" t="s">
        <v>184</v>
      </c>
      <c r="E87" s="25" t="s">
        <v>187</v>
      </c>
      <c r="F87" s="12" t="s">
        <v>8</v>
      </c>
      <c r="G87" s="1" t="s">
        <v>336</v>
      </c>
      <c r="H87" s="10">
        <v>2021</v>
      </c>
      <c r="I87" s="19">
        <v>2475000</v>
      </c>
      <c r="J87" s="1">
        <v>366</v>
      </c>
      <c r="K87" s="9">
        <v>45292</v>
      </c>
      <c r="L87" s="11">
        <v>45657</v>
      </c>
      <c r="M87" s="2">
        <f t="shared" si="2"/>
        <v>40837.5</v>
      </c>
      <c r="N87" s="37">
        <v>10265.163934426229</v>
      </c>
      <c r="O87" s="77" t="s">
        <v>373</v>
      </c>
    </row>
    <row r="88" spans="1:15" x14ac:dyDescent="0.2">
      <c r="A88" s="8">
        <v>83</v>
      </c>
      <c r="B88" s="5" t="s">
        <v>226</v>
      </c>
      <c r="C88" s="5" t="s">
        <v>319</v>
      </c>
      <c r="D88" s="25" t="s">
        <v>182</v>
      </c>
      <c r="E88" s="25" t="s">
        <v>188</v>
      </c>
      <c r="F88" s="12" t="s">
        <v>8</v>
      </c>
      <c r="G88" s="1" t="s">
        <v>336</v>
      </c>
      <c r="H88" s="10">
        <v>2021</v>
      </c>
      <c r="I88" s="19">
        <v>2475000</v>
      </c>
      <c r="J88" s="1">
        <v>366</v>
      </c>
      <c r="K88" s="9">
        <v>45292</v>
      </c>
      <c r="L88" s="11">
        <v>45657</v>
      </c>
      <c r="M88" s="2">
        <f t="shared" si="2"/>
        <v>40837.5</v>
      </c>
      <c r="N88" s="37">
        <v>10265.163934426229</v>
      </c>
      <c r="O88" s="77" t="s">
        <v>373</v>
      </c>
    </row>
    <row r="89" spans="1:15" x14ac:dyDescent="0.2">
      <c r="A89" s="8">
        <v>84</v>
      </c>
      <c r="B89" s="5" t="s">
        <v>226</v>
      </c>
      <c r="C89" s="5" t="s">
        <v>320</v>
      </c>
      <c r="D89" s="25" t="s">
        <v>183</v>
      </c>
      <c r="E89" s="25" t="s">
        <v>189</v>
      </c>
      <c r="F89" s="12" t="s">
        <v>8</v>
      </c>
      <c r="G89" s="1" t="s">
        <v>336</v>
      </c>
      <c r="H89" s="10">
        <v>2021</v>
      </c>
      <c r="I89" s="19">
        <v>2475000</v>
      </c>
      <c r="J89" s="1">
        <v>366</v>
      </c>
      <c r="K89" s="9">
        <v>45292</v>
      </c>
      <c r="L89" s="11">
        <v>45657</v>
      </c>
      <c r="M89" s="2">
        <f t="shared" si="2"/>
        <v>40837.5</v>
      </c>
      <c r="N89" s="37">
        <v>10265.163934426229</v>
      </c>
      <c r="O89" s="77" t="s">
        <v>373</v>
      </c>
    </row>
    <row r="90" spans="1:15" x14ac:dyDescent="0.2">
      <c r="A90" s="8">
        <v>85</v>
      </c>
      <c r="B90" s="5" t="s">
        <v>227</v>
      </c>
      <c r="C90" s="5" t="s">
        <v>321</v>
      </c>
      <c r="D90" s="26" t="s">
        <v>186</v>
      </c>
      <c r="E90" s="26" t="s">
        <v>190</v>
      </c>
      <c r="F90" s="12" t="s">
        <v>7</v>
      </c>
      <c r="G90" s="1" t="s">
        <v>336</v>
      </c>
      <c r="H90" s="10">
        <v>2021</v>
      </c>
      <c r="I90" s="19">
        <v>2655000</v>
      </c>
      <c r="J90" s="1">
        <v>366</v>
      </c>
      <c r="K90" s="9">
        <v>45292</v>
      </c>
      <c r="L90" s="11">
        <v>45657</v>
      </c>
      <c r="M90" s="2">
        <f t="shared" si="2"/>
        <v>43807.5</v>
      </c>
      <c r="N90" s="37">
        <v>11011.721311475409</v>
      </c>
      <c r="O90" s="77" t="s">
        <v>373</v>
      </c>
    </row>
    <row r="91" spans="1:15" x14ac:dyDescent="0.2">
      <c r="A91" s="8">
        <v>86</v>
      </c>
      <c r="B91" s="5" t="s">
        <v>227</v>
      </c>
      <c r="C91" s="15" t="s">
        <v>322</v>
      </c>
      <c r="D91" s="26" t="s">
        <v>185</v>
      </c>
      <c r="E91" s="26" t="s">
        <v>191</v>
      </c>
      <c r="F91" s="24" t="s">
        <v>7</v>
      </c>
      <c r="G91" s="1" t="s">
        <v>336</v>
      </c>
      <c r="H91" s="20">
        <v>2021</v>
      </c>
      <c r="I91" s="31">
        <v>2655000</v>
      </c>
      <c r="J91" s="1">
        <v>366</v>
      </c>
      <c r="K91" s="9">
        <v>45292</v>
      </c>
      <c r="L91" s="11">
        <v>45657</v>
      </c>
      <c r="M91" s="2">
        <f t="shared" si="2"/>
        <v>43807.5</v>
      </c>
      <c r="N91" s="37">
        <v>11011.721311475409</v>
      </c>
      <c r="O91" s="77" t="s">
        <v>373</v>
      </c>
    </row>
    <row r="92" spans="1:15" x14ac:dyDescent="0.2">
      <c r="A92" s="8">
        <v>87</v>
      </c>
      <c r="B92" s="15" t="s">
        <v>235</v>
      </c>
      <c r="C92" s="15" t="s">
        <v>323</v>
      </c>
      <c r="D92" s="29" t="s">
        <v>205</v>
      </c>
      <c r="E92" s="29" t="s">
        <v>219</v>
      </c>
      <c r="F92" s="20" t="s">
        <v>206</v>
      </c>
      <c r="G92" s="1" t="s">
        <v>336</v>
      </c>
      <c r="H92" s="20">
        <v>2022</v>
      </c>
      <c r="I92" s="19">
        <v>100000</v>
      </c>
      <c r="J92" s="1">
        <v>366</v>
      </c>
      <c r="K92" s="9">
        <v>45292</v>
      </c>
      <c r="L92" s="11">
        <v>45657</v>
      </c>
      <c r="M92" s="2">
        <f>I92*5%</f>
        <v>5000</v>
      </c>
      <c r="N92" s="37">
        <v>1256.8306010928961</v>
      </c>
      <c r="O92" s="77" t="s">
        <v>380</v>
      </c>
    </row>
    <row r="93" spans="1:15" x14ac:dyDescent="0.2">
      <c r="A93" s="8">
        <v>88</v>
      </c>
      <c r="B93" s="5" t="s">
        <v>229</v>
      </c>
      <c r="C93" s="5" t="s">
        <v>324</v>
      </c>
      <c r="D93" s="10" t="s">
        <v>199</v>
      </c>
      <c r="E93" s="10" t="s">
        <v>200</v>
      </c>
      <c r="F93" s="10" t="s">
        <v>7</v>
      </c>
      <c r="G93" s="27" t="s">
        <v>337</v>
      </c>
      <c r="H93" s="10">
        <v>2022</v>
      </c>
      <c r="I93" s="19">
        <v>7154500</v>
      </c>
      <c r="J93" s="1">
        <v>366</v>
      </c>
      <c r="K93" s="9">
        <v>45292</v>
      </c>
      <c r="L93" s="11">
        <v>45657</v>
      </c>
      <c r="M93" s="2">
        <f t="shared" ref="M93:M104" si="3">I93*1.65%</f>
        <v>118049.25</v>
      </c>
      <c r="N93" s="37">
        <v>29673.581967213115</v>
      </c>
      <c r="O93" s="77" t="s">
        <v>377</v>
      </c>
    </row>
    <row r="94" spans="1:15" x14ac:dyDescent="0.2">
      <c r="A94" s="8">
        <v>89</v>
      </c>
      <c r="B94" s="5" t="s">
        <v>229</v>
      </c>
      <c r="C94" s="5" t="s">
        <v>325</v>
      </c>
      <c r="D94" s="10" t="s">
        <v>197</v>
      </c>
      <c r="E94" s="10" t="s">
        <v>198</v>
      </c>
      <c r="F94" s="10" t="s">
        <v>7</v>
      </c>
      <c r="G94" s="27" t="s">
        <v>337</v>
      </c>
      <c r="H94" s="10">
        <v>2022</v>
      </c>
      <c r="I94" s="19">
        <v>7154500</v>
      </c>
      <c r="J94" s="1">
        <v>366</v>
      </c>
      <c r="K94" s="9">
        <v>45292</v>
      </c>
      <c r="L94" s="11">
        <v>45657</v>
      </c>
      <c r="M94" s="2">
        <f t="shared" si="3"/>
        <v>118049.25</v>
      </c>
      <c r="N94" s="37">
        <v>29673.581967213115</v>
      </c>
      <c r="O94" s="77" t="s">
        <v>377</v>
      </c>
    </row>
    <row r="95" spans="1:15" x14ac:dyDescent="0.2">
      <c r="A95" s="8">
        <v>90</v>
      </c>
      <c r="B95" s="5" t="s">
        <v>229</v>
      </c>
      <c r="C95" s="5" t="s">
        <v>326</v>
      </c>
      <c r="D95" s="10" t="s">
        <v>195</v>
      </c>
      <c r="E95" s="10" t="s">
        <v>196</v>
      </c>
      <c r="F95" s="10" t="s">
        <v>7</v>
      </c>
      <c r="G95" s="27" t="s">
        <v>337</v>
      </c>
      <c r="H95" s="10">
        <v>2022</v>
      </c>
      <c r="I95" s="19">
        <v>7154500</v>
      </c>
      <c r="J95" s="1">
        <v>366</v>
      </c>
      <c r="K95" s="9">
        <v>45292</v>
      </c>
      <c r="L95" s="11">
        <v>45657</v>
      </c>
      <c r="M95" s="2">
        <f t="shared" si="3"/>
        <v>118049.25</v>
      </c>
      <c r="N95" s="37">
        <v>29673.581967213115</v>
      </c>
      <c r="O95" s="77" t="s">
        <v>377</v>
      </c>
    </row>
    <row r="96" spans="1:15" x14ac:dyDescent="0.2">
      <c r="A96" s="8">
        <v>91</v>
      </c>
      <c r="B96" s="5" t="s">
        <v>229</v>
      </c>
      <c r="C96" s="5" t="s">
        <v>327</v>
      </c>
      <c r="D96" s="10" t="s">
        <v>193</v>
      </c>
      <c r="E96" s="10" t="s">
        <v>194</v>
      </c>
      <c r="F96" s="10" t="s">
        <v>7</v>
      </c>
      <c r="G96" s="27" t="s">
        <v>337</v>
      </c>
      <c r="H96" s="10">
        <v>2022</v>
      </c>
      <c r="I96" s="19">
        <v>7154500</v>
      </c>
      <c r="J96" s="1">
        <v>366</v>
      </c>
      <c r="K96" s="9">
        <v>45292</v>
      </c>
      <c r="L96" s="11">
        <v>45657</v>
      </c>
      <c r="M96" s="2">
        <f t="shared" si="3"/>
        <v>118049.25</v>
      </c>
      <c r="N96" s="37">
        <v>29673.581967213115</v>
      </c>
      <c r="O96" s="77" t="s">
        <v>377</v>
      </c>
    </row>
    <row r="97" spans="1:15" x14ac:dyDescent="0.2">
      <c r="A97" s="8">
        <v>92</v>
      </c>
      <c r="B97" s="5" t="s">
        <v>229</v>
      </c>
      <c r="C97" s="5" t="s">
        <v>328</v>
      </c>
      <c r="D97" s="10" t="s">
        <v>233</v>
      </c>
      <c r="E97" s="10" t="s">
        <v>234</v>
      </c>
      <c r="F97" s="10" t="s">
        <v>7</v>
      </c>
      <c r="G97" s="1" t="s">
        <v>336</v>
      </c>
      <c r="H97" s="10">
        <v>2023</v>
      </c>
      <c r="I97" s="19">
        <v>14164200</v>
      </c>
      <c r="J97" s="1">
        <v>366</v>
      </c>
      <c r="K97" s="9">
        <v>45292</v>
      </c>
      <c r="L97" s="11">
        <v>45657</v>
      </c>
      <c r="M97" s="2">
        <f t="shared" si="3"/>
        <v>233709.30000000002</v>
      </c>
      <c r="N97" s="37">
        <v>58746.600000000006</v>
      </c>
      <c r="O97" s="77" t="s">
        <v>375</v>
      </c>
    </row>
    <row r="98" spans="1:15" x14ac:dyDescent="0.2">
      <c r="A98" s="8">
        <v>93</v>
      </c>
      <c r="B98" s="10" t="s">
        <v>231</v>
      </c>
      <c r="C98" s="5" t="s">
        <v>329</v>
      </c>
      <c r="D98" s="1" t="s">
        <v>201</v>
      </c>
      <c r="E98" s="1" t="s">
        <v>202</v>
      </c>
      <c r="F98" s="1" t="s">
        <v>7</v>
      </c>
      <c r="G98" s="27" t="s">
        <v>337</v>
      </c>
      <c r="H98" s="10">
        <v>2022</v>
      </c>
      <c r="I98" s="14">
        <v>4275000</v>
      </c>
      <c r="J98" s="1">
        <v>366</v>
      </c>
      <c r="K98" s="9">
        <v>45292</v>
      </c>
      <c r="L98" s="11">
        <v>45657</v>
      </c>
      <c r="M98" s="2">
        <f t="shared" si="3"/>
        <v>70537.5</v>
      </c>
      <c r="N98" s="37">
        <v>17730.737704918032</v>
      </c>
      <c r="O98" s="77" t="s">
        <v>377</v>
      </c>
    </row>
    <row r="99" spans="1:15" x14ac:dyDescent="0.2">
      <c r="A99" s="8">
        <v>94</v>
      </c>
      <c r="B99" s="10" t="s">
        <v>231</v>
      </c>
      <c r="C99" s="5" t="s">
        <v>330</v>
      </c>
      <c r="D99" s="1" t="s">
        <v>203</v>
      </c>
      <c r="E99" s="1" t="s">
        <v>204</v>
      </c>
      <c r="F99" s="1" t="s">
        <v>7</v>
      </c>
      <c r="G99" s="27" t="s">
        <v>337</v>
      </c>
      <c r="H99" s="10">
        <v>2022</v>
      </c>
      <c r="I99" s="14">
        <v>4275000</v>
      </c>
      <c r="J99" s="1">
        <v>366</v>
      </c>
      <c r="K99" s="9">
        <v>45292</v>
      </c>
      <c r="L99" s="11">
        <v>45657</v>
      </c>
      <c r="M99" s="2">
        <f t="shared" si="3"/>
        <v>70537.5</v>
      </c>
      <c r="N99" s="37">
        <v>17730.737704918032</v>
      </c>
      <c r="O99" s="77" t="s">
        <v>377</v>
      </c>
    </row>
    <row r="100" spans="1:15" x14ac:dyDescent="0.2">
      <c r="A100" s="8">
        <v>95</v>
      </c>
      <c r="B100" s="5" t="s">
        <v>228</v>
      </c>
      <c r="C100" s="15" t="s">
        <v>331</v>
      </c>
      <c r="D100" s="10" t="s">
        <v>213</v>
      </c>
      <c r="E100" s="1" t="s">
        <v>215</v>
      </c>
      <c r="F100" s="10" t="s">
        <v>7</v>
      </c>
      <c r="G100" s="27" t="s">
        <v>340</v>
      </c>
      <c r="H100" s="10">
        <v>2023</v>
      </c>
      <c r="I100" s="19">
        <v>4052500</v>
      </c>
      <c r="J100" s="1">
        <v>366</v>
      </c>
      <c r="K100" s="9">
        <v>45292</v>
      </c>
      <c r="L100" s="11">
        <v>45657</v>
      </c>
      <c r="M100" s="2">
        <f t="shared" si="3"/>
        <v>66866.25</v>
      </c>
      <c r="N100" s="37">
        <v>16807.909836065573</v>
      </c>
      <c r="O100" s="77" t="s">
        <v>378</v>
      </c>
    </row>
    <row r="101" spans="1:15" x14ac:dyDescent="0.2">
      <c r="A101" s="8">
        <v>96</v>
      </c>
      <c r="B101" s="5" t="s">
        <v>228</v>
      </c>
      <c r="C101" s="15" t="s">
        <v>332</v>
      </c>
      <c r="D101" s="10" t="s">
        <v>214</v>
      </c>
      <c r="E101" s="1" t="s">
        <v>216</v>
      </c>
      <c r="F101" s="10" t="s">
        <v>7</v>
      </c>
      <c r="G101" s="27" t="s">
        <v>340</v>
      </c>
      <c r="H101" s="10">
        <v>2023</v>
      </c>
      <c r="I101" s="19">
        <v>4052500</v>
      </c>
      <c r="J101" s="1">
        <v>366</v>
      </c>
      <c r="K101" s="9">
        <v>45292</v>
      </c>
      <c r="L101" s="11">
        <v>45657</v>
      </c>
      <c r="M101" s="2">
        <f t="shared" si="3"/>
        <v>66866.25</v>
      </c>
      <c r="N101" s="37">
        <v>16807.909836065573</v>
      </c>
      <c r="O101" s="77" t="s">
        <v>378</v>
      </c>
    </row>
    <row r="102" spans="1:15" x14ac:dyDescent="0.2">
      <c r="A102" s="8">
        <v>97</v>
      </c>
      <c r="B102" s="15" t="s">
        <v>232</v>
      </c>
      <c r="C102" s="15" t="s">
        <v>333</v>
      </c>
      <c r="D102" s="29" t="s">
        <v>207</v>
      </c>
      <c r="E102" s="28" t="s">
        <v>210</v>
      </c>
      <c r="F102" s="24" t="s">
        <v>7</v>
      </c>
      <c r="G102" s="27" t="s">
        <v>340</v>
      </c>
      <c r="H102" s="20">
        <v>2022</v>
      </c>
      <c r="I102" s="19">
        <v>4382500</v>
      </c>
      <c r="J102" s="1">
        <v>366</v>
      </c>
      <c r="K102" s="9">
        <v>45292</v>
      </c>
      <c r="L102" s="11">
        <v>45657</v>
      </c>
      <c r="M102" s="2">
        <f t="shared" si="3"/>
        <v>72311.25</v>
      </c>
      <c r="N102" s="37">
        <v>18176.598360655738</v>
      </c>
      <c r="O102" s="77" t="s">
        <v>378</v>
      </c>
    </row>
    <row r="103" spans="1:15" x14ac:dyDescent="0.2">
      <c r="A103" s="8">
        <v>98</v>
      </c>
      <c r="B103" s="15" t="s">
        <v>232</v>
      </c>
      <c r="C103" s="15" t="s">
        <v>334</v>
      </c>
      <c r="D103" s="29" t="s">
        <v>208</v>
      </c>
      <c r="E103" s="28" t="s">
        <v>211</v>
      </c>
      <c r="F103" s="24" t="s">
        <v>7</v>
      </c>
      <c r="G103" s="27" t="s">
        <v>340</v>
      </c>
      <c r="H103" s="20">
        <v>2022</v>
      </c>
      <c r="I103" s="19">
        <v>4382500</v>
      </c>
      <c r="J103" s="1">
        <v>366</v>
      </c>
      <c r="K103" s="9">
        <v>45292</v>
      </c>
      <c r="L103" s="11">
        <v>45657</v>
      </c>
      <c r="M103" s="2">
        <f t="shared" si="3"/>
        <v>72311.25</v>
      </c>
      <c r="N103" s="37">
        <v>18176.598360655738</v>
      </c>
      <c r="O103" s="77" t="s">
        <v>378</v>
      </c>
    </row>
    <row r="104" spans="1:15" x14ac:dyDescent="0.2">
      <c r="A104" s="8">
        <v>99</v>
      </c>
      <c r="B104" s="15" t="s">
        <v>232</v>
      </c>
      <c r="C104" s="15" t="s">
        <v>335</v>
      </c>
      <c r="D104" s="29" t="s">
        <v>209</v>
      </c>
      <c r="E104" s="28" t="s">
        <v>212</v>
      </c>
      <c r="F104" s="24" t="s">
        <v>7</v>
      </c>
      <c r="G104" s="27" t="s">
        <v>340</v>
      </c>
      <c r="H104" s="20">
        <v>2022</v>
      </c>
      <c r="I104" s="19">
        <v>4382500</v>
      </c>
      <c r="J104" s="1">
        <v>366</v>
      </c>
      <c r="K104" s="9">
        <v>45292</v>
      </c>
      <c r="L104" s="11">
        <v>45657</v>
      </c>
      <c r="M104" s="2">
        <f t="shared" si="3"/>
        <v>72311.25</v>
      </c>
      <c r="N104" s="37">
        <v>18176.598360655738</v>
      </c>
      <c r="O104" s="77" t="s">
        <v>378</v>
      </c>
    </row>
    <row r="105" spans="1:15" x14ac:dyDescent="0.2">
      <c r="A105" s="8">
        <v>100</v>
      </c>
      <c r="B105" s="44" t="s">
        <v>366</v>
      </c>
      <c r="C105" s="23" t="s">
        <v>360</v>
      </c>
      <c r="D105" s="32" t="s">
        <v>358</v>
      </c>
      <c r="E105" s="32" t="s">
        <v>359</v>
      </c>
      <c r="F105" s="24" t="s">
        <v>7</v>
      </c>
      <c r="G105" s="27" t="s">
        <v>340</v>
      </c>
      <c r="H105" s="20">
        <v>2024</v>
      </c>
      <c r="I105" s="19">
        <v>7324000</v>
      </c>
      <c r="J105" s="1">
        <v>272</v>
      </c>
      <c r="K105" s="9">
        <v>45385</v>
      </c>
      <c r="L105" s="11">
        <v>45657</v>
      </c>
      <c r="M105" s="2">
        <f>I105*1.65%/366*272</f>
        <v>89809.049180327871</v>
      </c>
      <c r="N105" s="37">
        <v>30376.59016393443</v>
      </c>
      <c r="O105" s="77" t="s">
        <v>376</v>
      </c>
    </row>
    <row r="106" spans="1:15" x14ac:dyDescent="0.2">
      <c r="A106" s="8">
        <v>101</v>
      </c>
      <c r="B106" s="5" t="s">
        <v>227</v>
      </c>
      <c r="C106" s="15" t="s">
        <v>353</v>
      </c>
      <c r="D106" s="29" t="s">
        <v>347</v>
      </c>
      <c r="E106" s="28" t="s">
        <v>348</v>
      </c>
      <c r="F106" s="20" t="s">
        <v>7</v>
      </c>
      <c r="G106" s="1" t="s">
        <v>336</v>
      </c>
      <c r="H106" s="20">
        <v>2024</v>
      </c>
      <c r="I106" s="19">
        <v>4819500</v>
      </c>
      <c r="J106" s="1">
        <f t="shared" ref="J106:J110" si="4">366-31-29-12</f>
        <v>294</v>
      </c>
      <c r="K106" s="9">
        <v>45364</v>
      </c>
      <c r="L106" s="11">
        <v>45657</v>
      </c>
      <c r="M106" s="2">
        <f>I106*1.65%/366*294</f>
        <v>63878.127049180323</v>
      </c>
      <c r="N106" s="37">
        <v>19989.073770491803</v>
      </c>
      <c r="O106" s="77" t="s">
        <v>379</v>
      </c>
    </row>
    <row r="107" spans="1:15" x14ac:dyDescent="0.2">
      <c r="A107" s="8">
        <v>102</v>
      </c>
      <c r="B107" s="5" t="s">
        <v>227</v>
      </c>
      <c r="C107" s="15" t="s">
        <v>354</v>
      </c>
      <c r="D107" s="29" t="s">
        <v>343</v>
      </c>
      <c r="E107" s="28" t="s">
        <v>344</v>
      </c>
      <c r="F107" s="20" t="s">
        <v>7</v>
      </c>
      <c r="G107" s="1" t="s">
        <v>336</v>
      </c>
      <c r="H107" s="20">
        <v>2024</v>
      </c>
      <c r="I107" s="19">
        <v>4819500</v>
      </c>
      <c r="J107" s="1">
        <f>366-31-29-12</f>
        <v>294</v>
      </c>
      <c r="K107" s="9">
        <v>45364</v>
      </c>
      <c r="L107" s="11">
        <v>45657</v>
      </c>
      <c r="M107" s="2">
        <f>I107*1.65%/366*294</f>
        <v>63878.127049180323</v>
      </c>
      <c r="N107" s="37">
        <v>19989.073770491803</v>
      </c>
      <c r="O107" s="77" t="s">
        <v>379</v>
      </c>
    </row>
    <row r="108" spans="1:15" x14ac:dyDescent="0.2">
      <c r="A108" s="8">
        <v>103</v>
      </c>
      <c r="B108" s="5" t="s">
        <v>227</v>
      </c>
      <c r="C108" s="15" t="s">
        <v>355</v>
      </c>
      <c r="D108" s="29" t="s">
        <v>351</v>
      </c>
      <c r="E108" s="28" t="s">
        <v>352</v>
      </c>
      <c r="F108" s="20" t="s">
        <v>7</v>
      </c>
      <c r="G108" s="1" t="s">
        <v>336</v>
      </c>
      <c r="H108" s="20">
        <v>2024</v>
      </c>
      <c r="I108" s="19">
        <v>4819500</v>
      </c>
      <c r="J108" s="1">
        <f t="shared" si="4"/>
        <v>294</v>
      </c>
      <c r="K108" s="9">
        <v>45364</v>
      </c>
      <c r="L108" s="11">
        <v>45657</v>
      </c>
      <c r="M108" s="2">
        <f>I108*1.65%/366*294</f>
        <v>63878.127049180323</v>
      </c>
      <c r="N108" s="37">
        <v>19989.073770491803</v>
      </c>
      <c r="O108" s="77" t="s">
        <v>379</v>
      </c>
    </row>
    <row r="109" spans="1:15" x14ac:dyDescent="0.2">
      <c r="A109" s="8">
        <v>104</v>
      </c>
      <c r="B109" s="5" t="s">
        <v>227</v>
      </c>
      <c r="C109" s="15" t="s">
        <v>356</v>
      </c>
      <c r="D109" s="29" t="s">
        <v>349</v>
      </c>
      <c r="E109" s="28" t="s">
        <v>350</v>
      </c>
      <c r="F109" s="20" t="s">
        <v>7</v>
      </c>
      <c r="G109" s="1" t="s">
        <v>336</v>
      </c>
      <c r="H109" s="20">
        <v>2024</v>
      </c>
      <c r="I109" s="19">
        <v>4819500</v>
      </c>
      <c r="J109" s="1">
        <f t="shared" si="4"/>
        <v>294</v>
      </c>
      <c r="K109" s="9">
        <v>45364</v>
      </c>
      <c r="L109" s="11">
        <v>45657</v>
      </c>
      <c r="M109" s="2">
        <f>I109*1.65%/366*294</f>
        <v>63878.127049180323</v>
      </c>
      <c r="N109" s="37">
        <v>19989.073770491803</v>
      </c>
      <c r="O109" s="77" t="s">
        <v>379</v>
      </c>
    </row>
    <row r="110" spans="1:15" x14ac:dyDescent="0.2">
      <c r="A110" s="8">
        <v>105</v>
      </c>
      <c r="B110" s="5" t="s">
        <v>227</v>
      </c>
      <c r="C110" s="15" t="s">
        <v>357</v>
      </c>
      <c r="D110" s="29" t="s">
        <v>345</v>
      </c>
      <c r="E110" s="28" t="s">
        <v>346</v>
      </c>
      <c r="F110" s="20" t="s">
        <v>7</v>
      </c>
      <c r="G110" s="1" t="s">
        <v>336</v>
      </c>
      <c r="H110" s="20">
        <v>2024</v>
      </c>
      <c r="I110" s="19">
        <v>4819500</v>
      </c>
      <c r="J110" s="1">
        <f t="shared" si="4"/>
        <v>294</v>
      </c>
      <c r="K110" s="9">
        <v>45364</v>
      </c>
      <c r="L110" s="11">
        <v>45657</v>
      </c>
      <c r="M110" s="2">
        <f>I110*1.65%/366*294</f>
        <v>63878.127049180323</v>
      </c>
      <c r="N110" s="37">
        <v>19989.073770491803</v>
      </c>
      <c r="O110" s="77" t="s">
        <v>379</v>
      </c>
    </row>
    <row r="111" spans="1:15" x14ac:dyDescent="0.2">
      <c r="A111" s="8">
        <v>106</v>
      </c>
      <c r="B111" s="5" t="s">
        <v>367</v>
      </c>
      <c r="C111" s="15" t="s">
        <v>368</v>
      </c>
      <c r="D111" s="29" t="s">
        <v>362</v>
      </c>
      <c r="E111" s="28" t="s">
        <v>363</v>
      </c>
      <c r="F111" s="20" t="s">
        <v>7</v>
      </c>
      <c r="G111" s="1" t="s">
        <v>336</v>
      </c>
      <c r="H111" s="20">
        <v>2024</v>
      </c>
      <c r="I111" s="19">
        <v>10084000</v>
      </c>
      <c r="J111" s="1">
        <f>366-31-29-31-30-31-7</f>
        <v>207</v>
      </c>
      <c r="K111" s="9">
        <v>45450</v>
      </c>
      <c r="L111" s="11">
        <v>45657</v>
      </c>
      <c r="M111" s="2">
        <f>I111*1.65%/366*207</f>
        <v>94103.557377049176</v>
      </c>
      <c r="N111" s="37">
        <v>41823.803278688523</v>
      </c>
      <c r="O111" s="79" t="s">
        <v>373</v>
      </c>
    </row>
    <row r="112" spans="1:15" ht="13.5" thickBot="1" x14ac:dyDescent="0.25">
      <c r="A112" s="34"/>
      <c r="B112" s="5" t="s">
        <v>367</v>
      </c>
      <c r="C112" s="15" t="s">
        <v>368</v>
      </c>
      <c r="D112" s="29" t="s">
        <v>362</v>
      </c>
      <c r="E112" s="28" t="s">
        <v>363</v>
      </c>
      <c r="F112" s="20" t="s">
        <v>7</v>
      </c>
      <c r="G112" s="1" t="s">
        <v>336</v>
      </c>
      <c r="H112" s="20">
        <v>2024</v>
      </c>
      <c r="I112" s="19">
        <v>10084000</v>
      </c>
      <c r="J112" s="1">
        <f>366-31-29-31-30-31-7</f>
        <v>207</v>
      </c>
      <c r="K112" s="9">
        <v>45450</v>
      </c>
      <c r="L112" s="11">
        <v>45657</v>
      </c>
      <c r="M112" s="60" t="s">
        <v>369</v>
      </c>
      <c r="N112" s="37">
        <v>10456</v>
      </c>
      <c r="O112" s="79" t="s">
        <v>373</v>
      </c>
    </row>
    <row r="113" spans="1:15" ht="13.5" thickBot="1" x14ac:dyDescent="0.25">
      <c r="A113" s="34"/>
      <c r="B113" s="42"/>
      <c r="C113" s="35"/>
      <c r="D113" s="40"/>
      <c r="E113" s="43"/>
      <c r="F113" s="36"/>
      <c r="G113" s="39"/>
      <c r="H113" s="36"/>
      <c r="I113" s="38"/>
      <c r="J113" s="55"/>
      <c r="K113" s="56"/>
      <c r="L113" s="57"/>
      <c r="M113" s="38">
        <f>SUM(M6:M112)</f>
        <v>5574293.2918032799</v>
      </c>
      <c r="N113" s="38">
        <f>SUM(N6:N112)</f>
        <v>1457276.8568306013</v>
      </c>
    </row>
    <row r="114" spans="1:15" x14ac:dyDescent="0.2"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41"/>
    </row>
    <row r="115" spans="1:15" ht="13.5" thickBot="1" x14ac:dyDescent="0.25"/>
    <row r="116" spans="1:15" ht="16.5" thickBot="1" x14ac:dyDescent="0.25">
      <c r="A116" s="80" t="s">
        <v>370</v>
      </c>
      <c r="B116" s="81"/>
      <c r="C116" s="81"/>
      <c r="D116" s="82"/>
      <c r="O116" t="s">
        <v>381</v>
      </c>
    </row>
    <row r="117" spans="1:15" x14ac:dyDescent="0.2">
      <c r="A117" s="8">
        <v>1</v>
      </c>
      <c r="B117" s="46" t="s">
        <v>220</v>
      </c>
      <c r="C117" s="47" t="s">
        <v>236</v>
      </c>
      <c r="D117" s="46" t="s">
        <v>181</v>
      </c>
      <c r="E117" s="46" t="s">
        <v>31</v>
      </c>
      <c r="F117" s="46" t="s">
        <v>7</v>
      </c>
      <c r="G117" s="46" t="s">
        <v>336</v>
      </c>
      <c r="H117" s="46">
        <v>2017</v>
      </c>
      <c r="I117" s="45">
        <v>2500000</v>
      </c>
      <c r="J117" s="46">
        <v>366</v>
      </c>
      <c r="K117" s="48">
        <v>45292</v>
      </c>
      <c r="L117" s="49">
        <v>45657</v>
      </c>
      <c r="M117" s="50">
        <f>I117*1.65%</f>
        <v>41250</v>
      </c>
      <c r="N117" s="58">
        <v>0</v>
      </c>
    </row>
    <row r="118" spans="1:15" x14ac:dyDescent="0.2">
      <c r="A118" s="8">
        <v>2</v>
      </c>
      <c r="B118" s="47" t="s">
        <v>223</v>
      </c>
      <c r="C118" s="47" t="s">
        <v>251</v>
      </c>
      <c r="D118" s="61" t="s">
        <v>25</v>
      </c>
      <c r="E118" s="46" t="s">
        <v>26</v>
      </c>
      <c r="F118" s="46" t="s">
        <v>7</v>
      </c>
      <c r="G118" s="46" t="s">
        <v>336</v>
      </c>
      <c r="H118" s="46">
        <v>2017</v>
      </c>
      <c r="I118" s="54">
        <v>2300000</v>
      </c>
      <c r="J118" s="46">
        <v>366</v>
      </c>
      <c r="K118" s="48">
        <v>45292</v>
      </c>
      <c r="L118" s="49">
        <v>45657</v>
      </c>
      <c r="M118" s="50">
        <f>I118*1.65%</f>
        <v>37950</v>
      </c>
      <c r="N118" s="51">
        <v>0</v>
      </c>
    </row>
    <row r="119" spans="1:15" x14ac:dyDescent="0.2">
      <c r="A119" s="8">
        <v>3</v>
      </c>
      <c r="B119" s="46" t="s">
        <v>223</v>
      </c>
      <c r="C119" s="47" t="s">
        <v>253</v>
      </c>
      <c r="D119" s="61" t="s">
        <v>19</v>
      </c>
      <c r="E119" s="46" t="s">
        <v>20</v>
      </c>
      <c r="F119" s="46" t="s">
        <v>7</v>
      </c>
      <c r="G119" s="46" t="s">
        <v>336</v>
      </c>
      <c r="H119" s="46">
        <v>2017</v>
      </c>
      <c r="I119" s="54">
        <v>2300000</v>
      </c>
      <c r="J119" s="46">
        <v>366</v>
      </c>
      <c r="K119" s="48">
        <v>45292</v>
      </c>
      <c r="L119" s="49">
        <v>45657</v>
      </c>
      <c r="M119" s="50">
        <f>I119*1.65%</f>
        <v>37950</v>
      </c>
      <c r="N119" s="51">
        <v>0</v>
      </c>
    </row>
  </sheetData>
  <mergeCells count="4">
    <mergeCell ref="A116:D116"/>
    <mergeCell ref="A2:N2"/>
    <mergeCell ref="A3:N3"/>
    <mergeCell ref="A4:N4"/>
  </mergeCells>
  <conditionalFormatting sqref="A5:O5">
    <cfRule type="containsText" dxfId="4" priority="1" operator="containsText" text="Sr.">
      <formula>NOT(ISERROR(SEARCH("Sr.",A5)))</formula>
    </cfRule>
  </conditionalFormatting>
  <printOptions verticalCentered="1"/>
  <pageMargins left="0.2" right="0.2" top="0.5" bottom="0.75" header="0" footer="0"/>
  <pageSetup paperSize="9" scale="90" fitToHeight="0" orientation="landscape" r:id="rId1"/>
  <ignoredErrors>
    <ignoredError sqref="M9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7D8E-6599-4F91-A6FA-0B2CBCBDBF18}">
  <dimension ref="A1:H108"/>
  <sheetViews>
    <sheetView topLeftCell="G108" workbookViewId="0">
      <selection activeCell="H108" sqref="H2:H108"/>
    </sheetView>
  </sheetViews>
  <sheetFormatPr defaultRowHeight="12.75" x14ac:dyDescent="0.2"/>
  <cols>
    <col min="1" max="1" width="39.28515625" bestFit="1" customWidth="1"/>
    <col min="2" max="2" width="13.5703125" bestFit="1" customWidth="1"/>
    <col min="3" max="3" width="12.85546875" bestFit="1" customWidth="1"/>
    <col min="4" max="4" width="9.5703125" bestFit="1" customWidth="1"/>
    <col min="5" max="5" width="13.7109375" bestFit="1" customWidth="1"/>
    <col min="6" max="6" width="95.28515625" customWidth="1"/>
    <col min="7" max="7" width="84.85546875" customWidth="1"/>
    <col min="8" max="8" width="75.85546875" customWidth="1"/>
  </cols>
  <sheetData>
    <row r="1" spans="1:8" ht="15" x14ac:dyDescent="0.25">
      <c r="A1" s="93" t="s">
        <v>398</v>
      </c>
      <c r="B1" t="s">
        <v>399</v>
      </c>
      <c r="D1" s="94" t="s">
        <v>400</v>
      </c>
      <c r="E1" s="95" t="s">
        <v>401</v>
      </c>
    </row>
    <row r="2" spans="1:8" ht="120.75" customHeight="1" x14ac:dyDescent="0.25">
      <c r="A2" s="77" t="s">
        <v>371</v>
      </c>
      <c r="B2" s="96" t="str">
        <f>VLOOKUP(A2,policy!B:C,2,0)</f>
        <v>040000164225</v>
      </c>
      <c r="C2" s="70">
        <v>13272.131147540984</v>
      </c>
      <c r="D2" s="97">
        <f>ROUND(C2,0)</f>
        <v>13272</v>
      </c>
      <c r="E2" s="95" t="s">
        <v>401</v>
      </c>
      <c r="F2" s="9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99" t="str">
        <f>"('"&amp;E2&amp;"','"&amp;B2&amp;"','"&amp;D2&amp;"',(select max(to_number(i.premium_rcv_detail_code))+1
from ins_premium_det i),'"&amp;D2&amp;"','"&amp;D2&amp;"','02', '11000003','00','Request by Mr. Saqib Saleem 15-Nov-2024');"</f>
        <v>('14Nov240007','040000164225','13272',(select max(to_number(i.premium_rcv_detail_code))+1
from ins_premium_det i),'13272','13272','02', '11000003','00','Request by Mr. Saqib Saleem 15-Nov-2024');</v>
      </c>
      <c r="H2" s="100" t="str">
        <f>F2&amp;G2</f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3" spans="1:8" ht="90" x14ac:dyDescent="0.25">
      <c r="A3" s="77" t="s">
        <v>371</v>
      </c>
      <c r="B3" s="96" t="str">
        <f>VLOOKUP(A3,policy!B:C,2,0)</f>
        <v>040000164225</v>
      </c>
      <c r="C3" s="37">
        <v>13272.131147540984</v>
      </c>
      <c r="D3" s="97">
        <f t="shared" ref="D3:D66" si="1">ROUND(C3,0)</f>
        <v>13272</v>
      </c>
      <c r="E3" s="95" t="s">
        <v>401</v>
      </c>
      <c r="F3" s="98" t="str">
        <f t="shared" si="0"/>
        <v>insert into ins_premium_det (premium_rcv_code,assorted_code, rec_amount,premium_rcv_detail_code,remaining_amt, payrec, mode_code,coinsurance_code,class_cd,it_remarks) values</v>
      </c>
      <c r="G3" s="99" t="str">
        <f t="shared" ref="G3:G66" si="2">"('"&amp;E3&amp;"','"&amp;B3&amp;"','"&amp;D3&amp;"',(select max(to_number(i.premium_rcv_detail_code))+1
from ins_premium_det i),'"&amp;D3&amp;"','"&amp;D3&amp;"','02', '11000003','00','Request by Mr. Saqib Saleem 15-Nov-2024');"</f>
        <v>('14Nov240007','040000164225','13272',(select max(to_number(i.premium_rcv_detail_code))+1
from ins_premium_det i),'13272','13272','02', '11000003','00','Request by Mr. Saqib Saleem 15-Nov-2024');</v>
      </c>
      <c r="H3" s="100" t="str">
        <f t="shared" ref="H3:H66" si="3">F3&amp;G3</f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4" spans="1:8" ht="90" x14ac:dyDescent="0.25">
      <c r="A4" s="77" t="s">
        <v>371</v>
      </c>
      <c r="B4" s="96" t="str">
        <f>VLOOKUP(A4,policy!B:C,2,0)</f>
        <v>040000164225</v>
      </c>
      <c r="C4" s="37">
        <v>13272.131147540984</v>
      </c>
      <c r="D4" s="97">
        <f t="shared" si="1"/>
        <v>13272</v>
      </c>
      <c r="E4" s="95" t="s">
        <v>401</v>
      </c>
      <c r="F4" s="98" t="str">
        <f t="shared" si="0"/>
        <v>insert into ins_premium_det (premium_rcv_code,assorted_code, rec_amount,premium_rcv_detail_code,remaining_amt, payrec, mode_code,coinsurance_code,class_cd,it_remarks) values</v>
      </c>
      <c r="G4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4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5" spans="1:8" ht="90" x14ac:dyDescent="0.25">
      <c r="A5" s="77" t="s">
        <v>371</v>
      </c>
      <c r="B5" s="96" t="str">
        <f>VLOOKUP(A5,policy!B:C,2,0)</f>
        <v>040000164225</v>
      </c>
      <c r="C5" s="37">
        <v>13272.131147540984</v>
      </c>
      <c r="D5" s="97">
        <f t="shared" si="1"/>
        <v>13272</v>
      </c>
      <c r="E5" s="95" t="s">
        <v>401</v>
      </c>
      <c r="F5" s="98" t="str">
        <f t="shared" si="0"/>
        <v>insert into ins_premium_det (premium_rcv_code,assorted_code, rec_amount,premium_rcv_detail_code,remaining_amt, payrec, mode_code,coinsurance_code,class_cd,it_remarks) values</v>
      </c>
      <c r="G5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5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6" spans="1:8" ht="90" x14ac:dyDescent="0.25">
      <c r="A6" s="77" t="s">
        <v>371</v>
      </c>
      <c r="B6" s="96" t="str">
        <f>VLOOKUP(A6,policy!B:C,2,0)</f>
        <v>040000164225</v>
      </c>
      <c r="C6" s="37">
        <v>13272.131147540984</v>
      </c>
      <c r="D6" s="97">
        <f t="shared" si="1"/>
        <v>13272</v>
      </c>
      <c r="E6" s="95" t="s">
        <v>401</v>
      </c>
      <c r="F6" s="98" t="str">
        <f t="shared" si="0"/>
        <v>insert into ins_premium_det (premium_rcv_code,assorted_code, rec_amount,premium_rcv_detail_code,remaining_amt, payrec, mode_code,coinsurance_code,class_cd,it_remarks) values</v>
      </c>
      <c r="G6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6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7" spans="1:8" ht="90" x14ac:dyDescent="0.25">
      <c r="A7" s="77" t="s">
        <v>371</v>
      </c>
      <c r="B7" s="96" t="str">
        <f>VLOOKUP(A7,policy!B:C,2,0)</f>
        <v>040000164225</v>
      </c>
      <c r="C7" s="37">
        <v>13272.131147540984</v>
      </c>
      <c r="D7" s="97">
        <f t="shared" si="1"/>
        <v>13272</v>
      </c>
      <c r="E7" s="95" t="s">
        <v>401</v>
      </c>
      <c r="F7" s="98" t="str">
        <f t="shared" si="0"/>
        <v>insert into ins_premium_det (premium_rcv_code,assorted_code, rec_amount,premium_rcv_detail_code,remaining_amt, payrec, mode_code,coinsurance_code,class_cd,it_remarks) values</v>
      </c>
      <c r="G7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7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8" spans="1:8" ht="90" x14ac:dyDescent="0.25">
      <c r="A8" s="77" t="s">
        <v>371</v>
      </c>
      <c r="B8" s="96" t="str">
        <f>VLOOKUP(A8,policy!B:C,2,0)</f>
        <v>040000164225</v>
      </c>
      <c r="C8" s="37">
        <v>13272.131147540984</v>
      </c>
      <c r="D8" s="97">
        <f t="shared" si="1"/>
        <v>13272</v>
      </c>
      <c r="E8" s="95" t="s">
        <v>401</v>
      </c>
      <c r="F8" s="98" t="str">
        <f t="shared" si="0"/>
        <v>insert into ins_premium_det (premium_rcv_code,assorted_code, rec_amount,premium_rcv_detail_code,remaining_amt, payrec, mode_code,coinsurance_code,class_cd,it_remarks) values</v>
      </c>
      <c r="G8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8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9" spans="1:8" ht="90" x14ac:dyDescent="0.25">
      <c r="A9" s="77" t="s">
        <v>371</v>
      </c>
      <c r="B9" s="96" t="str">
        <f>VLOOKUP(A9,policy!B:C,2,0)</f>
        <v>040000164225</v>
      </c>
      <c r="C9" s="37">
        <v>13272.131147540984</v>
      </c>
      <c r="D9" s="97">
        <f t="shared" si="1"/>
        <v>13272</v>
      </c>
      <c r="E9" s="95" t="s">
        <v>401</v>
      </c>
      <c r="F9" s="98" t="str">
        <f t="shared" si="0"/>
        <v>insert into ins_premium_det (premium_rcv_code,assorted_code, rec_amount,premium_rcv_detail_code,remaining_amt, payrec, mode_code,coinsurance_code,class_cd,it_remarks) values</v>
      </c>
      <c r="G9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9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10" spans="1:8" ht="90" x14ac:dyDescent="0.25">
      <c r="A10" s="77" t="s">
        <v>371</v>
      </c>
      <c r="B10" s="96" t="str">
        <f>VLOOKUP(A10,policy!B:C,2,0)</f>
        <v>040000164225</v>
      </c>
      <c r="C10" s="37">
        <v>13272.131147540984</v>
      </c>
      <c r="D10" s="97">
        <f t="shared" si="1"/>
        <v>13272</v>
      </c>
      <c r="E10" s="95" t="s">
        <v>401</v>
      </c>
      <c r="F10" s="98" t="str">
        <f t="shared" si="0"/>
        <v>insert into ins_premium_det (premium_rcv_code,assorted_code, rec_amount,premium_rcv_detail_code,remaining_amt, payrec, mode_code,coinsurance_code,class_cd,it_remarks) values</v>
      </c>
      <c r="G10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10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11" spans="1:8" ht="90" x14ac:dyDescent="0.25">
      <c r="A11" s="77" t="s">
        <v>371</v>
      </c>
      <c r="B11" s="96" t="str">
        <f>VLOOKUP(A11,policy!B:C,2,0)</f>
        <v>040000164225</v>
      </c>
      <c r="C11" s="37">
        <v>13272.131147540984</v>
      </c>
      <c r="D11" s="97">
        <f t="shared" si="1"/>
        <v>13272</v>
      </c>
      <c r="E11" s="95" t="s">
        <v>401</v>
      </c>
      <c r="F11" s="98" t="str">
        <f t="shared" si="0"/>
        <v>insert into ins_premium_det (premium_rcv_code,assorted_code, rec_amount,premium_rcv_detail_code,remaining_amt, payrec, mode_code,coinsurance_code,class_cd,it_remarks) values</v>
      </c>
      <c r="G11" s="99" t="str">
        <f t="shared" si="2"/>
        <v>('14Nov240007','040000164225','13272',(select max(to_number(i.premium_rcv_detail_code))+1
from ins_premium_det i),'13272','13272','02', '11000003','00','Request by Mr. Saqib Saleem 15-Nov-2024');</v>
      </c>
      <c r="H11" s="100" t="str">
        <f t="shared" si="3"/>
        <v>insert into ins_premium_det (premium_rcv_code,assorted_code, rec_amount,premium_rcv_detail_code,remaining_amt, payrec, mode_code,coinsurance_code,class_cd,it_remarks) values('14Nov240007','040000164225','13272',(select max(to_number(i.premium_rcv_detail_code))+1
from ins_premium_det i),'13272','13272','02', '11000003','00','Request by Mr. Saqib Saleem 15-Nov-2024');</v>
      </c>
    </row>
    <row r="12" spans="1:8" ht="90" x14ac:dyDescent="0.25">
      <c r="A12" s="77" t="s">
        <v>372</v>
      </c>
      <c r="B12" s="96" t="str">
        <f>VLOOKUP(A12,policy!B:C,2,0)</f>
        <v>040000164226</v>
      </c>
      <c r="C12" s="37">
        <v>13272.131147540984</v>
      </c>
      <c r="D12" s="97">
        <f t="shared" si="1"/>
        <v>13272</v>
      </c>
      <c r="E12" s="95" t="s">
        <v>401</v>
      </c>
      <c r="F12" s="98" t="str">
        <f t="shared" si="0"/>
        <v>insert into ins_premium_det (premium_rcv_code,assorted_code, rec_amount,premium_rcv_detail_code,remaining_amt, payrec, mode_code,coinsurance_code,class_cd,it_remarks) values</v>
      </c>
      <c r="G12" s="99" t="str">
        <f t="shared" si="2"/>
        <v>('14Nov240007','040000164226','13272',(select max(to_number(i.premium_rcv_detail_code))+1
from ins_premium_det i),'13272','13272','02', '11000003','00','Request by Mr. Saqib Saleem 15-Nov-2024');</v>
      </c>
      <c r="H12" s="100" t="str">
        <f t="shared" si="3"/>
        <v>insert into ins_premium_det (premium_rcv_code,assorted_code, rec_amount,premium_rcv_detail_code,remaining_amt, payrec, mode_code,coinsurance_code,class_cd,it_remarks) values('14Nov240007','040000164226','13272',(select max(to_number(i.premium_rcv_detail_code))+1
from ins_premium_det i),'13272','13272','02', '11000003','00','Request by Mr. Saqib Saleem 15-Nov-2024');</v>
      </c>
    </row>
    <row r="13" spans="1:8" ht="90" x14ac:dyDescent="0.25">
      <c r="A13" s="77" t="s">
        <v>372</v>
      </c>
      <c r="B13" s="96" t="str">
        <f>VLOOKUP(A13,policy!B:C,2,0)</f>
        <v>040000164226</v>
      </c>
      <c r="C13" s="37">
        <v>13272.131147540984</v>
      </c>
      <c r="D13" s="97">
        <f t="shared" si="1"/>
        <v>13272</v>
      </c>
      <c r="E13" s="95" t="s">
        <v>401</v>
      </c>
      <c r="F13" s="98" t="str">
        <f t="shared" si="0"/>
        <v>insert into ins_premium_det (premium_rcv_code,assorted_code, rec_amount,premium_rcv_detail_code,remaining_amt, payrec, mode_code,coinsurance_code,class_cd,it_remarks) values</v>
      </c>
      <c r="G13" s="99" t="str">
        <f t="shared" si="2"/>
        <v>('14Nov240007','040000164226','13272',(select max(to_number(i.premium_rcv_detail_code))+1
from ins_premium_det i),'13272','13272','02', '11000003','00','Request by Mr. Saqib Saleem 15-Nov-2024');</v>
      </c>
      <c r="H13" s="100" t="str">
        <f t="shared" si="3"/>
        <v>insert into ins_premium_det (premium_rcv_code,assorted_code, rec_amount,premium_rcv_detail_code,remaining_amt, payrec, mode_code,coinsurance_code,class_cd,it_remarks) values('14Nov240007','040000164226','13272',(select max(to_number(i.premium_rcv_detail_code))+1
from ins_premium_det i),'13272','13272','02', '11000003','00','Request by Mr. Saqib Saleem 15-Nov-2024');</v>
      </c>
    </row>
    <row r="14" spans="1:8" ht="90" x14ac:dyDescent="0.25">
      <c r="A14" s="77" t="s">
        <v>372</v>
      </c>
      <c r="B14" s="96" t="str">
        <f>VLOOKUP(A14,policy!B:C,2,0)</f>
        <v>040000164226</v>
      </c>
      <c r="C14" s="37">
        <v>13272.131147540984</v>
      </c>
      <c r="D14" s="97">
        <f t="shared" si="1"/>
        <v>13272</v>
      </c>
      <c r="E14" s="95" t="s">
        <v>401</v>
      </c>
      <c r="F14" s="98" t="str">
        <f t="shared" si="0"/>
        <v>insert into ins_premium_det (premium_rcv_code,assorted_code, rec_amount,premium_rcv_detail_code,remaining_amt, payrec, mode_code,coinsurance_code,class_cd,it_remarks) values</v>
      </c>
      <c r="G14" s="99" t="str">
        <f t="shared" si="2"/>
        <v>('14Nov240007','040000164226','13272',(select max(to_number(i.premium_rcv_detail_code))+1
from ins_premium_det i),'13272','13272','02', '11000003','00','Request by Mr. Saqib Saleem 15-Nov-2024');</v>
      </c>
      <c r="H14" s="100" t="str">
        <f t="shared" si="3"/>
        <v>insert into ins_premium_det (premium_rcv_code,assorted_code, rec_amount,premium_rcv_detail_code,remaining_amt, payrec, mode_code,coinsurance_code,class_cd,it_remarks) values('14Nov240007','040000164226','13272',(select max(to_number(i.premium_rcv_detail_code))+1
from ins_premium_det i),'13272','13272','02', '11000003','00','Request by Mr. Saqib Saleem 15-Nov-2024');</v>
      </c>
    </row>
    <row r="15" spans="1:8" ht="90" x14ac:dyDescent="0.25">
      <c r="A15" s="77" t="s">
        <v>372</v>
      </c>
      <c r="B15" s="96" t="str">
        <f>VLOOKUP(A15,policy!B:C,2,0)</f>
        <v>040000164226</v>
      </c>
      <c r="C15" s="37">
        <v>13272.131147540984</v>
      </c>
      <c r="D15" s="97">
        <f t="shared" si="1"/>
        <v>13272</v>
      </c>
      <c r="E15" s="95" t="s">
        <v>401</v>
      </c>
      <c r="F15" s="98" t="str">
        <f t="shared" si="0"/>
        <v>insert into ins_premium_det (premium_rcv_code,assorted_code, rec_amount,premium_rcv_detail_code,remaining_amt, payrec, mode_code,coinsurance_code,class_cd,it_remarks) values</v>
      </c>
      <c r="G15" s="99" t="str">
        <f t="shared" si="2"/>
        <v>('14Nov240007','040000164226','13272',(select max(to_number(i.premium_rcv_detail_code))+1
from ins_premium_det i),'13272','13272','02', '11000003','00','Request by Mr. Saqib Saleem 15-Nov-2024');</v>
      </c>
      <c r="H15" s="100" t="str">
        <f t="shared" si="3"/>
        <v>insert into ins_premium_det (premium_rcv_code,assorted_code, rec_amount,premium_rcv_detail_code,remaining_amt, payrec, mode_code,coinsurance_code,class_cd,it_remarks) values('14Nov240007','040000164226','13272',(select max(to_number(i.premium_rcv_detail_code))+1
from ins_premium_det i),'13272','13272','02', '11000003','00','Request by Mr. Saqib Saleem 15-Nov-2024');</v>
      </c>
    </row>
    <row r="16" spans="1:8" ht="90" x14ac:dyDescent="0.25">
      <c r="A16" s="78" t="s">
        <v>373</v>
      </c>
      <c r="B16" s="96" t="str">
        <f>VLOOKUP(A16,policy!B:C,2,0)</f>
        <v>040000164223</v>
      </c>
      <c r="C16" s="37">
        <v>9539.3442622950824</v>
      </c>
      <c r="D16" s="97">
        <f t="shared" si="1"/>
        <v>9539</v>
      </c>
      <c r="E16" s="95" t="s">
        <v>401</v>
      </c>
      <c r="F16" s="98" t="str">
        <f t="shared" si="0"/>
        <v>insert into ins_premium_det (premium_rcv_code,assorted_code, rec_amount,premium_rcv_detail_code,remaining_amt, payrec, mode_code,coinsurance_code,class_cd,it_remarks) values</v>
      </c>
      <c r="G16" s="99" t="str">
        <f t="shared" si="2"/>
        <v>('14Nov240007','040000164223','9539',(select max(to_number(i.premium_rcv_detail_code))+1
from ins_premium_det i),'9539','9539','02', '11000003','00','Request by Mr. Saqib Saleem 15-Nov-2024');</v>
      </c>
      <c r="H16" s="100" t="str">
        <f t="shared" si="3"/>
        <v>insert into ins_premium_det (premium_rcv_code,assorted_code, rec_amount,premium_rcv_detail_code,remaining_amt, payrec, mode_code,coinsurance_code,class_cd,it_remarks) values('14Nov240007','040000164223','9539',(select max(to_number(i.premium_rcv_detail_code))+1
from ins_premium_det i),'9539','9539','02', '11000003','00','Request by Mr. Saqib Saleem 15-Nov-2024');</v>
      </c>
    </row>
    <row r="17" spans="1:8" ht="90" x14ac:dyDescent="0.25">
      <c r="A17" s="77" t="s">
        <v>373</v>
      </c>
      <c r="B17" s="96" t="str">
        <f>VLOOKUP(A17,policy!B:C,2,0)</f>
        <v>040000164223</v>
      </c>
      <c r="C17" s="37">
        <v>9539.3442622950824</v>
      </c>
      <c r="D17" s="97">
        <f t="shared" si="1"/>
        <v>9539</v>
      </c>
      <c r="E17" s="95" t="s">
        <v>401</v>
      </c>
      <c r="F17" s="98" t="str">
        <f t="shared" si="0"/>
        <v>insert into ins_premium_det (premium_rcv_code,assorted_code, rec_amount,premium_rcv_detail_code,remaining_amt, payrec, mode_code,coinsurance_code,class_cd,it_remarks) values</v>
      </c>
      <c r="G17" s="99" t="str">
        <f t="shared" si="2"/>
        <v>('14Nov240007','040000164223','9539',(select max(to_number(i.premium_rcv_detail_code))+1
from ins_premium_det i),'9539','9539','02', '11000003','00','Request by Mr. Saqib Saleem 15-Nov-2024');</v>
      </c>
      <c r="H17" s="100" t="str">
        <f t="shared" si="3"/>
        <v>insert into ins_premium_det (premium_rcv_code,assorted_code, rec_amount,premium_rcv_detail_code,remaining_amt, payrec, mode_code,coinsurance_code,class_cd,it_remarks) values('14Nov240007','040000164223','9539',(select max(to_number(i.premium_rcv_detail_code))+1
from ins_premium_det i),'9539','9539','02', '11000003','00','Request by Mr. Saqib Saleem 15-Nov-2024');</v>
      </c>
    </row>
    <row r="18" spans="1:8" ht="90" x14ac:dyDescent="0.25">
      <c r="A18" s="77" t="s">
        <v>373</v>
      </c>
      <c r="B18" s="96" t="str">
        <f>VLOOKUP(A18,policy!B:C,2,0)</f>
        <v>040000164223</v>
      </c>
      <c r="C18" s="37">
        <v>9539.3442622950824</v>
      </c>
      <c r="D18" s="97">
        <f t="shared" si="1"/>
        <v>9539</v>
      </c>
      <c r="E18" s="95" t="s">
        <v>401</v>
      </c>
      <c r="F18" s="98" t="str">
        <f t="shared" si="0"/>
        <v>insert into ins_premium_det (premium_rcv_code,assorted_code, rec_amount,premium_rcv_detail_code,remaining_amt, payrec, mode_code,coinsurance_code,class_cd,it_remarks) values</v>
      </c>
      <c r="G18" s="99" t="str">
        <f t="shared" si="2"/>
        <v>('14Nov240007','040000164223','9539',(select max(to_number(i.premium_rcv_detail_code))+1
from ins_premium_det i),'9539','9539','02', '11000003','00','Request by Mr. Saqib Saleem 15-Nov-2024');</v>
      </c>
      <c r="H18" s="100" t="str">
        <f t="shared" si="3"/>
        <v>insert into ins_premium_det (premium_rcv_code,assorted_code, rec_amount,premium_rcv_detail_code,remaining_amt, payrec, mode_code,coinsurance_code,class_cd,it_remarks) values('14Nov240007','040000164223','9539',(select max(to_number(i.premium_rcv_detail_code))+1
from ins_premium_det i),'9539','9539','02', '11000003','00','Request by Mr. Saqib Saleem 15-Nov-2024');</v>
      </c>
    </row>
    <row r="19" spans="1:8" ht="90" x14ac:dyDescent="0.25">
      <c r="A19" s="77" t="s">
        <v>373</v>
      </c>
      <c r="B19" s="96" t="str">
        <f>VLOOKUP(A19,policy!B:C,2,0)</f>
        <v>040000164223</v>
      </c>
      <c r="C19" s="37">
        <v>9539.3442622950824</v>
      </c>
      <c r="D19" s="97">
        <f t="shared" si="1"/>
        <v>9539</v>
      </c>
      <c r="E19" s="95" t="s">
        <v>401</v>
      </c>
      <c r="F19" s="98" t="str">
        <f t="shared" si="0"/>
        <v>insert into ins_premium_det (premium_rcv_code,assorted_code, rec_amount,premium_rcv_detail_code,remaining_amt, payrec, mode_code,coinsurance_code,class_cd,it_remarks) values</v>
      </c>
      <c r="G19" s="99" t="str">
        <f t="shared" si="2"/>
        <v>('14Nov240007','040000164223','9539',(select max(to_number(i.premium_rcv_detail_code))+1
from ins_premium_det i),'9539','9539','02', '11000003','00','Request by Mr. Saqib Saleem 15-Nov-2024');</v>
      </c>
      <c r="H19" s="100" t="str">
        <f t="shared" si="3"/>
        <v>insert into ins_premium_det (premium_rcv_code,assorted_code, rec_amount,premium_rcv_detail_code,remaining_amt, payrec, mode_code,coinsurance_code,class_cd,it_remarks) values('14Nov240007','040000164223','9539',(select max(to_number(i.premium_rcv_detail_code))+1
from ins_premium_det i),'9539','9539','02', '11000003','00','Request by Mr. Saqib Saleem 15-Nov-2024');</v>
      </c>
    </row>
    <row r="20" spans="1:8" ht="90" x14ac:dyDescent="0.25">
      <c r="A20" s="77" t="s">
        <v>373</v>
      </c>
      <c r="B20" s="96" t="str">
        <f>VLOOKUP(A20,policy!B:C,2,0)</f>
        <v>040000164223</v>
      </c>
      <c r="C20" s="37">
        <v>9539.3442622950824</v>
      </c>
      <c r="D20" s="97">
        <f t="shared" si="1"/>
        <v>9539</v>
      </c>
      <c r="E20" s="95" t="s">
        <v>401</v>
      </c>
      <c r="F20" s="98" t="str">
        <f t="shared" si="0"/>
        <v>insert into ins_premium_det (premium_rcv_code,assorted_code, rec_amount,premium_rcv_detail_code,remaining_amt, payrec, mode_code,coinsurance_code,class_cd,it_remarks) values</v>
      </c>
      <c r="G20" s="99" t="str">
        <f t="shared" si="2"/>
        <v>('14Nov240007','040000164223','9539',(select max(to_number(i.premium_rcv_detail_code))+1
from ins_premium_det i),'9539','9539','02', '11000003','00','Request by Mr. Saqib Saleem 15-Nov-2024');</v>
      </c>
      <c r="H20" s="100" t="str">
        <f t="shared" si="3"/>
        <v>insert into ins_premium_det (premium_rcv_code,assorted_code, rec_amount,premium_rcv_detail_code,remaining_amt, payrec, mode_code,coinsurance_code,class_cd,it_remarks) values('14Nov240007','040000164223','9539',(select max(to_number(i.premium_rcv_detail_code))+1
from ins_premium_det i),'9539','9539','02', '11000003','00','Request by Mr. Saqib Saleem 15-Nov-2024');</v>
      </c>
    </row>
    <row r="21" spans="1:8" ht="90" x14ac:dyDescent="0.25">
      <c r="A21" s="77" t="s">
        <v>373</v>
      </c>
      <c r="B21" s="96" t="str">
        <f>VLOOKUP(A21,policy!B:C,2,0)</f>
        <v>040000164223</v>
      </c>
      <c r="C21" s="37">
        <v>10783.606557377048</v>
      </c>
      <c r="D21" s="97">
        <f t="shared" si="1"/>
        <v>10784</v>
      </c>
      <c r="E21" s="95" t="s">
        <v>401</v>
      </c>
      <c r="F21" s="98" t="str">
        <f t="shared" si="0"/>
        <v>insert into ins_premium_det (premium_rcv_code,assorted_code, rec_amount,premium_rcv_detail_code,remaining_amt, payrec, mode_code,coinsurance_code,class_cd,it_remarks) values</v>
      </c>
      <c r="G21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1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2" spans="1:8" ht="90" x14ac:dyDescent="0.25">
      <c r="A22" s="77" t="s">
        <v>373</v>
      </c>
      <c r="B22" s="96" t="str">
        <f>VLOOKUP(A22,policy!B:C,2,0)</f>
        <v>040000164223</v>
      </c>
      <c r="C22" s="37">
        <v>10783.606557377048</v>
      </c>
      <c r="D22" s="97">
        <f t="shared" si="1"/>
        <v>10784</v>
      </c>
      <c r="E22" s="95" t="s">
        <v>401</v>
      </c>
      <c r="F22" s="98" t="str">
        <f t="shared" si="0"/>
        <v>insert into ins_premium_det (premium_rcv_code,assorted_code, rec_amount,premium_rcv_detail_code,remaining_amt, payrec, mode_code,coinsurance_code,class_cd,it_remarks) values</v>
      </c>
      <c r="G22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2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3" spans="1:8" ht="90" x14ac:dyDescent="0.25">
      <c r="A23" s="77" t="s">
        <v>373</v>
      </c>
      <c r="B23" s="96" t="str">
        <f>VLOOKUP(A23,policy!B:C,2,0)</f>
        <v>040000164223</v>
      </c>
      <c r="C23" s="37">
        <v>10783.606557377048</v>
      </c>
      <c r="D23" s="97">
        <f t="shared" si="1"/>
        <v>10784</v>
      </c>
      <c r="E23" s="95" t="s">
        <v>401</v>
      </c>
      <c r="F23" s="98" t="str">
        <f t="shared" si="0"/>
        <v>insert into ins_premium_det (premium_rcv_code,assorted_code, rec_amount,premium_rcv_detail_code,remaining_amt, payrec, mode_code,coinsurance_code,class_cd,it_remarks) values</v>
      </c>
      <c r="G23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3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4" spans="1:8" ht="90" x14ac:dyDescent="0.25">
      <c r="A24" s="77" t="s">
        <v>373</v>
      </c>
      <c r="B24" s="96" t="str">
        <f>VLOOKUP(A24,policy!B:C,2,0)</f>
        <v>040000164223</v>
      </c>
      <c r="C24" s="37">
        <v>10783.606557377048</v>
      </c>
      <c r="D24" s="97">
        <f t="shared" si="1"/>
        <v>10784</v>
      </c>
      <c r="E24" s="95" t="s">
        <v>401</v>
      </c>
      <c r="F24" s="98" t="str">
        <f t="shared" si="0"/>
        <v>insert into ins_premium_det (premium_rcv_code,assorted_code, rec_amount,premium_rcv_detail_code,remaining_amt, payrec, mode_code,coinsurance_code,class_cd,it_remarks) values</v>
      </c>
      <c r="G24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4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5" spans="1:8" ht="90" x14ac:dyDescent="0.25">
      <c r="A25" s="77" t="s">
        <v>373</v>
      </c>
      <c r="B25" s="96" t="str">
        <f>VLOOKUP(A25,policy!B:C,2,0)</f>
        <v>040000164223</v>
      </c>
      <c r="C25" s="37">
        <v>10783.606557377048</v>
      </c>
      <c r="D25" s="97">
        <f t="shared" si="1"/>
        <v>10784</v>
      </c>
      <c r="E25" s="95" t="s">
        <v>401</v>
      </c>
      <c r="F25" s="98" t="str">
        <f t="shared" si="0"/>
        <v>insert into ins_premium_det (premium_rcv_code,assorted_code, rec_amount,premium_rcv_detail_code,remaining_amt, payrec, mode_code,coinsurance_code,class_cd,it_remarks) values</v>
      </c>
      <c r="G25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5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6" spans="1:8" ht="90" x14ac:dyDescent="0.25">
      <c r="A26" s="77" t="s">
        <v>373</v>
      </c>
      <c r="B26" s="96" t="str">
        <f>VLOOKUP(A26,policy!B:C,2,0)</f>
        <v>040000164223</v>
      </c>
      <c r="C26" s="37">
        <v>10783.606557377048</v>
      </c>
      <c r="D26" s="97">
        <f t="shared" si="1"/>
        <v>10784</v>
      </c>
      <c r="E26" s="95" t="s">
        <v>401</v>
      </c>
      <c r="F26" s="98" t="str">
        <f t="shared" si="0"/>
        <v>insert into ins_premium_det (premium_rcv_code,assorted_code, rec_amount,premium_rcv_detail_code,remaining_amt, payrec, mode_code,coinsurance_code,class_cd,it_remarks) values</v>
      </c>
      <c r="G26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6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7" spans="1:8" ht="90" x14ac:dyDescent="0.25">
      <c r="A27" s="77" t="s">
        <v>373</v>
      </c>
      <c r="B27" s="96" t="str">
        <f>VLOOKUP(A27,policy!B:C,2,0)</f>
        <v>040000164223</v>
      </c>
      <c r="C27" s="37">
        <v>10783.606557377048</v>
      </c>
      <c r="D27" s="97">
        <f t="shared" si="1"/>
        <v>10784</v>
      </c>
      <c r="E27" s="95" t="s">
        <v>401</v>
      </c>
      <c r="F27" s="98" t="str">
        <f t="shared" si="0"/>
        <v>insert into ins_premium_det (premium_rcv_code,assorted_code, rec_amount,premium_rcv_detail_code,remaining_amt, payrec, mode_code,coinsurance_code,class_cd,it_remarks) values</v>
      </c>
      <c r="G27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7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8" spans="1:8" ht="90" x14ac:dyDescent="0.25">
      <c r="A28" s="77" t="s">
        <v>373</v>
      </c>
      <c r="B28" s="96" t="str">
        <f>VLOOKUP(A28,policy!B:C,2,0)</f>
        <v>040000164223</v>
      </c>
      <c r="C28" s="37">
        <v>10783.606557377048</v>
      </c>
      <c r="D28" s="97">
        <f t="shared" si="1"/>
        <v>10784</v>
      </c>
      <c r="E28" s="95" t="s">
        <v>401</v>
      </c>
      <c r="F28" s="98" t="str">
        <f t="shared" si="0"/>
        <v>insert into ins_premium_det (premium_rcv_code,assorted_code, rec_amount,premium_rcv_detail_code,remaining_amt, payrec, mode_code,coinsurance_code,class_cd,it_remarks) values</v>
      </c>
      <c r="G28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8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29" spans="1:8" ht="90" x14ac:dyDescent="0.25">
      <c r="A29" s="77" t="s">
        <v>373</v>
      </c>
      <c r="B29" s="96" t="str">
        <f>VLOOKUP(A29,policy!B:C,2,0)</f>
        <v>040000164223</v>
      </c>
      <c r="C29" s="37">
        <v>10783.606557377048</v>
      </c>
      <c r="D29" s="97">
        <f t="shared" si="1"/>
        <v>10784</v>
      </c>
      <c r="E29" s="95" t="s">
        <v>401</v>
      </c>
      <c r="F29" s="98" t="str">
        <f t="shared" si="0"/>
        <v>insert into ins_premium_det (premium_rcv_code,assorted_code, rec_amount,premium_rcv_detail_code,remaining_amt, payrec, mode_code,coinsurance_code,class_cd,it_remarks) values</v>
      </c>
      <c r="G29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29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30" spans="1:8" ht="90" x14ac:dyDescent="0.25">
      <c r="A30" s="77" t="s">
        <v>373</v>
      </c>
      <c r="B30" s="96" t="str">
        <f>VLOOKUP(A30,policy!B:C,2,0)</f>
        <v>040000164223</v>
      </c>
      <c r="C30" s="37">
        <v>10783.606557377048</v>
      </c>
      <c r="D30" s="97">
        <f t="shared" si="1"/>
        <v>10784</v>
      </c>
      <c r="E30" s="95" t="s">
        <v>401</v>
      </c>
      <c r="F30" s="98" t="str">
        <f t="shared" si="0"/>
        <v>insert into ins_premium_det (premium_rcv_code,assorted_code, rec_amount,premium_rcv_detail_code,remaining_amt, payrec, mode_code,coinsurance_code,class_cd,it_remarks) values</v>
      </c>
      <c r="G30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30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31" spans="1:8" ht="90" x14ac:dyDescent="0.25">
      <c r="A31" s="77" t="s">
        <v>373</v>
      </c>
      <c r="B31" s="96" t="str">
        <f>VLOOKUP(A31,policy!B:C,2,0)</f>
        <v>040000164223</v>
      </c>
      <c r="C31" s="37">
        <v>10783.606557377048</v>
      </c>
      <c r="D31" s="97">
        <f t="shared" si="1"/>
        <v>10784</v>
      </c>
      <c r="E31" s="95" t="s">
        <v>401</v>
      </c>
      <c r="F31" s="98" t="str">
        <f t="shared" si="0"/>
        <v>insert into ins_premium_det (premium_rcv_code,assorted_code, rec_amount,premium_rcv_detail_code,remaining_amt, payrec, mode_code,coinsurance_code,class_cd,it_remarks) values</v>
      </c>
      <c r="G31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31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32" spans="1:8" ht="90" x14ac:dyDescent="0.25">
      <c r="A32" s="77" t="s">
        <v>373</v>
      </c>
      <c r="B32" s="96" t="str">
        <f>VLOOKUP(A32,policy!B:C,2,0)</f>
        <v>040000164223</v>
      </c>
      <c r="C32" s="37">
        <v>10783.606557377048</v>
      </c>
      <c r="D32" s="97">
        <f t="shared" si="1"/>
        <v>10784</v>
      </c>
      <c r="E32" s="95" t="s">
        <v>401</v>
      </c>
      <c r="F32" s="98" t="str">
        <f t="shared" si="0"/>
        <v>insert into ins_premium_det (premium_rcv_code,assorted_code, rec_amount,premium_rcv_detail_code,remaining_amt, payrec, mode_code,coinsurance_code,class_cd,it_remarks) values</v>
      </c>
      <c r="G32" s="99" t="str">
        <f t="shared" si="2"/>
        <v>('14Nov240007','040000164223','10784',(select max(to_number(i.premium_rcv_detail_code))+1
from ins_premium_det i),'10784','10784','02', '11000003','00','Request by Mr. Saqib Saleem 15-Nov-2024');</v>
      </c>
      <c r="H32" s="100" t="str">
        <f t="shared" si="3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33" spans="1:8" ht="90" x14ac:dyDescent="0.25">
      <c r="A33" s="77" t="s">
        <v>373</v>
      </c>
      <c r="B33" s="96" t="str">
        <f>VLOOKUP(A33,policy!B:C,2,0)</f>
        <v>040000164223</v>
      </c>
      <c r="C33" s="37">
        <v>11198.360655737704</v>
      </c>
      <c r="D33" s="97">
        <f t="shared" si="1"/>
        <v>11198</v>
      </c>
      <c r="E33" s="95" t="s">
        <v>401</v>
      </c>
      <c r="F33" s="98" t="str">
        <f t="shared" si="0"/>
        <v>insert into ins_premium_det (premium_rcv_code,assorted_code, rec_amount,premium_rcv_detail_code,remaining_amt, payrec, mode_code,coinsurance_code,class_cd,it_remarks) values</v>
      </c>
      <c r="G33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3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34" spans="1:8" ht="90" x14ac:dyDescent="0.25">
      <c r="A34" s="77" t="s">
        <v>373</v>
      </c>
      <c r="B34" s="96" t="str">
        <f>VLOOKUP(A34,policy!B:C,2,0)</f>
        <v>040000164223</v>
      </c>
      <c r="C34" s="37">
        <v>11198.360655737704</v>
      </c>
      <c r="D34" s="97">
        <f t="shared" si="1"/>
        <v>11198</v>
      </c>
      <c r="E34" s="95" t="s">
        <v>401</v>
      </c>
      <c r="F34" s="98" t="str">
        <f t="shared" si="0"/>
        <v>insert into ins_premium_det (premium_rcv_code,assorted_code, rec_amount,premium_rcv_detail_code,remaining_amt, payrec, mode_code,coinsurance_code,class_cd,it_remarks) values</v>
      </c>
      <c r="G34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4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35" spans="1:8" ht="90" x14ac:dyDescent="0.25">
      <c r="A35" s="77" t="s">
        <v>373</v>
      </c>
      <c r="B35" s="96" t="str">
        <f>VLOOKUP(A35,policy!B:C,2,0)</f>
        <v>040000164223</v>
      </c>
      <c r="C35" s="37">
        <v>11198.360655737704</v>
      </c>
      <c r="D35" s="97">
        <f t="shared" si="1"/>
        <v>11198</v>
      </c>
      <c r="E35" s="95" t="s">
        <v>401</v>
      </c>
      <c r="F35" s="98" t="str">
        <f t="shared" si="0"/>
        <v>insert into ins_premium_det (premium_rcv_code,assorted_code, rec_amount,premium_rcv_detail_code,remaining_amt, payrec, mode_code,coinsurance_code,class_cd,it_remarks) values</v>
      </c>
      <c r="G35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5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36" spans="1:8" ht="90" x14ac:dyDescent="0.25">
      <c r="A36" s="77" t="s">
        <v>373</v>
      </c>
      <c r="B36" s="96" t="str">
        <f>VLOOKUP(A36,policy!B:C,2,0)</f>
        <v>040000164223</v>
      </c>
      <c r="C36" s="37">
        <v>11198.360655737704</v>
      </c>
      <c r="D36" s="97">
        <f t="shared" si="1"/>
        <v>11198</v>
      </c>
      <c r="E36" s="95" t="s">
        <v>401</v>
      </c>
      <c r="F36" s="98" t="str">
        <f t="shared" si="0"/>
        <v>insert into ins_premium_det (premium_rcv_code,assorted_code, rec_amount,premium_rcv_detail_code,remaining_amt, payrec, mode_code,coinsurance_code,class_cd,it_remarks) values</v>
      </c>
      <c r="G36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6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37" spans="1:8" ht="90" x14ac:dyDescent="0.25">
      <c r="A37" s="77" t="s">
        <v>373</v>
      </c>
      <c r="B37" s="96" t="str">
        <f>VLOOKUP(A37,policy!B:C,2,0)</f>
        <v>040000164223</v>
      </c>
      <c r="C37" s="37">
        <v>11198.360655737704</v>
      </c>
      <c r="D37" s="97">
        <f t="shared" si="1"/>
        <v>11198</v>
      </c>
      <c r="E37" s="95" t="s">
        <v>401</v>
      </c>
      <c r="F37" s="98" t="str">
        <f t="shared" si="0"/>
        <v>insert into ins_premium_det (premium_rcv_code,assorted_code, rec_amount,premium_rcv_detail_code,remaining_amt, payrec, mode_code,coinsurance_code,class_cd,it_remarks) values</v>
      </c>
      <c r="G37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7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38" spans="1:8" ht="90" x14ac:dyDescent="0.25">
      <c r="A38" s="77" t="s">
        <v>373</v>
      </c>
      <c r="B38" s="96" t="str">
        <f>VLOOKUP(A38,policy!B:C,2,0)</f>
        <v>040000164223</v>
      </c>
      <c r="C38" s="37">
        <v>11198.360655737704</v>
      </c>
      <c r="D38" s="97">
        <f t="shared" si="1"/>
        <v>11198</v>
      </c>
      <c r="E38" s="95" t="s">
        <v>401</v>
      </c>
      <c r="F38" s="98" t="str">
        <f t="shared" si="0"/>
        <v>insert into ins_premium_det (premium_rcv_code,assorted_code, rec_amount,premium_rcv_detail_code,remaining_amt, payrec, mode_code,coinsurance_code,class_cd,it_remarks) values</v>
      </c>
      <c r="G38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8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39" spans="1:8" ht="90" x14ac:dyDescent="0.25">
      <c r="A39" s="77" t="s">
        <v>373</v>
      </c>
      <c r="B39" s="96" t="str">
        <f>VLOOKUP(A39,policy!B:C,2,0)</f>
        <v>040000164223</v>
      </c>
      <c r="C39" s="37">
        <v>11198.360655737704</v>
      </c>
      <c r="D39" s="97">
        <f t="shared" si="1"/>
        <v>11198</v>
      </c>
      <c r="E39" s="95" t="s">
        <v>401</v>
      </c>
      <c r="F39" s="98" t="str">
        <f t="shared" si="0"/>
        <v>insert into ins_premium_det (premium_rcv_code,assorted_code, rec_amount,premium_rcv_detail_code,remaining_amt, payrec, mode_code,coinsurance_code,class_cd,it_remarks) values</v>
      </c>
      <c r="G39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39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40" spans="1:8" ht="90" x14ac:dyDescent="0.25">
      <c r="A40" s="77" t="s">
        <v>373</v>
      </c>
      <c r="B40" s="96" t="str">
        <f>VLOOKUP(A40,policy!B:C,2,0)</f>
        <v>040000164223</v>
      </c>
      <c r="C40" s="37">
        <v>11198.360655737704</v>
      </c>
      <c r="D40" s="97">
        <f t="shared" si="1"/>
        <v>11198</v>
      </c>
      <c r="E40" s="95" t="s">
        <v>401</v>
      </c>
      <c r="F40" s="98" t="str">
        <f t="shared" si="0"/>
        <v>insert into ins_premium_det (premium_rcv_code,assorted_code, rec_amount,premium_rcv_detail_code,remaining_amt, payrec, mode_code,coinsurance_code,class_cd,it_remarks) values</v>
      </c>
      <c r="G40" s="99" t="str">
        <f t="shared" si="2"/>
        <v>('14Nov240007','040000164223','11198',(select max(to_number(i.premium_rcv_detail_code))+1
from ins_premium_det i),'11198','11198','02', '11000003','00','Request by Mr. Saqib Saleem 15-Nov-2024');</v>
      </c>
      <c r="H40" s="100" t="str">
        <f t="shared" si="3"/>
        <v>insert into ins_premium_det (premium_rcv_code,assorted_code, rec_amount,premium_rcv_detail_code,remaining_amt, payrec, mode_code,coinsurance_code,class_cd,it_remarks) values('14Nov240007','040000164223','11198',(select max(to_number(i.premium_rcv_detail_code))+1
from ins_premium_det i),'11198','11198','02', '11000003','00','Request by Mr. Saqib Saleem 15-Nov-2024');</v>
      </c>
    </row>
    <row r="41" spans="1:8" ht="90" x14ac:dyDescent="0.25">
      <c r="A41" s="77" t="s">
        <v>372</v>
      </c>
      <c r="B41" s="96" t="str">
        <f>VLOOKUP(A41,policy!B:C,2,0)</f>
        <v>040000164226</v>
      </c>
      <c r="C41" s="37">
        <v>11198.360655737704</v>
      </c>
      <c r="D41" s="97">
        <f t="shared" si="1"/>
        <v>11198</v>
      </c>
      <c r="E41" s="95" t="s">
        <v>401</v>
      </c>
      <c r="F41" s="98" t="str">
        <f t="shared" si="0"/>
        <v>insert into ins_premium_det (premium_rcv_code,assorted_code, rec_amount,premium_rcv_detail_code,remaining_amt, payrec, mode_code,coinsurance_code,class_cd,it_remarks) values</v>
      </c>
      <c r="G41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1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2" spans="1:8" ht="90" x14ac:dyDescent="0.25">
      <c r="A42" s="77" t="s">
        <v>372</v>
      </c>
      <c r="B42" s="96" t="str">
        <f>VLOOKUP(A42,policy!B:C,2,0)</f>
        <v>040000164226</v>
      </c>
      <c r="C42" s="37">
        <v>11198.360655737704</v>
      </c>
      <c r="D42" s="97">
        <f t="shared" si="1"/>
        <v>11198</v>
      </c>
      <c r="E42" s="95" t="s">
        <v>401</v>
      </c>
      <c r="F42" s="98" t="str">
        <f t="shared" si="0"/>
        <v>insert into ins_premium_det (premium_rcv_code,assorted_code, rec_amount,premium_rcv_detail_code,remaining_amt, payrec, mode_code,coinsurance_code,class_cd,it_remarks) values</v>
      </c>
      <c r="G42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2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3" spans="1:8" ht="90" x14ac:dyDescent="0.25">
      <c r="A43" s="77" t="s">
        <v>372</v>
      </c>
      <c r="B43" s="96" t="str">
        <f>VLOOKUP(A43,policy!B:C,2,0)</f>
        <v>040000164226</v>
      </c>
      <c r="C43" s="37">
        <v>11198.360655737704</v>
      </c>
      <c r="D43" s="97">
        <f t="shared" si="1"/>
        <v>11198</v>
      </c>
      <c r="E43" s="95" t="s">
        <v>401</v>
      </c>
      <c r="F43" s="98" t="str">
        <f t="shared" si="0"/>
        <v>insert into ins_premium_det (premium_rcv_code,assorted_code, rec_amount,premium_rcv_detail_code,remaining_amt, payrec, mode_code,coinsurance_code,class_cd,it_remarks) values</v>
      </c>
      <c r="G43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3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4" spans="1:8" ht="90" x14ac:dyDescent="0.25">
      <c r="A44" s="77" t="s">
        <v>372</v>
      </c>
      <c r="B44" s="96" t="str">
        <f>VLOOKUP(A44,policy!B:C,2,0)</f>
        <v>040000164226</v>
      </c>
      <c r="C44" s="37">
        <v>11198.360655737704</v>
      </c>
      <c r="D44" s="97">
        <f t="shared" si="1"/>
        <v>11198</v>
      </c>
      <c r="E44" s="95" t="s">
        <v>401</v>
      </c>
      <c r="F44" s="98" t="str">
        <f t="shared" si="0"/>
        <v>insert into ins_premium_det (premium_rcv_code,assorted_code, rec_amount,premium_rcv_detail_code,remaining_amt, payrec, mode_code,coinsurance_code,class_cd,it_remarks) values</v>
      </c>
      <c r="G44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4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5" spans="1:8" ht="90" x14ac:dyDescent="0.25">
      <c r="A45" s="77" t="s">
        <v>372</v>
      </c>
      <c r="B45" s="96" t="str">
        <f>VLOOKUP(A45,policy!B:C,2,0)</f>
        <v>040000164226</v>
      </c>
      <c r="C45" s="37">
        <v>11198.360655737704</v>
      </c>
      <c r="D45" s="97">
        <f t="shared" si="1"/>
        <v>11198</v>
      </c>
      <c r="E45" s="95" t="s">
        <v>401</v>
      </c>
      <c r="F45" s="98" t="str">
        <f t="shared" si="0"/>
        <v>insert into ins_premium_det (premium_rcv_code,assorted_code, rec_amount,premium_rcv_detail_code,remaining_amt, payrec, mode_code,coinsurance_code,class_cd,it_remarks) values</v>
      </c>
      <c r="G45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5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6" spans="1:8" ht="90" x14ac:dyDescent="0.25">
      <c r="A46" s="77" t="s">
        <v>372</v>
      </c>
      <c r="B46" s="96" t="str">
        <f>VLOOKUP(A46,policy!B:C,2,0)</f>
        <v>040000164226</v>
      </c>
      <c r="C46" s="37">
        <v>11198.360655737704</v>
      </c>
      <c r="D46" s="97">
        <f t="shared" si="1"/>
        <v>11198</v>
      </c>
      <c r="E46" s="95" t="s">
        <v>401</v>
      </c>
      <c r="F46" s="98" t="str">
        <f t="shared" si="0"/>
        <v>insert into ins_premium_det (premium_rcv_code,assorted_code, rec_amount,premium_rcv_detail_code,remaining_amt, payrec, mode_code,coinsurance_code,class_cd,it_remarks) values</v>
      </c>
      <c r="G46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6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7" spans="1:8" ht="90" x14ac:dyDescent="0.25">
      <c r="A47" s="77" t="s">
        <v>372</v>
      </c>
      <c r="B47" s="96" t="str">
        <f>VLOOKUP(A47,policy!B:C,2,0)</f>
        <v>040000164226</v>
      </c>
      <c r="C47" s="37">
        <v>11198.360655737704</v>
      </c>
      <c r="D47" s="97">
        <f t="shared" si="1"/>
        <v>11198</v>
      </c>
      <c r="E47" s="95" t="s">
        <v>401</v>
      </c>
      <c r="F47" s="98" t="str">
        <f t="shared" si="0"/>
        <v>insert into ins_premium_det (premium_rcv_code,assorted_code, rec_amount,premium_rcv_detail_code,remaining_amt, payrec, mode_code,coinsurance_code,class_cd,it_remarks) values</v>
      </c>
      <c r="G47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7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8" spans="1:8" ht="90" x14ac:dyDescent="0.25">
      <c r="A48" s="77" t="s">
        <v>372</v>
      </c>
      <c r="B48" s="96" t="str">
        <f>VLOOKUP(A48,policy!B:C,2,0)</f>
        <v>040000164226</v>
      </c>
      <c r="C48" s="37">
        <v>11198.360655737704</v>
      </c>
      <c r="D48" s="97">
        <f t="shared" si="1"/>
        <v>11198</v>
      </c>
      <c r="E48" s="95" t="s">
        <v>401</v>
      </c>
      <c r="F48" s="98" t="str">
        <f t="shared" si="0"/>
        <v>insert into ins_premium_det (premium_rcv_code,assorted_code, rec_amount,premium_rcv_detail_code,remaining_amt, payrec, mode_code,coinsurance_code,class_cd,it_remarks) values</v>
      </c>
      <c r="G48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8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49" spans="1:8" ht="90" x14ac:dyDescent="0.25">
      <c r="A49" s="77" t="s">
        <v>372</v>
      </c>
      <c r="B49" s="96" t="str">
        <f>VLOOKUP(A49,policy!B:C,2,0)</f>
        <v>040000164226</v>
      </c>
      <c r="C49" s="37">
        <v>11198.360655737704</v>
      </c>
      <c r="D49" s="97">
        <f t="shared" si="1"/>
        <v>11198</v>
      </c>
      <c r="E49" s="95" t="s">
        <v>401</v>
      </c>
      <c r="F49" s="98" t="str">
        <f t="shared" si="0"/>
        <v>insert into ins_premium_det (premium_rcv_code,assorted_code, rec_amount,premium_rcv_detail_code,remaining_amt, payrec, mode_code,coinsurance_code,class_cd,it_remarks) values</v>
      </c>
      <c r="G49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49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0" spans="1:8" ht="90" x14ac:dyDescent="0.25">
      <c r="A50" s="77" t="s">
        <v>372</v>
      </c>
      <c r="B50" s="96" t="str">
        <f>VLOOKUP(A50,policy!B:C,2,0)</f>
        <v>040000164226</v>
      </c>
      <c r="C50" s="37">
        <v>11198.360655737704</v>
      </c>
      <c r="D50" s="97">
        <f t="shared" si="1"/>
        <v>11198</v>
      </c>
      <c r="E50" s="95" t="s">
        <v>401</v>
      </c>
      <c r="F50" s="98" t="str">
        <f t="shared" si="0"/>
        <v>insert into ins_premium_det (premium_rcv_code,assorted_code, rec_amount,premium_rcv_detail_code,remaining_amt, payrec, mode_code,coinsurance_code,class_cd,it_remarks) values</v>
      </c>
      <c r="G50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0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1" spans="1:8" ht="90" x14ac:dyDescent="0.25">
      <c r="A51" s="77" t="s">
        <v>372</v>
      </c>
      <c r="B51" s="96" t="str">
        <f>VLOOKUP(A51,policy!B:C,2,0)</f>
        <v>040000164226</v>
      </c>
      <c r="C51" s="37">
        <v>11198.360655737704</v>
      </c>
      <c r="D51" s="97">
        <f t="shared" si="1"/>
        <v>11198</v>
      </c>
      <c r="E51" s="95" t="s">
        <v>401</v>
      </c>
      <c r="F51" s="98" t="str">
        <f t="shared" si="0"/>
        <v>insert into ins_premium_det (premium_rcv_code,assorted_code, rec_amount,premium_rcv_detail_code,remaining_amt, payrec, mode_code,coinsurance_code,class_cd,it_remarks) values</v>
      </c>
      <c r="G51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1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2" spans="1:8" ht="90" x14ac:dyDescent="0.25">
      <c r="A52" s="77" t="s">
        <v>372</v>
      </c>
      <c r="B52" s="96" t="str">
        <f>VLOOKUP(A52,policy!B:C,2,0)</f>
        <v>040000164226</v>
      </c>
      <c r="C52" s="37">
        <v>11198.360655737704</v>
      </c>
      <c r="D52" s="97">
        <f t="shared" si="1"/>
        <v>11198</v>
      </c>
      <c r="E52" s="95" t="s">
        <v>401</v>
      </c>
      <c r="F52" s="98" t="str">
        <f t="shared" si="0"/>
        <v>insert into ins_premium_det (premium_rcv_code,assorted_code, rec_amount,premium_rcv_detail_code,remaining_amt, payrec, mode_code,coinsurance_code,class_cd,it_remarks) values</v>
      </c>
      <c r="G52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2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3" spans="1:8" ht="90" x14ac:dyDescent="0.25">
      <c r="A53" s="77" t="s">
        <v>372</v>
      </c>
      <c r="B53" s="96" t="str">
        <f>VLOOKUP(A53,policy!B:C,2,0)</f>
        <v>040000164226</v>
      </c>
      <c r="C53" s="37">
        <v>11198.360655737704</v>
      </c>
      <c r="D53" s="97">
        <f t="shared" si="1"/>
        <v>11198</v>
      </c>
      <c r="E53" s="95" t="s">
        <v>401</v>
      </c>
      <c r="F53" s="98" t="str">
        <f t="shared" si="0"/>
        <v>insert into ins_premium_det (premium_rcv_code,assorted_code, rec_amount,premium_rcv_detail_code,remaining_amt, payrec, mode_code,coinsurance_code,class_cd,it_remarks) values</v>
      </c>
      <c r="G53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3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4" spans="1:8" ht="90" x14ac:dyDescent="0.25">
      <c r="A54" s="77" t="s">
        <v>372</v>
      </c>
      <c r="B54" s="96" t="str">
        <f>VLOOKUP(A54,policy!B:C,2,0)</f>
        <v>040000164226</v>
      </c>
      <c r="C54" s="37">
        <v>11198.360655737704</v>
      </c>
      <c r="D54" s="97">
        <f t="shared" si="1"/>
        <v>11198</v>
      </c>
      <c r="E54" s="95" t="s">
        <v>401</v>
      </c>
      <c r="F54" s="98" t="str">
        <f t="shared" si="0"/>
        <v>insert into ins_premium_det (premium_rcv_code,assorted_code, rec_amount,premium_rcv_detail_code,remaining_amt, payrec, mode_code,coinsurance_code,class_cd,it_remarks) values</v>
      </c>
      <c r="G54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4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5" spans="1:8" ht="90" x14ac:dyDescent="0.25">
      <c r="A55" s="77" t="s">
        <v>372</v>
      </c>
      <c r="B55" s="96" t="str">
        <f>VLOOKUP(A55,policy!B:C,2,0)</f>
        <v>040000164226</v>
      </c>
      <c r="C55" s="37">
        <v>11198.360655737704</v>
      </c>
      <c r="D55" s="97">
        <f t="shared" si="1"/>
        <v>11198</v>
      </c>
      <c r="E55" s="95" t="s">
        <v>401</v>
      </c>
      <c r="F55" s="98" t="str">
        <f t="shared" si="0"/>
        <v>insert into ins_premium_det (premium_rcv_code,assorted_code, rec_amount,premium_rcv_detail_code,remaining_amt, payrec, mode_code,coinsurance_code,class_cd,it_remarks) values</v>
      </c>
      <c r="G55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5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6" spans="1:8" ht="90" x14ac:dyDescent="0.25">
      <c r="A56" s="77" t="s">
        <v>372</v>
      </c>
      <c r="B56" s="96" t="str">
        <f>VLOOKUP(A56,policy!B:C,2,0)</f>
        <v>040000164226</v>
      </c>
      <c r="C56" s="37">
        <v>11198.360655737704</v>
      </c>
      <c r="D56" s="97">
        <f t="shared" si="1"/>
        <v>11198</v>
      </c>
      <c r="E56" s="95" t="s">
        <v>401</v>
      </c>
      <c r="F56" s="98" t="str">
        <f t="shared" si="0"/>
        <v>insert into ins_premium_det (premium_rcv_code,assorted_code, rec_amount,premium_rcv_detail_code,remaining_amt, payrec, mode_code,coinsurance_code,class_cd,it_remarks) values</v>
      </c>
      <c r="G56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6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7" spans="1:8" ht="90" x14ac:dyDescent="0.25">
      <c r="A57" s="77" t="s">
        <v>372</v>
      </c>
      <c r="B57" s="96" t="str">
        <f>VLOOKUP(A57,policy!B:C,2,0)</f>
        <v>040000164226</v>
      </c>
      <c r="C57" s="37">
        <v>11198.360655737704</v>
      </c>
      <c r="D57" s="97">
        <f t="shared" si="1"/>
        <v>11198</v>
      </c>
      <c r="E57" s="95" t="s">
        <v>401</v>
      </c>
      <c r="F57" s="98" t="str">
        <f t="shared" si="0"/>
        <v>insert into ins_premium_det (premium_rcv_code,assorted_code, rec_amount,premium_rcv_detail_code,remaining_amt, payrec, mode_code,coinsurance_code,class_cd,it_remarks) values</v>
      </c>
      <c r="G57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7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8" spans="1:8" ht="90" x14ac:dyDescent="0.25">
      <c r="A58" s="77" t="s">
        <v>372</v>
      </c>
      <c r="B58" s="96" t="str">
        <f>VLOOKUP(A58,policy!B:C,2,0)</f>
        <v>040000164226</v>
      </c>
      <c r="C58" s="37">
        <v>11198.360655737704</v>
      </c>
      <c r="D58" s="97">
        <f t="shared" si="1"/>
        <v>11198</v>
      </c>
      <c r="E58" s="95" t="s">
        <v>401</v>
      </c>
      <c r="F58" s="98" t="str">
        <f t="shared" si="0"/>
        <v>insert into ins_premium_det (premium_rcv_code,assorted_code, rec_amount,premium_rcv_detail_code,remaining_amt, payrec, mode_code,coinsurance_code,class_cd,it_remarks) values</v>
      </c>
      <c r="G58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8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59" spans="1:8" ht="90" x14ac:dyDescent="0.25">
      <c r="A59" s="77" t="s">
        <v>372</v>
      </c>
      <c r="B59" s="96" t="str">
        <f>VLOOKUP(A59,policy!B:C,2,0)</f>
        <v>040000164226</v>
      </c>
      <c r="C59" s="37">
        <v>11198.360655737704</v>
      </c>
      <c r="D59" s="97">
        <f t="shared" si="1"/>
        <v>11198</v>
      </c>
      <c r="E59" s="95" t="s">
        <v>401</v>
      </c>
      <c r="F59" s="98" t="str">
        <f t="shared" si="0"/>
        <v>insert into ins_premium_det (premium_rcv_code,assorted_code, rec_amount,premium_rcv_detail_code,remaining_amt, payrec, mode_code,coinsurance_code,class_cd,it_remarks) values</v>
      </c>
      <c r="G59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59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0" spans="1:8" ht="90" x14ac:dyDescent="0.25">
      <c r="A60" s="77" t="s">
        <v>372</v>
      </c>
      <c r="B60" s="96" t="str">
        <f>VLOOKUP(A60,policy!B:C,2,0)</f>
        <v>040000164226</v>
      </c>
      <c r="C60" s="37">
        <v>11198.360655737704</v>
      </c>
      <c r="D60" s="97">
        <f t="shared" si="1"/>
        <v>11198</v>
      </c>
      <c r="E60" s="95" t="s">
        <v>401</v>
      </c>
      <c r="F60" s="98" t="str">
        <f t="shared" si="0"/>
        <v>insert into ins_premium_det (premium_rcv_code,assorted_code, rec_amount,premium_rcv_detail_code,remaining_amt, payrec, mode_code,coinsurance_code,class_cd,it_remarks) values</v>
      </c>
      <c r="G60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0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1" spans="1:8" ht="90" x14ac:dyDescent="0.25">
      <c r="A61" s="77" t="s">
        <v>372</v>
      </c>
      <c r="B61" s="96" t="str">
        <f>VLOOKUP(A61,policy!B:C,2,0)</f>
        <v>040000164226</v>
      </c>
      <c r="C61" s="37">
        <v>11198.360655737704</v>
      </c>
      <c r="D61" s="97">
        <f t="shared" si="1"/>
        <v>11198</v>
      </c>
      <c r="E61" s="95" t="s">
        <v>401</v>
      </c>
      <c r="F61" s="98" t="str">
        <f t="shared" si="0"/>
        <v>insert into ins_premium_det (premium_rcv_code,assorted_code, rec_amount,premium_rcv_detail_code,remaining_amt, payrec, mode_code,coinsurance_code,class_cd,it_remarks) values</v>
      </c>
      <c r="G61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1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2" spans="1:8" ht="90" x14ac:dyDescent="0.25">
      <c r="A62" s="77" t="s">
        <v>372</v>
      </c>
      <c r="B62" s="96" t="str">
        <f>VLOOKUP(A62,policy!B:C,2,0)</f>
        <v>040000164226</v>
      </c>
      <c r="C62" s="37">
        <v>11198.360655737704</v>
      </c>
      <c r="D62" s="97">
        <f t="shared" si="1"/>
        <v>11198</v>
      </c>
      <c r="E62" s="95" t="s">
        <v>401</v>
      </c>
      <c r="F62" s="98" t="str">
        <f t="shared" si="0"/>
        <v>insert into ins_premium_det (premium_rcv_code,assorted_code, rec_amount,premium_rcv_detail_code,remaining_amt, payrec, mode_code,coinsurance_code,class_cd,it_remarks) values</v>
      </c>
      <c r="G62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2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3" spans="1:8" ht="90" x14ac:dyDescent="0.25">
      <c r="A63" s="77" t="s">
        <v>372</v>
      </c>
      <c r="B63" s="96" t="str">
        <f>VLOOKUP(A63,policy!B:C,2,0)</f>
        <v>040000164226</v>
      </c>
      <c r="C63" s="37">
        <v>11198.360655737704</v>
      </c>
      <c r="D63" s="97">
        <f t="shared" si="1"/>
        <v>11198</v>
      </c>
      <c r="E63" s="95" t="s">
        <v>401</v>
      </c>
      <c r="F63" s="98" t="str">
        <f t="shared" si="0"/>
        <v>insert into ins_premium_det (premium_rcv_code,assorted_code, rec_amount,premium_rcv_detail_code,remaining_amt, payrec, mode_code,coinsurance_code,class_cd,it_remarks) values</v>
      </c>
      <c r="G63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3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4" spans="1:8" ht="90" x14ac:dyDescent="0.25">
      <c r="A64" s="77" t="s">
        <v>372</v>
      </c>
      <c r="B64" s="96" t="str">
        <f>VLOOKUP(A64,policy!B:C,2,0)</f>
        <v>040000164226</v>
      </c>
      <c r="C64" s="37">
        <v>11198.360655737704</v>
      </c>
      <c r="D64" s="97">
        <f t="shared" si="1"/>
        <v>11198</v>
      </c>
      <c r="E64" s="95" t="s">
        <v>401</v>
      </c>
      <c r="F64" s="98" t="str">
        <f t="shared" si="0"/>
        <v>insert into ins_premium_det (premium_rcv_code,assorted_code, rec_amount,premium_rcv_detail_code,remaining_amt, payrec, mode_code,coinsurance_code,class_cd,it_remarks) values</v>
      </c>
      <c r="G64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4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5" spans="1:8" ht="90" x14ac:dyDescent="0.25">
      <c r="A65" s="77" t="s">
        <v>372</v>
      </c>
      <c r="B65" s="96" t="str">
        <f>VLOOKUP(A65,policy!B:C,2,0)</f>
        <v>040000164226</v>
      </c>
      <c r="C65" s="37">
        <v>11198.360655737704</v>
      </c>
      <c r="D65" s="97">
        <f t="shared" si="1"/>
        <v>11198</v>
      </c>
      <c r="E65" s="95" t="s">
        <v>401</v>
      </c>
      <c r="F65" s="98" t="str">
        <f t="shared" si="0"/>
        <v>insert into ins_premium_det (premium_rcv_code,assorted_code, rec_amount,premium_rcv_detail_code,remaining_amt, payrec, mode_code,coinsurance_code,class_cd,it_remarks) values</v>
      </c>
      <c r="G65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5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6" spans="1:8" ht="90" x14ac:dyDescent="0.25">
      <c r="A66" s="77" t="s">
        <v>372</v>
      </c>
      <c r="B66" s="96" t="str">
        <f>VLOOKUP(A66,policy!B:C,2,0)</f>
        <v>040000164226</v>
      </c>
      <c r="C66" s="37">
        <v>11198.360655737704</v>
      </c>
      <c r="D66" s="97">
        <f t="shared" si="1"/>
        <v>11198</v>
      </c>
      <c r="E66" s="95" t="s">
        <v>401</v>
      </c>
      <c r="F66" s="98" t="str">
        <f t="shared" ref="F66:F108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99" t="str">
        <f t="shared" si="2"/>
        <v>('14Nov240007','040000164226','11198',(select max(to_number(i.premium_rcv_detail_code))+1
from ins_premium_det i),'11198','11198','02', '11000003','00','Request by Mr. Saqib Saleem 15-Nov-2024');</v>
      </c>
      <c r="H66" s="100" t="str">
        <f t="shared" si="3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7" spans="1:8" ht="90" x14ac:dyDescent="0.25">
      <c r="A67" s="77" t="s">
        <v>372</v>
      </c>
      <c r="B67" s="96" t="str">
        <f>VLOOKUP(A67,policy!B:C,2,0)</f>
        <v>040000164226</v>
      </c>
      <c r="C67" s="37">
        <v>11198.360655737704</v>
      </c>
      <c r="D67" s="97">
        <f t="shared" ref="D67:D108" si="5">ROUND(C67,0)</f>
        <v>11198</v>
      </c>
      <c r="E67" s="95" t="s">
        <v>401</v>
      </c>
      <c r="F67" s="98" t="str">
        <f t="shared" si="4"/>
        <v>insert into ins_premium_det (premium_rcv_code,assorted_code, rec_amount,premium_rcv_detail_code,remaining_amt, payrec, mode_code,coinsurance_code,class_cd,it_remarks) values</v>
      </c>
      <c r="G67" s="99" t="str">
        <f t="shared" ref="G67:G108" si="6">"('"&amp;E67&amp;"','"&amp;B67&amp;"','"&amp;D67&amp;"',(select max(to_number(i.premium_rcv_detail_code))+1
from ins_premium_det i),'"&amp;D67&amp;"','"&amp;D67&amp;"','02', '11000003','00','Request by Mr. Saqib Saleem 15-Nov-2024');"</f>
        <v>('14Nov240007','040000164226','11198',(select max(to_number(i.premium_rcv_detail_code))+1
from ins_premium_det i),'11198','11198','02', '11000003','00','Request by Mr. Saqib Saleem 15-Nov-2024');</v>
      </c>
      <c r="H67" s="100" t="str">
        <f t="shared" ref="H67:H108" si="7">F67&amp;G67</f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8" spans="1:8" ht="90" x14ac:dyDescent="0.25">
      <c r="A68" s="77" t="s">
        <v>372</v>
      </c>
      <c r="B68" s="96" t="str">
        <f>VLOOKUP(A68,policy!B:C,2,0)</f>
        <v>040000164226</v>
      </c>
      <c r="C68" s="37">
        <v>11198.360655737704</v>
      </c>
      <c r="D68" s="97">
        <f t="shared" si="5"/>
        <v>11198</v>
      </c>
      <c r="E68" s="95" t="s">
        <v>401</v>
      </c>
      <c r="F68" s="98" t="str">
        <f t="shared" si="4"/>
        <v>insert into ins_premium_det (premium_rcv_code,assorted_code, rec_amount,premium_rcv_detail_code,remaining_amt, payrec, mode_code,coinsurance_code,class_cd,it_remarks) values</v>
      </c>
      <c r="G68" s="99" t="str">
        <f t="shared" si="6"/>
        <v>('14Nov240007','040000164226','11198',(select max(to_number(i.premium_rcv_detail_code))+1
from ins_premium_det i),'11198','11198','02', '11000003','00','Request by Mr. Saqib Saleem 15-Nov-2024');</v>
      </c>
      <c r="H68" s="100" t="str">
        <f t="shared" si="7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69" spans="1:8" ht="90" x14ac:dyDescent="0.25">
      <c r="A69" s="77" t="s">
        <v>372</v>
      </c>
      <c r="B69" s="96" t="str">
        <f>VLOOKUP(A69,policy!B:C,2,0)</f>
        <v>040000164226</v>
      </c>
      <c r="C69" s="37">
        <v>11198.360655737704</v>
      </c>
      <c r="D69" s="97">
        <f t="shared" si="5"/>
        <v>11198</v>
      </c>
      <c r="E69" s="95" t="s">
        <v>401</v>
      </c>
      <c r="F69" s="98" t="str">
        <f t="shared" si="4"/>
        <v>insert into ins_premium_det (premium_rcv_code,assorted_code, rec_amount,premium_rcv_detail_code,remaining_amt, payrec, mode_code,coinsurance_code,class_cd,it_remarks) values</v>
      </c>
      <c r="G69" s="99" t="str">
        <f t="shared" si="6"/>
        <v>('14Nov240007','040000164226','11198',(select max(to_number(i.premium_rcv_detail_code))+1
from ins_premium_det i),'11198','11198','02', '11000003','00','Request by Mr. Saqib Saleem 15-Nov-2024');</v>
      </c>
      <c r="H69" s="100" t="str">
        <f t="shared" si="7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70" spans="1:8" ht="90" x14ac:dyDescent="0.25">
      <c r="A70" s="77" t="s">
        <v>372</v>
      </c>
      <c r="B70" s="96" t="str">
        <f>VLOOKUP(A70,policy!B:C,2,0)</f>
        <v>040000164226</v>
      </c>
      <c r="C70" s="37">
        <v>11198.360655737704</v>
      </c>
      <c r="D70" s="97">
        <f t="shared" si="5"/>
        <v>11198</v>
      </c>
      <c r="E70" s="95" t="s">
        <v>401</v>
      </c>
      <c r="F70" s="98" t="str">
        <f t="shared" si="4"/>
        <v>insert into ins_premium_det (premium_rcv_code,assorted_code, rec_amount,premium_rcv_detail_code,remaining_amt, payrec, mode_code,coinsurance_code,class_cd,it_remarks) values</v>
      </c>
      <c r="G70" s="99" t="str">
        <f t="shared" si="6"/>
        <v>('14Nov240007','040000164226','11198',(select max(to_number(i.premium_rcv_detail_code))+1
from ins_premium_det i),'11198','11198','02', '11000003','00','Request by Mr. Saqib Saleem 15-Nov-2024');</v>
      </c>
      <c r="H70" s="100" t="str">
        <f t="shared" si="7"/>
        <v>insert into ins_premium_det (premium_rcv_code,assorted_code, rec_amount,premium_rcv_detail_code,remaining_amt, payrec, mode_code,coinsurance_code,class_cd,it_remarks) values('14Nov240007','040000164226','11198',(select max(to_number(i.premium_rcv_detail_code))+1
from ins_premium_det i),'11198','11198','02', '11000003','00','Request by Mr. Saqib Saleem 15-Nov-2024');</v>
      </c>
    </row>
    <row r="71" spans="1:8" ht="90" x14ac:dyDescent="0.25">
      <c r="A71" s="77" t="s">
        <v>371</v>
      </c>
      <c r="B71" s="96" t="str">
        <f>VLOOKUP(A71,policy!B:C,2,0)</f>
        <v>040000164225</v>
      </c>
      <c r="C71" s="37">
        <v>11198.360655737704</v>
      </c>
      <c r="D71" s="97">
        <f t="shared" si="5"/>
        <v>11198</v>
      </c>
      <c r="E71" s="95" t="s">
        <v>401</v>
      </c>
      <c r="F71" s="98" t="str">
        <f t="shared" si="4"/>
        <v>insert into ins_premium_det (premium_rcv_code,assorted_code, rec_amount,premium_rcv_detail_code,remaining_amt, payrec, mode_code,coinsurance_code,class_cd,it_remarks) values</v>
      </c>
      <c r="G71" s="99" t="str">
        <f t="shared" si="6"/>
        <v>('14Nov240007','040000164225','11198',(select max(to_number(i.premium_rcv_detail_code))+1
from ins_premium_det i),'11198','11198','02', '11000003','00','Request by Mr. Saqib Saleem 15-Nov-2024');</v>
      </c>
      <c r="H71" s="100" t="str">
        <f t="shared" si="7"/>
        <v>insert into ins_premium_det (premium_rcv_code,assorted_code, rec_amount,premium_rcv_detail_code,remaining_amt, payrec, mode_code,coinsurance_code,class_cd,it_remarks) values('14Nov240007','040000164225','11198',(select max(to_number(i.premium_rcv_detail_code))+1
from ins_premium_det i),'11198','11198','02', '11000003','00','Request by Mr. Saqib Saleem 15-Nov-2024');</v>
      </c>
    </row>
    <row r="72" spans="1:8" ht="90" x14ac:dyDescent="0.25">
      <c r="A72" s="77" t="s">
        <v>371</v>
      </c>
      <c r="B72" s="96" t="str">
        <f>VLOOKUP(A72,policy!B:C,2,0)</f>
        <v>040000164225</v>
      </c>
      <c r="C72" s="37">
        <v>11198.360655737704</v>
      </c>
      <c r="D72" s="97">
        <f t="shared" si="5"/>
        <v>11198</v>
      </c>
      <c r="E72" s="95" t="s">
        <v>401</v>
      </c>
      <c r="F72" s="98" t="str">
        <f t="shared" si="4"/>
        <v>insert into ins_premium_det (premium_rcv_code,assorted_code, rec_amount,premium_rcv_detail_code,remaining_amt, payrec, mode_code,coinsurance_code,class_cd,it_remarks) values</v>
      </c>
      <c r="G72" s="99" t="str">
        <f t="shared" si="6"/>
        <v>('14Nov240007','040000164225','11198',(select max(to_number(i.premium_rcv_detail_code))+1
from ins_premium_det i),'11198','11198','02', '11000003','00','Request by Mr. Saqib Saleem 15-Nov-2024');</v>
      </c>
      <c r="H72" s="100" t="str">
        <f t="shared" si="7"/>
        <v>insert into ins_premium_det (premium_rcv_code,assorted_code, rec_amount,premium_rcv_detail_code,remaining_amt, payrec, mode_code,coinsurance_code,class_cd,it_remarks) values('14Nov240007','040000164225','11198',(select max(to_number(i.premium_rcv_detail_code))+1
from ins_premium_det i),'11198','11198','02', '11000003','00','Request by Mr. Saqib Saleem 15-Nov-2024');</v>
      </c>
    </row>
    <row r="73" spans="1:8" ht="90" x14ac:dyDescent="0.25">
      <c r="A73" s="77" t="s">
        <v>371</v>
      </c>
      <c r="B73" s="96" t="str">
        <f>VLOOKUP(A73,policy!B:C,2,0)</f>
        <v>040000164225</v>
      </c>
      <c r="C73" s="37">
        <v>11198.360655737704</v>
      </c>
      <c r="D73" s="97">
        <f t="shared" si="5"/>
        <v>11198</v>
      </c>
      <c r="E73" s="95" t="s">
        <v>401</v>
      </c>
      <c r="F73" s="98" t="str">
        <f t="shared" si="4"/>
        <v>insert into ins_premium_det (premium_rcv_code,assorted_code, rec_amount,premium_rcv_detail_code,remaining_amt, payrec, mode_code,coinsurance_code,class_cd,it_remarks) values</v>
      </c>
      <c r="G73" s="99" t="str">
        <f t="shared" si="6"/>
        <v>('14Nov240007','040000164225','11198',(select max(to_number(i.premium_rcv_detail_code))+1
from ins_premium_det i),'11198','11198','02', '11000003','00','Request by Mr. Saqib Saleem 15-Nov-2024');</v>
      </c>
      <c r="H73" s="100" t="str">
        <f t="shared" si="7"/>
        <v>insert into ins_premium_det (premium_rcv_code,assorted_code, rec_amount,premium_rcv_detail_code,remaining_amt, payrec, mode_code,coinsurance_code,class_cd,it_remarks) values('14Nov240007','040000164225','11198',(select max(to_number(i.premium_rcv_detail_code))+1
from ins_premium_det i),'11198','11198','02', '11000003','00','Request by Mr. Saqib Saleem 15-Nov-2024');</v>
      </c>
    </row>
    <row r="74" spans="1:8" ht="90" x14ac:dyDescent="0.25">
      <c r="A74" s="77" t="s">
        <v>371</v>
      </c>
      <c r="B74" s="96" t="str">
        <f>VLOOKUP(A74,policy!B:C,2,0)</f>
        <v>040000164225</v>
      </c>
      <c r="C74" s="37">
        <v>11198.360655737704</v>
      </c>
      <c r="D74" s="97">
        <f t="shared" si="5"/>
        <v>11198</v>
      </c>
      <c r="E74" s="95" t="s">
        <v>401</v>
      </c>
      <c r="F74" s="98" t="str">
        <f t="shared" si="4"/>
        <v>insert into ins_premium_det (premium_rcv_code,assorted_code, rec_amount,premium_rcv_detail_code,remaining_amt, payrec, mode_code,coinsurance_code,class_cd,it_remarks) values</v>
      </c>
      <c r="G74" s="99" t="str">
        <f t="shared" si="6"/>
        <v>('14Nov240007','040000164225','11198',(select max(to_number(i.premium_rcv_detail_code))+1
from ins_premium_det i),'11198','11198','02', '11000003','00','Request by Mr. Saqib Saleem 15-Nov-2024');</v>
      </c>
      <c r="H74" s="100" t="str">
        <f t="shared" si="7"/>
        <v>insert into ins_premium_det (premium_rcv_code,assorted_code, rec_amount,premium_rcv_detail_code,remaining_amt, payrec, mode_code,coinsurance_code,class_cd,it_remarks) values('14Nov240007','040000164225','11198',(select max(to_number(i.premium_rcv_detail_code))+1
from ins_premium_det i),'11198','11198','02', '11000003','00','Request by Mr. Saqib Saleem 15-Nov-2024');</v>
      </c>
    </row>
    <row r="75" spans="1:8" ht="90" x14ac:dyDescent="0.25">
      <c r="A75" s="77" t="s">
        <v>371</v>
      </c>
      <c r="B75" s="96" t="str">
        <f>VLOOKUP(A75,policy!B:C,2,0)</f>
        <v>040000164225</v>
      </c>
      <c r="C75" s="37">
        <v>11198.360655737704</v>
      </c>
      <c r="D75" s="97">
        <f t="shared" si="5"/>
        <v>11198</v>
      </c>
      <c r="E75" s="95" t="s">
        <v>401</v>
      </c>
      <c r="F75" s="98" t="str">
        <f t="shared" si="4"/>
        <v>insert into ins_premium_det (premium_rcv_code,assorted_code, rec_amount,premium_rcv_detail_code,remaining_amt, payrec, mode_code,coinsurance_code,class_cd,it_remarks) values</v>
      </c>
      <c r="G75" s="99" t="str">
        <f t="shared" si="6"/>
        <v>('14Nov240007','040000164225','11198',(select max(to_number(i.premium_rcv_detail_code))+1
from ins_premium_det i),'11198','11198','02', '11000003','00','Request by Mr. Saqib Saleem 15-Nov-2024');</v>
      </c>
      <c r="H75" s="100" t="str">
        <f t="shared" si="7"/>
        <v>insert into ins_premium_det (premium_rcv_code,assorted_code, rec_amount,premium_rcv_detail_code,remaining_amt, payrec, mode_code,coinsurance_code,class_cd,it_remarks) values('14Nov240007','040000164225','11198',(select max(to_number(i.premium_rcv_detail_code))+1
from ins_premium_det i),'11198','11198','02', '11000003','00','Request by Mr. Saqib Saleem 15-Nov-2024');</v>
      </c>
    </row>
    <row r="76" spans="1:8" ht="90" x14ac:dyDescent="0.25">
      <c r="A76" s="77" t="s">
        <v>373</v>
      </c>
      <c r="B76" s="96" t="str">
        <f>VLOOKUP(A76,policy!B:C,2,0)</f>
        <v>040000164223</v>
      </c>
      <c r="C76" s="37">
        <v>10783.606557377048</v>
      </c>
      <c r="D76" s="97">
        <f t="shared" si="5"/>
        <v>10784</v>
      </c>
      <c r="E76" s="95" t="s">
        <v>401</v>
      </c>
      <c r="F76" s="98" t="str">
        <f t="shared" si="4"/>
        <v>insert into ins_premium_det (premium_rcv_code,assorted_code, rec_amount,premium_rcv_detail_code,remaining_amt, payrec, mode_code,coinsurance_code,class_cd,it_remarks) values</v>
      </c>
      <c r="G76" s="99" t="str">
        <f t="shared" si="6"/>
        <v>('14Nov240007','040000164223','10784',(select max(to_number(i.premium_rcv_detail_code))+1
from ins_premium_det i),'10784','10784','02', '11000003','00','Request by Mr. Saqib Saleem 15-Nov-2024');</v>
      </c>
      <c r="H76" s="100" t="str">
        <f t="shared" si="7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77" spans="1:8" ht="90" x14ac:dyDescent="0.25">
      <c r="A77" s="77" t="s">
        <v>373</v>
      </c>
      <c r="B77" s="96" t="str">
        <f>VLOOKUP(A77,policy!B:C,2,0)</f>
        <v>040000164223</v>
      </c>
      <c r="C77" s="37">
        <v>10783.606557377048</v>
      </c>
      <c r="D77" s="97">
        <f t="shared" si="5"/>
        <v>10784</v>
      </c>
      <c r="E77" s="95" t="s">
        <v>401</v>
      </c>
      <c r="F77" s="98" t="str">
        <f t="shared" si="4"/>
        <v>insert into ins_premium_det (premium_rcv_code,assorted_code, rec_amount,premium_rcv_detail_code,remaining_amt, payrec, mode_code,coinsurance_code,class_cd,it_remarks) values</v>
      </c>
      <c r="G77" s="99" t="str">
        <f t="shared" si="6"/>
        <v>('14Nov240007','040000164223','10784',(select max(to_number(i.premium_rcv_detail_code))+1
from ins_premium_det i),'10784','10784','02', '11000003','00','Request by Mr. Saqib Saleem 15-Nov-2024');</v>
      </c>
      <c r="H77" s="100" t="str">
        <f t="shared" si="7"/>
        <v>insert into ins_premium_det (premium_rcv_code,assorted_code, rec_amount,premium_rcv_detail_code,remaining_amt, payrec, mode_code,coinsurance_code,class_cd,it_remarks) values('14Nov240007','040000164223','10784',(select max(to_number(i.premium_rcv_detail_code))+1
from ins_premium_det i),'10784','10784','02', '11000003','00','Request by Mr. Saqib Saleem 15-Nov-2024');</v>
      </c>
    </row>
    <row r="78" spans="1:8" ht="90" x14ac:dyDescent="0.25">
      <c r="A78" s="77" t="s">
        <v>373</v>
      </c>
      <c r="B78" s="96" t="str">
        <f>VLOOKUP(A78,policy!B:C,2,0)</f>
        <v>040000164223</v>
      </c>
      <c r="C78" s="37">
        <v>11107.11475409836</v>
      </c>
      <c r="D78" s="97">
        <f t="shared" si="5"/>
        <v>11107</v>
      </c>
      <c r="E78" s="95" t="s">
        <v>401</v>
      </c>
      <c r="F78" s="98" t="str">
        <f t="shared" si="4"/>
        <v>insert into ins_premium_det (premium_rcv_code,assorted_code, rec_amount,premium_rcv_detail_code,remaining_amt, payrec, mode_code,coinsurance_code,class_cd,it_remarks) values</v>
      </c>
      <c r="G78" s="99" t="str">
        <f t="shared" si="6"/>
        <v>('14Nov240007','040000164223','11107',(select max(to_number(i.premium_rcv_detail_code))+1
from ins_premium_det i),'11107','11107','02', '11000003','00','Request by Mr. Saqib Saleem 15-Nov-2024');</v>
      </c>
      <c r="H78" s="100" t="str">
        <f t="shared" si="7"/>
        <v>insert into ins_premium_det (premium_rcv_code,assorted_code, rec_amount,premium_rcv_detail_code,remaining_amt, payrec, mode_code,coinsurance_code,class_cd,it_remarks) values('14Nov240007','040000164223','11107',(select max(to_number(i.premium_rcv_detail_code))+1
from ins_premium_det i),'11107','11107','02', '11000003','00','Request by Mr. Saqib Saleem 15-Nov-2024');</v>
      </c>
    </row>
    <row r="79" spans="1:8" ht="90" x14ac:dyDescent="0.25">
      <c r="A79" s="77" t="s">
        <v>373</v>
      </c>
      <c r="B79" s="96" t="str">
        <f>VLOOKUP(A79,policy!B:C,2,0)</f>
        <v>040000164223</v>
      </c>
      <c r="C79" s="37">
        <v>11293.754098360656</v>
      </c>
      <c r="D79" s="97">
        <f t="shared" si="5"/>
        <v>11294</v>
      </c>
      <c r="E79" s="95" t="s">
        <v>401</v>
      </c>
      <c r="F79" s="98" t="str">
        <f t="shared" si="4"/>
        <v>insert into ins_premium_det (premium_rcv_code,assorted_code, rec_amount,premium_rcv_detail_code,remaining_amt, payrec, mode_code,coinsurance_code,class_cd,it_remarks) values</v>
      </c>
      <c r="G79" s="99" t="str">
        <f t="shared" si="6"/>
        <v>('14Nov240007','040000164223','11294',(select max(to_number(i.premium_rcv_detail_code))+1
from ins_premium_det i),'11294','11294','02', '11000003','00','Request by Mr. Saqib Saleem 15-Nov-2024');</v>
      </c>
      <c r="H79" s="100" t="str">
        <f t="shared" si="7"/>
        <v>insert into ins_premium_det (premium_rcv_code,assorted_code, rec_amount,premium_rcv_detail_code,remaining_amt, payrec, mode_code,coinsurance_code,class_cd,it_remarks) values('14Nov240007','040000164223','11294',(select max(to_number(i.premium_rcv_detail_code))+1
from ins_premium_det i),'11294','11294','02', '11000003','00','Request by Mr. Saqib Saleem 15-Nov-2024');</v>
      </c>
    </row>
    <row r="80" spans="1:8" ht="90" x14ac:dyDescent="0.25">
      <c r="A80" s="77" t="s">
        <v>373</v>
      </c>
      <c r="B80" s="96" t="str">
        <f>VLOOKUP(A80,policy!B:C,2,0)</f>
        <v>040000164223</v>
      </c>
      <c r="C80" s="37">
        <v>10381.295081967213</v>
      </c>
      <c r="D80" s="97">
        <f t="shared" si="5"/>
        <v>10381</v>
      </c>
      <c r="E80" s="95" t="s">
        <v>401</v>
      </c>
      <c r="F80" s="98" t="str">
        <f t="shared" si="4"/>
        <v>insert into ins_premium_det (premium_rcv_code,assorted_code, rec_amount,premium_rcv_detail_code,remaining_amt, payrec, mode_code,coinsurance_code,class_cd,it_remarks) values</v>
      </c>
      <c r="G80" s="99" t="str">
        <f t="shared" si="6"/>
        <v>('14Nov240007','040000164223','10381',(select max(to_number(i.premium_rcv_detail_code))+1
from ins_premium_det i),'10381','10381','02', '11000003','00','Request by Mr. Saqib Saleem 15-Nov-2024');</v>
      </c>
      <c r="H80" s="100" t="str">
        <f t="shared" si="7"/>
        <v>insert into ins_premium_det (premium_rcv_code,assorted_code, rec_amount,premium_rcv_detail_code,remaining_amt, payrec, mode_code,coinsurance_code,class_cd,it_remarks) values('14Nov240007','040000164223','10381',(select max(to_number(i.premium_rcv_detail_code))+1
from ins_premium_det i),'10381','10381','02', '11000003','00','Request by Mr. Saqib Saleem 15-Nov-2024');</v>
      </c>
    </row>
    <row r="81" spans="1:8" ht="90" x14ac:dyDescent="0.25">
      <c r="A81" s="77" t="s">
        <v>373</v>
      </c>
      <c r="B81" s="96" t="str">
        <f>VLOOKUP(A81,policy!B:C,2,0)</f>
        <v>040000164223</v>
      </c>
      <c r="C81" s="37">
        <v>10381.295081967213</v>
      </c>
      <c r="D81" s="97">
        <f t="shared" si="5"/>
        <v>10381</v>
      </c>
      <c r="E81" s="95" t="s">
        <v>401</v>
      </c>
      <c r="F81" s="98" t="str">
        <f t="shared" si="4"/>
        <v>insert into ins_premium_det (premium_rcv_code,assorted_code, rec_amount,premium_rcv_detail_code,remaining_amt, payrec, mode_code,coinsurance_code,class_cd,it_remarks) values</v>
      </c>
      <c r="G81" s="99" t="str">
        <f t="shared" si="6"/>
        <v>('14Nov240007','040000164223','10381',(select max(to_number(i.premium_rcv_detail_code))+1
from ins_premium_det i),'10381','10381','02', '11000003','00','Request by Mr. Saqib Saleem 15-Nov-2024');</v>
      </c>
      <c r="H81" s="100" t="str">
        <f t="shared" si="7"/>
        <v>insert into ins_premium_det (premium_rcv_code,assorted_code, rec_amount,premium_rcv_detail_code,remaining_amt, payrec, mode_code,coinsurance_code,class_cd,it_remarks) values('14Nov240007','040000164223','10381',(select max(to_number(i.premium_rcv_detail_code))+1
from ins_premium_det i),'10381','10381','02', '11000003','00','Request by Mr. Saqib Saleem 15-Nov-2024');</v>
      </c>
    </row>
    <row r="82" spans="1:8" ht="90" x14ac:dyDescent="0.25">
      <c r="A82" s="77" t="s">
        <v>373</v>
      </c>
      <c r="B82" s="96" t="str">
        <f>VLOOKUP(A82,policy!B:C,2,0)</f>
        <v>040000164223</v>
      </c>
      <c r="C82" s="37">
        <v>10381.295081967213</v>
      </c>
      <c r="D82" s="97">
        <f t="shared" si="5"/>
        <v>10381</v>
      </c>
      <c r="E82" s="95" t="s">
        <v>401</v>
      </c>
      <c r="F82" s="98" t="str">
        <f t="shared" si="4"/>
        <v>insert into ins_premium_det (premium_rcv_code,assorted_code, rec_amount,premium_rcv_detail_code,remaining_amt, payrec, mode_code,coinsurance_code,class_cd,it_remarks) values</v>
      </c>
      <c r="G82" s="99" t="str">
        <f t="shared" si="6"/>
        <v>('14Nov240007','040000164223','10381',(select max(to_number(i.premium_rcv_detail_code))+1
from ins_premium_det i),'10381','10381','02', '11000003','00','Request by Mr. Saqib Saleem 15-Nov-2024');</v>
      </c>
      <c r="H82" s="100" t="str">
        <f t="shared" si="7"/>
        <v>insert into ins_premium_det (premium_rcv_code,assorted_code, rec_amount,premium_rcv_detail_code,remaining_amt, payrec, mode_code,coinsurance_code,class_cd,it_remarks) values('14Nov240007','040000164223','10381',(select max(to_number(i.premium_rcv_detail_code))+1
from ins_premium_det i),'10381','10381','02', '11000003','00','Request by Mr. Saqib Saleem 15-Nov-2024');</v>
      </c>
    </row>
    <row r="83" spans="1:8" ht="90" x14ac:dyDescent="0.25">
      <c r="A83" s="77" t="s">
        <v>373</v>
      </c>
      <c r="B83" s="96" t="str">
        <f>VLOOKUP(A83,policy!B:C,2,0)</f>
        <v>040000164223</v>
      </c>
      <c r="C83" s="37">
        <v>10265.163934426229</v>
      </c>
      <c r="D83" s="97">
        <f t="shared" si="5"/>
        <v>10265</v>
      </c>
      <c r="E83" s="95" t="s">
        <v>401</v>
      </c>
      <c r="F83" s="98" t="str">
        <f t="shared" si="4"/>
        <v>insert into ins_premium_det (premium_rcv_code,assorted_code, rec_amount,premium_rcv_detail_code,remaining_amt, payrec, mode_code,coinsurance_code,class_cd,it_remarks) values</v>
      </c>
      <c r="G83" s="99" t="str">
        <f t="shared" si="6"/>
        <v>('14Nov240007','040000164223','10265',(select max(to_number(i.premium_rcv_detail_code))+1
from ins_premium_det i),'10265','10265','02', '11000003','00','Request by Mr. Saqib Saleem 15-Nov-2024');</v>
      </c>
      <c r="H83" s="100" t="str">
        <f t="shared" si="7"/>
        <v>insert into ins_premium_det (premium_rcv_code,assorted_code, rec_amount,premium_rcv_detail_code,remaining_amt, payrec, mode_code,coinsurance_code,class_cd,it_remarks) values('14Nov240007','040000164223','10265',(select max(to_number(i.premium_rcv_detail_code))+1
from ins_premium_det i),'10265','10265','02', '11000003','00','Request by Mr. Saqib Saleem 15-Nov-2024');</v>
      </c>
    </row>
    <row r="84" spans="1:8" ht="90" x14ac:dyDescent="0.25">
      <c r="A84" s="77" t="s">
        <v>373</v>
      </c>
      <c r="B84" s="96" t="str">
        <f>VLOOKUP(A84,policy!B:C,2,0)</f>
        <v>040000164223</v>
      </c>
      <c r="C84" s="37">
        <v>10265.163934426229</v>
      </c>
      <c r="D84" s="97">
        <f t="shared" si="5"/>
        <v>10265</v>
      </c>
      <c r="E84" s="95" t="s">
        <v>401</v>
      </c>
      <c r="F84" s="98" t="str">
        <f t="shared" si="4"/>
        <v>insert into ins_premium_det (premium_rcv_code,assorted_code, rec_amount,premium_rcv_detail_code,remaining_amt, payrec, mode_code,coinsurance_code,class_cd,it_remarks) values</v>
      </c>
      <c r="G84" s="99" t="str">
        <f t="shared" si="6"/>
        <v>('14Nov240007','040000164223','10265',(select max(to_number(i.premium_rcv_detail_code))+1
from ins_premium_det i),'10265','10265','02', '11000003','00','Request by Mr. Saqib Saleem 15-Nov-2024');</v>
      </c>
      <c r="H84" s="100" t="str">
        <f t="shared" si="7"/>
        <v>insert into ins_premium_det (premium_rcv_code,assorted_code, rec_amount,premium_rcv_detail_code,remaining_amt, payrec, mode_code,coinsurance_code,class_cd,it_remarks) values('14Nov240007','040000164223','10265',(select max(to_number(i.premium_rcv_detail_code))+1
from ins_premium_det i),'10265','10265','02', '11000003','00','Request by Mr. Saqib Saleem 15-Nov-2024');</v>
      </c>
    </row>
    <row r="85" spans="1:8" ht="90" x14ac:dyDescent="0.25">
      <c r="A85" s="77" t="s">
        <v>373</v>
      </c>
      <c r="B85" s="96" t="str">
        <f>VLOOKUP(A85,policy!B:C,2,0)</f>
        <v>040000164223</v>
      </c>
      <c r="C85" s="37">
        <v>10265.163934426229</v>
      </c>
      <c r="D85" s="97">
        <f t="shared" si="5"/>
        <v>10265</v>
      </c>
      <c r="E85" s="95" t="s">
        <v>401</v>
      </c>
      <c r="F85" s="98" t="str">
        <f t="shared" si="4"/>
        <v>insert into ins_premium_det (premium_rcv_code,assorted_code, rec_amount,premium_rcv_detail_code,remaining_amt, payrec, mode_code,coinsurance_code,class_cd,it_remarks) values</v>
      </c>
      <c r="G85" s="99" t="str">
        <f t="shared" si="6"/>
        <v>('14Nov240007','040000164223','10265',(select max(to_number(i.premium_rcv_detail_code))+1
from ins_premium_det i),'10265','10265','02', '11000003','00','Request by Mr. Saqib Saleem 15-Nov-2024');</v>
      </c>
      <c r="H85" s="100" t="str">
        <f t="shared" si="7"/>
        <v>insert into ins_premium_det (premium_rcv_code,assorted_code, rec_amount,premium_rcv_detail_code,remaining_amt, payrec, mode_code,coinsurance_code,class_cd,it_remarks) values('14Nov240007','040000164223','10265',(select max(to_number(i.premium_rcv_detail_code))+1
from ins_premium_det i),'10265','10265','02', '11000003','00','Request by Mr. Saqib Saleem 15-Nov-2024');</v>
      </c>
    </row>
    <row r="86" spans="1:8" ht="90" x14ac:dyDescent="0.25">
      <c r="A86" s="77" t="s">
        <v>373</v>
      </c>
      <c r="B86" s="96" t="str">
        <f>VLOOKUP(A86,policy!B:C,2,0)</f>
        <v>040000164223</v>
      </c>
      <c r="C86" s="37">
        <v>11011.721311475409</v>
      </c>
      <c r="D86" s="97">
        <f t="shared" si="5"/>
        <v>11012</v>
      </c>
      <c r="E86" s="95" t="s">
        <v>401</v>
      </c>
      <c r="F86" s="98" t="str">
        <f t="shared" si="4"/>
        <v>insert into ins_premium_det (premium_rcv_code,assorted_code, rec_amount,premium_rcv_detail_code,remaining_amt, payrec, mode_code,coinsurance_code,class_cd,it_remarks) values</v>
      </c>
      <c r="G86" s="99" t="str">
        <f t="shared" si="6"/>
        <v>('14Nov240007','040000164223','11012',(select max(to_number(i.premium_rcv_detail_code))+1
from ins_premium_det i),'11012','11012','02', '11000003','00','Request by Mr. Saqib Saleem 15-Nov-2024');</v>
      </c>
      <c r="H86" s="100" t="str">
        <f t="shared" si="7"/>
        <v>insert into ins_premium_det (premium_rcv_code,assorted_code, rec_amount,premium_rcv_detail_code,remaining_amt, payrec, mode_code,coinsurance_code,class_cd,it_remarks) values('14Nov240007','040000164223','11012',(select max(to_number(i.premium_rcv_detail_code))+1
from ins_premium_det i),'11012','11012','02', '11000003','00','Request by Mr. Saqib Saleem 15-Nov-2024');</v>
      </c>
    </row>
    <row r="87" spans="1:8" ht="90" x14ac:dyDescent="0.25">
      <c r="A87" s="77" t="s">
        <v>373</v>
      </c>
      <c r="B87" s="96" t="str">
        <f>VLOOKUP(A87,policy!B:C,2,0)</f>
        <v>040000164223</v>
      </c>
      <c r="C87" s="37">
        <v>11011.721311475409</v>
      </c>
      <c r="D87" s="97">
        <f t="shared" si="5"/>
        <v>11012</v>
      </c>
      <c r="E87" s="95" t="s">
        <v>401</v>
      </c>
      <c r="F87" s="98" t="str">
        <f t="shared" si="4"/>
        <v>insert into ins_premium_det (premium_rcv_code,assorted_code, rec_amount,premium_rcv_detail_code,remaining_amt, payrec, mode_code,coinsurance_code,class_cd,it_remarks) values</v>
      </c>
      <c r="G87" s="99" t="str">
        <f t="shared" si="6"/>
        <v>('14Nov240007','040000164223','11012',(select max(to_number(i.premium_rcv_detail_code))+1
from ins_premium_det i),'11012','11012','02', '11000003','00','Request by Mr. Saqib Saleem 15-Nov-2024');</v>
      </c>
      <c r="H87" s="100" t="str">
        <f t="shared" si="7"/>
        <v>insert into ins_premium_det (premium_rcv_code,assorted_code, rec_amount,premium_rcv_detail_code,remaining_amt, payrec, mode_code,coinsurance_code,class_cd,it_remarks) values('14Nov240007','040000164223','11012',(select max(to_number(i.premium_rcv_detail_code))+1
from ins_premium_det i),'11012','11012','02', '11000003','00','Request by Mr. Saqib Saleem 15-Nov-2024');</v>
      </c>
    </row>
    <row r="88" spans="1:8" ht="90" x14ac:dyDescent="0.25">
      <c r="A88" s="77" t="s">
        <v>380</v>
      </c>
      <c r="B88" t="s">
        <v>389</v>
      </c>
      <c r="C88" s="37">
        <v>1256.8306010928961</v>
      </c>
      <c r="D88" s="97">
        <f t="shared" si="5"/>
        <v>1257</v>
      </c>
      <c r="E88" s="95" t="s">
        <v>401</v>
      </c>
      <c r="F88" s="98" t="str">
        <f t="shared" si="4"/>
        <v>insert into ins_premium_det (premium_rcv_code,assorted_code, rec_amount,premium_rcv_detail_code,remaining_amt, payrec, mode_code,coinsurance_code,class_cd,it_remarks) values</v>
      </c>
      <c r="G88" s="99" t="str">
        <f t="shared" si="6"/>
        <v>('14Nov240007','040000164240','1257',(select max(to_number(i.premium_rcv_detail_code))+1
from ins_premium_det i),'1257','1257','02', '11000003','00','Request by Mr. Saqib Saleem 15-Nov-2024');</v>
      </c>
      <c r="H88" s="100" t="str">
        <f t="shared" si="7"/>
        <v>insert into ins_premium_det (premium_rcv_code,assorted_code, rec_amount,premium_rcv_detail_code,remaining_amt, payrec, mode_code,coinsurance_code,class_cd,it_remarks) values('14Nov240007','040000164240','1257',(select max(to_number(i.premium_rcv_detail_code))+1
from ins_premium_det i),'1257','1257','02', '11000003','00','Request by Mr. Saqib Saleem 15-Nov-2024');</v>
      </c>
    </row>
    <row r="89" spans="1:8" ht="90" x14ac:dyDescent="0.25">
      <c r="A89" s="77" t="s">
        <v>377</v>
      </c>
      <c r="B89" s="96" t="str">
        <f>VLOOKUP(A89,policy!B:C,2,0)</f>
        <v>040000168665</v>
      </c>
      <c r="C89" s="37">
        <v>29673.581967213115</v>
      </c>
      <c r="D89" s="97">
        <f t="shared" si="5"/>
        <v>29674</v>
      </c>
      <c r="E89" s="95" t="s">
        <v>401</v>
      </c>
      <c r="F89" s="98" t="str">
        <f t="shared" si="4"/>
        <v>insert into ins_premium_det (premium_rcv_code,assorted_code, rec_amount,premium_rcv_detail_code,remaining_amt, payrec, mode_code,coinsurance_code,class_cd,it_remarks) values</v>
      </c>
      <c r="G89" s="99" t="str">
        <f t="shared" si="6"/>
        <v>('14Nov240007','040000168665','29674',(select max(to_number(i.premium_rcv_detail_code))+1
from ins_premium_det i),'29674','29674','02', '11000003','00','Request by Mr. Saqib Saleem 15-Nov-2024');</v>
      </c>
      <c r="H89" s="100" t="str">
        <f t="shared" si="7"/>
        <v>insert into ins_premium_det (premium_rcv_code,assorted_code, rec_amount,premium_rcv_detail_code,remaining_amt, payrec, mode_code,coinsurance_code,class_cd,it_remarks) values('14Nov240007','040000168665','29674',(select max(to_number(i.premium_rcv_detail_code))+1
from ins_premium_det i),'29674','29674','02', '11000003','00','Request by Mr. Saqib Saleem 15-Nov-2024');</v>
      </c>
    </row>
    <row r="90" spans="1:8" ht="90" x14ac:dyDescent="0.25">
      <c r="A90" s="77" t="s">
        <v>377</v>
      </c>
      <c r="B90" s="96" t="str">
        <f>VLOOKUP(A90,policy!B:C,2,0)</f>
        <v>040000168665</v>
      </c>
      <c r="C90" s="37">
        <v>29673.581967213115</v>
      </c>
      <c r="D90" s="97">
        <f t="shared" si="5"/>
        <v>29674</v>
      </c>
      <c r="E90" s="95" t="s">
        <v>401</v>
      </c>
      <c r="F90" s="98" t="str">
        <f t="shared" si="4"/>
        <v>insert into ins_premium_det (premium_rcv_code,assorted_code, rec_amount,premium_rcv_detail_code,remaining_amt, payrec, mode_code,coinsurance_code,class_cd,it_remarks) values</v>
      </c>
      <c r="G90" s="99" t="str">
        <f t="shared" si="6"/>
        <v>('14Nov240007','040000168665','29674',(select max(to_number(i.premium_rcv_detail_code))+1
from ins_premium_det i),'29674','29674','02', '11000003','00','Request by Mr. Saqib Saleem 15-Nov-2024');</v>
      </c>
      <c r="H90" s="100" t="str">
        <f t="shared" si="7"/>
        <v>insert into ins_premium_det (premium_rcv_code,assorted_code, rec_amount,premium_rcv_detail_code,remaining_amt, payrec, mode_code,coinsurance_code,class_cd,it_remarks) values('14Nov240007','040000168665','29674',(select max(to_number(i.premium_rcv_detail_code))+1
from ins_premium_det i),'29674','29674','02', '11000003','00','Request by Mr. Saqib Saleem 15-Nov-2024');</v>
      </c>
    </row>
    <row r="91" spans="1:8" ht="90" x14ac:dyDescent="0.25">
      <c r="A91" s="77" t="s">
        <v>377</v>
      </c>
      <c r="B91" s="96" t="str">
        <f>VLOOKUP(A91,policy!B:C,2,0)</f>
        <v>040000168665</v>
      </c>
      <c r="C91" s="37">
        <v>29673.581967213115</v>
      </c>
      <c r="D91" s="97">
        <f t="shared" si="5"/>
        <v>29674</v>
      </c>
      <c r="E91" s="95" t="s">
        <v>401</v>
      </c>
      <c r="F91" s="98" t="str">
        <f t="shared" si="4"/>
        <v>insert into ins_premium_det (premium_rcv_code,assorted_code, rec_amount,premium_rcv_detail_code,remaining_amt, payrec, mode_code,coinsurance_code,class_cd,it_remarks) values</v>
      </c>
      <c r="G91" s="99" t="str">
        <f t="shared" si="6"/>
        <v>('14Nov240007','040000168665','29674',(select max(to_number(i.premium_rcv_detail_code))+1
from ins_premium_det i),'29674','29674','02', '11000003','00','Request by Mr. Saqib Saleem 15-Nov-2024');</v>
      </c>
      <c r="H91" s="100" t="str">
        <f t="shared" si="7"/>
        <v>insert into ins_premium_det (premium_rcv_code,assorted_code, rec_amount,premium_rcv_detail_code,remaining_amt, payrec, mode_code,coinsurance_code,class_cd,it_remarks) values('14Nov240007','040000168665','29674',(select max(to_number(i.premium_rcv_detail_code))+1
from ins_premium_det i),'29674','29674','02', '11000003','00','Request by Mr. Saqib Saleem 15-Nov-2024');</v>
      </c>
    </row>
    <row r="92" spans="1:8" ht="90" x14ac:dyDescent="0.25">
      <c r="A92" s="77" t="s">
        <v>377</v>
      </c>
      <c r="B92" s="96" t="str">
        <f>VLOOKUP(A92,policy!B:C,2,0)</f>
        <v>040000168665</v>
      </c>
      <c r="C92" s="37">
        <v>29673.581967213115</v>
      </c>
      <c r="D92" s="97">
        <f t="shared" si="5"/>
        <v>29674</v>
      </c>
      <c r="E92" s="95" t="s">
        <v>401</v>
      </c>
      <c r="F92" s="98" t="str">
        <f t="shared" si="4"/>
        <v>insert into ins_premium_det (premium_rcv_code,assorted_code, rec_amount,premium_rcv_detail_code,remaining_amt, payrec, mode_code,coinsurance_code,class_cd,it_remarks) values</v>
      </c>
      <c r="G92" s="99" t="str">
        <f t="shared" si="6"/>
        <v>('14Nov240007','040000168665','29674',(select max(to_number(i.premium_rcv_detail_code))+1
from ins_premium_det i),'29674','29674','02', '11000003','00','Request by Mr. Saqib Saleem 15-Nov-2024');</v>
      </c>
      <c r="H92" s="100" t="str">
        <f t="shared" si="7"/>
        <v>insert into ins_premium_det (premium_rcv_code,assorted_code, rec_amount,premium_rcv_detail_code,remaining_amt, payrec, mode_code,coinsurance_code,class_cd,it_remarks) values('14Nov240007','040000168665','29674',(select max(to_number(i.premium_rcv_detail_code))+1
from ins_premium_det i),'29674','29674','02', '11000003','00','Request by Mr. Saqib Saleem 15-Nov-2024');</v>
      </c>
    </row>
    <row r="93" spans="1:8" ht="90" x14ac:dyDescent="0.25">
      <c r="A93" s="77" t="s">
        <v>375</v>
      </c>
      <c r="B93" s="96" t="str">
        <f>VLOOKUP(A93,policy!B:C,2,0)</f>
        <v>040000164227</v>
      </c>
      <c r="C93" s="37">
        <v>58746.600000000006</v>
      </c>
      <c r="D93" s="97">
        <f t="shared" si="5"/>
        <v>58747</v>
      </c>
      <c r="E93" s="95" t="s">
        <v>401</v>
      </c>
      <c r="F93" s="98" t="str">
        <f t="shared" si="4"/>
        <v>insert into ins_premium_det (premium_rcv_code,assorted_code, rec_amount,premium_rcv_detail_code,remaining_amt, payrec, mode_code,coinsurance_code,class_cd,it_remarks) values</v>
      </c>
      <c r="G93" s="99" t="str">
        <f t="shared" si="6"/>
        <v>('14Nov240007','040000164227','58747',(select max(to_number(i.premium_rcv_detail_code))+1
from ins_premium_det i),'58747','58747','02', '11000003','00','Request by Mr. Saqib Saleem 15-Nov-2024');</v>
      </c>
      <c r="H93" s="100" t="str">
        <f t="shared" si="7"/>
        <v>insert into ins_premium_det (premium_rcv_code,assorted_code, rec_amount,premium_rcv_detail_code,remaining_amt, payrec, mode_code,coinsurance_code,class_cd,it_remarks) values('14Nov240007','040000164227','58747',(select max(to_number(i.premium_rcv_detail_code))+1
from ins_premium_det i),'58747','58747','02', '11000003','00','Request by Mr. Saqib Saleem 15-Nov-2024');</v>
      </c>
    </row>
    <row r="94" spans="1:8" ht="90" x14ac:dyDescent="0.25">
      <c r="A94" s="77" t="s">
        <v>377</v>
      </c>
      <c r="B94" s="96" t="str">
        <f>VLOOKUP(A94,policy!B:C,2,0)</f>
        <v>040000168665</v>
      </c>
      <c r="C94" s="37">
        <v>17730.737704918032</v>
      </c>
      <c r="D94" s="97">
        <f t="shared" si="5"/>
        <v>17731</v>
      </c>
      <c r="E94" s="95" t="s">
        <v>401</v>
      </c>
      <c r="F94" s="98" t="str">
        <f t="shared" si="4"/>
        <v>insert into ins_premium_det (premium_rcv_code,assorted_code, rec_amount,premium_rcv_detail_code,remaining_amt, payrec, mode_code,coinsurance_code,class_cd,it_remarks) values</v>
      </c>
      <c r="G94" s="99" t="str">
        <f t="shared" si="6"/>
        <v>('14Nov240007','040000168665','17731',(select max(to_number(i.premium_rcv_detail_code))+1
from ins_premium_det i),'17731','17731','02', '11000003','00','Request by Mr. Saqib Saleem 15-Nov-2024');</v>
      </c>
      <c r="H94" s="100" t="str">
        <f t="shared" si="7"/>
        <v>insert into ins_premium_det (premium_rcv_code,assorted_code, rec_amount,premium_rcv_detail_code,remaining_amt, payrec, mode_code,coinsurance_code,class_cd,it_remarks) values('14Nov240007','040000168665','17731',(select max(to_number(i.premium_rcv_detail_code))+1
from ins_premium_det i),'17731','17731','02', '11000003','00','Request by Mr. Saqib Saleem 15-Nov-2024');</v>
      </c>
    </row>
    <row r="95" spans="1:8" ht="90" x14ac:dyDescent="0.25">
      <c r="A95" s="77" t="s">
        <v>377</v>
      </c>
      <c r="B95" s="96" t="str">
        <f>VLOOKUP(A95,policy!B:C,2,0)</f>
        <v>040000168665</v>
      </c>
      <c r="C95" s="37">
        <v>17730.737704918032</v>
      </c>
      <c r="D95" s="97">
        <f t="shared" si="5"/>
        <v>17731</v>
      </c>
      <c r="E95" s="95" t="s">
        <v>401</v>
      </c>
      <c r="F95" s="98" t="str">
        <f t="shared" si="4"/>
        <v>insert into ins_premium_det (premium_rcv_code,assorted_code, rec_amount,premium_rcv_detail_code,remaining_amt, payrec, mode_code,coinsurance_code,class_cd,it_remarks) values</v>
      </c>
      <c r="G95" s="99" t="str">
        <f t="shared" si="6"/>
        <v>('14Nov240007','040000168665','17731',(select max(to_number(i.premium_rcv_detail_code))+1
from ins_premium_det i),'17731','17731','02', '11000003','00','Request by Mr. Saqib Saleem 15-Nov-2024');</v>
      </c>
      <c r="H95" s="100" t="str">
        <f t="shared" si="7"/>
        <v>insert into ins_premium_det (premium_rcv_code,assorted_code, rec_amount,premium_rcv_detail_code,remaining_amt, payrec, mode_code,coinsurance_code,class_cd,it_remarks) values('14Nov240007','040000168665','17731',(select max(to_number(i.premium_rcv_detail_code))+1
from ins_premium_det i),'17731','17731','02', '11000003','00','Request by Mr. Saqib Saleem 15-Nov-2024');</v>
      </c>
    </row>
    <row r="96" spans="1:8" ht="90" x14ac:dyDescent="0.25">
      <c r="A96" s="77" t="s">
        <v>378</v>
      </c>
      <c r="B96" s="96" t="str">
        <f>VLOOKUP(A96,policy!B:C,2,0)</f>
        <v>040000164229</v>
      </c>
      <c r="C96" s="37">
        <v>16807.909836065573</v>
      </c>
      <c r="D96" s="97">
        <f t="shared" si="5"/>
        <v>16808</v>
      </c>
      <c r="E96" s="95" t="s">
        <v>401</v>
      </c>
      <c r="F96" s="98" t="str">
        <f t="shared" si="4"/>
        <v>insert into ins_premium_det (premium_rcv_code,assorted_code, rec_amount,premium_rcv_detail_code,remaining_amt, payrec, mode_code,coinsurance_code,class_cd,it_remarks) values</v>
      </c>
      <c r="G96" s="99" t="str">
        <f t="shared" si="6"/>
        <v>('14Nov240007','040000164229','16808',(select max(to_number(i.premium_rcv_detail_code))+1
from ins_premium_det i),'16808','16808','02', '11000003','00','Request by Mr. Saqib Saleem 15-Nov-2024');</v>
      </c>
      <c r="H96" s="100" t="str">
        <f t="shared" si="7"/>
        <v>insert into ins_premium_det (premium_rcv_code,assorted_code, rec_amount,premium_rcv_detail_code,remaining_amt, payrec, mode_code,coinsurance_code,class_cd,it_remarks) values('14Nov240007','040000164229','16808',(select max(to_number(i.premium_rcv_detail_code))+1
from ins_premium_det i),'16808','16808','02', '11000003','00','Request by Mr. Saqib Saleem 15-Nov-2024');</v>
      </c>
    </row>
    <row r="97" spans="1:8" ht="90" x14ac:dyDescent="0.25">
      <c r="A97" s="77" t="s">
        <v>378</v>
      </c>
      <c r="B97" s="96" t="str">
        <f>VLOOKUP(A97,policy!B:C,2,0)</f>
        <v>040000164229</v>
      </c>
      <c r="C97" s="37">
        <v>16807.909836065573</v>
      </c>
      <c r="D97" s="97">
        <f t="shared" si="5"/>
        <v>16808</v>
      </c>
      <c r="E97" s="95" t="s">
        <v>401</v>
      </c>
      <c r="F97" s="98" t="str">
        <f t="shared" si="4"/>
        <v>insert into ins_premium_det (premium_rcv_code,assorted_code, rec_amount,premium_rcv_detail_code,remaining_amt, payrec, mode_code,coinsurance_code,class_cd,it_remarks) values</v>
      </c>
      <c r="G97" s="99" t="str">
        <f t="shared" si="6"/>
        <v>('14Nov240007','040000164229','16808',(select max(to_number(i.premium_rcv_detail_code))+1
from ins_premium_det i),'16808','16808','02', '11000003','00','Request by Mr. Saqib Saleem 15-Nov-2024');</v>
      </c>
      <c r="H97" s="100" t="str">
        <f t="shared" si="7"/>
        <v>insert into ins_premium_det (premium_rcv_code,assorted_code, rec_amount,premium_rcv_detail_code,remaining_amt, payrec, mode_code,coinsurance_code,class_cd,it_remarks) values('14Nov240007','040000164229','16808',(select max(to_number(i.premium_rcv_detail_code))+1
from ins_premium_det i),'16808','16808','02', '11000003','00','Request by Mr. Saqib Saleem 15-Nov-2024');</v>
      </c>
    </row>
    <row r="98" spans="1:8" ht="90" x14ac:dyDescent="0.25">
      <c r="A98" s="77" t="s">
        <v>378</v>
      </c>
      <c r="B98" s="96" t="str">
        <f>VLOOKUP(A98,policy!B:C,2,0)</f>
        <v>040000164229</v>
      </c>
      <c r="C98" s="37">
        <v>18176.598360655738</v>
      </c>
      <c r="D98" s="97">
        <f t="shared" si="5"/>
        <v>18177</v>
      </c>
      <c r="E98" s="95" t="s">
        <v>401</v>
      </c>
      <c r="F98" s="98" t="str">
        <f t="shared" si="4"/>
        <v>insert into ins_premium_det (premium_rcv_code,assorted_code, rec_amount,premium_rcv_detail_code,remaining_amt, payrec, mode_code,coinsurance_code,class_cd,it_remarks) values</v>
      </c>
      <c r="G98" s="99" t="str">
        <f t="shared" si="6"/>
        <v>('14Nov240007','040000164229','18177',(select max(to_number(i.premium_rcv_detail_code))+1
from ins_premium_det i),'18177','18177','02', '11000003','00','Request by Mr. Saqib Saleem 15-Nov-2024');</v>
      </c>
      <c r="H98" s="100" t="str">
        <f t="shared" si="7"/>
        <v>insert into ins_premium_det (premium_rcv_code,assorted_code, rec_amount,premium_rcv_detail_code,remaining_amt, payrec, mode_code,coinsurance_code,class_cd,it_remarks) values('14Nov240007','040000164229','18177',(select max(to_number(i.premium_rcv_detail_code))+1
from ins_premium_det i),'18177','18177','02', '11000003','00','Request by Mr. Saqib Saleem 15-Nov-2024');</v>
      </c>
    </row>
    <row r="99" spans="1:8" ht="90" x14ac:dyDescent="0.25">
      <c r="A99" s="77" t="s">
        <v>378</v>
      </c>
      <c r="B99" s="96" t="str">
        <f>VLOOKUP(A99,policy!B:C,2,0)</f>
        <v>040000164229</v>
      </c>
      <c r="C99" s="37">
        <v>18176.598360655738</v>
      </c>
      <c r="D99" s="97">
        <f t="shared" si="5"/>
        <v>18177</v>
      </c>
      <c r="E99" s="95" t="s">
        <v>401</v>
      </c>
      <c r="F99" s="98" t="str">
        <f t="shared" si="4"/>
        <v>insert into ins_premium_det (premium_rcv_code,assorted_code, rec_amount,premium_rcv_detail_code,remaining_amt, payrec, mode_code,coinsurance_code,class_cd,it_remarks) values</v>
      </c>
      <c r="G99" s="99" t="str">
        <f t="shared" si="6"/>
        <v>('14Nov240007','040000164229','18177',(select max(to_number(i.premium_rcv_detail_code))+1
from ins_premium_det i),'18177','18177','02', '11000003','00','Request by Mr. Saqib Saleem 15-Nov-2024');</v>
      </c>
      <c r="H99" s="100" t="str">
        <f t="shared" si="7"/>
        <v>insert into ins_premium_det (premium_rcv_code,assorted_code, rec_amount,premium_rcv_detail_code,remaining_amt, payrec, mode_code,coinsurance_code,class_cd,it_remarks) values('14Nov240007','040000164229','18177',(select max(to_number(i.premium_rcv_detail_code))+1
from ins_premium_det i),'18177','18177','02', '11000003','00','Request by Mr. Saqib Saleem 15-Nov-2024');</v>
      </c>
    </row>
    <row r="100" spans="1:8" ht="90" x14ac:dyDescent="0.25">
      <c r="A100" s="77" t="s">
        <v>378</v>
      </c>
      <c r="B100" s="96" t="str">
        <f>VLOOKUP(A100,policy!B:C,2,0)</f>
        <v>040000164229</v>
      </c>
      <c r="C100" s="37">
        <v>18176.598360655738</v>
      </c>
      <c r="D100" s="97">
        <f t="shared" si="5"/>
        <v>18177</v>
      </c>
      <c r="E100" s="95" t="s">
        <v>401</v>
      </c>
      <c r="F100" s="98" t="str">
        <f t="shared" si="4"/>
        <v>insert into ins_premium_det (premium_rcv_code,assorted_code, rec_amount,premium_rcv_detail_code,remaining_amt, payrec, mode_code,coinsurance_code,class_cd,it_remarks) values</v>
      </c>
      <c r="G100" s="99" t="str">
        <f t="shared" si="6"/>
        <v>('14Nov240007','040000164229','18177',(select max(to_number(i.premium_rcv_detail_code))+1
from ins_premium_det i),'18177','18177','02', '11000003','00','Request by Mr. Saqib Saleem 15-Nov-2024');</v>
      </c>
      <c r="H100" s="100" t="str">
        <f t="shared" si="7"/>
        <v>insert into ins_premium_det (premium_rcv_code,assorted_code, rec_amount,premium_rcv_detail_code,remaining_amt, payrec, mode_code,coinsurance_code,class_cd,it_remarks) values('14Nov240007','040000164229','18177',(select max(to_number(i.premium_rcv_detail_code))+1
from ins_premium_det i),'18177','18177','02', '11000003','00','Request by Mr. Saqib Saleem 15-Nov-2024');</v>
      </c>
    </row>
    <row r="101" spans="1:8" ht="90" x14ac:dyDescent="0.25">
      <c r="A101" s="77" t="s">
        <v>376</v>
      </c>
      <c r="B101" s="96" t="str">
        <f>VLOOKUP(A101,policy!B:C,2,0)</f>
        <v>040000170253</v>
      </c>
      <c r="C101" s="37">
        <v>30376.59016393443</v>
      </c>
      <c r="D101" s="97">
        <f t="shared" si="5"/>
        <v>30377</v>
      </c>
      <c r="E101" s="95" t="s">
        <v>401</v>
      </c>
      <c r="F101" s="98" t="str">
        <f t="shared" si="4"/>
        <v>insert into ins_premium_det (premium_rcv_code,assorted_code, rec_amount,premium_rcv_detail_code,remaining_amt, payrec, mode_code,coinsurance_code,class_cd,it_remarks) values</v>
      </c>
      <c r="G101" s="99" t="str">
        <f t="shared" si="6"/>
        <v>('14Nov240007','040000170253','30377',(select max(to_number(i.premium_rcv_detail_code))+1
from ins_premium_det i),'30377','30377','02', '11000003','00','Request by Mr. Saqib Saleem 15-Nov-2024');</v>
      </c>
      <c r="H101" s="100" t="str">
        <f t="shared" si="7"/>
        <v>insert into ins_premium_det (premium_rcv_code,assorted_code, rec_amount,premium_rcv_detail_code,remaining_amt, payrec, mode_code,coinsurance_code,class_cd,it_remarks) values('14Nov240007','040000170253','30377',(select max(to_number(i.premium_rcv_detail_code))+1
from ins_premium_det i),'30377','30377','02', '11000003','00','Request by Mr. Saqib Saleem 15-Nov-2024');</v>
      </c>
    </row>
    <row r="102" spans="1:8" ht="90" x14ac:dyDescent="0.25">
      <c r="A102" s="77" t="s">
        <v>379</v>
      </c>
      <c r="B102" s="96" t="str">
        <f>VLOOKUP(A102,policy!B:C,2,0)</f>
        <v>040000168478</v>
      </c>
      <c r="C102" s="37">
        <v>19989.073770491803</v>
      </c>
      <c r="D102" s="97">
        <f t="shared" si="5"/>
        <v>19989</v>
      </c>
      <c r="E102" s="95" t="s">
        <v>401</v>
      </c>
      <c r="F102" s="98" t="str">
        <f t="shared" si="4"/>
        <v>insert into ins_premium_det (premium_rcv_code,assorted_code, rec_amount,premium_rcv_detail_code,remaining_amt, payrec, mode_code,coinsurance_code,class_cd,it_remarks) values</v>
      </c>
      <c r="G102" s="99" t="str">
        <f t="shared" si="6"/>
        <v>('14Nov240007','040000168478','19989',(select max(to_number(i.premium_rcv_detail_code))+1
from ins_premium_det i),'19989','19989','02', '11000003','00','Request by Mr. Saqib Saleem 15-Nov-2024');</v>
      </c>
      <c r="H102" s="100" t="str">
        <f t="shared" si="7"/>
        <v>insert into ins_premium_det (premium_rcv_code,assorted_code, rec_amount,premium_rcv_detail_code,remaining_amt, payrec, mode_code,coinsurance_code,class_cd,it_remarks) values('14Nov240007','040000168478','19989',(select max(to_number(i.premium_rcv_detail_code))+1
from ins_premium_det i),'19989','19989','02', '11000003','00','Request by Mr. Saqib Saleem 15-Nov-2024');</v>
      </c>
    </row>
    <row r="103" spans="1:8" ht="90" x14ac:dyDescent="0.25">
      <c r="A103" s="77" t="s">
        <v>379</v>
      </c>
      <c r="B103" s="96" t="str">
        <f>VLOOKUP(A103,policy!B:C,2,0)</f>
        <v>040000168478</v>
      </c>
      <c r="C103" s="37">
        <v>19989.073770491803</v>
      </c>
      <c r="D103" s="97">
        <f t="shared" si="5"/>
        <v>19989</v>
      </c>
      <c r="E103" s="95" t="s">
        <v>401</v>
      </c>
      <c r="F103" s="98" t="str">
        <f t="shared" si="4"/>
        <v>insert into ins_premium_det (premium_rcv_code,assorted_code, rec_amount,premium_rcv_detail_code,remaining_amt, payrec, mode_code,coinsurance_code,class_cd,it_remarks) values</v>
      </c>
      <c r="G103" s="99" t="str">
        <f t="shared" si="6"/>
        <v>('14Nov240007','040000168478','19989',(select max(to_number(i.premium_rcv_detail_code))+1
from ins_premium_det i),'19989','19989','02', '11000003','00','Request by Mr. Saqib Saleem 15-Nov-2024');</v>
      </c>
      <c r="H103" s="100" t="str">
        <f t="shared" si="7"/>
        <v>insert into ins_premium_det (premium_rcv_code,assorted_code, rec_amount,premium_rcv_detail_code,remaining_amt, payrec, mode_code,coinsurance_code,class_cd,it_remarks) values('14Nov240007','040000168478','19989',(select max(to_number(i.premium_rcv_detail_code))+1
from ins_premium_det i),'19989','19989','02', '11000003','00','Request by Mr. Saqib Saleem 15-Nov-2024');</v>
      </c>
    </row>
    <row r="104" spans="1:8" ht="90" x14ac:dyDescent="0.25">
      <c r="A104" s="77" t="s">
        <v>379</v>
      </c>
      <c r="B104" s="96" t="str">
        <f>VLOOKUP(A104,policy!B:C,2,0)</f>
        <v>040000168478</v>
      </c>
      <c r="C104" s="37">
        <v>19989.073770491803</v>
      </c>
      <c r="D104" s="97">
        <f t="shared" si="5"/>
        <v>19989</v>
      </c>
      <c r="E104" s="95" t="s">
        <v>401</v>
      </c>
      <c r="F104" s="98" t="str">
        <f t="shared" si="4"/>
        <v>insert into ins_premium_det (premium_rcv_code,assorted_code, rec_amount,premium_rcv_detail_code,remaining_amt, payrec, mode_code,coinsurance_code,class_cd,it_remarks) values</v>
      </c>
      <c r="G104" s="99" t="str">
        <f t="shared" si="6"/>
        <v>('14Nov240007','040000168478','19989',(select max(to_number(i.premium_rcv_detail_code))+1
from ins_premium_det i),'19989','19989','02', '11000003','00','Request by Mr. Saqib Saleem 15-Nov-2024');</v>
      </c>
      <c r="H104" s="100" t="str">
        <f t="shared" si="7"/>
        <v>insert into ins_premium_det (premium_rcv_code,assorted_code, rec_amount,premium_rcv_detail_code,remaining_amt, payrec, mode_code,coinsurance_code,class_cd,it_remarks) values('14Nov240007','040000168478','19989',(select max(to_number(i.premium_rcv_detail_code))+1
from ins_premium_det i),'19989','19989','02', '11000003','00','Request by Mr. Saqib Saleem 15-Nov-2024');</v>
      </c>
    </row>
    <row r="105" spans="1:8" ht="90" x14ac:dyDescent="0.25">
      <c r="A105" s="77" t="s">
        <v>379</v>
      </c>
      <c r="B105" s="96" t="str">
        <f>VLOOKUP(A105,policy!B:C,2,0)</f>
        <v>040000168478</v>
      </c>
      <c r="C105" s="37">
        <v>19989.073770491803</v>
      </c>
      <c r="D105" s="97">
        <f t="shared" si="5"/>
        <v>19989</v>
      </c>
      <c r="E105" s="95" t="s">
        <v>401</v>
      </c>
      <c r="F105" s="98" t="str">
        <f t="shared" si="4"/>
        <v>insert into ins_premium_det (premium_rcv_code,assorted_code, rec_amount,premium_rcv_detail_code,remaining_amt, payrec, mode_code,coinsurance_code,class_cd,it_remarks) values</v>
      </c>
      <c r="G105" s="99" t="str">
        <f t="shared" si="6"/>
        <v>('14Nov240007','040000168478','19989',(select max(to_number(i.premium_rcv_detail_code))+1
from ins_premium_det i),'19989','19989','02', '11000003','00','Request by Mr. Saqib Saleem 15-Nov-2024');</v>
      </c>
      <c r="H105" s="100" t="str">
        <f t="shared" si="7"/>
        <v>insert into ins_premium_det (premium_rcv_code,assorted_code, rec_amount,premium_rcv_detail_code,remaining_amt, payrec, mode_code,coinsurance_code,class_cd,it_remarks) values('14Nov240007','040000168478','19989',(select max(to_number(i.premium_rcv_detail_code))+1
from ins_premium_det i),'19989','19989','02', '11000003','00','Request by Mr. Saqib Saleem 15-Nov-2024');</v>
      </c>
    </row>
    <row r="106" spans="1:8" ht="90" x14ac:dyDescent="0.25">
      <c r="A106" s="77" t="s">
        <v>379</v>
      </c>
      <c r="B106" s="96" t="str">
        <f>VLOOKUP(A106,policy!B:C,2,0)</f>
        <v>040000168478</v>
      </c>
      <c r="C106" s="37">
        <v>19989.073770491803</v>
      </c>
      <c r="D106" s="97">
        <f t="shared" si="5"/>
        <v>19989</v>
      </c>
      <c r="E106" s="95" t="s">
        <v>401</v>
      </c>
      <c r="F106" s="98" t="str">
        <f t="shared" si="4"/>
        <v>insert into ins_premium_det (premium_rcv_code,assorted_code, rec_amount,premium_rcv_detail_code,remaining_amt, payrec, mode_code,coinsurance_code,class_cd,it_remarks) values</v>
      </c>
      <c r="G106" s="99" t="str">
        <f t="shared" si="6"/>
        <v>('14Nov240007','040000168478','19989',(select max(to_number(i.premium_rcv_detail_code))+1
from ins_premium_det i),'19989','19989','02', '11000003','00','Request by Mr. Saqib Saleem 15-Nov-2024');</v>
      </c>
      <c r="H106" s="100" t="str">
        <f t="shared" si="7"/>
        <v>insert into ins_premium_det (premium_rcv_code,assorted_code, rec_amount,premium_rcv_detail_code,remaining_amt, payrec, mode_code,coinsurance_code,class_cd,it_remarks) values('14Nov240007','040000168478','19989',(select max(to_number(i.premium_rcv_detail_code))+1
from ins_premium_det i),'19989','19989','02', '11000003','00','Request by Mr. Saqib Saleem 15-Nov-2024');</v>
      </c>
    </row>
    <row r="107" spans="1:8" ht="90" x14ac:dyDescent="0.25">
      <c r="A107" s="79" t="s">
        <v>373</v>
      </c>
      <c r="B107" s="96" t="str">
        <f>VLOOKUP(A107,policy!B:C,2,0)</f>
        <v>040000164223</v>
      </c>
      <c r="C107" s="37">
        <v>41823.803278688523</v>
      </c>
      <c r="D107" s="97">
        <f t="shared" si="5"/>
        <v>41824</v>
      </c>
      <c r="E107" s="95" t="s">
        <v>401</v>
      </c>
      <c r="F107" s="98" t="str">
        <f t="shared" si="4"/>
        <v>insert into ins_premium_det (premium_rcv_code,assorted_code, rec_amount,premium_rcv_detail_code,remaining_amt, payrec, mode_code,coinsurance_code,class_cd,it_remarks) values</v>
      </c>
      <c r="G107" s="99" t="str">
        <f t="shared" si="6"/>
        <v>('14Nov240007','040000164223','41824',(select max(to_number(i.premium_rcv_detail_code))+1
from ins_premium_det i),'41824','41824','02', '11000003','00','Request by Mr. Saqib Saleem 15-Nov-2024');</v>
      </c>
      <c r="H107" s="100" t="str">
        <f t="shared" si="7"/>
        <v>insert into ins_premium_det (premium_rcv_code,assorted_code, rec_amount,premium_rcv_detail_code,remaining_amt, payrec, mode_code,coinsurance_code,class_cd,it_remarks) values('14Nov240007','040000164223','41824',(select max(to_number(i.premium_rcv_detail_code))+1
from ins_premium_det i),'41824','41824','02', '11000003','00','Request by Mr. Saqib Saleem 15-Nov-2024');</v>
      </c>
    </row>
    <row r="108" spans="1:8" ht="90" x14ac:dyDescent="0.25">
      <c r="A108" s="79" t="s">
        <v>373</v>
      </c>
      <c r="B108" s="96" t="str">
        <f>VLOOKUP(A108,policy!B:C,2,0)</f>
        <v>040000164223</v>
      </c>
      <c r="C108" s="37">
        <v>10456</v>
      </c>
      <c r="D108" s="97">
        <f t="shared" si="5"/>
        <v>10456</v>
      </c>
      <c r="E108" s="95" t="s">
        <v>401</v>
      </c>
      <c r="F108" s="98" t="str">
        <f t="shared" si="4"/>
        <v>insert into ins_premium_det (premium_rcv_code,assorted_code, rec_amount,premium_rcv_detail_code,remaining_amt, payrec, mode_code,coinsurance_code,class_cd,it_remarks) values</v>
      </c>
      <c r="G108" s="99" t="str">
        <f t="shared" si="6"/>
        <v>('14Nov240007','040000164223','10456',(select max(to_number(i.premium_rcv_detail_code))+1
from ins_premium_det i),'10456','10456','02', '11000003','00','Request by Mr. Saqib Saleem 15-Nov-2024');</v>
      </c>
      <c r="H108" s="100" t="str">
        <f t="shared" si="7"/>
        <v>insert into ins_premium_det (premium_rcv_code,assorted_code, rec_amount,premium_rcv_detail_code,remaining_amt, payrec, mode_code,coinsurance_code,class_cd,it_remarks) values('14Nov240007','040000164223','10456',(select max(to_number(i.premium_rcv_detail_code))+1
from ins_premium_det i),'10456','10456','02', '11000003','00','Request by Mr. Saqib Saleem 15-Nov-2024');</v>
      </c>
    </row>
  </sheetData>
  <conditionalFormatting sqref="A1">
    <cfRule type="duplicateValues" dxfId="3" priority="1"/>
  </conditionalFormatting>
  <conditionalFormatting sqref="B2:B108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4768-17F6-455A-857F-0B1F82B0964A}">
  <dimension ref="A1:E107"/>
  <sheetViews>
    <sheetView workbookViewId="0">
      <selection activeCell="F12" sqref="F12"/>
    </sheetView>
  </sheetViews>
  <sheetFormatPr defaultRowHeight="12.75" x14ac:dyDescent="0.2"/>
  <cols>
    <col min="1" max="1" width="37.140625" customWidth="1"/>
  </cols>
  <sheetData>
    <row r="1" spans="1:5" x14ac:dyDescent="0.2">
      <c r="A1" s="77" t="s">
        <v>371</v>
      </c>
      <c r="B1" t="s">
        <v>382</v>
      </c>
      <c r="D1">
        <v>82548</v>
      </c>
      <c r="E1" t="str">
        <f>"ia.assorted_string like '%"&amp;D1&amp;B1&amp;"%' or"</f>
        <v>ia.assorted_string like '%82548-01-2024%' or</v>
      </c>
    </row>
    <row r="2" spans="1:5" x14ac:dyDescent="0.2">
      <c r="A2" s="77" t="s">
        <v>371</v>
      </c>
      <c r="B2" t="s">
        <v>382</v>
      </c>
      <c r="D2">
        <v>82548</v>
      </c>
      <c r="E2" t="str">
        <f t="shared" ref="E2:E65" si="0">"ia.assorted_string like '%"&amp;D2&amp;B2&amp;"%' or"</f>
        <v>ia.assorted_string like '%82548-01-2024%' or</v>
      </c>
    </row>
    <row r="3" spans="1:5" x14ac:dyDescent="0.2">
      <c r="A3" s="77" t="s">
        <v>371</v>
      </c>
      <c r="B3" t="s">
        <v>382</v>
      </c>
      <c r="D3">
        <v>82548</v>
      </c>
      <c r="E3" t="str">
        <f t="shared" si="0"/>
        <v>ia.assorted_string like '%82548-01-2024%' or</v>
      </c>
    </row>
    <row r="4" spans="1:5" x14ac:dyDescent="0.2">
      <c r="A4" s="77" t="s">
        <v>371</v>
      </c>
      <c r="B4" t="s">
        <v>382</v>
      </c>
      <c r="D4">
        <v>82548</v>
      </c>
      <c r="E4" t="str">
        <f t="shared" si="0"/>
        <v>ia.assorted_string like '%82548-01-2024%' or</v>
      </c>
    </row>
    <row r="5" spans="1:5" x14ac:dyDescent="0.2">
      <c r="A5" s="77" t="s">
        <v>371</v>
      </c>
      <c r="B5" t="s">
        <v>382</v>
      </c>
      <c r="D5">
        <v>82548</v>
      </c>
      <c r="E5" t="str">
        <f t="shared" si="0"/>
        <v>ia.assorted_string like '%82548-01-2024%' or</v>
      </c>
    </row>
    <row r="6" spans="1:5" x14ac:dyDescent="0.2">
      <c r="A6" s="77" t="s">
        <v>371</v>
      </c>
      <c r="B6" t="s">
        <v>382</v>
      </c>
      <c r="D6">
        <v>82548</v>
      </c>
      <c r="E6" t="str">
        <f t="shared" si="0"/>
        <v>ia.assorted_string like '%82548-01-2024%' or</v>
      </c>
    </row>
    <row r="7" spans="1:5" x14ac:dyDescent="0.2">
      <c r="A7" s="77" t="s">
        <v>371</v>
      </c>
      <c r="B7" t="s">
        <v>382</v>
      </c>
      <c r="D7">
        <v>82548</v>
      </c>
      <c r="E7" t="str">
        <f t="shared" si="0"/>
        <v>ia.assorted_string like '%82548-01-2024%' or</v>
      </c>
    </row>
    <row r="8" spans="1:5" x14ac:dyDescent="0.2">
      <c r="A8" s="77" t="s">
        <v>371</v>
      </c>
      <c r="B8" t="s">
        <v>382</v>
      </c>
      <c r="D8">
        <v>82548</v>
      </c>
      <c r="E8" t="str">
        <f t="shared" si="0"/>
        <v>ia.assorted_string like '%82548-01-2024%' or</v>
      </c>
    </row>
    <row r="9" spans="1:5" x14ac:dyDescent="0.2">
      <c r="A9" s="77" t="s">
        <v>371</v>
      </c>
      <c r="B9" t="s">
        <v>382</v>
      </c>
      <c r="D9">
        <v>82548</v>
      </c>
      <c r="E9" t="str">
        <f t="shared" si="0"/>
        <v>ia.assorted_string like '%82548-01-2024%' or</v>
      </c>
    </row>
    <row r="10" spans="1:5" x14ac:dyDescent="0.2">
      <c r="A10" s="77" t="s">
        <v>371</v>
      </c>
      <c r="B10" t="s">
        <v>382</v>
      </c>
      <c r="D10">
        <v>82548</v>
      </c>
      <c r="E10" t="str">
        <f t="shared" si="0"/>
        <v>ia.assorted_string like '%82548-01-2024%' or</v>
      </c>
    </row>
    <row r="11" spans="1:5" x14ac:dyDescent="0.2">
      <c r="A11" s="77" t="s">
        <v>372</v>
      </c>
      <c r="B11" t="s">
        <v>382</v>
      </c>
      <c r="D11">
        <v>82549</v>
      </c>
      <c r="E11" t="str">
        <f t="shared" si="0"/>
        <v>ia.assorted_string like '%82549-01-2024%' or</v>
      </c>
    </row>
    <row r="12" spans="1:5" x14ac:dyDescent="0.2">
      <c r="A12" s="77" t="s">
        <v>372</v>
      </c>
      <c r="B12" t="s">
        <v>382</v>
      </c>
      <c r="D12">
        <v>82549</v>
      </c>
      <c r="E12" t="str">
        <f t="shared" si="0"/>
        <v>ia.assorted_string like '%82549-01-2024%' or</v>
      </c>
    </row>
    <row r="13" spans="1:5" x14ac:dyDescent="0.2">
      <c r="A13" s="77" t="s">
        <v>372</v>
      </c>
      <c r="B13" t="s">
        <v>382</v>
      </c>
      <c r="D13">
        <v>82549</v>
      </c>
      <c r="E13" t="str">
        <f t="shared" si="0"/>
        <v>ia.assorted_string like '%82549-01-2024%' or</v>
      </c>
    </row>
    <row r="14" spans="1:5" x14ac:dyDescent="0.2">
      <c r="A14" s="77" t="s">
        <v>372</v>
      </c>
      <c r="B14" t="s">
        <v>382</v>
      </c>
      <c r="D14">
        <v>82549</v>
      </c>
      <c r="E14" t="str">
        <f t="shared" si="0"/>
        <v>ia.assorted_string like '%82549-01-2024%' or</v>
      </c>
    </row>
    <row r="15" spans="1:5" x14ac:dyDescent="0.2">
      <c r="A15" s="78" t="s">
        <v>373</v>
      </c>
      <c r="B15" t="s">
        <v>382</v>
      </c>
      <c r="D15">
        <v>82546</v>
      </c>
      <c r="E15" t="str">
        <f t="shared" si="0"/>
        <v>ia.assorted_string like '%82546-01-2024%' or</v>
      </c>
    </row>
    <row r="16" spans="1:5" x14ac:dyDescent="0.2">
      <c r="A16" s="77" t="s">
        <v>373</v>
      </c>
      <c r="B16" t="s">
        <v>382</v>
      </c>
      <c r="D16">
        <v>82546</v>
      </c>
      <c r="E16" t="str">
        <f t="shared" si="0"/>
        <v>ia.assorted_string like '%82546-01-2024%' or</v>
      </c>
    </row>
    <row r="17" spans="1:5" x14ac:dyDescent="0.2">
      <c r="A17" s="77" t="s">
        <v>373</v>
      </c>
      <c r="B17" t="s">
        <v>382</v>
      </c>
      <c r="D17">
        <v>82546</v>
      </c>
      <c r="E17" t="str">
        <f t="shared" si="0"/>
        <v>ia.assorted_string like '%82546-01-2024%' or</v>
      </c>
    </row>
    <row r="18" spans="1:5" x14ac:dyDescent="0.2">
      <c r="A18" s="77" t="s">
        <v>373</v>
      </c>
      <c r="B18" t="s">
        <v>382</v>
      </c>
      <c r="D18">
        <v>82546</v>
      </c>
      <c r="E18" t="str">
        <f t="shared" si="0"/>
        <v>ia.assorted_string like '%82546-01-2024%' or</v>
      </c>
    </row>
    <row r="19" spans="1:5" x14ac:dyDescent="0.2">
      <c r="A19" s="77" t="s">
        <v>373</v>
      </c>
      <c r="B19" t="s">
        <v>382</v>
      </c>
      <c r="D19">
        <v>82546</v>
      </c>
      <c r="E19" t="str">
        <f t="shared" si="0"/>
        <v>ia.assorted_string like '%82546-01-2024%' or</v>
      </c>
    </row>
    <row r="20" spans="1:5" x14ac:dyDescent="0.2">
      <c r="A20" s="77" t="s">
        <v>373</v>
      </c>
      <c r="B20" t="s">
        <v>382</v>
      </c>
      <c r="D20">
        <v>82546</v>
      </c>
      <c r="E20" t="str">
        <f t="shared" si="0"/>
        <v>ia.assorted_string like '%82546-01-2024%' or</v>
      </c>
    </row>
    <row r="21" spans="1:5" x14ac:dyDescent="0.2">
      <c r="A21" s="77" t="s">
        <v>373</v>
      </c>
      <c r="B21" t="s">
        <v>382</v>
      </c>
      <c r="D21">
        <v>82546</v>
      </c>
      <c r="E21" t="str">
        <f t="shared" si="0"/>
        <v>ia.assorted_string like '%82546-01-2024%' or</v>
      </c>
    </row>
    <row r="22" spans="1:5" x14ac:dyDescent="0.2">
      <c r="A22" s="77" t="s">
        <v>373</v>
      </c>
      <c r="B22" t="s">
        <v>382</v>
      </c>
      <c r="D22">
        <v>82546</v>
      </c>
      <c r="E22" t="str">
        <f t="shared" si="0"/>
        <v>ia.assorted_string like '%82546-01-2024%' or</v>
      </c>
    </row>
    <row r="23" spans="1:5" x14ac:dyDescent="0.2">
      <c r="A23" s="77" t="s">
        <v>373</v>
      </c>
      <c r="B23" t="s">
        <v>382</v>
      </c>
      <c r="D23">
        <v>82546</v>
      </c>
      <c r="E23" t="str">
        <f t="shared" si="0"/>
        <v>ia.assorted_string like '%82546-01-2024%' or</v>
      </c>
    </row>
    <row r="24" spans="1:5" x14ac:dyDescent="0.2">
      <c r="A24" s="77" t="s">
        <v>373</v>
      </c>
      <c r="B24" t="s">
        <v>382</v>
      </c>
      <c r="D24">
        <v>82546</v>
      </c>
      <c r="E24" t="str">
        <f t="shared" si="0"/>
        <v>ia.assorted_string like '%82546-01-2024%' or</v>
      </c>
    </row>
    <row r="25" spans="1:5" x14ac:dyDescent="0.2">
      <c r="A25" s="77" t="s">
        <v>373</v>
      </c>
      <c r="B25" t="s">
        <v>382</v>
      </c>
      <c r="D25">
        <v>82546</v>
      </c>
      <c r="E25" t="str">
        <f t="shared" si="0"/>
        <v>ia.assorted_string like '%82546-01-2024%' or</v>
      </c>
    </row>
    <row r="26" spans="1:5" x14ac:dyDescent="0.2">
      <c r="A26" s="77" t="s">
        <v>373</v>
      </c>
      <c r="B26" t="s">
        <v>382</v>
      </c>
      <c r="D26">
        <v>82546</v>
      </c>
      <c r="E26" t="str">
        <f t="shared" si="0"/>
        <v>ia.assorted_string like '%82546-01-2024%' or</v>
      </c>
    </row>
    <row r="27" spans="1:5" x14ac:dyDescent="0.2">
      <c r="A27" s="77" t="s">
        <v>373</v>
      </c>
      <c r="B27" t="s">
        <v>382</v>
      </c>
      <c r="D27">
        <v>82546</v>
      </c>
      <c r="E27" t="str">
        <f t="shared" si="0"/>
        <v>ia.assorted_string like '%82546-01-2024%' or</v>
      </c>
    </row>
    <row r="28" spans="1:5" x14ac:dyDescent="0.2">
      <c r="A28" s="77" t="s">
        <v>373</v>
      </c>
      <c r="B28" t="s">
        <v>382</v>
      </c>
      <c r="D28">
        <v>82546</v>
      </c>
      <c r="E28" t="str">
        <f t="shared" si="0"/>
        <v>ia.assorted_string like '%82546-01-2024%' or</v>
      </c>
    </row>
    <row r="29" spans="1:5" x14ac:dyDescent="0.2">
      <c r="A29" s="77" t="s">
        <v>373</v>
      </c>
      <c r="B29" t="s">
        <v>382</v>
      </c>
      <c r="D29">
        <v>82546</v>
      </c>
      <c r="E29" t="str">
        <f t="shared" si="0"/>
        <v>ia.assorted_string like '%82546-01-2024%' or</v>
      </c>
    </row>
    <row r="30" spans="1:5" x14ac:dyDescent="0.2">
      <c r="A30" s="77" t="s">
        <v>373</v>
      </c>
      <c r="B30" t="s">
        <v>382</v>
      </c>
      <c r="D30">
        <v>82546</v>
      </c>
      <c r="E30" t="str">
        <f t="shared" si="0"/>
        <v>ia.assorted_string like '%82546-01-2024%' or</v>
      </c>
    </row>
    <row r="31" spans="1:5" x14ac:dyDescent="0.2">
      <c r="A31" s="77" t="s">
        <v>373</v>
      </c>
      <c r="B31" t="s">
        <v>382</v>
      </c>
      <c r="D31">
        <v>82546</v>
      </c>
      <c r="E31" t="str">
        <f t="shared" si="0"/>
        <v>ia.assorted_string like '%82546-01-2024%' or</v>
      </c>
    </row>
    <row r="32" spans="1:5" x14ac:dyDescent="0.2">
      <c r="A32" s="77" t="s">
        <v>373</v>
      </c>
      <c r="B32" t="s">
        <v>382</v>
      </c>
      <c r="D32">
        <v>82546</v>
      </c>
      <c r="E32" t="str">
        <f t="shared" si="0"/>
        <v>ia.assorted_string like '%82546-01-2024%' or</v>
      </c>
    </row>
    <row r="33" spans="1:5" x14ac:dyDescent="0.2">
      <c r="A33" s="77" t="s">
        <v>373</v>
      </c>
      <c r="B33" t="s">
        <v>382</v>
      </c>
      <c r="D33">
        <v>82546</v>
      </c>
      <c r="E33" t="str">
        <f t="shared" si="0"/>
        <v>ia.assorted_string like '%82546-01-2024%' or</v>
      </c>
    </row>
    <row r="34" spans="1:5" x14ac:dyDescent="0.2">
      <c r="A34" s="77" t="s">
        <v>373</v>
      </c>
      <c r="B34" t="s">
        <v>382</v>
      </c>
      <c r="D34">
        <v>82546</v>
      </c>
      <c r="E34" t="str">
        <f t="shared" si="0"/>
        <v>ia.assorted_string like '%82546-01-2024%' or</v>
      </c>
    </row>
    <row r="35" spans="1:5" x14ac:dyDescent="0.2">
      <c r="A35" s="77" t="s">
        <v>373</v>
      </c>
      <c r="B35" t="s">
        <v>382</v>
      </c>
      <c r="D35">
        <v>82546</v>
      </c>
      <c r="E35" t="str">
        <f t="shared" si="0"/>
        <v>ia.assorted_string like '%82546-01-2024%' or</v>
      </c>
    </row>
    <row r="36" spans="1:5" x14ac:dyDescent="0.2">
      <c r="A36" s="77" t="s">
        <v>373</v>
      </c>
      <c r="B36" t="s">
        <v>382</v>
      </c>
      <c r="D36">
        <v>82546</v>
      </c>
      <c r="E36" t="str">
        <f t="shared" si="0"/>
        <v>ia.assorted_string like '%82546-01-2024%' or</v>
      </c>
    </row>
    <row r="37" spans="1:5" x14ac:dyDescent="0.2">
      <c r="A37" s="77" t="s">
        <v>373</v>
      </c>
      <c r="B37" t="s">
        <v>382</v>
      </c>
      <c r="D37">
        <v>82546</v>
      </c>
      <c r="E37" t="str">
        <f t="shared" si="0"/>
        <v>ia.assorted_string like '%82546-01-2024%' or</v>
      </c>
    </row>
    <row r="38" spans="1:5" x14ac:dyDescent="0.2">
      <c r="A38" s="77" t="s">
        <v>373</v>
      </c>
      <c r="B38" t="s">
        <v>382</v>
      </c>
      <c r="D38">
        <v>82546</v>
      </c>
      <c r="E38" t="str">
        <f t="shared" si="0"/>
        <v>ia.assorted_string like '%82546-01-2024%' or</v>
      </c>
    </row>
    <row r="39" spans="1:5" x14ac:dyDescent="0.2">
      <c r="A39" s="77" t="s">
        <v>373</v>
      </c>
      <c r="B39" t="s">
        <v>382</v>
      </c>
      <c r="D39">
        <v>82546</v>
      </c>
      <c r="E39" t="str">
        <f t="shared" si="0"/>
        <v>ia.assorted_string like '%82546-01-2024%' or</v>
      </c>
    </row>
    <row r="40" spans="1:5" x14ac:dyDescent="0.2">
      <c r="A40" s="77" t="s">
        <v>372</v>
      </c>
      <c r="B40" t="s">
        <v>382</v>
      </c>
      <c r="D40">
        <v>82549</v>
      </c>
      <c r="E40" t="str">
        <f t="shared" si="0"/>
        <v>ia.assorted_string like '%82549-01-2024%' or</v>
      </c>
    </row>
    <row r="41" spans="1:5" x14ac:dyDescent="0.2">
      <c r="A41" s="77" t="s">
        <v>372</v>
      </c>
      <c r="B41" t="s">
        <v>382</v>
      </c>
      <c r="D41">
        <v>82549</v>
      </c>
      <c r="E41" t="str">
        <f t="shared" si="0"/>
        <v>ia.assorted_string like '%82549-01-2024%' or</v>
      </c>
    </row>
    <row r="42" spans="1:5" x14ac:dyDescent="0.2">
      <c r="A42" s="77" t="s">
        <v>372</v>
      </c>
      <c r="B42" t="s">
        <v>382</v>
      </c>
      <c r="D42">
        <v>82549</v>
      </c>
      <c r="E42" t="str">
        <f t="shared" si="0"/>
        <v>ia.assorted_string like '%82549-01-2024%' or</v>
      </c>
    </row>
    <row r="43" spans="1:5" x14ac:dyDescent="0.2">
      <c r="A43" s="77" t="s">
        <v>372</v>
      </c>
      <c r="B43" t="s">
        <v>382</v>
      </c>
      <c r="D43">
        <v>82549</v>
      </c>
      <c r="E43" t="str">
        <f t="shared" si="0"/>
        <v>ia.assorted_string like '%82549-01-2024%' or</v>
      </c>
    </row>
    <row r="44" spans="1:5" x14ac:dyDescent="0.2">
      <c r="A44" s="77" t="s">
        <v>372</v>
      </c>
      <c r="B44" t="s">
        <v>382</v>
      </c>
      <c r="D44">
        <v>82549</v>
      </c>
      <c r="E44" t="str">
        <f t="shared" si="0"/>
        <v>ia.assorted_string like '%82549-01-2024%' or</v>
      </c>
    </row>
    <row r="45" spans="1:5" x14ac:dyDescent="0.2">
      <c r="A45" s="77" t="s">
        <v>372</v>
      </c>
      <c r="B45" t="s">
        <v>382</v>
      </c>
      <c r="D45">
        <v>82549</v>
      </c>
      <c r="E45" t="str">
        <f t="shared" si="0"/>
        <v>ia.assorted_string like '%82549-01-2024%' or</v>
      </c>
    </row>
    <row r="46" spans="1:5" x14ac:dyDescent="0.2">
      <c r="A46" s="77" t="s">
        <v>372</v>
      </c>
      <c r="B46" t="s">
        <v>382</v>
      </c>
      <c r="D46">
        <v>82549</v>
      </c>
      <c r="E46" t="str">
        <f t="shared" si="0"/>
        <v>ia.assorted_string like '%82549-01-2024%' or</v>
      </c>
    </row>
    <row r="47" spans="1:5" x14ac:dyDescent="0.2">
      <c r="A47" s="77" t="s">
        <v>372</v>
      </c>
      <c r="B47" t="s">
        <v>382</v>
      </c>
      <c r="D47">
        <v>82549</v>
      </c>
      <c r="E47" t="str">
        <f t="shared" si="0"/>
        <v>ia.assorted_string like '%82549-01-2024%' or</v>
      </c>
    </row>
    <row r="48" spans="1:5" x14ac:dyDescent="0.2">
      <c r="A48" s="77" t="s">
        <v>372</v>
      </c>
      <c r="B48" t="s">
        <v>382</v>
      </c>
      <c r="D48">
        <v>82549</v>
      </c>
      <c r="E48" t="str">
        <f t="shared" si="0"/>
        <v>ia.assorted_string like '%82549-01-2024%' or</v>
      </c>
    </row>
    <row r="49" spans="1:5" x14ac:dyDescent="0.2">
      <c r="A49" s="77" t="s">
        <v>372</v>
      </c>
      <c r="B49" t="s">
        <v>382</v>
      </c>
      <c r="D49">
        <v>82549</v>
      </c>
      <c r="E49" t="str">
        <f t="shared" si="0"/>
        <v>ia.assorted_string like '%82549-01-2024%' or</v>
      </c>
    </row>
    <row r="50" spans="1:5" x14ac:dyDescent="0.2">
      <c r="A50" s="77" t="s">
        <v>372</v>
      </c>
      <c r="B50" t="s">
        <v>382</v>
      </c>
      <c r="D50">
        <v>82549</v>
      </c>
      <c r="E50" t="str">
        <f t="shared" si="0"/>
        <v>ia.assorted_string like '%82549-01-2024%' or</v>
      </c>
    </row>
    <row r="51" spans="1:5" x14ac:dyDescent="0.2">
      <c r="A51" s="77" t="s">
        <v>372</v>
      </c>
      <c r="B51" t="s">
        <v>382</v>
      </c>
      <c r="D51">
        <v>82549</v>
      </c>
      <c r="E51" t="str">
        <f t="shared" si="0"/>
        <v>ia.assorted_string like '%82549-01-2024%' or</v>
      </c>
    </row>
    <row r="52" spans="1:5" x14ac:dyDescent="0.2">
      <c r="A52" s="77" t="s">
        <v>372</v>
      </c>
      <c r="B52" t="s">
        <v>382</v>
      </c>
      <c r="D52">
        <v>82549</v>
      </c>
      <c r="E52" t="str">
        <f t="shared" si="0"/>
        <v>ia.assorted_string like '%82549-01-2024%' or</v>
      </c>
    </row>
    <row r="53" spans="1:5" x14ac:dyDescent="0.2">
      <c r="A53" s="77" t="s">
        <v>372</v>
      </c>
      <c r="B53" t="s">
        <v>382</v>
      </c>
      <c r="D53">
        <v>82549</v>
      </c>
      <c r="E53" t="str">
        <f t="shared" si="0"/>
        <v>ia.assorted_string like '%82549-01-2024%' or</v>
      </c>
    </row>
    <row r="54" spans="1:5" x14ac:dyDescent="0.2">
      <c r="A54" s="77" t="s">
        <v>372</v>
      </c>
      <c r="B54" t="s">
        <v>382</v>
      </c>
      <c r="D54">
        <v>82549</v>
      </c>
      <c r="E54" t="str">
        <f t="shared" si="0"/>
        <v>ia.assorted_string like '%82549-01-2024%' or</v>
      </c>
    </row>
    <row r="55" spans="1:5" x14ac:dyDescent="0.2">
      <c r="A55" s="77" t="s">
        <v>372</v>
      </c>
      <c r="B55" t="s">
        <v>382</v>
      </c>
      <c r="D55">
        <v>82549</v>
      </c>
      <c r="E55" t="str">
        <f t="shared" si="0"/>
        <v>ia.assorted_string like '%82549-01-2024%' or</v>
      </c>
    </row>
    <row r="56" spans="1:5" x14ac:dyDescent="0.2">
      <c r="A56" s="77" t="s">
        <v>372</v>
      </c>
      <c r="B56" t="s">
        <v>382</v>
      </c>
      <c r="D56">
        <v>82549</v>
      </c>
      <c r="E56" t="str">
        <f t="shared" si="0"/>
        <v>ia.assorted_string like '%82549-01-2024%' or</v>
      </c>
    </row>
    <row r="57" spans="1:5" x14ac:dyDescent="0.2">
      <c r="A57" s="77" t="s">
        <v>372</v>
      </c>
      <c r="B57" t="s">
        <v>382</v>
      </c>
      <c r="D57">
        <v>82549</v>
      </c>
      <c r="E57" t="str">
        <f t="shared" si="0"/>
        <v>ia.assorted_string like '%82549-01-2024%' or</v>
      </c>
    </row>
    <row r="58" spans="1:5" x14ac:dyDescent="0.2">
      <c r="A58" s="77" t="s">
        <v>372</v>
      </c>
      <c r="B58" t="s">
        <v>382</v>
      </c>
      <c r="D58">
        <v>82549</v>
      </c>
      <c r="E58" t="str">
        <f t="shared" si="0"/>
        <v>ia.assorted_string like '%82549-01-2024%' or</v>
      </c>
    </row>
    <row r="59" spans="1:5" x14ac:dyDescent="0.2">
      <c r="A59" s="77" t="s">
        <v>372</v>
      </c>
      <c r="B59" t="s">
        <v>382</v>
      </c>
      <c r="D59">
        <v>82549</v>
      </c>
      <c r="E59" t="str">
        <f t="shared" si="0"/>
        <v>ia.assorted_string like '%82549-01-2024%' or</v>
      </c>
    </row>
    <row r="60" spans="1:5" x14ac:dyDescent="0.2">
      <c r="A60" s="77" t="s">
        <v>372</v>
      </c>
      <c r="B60" t="s">
        <v>382</v>
      </c>
      <c r="D60">
        <v>82549</v>
      </c>
      <c r="E60" t="str">
        <f t="shared" si="0"/>
        <v>ia.assorted_string like '%82549-01-2024%' or</v>
      </c>
    </row>
    <row r="61" spans="1:5" x14ac:dyDescent="0.2">
      <c r="A61" s="77" t="s">
        <v>372</v>
      </c>
      <c r="B61" t="s">
        <v>382</v>
      </c>
      <c r="D61">
        <v>82549</v>
      </c>
      <c r="E61" t="str">
        <f t="shared" si="0"/>
        <v>ia.assorted_string like '%82549-01-2024%' or</v>
      </c>
    </row>
    <row r="62" spans="1:5" x14ac:dyDescent="0.2">
      <c r="A62" s="77" t="s">
        <v>372</v>
      </c>
      <c r="B62" t="s">
        <v>382</v>
      </c>
      <c r="D62">
        <v>82549</v>
      </c>
      <c r="E62" t="str">
        <f t="shared" si="0"/>
        <v>ia.assorted_string like '%82549-01-2024%' or</v>
      </c>
    </row>
    <row r="63" spans="1:5" x14ac:dyDescent="0.2">
      <c r="A63" s="77" t="s">
        <v>372</v>
      </c>
      <c r="B63" t="s">
        <v>382</v>
      </c>
      <c r="D63">
        <v>82549</v>
      </c>
      <c r="E63" t="str">
        <f t="shared" si="0"/>
        <v>ia.assorted_string like '%82549-01-2024%' or</v>
      </c>
    </row>
    <row r="64" spans="1:5" x14ac:dyDescent="0.2">
      <c r="A64" s="77" t="s">
        <v>372</v>
      </c>
      <c r="B64" t="s">
        <v>382</v>
      </c>
      <c r="D64">
        <v>82549</v>
      </c>
      <c r="E64" t="str">
        <f t="shared" si="0"/>
        <v>ia.assorted_string like '%82549-01-2024%' or</v>
      </c>
    </row>
    <row r="65" spans="1:5" x14ac:dyDescent="0.2">
      <c r="A65" s="77" t="s">
        <v>372</v>
      </c>
      <c r="B65" t="s">
        <v>382</v>
      </c>
      <c r="D65">
        <v>82549</v>
      </c>
      <c r="E65" t="str">
        <f t="shared" si="0"/>
        <v>ia.assorted_string like '%82549-01-2024%' or</v>
      </c>
    </row>
    <row r="66" spans="1:5" x14ac:dyDescent="0.2">
      <c r="A66" s="77" t="s">
        <v>372</v>
      </c>
      <c r="B66" t="s">
        <v>382</v>
      </c>
      <c r="D66">
        <v>82549</v>
      </c>
      <c r="E66" t="str">
        <f t="shared" ref="E66:E107" si="1">"ia.assorted_string like '%"&amp;D66&amp;B66&amp;"%' or"</f>
        <v>ia.assorted_string like '%82549-01-2024%' or</v>
      </c>
    </row>
    <row r="67" spans="1:5" x14ac:dyDescent="0.2">
      <c r="A67" s="77" t="s">
        <v>372</v>
      </c>
      <c r="B67" t="s">
        <v>382</v>
      </c>
      <c r="D67">
        <v>82549</v>
      </c>
      <c r="E67" t="str">
        <f t="shared" si="1"/>
        <v>ia.assorted_string like '%82549-01-2024%' or</v>
      </c>
    </row>
    <row r="68" spans="1:5" x14ac:dyDescent="0.2">
      <c r="A68" s="77" t="s">
        <v>372</v>
      </c>
      <c r="B68" t="s">
        <v>382</v>
      </c>
      <c r="D68">
        <v>82549</v>
      </c>
      <c r="E68" t="str">
        <f t="shared" si="1"/>
        <v>ia.assorted_string like '%82549-01-2024%' or</v>
      </c>
    </row>
    <row r="69" spans="1:5" x14ac:dyDescent="0.2">
      <c r="A69" s="77" t="s">
        <v>372</v>
      </c>
      <c r="B69" t="s">
        <v>382</v>
      </c>
      <c r="D69">
        <v>82549</v>
      </c>
      <c r="E69" t="str">
        <f t="shared" si="1"/>
        <v>ia.assorted_string like '%82549-01-2024%' or</v>
      </c>
    </row>
    <row r="70" spans="1:5" x14ac:dyDescent="0.2">
      <c r="A70" s="77" t="s">
        <v>371</v>
      </c>
      <c r="B70" t="s">
        <v>382</v>
      </c>
      <c r="D70">
        <v>82548</v>
      </c>
      <c r="E70" t="str">
        <f t="shared" si="1"/>
        <v>ia.assorted_string like '%82548-01-2024%' or</v>
      </c>
    </row>
    <row r="71" spans="1:5" x14ac:dyDescent="0.2">
      <c r="A71" s="77" t="s">
        <v>371</v>
      </c>
      <c r="B71" t="s">
        <v>382</v>
      </c>
      <c r="D71">
        <v>82548</v>
      </c>
      <c r="E71" t="str">
        <f t="shared" si="1"/>
        <v>ia.assorted_string like '%82548-01-2024%' or</v>
      </c>
    </row>
    <row r="72" spans="1:5" x14ac:dyDescent="0.2">
      <c r="A72" s="77" t="s">
        <v>371</v>
      </c>
      <c r="B72" t="s">
        <v>382</v>
      </c>
      <c r="D72">
        <v>82548</v>
      </c>
      <c r="E72" t="str">
        <f t="shared" si="1"/>
        <v>ia.assorted_string like '%82548-01-2024%' or</v>
      </c>
    </row>
    <row r="73" spans="1:5" x14ac:dyDescent="0.2">
      <c r="A73" s="77" t="s">
        <v>371</v>
      </c>
      <c r="B73" t="s">
        <v>382</v>
      </c>
      <c r="D73">
        <v>82548</v>
      </c>
      <c r="E73" t="str">
        <f t="shared" si="1"/>
        <v>ia.assorted_string like '%82548-01-2024%' or</v>
      </c>
    </row>
    <row r="74" spans="1:5" x14ac:dyDescent="0.2">
      <c r="A74" s="77" t="s">
        <v>371</v>
      </c>
      <c r="B74" t="s">
        <v>382</v>
      </c>
      <c r="D74">
        <v>82548</v>
      </c>
      <c r="E74" t="str">
        <f t="shared" si="1"/>
        <v>ia.assorted_string like '%82548-01-2024%' or</v>
      </c>
    </row>
    <row r="75" spans="1:5" x14ac:dyDescent="0.2">
      <c r="A75" s="77" t="s">
        <v>373</v>
      </c>
      <c r="B75" t="s">
        <v>382</v>
      </c>
      <c r="D75">
        <v>82546</v>
      </c>
      <c r="E75" t="str">
        <f t="shared" si="1"/>
        <v>ia.assorted_string like '%82546-01-2024%' or</v>
      </c>
    </row>
    <row r="76" spans="1:5" x14ac:dyDescent="0.2">
      <c r="A76" s="77" t="s">
        <v>373</v>
      </c>
      <c r="B76" t="s">
        <v>382</v>
      </c>
      <c r="D76">
        <v>82546</v>
      </c>
      <c r="E76" t="str">
        <f t="shared" si="1"/>
        <v>ia.assorted_string like '%82546-01-2024%' or</v>
      </c>
    </row>
    <row r="77" spans="1:5" x14ac:dyDescent="0.2">
      <c r="A77" s="77" t="s">
        <v>373</v>
      </c>
      <c r="B77" t="s">
        <v>382</v>
      </c>
      <c r="D77">
        <v>82546</v>
      </c>
      <c r="E77" t="str">
        <f t="shared" si="1"/>
        <v>ia.assorted_string like '%82546-01-2024%' or</v>
      </c>
    </row>
    <row r="78" spans="1:5" x14ac:dyDescent="0.2">
      <c r="A78" s="77" t="s">
        <v>373</v>
      </c>
      <c r="B78" t="s">
        <v>382</v>
      </c>
      <c r="D78">
        <v>82546</v>
      </c>
      <c r="E78" t="str">
        <f t="shared" si="1"/>
        <v>ia.assorted_string like '%82546-01-2024%' or</v>
      </c>
    </row>
    <row r="79" spans="1:5" x14ac:dyDescent="0.2">
      <c r="A79" s="77" t="s">
        <v>373</v>
      </c>
      <c r="B79" t="s">
        <v>382</v>
      </c>
      <c r="D79">
        <v>82546</v>
      </c>
      <c r="E79" t="str">
        <f t="shared" si="1"/>
        <v>ia.assorted_string like '%82546-01-2024%' or</v>
      </c>
    </row>
    <row r="80" spans="1:5" x14ac:dyDescent="0.2">
      <c r="A80" s="77" t="s">
        <v>373</v>
      </c>
      <c r="B80" t="s">
        <v>382</v>
      </c>
      <c r="D80">
        <v>82546</v>
      </c>
      <c r="E80" t="str">
        <f t="shared" si="1"/>
        <v>ia.assorted_string like '%82546-01-2024%' or</v>
      </c>
    </row>
    <row r="81" spans="1:5" x14ac:dyDescent="0.2">
      <c r="A81" s="77" t="s">
        <v>373</v>
      </c>
      <c r="B81" t="s">
        <v>382</v>
      </c>
      <c r="D81">
        <v>82546</v>
      </c>
      <c r="E81" t="str">
        <f t="shared" si="1"/>
        <v>ia.assorted_string like '%82546-01-2024%' or</v>
      </c>
    </row>
    <row r="82" spans="1:5" x14ac:dyDescent="0.2">
      <c r="A82" s="77" t="s">
        <v>373</v>
      </c>
      <c r="B82" t="s">
        <v>382</v>
      </c>
      <c r="D82">
        <v>82546</v>
      </c>
      <c r="E82" t="str">
        <f t="shared" si="1"/>
        <v>ia.assorted_string like '%82546-01-2024%' or</v>
      </c>
    </row>
    <row r="83" spans="1:5" x14ac:dyDescent="0.2">
      <c r="A83" s="77" t="s">
        <v>373</v>
      </c>
      <c r="B83" t="s">
        <v>382</v>
      </c>
      <c r="D83">
        <v>82546</v>
      </c>
      <c r="E83" t="str">
        <f t="shared" si="1"/>
        <v>ia.assorted_string like '%82546-01-2024%' or</v>
      </c>
    </row>
    <row r="84" spans="1:5" x14ac:dyDescent="0.2">
      <c r="A84" s="77" t="s">
        <v>373</v>
      </c>
      <c r="B84" t="s">
        <v>382</v>
      </c>
      <c r="D84">
        <v>82546</v>
      </c>
      <c r="E84" t="str">
        <f t="shared" si="1"/>
        <v>ia.assorted_string like '%82546-01-2024%' or</v>
      </c>
    </row>
    <row r="85" spans="1:5" x14ac:dyDescent="0.2">
      <c r="A85" s="77" t="s">
        <v>373</v>
      </c>
      <c r="B85" t="s">
        <v>382</v>
      </c>
      <c r="D85">
        <v>82546</v>
      </c>
      <c r="E85" t="str">
        <f t="shared" si="1"/>
        <v>ia.assorted_string like '%82546-01-2024%' or</v>
      </c>
    </row>
    <row r="86" spans="1:5" x14ac:dyDescent="0.2">
      <c r="A86" s="77" t="s">
        <v>373</v>
      </c>
      <c r="B86" t="s">
        <v>382</v>
      </c>
      <c r="D86">
        <v>82546</v>
      </c>
      <c r="E86" t="str">
        <f t="shared" si="1"/>
        <v>ia.assorted_string like '%82546-01-2024%' or</v>
      </c>
    </row>
    <row r="87" spans="1:5" x14ac:dyDescent="0.2">
      <c r="A87" s="77" t="s">
        <v>380</v>
      </c>
      <c r="B87" t="s">
        <v>382</v>
      </c>
      <c r="D87">
        <v>82555</v>
      </c>
      <c r="E87" t="str">
        <f t="shared" si="1"/>
        <v>ia.assorted_string like '%82555-01-2024%' or</v>
      </c>
    </row>
    <row r="88" spans="1:5" x14ac:dyDescent="0.2">
      <c r="A88" s="77" t="s">
        <v>377</v>
      </c>
      <c r="B88" t="s">
        <v>383</v>
      </c>
      <c r="D88">
        <v>85556</v>
      </c>
      <c r="E88" t="str">
        <f t="shared" si="1"/>
        <v>ia.assorted_string like '%85556-03-2024%' or</v>
      </c>
    </row>
    <row r="89" spans="1:5" x14ac:dyDescent="0.2">
      <c r="A89" s="77" t="s">
        <v>377</v>
      </c>
      <c r="B89" t="s">
        <v>383</v>
      </c>
      <c r="D89">
        <v>85556</v>
      </c>
      <c r="E89" t="str">
        <f t="shared" si="1"/>
        <v>ia.assorted_string like '%85556-03-2024%' or</v>
      </c>
    </row>
    <row r="90" spans="1:5" x14ac:dyDescent="0.2">
      <c r="A90" s="77" t="s">
        <v>377</v>
      </c>
      <c r="B90" t="s">
        <v>383</v>
      </c>
      <c r="D90">
        <v>85556</v>
      </c>
      <c r="E90" t="str">
        <f t="shared" si="1"/>
        <v>ia.assorted_string like '%85556-03-2024%' or</v>
      </c>
    </row>
    <row r="91" spans="1:5" x14ac:dyDescent="0.2">
      <c r="A91" s="77" t="s">
        <v>377</v>
      </c>
      <c r="B91" t="s">
        <v>383</v>
      </c>
      <c r="D91">
        <v>85556</v>
      </c>
      <c r="E91" t="str">
        <f t="shared" si="1"/>
        <v>ia.assorted_string like '%85556-03-2024%' or</v>
      </c>
    </row>
    <row r="92" spans="1:5" x14ac:dyDescent="0.2">
      <c r="A92" s="77" t="s">
        <v>375</v>
      </c>
      <c r="B92" t="s">
        <v>382</v>
      </c>
      <c r="D92">
        <v>82550</v>
      </c>
      <c r="E92" t="str">
        <f t="shared" si="1"/>
        <v>ia.assorted_string like '%82550-01-2024%' or</v>
      </c>
    </row>
    <row r="93" spans="1:5" x14ac:dyDescent="0.2">
      <c r="A93" s="77" t="s">
        <v>377</v>
      </c>
      <c r="B93" t="s">
        <v>383</v>
      </c>
      <c r="D93">
        <v>85556</v>
      </c>
      <c r="E93" t="str">
        <f t="shared" si="1"/>
        <v>ia.assorted_string like '%85556-03-2024%' or</v>
      </c>
    </row>
    <row r="94" spans="1:5" x14ac:dyDescent="0.2">
      <c r="A94" s="77" t="s">
        <v>377</v>
      </c>
      <c r="B94" t="s">
        <v>383</v>
      </c>
      <c r="D94">
        <v>85556</v>
      </c>
      <c r="E94" t="str">
        <f t="shared" si="1"/>
        <v>ia.assorted_string like '%85556-03-2024%' or</v>
      </c>
    </row>
    <row r="95" spans="1:5" x14ac:dyDescent="0.2">
      <c r="A95" s="77" t="s">
        <v>378</v>
      </c>
      <c r="B95" t="s">
        <v>382</v>
      </c>
      <c r="D95">
        <v>82552</v>
      </c>
      <c r="E95" t="str">
        <f t="shared" si="1"/>
        <v>ia.assorted_string like '%82552-01-2024%' or</v>
      </c>
    </row>
    <row r="96" spans="1:5" x14ac:dyDescent="0.2">
      <c r="A96" s="77" t="s">
        <v>378</v>
      </c>
      <c r="B96" t="s">
        <v>382</v>
      </c>
      <c r="D96">
        <v>82552</v>
      </c>
      <c r="E96" t="str">
        <f t="shared" si="1"/>
        <v>ia.assorted_string like '%82552-01-2024%' or</v>
      </c>
    </row>
    <row r="97" spans="1:5" x14ac:dyDescent="0.2">
      <c r="A97" s="77" t="s">
        <v>378</v>
      </c>
      <c r="B97" t="s">
        <v>382</v>
      </c>
      <c r="D97">
        <v>82552</v>
      </c>
      <c r="E97" t="str">
        <f t="shared" si="1"/>
        <v>ia.assorted_string like '%82552-01-2024%' or</v>
      </c>
    </row>
    <row r="98" spans="1:5" x14ac:dyDescent="0.2">
      <c r="A98" s="77" t="s">
        <v>378</v>
      </c>
      <c r="B98" t="s">
        <v>382</v>
      </c>
      <c r="D98">
        <v>82552</v>
      </c>
      <c r="E98" t="str">
        <f t="shared" si="1"/>
        <v>ia.assorted_string like '%82552-01-2024%' or</v>
      </c>
    </row>
    <row r="99" spans="1:5" x14ac:dyDescent="0.2">
      <c r="A99" s="77" t="s">
        <v>378</v>
      </c>
      <c r="B99" t="s">
        <v>382</v>
      </c>
      <c r="D99">
        <v>82552</v>
      </c>
      <c r="E99" t="str">
        <f t="shared" si="1"/>
        <v>ia.assorted_string like '%82552-01-2024%' or</v>
      </c>
    </row>
    <row r="100" spans="1:5" x14ac:dyDescent="0.2">
      <c r="A100" s="77" t="s">
        <v>376</v>
      </c>
      <c r="B100" t="s">
        <v>384</v>
      </c>
      <c r="D100">
        <v>86642</v>
      </c>
      <c r="E100" t="str">
        <f t="shared" si="1"/>
        <v>ia.assorted_string like '%86642-04-2024%' or</v>
      </c>
    </row>
    <row r="101" spans="1:5" x14ac:dyDescent="0.2">
      <c r="A101" s="77" t="s">
        <v>379</v>
      </c>
      <c r="B101" t="s">
        <v>383</v>
      </c>
      <c r="D101">
        <v>85423</v>
      </c>
      <c r="E101" t="str">
        <f t="shared" si="1"/>
        <v>ia.assorted_string like '%85423-03-2024%' or</v>
      </c>
    </row>
    <row r="102" spans="1:5" x14ac:dyDescent="0.2">
      <c r="A102" s="77" t="s">
        <v>379</v>
      </c>
      <c r="B102" t="s">
        <v>383</v>
      </c>
      <c r="D102">
        <v>85423</v>
      </c>
      <c r="E102" t="str">
        <f t="shared" si="1"/>
        <v>ia.assorted_string like '%85423-03-2024%' or</v>
      </c>
    </row>
    <row r="103" spans="1:5" x14ac:dyDescent="0.2">
      <c r="A103" s="77" t="s">
        <v>379</v>
      </c>
      <c r="B103" t="s">
        <v>383</v>
      </c>
      <c r="D103">
        <v>85423</v>
      </c>
      <c r="E103" t="str">
        <f t="shared" si="1"/>
        <v>ia.assorted_string like '%85423-03-2024%' or</v>
      </c>
    </row>
    <row r="104" spans="1:5" x14ac:dyDescent="0.2">
      <c r="A104" s="77" t="s">
        <v>379</v>
      </c>
      <c r="B104" t="s">
        <v>383</v>
      </c>
      <c r="D104">
        <v>85423</v>
      </c>
      <c r="E104" t="str">
        <f t="shared" si="1"/>
        <v>ia.assorted_string like '%85423-03-2024%' or</v>
      </c>
    </row>
    <row r="105" spans="1:5" x14ac:dyDescent="0.2">
      <c r="A105" s="77" t="s">
        <v>379</v>
      </c>
      <c r="B105" t="s">
        <v>383</v>
      </c>
      <c r="D105">
        <v>85423</v>
      </c>
      <c r="E105" t="str">
        <f t="shared" si="1"/>
        <v>ia.assorted_string like '%85423-03-2024%' or</v>
      </c>
    </row>
    <row r="106" spans="1:5" x14ac:dyDescent="0.2">
      <c r="A106" s="79" t="s">
        <v>373</v>
      </c>
      <c r="B106" t="s">
        <v>382</v>
      </c>
      <c r="D106">
        <v>82546</v>
      </c>
      <c r="E106" t="str">
        <f t="shared" si="1"/>
        <v>ia.assorted_string like '%82546-01-2024%' or</v>
      </c>
    </row>
    <row r="107" spans="1:5" x14ac:dyDescent="0.2">
      <c r="A107" s="79" t="s">
        <v>373</v>
      </c>
      <c r="B107" t="s">
        <v>382</v>
      </c>
      <c r="D107">
        <v>82546</v>
      </c>
      <c r="E107" t="str">
        <f t="shared" si="1"/>
        <v>ia.assorted_string like '%82546-01-2024%'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EB27-961F-48B8-B2A5-C7235CB9C6E7}">
  <dimension ref="A1:C11"/>
  <sheetViews>
    <sheetView workbookViewId="0">
      <selection activeCell="C11" sqref="C11"/>
    </sheetView>
  </sheetViews>
  <sheetFormatPr defaultColWidth="7.85546875" defaultRowHeight="12.75" x14ac:dyDescent="0.2"/>
  <cols>
    <col min="1" max="1" width="2" customWidth="1"/>
    <col min="2" max="2" width="49.5703125" customWidth="1"/>
    <col min="3" max="3" width="13.85546875" customWidth="1"/>
  </cols>
  <sheetData>
    <row r="1" spans="1:3" s="92" customFormat="1" ht="12" x14ac:dyDescent="0.2">
      <c r="A1" s="92" t="s">
        <v>385</v>
      </c>
      <c r="B1" s="92" t="s">
        <v>386</v>
      </c>
      <c r="C1" s="92" t="s">
        <v>387</v>
      </c>
    </row>
    <row r="2" spans="1:3" x14ac:dyDescent="0.2">
      <c r="A2">
        <v>1</v>
      </c>
      <c r="B2" t="s">
        <v>388</v>
      </c>
      <c r="C2" t="s">
        <v>389</v>
      </c>
    </row>
    <row r="3" spans="1:3" x14ac:dyDescent="0.2">
      <c r="A3">
        <v>2</v>
      </c>
      <c r="B3" t="s">
        <v>379</v>
      </c>
      <c r="C3" t="s">
        <v>390</v>
      </c>
    </row>
    <row r="4" spans="1:3" x14ac:dyDescent="0.2">
      <c r="A4">
        <v>3</v>
      </c>
      <c r="B4" t="s">
        <v>373</v>
      </c>
      <c r="C4" t="s">
        <v>391</v>
      </c>
    </row>
    <row r="5" spans="1:3" x14ac:dyDescent="0.2">
      <c r="A5">
        <v>4</v>
      </c>
      <c r="B5" t="s">
        <v>375</v>
      </c>
      <c r="C5" t="s">
        <v>392</v>
      </c>
    </row>
    <row r="6" spans="1:3" x14ac:dyDescent="0.2">
      <c r="A6">
        <v>5</v>
      </c>
      <c r="B6" t="s">
        <v>378</v>
      </c>
      <c r="C6" t="s">
        <v>393</v>
      </c>
    </row>
    <row r="7" spans="1:3" x14ac:dyDescent="0.2">
      <c r="A7">
        <v>6</v>
      </c>
      <c r="B7" t="s">
        <v>372</v>
      </c>
      <c r="C7" t="s">
        <v>394</v>
      </c>
    </row>
    <row r="8" spans="1:3" x14ac:dyDescent="0.2">
      <c r="A8">
        <v>7</v>
      </c>
      <c r="B8" t="s">
        <v>371</v>
      </c>
      <c r="C8" t="s">
        <v>395</v>
      </c>
    </row>
    <row r="9" spans="1:3" x14ac:dyDescent="0.2">
      <c r="A9">
        <v>8</v>
      </c>
      <c r="B9" t="s">
        <v>376</v>
      </c>
      <c r="C9" t="s">
        <v>396</v>
      </c>
    </row>
    <row r="10" spans="1:3" x14ac:dyDescent="0.2">
      <c r="A10">
        <v>9</v>
      </c>
      <c r="B10" t="s">
        <v>377</v>
      </c>
      <c r="C10" t="s">
        <v>397</v>
      </c>
    </row>
    <row r="11" spans="1:3" x14ac:dyDescent="0.2">
      <c r="A11">
        <v>1</v>
      </c>
      <c r="B11" t="s">
        <v>388</v>
      </c>
      <c r="C1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STL 3 QTR</vt:lpstr>
      <vt:lpstr>working</vt:lpstr>
      <vt:lpstr>Sheet2</vt:lpstr>
      <vt:lpstr>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TARIQ</dc:creator>
  <cp:lastModifiedBy>IT User Software</cp:lastModifiedBy>
  <cp:lastPrinted>2024-10-02T11:07:27Z</cp:lastPrinted>
  <dcterms:created xsi:type="dcterms:W3CDTF">2013-07-09T04:36:02Z</dcterms:created>
  <dcterms:modified xsi:type="dcterms:W3CDTF">2024-11-15T13:26:37Z</dcterms:modified>
</cp:coreProperties>
</file>