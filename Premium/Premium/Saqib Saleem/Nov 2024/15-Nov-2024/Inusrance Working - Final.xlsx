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Nov 2024\15-Nov-2024\"/>
    </mc:Choice>
  </mc:AlternateContent>
  <xr:revisionPtr revIDLastSave="0" documentId="13_ncr:1_{B5C1BF69-1AD0-4152-A50B-70EF8FE6391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working" sheetId="2" r:id="rId2"/>
    <sheet name="Sheet3" sheetId="3" r:id="rId3"/>
    <sheet name="policy" sheetId="4" r:id="rId4"/>
  </sheets>
  <definedNames>
    <definedName name="_xlnm._FilterDatabase" localSheetId="0" hidden="1">Sheet1!$A$1:$AP$185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7" i="2" l="1"/>
  <c r="D3" i="2"/>
  <c r="D4" i="2"/>
  <c r="D5" i="2"/>
  <c r="G5" i="2" s="1"/>
  <c r="H5" i="2" s="1"/>
  <c r="D6" i="2"/>
  <c r="G6" i="2" s="1"/>
  <c r="H6" i="2" s="1"/>
  <c r="D7" i="2"/>
  <c r="D8" i="2"/>
  <c r="D9" i="2"/>
  <c r="G9" i="2" s="1"/>
  <c r="H9" i="2" s="1"/>
  <c r="D10" i="2"/>
  <c r="G10" i="2" s="1"/>
  <c r="H10" i="2" s="1"/>
  <c r="D11" i="2"/>
  <c r="D12" i="2"/>
  <c r="D13" i="2"/>
  <c r="G13" i="2" s="1"/>
  <c r="H13" i="2" s="1"/>
  <c r="D14" i="2"/>
  <c r="G14" i="2" s="1"/>
  <c r="H14" i="2" s="1"/>
  <c r="D15" i="2"/>
  <c r="D16" i="2"/>
  <c r="D17" i="2"/>
  <c r="G17" i="2" s="1"/>
  <c r="H17" i="2" s="1"/>
  <c r="D18" i="2"/>
  <c r="D19" i="2"/>
  <c r="D20" i="2"/>
  <c r="D21" i="2"/>
  <c r="G21" i="2" s="1"/>
  <c r="H21" i="2" s="1"/>
  <c r="D22" i="2"/>
  <c r="G22" i="2" s="1"/>
  <c r="H22" i="2" s="1"/>
  <c r="D23" i="2"/>
  <c r="D24" i="2"/>
  <c r="D25" i="2"/>
  <c r="G25" i="2" s="1"/>
  <c r="H25" i="2" s="1"/>
  <c r="D26" i="2"/>
  <c r="G26" i="2" s="1"/>
  <c r="H26" i="2" s="1"/>
  <c r="D27" i="2"/>
  <c r="D28" i="2"/>
  <c r="D29" i="2"/>
  <c r="G29" i="2" s="1"/>
  <c r="H29" i="2" s="1"/>
  <c r="D30" i="2"/>
  <c r="G30" i="2" s="1"/>
  <c r="H30" i="2" s="1"/>
  <c r="D31" i="2"/>
  <c r="D32" i="2"/>
  <c r="D33" i="2"/>
  <c r="G33" i="2" s="1"/>
  <c r="H33" i="2" s="1"/>
  <c r="D34" i="2"/>
  <c r="D35" i="2"/>
  <c r="D36" i="2"/>
  <c r="D37" i="2"/>
  <c r="G37" i="2" s="1"/>
  <c r="H37" i="2" s="1"/>
  <c r="D38" i="2"/>
  <c r="G38" i="2" s="1"/>
  <c r="H38" i="2" s="1"/>
  <c r="D39" i="2"/>
  <c r="D40" i="2"/>
  <c r="D41" i="2"/>
  <c r="G41" i="2" s="1"/>
  <c r="H41" i="2" s="1"/>
  <c r="D42" i="2"/>
  <c r="G42" i="2" s="1"/>
  <c r="H42" i="2" s="1"/>
  <c r="D43" i="2"/>
  <c r="D44" i="2"/>
  <c r="D45" i="2"/>
  <c r="G45" i="2" s="1"/>
  <c r="H45" i="2" s="1"/>
  <c r="D46" i="2"/>
  <c r="G46" i="2" s="1"/>
  <c r="H46" i="2" s="1"/>
  <c r="D47" i="2"/>
  <c r="D48" i="2"/>
  <c r="D49" i="2"/>
  <c r="G49" i="2" s="1"/>
  <c r="H49" i="2" s="1"/>
  <c r="D50" i="2"/>
  <c r="D51" i="2"/>
  <c r="D52" i="2"/>
  <c r="D53" i="2"/>
  <c r="G53" i="2" s="1"/>
  <c r="H53" i="2" s="1"/>
  <c r="D54" i="2"/>
  <c r="G54" i="2" s="1"/>
  <c r="H54" i="2" s="1"/>
  <c r="D55" i="2"/>
  <c r="D56" i="2"/>
  <c r="D57" i="2"/>
  <c r="G57" i="2" s="1"/>
  <c r="H57" i="2" s="1"/>
  <c r="D58" i="2"/>
  <c r="G58" i="2" s="1"/>
  <c r="H58" i="2" s="1"/>
  <c r="D59" i="2"/>
  <c r="D60" i="2"/>
  <c r="D61" i="2"/>
  <c r="G61" i="2" s="1"/>
  <c r="H61" i="2" s="1"/>
  <c r="D62" i="2"/>
  <c r="G62" i="2" s="1"/>
  <c r="H62" i="2" s="1"/>
  <c r="D63" i="2"/>
  <c r="D64" i="2"/>
  <c r="D65" i="2"/>
  <c r="G65" i="2" s="1"/>
  <c r="H65" i="2" s="1"/>
  <c r="D66" i="2"/>
  <c r="D67" i="2"/>
  <c r="D68" i="2"/>
  <c r="D69" i="2"/>
  <c r="G69" i="2" s="1"/>
  <c r="H69" i="2" s="1"/>
  <c r="D70" i="2"/>
  <c r="G70" i="2" s="1"/>
  <c r="H70" i="2" s="1"/>
  <c r="D71" i="2"/>
  <c r="D72" i="2"/>
  <c r="D73" i="2"/>
  <c r="G73" i="2" s="1"/>
  <c r="H73" i="2" s="1"/>
  <c r="D74" i="2"/>
  <c r="G74" i="2" s="1"/>
  <c r="H74" i="2" s="1"/>
  <c r="D75" i="2"/>
  <c r="D76" i="2"/>
  <c r="D77" i="2"/>
  <c r="G77" i="2" s="1"/>
  <c r="H77" i="2" s="1"/>
  <c r="D78" i="2"/>
  <c r="G78" i="2" s="1"/>
  <c r="H78" i="2" s="1"/>
  <c r="D79" i="2"/>
  <c r="D80" i="2"/>
  <c r="D81" i="2"/>
  <c r="G81" i="2" s="1"/>
  <c r="H81" i="2" s="1"/>
  <c r="D82" i="2"/>
  <c r="D83" i="2"/>
  <c r="D84" i="2"/>
  <c r="D85" i="2"/>
  <c r="G85" i="2" s="1"/>
  <c r="H85" i="2" s="1"/>
  <c r="D86" i="2"/>
  <c r="G86" i="2" s="1"/>
  <c r="H86" i="2" s="1"/>
  <c r="D87" i="2"/>
  <c r="D88" i="2"/>
  <c r="D89" i="2"/>
  <c r="G89" i="2" s="1"/>
  <c r="H89" i="2" s="1"/>
  <c r="D90" i="2"/>
  <c r="G90" i="2" s="1"/>
  <c r="H90" i="2" s="1"/>
  <c r="D91" i="2"/>
  <c r="D92" i="2"/>
  <c r="D93" i="2"/>
  <c r="G93" i="2" s="1"/>
  <c r="H93" i="2" s="1"/>
  <c r="D94" i="2"/>
  <c r="G94" i="2" s="1"/>
  <c r="H94" i="2" s="1"/>
  <c r="D95" i="2"/>
  <c r="D96" i="2"/>
  <c r="D97" i="2"/>
  <c r="G97" i="2" s="1"/>
  <c r="H97" i="2" s="1"/>
  <c r="D98" i="2"/>
  <c r="D99" i="2"/>
  <c r="D100" i="2"/>
  <c r="D101" i="2"/>
  <c r="G101" i="2" s="1"/>
  <c r="H101" i="2" s="1"/>
  <c r="D102" i="2"/>
  <c r="G102" i="2" s="1"/>
  <c r="H102" i="2" s="1"/>
  <c r="D103" i="2"/>
  <c r="D104" i="2"/>
  <c r="D105" i="2"/>
  <c r="G105" i="2" s="1"/>
  <c r="H105" i="2" s="1"/>
  <c r="D106" i="2"/>
  <c r="G106" i="2" s="1"/>
  <c r="H106" i="2" s="1"/>
  <c r="D107" i="2"/>
  <c r="D108" i="2"/>
  <c r="D109" i="2"/>
  <c r="G109" i="2" s="1"/>
  <c r="H109" i="2" s="1"/>
  <c r="D110" i="2"/>
  <c r="G110" i="2" s="1"/>
  <c r="H110" i="2" s="1"/>
  <c r="D111" i="2"/>
  <c r="D112" i="2"/>
  <c r="D113" i="2"/>
  <c r="G113" i="2" s="1"/>
  <c r="H113" i="2" s="1"/>
  <c r="D114" i="2"/>
  <c r="D115" i="2"/>
  <c r="D116" i="2"/>
  <c r="D117" i="2"/>
  <c r="G117" i="2" s="1"/>
  <c r="H117" i="2" s="1"/>
  <c r="D118" i="2"/>
  <c r="G118" i="2" s="1"/>
  <c r="H118" i="2" s="1"/>
  <c r="D119" i="2"/>
  <c r="D120" i="2"/>
  <c r="D121" i="2"/>
  <c r="G121" i="2" s="1"/>
  <c r="H121" i="2" s="1"/>
  <c r="D122" i="2"/>
  <c r="G122" i="2" s="1"/>
  <c r="H122" i="2" s="1"/>
  <c r="D123" i="2"/>
  <c r="D124" i="2"/>
  <c r="D125" i="2"/>
  <c r="G125" i="2" s="1"/>
  <c r="H125" i="2" s="1"/>
  <c r="D126" i="2"/>
  <c r="G126" i="2" s="1"/>
  <c r="H126" i="2" s="1"/>
  <c r="D127" i="2"/>
  <c r="D128" i="2"/>
  <c r="D129" i="2"/>
  <c r="G129" i="2" s="1"/>
  <c r="H129" i="2" s="1"/>
  <c r="D130" i="2"/>
  <c r="D131" i="2"/>
  <c r="D132" i="2"/>
  <c r="D133" i="2"/>
  <c r="G133" i="2" s="1"/>
  <c r="H133" i="2" s="1"/>
  <c r="D134" i="2"/>
  <c r="G134" i="2" s="1"/>
  <c r="H134" i="2" s="1"/>
  <c r="D135" i="2"/>
  <c r="D136" i="2"/>
  <c r="D137" i="2"/>
  <c r="G137" i="2" s="1"/>
  <c r="D138" i="2"/>
  <c r="G138" i="2" s="1"/>
  <c r="H138" i="2" s="1"/>
  <c r="D139" i="2"/>
  <c r="D140" i="2"/>
  <c r="D141" i="2"/>
  <c r="G141" i="2" s="1"/>
  <c r="D142" i="2"/>
  <c r="G142" i="2" s="1"/>
  <c r="H142" i="2" s="1"/>
  <c r="D143" i="2"/>
  <c r="D144" i="2"/>
  <c r="D145" i="2"/>
  <c r="G145" i="2" s="1"/>
  <c r="H145" i="2" s="1"/>
  <c r="D146" i="2"/>
  <c r="D147" i="2"/>
  <c r="D148" i="2"/>
  <c r="D149" i="2"/>
  <c r="G149" i="2" s="1"/>
  <c r="H149" i="2" s="1"/>
  <c r="D150" i="2"/>
  <c r="G150" i="2" s="1"/>
  <c r="H150" i="2" s="1"/>
  <c r="D151" i="2"/>
  <c r="D152" i="2"/>
  <c r="D153" i="2"/>
  <c r="G153" i="2" s="1"/>
  <c r="D154" i="2"/>
  <c r="G154" i="2" s="1"/>
  <c r="H154" i="2" s="1"/>
  <c r="D155" i="2"/>
  <c r="D156" i="2"/>
  <c r="D157" i="2"/>
  <c r="G157" i="2" s="1"/>
  <c r="D158" i="2"/>
  <c r="G158" i="2" s="1"/>
  <c r="H158" i="2" s="1"/>
  <c r="D159" i="2"/>
  <c r="D160" i="2"/>
  <c r="D161" i="2"/>
  <c r="D162" i="2"/>
  <c r="G162" i="2" s="1"/>
  <c r="H162" i="2" s="1"/>
  <c r="D163" i="2"/>
  <c r="D164" i="2"/>
  <c r="D165" i="2"/>
  <c r="D166" i="2"/>
  <c r="G166" i="2" s="1"/>
  <c r="H166" i="2" s="1"/>
  <c r="D167" i="2"/>
  <c r="D168" i="2"/>
  <c r="D169" i="2"/>
  <c r="D170" i="2"/>
  <c r="G170" i="2" s="1"/>
  <c r="H170" i="2" s="1"/>
  <c r="D171" i="2"/>
  <c r="D172" i="2"/>
  <c r="D173" i="2"/>
  <c r="D174" i="2"/>
  <c r="G174" i="2" s="1"/>
  <c r="H174" i="2" s="1"/>
  <c r="D175" i="2"/>
  <c r="D176" i="2"/>
  <c r="D177" i="2"/>
  <c r="D178" i="2"/>
  <c r="G178" i="2" s="1"/>
  <c r="H178" i="2" s="1"/>
  <c r="D179" i="2"/>
  <c r="D180" i="2"/>
  <c r="D181" i="2"/>
  <c r="D182" i="2"/>
  <c r="G182" i="2" s="1"/>
  <c r="H182" i="2" s="1"/>
  <c r="D183" i="2"/>
  <c r="D184" i="2"/>
  <c r="D185" i="2"/>
  <c r="H3" i="2"/>
  <c r="H11" i="2"/>
  <c r="H19" i="2"/>
  <c r="H27" i="2"/>
  <c r="H35" i="2"/>
  <c r="H43" i="2"/>
  <c r="H51" i="2"/>
  <c r="H59" i="2"/>
  <c r="H67" i="2"/>
  <c r="H75" i="2"/>
  <c r="H83" i="2"/>
  <c r="H91" i="2"/>
  <c r="H99" i="2"/>
  <c r="H107" i="2"/>
  <c r="H115" i="2"/>
  <c r="H123" i="2"/>
  <c r="H131" i="2"/>
  <c r="H137" i="2"/>
  <c r="H141" i="2"/>
  <c r="H147" i="2"/>
  <c r="H153" i="2"/>
  <c r="H157" i="2"/>
  <c r="H163" i="2"/>
  <c r="H167" i="2"/>
  <c r="H179" i="2"/>
  <c r="H183" i="2"/>
  <c r="G3" i="2"/>
  <c r="G4" i="2"/>
  <c r="H4" i="2" s="1"/>
  <c r="G7" i="2"/>
  <c r="H7" i="2" s="1"/>
  <c r="G8" i="2"/>
  <c r="H8" i="2" s="1"/>
  <c r="G11" i="2"/>
  <c r="G12" i="2"/>
  <c r="H12" i="2" s="1"/>
  <c r="G15" i="2"/>
  <c r="H15" i="2" s="1"/>
  <c r="G16" i="2"/>
  <c r="H16" i="2" s="1"/>
  <c r="G18" i="2"/>
  <c r="H18" i="2" s="1"/>
  <c r="G19" i="2"/>
  <c r="G20" i="2"/>
  <c r="H20" i="2" s="1"/>
  <c r="G23" i="2"/>
  <c r="H23" i="2" s="1"/>
  <c r="G24" i="2"/>
  <c r="H24" i="2" s="1"/>
  <c r="G27" i="2"/>
  <c r="G28" i="2"/>
  <c r="H28" i="2" s="1"/>
  <c r="G31" i="2"/>
  <c r="H31" i="2" s="1"/>
  <c r="G32" i="2"/>
  <c r="H32" i="2" s="1"/>
  <c r="G34" i="2"/>
  <c r="H34" i="2" s="1"/>
  <c r="G35" i="2"/>
  <c r="G36" i="2"/>
  <c r="H36" i="2" s="1"/>
  <c r="G39" i="2"/>
  <c r="H39" i="2" s="1"/>
  <c r="G40" i="2"/>
  <c r="H40" i="2" s="1"/>
  <c r="G43" i="2"/>
  <c r="G44" i="2"/>
  <c r="H44" i="2" s="1"/>
  <c r="G47" i="2"/>
  <c r="H47" i="2" s="1"/>
  <c r="G48" i="2"/>
  <c r="H48" i="2" s="1"/>
  <c r="G50" i="2"/>
  <c r="H50" i="2" s="1"/>
  <c r="G51" i="2"/>
  <c r="G52" i="2"/>
  <c r="H52" i="2" s="1"/>
  <c r="G55" i="2"/>
  <c r="H55" i="2" s="1"/>
  <c r="G56" i="2"/>
  <c r="H56" i="2" s="1"/>
  <c r="G59" i="2"/>
  <c r="G60" i="2"/>
  <c r="H60" i="2" s="1"/>
  <c r="G63" i="2"/>
  <c r="H63" i="2" s="1"/>
  <c r="G64" i="2"/>
  <c r="H64" i="2" s="1"/>
  <c r="G66" i="2"/>
  <c r="H66" i="2" s="1"/>
  <c r="G67" i="2"/>
  <c r="G68" i="2"/>
  <c r="H68" i="2" s="1"/>
  <c r="G71" i="2"/>
  <c r="H71" i="2" s="1"/>
  <c r="G72" i="2"/>
  <c r="H72" i="2" s="1"/>
  <c r="G75" i="2"/>
  <c r="G76" i="2"/>
  <c r="H76" i="2" s="1"/>
  <c r="G79" i="2"/>
  <c r="H79" i="2" s="1"/>
  <c r="G80" i="2"/>
  <c r="H80" i="2" s="1"/>
  <c r="G82" i="2"/>
  <c r="H82" i="2" s="1"/>
  <c r="G83" i="2"/>
  <c r="G84" i="2"/>
  <c r="H84" i="2" s="1"/>
  <c r="G87" i="2"/>
  <c r="H87" i="2" s="1"/>
  <c r="G88" i="2"/>
  <c r="H88" i="2" s="1"/>
  <c r="G91" i="2"/>
  <c r="G92" i="2"/>
  <c r="H92" i="2" s="1"/>
  <c r="G95" i="2"/>
  <c r="H95" i="2" s="1"/>
  <c r="G96" i="2"/>
  <c r="H96" i="2" s="1"/>
  <c r="G98" i="2"/>
  <c r="H98" i="2" s="1"/>
  <c r="G99" i="2"/>
  <c r="G100" i="2"/>
  <c r="H100" i="2" s="1"/>
  <c r="G103" i="2"/>
  <c r="H103" i="2" s="1"/>
  <c r="G104" i="2"/>
  <c r="H104" i="2" s="1"/>
  <c r="G107" i="2"/>
  <c r="G108" i="2"/>
  <c r="H108" i="2" s="1"/>
  <c r="G111" i="2"/>
  <c r="H111" i="2" s="1"/>
  <c r="G112" i="2"/>
  <c r="H112" i="2" s="1"/>
  <c r="G114" i="2"/>
  <c r="H114" i="2" s="1"/>
  <c r="G115" i="2"/>
  <c r="G116" i="2"/>
  <c r="H116" i="2" s="1"/>
  <c r="G119" i="2"/>
  <c r="H119" i="2" s="1"/>
  <c r="G120" i="2"/>
  <c r="H120" i="2" s="1"/>
  <c r="G123" i="2"/>
  <c r="G124" i="2"/>
  <c r="H124" i="2" s="1"/>
  <c r="G127" i="2"/>
  <c r="H127" i="2" s="1"/>
  <c r="G128" i="2"/>
  <c r="H128" i="2" s="1"/>
  <c r="G130" i="2"/>
  <c r="H130" i="2" s="1"/>
  <c r="G131" i="2"/>
  <c r="G132" i="2"/>
  <c r="H132" i="2" s="1"/>
  <c r="G135" i="2"/>
  <c r="H135" i="2" s="1"/>
  <c r="G136" i="2"/>
  <c r="H136" i="2" s="1"/>
  <c r="G139" i="2"/>
  <c r="H139" i="2" s="1"/>
  <c r="G140" i="2"/>
  <c r="H140" i="2" s="1"/>
  <c r="G143" i="2"/>
  <c r="H143" i="2" s="1"/>
  <c r="G144" i="2"/>
  <c r="H144" i="2" s="1"/>
  <c r="G146" i="2"/>
  <c r="H146" i="2" s="1"/>
  <c r="G147" i="2"/>
  <c r="G148" i="2"/>
  <c r="H148" i="2" s="1"/>
  <c r="G151" i="2"/>
  <c r="H151" i="2" s="1"/>
  <c r="G152" i="2"/>
  <c r="H152" i="2" s="1"/>
  <c r="G155" i="2"/>
  <c r="H155" i="2" s="1"/>
  <c r="G156" i="2"/>
  <c r="H156" i="2" s="1"/>
  <c r="G159" i="2"/>
  <c r="H159" i="2" s="1"/>
  <c r="G160" i="2"/>
  <c r="H160" i="2" s="1"/>
  <c r="G161" i="2"/>
  <c r="H161" i="2" s="1"/>
  <c r="G163" i="2"/>
  <c r="G164" i="2"/>
  <c r="H164" i="2" s="1"/>
  <c r="G165" i="2"/>
  <c r="H165" i="2" s="1"/>
  <c r="G167" i="2"/>
  <c r="G168" i="2"/>
  <c r="H168" i="2" s="1"/>
  <c r="G169" i="2"/>
  <c r="H169" i="2" s="1"/>
  <c r="G171" i="2"/>
  <c r="H171" i="2" s="1"/>
  <c r="G172" i="2"/>
  <c r="H172" i="2" s="1"/>
  <c r="G173" i="2"/>
  <c r="H173" i="2" s="1"/>
  <c r="G175" i="2"/>
  <c r="H175" i="2" s="1"/>
  <c r="G176" i="2"/>
  <c r="H176" i="2" s="1"/>
  <c r="G177" i="2"/>
  <c r="H177" i="2" s="1"/>
  <c r="G179" i="2"/>
  <c r="G180" i="2"/>
  <c r="H180" i="2" s="1"/>
  <c r="G181" i="2"/>
  <c r="H181" i="2" s="1"/>
  <c r="G183" i="2"/>
  <c r="G184" i="2"/>
  <c r="H184" i="2" s="1"/>
  <c r="G185" i="2"/>
  <c r="H185" i="2" s="1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2" i="2"/>
  <c r="F2" i="2"/>
  <c r="D2" i="2"/>
  <c r="G2" i="2" s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" i="3"/>
  <c r="H2" i="2" l="1"/>
  <c r="N186" i="1" l="1"/>
</calcChain>
</file>

<file path=xl/sharedStrings.xml><?xml version="1.0" encoding="utf-8"?>
<sst xmlns="http://schemas.openxmlformats.org/spreadsheetml/2006/main" count="3949" uniqueCount="961">
  <si>
    <t>Policy No</t>
  </si>
  <si>
    <t>End No</t>
  </si>
  <si>
    <t>Class</t>
  </si>
  <si>
    <t>Issue 
Date</t>
  </si>
  <si>
    <t>Period From</t>
  </si>
  <si>
    <t>Period 
To</t>
  </si>
  <si>
    <t>Client 
Code</t>
  </si>
  <si>
    <t>Client Name</t>
  </si>
  <si>
    <t>qbo amount</t>
  </si>
  <si>
    <t>Type</t>
  </si>
  <si>
    <t>Agency Code</t>
  </si>
  <si>
    <t>Sum 
Covered</t>
  </si>
  <si>
    <t>Gross
Cont</t>
  </si>
  <si>
    <t>Net 
Cont</t>
  </si>
  <si>
    <t>Paid 
Cont</t>
  </si>
  <si>
    <t>Co Paid
Cont</t>
  </si>
  <si>
    <t>OS 
Cont</t>
  </si>
  <si>
    <t xml:space="preserve">Leader 
Name </t>
  </si>
  <si>
    <t>Leader 
Policy No</t>
  </si>
  <si>
    <t>Leader 
End Mo</t>
  </si>
  <si>
    <t>Parttaker 
Name</t>
  </si>
  <si>
    <t>Deffered Commission</t>
  </si>
  <si>
    <t xml:space="preserve">Policy Type </t>
  </si>
  <si>
    <t>Due 
Date</t>
  </si>
  <si>
    <t>Due Days</t>
  </si>
  <si>
    <t>Range</t>
  </si>
  <si>
    <t xml:space="preserve">Due 
Amount </t>
  </si>
  <si>
    <t>Paid Amount</t>
  </si>
  <si>
    <t>Ins OS Amount</t>
  </si>
  <si>
    <t>Important</t>
  </si>
  <si>
    <t>Team Name</t>
  </si>
  <si>
    <t>Channel Name</t>
  </si>
  <si>
    <t>Sub Team Name</t>
  </si>
  <si>
    <t>Mazhar</t>
  </si>
  <si>
    <t>DEALER_NAME</t>
  </si>
  <si>
    <t>INTERNAL</t>
  </si>
  <si>
    <t>THIRD_PARTY_CATEGORY</t>
  </si>
  <si>
    <t>IS_WRITEOFF</t>
  </si>
  <si>
    <t>KHI/HO/D/MI/MP/P/3076/08/2023</t>
  </si>
  <si>
    <t xml:space="preserve"> MISCELLANEOUS</t>
  </si>
  <si>
    <t xml:space="preserve"> 08804256</t>
  </si>
  <si>
    <t>SAMI ULLAH</t>
  </si>
  <si>
    <t xml:space="preserve"> D</t>
  </si>
  <si>
    <t>09000744-Kistpay (private) Limited</t>
  </si>
  <si>
    <t xml:space="preserve">	KISTPAY (PRIVATE) LIMITED</t>
  </si>
  <si>
    <t>MOBILE PHONE TAKAFUL POLICY</t>
  </si>
  <si>
    <t>F - Above one Year</t>
  </si>
  <si>
    <t>Aggregator</t>
  </si>
  <si>
    <t>N</t>
  </si>
  <si>
    <t>0</t>
  </si>
  <si>
    <t>KHI/HO/D/MI/MP/P/3218/09/2023</t>
  </si>
  <si>
    <t>MUHAMMAD WAQAR KIANI</t>
  </si>
  <si>
    <t>KHI/HO/D/MI/MP/P/3234/09/2023</t>
  </si>
  <si>
    <t>Irum Islam</t>
  </si>
  <si>
    <t>KHI/HO/D/MI/MP/P/3312/09/2023</t>
  </si>
  <si>
    <t>Rizwan Nazir</t>
  </si>
  <si>
    <t>KHI/HO/D/MI/MP/P/3364/09/2023</t>
  </si>
  <si>
    <t>Irfan Ameen Bhatti</t>
  </si>
  <si>
    <t>KHI/HO/D/MI/MP/P/3365/09/2023</t>
  </si>
  <si>
    <t>Daniyal Humayun</t>
  </si>
  <si>
    <t>KHI/HO/D/MI/MP/P/3392/09/2023</t>
  </si>
  <si>
    <t>Adnan Ahmed</t>
  </si>
  <si>
    <t>KHI/HO/D/MI/MP/P/3411/10/2023</t>
  </si>
  <si>
    <t>Ausaf Khan</t>
  </si>
  <si>
    <t>KHI/HO/D/MI/MP/P/3422/10/2023</t>
  </si>
  <si>
    <t>Ali Arsalan</t>
  </si>
  <si>
    <t>KHI/HO/D/MI/MP/P/3425/10/2023</t>
  </si>
  <si>
    <t>Salman Khalid</t>
  </si>
  <si>
    <t>KHI/HO/D/MI/MP/P/3426/10/2023</t>
  </si>
  <si>
    <t>Allavia Adnan</t>
  </si>
  <si>
    <t>KHI/HO/D/MI/MP/P/3427/10/2023</t>
  </si>
  <si>
    <t>Muhammad Ayaz</t>
  </si>
  <si>
    <t>KHI/HO/D/MI/MP/P/3429/10/2023</t>
  </si>
  <si>
    <t>Hafiz Muhammad Wajahat Munawar</t>
  </si>
  <si>
    <t>KHI/HO/D/MI/MP/P/3437/10/2023</t>
  </si>
  <si>
    <t>KHALID YASIN</t>
  </si>
  <si>
    <t>KHI/HO/D/MI/MP/P/3438/10/2023</t>
  </si>
  <si>
    <t>Umair Saeed</t>
  </si>
  <si>
    <t>KHI/HO/D/MI/MP/P/3439/10/2023</t>
  </si>
  <si>
    <t>shehzad ahmad</t>
  </si>
  <si>
    <t>KHI/HO/D/MI/MP/P/3440/10/2023</t>
  </si>
  <si>
    <t>muhammad Faraz Alvi</t>
  </si>
  <si>
    <t>KHI/HO/D/MI/MP/P/3442/10/2023</t>
  </si>
  <si>
    <t>MUHAMMAD SHAHZAD</t>
  </si>
  <si>
    <t>KHI/HO/D/MI/MP/P/3449/10/2023</t>
  </si>
  <si>
    <t>RIAZ AHMAD KHOKHAR</t>
  </si>
  <si>
    <t>KHI/HO/D/MI/MP/P/3465/10/2023</t>
  </si>
  <si>
    <t>Muhmmad Humaiz</t>
  </si>
  <si>
    <t>KHI/HO/D/MI/MP/P/3466/10/2023</t>
  </si>
  <si>
    <t>AZHAR WASIM</t>
  </si>
  <si>
    <t>KHI/HO/D/MI/MP/P/3467/10/2023</t>
  </si>
  <si>
    <t>Imtiaz Ahmad</t>
  </si>
  <si>
    <t>KHI/HO/D/MI/MP/P/3468/10/2023</t>
  </si>
  <si>
    <t>Maryam Khan</t>
  </si>
  <si>
    <t>KHI/HO/D/MI/MP/P/3469/10/2023</t>
  </si>
  <si>
    <t>khanzaib</t>
  </si>
  <si>
    <t>KHI/HO/D/MI/MP/P/3470/10/2023</t>
  </si>
  <si>
    <t>M Kamran</t>
  </si>
  <si>
    <t>KHI/HO/D/MI/MP/P/3471/10/2023</t>
  </si>
  <si>
    <t>Muhammad Nasir Usman</t>
  </si>
  <si>
    <t>KHI/HO/D/MI/MP/P/3472/10/2023</t>
  </si>
  <si>
    <t>Murtaza Ashfaq Siddiqui</t>
  </si>
  <si>
    <t>KHI/HO/D/MI/MP/P/3482/10/2023</t>
  </si>
  <si>
    <t>AHMAD</t>
  </si>
  <si>
    <t>KHI/HO/D/MI/MP/P/3484/10/2023</t>
  </si>
  <si>
    <t>Qaiser nathanial</t>
  </si>
  <si>
    <t>KHI/HO/D/MI/MP/P/3485/10/2023</t>
  </si>
  <si>
    <t>Anser Tinauli</t>
  </si>
  <si>
    <t>KHI/HO/D/MI/MP/P/3486/10/2023</t>
  </si>
  <si>
    <t>AMNA NAEEM</t>
  </si>
  <si>
    <t>KHI/HO/D/MI/MP/P/3488/10/2023</t>
  </si>
  <si>
    <t>Shamshad Ali</t>
  </si>
  <si>
    <t>KHI/HO/D/MI/MP/P/3490/10/2023</t>
  </si>
  <si>
    <t>Asad Saghir</t>
  </si>
  <si>
    <t>E - 181 - 365</t>
  </si>
  <si>
    <t>KHI/HO/D/MI/MP/P/3491/10/2023</t>
  </si>
  <si>
    <t>REHANA TASNEEM</t>
  </si>
  <si>
    <t>KHI/HO/D/MI/MP/P/3492/10/2023</t>
  </si>
  <si>
    <t>Syed Tayyab Ahmed</t>
  </si>
  <si>
    <t>KHI/HO/D/MI/MP/P/3494/10/2023</t>
  </si>
  <si>
    <t>Shah Ahmed</t>
  </si>
  <si>
    <t>KHI/HO/D/MI/MP/P/3495/10/2023</t>
  </si>
  <si>
    <t>Muhammad Usman Mazhar</t>
  </si>
  <si>
    <t>KHI/HO/D/MI/MP/P/3496/10/2023</t>
  </si>
  <si>
    <t>Muhammad asim ashraf</t>
  </si>
  <si>
    <t>KHI/HO/D/MI/MP/P/3497/10/2023</t>
  </si>
  <si>
    <t>Adil</t>
  </si>
  <si>
    <t>KHI/HO/D/MI/MP/P/3517/10/2023</t>
  </si>
  <si>
    <t>Nisar Rehman</t>
  </si>
  <si>
    <t>KHI/HO/D/MI/MP/P/3518/10/2023</t>
  </si>
  <si>
    <t>M.mehmood akhter</t>
  </si>
  <si>
    <t>KHI/HO/D/MI/MP/P/3520/10/2023</t>
  </si>
  <si>
    <t>Ahsan Abid</t>
  </si>
  <si>
    <t>KHI/HO/D/MI/MP/P/3521/10/2023</t>
  </si>
  <si>
    <t>Umairhassan</t>
  </si>
  <si>
    <t>KHI/HO/D/MI/MP/P/3522/10/2023</t>
  </si>
  <si>
    <t>Umer shoaib</t>
  </si>
  <si>
    <t>KHI/HO/D/MI/MP/P/3523/10/2023</t>
  </si>
  <si>
    <t>MUHAMMAD AJMAL</t>
  </si>
  <si>
    <t>KHI/HO/D/MI/MP/P/3524/10/2023</t>
  </si>
  <si>
    <t>MUHAMMAD IQBAL AWAN</t>
  </si>
  <si>
    <t>KHI/HO/D/MI/MP/P/3525/10/2023</t>
  </si>
  <si>
    <t>Jameel Khan</t>
  </si>
  <si>
    <t>KHI/HO/D/MI/MP/P/3526/10/2023</t>
  </si>
  <si>
    <t>Mr Khalid Abbas</t>
  </si>
  <si>
    <t>KHI/HO/D/MI/MP/P/3527/10/2023</t>
  </si>
  <si>
    <t>Naveed Younis</t>
  </si>
  <si>
    <t>KHI/HO/D/MI/MP/P/3528/10/2023</t>
  </si>
  <si>
    <t>Waqar Ahmad</t>
  </si>
  <si>
    <t>KHI/HO/D/MI/MP/P/3529/10/2023</t>
  </si>
  <si>
    <t>AWAIS RASHEED</t>
  </si>
  <si>
    <t>KHI/HO/D/MI/MP/P/3530/11/2023</t>
  </si>
  <si>
    <t>Azhar Hayaat (amma Tower Shop )</t>
  </si>
  <si>
    <t>KHI/HO/D/MI/MP/P/3531/11/2023</t>
  </si>
  <si>
    <t>RAHEEL ISLAM</t>
  </si>
  <si>
    <t>KHI/HO/D/MI/MP/P/3532/11/2023</t>
  </si>
  <si>
    <t>Arsalan Shahid</t>
  </si>
  <si>
    <t>KHI/HO/D/MI/MP/P/3533/11/2023</t>
  </si>
  <si>
    <t>TAYYABA FAROOQ</t>
  </si>
  <si>
    <t>KHI/HO/D/MI/MP/P/3534/11/2023</t>
  </si>
  <si>
    <t>Muhammad Shahrukh khan (Amma tower Shop)</t>
  </si>
  <si>
    <t>KHI/HO/D/MI/MP/P/3535/11/2023</t>
  </si>
  <si>
    <t>Imran Mazhar</t>
  </si>
  <si>
    <t>KHI/HO/D/MI/MP/P/3536/11/2023</t>
  </si>
  <si>
    <t>Avinash</t>
  </si>
  <si>
    <t>KHI/HO/D/MI/MP/P/3538/11/2023</t>
  </si>
  <si>
    <t>Turab Ali</t>
  </si>
  <si>
    <t>KHI/HO/D/MI/MP/P/3540/11/2023</t>
  </si>
  <si>
    <t>Narindar Singh AT</t>
  </si>
  <si>
    <t>KHI/HO/D/MI/MP/P/3541/11/2023</t>
  </si>
  <si>
    <t>Asad Abbas</t>
  </si>
  <si>
    <t>KHI/HO/D/MI/MP/P/3542/11/2023</t>
  </si>
  <si>
    <t>Muhammad sheheryare Ali</t>
  </si>
  <si>
    <t>KHI/HO/D/MI/MP/P/3543/11/2023</t>
  </si>
  <si>
    <t>Arsalan Ahmed</t>
  </si>
  <si>
    <t>KHI/HO/D/MI/MP/P/3547/11/2023</t>
  </si>
  <si>
    <t>Ijlal Hussain</t>
  </si>
  <si>
    <t>KHI/HO/D/MI/MP/P/3548/11/2023</t>
  </si>
  <si>
    <t>Zohaib Imran</t>
  </si>
  <si>
    <t>KHI/HO/D/MI/MP/P/3549/11/2023</t>
  </si>
  <si>
    <t>Syed M Faraz</t>
  </si>
  <si>
    <t>KHI/HO/D/MI/MP/P/3551/11/2023</t>
  </si>
  <si>
    <t>Ismail Dadi</t>
  </si>
  <si>
    <t>KHI/HO/D/MI/MP/P/3554/11/2023</t>
  </si>
  <si>
    <t>MUHAMMAD AHMAD</t>
  </si>
  <si>
    <t>KHI/HO/D/MI/MP/P/3558/11/2023</t>
  </si>
  <si>
    <t>UMAIR AHMED</t>
  </si>
  <si>
    <t>KHI/HO/D/MI/MP/P/3581/11/2023</t>
  </si>
  <si>
    <t>Khalid Mehmood</t>
  </si>
  <si>
    <t>KHI/HO/D/MI/MP/P/3588/11/2023</t>
  </si>
  <si>
    <t>Adnan Ahmed AT</t>
  </si>
  <si>
    <t>KHI/HO/D/MI/MP/P/3589/11/2023</t>
  </si>
  <si>
    <t>SALMAN HAIDER</t>
  </si>
  <si>
    <t>KHI/HO/D/MI/MP/P/3590/11/2023</t>
  </si>
  <si>
    <t>hasnain aftab AT</t>
  </si>
  <si>
    <t>KHI/HO/D/MI/MP/P/3591/11/2023</t>
  </si>
  <si>
    <t>Waqas Qureshi</t>
  </si>
  <si>
    <t>KHI/HO/D/MI/MP/P/3592/11/2023</t>
  </si>
  <si>
    <t>Hanzala</t>
  </si>
  <si>
    <t>KHI/HO/D/MI/MP/P/3593/11/2023</t>
  </si>
  <si>
    <t>KHI/HO/D/MI/MP/P/3594/11/2023</t>
  </si>
  <si>
    <t>MuhammadAkram</t>
  </si>
  <si>
    <t>KHI/HO/D/MI/MP/P/3595/11/2023</t>
  </si>
  <si>
    <t>Muhammad Khawar</t>
  </si>
  <si>
    <t>KHI/HO/D/MI/MP/P/3596/11/2023</t>
  </si>
  <si>
    <t>Hafiz Muhammad Awais</t>
  </si>
  <si>
    <t>KHI/HO/D/MI/MP/P/3597/11/2023</t>
  </si>
  <si>
    <t>Tariq Waqas</t>
  </si>
  <si>
    <t>KHI/HO/D/MI/MP/P/3598/11/2023</t>
  </si>
  <si>
    <t>SHARIQ QAISER</t>
  </si>
  <si>
    <t>KHI/HO/D/MI/MP/P/3599/11/2023</t>
  </si>
  <si>
    <t>Rizwankashif</t>
  </si>
  <si>
    <t>KHI/HO/D/MI/MP/P/3600/11/2023</t>
  </si>
  <si>
    <t>Shaheer Ahmed</t>
  </si>
  <si>
    <t>KHI/HO/D/MI/MP/P/3602/11/2023</t>
  </si>
  <si>
    <t>Malik Aizaz</t>
  </si>
  <si>
    <t>KHI/HO/D/MI/MP/P/3603/11/2023</t>
  </si>
  <si>
    <t>Atiq ur Rehman</t>
  </si>
  <si>
    <t>KHI/HO/D/MI/MP/P/3605/11/2023</t>
  </si>
  <si>
    <t>Amjad khan</t>
  </si>
  <si>
    <t>KHI/HO/D/MI/MP/P/3614/11/2023</t>
  </si>
  <si>
    <t>Khadam Ali</t>
  </si>
  <si>
    <t>KHI/HO/D/MI/MP/P/3616/11/2023</t>
  </si>
  <si>
    <t>Fahad Hassan</t>
  </si>
  <si>
    <t>KHI/HO/D/MI/MP/P/3617/11/2023</t>
  </si>
  <si>
    <t>Mustafa</t>
  </si>
  <si>
    <t>KHI/HO/D/MI/MP/P/3618/11/2023</t>
  </si>
  <si>
    <t>Nazeeran</t>
  </si>
  <si>
    <t>KHI/HO/D/MI/MP/P/3626/11/2023</t>
  </si>
  <si>
    <t>Rozina Kauser</t>
  </si>
  <si>
    <t>KHI/HO/D/MI/MP/P/3627/11/2023</t>
  </si>
  <si>
    <t>Absar Saud Alavi</t>
  </si>
  <si>
    <t>KHI/HO/D/MI/MP/P/3628/11/2023</t>
  </si>
  <si>
    <t>Zain Hussain</t>
  </si>
  <si>
    <t>KHI/HO/D/MI/MP/P/3629/11/2023</t>
  </si>
  <si>
    <t>Hasnan Khan</t>
  </si>
  <si>
    <t>KHI/HO/D/MI/MP/P/3630/11/2023</t>
  </si>
  <si>
    <t>Faraz Hussain</t>
  </si>
  <si>
    <t>KHI/HO/D/MI/MP/P/3635/11/2023</t>
  </si>
  <si>
    <t>Ahsan Ullah</t>
  </si>
  <si>
    <t>KHI/HO/D/MI/MP/P/3639/11/2023</t>
  </si>
  <si>
    <t>Muhammad Moosa Sohail AT</t>
  </si>
  <si>
    <t>KHI/HO/D/MI/MP/P/3641/11/2023</t>
  </si>
  <si>
    <t>SAAD MAQBOOL</t>
  </si>
  <si>
    <t>KHI/HO/D/MI/MP/P/3646/11/2023</t>
  </si>
  <si>
    <t>Javed Hussain</t>
  </si>
  <si>
    <t>KHI/HO/D/MI/MP/P/3653/11/2023</t>
  </si>
  <si>
    <t>Abdul Rehman Abro</t>
  </si>
  <si>
    <t>KHI/HO/D/MI/MP/P/3654/11/2023</t>
  </si>
  <si>
    <t>Safia nadia</t>
  </si>
  <si>
    <t>KHI/HO/D/MI/MP/P/3656/11/2023</t>
  </si>
  <si>
    <t>Salman AT</t>
  </si>
  <si>
    <t>KHI/HO/D/MI/MP/P/3657/11/2023</t>
  </si>
  <si>
    <t>Saeed Ahmed</t>
  </si>
  <si>
    <t>KHI/HO/D/MI/MP/P/3658/11/2023</t>
  </si>
  <si>
    <t>Asad ali</t>
  </si>
  <si>
    <t>KHI/HO/D/MI/MP/P/3659/11/2023</t>
  </si>
  <si>
    <t>Muhammad Dawood</t>
  </si>
  <si>
    <t>KHI/HO/D/MI/MP/P/3662/11/2023</t>
  </si>
  <si>
    <t>Shahroz Ali</t>
  </si>
  <si>
    <t>KHI/HO/D/MI/MP/P/3663/11/2023</t>
  </si>
  <si>
    <t>Nida</t>
  </si>
  <si>
    <t>KHI/HO/D/MI/MP/P/3664/11/2023</t>
  </si>
  <si>
    <t>abdul jabbar memon</t>
  </si>
  <si>
    <t>KHI/HO/D/MI/MP/P/3667/11/2023</t>
  </si>
  <si>
    <t>Israr Ahmed</t>
  </si>
  <si>
    <t>KHI/HO/D/MI/MP/P/3668/11/2023</t>
  </si>
  <si>
    <t>Abdul sattar</t>
  </si>
  <si>
    <t>KHI/HO/D/MI/MP/P/3670/12/2023</t>
  </si>
  <si>
    <t>Sarfraz Ahmad</t>
  </si>
  <si>
    <t>KHI/HO/D/MI/MP/P/3673/12/2023</t>
  </si>
  <si>
    <t>Saddam hussain</t>
  </si>
  <si>
    <t>KHI/HO/D/MI/MP/P/3699/12/2023</t>
  </si>
  <si>
    <t>Waqar Hussain</t>
  </si>
  <si>
    <t>KHI/HO/D/MI/MP/P/3816/12/2023</t>
  </si>
  <si>
    <t>KHI/HO/D/MI/MP/P/3700/12/2023</t>
  </si>
  <si>
    <t>Bushes kamal</t>
  </si>
  <si>
    <t>KHI/HO/D/MI/MP/P/3702/12/2023</t>
  </si>
  <si>
    <t>Junaid</t>
  </si>
  <si>
    <t>KHI/HO/D/MI/MP/P/3703/12/2023</t>
  </si>
  <si>
    <t>TANVEER SHAHZAD</t>
  </si>
  <si>
    <t>KHI/HO/D/MI/MP/P/3716/12/2023</t>
  </si>
  <si>
    <t>Beenish Fatima</t>
  </si>
  <si>
    <t>KHI/HO/D/MI/MP/P/3717/12/2023</t>
  </si>
  <si>
    <t>Irfan Shahzad</t>
  </si>
  <si>
    <t>KHI/HO/D/MI/MP/P/3718/12/2023</t>
  </si>
  <si>
    <t>sana saleem</t>
  </si>
  <si>
    <t>KHI/HO/D/MI/MP/P/3719/12/2023</t>
  </si>
  <si>
    <t>Muhammad Yaseen AT</t>
  </si>
  <si>
    <t>KHI/HO/D/MI/MP/P/3721/12/2023</t>
  </si>
  <si>
    <t>Naeem AT</t>
  </si>
  <si>
    <t>KHI/HO/D/MI/MP/P/3725/12/2023</t>
  </si>
  <si>
    <t>Muhammad Ahsaan</t>
  </si>
  <si>
    <t>KHI/HO/D/MI/MP/P/3876/02/2024</t>
  </si>
  <si>
    <t>KHI/HO/D/MI/MP/P/3878/02/2024</t>
  </si>
  <si>
    <t>KHI/HO/D/MI/MP/P/3879/02/2024</t>
  </si>
  <si>
    <t>Arbaz Khan</t>
  </si>
  <si>
    <t>KHI/HO/D/MI/MP/P/3880/02/2024</t>
  </si>
  <si>
    <t>Alina bibi</t>
  </si>
  <si>
    <t>KHI/HO/D/MI/MP/P/3881/02/2024</t>
  </si>
  <si>
    <t>Hafsah fishan</t>
  </si>
  <si>
    <t>KHI/HO/D/MI/MP/P/3884/02/2024</t>
  </si>
  <si>
    <t>Jalaal Ahmad</t>
  </si>
  <si>
    <t>KHI/HO/D/MI/MP/P/3886/02/2024</t>
  </si>
  <si>
    <t>Muhammad Azhar</t>
  </si>
  <si>
    <t>KHI/HO/D/MI/MP/P/3887/02/2024</t>
  </si>
  <si>
    <t>Arham Rehmani</t>
  </si>
  <si>
    <t>KHI/HO/D/MI/MP/P/3888/02/2024</t>
  </si>
  <si>
    <t>Seema Shah</t>
  </si>
  <si>
    <t>KHI/HO/D/MI/MP/P/3889/02/2024</t>
  </si>
  <si>
    <t>Waseem Ahmed</t>
  </si>
  <si>
    <t>KHI/HO/D/MI/MP/P/3890/02/2024</t>
  </si>
  <si>
    <t>Kabeer Ashok Pandit AT</t>
  </si>
  <si>
    <t>KHI/HO/D/MI/MP/P/3891/02/2024</t>
  </si>
  <si>
    <t>Saleem Ahmed</t>
  </si>
  <si>
    <t>KHI/HO/D/MI/MP/P/3893/02/2024</t>
  </si>
  <si>
    <t>KHI/HO/D/MI/MP/P/3896/02/2024</t>
  </si>
  <si>
    <t>Muhammad Afaq Naeem Rana</t>
  </si>
  <si>
    <t>KHI/HO/D/MI/MP/P/3897/02/2024</t>
  </si>
  <si>
    <t>Ali Nawaz Abbasi AT</t>
  </si>
  <si>
    <t>Muhammad Farooq</t>
  </si>
  <si>
    <t>Usman Qaiser</t>
  </si>
  <si>
    <t>KHI/HO/D/MI/MP/P/3901/02/2024</t>
  </si>
  <si>
    <t>SADAF HAROON</t>
  </si>
  <si>
    <t>KHI/HO/D/MI/MP/P/3905/02/2024</t>
  </si>
  <si>
    <t>KHI/HO/D/MI/MP/P/3906/02/2024</t>
  </si>
  <si>
    <t>KHI/HO/D/MI/MP/P/3907/02/2024</t>
  </si>
  <si>
    <t>KHI/HO/D/MI/MP/P/3908/02/2024</t>
  </si>
  <si>
    <t>KHI/HO/D/MI/MP/P/3910/02/2024</t>
  </si>
  <si>
    <t>KHI/HO/D/MI/MP/P/3911/02/2024</t>
  </si>
  <si>
    <t>ABDUL REHMAN</t>
  </si>
  <si>
    <t>KHI/HO/D/MI/MP/P/3913/02/2024</t>
  </si>
  <si>
    <t>Muhammad Ramzan</t>
  </si>
  <si>
    <t>KHI/HO/D/MI/MP/P/3916/02/2024</t>
  </si>
  <si>
    <t>KHI/HO/D/MI/MP/P/3917/02/2024</t>
  </si>
  <si>
    <t>KHI/HO/D/MI/MP/P/3918/02/2024</t>
  </si>
  <si>
    <t>KHI/HO/D/MI/MP/P/3919/02/2024</t>
  </si>
  <si>
    <t>KHI/HO/D/MI/MP/P/3920/02/2024</t>
  </si>
  <si>
    <t>Waqar Azeem</t>
  </si>
  <si>
    <t>KHI/HO/D/MI/MP/P/3929/02/2024</t>
  </si>
  <si>
    <t>Altaf Hussain</t>
  </si>
  <si>
    <t>KHI/HO/D/MI/MP/P/3930/02/2024</t>
  </si>
  <si>
    <t>KHI/HO/D/MI/MP/P/3931/02/2024</t>
  </si>
  <si>
    <t>Muhammad Aneeq Muneer</t>
  </si>
  <si>
    <t>KHI/HO/D/MI/MP/P/3932/02/2024</t>
  </si>
  <si>
    <t>KHI/HO/D/MI/MP/P/3933/02/2024</t>
  </si>
  <si>
    <t>MUHAMMAD MEHTAB QURESHI</t>
  </si>
  <si>
    <t>KHI/HO/D/MI/MP/P/3946/02/2024</t>
  </si>
  <si>
    <t>KHI/HO/D/MI/MP/P/3947/02/2024</t>
  </si>
  <si>
    <t>Muhammad Aqeel</t>
  </si>
  <si>
    <t>KHI/HO/D/MI/MP/P/3948/02/2024</t>
  </si>
  <si>
    <t>WAQAS MUNAWAR</t>
  </si>
  <si>
    <t>KHI/HO/D/MI/MP/P/3951/02/2024</t>
  </si>
  <si>
    <t>Danial yousaf</t>
  </si>
  <si>
    <t>KHI/HO/D/MI/MP/P/3952/02/2024</t>
  </si>
  <si>
    <t>Bilal Anwar</t>
  </si>
  <si>
    <t>KHI/HO/D/MI/MP/P/3953/02/2024</t>
  </si>
  <si>
    <t>MUHAMMAD TALOT</t>
  </si>
  <si>
    <t>HASSAN RASHEED</t>
  </si>
  <si>
    <t>KHI/HO/D/MI/MP/P/3957/02/2024</t>
  </si>
  <si>
    <t>KHI/HO/D/MI/MP/P/3958/02/2024</t>
  </si>
  <si>
    <t>Haji jumma</t>
  </si>
  <si>
    <t>KHI/HO/D/MI/MP/P/3959/02/2024</t>
  </si>
  <si>
    <t>KHI/HO/D/MI/MP/P/3960/02/2024</t>
  </si>
  <si>
    <t>Ulfat Bibi AT</t>
  </si>
  <si>
    <t>KHI/HO/D/MI/MP/P/3961/02/2024</t>
  </si>
  <si>
    <t>Uzair Akhtar</t>
  </si>
  <si>
    <t>KHI/HO/D/MI/MP/P/3963/02/2024</t>
  </si>
  <si>
    <t>Bilawal Ali</t>
  </si>
  <si>
    <t>KHI/HO/D/MI/MP/P/3965/02/2024</t>
  </si>
  <si>
    <t>Zohaib Hassan</t>
  </si>
  <si>
    <t>KHI/HO/D/MI/MP/P/3967/02/2024</t>
  </si>
  <si>
    <t>ALI NUSER TURAB</t>
  </si>
  <si>
    <t>KHI/HO/D/MI/MP/P/3969/02/2024</t>
  </si>
  <si>
    <t>Syed Sami ullah hussaini</t>
  </si>
  <si>
    <t>KHI/HO/D/MI/MP/P/3970/02/2024</t>
  </si>
  <si>
    <t>Usama Khawaja</t>
  </si>
  <si>
    <t>Ch Liaqat Ali</t>
  </si>
  <si>
    <t>KHI/HO/D/MI/MP/P/3972/02/2024</t>
  </si>
  <si>
    <t>Waheed Murad AT</t>
  </si>
  <si>
    <t>KHI/HO/D/MI/MP/P/3974/02/2024</t>
  </si>
  <si>
    <t>KHI/HO/D/MI/MP/P/3976/02/2024</t>
  </si>
  <si>
    <t>Muhammad Rashid Rasool</t>
  </si>
  <si>
    <t>KHI/HO/D/MI/MP/P/3980/02/2024</t>
  </si>
  <si>
    <t>KHI/HO/D/MI/MP/P/3983/02/2024</t>
  </si>
  <si>
    <t>KHI/HO/D/MI/MP/P/3984/02/2024</t>
  </si>
  <si>
    <t>KHI/HO/D/MI/MP/P/3985/02/2024</t>
  </si>
  <si>
    <t>KHI/HO/D/MI/MP/P/3986/02/2024</t>
  </si>
  <si>
    <t>KHI/HO/D/MI/MP/P/3987/02/2024</t>
  </si>
  <si>
    <t>KHI/HO/D/MI/MP/P/3988/02/2024</t>
  </si>
  <si>
    <t>KHI/HO/D/MI/MP/P/3992/02/2024</t>
  </si>
  <si>
    <t>Abu Bakar Azhar Sheikh</t>
  </si>
  <si>
    <t>KHI/HO/D/MI/MP/P/3994/02/2024</t>
  </si>
  <si>
    <t>-08-2023</t>
  </si>
  <si>
    <t>-09-2023</t>
  </si>
  <si>
    <t>-10-2023</t>
  </si>
  <si>
    <t>-11-2023</t>
  </si>
  <si>
    <t>-12-2023</t>
  </si>
  <si>
    <t>-02-2024</t>
  </si>
  <si>
    <t xml:space="preserve">   </t>
  </si>
  <si>
    <t>FUNC_ASSORTED_STRING(IA.ASSORTED_CODE)</t>
  </si>
  <si>
    <t>ASSORTED_CODE</t>
  </si>
  <si>
    <t>040000158739</t>
  </si>
  <si>
    <t>040000155132</t>
  </si>
  <si>
    <t>040000155122</t>
  </si>
  <si>
    <t>LHR/LHR/D/HLGRP HEALTH/E/23972/02/2024</t>
  </si>
  <si>
    <t>050000711571</t>
  </si>
  <si>
    <t>040000156947</t>
  </si>
  <si>
    <t>KHI/HO/D/HLGRP HEALTH/E/23958/02/2024</t>
  </si>
  <si>
    <t>050000711534</t>
  </si>
  <si>
    <t>040000159413</t>
  </si>
  <si>
    <t>KHI/HO/D/MO/PC COMP/P/83994/02/2024</t>
  </si>
  <si>
    <t>040000166434</t>
  </si>
  <si>
    <t>040000157284</t>
  </si>
  <si>
    <t>040000154706</t>
  </si>
  <si>
    <t>040000158329</t>
  </si>
  <si>
    <t>040000158657</t>
  </si>
  <si>
    <t>040000158209</t>
  </si>
  <si>
    <t>040000158818</t>
  </si>
  <si>
    <t>040000155367</t>
  </si>
  <si>
    <t>040000155409</t>
  </si>
  <si>
    <t>040000155410</t>
  </si>
  <si>
    <t>040000155411</t>
  </si>
  <si>
    <t>KHI/HO/D/MO/MC COMP/P/83952/02/2024</t>
  </si>
  <si>
    <t>040000166386</t>
  </si>
  <si>
    <t>040000156760</t>
  </si>
  <si>
    <t>KHI/HO/D/MO/MC COMP/P/83980/02/2024</t>
  </si>
  <si>
    <t>040000166419</t>
  </si>
  <si>
    <t>KHI/HO/D/MO/MC COMP/P/83878/02/2024</t>
  </si>
  <si>
    <t>040000166293</t>
  </si>
  <si>
    <t>KHI/HO/D/MO/MC COMP/P/83908/02/2024</t>
  </si>
  <si>
    <t>040000166324</t>
  </si>
  <si>
    <t>KHI/HO/D/MO/PC COMP/P/83932/02/2024</t>
  </si>
  <si>
    <t>040000166356</t>
  </si>
  <si>
    <t>040000157680</t>
  </si>
  <si>
    <t>KHI/HO/D/HLGRP HEALTH/E/23920/02/2024</t>
  </si>
  <si>
    <t>050000710365</t>
  </si>
  <si>
    <t>KHI/HO/D/HLGRP HEALTH/E/23897/02/2024</t>
  </si>
  <si>
    <t>050000710158</t>
  </si>
  <si>
    <t>040000158278</t>
  </si>
  <si>
    <t>040000156317</t>
  </si>
  <si>
    <t>040000156320</t>
  </si>
  <si>
    <t>KHI/HO/D/HLGRP HEALTH/E/23876/02/2024</t>
  </si>
  <si>
    <t>050000709766</t>
  </si>
  <si>
    <t>KHI/HO/D/HLGRP HEALTH/E/23889/02/2024</t>
  </si>
  <si>
    <t>050000709831</t>
  </si>
  <si>
    <t>040000156939</t>
  </si>
  <si>
    <t>040000158901</t>
  </si>
  <si>
    <t>040000159313</t>
  </si>
  <si>
    <t>040000155150</t>
  </si>
  <si>
    <t>040000159307</t>
  </si>
  <si>
    <t>040000157552</t>
  </si>
  <si>
    <t>KHI/AR/AR/D/MO/MC TTT/E/33467/10/2023</t>
  </si>
  <si>
    <t>050000666002</t>
  </si>
  <si>
    <t>KHI/AR/AR/D/MO/MC TTT/E/33468/10/2023</t>
  </si>
  <si>
    <t>050000666003</t>
  </si>
  <si>
    <t>040000156777</t>
  </si>
  <si>
    <t>040000154808</t>
  </si>
  <si>
    <t>040000154087</t>
  </si>
  <si>
    <t>040000157115</t>
  </si>
  <si>
    <t>040000154958</t>
  </si>
  <si>
    <t>KHI/HO/D/MO/PD COMP/E/33522/10/2023</t>
  </si>
  <si>
    <t>050000668562</t>
  </si>
  <si>
    <t>040000156575</t>
  </si>
  <si>
    <t>040000156311</t>
  </si>
  <si>
    <t>040000156312</t>
  </si>
  <si>
    <t>040000156314</t>
  </si>
  <si>
    <t>040000156315</t>
  </si>
  <si>
    <t>040000156316</t>
  </si>
  <si>
    <t>040000156318</t>
  </si>
  <si>
    <t>040000156319</t>
  </si>
  <si>
    <t>040000156321</t>
  </si>
  <si>
    <t>KHI/AR/AR/D/MO/MC TTT/E/33471/10/2023</t>
  </si>
  <si>
    <t>050000666007</t>
  </si>
  <si>
    <t>040000157334</t>
  </si>
  <si>
    <t>KHI/HO/D/MO/MC COMP/P/83876/02/2024</t>
  </si>
  <si>
    <t>040000166291</t>
  </si>
  <si>
    <t>KHI/HO/D/MO/MC COMP/P/83879/02/2024</t>
  </si>
  <si>
    <t>040000166294</t>
  </si>
  <si>
    <t>KHI/HO/D/MO/MC COMP/P/83880/02/2024</t>
  </si>
  <si>
    <t>040000166295</t>
  </si>
  <si>
    <t>040000154928</t>
  </si>
  <si>
    <t>040000154929</t>
  </si>
  <si>
    <t>040000155450</t>
  </si>
  <si>
    <t>KHI/HO/D/MO/MC COMP/P/83987/02/2024</t>
  </si>
  <si>
    <t>040000166426</t>
  </si>
  <si>
    <t>KHI/HO/D/MO/MC COMP/P/83988/02/2024</t>
  </si>
  <si>
    <t>040000166427</t>
  </si>
  <si>
    <t>KHI/HO/D/MO/MC COMP/P/83896/02/2024</t>
  </si>
  <si>
    <t>040000166311</t>
  </si>
  <si>
    <t>KHI/AR/AR/D/MO/MC TTT/P/83976/02/2024</t>
  </si>
  <si>
    <t>040000166414</t>
  </si>
  <si>
    <t>LHR/LHR/D/MO/PC COMP/P/83984/02/2024</t>
  </si>
  <si>
    <t>040000166423</t>
  </si>
  <si>
    <t>040000156809</t>
  </si>
  <si>
    <t>040000156810</t>
  </si>
  <si>
    <t>040000156812</t>
  </si>
  <si>
    <t>KHI/HO/D/MO/PC COMP/P/83910/02/2024</t>
  </si>
  <si>
    <t>040000166327</t>
  </si>
  <si>
    <t>KHI/HO/D/HLGRP HEALTH/E/23933/02/2024</t>
  </si>
  <si>
    <t>050000711006</t>
  </si>
  <si>
    <t>040000156709</t>
  </si>
  <si>
    <t>KHI/HO/D/HLGRP HEALTH/E/23891/02/2024</t>
  </si>
  <si>
    <t>050000709835</t>
  </si>
  <si>
    <t>040000158756</t>
  </si>
  <si>
    <t>040000157446</t>
  </si>
  <si>
    <t>KHI/HO/D/MO/PC TPP/P/83920/02/2024</t>
  </si>
  <si>
    <t>040000166342</t>
  </si>
  <si>
    <t>KHI/HO/D/MO/PD COMP/P/83917/02/2024</t>
  </si>
  <si>
    <t>040000166337</t>
  </si>
  <si>
    <t>040000157438</t>
  </si>
  <si>
    <t>KHI/HO/D/MO/PC TPP/P/83918/02/2024</t>
  </si>
  <si>
    <t>040000166338</t>
  </si>
  <si>
    <t>KHI/AR/AR/D/MO/MC COMP/P/83974/02/2024</t>
  </si>
  <si>
    <t>040000166412</t>
  </si>
  <si>
    <t>LHR/LHR/D/MO/PC COMP/P/83958/02/2024</t>
  </si>
  <si>
    <t>040000166393</t>
  </si>
  <si>
    <t>040000158960</t>
  </si>
  <si>
    <t>040000157515</t>
  </si>
  <si>
    <t>040000157655</t>
  </si>
  <si>
    <t>KHI/HO/D/HLGRP HEALTH/E/23946/02/2024</t>
  </si>
  <si>
    <t>050000711020</t>
  </si>
  <si>
    <t>KHI/HO/D/HLGRP HEALTH/E/23947/02/2024</t>
  </si>
  <si>
    <t>050000711021</t>
  </si>
  <si>
    <t>040000157989</t>
  </si>
  <si>
    <t>KHI/HO/D/HLGRP HEALTH/E/23985/02/2024</t>
  </si>
  <si>
    <t>050000712314</t>
  </si>
  <si>
    <t>LHR/LHR/F/MO/PC COMP/P/83947/02/2024</t>
  </si>
  <si>
    <t>040000166376</t>
  </si>
  <si>
    <t>040000155331</t>
  </si>
  <si>
    <t>KHI/HO/D/MO/PC TPP/P/83933/02/2024</t>
  </si>
  <si>
    <t>040000166357</t>
  </si>
  <si>
    <t>KHI/HO/D/MO/PC TPP/P/83930/02/2024</t>
  </si>
  <si>
    <t>040000166354</t>
  </si>
  <si>
    <t>KHI/HO/D/MO/PD COMP/E/33440/10/2023</t>
  </si>
  <si>
    <t>050000665968</t>
  </si>
  <si>
    <t>040000158166</t>
  </si>
  <si>
    <t>LHR/LHR/D/MO/PC COMP/E/33518/10/2023</t>
  </si>
  <si>
    <t>050000668558</t>
  </si>
  <si>
    <t>040000157511</t>
  </si>
  <si>
    <t>KHI/HO/D/HLGRP HEALTH/E/23965/02/2024</t>
  </si>
  <si>
    <t>050000711558</t>
  </si>
  <si>
    <t>KHI/HO/D/MO/PD COMP/E/33523/10/2023</t>
  </si>
  <si>
    <t>050000668563</t>
  </si>
  <si>
    <t>040000156463</t>
  </si>
  <si>
    <t>040000156333</t>
  </si>
  <si>
    <t>040000159403</t>
  </si>
  <si>
    <t>040000154667</t>
  </si>
  <si>
    <t>040000156923</t>
  </si>
  <si>
    <t>040000157946</t>
  </si>
  <si>
    <t>040000157579</t>
  </si>
  <si>
    <t>KHI/HO/D/MO/PC COMP/P/83905/02/2024</t>
  </si>
  <si>
    <t>040000166321</t>
  </si>
  <si>
    <t>KHI/HO/D/HLGRP HEALTH/E/23905/02/2024</t>
  </si>
  <si>
    <t>050000710239</t>
  </si>
  <si>
    <t>KHI/HO/D/HLGRP HEALTH/E/23919/02/2024</t>
  </si>
  <si>
    <t>050000710364</t>
  </si>
  <si>
    <t>040000157689</t>
  </si>
  <si>
    <t>KHI/HO/D/MO/PD COMP/E/33527/10/2023</t>
  </si>
  <si>
    <t>050000668567</t>
  </si>
  <si>
    <t>KHI/HO/D/MO/PD COMP/E/33528/10/2023</t>
  </si>
  <si>
    <t>050000668568</t>
  </si>
  <si>
    <t>040000157140</t>
  </si>
  <si>
    <t>040000157940</t>
  </si>
  <si>
    <t>KHI/HO/D/MO/PD COMP/E/33525/10/2023</t>
  </si>
  <si>
    <t>050000668565</t>
  </si>
  <si>
    <t>040000159510</t>
  </si>
  <si>
    <t>KHI/HO/D/MO/PD COMP/E/33482/10/2023</t>
  </si>
  <si>
    <t>050000668308</t>
  </si>
  <si>
    <t>LHR/LHR/D/HLGRP HEALTH/E/23976/02/2024</t>
  </si>
  <si>
    <t>050000711720</t>
  </si>
  <si>
    <t>KHI/HO/D/HLGRP HEALTH/E/23984/02/2024</t>
  </si>
  <si>
    <t>050000711731</t>
  </si>
  <si>
    <t>LHR/LHR/D/HLGRP HEALTH/E/23896/02/2024</t>
  </si>
  <si>
    <t>050000710157</t>
  </si>
  <si>
    <t>040000157585</t>
  </si>
  <si>
    <t>KHI/HO/D/MO/PD COMP/E/33485/10/2023</t>
  </si>
  <si>
    <t>050000668315</t>
  </si>
  <si>
    <t>040000159069</t>
  </si>
  <si>
    <t>KHI/HO/D/MO/PD COMP/E/33490/10/2023</t>
  </si>
  <si>
    <t>050000668320</t>
  </si>
  <si>
    <t>KHI/HO/D/MO/PD COMP/E/33491/10/2023</t>
  </si>
  <si>
    <t>050000668321</t>
  </si>
  <si>
    <t>KHI/HO/D/MO/PD COMP/E/33492/10/2023</t>
  </si>
  <si>
    <t>050000668322</t>
  </si>
  <si>
    <t>KHI/HO/D/MO/PD COMP/E/33495/10/2023</t>
  </si>
  <si>
    <t>050000668325</t>
  </si>
  <si>
    <t>KHI/HO/D/MO/PD COMP/E/33484/10/2023</t>
  </si>
  <si>
    <t>050000668314</t>
  </si>
  <si>
    <t>KHI/HO/D/MO/PD COMP/E/33486/10/2023</t>
  </si>
  <si>
    <t>050000668316</t>
  </si>
  <si>
    <t>040000159068</t>
  </si>
  <si>
    <t>KHI/HO/D/MO/PD COMP/E/33488/10/2023</t>
  </si>
  <si>
    <t>050000668318</t>
  </si>
  <si>
    <t>KHI/HO/D/HLGRP HEALTH/E/23901/02/2024</t>
  </si>
  <si>
    <t>050000710234</t>
  </si>
  <si>
    <t>KHI/HO/D/HLGRP HEALTH/E/23911/02/2024</t>
  </si>
  <si>
    <t>050000710333</t>
  </si>
  <si>
    <t>040000158786</t>
  </si>
  <si>
    <t>KHI/HO/D/HLGRP HEALTH/E/23980/02/2024</t>
  </si>
  <si>
    <t>050000711724</t>
  </si>
  <si>
    <t>KHI/HO/D/HLGRP HEALTH/E/23983/02/2024</t>
  </si>
  <si>
    <t>050000711729</t>
  </si>
  <si>
    <t>KHI/HO/D/HLGRP HEALTH/E/23916/02/2024</t>
  </si>
  <si>
    <t>050000710357</t>
  </si>
  <si>
    <t>040000157592</t>
  </si>
  <si>
    <t>KHI/HO/D/MO/PD COMP/E/33437/10/2023</t>
  </si>
  <si>
    <t>050000665965</t>
  </si>
  <si>
    <t>040000155109</t>
  </si>
  <si>
    <t>040000159316</t>
  </si>
  <si>
    <t>KHI/HO/D/HLGRP HEALTH/E/23930/02/2024</t>
  </si>
  <si>
    <t>050000710504</t>
  </si>
  <si>
    <t>040000157073</t>
  </si>
  <si>
    <t>040000159139</t>
  </si>
  <si>
    <t>040000157951</t>
  </si>
  <si>
    <t>040000157952</t>
  </si>
  <si>
    <t>KHI/HO/D/HLGRP HEALTH/E/23988/02/2024</t>
  </si>
  <si>
    <t>050000712344</t>
  </si>
  <si>
    <t>KHI/HO/D/HLGRP HEALTH/E/23994/02/2024</t>
  </si>
  <si>
    <t>050000712393</t>
  </si>
  <si>
    <t>040000157465</t>
  </si>
  <si>
    <t>040000157625</t>
  </si>
  <si>
    <t>040000158080</t>
  </si>
  <si>
    <t>KHI/HO/D/MO/MC TTT/E/33496/10/2023</t>
  </si>
  <si>
    <t>050000668327</t>
  </si>
  <si>
    <t>040000156563</t>
  </si>
  <si>
    <t>040000150015</t>
  </si>
  <si>
    <t>KHI/HO/D/MO/PC COMP/R/63364/09/2023</t>
  </si>
  <si>
    <t>080000146740</t>
  </si>
  <si>
    <t>040000153605</t>
  </si>
  <si>
    <t>040000153607</t>
  </si>
  <si>
    <t>040000154766</t>
  </si>
  <si>
    <t>040000152417</t>
  </si>
  <si>
    <t>040000153400</t>
  </si>
  <si>
    <t>KHI/HO/D/MO/PD COMP/E/33411/10/2023</t>
  </si>
  <si>
    <t>050000665936</t>
  </si>
  <si>
    <t>KHI/HO/D/MO/PD COMP/E/33425/10/2023</t>
  </si>
  <si>
    <t>050000665951</t>
  </si>
  <si>
    <t>KHI/HO/D/MO/PD COMP/E/33426/10/2023</t>
  </si>
  <si>
    <t>050000665952</t>
  </si>
  <si>
    <t>KHI/HO/D/MO/PD COMP/E/33427/10/2023</t>
  </si>
  <si>
    <t>050000665953</t>
  </si>
  <si>
    <t>KHI/AR/AR/D/MO/MC TTT/E/33472/10/2023</t>
  </si>
  <si>
    <t>050000666008</t>
  </si>
  <si>
    <t>040000152118</t>
  </si>
  <si>
    <t>040000155267</t>
  </si>
  <si>
    <t>040000154538</t>
  </si>
  <si>
    <t>040000155247</t>
  </si>
  <si>
    <t>KHI/HO/D/MO/PD COMP/E/33517/10/2023</t>
  </si>
  <si>
    <t>050000668555</t>
  </si>
  <si>
    <t>KHI/HO/D/MO/PD COMP/E/33520/10/2023</t>
  </si>
  <si>
    <t>050000668560</t>
  </si>
  <si>
    <t>KHI/HO/D/MO/PD COMP/E/33521/10/2023</t>
  </si>
  <si>
    <t>050000668561</t>
  </si>
  <si>
    <t>KHI/HO/D/MO/PD COMP/E/33524/10/2023</t>
  </si>
  <si>
    <t>050000668564</t>
  </si>
  <si>
    <t>KHI/HO/D/MO/PD COMP/E/33526/10/2023</t>
  </si>
  <si>
    <t>050000668566</t>
  </si>
  <si>
    <t>KHI/HO/D/MO/PD COMP/E/33529/10/2023</t>
  </si>
  <si>
    <t>050000668569</t>
  </si>
  <si>
    <t>040000154914</t>
  </si>
  <si>
    <t>040000165977</t>
  </si>
  <si>
    <t>040000165979</t>
  </si>
  <si>
    <t>040000165985</t>
  </si>
  <si>
    <t>040000154772</t>
  </si>
  <si>
    <t>040000155245</t>
  </si>
  <si>
    <t>040000156793</t>
  </si>
  <si>
    <t>040000156583</t>
  </si>
  <si>
    <t>KHI/AR/AR/D/MO/MC TTT/E/33466/10/2023</t>
  </si>
  <si>
    <t>050000666001</t>
  </si>
  <si>
    <t>KHI/AR/AR/D/MO/MC TTT/E/33469/10/2023</t>
  </si>
  <si>
    <t>050000666004</t>
  </si>
  <si>
    <t>KHI/AR/AR/D/MO/MC TTT/E/33470/10/2023</t>
  </si>
  <si>
    <t>050000666005</t>
  </si>
  <si>
    <t>040000155159</t>
  </si>
  <si>
    <t>040000165848</t>
  </si>
  <si>
    <t>040000165955</t>
  </si>
  <si>
    <t>040000165959</t>
  </si>
  <si>
    <t>040000165931</t>
  </si>
  <si>
    <t>040000165933</t>
  </si>
  <si>
    <t>040000165951</t>
  </si>
  <si>
    <t>040000165967</t>
  </si>
  <si>
    <t>040000165971</t>
  </si>
  <si>
    <t>040000165882</t>
  </si>
  <si>
    <t>040000165892</t>
  </si>
  <si>
    <t>040000165900</t>
  </si>
  <si>
    <t>040000165852</t>
  </si>
  <si>
    <t>040000165855</t>
  </si>
  <si>
    <t>040000165902</t>
  </si>
  <si>
    <t>040000165906</t>
  </si>
  <si>
    <t>040000166031</t>
  </si>
  <si>
    <t>040000165844</t>
  </si>
  <si>
    <t>040000165846</t>
  </si>
  <si>
    <t>040000165864</t>
  </si>
  <si>
    <t>040000166004</t>
  </si>
  <si>
    <t>040000166012</t>
  </si>
  <si>
    <t>040000166016</t>
  </si>
  <si>
    <t>040000166028</t>
  </si>
  <si>
    <t>040000165856</t>
  </si>
  <si>
    <t>040000165858</t>
  </si>
  <si>
    <t>KHI/HO/D/MO/PD COMP/E/33438/10/2023</t>
  </si>
  <si>
    <t>050000665966</t>
  </si>
  <si>
    <t>040000154912</t>
  </si>
  <si>
    <t>KHI/HO/D/MO/PD COMP/E/33439/10/2023</t>
  </si>
  <si>
    <t>050000665967</t>
  </si>
  <si>
    <t>KHI/HO/D/MO/PD COMP/E/33442/10/2023</t>
  </si>
  <si>
    <t>050000665970</t>
  </si>
  <si>
    <t>KHI/HO/D/MO/PD COMP/E/33449/10/2023</t>
  </si>
  <si>
    <t>050000665977</t>
  </si>
  <si>
    <t>040000157494</t>
  </si>
  <si>
    <t>KHI/AR/AR/D/MO/MC TTT/E/33465/10/2023</t>
  </si>
  <si>
    <t>050000665998</t>
  </si>
  <si>
    <t>KHI/HO/D/MO/PC COMP/E/33497/10/2023</t>
  </si>
  <si>
    <t>050000668332</t>
  </si>
  <si>
    <t>040000157461</t>
  </si>
  <si>
    <t>040000157462</t>
  </si>
  <si>
    <t>040000157598</t>
  </si>
  <si>
    <t>040000157410</t>
  </si>
  <si>
    <t>040000158178</t>
  </si>
  <si>
    <t>040000158550</t>
  </si>
  <si>
    <t>040000156787</t>
  </si>
  <si>
    <t>040000155004</t>
  </si>
  <si>
    <t>KHI/HO/D/MO/PD COMP/E/33429/10/2023</t>
  </si>
  <si>
    <t>050000665957</t>
  </si>
  <si>
    <t>LHR/LHR/D/MO/PC COMP/P/83906/02/2024</t>
  </si>
  <si>
    <t>040000166322</t>
  </si>
  <si>
    <t>040000157516</t>
  </si>
  <si>
    <t>KHI/AR/AR/D/MO/MC TTT/P/83907/02/2024</t>
  </si>
  <si>
    <t>040000166323</t>
  </si>
  <si>
    <t>040000155162</t>
  </si>
  <si>
    <t>040000155163</t>
  </si>
  <si>
    <t>KHI/HO/D/HLGRP HEALTH/E/23890/02/2024</t>
  </si>
  <si>
    <t>050000709833</t>
  </si>
  <si>
    <t>LHR/LHR/F/MO/PC COMP/P/83946/02/2024</t>
  </si>
  <si>
    <t>040000166375</t>
  </si>
  <si>
    <t>KHI/HO/D/HLGRP HEALTH/E/23893/02/2024</t>
  </si>
  <si>
    <t>050000709851</t>
  </si>
  <si>
    <t>040000158452</t>
  </si>
  <si>
    <t>KHI/HO/D/MO/MC COMP/P/83972/02/2024</t>
  </si>
  <si>
    <t>040000166410</t>
  </si>
  <si>
    <t>KHI/HO/D/HLGRP HEALTH/E/23918/02/2024</t>
  </si>
  <si>
    <t>050000710360</t>
  </si>
  <si>
    <t>KHI/HO/D/MO/MC COMP/P/83893/02/2024</t>
  </si>
  <si>
    <t>040000166308</t>
  </si>
  <si>
    <t>KHI/HO/D/HLGRP HEALTH/E/23906/02/2024</t>
  </si>
  <si>
    <t>050000710240</t>
  </si>
  <si>
    <t>040000159153</t>
  </si>
  <si>
    <t>KHI/HO/D/MO/MC COMP/P/83888/02/2024</t>
  </si>
  <si>
    <t>040000166303</t>
  </si>
  <si>
    <t>KHI/HO/D/MO/MC COMP/P/83889/02/2024</t>
  </si>
  <si>
    <t>040000166304</t>
  </si>
  <si>
    <t>KHI/HO/D/MO/MC COMP/P/83890/02/2024</t>
  </si>
  <si>
    <t>040000166305</t>
  </si>
  <si>
    <t>MUL/MUL/D/MO/PC COMP/P/83951/02/2024</t>
  </si>
  <si>
    <t>040000166385</t>
  </si>
  <si>
    <t>LHR/LHR/D/HLGRP HEALTH/E/23913/02/2024</t>
  </si>
  <si>
    <t>050000710336</t>
  </si>
  <si>
    <t>KHI/HO/D/HLGRP HEALTH/E/23888/02/2024</t>
  </si>
  <si>
    <t>050000709797</t>
  </si>
  <si>
    <t>KHI/HO/D/MO/MC COMP/P/83913/02/2024</t>
  </si>
  <si>
    <t>040000166331</t>
  </si>
  <si>
    <t>KHI/AR/AR/D/MO/MC TTT/P/83983/02/2024</t>
  </si>
  <si>
    <t>040000166422</t>
  </si>
  <si>
    <t>KHI/HO/D/MO/MC COMP/P/83884/02/2024</t>
  </si>
  <si>
    <t>040000166299</t>
  </si>
  <si>
    <t>KHI/HO/D/HLGRP HEALTH/E/23986/02/2024</t>
  </si>
  <si>
    <t>050000712319</t>
  </si>
  <si>
    <t>KHI/HO/D/HLGRP HEALTH/E/23932/02/2024</t>
  </si>
  <si>
    <t>050000710512</t>
  </si>
  <si>
    <t>KHI/HO/D/HLGRP HEALTH/E/23957/02/2024</t>
  </si>
  <si>
    <t>050000711531</t>
  </si>
  <si>
    <t>KHI/HO/D/HLGRP HEALTH/E/23887/02/2024</t>
  </si>
  <si>
    <t>050000709791</t>
  </si>
  <si>
    <t>KHI/HO/D/MO/MC COMP/P/83959/02/2024</t>
  </si>
  <si>
    <t>040000166395</t>
  </si>
  <si>
    <t>KHI/HO/D/MO/MC COMP/P/83960/02/2024</t>
  </si>
  <si>
    <t>040000166396</t>
  </si>
  <si>
    <t>KHI/HO/D/MO/MC COMP/P/83961/02/2024</t>
  </si>
  <si>
    <t>040000166397</t>
  </si>
  <si>
    <t>KHI/HO/D/MO/MC COMP/P/83969/02/2024</t>
  </si>
  <si>
    <t>040000166407</t>
  </si>
  <si>
    <t>KHI/HO/D/HLGRP HEALTH/E/23878/02/2024</t>
  </si>
  <si>
    <t>050000709782</t>
  </si>
  <si>
    <t>KHI/HO/D/MO/MC COMP/P/83891/02/2024</t>
  </si>
  <si>
    <t>040000166306</t>
  </si>
  <si>
    <t>KHI/HO/D/MO/PC COMP/P/83992/02/2024</t>
  </si>
  <si>
    <t>040000166431</t>
  </si>
  <si>
    <t>LHR/LHR/D/MO/PC COMP/P/83911/02/2024</t>
  </si>
  <si>
    <t>040000166328</t>
  </si>
  <si>
    <t>LHR/LHR/F/MO/PC COMP/P/83916/02/2024</t>
  </si>
  <si>
    <t>040000166335</t>
  </si>
  <si>
    <t>KHI/HO/D/HLGRP HEALTH/E/23992/02/2024</t>
  </si>
  <si>
    <t>050000712378</t>
  </si>
  <si>
    <t>KHI/HO/D/HLGRP HEALTH/E/23917/02/2024</t>
  </si>
  <si>
    <t>050000710359</t>
  </si>
  <si>
    <t>040000165904</t>
  </si>
  <si>
    <t>040000165908</t>
  </si>
  <si>
    <t>KHI/HO/D/HLGRP HEALTH/E/23987/02/2024</t>
  </si>
  <si>
    <t>050000712323</t>
  </si>
  <si>
    <t>040000165893</t>
  </si>
  <si>
    <t>040000165905</t>
  </si>
  <si>
    <t>040000165907</t>
  </si>
  <si>
    <t>040000166020</t>
  </si>
  <si>
    <t>040000165968</t>
  </si>
  <si>
    <t>040000165974</t>
  </si>
  <si>
    <t>040000165992</t>
  </si>
  <si>
    <t>040000165847</t>
  </si>
  <si>
    <t>040000165849</t>
  </si>
  <si>
    <t>KHI/HO/D/MO/MC COMP/P/83931/02/2024</t>
  </si>
  <si>
    <t>040000166355</t>
  </si>
  <si>
    <t>040000165926</t>
  </si>
  <si>
    <t>040000165930</t>
  </si>
  <si>
    <t>040000165934</t>
  </si>
  <si>
    <t>040000165950</t>
  </si>
  <si>
    <t>040000165954</t>
  </si>
  <si>
    <t>040000165956</t>
  </si>
  <si>
    <t>040000165958</t>
  </si>
  <si>
    <t>040000165972</t>
  </si>
  <si>
    <t>040000165966</t>
  </si>
  <si>
    <t>040000165970</t>
  </si>
  <si>
    <t>040000165984</t>
  </si>
  <si>
    <t>040000165988</t>
  </si>
  <si>
    <t>040000165861</t>
  </si>
  <si>
    <t>040000165873</t>
  </si>
  <si>
    <t>040000165891</t>
  </si>
  <si>
    <t>040000165899</t>
  </si>
  <si>
    <t>040000165903</t>
  </si>
  <si>
    <t>040000166013</t>
  </si>
  <si>
    <t>040000166018</t>
  </si>
  <si>
    <t>040000165854</t>
  </si>
  <si>
    <t>040000165857</t>
  </si>
  <si>
    <t>040000165859</t>
  </si>
  <si>
    <t>040000165865</t>
  </si>
  <si>
    <t>040000165872</t>
  </si>
  <si>
    <t>040000165881</t>
  </si>
  <si>
    <t>040000165886</t>
  </si>
  <si>
    <t>040000165883</t>
  </si>
  <si>
    <t>040000165887</t>
  </si>
  <si>
    <t>040000166027</t>
  </si>
  <si>
    <t>040000165996</t>
  </si>
  <si>
    <t>040000166010</t>
  </si>
  <si>
    <t>040000166015</t>
  </si>
  <si>
    <t>040000166017</t>
  </si>
  <si>
    <t>040000165928</t>
  </si>
  <si>
    <t>040000165932</t>
  </si>
  <si>
    <t>040000165890</t>
  </si>
  <si>
    <t>040000166032</t>
  </si>
  <si>
    <t>KHI/HO/D/HLGRP HEALTH/E/23948/02/2024</t>
  </si>
  <si>
    <t>050000711022</t>
  </si>
  <si>
    <t>KHI/HO/D/HLGRP HEALTH/E/23953/02/2024</t>
  </si>
  <si>
    <t>050000711027</t>
  </si>
  <si>
    <t>KHI/HO/D/MO/CV/P/83957/02/2024</t>
  </si>
  <si>
    <t>040000166391</t>
  </si>
  <si>
    <t>LHR/LHR/F/MO/PC COMP/P/83929/02/2024</t>
  </si>
  <si>
    <t>040000166353</t>
  </si>
  <si>
    <t>KHI/HO/D/HLGRP HEALTH/E/23963/02/2024</t>
  </si>
  <si>
    <t>050000711556</t>
  </si>
  <si>
    <t>KHI/HO/D/MO/MC COMP/P/83897/02/2024</t>
  </si>
  <si>
    <t>040000166312</t>
  </si>
  <si>
    <t>KHI/HO/D/MO/MC COMP/P/83886/02/2024</t>
  </si>
  <si>
    <t>040000166301</t>
  </si>
  <si>
    <t>KHI/HO/D/MO/MC COMP/P/83887/02/2024</t>
  </si>
  <si>
    <t>040000166302</t>
  </si>
  <si>
    <t>KHI/HO/D/MO/PC COMP/P/83948/02/2024</t>
  </si>
  <si>
    <t>040000166380</t>
  </si>
  <si>
    <t>KHI/HO/D/MO/MC COMP/P/83965/02/2024</t>
  </si>
  <si>
    <t>040000166402</t>
  </si>
  <si>
    <t>KHI/HO/D/MO/MC COMP/P/83985/02/2024</t>
  </si>
  <si>
    <t>040000166424</t>
  </si>
  <si>
    <t>KHI/HO/D/MO/MC COMP/P/83986/02/2024</t>
  </si>
  <si>
    <t>040000166425</t>
  </si>
  <si>
    <t>KHI/HO/D/HLGRP HEALTH/E/23907/02/2024</t>
  </si>
  <si>
    <t>050000710241</t>
  </si>
  <si>
    <t>KHI/HO/D/HLGRP HEALTH/E/23908/02/2024</t>
  </si>
  <si>
    <t>050000710242</t>
  </si>
  <si>
    <t>KHI/HO/D/HLGRP HEALTH/E/23910/02/2024</t>
  </si>
  <si>
    <t>050000710330</t>
  </si>
  <si>
    <t>KHI/HO/D/HLGRP HEALTH/E/23974/02/2024</t>
  </si>
  <si>
    <t>050000711687</t>
  </si>
  <si>
    <t>KHI/HO/D/HLGRP HEALTH/E/23929/02/2024</t>
  </si>
  <si>
    <t>050000710500</t>
  </si>
  <si>
    <t>KHI/HO/D/HLGRP HEALTH/E/23931/02/2024</t>
  </si>
  <si>
    <t>050000710505</t>
  </si>
  <si>
    <t>LHR/LHR/D/MO/PC COMP/P/83901/02/2024</t>
  </si>
  <si>
    <t>040000166317</t>
  </si>
  <si>
    <t>LHR/LHR/D/MO/PC TPP/P/83963/02/2024</t>
  </si>
  <si>
    <t>040000166400</t>
  </si>
  <si>
    <t>KHI/HO/D/MO/MC COMP/P/83953/02/2024</t>
  </si>
  <si>
    <t>040000166387</t>
  </si>
  <si>
    <t>040000166014</t>
  </si>
  <si>
    <t>040000166019</t>
  </si>
  <si>
    <t>KHI/HO/D/HLGRP HEALTH/E/23879/02/2024</t>
  </si>
  <si>
    <t>050000709783</t>
  </si>
  <si>
    <t>KHI/HO/D/HLGRP HEALTH/E/23880/02/2024</t>
  </si>
  <si>
    <t>050000709784</t>
  </si>
  <si>
    <t>KHI/HO/D/HLGRP HEALTH/E/23881/02/2024</t>
  </si>
  <si>
    <t>050000709785</t>
  </si>
  <si>
    <t>KHI/HO/D/HLGRP HEALTH/E/23884/02/2024</t>
  </si>
  <si>
    <t>050000709788</t>
  </si>
  <si>
    <t>KHI/HO/D/HLGRP HEALTH/E/23886/02/2024</t>
  </si>
  <si>
    <t>050000709790</t>
  </si>
  <si>
    <t>040000165927</t>
  </si>
  <si>
    <t>040000165929</t>
  </si>
  <si>
    <t>LHR/LHR/D/MO/PC TPP/P/83967/02/2024</t>
  </si>
  <si>
    <t>040000166405</t>
  </si>
  <si>
    <t>040000165949</t>
  </si>
  <si>
    <t>040000165957</t>
  </si>
  <si>
    <t>040000165969</t>
  </si>
  <si>
    <t>040000165973</t>
  </si>
  <si>
    <t>040000165975</t>
  </si>
  <si>
    <t>040000165981</t>
  </si>
  <si>
    <t>040000165983</t>
  </si>
  <si>
    <t>040000165993</t>
  </si>
  <si>
    <t>040000165997</t>
  </si>
  <si>
    <t>040000166011</t>
  </si>
  <si>
    <t>KHI/HO/D/HLGRP HEALTH/E/23961/02/2024</t>
  </si>
  <si>
    <t>050000711553</t>
  </si>
  <si>
    <t>KHI/HO/D/HLGRP HEALTH/E/23967/02/2024</t>
  </si>
  <si>
    <t>050000711560</t>
  </si>
  <si>
    <t>KHI/HO/D/HLGRP HEALTH/E/23959/02/2024</t>
  </si>
  <si>
    <t>050000711537</t>
  </si>
  <si>
    <t>KHI/HO/D/HLGRP HEALTH/E/23960/02/2024</t>
  </si>
  <si>
    <t>050000711538</t>
  </si>
  <si>
    <t>LHR/LHR/F/MO/PC COMP/P/83919/02/2024</t>
  </si>
  <si>
    <t>040000166341</t>
  </si>
  <si>
    <t>KHI/HO/D/HLGRP HEALTH/E/23969/02/2024</t>
  </si>
  <si>
    <t>050000711562</t>
  </si>
  <si>
    <t>KHI/HO/D/HLGRP HEALTH/E/23970/02/2024</t>
  </si>
  <si>
    <t>050000711563</t>
  </si>
  <si>
    <t>KHI/AR/AR/D/MO/MC TTT/P/83970/02/2024</t>
  </si>
  <si>
    <t>040000166408</t>
  </si>
  <si>
    <t>LHR/LHR/D/MO/PC TPP/P/83881/02/2024</t>
  </si>
  <si>
    <t>040000166296</t>
  </si>
  <si>
    <t>KHI/HO/D/MO/PD COMP/E/33422/10/2023</t>
  </si>
  <si>
    <t>050000665948</t>
  </si>
  <si>
    <t>040000155308</t>
  </si>
  <si>
    <t>040000155370</t>
  </si>
  <si>
    <t>040000165989</t>
  </si>
  <si>
    <t>040000159085</t>
  </si>
  <si>
    <t>040000155089</t>
  </si>
  <si>
    <t>040000155388</t>
  </si>
  <si>
    <t>040000158395</t>
  </si>
  <si>
    <t>040000165895</t>
  </si>
  <si>
    <t>040000158455</t>
  </si>
  <si>
    <t>040000156657</t>
  </si>
  <si>
    <t>040000165925</t>
  </si>
  <si>
    <t>040000165901</t>
  </si>
  <si>
    <t>040000165885</t>
  </si>
  <si>
    <t>040000165880</t>
  </si>
  <si>
    <t>040000165884</t>
  </si>
  <si>
    <t>040000166005</t>
  </si>
  <si>
    <t>KHI/HO/D/HLGRP HEALTH/E/23952/02/2024</t>
  </si>
  <si>
    <t>050000711026</t>
  </si>
  <si>
    <t>KHI/HO/D/MO/PD COMP/E/33494/10/2023</t>
  </si>
  <si>
    <t>050000668324</t>
  </si>
  <si>
    <t>KHI/HO/D/HLGRP HEALTH/E/23951/02/2024</t>
  </si>
  <si>
    <t>050000711025</t>
  </si>
  <si>
    <t>POLICY NO.</t>
  </si>
  <si>
    <t>Assorted_code</t>
  </si>
  <si>
    <t>Premium</t>
  </si>
  <si>
    <t>15Nov240016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</si>
</sst>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 dd\-mmm\-yyyy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3" fontId="0" fillId="0" borderId="1" xfId="0" applyNumberFormat="1" applyBorder="1" applyAlignment="1">
      <alignment vertical="top"/>
    </xf>
    <xf numFmtId="4" fontId="0" fillId="3" borderId="0" xfId="0" applyNumberFormat="1" applyFill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top"/>
    </xf>
    <xf numFmtId="165" fontId="5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6" fillId="0" borderId="0" xfId="0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6"/>
  <sheetViews>
    <sheetView topLeftCell="J166" workbookViewId="0">
      <selection activeCell="N2" sqref="N2:N185"/>
    </sheetView>
  </sheetViews>
  <sheetFormatPr defaultRowHeight="15" x14ac:dyDescent="0.25"/>
  <cols>
    <col min="1" max="1" width="31.85546875" bestFit="1" customWidth="1"/>
    <col min="2" max="2" width="7.42578125" bestFit="1" customWidth="1"/>
    <col min="3" max="3" width="16.140625" bestFit="1" customWidth="1"/>
    <col min="4" max="5" width="12.42578125" bestFit="1" customWidth="1"/>
    <col min="6" max="6" width="12.5703125" bestFit="1" customWidth="1"/>
    <col min="7" max="7" width="13.140625" bestFit="1" customWidth="1"/>
    <col min="8" max="8" width="44.28515625" bestFit="1" customWidth="1"/>
    <col min="9" max="9" width="11.85546875" bestFit="1" customWidth="1"/>
    <col min="10" max="10" width="5.42578125" bestFit="1" customWidth="1"/>
    <col min="11" max="11" width="32.140625" bestFit="1" customWidth="1"/>
    <col min="12" max="12" width="14.85546875" bestFit="1" customWidth="1"/>
    <col min="13" max="13" width="11.5703125" bestFit="1" customWidth="1"/>
    <col min="14" max="14" width="13.140625" customWidth="1"/>
    <col min="15" max="15" width="11.28515625" bestFit="1" customWidth="1"/>
    <col min="16" max="16" width="13.85546875" bestFit="1" customWidth="1"/>
    <col min="17" max="17" width="9.85546875" bestFit="1" customWidth="1"/>
    <col min="18" max="18" width="15.42578125" bestFit="1" customWidth="1"/>
    <col min="19" max="19" width="18.28515625" bestFit="1" customWidth="1"/>
    <col min="20" max="20" width="16.28515625" bestFit="1" customWidth="1"/>
    <col min="21" max="21" width="26.5703125" bestFit="1" customWidth="1"/>
    <col min="22" max="22" width="20.5703125" bestFit="1" customWidth="1"/>
    <col min="23" max="23" width="30" bestFit="1" customWidth="1"/>
    <col min="24" max="24" width="12.42578125" bestFit="1" customWidth="1"/>
    <col min="25" max="25" width="9.42578125" bestFit="1" customWidth="1"/>
    <col min="26" max="26" width="17.7109375" bestFit="1" customWidth="1"/>
    <col min="27" max="27" width="14.28515625" bestFit="1" customWidth="1"/>
    <col min="28" max="28" width="12.7109375" bestFit="1" customWidth="1"/>
    <col min="29" max="29" width="14.5703125" bestFit="1" customWidth="1"/>
    <col min="30" max="30" width="9.7109375" bestFit="1" customWidth="1"/>
    <col min="31" max="31" width="12" bestFit="1" customWidth="1"/>
    <col min="32" max="32" width="14.5703125" bestFit="1" customWidth="1"/>
    <col min="33" max="33" width="16.28515625" bestFit="1" customWidth="1"/>
    <col min="34" max="34" width="7.7109375" bestFit="1" customWidth="1"/>
    <col min="35" max="35" width="14.7109375" bestFit="1" customWidth="1"/>
    <col min="36" max="36" width="10.140625" bestFit="1" customWidth="1"/>
    <col min="37" max="37" width="25.28515625" bestFit="1" customWidth="1"/>
    <col min="38" max="38" width="13.7109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s">
        <v>38</v>
      </c>
      <c r="B2" s="2"/>
      <c r="C2" s="2" t="s">
        <v>39</v>
      </c>
      <c r="D2" s="3">
        <v>45142</v>
      </c>
      <c r="E2" s="3">
        <v>45142</v>
      </c>
      <c r="F2" s="3">
        <v>45234</v>
      </c>
      <c r="G2" s="2" t="s">
        <v>40</v>
      </c>
      <c r="H2" s="2" t="s">
        <v>41</v>
      </c>
      <c r="I2" s="2">
        <v>1925</v>
      </c>
      <c r="J2" s="2" t="s">
        <v>42</v>
      </c>
      <c r="K2" s="2" t="s">
        <v>43</v>
      </c>
      <c r="L2" s="4">
        <v>0</v>
      </c>
      <c r="M2" s="4">
        <v>1645</v>
      </c>
      <c r="N2" s="4">
        <v>1925</v>
      </c>
      <c r="O2" s="4">
        <v>0</v>
      </c>
      <c r="P2" s="4">
        <v>0</v>
      </c>
      <c r="Q2" s="4">
        <v>1925</v>
      </c>
      <c r="R2" s="2"/>
      <c r="S2" s="2"/>
      <c r="T2" s="2"/>
      <c r="U2" s="2" t="s">
        <v>44</v>
      </c>
      <c r="V2" s="4">
        <v>165</v>
      </c>
      <c r="W2" s="2" t="s">
        <v>45</v>
      </c>
      <c r="X2" s="3">
        <v>45142</v>
      </c>
      <c r="Y2" s="5">
        <v>440</v>
      </c>
      <c r="Z2" s="3" t="s">
        <v>46</v>
      </c>
      <c r="AA2" s="6">
        <v>1925</v>
      </c>
      <c r="AB2" s="6">
        <v>0</v>
      </c>
      <c r="AC2" s="6">
        <v>1925</v>
      </c>
      <c r="AD2" s="6"/>
      <c r="AE2" s="2" t="s">
        <v>47</v>
      </c>
      <c r="AF2" s="2"/>
      <c r="AG2" s="2" t="s">
        <v>47</v>
      </c>
      <c r="AH2" s="2"/>
      <c r="AI2" s="2"/>
      <c r="AJ2" s="2" t="s">
        <v>48</v>
      </c>
      <c r="AK2" s="2"/>
      <c r="AL2" s="2" t="s">
        <v>49</v>
      </c>
    </row>
    <row r="3" spans="1:38" x14ac:dyDescent="0.25">
      <c r="A3" s="2" t="s">
        <v>50</v>
      </c>
      <c r="B3" s="2"/>
      <c r="C3" s="2" t="s">
        <v>39</v>
      </c>
      <c r="D3" s="3">
        <v>45171</v>
      </c>
      <c r="E3" s="3">
        <v>45171</v>
      </c>
      <c r="F3" s="3">
        <v>45353</v>
      </c>
      <c r="G3" s="2" t="s">
        <v>40</v>
      </c>
      <c r="H3" s="2" t="s">
        <v>51</v>
      </c>
      <c r="I3" s="2">
        <v>3025</v>
      </c>
      <c r="J3" s="2" t="s">
        <v>42</v>
      </c>
      <c r="K3" s="2" t="s">
        <v>43</v>
      </c>
      <c r="L3" s="4">
        <v>0</v>
      </c>
      <c r="M3" s="4">
        <v>2610</v>
      </c>
      <c r="N3" s="4">
        <v>3025</v>
      </c>
      <c r="O3" s="4">
        <v>0</v>
      </c>
      <c r="P3" s="4">
        <v>0</v>
      </c>
      <c r="Q3" s="4">
        <v>3025</v>
      </c>
      <c r="R3" s="2"/>
      <c r="S3" s="2"/>
      <c r="T3" s="2"/>
      <c r="U3" s="2" t="s">
        <v>44</v>
      </c>
      <c r="V3" s="4">
        <v>326</v>
      </c>
      <c r="W3" s="2" t="s">
        <v>45</v>
      </c>
      <c r="X3" s="3">
        <v>45171</v>
      </c>
      <c r="Y3" s="5">
        <v>411</v>
      </c>
      <c r="Z3" s="3" t="s">
        <v>46</v>
      </c>
      <c r="AA3" s="6">
        <v>3025</v>
      </c>
      <c r="AB3" s="6">
        <v>0</v>
      </c>
      <c r="AC3" s="6">
        <v>3025</v>
      </c>
      <c r="AD3" s="6"/>
      <c r="AE3" s="2" t="s">
        <v>47</v>
      </c>
      <c r="AF3" s="2"/>
      <c r="AG3" s="2" t="s">
        <v>47</v>
      </c>
      <c r="AH3" s="2"/>
      <c r="AI3" s="2"/>
      <c r="AJ3" s="2" t="s">
        <v>48</v>
      </c>
      <c r="AK3" s="2"/>
      <c r="AL3" s="2" t="s">
        <v>49</v>
      </c>
    </row>
    <row r="4" spans="1:38" x14ac:dyDescent="0.25">
      <c r="A4" s="2" t="s">
        <v>52</v>
      </c>
      <c r="B4" s="2"/>
      <c r="C4" s="2" t="s">
        <v>39</v>
      </c>
      <c r="D4" s="3">
        <v>45176</v>
      </c>
      <c r="E4" s="3">
        <v>45176</v>
      </c>
      <c r="F4" s="3">
        <v>45358</v>
      </c>
      <c r="G4" s="2" t="s">
        <v>40</v>
      </c>
      <c r="H4" s="2" t="s">
        <v>53</v>
      </c>
      <c r="I4" s="2">
        <v>3025</v>
      </c>
      <c r="J4" s="2" t="s">
        <v>42</v>
      </c>
      <c r="K4" s="2" t="s">
        <v>43</v>
      </c>
      <c r="L4" s="4">
        <v>0</v>
      </c>
      <c r="M4" s="4">
        <v>2610</v>
      </c>
      <c r="N4" s="4">
        <v>3025</v>
      </c>
      <c r="O4" s="4">
        <v>0</v>
      </c>
      <c r="P4" s="4">
        <v>0</v>
      </c>
      <c r="Q4" s="4">
        <v>3025</v>
      </c>
      <c r="R4" s="2"/>
      <c r="S4" s="2"/>
      <c r="T4" s="2"/>
      <c r="U4" s="2" t="s">
        <v>44</v>
      </c>
      <c r="V4" s="4">
        <v>326</v>
      </c>
      <c r="W4" s="2" t="s">
        <v>45</v>
      </c>
      <c r="X4" s="3">
        <v>45176</v>
      </c>
      <c r="Y4" s="5">
        <v>406</v>
      </c>
      <c r="Z4" s="3" t="s">
        <v>46</v>
      </c>
      <c r="AA4" s="6">
        <v>3025</v>
      </c>
      <c r="AB4" s="6">
        <v>0</v>
      </c>
      <c r="AC4" s="6">
        <v>3025</v>
      </c>
      <c r="AD4" s="6"/>
      <c r="AE4" s="2" t="s">
        <v>47</v>
      </c>
      <c r="AF4" s="2"/>
      <c r="AG4" s="2" t="s">
        <v>47</v>
      </c>
      <c r="AH4" s="2"/>
      <c r="AI4" s="2"/>
      <c r="AJ4" s="2" t="s">
        <v>48</v>
      </c>
      <c r="AK4" s="2"/>
      <c r="AL4" s="2" t="s">
        <v>49</v>
      </c>
    </row>
    <row r="5" spans="1:38" x14ac:dyDescent="0.25">
      <c r="A5" s="2" t="s">
        <v>54</v>
      </c>
      <c r="B5" s="2"/>
      <c r="C5" s="2" t="s">
        <v>39</v>
      </c>
      <c r="D5" s="3">
        <v>45188</v>
      </c>
      <c r="E5" s="3">
        <v>45188</v>
      </c>
      <c r="F5" s="3">
        <v>45370</v>
      </c>
      <c r="G5" s="2" t="s">
        <v>40</v>
      </c>
      <c r="H5" s="2" t="s">
        <v>55</v>
      </c>
      <c r="I5" s="2">
        <v>2063</v>
      </c>
      <c r="J5" s="2" t="s">
        <v>42</v>
      </c>
      <c r="K5" s="2" t="s">
        <v>43</v>
      </c>
      <c r="L5" s="4">
        <v>0</v>
      </c>
      <c r="M5" s="4">
        <v>1766</v>
      </c>
      <c r="N5" s="4">
        <v>2064</v>
      </c>
      <c r="O5" s="4">
        <v>0</v>
      </c>
      <c r="P5" s="4">
        <v>0</v>
      </c>
      <c r="Q5" s="4">
        <v>2064</v>
      </c>
      <c r="R5" s="2"/>
      <c r="S5" s="2"/>
      <c r="T5" s="2"/>
      <c r="U5" s="2" t="s">
        <v>44</v>
      </c>
      <c r="V5" s="4">
        <v>221</v>
      </c>
      <c r="W5" s="2" t="s">
        <v>45</v>
      </c>
      <c r="X5" s="3">
        <v>45188</v>
      </c>
      <c r="Y5" s="5">
        <v>394</v>
      </c>
      <c r="Z5" s="3" t="s">
        <v>46</v>
      </c>
      <c r="AA5" s="6">
        <v>2064</v>
      </c>
      <c r="AB5" s="6">
        <v>0</v>
      </c>
      <c r="AC5" s="6">
        <v>2064</v>
      </c>
      <c r="AD5" s="6"/>
      <c r="AE5" s="2" t="s">
        <v>47</v>
      </c>
      <c r="AF5" s="2"/>
      <c r="AG5" s="2" t="s">
        <v>47</v>
      </c>
      <c r="AH5" s="2"/>
      <c r="AI5" s="2"/>
      <c r="AJ5" s="2" t="s">
        <v>48</v>
      </c>
      <c r="AK5" s="2"/>
      <c r="AL5" s="2" t="s">
        <v>49</v>
      </c>
    </row>
    <row r="6" spans="1:38" x14ac:dyDescent="0.25">
      <c r="A6" s="2" t="s">
        <v>56</v>
      </c>
      <c r="B6" s="2"/>
      <c r="C6" s="2" t="s">
        <v>39</v>
      </c>
      <c r="D6" s="3">
        <v>45191</v>
      </c>
      <c r="E6" s="3">
        <v>45191</v>
      </c>
      <c r="F6" s="3">
        <v>45373</v>
      </c>
      <c r="G6" s="2" t="s">
        <v>40</v>
      </c>
      <c r="H6" s="2" t="s">
        <v>57</v>
      </c>
      <c r="I6" s="2">
        <v>4225</v>
      </c>
      <c r="J6" s="2" t="s">
        <v>42</v>
      </c>
      <c r="K6" s="2" t="s">
        <v>43</v>
      </c>
      <c r="L6" s="4">
        <v>0</v>
      </c>
      <c r="M6" s="4">
        <v>3662</v>
      </c>
      <c r="N6" s="4">
        <v>4225</v>
      </c>
      <c r="O6" s="4">
        <v>0</v>
      </c>
      <c r="P6" s="4">
        <v>0</v>
      </c>
      <c r="Q6" s="4">
        <v>4225</v>
      </c>
      <c r="R6" s="2"/>
      <c r="S6" s="2"/>
      <c r="T6" s="2"/>
      <c r="U6" s="2" t="s">
        <v>44</v>
      </c>
      <c r="V6" s="4">
        <v>458</v>
      </c>
      <c r="W6" s="2" t="s">
        <v>45</v>
      </c>
      <c r="X6" s="3">
        <v>45191</v>
      </c>
      <c r="Y6" s="5">
        <v>391</v>
      </c>
      <c r="Z6" s="3" t="s">
        <v>46</v>
      </c>
      <c r="AA6" s="6">
        <v>4225</v>
      </c>
      <c r="AB6" s="6">
        <v>0</v>
      </c>
      <c r="AC6" s="6">
        <v>4225</v>
      </c>
      <c r="AD6" s="6"/>
      <c r="AE6" s="2" t="s">
        <v>47</v>
      </c>
      <c r="AF6" s="2"/>
      <c r="AG6" s="2" t="s">
        <v>47</v>
      </c>
      <c r="AH6" s="2"/>
      <c r="AI6" s="2"/>
      <c r="AJ6" s="2" t="s">
        <v>48</v>
      </c>
      <c r="AK6" s="2"/>
      <c r="AL6" s="2" t="s">
        <v>49</v>
      </c>
    </row>
    <row r="7" spans="1:38" x14ac:dyDescent="0.25">
      <c r="A7" s="2" t="s">
        <v>58</v>
      </c>
      <c r="B7" s="2"/>
      <c r="C7" s="2" t="s">
        <v>39</v>
      </c>
      <c r="D7" s="3">
        <v>45191</v>
      </c>
      <c r="E7" s="3">
        <v>45191</v>
      </c>
      <c r="F7" s="3">
        <v>45373</v>
      </c>
      <c r="G7" s="2" t="s">
        <v>40</v>
      </c>
      <c r="H7" s="2" t="s">
        <v>59</v>
      </c>
      <c r="I7" s="2">
        <v>4225</v>
      </c>
      <c r="J7" s="2" t="s">
        <v>42</v>
      </c>
      <c r="K7" s="2" t="s">
        <v>43</v>
      </c>
      <c r="L7" s="4">
        <v>0</v>
      </c>
      <c r="M7" s="4">
        <v>3662</v>
      </c>
      <c r="N7" s="4">
        <v>4225</v>
      </c>
      <c r="O7" s="4">
        <v>0</v>
      </c>
      <c r="P7" s="4">
        <v>0</v>
      </c>
      <c r="Q7" s="4">
        <v>4225</v>
      </c>
      <c r="R7" s="2"/>
      <c r="S7" s="2"/>
      <c r="T7" s="2"/>
      <c r="U7" s="2" t="s">
        <v>44</v>
      </c>
      <c r="V7" s="4">
        <v>458</v>
      </c>
      <c r="W7" s="2" t="s">
        <v>45</v>
      </c>
      <c r="X7" s="3">
        <v>45191</v>
      </c>
      <c r="Y7" s="5">
        <v>391</v>
      </c>
      <c r="Z7" s="3" t="s">
        <v>46</v>
      </c>
      <c r="AA7" s="6">
        <v>4225</v>
      </c>
      <c r="AB7" s="6">
        <v>0</v>
      </c>
      <c r="AC7" s="6">
        <v>4225</v>
      </c>
      <c r="AD7" s="6"/>
      <c r="AE7" s="2" t="s">
        <v>47</v>
      </c>
      <c r="AF7" s="2"/>
      <c r="AG7" s="2" t="s">
        <v>47</v>
      </c>
      <c r="AH7" s="2"/>
      <c r="AI7" s="2"/>
      <c r="AJ7" s="2" t="s">
        <v>48</v>
      </c>
      <c r="AK7" s="2"/>
      <c r="AL7" s="2" t="s">
        <v>49</v>
      </c>
    </row>
    <row r="8" spans="1:38" x14ac:dyDescent="0.25">
      <c r="A8" s="2" t="s">
        <v>60</v>
      </c>
      <c r="B8" s="2"/>
      <c r="C8" s="2" t="s">
        <v>39</v>
      </c>
      <c r="D8" s="3">
        <v>45197</v>
      </c>
      <c r="E8" s="3">
        <v>45197</v>
      </c>
      <c r="F8" s="3">
        <v>45563</v>
      </c>
      <c r="G8" s="2" t="s">
        <v>40</v>
      </c>
      <c r="H8" s="2" t="s">
        <v>61</v>
      </c>
      <c r="I8" s="2">
        <v>4800</v>
      </c>
      <c r="J8" s="2" t="s">
        <v>42</v>
      </c>
      <c r="K8" s="2" t="s">
        <v>43</v>
      </c>
      <c r="L8" s="4">
        <v>0</v>
      </c>
      <c r="M8" s="4">
        <v>4167</v>
      </c>
      <c r="N8" s="4">
        <v>4801</v>
      </c>
      <c r="O8" s="4">
        <v>0</v>
      </c>
      <c r="P8" s="4">
        <v>0</v>
      </c>
      <c r="Q8" s="4">
        <v>4801</v>
      </c>
      <c r="R8" s="2"/>
      <c r="S8" s="2"/>
      <c r="T8" s="2"/>
      <c r="U8" s="2" t="s">
        <v>44</v>
      </c>
      <c r="V8" s="4">
        <v>521</v>
      </c>
      <c r="W8" s="2" t="s">
        <v>45</v>
      </c>
      <c r="X8" s="3">
        <v>45197</v>
      </c>
      <c r="Y8" s="5">
        <v>385</v>
      </c>
      <c r="Z8" s="3" t="s">
        <v>46</v>
      </c>
      <c r="AA8" s="6">
        <v>4801</v>
      </c>
      <c r="AB8" s="6">
        <v>0</v>
      </c>
      <c r="AC8" s="6">
        <v>4801</v>
      </c>
      <c r="AD8" s="6"/>
      <c r="AE8" s="2" t="s">
        <v>47</v>
      </c>
      <c r="AF8" s="2"/>
      <c r="AG8" s="2" t="s">
        <v>47</v>
      </c>
      <c r="AH8" s="2"/>
      <c r="AI8" s="2"/>
      <c r="AJ8" s="2" t="s">
        <v>48</v>
      </c>
      <c r="AK8" s="2"/>
      <c r="AL8" s="2" t="s">
        <v>49</v>
      </c>
    </row>
    <row r="9" spans="1:38" x14ac:dyDescent="0.25">
      <c r="A9" s="2" t="s">
        <v>62</v>
      </c>
      <c r="B9" s="2"/>
      <c r="C9" s="2" t="s">
        <v>39</v>
      </c>
      <c r="D9" s="3">
        <v>45204</v>
      </c>
      <c r="E9" s="3">
        <v>45204</v>
      </c>
      <c r="F9" s="3">
        <v>45387</v>
      </c>
      <c r="G9" s="2" t="s">
        <v>40</v>
      </c>
      <c r="H9" s="2" t="s">
        <v>63</v>
      </c>
      <c r="I9" s="2">
        <v>3025</v>
      </c>
      <c r="J9" s="2" t="s">
        <v>42</v>
      </c>
      <c r="K9" s="2" t="s">
        <v>43</v>
      </c>
      <c r="L9" s="4">
        <v>0</v>
      </c>
      <c r="M9" s="4">
        <v>2610</v>
      </c>
      <c r="N9" s="4">
        <v>3025</v>
      </c>
      <c r="O9" s="4">
        <v>0</v>
      </c>
      <c r="P9" s="4">
        <v>0</v>
      </c>
      <c r="Q9" s="4">
        <v>3025</v>
      </c>
      <c r="R9" s="2"/>
      <c r="S9" s="2"/>
      <c r="T9" s="2"/>
      <c r="U9" s="2" t="s">
        <v>44</v>
      </c>
      <c r="V9" s="4">
        <v>326</v>
      </c>
      <c r="W9" s="2" t="s">
        <v>45</v>
      </c>
      <c r="X9" s="3">
        <v>45204</v>
      </c>
      <c r="Y9" s="5">
        <v>378</v>
      </c>
      <c r="Z9" s="3" t="s">
        <v>46</v>
      </c>
      <c r="AA9" s="6">
        <v>3025</v>
      </c>
      <c r="AB9" s="6">
        <v>0</v>
      </c>
      <c r="AC9" s="6">
        <v>3025</v>
      </c>
      <c r="AD9" s="6"/>
      <c r="AE9" s="2" t="s">
        <v>47</v>
      </c>
      <c r="AF9" s="2"/>
      <c r="AG9" s="2" t="s">
        <v>47</v>
      </c>
      <c r="AH9" s="2"/>
      <c r="AI9" s="2"/>
      <c r="AJ9" s="2" t="s">
        <v>48</v>
      </c>
      <c r="AK9" s="2"/>
      <c r="AL9" s="2" t="s">
        <v>49</v>
      </c>
    </row>
    <row r="10" spans="1:38" x14ac:dyDescent="0.25">
      <c r="A10" s="2" t="s">
        <v>64</v>
      </c>
      <c r="B10" s="2"/>
      <c r="C10" s="2" t="s">
        <v>39</v>
      </c>
      <c r="D10" s="3">
        <v>45206</v>
      </c>
      <c r="E10" s="3">
        <v>45206</v>
      </c>
      <c r="F10" s="3">
        <v>45572</v>
      </c>
      <c r="G10" s="2" t="s">
        <v>40</v>
      </c>
      <c r="H10" s="2" t="s">
        <v>65</v>
      </c>
      <c r="I10" s="2">
        <v>2560</v>
      </c>
      <c r="J10" s="2" t="s">
        <v>42</v>
      </c>
      <c r="K10" s="2" t="s">
        <v>43</v>
      </c>
      <c r="L10" s="4">
        <v>0</v>
      </c>
      <c r="M10" s="4">
        <v>2202</v>
      </c>
      <c r="N10" s="4">
        <v>2560</v>
      </c>
      <c r="O10" s="4">
        <v>0</v>
      </c>
      <c r="P10" s="4">
        <v>0</v>
      </c>
      <c r="Q10" s="4">
        <v>2560</v>
      </c>
      <c r="R10" s="2"/>
      <c r="S10" s="2"/>
      <c r="T10" s="2"/>
      <c r="U10" s="2" t="s">
        <v>44</v>
      </c>
      <c r="V10" s="4">
        <v>275</v>
      </c>
      <c r="W10" s="2" t="s">
        <v>45</v>
      </c>
      <c r="X10" s="3">
        <v>45206</v>
      </c>
      <c r="Y10" s="5">
        <v>376</v>
      </c>
      <c r="Z10" s="3" t="s">
        <v>46</v>
      </c>
      <c r="AA10" s="6">
        <v>2560</v>
      </c>
      <c r="AB10" s="6">
        <v>0</v>
      </c>
      <c r="AC10" s="6">
        <v>2560</v>
      </c>
      <c r="AD10" s="6"/>
      <c r="AE10" s="2" t="s">
        <v>47</v>
      </c>
      <c r="AF10" s="2"/>
      <c r="AG10" s="2" t="s">
        <v>47</v>
      </c>
      <c r="AH10" s="2"/>
      <c r="AI10" s="2"/>
      <c r="AJ10" s="2" t="s">
        <v>48</v>
      </c>
      <c r="AK10" s="2"/>
      <c r="AL10" s="2" t="s">
        <v>49</v>
      </c>
    </row>
    <row r="11" spans="1:38" x14ac:dyDescent="0.25">
      <c r="A11" s="2" t="s">
        <v>66</v>
      </c>
      <c r="B11" s="2"/>
      <c r="C11" s="2" t="s">
        <v>39</v>
      </c>
      <c r="D11" s="3">
        <v>45208</v>
      </c>
      <c r="E11" s="3">
        <v>45208</v>
      </c>
      <c r="F11" s="3">
        <v>45574</v>
      </c>
      <c r="G11" s="2" t="s">
        <v>40</v>
      </c>
      <c r="H11" s="2" t="s">
        <v>67</v>
      </c>
      <c r="I11" s="2">
        <v>3920</v>
      </c>
      <c r="J11" s="2" t="s">
        <v>42</v>
      </c>
      <c r="K11" s="2" t="s">
        <v>43</v>
      </c>
      <c r="L11" s="4">
        <v>0</v>
      </c>
      <c r="M11" s="4">
        <v>3395</v>
      </c>
      <c r="N11" s="4">
        <v>3920</v>
      </c>
      <c r="O11" s="4">
        <v>0</v>
      </c>
      <c r="P11" s="4">
        <v>0</v>
      </c>
      <c r="Q11" s="4">
        <v>3920</v>
      </c>
      <c r="R11" s="2"/>
      <c r="S11" s="2"/>
      <c r="T11" s="2"/>
      <c r="U11" s="2" t="s">
        <v>44</v>
      </c>
      <c r="V11" s="4">
        <v>424</v>
      </c>
      <c r="W11" s="2" t="s">
        <v>45</v>
      </c>
      <c r="X11" s="3">
        <v>45208</v>
      </c>
      <c r="Y11" s="5">
        <v>374</v>
      </c>
      <c r="Z11" s="3" t="s">
        <v>46</v>
      </c>
      <c r="AA11" s="6">
        <v>3920</v>
      </c>
      <c r="AB11" s="6">
        <v>0</v>
      </c>
      <c r="AC11" s="6">
        <v>3920</v>
      </c>
      <c r="AD11" s="6"/>
      <c r="AE11" s="2" t="s">
        <v>47</v>
      </c>
      <c r="AF11" s="2"/>
      <c r="AG11" s="2" t="s">
        <v>47</v>
      </c>
      <c r="AH11" s="2"/>
      <c r="AI11" s="2"/>
      <c r="AJ11" s="2" t="s">
        <v>48</v>
      </c>
      <c r="AK11" s="2"/>
      <c r="AL11" s="2" t="s">
        <v>49</v>
      </c>
    </row>
    <row r="12" spans="1:38" x14ac:dyDescent="0.25">
      <c r="A12" s="2" t="s">
        <v>68</v>
      </c>
      <c r="B12" s="2"/>
      <c r="C12" s="2" t="s">
        <v>39</v>
      </c>
      <c r="D12" s="3">
        <v>45208</v>
      </c>
      <c r="E12" s="3">
        <v>45208</v>
      </c>
      <c r="F12" s="3">
        <v>45574</v>
      </c>
      <c r="G12" s="2" t="s">
        <v>40</v>
      </c>
      <c r="H12" s="2" t="s">
        <v>69</v>
      </c>
      <c r="I12" s="2">
        <v>8800</v>
      </c>
      <c r="J12" s="2" t="s">
        <v>42</v>
      </c>
      <c r="K12" s="2" t="s">
        <v>43</v>
      </c>
      <c r="L12" s="4">
        <v>0</v>
      </c>
      <c r="M12" s="4">
        <v>7675</v>
      </c>
      <c r="N12" s="4">
        <v>8800</v>
      </c>
      <c r="O12" s="4">
        <v>0</v>
      </c>
      <c r="P12" s="4">
        <v>0</v>
      </c>
      <c r="Q12" s="4">
        <v>8800</v>
      </c>
      <c r="R12" s="2"/>
      <c r="S12" s="2"/>
      <c r="T12" s="2"/>
      <c r="U12" s="2" t="s">
        <v>44</v>
      </c>
      <c r="V12" s="4">
        <v>959</v>
      </c>
      <c r="W12" s="2" t="s">
        <v>45</v>
      </c>
      <c r="X12" s="3">
        <v>45208</v>
      </c>
      <c r="Y12" s="5">
        <v>374</v>
      </c>
      <c r="Z12" s="3" t="s">
        <v>46</v>
      </c>
      <c r="AA12" s="6">
        <v>8800</v>
      </c>
      <c r="AB12" s="6">
        <v>0</v>
      </c>
      <c r="AC12" s="6">
        <v>8800</v>
      </c>
      <c r="AD12" s="6"/>
      <c r="AE12" s="2" t="s">
        <v>47</v>
      </c>
      <c r="AF12" s="2"/>
      <c r="AG12" s="2" t="s">
        <v>47</v>
      </c>
      <c r="AH12" s="2"/>
      <c r="AI12" s="2"/>
      <c r="AJ12" s="2" t="s">
        <v>48</v>
      </c>
      <c r="AK12" s="2"/>
      <c r="AL12" s="2" t="s">
        <v>49</v>
      </c>
    </row>
    <row r="13" spans="1:38" x14ac:dyDescent="0.25">
      <c r="A13" s="2" t="s">
        <v>70</v>
      </c>
      <c r="B13" s="2"/>
      <c r="C13" s="2" t="s">
        <v>39</v>
      </c>
      <c r="D13" s="3">
        <v>45208</v>
      </c>
      <c r="E13" s="3">
        <v>45208</v>
      </c>
      <c r="F13" s="3">
        <v>45574</v>
      </c>
      <c r="G13" s="2" t="s">
        <v>40</v>
      </c>
      <c r="H13" s="2" t="s">
        <v>71</v>
      </c>
      <c r="I13" s="2">
        <v>4400</v>
      </c>
      <c r="J13" s="2" t="s">
        <v>42</v>
      </c>
      <c r="K13" s="2" t="s">
        <v>43</v>
      </c>
      <c r="L13" s="4">
        <v>0</v>
      </c>
      <c r="M13" s="4">
        <v>3816</v>
      </c>
      <c r="N13" s="4">
        <v>4400</v>
      </c>
      <c r="O13" s="4">
        <v>0</v>
      </c>
      <c r="P13" s="4">
        <v>0</v>
      </c>
      <c r="Q13" s="4">
        <v>4400</v>
      </c>
      <c r="R13" s="2"/>
      <c r="S13" s="2"/>
      <c r="T13" s="2"/>
      <c r="U13" s="2" t="s">
        <v>44</v>
      </c>
      <c r="V13" s="4">
        <v>477</v>
      </c>
      <c r="W13" s="2" t="s">
        <v>45</v>
      </c>
      <c r="X13" s="3">
        <v>45208</v>
      </c>
      <c r="Y13" s="5">
        <v>374</v>
      </c>
      <c r="Z13" s="3" t="s">
        <v>46</v>
      </c>
      <c r="AA13" s="6">
        <v>4400</v>
      </c>
      <c r="AB13" s="6">
        <v>0</v>
      </c>
      <c r="AC13" s="6">
        <v>4400</v>
      </c>
      <c r="AD13" s="6"/>
      <c r="AE13" s="2" t="s">
        <v>47</v>
      </c>
      <c r="AF13" s="2"/>
      <c r="AG13" s="2" t="s">
        <v>47</v>
      </c>
      <c r="AH13" s="2"/>
      <c r="AI13" s="2"/>
      <c r="AJ13" s="2" t="s">
        <v>48</v>
      </c>
      <c r="AK13" s="2"/>
      <c r="AL13" s="2" t="s">
        <v>49</v>
      </c>
    </row>
    <row r="14" spans="1:38" x14ac:dyDescent="0.25">
      <c r="A14" s="2" t="s">
        <v>72</v>
      </c>
      <c r="B14" s="2"/>
      <c r="C14" s="2" t="s">
        <v>39</v>
      </c>
      <c r="D14" s="3">
        <v>45209</v>
      </c>
      <c r="E14" s="3">
        <v>45209</v>
      </c>
      <c r="F14" s="3">
        <v>45575</v>
      </c>
      <c r="G14" s="2" t="s">
        <v>40</v>
      </c>
      <c r="H14" s="2" t="s">
        <v>73</v>
      </c>
      <c r="I14" s="2">
        <v>4400</v>
      </c>
      <c r="J14" s="2" t="s">
        <v>42</v>
      </c>
      <c r="K14" s="2" t="s">
        <v>43</v>
      </c>
      <c r="L14" s="4">
        <v>0</v>
      </c>
      <c r="M14" s="4">
        <v>3816</v>
      </c>
      <c r="N14" s="4">
        <v>4400</v>
      </c>
      <c r="O14" s="4">
        <v>0</v>
      </c>
      <c r="P14" s="4">
        <v>0</v>
      </c>
      <c r="Q14" s="4">
        <v>4400</v>
      </c>
      <c r="R14" s="2"/>
      <c r="S14" s="2"/>
      <c r="T14" s="2"/>
      <c r="U14" s="2" t="s">
        <v>44</v>
      </c>
      <c r="V14" s="4">
        <v>477</v>
      </c>
      <c r="W14" s="2" t="s">
        <v>45</v>
      </c>
      <c r="X14" s="3">
        <v>45209</v>
      </c>
      <c r="Y14" s="5">
        <v>373</v>
      </c>
      <c r="Z14" s="3" t="s">
        <v>46</v>
      </c>
      <c r="AA14" s="6">
        <v>4400</v>
      </c>
      <c r="AB14" s="6">
        <v>0</v>
      </c>
      <c r="AC14" s="6">
        <v>4400</v>
      </c>
      <c r="AD14" s="6"/>
      <c r="AE14" s="2" t="s">
        <v>47</v>
      </c>
      <c r="AF14" s="2"/>
      <c r="AG14" s="2" t="s">
        <v>47</v>
      </c>
      <c r="AH14" s="2"/>
      <c r="AI14" s="2"/>
      <c r="AJ14" s="2" t="s">
        <v>48</v>
      </c>
      <c r="AK14" s="2"/>
      <c r="AL14" s="2" t="s">
        <v>49</v>
      </c>
    </row>
    <row r="15" spans="1:38" x14ac:dyDescent="0.25">
      <c r="A15" s="2" t="s">
        <v>74</v>
      </c>
      <c r="B15" s="2"/>
      <c r="C15" s="2" t="s">
        <v>39</v>
      </c>
      <c r="D15" s="3">
        <v>45210</v>
      </c>
      <c r="E15" s="3">
        <v>45210</v>
      </c>
      <c r="F15" s="3">
        <v>45393</v>
      </c>
      <c r="G15" s="2" t="s">
        <v>40</v>
      </c>
      <c r="H15" s="2" t="s">
        <v>75</v>
      </c>
      <c r="I15" s="2">
        <v>3025</v>
      </c>
      <c r="J15" s="2" t="s">
        <v>42</v>
      </c>
      <c r="K15" s="2" t="s">
        <v>43</v>
      </c>
      <c r="L15" s="4">
        <v>0</v>
      </c>
      <c r="M15" s="4">
        <v>2610</v>
      </c>
      <c r="N15" s="4">
        <v>3025</v>
      </c>
      <c r="O15" s="4">
        <v>0</v>
      </c>
      <c r="P15" s="4">
        <v>0</v>
      </c>
      <c r="Q15" s="4">
        <v>3025</v>
      </c>
      <c r="R15" s="2"/>
      <c r="S15" s="2"/>
      <c r="T15" s="2"/>
      <c r="U15" s="2" t="s">
        <v>44</v>
      </c>
      <c r="V15" s="4">
        <v>326</v>
      </c>
      <c r="W15" s="2" t="s">
        <v>45</v>
      </c>
      <c r="X15" s="3">
        <v>45210</v>
      </c>
      <c r="Y15" s="5">
        <v>372</v>
      </c>
      <c r="Z15" s="3" t="s">
        <v>46</v>
      </c>
      <c r="AA15" s="6">
        <v>3025</v>
      </c>
      <c r="AB15" s="6">
        <v>0</v>
      </c>
      <c r="AC15" s="6">
        <v>3025</v>
      </c>
      <c r="AD15" s="6"/>
      <c r="AE15" s="2" t="s">
        <v>47</v>
      </c>
      <c r="AF15" s="2"/>
      <c r="AG15" s="2" t="s">
        <v>47</v>
      </c>
      <c r="AH15" s="2"/>
      <c r="AI15" s="2"/>
      <c r="AJ15" s="2" t="s">
        <v>48</v>
      </c>
      <c r="AK15" s="2"/>
      <c r="AL15" s="2" t="s">
        <v>49</v>
      </c>
    </row>
    <row r="16" spans="1:38" x14ac:dyDescent="0.25">
      <c r="A16" s="2" t="s">
        <v>76</v>
      </c>
      <c r="B16" s="2"/>
      <c r="C16" s="2" t="s">
        <v>39</v>
      </c>
      <c r="D16" s="3">
        <v>45210</v>
      </c>
      <c r="E16" s="3">
        <v>45210</v>
      </c>
      <c r="F16" s="3">
        <v>45576</v>
      </c>
      <c r="G16" s="2" t="s">
        <v>40</v>
      </c>
      <c r="H16" s="2" t="s">
        <v>77</v>
      </c>
      <c r="I16" s="2">
        <v>4400</v>
      </c>
      <c r="J16" s="2" t="s">
        <v>42</v>
      </c>
      <c r="K16" s="2" t="s">
        <v>43</v>
      </c>
      <c r="L16" s="4">
        <v>0</v>
      </c>
      <c r="M16" s="4">
        <v>3816</v>
      </c>
      <c r="N16" s="4">
        <v>4400</v>
      </c>
      <c r="O16" s="4">
        <v>0</v>
      </c>
      <c r="P16" s="4">
        <v>0</v>
      </c>
      <c r="Q16" s="4">
        <v>4400</v>
      </c>
      <c r="R16" s="2"/>
      <c r="S16" s="2"/>
      <c r="T16" s="2"/>
      <c r="U16" s="2" t="s">
        <v>44</v>
      </c>
      <c r="V16" s="4">
        <v>477</v>
      </c>
      <c r="W16" s="2" t="s">
        <v>45</v>
      </c>
      <c r="X16" s="3">
        <v>45210</v>
      </c>
      <c r="Y16" s="5">
        <v>372</v>
      </c>
      <c r="Z16" s="3" t="s">
        <v>46</v>
      </c>
      <c r="AA16" s="6">
        <v>4400</v>
      </c>
      <c r="AB16" s="6">
        <v>0</v>
      </c>
      <c r="AC16" s="6">
        <v>4400</v>
      </c>
      <c r="AD16" s="6"/>
      <c r="AE16" s="2" t="s">
        <v>47</v>
      </c>
      <c r="AF16" s="2"/>
      <c r="AG16" s="2" t="s">
        <v>47</v>
      </c>
      <c r="AH16" s="2"/>
      <c r="AI16" s="2"/>
      <c r="AJ16" s="2" t="s">
        <v>48</v>
      </c>
      <c r="AK16" s="2"/>
      <c r="AL16" s="2" t="s">
        <v>49</v>
      </c>
    </row>
    <row r="17" spans="1:38" x14ac:dyDescent="0.25">
      <c r="A17" s="2" t="s">
        <v>78</v>
      </c>
      <c r="B17" s="2"/>
      <c r="C17" s="2" t="s">
        <v>39</v>
      </c>
      <c r="D17" s="3">
        <v>45211</v>
      </c>
      <c r="E17" s="3">
        <v>45211</v>
      </c>
      <c r="F17" s="3">
        <v>45577</v>
      </c>
      <c r="G17" s="2" t="s">
        <v>40</v>
      </c>
      <c r="H17" s="2" t="s">
        <v>79</v>
      </c>
      <c r="I17" s="2">
        <v>4400</v>
      </c>
      <c r="J17" s="2" t="s">
        <v>42</v>
      </c>
      <c r="K17" s="2" t="s">
        <v>43</v>
      </c>
      <c r="L17" s="4">
        <v>0</v>
      </c>
      <c r="M17" s="4">
        <v>3816</v>
      </c>
      <c r="N17" s="4">
        <v>4400</v>
      </c>
      <c r="O17" s="4">
        <v>0</v>
      </c>
      <c r="P17" s="4">
        <v>0</v>
      </c>
      <c r="Q17" s="4">
        <v>4400</v>
      </c>
      <c r="R17" s="2"/>
      <c r="S17" s="2"/>
      <c r="T17" s="2"/>
      <c r="U17" s="2" t="s">
        <v>44</v>
      </c>
      <c r="V17" s="4">
        <v>477</v>
      </c>
      <c r="W17" s="2" t="s">
        <v>45</v>
      </c>
      <c r="X17" s="3">
        <v>45211</v>
      </c>
      <c r="Y17" s="5">
        <v>371</v>
      </c>
      <c r="Z17" s="3" t="s">
        <v>46</v>
      </c>
      <c r="AA17" s="6">
        <v>4400</v>
      </c>
      <c r="AB17" s="6">
        <v>0</v>
      </c>
      <c r="AC17" s="6">
        <v>4400</v>
      </c>
      <c r="AD17" s="6"/>
      <c r="AE17" s="2" t="s">
        <v>47</v>
      </c>
      <c r="AF17" s="2"/>
      <c r="AG17" s="2" t="s">
        <v>47</v>
      </c>
      <c r="AH17" s="2"/>
      <c r="AI17" s="2"/>
      <c r="AJ17" s="2" t="s">
        <v>48</v>
      </c>
      <c r="AK17" s="2"/>
      <c r="AL17" s="2" t="s">
        <v>49</v>
      </c>
    </row>
    <row r="18" spans="1:38" x14ac:dyDescent="0.25">
      <c r="A18" s="2" t="s">
        <v>80</v>
      </c>
      <c r="B18" s="2"/>
      <c r="C18" s="2" t="s">
        <v>39</v>
      </c>
      <c r="D18" s="3">
        <v>45211</v>
      </c>
      <c r="E18" s="3">
        <v>45211</v>
      </c>
      <c r="F18" s="3">
        <v>45577</v>
      </c>
      <c r="G18" s="2" t="s">
        <v>40</v>
      </c>
      <c r="H18" s="2" t="s">
        <v>81</v>
      </c>
      <c r="I18" s="2">
        <v>4400</v>
      </c>
      <c r="J18" s="2" t="s">
        <v>42</v>
      </c>
      <c r="K18" s="2" t="s">
        <v>43</v>
      </c>
      <c r="L18" s="4">
        <v>0</v>
      </c>
      <c r="M18" s="4">
        <v>3816</v>
      </c>
      <c r="N18" s="4">
        <v>4400</v>
      </c>
      <c r="O18" s="4">
        <v>0</v>
      </c>
      <c r="P18" s="4">
        <v>0</v>
      </c>
      <c r="Q18" s="4">
        <v>4400</v>
      </c>
      <c r="R18" s="2"/>
      <c r="S18" s="2"/>
      <c r="T18" s="2"/>
      <c r="U18" s="2" t="s">
        <v>44</v>
      </c>
      <c r="V18" s="4">
        <v>477</v>
      </c>
      <c r="W18" s="2" t="s">
        <v>45</v>
      </c>
      <c r="X18" s="3">
        <v>45211</v>
      </c>
      <c r="Y18" s="5">
        <v>371</v>
      </c>
      <c r="Z18" s="3" t="s">
        <v>46</v>
      </c>
      <c r="AA18" s="6">
        <v>4400</v>
      </c>
      <c r="AB18" s="6">
        <v>0</v>
      </c>
      <c r="AC18" s="6">
        <v>4400</v>
      </c>
      <c r="AD18" s="6"/>
      <c r="AE18" s="2" t="s">
        <v>47</v>
      </c>
      <c r="AF18" s="2"/>
      <c r="AG18" s="2" t="s">
        <v>47</v>
      </c>
      <c r="AH18" s="2"/>
      <c r="AI18" s="2"/>
      <c r="AJ18" s="2" t="s">
        <v>48</v>
      </c>
      <c r="AK18" s="2"/>
      <c r="AL18" s="2" t="s">
        <v>49</v>
      </c>
    </row>
    <row r="19" spans="1:38" x14ac:dyDescent="0.25">
      <c r="A19" s="2" t="s">
        <v>82</v>
      </c>
      <c r="B19" s="2"/>
      <c r="C19" s="2" t="s">
        <v>39</v>
      </c>
      <c r="D19" s="3">
        <v>45211</v>
      </c>
      <c r="E19" s="3">
        <v>45211</v>
      </c>
      <c r="F19" s="3">
        <v>45394</v>
      </c>
      <c r="G19" s="2" t="s">
        <v>40</v>
      </c>
      <c r="H19" s="2" t="s">
        <v>83</v>
      </c>
      <c r="I19" s="2">
        <v>3025</v>
      </c>
      <c r="J19" s="2" t="s">
        <v>42</v>
      </c>
      <c r="K19" s="2" t="s">
        <v>43</v>
      </c>
      <c r="L19" s="4">
        <v>0</v>
      </c>
      <c r="M19" s="4">
        <v>2610</v>
      </c>
      <c r="N19" s="4">
        <v>3025</v>
      </c>
      <c r="O19" s="4">
        <v>0</v>
      </c>
      <c r="P19" s="4">
        <v>0</v>
      </c>
      <c r="Q19" s="4">
        <v>3025</v>
      </c>
      <c r="R19" s="2"/>
      <c r="S19" s="2"/>
      <c r="T19" s="2"/>
      <c r="U19" s="2" t="s">
        <v>44</v>
      </c>
      <c r="V19" s="4">
        <v>326</v>
      </c>
      <c r="W19" s="2" t="s">
        <v>45</v>
      </c>
      <c r="X19" s="3">
        <v>45211</v>
      </c>
      <c r="Y19" s="5">
        <v>371</v>
      </c>
      <c r="Z19" s="3" t="s">
        <v>46</v>
      </c>
      <c r="AA19" s="6">
        <v>3025</v>
      </c>
      <c r="AB19" s="6">
        <v>0</v>
      </c>
      <c r="AC19" s="6">
        <v>3025</v>
      </c>
      <c r="AD19" s="6"/>
      <c r="AE19" s="2" t="s">
        <v>47</v>
      </c>
      <c r="AF19" s="2"/>
      <c r="AG19" s="2" t="s">
        <v>47</v>
      </c>
      <c r="AH19" s="2"/>
      <c r="AI19" s="2"/>
      <c r="AJ19" s="2" t="s">
        <v>48</v>
      </c>
      <c r="AK19" s="2"/>
      <c r="AL19" s="2" t="s">
        <v>49</v>
      </c>
    </row>
    <row r="20" spans="1:38" x14ac:dyDescent="0.25">
      <c r="A20" s="2" t="s">
        <v>84</v>
      </c>
      <c r="B20" s="2"/>
      <c r="C20" s="2" t="s">
        <v>39</v>
      </c>
      <c r="D20" s="3">
        <v>45211</v>
      </c>
      <c r="E20" s="3">
        <v>45211</v>
      </c>
      <c r="F20" s="3">
        <v>45394</v>
      </c>
      <c r="G20" s="2" t="s">
        <v>40</v>
      </c>
      <c r="H20" s="2" t="s">
        <v>85</v>
      </c>
      <c r="I20" s="2">
        <v>3300</v>
      </c>
      <c r="J20" s="2" t="s">
        <v>42</v>
      </c>
      <c r="K20" s="2" t="s">
        <v>43</v>
      </c>
      <c r="L20" s="4">
        <v>0</v>
      </c>
      <c r="M20" s="4">
        <v>2851</v>
      </c>
      <c r="N20" s="4">
        <v>3301</v>
      </c>
      <c r="O20" s="4">
        <v>0</v>
      </c>
      <c r="P20" s="4">
        <v>0</v>
      </c>
      <c r="Q20" s="4">
        <v>3301</v>
      </c>
      <c r="R20" s="2"/>
      <c r="S20" s="2"/>
      <c r="T20" s="2"/>
      <c r="U20" s="2" t="s">
        <v>44</v>
      </c>
      <c r="V20" s="4">
        <v>356</v>
      </c>
      <c r="W20" s="2" t="s">
        <v>45</v>
      </c>
      <c r="X20" s="3">
        <v>45211</v>
      </c>
      <c r="Y20" s="5">
        <v>371</v>
      </c>
      <c r="Z20" s="3" t="s">
        <v>46</v>
      </c>
      <c r="AA20" s="6">
        <v>3301</v>
      </c>
      <c r="AB20" s="6">
        <v>0</v>
      </c>
      <c r="AC20" s="6">
        <v>3301</v>
      </c>
      <c r="AD20" s="6"/>
      <c r="AE20" s="2" t="s">
        <v>47</v>
      </c>
      <c r="AF20" s="2"/>
      <c r="AG20" s="2" t="s">
        <v>47</v>
      </c>
      <c r="AH20" s="2"/>
      <c r="AI20" s="2"/>
      <c r="AJ20" s="2" t="s">
        <v>48</v>
      </c>
      <c r="AK20" s="2"/>
      <c r="AL20" s="2" t="s">
        <v>49</v>
      </c>
    </row>
    <row r="21" spans="1:38" x14ac:dyDescent="0.25">
      <c r="A21" s="2" t="s">
        <v>86</v>
      </c>
      <c r="B21" s="2"/>
      <c r="C21" s="2" t="s">
        <v>39</v>
      </c>
      <c r="D21" s="3">
        <v>45212</v>
      </c>
      <c r="E21" s="3">
        <v>45212</v>
      </c>
      <c r="F21" s="3">
        <v>45578</v>
      </c>
      <c r="G21" s="2" t="s">
        <v>40</v>
      </c>
      <c r="H21" s="2" t="s">
        <v>87</v>
      </c>
      <c r="I21" s="2">
        <v>4400</v>
      </c>
      <c r="J21" s="2" t="s">
        <v>42</v>
      </c>
      <c r="K21" s="2" t="s">
        <v>43</v>
      </c>
      <c r="L21" s="4">
        <v>0</v>
      </c>
      <c r="M21" s="4">
        <v>3816</v>
      </c>
      <c r="N21" s="4">
        <v>4400</v>
      </c>
      <c r="O21" s="4">
        <v>0</v>
      </c>
      <c r="P21" s="4">
        <v>0</v>
      </c>
      <c r="Q21" s="4">
        <v>4400</v>
      </c>
      <c r="R21" s="2"/>
      <c r="S21" s="2"/>
      <c r="T21" s="2"/>
      <c r="U21" s="2" t="s">
        <v>44</v>
      </c>
      <c r="V21" s="4">
        <v>477</v>
      </c>
      <c r="W21" s="2" t="s">
        <v>45</v>
      </c>
      <c r="X21" s="3">
        <v>45212</v>
      </c>
      <c r="Y21" s="5">
        <v>370</v>
      </c>
      <c r="Z21" s="3" t="s">
        <v>46</v>
      </c>
      <c r="AA21" s="6">
        <v>4400</v>
      </c>
      <c r="AB21" s="6">
        <v>0</v>
      </c>
      <c r="AC21" s="6">
        <v>4400</v>
      </c>
      <c r="AD21" s="6"/>
      <c r="AE21" s="2" t="s">
        <v>47</v>
      </c>
      <c r="AF21" s="2"/>
      <c r="AG21" s="2" t="s">
        <v>47</v>
      </c>
      <c r="AH21" s="2"/>
      <c r="AI21" s="2"/>
      <c r="AJ21" s="2" t="s">
        <v>48</v>
      </c>
      <c r="AK21" s="2"/>
      <c r="AL21" s="2" t="s">
        <v>49</v>
      </c>
    </row>
    <row r="22" spans="1:38" x14ac:dyDescent="0.25">
      <c r="A22" s="2" t="s">
        <v>88</v>
      </c>
      <c r="B22" s="2"/>
      <c r="C22" s="2" t="s">
        <v>39</v>
      </c>
      <c r="D22" s="3">
        <v>45212</v>
      </c>
      <c r="E22" s="3">
        <v>45212</v>
      </c>
      <c r="F22" s="3">
        <v>45578</v>
      </c>
      <c r="G22" s="2" t="s">
        <v>40</v>
      </c>
      <c r="H22" s="2" t="s">
        <v>89</v>
      </c>
      <c r="I22" s="2">
        <v>2560</v>
      </c>
      <c r="J22" s="2" t="s">
        <v>42</v>
      </c>
      <c r="K22" s="2" t="s">
        <v>43</v>
      </c>
      <c r="L22" s="4">
        <v>0</v>
      </c>
      <c r="M22" s="4">
        <v>2202</v>
      </c>
      <c r="N22" s="4">
        <v>2560</v>
      </c>
      <c r="O22" s="4">
        <v>0</v>
      </c>
      <c r="P22" s="4">
        <v>0</v>
      </c>
      <c r="Q22" s="4">
        <v>2560</v>
      </c>
      <c r="R22" s="2"/>
      <c r="S22" s="2"/>
      <c r="T22" s="2"/>
      <c r="U22" s="2" t="s">
        <v>44</v>
      </c>
      <c r="V22" s="4">
        <v>275</v>
      </c>
      <c r="W22" s="2" t="s">
        <v>45</v>
      </c>
      <c r="X22" s="3">
        <v>45212</v>
      </c>
      <c r="Y22" s="5">
        <v>370</v>
      </c>
      <c r="Z22" s="3" t="s">
        <v>46</v>
      </c>
      <c r="AA22" s="6">
        <v>2560</v>
      </c>
      <c r="AB22" s="6">
        <v>0</v>
      </c>
      <c r="AC22" s="6">
        <v>2560</v>
      </c>
      <c r="AD22" s="6"/>
      <c r="AE22" s="2" t="s">
        <v>47</v>
      </c>
      <c r="AF22" s="2"/>
      <c r="AG22" s="2" t="s">
        <v>47</v>
      </c>
      <c r="AH22" s="2"/>
      <c r="AI22" s="2"/>
      <c r="AJ22" s="2" t="s">
        <v>48</v>
      </c>
      <c r="AK22" s="2"/>
      <c r="AL22" s="2" t="s">
        <v>49</v>
      </c>
    </row>
    <row r="23" spans="1:38" x14ac:dyDescent="0.25">
      <c r="A23" s="2" t="s">
        <v>90</v>
      </c>
      <c r="B23" s="2"/>
      <c r="C23" s="2" t="s">
        <v>39</v>
      </c>
      <c r="D23" s="3">
        <v>45212</v>
      </c>
      <c r="E23" s="3">
        <v>45212</v>
      </c>
      <c r="F23" s="3">
        <v>45578</v>
      </c>
      <c r="G23" s="2" t="s">
        <v>40</v>
      </c>
      <c r="H23" s="2" t="s">
        <v>91</v>
      </c>
      <c r="I23" s="2">
        <v>4400</v>
      </c>
      <c r="J23" s="2" t="s">
        <v>42</v>
      </c>
      <c r="K23" s="2" t="s">
        <v>43</v>
      </c>
      <c r="L23" s="4">
        <v>0</v>
      </c>
      <c r="M23" s="4">
        <v>3816</v>
      </c>
      <c r="N23" s="4">
        <v>4400</v>
      </c>
      <c r="O23" s="4">
        <v>0</v>
      </c>
      <c r="P23" s="4">
        <v>0</v>
      </c>
      <c r="Q23" s="4">
        <v>4400</v>
      </c>
      <c r="R23" s="2"/>
      <c r="S23" s="2"/>
      <c r="T23" s="2"/>
      <c r="U23" s="2" t="s">
        <v>44</v>
      </c>
      <c r="V23" s="4">
        <v>477</v>
      </c>
      <c r="W23" s="2" t="s">
        <v>45</v>
      </c>
      <c r="X23" s="3">
        <v>45212</v>
      </c>
      <c r="Y23" s="5">
        <v>370</v>
      </c>
      <c r="Z23" s="3" t="s">
        <v>46</v>
      </c>
      <c r="AA23" s="6">
        <v>4400</v>
      </c>
      <c r="AB23" s="6">
        <v>0</v>
      </c>
      <c r="AC23" s="6">
        <v>4400</v>
      </c>
      <c r="AD23" s="6"/>
      <c r="AE23" s="2" t="s">
        <v>47</v>
      </c>
      <c r="AF23" s="2"/>
      <c r="AG23" s="2" t="s">
        <v>47</v>
      </c>
      <c r="AH23" s="2"/>
      <c r="AI23" s="2"/>
      <c r="AJ23" s="2" t="s">
        <v>48</v>
      </c>
      <c r="AK23" s="2"/>
      <c r="AL23" s="2" t="s">
        <v>49</v>
      </c>
    </row>
    <row r="24" spans="1:38" x14ac:dyDescent="0.25">
      <c r="A24" s="2" t="s">
        <v>92</v>
      </c>
      <c r="B24" s="2"/>
      <c r="C24" s="2" t="s">
        <v>39</v>
      </c>
      <c r="D24" s="3">
        <v>45212</v>
      </c>
      <c r="E24" s="3">
        <v>45212</v>
      </c>
      <c r="F24" s="3">
        <v>45395</v>
      </c>
      <c r="G24" s="2" t="s">
        <v>40</v>
      </c>
      <c r="H24" s="2" t="s">
        <v>93</v>
      </c>
      <c r="I24" s="2">
        <v>3025</v>
      </c>
      <c r="J24" s="2" t="s">
        <v>42</v>
      </c>
      <c r="K24" s="2" t="s">
        <v>43</v>
      </c>
      <c r="L24" s="4">
        <v>0</v>
      </c>
      <c r="M24" s="4">
        <v>2610</v>
      </c>
      <c r="N24" s="4">
        <v>3025</v>
      </c>
      <c r="O24" s="4">
        <v>0</v>
      </c>
      <c r="P24" s="4">
        <v>0</v>
      </c>
      <c r="Q24" s="4">
        <v>3025</v>
      </c>
      <c r="R24" s="2"/>
      <c r="S24" s="2"/>
      <c r="T24" s="2"/>
      <c r="U24" s="2" t="s">
        <v>44</v>
      </c>
      <c r="V24" s="4">
        <v>326</v>
      </c>
      <c r="W24" s="2" t="s">
        <v>45</v>
      </c>
      <c r="X24" s="3">
        <v>45212</v>
      </c>
      <c r="Y24" s="5">
        <v>370</v>
      </c>
      <c r="Z24" s="3" t="s">
        <v>46</v>
      </c>
      <c r="AA24" s="6">
        <v>3025</v>
      </c>
      <c r="AB24" s="6">
        <v>0</v>
      </c>
      <c r="AC24" s="6">
        <v>3025</v>
      </c>
      <c r="AD24" s="6"/>
      <c r="AE24" s="2" t="s">
        <v>47</v>
      </c>
      <c r="AF24" s="2"/>
      <c r="AG24" s="2" t="s">
        <v>47</v>
      </c>
      <c r="AH24" s="2"/>
      <c r="AI24" s="2"/>
      <c r="AJ24" s="2" t="s">
        <v>48</v>
      </c>
      <c r="AK24" s="2"/>
      <c r="AL24" s="2" t="s">
        <v>49</v>
      </c>
    </row>
    <row r="25" spans="1:38" x14ac:dyDescent="0.25">
      <c r="A25" s="2" t="s">
        <v>94</v>
      </c>
      <c r="B25" s="2"/>
      <c r="C25" s="2" t="s">
        <v>39</v>
      </c>
      <c r="D25" s="3">
        <v>45213</v>
      </c>
      <c r="E25" s="3">
        <v>45213</v>
      </c>
      <c r="F25" s="3">
        <v>45579</v>
      </c>
      <c r="G25" s="2" t="s">
        <v>40</v>
      </c>
      <c r="H25" s="2" t="s">
        <v>95</v>
      </c>
      <c r="I25" s="2">
        <v>4396</v>
      </c>
      <c r="J25" s="2" t="s">
        <v>42</v>
      </c>
      <c r="K25" s="2" t="s">
        <v>43</v>
      </c>
      <c r="L25" s="4">
        <v>0</v>
      </c>
      <c r="M25" s="4">
        <v>3816</v>
      </c>
      <c r="N25" s="4">
        <v>4400</v>
      </c>
      <c r="O25" s="4">
        <v>0</v>
      </c>
      <c r="P25" s="4">
        <v>0</v>
      </c>
      <c r="Q25" s="4">
        <v>4400</v>
      </c>
      <c r="R25" s="2"/>
      <c r="S25" s="2"/>
      <c r="T25" s="2"/>
      <c r="U25" s="2" t="s">
        <v>44</v>
      </c>
      <c r="V25" s="4">
        <v>477</v>
      </c>
      <c r="W25" s="2" t="s">
        <v>45</v>
      </c>
      <c r="X25" s="3">
        <v>45213</v>
      </c>
      <c r="Y25" s="5">
        <v>369</v>
      </c>
      <c r="Z25" s="3" t="s">
        <v>46</v>
      </c>
      <c r="AA25" s="6">
        <v>4400</v>
      </c>
      <c r="AB25" s="6">
        <v>0</v>
      </c>
      <c r="AC25" s="6">
        <v>4400</v>
      </c>
      <c r="AD25" s="6"/>
      <c r="AE25" s="2" t="s">
        <v>47</v>
      </c>
      <c r="AF25" s="2"/>
      <c r="AG25" s="2" t="s">
        <v>47</v>
      </c>
      <c r="AH25" s="2"/>
      <c r="AI25" s="2"/>
      <c r="AJ25" s="2" t="s">
        <v>48</v>
      </c>
      <c r="AK25" s="2"/>
      <c r="AL25" s="2" t="s">
        <v>49</v>
      </c>
    </row>
    <row r="26" spans="1:38" x14ac:dyDescent="0.25">
      <c r="A26" s="2" t="s">
        <v>96</v>
      </c>
      <c r="B26" s="2"/>
      <c r="C26" s="2" t="s">
        <v>39</v>
      </c>
      <c r="D26" s="3">
        <v>45213</v>
      </c>
      <c r="E26" s="3">
        <v>45213</v>
      </c>
      <c r="F26" s="3">
        <v>45579</v>
      </c>
      <c r="G26" s="2" t="s">
        <v>40</v>
      </c>
      <c r="H26" s="2" t="s">
        <v>97</v>
      </c>
      <c r="I26" s="2">
        <v>4396</v>
      </c>
      <c r="J26" s="2" t="s">
        <v>42</v>
      </c>
      <c r="K26" s="2" t="s">
        <v>43</v>
      </c>
      <c r="L26" s="4">
        <v>0</v>
      </c>
      <c r="M26" s="4">
        <v>3816</v>
      </c>
      <c r="N26" s="4">
        <v>4400</v>
      </c>
      <c r="O26" s="4">
        <v>0</v>
      </c>
      <c r="P26" s="4">
        <v>0</v>
      </c>
      <c r="Q26" s="4">
        <v>4400</v>
      </c>
      <c r="R26" s="2"/>
      <c r="S26" s="2"/>
      <c r="T26" s="2"/>
      <c r="U26" s="2" t="s">
        <v>44</v>
      </c>
      <c r="V26" s="4">
        <v>477</v>
      </c>
      <c r="W26" s="2" t="s">
        <v>45</v>
      </c>
      <c r="X26" s="3">
        <v>45213</v>
      </c>
      <c r="Y26" s="5">
        <v>369</v>
      </c>
      <c r="Z26" s="3" t="s">
        <v>46</v>
      </c>
      <c r="AA26" s="6">
        <v>4400</v>
      </c>
      <c r="AB26" s="6">
        <v>0</v>
      </c>
      <c r="AC26" s="6">
        <v>4400</v>
      </c>
      <c r="AD26" s="6"/>
      <c r="AE26" s="2" t="s">
        <v>47</v>
      </c>
      <c r="AF26" s="2"/>
      <c r="AG26" s="2" t="s">
        <v>47</v>
      </c>
      <c r="AH26" s="2"/>
      <c r="AI26" s="2"/>
      <c r="AJ26" s="2" t="s">
        <v>48</v>
      </c>
      <c r="AK26" s="2"/>
      <c r="AL26" s="2" t="s">
        <v>49</v>
      </c>
    </row>
    <row r="27" spans="1:38" x14ac:dyDescent="0.25">
      <c r="A27" s="2" t="s">
        <v>98</v>
      </c>
      <c r="B27" s="2"/>
      <c r="C27" s="2" t="s">
        <v>39</v>
      </c>
      <c r="D27" s="3">
        <v>45213</v>
      </c>
      <c r="E27" s="3">
        <v>45213</v>
      </c>
      <c r="F27" s="3">
        <v>45579</v>
      </c>
      <c r="G27" s="2" t="s">
        <v>40</v>
      </c>
      <c r="H27" s="2" t="s">
        <v>99</v>
      </c>
      <c r="I27" s="2">
        <v>4396</v>
      </c>
      <c r="J27" s="2" t="s">
        <v>42</v>
      </c>
      <c r="K27" s="2" t="s">
        <v>43</v>
      </c>
      <c r="L27" s="4">
        <v>0</v>
      </c>
      <c r="M27" s="4">
        <v>3816</v>
      </c>
      <c r="N27" s="4">
        <v>4400</v>
      </c>
      <c r="O27" s="4">
        <v>0</v>
      </c>
      <c r="P27" s="4">
        <v>0</v>
      </c>
      <c r="Q27" s="4">
        <v>4400</v>
      </c>
      <c r="R27" s="2"/>
      <c r="S27" s="2"/>
      <c r="T27" s="2"/>
      <c r="U27" s="2" t="s">
        <v>44</v>
      </c>
      <c r="V27" s="4">
        <v>477</v>
      </c>
      <c r="W27" s="2" t="s">
        <v>45</v>
      </c>
      <c r="X27" s="3">
        <v>45213</v>
      </c>
      <c r="Y27" s="5">
        <v>369</v>
      </c>
      <c r="Z27" s="3" t="s">
        <v>46</v>
      </c>
      <c r="AA27" s="6">
        <v>4400</v>
      </c>
      <c r="AB27" s="6">
        <v>0</v>
      </c>
      <c r="AC27" s="6">
        <v>4400</v>
      </c>
      <c r="AD27" s="6"/>
      <c r="AE27" s="2" t="s">
        <v>47</v>
      </c>
      <c r="AF27" s="2"/>
      <c r="AG27" s="2" t="s">
        <v>47</v>
      </c>
      <c r="AH27" s="2"/>
      <c r="AI27" s="2"/>
      <c r="AJ27" s="2" t="s">
        <v>48</v>
      </c>
      <c r="AK27" s="2"/>
      <c r="AL27" s="2" t="s">
        <v>49</v>
      </c>
    </row>
    <row r="28" spans="1:38" x14ac:dyDescent="0.25">
      <c r="A28" s="2" t="s">
        <v>100</v>
      </c>
      <c r="B28" s="2"/>
      <c r="C28" s="2" t="s">
        <v>39</v>
      </c>
      <c r="D28" s="3">
        <v>45213</v>
      </c>
      <c r="E28" s="3">
        <v>45213</v>
      </c>
      <c r="F28" s="3">
        <v>45579</v>
      </c>
      <c r="G28" s="2" t="s">
        <v>40</v>
      </c>
      <c r="H28" s="2" t="s">
        <v>101</v>
      </c>
      <c r="I28" s="2">
        <v>4396</v>
      </c>
      <c r="J28" s="2" t="s">
        <v>42</v>
      </c>
      <c r="K28" s="2" t="s">
        <v>43</v>
      </c>
      <c r="L28" s="4">
        <v>0</v>
      </c>
      <c r="M28" s="4">
        <v>3816</v>
      </c>
      <c r="N28" s="4">
        <v>4400</v>
      </c>
      <c r="O28" s="4">
        <v>0</v>
      </c>
      <c r="P28" s="4">
        <v>0</v>
      </c>
      <c r="Q28" s="4">
        <v>4400</v>
      </c>
      <c r="R28" s="2"/>
      <c r="S28" s="2"/>
      <c r="T28" s="2"/>
      <c r="U28" s="2" t="s">
        <v>44</v>
      </c>
      <c r="V28" s="4">
        <v>477</v>
      </c>
      <c r="W28" s="2" t="s">
        <v>45</v>
      </c>
      <c r="X28" s="3">
        <v>45213</v>
      </c>
      <c r="Y28" s="5">
        <v>369</v>
      </c>
      <c r="Z28" s="3" t="s">
        <v>46</v>
      </c>
      <c r="AA28" s="6">
        <v>4400</v>
      </c>
      <c r="AB28" s="6">
        <v>0</v>
      </c>
      <c r="AC28" s="6">
        <v>4400</v>
      </c>
      <c r="AD28" s="6"/>
      <c r="AE28" s="2" t="s">
        <v>47</v>
      </c>
      <c r="AF28" s="2"/>
      <c r="AG28" s="2" t="s">
        <v>47</v>
      </c>
      <c r="AH28" s="2"/>
      <c r="AI28" s="2"/>
      <c r="AJ28" s="2" t="s">
        <v>48</v>
      </c>
      <c r="AK28" s="2"/>
      <c r="AL28" s="2" t="s">
        <v>49</v>
      </c>
    </row>
    <row r="29" spans="1:38" x14ac:dyDescent="0.25">
      <c r="A29" s="2" t="s">
        <v>102</v>
      </c>
      <c r="B29" s="2"/>
      <c r="C29" s="2" t="s">
        <v>39</v>
      </c>
      <c r="D29" s="3">
        <v>45215</v>
      </c>
      <c r="E29" s="3">
        <v>45215</v>
      </c>
      <c r="F29" s="3">
        <v>45581</v>
      </c>
      <c r="G29" s="2" t="s">
        <v>40</v>
      </c>
      <c r="H29" s="2" t="s">
        <v>103</v>
      </c>
      <c r="I29" s="2">
        <v>4396</v>
      </c>
      <c r="J29" s="2" t="s">
        <v>42</v>
      </c>
      <c r="K29" s="2" t="s">
        <v>43</v>
      </c>
      <c r="L29" s="4">
        <v>0</v>
      </c>
      <c r="M29" s="4">
        <v>3816</v>
      </c>
      <c r="N29" s="4">
        <v>4400</v>
      </c>
      <c r="O29" s="4">
        <v>0</v>
      </c>
      <c r="P29" s="4">
        <v>0</v>
      </c>
      <c r="Q29" s="4">
        <v>4400</v>
      </c>
      <c r="R29" s="2"/>
      <c r="S29" s="2"/>
      <c r="T29" s="2"/>
      <c r="U29" s="2" t="s">
        <v>44</v>
      </c>
      <c r="V29" s="4">
        <v>477</v>
      </c>
      <c r="W29" s="2" t="s">
        <v>45</v>
      </c>
      <c r="X29" s="3">
        <v>45215</v>
      </c>
      <c r="Y29" s="5">
        <v>367</v>
      </c>
      <c r="Z29" s="3" t="s">
        <v>46</v>
      </c>
      <c r="AA29" s="6">
        <v>4400</v>
      </c>
      <c r="AB29" s="6">
        <v>0</v>
      </c>
      <c r="AC29" s="6">
        <v>4400</v>
      </c>
      <c r="AD29" s="6"/>
      <c r="AE29" s="2" t="s">
        <v>47</v>
      </c>
      <c r="AF29" s="2"/>
      <c r="AG29" s="2" t="s">
        <v>47</v>
      </c>
      <c r="AH29" s="2"/>
      <c r="AI29" s="2"/>
      <c r="AJ29" s="2" t="s">
        <v>48</v>
      </c>
      <c r="AK29" s="2"/>
      <c r="AL29" s="2" t="s">
        <v>49</v>
      </c>
    </row>
    <row r="30" spans="1:38" x14ac:dyDescent="0.25">
      <c r="A30" s="2" t="s">
        <v>104</v>
      </c>
      <c r="B30" s="2"/>
      <c r="C30" s="2" t="s">
        <v>39</v>
      </c>
      <c r="D30" s="3">
        <v>45215</v>
      </c>
      <c r="E30" s="3">
        <v>45215</v>
      </c>
      <c r="F30" s="3">
        <v>45581</v>
      </c>
      <c r="G30" s="2" t="s">
        <v>40</v>
      </c>
      <c r="H30" s="2" t="s">
        <v>105</v>
      </c>
      <c r="I30" s="2">
        <v>4396</v>
      </c>
      <c r="J30" s="2" t="s">
        <v>42</v>
      </c>
      <c r="K30" s="2" t="s">
        <v>43</v>
      </c>
      <c r="L30" s="4">
        <v>0</v>
      </c>
      <c r="M30" s="4">
        <v>3816</v>
      </c>
      <c r="N30" s="4">
        <v>4400</v>
      </c>
      <c r="O30" s="4">
        <v>0</v>
      </c>
      <c r="P30" s="4">
        <v>0</v>
      </c>
      <c r="Q30" s="4">
        <v>4400</v>
      </c>
      <c r="R30" s="2"/>
      <c r="S30" s="2"/>
      <c r="T30" s="2"/>
      <c r="U30" s="2" t="s">
        <v>44</v>
      </c>
      <c r="V30" s="4">
        <v>477</v>
      </c>
      <c r="W30" s="2" t="s">
        <v>45</v>
      </c>
      <c r="X30" s="3">
        <v>45215</v>
      </c>
      <c r="Y30" s="5">
        <v>367</v>
      </c>
      <c r="Z30" s="3" t="s">
        <v>46</v>
      </c>
      <c r="AA30" s="6">
        <v>4400</v>
      </c>
      <c r="AB30" s="6">
        <v>0</v>
      </c>
      <c r="AC30" s="6">
        <v>4400</v>
      </c>
      <c r="AD30" s="6"/>
      <c r="AE30" s="2" t="s">
        <v>47</v>
      </c>
      <c r="AF30" s="2"/>
      <c r="AG30" s="2" t="s">
        <v>47</v>
      </c>
      <c r="AH30" s="2"/>
      <c r="AI30" s="2"/>
      <c r="AJ30" s="2" t="s">
        <v>48</v>
      </c>
      <c r="AK30" s="2"/>
      <c r="AL30" s="2" t="s">
        <v>49</v>
      </c>
    </row>
    <row r="31" spans="1:38" x14ac:dyDescent="0.25">
      <c r="A31" s="2" t="s">
        <v>106</v>
      </c>
      <c r="B31" s="2"/>
      <c r="C31" s="2" t="s">
        <v>39</v>
      </c>
      <c r="D31" s="3">
        <v>45216</v>
      </c>
      <c r="E31" s="3">
        <v>45216</v>
      </c>
      <c r="F31" s="3">
        <v>45582</v>
      </c>
      <c r="G31" s="2" t="s">
        <v>40</v>
      </c>
      <c r="H31" s="2" t="s">
        <v>107</v>
      </c>
      <c r="I31" s="2">
        <v>4400</v>
      </c>
      <c r="J31" s="2" t="s">
        <v>42</v>
      </c>
      <c r="K31" s="2" t="s">
        <v>43</v>
      </c>
      <c r="L31" s="4">
        <v>0</v>
      </c>
      <c r="M31" s="4">
        <v>3816</v>
      </c>
      <c r="N31" s="4">
        <v>4400</v>
      </c>
      <c r="O31" s="4">
        <v>0</v>
      </c>
      <c r="P31" s="4">
        <v>0</v>
      </c>
      <c r="Q31" s="4">
        <v>4400</v>
      </c>
      <c r="R31" s="2"/>
      <c r="S31" s="2"/>
      <c r="T31" s="2"/>
      <c r="U31" s="2" t="s">
        <v>44</v>
      </c>
      <c r="V31" s="4">
        <v>477</v>
      </c>
      <c r="W31" s="2" t="s">
        <v>45</v>
      </c>
      <c r="X31" s="3">
        <v>45216</v>
      </c>
      <c r="Y31" s="5">
        <v>366</v>
      </c>
      <c r="Z31" s="3" t="s">
        <v>46</v>
      </c>
      <c r="AA31" s="6">
        <v>4400</v>
      </c>
      <c r="AB31" s="6">
        <v>0</v>
      </c>
      <c r="AC31" s="6">
        <v>4400</v>
      </c>
      <c r="AD31" s="6"/>
      <c r="AE31" s="2" t="s">
        <v>47</v>
      </c>
      <c r="AF31" s="2"/>
      <c r="AG31" s="2" t="s">
        <v>47</v>
      </c>
      <c r="AH31" s="2"/>
      <c r="AI31" s="2"/>
      <c r="AJ31" s="2" t="s">
        <v>48</v>
      </c>
      <c r="AK31" s="2"/>
      <c r="AL31" s="2" t="s">
        <v>49</v>
      </c>
    </row>
    <row r="32" spans="1:38" x14ac:dyDescent="0.25">
      <c r="A32" s="2" t="s">
        <v>108</v>
      </c>
      <c r="B32" s="2"/>
      <c r="C32" s="2" t="s">
        <v>39</v>
      </c>
      <c r="D32" s="3">
        <v>45216</v>
      </c>
      <c r="E32" s="3">
        <v>45216</v>
      </c>
      <c r="F32" s="3">
        <v>45582</v>
      </c>
      <c r="G32" s="2" t="s">
        <v>40</v>
      </c>
      <c r="H32" s="2" t="s">
        <v>109</v>
      </c>
      <c r="I32" s="2">
        <v>4396</v>
      </c>
      <c r="J32" s="2" t="s">
        <v>42</v>
      </c>
      <c r="K32" s="2" t="s">
        <v>43</v>
      </c>
      <c r="L32" s="4">
        <v>0</v>
      </c>
      <c r="M32" s="4">
        <v>3816</v>
      </c>
      <c r="N32" s="4">
        <v>4400</v>
      </c>
      <c r="O32" s="4">
        <v>0</v>
      </c>
      <c r="P32" s="4">
        <v>0</v>
      </c>
      <c r="Q32" s="4">
        <v>4400</v>
      </c>
      <c r="R32" s="2"/>
      <c r="S32" s="2"/>
      <c r="T32" s="2"/>
      <c r="U32" s="2" t="s">
        <v>44</v>
      </c>
      <c r="V32" s="4">
        <v>477</v>
      </c>
      <c r="W32" s="2" t="s">
        <v>45</v>
      </c>
      <c r="X32" s="3">
        <v>45216</v>
      </c>
      <c r="Y32" s="5">
        <v>366</v>
      </c>
      <c r="Z32" s="3" t="s">
        <v>46</v>
      </c>
      <c r="AA32" s="6">
        <v>4400</v>
      </c>
      <c r="AB32" s="6">
        <v>0</v>
      </c>
      <c r="AC32" s="6">
        <v>4400</v>
      </c>
      <c r="AD32" s="6"/>
      <c r="AE32" s="2" t="s">
        <v>47</v>
      </c>
      <c r="AF32" s="2"/>
      <c r="AG32" s="2" t="s">
        <v>47</v>
      </c>
      <c r="AH32" s="2"/>
      <c r="AI32" s="2"/>
      <c r="AJ32" s="2" t="s">
        <v>48</v>
      </c>
      <c r="AK32" s="2"/>
      <c r="AL32" s="2" t="s">
        <v>49</v>
      </c>
    </row>
    <row r="33" spans="1:38" x14ac:dyDescent="0.25">
      <c r="A33" s="2" t="s">
        <v>110</v>
      </c>
      <c r="B33" s="2"/>
      <c r="C33" s="2" t="s">
        <v>39</v>
      </c>
      <c r="D33" s="3">
        <v>45216</v>
      </c>
      <c r="E33" s="3">
        <v>45216</v>
      </c>
      <c r="F33" s="3">
        <v>45582</v>
      </c>
      <c r="G33" s="2" t="s">
        <v>40</v>
      </c>
      <c r="H33" s="2" t="s">
        <v>111</v>
      </c>
      <c r="I33" s="2">
        <v>2560</v>
      </c>
      <c r="J33" s="2" t="s">
        <v>42</v>
      </c>
      <c r="K33" s="2" t="s">
        <v>43</v>
      </c>
      <c r="L33" s="4">
        <v>0</v>
      </c>
      <c r="M33" s="4">
        <v>2202</v>
      </c>
      <c r="N33" s="4">
        <v>2560</v>
      </c>
      <c r="O33" s="4">
        <v>0</v>
      </c>
      <c r="P33" s="4">
        <v>0</v>
      </c>
      <c r="Q33" s="4">
        <v>2560</v>
      </c>
      <c r="R33" s="2"/>
      <c r="S33" s="2"/>
      <c r="T33" s="2"/>
      <c r="U33" s="2" t="s">
        <v>44</v>
      </c>
      <c r="V33" s="4">
        <v>275</v>
      </c>
      <c r="W33" s="2" t="s">
        <v>45</v>
      </c>
      <c r="X33" s="3">
        <v>45216</v>
      </c>
      <c r="Y33" s="5">
        <v>366</v>
      </c>
      <c r="Z33" s="3" t="s">
        <v>46</v>
      </c>
      <c r="AA33" s="6">
        <v>2560</v>
      </c>
      <c r="AB33" s="6">
        <v>0</v>
      </c>
      <c r="AC33" s="6">
        <v>2560</v>
      </c>
      <c r="AD33" s="6"/>
      <c r="AE33" s="2" t="s">
        <v>47</v>
      </c>
      <c r="AF33" s="2"/>
      <c r="AG33" s="2" t="s">
        <v>47</v>
      </c>
      <c r="AH33" s="2"/>
      <c r="AI33" s="2"/>
      <c r="AJ33" s="2" t="s">
        <v>48</v>
      </c>
      <c r="AK33" s="2"/>
      <c r="AL33" s="2" t="s">
        <v>49</v>
      </c>
    </row>
    <row r="34" spans="1:38" x14ac:dyDescent="0.25">
      <c r="A34" s="2" t="s">
        <v>112</v>
      </c>
      <c r="B34" s="2"/>
      <c r="C34" s="2" t="s">
        <v>39</v>
      </c>
      <c r="D34" s="3">
        <v>45217</v>
      </c>
      <c r="E34" s="3">
        <v>45217</v>
      </c>
      <c r="F34" s="3">
        <v>45583</v>
      </c>
      <c r="G34" s="2" t="s">
        <v>40</v>
      </c>
      <c r="H34" s="2" t="s">
        <v>113</v>
      </c>
      <c r="I34" s="2">
        <v>4396</v>
      </c>
      <c r="J34" s="2" t="s">
        <v>42</v>
      </c>
      <c r="K34" s="2" t="s">
        <v>43</v>
      </c>
      <c r="L34" s="4">
        <v>0</v>
      </c>
      <c r="M34" s="4">
        <v>3816</v>
      </c>
      <c r="N34" s="4">
        <v>4400</v>
      </c>
      <c r="O34" s="4">
        <v>0</v>
      </c>
      <c r="P34" s="4">
        <v>0</v>
      </c>
      <c r="Q34" s="4">
        <v>4400</v>
      </c>
      <c r="R34" s="2"/>
      <c r="S34" s="2"/>
      <c r="T34" s="2"/>
      <c r="U34" s="2" t="s">
        <v>44</v>
      </c>
      <c r="V34" s="4">
        <v>477</v>
      </c>
      <c r="W34" s="2" t="s">
        <v>45</v>
      </c>
      <c r="X34" s="3">
        <v>45217</v>
      </c>
      <c r="Y34" s="5">
        <v>365</v>
      </c>
      <c r="Z34" s="3" t="s">
        <v>114</v>
      </c>
      <c r="AA34" s="6">
        <v>4400</v>
      </c>
      <c r="AB34" s="6">
        <v>0</v>
      </c>
      <c r="AC34" s="6">
        <v>4400</v>
      </c>
      <c r="AD34" s="6"/>
      <c r="AE34" s="2" t="s">
        <v>47</v>
      </c>
      <c r="AF34" s="2"/>
      <c r="AG34" s="2" t="s">
        <v>47</v>
      </c>
      <c r="AH34" s="2"/>
      <c r="AI34" s="2"/>
      <c r="AJ34" s="2" t="s">
        <v>48</v>
      </c>
      <c r="AK34" s="2"/>
      <c r="AL34" s="2" t="s">
        <v>49</v>
      </c>
    </row>
    <row r="35" spans="1:38" x14ac:dyDescent="0.25">
      <c r="A35" s="2" t="s">
        <v>115</v>
      </c>
      <c r="B35" s="2"/>
      <c r="C35" s="2" t="s">
        <v>39</v>
      </c>
      <c r="D35" s="3">
        <v>45217</v>
      </c>
      <c r="E35" s="3">
        <v>45217</v>
      </c>
      <c r="F35" s="3">
        <v>45400</v>
      </c>
      <c r="G35" s="2" t="s">
        <v>40</v>
      </c>
      <c r="H35" s="2" t="s">
        <v>116</v>
      </c>
      <c r="I35" s="2">
        <v>3025</v>
      </c>
      <c r="J35" s="2" t="s">
        <v>42</v>
      </c>
      <c r="K35" s="2" t="s">
        <v>43</v>
      </c>
      <c r="L35" s="4">
        <v>0</v>
      </c>
      <c r="M35" s="4">
        <v>2610</v>
      </c>
      <c r="N35" s="4">
        <v>3025</v>
      </c>
      <c r="O35" s="4">
        <v>0</v>
      </c>
      <c r="P35" s="4">
        <v>0</v>
      </c>
      <c r="Q35" s="4">
        <v>3025</v>
      </c>
      <c r="R35" s="2"/>
      <c r="S35" s="2"/>
      <c r="T35" s="2"/>
      <c r="U35" s="2" t="s">
        <v>44</v>
      </c>
      <c r="V35" s="4">
        <v>326</v>
      </c>
      <c r="W35" s="2" t="s">
        <v>45</v>
      </c>
      <c r="X35" s="3">
        <v>45217</v>
      </c>
      <c r="Y35" s="5">
        <v>365</v>
      </c>
      <c r="Z35" s="3" t="s">
        <v>114</v>
      </c>
      <c r="AA35" s="6">
        <v>3025</v>
      </c>
      <c r="AB35" s="6">
        <v>0</v>
      </c>
      <c r="AC35" s="6">
        <v>3025</v>
      </c>
      <c r="AD35" s="6"/>
      <c r="AE35" s="2" t="s">
        <v>47</v>
      </c>
      <c r="AF35" s="2"/>
      <c r="AG35" s="2" t="s">
        <v>47</v>
      </c>
      <c r="AH35" s="2"/>
      <c r="AI35" s="2"/>
      <c r="AJ35" s="2" t="s">
        <v>48</v>
      </c>
      <c r="AK35" s="2"/>
      <c r="AL35" s="2" t="s">
        <v>49</v>
      </c>
    </row>
    <row r="36" spans="1:38" x14ac:dyDescent="0.25">
      <c r="A36" s="2" t="s">
        <v>117</v>
      </c>
      <c r="B36" s="2"/>
      <c r="C36" s="2" t="s">
        <v>39</v>
      </c>
      <c r="D36" s="3">
        <v>45217</v>
      </c>
      <c r="E36" s="3">
        <v>45217</v>
      </c>
      <c r="F36" s="3">
        <v>45583</v>
      </c>
      <c r="G36" s="2" t="s">
        <v>40</v>
      </c>
      <c r="H36" s="2" t="s">
        <v>118</v>
      </c>
      <c r="I36" s="2">
        <v>4396</v>
      </c>
      <c r="J36" s="2" t="s">
        <v>42</v>
      </c>
      <c r="K36" s="2" t="s">
        <v>43</v>
      </c>
      <c r="L36" s="4">
        <v>0</v>
      </c>
      <c r="M36" s="4">
        <v>3816</v>
      </c>
      <c r="N36" s="4">
        <v>4400</v>
      </c>
      <c r="O36" s="4">
        <v>0</v>
      </c>
      <c r="P36" s="4">
        <v>0</v>
      </c>
      <c r="Q36" s="4">
        <v>4400</v>
      </c>
      <c r="R36" s="2"/>
      <c r="S36" s="2"/>
      <c r="T36" s="2"/>
      <c r="U36" s="2" t="s">
        <v>44</v>
      </c>
      <c r="V36" s="4">
        <v>477</v>
      </c>
      <c r="W36" s="2" t="s">
        <v>45</v>
      </c>
      <c r="X36" s="3">
        <v>45217</v>
      </c>
      <c r="Y36" s="5">
        <v>365</v>
      </c>
      <c r="Z36" s="3" t="s">
        <v>114</v>
      </c>
      <c r="AA36" s="6">
        <v>4400</v>
      </c>
      <c r="AB36" s="6">
        <v>0</v>
      </c>
      <c r="AC36" s="6">
        <v>4400</v>
      </c>
      <c r="AD36" s="6"/>
      <c r="AE36" s="2" t="s">
        <v>47</v>
      </c>
      <c r="AF36" s="2"/>
      <c r="AG36" s="2" t="s">
        <v>47</v>
      </c>
      <c r="AH36" s="2"/>
      <c r="AI36" s="2"/>
      <c r="AJ36" s="2" t="s">
        <v>48</v>
      </c>
      <c r="AK36" s="2"/>
      <c r="AL36" s="2" t="s">
        <v>49</v>
      </c>
    </row>
    <row r="37" spans="1:38" x14ac:dyDescent="0.25">
      <c r="A37" s="2" t="s">
        <v>119</v>
      </c>
      <c r="B37" s="2"/>
      <c r="C37" s="2" t="s">
        <v>39</v>
      </c>
      <c r="D37" s="3">
        <v>45217</v>
      </c>
      <c r="E37" s="3">
        <v>45217</v>
      </c>
      <c r="F37" s="3">
        <v>45400</v>
      </c>
      <c r="G37" s="2" t="s">
        <v>40</v>
      </c>
      <c r="H37" s="2" t="s">
        <v>120</v>
      </c>
      <c r="I37" s="2">
        <v>3025</v>
      </c>
      <c r="J37" s="2" t="s">
        <v>42</v>
      </c>
      <c r="K37" s="2" t="s">
        <v>43</v>
      </c>
      <c r="L37" s="4">
        <v>0</v>
      </c>
      <c r="M37" s="4">
        <v>2610</v>
      </c>
      <c r="N37" s="4">
        <v>3025</v>
      </c>
      <c r="O37" s="4">
        <v>0</v>
      </c>
      <c r="P37" s="4">
        <v>0</v>
      </c>
      <c r="Q37" s="4">
        <v>3025</v>
      </c>
      <c r="R37" s="2"/>
      <c r="S37" s="2"/>
      <c r="T37" s="2"/>
      <c r="U37" s="2" t="s">
        <v>44</v>
      </c>
      <c r="V37" s="4">
        <v>326</v>
      </c>
      <c r="W37" s="2" t="s">
        <v>45</v>
      </c>
      <c r="X37" s="3">
        <v>45217</v>
      </c>
      <c r="Y37" s="5">
        <v>365</v>
      </c>
      <c r="Z37" s="3" t="s">
        <v>114</v>
      </c>
      <c r="AA37" s="6">
        <v>3025</v>
      </c>
      <c r="AB37" s="6">
        <v>0</v>
      </c>
      <c r="AC37" s="6">
        <v>3025</v>
      </c>
      <c r="AD37" s="6"/>
      <c r="AE37" s="2" t="s">
        <v>47</v>
      </c>
      <c r="AF37" s="2"/>
      <c r="AG37" s="2" t="s">
        <v>47</v>
      </c>
      <c r="AH37" s="2"/>
      <c r="AI37" s="2"/>
      <c r="AJ37" s="2" t="s">
        <v>48</v>
      </c>
      <c r="AK37" s="2"/>
      <c r="AL37" s="2" t="s">
        <v>49</v>
      </c>
    </row>
    <row r="38" spans="1:38" x14ac:dyDescent="0.25">
      <c r="A38" s="2" t="s">
        <v>121</v>
      </c>
      <c r="B38" s="2"/>
      <c r="C38" s="2" t="s">
        <v>39</v>
      </c>
      <c r="D38" s="3">
        <v>45217</v>
      </c>
      <c r="E38" s="3">
        <v>45217</v>
      </c>
      <c r="F38" s="3">
        <v>45583</v>
      </c>
      <c r="G38" s="2" t="s">
        <v>40</v>
      </c>
      <c r="H38" s="2" t="s">
        <v>122</v>
      </c>
      <c r="I38" s="2">
        <v>4396</v>
      </c>
      <c r="J38" s="2" t="s">
        <v>42</v>
      </c>
      <c r="K38" s="2" t="s">
        <v>43</v>
      </c>
      <c r="L38" s="4">
        <v>0</v>
      </c>
      <c r="M38" s="4">
        <v>3816</v>
      </c>
      <c r="N38" s="4">
        <v>4400</v>
      </c>
      <c r="O38" s="4">
        <v>0</v>
      </c>
      <c r="P38" s="4">
        <v>0</v>
      </c>
      <c r="Q38" s="4">
        <v>4400</v>
      </c>
      <c r="R38" s="2"/>
      <c r="S38" s="2"/>
      <c r="T38" s="2"/>
      <c r="U38" s="2" t="s">
        <v>44</v>
      </c>
      <c r="V38" s="4">
        <v>477</v>
      </c>
      <c r="W38" s="2" t="s">
        <v>45</v>
      </c>
      <c r="X38" s="3">
        <v>45217</v>
      </c>
      <c r="Y38" s="5">
        <v>365</v>
      </c>
      <c r="Z38" s="3" t="s">
        <v>114</v>
      </c>
      <c r="AA38" s="6">
        <v>4400</v>
      </c>
      <c r="AB38" s="6">
        <v>0</v>
      </c>
      <c r="AC38" s="6">
        <v>4400</v>
      </c>
      <c r="AD38" s="6"/>
      <c r="AE38" s="2" t="s">
        <v>47</v>
      </c>
      <c r="AF38" s="2"/>
      <c r="AG38" s="2" t="s">
        <v>47</v>
      </c>
      <c r="AH38" s="2"/>
      <c r="AI38" s="2"/>
      <c r="AJ38" s="2" t="s">
        <v>48</v>
      </c>
      <c r="AK38" s="2"/>
      <c r="AL38" s="2" t="s">
        <v>49</v>
      </c>
    </row>
    <row r="39" spans="1:38" x14ac:dyDescent="0.25">
      <c r="A39" s="2" t="s">
        <v>123</v>
      </c>
      <c r="B39" s="2"/>
      <c r="C39" s="2" t="s">
        <v>39</v>
      </c>
      <c r="D39" s="3">
        <v>45217</v>
      </c>
      <c r="E39" s="3">
        <v>45217</v>
      </c>
      <c r="F39" s="3">
        <v>45583</v>
      </c>
      <c r="G39" s="2" t="s">
        <v>40</v>
      </c>
      <c r="H39" s="2" t="s">
        <v>124</v>
      </c>
      <c r="I39" s="2">
        <v>4396</v>
      </c>
      <c r="J39" s="2" t="s">
        <v>42</v>
      </c>
      <c r="K39" s="2" t="s">
        <v>43</v>
      </c>
      <c r="L39" s="4">
        <v>0</v>
      </c>
      <c r="M39" s="4">
        <v>3816</v>
      </c>
      <c r="N39" s="4">
        <v>4400</v>
      </c>
      <c r="O39" s="4">
        <v>0</v>
      </c>
      <c r="P39" s="4">
        <v>0</v>
      </c>
      <c r="Q39" s="4">
        <v>4400</v>
      </c>
      <c r="R39" s="2"/>
      <c r="S39" s="2"/>
      <c r="T39" s="2"/>
      <c r="U39" s="2" t="s">
        <v>44</v>
      </c>
      <c r="V39" s="4">
        <v>477</v>
      </c>
      <c r="W39" s="2" t="s">
        <v>45</v>
      </c>
      <c r="X39" s="3">
        <v>45217</v>
      </c>
      <c r="Y39" s="5">
        <v>365</v>
      </c>
      <c r="Z39" s="3" t="s">
        <v>114</v>
      </c>
      <c r="AA39" s="6">
        <v>4400</v>
      </c>
      <c r="AB39" s="6">
        <v>0</v>
      </c>
      <c r="AC39" s="6">
        <v>4400</v>
      </c>
      <c r="AD39" s="6"/>
      <c r="AE39" s="2" t="s">
        <v>47</v>
      </c>
      <c r="AF39" s="2"/>
      <c r="AG39" s="2" t="s">
        <v>47</v>
      </c>
      <c r="AH39" s="2"/>
      <c r="AI39" s="2"/>
      <c r="AJ39" s="2" t="s">
        <v>48</v>
      </c>
      <c r="AK39" s="2"/>
      <c r="AL39" s="2" t="s">
        <v>49</v>
      </c>
    </row>
    <row r="40" spans="1:38" x14ac:dyDescent="0.25">
      <c r="A40" s="2" t="s">
        <v>125</v>
      </c>
      <c r="B40" s="2"/>
      <c r="C40" s="2" t="s">
        <v>39</v>
      </c>
      <c r="D40" s="3">
        <v>45218</v>
      </c>
      <c r="E40" s="3">
        <v>45218</v>
      </c>
      <c r="F40" s="3">
        <v>45401</v>
      </c>
      <c r="G40" s="2" t="s">
        <v>40</v>
      </c>
      <c r="H40" s="2" t="s">
        <v>126</v>
      </c>
      <c r="I40" s="2">
        <v>3025</v>
      </c>
      <c r="J40" s="2" t="s">
        <v>42</v>
      </c>
      <c r="K40" s="2" t="s">
        <v>43</v>
      </c>
      <c r="L40" s="4">
        <v>0</v>
      </c>
      <c r="M40" s="4">
        <v>2610</v>
      </c>
      <c r="N40" s="4">
        <v>3025</v>
      </c>
      <c r="O40" s="4">
        <v>0</v>
      </c>
      <c r="P40" s="4">
        <v>0</v>
      </c>
      <c r="Q40" s="4">
        <v>3025</v>
      </c>
      <c r="R40" s="2"/>
      <c r="S40" s="2"/>
      <c r="T40" s="2"/>
      <c r="U40" s="2" t="s">
        <v>44</v>
      </c>
      <c r="V40" s="4">
        <v>326</v>
      </c>
      <c r="W40" s="2" t="s">
        <v>45</v>
      </c>
      <c r="X40" s="3">
        <v>45218</v>
      </c>
      <c r="Y40" s="5">
        <v>364</v>
      </c>
      <c r="Z40" s="3" t="s">
        <v>114</v>
      </c>
      <c r="AA40" s="6">
        <v>3025</v>
      </c>
      <c r="AB40" s="6">
        <v>0</v>
      </c>
      <c r="AC40" s="6">
        <v>3025</v>
      </c>
      <c r="AD40" s="6"/>
      <c r="AE40" s="2" t="s">
        <v>47</v>
      </c>
      <c r="AF40" s="2"/>
      <c r="AG40" s="2" t="s">
        <v>47</v>
      </c>
      <c r="AH40" s="2"/>
      <c r="AI40" s="2"/>
      <c r="AJ40" s="2" t="s">
        <v>48</v>
      </c>
      <c r="AK40" s="2"/>
      <c r="AL40" s="2" t="s">
        <v>49</v>
      </c>
    </row>
    <row r="41" spans="1:38" x14ac:dyDescent="0.25">
      <c r="A41" s="2" t="s">
        <v>127</v>
      </c>
      <c r="B41" s="2"/>
      <c r="C41" s="2" t="s">
        <v>39</v>
      </c>
      <c r="D41" s="3">
        <v>45229</v>
      </c>
      <c r="E41" s="3">
        <v>45229</v>
      </c>
      <c r="F41" s="3">
        <v>45595</v>
      </c>
      <c r="G41" s="2" t="s">
        <v>40</v>
      </c>
      <c r="H41" s="2" t="s">
        <v>128</v>
      </c>
      <c r="I41" s="2">
        <v>4396</v>
      </c>
      <c r="J41" s="2" t="s">
        <v>42</v>
      </c>
      <c r="K41" s="2" t="s">
        <v>43</v>
      </c>
      <c r="L41" s="4">
        <v>0</v>
      </c>
      <c r="M41" s="4">
        <v>3816</v>
      </c>
      <c r="N41" s="4">
        <v>4400</v>
      </c>
      <c r="O41" s="4">
        <v>0</v>
      </c>
      <c r="P41" s="4">
        <v>0</v>
      </c>
      <c r="Q41" s="4">
        <v>4400</v>
      </c>
      <c r="R41" s="2"/>
      <c r="S41" s="2"/>
      <c r="T41" s="2"/>
      <c r="U41" s="2" t="s">
        <v>44</v>
      </c>
      <c r="V41" s="4">
        <v>572</v>
      </c>
      <c r="W41" s="2" t="s">
        <v>45</v>
      </c>
      <c r="X41" s="3">
        <v>45229</v>
      </c>
      <c r="Y41" s="5">
        <v>353</v>
      </c>
      <c r="Z41" s="3" t="s">
        <v>114</v>
      </c>
      <c r="AA41" s="6">
        <v>4400</v>
      </c>
      <c r="AB41" s="6">
        <v>0</v>
      </c>
      <c r="AC41" s="6">
        <v>4400</v>
      </c>
      <c r="AD41" s="6"/>
      <c r="AE41" s="2" t="s">
        <v>47</v>
      </c>
      <c r="AF41" s="2"/>
      <c r="AG41" s="2" t="s">
        <v>47</v>
      </c>
      <c r="AH41" s="2"/>
      <c r="AI41" s="2"/>
      <c r="AJ41" s="2" t="s">
        <v>48</v>
      </c>
      <c r="AK41" s="2"/>
      <c r="AL41" s="2" t="s">
        <v>49</v>
      </c>
    </row>
    <row r="42" spans="1:38" x14ac:dyDescent="0.25">
      <c r="A42" s="2" t="s">
        <v>129</v>
      </c>
      <c r="B42" s="2"/>
      <c r="C42" s="2" t="s">
        <v>39</v>
      </c>
      <c r="D42" s="3">
        <v>45229</v>
      </c>
      <c r="E42" s="3">
        <v>45229</v>
      </c>
      <c r="F42" s="3">
        <v>45595</v>
      </c>
      <c r="G42" s="2" t="s">
        <v>40</v>
      </c>
      <c r="H42" s="2" t="s">
        <v>130</v>
      </c>
      <c r="I42" s="2">
        <v>4396</v>
      </c>
      <c r="J42" s="2" t="s">
        <v>42</v>
      </c>
      <c r="K42" s="2" t="s">
        <v>43</v>
      </c>
      <c r="L42" s="4">
        <v>0</v>
      </c>
      <c r="M42" s="4">
        <v>3816</v>
      </c>
      <c r="N42" s="4">
        <v>4400</v>
      </c>
      <c r="O42" s="4">
        <v>0</v>
      </c>
      <c r="P42" s="4">
        <v>0</v>
      </c>
      <c r="Q42" s="4">
        <v>4400</v>
      </c>
      <c r="R42" s="2"/>
      <c r="S42" s="2"/>
      <c r="T42" s="2"/>
      <c r="U42" s="2" t="s">
        <v>44</v>
      </c>
      <c r="V42" s="4">
        <v>572</v>
      </c>
      <c r="W42" s="2" t="s">
        <v>45</v>
      </c>
      <c r="X42" s="3">
        <v>45229</v>
      </c>
      <c r="Y42" s="5">
        <v>353</v>
      </c>
      <c r="Z42" s="3" t="s">
        <v>114</v>
      </c>
      <c r="AA42" s="6">
        <v>4400</v>
      </c>
      <c r="AB42" s="6">
        <v>0</v>
      </c>
      <c r="AC42" s="6">
        <v>4400</v>
      </c>
      <c r="AD42" s="6"/>
      <c r="AE42" s="2" t="s">
        <v>47</v>
      </c>
      <c r="AF42" s="2"/>
      <c r="AG42" s="2" t="s">
        <v>47</v>
      </c>
      <c r="AH42" s="2"/>
      <c r="AI42" s="2"/>
      <c r="AJ42" s="2" t="s">
        <v>48</v>
      </c>
      <c r="AK42" s="2"/>
      <c r="AL42" s="2" t="s">
        <v>49</v>
      </c>
    </row>
    <row r="43" spans="1:38" x14ac:dyDescent="0.25">
      <c r="A43" s="2" t="s">
        <v>131</v>
      </c>
      <c r="B43" s="2"/>
      <c r="C43" s="2" t="s">
        <v>39</v>
      </c>
      <c r="D43" s="3">
        <v>45229</v>
      </c>
      <c r="E43" s="3">
        <v>45229</v>
      </c>
      <c r="F43" s="3">
        <v>45595</v>
      </c>
      <c r="G43" s="2" t="s">
        <v>40</v>
      </c>
      <c r="H43" s="2" t="s">
        <v>132</v>
      </c>
      <c r="I43" s="2">
        <v>4396</v>
      </c>
      <c r="J43" s="2" t="s">
        <v>42</v>
      </c>
      <c r="K43" s="2" t="s">
        <v>43</v>
      </c>
      <c r="L43" s="4">
        <v>0</v>
      </c>
      <c r="M43" s="4">
        <v>3816</v>
      </c>
      <c r="N43" s="4">
        <v>4400</v>
      </c>
      <c r="O43" s="4">
        <v>0</v>
      </c>
      <c r="P43" s="4">
        <v>0</v>
      </c>
      <c r="Q43" s="4">
        <v>4400</v>
      </c>
      <c r="R43" s="2"/>
      <c r="S43" s="2"/>
      <c r="T43" s="2"/>
      <c r="U43" s="2" t="s">
        <v>44</v>
      </c>
      <c r="V43" s="4">
        <v>572</v>
      </c>
      <c r="W43" s="2" t="s">
        <v>45</v>
      </c>
      <c r="X43" s="3">
        <v>45229</v>
      </c>
      <c r="Y43" s="5">
        <v>353</v>
      </c>
      <c r="Z43" s="3" t="s">
        <v>114</v>
      </c>
      <c r="AA43" s="6">
        <v>4400</v>
      </c>
      <c r="AB43" s="6">
        <v>0</v>
      </c>
      <c r="AC43" s="6">
        <v>4400</v>
      </c>
      <c r="AD43" s="6"/>
      <c r="AE43" s="2" t="s">
        <v>47</v>
      </c>
      <c r="AF43" s="2"/>
      <c r="AG43" s="2" t="s">
        <v>47</v>
      </c>
      <c r="AH43" s="2"/>
      <c r="AI43" s="2"/>
      <c r="AJ43" s="2" t="s">
        <v>48</v>
      </c>
      <c r="AK43" s="2"/>
      <c r="AL43" s="2" t="s">
        <v>49</v>
      </c>
    </row>
    <row r="44" spans="1:38" x14ac:dyDescent="0.25">
      <c r="A44" s="2" t="s">
        <v>133</v>
      </c>
      <c r="B44" s="2"/>
      <c r="C44" s="2" t="s">
        <v>39</v>
      </c>
      <c r="D44" s="3">
        <v>45229</v>
      </c>
      <c r="E44" s="3">
        <v>45229</v>
      </c>
      <c r="F44" s="3">
        <v>45595</v>
      </c>
      <c r="G44" s="2" t="s">
        <v>40</v>
      </c>
      <c r="H44" s="2" t="s">
        <v>134</v>
      </c>
      <c r="I44" s="2">
        <v>4396</v>
      </c>
      <c r="J44" s="2" t="s">
        <v>42</v>
      </c>
      <c r="K44" s="2" t="s">
        <v>43</v>
      </c>
      <c r="L44" s="4">
        <v>0</v>
      </c>
      <c r="M44" s="4">
        <v>3816</v>
      </c>
      <c r="N44" s="4">
        <v>4400</v>
      </c>
      <c r="O44" s="4">
        <v>0</v>
      </c>
      <c r="P44" s="4">
        <v>0</v>
      </c>
      <c r="Q44" s="4">
        <v>4400</v>
      </c>
      <c r="R44" s="2"/>
      <c r="S44" s="2"/>
      <c r="T44" s="2"/>
      <c r="U44" s="2" t="s">
        <v>44</v>
      </c>
      <c r="V44" s="4">
        <v>572</v>
      </c>
      <c r="W44" s="2" t="s">
        <v>45</v>
      </c>
      <c r="X44" s="3">
        <v>45229</v>
      </c>
      <c r="Y44" s="5">
        <v>353</v>
      </c>
      <c r="Z44" s="3" t="s">
        <v>114</v>
      </c>
      <c r="AA44" s="6">
        <v>4400</v>
      </c>
      <c r="AB44" s="6">
        <v>0</v>
      </c>
      <c r="AC44" s="6">
        <v>4400</v>
      </c>
      <c r="AD44" s="6"/>
      <c r="AE44" s="2" t="s">
        <v>47</v>
      </c>
      <c r="AF44" s="2"/>
      <c r="AG44" s="2" t="s">
        <v>47</v>
      </c>
      <c r="AH44" s="2"/>
      <c r="AI44" s="2"/>
      <c r="AJ44" s="2" t="s">
        <v>48</v>
      </c>
      <c r="AK44" s="2"/>
      <c r="AL44" s="2" t="s">
        <v>49</v>
      </c>
    </row>
    <row r="45" spans="1:38" x14ac:dyDescent="0.25">
      <c r="A45" s="2" t="s">
        <v>135</v>
      </c>
      <c r="B45" s="2"/>
      <c r="C45" s="2" t="s">
        <v>39</v>
      </c>
      <c r="D45" s="3">
        <v>45229</v>
      </c>
      <c r="E45" s="3">
        <v>45229</v>
      </c>
      <c r="F45" s="3">
        <v>45595</v>
      </c>
      <c r="G45" s="2" t="s">
        <v>40</v>
      </c>
      <c r="H45" s="2" t="s">
        <v>136</v>
      </c>
      <c r="I45" s="2">
        <v>4396</v>
      </c>
      <c r="J45" s="2" t="s">
        <v>42</v>
      </c>
      <c r="K45" s="2" t="s">
        <v>43</v>
      </c>
      <c r="L45" s="4">
        <v>0</v>
      </c>
      <c r="M45" s="4">
        <v>3816</v>
      </c>
      <c r="N45" s="4">
        <v>4400</v>
      </c>
      <c r="O45" s="4">
        <v>0</v>
      </c>
      <c r="P45" s="4">
        <v>0</v>
      </c>
      <c r="Q45" s="4">
        <v>4400</v>
      </c>
      <c r="R45" s="2"/>
      <c r="S45" s="2"/>
      <c r="T45" s="2"/>
      <c r="U45" s="2" t="s">
        <v>44</v>
      </c>
      <c r="V45" s="4">
        <v>572</v>
      </c>
      <c r="W45" s="2" t="s">
        <v>45</v>
      </c>
      <c r="X45" s="3">
        <v>45229</v>
      </c>
      <c r="Y45" s="5">
        <v>353</v>
      </c>
      <c r="Z45" s="3" t="s">
        <v>114</v>
      </c>
      <c r="AA45" s="6">
        <v>4400</v>
      </c>
      <c r="AB45" s="6">
        <v>0</v>
      </c>
      <c r="AC45" s="6">
        <v>4400</v>
      </c>
      <c r="AD45" s="6"/>
      <c r="AE45" s="2" t="s">
        <v>47</v>
      </c>
      <c r="AF45" s="2"/>
      <c r="AG45" s="2" t="s">
        <v>47</v>
      </c>
      <c r="AH45" s="2"/>
      <c r="AI45" s="2"/>
      <c r="AJ45" s="2" t="s">
        <v>48</v>
      </c>
      <c r="AK45" s="2"/>
      <c r="AL45" s="2" t="s">
        <v>49</v>
      </c>
    </row>
    <row r="46" spans="1:38" x14ac:dyDescent="0.25">
      <c r="A46" s="2" t="s">
        <v>137</v>
      </c>
      <c r="B46" s="2"/>
      <c r="C46" s="2" t="s">
        <v>39</v>
      </c>
      <c r="D46" s="3">
        <v>45229</v>
      </c>
      <c r="E46" s="3">
        <v>45229</v>
      </c>
      <c r="F46" s="3">
        <v>45412</v>
      </c>
      <c r="G46" s="2" t="s">
        <v>40</v>
      </c>
      <c r="H46" s="2" t="s">
        <v>138</v>
      </c>
      <c r="I46" s="2">
        <v>3025</v>
      </c>
      <c r="J46" s="2" t="s">
        <v>42</v>
      </c>
      <c r="K46" s="2" t="s">
        <v>43</v>
      </c>
      <c r="L46" s="4">
        <v>0</v>
      </c>
      <c r="M46" s="4">
        <v>2610</v>
      </c>
      <c r="N46" s="4">
        <v>3025</v>
      </c>
      <c r="O46" s="4">
        <v>0</v>
      </c>
      <c r="P46" s="4">
        <v>0</v>
      </c>
      <c r="Q46" s="4">
        <v>3025</v>
      </c>
      <c r="R46" s="2"/>
      <c r="S46" s="2"/>
      <c r="T46" s="2"/>
      <c r="U46" s="2" t="s">
        <v>44</v>
      </c>
      <c r="V46" s="4">
        <v>392</v>
      </c>
      <c r="W46" s="2" t="s">
        <v>45</v>
      </c>
      <c r="X46" s="3">
        <v>45229</v>
      </c>
      <c r="Y46" s="5">
        <v>353</v>
      </c>
      <c r="Z46" s="3" t="s">
        <v>114</v>
      </c>
      <c r="AA46" s="6">
        <v>3025</v>
      </c>
      <c r="AB46" s="6">
        <v>0</v>
      </c>
      <c r="AC46" s="6">
        <v>3025</v>
      </c>
      <c r="AD46" s="6"/>
      <c r="AE46" s="2" t="s">
        <v>47</v>
      </c>
      <c r="AF46" s="2"/>
      <c r="AG46" s="2" t="s">
        <v>47</v>
      </c>
      <c r="AH46" s="2"/>
      <c r="AI46" s="2"/>
      <c r="AJ46" s="2" t="s">
        <v>48</v>
      </c>
      <c r="AK46" s="2"/>
      <c r="AL46" s="2" t="s">
        <v>49</v>
      </c>
    </row>
    <row r="47" spans="1:38" x14ac:dyDescent="0.25">
      <c r="A47" s="2" t="s">
        <v>139</v>
      </c>
      <c r="B47" s="2"/>
      <c r="C47" s="2" t="s">
        <v>39</v>
      </c>
      <c r="D47" s="3">
        <v>45229</v>
      </c>
      <c r="E47" s="3">
        <v>45229</v>
      </c>
      <c r="F47" s="3">
        <v>45595</v>
      </c>
      <c r="G47" s="2" t="s">
        <v>40</v>
      </c>
      <c r="H47" s="2" t="s">
        <v>140</v>
      </c>
      <c r="I47" s="2">
        <v>4396</v>
      </c>
      <c r="J47" s="2" t="s">
        <v>42</v>
      </c>
      <c r="K47" s="2" t="s">
        <v>43</v>
      </c>
      <c r="L47" s="4">
        <v>0</v>
      </c>
      <c r="M47" s="4">
        <v>3816</v>
      </c>
      <c r="N47" s="4">
        <v>4400</v>
      </c>
      <c r="O47" s="4">
        <v>0</v>
      </c>
      <c r="P47" s="4">
        <v>0</v>
      </c>
      <c r="Q47" s="4">
        <v>4400</v>
      </c>
      <c r="R47" s="2"/>
      <c r="S47" s="2"/>
      <c r="T47" s="2"/>
      <c r="U47" s="2" t="s">
        <v>44</v>
      </c>
      <c r="V47" s="4">
        <v>572</v>
      </c>
      <c r="W47" s="2" t="s">
        <v>45</v>
      </c>
      <c r="X47" s="3">
        <v>45229</v>
      </c>
      <c r="Y47" s="5">
        <v>353</v>
      </c>
      <c r="Z47" s="3" t="s">
        <v>114</v>
      </c>
      <c r="AA47" s="6">
        <v>4400</v>
      </c>
      <c r="AB47" s="6">
        <v>0</v>
      </c>
      <c r="AC47" s="6">
        <v>4400</v>
      </c>
      <c r="AD47" s="6"/>
      <c r="AE47" s="2" t="s">
        <v>47</v>
      </c>
      <c r="AF47" s="2"/>
      <c r="AG47" s="2" t="s">
        <v>47</v>
      </c>
      <c r="AH47" s="2"/>
      <c r="AI47" s="2"/>
      <c r="AJ47" s="2" t="s">
        <v>48</v>
      </c>
      <c r="AK47" s="2"/>
      <c r="AL47" s="2" t="s">
        <v>49</v>
      </c>
    </row>
    <row r="48" spans="1:38" x14ac:dyDescent="0.25">
      <c r="A48" s="2" t="s">
        <v>141</v>
      </c>
      <c r="B48" s="2"/>
      <c r="C48" s="2" t="s">
        <v>39</v>
      </c>
      <c r="D48" s="3">
        <v>45229</v>
      </c>
      <c r="E48" s="3">
        <v>45229</v>
      </c>
      <c r="F48" s="3">
        <v>45595</v>
      </c>
      <c r="G48" s="2" t="s">
        <v>40</v>
      </c>
      <c r="H48" s="2" t="s">
        <v>142</v>
      </c>
      <c r="I48" s="2">
        <v>4396</v>
      </c>
      <c r="J48" s="2" t="s">
        <v>42</v>
      </c>
      <c r="K48" s="2" t="s">
        <v>43</v>
      </c>
      <c r="L48" s="4">
        <v>0</v>
      </c>
      <c r="M48" s="4">
        <v>3816</v>
      </c>
      <c r="N48" s="4">
        <v>4400</v>
      </c>
      <c r="O48" s="4">
        <v>0</v>
      </c>
      <c r="P48" s="4">
        <v>0</v>
      </c>
      <c r="Q48" s="4">
        <v>4400</v>
      </c>
      <c r="R48" s="2"/>
      <c r="S48" s="2"/>
      <c r="T48" s="2"/>
      <c r="U48" s="2" t="s">
        <v>44</v>
      </c>
      <c r="V48" s="4">
        <v>572</v>
      </c>
      <c r="W48" s="2" t="s">
        <v>45</v>
      </c>
      <c r="X48" s="3">
        <v>45229</v>
      </c>
      <c r="Y48" s="5">
        <v>353</v>
      </c>
      <c r="Z48" s="3" t="s">
        <v>114</v>
      </c>
      <c r="AA48" s="6">
        <v>4400</v>
      </c>
      <c r="AB48" s="6">
        <v>0</v>
      </c>
      <c r="AC48" s="6">
        <v>4400</v>
      </c>
      <c r="AD48" s="6"/>
      <c r="AE48" s="2" t="s">
        <v>47</v>
      </c>
      <c r="AF48" s="2"/>
      <c r="AG48" s="2" t="s">
        <v>47</v>
      </c>
      <c r="AH48" s="2"/>
      <c r="AI48" s="2"/>
      <c r="AJ48" s="2" t="s">
        <v>48</v>
      </c>
      <c r="AK48" s="2"/>
      <c r="AL48" s="2" t="s">
        <v>49</v>
      </c>
    </row>
    <row r="49" spans="1:38" x14ac:dyDescent="0.25">
      <c r="A49" s="2" t="s">
        <v>143</v>
      </c>
      <c r="B49" s="2"/>
      <c r="C49" s="2" t="s">
        <v>39</v>
      </c>
      <c r="D49" s="3">
        <v>45229</v>
      </c>
      <c r="E49" s="3">
        <v>45229</v>
      </c>
      <c r="F49" s="3">
        <v>45595</v>
      </c>
      <c r="G49" s="2" t="s">
        <v>40</v>
      </c>
      <c r="H49" s="2" t="s">
        <v>144</v>
      </c>
      <c r="I49" s="2">
        <v>4396</v>
      </c>
      <c r="J49" s="2" t="s">
        <v>42</v>
      </c>
      <c r="K49" s="2" t="s">
        <v>43</v>
      </c>
      <c r="L49" s="4">
        <v>0</v>
      </c>
      <c r="M49" s="4">
        <v>3816</v>
      </c>
      <c r="N49" s="4">
        <v>4400</v>
      </c>
      <c r="O49" s="4">
        <v>0</v>
      </c>
      <c r="P49" s="4">
        <v>0</v>
      </c>
      <c r="Q49" s="4">
        <v>4400</v>
      </c>
      <c r="R49" s="2"/>
      <c r="S49" s="2"/>
      <c r="T49" s="2"/>
      <c r="U49" s="2" t="s">
        <v>44</v>
      </c>
      <c r="V49" s="4">
        <v>572</v>
      </c>
      <c r="W49" s="2" t="s">
        <v>45</v>
      </c>
      <c r="X49" s="3">
        <v>45229</v>
      </c>
      <c r="Y49" s="5">
        <v>353</v>
      </c>
      <c r="Z49" s="3" t="s">
        <v>114</v>
      </c>
      <c r="AA49" s="6">
        <v>4400</v>
      </c>
      <c r="AB49" s="6">
        <v>0</v>
      </c>
      <c r="AC49" s="6">
        <v>4400</v>
      </c>
      <c r="AD49" s="6"/>
      <c r="AE49" s="2" t="s">
        <v>47</v>
      </c>
      <c r="AF49" s="2"/>
      <c r="AG49" s="2" t="s">
        <v>47</v>
      </c>
      <c r="AH49" s="2"/>
      <c r="AI49" s="2"/>
      <c r="AJ49" s="2" t="s">
        <v>48</v>
      </c>
      <c r="AK49" s="2"/>
      <c r="AL49" s="2" t="s">
        <v>49</v>
      </c>
    </row>
    <row r="50" spans="1:38" x14ac:dyDescent="0.25">
      <c r="A50" s="2" t="s">
        <v>145</v>
      </c>
      <c r="B50" s="2"/>
      <c r="C50" s="2" t="s">
        <v>39</v>
      </c>
      <c r="D50" s="3">
        <v>45229</v>
      </c>
      <c r="E50" s="3">
        <v>45229</v>
      </c>
      <c r="F50" s="3">
        <v>45321</v>
      </c>
      <c r="G50" s="2" t="s">
        <v>40</v>
      </c>
      <c r="H50" s="2" t="s">
        <v>146</v>
      </c>
      <c r="I50" s="2">
        <v>1925</v>
      </c>
      <c r="J50" s="2" t="s">
        <v>42</v>
      </c>
      <c r="K50" s="2" t="s">
        <v>43</v>
      </c>
      <c r="L50" s="4">
        <v>0</v>
      </c>
      <c r="M50" s="4">
        <v>1645</v>
      </c>
      <c r="N50" s="4">
        <v>1925</v>
      </c>
      <c r="O50" s="4">
        <v>0</v>
      </c>
      <c r="P50" s="4">
        <v>0</v>
      </c>
      <c r="Q50" s="4">
        <v>1925</v>
      </c>
      <c r="R50" s="2"/>
      <c r="S50" s="2"/>
      <c r="T50" s="2"/>
      <c r="U50" s="2" t="s">
        <v>44</v>
      </c>
      <c r="V50" s="4">
        <v>247</v>
      </c>
      <c r="W50" s="2" t="s">
        <v>45</v>
      </c>
      <c r="X50" s="3">
        <v>45229</v>
      </c>
      <c r="Y50" s="5">
        <v>353</v>
      </c>
      <c r="Z50" s="3" t="s">
        <v>114</v>
      </c>
      <c r="AA50" s="6">
        <v>1925</v>
      </c>
      <c r="AB50" s="6">
        <v>0</v>
      </c>
      <c r="AC50" s="6">
        <v>1925</v>
      </c>
      <c r="AD50" s="6"/>
      <c r="AE50" s="2" t="s">
        <v>47</v>
      </c>
      <c r="AF50" s="2"/>
      <c r="AG50" s="2" t="s">
        <v>47</v>
      </c>
      <c r="AH50" s="2"/>
      <c r="AI50" s="2"/>
      <c r="AJ50" s="2" t="s">
        <v>48</v>
      </c>
      <c r="AK50" s="2"/>
      <c r="AL50" s="2" t="s">
        <v>49</v>
      </c>
    </row>
    <row r="51" spans="1:38" x14ac:dyDescent="0.25">
      <c r="A51" s="2" t="s">
        <v>147</v>
      </c>
      <c r="B51" s="2"/>
      <c r="C51" s="2" t="s">
        <v>39</v>
      </c>
      <c r="D51" s="3">
        <v>45229</v>
      </c>
      <c r="E51" s="3">
        <v>45229</v>
      </c>
      <c r="F51" s="3">
        <v>45412</v>
      </c>
      <c r="G51" s="2" t="s">
        <v>40</v>
      </c>
      <c r="H51" s="2" t="s">
        <v>148</v>
      </c>
      <c r="I51" s="2">
        <v>3025</v>
      </c>
      <c r="J51" s="2" t="s">
        <v>42</v>
      </c>
      <c r="K51" s="2" t="s">
        <v>43</v>
      </c>
      <c r="L51" s="4">
        <v>0</v>
      </c>
      <c r="M51" s="4">
        <v>2610</v>
      </c>
      <c r="N51" s="4">
        <v>3025</v>
      </c>
      <c r="O51" s="4">
        <v>0</v>
      </c>
      <c r="P51" s="4">
        <v>0</v>
      </c>
      <c r="Q51" s="4">
        <v>3025</v>
      </c>
      <c r="R51" s="2"/>
      <c r="S51" s="2"/>
      <c r="T51" s="2"/>
      <c r="U51" s="2" t="s">
        <v>44</v>
      </c>
      <c r="V51" s="4">
        <v>392</v>
      </c>
      <c r="W51" s="2" t="s">
        <v>45</v>
      </c>
      <c r="X51" s="3">
        <v>45229</v>
      </c>
      <c r="Y51" s="5">
        <v>353</v>
      </c>
      <c r="Z51" s="3" t="s">
        <v>114</v>
      </c>
      <c r="AA51" s="6">
        <v>3025</v>
      </c>
      <c r="AB51" s="6">
        <v>0</v>
      </c>
      <c r="AC51" s="6">
        <v>3025</v>
      </c>
      <c r="AD51" s="6"/>
      <c r="AE51" s="2" t="s">
        <v>47</v>
      </c>
      <c r="AF51" s="2"/>
      <c r="AG51" s="2" t="s">
        <v>47</v>
      </c>
      <c r="AH51" s="2"/>
      <c r="AI51" s="2"/>
      <c r="AJ51" s="2" t="s">
        <v>48</v>
      </c>
      <c r="AK51" s="2"/>
      <c r="AL51" s="2" t="s">
        <v>49</v>
      </c>
    </row>
    <row r="52" spans="1:38" x14ac:dyDescent="0.25">
      <c r="A52" s="2" t="s">
        <v>149</v>
      </c>
      <c r="B52" s="2"/>
      <c r="C52" s="2" t="s">
        <v>39</v>
      </c>
      <c r="D52" s="3">
        <v>45230</v>
      </c>
      <c r="E52" s="3">
        <v>45230</v>
      </c>
      <c r="F52" s="3">
        <v>45412</v>
      </c>
      <c r="G52" s="2" t="s">
        <v>40</v>
      </c>
      <c r="H52" s="2" t="s">
        <v>150</v>
      </c>
      <c r="I52" s="2">
        <v>3025</v>
      </c>
      <c r="J52" s="2" t="s">
        <v>42</v>
      </c>
      <c r="K52" s="2" t="s">
        <v>43</v>
      </c>
      <c r="L52" s="4">
        <v>0</v>
      </c>
      <c r="M52" s="4">
        <v>2610</v>
      </c>
      <c r="N52" s="4">
        <v>3025</v>
      </c>
      <c r="O52" s="4">
        <v>0</v>
      </c>
      <c r="P52" s="4">
        <v>0</v>
      </c>
      <c r="Q52" s="4">
        <v>3025</v>
      </c>
      <c r="R52" s="2"/>
      <c r="S52" s="2"/>
      <c r="T52" s="2"/>
      <c r="U52" s="2" t="s">
        <v>44</v>
      </c>
      <c r="V52" s="4">
        <v>392</v>
      </c>
      <c r="W52" s="2" t="s">
        <v>45</v>
      </c>
      <c r="X52" s="3">
        <v>45230</v>
      </c>
      <c r="Y52" s="5">
        <v>352</v>
      </c>
      <c r="Z52" s="3" t="s">
        <v>114</v>
      </c>
      <c r="AA52" s="6">
        <v>3025</v>
      </c>
      <c r="AB52" s="6">
        <v>0</v>
      </c>
      <c r="AC52" s="6">
        <v>3025</v>
      </c>
      <c r="AD52" s="6"/>
      <c r="AE52" s="2" t="s">
        <v>47</v>
      </c>
      <c r="AF52" s="2"/>
      <c r="AG52" s="2" t="s">
        <v>47</v>
      </c>
      <c r="AH52" s="2"/>
      <c r="AI52" s="2"/>
      <c r="AJ52" s="2" t="s">
        <v>48</v>
      </c>
      <c r="AK52" s="2"/>
      <c r="AL52" s="2" t="s">
        <v>49</v>
      </c>
    </row>
    <row r="53" spans="1:38" x14ac:dyDescent="0.25">
      <c r="A53" s="2" t="s">
        <v>151</v>
      </c>
      <c r="B53" s="2"/>
      <c r="C53" s="2" t="s">
        <v>39</v>
      </c>
      <c r="D53" s="3">
        <v>45231</v>
      </c>
      <c r="E53" s="3">
        <v>45231</v>
      </c>
      <c r="F53" s="3">
        <v>45597</v>
      </c>
      <c r="G53" s="2" t="s">
        <v>40</v>
      </c>
      <c r="H53" s="2" t="s">
        <v>152</v>
      </c>
      <c r="I53" s="2">
        <v>4396</v>
      </c>
      <c r="J53" s="2" t="s">
        <v>42</v>
      </c>
      <c r="K53" s="2" t="s">
        <v>43</v>
      </c>
      <c r="L53" s="4">
        <v>0</v>
      </c>
      <c r="M53" s="4">
        <v>3816</v>
      </c>
      <c r="N53" s="4">
        <v>4400</v>
      </c>
      <c r="O53" s="4">
        <v>0</v>
      </c>
      <c r="P53" s="4">
        <v>0</v>
      </c>
      <c r="Q53" s="4">
        <v>4400</v>
      </c>
      <c r="R53" s="2"/>
      <c r="S53" s="2"/>
      <c r="T53" s="2"/>
      <c r="U53" s="2" t="s">
        <v>44</v>
      </c>
      <c r="V53" s="4">
        <v>572</v>
      </c>
      <c r="W53" s="2" t="s">
        <v>45</v>
      </c>
      <c r="X53" s="3">
        <v>45231</v>
      </c>
      <c r="Y53" s="5">
        <v>351</v>
      </c>
      <c r="Z53" s="3" t="s">
        <v>114</v>
      </c>
      <c r="AA53" s="6">
        <v>4400</v>
      </c>
      <c r="AB53" s="6">
        <v>0</v>
      </c>
      <c r="AC53" s="6">
        <v>4400</v>
      </c>
      <c r="AD53" s="6"/>
      <c r="AE53" s="2" t="s">
        <v>47</v>
      </c>
      <c r="AF53" s="2"/>
      <c r="AG53" s="2" t="s">
        <v>47</v>
      </c>
      <c r="AH53" s="2"/>
      <c r="AI53" s="2"/>
      <c r="AJ53" s="2" t="s">
        <v>48</v>
      </c>
      <c r="AK53" s="2"/>
      <c r="AL53" s="2" t="s">
        <v>49</v>
      </c>
    </row>
    <row r="54" spans="1:38" x14ac:dyDescent="0.25">
      <c r="A54" s="2" t="s">
        <v>153</v>
      </c>
      <c r="B54" s="2"/>
      <c r="C54" s="2" t="s">
        <v>39</v>
      </c>
      <c r="D54" s="3">
        <v>45231</v>
      </c>
      <c r="E54" s="3">
        <v>45231</v>
      </c>
      <c r="F54" s="3">
        <v>45413</v>
      </c>
      <c r="G54" s="2" t="s">
        <v>40</v>
      </c>
      <c r="H54" s="2" t="s">
        <v>154</v>
      </c>
      <c r="I54" s="2">
        <v>3025</v>
      </c>
      <c r="J54" s="2" t="s">
        <v>42</v>
      </c>
      <c r="K54" s="2" t="s">
        <v>43</v>
      </c>
      <c r="L54" s="4">
        <v>0</v>
      </c>
      <c r="M54" s="4">
        <v>2610</v>
      </c>
      <c r="N54" s="4">
        <v>3025</v>
      </c>
      <c r="O54" s="4">
        <v>0</v>
      </c>
      <c r="P54" s="4">
        <v>0</v>
      </c>
      <c r="Q54" s="4">
        <v>3025</v>
      </c>
      <c r="R54" s="2"/>
      <c r="S54" s="2"/>
      <c r="T54" s="2"/>
      <c r="U54" s="2" t="s">
        <v>44</v>
      </c>
      <c r="V54" s="4">
        <v>392</v>
      </c>
      <c r="W54" s="2" t="s">
        <v>45</v>
      </c>
      <c r="X54" s="3">
        <v>45231</v>
      </c>
      <c r="Y54" s="5">
        <v>351</v>
      </c>
      <c r="Z54" s="3" t="s">
        <v>114</v>
      </c>
      <c r="AA54" s="6">
        <v>3025</v>
      </c>
      <c r="AB54" s="6">
        <v>0</v>
      </c>
      <c r="AC54" s="6">
        <v>3025</v>
      </c>
      <c r="AD54" s="6"/>
      <c r="AE54" s="2" t="s">
        <v>47</v>
      </c>
      <c r="AF54" s="2"/>
      <c r="AG54" s="2" t="s">
        <v>47</v>
      </c>
      <c r="AH54" s="2"/>
      <c r="AI54" s="2"/>
      <c r="AJ54" s="2" t="s">
        <v>48</v>
      </c>
      <c r="AK54" s="2"/>
      <c r="AL54" s="2" t="s">
        <v>49</v>
      </c>
    </row>
    <row r="55" spans="1:38" x14ac:dyDescent="0.25">
      <c r="A55" s="2" t="s">
        <v>155</v>
      </c>
      <c r="B55" s="2"/>
      <c r="C55" s="2" t="s">
        <v>39</v>
      </c>
      <c r="D55" s="3">
        <v>45231</v>
      </c>
      <c r="E55" s="3">
        <v>45231</v>
      </c>
      <c r="F55" s="3">
        <v>45597</v>
      </c>
      <c r="G55" s="2" t="s">
        <v>40</v>
      </c>
      <c r="H55" s="2" t="s">
        <v>156</v>
      </c>
      <c r="I55" s="2">
        <v>4800</v>
      </c>
      <c r="J55" s="2" t="s">
        <v>42</v>
      </c>
      <c r="K55" s="2" t="s">
        <v>43</v>
      </c>
      <c r="L55" s="4">
        <v>0</v>
      </c>
      <c r="M55" s="4">
        <v>4167</v>
      </c>
      <c r="N55" s="4">
        <v>4801</v>
      </c>
      <c r="O55" s="4">
        <v>0</v>
      </c>
      <c r="P55" s="4">
        <v>0</v>
      </c>
      <c r="Q55" s="4">
        <v>4801</v>
      </c>
      <c r="R55" s="2"/>
      <c r="S55" s="2"/>
      <c r="T55" s="2"/>
      <c r="U55" s="2" t="s">
        <v>44</v>
      </c>
      <c r="V55" s="4">
        <v>625</v>
      </c>
      <c r="W55" s="2" t="s">
        <v>45</v>
      </c>
      <c r="X55" s="3">
        <v>45231</v>
      </c>
      <c r="Y55" s="5">
        <v>351</v>
      </c>
      <c r="Z55" s="3" t="s">
        <v>114</v>
      </c>
      <c r="AA55" s="6">
        <v>4801</v>
      </c>
      <c r="AB55" s="6">
        <v>0</v>
      </c>
      <c r="AC55" s="6">
        <v>4801</v>
      </c>
      <c r="AD55" s="6"/>
      <c r="AE55" s="2" t="s">
        <v>47</v>
      </c>
      <c r="AF55" s="2"/>
      <c r="AG55" s="2" t="s">
        <v>47</v>
      </c>
      <c r="AH55" s="2"/>
      <c r="AI55" s="2"/>
      <c r="AJ55" s="2" t="s">
        <v>48</v>
      </c>
      <c r="AK55" s="2"/>
      <c r="AL55" s="2" t="s">
        <v>49</v>
      </c>
    </row>
    <row r="56" spans="1:38" x14ac:dyDescent="0.25">
      <c r="A56" s="2" t="s">
        <v>157</v>
      </c>
      <c r="B56" s="2"/>
      <c r="C56" s="2" t="s">
        <v>39</v>
      </c>
      <c r="D56" s="3">
        <v>45232</v>
      </c>
      <c r="E56" s="3">
        <v>45232</v>
      </c>
      <c r="F56" s="3">
        <v>45414</v>
      </c>
      <c r="G56" s="2" t="s">
        <v>40</v>
      </c>
      <c r="H56" s="2" t="s">
        <v>158</v>
      </c>
      <c r="I56" s="2">
        <v>3025</v>
      </c>
      <c r="J56" s="2" t="s">
        <v>42</v>
      </c>
      <c r="K56" s="2" t="s">
        <v>43</v>
      </c>
      <c r="L56" s="4">
        <v>0</v>
      </c>
      <c r="M56" s="4">
        <v>2610</v>
      </c>
      <c r="N56" s="4">
        <v>3025</v>
      </c>
      <c r="O56" s="4">
        <v>0</v>
      </c>
      <c r="P56" s="4">
        <v>0</v>
      </c>
      <c r="Q56" s="4">
        <v>3025</v>
      </c>
      <c r="R56" s="2"/>
      <c r="S56" s="2"/>
      <c r="T56" s="2"/>
      <c r="U56" s="2" t="s">
        <v>44</v>
      </c>
      <c r="V56" s="4">
        <v>392</v>
      </c>
      <c r="W56" s="2" t="s">
        <v>45</v>
      </c>
      <c r="X56" s="3">
        <v>45232</v>
      </c>
      <c r="Y56" s="5">
        <v>350</v>
      </c>
      <c r="Z56" s="3" t="s">
        <v>114</v>
      </c>
      <c r="AA56" s="6">
        <v>3025</v>
      </c>
      <c r="AB56" s="6">
        <v>0</v>
      </c>
      <c r="AC56" s="6">
        <v>3025</v>
      </c>
      <c r="AD56" s="6"/>
      <c r="AE56" s="2" t="s">
        <v>47</v>
      </c>
      <c r="AF56" s="2"/>
      <c r="AG56" s="2" t="s">
        <v>47</v>
      </c>
      <c r="AH56" s="2"/>
      <c r="AI56" s="2"/>
      <c r="AJ56" s="2" t="s">
        <v>48</v>
      </c>
      <c r="AK56" s="2"/>
      <c r="AL56" s="2" t="s">
        <v>49</v>
      </c>
    </row>
    <row r="57" spans="1:38" x14ac:dyDescent="0.25">
      <c r="A57" s="2" t="s">
        <v>159</v>
      </c>
      <c r="B57" s="2"/>
      <c r="C57" s="2" t="s">
        <v>39</v>
      </c>
      <c r="D57" s="3">
        <v>45232</v>
      </c>
      <c r="E57" s="3">
        <v>45232</v>
      </c>
      <c r="F57" s="3">
        <v>45598</v>
      </c>
      <c r="G57" s="2" t="s">
        <v>40</v>
      </c>
      <c r="H57" s="2" t="s">
        <v>160</v>
      </c>
      <c r="I57" s="2">
        <v>4396</v>
      </c>
      <c r="J57" s="2" t="s">
        <v>42</v>
      </c>
      <c r="K57" s="2" t="s">
        <v>43</v>
      </c>
      <c r="L57" s="4">
        <v>0</v>
      </c>
      <c r="M57" s="4">
        <v>3816</v>
      </c>
      <c r="N57" s="4">
        <v>4400</v>
      </c>
      <c r="O57" s="4">
        <v>0</v>
      </c>
      <c r="P57" s="4">
        <v>0</v>
      </c>
      <c r="Q57" s="4">
        <v>4400</v>
      </c>
      <c r="R57" s="2"/>
      <c r="S57" s="2"/>
      <c r="T57" s="2"/>
      <c r="U57" s="2" t="s">
        <v>44</v>
      </c>
      <c r="V57" s="4">
        <v>572</v>
      </c>
      <c r="W57" s="2" t="s">
        <v>45</v>
      </c>
      <c r="X57" s="3">
        <v>45232</v>
      </c>
      <c r="Y57" s="5">
        <v>350</v>
      </c>
      <c r="Z57" s="3" t="s">
        <v>114</v>
      </c>
      <c r="AA57" s="6">
        <v>4400</v>
      </c>
      <c r="AB57" s="6">
        <v>0</v>
      </c>
      <c r="AC57" s="6">
        <v>4400</v>
      </c>
      <c r="AD57" s="6"/>
      <c r="AE57" s="2" t="s">
        <v>47</v>
      </c>
      <c r="AF57" s="2"/>
      <c r="AG57" s="2" t="s">
        <v>47</v>
      </c>
      <c r="AH57" s="2"/>
      <c r="AI57" s="2"/>
      <c r="AJ57" s="2" t="s">
        <v>48</v>
      </c>
      <c r="AK57" s="2"/>
      <c r="AL57" s="2" t="s">
        <v>49</v>
      </c>
    </row>
    <row r="58" spans="1:38" x14ac:dyDescent="0.25">
      <c r="A58" s="2" t="s">
        <v>161</v>
      </c>
      <c r="B58" s="2"/>
      <c r="C58" s="2" t="s">
        <v>39</v>
      </c>
      <c r="D58" s="3">
        <v>45233</v>
      </c>
      <c r="E58" s="3">
        <v>45233</v>
      </c>
      <c r="F58" s="3">
        <v>45599</v>
      </c>
      <c r="G58" s="2" t="s">
        <v>40</v>
      </c>
      <c r="H58" s="2" t="s">
        <v>162</v>
      </c>
      <c r="I58" s="2">
        <v>4396</v>
      </c>
      <c r="J58" s="2" t="s">
        <v>42</v>
      </c>
      <c r="K58" s="2" t="s">
        <v>43</v>
      </c>
      <c r="L58" s="4">
        <v>0</v>
      </c>
      <c r="M58" s="4">
        <v>3816</v>
      </c>
      <c r="N58" s="4">
        <v>4400</v>
      </c>
      <c r="O58" s="4">
        <v>0</v>
      </c>
      <c r="P58" s="4">
        <v>0</v>
      </c>
      <c r="Q58" s="4">
        <v>4400</v>
      </c>
      <c r="R58" s="2"/>
      <c r="S58" s="2"/>
      <c r="T58" s="2"/>
      <c r="U58" s="2" t="s">
        <v>44</v>
      </c>
      <c r="V58" s="4">
        <v>572</v>
      </c>
      <c r="W58" s="2" t="s">
        <v>45</v>
      </c>
      <c r="X58" s="3">
        <v>45233</v>
      </c>
      <c r="Y58" s="5">
        <v>349</v>
      </c>
      <c r="Z58" s="3" t="s">
        <v>114</v>
      </c>
      <c r="AA58" s="6">
        <v>4400</v>
      </c>
      <c r="AB58" s="6">
        <v>0</v>
      </c>
      <c r="AC58" s="6">
        <v>4400</v>
      </c>
      <c r="AD58" s="6"/>
      <c r="AE58" s="2" t="s">
        <v>47</v>
      </c>
      <c r="AF58" s="2"/>
      <c r="AG58" s="2" t="s">
        <v>47</v>
      </c>
      <c r="AH58" s="2"/>
      <c r="AI58" s="2"/>
      <c r="AJ58" s="2" t="s">
        <v>48</v>
      </c>
      <c r="AK58" s="2"/>
      <c r="AL58" s="2" t="s">
        <v>49</v>
      </c>
    </row>
    <row r="59" spans="1:38" x14ac:dyDescent="0.25">
      <c r="A59" s="2" t="s">
        <v>163</v>
      </c>
      <c r="B59" s="2"/>
      <c r="C59" s="2" t="s">
        <v>39</v>
      </c>
      <c r="D59" s="3">
        <v>45233</v>
      </c>
      <c r="E59" s="3">
        <v>45233</v>
      </c>
      <c r="F59" s="3">
        <v>45599</v>
      </c>
      <c r="G59" s="2" t="s">
        <v>40</v>
      </c>
      <c r="H59" s="2" t="s">
        <v>164</v>
      </c>
      <c r="I59" s="2">
        <v>4396</v>
      </c>
      <c r="J59" s="2" t="s">
        <v>42</v>
      </c>
      <c r="K59" s="2" t="s">
        <v>43</v>
      </c>
      <c r="L59" s="4">
        <v>0</v>
      </c>
      <c r="M59" s="4">
        <v>3816</v>
      </c>
      <c r="N59" s="4">
        <v>4400</v>
      </c>
      <c r="O59" s="4">
        <v>0</v>
      </c>
      <c r="P59" s="4">
        <v>0</v>
      </c>
      <c r="Q59" s="4">
        <v>4400</v>
      </c>
      <c r="R59" s="2"/>
      <c r="S59" s="2"/>
      <c r="T59" s="2"/>
      <c r="U59" s="2" t="s">
        <v>44</v>
      </c>
      <c r="V59" s="4">
        <v>572</v>
      </c>
      <c r="W59" s="2" t="s">
        <v>45</v>
      </c>
      <c r="X59" s="3">
        <v>45233</v>
      </c>
      <c r="Y59" s="5">
        <v>349</v>
      </c>
      <c r="Z59" s="3" t="s">
        <v>114</v>
      </c>
      <c r="AA59" s="6">
        <v>4400</v>
      </c>
      <c r="AB59" s="6">
        <v>0</v>
      </c>
      <c r="AC59" s="6">
        <v>4400</v>
      </c>
      <c r="AD59" s="6"/>
      <c r="AE59" s="2" t="s">
        <v>47</v>
      </c>
      <c r="AF59" s="2"/>
      <c r="AG59" s="2" t="s">
        <v>47</v>
      </c>
      <c r="AH59" s="2"/>
      <c r="AI59" s="2"/>
      <c r="AJ59" s="2" t="s">
        <v>48</v>
      </c>
      <c r="AK59" s="2"/>
      <c r="AL59" s="2" t="s">
        <v>49</v>
      </c>
    </row>
    <row r="60" spans="1:38" x14ac:dyDescent="0.25">
      <c r="A60" s="2" t="s">
        <v>165</v>
      </c>
      <c r="B60" s="2"/>
      <c r="C60" s="2" t="s">
        <v>39</v>
      </c>
      <c r="D60" s="3">
        <v>45233</v>
      </c>
      <c r="E60" s="3">
        <v>45233</v>
      </c>
      <c r="F60" s="3">
        <v>45599</v>
      </c>
      <c r="G60" s="2" t="s">
        <v>40</v>
      </c>
      <c r="H60" s="2" t="s">
        <v>166</v>
      </c>
      <c r="I60" s="2">
        <v>4396</v>
      </c>
      <c r="J60" s="2" t="s">
        <v>42</v>
      </c>
      <c r="K60" s="2" t="s">
        <v>43</v>
      </c>
      <c r="L60" s="4">
        <v>0</v>
      </c>
      <c r="M60" s="4">
        <v>3816</v>
      </c>
      <c r="N60" s="4">
        <v>4400</v>
      </c>
      <c r="O60" s="4">
        <v>0</v>
      </c>
      <c r="P60" s="4">
        <v>0</v>
      </c>
      <c r="Q60" s="4">
        <v>4400</v>
      </c>
      <c r="R60" s="2"/>
      <c r="S60" s="2"/>
      <c r="T60" s="2"/>
      <c r="U60" s="2" t="s">
        <v>44</v>
      </c>
      <c r="V60" s="4">
        <v>572</v>
      </c>
      <c r="W60" s="2" t="s">
        <v>45</v>
      </c>
      <c r="X60" s="3">
        <v>45233</v>
      </c>
      <c r="Y60" s="5">
        <v>349</v>
      </c>
      <c r="Z60" s="3" t="s">
        <v>114</v>
      </c>
      <c r="AA60" s="6">
        <v>4400</v>
      </c>
      <c r="AB60" s="6">
        <v>0</v>
      </c>
      <c r="AC60" s="6">
        <v>4400</v>
      </c>
      <c r="AD60" s="6"/>
      <c r="AE60" s="2" t="s">
        <v>47</v>
      </c>
      <c r="AF60" s="2"/>
      <c r="AG60" s="2" t="s">
        <v>47</v>
      </c>
      <c r="AH60" s="2"/>
      <c r="AI60" s="2"/>
      <c r="AJ60" s="2" t="s">
        <v>48</v>
      </c>
      <c r="AK60" s="2"/>
      <c r="AL60" s="2" t="s">
        <v>49</v>
      </c>
    </row>
    <row r="61" spans="1:38" x14ac:dyDescent="0.25">
      <c r="A61" s="2" t="s">
        <v>167</v>
      </c>
      <c r="B61" s="2"/>
      <c r="C61" s="2" t="s">
        <v>39</v>
      </c>
      <c r="D61" s="3">
        <v>45233</v>
      </c>
      <c r="E61" s="3">
        <v>45233</v>
      </c>
      <c r="F61" s="3">
        <v>45599</v>
      </c>
      <c r="G61" s="2" t="s">
        <v>40</v>
      </c>
      <c r="H61" s="2" t="s">
        <v>168</v>
      </c>
      <c r="I61" s="2">
        <v>4396</v>
      </c>
      <c r="J61" s="2" t="s">
        <v>42</v>
      </c>
      <c r="K61" s="2" t="s">
        <v>43</v>
      </c>
      <c r="L61" s="4">
        <v>0</v>
      </c>
      <c r="M61" s="4">
        <v>3816</v>
      </c>
      <c r="N61" s="4">
        <v>4400</v>
      </c>
      <c r="O61" s="4">
        <v>0</v>
      </c>
      <c r="P61" s="4">
        <v>0</v>
      </c>
      <c r="Q61" s="4">
        <v>4400</v>
      </c>
      <c r="R61" s="2"/>
      <c r="S61" s="2"/>
      <c r="T61" s="2"/>
      <c r="U61" s="2" t="s">
        <v>44</v>
      </c>
      <c r="V61" s="4">
        <v>572</v>
      </c>
      <c r="W61" s="2" t="s">
        <v>45</v>
      </c>
      <c r="X61" s="3">
        <v>45233</v>
      </c>
      <c r="Y61" s="5">
        <v>349</v>
      </c>
      <c r="Z61" s="3" t="s">
        <v>114</v>
      </c>
      <c r="AA61" s="6">
        <v>4400</v>
      </c>
      <c r="AB61" s="6">
        <v>0</v>
      </c>
      <c r="AC61" s="6">
        <v>4400</v>
      </c>
      <c r="AD61" s="6"/>
      <c r="AE61" s="2" t="s">
        <v>47</v>
      </c>
      <c r="AF61" s="2"/>
      <c r="AG61" s="2" t="s">
        <v>47</v>
      </c>
      <c r="AH61" s="2"/>
      <c r="AI61" s="2"/>
      <c r="AJ61" s="2" t="s">
        <v>48</v>
      </c>
      <c r="AK61" s="2"/>
      <c r="AL61" s="2" t="s">
        <v>49</v>
      </c>
    </row>
    <row r="62" spans="1:38" x14ac:dyDescent="0.25">
      <c r="A62" s="2" t="s">
        <v>169</v>
      </c>
      <c r="B62" s="2"/>
      <c r="C62" s="2" t="s">
        <v>39</v>
      </c>
      <c r="D62" s="3">
        <v>45236</v>
      </c>
      <c r="E62" s="3">
        <v>45236</v>
      </c>
      <c r="F62" s="3">
        <v>45602</v>
      </c>
      <c r="G62" s="2" t="s">
        <v>40</v>
      </c>
      <c r="H62" s="2" t="s">
        <v>170</v>
      </c>
      <c r="I62" s="2">
        <v>4396</v>
      </c>
      <c r="J62" s="2" t="s">
        <v>42</v>
      </c>
      <c r="K62" s="2" t="s">
        <v>43</v>
      </c>
      <c r="L62" s="4">
        <v>0</v>
      </c>
      <c r="M62" s="4">
        <v>3816</v>
      </c>
      <c r="N62" s="4">
        <v>4400</v>
      </c>
      <c r="O62" s="4">
        <v>0</v>
      </c>
      <c r="P62" s="4">
        <v>0</v>
      </c>
      <c r="Q62" s="4">
        <v>4400</v>
      </c>
      <c r="R62" s="2"/>
      <c r="S62" s="2"/>
      <c r="T62" s="2"/>
      <c r="U62" s="2" t="s">
        <v>44</v>
      </c>
      <c r="V62" s="4">
        <v>572</v>
      </c>
      <c r="W62" s="2" t="s">
        <v>45</v>
      </c>
      <c r="X62" s="3">
        <v>45236</v>
      </c>
      <c r="Y62" s="5">
        <v>346</v>
      </c>
      <c r="Z62" s="3" t="s">
        <v>114</v>
      </c>
      <c r="AA62" s="6">
        <v>4400</v>
      </c>
      <c r="AB62" s="6">
        <v>0</v>
      </c>
      <c r="AC62" s="6">
        <v>4400</v>
      </c>
      <c r="AD62" s="6"/>
      <c r="AE62" s="2" t="s">
        <v>47</v>
      </c>
      <c r="AF62" s="2"/>
      <c r="AG62" s="2" t="s">
        <v>47</v>
      </c>
      <c r="AH62" s="2"/>
      <c r="AI62" s="2"/>
      <c r="AJ62" s="2" t="s">
        <v>48</v>
      </c>
      <c r="AK62" s="2"/>
      <c r="AL62" s="2" t="s">
        <v>49</v>
      </c>
    </row>
    <row r="63" spans="1:38" x14ac:dyDescent="0.25">
      <c r="A63" s="2" t="s">
        <v>171</v>
      </c>
      <c r="B63" s="2"/>
      <c r="C63" s="2" t="s">
        <v>39</v>
      </c>
      <c r="D63" s="3">
        <v>45236</v>
      </c>
      <c r="E63" s="3">
        <v>45236</v>
      </c>
      <c r="F63" s="3">
        <v>45602</v>
      </c>
      <c r="G63" s="2" t="s">
        <v>40</v>
      </c>
      <c r="H63" s="2" t="s">
        <v>172</v>
      </c>
      <c r="I63" s="2">
        <v>4396</v>
      </c>
      <c r="J63" s="2" t="s">
        <v>42</v>
      </c>
      <c r="K63" s="2" t="s">
        <v>43</v>
      </c>
      <c r="L63" s="4">
        <v>0</v>
      </c>
      <c r="M63" s="4">
        <v>3816</v>
      </c>
      <c r="N63" s="4">
        <v>4400</v>
      </c>
      <c r="O63" s="4">
        <v>0</v>
      </c>
      <c r="P63" s="4">
        <v>0</v>
      </c>
      <c r="Q63" s="4">
        <v>4400</v>
      </c>
      <c r="R63" s="2"/>
      <c r="S63" s="2"/>
      <c r="T63" s="2"/>
      <c r="U63" s="2" t="s">
        <v>44</v>
      </c>
      <c r="V63" s="4">
        <v>572</v>
      </c>
      <c r="W63" s="2" t="s">
        <v>45</v>
      </c>
      <c r="X63" s="3">
        <v>45236</v>
      </c>
      <c r="Y63" s="5">
        <v>346</v>
      </c>
      <c r="Z63" s="3" t="s">
        <v>114</v>
      </c>
      <c r="AA63" s="6">
        <v>4400</v>
      </c>
      <c r="AB63" s="6">
        <v>0</v>
      </c>
      <c r="AC63" s="6">
        <v>4400</v>
      </c>
      <c r="AD63" s="6"/>
      <c r="AE63" s="2" t="s">
        <v>47</v>
      </c>
      <c r="AF63" s="2"/>
      <c r="AG63" s="2" t="s">
        <v>47</v>
      </c>
      <c r="AH63" s="2"/>
      <c r="AI63" s="2"/>
      <c r="AJ63" s="2" t="s">
        <v>48</v>
      </c>
      <c r="AK63" s="2"/>
      <c r="AL63" s="2" t="s">
        <v>49</v>
      </c>
    </row>
    <row r="64" spans="1:38" x14ac:dyDescent="0.25">
      <c r="A64" s="2" t="s">
        <v>173</v>
      </c>
      <c r="B64" s="2"/>
      <c r="C64" s="2" t="s">
        <v>39</v>
      </c>
      <c r="D64" s="3">
        <v>45236</v>
      </c>
      <c r="E64" s="3">
        <v>45236</v>
      </c>
      <c r="F64" s="3">
        <v>45602</v>
      </c>
      <c r="G64" s="2" t="s">
        <v>40</v>
      </c>
      <c r="H64" s="2" t="s">
        <v>174</v>
      </c>
      <c r="I64" s="2">
        <v>4396</v>
      </c>
      <c r="J64" s="2" t="s">
        <v>42</v>
      </c>
      <c r="K64" s="2" t="s">
        <v>43</v>
      </c>
      <c r="L64" s="4">
        <v>0</v>
      </c>
      <c r="M64" s="4">
        <v>3816</v>
      </c>
      <c r="N64" s="4">
        <v>4400</v>
      </c>
      <c r="O64" s="4">
        <v>0</v>
      </c>
      <c r="P64" s="4">
        <v>0</v>
      </c>
      <c r="Q64" s="4">
        <v>4400</v>
      </c>
      <c r="R64" s="2"/>
      <c r="S64" s="2"/>
      <c r="T64" s="2"/>
      <c r="U64" s="2" t="s">
        <v>44</v>
      </c>
      <c r="V64" s="4">
        <v>572</v>
      </c>
      <c r="W64" s="2" t="s">
        <v>45</v>
      </c>
      <c r="X64" s="3">
        <v>45236</v>
      </c>
      <c r="Y64" s="5">
        <v>346</v>
      </c>
      <c r="Z64" s="3" t="s">
        <v>114</v>
      </c>
      <c r="AA64" s="6">
        <v>4400</v>
      </c>
      <c r="AB64" s="6">
        <v>0</v>
      </c>
      <c r="AC64" s="6">
        <v>4400</v>
      </c>
      <c r="AD64" s="6"/>
      <c r="AE64" s="2" t="s">
        <v>47</v>
      </c>
      <c r="AF64" s="2"/>
      <c r="AG64" s="2" t="s">
        <v>47</v>
      </c>
      <c r="AH64" s="2"/>
      <c r="AI64" s="2"/>
      <c r="AJ64" s="2" t="s">
        <v>48</v>
      </c>
      <c r="AK64" s="2"/>
      <c r="AL64" s="2" t="s">
        <v>49</v>
      </c>
    </row>
    <row r="65" spans="1:38" x14ac:dyDescent="0.25">
      <c r="A65" s="2" t="s">
        <v>175</v>
      </c>
      <c r="B65" s="2"/>
      <c r="C65" s="2" t="s">
        <v>39</v>
      </c>
      <c r="D65" s="3">
        <v>45236</v>
      </c>
      <c r="E65" s="3">
        <v>45236</v>
      </c>
      <c r="F65" s="3">
        <v>45602</v>
      </c>
      <c r="G65" s="2" t="s">
        <v>40</v>
      </c>
      <c r="H65" s="2" t="s">
        <v>176</v>
      </c>
      <c r="I65" s="2">
        <v>4396</v>
      </c>
      <c r="J65" s="2" t="s">
        <v>42</v>
      </c>
      <c r="K65" s="2" t="s">
        <v>43</v>
      </c>
      <c r="L65" s="4">
        <v>0</v>
      </c>
      <c r="M65" s="4">
        <v>3816</v>
      </c>
      <c r="N65" s="4">
        <v>4400</v>
      </c>
      <c r="O65" s="4">
        <v>0</v>
      </c>
      <c r="P65" s="4">
        <v>0</v>
      </c>
      <c r="Q65" s="4">
        <v>4400</v>
      </c>
      <c r="R65" s="2"/>
      <c r="S65" s="2"/>
      <c r="T65" s="2"/>
      <c r="U65" s="2" t="s">
        <v>44</v>
      </c>
      <c r="V65" s="4">
        <v>572</v>
      </c>
      <c r="W65" s="2" t="s">
        <v>45</v>
      </c>
      <c r="X65" s="3">
        <v>45236</v>
      </c>
      <c r="Y65" s="5">
        <v>346</v>
      </c>
      <c r="Z65" s="3" t="s">
        <v>114</v>
      </c>
      <c r="AA65" s="6">
        <v>4400</v>
      </c>
      <c r="AB65" s="6">
        <v>0</v>
      </c>
      <c r="AC65" s="6">
        <v>4400</v>
      </c>
      <c r="AD65" s="6"/>
      <c r="AE65" s="2" t="s">
        <v>47</v>
      </c>
      <c r="AF65" s="2"/>
      <c r="AG65" s="2" t="s">
        <v>47</v>
      </c>
      <c r="AH65" s="2"/>
      <c r="AI65" s="2"/>
      <c r="AJ65" s="2" t="s">
        <v>48</v>
      </c>
      <c r="AK65" s="2"/>
      <c r="AL65" s="2" t="s">
        <v>49</v>
      </c>
    </row>
    <row r="66" spans="1:38" x14ac:dyDescent="0.25">
      <c r="A66" s="2" t="s">
        <v>177</v>
      </c>
      <c r="B66" s="2"/>
      <c r="C66" s="2" t="s">
        <v>39</v>
      </c>
      <c r="D66" s="3">
        <v>45236</v>
      </c>
      <c r="E66" s="3">
        <v>45236</v>
      </c>
      <c r="F66" s="3">
        <v>45602</v>
      </c>
      <c r="G66" s="2" t="s">
        <v>40</v>
      </c>
      <c r="H66" s="2" t="s">
        <v>178</v>
      </c>
      <c r="I66" s="2">
        <v>4396</v>
      </c>
      <c r="J66" s="2" t="s">
        <v>42</v>
      </c>
      <c r="K66" s="2" t="s">
        <v>43</v>
      </c>
      <c r="L66" s="4">
        <v>0</v>
      </c>
      <c r="M66" s="4">
        <v>3816</v>
      </c>
      <c r="N66" s="4">
        <v>4400</v>
      </c>
      <c r="O66" s="4">
        <v>0</v>
      </c>
      <c r="P66" s="4">
        <v>0</v>
      </c>
      <c r="Q66" s="4">
        <v>4400</v>
      </c>
      <c r="R66" s="2"/>
      <c r="S66" s="2"/>
      <c r="T66" s="2"/>
      <c r="U66" s="2" t="s">
        <v>44</v>
      </c>
      <c r="V66" s="4">
        <v>572</v>
      </c>
      <c r="W66" s="2" t="s">
        <v>45</v>
      </c>
      <c r="X66" s="3">
        <v>45236</v>
      </c>
      <c r="Y66" s="5">
        <v>346</v>
      </c>
      <c r="Z66" s="3" t="s">
        <v>114</v>
      </c>
      <c r="AA66" s="6">
        <v>4400</v>
      </c>
      <c r="AB66" s="6">
        <v>0</v>
      </c>
      <c r="AC66" s="6">
        <v>4400</v>
      </c>
      <c r="AD66" s="6"/>
      <c r="AE66" s="2" t="s">
        <v>47</v>
      </c>
      <c r="AF66" s="2"/>
      <c r="AG66" s="2" t="s">
        <v>47</v>
      </c>
      <c r="AH66" s="2"/>
      <c r="AI66" s="2"/>
      <c r="AJ66" s="2" t="s">
        <v>48</v>
      </c>
      <c r="AK66" s="2"/>
      <c r="AL66" s="2" t="s">
        <v>49</v>
      </c>
    </row>
    <row r="67" spans="1:38" x14ac:dyDescent="0.25">
      <c r="A67" s="2" t="s">
        <v>179</v>
      </c>
      <c r="B67" s="2"/>
      <c r="C67" s="2" t="s">
        <v>39</v>
      </c>
      <c r="D67" s="3">
        <v>45236</v>
      </c>
      <c r="E67" s="3">
        <v>45236</v>
      </c>
      <c r="F67" s="3">
        <v>45602</v>
      </c>
      <c r="G67" s="2" t="s">
        <v>40</v>
      </c>
      <c r="H67" s="2" t="s">
        <v>180</v>
      </c>
      <c r="I67" s="2">
        <v>4396</v>
      </c>
      <c r="J67" s="2" t="s">
        <v>42</v>
      </c>
      <c r="K67" s="2" t="s">
        <v>43</v>
      </c>
      <c r="L67" s="4">
        <v>0</v>
      </c>
      <c r="M67" s="4">
        <v>3816</v>
      </c>
      <c r="N67" s="4">
        <v>4400</v>
      </c>
      <c r="O67" s="4">
        <v>0</v>
      </c>
      <c r="P67" s="4">
        <v>0</v>
      </c>
      <c r="Q67" s="4">
        <v>4400</v>
      </c>
      <c r="R67" s="2"/>
      <c r="S67" s="2"/>
      <c r="T67" s="2"/>
      <c r="U67" s="2" t="s">
        <v>44</v>
      </c>
      <c r="V67" s="4">
        <v>572</v>
      </c>
      <c r="W67" s="2" t="s">
        <v>45</v>
      </c>
      <c r="X67" s="3">
        <v>45236</v>
      </c>
      <c r="Y67" s="5">
        <v>346</v>
      </c>
      <c r="Z67" s="3" t="s">
        <v>114</v>
      </c>
      <c r="AA67" s="6">
        <v>4400</v>
      </c>
      <c r="AB67" s="6">
        <v>0</v>
      </c>
      <c r="AC67" s="6">
        <v>4400</v>
      </c>
      <c r="AD67" s="6"/>
      <c r="AE67" s="2" t="s">
        <v>47</v>
      </c>
      <c r="AF67" s="2"/>
      <c r="AG67" s="2" t="s">
        <v>47</v>
      </c>
      <c r="AH67" s="2"/>
      <c r="AI67" s="2"/>
      <c r="AJ67" s="2" t="s">
        <v>48</v>
      </c>
      <c r="AK67" s="2"/>
      <c r="AL67" s="2" t="s">
        <v>49</v>
      </c>
    </row>
    <row r="68" spans="1:38" x14ac:dyDescent="0.25">
      <c r="A68" s="2" t="s">
        <v>181</v>
      </c>
      <c r="B68" s="2"/>
      <c r="C68" s="2" t="s">
        <v>39</v>
      </c>
      <c r="D68" s="3">
        <v>45238</v>
      </c>
      <c r="E68" s="3">
        <v>45238</v>
      </c>
      <c r="F68" s="3">
        <v>45604</v>
      </c>
      <c r="G68" s="2" t="s">
        <v>40</v>
      </c>
      <c r="H68" s="2" t="s">
        <v>182</v>
      </c>
      <c r="I68" s="2">
        <v>3920</v>
      </c>
      <c r="J68" s="2" t="s">
        <v>42</v>
      </c>
      <c r="K68" s="2" t="s">
        <v>43</v>
      </c>
      <c r="L68" s="4">
        <v>0</v>
      </c>
      <c r="M68" s="4">
        <v>3395</v>
      </c>
      <c r="N68" s="4">
        <v>3920</v>
      </c>
      <c r="O68" s="4">
        <v>0</v>
      </c>
      <c r="P68" s="4">
        <v>0</v>
      </c>
      <c r="Q68" s="4">
        <v>3920</v>
      </c>
      <c r="R68" s="2"/>
      <c r="S68" s="2"/>
      <c r="T68" s="2"/>
      <c r="U68" s="2" t="s">
        <v>44</v>
      </c>
      <c r="V68" s="4">
        <v>509</v>
      </c>
      <c r="W68" s="2" t="s">
        <v>45</v>
      </c>
      <c r="X68" s="3">
        <v>45238</v>
      </c>
      <c r="Y68" s="5">
        <v>344</v>
      </c>
      <c r="Z68" s="3" t="s">
        <v>114</v>
      </c>
      <c r="AA68" s="6">
        <v>3920</v>
      </c>
      <c r="AB68" s="6">
        <v>0</v>
      </c>
      <c r="AC68" s="6">
        <v>3920</v>
      </c>
      <c r="AD68" s="6"/>
      <c r="AE68" s="2" t="s">
        <v>47</v>
      </c>
      <c r="AF68" s="2"/>
      <c r="AG68" s="2" t="s">
        <v>47</v>
      </c>
      <c r="AH68" s="2"/>
      <c r="AI68" s="2"/>
      <c r="AJ68" s="2" t="s">
        <v>48</v>
      </c>
      <c r="AK68" s="2"/>
      <c r="AL68" s="2" t="s">
        <v>49</v>
      </c>
    </row>
    <row r="69" spans="1:38" x14ac:dyDescent="0.25">
      <c r="A69" s="2" t="s">
        <v>183</v>
      </c>
      <c r="B69" s="2"/>
      <c r="C69" s="2" t="s">
        <v>39</v>
      </c>
      <c r="D69" s="3">
        <v>45238</v>
      </c>
      <c r="E69" s="3">
        <v>45238</v>
      </c>
      <c r="F69" s="3">
        <v>45420</v>
      </c>
      <c r="G69" s="2" t="s">
        <v>40</v>
      </c>
      <c r="H69" s="2" t="s">
        <v>184</v>
      </c>
      <c r="I69" s="2">
        <v>3025</v>
      </c>
      <c r="J69" s="2" t="s">
        <v>42</v>
      </c>
      <c r="K69" s="2" t="s">
        <v>43</v>
      </c>
      <c r="L69" s="4">
        <v>0</v>
      </c>
      <c r="M69" s="4">
        <v>2610</v>
      </c>
      <c r="N69" s="4">
        <v>3025</v>
      </c>
      <c r="O69" s="4">
        <v>0</v>
      </c>
      <c r="P69" s="4">
        <v>0</v>
      </c>
      <c r="Q69" s="4">
        <v>3025</v>
      </c>
      <c r="R69" s="2"/>
      <c r="S69" s="2"/>
      <c r="T69" s="2"/>
      <c r="U69" s="2" t="s">
        <v>44</v>
      </c>
      <c r="V69" s="4">
        <v>392</v>
      </c>
      <c r="W69" s="2" t="s">
        <v>45</v>
      </c>
      <c r="X69" s="3">
        <v>45238</v>
      </c>
      <c r="Y69" s="5">
        <v>344</v>
      </c>
      <c r="Z69" s="3" t="s">
        <v>114</v>
      </c>
      <c r="AA69" s="6">
        <v>3025</v>
      </c>
      <c r="AB69" s="6">
        <v>0</v>
      </c>
      <c r="AC69" s="6">
        <v>3025</v>
      </c>
      <c r="AD69" s="6"/>
      <c r="AE69" s="2" t="s">
        <v>47</v>
      </c>
      <c r="AF69" s="2"/>
      <c r="AG69" s="2" t="s">
        <v>47</v>
      </c>
      <c r="AH69" s="2"/>
      <c r="AI69" s="2"/>
      <c r="AJ69" s="2" t="s">
        <v>48</v>
      </c>
      <c r="AK69" s="2"/>
      <c r="AL69" s="2" t="s">
        <v>49</v>
      </c>
    </row>
    <row r="70" spans="1:38" x14ac:dyDescent="0.25">
      <c r="A70" s="2" t="s">
        <v>185</v>
      </c>
      <c r="B70" s="2"/>
      <c r="C70" s="2" t="s">
        <v>39</v>
      </c>
      <c r="D70" s="3">
        <v>45238</v>
      </c>
      <c r="E70" s="3">
        <v>45238</v>
      </c>
      <c r="F70" s="3">
        <v>45420</v>
      </c>
      <c r="G70" s="2" t="s">
        <v>40</v>
      </c>
      <c r="H70" s="2" t="s">
        <v>186</v>
      </c>
      <c r="I70" s="2">
        <v>16215</v>
      </c>
      <c r="J70" s="2" t="s">
        <v>42</v>
      </c>
      <c r="K70" s="2" t="s">
        <v>43</v>
      </c>
      <c r="L70" s="4">
        <v>0</v>
      </c>
      <c r="M70" s="4">
        <v>14180</v>
      </c>
      <c r="N70" s="4">
        <v>16215</v>
      </c>
      <c r="O70" s="4">
        <v>0</v>
      </c>
      <c r="P70" s="4">
        <v>0</v>
      </c>
      <c r="Q70" s="4">
        <v>16215</v>
      </c>
      <c r="R70" s="2"/>
      <c r="S70" s="2"/>
      <c r="T70" s="2"/>
      <c r="U70" s="2" t="s">
        <v>44</v>
      </c>
      <c r="V70" s="4">
        <v>2127</v>
      </c>
      <c r="W70" s="2" t="s">
        <v>45</v>
      </c>
      <c r="X70" s="3">
        <v>45238</v>
      </c>
      <c r="Y70" s="5">
        <v>344</v>
      </c>
      <c r="Z70" s="3" t="s">
        <v>114</v>
      </c>
      <c r="AA70" s="6">
        <v>16215</v>
      </c>
      <c r="AB70" s="6">
        <v>0</v>
      </c>
      <c r="AC70" s="6">
        <v>16215</v>
      </c>
      <c r="AD70" s="6"/>
      <c r="AE70" s="2" t="s">
        <v>47</v>
      </c>
      <c r="AF70" s="2"/>
      <c r="AG70" s="2" t="s">
        <v>47</v>
      </c>
      <c r="AH70" s="2"/>
      <c r="AI70" s="2"/>
      <c r="AJ70" s="2" t="s">
        <v>48</v>
      </c>
      <c r="AK70" s="2"/>
      <c r="AL70" s="2" t="s">
        <v>49</v>
      </c>
    </row>
    <row r="71" spans="1:38" x14ac:dyDescent="0.25">
      <c r="A71" s="2" t="s">
        <v>187</v>
      </c>
      <c r="B71" s="2"/>
      <c r="C71" s="2" t="s">
        <v>39</v>
      </c>
      <c r="D71" s="3">
        <v>45240</v>
      </c>
      <c r="E71" s="3">
        <v>45240</v>
      </c>
      <c r="F71" s="3">
        <v>45606</v>
      </c>
      <c r="G71" s="2" t="s">
        <v>40</v>
      </c>
      <c r="H71" s="2" t="s">
        <v>188</v>
      </c>
      <c r="I71" s="2">
        <v>4396</v>
      </c>
      <c r="J71" s="2" t="s">
        <v>42</v>
      </c>
      <c r="K71" s="2" t="s">
        <v>43</v>
      </c>
      <c r="L71" s="4">
        <v>0</v>
      </c>
      <c r="M71" s="4">
        <v>3816</v>
      </c>
      <c r="N71" s="4">
        <v>4400</v>
      </c>
      <c r="O71" s="4">
        <v>0</v>
      </c>
      <c r="P71" s="4">
        <v>0</v>
      </c>
      <c r="Q71" s="4">
        <v>4400</v>
      </c>
      <c r="R71" s="2"/>
      <c r="S71" s="2"/>
      <c r="T71" s="2"/>
      <c r="U71" s="2" t="s">
        <v>44</v>
      </c>
      <c r="V71" s="4">
        <v>572</v>
      </c>
      <c r="W71" s="2" t="s">
        <v>45</v>
      </c>
      <c r="X71" s="3">
        <v>45240</v>
      </c>
      <c r="Y71" s="5">
        <v>342</v>
      </c>
      <c r="Z71" s="3" t="s">
        <v>114</v>
      </c>
      <c r="AA71" s="6">
        <v>4400</v>
      </c>
      <c r="AB71" s="6">
        <v>0</v>
      </c>
      <c r="AC71" s="6">
        <v>4400</v>
      </c>
      <c r="AD71" s="6"/>
      <c r="AE71" s="2" t="s">
        <v>47</v>
      </c>
      <c r="AF71" s="2"/>
      <c r="AG71" s="2" t="s">
        <v>47</v>
      </c>
      <c r="AH71" s="2"/>
      <c r="AI71" s="2"/>
      <c r="AJ71" s="2" t="s">
        <v>48</v>
      </c>
      <c r="AK71" s="2"/>
      <c r="AL71" s="2" t="s">
        <v>49</v>
      </c>
    </row>
    <row r="72" spans="1:38" x14ac:dyDescent="0.25">
      <c r="A72" s="2" t="s">
        <v>189</v>
      </c>
      <c r="B72" s="2"/>
      <c r="C72" s="2" t="s">
        <v>39</v>
      </c>
      <c r="D72" s="3">
        <v>45241</v>
      </c>
      <c r="E72" s="3">
        <v>45241</v>
      </c>
      <c r="F72" s="3">
        <v>45607</v>
      </c>
      <c r="G72" s="2" t="s">
        <v>40</v>
      </c>
      <c r="H72" s="2" t="s">
        <v>190</v>
      </c>
      <c r="I72" s="2">
        <v>4396</v>
      </c>
      <c r="J72" s="2" t="s">
        <v>42</v>
      </c>
      <c r="K72" s="2" t="s">
        <v>43</v>
      </c>
      <c r="L72" s="4">
        <v>0</v>
      </c>
      <c r="M72" s="4">
        <v>3816</v>
      </c>
      <c r="N72" s="4">
        <v>4400</v>
      </c>
      <c r="O72" s="4">
        <v>0</v>
      </c>
      <c r="P72" s="4">
        <v>0</v>
      </c>
      <c r="Q72" s="4">
        <v>4400</v>
      </c>
      <c r="R72" s="2"/>
      <c r="S72" s="2"/>
      <c r="T72" s="2"/>
      <c r="U72" s="2" t="s">
        <v>44</v>
      </c>
      <c r="V72" s="4">
        <v>572</v>
      </c>
      <c r="W72" s="2" t="s">
        <v>45</v>
      </c>
      <c r="X72" s="3">
        <v>45241</v>
      </c>
      <c r="Y72" s="5">
        <v>341</v>
      </c>
      <c r="Z72" s="3" t="s">
        <v>114</v>
      </c>
      <c r="AA72" s="6">
        <v>4400</v>
      </c>
      <c r="AB72" s="6">
        <v>0</v>
      </c>
      <c r="AC72" s="6">
        <v>4400</v>
      </c>
      <c r="AD72" s="6"/>
      <c r="AE72" s="2" t="s">
        <v>47</v>
      </c>
      <c r="AF72" s="2"/>
      <c r="AG72" s="2" t="s">
        <v>47</v>
      </c>
      <c r="AH72" s="2"/>
      <c r="AI72" s="2"/>
      <c r="AJ72" s="2" t="s">
        <v>48</v>
      </c>
      <c r="AK72" s="2"/>
      <c r="AL72" s="2" t="s">
        <v>49</v>
      </c>
    </row>
    <row r="73" spans="1:38" x14ac:dyDescent="0.25">
      <c r="A73" s="2" t="s">
        <v>191</v>
      </c>
      <c r="B73" s="2"/>
      <c r="C73" s="2" t="s">
        <v>39</v>
      </c>
      <c r="D73" s="3">
        <v>45243</v>
      </c>
      <c r="E73" s="3">
        <v>45243</v>
      </c>
      <c r="F73" s="3">
        <v>45425</v>
      </c>
      <c r="G73" s="2" t="s">
        <v>40</v>
      </c>
      <c r="H73" s="2" t="s">
        <v>192</v>
      </c>
      <c r="I73" s="2">
        <v>3025</v>
      </c>
      <c r="J73" s="2" t="s">
        <v>42</v>
      </c>
      <c r="K73" s="2" t="s">
        <v>43</v>
      </c>
      <c r="L73" s="4">
        <v>0</v>
      </c>
      <c r="M73" s="4">
        <v>2610</v>
      </c>
      <c r="N73" s="4">
        <v>3025</v>
      </c>
      <c r="O73" s="4">
        <v>0</v>
      </c>
      <c r="P73" s="4">
        <v>0</v>
      </c>
      <c r="Q73" s="4">
        <v>3025</v>
      </c>
      <c r="R73" s="2"/>
      <c r="S73" s="2"/>
      <c r="T73" s="2"/>
      <c r="U73" s="2" t="s">
        <v>44</v>
      </c>
      <c r="V73" s="4">
        <v>392</v>
      </c>
      <c r="W73" s="2" t="s">
        <v>45</v>
      </c>
      <c r="X73" s="3">
        <v>45243</v>
      </c>
      <c r="Y73" s="5">
        <v>339</v>
      </c>
      <c r="Z73" s="3" t="s">
        <v>114</v>
      </c>
      <c r="AA73" s="6">
        <v>3025</v>
      </c>
      <c r="AB73" s="6">
        <v>0</v>
      </c>
      <c r="AC73" s="6">
        <v>3025</v>
      </c>
      <c r="AD73" s="6"/>
      <c r="AE73" s="2" t="s">
        <v>47</v>
      </c>
      <c r="AF73" s="2"/>
      <c r="AG73" s="2" t="s">
        <v>47</v>
      </c>
      <c r="AH73" s="2"/>
      <c r="AI73" s="2"/>
      <c r="AJ73" s="2" t="s">
        <v>48</v>
      </c>
      <c r="AK73" s="2"/>
      <c r="AL73" s="2" t="s">
        <v>49</v>
      </c>
    </row>
    <row r="74" spans="1:38" x14ac:dyDescent="0.25">
      <c r="A74" s="2" t="s">
        <v>193</v>
      </c>
      <c r="B74" s="2"/>
      <c r="C74" s="2" t="s">
        <v>39</v>
      </c>
      <c r="D74" s="3">
        <v>45243</v>
      </c>
      <c r="E74" s="3">
        <v>45243</v>
      </c>
      <c r="F74" s="3">
        <v>45609</v>
      </c>
      <c r="G74" s="2" t="s">
        <v>40</v>
      </c>
      <c r="H74" s="2" t="s">
        <v>194</v>
      </c>
      <c r="I74" s="2">
        <v>4396</v>
      </c>
      <c r="J74" s="2" t="s">
        <v>42</v>
      </c>
      <c r="K74" s="2" t="s">
        <v>43</v>
      </c>
      <c r="L74" s="4">
        <v>0</v>
      </c>
      <c r="M74" s="4">
        <v>3816</v>
      </c>
      <c r="N74" s="4">
        <v>4400</v>
      </c>
      <c r="O74" s="4">
        <v>0</v>
      </c>
      <c r="P74" s="4">
        <v>0</v>
      </c>
      <c r="Q74" s="4">
        <v>4400</v>
      </c>
      <c r="R74" s="2"/>
      <c r="S74" s="2"/>
      <c r="T74" s="2"/>
      <c r="U74" s="2" t="s">
        <v>44</v>
      </c>
      <c r="V74" s="4">
        <v>572</v>
      </c>
      <c r="W74" s="2" t="s">
        <v>45</v>
      </c>
      <c r="X74" s="3">
        <v>45243</v>
      </c>
      <c r="Y74" s="5">
        <v>339</v>
      </c>
      <c r="Z74" s="3" t="s">
        <v>114</v>
      </c>
      <c r="AA74" s="6">
        <v>4400</v>
      </c>
      <c r="AB74" s="6">
        <v>0</v>
      </c>
      <c r="AC74" s="6">
        <v>4400</v>
      </c>
      <c r="AD74" s="6"/>
      <c r="AE74" s="2" t="s">
        <v>47</v>
      </c>
      <c r="AF74" s="2"/>
      <c r="AG74" s="2" t="s">
        <v>47</v>
      </c>
      <c r="AH74" s="2"/>
      <c r="AI74" s="2"/>
      <c r="AJ74" s="2" t="s">
        <v>48</v>
      </c>
      <c r="AK74" s="2"/>
      <c r="AL74" s="2" t="s">
        <v>49</v>
      </c>
    </row>
    <row r="75" spans="1:38" x14ac:dyDescent="0.25">
      <c r="A75" s="2" t="s">
        <v>195</v>
      </c>
      <c r="B75" s="2"/>
      <c r="C75" s="2" t="s">
        <v>39</v>
      </c>
      <c r="D75" s="3">
        <v>45244</v>
      </c>
      <c r="E75" s="3">
        <v>45244</v>
      </c>
      <c r="F75" s="3">
        <v>45610</v>
      </c>
      <c r="G75" s="2" t="s">
        <v>40</v>
      </c>
      <c r="H75" s="2" t="s">
        <v>196</v>
      </c>
      <c r="I75" s="2">
        <v>4396</v>
      </c>
      <c r="J75" s="2" t="s">
        <v>42</v>
      </c>
      <c r="K75" s="2" t="s">
        <v>43</v>
      </c>
      <c r="L75" s="4">
        <v>0</v>
      </c>
      <c r="M75" s="4">
        <v>3816</v>
      </c>
      <c r="N75" s="4">
        <v>4400</v>
      </c>
      <c r="O75" s="4">
        <v>0</v>
      </c>
      <c r="P75" s="4">
        <v>0</v>
      </c>
      <c r="Q75" s="4">
        <v>4400</v>
      </c>
      <c r="R75" s="2"/>
      <c r="S75" s="2"/>
      <c r="T75" s="2"/>
      <c r="U75" s="2" t="s">
        <v>44</v>
      </c>
      <c r="V75" s="4">
        <v>572</v>
      </c>
      <c r="W75" s="2" t="s">
        <v>45</v>
      </c>
      <c r="X75" s="3">
        <v>45244</v>
      </c>
      <c r="Y75" s="5">
        <v>338</v>
      </c>
      <c r="Z75" s="3" t="s">
        <v>114</v>
      </c>
      <c r="AA75" s="6">
        <v>4400</v>
      </c>
      <c r="AB75" s="6">
        <v>0</v>
      </c>
      <c r="AC75" s="6">
        <v>4400</v>
      </c>
      <c r="AD75" s="6"/>
      <c r="AE75" s="2" t="s">
        <v>47</v>
      </c>
      <c r="AF75" s="2"/>
      <c r="AG75" s="2" t="s">
        <v>47</v>
      </c>
      <c r="AH75" s="2"/>
      <c r="AI75" s="2"/>
      <c r="AJ75" s="2" t="s">
        <v>48</v>
      </c>
      <c r="AK75" s="2"/>
      <c r="AL75" s="2" t="s">
        <v>49</v>
      </c>
    </row>
    <row r="76" spans="1:38" x14ac:dyDescent="0.25">
      <c r="A76" s="2" t="s">
        <v>197</v>
      </c>
      <c r="B76" s="2"/>
      <c r="C76" s="2" t="s">
        <v>39</v>
      </c>
      <c r="D76" s="3">
        <v>45244</v>
      </c>
      <c r="E76" s="3">
        <v>45244</v>
      </c>
      <c r="F76" s="3">
        <v>45610</v>
      </c>
      <c r="G76" s="2" t="s">
        <v>40</v>
      </c>
      <c r="H76" s="2" t="s">
        <v>198</v>
      </c>
      <c r="I76" s="2">
        <v>4396</v>
      </c>
      <c r="J76" s="2" t="s">
        <v>42</v>
      </c>
      <c r="K76" s="2" t="s">
        <v>43</v>
      </c>
      <c r="L76" s="4">
        <v>0</v>
      </c>
      <c r="M76" s="4">
        <v>3816</v>
      </c>
      <c r="N76" s="4">
        <v>4400</v>
      </c>
      <c r="O76" s="4">
        <v>0</v>
      </c>
      <c r="P76" s="4">
        <v>0</v>
      </c>
      <c r="Q76" s="4">
        <v>4400</v>
      </c>
      <c r="R76" s="2"/>
      <c r="S76" s="2"/>
      <c r="T76" s="2"/>
      <c r="U76" s="2" t="s">
        <v>44</v>
      </c>
      <c r="V76" s="4">
        <v>572</v>
      </c>
      <c r="W76" s="2" t="s">
        <v>45</v>
      </c>
      <c r="X76" s="3">
        <v>45244</v>
      </c>
      <c r="Y76" s="5">
        <v>338</v>
      </c>
      <c r="Z76" s="3" t="s">
        <v>114</v>
      </c>
      <c r="AA76" s="6">
        <v>4400</v>
      </c>
      <c r="AB76" s="6">
        <v>0</v>
      </c>
      <c r="AC76" s="6">
        <v>4400</v>
      </c>
      <c r="AD76" s="6"/>
      <c r="AE76" s="2" t="s">
        <v>47</v>
      </c>
      <c r="AF76" s="2"/>
      <c r="AG76" s="2" t="s">
        <v>47</v>
      </c>
      <c r="AH76" s="2"/>
      <c r="AI76" s="2"/>
      <c r="AJ76" s="2" t="s">
        <v>48</v>
      </c>
      <c r="AK76" s="2"/>
      <c r="AL76" s="2" t="s">
        <v>49</v>
      </c>
    </row>
    <row r="77" spans="1:38" x14ac:dyDescent="0.25">
      <c r="A77" s="2" t="s">
        <v>199</v>
      </c>
      <c r="B77" s="2"/>
      <c r="C77" s="2" t="s">
        <v>39</v>
      </c>
      <c r="D77" s="3">
        <v>45244</v>
      </c>
      <c r="E77" s="3">
        <v>45244</v>
      </c>
      <c r="F77" s="3">
        <v>45610</v>
      </c>
      <c r="G77" s="2" t="s">
        <v>40</v>
      </c>
      <c r="H77" s="2" t="s">
        <v>198</v>
      </c>
      <c r="I77" s="2">
        <v>4396</v>
      </c>
      <c r="J77" s="2" t="s">
        <v>42</v>
      </c>
      <c r="K77" s="2" t="s">
        <v>43</v>
      </c>
      <c r="L77" s="4">
        <v>0</v>
      </c>
      <c r="M77" s="4">
        <v>3816</v>
      </c>
      <c r="N77" s="4">
        <v>4400</v>
      </c>
      <c r="O77" s="4">
        <v>0</v>
      </c>
      <c r="P77" s="4">
        <v>0</v>
      </c>
      <c r="Q77" s="4">
        <v>4400</v>
      </c>
      <c r="R77" s="2"/>
      <c r="S77" s="2"/>
      <c r="T77" s="2"/>
      <c r="U77" s="2" t="s">
        <v>44</v>
      </c>
      <c r="V77" s="4">
        <v>572</v>
      </c>
      <c r="W77" s="2" t="s">
        <v>45</v>
      </c>
      <c r="X77" s="3">
        <v>45244</v>
      </c>
      <c r="Y77" s="5">
        <v>338</v>
      </c>
      <c r="Z77" s="3" t="s">
        <v>114</v>
      </c>
      <c r="AA77" s="6">
        <v>4400</v>
      </c>
      <c r="AB77" s="6">
        <v>0</v>
      </c>
      <c r="AC77" s="6">
        <v>4400</v>
      </c>
      <c r="AD77" s="6"/>
      <c r="AE77" s="2" t="s">
        <v>47</v>
      </c>
      <c r="AF77" s="2"/>
      <c r="AG77" s="2" t="s">
        <v>47</v>
      </c>
      <c r="AH77" s="2"/>
      <c r="AI77" s="2"/>
      <c r="AJ77" s="2" t="s">
        <v>48</v>
      </c>
      <c r="AK77" s="2"/>
      <c r="AL77" s="2" t="s">
        <v>49</v>
      </c>
    </row>
    <row r="78" spans="1:38" x14ac:dyDescent="0.25">
      <c r="A78" s="2" t="s">
        <v>200</v>
      </c>
      <c r="B78" s="2"/>
      <c r="C78" s="2" t="s">
        <v>39</v>
      </c>
      <c r="D78" s="3">
        <v>45244</v>
      </c>
      <c r="E78" s="3">
        <v>45244</v>
      </c>
      <c r="F78" s="3">
        <v>45610</v>
      </c>
      <c r="G78" s="2" t="s">
        <v>40</v>
      </c>
      <c r="H78" s="2" t="s">
        <v>201</v>
      </c>
      <c r="I78" s="2">
        <v>4396</v>
      </c>
      <c r="J78" s="2" t="s">
        <v>42</v>
      </c>
      <c r="K78" s="2" t="s">
        <v>43</v>
      </c>
      <c r="L78" s="4">
        <v>0</v>
      </c>
      <c r="M78" s="4">
        <v>3816</v>
      </c>
      <c r="N78" s="4">
        <v>4400</v>
      </c>
      <c r="O78" s="4">
        <v>0</v>
      </c>
      <c r="P78" s="4">
        <v>0</v>
      </c>
      <c r="Q78" s="4">
        <v>4400</v>
      </c>
      <c r="R78" s="2"/>
      <c r="S78" s="2"/>
      <c r="T78" s="2"/>
      <c r="U78" s="2" t="s">
        <v>44</v>
      </c>
      <c r="V78" s="4">
        <v>572</v>
      </c>
      <c r="W78" s="2" t="s">
        <v>45</v>
      </c>
      <c r="X78" s="3">
        <v>45244</v>
      </c>
      <c r="Y78" s="5">
        <v>338</v>
      </c>
      <c r="Z78" s="3" t="s">
        <v>114</v>
      </c>
      <c r="AA78" s="6">
        <v>4400</v>
      </c>
      <c r="AB78" s="6">
        <v>0</v>
      </c>
      <c r="AC78" s="6">
        <v>4400</v>
      </c>
      <c r="AD78" s="6"/>
      <c r="AE78" s="2" t="s">
        <v>47</v>
      </c>
      <c r="AF78" s="2"/>
      <c r="AG78" s="2" t="s">
        <v>47</v>
      </c>
      <c r="AH78" s="2"/>
      <c r="AI78" s="2"/>
      <c r="AJ78" s="2" t="s">
        <v>48</v>
      </c>
      <c r="AK78" s="2"/>
      <c r="AL78" s="2" t="s">
        <v>49</v>
      </c>
    </row>
    <row r="79" spans="1:38" x14ac:dyDescent="0.25">
      <c r="A79" s="2" t="s">
        <v>202</v>
      </c>
      <c r="B79" s="2"/>
      <c r="C79" s="2" t="s">
        <v>39</v>
      </c>
      <c r="D79" s="3">
        <v>45244</v>
      </c>
      <c r="E79" s="3">
        <v>45244</v>
      </c>
      <c r="F79" s="3">
        <v>45610</v>
      </c>
      <c r="G79" s="2" t="s">
        <v>40</v>
      </c>
      <c r="H79" s="2" t="s">
        <v>203</v>
      </c>
      <c r="I79" s="2">
        <v>4396</v>
      </c>
      <c r="J79" s="2" t="s">
        <v>42</v>
      </c>
      <c r="K79" s="2" t="s">
        <v>43</v>
      </c>
      <c r="L79" s="4">
        <v>0</v>
      </c>
      <c r="M79" s="4">
        <v>3816</v>
      </c>
      <c r="N79" s="4">
        <v>4400</v>
      </c>
      <c r="O79" s="4">
        <v>0</v>
      </c>
      <c r="P79" s="4">
        <v>0</v>
      </c>
      <c r="Q79" s="4">
        <v>4400</v>
      </c>
      <c r="R79" s="2"/>
      <c r="S79" s="2"/>
      <c r="T79" s="2"/>
      <c r="U79" s="2" t="s">
        <v>44</v>
      </c>
      <c r="V79" s="4">
        <v>572</v>
      </c>
      <c r="W79" s="2" t="s">
        <v>45</v>
      </c>
      <c r="X79" s="3">
        <v>45244</v>
      </c>
      <c r="Y79" s="5">
        <v>338</v>
      </c>
      <c r="Z79" s="3" t="s">
        <v>114</v>
      </c>
      <c r="AA79" s="6">
        <v>4400</v>
      </c>
      <c r="AB79" s="6">
        <v>0</v>
      </c>
      <c r="AC79" s="6">
        <v>4400</v>
      </c>
      <c r="AD79" s="6"/>
      <c r="AE79" s="2" t="s">
        <v>47</v>
      </c>
      <c r="AF79" s="2"/>
      <c r="AG79" s="2" t="s">
        <v>47</v>
      </c>
      <c r="AH79" s="2"/>
      <c r="AI79" s="2"/>
      <c r="AJ79" s="2" t="s">
        <v>48</v>
      </c>
      <c r="AK79" s="2"/>
      <c r="AL79" s="2" t="s">
        <v>49</v>
      </c>
    </row>
    <row r="80" spans="1:38" x14ac:dyDescent="0.25">
      <c r="A80" s="2" t="s">
        <v>204</v>
      </c>
      <c r="B80" s="2"/>
      <c r="C80" s="2" t="s">
        <v>39</v>
      </c>
      <c r="D80" s="3">
        <v>45244</v>
      </c>
      <c r="E80" s="3">
        <v>45244</v>
      </c>
      <c r="F80" s="3">
        <v>45610</v>
      </c>
      <c r="G80" s="2" t="s">
        <v>40</v>
      </c>
      <c r="H80" s="2" t="s">
        <v>205</v>
      </c>
      <c r="I80" s="2">
        <v>4396</v>
      </c>
      <c r="J80" s="2" t="s">
        <v>42</v>
      </c>
      <c r="K80" s="2" t="s">
        <v>43</v>
      </c>
      <c r="L80" s="4">
        <v>0</v>
      </c>
      <c r="M80" s="4">
        <v>3816</v>
      </c>
      <c r="N80" s="4">
        <v>4400</v>
      </c>
      <c r="O80" s="4">
        <v>0</v>
      </c>
      <c r="P80" s="4">
        <v>0</v>
      </c>
      <c r="Q80" s="4">
        <v>4400</v>
      </c>
      <c r="R80" s="2"/>
      <c r="S80" s="2"/>
      <c r="T80" s="2"/>
      <c r="U80" s="2" t="s">
        <v>44</v>
      </c>
      <c r="V80" s="4">
        <v>572</v>
      </c>
      <c r="W80" s="2" t="s">
        <v>45</v>
      </c>
      <c r="X80" s="3">
        <v>45244</v>
      </c>
      <c r="Y80" s="5">
        <v>338</v>
      </c>
      <c r="Z80" s="3" t="s">
        <v>114</v>
      </c>
      <c r="AA80" s="6">
        <v>4400</v>
      </c>
      <c r="AB80" s="6">
        <v>0</v>
      </c>
      <c r="AC80" s="6">
        <v>4400</v>
      </c>
      <c r="AD80" s="6"/>
      <c r="AE80" s="2" t="s">
        <v>47</v>
      </c>
      <c r="AF80" s="2"/>
      <c r="AG80" s="2" t="s">
        <v>47</v>
      </c>
      <c r="AH80" s="2"/>
      <c r="AI80" s="2"/>
      <c r="AJ80" s="2" t="s">
        <v>48</v>
      </c>
      <c r="AK80" s="2"/>
      <c r="AL80" s="2" t="s">
        <v>49</v>
      </c>
    </row>
    <row r="81" spans="1:38" x14ac:dyDescent="0.25">
      <c r="A81" s="2" t="s">
        <v>206</v>
      </c>
      <c r="B81" s="2"/>
      <c r="C81" s="2" t="s">
        <v>39</v>
      </c>
      <c r="D81" s="3">
        <v>45244</v>
      </c>
      <c r="E81" s="3">
        <v>45244</v>
      </c>
      <c r="F81" s="3">
        <v>45610</v>
      </c>
      <c r="G81" s="2" t="s">
        <v>40</v>
      </c>
      <c r="H81" s="2" t="s">
        <v>207</v>
      </c>
      <c r="I81" s="2">
        <v>4396</v>
      </c>
      <c r="J81" s="2" t="s">
        <v>42</v>
      </c>
      <c r="K81" s="2" t="s">
        <v>43</v>
      </c>
      <c r="L81" s="4">
        <v>0</v>
      </c>
      <c r="M81" s="4">
        <v>3816</v>
      </c>
      <c r="N81" s="4">
        <v>4400</v>
      </c>
      <c r="O81" s="4">
        <v>0</v>
      </c>
      <c r="P81" s="4">
        <v>0</v>
      </c>
      <c r="Q81" s="4">
        <v>4400</v>
      </c>
      <c r="R81" s="2"/>
      <c r="S81" s="2"/>
      <c r="T81" s="2"/>
      <c r="U81" s="2" t="s">
        <v>44</v>
      </c>
      <c r="V81" s="4">
        <v>572</v>
      </c>
      <c r="W81" s="2" t="s">
        <v>45</v>
      </c>
      <c r="X81" s="3">
        <v>45244</v>
      </c>
      <c r="Y81" s="5">
        <v>338</v>
      </c>
      <c r="Z81" s="3" t="s">
        <v>114</v>
      </c>
      <c r="AA81" s="6">
        <v>4400</v>
      </c>
      <c r="AB81" s="6">
        <v>0</v>
      </c>
      <c r="AC81" s="6">
        <v>4400</v>
      </c>
      <c r="AD81" s="6"/>
      <c r="AE81" s="2" t="s">
        <v>47</v>
      </c>
      <c r="AF81" s="2"/>
      <c r="AG81" s="2" t="s">
        <v>47</v>
      </c>
      <c r="AH81" s="2"/>
      <c r="AI81" s="2"/>
      <c r="AJ81" s="2" t="s">
        <v>48</v>
      </c>
      <c r="AK81" s="2"/>
      <c r="AL81" s="2" t="s">
        <v>49</v>
      </c>
    </row>
    <row r="82" spans="1:38" x14ac:dyDescent="0.25">
      <c r="A82" s="2" t="s">
        <v>208</v>
      </c>
      <c r="B82" s="2"/>
      <c r="C82" s="2" t="s">
        <v>39</v>
      </c>
      <c r="D82" s="3">
        <v>45244</v>
      </c>
      <c r="E82" s="3">
        <v>45244</v>
      </c>
      <c r="F82" s="3">
        <v>45610</v>
      </c>
      <c r="G82" s="2" t="s">
        <v>40</v>
      </c>
      <c r="H82" s="2" t="s">
        <v>209</v>
      </c>
      <c r="I82" s="2">
        <v>4396</v>
      </c>
      <c r="J82" s="2" t="s">
        <v>42</v>
      </c>
      <c r="K82" s="2" t="s">
        <v>43</v>
      </c>
      <c r="L82" s="4">
        <v>0</v>
      </c>
      <c r="M82" s="4">
        <v>3816</v>
      </c>
      <c r="N82" s="4">
        <v>4400</v>
      </c>
      <c r="O82" s="4">
        <v>0</v>
      </c>
      <c r="P82" s="4">
        <v>0</v>
      </c>
      <c r="Q82" s="4">
        <v>4400</v>
      </c>
      <c r="R82" s="2"/>
      <c r="S82" s="2"/>
      <c r="T82" s="2"/>
      <c r="U82" s="2" t="s">
        <v>44</v>
      </c>
      <c r="V82" s="4">
        <v>572</v>
      </c>
      <c r="W82" s="2" t="s">
        <v>45</v>
      </c>
      <c r="X82" s="3">
        <v>45244</v>
      </c>
      <c r="Y82" s="5">
        <v>338</v>
      </c>
      <c r="Z82" s="3" t="s">
        <v>114</v>
      </c>
      <c r="AA82" s="6">
        <v>4400</v>
      </c>
      <c r="AB82" s="6">
        <v>0</v>
      </c>
      <c r="AC82" s="6">
        <v>4400</v>
      </c>
      <c r="AD82" s="6"/>
      <c r="AE82" s="2" t="s">
        <v>47</v>
      </c>
      <c r="AF82" s="2"/>
      <c r="AG82" s="2" t="s">
        <v>47</v>
      </c>
      <c r="AH82" s="2"/>
      <c r="AI82" s="2"/>
      <c r="AJ82" s="2" t="s">
        <v>48</v>
      </c>
      <c r="AK82" s="2"/>
      <c r="AL82" s="2" t="s">
        <v>49</v>
      </c>
    </row>
    <row r="83" spans="1:38" x14ac:dyDescent="0.25">
      <c r="A83" s="2" t="s">
        <v>210</v>
      </c>
      <c r="B83" s="2"/>
      <c r="C83" s="2" t="s">
        <v>39</v>
      </c>
      <c r="D83" s="3">
        <v>45245</v>
      </c>
      <c r="E83" s="3">
        <v>45245</v>
      </c>
      <c r="F83" s="3">
        <v>45611</v>
      </c>
      <c r="G83" s="2" t="s">
        <v>40</v>
      </c>
      <c r="H83" s="2" t="s">
        <v>211</v>
      </c>
      <c r="I83" s="2">
        <v>4396</v>
      </c>
      <c r="J83" s="2" t="s">
        <v>42</v>
      </c>
      <c r="K83" s="2" t="s">
        <v>43</v>
      </c>
      <c r="L83" s="4">
        <v>0</v>
      </c>
      <c r="M83" s="4">
        <v>3816</v>
      </c>
      <c r="N83" s="4">
        <v>4400</v>
      </c>
      <c r="O83" s="4">
        <v>0</v>
      </c>
      <c r="P83" s="4">
        <v>0</v>
      </c>
      <c r="Q83" s="4">
        <v>4400</v>
      </c>
      <c r="R83" s="2"/>
      <c r="S83" s="2"/>
      <c r="T83" s="2"/>
      <c r="U83" s="2" t="s">
        <v>44</v>
      </c>
      <c r="V83" s="4">
        <v>572</v>
      </c>
      <c r="W83" s="2" t="s">
        <v>45</v>
      </c>
      <c r="X83" s="3">
        <v>45245</v>
      </c>
      <c r="Y83" s="5">
        <v>337</v>
      </c>
      <c r="Z83" s="3" t="s">
        <v>114</v>
      </c>
      <c r="AA83" s="6">
        <v>4400</v>
      </c>
      <c r="AB83" s="6">
        <v>0</v>
      </c>
      <c r="AC83" s="6">
        <v>4400</v>
      </c>
      <c r="AD83" s="6"/>
      <c r="AE83" s="2" t="s">
        <v>47</v>
      </c>
      <c r="AF83" s="2"/>
      <c r="AG83" s="2" t="s">
        <v>47</v>
      </c>
      <c r="AH83" s="2"/>
      <c r="AI83" s="2"/>
      <c r="AJ83" s="2" t="s">
        <v>48</v>
      </c>
      <c r="AK83" s="2"/>
      <c r="AL83" s="2" t="s">
        <v>49</v>
      </c>
    </row>
    <row r="84" spans="1:38" x14ac:dyDescent="0.25">
      <c r="A84" s="2" t="s">
        <v>212</v>
      </c>
      <c r="B84" s="2"/>
      <c r="C84" s="2" t="s">
        <v>39</v>
      </c>
      <c r="D84" s="3">
        <v>45245</v>
      </c>
      <c r="E84" s="3">
        <v>45245</v>
      </c>
      <c r="F84" s="3">
        <v>45611</v>
      </c>
      <c r="G84" s="2" t="s">
        <v>40</v>
      </c>
      <c r="H84" s="2" t="s">
        <v>213</v>
      </c>
      <c r="I84" s="2">
        <v>4396</v>
      </c>
      <c r="J84" s="2" t="s">
        <v>42</v>
      </c>
      <c r="K84" s="2" t="s">
        <v>43</v>
      </c>
      <c r="L84" s="4">
        <v>0</v>
      </c>
      <c r="M84" s="4">
        <v>3816</v>
      </c>
      <c r="N84" s="4">
        <v>4400</v>
      </c>
      <c r="O84" s="4">
        <v>0</v>
      </c>
      <c r="P84" s="4">
        <v>0</v>
      </c>
      <c r="Q84" s="4">
        <v>4400</v>
      </c>
      <c r="R84" s="2"/>
      <c r="S84" s="2"/>
      <c r="T84" s="2"/>
      <c r="U84" s="2" t="s">
        <v>44</v>
      </c>
      <c r="V84" s="4">
        <v>572</v>
      </c>
      <c r="W84" s="2" t="s">
        <v>45</v>
      </c>
      <c r="X84" s="3">
        <v>45245</v>
      </c>
      <c r="Y84" s="5">
        <v>337</v>
      </c>
      <c r="Z84" s="3" t="s">
        <v>114</v>
      </c>
      <c r="AA84" s="6">
        <v>4400</v>
      </c>
      <c r="AB84" s="6">
        <v>0</v>
      </c>
      <c r="AC84" s="6">
        <v>4400</v>
      </c>
      <c r="AD84" s="6"/>
      <c r="AE84" s="2" t="s">
        <v>47</v>
      </c>
      <c r="AF84" s="2"/>
      <c r="AG84" s="2" t="s">
        <v>47</v>
      </c>
      <c r="AH84" s="2"/>
      <c r="AI84" s="2"/>
      <c r="AJ84" s="2" t="s">
        <v>48</v>
      </c>
      <c r="AK84" s="2"/>
      <c r="AL84" s="2" t="s">
        <v>49</v>
      </c>
    </row>
    <row r="85" spans="1:38" x14ac:dyDescent="0.25">
      <c r="A85" s="2" t="s">
        <v>214</v>
      </c>
      <c r="B85" s="2"/>
      <c r="C85" s="2" t="s">
        <v>39</v>
      </c>
      <c r="D85" s="3">
        <v>45245</v>
      </c>
      <c r="E85" s="3">
        <v>45245</v>
      </c>
      <c r="F85" s="3">
        <v>45611</v>
      </c>
      <c r="G85" s="2" t="s">
        <v>40</v>
      </c>
      <c r="H85" s="2" t="s">
        <v>215</v>
      </c>
      <c r="I85" s="2">
        <v>4396</v>
      </c>
      <c r="J85" s="2" t="s">
        <v>42</v>
      </c>
      <c r="K85" s="2" t="s">
        <v>43</v>
      </c>
      <c r="L85" s="4">
        <v>0</v>
      </c>
      <c r="M85" s="4">
        <v>3816</v>
      </c>
      <c r="N85" s="4">
        <v>4400</v>
      </c>
      <c r="O85" s="4">
        <v>0</v>
      </c>
      <c r="P85" s="4">
        <v>0</v>
      </c>
      <c r="Q85" s="4">
        <v>4400</v>
      </c>
      <c r="R85" s="2"/>
      <c r="S85" s="2"/>
      <c r="T85" s="2"/>
      <c r="U85" s="2" t="s">
        <v>44</v>
      </c>
      <c r="V85" s="4">
        <v>572</v>
      </c>
      <c r="W85" s="2" t="s">
        <v>45</v>
      </c>
      <c r="X85" s="3">
        <v>45245</v>
      </c>
      <c r="Y85" s="5">
        <v>337</v>
      </c>
      <c r="Z85" s="3" t="s">
        <v>114</v>
      </c>
      <c r="AA85" s="6">
        <v>4400</v>
      </c>
      <c r="AB85" s="6">
        <v>0</v>
      </c>
      <c r="AC85" s="6">
        <v>4400</v>
      </c>
      <c r="AD85" s="6"/>
      <c r="AE85" s="2" t="s">
        <v>47</v>
      </c>
      <c r="AF85" s="2"/>
      <c r="AG85" s="2" t="s">
        <v>47</v>
      </c>
      <c r="AH85" s="2"/>
      <c r="AI85" s="2"/>
      <c r="AJ85" s="2" t="s">
        <v>48</v>
      </c>
      <c r="AK85" s="2"/>
      <c r="AL85" s="2" t="s">
        <v>49</v>
      </c>
    </row>
    <row r="86" spans="1:38" x14ac:dyDescent="0.25">
      <c r="A86" s="2" t="s">
        <v>216</v>
      </c>
      <c r="B86" s="2"/>
      <c r="C86" s="2" t="s">
        <v>39</v>
      </c>
      <c r="D86" s="3">
        <v>45245</v>
      </c>
      <c r="E86" s="3">
        <v>45245</v>
      </c>
      <c r="F86" s="3">
        <v>45427</v>
      </c>
      <c r="G86" s="2" t="s">
        <v>40</v>
      </c>
      <c r="H86" s="2" t="s">
        <v>217</v>
      </c>
      <c r="I86" s="2">
        <v>3025</v>
      </c>
      <c r="J86" s="2" t="s">
        <v>42</v>
      </c>
      <c r="K86" s="2" t="s">
        <v>43</v>
      </c>
      <c r="L86" s="4">
        <v>0</v>
      </c>
      <c r="M86" s="4">
        <v>2610</v>
      </c>
      <c r="N86" s="4">
        <v>3025</v>
      </c>
      <c r="O86" s="4">
        <v>0</v>
      </c>
      <c r="P86" s="4">
        <v>0</v>
      </c>
      <c r="Q86" s="4">
        <v>3025</v>
      </c>
      <c r="R86" s="2"/>
      <c r="S86" s="2"/>
      <c r="T86" s="2"/>
      <c r="U86" s="2" t="s">
        <v>44</v>
      </c>
      <c r="V86" s="4">
        <v>392</v>
      </c>
      <c r="W86" s="2" t="s">
        <v>45</v>
      </c>
      <c r="X86" s="3">
        <v>45245</v>
      </c>
      <c r="Y86" s="5">
        <v>337</v>
      </c>
      <c r="Z86" s="3" t="s">
        <v>114</v>
      </c>
      <c r="AA86" s="6">
        <v>3025</v>
      </c>
      <c r="AB86" s="6">
        <v>0</v>
      </c>
      <c r="AC86" s="6">
        <v>3025</v>
      </c>
      <c r="AD86" s="6"/>
      <c r="AE86" s="2" t="s">
        <v>47</v>
      </c>
      <c r="AF86" s="2"/>
      <c r="AG86" s="2" t="s">
        <v>47</v>
      </c>
      <c r="AH86" s="2"/>
      <c r="AI86" s="2"/>
      <c r="AJ86" s="2" t="s">
        <v>48</v>
      </c>
      <c r="AK86" s="2"/>
      <c r="AL86" s="2" t="s">
        <v>49</v>
      </c>
    </row>
    <row r="87" spans="1:38" x14ac:dyDescent="0.25">
      <c r="A87" s="2" t="s">
        <v>218</v>
      </c>
      <c r="B87" s="2"/>
      <c r="C87" s="2" t="s">
        <v>39</v>
      </c>
      <c r="D87" s="3">
        <v>45246</v>
      </c>
      <c r="E87" s="3">
        <v>45246</v>
      </c>
      <c r="F87" s="3">
        <v>45612</v>
      </c>
      <c r="G87" s="2" t="s">
        <v>40</v>
      </c>
      <c r="H87" s="2" t="s">
        <v>219</v>
      </c>
      <c r="I87" s="2">
        <v>4396</v>
      </c>
      <c r="J87" s="2" t="s">
        <v>42</v>
      </c>
      <c r="K87" s="2" t="s">
        <v>43</v>
      </c>
      <c r="L87" s="4">
        <v>0</v>
      </c>
      <c r="M87" s="4">
        <v>3816</v>
      </c>
      <c r="N87" s="4">
        <v>4400</v>
      </c>
      <c r="O87" s="4">
        <v>0</v>
      </c>
      <c r="P87" s="4">
        <v>0</v>
      </c>
      <c r="Q87" s="4">
        <v>4400</v>
      </c>
      <c r="R87" s="2"/>
      <c r="S87" s="2"/>
      <c r="T87" s="2"/>
      <c r="U87" s="2" t="s">
        <v>44</v>
      </c>
      <c r="V87" s="4">
        <v>572</v>
      </c>
      <c r="W87" s="2" t="s">
        <v>45</v>
      </c>
      <c r="X87" s="3">
        <v>45246</v>
      </c>
      <c r="Y87" s="5">
        <v>336</v>
      </c>
      <c r="Z87" s="3" t="s">
        <v>114</v>
      </c>
      <c r="AA87" s="6">
        <v>4400</v>
      </c>
      <c r="AB87" s="6">
        <v>0</v>
      </c>
      <c r="AC87" s="6">
        <v>4400</v>
      </c>
      <c r="AD87" s="6"/>
      <c r="AE87" s="2" t="s">
        <v>47</v>
      </c>
      <c r="AF87" s="2"/>
      <c r="AG87" s="2" t="s">
        <v>47</v>
      </c>
      <c r="AH87" s="2"/>
      <c r="AI87" s="2"/>
      <c r="AJ87" s="2" t="s">
        <v>48</v>
      </c>
      <c r="AK87" s="2"/>
      <c r="AL87" s="2" t="s">
        <v>49</v>
      </c>
    </row>
    <row r="88" spans="1:38" x14ac:dyDescent="0.25">
      <c r="A88" s="2" t="s">
        <v>220</v>
      </c>
      <c r="B88" s="2"/>
      <c r="C88" s="2" t="s">
        <v>39</v>
      </c>
      <c r="D88" s="3">
        <v>45246</v>
      </c>
      <c r="E88" s="3">
        <v>45246</v>
      </c>
      <c r="F88" s="3">
        <v>45612</v>
      </c>
      <c r="G88" s="2" t="s">
        <v>40</v>
      </c>
      <c r="H88" s="2" t="s">
        <v>221</v>
      </c>
      <c r="I88" s="2">
        <v>4396</v>
      </c>
      <c r="J88" s="2" t="s">
        <v>42</v>
      </c>
      <c r="K88" s="2" t="s">
        <v>43</v>
      </c>
      <c r="L88" s="4">
        <v>0</v>
      </c>
      <c r="M88" s="4">
        <v>3816</v>
      </c>
      <c r="N88" s="4">
        <v>4400</v>
      </c>
      <c r="O88" s="4">
        <v>0</v>
      </c>
      <c r="P88" s="4">
        <v>0</v>
      </c>
      <c r="Q88" s="4">
        <v>4400</v>
      </c>
      <c r="R88" s="2"/>
      <c r="S88" s="2"/>
      <c r="T88" s="2"/>
      <c r="U88" s="2" t="s">
        <v>44</v>
      </c>
      <c r="V88" s="4">
        <v>572</v>
      </c>
      <c r="W88" s="2" t="s">
        <v>45</v>
      </c>
      <c r="X88" s="3">
        <v>45246</v>
      </c>
      <c r="Y88" s="5">
        <v>336</v>
      </c>
      <c r="Z88" s="3" t="s">
        <v>114</v>
      </c>
      <c r="AA88" s="6">
        <v>4400</v>
      </c>
      <c r="AB88" s="6">
        <v>0</v>
      </c>
      <c r="AC88" s="6">
        <v>4400</v>
      </c>
      <c r="AD88" s="6"/>
      <c r="AE88" s="2" t="s">
        <v>47</v>
      </c>
      <c r="AF88" s="2"/>
      <c r="AG88" s="2" t="s">
        <v>47</v>
      </c>
      <c r="AH88" s="2"/>
      <c r="AI88" s="2"/>
      <c r="AJ88" s="2" t="s">
        <v>48</v>
      </c>
      <c r="AK88" s="2"/>
      <c r="AL88" s="2" t="s">
        <v>49</v>
      </c>
    </row>
    <row r="89" spans="1:38" x14ac:dyDescent="0.25">
      <c r="A89" s="2" t="s">
        <v>222</v>
      </c>
      <c r="B89" s="2"/>
      <c r="C89" s="2" t="s">
        <v>39</v>
      </c>
      <c r="D89" s="3">
        <v>45246</v>
      </c>
      <c r="E89" s="3">
        <v>45246</v>
      </c>
      <c r="F89" s="3">
        <v>45612</v>
      </c>
      <c r="G89" s="2" t="s">
        <v>40</v>
      </c>
      <c r="H89" s="2" t="s">
        <v>223</v>
      </c>
      <c r="I89" s="2">
        <v>8800</v>
      </c>
      <c r="J89" s="2" t="s">
        <v>42</v>
      </c>
      <c r="K89" s="2" t="s">
        <v>43</v>
      </c>
      <c r="L89" s="4">
        <v>0</v>
      </c>
      <c r="M89" s="4">
        <v>7675</v>
      </c>
      <c r="N89" s="4">
        <v>8800</v>
      </c>
      <c r="O89" s="4">
        <v>0</v>
      </c>
      <c r="P89" s="4">
        <v>0</v>
      </c>
      <c r="Q89" s="4">
        <v>8800</v>
      </c>
      <c r="R89" s="2"/>
      <c r="S89" s="2"/>
      <c r="T89" s="2"/>
      <c r="U89" s="2" t="s">
        <v>44</v>
      </c>
      <c r="V89" s="4">
        <v>1151</v>
      </c>
      <c r="W89" s="2" t="s">
        <v>45</v>
      </c>
      <c r="X89" s="3">
        <v>45246</v>
      </c>
      <c r="Y89" s="5">
        <v>336</v>
      </c>
      <c r="Z89" s="3" t="s">
        <v>114</v>
      </c>
      <c r="AA89" s="6">
        <v>8800</v>
      </c>
      <c r="AB89" s="6">
        <v>0</v>
      </c>
      <c r="AC89" s="6">
        <v>8800</v>
      </c>
      <c r="AD89" s="6"/>
      <c r="AE89" s="2" t="s">
        <v>47</v>
      </c>
      <c r="AF89" s="2"/>
      <c r="AG89" s="2" t="s">
        <v>47</v>
      </c>
      <c r="AH89" s="2"/>
      <c r="AI89" s="2"/>
      <c r="AJ89" s="2" t="s">
        <v>48</v>
      </c>
      <c r="AK89" s="2"/>
      <c r="AL89" s="2" t="s">
        <v>49</v>
      </c>
    </row>
    <row r="90" spans="1:38" x14ac:dyDescent="0.25">
      <c r="A90" s="2" t="s">
        <v>224</v>
      </c>
      <c r="B90" s="2"/>
      <c r="C90" s="2" t="s">
        <v>39</v>
      </c>
      <c r="D90" s="3">
        <v>45247</v>
      </c>
      <c r="E90" s="3">
        <v>45247</v>
      </c>
      <c r="F90" s="3">
        <v>45613</v>
      </c>
      <c r="G90" s="2" t="s">
        <v>40</v>
      </c>
      <c r="H90" s="2" t="s">
        <v>225</v>
      </c>
      <c r="I90" s="2">
        <v>2720</v>
      </c>
      <c r="J90" s="2" t="s">
        <v>42</v>
      </c>
      <c r="K90" s="2" t="s">
        <v>43</v>
      </c>
      <c r="L90" s="4">
        <v>0</v>
      </c>
      <c r="M90" s="4">
        <v>2342</v>
      </c>
      <c r="N90" s="4">
        <v>2719</v>
      </c>
      <c r="O90" s="4">
        <v>0</v>
      </c>
      <c r="P90" s="4">
        <v>0</v>
      </c>
      <c r="Q90" s="4">
        <v>2719</v>
      </c>
      <c r="R90" s="2"/>
      <c r="S90" s="2"/>
      <c r="T90" s="2"/>
      <c r="U90" s="2" t="s">
        <v>44</v>
      </c>
      <c r="V90" s="4">
        <v>351</v>
      </c>
      <c r="W90" s="2" t="s">
        <v>45</v>
      </c>
      <c r="X90" s="3">
        <v>45247</v>
      </c>
      <c r="Y90" s="5">
        <v>335</v>
      </c>
      <c r="Z90" s="3" t="s">
        <v>114</v>
      </c>
      <c r="AA90" s="6">
        <v>2719</v>
      </c>
      <c r="AB90" s="6">
        <v>0</v>
      </c>
      <c r="AC90" s="6">
        <v>2719</v>
      </c>
      <c r="AD90" s="6"/>
      <c r="AE90" s="2" t="s">
        <v>47</v>
      </c>
      <c r="AF90" s="2"/>
      <c r="AG90" s="2" t="s">
        <v>47</v>
      </c>
      <c r="AH90" s="2"/>
      <c r="AI90" s="2"/>
      <c r="AJ90" s="2" t="s">
        <v>48</v>
      </c>
      <c r="AK90" s="2"/>
      <c r="AL90" s="2" t="s">
        <v>49</v>
      </c>
    </row>
    <row r="91" spans="1:38" x14ac:dyDescent="0.25">
      <c r="A91" s="2" t="s">
        <v>226</v>
      </c>
      <c r="B91" s="2"/>
      <c r="C91" s="2" t="s">
        <v>39</v>
      </c>
      <c r="D91" s="3">
        <v>45247</v>
      </c>
      <c r="E91" s="3">
        <v>45247</v>
      </c>
      <c r="F91" s="3">
        <v>45613</v>
      </c>
      <c r="G91" s="2" t="s">
        <v>40</v>
      </c>
      <c r="H91" s="2" t="s">
        <v>227</v>
      </c>
      <c r="I91" s="2">
        <v>4396</v>
      </c>
      <c r="J91" s="2" t="s">
        <v>42</v>
      </c>
      <c r="K91" s="2" t="s">
        <v>43</v>
      </c>
      <c r="L91" s="4">
        <v>0</v>
      </c>
      <c r="M91" s="4">
        <v>3816</v>
      </c>
      <c r="N91" s="4">
        <v>4400</v>
      </c>
      <c r="O91" s="4">
        <v>0</v>
      </c>
      <c r="P91" s="4">
        <v>0</v>
      </c>
      <c r="Q91" s="4">
        <v>4400</v>
      </c>
      <c r="R91" s="2"/>
      <c r="S91" s="2"/>
      <c r="T91" s="2"/>
      <c r="U91" s="2" t="s">
        <v>44</v>
      </c>
      <c r="V91" s="4">
        <v>572</v>
      </c>
      <c r="W91" s="2" t="s">
        <v>45</v>
      </c>
      <c r="X91" s="3">
        <v>45247</v>
      </c>
      <c r="Y91" s="5">
        <v>335</v>
      </c>
      <c r="Z91" s="3" t="s">
        <v>114</v>
      </c>
      <c r="AA91" s="6">
        <v>4400</v>
      </c>
      <c r="AB91" s="6">
        <v>0</v>
      </c>
      <c r="AC91" s="6">
        <v>4400</v>
      </c>
      <c r="AD91" s="6"/>
      <c r="AE91" s="2" t="s">
        <v>47</v>
      </c>
      <c r="AF91" s="2"/>
      <c r="AG91" s="2" t="s">
        <v>47</v>
      </c>
      <c r="AH91" s="2"/>
      <c r="AI91" s="2"/>
      <c r="AJ91" s="2" t="s">
        <v>48</v>
      </c>
      <c r="AK91" s="2"/>
      <c r="AL91" s="2" t="s">
        <v>49</v>
      </c>
    </row>
    <row r="92" spans="1:38" x14ac:dyDescent="0.25">
      <c r="A92" s="2" t="s">
        <v>228</v>
      </c>
      <c r="B92" s="2"/>
      <c r="C92" s="2" t="s">
        <v>39</v>
      </c>
      <c r="D92" s="3">
        <v>45250</v>
      </c>
      <c r="E92" s="3">
        <v>45250</v>
      </c>
      <c r="F92" s="3">
        <v>45616</v>
      </c>
      <c r="G92" s="2" t="s">
        <v>40</v>
      </c>
      <c r="H92" s="2" t="s">
        <v>229</v>
      </c>
      <c r="I92" s="2">
        <v>4396</v>
      </c>
      <c r="J92" s="2" t="s">
        <v>42</v>
      </c>
      <c r="K92" s="2" t="s">
        <v>43</v>
      </c>
      <c r="L92" s="4">
        <v>0</v>
      </c>
      <c r="M92" s="4">
        <v>3816</v>
      </c>
      <c r="N92" s="4">
        <v>4400</v>
      </c>
      <c r="O92" s="4">
        <v>0</v>
      </c>
      <c r="P92" s="4">
        <v>0</v>
      </c>
      <c r="Q92" s="4">
        <v>4400</v>
      </c>
      <c r="R92" s="2"/>
      <c r="S92" s="2"/>
      <c r="T92" s="2"/>
      <c r="U92" s="2" t="s">
        <v>44</v>
      </c>
      <c r="V92" s="4">
        <v>572</v>
      </c>
      <c r="W92" s="2" t="s">
        <v>45</v>
      </c>
      <c r="X92" s="3">
        <v>45250</v>
      </c>
      <c r="Y92" s="5">
        <v>332</v>
      </c>
      <c r="Z92" s="3" t="s">
        <v>114</v>
      </c>
      <c r="AA92" s="6">
        <v>4400</v>
      </c>
      <c r="AB92" s="6">
        <v>0</v>
      </c>
      <c r="AC92" s="6">
        <v>4400</v>
      </c>
      <c r="AD92" s="6"/>
      <c r="AE92" s="2" t="s">
        <v>47</v>
      </c>
      <c r="AF92" s="2"/>
      <c r="AG92" s="2" t="s">
        <v>47</v>
      </c>
      <c r="AH92" s="2"/>
      <c r="AI92" s="2"/>
      <c r="AJ92" s="2" t="s">
        <v>48</v>
      </c>
      <c r="AK92" s="2"/>
      <c r="AL92" s="2" t="s">
        <v>49</v>
      </c>
    </row>
    <row r="93" spans="1:38" x14ac:dyDescent="0.25">
      <c r="A93" s="2" t="s">
        <v>230</v>
      </c>
      <c r="B93" s="2"/>
      <c r="C93" s="2" t="s">
        <v>39</v>
      </c>
      <c r="D93" s="3">
        <v>45250</v>
      </c>
      <c r="E93" s="3">
        <v>45250</v>
      </c>
      <c r="F93" s="3">
        <v>45616</v>
      </c>
      <c r="G93" s="2" t="s">
        <v>40</v>
      </c>
      <c r="H93" s="2" t="s">
        <v>231</v>
      </c>
      <c r="I93" s="2">
        <v>4396</v>
      </c>
      <c r="J93" s="2" t="s">
        <v>42</v>
      </c>
      <c r="K93" s="2" t="s">
        <v>43</v>
      </c>
      <c r="L93" s="4">
        <v>0</v>
      </c>
      <c r="M93" s="4">
        <v>3816</v>
      </c>
      <c r="N93" s="4">
        <v>4400</v>
      </c>
      <c r="O93" s="4">
        <v>0</v>
      </c>
      <c r="P93" s="4">
        <v>0</v>
      </c>
      <c r="Q93" s="4">
        <v>4400</v>
      </c>
      <c r="R93" s="2"/>
      <c r="S93" s="2"/>
      <c r="T93" s="2"/>
      <c r="U93" s="2" t="s">
        <v>44</v>
      </c>
      <c r="V93" s="4">
        <v>572</v>
      </c>
      <c r="W93" s="2" t="s">
        <v>45</v>
      </c>
      <c r="X93" s="3">
        <v>45250</v>
      </c>
      <c r="Y93" s="5">
        <v>332</v>
      </c>
      <c r="Z93" s="3" t="s">
        <v>114</v>
      </c>
      <c r="AA93" s="6">
        <v>4400</v>
      </c>
      <c r="AB93" s="6">
        <v>0</v>
      </c>
      <c r="AC93" s="6">
        <v>4400</v>
      </c>
      <c r="AD93" s="6"/>
      <c r="AE93" s="2" t="s">
        <v>47</v>
      </c>
      <c r="AF93" s="2"/>
      <c r="AG93" s="2" t="s">
        <v>47</v>
      </c>
      <c r="AH93" s="2"/>
      <c r="AI93" s="2"/>
      <c r="AJ93" s="2" t="s">
        <v>48</v>
      </c>
      <c r="AK93" s="2"/>
      <c r="AL93" s="2" t="s">
        <v>49</v>
      </c>
    </row>
    <row r="94" spans="1:38" x14ac:dyDescent="0.25">
      <c r="A94" s="2" t="s">
        <v>232</v>
      </c>
      <c r="B94" s="2"/>
      <c r="C94" s="2" t="s">
        <v>39</v>
      </c>
      <c r="D94" s="3">
        <v>45250</v>
      </c>
      <c r="E94" s="3">
        <v>45250</v>
      </c>
      <c r="F94" s="3">
        <v>45616</v>
      </c>
      <c r="G94" s="2" t="s">
        <v>40</v>
      </c>
      <c r="H94" s="2" t="s">
        <v>233</v>
      </c>
      <c r="I94" s="2">
        <v>4396</v>
      </c>
      <c r="J94" s="2" t="s">
        <v>42</v>
      </c>
      <c r="K94" s="2" t="s">
        <v>43</v>
      </c>
      <c r="L94" s="4">
        <v>0</v>
      </c>
      <c r="M94" s="4">
        <v>3816</v>
      </c>
      <c r="N94" s="4">
        <v>4400</v>
      </c>
      <c r="O94" s="4">
        <v>0</v>
      </c>
      <c r="P94" s="4">
        <v>0</v>
      </c>
      <c r="Q94" s="4">
        <v>4400</v>
      </c>
      <c r="R94" s="2"/>
      <c r="S94" s="2"/>
      <c r="T94" s="2"/>
      <c r="U94" s="2" t="s">
        <v>44</v>
      </c>
      <c r="V94" s="4">
        <v>572</v>
      </c>
      <c r="W94" s="2" t="s">
        <v>45</v>
      </c>
      <c r="X94" s="3">
        <v>45250</v>
      </c>
      <c r="Y94" s="5">
        <v>332</v>
      </c>
      <c r="Z94" s="3" t="s">
        <v>114</v>
      </c>
      <c r="AA94" s="6">
        <v>4400</v>
      </c>
      <c r="AB94" s="6">
        <v>0</v>
      </c>
      <c r="AC94" s="6">
        <v>4400</v>
      </c>
      <c r="AD94" s="6"/>
      <c r="AE94" s="2" t="s">
        <v>47</v>
      </c>
      <c r="AF94" s="2"/>
      <c r="AG94" s="2" t="s">
        <v>47</v>
      </c>
      <c r="AH94" s="2"/>
      <c r="AI94" s="2"/>
      <c r="AJ94" s="2" t="s">
        <v>48</v>
      </c>
      <c r="AK94" s="2"/>
      <c r="AL94" s="2" t="s">
        <v>49</v>
      </c>
    </row>
    <row r="95" spans="1:38" x14ac:dyDescent="0.25">
      <c r="A95" s="2" t="s">
        <v>234</v>
      </c>
      <c r="B95" s="2"/>
      <c r="C95" s="2" t="s">
        <v>39</v>
      </c>
      <c r="D95" s="3">
        <v>45250</v>
      </c>
      <c r="E95" s="3">
        <v>45250</v>
      </c>
      <c r="F95" s="3">
        <v>45616</v>
      </c>
      <c r="G95" s="2" t="s">
        <v>40</v>
      </c>
      <c r="H95" s="2" t="s">
        <v>235</v>
      </c>
      <c r="I95" s="2">
        <v>4396</v>
      </c>
      <c r="J95" s="2" t="s">
        <v>42</v>
      </c>
      <c r="K95" s="2" t="s">
        <v>43</v>
      </c>
      <c r="L95" s="4">
        <v>0</v>
      </c>
      <c r="M95" s="4">
        <v>3816</v>
      </c>
      <c r="N95" s="4">
        <v>4400</v>
      </c>
      <c r="O95" s="4">
        <v>0</v>
      </c>
      <c r="P95" s="4">
        <v>0</v>
      </c>
      <c r="Q95" s="4">
        <v>4400</v>
      </c>
      <c r="R95" s="2"/>
      <c r="S95" s="2"/>
      <c r="T95" s="2"/>
      <c r="U95" s="2" t="s">
        <v>44</v>
      </c>
      <c r="V95" s="4">
        <v>572</v>
      </c>
      <c r="W95" s="2" t="s">
        <v>45</v>
      </c>
      <c r="X95" s="3">
        <v>45250</v>
      </c>
      <c r="Y95" s="5">
        <v>332</v>
      </c>
      <c r="Z95" s="3" t="s">
        <v>114</v>
      </c>
      <c r="AA95" s="6">
        <v>4400</v>
      </c>
      <c r="AB95" s="6">
        <v>0</v>
      </c>
      <c r="AC95" s="6">
        <v>4400</v>
      </c>
      <c r="AD95" s="6"/>
      <c r="AE95" s="2" t="s">
        <v>47</v>
      </c>
      <c r="AF95" s="2"/>
      <c r="AG95" s="2" t="s">
        <v>47</v>
      </c>
      <c r="AH95" s="2"/>
      <c r="AI95" s="2"/>
      <c r="AJ95" s="2" t="s">
        <v>48</v>
      </c>
      <c r="AK95" s="2"/>
      <c r="AL95" s="2" t="s">
        <v>49</v>
      </c>
    </row>
    <row r="96" spans="1:38" x14ac:dyDescent="0.25">
      <c r="A96" s="2" t="s">
        <v>236</v>
      </c>
      <c r="B96" s="2"/>
      <c r="C96" s="2" t="s">
        <v>39</v>
      </c>
      <c r="D96" s="3">
        <v>45251</v>
      </c>
      <c r="E96" s="3">
        <v>45251</v>
      </c>
      <c r="F96" s="3">
        <v>45617</v>
      </c>
      <c r="G96" s="2" t="s">
        <v>40</v>
      </c>
      <c r="H96" s="2" t="s">
        <v>237</v>
      </c>
      <c r="I96" s="2">
        <v>4396</v>
      </c>
      <c r="J96" s="2" t="s">
        <v>42</v>
      </c>
      <c r="K96" s="2" t="s">
        <v>43</v>
      </c>
      <c r="L96" s="4">
        <v>0</v>
      </c>
      <c r="M96" s="4">
        <v>3816</v>
      </c>
      <c r="N96" s="4">
        <v>4400</v>
      </c>
      <c r="O96" s="4">
        <v>0</v>
      </c>
      <c r="P96" s="4">
        <v>0</v>
      </c>
      <c r="Q96" s="4">
        <v>4400</v>
      </c>
      <c r="R96" s="2"/>
      <c r="S96" s="2"/>
      <c r="T96" s="2"/>
      <c r="U96" s="2" t="s">
        <v>44</v>
      </c>
      <c r="V96" s="4">
        <v>572</v>
      </c>
      <c r="W96" s="2" t="s">
        <v>45</v>
      </c>
      <c r="X96" s="3">
        <v>45251</v>
      </c>
      <c r="Y96" s="5">
        <v>331</v>
      </c>
      <c r="Z96" s="3" t="s">
        <v>114</v>
      </c>
      <c r="AA96" s="6">
        <v>4400</v>
      </c>
      <c r="AB96" s="6">
        <v>0</v>
      </c>
      <c r="AC96" s="6">
        <v>4400</v>
      </c>
      <c r="AD96" s="6"/>
      <c r="AE96" s="2" t="s">
        <v>47</v>
      </c>
      <c r="AF96" s="2"/>
      <c r="AG96" s="2" t="s">
        <v>47</v>
      </c>
      <c r="AH96" s="2"/>
      <c r="AI96" s="2"/>
      <c r="AJ96" s="2" t="s">
        <v>48</v>
      </c>
      <c r="AK96" s="2"/>
      <c r="AL96" s="2" t="s">
        <v>49</v>
      </c>
    </row>
    <row r="97" spans="1:38" x14ac:dyDescent="0.25">
      <c r="A97" s="2" t="s">
        <v>238</v>
      </c>
      <c r="B97" s="2"/>
      <c r="C97" s="2" t="s">
        <v>39</v>
      </c>
      <c r="D97" s="3">
        <v>45252</v>
      </c>
      <c r="E97" s="3">
        <v>45252</v>
      </c>
      <c r="F97" s="3">
        <v>45618</v>
      </c>
      <c r="G97" s="2" t="s">
        <v>40</v>
      </c>
      <c r="H97" s="2" t="s">
        <v>239</v>
      </c>
      <c r="I97" s="2">
        <v>4396</v>
      </c>
      <c r="J97" s="2" t="s">
        <v>42</v>
      </c>
      <c r="K97" s="2" t="s">
        <v>43</v>
      </c>
      <c r="L97" s="4">
        <v>0</v>
      </c>
      <c r="M97" s="4">
        <v>3816</v>
      </c>
      <c r="N97" s="4">
        <v>4400</v>
      </c>
      <c r="O97" s="4">
        <v>0</v>
      </c>
      <c r="P97" s="4">
        <v>0</v>
      </c>
      <c r="Q97" s="4">
        <v>4400</v>
      </c>
      <c r="R97" s="2"/>
      <c r="S97" s="2"/>
      <c r="T97" s="2"/>
      <c r="U97" s="2" t="s">
        <v>44</v>
      </c>
      <c r="V97" s="4">
        <v>572</v>
      </c>
      <c r="W97" s="2" t="s">
        <v>45</v>
      </c>
      <c r="X97" s="3">
        <v>45252</v>
      </c>
      <c r="Y97" s="5">
        <v>330</v>
      </c>
      <c r="Z97" s="3" t="s">
        <v>114</v>
      </c>
      <c r="AA97" s="6">
        <v>4400</v>
      </c>
      <c r="AB97" s="6">
        <v>0</v>
      </c>
      <c r="AC97" s="6">
        <v>4400</v>
      </c>
      <c r="AD97" s="6"/>
      <c r="AE97" s="2" t="s">
        <v>47</v>
      </c>
      <c r="AF97" s="2"/>
      <c r="AG97" s="2" t="s">
        <v>47</v>
      </c>
      <c r="AH97" s="2"/>
      <c r="AI97" s="2"/>
      <c r="AJ97" s="2" t="s">
        <v>48</v>
      </c>
      <c r="AK97" s="2"/>
      <c r="AL97" s="2" t="s">
        <v>49</v>
      </c>
    </row>
    <row r="98" spans="1:38" x14ac:dyDescent="0.25">
      <c r="A98" s="2" t="s">
        <v>240</v>
      </c>
      <c r="B98" s="2"/>
      <c r="C98" s="2" t="s">
        <v>39</v>
      </c>
      <c r="D98" s="3">
        <v>45252</v>
      </c>
      <c r="E98" s="3">
        <v>45252</v>
      </c>
      <c r="F98" s="3">
        <v>45618</v>
      </c>
      <c r="G98" s="2" t="s">
        <v>40</v>
      </c>
      <c r="H98" s="2" t="s">
        <v>241</v>
      </c>
      <c r="I98" s="2">
        <v>4800</v>
      </c>
      <c r="J98" s="2" t="s">
        <v>42</v>
      </c>
      <c r="K98" s="2" t="s">
        <v>43</v>
      </c>
      <c r="L98" s="4">
        <v>0</v>
      </c>
      <c r="M98" s="4">
        <v>4167</v>
      </c>
      <c r="N98" s="4">
        <v>4801</v>
      </c>
      <c r="O98" s="4">
        <v>0</v>
      </c>
      <c r="P98" s="4">
        <v>0</v>
      </c>
      <c r="Q98" s="4">
        <v>4801</v>
      </c>
      <c r="R98" s="2"/>
      <c r="S98" s="2"/>
      <c r="T98" s="2"/>
      <c r="U98" s="2" t="s">
        <v>44</v>
      </c>
      <c r="V98" s="4">
        <v>625</v>
      </c>
      <c r="W98" s="2" t="s">
        <v>45</v>
      </c>
      <c r="X98" s="3">
        <v>45252</v>
      </c>
      <c r="Y98" s="5">
        <v>330</v>
      </c>
      <c r="Z98" s="3" t="s">
        <v>114</v>
      </c>
      <c r="AA98" s="6">
        <v>4801</v>
      </c>
      <c r="AB98" s="6">
        <v>0</v>
      </c>
      <c r="AC98" s="6">
        <v>4801</v>
      </c>
      <c r="AD98" s="6"/>
      <c r="AE98" s="2" t="s">
        <v>47</v>
      </c>
      <c r="AF98" s="2"/>
      <c r="AG98" s="2" t="s">
        <v>47</v>
      </c>
      <c r="AH98" s="2"/>
      <c r="AI98" s="2"/>
      <c r="AJ98" s="2" t="s">
        <v>48</v>
      </c>
      <c r="AK98" s="2"/>
      <c r="AL98" s="2" t="s">
        <v>49</v>
      </c>
    </row>
    <row r="99" spans="1:38" x14ac:dyDescent="0.25">
      <c r="A99" s="2" t="s">
        <v>242</v>
      </c>
      <c r="B99" s="2"/>
      <c r="C99" s="2" t="s">
        <v>39</v>
      </c>
      <c r="D99" s="3">
        <v>45253</v>
      </c>
      <c r="E99" s="3">
        <v>45253</v>
      </c>
      <c r="F99" s="3">
        <v>45435</v>
      </c>
      <c r="G99" s="2" t="s">
        <v>40</v>
      </c>
      <c r="H99" s="2" t="s">
        <v>243</v>
      </c>
      <c r="I99" s="2">
        <v>1953</v>
      </c>
      <c r="J99" s="2" t="s">
        <v>42</v>
      </c>
      <c r="K99" s="2" t="s">
        <v>43</v>
      </c>
      <c r="L99" s="4">
        <v>0</v>
      </c>
      <c r="M99" s="4">
        <v>1669</v>
      </c>
      <c r="N99" s="4">
        <v>1953</v>
      </c>
      <c r="O99" s="4">
        <v>0</v>
      </c>
      <c r="P99" s="4">
        <v>0</v>
      </c>
      <c r="Q99" s="4">
        <v>1953</v>
      </c>
      <c r="R99" s="2"/>
      <c r="S99" s="2"/>
      <c r="T99" s="2"/>
      <c r="U99" s="2" t="s">
        <v>44</v>
      </c>
      <c r="V99" s="4">
        <v>250</v>
      </c>
      <c r="W99" s="2" t="s">
        <v>45</v>
      </c>
      <c r="X99" s="3">
        <v>45253</v>
      </c>
      <c r="Y99" s="5">
        <v>329</v>
      </c>
      <c r="Z99" s="3" t="s">
        <v>114</v>
      </c>
      <c r="AA99" s="6">
        <v>1953</v>
      </c>
      <c r="AB99" s="6">
        <v>0</v>
      </c>
      <c r="AC99" s="6">
        <v>1953</v>
      </c>
      <c r="AD99" s="6"/>
      <c r="AE99" s="2" t="s">
        <v>47</v>
      </c>
      <c r="AF99" s="2"/>
      <c r="AG99" s="2" t="s">
        <v>47</v>
      </c>
      <c r="AH99" s="2"/>
      <c r="AI99" s="2"/>
      <c r="AJ99" s="2" t="s">
        <v>48</v>
      </c>
      <c r="AK99" s="2"/>
      <c r="AL99" s="2" t="s">
        <v>49</v>
      </c>
    </row>
    <row r="100" spans="1:38" x14ac:dyDescent="0.25">
      <c r="A100" s="2" t="s">
        <v>244</v>
      </c>
      <c r="B100" s="2"/>
      <c r="C100" s="2" t="s">
        <v>39</v>
      </c>
      <c r="D100" s="3">
        <v>45253</v>
      </c>
      <c r="E100" s="3">
        <v>45253</v>
      </c>
      <c r="F100" s="3">
        <v>45619</v>
      </c>
      <c r="G100" s="2" t="s">
        <v>40</v>
      </c>
      <c r="H100" s="2" t="s">
        <v>245</v>
      </c>
      <c r="I100" s="2">
        <v>2840</v>
      </c>
      <c r="J100" s="2" t="s">
        <v>42</v>
      </c>
      <c r="K100" s="2" t="s">
        <v>43</v>
      </c>
      <c r="L100" s="4">
        <v>0</v>
      </c>
      <c r="M100" s="4">
        <v>2447</v>
      </c>
      <c r="N100" s="4">
        <v>2839</v>
      </c>
      <c r="O100" s="4">
        <v>0</v>
      </c>
      <c r="P100" s="4">
        <v>0</v>
      </c>
      <c r="Q100" s="4">
        <v>2839</v>
      </c>
      <c r="R100" s="2"/>
      <c r="S100" s="2"/>
      <c r="T100" s="2"/>
      <c r="U100" s="2" t="s">
        <v>44</v>
      </c>
      <c r="V100" s="4">
        <v>367</v>
      </c>
      <c r="W100" s="2" t="s">
        <v>45</v>
      </c>
      <c r="X100" s="3">
        <v>45253</v>
      </c>
      <c r="Y100" s="5">
        <v>329</v>
      </c>
      <c r="Z100" s="3" t="s">
        <v>114</v>
      </c>
      <c r="AA100" s="6">
        <v>2839</v>
      </c>
      <c r="AB100" s="6">
        <v>0</v>
      </c>
      <c r="AC100" s="6">
        <v>2839</v>
      </c>
      <c r="AD100" s="6"/>
      <c r="AE100" s="2" t="s">
        <v>47</v>
      </c>
      <c r="AF100" s="2"/>
      <c r="AG100" s="2" t="s">
        <v>47</v>
      </c>
      <c r="AH100" s="2"/>
      <c r="AI100" s="2"/>
      <c r="AJ100" s="2" t="s">
        <v>48</v>
      </c>
      <c r="AK100" s="2"/>
      <c r="AL100" s="2" t="s">
        <v>49</v>
      </c>
    </row>
    <row r="101" spans="1:38" x14ac:dyDescent="0.25">
      <c r="A101" s="2" t="s">
        <v>246</v>
      </c>
      <c r="B101" s="2"/>
      <c r="C101" s="2" t="s">
        <v>39</v>
      </c>
      <c r="D101" s="3">
        <v>45253</v>
      </c>
      <c r="E101" s="3">
        <v>45253</v>
      </c>
      <c r="F101" s="3">
        <v>45619</v>
      </c>
      <c r="G101" s="2" t="s">
        <v>40</v>
      </c>
      <c r="H101" s="2" t="s">
        <v>247</v>
      </c>
      <c r="I101" s="2">
        <v>4396</v>
      </c>
      <c r="J101" s="2" t="s">
        <v>42</v>
      </c>
      <c r="K101" s="2" t="s">
        <v>43</v>
      </c>
      <c r="L101" s="4">
        <v>0</v>
      </c>
      <c r="M101" s="4">
        <v>3816</v>
      </c>
      <c r="N101" s="4">
        <v>4400</v>
      </c>
      <c r="O101" s="4">
        <v>0</v>
      </c>
      <c r="P101" s="4">
        <v>0</v>
      </c>
      <c r="Q101" s="4">
        <v>4400</v>
      </c>
      <c r="R101" s="2"/>
      <c r="S101" s="2"/>
      <c r="T101" s="2"/>
      <c r="U101" s="2" t="s">
        <v>44</v>
      </c>
      <c r="V101" s="4">
        <v>572</v>
      </c>
      <c r="W101" s="2" t="s">
        <v>45</v>
      </c>
      <c r="X101" s="3">
        <v>45253</v>
      </c>
      <c r="Y101" s="5">
        <v>329</v>
      </c>
      <c r="Z101" s="3" t="s">
        <v>114</v>
      </c>
      <c r="AA101" s="6">
        <v>4400</v>
      </c>
      <c r="AB101" s="6">
        <v>0</v>
      </c>
      <c r="AC101" s="6">
        <v>4400</v>
      </c>
      <c r="AD101" s="6"/>
      <c r="AE101" s="2" t="s">
        <v>47</v>
      </c>
      <c r="AF101" s="2"/>
      <c r="AG101" s="2" t="s">
        <v>47</v>
      </c>
      <c r="AH101" s="2"/>
      <c r="AI101" s="2"/>
      <c r="AJ101" s="2" t="s">
        <v>48</v>
      </c>
      <c r="AK101" s="2"/>
      <c r="AL101" s="2" t="s">
        <v>49</v>
      </c>
    </row>
    <row r="102" spans="1:38" x14ac:dyDescent="0.25">
      <c r="A102" s="2" t="s">
        <v>248</v>
      </c>
      <c r="B102" s="2"/>
      <c r="C102" s="2" t="s">
        <v>39</v>
      </c>
      <c r="D102" s="3">
        <v>45254</v>
      </c>
      <c r="E102" s="3">
        <v>45254</v>
      </c>
      <c r="F102" s="3">
        <v>45620</v>
      </c>
      <c r="G102" s="2" t="s">
        <v>40</v>
      </c>
      <c r="H102" s="2" t="s">
        <v>249</v>
      </c>
      <c r="I102" s="2">
        <v>4396</v>
      </c>
      <c r="J102" s="2" t="s">
        <v>42</v>
      </c>
      <c r="K102" s="2" t="s">
        <v>43</v>
      </c>
      <c r="L102" s="4">
        <v>0</v>
      </c>
      <c r="M102" s="4">
        <v>3816</v>
      </c>
      <c r="N102" s="4">
        <v>4400</v>
      </c>
      <c r="O102" s="4">
        <v>0</v>
      </c>
      <c r="P102" s="4">
        <v>0</v>
      </c>
      <c r="Q102" s="4">
        <v>4400</v>
      </c>
      <c r="R102" s="2"/>
      <c r="S102" s="2"/>
      <c r="T102" s="2"/>
      <c r="U102" s="2" t="s">
        <v>44</v>
      </c>
      <c r="V102" s="4">
        <v>572</v>
      </c>
      <c r="W102" s="2" t="s">
        <v>45</v>
      </c>
      <c r="X102" s="3">
        <v>45254</v>
      </c>
      <c r="Y102" s="5">
        <v>328</v>
      </c>
      <c r="Z102" s="3" t="s">
        <v>114</v>
      </c>
      <c r="AA102" s="6">
        <v>4400</v>
      </c>
      <c r="AB102" s="6">
        <v>0</v>
      </c>
      <c r="AC102" s="6">
        <v>4400</v>
      </c>
      <c r="AD102" s="6"/>
      <c r="AE102" s="2" t="s">
        <v>47</v>
      </c>
      <c r="AF102" s="2"/>
      <c r="AG102" s="2" t="s">
        <v>47</v>
      </c>
      <c r="AH102" s="2"/>
      <c r="AI102" s="2"/>
      <c r="AJ102" s="2" t="s">
        <v>48</v>
      </c>
      <c r="AK102" s="2"/>
      <c r="AL102" s="2" t="s">
        <v>49</v>
      </c>
    </row>
    <row r="103" spans="1:38" x14ac:dyDescent="0.25">
      <c r="A103" s="2" t="s">
        <v>250</v>
      </c>
      <c r="B103" s="2"/>
      <c r="C103" s="2" t="s">
        <v>39</v>
      </c>
      <c r="D103" s="3">
        <v>45255</v>
      </c>
      <c r="E103" s="3">
        <v>45255</v>
      </c>
      <c r="F103" s="3">
        <v>45621</v>
      </c>
      <c r="G103" s="2" t="s">
        <v>40</v>
      </c>
      <c r="H103" s="2" t="s">
        <v>251</v>
      </c>
      <c r="I103" s="2">
        <v>4396</v>
      </c>
      <c r="J103" s="2" t="s">
        <v>42</v>
      </c>
      <c r="K103" s="2" t="s">
        <v>43</v>
      </c>
      <c r="L103" s="4">
        <v>0</v>
      </c>
      <c r="M103" s="4">
        <v>3816</v>
      </c>
      <c r="N103" s="4">
        <v>4400</v>
      </c>
      <c r="O103" s="4">
        <v>0</v>
      </c>
      <c r="P103" s="4">
        <v>0</v>
      </c>
      <c r="Q103" s="4">
        <v>4400</v>
      </c>
      <c r="R103" s="2"/>
      <c r="S103" s="2"/>
      <c r="T103" s="2"/>
      <c r="U103" s="2" t="s">
        <v>44</v>
      </c>
      <c r="V103" s="4">
        <v>572</v>
      </c>
      <c r="W103" s="2" t="s">
        <v>45</v>
      </c>
      <c r="X103" s="3">
        <v>45255</v>
      </c>
      <c r="Y103" s="5">
        <v>327</v>
      </c>
      <c r="Z103" s="3" t="s">
        <v>114</v>
      </c>
      <c r="AA103" s="6">
        <v>4400</v>
      </c>
      <c r="AB103" s="6">
        <v>0</v>
      </c>
      <c r="AC103" s="6">
        <v>4400</v>
      </c>
      <c r="AD103" s="6"/>
      <c r="AE103" s="2" t="s">
        <v>47</v>
      </c>
      <c r="AF103" s="2"/>
      <c r="AG103" s="2" t="s">
        <v>47</v>
      </c>
      <c r="AH103" s="2"/>
      <c r="AI103" s="2"/>
      <c r="AJ103" s="2" t="s">
        <v>48</v>
      </c>
      <c r="AK103" s="2"/>
      <c r="AL103" s="2" t="s">
        <v>49</v>
      </c>
    </row>
    <row r="104" spans="1:38" x14ac:dyDescent="0.25">
      <c r="A104" s="2" t="s">
        <v>252</v>
      </c>
      <c r="B104" s="2"/>
      <c r="C104" s="2" t="s">
        <v>39</v>
      </c>
      <c r="D104" s="3">
        <v>45257</v>
      </c>
      <c r="E104" s="3">
        <v>45257</v>
      </c>
      <c r="F104" s="3">
        <v>45623</v>
      </c>
      <c r="G104" s="2" t="s">
        <v>40</v>
      </c>
      <c r="H104" s="2" t="s">
        <v>253</v>
      </c>
      <c r="I104" s="2">
        <v>4396</v>
      </c>
      <c r="J104" s="2" t="s">
        <v>42</v>
      </c>
      <c r="K104" s="2" t="s">
        <v>43</v>
      </c>
      <c r="L104" s="4">
        <v>0</v>
      </c>
      <c r="M104" s="4">
        <v>3816</v>
      </c>
      <c r="N104" s="4">
        <v>4400</v>
      </c>
      <c r="O104" s="4">
        <v>0</v>
      </c>
      <c r="P104" s="4">
        <v>0</v>
      </c>
      <c r="Q104" s="4">
        <v>4400</v>
      </c>
      <c r="R104" s="2"/>
      <c r="S104" s="2"/>
      <c r="T104" s="2"/>
      <c r="U104" s="2" t="s">
        <v>44</v>
      </c>
      <c r="V104" s="4">
        <v>572</v>
      </c>
      <c r="W104" s="2" t="s">
        <v>45</v>
      </c>
      <c r="X104" s="3">
        <v>45257</v>
      </c>
      <c r="Y104" s="5">
        <v>325</v>
      </c>
      <c r="Z104" s="3" t="s">
        <v>114</v>
      </c>
      <c r="AA104" s="6">
        <v>4400</v>
      </c>
      <c r="AB104" s="6">
        <v>0</v>
      </c>
      <c r="AC104" s="6">
        <v>4400</v>
      </c>
      <c r="AD104" s="6"/>
      <c r="AE104" s="2" t="s">
        <v>47</v>
      </c>
      <c r="AF104" s="2"/>
      <c r="AG104" s="2" t="s">
        <v>47</v>
      </c>
      <c r="AH104" s="2"/>
      <c r="AI104" s="2"/>
      <c r="AJ104" s="2" t="s">
        <v>48</v>
      </c>
      <c r="AK104" s="2"/>
      <c r="AL104" s="2" t="s">
        <v>49</v>
      </c>
    </row>
    <row r="105" spans="1:38" x14ac:dyDescent="0.25">
      <c r="A105" s="2" t="s">
        <v>254</v>
      </c>
      <c r="B105" s="2"/>
      <c r="C105" s="2" t="s">
        <v>39</v>
      </c>
      <c r="D105" s="3">
        <v>45257</v>
      </c>
      <c r="E105" s="3">
        <v>45257</v>
      </c>
      <c r="F105" s="3">
        <v>45623</v>
      </c>
      <c r="G105" s="2" t="s">
        <v>40</v>
      </c>
      <c r="H105" s="2" t="s">
        <v>255</v>
      </c>
      <c r="I105" s="2">
        <v>2520</v>
      </c>
      <c r="J105" s="2" t="s">
        <v>42</v>
      </c>
      <c r="K105" s="2" t="s">
        <v>43</v>
      </c>
      <c r="L105" s="4">
        <v>0</v>
      </c>
      <c r="M105" s="4">
        <v>2167</v>
      </c>
      <c r="N105" s="4">
        <v>2521</v>
      </c>
      <c r="O105" s="4">
        <v>0</v>
      </c>
      <c r="P105" s="4">
        <v>0</v>
      </c>
      <c r="Q105" s="4">
        <v>2521</v>
      </c>
      <c r="R105" s="2"/>
      <c r="S105" s="2"/>
      <c r="T105" s="2"/>
      <c r="U105" s="2" t="s">
        <v>44</v>
      </c>
      <c r="V105" s="4">
        <v>325</v>
      </c>
      <c r="W105" s="2" t="s">
        <v>45</v>
      </c>
      <c r="X105" s="3">
        <v>45257</v>
      </c>
      <c r="Y105" s="5">
        <v>325</v>
      </c>
      <c r="Z105" s="3" t="s">
        <v>114</v>
      </c>
      <c r="AA105" s="6">
        <v>2521</v>
      </c>
      <c r="AB105" s="6">
        <v>0</v>
      </c>
      <c r="AC105" s="6">
        <v>2521</v>
      </c>
      <c r="AD105" s="6"/>
      <c r="AE105" s="2" t="s">
        <v>47</v>
      </c>
      <c r="AF105" s="2"/>
      <c r="AG105" s="2" t="s">
        <v>47</v>
      </c>
      <c r="AH105" s="2"/>
      <c r="AI105" s="2"/>
      <c r="AJ105" s="2" t="s">
        <v>48</v>
      </c>
      <c r="AK105" s="2"/>
      <c r="AL105" s="2" t="s">
        <v>49</v>
      </c>
    </row>
    <row r="106" spans="1:38" x14ac:dyDescent="0.25">
      <c r="A106" s="2" t="s">
        <v>256</v>
      </c>
      <c r="B106" s="2"/>
      <c r="C106" s="2" t="s">
        <v>39</v>
      </c>
      <c r="D106" s="3">
        <v>45258</v>
      </c>
      <c r="E106" s="3">
        <v>45258</v>
      </c>
      <c r="F106" s="3">
        <v>45624</v>
      </c>
      <c r="G106" s="2" t="s">
        <v>40</v>
      </c>
      <c r="H106" s="2" t="s">
        <v>257</v>
      </c>
      <c r="I106" s="2">
        <v>4396</v>
      </c>
      <c r="J106" s="2" t="s">
        <v>42</v>
      </c>
      <c r="K106" s="2" t="s">
        <v>43</v>
      </c>
      <c r="L106" s="4">
        <v>0</v>
      </c>
      <c r="M106" s="4">
        <v>3816</v>
      </c>
      <c r="N106" s="4">
        <v>4400</v>
      </c>
      <c r="O106" s="4">
        <v>0</v>
      </c>
      <c r="P106" s="4">
        <v>0</v>
      </c>
      <c r="Q106" s="4">
        <v>4400</v>
      </c>
      <c r="R106" s="2"/>
      <c r="S106" s="2"/>
      <c r="T106" s="2"/>
      <c r="U106" s="2" t="s">
        <v>44</v>
      </c>
      <c r="V106" s="4">
        <v>572</v>
      </c>
      <c r="W106" s="2" t="s">
        <v>45</v>
      </c>
      <c r="X106" s="3">
        <v>45258</v>
      </c>
      <c r="Y106" s="5">
        <v>324</v>
      </c>
      <c r="Z106" s="3" t="s">
        <v>114</v>
      </c>
      <c r="AA106" s="6">
        <v>4400</v>
      </c>
      <c r="AB106" s="6">
        <v>0</v>
      </c>
      <c r="AC106" s="6">
        <v>4400</v>
      </c>
      <c r="AD106" s="6"/>
      <c r="AE106" s="2" t="s">
        <v>47</v>
      </c>
      <c r="AF106" s="2"/>
      <c r="AG106" s="2" t="s">
        <v>47</v>
      </c>
      <c r="AH106" s="2"/>
      <c r="AI106" s="2"/>
      <c r="AJ106" s="2" t="s">
        <v>48</v>
      </c>
      <c r="AK106" s="2"/>
      <c r="AL106" s="2" t="s">
        <v>49</v>
      </c>
    </row>
    <row r="107" spans="1:38" x14ac:dyDescent="0.25">
      <c r="A107" s="2" t="s">
        <v>258</v>
      </c>
      <c r="B107" s="2"/>
      <c r="C107" s="2" t="s">
        <v>39</v>
      </c>
      <c r="D107" s="3">
        <v>45259</v>
      </c>
      <c r="E107" s="3">
        <v>45259</v>
      </c>
      <c r="F107" s="3">
        <v>45625</v>
      </c>
      <c r="G107" s="2" t="s">
        <v>40</v>
      </c>
      <c r="H107" s="2" t="s">
        <v>259</v>
      </c>
      <c r="I107" s="2">
        <v>4396</v>
      </c>
      <c r="J107" s="2" t="s">
        <v>42</v>
      </c>
      <c r="K107" s="2" t="s">
        <v>43</v>
      </c>
      <c r="L107" s="4">
        <v>0</v>
      </c>
      <c r="M107" s="4">
        <v>3816</v>
      </c>
      <c r="N107" s="4">
        <v>4400</v>
      </c>
      <c r="O107" s="4">
        <v>0</v>
      </c>
      <c r="P107" s="4">
        <v>0</v>
      </c>
      <c r="Q107" s="4">
        <v>4400</v>
      </c>
      <c r="R107" s="2"/>
      <c r="S107" s="2"/>
      <c r="T107" s="2"/>
      <c r="U107" s="2" t="s">
        <v>44</v>
      </c>
      <c r="V107" s="4">
        <v>572</v>
      </c>
      <c r="W107" s="2" t="s">
        <v>45</v>
      </c>
      <c r="X107" s="3">
        <v>45259</v>
      </c>
      <c r="Y107" s="5">
        <v>323</v>
      </c>
      <c r="Z107" s="3" t="s">
        <v>114</v>
      </c>
      <c r="AA107" s="6">
        <v>4400</v>
      </c>
      <c r="AB107" s="6">
        <v>0</v>
      </c>
      <c r="AC107" s="6">
        <v>4400</v>
      </c>
      <c r="AD107" s="6"/>
      <c r="AE107" s="2" t="s">
        <v>47</v>
      </c>
      <c r="AF107" s="2"/>
      <c r="AG107" s="2" t="s">
        <v>47</v>
      </c>
      <c r="AH107" s="2"/>
      <c r="AI107" s="2"/>
      <c r="AJ107" s="2" t="s">
        <v>48</v>
      </c>
      <c r="AK107" s="2"/>
      <c r="AL107" s="2" t="s">
        <v>49</v>
      </c>
    </row>
    <row r="108" spans="1:38" x14ac:dyDescent="0.25">
      <c r="A108" s="2" t="s">
        <v>260</v>
      </c>
      <c r="B108" s="2"/>
      <c r="C108" s="2" t="s">
        <v>39</v>
      </c>
      <c r="D108" s="3">
        <v>45259</v>
      </c>
      <c r="E108" s="3">
        <v>45259</v>
      </c>
      <c r="F108" s="3">
        <v>45625</v>
      </c>
      <c r="G108" s="2" t="s">
        <v>40</v>
      </c>
      <c r="H108" s="2" t="s">
        <v>261</v>
      </c>
      <c r="I108" s="2">
        <v>2719</v>
      </c>
      <c r="J108" s="2" t="s">
        <v>42</v>
      </c>
      <c r="K108" s="2" t="s">
        <v>43</v>
      </c>
      <c r="L108" s="4">
        <v>0</v>
      </c>
      <c r="M108" s="4">
        <v>2342</v>
      </c>
      <c r="N108" s="4">
        <v>2719</v>
      </c>
      <c r="O108" s="4">
        <v>0</v>
      </c>
      <c r="P108" s="4">
        <v>0</v>
      </c>
      <c r="Q108" s="4">
        <v>2719</v>
      </c>
      <c r="R108" s="2"/>
      <c r="S108" s="2"/>
      <c r="T108" s="2"/>
      <c r="U108" s="2" t="s">
        <v>44</v>
      </c>
      <c r="V108" s="4">
        <v>351</v>
      </c>
      <c r="W108" s="2" t="s">
        <v>45</v>
      </c>
      <c r="X108" s="3">
        <v>45259</v>
      </c>
      <c r="Y108" s="5">
        <v>323</v>
      </c>
      <c r="Z108" s="3" t="s">
        <v>114</v>
      </c>
      <c r="AA108" s="6">
        <v>2719</v>
      </c>
      <c r="AB108" s="6">
        <v>0</v>
      </c>
      <c r="AC108" s="6">
        <v>2719</v>
      </c>
      <c r="AD108" s="6"/>
      <c r="AE108" s="2" t="s">
        <v>47</v>
      </c>
      <c r="AF108" s="2"/>
      <c r="AG108" s="2" t="s">
        <v>47</v>
      </c>
      <c r="AH108" s="2"/>
      <c r="AI108" s="2"/>
      <c r="AJ108" s="2" t="s">
        <v>48</v>
      </c>
      <c r="AK108" s="2"/>
      <c r="AL108" s="2" t="s">
        <v>49</v>
      </c>
    </row>
    <row r="109" spans="1:38" x14ac:dyDescent="0.25">
      <c r="A109" s="2" t="s">
        <v>262</v>
      </c>
      <c r="B109" s="2"/>
      <c r="C109" s="2" t="s">
        <v>39</v>
      </c>
      <c r="D109" s="3">
        <v>45259</v>
      </c>
      <c r="E109" s="3">
        <v>45259</v>
      </c>
      <c r="F109" s="3">
        <v>45625</v>
      </c>
      <c r="G109" s="2" t="s">
        <v>40</v>
      </c>
      <c r="H109" s="2" t="s">
        <v>263</v>
      </c>
      <c r="I109" s="2">
        <v>4396</v>
      </c>
      <c r="J109" s="2" t="s">
        <v>42</v>
      </c>
      <c r="K109" s="2" t="s">
        <v>43</v>
      </c>
      <c r="L109" s="4">
        <v>0</v>
      </c>
      <c r="M109" s="4">
        <v>3816</v>
      </c>
      <c r="N109" s="4">
        <v>4400</v>
      </c>
      <c r="O109" s="4">
        <v>0</v>
      </c>
      <c r="P109" s="4">
        <v>0</v>
      </c>
      <c r="Q109" s="4">
        <v>4400</v>
      </c>
      <c r="R109" s="2"/>
      <c r="S109" s="2"/>
      <c r="T109" s="2"/>
      <c r="U109" s="2" t="s">
        <v>44</v>
      </c>
      <c r="V109" s="4">
        <v>572</v>
      </c>
      <c r="W109" s="2" t="s">
        <v>45</v>
      </c>
      <c r="X109" s="3">
        <v>45259</v>
      </c>
      <c r="Y109" s="5">
        <v>323</v>
      </c>
      <c r="Z109" s="3" t="s">
        <v>114</v>
      </c>
      <c r="AA109" s="6">
        <v>4400</v>
      </c>
      <c r="AB109" s="6">
        <v>0</v>
      </c>
      <c r="AC109" s="6">
        <v>4400</v>
      </c>
      <c r="AD109" s="6"/>
      <c r="AE109" s="2" t="s">
        <v>47</v>
      </c>
      <c r="AF109" s="2"/>
      <c r="AG109" s="2" t="s">
        <v>47</v>
      </c>
      <c r="AH109" s="2"/>
      <c r="AI109" s="2"/>
      <c r="AJ109" s="2" t="s">
        <v>48</v>
      </c>
      <c r="AK109" s="2"/>
      <c r="AL109" s="2" t="s">
        <v>49</v>
      </c>
    </row>
    <row r="110" spans="1:38" x14ac:dyDescent="0.25">
      <c r="A110" s="2" t="s">
        <v>264</v>
      </c>
      <c r="B110" s="2"/>
      <c r="C110" s="2" t="s">
        <v>39</v>
      </c>
      <c r="D110" s="3">
        <v>45260</v>
      </c>
      <c r="E110" s="3">
        <v>45260</v>
      </c>
      <c r="F110" s="3">
        <v>45626</v>
      </c>
      <c r="G110" s="2" t="s">
        <v>40</v>
      </c>
      <c r="H110" s="2" t="s">
        <v>265</v>
      </c>
      <c r="I110" s="2">
        <v>4396</v>
      </c>
      <c r="J110" s="2" t="s">
        <v>42</v>
      </c>
      <c r="K110" s="2" t="s">
        <v>43</v>
      </c>
      <c r="L110" s="4">
        <v>0</v>
      </c>
      <c r="M110" s="4">
        <v>3816</v>
      </c>
      <c r="N110" s="4">
        <v>4400</v>
      </c>
      <c r="O110" s="4">
        <v>0</v>
      </c>
      <c r="P110" s="4">
        <v>0</v>
      </c>
      <c r="Q110" s="4">
        <v>4400</v>
      </c>
      <c r="R110" s="2"/>
      <c r="S110" s="2"/>
      <c r="T110" s="2"/>
      <c r="U110" s="2" t="s">
        <v>44</v>
      </c>
      <c r="V110" s="4">
        <v>572</v>
      </c>
      <c r="W110" s="2" t="s">
        <v>45</v>
      </c>
      <c r="X110" s="3">
        <v>45260</v>
      </c>
      <c r="Y110" s="5">
        <v>322</v>
      </c>
      <c r="Z110" s="3" t="s">
        <v>114</v>
      </c>
      <c r="AA110" s="6">
        <v>4400</v>
      </c>
      <c r="AB110" s="6">
        <v>0</v>
      </c>
      <c r="AC110" s="6">
        <v>4400</v>
      </c>
      <c r="AD110" s="6"/>
      <c r="AE110" s="2" t="s">
        <v>47</v>
      </c>
      <c r="AF110" s="2"/>
      <c r="AG110" s="2" t="s">
        <v>47</v>
      </c>
      <c r="AH110" s="2"/>
      <c r="AI110" s="2"/>
      <c r="AJ110" s="2" t="s">
        <v>48</v>
      </c>
      <c r="AK110" s="2"/>
      <c r="AL110" s="2" t="s">
        <v>49</v>
      </c>
    </row>
    <row r="111" spans="1:38" x14ac:dyDescent="0.25">
      <c r="A111" s="2" t="s">
        <v>266</v>
      </c>
      <c r="B111" s="2"/>
      <c r="C111" s="2" t="s">
        <v>39</v>
      </c>
      <c r="D111" s="3">
        <v>45260</v>
      </c>
      <c r="E111" s="3">
        <v>45260</v>
      </c>
      <c r="F111" s="3">
        <v>45626</v>
      </c>
      <c r="G111" s="2" t="s">
        <v>40</v>
      </c>
      <c r="H111" s="2" t="s">
        <v>267</v>
      </c>
      <c r="I111" s="2">
        <v>2720</v>
      </c>
      <c r="J111" s="2" t="s">
        <v>42</v>
      </c>
      <c r="K111" s="2" t="s">
        <v>43</v>
      </c>
      <c r="L111" s="4">
        <v>0</v>
      </c>
      <c r="M111" s="4">
        <v>2342</v>
      </c>
      <c r="N111" s="4">
        <v>2719</v>
      </c>
      <c r="O111" s="4">
        <v>0</v>
      </c>
      <c r="P111" s="4">
        <v>0</v>
      </c>
      <c r="Q111" s="4">
        <v>2719</v>
      </c>
      <c r="R111" s="2"/>
      <c r="S111" s="2"/>
      <c r="T111" s="2"/>
      <c r="U111" s="2" t="s">
        <v>44</v>
      </c>
      <c r="V111" s="4">
        <v>351</v>
      </c>
      <c r="W111" s="2" t="s">
        <v>45</v>
      </c>
      <c r="X111" s="3">
        <v>45260</v>
      </c>
      <c r="Y111" s="5">
        <v>322</v>
      </c>
      <c r="Z111" s="3" t="s">
        <v>114</v>
      </c>
      <c r="AA111" s="6">
        <v>2719</v>
      </c>
      <c r="AB111" s="6">
        <v>0</v>
      </c>
      <c r="AC111" s="6">
        <v>2719</v>
      </c>
      <c r="AD111" s="6"/>
      <c r="AE111" s="2" t="s">
        <v>47</v>
      </c>
      <c r="AF111" s="2"/>
      <c r="AG111" s="2" t="s">
        <v>47</v>
      </c>
      <c r="AH111" s="2"/>
      <c r="AI111" s="2"/>
      <c r="AJ111" s="2" t="s">
        <v>48</v>
      </c>
      <c r="AK111" s="2"/>
      <c r="AL111" s="2" t="s">
        <v>49</v>
      </c>
    </row>
    <row r="112" spans="1:38" x14ac:dyDescent="0.25">
      <c r="A112" s="2" t="s">
        <v>268</v>
      </c>
      <c r="B112" s="2"/>
      <c r="C112" s="2" t="s">
        <v>39</v>
      </c>
      <c r="D112" s="3">
        <v>45261</v>
      </c>
      <c r="E112" s="3">
        <v>45261</v>
      </c>
      <c r="F112" s="3">
        <v>45444</v>
      </c>
      <c r="G112" s="2" t="s">
        <v>40</v>
      </c>
      <c r="H112" s="2" t="s">
        <v>269</v>
      </c>
      <c r="I112" s="2">
        <v>3027</v>
      </c>
      <c r="J112" s="2" t="s">
        <v>42</v>
      </c>
      <c r="K112" s="2" t="s">
        <v>43</v>
      </c>
      <c r="L112" s="4">
        <v>0</v>
      </c>
      <c r="M112" s="4">
        <v>2610</v>
      </c>
      <c r="N112" s="4">
        <v>3025</v>
      </c>
      <c r="O112" s="4">
        <v>0</v>
      </c>
      <c r="P112" s="4">
        <v>0</v>
      </c>
      <c r="Q112" s="4">
        <v>3025</v>
      </c>
      <c r="R112" s="2"/>
      <c r="S112" s="2"/>
      <c r="T112" s="2"/>
      <c r="U112" s="2" t="s">
        <v>44</v>
      </c>
      <c r="V112" s="4">
        <v>392</v>
      </c>
      <c r="W112" s="2" t="s">
        <v>45</v>
      </c>
      <c r="X112" s="3">
        <v>45261</v>
      </c>
      <c r="Y112" s="5">
        <v>321</v>
      </c>
      <c r="Z112" s="3" t="s">
        <v>114</v>
      </c>
      <c r="AA112" s="6">
        <v>3025</v>
      </c>
      <c r="AB112" s="6">
        <v>0</v>
      </c>
      <c r="AC112" s="6">
        <v>3025</v>
      </c>
      <c r="AD112" s="6"/>
      <c r="AE112" s="2" t="s">
        <v>47</v>
      </c>
      <c r="AF112" s="2"/>
      <c r="AG112" s="2" t="s">
        <v>47</v>
      </c>
      <c r="AH112" s="2"/>
      <c r="AI112" s="2"/>
      <c r="AJ112" s="2" t="s">
        <v>48</v>
      </c>
      <c r="AK112" s="2"/>
      <c r="AL112" s="2" t="s">
        <v>49</v>
      </c>
    </row>
    <row r="113" spans="1:38" x14ac:dyDescent="0.25">
      <c r="A113" s="2" t="s">
        <v>270</v>
      </c>
      <c r="B113" s="2"/>
      <c r="C113" s="2" t="s">
        <v>39</v>
      </c>
      <c r="D113" s="3">
        <v>45262</v>
      </c>
      <c r="E113" s="3">
        <v>45262</v>
      </c>
      <c r="F113" s="3">
        <v>45628</v>
      </c>
      <c r="G113" s="2" t="s">
        <v>40</v>
      </c>
      <c r="H113" s="2" t="s">
        <v>271</v>
      </c>
      <c r="I113" s="2">
        <v>4396</v>
      </c>
      <c r="J113" s="2" t="s">
        <v>42</v>
      </c>
      <c r="K113" s="2" t="s">
        <v>43</v>
      </c>
      <c r="L113" s="4">
        <v>0</v>
      </c>
      <c r="M113" s="4">
        <v>3816</v>
      </c>
      <c r="N113" s="4">
        <v>4400</v>
      </c>
      <c r="O113" s="4">
        <v>0</v>
      </c>
      <c r="P113" s="4">
        <v>0</v>
      </c>
      <c r="Q113" s="4">
        <v>4400</v>
      </c>
      <c r="R113" s="2"/>
      <c r="S113" s="2"/>
      <c r="T113" s="2"/>
      <c r="U113" s="2" t="s">
        <v>44</v>
      </c>
      <c r="V113" s="4">
        <v>572</v>
      </c>
      <c r="W113" s="2" t="s">
        <v>45</v>
      </c>
      <c r="X113" s="3">
        <v>45262</v>
      </c>
      <c r="Y113" s="5">
        <v>320</v>
      </c>
      <c r="Z113" s="3" t="s">
        <v>114</v>
      </c>
      <c r="AA113" s="6">
        <v>4400</v>
      </c>
      <c r="AB113" s="6">
        <v>0</v>
      </c>
      <c r="AC113" s="6">
        <v>4400</v>
      </c>
      <c r="AD113" s="6"/>
      <c r="AE113" s="2" t="s">
        <v>47</v>
      </c>
      <c r="AF113" s="2"/>
      <c r="AG113" s="2" t="s">
        <v>47</v>
      </c>
      <c r="AH113" s="2"/>
      <c r="AI113" s="2"/>
      <c r="AJ113" s="2" t="s">
        <v>48</v>
      </c>
      <c r="AK113" s="2"/>
      <c r="AL113" s="2" t="s">
        <v>49</v>
      </c>
    </row>
    <row r="114" spans="1:38" x14ac:dyDescent="0.25">
      <c r="A114" s="2" t="s">
        <v>272</v>
      </c>
      <c r="B114" s="2"/>
      <c r="C114" s="2" t="s">
        <v>39</v>
      </c>
      <c r="D114" s="3">
        <v>45264</v>
      </c>
      <c r="E114" s="3">
        <v>45264</v>
      </c>
      <c r="F114" s="3">
        <v>45630</v>
      </c>
      <c r="G114" s="2" t="s">
        <v>40</v>
      </c>
      <c r="H114" s="2" t="s">
        <v>273</v>
      </c>
      <c r="I114" s="2">
        <v>4396</v>
      </c>
      <c r="J114" s="2" t="s">
        <v>42</v>
      </c>
      <c r="K114" s="2" t="s">
        <v>43</v>
      </c>
      <c r="L114" s="4">
        <v>0</v>
      </c>
      <c r="M114" s="4">
        <v>3816</v>
      </c>
      <c r="N114" s="4">
        <v>4400</v>
      </c>
      <c r="O114" s="4">
        <v>0</v>
      </c>
      <c r="P114" s="4">
        <v>0</v>
      </c>
      <c r="Q114" s="4">
        <v>4400</v>
      </c>
      <c r="R114" s="2"/>
      <c r="S114" s="2"/>
      <c r="T114" s="2"/>
      <c r="U114" s="2" t="s">
        <v>44</v>
      </c>
      <c r="V114" s="4">
        <v>572</v>
      </c>
      <c r="W114" s="2" t="s">
        <v>45</v>
      </c>
      <c r="X114" s="3">
        <v>45264</v>
      </c>
      <c r="Y114" s="5">
        <v>318</v>
      </c>
      <c r="Z114" s="3" t="s">
        <v>114</v>
      </c>
      <c r="AA114" s="6">
        <v>4400</v>
      </c>
      <c r="AB114" s="6">
        <v>0</v>
      </c>
      <c r="AC114" s="6">
        <v>4400</v>
      </c>
      <c r="AD114" s="6"/>
      <c r="AE114" s="2" t="s">
        <v>47</v>
      </c>
      <c r="AF114" s="2"/>
      <c r="AG114" s="2" t="s">
        <v>47</v>
      </c>
      <c r="AH114" s="2"/>
      <c r="AI114" s="2"/>
      <c r="AJ114" s="2" t="s">
        <v>48</v>
      </c>
      <c r="AK114" s="2"/>
      <c r="AL114" s="2" t="s">
        <v>49</v>
      </c>
    </row>
    <row r="115" spans="1:38" x14ac:dyDescent="0.25">
      <c r="A115" s="2" t="s">
        <v>274</v>
      </c>
      <c r="B115" s="2"/>
      <c r="C115" s="2" t="s">
        <v>39</v>
      </c>
      <c r="D115" s="3">
        <v>45264</v>
      </c>
      <c r="E115" s="3">
        <v>45264</v>
      </c>
      <c r="F115" s="3">
        <v>45630</v>
      </c>
      <c r="G115" s="2" t="s">
        <v>40</v>
      </c>
      <c r="H115" s="2" t="s">
        <v>273</v>
      </c>
      <c r="I115" s="2">
        <v>4396</v>
      </c>
      <c r="J115" s="2" t="s">
        <v>42</v>
      </c>
      <c r="K115" s="2" t="s">
        <v>43</v>
      </c>
      <c r="L115" s="4">
        <v>0</v>
      </c>
      <c r="M115" s="4">
        <v>3816</v>
      </c>
      <c r="N115" s="4">
        <v>4400</v>
      </c>
      <c r="O115" s="4">
        <v>0</v>
      </c>
      <c r="P115" s="4">
        <v>0</v>
      </c>
      <c r="Q115" s="4">
        <v>4400</v>
      </c>
      <c r="R115" s="2"/>
      <c r="S115" s="2"/>
      <c r="T115" s="2"/>
      <c r="U115" s="2" t="s">
        <v>44</v>
      </c>
      <c r="V115" s="4">
        <v>572</v>
      </c>
      <c r="W115" s="2" t="s">
        <v>45</v>
      </c>
      <c r="X115" s="3">
        <v>45264</v>
      </c>
      <c r="Y115" s="5">
        <v>318</v>
      </c>
      <c r="Z115" s="3" t="s">
        <v>114</v>
      </c>
      <c r="AA115" s="6">
        <v>4400</v>
      </c>
      <c r="AB115" s="6">
        <v>0</v>
      </c>
      <c r="AC115" s="6">
        <v>4400</v>
      </c>
      <c r="AD115" s="6"/>
      <c r="AE115" s="2" t="s">
        <v>47</v>
      </c>
      <c r="AF115" s="2"/>
      <c r="AG115" s="2" t="s">
        <v>47</v>
      </c>
      <c r="AH115" s="2"/>
      <c r="AI115" s="2"/>
      <c r="AJ115" s="2" t="s">
        <v>48</v>
      </c>
      <c r="AK115" s="2"/>
      <c r="AL115" s="2" t="s">
        <v>49</v>
      </c>
    </row>
    <row r="116" spans="1:38" x14ac:dyDescent="0.25">
      <c r="A116" s="2" t="s">
        <v>275</v>
      </c>
      <c r="B116" s="2"/>
      <c r="C116" s="2" t="s">
        <v>39</v>
      </c>
      <c r="D116" s="3">
        <v>45264</v>
      </c>
      <c r="E116" s="3">
        <v>45264</v>
      </c>
      <c r="F116" s="3">
        <v>45630</v>
      </c>
      <c r="G116" s="2" t="s">
        <v>40</v>
      </c>
      <c r="H116" s="2" t="s">
        <v>276</v>
      </c>
      <c r="I116" s="2">
        <v>4396</v>
      </c>
      <c r="J116" s="2" t="s">
        <v>42</v>
      </c>
      <c r="K116" s="2" t="s">
        <v>43</v>
      </c>
      <c r="L116" s="4">
        <v>0</v>
      </c>
      <c r="M116" s="4">
        <v>3816</v>
      </c>
      <c r="N116" s="4">
        <v>4400</v>
      </c>
      <c r="O116" s="4">
        <v>0</v>
      </c>
      <c r="P116" s="4">
        <v>0</v>
      </c>
      <c r="Q116" s="4">
        <v>4400</v>
      </c>
      <c r="R116" s="2"/>
      <c r="S116" s="2"/>
      <c r="T116" s="2"/>
      <c r="U116" s="2" t="s">
        <v>44</v>
      </c>
      <c r="V116" s="4">
        <v>572</v>
      </c>
      <c r="W116" s="2" t="s">
        <v>45</v>
      </c>
      <c r="X116" s="3">
        <v>45264</v>
      </c>
      <c r="Y116" s="5">
        <v>318</v>
      </c>
      <c r="Z116" s="3" t="s">
        <v>114</v>
      </c>
      <c r="AA116" s="6">
        <v>4400</v>
      </c>
      <c r="AB116" s="6">
        <v>0</v>
      </c>
      <c r="AC116" s="6">
        <v>4400</v>
      </c>
      <c r="AD116" s="6"/>
      <c r="AE116" s="2" t="s">
        <v>47</v>
      </c>
      <c r="AF116" s="2"/>
      <c r="AG116" s="2" t="s">
        <v>47</v>
      </c>
      <c r="AH116" s="2"/>
      <c r="AI116" s="2"/>
      <c r="AJ116" s="2" t="s">
        <v>48</v>
      </c>
      <c r="AK116" s="2"/>
      <c r="AL116" s="2" t="s">
        <v>49</v>
      </c>
    </row>
    <row r="117" spans="1:38" x14ac:dyDescent="0.25">
      <c r="A117" s="2" t="s">
        <v>277</v>
      </c>
      <c r="B117" s="2"/>
      <c r="C117" s="2" t="s">
        <v>39</v>
      </c>
      <c r="D117" s="3">
        <v>45265</v>
      </c>
      <c r="E117" s="3">
        <v>45265</v>
      </c>
      <c r="F117" s="3">
        <v>45631</v>
      </c>
      <c r="G117" s="2" t="s">
        <v>40</v>
      </c>
      <c r="H117" s="2" t="s">
        <v>278</v>
      </c>
      <c r="I117" s="2">
        <v>4396</v>
      </c>
      <c r="J117" s="2" t="s">
        <v>42</v>
      </c>
      <c r="K117" s="2" t="s">
        <v>43</v>
      </c>
      <c r="L117" s="4">
        <v>0</v>
      </c>
      <c r="M117" s="4">
        <v>3816</v>
      </c>
      <c r="N117" s="4">
        <v>4400</v>
      </c>
      <c r="O117" s="4">
        <v>0</v>
      </c>
      <c r="P117" s="4">
        <v>0</v>
      </c>
      <c r="Q117" s="4">
        <v>4400</v>
      </c>
      <c r="R117" s="2"/>
      <c r="S117" s="2"/>
      <c r="T117" s="2"/>
      <c r="U117" s="2" t="s">
        <v>44</v>
      </c>
      <c r="V117" s="4">
        <v>572</v>
      </c>
      <c r="W117" s="2" t="s">
        <v>45</v>
      </c>
      <c r="X117" s="3">
        <v>45265</v>
      </c>
      <c r="Y117" s="5">
        <v>317</v>
      </c>
      <c r="Z117" s="3" t="s">
        <v>114</v>
      </c>
      <c r="AA117" s="6">
        <v>4400</v>
      </c>
      <c r="AB117" s="6">
        <v>0</v>
      </c>
      <c r="AC117" s="6">
        <v>4400</v>
      </c>
      <c r="AD117" s="6"/>
      <c r="AE117" s="2" t="s">
        <v>47</v>
      </c>
      <c r="AF117" s="2"/>
      <c r="AG117" s="2" t="s">
        <v>47</v>
      </c>
      <c r="AH117" s="2"/>
      <c r="AI117" s="2"/>
      <c r="AJ117" s="2" t="s">
        <v>48</v>
      </c>
      <c r="AK117" s="2"/>
      <c r="AL117" s="2" t="s">
        <v>49</v>
      </c>
    </row>
    <row r="118" spans="1:38" x14ac:dyDescent="0.25">
      <c r="A118" s="2" t="s">
        <v>279</v>
      </c>
      <c r="B118" s="2"/>
      <c r="C118" s="2" t="s">
        <v>39</v>
      </c>
      <c r="D118" s="3">
        <v>45265</v>
      </c>
      <c r="E118" s="3">
        <v>45265</v>
      </c>
      <c r="F118" s="3">
        <v>45448</v>
      </c>
      <c r="G118" s="2" t="s">
        <v>40</v>
      </c>
      <c r="H118" s="2" t="s">
        <v>280</v>
      </c>
      <c r="I118" s="2">
        <v>3027</v>
      </c>
      <c r="J118" s="2" t="s">
        <v>42</v>
      </c>
      <c r="K118" s="2" t="s">
        <v>43</v>
      </c>
      <c r="L118" s="4">
        <v>0</v>
      </c>
      <c r="M118" s="4">
        <v>2610</v>
      </c>
      <c r="N118" s="4">
        <v>3025</v>
      </c>
      <c r="O118" s="4">
        <v>0</v>
      </c>
      <c r="P118" s="4">
        <v>0</v>
      </c>
      <c r="Q118" s="4">
        <v>3025</v>
      </c>
      <c r="R118" s="2"/>
      <c r="S118" s="2"/>
      <c r="T118" s="2"/>
      <c r="U118" s="2" t="s">
        <v>44</v>
      </c>
      <c r="V118" s="4">
        <v>392</v>
      </c>
      <c r="W118" s="2" t="s">
        <v>45</v>
      </c>
      <c r="X118" s="3">
        <v>45265</v>
      </c>
      <c r="Y118" s="5">
        <v>317</v>
      </c>
      <c r="Z118" s="3" t="s">
        <v>114</v>
      </c>
      <c r="AA118" s="6">
        <v>3025</v>
      </c>
      <c r="AB118" s="6">
        <v>0</v>
      </c>
      <c r="AC118" s="6">
        <v>3025</v>
      </c>
      <c r="AD118" s="6"/>
      <c r="AE118" s="2" t="s">
        <v>47</v>
      </c>
      <c r="AF118" s="2"/>
      <c r="AG118" s="2" t="s">
        <v>47</v>
      </c>
      <c r="AH118" s="2"/>
      <c r="AI118" s="2"/>
      <c r="AJ118" s="2" t="s">
        <v>48</v>
      </c>
      <c r="AK118" s="2"/>
      <c r="AL118" s="2" t="s">
        <v>49</v>
      </c>
    </row>
    <row r="119" spans="1:38" x14ac:dyDescent="0.25">
      <c r="A119" s="2" t="s">
        <v>281</v>
      </c>
      <c r="B119" s="2"/>
      <c r="C119" s="2" t="s">
        <v>39</v>
      </c>
      <c r="D119" s="3">
        <v>45266</v>
      </c>
      <c r="E119" s="3">
        <v>45266</v>
      </c>
      <c r="F119" s="3">
        <v>45632</v>
      </c>
      <c r="G119" s="2" t="s">
        <v>40</v>
      </c>
      <c r="H119" s="2" t="s">
        <v>282</v>
      </c>
      <c r="I119" s="2">
        <v>2720</v>
      </c>
      <c r="J119" s="2" t="s">
        <v>42</v>
      </c>
      <c r="K119" s="2" t="s">
        <v>43</v>
      </c>
      <c r="L119" s="4">
        <v>0</v>
      </c>
      <c r="M119" s="4">
        <v>2342</v>
      </c>
      <c r="N119" s="4">
        <v>2719</v>
      </c>
      <c r="O119" s="4">
        <v>0</v>
      </c>
      <c r="P119" s="4">
        <v>0</v>
      </c>
      <c r="Q119" s="4">
        <v>2719</v>
      </c>
      <c r="R119" s="2"/>
      <c r="S119" s="2"/>
      <c r="T119" s="2"/>
      <c r="U119" s="2" t="s">
        <v>44</v>
      </c>
      <c r="V119" s="4">
        <v>351</v>
      </c>
      <c r="W119" s="2" t="s">
        <v>45</v>
      </c>
      <c r="X119" s="3">
        <v>45266</v>
      </c>
      <c r="Y119" s="5">
        <v>316</v>
      </c>
      <c r="Z119" s="3" t="s">
        <v>114</v>
      </c>
      <c r="AA119" s="6">
        <v>2719</v>
      </c>
      <c r="AB119" s="6">
        <v>0</v>
      </c>
      <c r="AC119" s="6">
        <v>2719</v>
      </c>
      <c r="AD119" s="6"/>
      <c r="AE119" s="2" t="s">
        <v>47</v>
      </c>
      <c r="AF119" s="2"/>
      <c r="AG119" s="2" t="s">
        <v>47</v>
      </c>
      <c r="AH119" s="2"/>
      <c r="AI119" s="2"/>
      <c r="AJ119" s="2" t="s">
        <v>48</v>
      </c>
      <c r="AK119" s="2"/>
      <c r="AL119" s="2" t="s">
        <v>49</v>
      </c>
    </row>
    <row r="120" spans="1:38" x14ac:dyDescent="0.25">
      <c r="A120" s="2" t="s">
        <v>283</v>
      </c>
      <c r="B120" s="2"/>
      <c r="C120" s="2" t="s">
        <v>39</v>
      </c>
      <c r="D120" s="3">
        <v>45266</v>
      </c>
      <c r="E120" s="3">
        <v>45266</v>
      </c>
      <c r="F120" s="3">
        <v>45632</v>
      </c>
      <c r="G120" s="2" t="s">
        <v>40</v>
      </c>
      <c r="H120" s="2" t="s">
        <v>284</v>
      </c>
      <c r="I120" s="2">
        <v>2720</v>
      </c>
      <c r="J120" s="2" t="s">
        <v>42</v>
      </c>
      <c r="K120" s="2" t="s">
        <v>43</v>
      </c>
      <c r="L120" s="4">
        <v>0</v>
      </c>
      <c r="M120" s="4">
        <v>2342</v>
      </c>
      <c r="N120" s="4">
        <v>2719</v>
      </c>
      <c r="O120" s="4">
        <v>0</v>
      </c>
      <c r="P120" s="4">
        <v>0</v>
      </c>
      <c r="Q120" s="4">
        <v>2719</v>
      </c>
      <c r="R120" s="2"/>
      <c r="S120" s="2"/>
      <c r="T120" s="2"/>
      <c r="U120" s="2" t="s">
        <v>44</v>
      </c>
      <c r="V120" s="4">
        <v>351</v>
      </c>
      <c r="W120" s="2" t="s">
        <v>45</v>
      </c>
      <c r="X120" s="3">
        <v>45266</v>
      </c>
      <c r="Y120" s="5">
        <v>316</v>
      </c>
      <c r="Z120" s="3" t="s">
        <v>114</v>
      </c>
      <c r="AA120" s="6">
        <v>2719</v>
      </c>
      <c r="AB120" s="6">
        <v>0</v>
      </c>
      <c r="AC120" s="6">
        <v>2719</v>
      </c>
      <c r="AD120" s="6"/>
      <c r="AE120" s="2" t="s">
        <v>47</v>
      </c>
      <c r="AF120" s="2"/>
      <c r="AG120" s="2" t="s">
        <v>47</v>
      </c>
      <c r="AH120" s="2"/>
      <c r="AI120" s="2"/>
      <c r="AJ120" s="2" t="s">
        <v>48</v>
      </c>
      <c r="AK120" s="2"/>
      <c r="AL120" s="2" t="s">
        <v>49</v>
      </c>
    </row>
    <row r="121" spans="1:38" x14ac:dyDescent="0.25">
      <c r="A121" s="2" t="s">
        <v>285</v>
      </c>
      <c r="B121" s="2"/>
      <c r="C121" s="2" t="s">
        <v>39</v>
      </c>
      <c r="D121" s="3">
        <v>45266</v>
      </c>
      <c r="E121" s="3">
        <v>45266</v>
      </c>
      <c r="F121" s="3">
        <v>45632</v>
      </c>
      <c r="G121" s="2" t="s">
        <v>40</v>
      </c>
      <c r="H121" s="2" t="s">
        <v>286</v>
      </c>
      <c r="I121" s="2">
        <v>4396</v>
      </c>
      <c r="J121" s="2" t="s">
        <v>42</v>
      </c>
      <c r="K121" s="2" t="s">
        <v>43</v>
      </c>
      <c r="L121" s="4">
        <v>0</v>
      </c>
      <c r="M121" s="4">
        <v>3816</v>
      </c>
      <c r="N121" s="4">
        <v>4400</v>
      </c>
      <c r="O121" s="4">
        <v>0</v>
      </c>
      <c r="P121" s="4">
        <v>0</v>
      </c>
      <c r="Q121" s="4">
        <v>4400</v>
      </c>
      <c r="R121" s="2"/>
      <c r="S121" s="2"/>
      <c r="T121" s="2"/>
      <c r="U121" s="2" t="s">
        <v>44</v>
      </c>
      <c r="V121" s="4">
        <v>572</v>
      </c>
      <c r="W121" s="2" t="s">
        <v>45</v>
      </c>
      <c r="X121" s="3">
        <v>45266</v>
      </c>
      <c r="Y121" s="5">
        <v>316</v>
      </c>
      <c r="Z121" s="3" t="s">
        <v>114</v>
      </c>
      <c r="AA121" s="6">
        <v>4400</v>
      </c>
      <c r="AB121" s="6">
        <v>0</v>
      </c>
      <c r="AC121" s="6">
        <v>4400</v>
      </c>
      <c r="AD121" s="6"/>
      <c r="AE121" s="2" t="s">
        <v>47</v>
      </c>
      <c r="AF121" s="2"/>
      <c r="AG121" s="2" t="s">
        <v>47</v>
      </c>
      <c r="AH121" s="2"/>
      <c r="AI121" s="2"/>
      <c r="AJ121" s="2" t="s">
        <v>48</v>
      </c>
      <c r="AK121" s="2"/>
      <c r="AL121" s="2" t="s">
        <v>49</v>
      </c>
    </row>
    <row r="122" spans="1:38" x14ac:dyDescent="0.25">
      <c r="A122" s="2" t="s">
        <v>287</v>
      </c>
      <c r="B122" s="2"/>
      <c r="C122" s="2" t="s">
        <v>39</v>
      </c>
      <c r="D122" s="3">
        <v>45267</v>
      </c>
      <c r="E122" s="3">
        <v>45267</v>
      </c>
      <c r="F122" s="3">
        <v>45633</v>
      </c>
      <c r="G122" s="2" t="s">
        <v>40</v>
      </c>
      <c r="H122" s="2" t="s">
        <v>288</v>
      </c>
      <c r="I122" s="2">
        <v>4396</v>
      </c>
      <c r="J122" s="2" t="s">
        <v>42</v>
      </c>
      <c r="K122" s="2" t="s">
        <v>43</v>
      </c>
      <c r="L122" s="4">
        <v>0</v>
      </c>
      <c r="M122" s="4">
        <v>3816</v>
      </c>
      <c r="N122" s="4">
        <v>4400</v>
      </c>
      <c r="O122" s="4">
        <v>0</v>
      </c>
      <c r="P122" s="4">
        <v>0</v>
      </c>
      <c r="Q122" s="4">
        <v>4400</v>
      </c>
      <c r="R122" s="2"/>
      <c r="S122" s="2"/>
      <c r="T122" s="2"/>
      <c r="U122" s="2" t="s">
        <v>44</v>
      </c>
      <c r="V122" s="4">
        <v>572</v>
      </c>
      <c r="W122" s="2" t="s">
        <v>45</v>
      </c>
      <c r="X122" s="3">
        <v>45267</v>
      </c>
      <c r="Y122" s="5">
        <v>315</v>
      </c>
      <c r="Z122" s="3" t="s">
        <v>114</v>
      </c>
      <c r="AA122" s="6">
        <v>4400</v>
      </c>
      <c r="AB122" s="6">
        <v>0</v>
      </c>
      <c r="AC122" s="6">
        <v>4400</v>
      </c>
      <c r="AD122" s="6"/>
      <c r="AE122" s="2" t="s">
        <v>47</v>
      </c>
      <c r="AF122" s="2"/>
      <c r="AG122" s="2" t="s">
        <v>47</v>
      </c>
      <c r="AH122" s="2"/>
      <c r="AI122" s="2"/>
      <c r="AJ122" s="2" t="s">
        <v>48</v>
      </c>
      <c r="AK122" s="2"/>
      <c r="AL122" s="2" t="s">
        <v>49</v>
      </c>
    </row>
    <row r="123" spans="1:38" x14ac:dyDescent="0.25">
      <c r="A123" s="2" t="s">
        <v>289</v>
      </c>
      <c r="B123" s="2"/>
      <c r="C123" s="2" t="s">
        <v>39</v>
      </c>
      <c r="D123" s="3">
        <v>45267</v>
      </c>
      <c r="E123" s="3">
        <v>45267</v>
      </c>
      <c r="F123" s="3">
        <v>45633</v>
      </c>
      <c r="G123" s="2" t="s">
        <v>40</v>
      </c>
      <c r="H123" s="2" t="s">
        <v>290</v>
      </c>
      <c r="I123" s="2">
        <v>4396</v>
      </c>
      <c r="J123" s="2" t="s">
        <v>42</v>
      </c>
      <c r="K123" s="2" t="s">
        <v>43</v>
      </c>
      <c r="L123" s="4">
        <v>0</v>
      </c>
      <c r="M123" s="4">
        <v>3816</v>
      </c>
      <c r="N123" s="4">
        <v>4400</v>
      </c>
      <c r="O123" s="4">
        <v>0</v>
      </c>
      <c r="P123" s="4">
        <v>0</v>
      </c>
      <c r="Q123" s="4">
        <v>4400</v>
      </c>
      <c r="R123" s="2"/>
      <c r="S123" s="2"/>
      <c r="T123" s="2"/>
      <c r="U123" s="2" t="s">
        <v>44</v>
      </c>
      <c r="V123" s="4">
        <v>572</v>
      </c>
      <c r="W123" s="2" t="s">
        <v>45</v>
      </c>
      <c r="X123" s="3">
        <v>45267</v>
      </c>
      <c r="Y123" s="5">
        <v>315</v>
      </c>
      <c r="Z123" s="3" t="s">
        <v>114</v>
      </c>
      <c r="AA123" s="6">
        <v>4400</v>
      </c>
      <c r="AB123" s="6">
        <v>0</v>
      </c>
      <c r="AC123" s="6">
        <v>4400</v>
      </c>
      <c r="AD123" s="6"/>
      <c r="AE123" s="2" t="s">
        <v>47</v>
      </c>
      <c r="AF123" s="2"/>
      <c r="AG123" s="2" t="s">
        <v>47</v>
      </c>
      <c r="AH123" s="2"/>
      <c r="AI123" s="2"/>
      <c r="AJ123" s="2" t="s">
        <v>48</v>
      </c>
      <c r="AK123" s="2"/>
      <c r="AL123" s="2" t="s">
        <v>49</v>
      </c>
    </row>
    <row r="124" spans="1:38" x14ac:dyDescent="0.25">
      <c r="A124" s="2" t="s">
        <v>291</v>
      </c>
      <c r="B124" s="2"/>
      <c r="C124" s="2" t="s">
        <v>39</v>
      </c>
      <c r="D124" s="3">
        <v>45268</v>
      </c>
      <c r="E124" s="3">
        <v>45268</v>
      </c>
      <c r="F124" s="3">
        <v>45634</v>
      </c>
      <c r="G124" s="2" t="s">
        <v>40</v>
      </c>
      <c r="H124" s="2" t="s">
        <v>292</v>
      </c>
      <c r="I124" s="2">
        <v>4396</v>
      </c>
      <c r="J124" s="2" t="s">
        <v>42</v>
      </c>
      <c r="K124" s="2" t="s">
        <v>43</v>
      </c>
      <c r="L124" s="4">
        <v>0</v>
      </c>
      <c r="M124" s="4">
        <v>3816</v>
      </c>
      <c r="N124" s="4">
        <v>4400</v>
      </c>
      <c r="O124" s="4">
        <v>0</v>
      </c>
      <c r="P124" s="4">
        <v>0</v>
      </c>
      <c r="Q124" s="4">
        <v>4400</v>
      </c>
      <c r="R124" s="2"/>
      <c r="S124" s="2"/>
      <c r="T124" s="2"/>
      <c r="U124" s="2" t="s">
        <v>44</v>
      </c>
      <c r="V124" s="4">
        <v>572</v>
      </c>
      <c r="W124" s="2" t="s">
        <v>45</v>
      </c>
      <c r="X124" s="3">
        <v>45268</v>
      </c>
      <c r="Y124" s="5">
        <v>314</v>
      </c>
      <c r="Z124" s="3" t="s">
        <v>114</v>
      </c>
      <c r="AA124" s="6">
        <v>4400</v>
      </c>
      <c r="AB124" s="6">
        <v>0</v>
      </c>
      <c r="AC124" s="6">
        <v>4400</v>
      </c>
      <c r="AD124" s="6"/>
      <c r="AE124" s="2" t="s">
        <v>47</v>
      </c>
      <c r="AF124" s="2"/>
      <c r="AG124" s="2" t="s">
        <v>47</v>
      </c>
      <c r="AH124" s="2"/>
      <c r="AI124" s="2"/>
      <c r="AJ124" s="2" t="s">
        <v>48</v>
      </c>
      <c r="AK124" s="2"/>
      <c r="AL124" s="2" t="s">
        <v>49</v>
      </c>
    </row>
    <row r="125" spans="1:38" x14ac:dyDescent="0.25">
      <c r="A125" s="2" t="s">
        <v>293</v>
      </c>
      <c r="B125" s="2"/>
      <c r="C125" s="2" t="s">
        <v>39</v>
      </c>
      <c r="D125" s="3">
        <v>45338</v>
      </c>
      <c r="E125" s="3">
        <v>45338</v>
      </c>
      <c r="F125" s="3">
        <v>45704</v>
      </c>
      <c r="G125" s="2" t="s">
        <v>40</v>
      </c>
      <c r="H125" s="2" t="s">
        <v>188</v>
      </c>
      <c r="I125" s="2">
        <v>4396</v>
      </c>
      <c r="J125" s="2" t="s">
        <v>42</v>
      </c>
      <c r="K125" s="2" t="s">
        <v>43</v>
      </c>
      <c r="L125" s="4">
        <v>0</v>
      </c>
      <c r="M125" s="4">
        <v>3816</v>
      </c>
      <c r="N125" s="4">
        <v>4400</v>
      </c>
      <c r="O125" s="4">
        <v>0</v>
      </c>
      <c r="P125" s="4">
        <v>0</v>
      </c>
      <c r="Q125" s="4">
        <v>4400</v>
      </c>
      <c r="R125" s="2"/>
      <c r="S125" s="2"/>
      <c r="T125" s="2"/>
      <c r="U125" s="2" t="s">
        <v>44</v>
      </c>
      <c r="V125" s="4">
        <v>572</v>
      </c>
      <c r="W125" s="2" t="s">
        <v>45</v>
      </c>
      <c r="X125" s="3">
        <v>45338</v>
      </c>
      <c r="Y125" s="5">
        <v>244</v>
      </c>
      <c r="Z125" s="3" t="s">
        <v>114</v>
      </c>
      <c r="AA125" s="6">
        <v>4400</v>
      </c>
      <c r="AB125" s="6">
        <v>0</v>
      </c>
      <c r="AC125" s="6">
        <v>4400</v>
      </c>
      <c r="AD125" s="6"/>
      <c r="AE125" s="2" t="s">
        <v>47</v>
      </c>
      <c r="AF125" s="2"/>
      <c r="AG125" s="2" t="s">
        <v>47</v>
      </c>
      <c r="AH125" s="2"/>
      <c r="AI125" s="2"/>
      <c r="AJ125" s="2" t="s">
        <v>48</v>
      </c>
      <c r="AK125" s="2"/>
      <c r="AL125" s="2" t="s">
        <v>49</v>
      </c>
    </row>
    <row r="126" spans="1:38" x14ac:dyDescent="0.25">
      <c r="A126" s="2" t="s">
        <v>294</v>
      </c>
      <c r="B126" s="2"/>
      <c r="C126" s="2" t="s">
        <v>39</v>
      </c>
      <c r="D126" s="3">
        <v>45338</v>
      </c>
      <c r="E126" s="3">
        <v>45338</v>
      </c>
      <c r="F126" s="3">
        <v>45704</v>
      </c>
      <c r="G126" s="2" t="s">
        <v>40</v>
      </c>
      <c r="H126" s="2" t="s">
        <v>203</v>
      </c>
      <c r="I126" s="2">
        <v>4396</v>
      </c>
      <c r="J126" s="2" t="s">
        <v>42</v>
      </c>
      <c r="K126" s="2" t="s">
        <v>43</v>
      </c>
      <c r="L126" s="4">
        <v>0</v>
      </c>
      <c r="M126" s="4">
        <v>3816</v>
      </c>
      <c r="N126" s="4">
        <v>4400</v>
      </c>
      <c r="O126" s="4">
        <v>0</v>
      </c>
      <c r="P126" s="4">
        <v>0</v>
      </c>
      <c r="Q126" s="4">
        <v>4400</v>
      </c>
      <c r="R126" s="2"/>
      <c r="S126" s="2"/>
      <c r="T126" s="2"/>
      <c r="U126" s="2" t="s">
        <v>44</v>
      </c>
      <c r="V126" s="4">
        <v>572</v>
      </c>
      <c r="W126" s="2" t="s">
        <v>45</v>
      </c>
      <c r="X126" s="3">
        <v>45338</v>
      </c>
      <c r="Y126" s="5">
        <v>244</v>
      </c>
      <c r="Z126" s="3" t="s">
        <v>114</v>
      </c>
      <c r="AA126" s="6">
        <v>4400</v>
      </c>
      <c r="AB126" s="6">
        <v>0</v>
      </c>
      <c r="AC126" s="6">
        <v>4400</v>
      </c>
      <c r="AD126" s="6"/>
      <c r="AE126" s="2" t="s">
        <v>47</v>
      </c>
      <c r="AF126" s="2"/>
      <c r="AG126" s="2" t="s">
        <v>47</v>
      </c>
      <c r="AH126" s="2"/>
      <c r="AI126" s="2"/>
      <c r="AJ126" s="2" t="s">
        <v>48</v>
      </c>
      <c r="AK126" s="2"/>
      <c r="AL126" s="2" t="s">
        <v>49</v>
      </c>
    </row>
    <row r="127" spans="1:38" x14ac:dyDescent="0.25">
      <c r="A127" s="2" t="s">
        <v>295</v>
      </c>
      <c r="B127" s="2"/>
      <c r="C127" s="2" t="s">
        <v>39</v>
      </c>
      <c r="D127" s="3">
        <v>45338</v>
      </c>
      <c r="E127" s="3">
        <v>45338</v>
      </c>
      <c r="F127" s="3">
        <v>45704</v>
      </c>
      <c r="G127" s="2" t="s">
        <v>40</v>
      </c>
      <c r="H127" s="2" t="s">
        <v>296</v>
      </c>
      <c r="I127" s="2">
        <v>2720</v>
      </c>
      <c r="J127" s="2" t="s">
        <v>42</v>
      </c>
      <c r="K127" s="2" t="s">
        <v>43</v>
      </c>
      <c r="L127" s="4">
        <v>0</v>
      </c>
      <c r="M127" s="4">
        <v>2342</v>
      </c>
      <c r="N127" s="4">
        <v>2719</v>
      </c>
      <c r="O127" s="4">
        <v>0</v>
      </c>
      <c r="P127" s="4">
        <v>0</v>
      </c>
      <c r="Q127" s="4">
        <v>2719</v>
      </c>
      <c r="R127" s="2"/>
      <c r="S127" s="2"/>
      <c r="T127" s="2"/>
      <c r="U127" s="2" t="s">
        <v>44</v>
      </c>
      <c r="V127" s="4">
        <v>351</v>
      </c>
      <c r="W127" s="2" t="s">
        <v>45</v>
      </c>
      <c r="X127" s="3">
        <v>45338</v>
      </c>
      <c r="Y127" s="5">
        <v>244</v>
      </c>
      <c r="Z127" s="3" t="s">
        <v>114</v>
      </c>
      <c r="AA127" s="6">
        <v>2719</v>
      </c>
      <c r="AB127" s="6">
        <v>0</v>
      </c>
      <c r="AC127" s="6">
        <v>2719</v>
      </c>
      <c r="AD127" s="6"/>
      <c r="AE127" s="2" t="s">
        <v>47</v>
      </c>
      <c r="AF127" s="2"/>
      <c r="AG127" s="2" t="s">
        <v>47</v>
      </c>
      <c r="AH127" s="2"/>
      <c r="AI127" s="2"/>
      <c r="AJ127" s="2" t="s">
        <v>48</v>
      </c>
      <c r="AK127" s="2"/>
      <c r="AL127" s="2" t="s">
        <v>49</v>
      </c>
    </row>
    <row r="128" spans="1:38" x14ac:dyDescent="0.25">
      <c r="A128" s="2" t="s">
        <v>297</v>
      </c>
      <c r="B128" s="2"/>
      <c r="C128" s="2" t="s">
        <v>39</v>
      </c>
      <c r="D128" s="3">
        <v>45338</v>
      </c>
      <c r="E128" s="3">
        <v>45338</v>
      </c>
      <c r="F128" s="3">
        <v>45704</v>
      </c>
      <c r="G128" s="2" t="s">
        <v>40</v>
      </c>
      <c r="H128" s="2" t="s">
        <v>298</v>
      </c>
      <c r="I128" s="2">
        <v>4400</v>
      </c>
      <c r="J128" s="2" t="s">
        <v>42</v>
      </c>
      <c r="K128" s="2" t="s">
        <v>43</v>
      </c>
      <c r="L128" s="4">
        <v>0</v>
      </c>
      <c r="M128" s="4">
        <v>3816</v>
      </c>
      <c r="N128" s="4">
        <v>4400</v>
      </c>
      <c r="O128" s="4">
        <v>0</v>
      </c>
      <c r="P128" s="4">
        <v>0</v>
      </c>
      <c r="Q128" s="4">
        <v>4400</v>
      </c>
      <c r="R128" s="2"/>
      <c r="S128" s="2"/>
      <c r="T128" s="2"/>
      <c r="U128" s="2" t="s">
        <v>44</v>
      </c>
      <c r="V128" s="4">
        <v>572</v>
      </c>
      <c r="W128" s="2" t="s">
        <v>45</v>
      </c>
      <c r="X128" s="3">
        <v>45338</v>
      </c>
      <c r="Y128" s="5">
        <v>244</v>
      </c>
      <c r="Z128" s="3" t="s">
        <v>114</v>
      </c>
      <c r="AA128" s="6">
        <v>4400</v>
      </c>
      <c r="AB128" s="6">
        <v>0</v>
      </c>
      <c r="AC128" s="6">
        <v>4400</v>
      </c>
      <c r="AD128" s="6"/>
      <c r="AE128" s="2" t="s">
        <v>47</v>
      </c>
      <c r="AF128" s="2"/>
      <c r="AG128" s="2" t="s">
        <v>47</v>
      </c>
      <c r="AH128" s="2"/>
      <c r="AI128" s="2"/>
      <c r="AJ128" s="2" t="s">
        <v>48</v>
      </c>
      <c r="AK128" s="2"/>
      <c r="AL128" s="2" t="s">
        <v>49</v>
      </c>
    </row>
    <row r="129" spans="1:38" x14ac:dyDescent="0.25">
      <c r="A129" s="2" t="s">
        <v>299</v>
      </c>
      <c r="B129" s="2"/>
      <c r="C129" s="2" t="s">
        <v>39</v>
      </c>
      <c r="D129" s="3">
        <v>45338</v>
      </c>
      <c r="E129" s="3">
        <v>45338</v>
      </c>
      <c r="F129" s="3">
        <v>45704</v>
      </c>
      <c r="G129" s="2" t="s">
        <v>40</v>
      </c>
      <c r="H129" s="2" t="s">
        <v>300</v>
      </c>
      <c r="I129" s="2">
        <v>4400</v>
      </c>
      <c r="J129" s="2" t="s">
        <v>42</v>
      </c>
      <c r="K129" s="2" t="s">
        <v>43</v>
      </c>
      <c r="L129" s="4">
        <v>0</v>
      </c>
      <c r="M129" s="4">
        <v>3816</v>
      </c>
      <c r="N129" s="4">
        <v>4400</v>
      </c>
      <c r="O129" s="4">
        <v>0</v>
      </c>
      <c r="P129" s="4">
        <v>0</v>
      </c>
      <c r="Q129" s="4">
        <v>4400</v>
      </c>
      <c r="R129" s="2"/>
      <c r="S129" s="2"/>
      <c r="T129" s="2"/>
      <c r="U129" s="2" t="s">
        <v>44</v>
      </c>
      <c r="V129" s="4">
        <v>572</v>
      </c>
      <c r="W129" s="2" t="s">
        <v>45</v>
      </c>
      <c r="X129" s="3">
        <v>45338</v>
      </c>
      <c r="Y129" s="5">
        <v>244</v>
      </c>
      <c r="Z129" s="3" t="s">
        <v>114</v>
      </c>
      <c r="AA129" s="6">
        <v>4400</v>
      </c>
      <c r="AB129" s="6">
        <v>0</v>
      </c>
      <c r="AC129" s="6">
        <v>4400</v>
      </c>
      <c r="AD129" s="6"/>
      <c r="AE129" s="2" t="s">
        <v>47</v>
      </c>
      <c r="AF129" s="2"/>
      <c r="AG129" s="2" t="s">
        <v>47</v>
      </c>
      <c r="AH129" s="2"/>
      <c r="AI129" s="2"/>
      <c r="AJ129" s="2" t="s">
        <v>48</v>
      </c>
      <c r="AK129" s="2"/>
      <c r="AL129" s="2" t="s">
        <v>49</v>
      </c>
    </row>
    <row r="130" spans="1:38" x14ac:dyDescent="0.25">
      <c r="A130" s="2" t="s">
        <v>301</v>
      </c>
      <c r="B130" s="2"/>
      <c r="C130" s="2" t="s">
        <v>39</v>
      </c>
      <c r="D130" s="3">
        <v>45338</v>
      </c>
      <c r="E130" s="3">
        <v>45338</v>
      </c>
      <c r="F130" s="3">
        <v>45704</v>
      </c>
      <c r="G130" s="2" t="s">
        <v>40</v>
      </c>
      <c r="H130" s="2" t="s">
        <v>302</v>
      </c>
      <c r="I130" s="2">
        <v>2030</v>
      </c>
      <c r="J130" s="2" t="s">
        <v>42</v>
      </c>
      <c r="K130" s="2" t="s">
        <v>43</v>
      </c>
      <c r="L130" s="4">
        <v>0</v>
      </c>
      <c r="M130" s="4">
        <v>1737</v>
      </c>
      <c r="N130" s="4">
        <v>2030</v>
      </c>
      <c r="O130" s="4">
        <v>0</v>
      </c>
      <c r="P130" s="4">
        <v>0</v>
      </c>
      <c r="Q130" s="4">
        <v>2030</v>
      </c>
      <c r="R130" s="2"/>
      <c r="S130" s="2"/>
      <c r="T130" s="2"/>
      <c r="U130" s="2" t="s">
        <v>44</v>
      </c>
      <c r="V130" s="4">
        <v>261</v>
      </c>
      <c r="W130" s="2" t="s">
        <v>45</v>
      </c>
      <c r="X130" s="3">
        <v>45338</v>
      </c>
      <c r="Y130" s="5">
        <v>244</v>
      </c>
      <c r="Z130" s="3" t="s">
        <v>114</v>
      </c>
      <c r="AA130" s="6">
        <v>2030</v>
      </c>
      <c r="AB130" s="6">
        <v>0</v>
      </c>
      <c r="AC130" s="6">
        <v>2030</v>
      </c>
      <c r="AD130" s="6"/>
      <c r="AE130" s="2" t="s">
        <v>47</v>
      </c>
      <c r="AF130" s="2"/>
      <c r="AG130" s="2" t="s">
        <v>47</v>
      </c>
      <c r="AH130" s="2"/>
      <c r="AI130" s="2"/>
      <c r="AJ130" s="2" t="s">
        <v>48</v>
      </c>
      <c r="AK130" s="2"/>
      <c r="AL130" s="2" t="s">
        <v>49</v>
      </c>
    </row>
    <row r="131" spans="1:38" x14ac:dyDescent="0.25">
      <c r="A131" s="2" t="s">
        <v>303</v>
      </c>
      <c r="B131" s="2"/>
      <c r="C131" s="2" t="s">
        <v>39</v>
      </c>
      <c r="D131" s="3">
        <v>45338</v>
      </c>
      <c r="E131" s="3">
        <v>45338</v>
      </c>
      <c r="F131" s="3">
        <v>45704</v>
      </c>
      <c r="G131" s="2" t="s">
        <v>40</v>
      </c>
      <c r="H131" s="2" t="s">
        <v>304</v>
      </c>
      <c r="I131" s="2">
        <v>4396</v>
      </c>
      <c r="J131" s="2" t="s">
        <v>42</v>
      </c>
      <c r="K131" s="2" t="s">
        <v>43</v>
      </c>
      <c r="L131" s="4">
        <v>0</v>
      </c>
      <c r="M131" s="4">
        <v>3816</v>
      </c>
      <c r="N131" s="4">
        <v>4400</v>
      </c>
      <c r="O131" s="4">
        <v>0</v>
      </c>
      <c r="P131" s="4">
        <v>0</v>
      </c>
      <c r="Q131" s="4">
        <v>4400</v>
      </c>
      <c r="R131" s="2"/>
      <c r="S131" s="2"/>
      <c r="T131" s="2"/>
      <c r="U131" s="2" t="s">
        <v>44</v>
      </c>
      <c r="V131" s="4">
        <v>572</v>
      </c>
      <c r="W131" s="2" t="s">
        <v>45</v>
      </c>
      <c r="X131" s="3">
        <v>45338</v>
      </c>
      <c r="Y131" s="5">
        <v>244</v>
      </c>
      <c r="Z131" s="3" t="s">
        <v>114</v>
      </c>
      <c r="AA131" s="6">
        <v>4400</v>
      </c>
      <c r="AB131" s="6">
        <v>0</v>
      </c>
      <c r="AC131" s="6">
        <v>4400</v>
      </c>
      <c r="AD131" s="6"/>
      <c r="AE131" s="2" t="s">
        <v>47</v>
      </c>
      <c r="AF131" s="2"/>
      <c r="AG131" s="2" t="s">
        <v>47</v>
      </c>
      <c r="AH131" s="2"/>
      <c r="AI131" s="2"/>
      <c r="AJ131" s="2" t="s">
        <v>48</v>
      </c>
      <c r="AK131" s="2"/>
      <c r="AL131" s="2" t="s">
        <v>49</v>
      </c>
    </row>
    <row r="132" spans="1:38" x14ac:dyDescent="0.25">
      <c r="A132" s="2" t="s">
        <v>305</v>
      </c>
      <c r="B132" s="2"/>
      <c r="C132" s="2" t="s">
        <v>39</v>
      </c>
      <c r="D132" s="3">
        <v>45338</v>
      </c>
      <c r="E132" s="3">
        <v>45338</v>
      </c>
      <c r="F132" s="3">
        <v>45704</v>
      </c>
      <c r="G132" s="2" t="s">
        <v>40</v>
      </c>
      <c r="H132" s="2" t="s">
        <v>306</v>
      </c>
      <c r="I132" s="2">
        <v>4396</v>
      </c>
      <c r="J132" s="2" t="s">
        <v>42</v>
      </c>
      <c r="K132" s="2" t="s">
        <v>43</v>
      </c>
      <c r="L132" s="4">
        <v>0</v>
      </c>
      <c r="M132" s="4">
        <v>3816</v>
      </c>
      <c r="N132" s="4">
        <v>4400</v>
      </c>
      <c r="O132" s="4">
        <v>0</v>
      </c>
      <c r="P132" s="4">
        <v>0</v>
      </c>
      <c r="Q132" s="4">
        <v>4400</v>
      </c>
      <c r="R132" s="2"/>
      <c r="S132" s="2"/>
      <c r="T132" s="2"/>
      <c r="U132" s="2" t="s">
        <v>44</v>
      </c>
      <c r="V132" s="4">
        <v>572</v>
      </c>
      <c r="W132" s="2" t="s">
        <v>45</v>
      </c>
      <c r="X132" s="3">
        <v>45338</v>
      </c>
      <c r="Y132" s="5">
        <v>244</v>
      </c>
      <c r="Z132" s="3" t="s">
        <v>114</v>
      </c>
      <c r="AA132" s="6">
        <v>4400</v>
      </c>
      <c r="AB132" s="6">
        <v>0</v>
      </c>
      <c r="AC132" s="6">
        <v>4400</v>
      </c>
      <c r="AD132" s="6"/>
      <c r="AE132" s="2" t="s">
        <v>47</v>
      </c>
      <c r="AF132" s="2"/>
      <c r="AG132" s="2" t="s">
        <v>47</v>
      </c>
      <c r="AH132" s="2"/>
      <c r="AI132" s="2"/>
      <c r="AJ132" s="2" t="s">
        <v>48</v>
      </c>
      <c r="AK132" s="2"/>
      <c r="AL132" s="2" t="s">
        <v>49</v>
      </c>
    </row>
    <row r="133" spans="1:38" x14ac:dyDescent="0.25">
      <c r="A133" s="2" t="s">
        <v>307</v>
      </c>
      <c r="B133" s="2"/>
      <c r="C133" s="2" t="s">
        <v>39</v>
      </c>
      <c r="D133" s="3">
        <v>45338</v>
      </c>
      <c r="E133" s="3">
        <v>45338</v>
      </c>
      <c r="F133" s="3">
        <v>45704</v>
      </c>
      <c r="G133" s="2" t="s">
        <v>40</v>
      </c>
      <c r="H133" s="2" t="s">
        <v>308</v>
      </c>
      <c r="I133" s="2">
        <v>2840</v>
      </c>
      <c r="J133" s="2" t="s">
        <v>42</v>
      </c>
      <c r="K133" s="2" t="s">
        <v>43</v>
      </c>
      <c r="L133" s="4">
        <v>0</v>
      </c>
      <c r="M133" s="4">
        <v>2447</v>
      </c>
      <c r="N133" s="4">
        <v>2839</v>
      </c>
      <c r="O133" s="4">
        <v>0</v>
      </c>
      <c r="P133" s="4">
        <v>0</v>
      </c>
      <c r="Q133" s="4">
        <v>2839</v>
      </c>
      <c r="R133" s="2"/>
      <c r="S133" s="2"/>
      <c r="T133" s="2"/>
      <c r="U133" s="2" t="s">
        <v>44</v>
      </c>
      <c r="V133" s="4">
        <v>367</v>
      </c>
      <c r="W133" s="2" t="s">
        <v>45</v>
      </c>
      <c r="X133" s="3">
        <v>45338</v>
      </c>
      <c r="Y133" s="5">
        <v>244</v>
      </c>
      <c r="Z133" s="3" t="s">
        <v>114</v>
      </c>
      <c r="AA133" s="6">
        <v>2839</v>
      </c>
      <c r="AB133" s="6">
        <v>0</v>
      </c>
      <c r="AC133" s="6">
        <v>2839</v>
      </c>
      <c r="AD133" s="6"/>
      <c r="AE133" s="2" t="s">
        <v>47</v>
      </c>
      <c r="AF133" s="2"/>
      <c r="AG133" s="2" t="s">
        <v>47</v>
      </c>
      <c r="AH133" s="2"/>
      <c r="AI133" s="2"/>
      <c r="AJ133" s="2" t="s">
        <v>48</v>
      </c>
      <c r="AK133" s="2"/>
      <c r="AL133" s="2" t="s">
        <v>49</v>
      </c>
    </row>
    <row r="134" spans="1:38" x14ac:dyDescent="0.25">
      <c r="A134" s="2" t="s">
        <v>309</v>
      </c>
      <c r="B134" s="2"/>
      <c r="C134" s="2" t="s">
        <v>39</v>
      </c>
      <c r="D134" s="3">
        <v>45338</v>
      </c>
      <c r="E134" s="3">
        <v>45338</v>
      </c>
      <c r="F134" s="3">
        <v>45704</v>
      </c>
      <c r="G134" s="2" t="s">
        <v>40</v>
      </c>
      <c r="H134" s="2" t="s">
        <v>310</v>
      </c>
      <c r="I134" s="2">
        <v>4396</v>
      </c>
      <c r="J134" s="2" t="s">
        <v>42</v>
      </c>
      <c r="K134" s="2" t="s">
        <v>43</v>
      </c>
      <c r="L134" s="4">
        <v>0</v>
      </c>
      <c r="M134" s="4">
        <v>3816</v>
      </c>
      <c r="N134" s="4">
        <v>4400</v>
      </c>
      <c r="O134" s="4">
        <v>0</v>
      </c>
      <c r="P134" s="4">
        <v>0</v>
      </c>
      <c r="Q134" s="4">
        <v>4400</v>
      </c>
      <c r="R134" s="2"/>
      <c r="S134" s="2"/>
      <c r="T134" s="2"/>
      <c r="U134" s="2" t="s">
        <v>44</v>
      </c>
      <c r="V134" s="4">
        <v>572</v>
      </c>
      <c r="W134" s="2" t="s">
        <v>45</v>
      </c>
      <c r="X134" s="3">
        <v>45338</v>
      </c>
      <c r="Y134" s="5">
        <v>244</v>
      </c>
      <c r="Z134" s="3" t="s">
        <v>114</v>
      </c>
      <c r="AA134" s="6">
        <v>4400</v>
      </c>
      <c r="AB134" s="6">
        <v>0</v>
      </c>
      <c r="AC134" s="6">
        <v>4400</v>
      </c>
      <c r="AD134" s="6"/>
      <c r="AE134" s="2" t="s">
        <v>47</v>
      </c>
      <c r="AF134" s="2"/>
      <c r="AG134" s="2" t="s">
        <v>47</v>
      </c>
      <c r="AH134" s="2"/>
      <c r="AI134" s="2"/>
      <c r="AJ134" s="2" t="s">
        <v>48</v>
      </c>
      <c r="AK134" s="2"/>
      <c r="AL134" s="2" t="s">
        <v>49</v>
      </c>
    </row>
    <row r="135" spans="1:38" x14ac:dyDescent="0.25">
      <c r="A135" s="2" t="s">
        <v>311</v>
      </c>
      <c r="B135" s="2"/>
      <c r="C135" s="2" t="s">
        <v>39</v>
      </c>
      <c r="D135" s="3">
        <v>45338</v>
      </c>
      <c r="E135" s="3">
        <v>45338</v>
      </c>
      <c r="F135" s="3">
        <v>45704</v>
      </c>
      <c r="G135" s="2" t="s">
        <v>40</v>
      </c>
      <c r="H135" s="2" t="s">
        <v>312</v>
      </c>
      <c r="I135" s="2">
        <v>4396</v>
      </c>
      <c r="J135" s="2" t="s">
        <v>42</v>
      </c>
      <c r="K135" s="2" t="s">
        <v>43</v>
      </c>
      <c r="L135" s="4">
        <v>0</v>
      </c>
      <c r="M135" s="4">
        <v>3816</v>
      </c>
      <c r="N135" s="4">
        <v>4400</v>
      </c>
      <c r="O135" s="4">
        <v>0</v>
      </c>
      <c r="P135" s="4">
        <v>0</v>
      </c>
      <c r="Q135" s="4">
        <v>4400</v>
      </c>
      <c r="R135" s="2"/>
      <c r="S135" s="2"/>
      <c r="T135" s="2"/>
      <c r="U135" s="2" t="s">
        <v>44</v>
      </c>
      <c r="V135" s="4">
        <v>572</v>
      </c>
      <c r="W135" s="2" t="s">
        <v>45</v>
      </c>
      <c r="X135" s="3">
        <v>45338</v>
      </c>
      <c r="Y135" s="5">
        <v>244</v>
      </c>
      <c r="Z135" s="3" t="s">
        <v>114</v>
      </c>
      <c r="AA135" s="6">
        <v>4400</v>
      </c>
      <c r="AB135" s="6">
        <v>0</v>
      </c>
      <c r="AC135" s="6">
        <v>4400</v>
      </c>
      <c r="AD135" s="6"/>
      <c r="AE135" s="2" t="s">
        <v>47</v>
      </c>
      <c r="AF135" s="2"/>
      <c r="AG135" s="2" t="s">
        <v>47</v>
      </c>
      <c r="AH135" s="2"/>
      <c r="AI135" s="2"/>
      <c r="AJ135" s="2" t="s">
        <v>48</v>
      </c>
      <c r="AK135" s="2"/>
      <c r="AL135" s="2" t="s">
        <v>49</v>
      </c>
    </row>
    <row r="136" spans="1:38" x14ac:dyDescent="0.25">
      <c r="A136" s="2" t="s">
        <v>313</v>
      </c>
      <c r="B136" s="2"/>
      <c r="C136" s="2" t="s">
        <v>39</v>
      </c>
      <c r="D136" s="3">
        <v>45338</v>
      </c>
      <c r="E136" s="3">
        <v>45338</v>
      </c>
      <c r="F136" s="3">
        <v>45704</v>
      </c>
      <c r="G136" s="2" t="s">
        <v>40</v>
      </c>
      <c r="H136" s="2" t="s">
        <v>314</v>
      </c>
      <c r="I136" s="2">
        <v>2720</v>
      </c>
      <c r="J136" s="2" t="s">
        <v>42</v>
      </c>
      <c r="K136" s="2" t="s">
        <v>43</v>
      </c>
      <c r="L136" s="4">
        <v>0</v>
      </c>
      <c r="M136" s="4">
        <v>2342</v>
      </c>
      <c r="N136" s="4">
        <v>2719</v>
      </c>
      <c r="O136" s="4">
        <v>0</v>
      </c>
      <c r="P136" s="4">
        <v>0</v>
      </c>
      <c r="Q136" s="4">
        <v>2719</v>
      </c>
      <c r="R136" s="2"/>
      <c r="S136" s="2"/>
      <c r="T136" s="2"/>
      <c r="U136" s="2" t="s">
        <v>44</v>
      </c>
      <c r="V136" s="4">
        <v>351</v>
      </c>
      <c r="W136" s="2" t="s">
        <v>45</v>
      </c>
      <c r="X136" s="3">
        <v>45338</v>
      </c>
      <c r="Y136" s="5">
        <v>244</v>
      </c>
      <c r="Z136" s="3" t="s">
        <v>114</v>
      </c>
      <c r="AA136" s="6">
        <v>2719</v>
      </c>
      <c r="AB136" s="6">
        <v>0</v>
      </c>
      <c r="AC136" s="6">
        <v>2719</v>
      </c>
      <c r="AD136" s="6"/>
      <c r="AE136" s="2" t="s">
        <v>47</v>
      </c>
      <c r="AF136" s="2"/>
      <c r="AG136" s="2" t="s">
        <v>47</v>
      </c>
      <c r="AH136" s="2"/>
      <c r="AI136" s="2"/>
      <c r="AJ136" s="2" t="s">
        <v>48</v>
      </c>
      <c r="AK136" s="2"/>
      <c r="AL136" s="2" t="s">
        <v>49</v>
      </c>
    </row>
    <row r="137" spans="1:38" x14ac:dyDescent="0.25">
      <c r="A137" s="2" t="s">
        <v>315</v>
      </c>
      <c r="B137" s="2"/>
      <c r="C137" s="2" t="s">
        <v>39</v>
      </c>
      <c r="D137" s="3">
        <v>45338</v>
      </c>
      <c r="E137" s="3">
        <v>45338</v>
      </c>
      <c r="F137" s="3">
        <v>45704</v>
      </c>
      <c r="G137" s="2" t="s">
        <v>40</v>
      </c>
      <c r="H137" s="2" t="s">
        <v>188</v>
      </c>
      <c r="I137" s="2">
        <v>4396</v>
      </c>
      <c r="J137" s="2" t="s">
        <v>42</v>
      </c>
      <c r="K137" s="2" t="s">
        <v>43</v>
      </c>
      <c r="L137" s="4">
        <v>0</v>
      </c>
      <c r="M137" s="4">
        <v>3816</v>
      </c>
      <c r="N137" s="4">
        <v>4400</v>
      </c>
      <c r="O137" s="4">
        <v>0</v>
      </c>
      <c r="P137" s="4">
        <v>0</v>
      </c>
      <c r="Q137" s="4">
        <v>4400</v>
      </c>
      <c r="R137" s="2"/>
      <c r="S137" s="2"/>
      <c r="T137" s="2"/>
      <c r="U137" s="2" t="s">
        <v>44</v>
      </c>
      <c r="V137" s="4">
        <v>572</v>
      </c>
      <c r="W137" s="2" t="s">
        <v>45</v>
      </c>
      <c r="X137" s="3">
        <v>45338</v>
      </c>
      <c r="Y137" s="5">
        <v>244</v>
      </c>
      <c r="Z137" s="3" t="s">
        <v>114</v>
      </c>
      <c r="AA137" s="6">
        <v>4400</v>
      </c>
      <c r="AB137" s="6">
        <v>0</v>
      </c>
      <c r="AC137" s="6">
        <v>4400</v>
      </c>
      <c r="AD137" s="6"/>
      <c r="AE137" s="2" t="s">
        <v>47</v>
      </c>
      <c r="AF137" s="2"/>
      <c r="AG137" s="2" t="s">
        <v>47</v>
      </c>
      <c r="AH137" s="2"/>
      <c r="AI137" s="2"/>
      <c r="AJ137" s="2" t="s">
        <v>48</v>
      </c>
      <c r="AK137" s="2"/>
      <c r="AL137" s="2" t="s">
        <v>49</v>
      </c>
    </row>
    <row r="138" spans="1:38" x14ac:dyDescent="0.25">
      <c r="A138" s="2" t="s">
        <v>316</v>
      </c>
      <c r="B138" s="2"/>
      <c r="C138" s="2" t="s">
        <v>39</v>
      </c>
      <c r="D138" s="3">
        <v>45338</v>
      </c>
      <c r="E138" s="3">
        <v>45338</v>
      </c>
      <c r="F138" s="3">
        <v>45704</v>
      </c>
      <c r="G138" s="2" t="s">
        <v>40</v>
      </c>
      <c r="H138" s="2" t="s">
        <v>317</v>
      </c>
      <c r="I138" s="2">
        <v>4396</v>
      </c>
      <c r="J138" s="2" t="s">
        <v>42</v>
      </c>
      <c r="K138" s="2" t="s">
        <v>43</v>
      </c>
      <c r="L138" s="4">
        <v>0</v>
      </c>
      <c r="M138" s="4">
        <v>3816</v>
      </c>
      <c r="N138" s="4">
        <v>4400</v>
      </c>
      <c r="O138" s="4">
        <v>0</v>
      </c>
      <c r="P138" s="4">
        <v>0</v>
      </c>
      <c r="Q138" s="4">
        <v>4400</v>
      </c>
      <c r="R138" s="2"/>
      <c r="S138" s="2"/>
      <c r="T138" s="2"/>
      <c r="U138" s="2" t="s">
        <v>44</v>
      </c>
      <c r="V138" s="4">
        <v>572</v>
      </c>
      <c r="W138" s="2" t="s">
        <v>45</v>
      </c>
      <c r="X138" s="3">
        <v>45338</v>
      </c>
      <c r="Y138" s="5">
        <v>244</v>
      </c>
      <c r="Z138" s="3" t="s">
        <v>114</v>
      </c>
      <c r="AA138" s="6">
        <v>4400</v>
      </c>
      <c r="AB138" s="6">
        <v>0</v>
      </c>
      <c r="AC138" s="6">
        <v>4400</v>
      </c>
      <c r="AD138" s="6"/>
      <c r="AE138" s="2" t="s">
        <v>47</v>
      </c>
      <c r="AF138" s="2"/>
      <c r="AG138" s="2" t="s">
        <v>47</v>
      </c>
      <c r="AH138" s="2"/>
      <c r="AI138" s="2"/>
      <c r="AJ138" s="2" t="s">
        <v>48</v>
      </c>
      <c r="AK138" s="2"/>
      <c r="AL138" s="2" t="s">
        <v>49</v>
      </c>
    </row>
    <row r="139" spans="1:38" x14ac:dyDescent="0.25">
      <c r="A139" s="2" t="s">
        <v>318</v>
      </c>
      <c r="B139" s="2"/>
      <c r="C139" s="2" t="s">
        <v>39</v>
      </c>
      <c r="D139" s="3">
        <v>45338</v>
      </c>
      <c r="E139" s="3">
        <v>45338</v>
      </c>
      <c r="F139" s="3">
        <v>45704</v>
      </c>
      <c r="G139" s="2" t="s">
        <v>40</v>
      </c>
      <c r="H139" s="2" t="s">
        <v>203</v>
      </c>
      <c r="I139" s="2">
        <v>4396</v>
      </c>
      <c r="J139" s="2" t="s">
        <v>42</v>
      </c>
      <c r="K139" s="2" t="s">
        <v>43</v>
      </c>
      <c r="L139" s="4">
        <v>0</v>
      </c>
      <c r="M139" s="4">
        <v>3816</v>
      </c>
      <c r="N139" s="4">
        <v>4400</v>
      </c>
      <c r="O139" s="4">
        <v>0</v>
      </c>
      <c r="P139" s="4">
        <v>0</v>
      </c>
      <c r="Q139" s="4">
        <v>4400</v>
      </c>
      <c r="R139" s="2"/>
      <c r="S139" s="2"/>
      <c r="T139" s="2"/>
      <c r="U139" s="2" t="s">
        <v>44</v>
      </c>
      <c r="V139" s="4">
        <v>572</v>
      </c>
      <c r="W139" s="2" t="s">
        <v>45</v>
      </c>
      <c r="X139" s="3">
        <v>45338</v>
      </c>
      <c r="Y139" s="5">
        <v>244</v>
      </c>
      <c r="Z139" s="3" t="s">
        <v>114</v>
      </c>
      <c r="AA139" s="6">
        <v>4400</v>
      </c>
      <c r="AB139" s="6">
        <v>0</v>
      </c>
      <c r="AC139" s="6">
        <v>4400</v>
      </c>
      <c r="AD139" s="6"/>
      <c r="AE139" s="2" t="s">
        <v>47</v>
      </c>
      <c r="AF139" s="2"/>
      <c r="AG139" s="2" t="s">
        <v>47</v>
      </c>
      <c r="AH139" s="2"/>
      <c r="AI139" s="2"/>
      <c r="AJ139" s="2" t="s">
        <v>48</v>
      </c>
      <c r="AK139" s="2"/>
      <c r="AL139" s="2" t="s">
        <v>49</v>
      </c>
    </row>
    <row r="140" spans="1:38" x14ac:dyDescent="0.25">
      <c r="A140" s="2" t="s">
        <v>322</v>
      </c>
      <c r="B140" s="2"/>
      <c r="C140" s="2" t="s">
        <v>39</v>
      </c>
      <c r="D140" s="3">
        <v>45338</v>
      </c>
      <c r="E140" s="3">
        <v>45338</v>
      </c>
      <c r="F140" s="3">
        <v>45520</v>
      </c>
      <c r="G140" s="2" t="s">
        <v>40</v>
      </c>
      <c r="H140" s="2" t="s">
        <v>323</v>
      </c>
      <c r="I140" s="2">
        <v>3028</v>
      </c>
      <c r="J140" s="2" t="s">
        <v>42</v>
      </c>
      <c r="K140" s="2" t="s">
        <v>43</v>
      </c>
      <c r="L140" s="4">
        <v>0</v>
      </c>
      <c r="M140" s="4">
        <v>2610</v>
      </c>
      <c r="N140" s="4">
        <v>3025</v>
      </c>
      <c r="O140" s="4">
        <v>0</v>
      </c>
      <c r="P140" s="4">
        <v>0</v>
      </c>
      <c r="Q140" s="4">
        <v>3025</v>
      </c>
      <c r="R140" s="2"/>
      <c r="S140" s="2"/>
      <c r="T140" s="2"/>
      <c r="U140" s="2" t="s">
        <v>44</v>
      </c>
      <c r="V140" s="4">
        <v>392</v>
      </c>
      <c r="W140" s="2" t="s">
        <v>45</v>
      </c>
      <c r="X140" s="3">
        <v>45338</v>
      </c>
      <c r="Y140" s="5">
        <v>244</v>
      </c>
      <c r="Z140" s="3" t="s">
        <v>114</v>
      </c>
      <c r="AA140" s="6">
        <v>3025</v>
      </c>
      <c r="AB140" s="6">
        <v>0</v>
      </c>
      <c r="AC140" s="6">
        <v>3025</v>
      </c>
      <c r="AD140" s="6"/>
      <c r="AE140" s="2" t="s">
        <v>47</v>
      </c>
      <c r="AF140" s="2"/>
      <c r="AG140" s="2" t="s">
        <v>47</v>
      </c>
      <c r="AH140" s="2"/>
      <c r="AI140" s="2"/>
      <c r="AJ140" s="2" t="s">
        <v>48</v>
      </c>
      <c r="AK140" s="2"/>
      <c r="AL140" s="2" t="s">
        <v>49</v>
      </c>
    </row>
    <row r="141" spans="1:38" x14ac:dyDescent="0.25">
      <c r="A141" s="2" t="s">
        <v>324</v>
      </c>
      <c r="B141" s="2"/>
      <c r="C141" s="2" t="s">
        <v>39</v>
      </c>
      <c r="D141" s="3">
        <v>45338</v>
      </c>
      <c r="E141" s="3">
        <v>45338</v>
      </c>
      <c r="F141" s="3">
        <v>45704</v>
      </c>
      <c r="G141" s="2" t="s">
        <v>40</v>
      </c>
      <c r="H141" s="2" t="s">
        <v>304</v>
      </c>
      <c r="I141" s="2">
        <v>4396</v>
      </c>
      <c r="J141" s="2" t="s">
        <v>42</v>
      </c>
      <c r="K141" s="2" t="s">
        <v>43</v>
      </c>
      <c r="L141" s="4">
        <v>0</v>
      </c>
      <c r="M141" s="4">
        <v>3816</v>
      </c>
      <c r="N141" s="4">
        <v>4400</v>
      </c>
      <c r="O141" s="4">
        <v>0</v>
      </c>
      <c r="P141" s="4">
        <v>0</v>
      </c>
      <c r="Q141" s="4">
        <v>4400</v>
      </c>
      <c r="R141" s="2"/>
      <c r="S141" s="2"/>
      <c r="T141" s="2"/>
      <c r="U141" s="2" t="s">
        <v>44</v>
      </c>
      <c r="V141" s="4">
        <v>572</v>
      </c>
      <c r="W141" s="2" t="s">
        <v>45</v>
      </c>
      <c r="X141" s="3">
        <v>45338</v>
      </c>
      <c r="Y141" s="5">
        <v>244</v>
      </c>
      <c r="Z141" s="3" t="s">
        <v>114</v>
      </c>
      <c r="AA141" s="6">
        <v>4400</v>
      </c>
      <c r="AB141" s="6">
        <v>0</v>
      </c>
      <c r="AC141" s="6">
        <v>4400</v>
      </c>
      <c r="AD141" s="6"/>
      <c r="AE141" s="2" t="s">
        <v>47</v>
      </c>
      <c r="AF141" s="2"/>
      <c r="AG141" s="2" t="s">
        <v>47</v>
      </c>
      <c r="AH141" s="2"/>
      <c r="AI141" s="2"/>
      <c r="AJ141" s="2" t="s">
        <v>48</v>
      </c>
      <c r="AK141" s="2"/>
      <c r="AL141" s="2" t="s">
        <v>49</v>
      </c>
    </row>
    <row r="142" spans="1:38" x14ac:dyDescent="0.25">
      <c r="A142" s="2" t="s">
        <v>325</v>
      </c>
      <c r="B142" s="2"/>
      <c r="C142" s="2" t="s">
        <v>39</v>
      </c>
      <c r="D142" s="3">
        <v>45338</v>
      </c>
      <c r="E142" s="3">
        <v>45338</v>
      </c>
      <c r="F142" s="3">
        <v>45704</v>
      </c>
      <c r="G142" s="2" t="s">
        <v>40</v>
      </c>
      <c r="H142" s="2" t="s">
        <v>306</v>
      </c>
      <c r="I142" s="2">
        <v>4396</v>
      </c>
      <c r="J142" s="2" t="s">
        <v>42</v>
      </c>
      <c r="K142" s="2" t="s">
        <v>43</v>
      </c>
      <c r="L142" s="4">
        <v>0</v>
      </c>
      <c r="M142" s="4">
        <v>3816</v>
      </c>
      <c r="N142" s="4">
        <v>4400</v>
      </c>
      <c r="O142" s="4">
        <v>0</v>
      </c>
      <c r="P142" s="4">
        <v>0</v>
      </c>
      <c r="Q142" s="4">
        <v>4400</v>
      </c>
      <c r="R142" s="2"/>
      <c r="S142" s="2"/>
      <c r="T142" s="2"/>
      <c r="U142" s="2" t="s">
        <v>44</v>
      </c>
      <c r="V142" s="4">
        <v>572</v>
      </c>
      <c r="W142" s="2" t="s">
        <v>45</v>
      </c>
      <c r="X142" s="3">
        <v>45338</v>
      </c>
      <c r="Y142" s="5">
        <v>244</v>
      </c>
      <c r="Z142" s="3" t="s">
        <v>114</v>
      </c>
      <c r="AA142" s="6">
        <v>4400</v>
      </c>
      <c r="AB142" s="6">
        <v>0</v>
      </c>
      <c r="AC142" s="6">
        <v>4400</v>
      </c>
      <c r="AD142" s="6"/>
      <c r="AE142" s="2" t="s">
        <v>47</v>
      </c>
      <c r="AF142" s="2"/>
      <c r="AG142" s="2" t="s">
        <v>47</v>
      </c>
      <c r="AH142" s="2"/>
      <c r="AI142" s="2"/>
      <c r="AJ142" s="2" t="s">
        <v>48</v>
      </c>
      <c r="AK142" s="2"/>
      <c r="AL142" s="2" t="s">
        <v>49</v>
      </c>
    </row>
    <row r="143" spans="1:38" x14ac:dyDescent="0.25">
      <c r="A143" s="2" t="s">
        <v>326</v>
      </c>
      <c r="B143" s="2"/>
      <c r="C143" s="2" t="s">
        <v>39</v>
      </c>
      <c r="D143" s="3">
        <v>45338</v>
      </c>
      <c r="E143" s="3">
        <v>45338</v>
      </c>
      <c r="F143" s="3">
        <v>45704</v>
      </c>
      <c r="G143" s="2" t="s">
        <v>40</v>
      </c>
      <c r="H143" s="2" t="s">
        <v>308</v>
      </c>
      <c r="I143" s="2">
        <v>2840</v>
      </c>
      <c r="J143" s="2" t="s">
        <v>42</v>
      </c>
      <c r="K143" s="2" t="s">
        <v>43</v>
      </c>
      <c r="L143" s="4">
        <v>0</v>
      </c>
      <c r="M143" s="4">
        <v>2447</v>
      </c>
      <c r="N143" s="4">
        <v>2839</v>
      </c>
      <c r="O143" s="4">
        <v>0</v>
      </c>
      <c r="P143" s="4">
        <v>0</v>
      </c>
      <c r="Q143" s="4">
        <v>2839</v>
      </c>
      <c r="R143" s="2"/>
      <c r="S143" s="2"/>
      <c r="T143" s="2"/>
      <c r="U143" s="2" t="s">
        <v>44</v>
      </c>
      <c r="V143" s="4">
        <v>367</v>
      </c>
      <c r="W143" s="2" t="s">
        <v>45</v>
      </c>
      <c r="X143" s="3">
        <v>45338</v>
      </c>
      <c r="Y143" s="5">
        <v>244</v>
      </c>
      <c r="Z143" s="3" t="s">
        <v>114</v>
      </c>
      <c r="AA143" s="6">
        <v>2839</v>
      </c>
      <c r="AB143" s="6">
        <v>0</v>
      </c>
      <c r="AC143" s="6">
        <v>2839</v>
      </c>
      <c r="AD143" s="6"/>
      <c r="AE143" s="2" t="s">
        <v>47</v>
      </c>
      <c r="AF143" s="2"/>
      <c r="AG143" s="2" t="s">
        <v>47</v>
      </c>
      <c r="AH143" s="2"/>
      <c r="AI143" s="2"/>
      <c r="AJ143" s="2" t="s">
        <v>48</v>
      </c>
      <c r="AK143" s="2"/>
      <c r="AL143" s="2" t="s">
        <v>49</v>
      </c>
    </row>
    <row r="144" spans="1:38" x14ac:dyDescent="0.25">
      <c r="A144" s="2" t="s">
        <v>327</v>
      </c>
      <c r="B144" s="2"/>
      <c r="C144" s="2" t="s">
        <v>39</v>
      </c>
      <c r="D144" s="3">
        <v>45338</v>
      </c>
      <c r="E144" s="3">
        <v>45338</v>
      </c>
      <c r="F144" s="3">
        <v>45704</v>
      </c>
      <c r="G144" s="2" t="s">
        <v>40</v>
      </c>
      <c r="H144" s="2" t="s">
        <v>310</v>
      </c>
      <c r="I144" s="2">
        <v>4396</v>
      </c>
      <c r="J144" s="2" t="s">
        <v>42</v>
      </c>
      <c r="K144" s="2" t="s">
        <v>43</v>
      </c>
      <c r="L144" s="4">
        <v>0</v>
      </c>
      <c r="M144" s="4">
        <v>3816</v>
      </c>
      <c r="N144" s="4">
        <v>4400</v>
      </c>
      <c r="O144" s="4">
        <v>0</v>
      </c>
      <c r="P144" s="4">
        <v>0</v>
      </c>
      <c r="Q144" s="4">
        <v>4400</v>
      </c>
      <c r="R144" s="2"/>
      <c r="S144" s="2"/>
      <c r="T144" s="2"/>
      <c r="U144" s="2" t="s">
        <v>44</v>
      </c>
      <c r="V144" s="4">
        <v>572</v>
      </c>
      <c r="W144" s="2" t="s">
        <v>45</v>
      </c>
      <c r="X144" s="3">
        <v>45338</v>
      </c>
      <c r="Y144" s="5">
        <v>244</v>
      </c>
      <c r="Z144" s="3" t="s">
        <v>114</v>
      </c>
      <c r="AA144" s="6">
        <v>4400</v>
      </c>
      <c r="AB144" s="6">
        <v>0</v>
      </c>
      <c r="AC144" s="6">
        <v>4400</v>
      </c>
      <c r="AD144" s="6"/>
      <c r="AE144" s="2" t="s">
        <v>47</v>
      </c>
      <c r="AF144" s="2"/>
      <c r="AG144" s="2" t="s">
        <v>47</v>
      </c>
      <c r="AH144" s="2"/>
      <c r="AI144" s="2"/>
      <c r="AJ144" s="2" t="s">
        <v>48</v>
      </c>
      <c r="AK144" s="2"/>
      <c r="AL144" s="2" t="s">
        <v>49</v>
      </c>
    </row>
    <row r="145" spans="1:38" x14ac:dyDescent="0.25">
      <c r="A145" s="2" t="s">
        <v>328</v>
      </c>
      <c r="B145" s="2"/>
      <c r="C145" s="2" t="s">
        <v>39</v>
      </c>
      <c r="D145" s="3">
        <v>45338</v>
      </c>
      <c r="E145" s="3">
        <v>45338</v>
      </c>
      <c r="F145" s="3">
        <v>45704</v>
      </c>
      <c r="G145" s="2" t="s">
        <v>40</v>
      </c>
      <c r="H145" s="2" t="s">
        <v>314</v>
      </c>
      <c r="I145" s="2">
        <v>2720</v>
      </c>
      <c r="J145" s="2" t="s">
        <v>42</v>
      </c>
      <c r="K145" s="2" t="s">
        <v>43</v>
      </c>
      <c r="L145" s="4">
        <v>0</v>
      </c>
      <c r="M145" s="4">
        <v>2342</v>
      </c>
      <c r="N145" s="4">
        <v>2719</v>
      </c>
      <c r="O145" s="4">
        <v>0</v>
      </c>
      <c r="P145" s="4">
        <v>0</v>
      </c>
      <c r="Q145" s="4">
        <v>2719</v>
      </c>
      <c r="R145" s="2"/>
      <c r="S145" s="2"/>
      <c r="T145" s="2"/>
      <c r="U145" s="2" t="s">
        <v>44</v>
      </c>
      <c r="V145" s="4">
        <v>351</v>
      </c>
      <c r="W145" s="2" t="s">
        <v>45</v>
      </c>
      <c r="X145" s="3">
        <v>45338</v>
      </c>
      <c r="Y145" s="5">
        <v>244</v>
      </c>
      <c r="Z145" s="3" t="s">
        <v>114</v>
      </c>
      <c r="AA145" s="6">
        <v>2719</v>
      </c>
      <c r="AB145" s="6">
        <v>0</v>
      </c>
      <c r="AC145" s="6">
        <v>2719</v>
      </c>
      <c r="AD145" s="6"/>
      <c r="AE145" s="2" t="s">
        <v>47</v>
      </c>
      <c r="AF145" s="2"/>
      <c r="AG145" s="2" t="s">
        <v>47</v>
      </c>
      <c r="AH145" s="2"/>
      <c r="AI145" s="2"/>
      <c r="AJ145" s="2" t="s">
        <v>48</v>
      </c>
      <c r="AK145" s="2"/>
      <c r="AL145" s="2" t="s">
        <v>49</v>
      </c>
    </row>
    <row r="146" spans="1:38" x14ac:dyDescent="0.25">
      <c r="A146" s="2" t="s">
        <v>329</v>
      </c>
      <c r="B146" s="2"/>
      <c r="C146" s="2" t="s">
        <v>39</v>
      </c>
      <c r="D146" s="3">
        <v>45338</v>
      </c>
      <c r="E146" s="3">
        <v>45338</v>
      </c>
      <c r="F146" s="3">
        <v>45520</v>
      </c>
      <c r="G146" s="2" t="s">
        <v>40</v>
      </c>
      <c r="H146" s="2" t="s">
        <v>330</v>
      </c>
      <c r="I146" s="2">
        <v>3027</v>
      </c>
      <c r="J146" s="2" t="s">
        <v>42</v>
      </c>
      <c r="K146" s="2" t="s">
        <v>43</v>
      </c>
      <c r="L146" s="4">
        <v>0</v>
      </c>
      <c r="M146" s="4">
        <v>2610</v>
      </c>
      <c r="N146" s="4">
        <v>3025</v>
      </c>
      <c r="O146" s="4">
        <v>0</v>
      </c>
      <c r="P146" s="4">
        <v>0</v>
      </c>
      <c r="Q146" s="4">
        <v>3025</v>
      </c>
      <c r="R146" s="2"/>
      <c r="S146" s="2"/>
      <c r="T146" s="2"/>
      <c r="U146" s="2" t="s">
        <v>44</v>
      </c>
      <c r="V146" s="4">
        <v>392</v>
      </c>
      <c r="W146" s="2" t="s">
        <v>45</v>
      </c>
      <c r="X146" s="3">
        <v>45338</v>
      </c>
      <c r="Y146" s="5">
        <v>244</v>
      </c>
      <c r="Z146" s="3" t="s">
        <v>114</v>
      </c>
      <c r="AA146" s="6">
        <v>3025</v>
      </c>
      <c r="AB146" s="6">
        <v>0</v>
      </c>
      <c r="AC146" s="6">
        <v>3025</v>
      </c>
      <c r="AD146" s="6"/>
      <c r="AE146" s="2" t="s">
        <v>47</v>
      </c>
      <c r="AF146" s="2"/>
      <c r="AG146" s="2" t="s">
        <v>47</v>
      </c>
      <c r="AH146" s="2"/>
      <c r="AI146" s="2"/>
      <c r="AJ146" s="2" t="s">
        <v>48</v>
      </c>
      <c r="AK146" s="2"/>
      <c r="AL146" s="2" t="s">
        <v>49</v>
      </c>
    </row>
    <row r="147" spans="1:38" x14ac:dyDescent="0.25">
      <c r="A147" s="2" t="s">
        <v>331</v>
      </c>
      <c r="B147" s="2"/>
      <c r="C147" s="2" t="s">
        <v>39</v>
      </c>
      <c r="D147" s="3">
        <v>45338</v>
      </c>
      <c r="E147" s="3">
        <v>45338</v>
      </c>
      <c r="F147" s="3">
        <v>45520</v>
      </c>
      <c r="G147" s="2" t="s">
        <v>40</v>
      </c>
      <c r="H147" s="2" t="s">
        <v>332</v>
      </c>
      <c r="I147" s="2">
        <v>6000</v>
      </c>
      <c r="J147" s="2" t="s">
        <v>42</v>
      </c>
      <c r="K147" s="2" t="s">
        <v>43</v>
      </c>
      <c r="L147" s="4">
        <v>0</v>
      </c>
      <c r="M147" s="4">
        <v>5219</v>
      </c>
      <c r="N147" s="4">
        <v>5999</v>
      </c>
      <c r="O147" s="4">
        <v>0</v>
      </c>
      <c r="P147" s="4">
        <v>0</v>
      </c>
      <c r="Q147" s="4">
        <v>5999</v>
      </c>
      <c r="R147" s="2"/>
      <c r="S147" s="2"/>
      <c r="T147" s="2"/>
      <c r="U147" s="2" t="s">
        <v>44</v>
      </c>
      <c r="V147" s="4">
        <v>783</v>
      </c>
      <c r="W147" s="2" t="s">
        <v>45</v>
      </c>
      <c r="X147" s="3">
        <v>45338</v>
      </c>
      <c r="Y147" s="5">
        <v>244</v>
      </c>
      <c r="Z147" s="3" t="s">
        <v>114</v>
      </c>
      <c r="AA147" s="6">
        <v>5999</v>
      </c>
      <c r="AB147" s="6">
        <v>0</v>
      </c>
      <c r="AC147" s="6">
        <v>5999</v>
      </c>
      <c r="AD147" s="6"/>
      <c r="AE147" s="2" t="s">
        <v>47</v>
      </c>
      <c r="AF147" s="2"/>
      <c r="AG147" s="2" t="s">
        <v>47</v>
      </c>
      <c r="AH147" s="2"/>
      <c r="AI147" s="2"/>
      <c r="AJ147" s="2" t="s">
        <v>48</v>
      </c>
      <c r="AK147" s="2"/>
      <c r="AL147" s="2" t="s">
        <v>49</v>
      </c>
    </row>
    <row r="148" spans="1:38" x14ac:dyDescent="0.25">
      <c r="A148" s="2" t="s">
        <v>333</v>
      </c>
      <c r="B148" s="2"/>
      <c r="C148" s="2" t="s">
        <v>39</v>
      </c>
      <c r="D148" s="3">
        <v>45338</v>
      </c>
      <c r="E148" s="3">
        <v>45338</v>
      </c>
      <c r="F148" s="3">
        <v>45704</v>
      </c>
      <c r="G148" s="2" t="s">
        <v>40</v>
      </c>
      <c r="H148" s="2" t="s">
        <v>317</v>
      </c>
      <c r="I148" s="2">
        <v>4396</v>
      </c>
      <c r="J148" s="2" t="s">
        <v>42</v>
      </c>
      <c r="K148" s="2" t="s">
        <v>43</v>
      </c>
      <c r="L148" s="4">
        <v>0</v>
      </c>
      <c r="M148" s="4">
        <v>3816</v>
      </c>
      <c r="N148" s="4">
        <v>4400</v>
      </c>
      <c r="O148" s="4">
        <v>0</v>
      </c>
      <c r="P148" s="4">
        <v>0</v>
      </c>
      <c r="Q148" s="4">
        <v>4400</v>
      </c>
      <c r="R148" s="2"/>
      <c r="S148" s="2"/>
      <c r="T148" s="2"/>
      <c r="U148" s="2" t="s">
        <v>44</v>
      </c>
      <c r="V148" s="4">
        <v>572</v>
      </c>
      <c r="W148" s="2" t="s">
        <v>45</v>
      </c>
      <c r="X148" s="3">
        <v>45338</v>
      </c>
      <c r="Y148" s="5">
        <v>244</v>
      </c>
      <c r="Z148" s="3" t="s">
        <v>114</v>
      </c>
      <c r="AA148" s="6">
        <v>4400</v>
      </c>
      <c r="AB148" s="6">
        <v>0</v>
      </c>
      <c r="AC148" s="6">
        <v>4400</v>
      </c>
      <c r="AD148" s="6"/>
      <c r="AE148" s="2" t="s">
        <v>47</v>
      </c>
      <c r="AF148" s="2"/>
      <c r="AG148" s="2" t="s">
        <v>47</v>
      </c>
      <c r="AH148" s="2"/>
      <c r="AI148" s="2"/>
      <c r="AJ148" s="2" t="s">
        <v>48</v>
      </c>
      <c r="AK148" s="2"/>
      <c r="AL148" s="2" t="s">
        <v>49</v>
      </c>
    </row>
    <row r="149" spans="1:38" x14ac:dyDescent="0.25">
      <c r="A149" s="2" t="s">
        <v>334</v>
      </c>
      <c r="B149" s="2"/>
      <c r="C149" s="2" t="s">
        <v>39</v>
      </c>
      <c r="D149" s="3">
        <v>45338</v>
      </c>
      <c r="E149" s="3">
        <v>45338</v>
      </c>
      <c r="F149" s="3">
        <v>45704</v>
      </c>
      <c r="G149" s="2" t="s">
        <v>40</v>
      </c>
      <c r="H149" s="2" t="s">
        <v>319</v>
      </c>
      <c r="I149" s="2">
        <v>3040</v>
      </c>
      <c r="J149" s="2" t="s">
        <v>42</v>
      </c>
      <c r="K149" s="2" t="s">
        <v>43</v>
      </c>
      <c r="L149" s="4">
        <v>0</v>
      </c>
      <c r="M149" s="4">
        <v>2623</v>
      </c>
      <c r="N149" s="4">
        <v>3040</v>
      </c>
      <c r="O149" s="4">
        <v>0</v>
      </c>
      <c r="P149" s="4">
        <v>0</v>
      </c>
      <c r="Q149" s="4">
        <v>3040</v>
      </c>
      <c r="R149" s="2"/>
      <c r="S149" s="2"/>
      <c r="T149" s="2"/>
      <c r="U149" s="2" t="s">
        <v>44</v>
      </c>
      <c r="V149" s="4">
        <v>393</v>
      </c>
      <c r="W149" s="2" t="s">
        <v>45</v>
      </c>
      <c r="X149" s="3">
        <v>45338</v>
      </c>
      <c r="Y149" s="5">
        <v>244</v>
      </c>
      <c r="Z149" s="3" t="s">
        <v>114</v>
      </c>
      <c r="AA149" s="6">
        <v>3040</v>
      </c>
      <c r="AB149" s="6">
        <v>0</v>
      </c>
      <c r="AC149" s="6">
        <v>3040</v>
      </c>
      <c r="AD149" s="6"/>
      <c r="AE149" s="2" t="s">
        <v>47</v>
      </c>
      <c r="AF149" s="2"/>
      <c r="AG149" s="2" t="s">
        <v>47</v>
      </c>
      <c r="AH149" s="2"/>
      <c r="AI149" s="2"/>
      <c r="AJ149" s="2" t="s">
        <v>48</v>
      </c>
      <c r="AK149" s="2"/>
      <c r="AL149" s="2" t="s">
        <v>49</v>
      </c>
    </row>
    <row r="150" spans="1:38" x14ac:dyDescent="0.25">
      <c r="A150" s="2" t="s">
        <v>335</v>
      </c>
      <c r="B150" s="2"/>
      <c r="C150" s="2" t="s">
        <v>39</v>
      </c>
      <c r="D150" s="3">
        <v>45338</v>
      </c>
      <c r="E150" s="3">
        <v>45338</v>
      </c>
      <c r="F150" s="3">
        <v>45704</v>
      </c>
      <c r="G150" s="2" t="s">
        <v>40</v>
      </c>
      <c r="H150" s="2" t="s">
        <v>320</v>
      </c>
      <c r="I150" s="2">
        <v>4396</v>
      </c>
      <c r="J150" s="2" t="s">
        <v>42</v>
      </c>
      <c r="K150" s="2" t="s">
        <v>43</v>
      </c>
      <c r="L150" s="4">
        <v>0</v>
      </c>
      <c r="M150" s="4">
        <v>3816</v>
      </c>
      <c r="N150" s="4">
        <v>4400</v>
      </c>
      <c r="O150" s="4">
        <v>0</v>
      </c>
      <c r="P150" s="4">
        <v>0</v>
      </c>
      <c r="Q150" s="4">
        <v>4400</v>
      </c>
      <c r="R150" s="2"/>
      <c r="S150" s="2"/>
      <c r="T150" s="2"/>
      <c r="U150" s="2" t="s">
        <v>44</v>
      </c>
      <c r="V150" s="4">
        <v>572</v>
      </c>
      <c r="W150" s="2" t="s">
        <v>45</v>
      </c>
      <c r="X150" s="3">
        <v>45338</v>
      </c>
      <c r="Y150" s="5">
        <v>244</v>
      </c>
      <c r="Z150" s="3" t="s">
        <v>114</v>
      </c>
      <c r="AA150" s="6">
        <v>4400</v>
      </c>
      <c r="AB150" s="6">
        <v>0</v>
      </c>
      <c r="AC150" s="6">
        <v>4400</v>
      </c>
      <c r="AD150" s="6"/>
      <c r="AE150" s="2" t="s">
        <v>47</v>
      </c>
      <c r="AF150" s="2"/>
      <c r="AG150" s="2" t="s">
        <v>47</v>
      </c>
      <c r="AH150" s="2"/>
      <c r="AI150" s="2"/>
      <c r="AJ150" s="2" t="s">
        <v>48</v>
      </c>
      <c r="AK150" s="2"/>
      <c r="AL150" s="2" t="s">
        <v>49</v>
      </c>
    </row>
    <row r="151" spans="1:38" x14ac:dyDescent="0.25">
      <c r="A151" s="2" t="s">
        <v>336</v>
      </c>
      <c r="B151" s="2"/>
      <c r="C151" s="2" t="s">
        <v>39</v>
      </c>
      <c r="D151" s="3">
        <v>45338</v>
      </c>
      <c r="E151" s="3">
        <v>45338</v>
      </c>
      <c r="F151" s="3">
        <v>45704</v>
      </c>
      <c r="G151" s="2" t="s">
        <v>40</v>
      </c>
      <c r="H151" s="2" t="s">
        <v>321</v>
      </c>
      <c r="I151" s="2">
        <v>4396</v>
      </c>
      <c r="J151" s="2" t="s">
        <v>42</v>
      </c>
      <c r="K151" s="2" t="s">
        <v>43</v>
      </c>
      <c r="L151" s="4">
        <v>0</v>
      </c>
      <c r="M151" s="4">
        <v>3816</v>
      </c>
      <c r="N151" s="4">
        <v>4400</v>
      </c>
      <c r="O151" s="4">
        <v>0</v>
      </c>
      <c r="P151" s="4">
        <v>0</v>
      </c>
      <c r="Q151" s="4">
        <v>4400</v>
      </c>
      <c r="R151" s="2"/>
      <c r="S151" s="2"/>
      <c r="T151" s="2"/>
      <c r="U151" s="2" t="s">
        <v>44</v>
      </c>
      <c r="V151" s="4">
        <v>572</v>
      </c>
      <c r="W151" s="2" t="s">
        <v>45</v>
      </c>
      <c r="X151" s="3">
        <v>45338</v>
      </c>
      <c r="Y151" s="5">
        <v>244</v>
      </c>
      <c r="Z151" s="3" t="s">
        <v>114</v>
      </c>
      <c r="AA151" s="6">
        <v>4400</v>
      </c>
      <c r="AB151" s="6">
        <v>0</v>
      </c>
      <c r="AC151" s="6">
        <v>4400</v>
      </c>
      <c r="AD151" s="6"/>
      <c r="AE151" s="2" t="s">
        <v>47</v>
      </c>
      <c r="AF151" s="2"/>
      <c r="AG151" s="2" t="s">
        <v>47</v>
      </c>
      <c r="AH151" s="2"/>
      <c r="AI151" s="2"/>
      <c r="AJ151" s="2" t="s">
        <v>48</v>
      </c>
      <c r="AK151" s="2"/>
      <c r="AL151" s="2" t="s">
        <v>49</v>
      </c>
    </row>
    <row r="152" spans="1:38" x14ac:dyDescent="0.25">
      <c r="A152" s="2" t="s">
        <v>337</v>
      </c>
      <c r="B152" s="2"/>
      <c r="C152" s="2" t="s">
        <v>39</v>
      </c>
      <c r="D152" s="3">
        <v>45338</v>
      </c>
      <c r="E152" s="3">
        <v>45338</v>
      </c>
      <c r="F152" s="3">
        <v>45520</v>
      </c>
      <c r="G152" s="2" t="s">
        <v>40</v>
      </c>
      <c r="H152" s="2" t="s">
        <v>323</v>
      </c>
      <c r="I152" s="2">
        <v>3028</v>
      </c>
      <c r="J152" s="2" t="s">
        <v>42</v>
      </c>
      <c r="K152" s="2" t="s">
        <v>43</v>
      </c>
      <c r="L152" s="4">
        <v>0</v>
      </c>
      <c r="M152" s="4">
        <v>2610</v>
      </c>
      <c r="N152" s="4">
        <v>3025</v>
      </c>
      <c r="O152" s="4">
        <v>0</v>
      </c>
      <c r="P152" s="4">
        <v>0</v>
      </c>
      <c r="Q152" s="4">
        <v>3025</v>
      </c>
      <c r="R152" s="2"/>
      <c r="S152" s="2"/>
      <c r="T152" s="2"/>
      <c r="U152" s="2" t="s">
        <v>44</v>
      </c>
      <c r="V152" s="4">
        <v>392</v>
      </c>
      <c r="W152" s="2" t="s">
        <v>45</v>
      </c>
      <c r="X152" s="3">
        <v>45338</v>
      </c>
      <c r="Y152" s="5">
        <v>244</v>
      </c>
      <c r="Z152" s="3" t="s">
        <v>114</v>
      </c>
      <c r="AA152" s="6">
        <v>3025</v>
      </c>
      <c r="AB152" s="6">
        <v>0</v>
      </c>
      <c r="AC152" s="6">
        <v>3025</v>
      </c>
      <c r="AD152" s="6"/>
      <c r="AE152" s="2" t="s">
        <v>47</v>
      </c>
      <c r="AF152" s="2"/>
      <c r="AG152" s="2" t="s">
        <v>47</v>
      </c>
      <c r="AH152" s="2"/>
      <c r="AI152" s="2"/>
      <c r="AJ152" s="2" t="s">
        <v>48</v>
      </c>
      <c r="AK152" s="2"/>
      <c r="AL152" s="2" t="s">
        <v>49</v>
      </c>
    </row>
    <row r="153" spans="1:38" x14ac:dyDescent="0.25">
      <c r="A153" s="2" t="s">
        <v>339</v>
      </c>
      <c r="B153" s="2"/>
      <c r="C153" s="2" t="s">
        <v>39</v>
      </c>
      <c r="D153" s="3">
        <v>45338</v>
      </c>
      <c r="E153" s="3">
        <v>45338</v>
      </c>
      <c r="F153" s="3">
        <v>45704</v>
      </c>
      <c r="G153" s="2" t="s">
        <v>40</v>
      </c>
      <c r="H153" s="2" t="s">
        <v>340</v>
      </c>
      <c r="I153" s="2">
        <v>2720</v>
      </c>
      <c r="J153" s="2" t="s">
        <v>42</v>
      </c>
      <c r="K153" s="2" t="s">
        <v>43</v>
      </c>
      <c r="L153" s="4">
        <v>0</v>
      </c>
      <c r="M153" s="4">
        <v>2342</v>
      </c>
      <c r="N153" s="4">
        <v>2719</v>
      </c>
      <c r="O153" s="4">
        <v>0</v>
      </c>
      <c r="P153" s="4">
        <v>0</v>
      </c>
      <c r="Q153" s="4">
        <v>2719</v>
      </c>
      <c r="R153" s="2"/>
      <c r="S153" s="2"/>
      <c r="T153" s="2"/>
      <c r="U153" s="2" t="s">
        <v>44</v>
      </c>
      <c r="V153" s="4">
        <v>351</v>
      </c>
      <c r="W153" s="2" t="s">
        <v>45</v>
      </c>
      <c r="X153" s="3">
        <v>45338</v>
      </c>
      <c r="Y153" s="5">
        <v>244</v>
      </c>
      <c r="Z153" s="3" t="s">
        <v>114</v>
      </c>
      <c r="AA153" s="6">
        <v>2719</v>
      </c>
      <c r="AB153" s="6">
        <v>0</v>
      </c>
      <c r="AC153" s="6">
        <v>2719</v>
      </c>
      <c r="AD153" s="6"/>
      <c r="AE153" s="2" t="s">
        <v>47</v>
      </c>
      <c r="AF153" s="2"/>
      <c r="AG153" s="2" t="s">
        <v>47</v>
      </c>
      <c r="AH153" s="2"/>
      <c r="AI153" s="2"/>
      <c r="AJ153" s="2" t="s">
        <v>48</v>
      </c>
      <c r="AK153" s="2"/>
      <c r="AL153" s="2" t="s">
        <v>49</v>
      </c>
    </row>
    <row r="154" spans="1:38" x14ac:dyDescent="0.25">
      <c r="A154" s="2" t="s">
        <v>341</v>
      </c>
      <c r="B154" s="2"/>
      <c r="C154" s="2" t="s">
        <v>39</v>
      </c>
      <c r="D154" s="3">
        <v>45338</v>
      </c>
      <c r="E154" s="3">
        <v>45338</v>
      </c>
      <c r="F154" s="3">
        <v>45520</v>
      </c>
      <c r="G154" s="2" t="s">
        <v>40</v>
      </c>
      <c r="H154" s="2" t="s">
        <v>330</v>
      </c>
      <c r="I154" s="2">
        <v>3027</v>
      </c>
      <c r="J154" s="2" t="s">
        <v>42</v>
      </c>
      <c r="K154" s="2" t="s">
        <v>43</v>
      </c>
      <c r="L154" s="4">
        <v>0</v>
      </c>
      <c r="M154" s="4">
        <v>2610</v>
      </c>
      <c r="N154" s="4">
        <v>3025</v>
      </c>
      <c r="O154" s="4">
        <v>0</v>
      </c>
      <c r="P154" s="4">
        <v>0</v>
      </c>
      <c r="Q154" s="4">
        <v>3025</v>
      </c>
      <c r="R154" s="2"/>
      <c r="S154" s="2"/>
      <c r="T154" s="2"/>
      <c r="U154" s="2" t="s">
        <v>44</v>
      </c>
      <c r="V154" s="4">
        <v>392</v>
      </c>
      <c r="W154" s="2" t="s">
        <v>45</v>
      </c>
      <c r="X154" s="3">
        <v>45338</v>
      </c>
      <c r="Y154" s="5">
        <v>244</v>
      </c>
      <c r="Z154" s="3" t="s">
        <v>114</v>
      </c>
      <c r="AA154" s="6">
        <v>3025</v>
      </c>
      <c r="AB154" s="6">
        <v>0</v>
      </c>
      <c r="AC154" s="6">
        <v>3025</v>
      </c>
      <c r="AD154" s="6"/>
      <c r="AE154" s="2" t="s">
        <v>47</v>
      </c>
      <c r="AF154" s="2"/>
      <c r="AG154" s="2" t="s">
        <v>47</v>
      </c>
      <c r="AH154" s="2"/>
      <c r="AI154" s="2"/>
      <c r="AJ154" s="2" t="s">
        <v>48</v>
      </c>
      <c r="AK154" s="2"/>
      <c r="AL154" s="2" t="s">
        <v>49</v>
      </c>
    </row>
    <row r="155" spans="1:38" x14ac:dyDescent="0.25">
      <c r="A155" s="2" t="s">
        <v>342</v>
      </c>
      <c r="B155" s="2"/>
      <c r="C155" s="2" t="s">
        <v>39</v>
      </c>
      <c r="D155" s="3">
        <v>45338</v>
      </c>
      <c r="E155" s="3">
        <v>45338</v>
      </c>
      <c r="F155" s="3">
        <v>45704</v>
      </c>
      <c r="G155" s="2" t="s">
        <v>40</v>
      </c>
      <c r="H155" s="2" t="s">
        <v>343</v>
      </c>
      <c r="I155" s="2">
        <v>22560</v>
      </c>
      <c r="J155" s="2" t="s">
        <v>42</v>
      </c>
      <c r="K155" s="2" t="s">
        <v>43</v>
      </c>
      <c r="L155" s="4">
        <v>0</v>
      </c>
      <c r="M155" s="4">
        <v>19746</v>
      </c>
      <c r="N155" s="4">
        <v>22560</v>
      </c>
      <c r="O155" s="4">
        <v>0</v>
      </c>
      <c r="P155" s="4">
        <v>0</v>
      </c>
      <c r="Q155" s="4">
        <v>22560</v>
      </c>
      <c r="R155" s="2"/>
      <c r="S155" s="2"/>
      <c r="T155" s="2"/>
      <c r="U155" s="2" t="s">
        <v>44</v>
      </c>
      <c r="V155" s="4">
        <v>2962</v>
      </c>
      <c r="W155" s="2" t="s">
        <v>45</v>
      </c>
      <c r="X155" s="3">
        <v>45338</v>
      </c>
      <c r="Y155" s="5">
        <v>244</v>
      </c>
      <c r="Z155" s="3" t="s">
        <v>114</v>
      </c>
      <c r="AA155" s="6">
        <v>22560</v>
      </c>
      <c r="AB155" s="6">
        <v>0</v>
      </c>
      <c r="AC155" s="6">
        <v>22560</v>
      </c>
      <c r="AD155" s="6"/>
      <c r="AE155" s="2" t="s">
        <v>47</v>
      </c>
      <c r="AF155" s="2"/>
      <c r="AG155" s="2" t="s">
        <v>47</v>
      </c>
      <c r="AH155" s="2"/>
      <c r="AI155" s="2"/>
      <c r="AJ155" s="2" t="s">
        <v>48</v>
      </c>
      <c r="AK155" s="2"/>
      <c r="AL155" s="2" t="s">
        <v>49</v>
      </c>
    </row>
    <row r="156" spans="1:38" x14ac:dyDescent="0.25">
      <c r="A156" s="2" t="s">
        <v>344</v>
      </c>
      <c r="B156" s="2"/>
      <c r="C156" s="2" t="s">
        <v>39</v>
      </c>
      <c r="D156" s="3">
        <v>45338</v>
      </c>
      <c r="E156" s="3">
        <v>45338</v>
      </c>
      <c r="F156" s="3">
        <v>45520</v>
      </c>
      <c r="G156" s="2" t="s">
        <v>40</v>
      </c>
      <c r="H156" s="2" t="s">
        <v>332</v>
      </c>
      <c r="I156" s="2">
        <v>6000</v>
      </c>
      <c r="J156" s="2" t="s">
        <v>42</v>
      </c>
      <c r="K156" s="2" t="s">
        <v>43</v>
      </c>
      <c r="L156" s="4">
        <v>0</v>
      </c>
      <c r="M156" s="4">
        <v>5219</v>
      </c>
      <c r="N156" s="4">
        <v>5999</v>
      </c>
      <c r="O156" s="4">
        <v>0</v>
      </c>
      <c r="P156" s="4">
        <v>0</v>
      </c>
      <c r="Q156" s="4">
        <v>5999</v>
      </c>
      <c r="R156" s="2"/>
      <c r="S156" s="2"/>
      <c r="T156" s="2"/>
      <c r="U156" s="2" t="s">
        <v>44</v>
      </c>
      <c r="V156" s="4">
        <v>783</v>
      </c>
      <c r="W156" s="2" t="s">
        <v>45</v>
      </c>
      <c r="X156" s="3">
        <v>45338</v>
      </c>
      <c r="Y156" s="5">
        <v>244</v>
      </c>
      <c r="Z156" s="3" t="s">
        <v>114</v>
      </c>
      <c r="AA156" s="6">
        <v>5999</v>
      </c>
      <c r="AB156" s="6">
        <v>0</v>
      </c>
      <c r="AC156" s="6">
        <v>5999</v>
      </c>
      <c r="AD156" s="6"/>
      <c r="AE156" s="2" t="s">
        <v>47</v>
      </c>
      <c r="AF156" s="2"/>
      <c r="AG156" s="2" t="s">
        <v>47</v>
      </c>
      <c r="AH156" s="2"/>
      <c r="AI156" s="2"/>
      <c r="AJ156" s="2" t="s">
        <v>48</v>
      </c>
      <c r="AK156" s="2"/>
      <c r="AL156" s="2" t="s">
        <v>49</v>
      </c>
    </row>
    <row r="157" spans="1:38" x14ac:dyDescent="0.25">
      <c r="A157" s="2" t="s">
        <v>345</v>
      </c>
      <c r="B157" s="2"/>
      <c r="C157" s="2" t="s">
        <v>39</v>
      </c>
      <c r="D157" s="3">
        <v>45338</v>
      </c>
      <c r="E157" s="3">
        <v>45338</v>
      </c>
      <c r="F157" s="3">
        <v>45704</v>
      </c>
      <c r="G157" s="2" t="s">
        <v>40</v>
      </c>
      <c r="H157" s="2" t="s">
        <v>346</v>
      </c>
      <c r="I157" s="2">
        <v>2720</v>
      </c>
      <c r="J157" s="2" t="s">
        <v>42</v>
      </c>
      <c r="K157" s="2" t="s">
        <v>43</v>
      </c>
      <c r="L157" s="4">
        <v>0</v>
      </c>
      <c r="M157" s="4">
        <v>2342</v>
      </c>
      <c r="N157" s="4">
        <v>2719</v>
      </c>
      <c r="O157" s="4">
        <v>0</v>
      </c>
      <c r="P157" s="4">
        <v>0</v>
      </c>
      <c r="Q157" s="4">
        <v>2719</v>
      </c>
      <c r="R157" s="2"/>
      <c r="S157" s="2"/>
      <c r="T157" s="2"/>
      <c r="U157" s="2" t="s">
        <v>44</v>
      </c>
      <c r="V157" s="4">
        <v>351</v>
      </c>
      <c r="W157" s="2" t="s">
        <v>45</v>
      </c>
      <c r="X157" s="3">
        <v>45338</v>
      </c>
      <c r="Y157" s="5">
        <v>244</v>
      </c>
      <c r="Z157" s="3" t="s">
        <v>114</v>
      </c>
      <c r="AA157" s="6">
        <v>2719</v>
      </c>
      <c r="AB157" s="6">
        <v>0</v>
      </c>
      <c r="AC157" s="6">
        <v>2719</v>
      </c>
      <c r="AD157" s="6"/>
      <c r="AE157" s="2" t="s">
        <v>47</v>
      </c>
      <c r="AF157" s="2"/>
      <c r="AG157" s="2" t="s">
        <v>47</v>
      </c>
      <c r="AH157" s="2"/>
      <c r="AI157" s="2"/>
      <c r="AJ157" s="2" t="s">
        <v>48</v>
      </c>
      <c r="AK157" s="2"/>
      <c r="AL157" s="2" t="s">
        <v>49</v>
      </c>
    </row>
    <row r="158" spans="1:38" x14ac:dyDescent="0.25">
      <c r="A158" s="2" t="s">
        <v>347</v>
      </c>
      <c r="B158" s="2"/>
      <c r="C158" s="2" t="s">
        <v>39</v>
      </c>
      <c r="D158" s="3">
        <v>45338</v>
      </c>
      <c r="E158" s="3">
        <v>45338</v>
      </c>
      <c r="F158" s="3">
        <v>45520</v>
      </c>
      <c r="G158" s="2" t="s">
        <v>40</v>
      </c>
      <c r="H158" s="2" t="s">
        <v>338</v>
      </c>
      <c r="I158" s="2">
        <v>16215</v>
      </c>
      <c r="J158" s="2" t="s">
        <v>42</v>
      </c>
      <c r="K158" s="2" t="s">
        <v>43</v>
      </c>
      <c r="L158" s="4">
        <v>0</v>
      </c>
      <c r="M158" s="4">
        <v>14180</v>
      </c>
      <c r="N158" s="4">
        <v>16215</v>
      </c>
      <c r="O158" s="4">
        <v>0</v>
      </c>
      <c r="P158" s="4">
        <v>0</v>
      </c>
      <c r="Q158" s="4">
        <v>16215</v>
      </c>
      <c r="R158" s="2"/>
      <c r="S158" s="2"/>
      <c r="T158" s="2"/>
      <c r="U158" s="2" t="s">
        <v>44</v>
      </c>
      <c r="V158" s="4">
        <v>2127</v>
      </c>
      <c r="W158" s="2" t="s">
        <v>45</v>
      </c>
      <c r="X158" s="3">
        <v>45338</v>
      </c>
      <c r="Y158" s="5">
        <v>244</v>
      </c>
      <c r="Z158" s="3" t="s">
        <v>114</v>
      </c>
      <c r="AA158" s="6">
        <v>16215</v>
      </c>
      <c r="AB158" s="6">
        <v>0</v>
      </c>
      <c r="AC158" s="6">
        <v>16215</v>
      </c>
      <c r="AD158" s="6"/>
      <c r="AE158" s="2" t="s">
        <v>47</v>
      </c>
      <c r="AF158" s="2"/>
      <c r="AG158" s="2" t="s">
        <v>47</v>
      </c>
      <c r="AH158" s="2"/>
      <c r="AI158" s="2"/>
      <c r="AJ158" s="2" t="s">
        <v>48</v>
      </c>
      <c r="AK158" s="2"/>
      <c r="AL158" s="2" t="s">
        <v>49</v>
      </c>
    </row>
    <row r="159" spans="1:38" x14ac:dyDescent="0.25">
      <c r="A159" s="2" t="s">
        <v>348</v>
      </c>
      <c r="B159" s="2"/>
      <c r="C159" s="2" t="s">
        <v>39</v>
      </c>
      <c r="D159" s="3">
        <v>45338</v>
      </c>
      <c r="E159" s="3">
        <v>45338</v>
      </c>
      <c r="F159" s="3">
        <v>45704</v>
      </c>
      <c r="G159" s="2" t="s">
        <v>40</v>
      </c>
      <c r="H159" s="2" t="s">
        <v>349</v>
      </c>
      <c r="I159" s="2">
        <v>2720</v>
      </c>
      <c r="J159" s="2" t="s">
        <v>42</v>
      </c>
      <c r="K159" s="2" t="s">
        <v>43</v>
      </c>
      <c r="L159" s="4">
        <v>0</v>
      </c>
      <c r="M159" s="4">
        <v>2342</v>
      </c>
      <c r="N159" s="4">
        <v>2719</v>
      </c>
      <c r="O159" s="4">
        <v>0</v>
      </c>
      <c r="P159" s="4">
        <v>0</v>
      </c>
      <c r="Q159" s="4">
        <v>2719</v>
      </c>
      <c r="R159" s="2"/>
      <c r="S159" s="2"/>
      <c r="T159" s="2"/>
      <c r="U159" s="2" t="s">
        <v>44</v>
      </c>
      <c r="V159" s="4">
        <v>351</v>
      </c>
      <c r="W159" s="2" t="s">
        <v>45</v>
      </c>
      <c r="X159" s="3">
        <v>45338</v>
      </c>
      <c r="Y159" s="5">
        <v>244</v>
      </c>
      <c r="Z159" s="3" t="s">
        <v>114</v>
      </c>
      <c r="AA159" s="6">
        <v>2719</v>
      </c>
      <c r="AB159" s="6">
        <v>0</v>
      </c>
      <c r="AC159" s="6">
        <v>2719</v>
      </c>
      <c r="AD159" s="6"/>
      <c r="AE159" s="2" t="s">
        <v>47</v>
      </c>
      <c r="AF159" s="2"/>
      <c r="AG159" s="2" t="s">
        <v>47</v>
      </c>
      <c r="AH159" s="2"/>
      <c r="AI159" s="2"/>
      <c r="AJ159" s="2" t="s">
        <v>48</v>
      </c>
      <c r="AK159" s="2"/>
      <c r="AL159" s="2" t="s">
        <v>49</v>
      </c>
    </row>
    <row r="160" spans="1:38" x14ac:dyDescent="0.25">
      <c r="A160" s="2" t="s">
        <v>350</v>
      </c>
      <c r="B160" s="2"/>
      <c r="C160" s="2" t="s">
        <v>39</v>
      </c>
      <c r="D160" s="3">
        <v>45338</v>
      </c>
      <c r="E160" s="3">
        <v>45338</v>
      </c>
      <c r="F160" s="3">
        <v>45704</v>
      </c>
      <c r="G160" s="2" t="s">
        <v>40</v>
      </c>
      <c r="H160" s="2" t="s">
        <v>351</v>
      </c>
      <c r="I160" s="2">
        <v>22560</v>
      </c>
      <c r="J160" s="2" t="s">
        <v>42</v>
      </c>
      <c r="K160" s="2" t="s">
        <v>43</v>
      </c>
      <c r="L160" s="4">
        <v>0</v>
      </c>
      <c r="M160" s="4">
        <v>19746</v>
      </c>
      <c r="N160" s="4">
        <v>22560</v>
      </c>
      <c r="O160" s="4">
        <v>0</v>
      </c>
      <c r="P160" s="4">
        <v>0</v>
      </c>
      <c r="Q160" s="4">
        <v>22560</v>
      </c>
      <c r="R160" s="2"/>
      <c r="S160" s="2"/>
      <c r="T160" s="2"/>
      <c r="U160" s="2" t="s">
        <v>44</v>
      </c>
      <c r="V160" s="4">
        <v>2962</v>
      </c>
      <c r="W160" s="2" t="s">
        <v>45</v>
      </c>
      <c r="X160" s="3">
        <v>45338</v>
      </c>
      <c r="Y160" s="5">
        <v>244</v>
      </c>
      <c r="Z160" s="3" t="s">
        <v>114</v>
      </c>
      <c r="AA160" s="6">
        <v>22560</v>
      </c>
      <c r="AB160" s="6">
        <v>0</v>
      </c>
      <c r="AC160" s="6">
        <v>22560</v>
      </c>
      <c r="AD160" s="6"/>
      <c r="AE160" s="2" t="s">
        <v>47</v>
      </c>
      <c r="AF160" s="2"/>
      <c r="AG160" s="2" t="s">
        <v>47</v>
      </c>
      <c r="AH160" s="2"/>
      <c r="AI160" s="2"/>
      <c r="AJ160" s="2" t="s">
        <v>48</v>
      </c>
      <c r="AK160" s="2"/>
      <c r="AL160" s="2" t="s">
        <v>49</v>
      </c>
    </row>
    <row r="161" spans="1:38" x14ac:dyDescent="0.25">
      <c r="A161" s="2" t="s">
        <v>352</v>
      </c>
      <c r="B161" s="2"/>
      <c r="C161" s="2" t="s">
        <v>39</v>
      </c>
      <c r="D161" s="3">
        <v>45338</v>
      </c>
      <c r="E161" s="3">
        <v>45338</v>
      </c>
      <c r="F161" s="3">
        <v>45704</v>
      </c>
      <c r="G161" s="2" t="s">
        <v>40</v>
      </c>
      <c r="H161" s="2" t="s">
        <v>353</v>
      </c>
      <c r="I161" s="2">
        <v>2720</v>
      </c>
      <c r="J161" s="2" t="s">
        <v>42</v>
      </c>
      <c r="K161" s="2" t="s">
        <v>43</v>
      </c>
      <c r="L161" s="4">
        <v>0</v>
      </c>
      <c r="M161" s="4">
        <v>2342</v>
      </c>
      <c r="N161" s="4">
        <v>2719</v>
      </c>
      <c r="O161" s="4">
        <v>0</v>
      </c>
      <c r="P161" s="4">
        <v>0</v>
      </c>
      <c r="Q161" s="4">
        <v>2719</v>
      </c>
      <c r="R161" s="2"/>
      <c r="S161" s="2"/>
      <c r="T161" s="2"/>
      <c r="U161" s="2" t="s">
        <v>44</v>
      </c>
      <c r="V161" s="4">
        <v>351</v>
      </c>
      <c r="W161" s="2" t="s">
        <v>45</v>
      </c>
      <c r="X161" s="3">
        <v>45338</v>
      </c>
      <c r="Y161" s="5">
        <v>244</v>
      </c>
      <c r="Z161" s="3" t="s">
        <v>114</v>
      </c>
      <c r="AA161" s="6">
        <v>2719</v>
      </c>
      <c r="AB161" s="6">
        <v>0</v>
      </c>
      <c r="AC161" s="6">
        <v>2719</v>
      </c>
      <c r="AD161" s="6"/>
      <c r="AE161" s="2" t="s">
        <v>47</v>
      </c>
      <c r="AF161" s="2"/>
      <c r="AG161" s="2" t="s">
        <v>47</v>
      </c>
      <c r="AH161" s="2"/>
      <c r="AI161" s="2"/>
      <c r="AJ161" s="2" t="s">
        <v>48</v>
      </c>
      <c r="AK161" s="2"/>
      <c r="AL161" s="2" t="s">
        <v>49</v>
      </c>
    </row>
    <row r="162" spans="1:38" x14ac:dyDescent="0.25">
      <c r="A162" s="2" t="s">
        <v>354</v>
      </c>
      <c r="B162" s="2"/>
      <c r="C162" s="2" t="s">
        <v>39</v>
      </c>
      <c r="D162" s="3">
        <v>45338</v>
      </c>
      <c r="E162" s="3">
        <v>45338</v>
      </c>
      <c r="F162" s="3">
        <v>45704</v>
      </c>
      <c r="G162" s="2" t="s">
        <v>40</v>
      </c>
      <c r="H162" s="2" t="s">
        <v>355</v>
      </c>
      <c r="I162" s="2">
        <v>2720</v>
      </c>
      <c r="J162" s="2" t="s">
        <v>42</v>
      </c>
      <c r="K162" s="2" t="s">
        <v>43</v>
      </c>
      <c r="L162" s="4">
        <v>0</v>
      </c>
      <c r="M162" s="4">
        <v>2342</v>
      </c>
      <c r="N162" s="4">
        <v>2719</v>
      </c>
      <c r="O162" s="4">
        <v>0</v>
      </c>
      <c r="P162" s="4">
        <v>0</v>
      </c>
      <c r="Q162" s="4">
        <v>2719</v>
      </c>
      <c r="R162" s="2"/>
      <c r="S162" s="2"/>
      <c r="T162" s="2"/>
      <c r="U162" s="2" t="s">
        <v>44</v>
      </c>
      <c r="V162" s="4">
        <v>351</v>
      </c>
      <c r="W162" s="2" t="s">
        <v>45</v>
      </c>
      <c r="X162" s="3">
        <v>45338</v>
      </c>
      <c r="Y162" s="5">
        <v>244</v>
      </c>
      <c r="Z162" s="3" t="s">
        <v>114</v>
      </c>
      <c r="AA162" s="6">
        <v>2719</v>
      </c>
      <c r="AB162" s="6">
        <v>0</v>
      </c>
      <c r="AC162" s="6">
        <v>2719</v>
      </c>
      <c r="AD162" s="6"/>
      <c r="AE162" s="2" t="s">
        <v>47</v>
      </c>
      <c r="AF162" s="2"/>
      <c r="AG162" s="2" t="s">
        <v>47</v>
      </c>
      <c r="AH162" s="2"/>
      <c r="AI162" s="2"/>
      <c r="AJ162" s="2" t="s">
        <v>48</v>
      </c>
      <c r="AK162" s="2"/>
      <c r="AL162" s="2" t="s">
        <v>49</v>
      </c>
    </row>
    <row r="163" spans="1:38" x14ac:dyDescent="0.25">
      <c r="A163" s="2" t="s">
        <v>356</v>
      </c>
      <c r="B163" s="2"/>
      <c r="C163" s="2" t="s">
        <v>39</v>
      </c>
      <c r="D163" s="3">
        <v>45338</v>
      </c>
      <c r="E163" s="3">
        <v>45338</v>
      </c>
      <c r="F163" s="3">
        <v>45704</v>
      </c>
      <c r="G163" s="2" t="s">
        <v>40</v>
      </c>
      <c r="H163" s="2" t="s">
        <v>357</v>
      </c>
      <c r="I163" s="2">
        <v>4396</v>
      </c>
      <c r="J163" s="2" t="s">
        <v>42</v>
      </c>
      <c r="K163" s="2" t="s">
        <v>43</v>
      </c>
      <c r="L163" s="4">
        <v>0</v>
      </c>
      <c r="M163" s="4">
        <v>3816</v>
      </c>
      <c r="N163" s="4">
        <v>4400</v>
      </c>
      <c r="O163" s="4">
        <v>0</v>
      </c>
      <c r="P163" s="4">
        <v>0</v>
      </c>
      <c r="Q163" s="4">
        <v>4400</v>
      </c>
      <c r="R163" s="2"/>
      <c r="S163" s="2"/>
      <c r="T163" s="2"/>
      <c r="U163" s="2" t="s">
        <v>44</v>
      </c>
      <c r="V163" s="4">
        <v>572</v>
      </c>
      <c r="W163" s="2" t="s">
        <v>45</v>
      </c>
      <c r="X163" s="3">
        <v>45338</v>
      </c>
      <c r="Y163" s="5">
        <v>244</v>
      </c>
      <c r="Z163" s="3" t="s">
        <v>114</v>
      </c>
      <c r="AA163" s="6">
        <v>4400</v>
      </c>
      <c r="AB163" s="6">
        <v>0</v>
      </c>
      <c r="AC163" s="6">
        <v>4400</v>
      </c>
      <c r="AD163" s="6"/>
      <c r="AE163" s="2" t="s">
        <v>47</v>
      </c>
      <c r="AF163" s="2"/>
      <c r="AG163" s="2" t="s">
        <v>47</v>
      </c>
      <c r="AH163" s="2"/>
      <c r="AI163" s="2"/>
      <c r="AJ163" s="2" t="s">
        <v>48</v>
      </c>
      <c r="AK163" s="2"/>
      <c r="AL163" s="2" t="s">
        <v>49</v>
      </c>
    </row>
    <row r="164" spans="1:38" x14ac:dyDescent="0.25">
      <c r="A164" s="2" t="s">
        <v>359</v>
      </c>
      <c r="B164" s="2"/>
      <c r="C164" s="2" t="s">
        <v>39</v>
      </c>
      <c r="D164" s="3">
        <v>45338</v>
      </c>
      <c r="E164" s="3">
        <v>45338</v>
      </c>
      <c r="F164" s="3">
        <v>45704</v>
      </c>
      <c r="G164" s="2" t="s">
        <v>40</v>
      </c>
      <c r="H164" s="2" t="s">
        <v>343</v>
      </c>
      <c r="I164" s="2">
        <v>22560</v>
      </c>
      <c r="J164" s="2" t="s">
        <v>42</v>
      </c>
      <c r="K164" s="2" t="s">
        <v>43</v>
      </c>
      <c r="L164" s="4">
        <v>0</v>
      </c>
      <c r="M164" s="4">
        <v>19746</v>
      </c>
      <c r="N164" s="4">
        <v>22560</v>
      </c>
      <c r="O164" s="4">
        <v>0</v>
      </c>
      <c r="P164" s="4">
        <v>0</v>
      </c>
      <c r="Q164" s="4">
        <v>22560</v>
      </c>
      <c r="R164" s="2"/>
      <c r="S164" s="2"/>
      <c r="T164" s="2"/>
      <c r="U164" s="2" t="s">
        <v>44</v>
      </c>
      <c r="V164" s="4">
        <v>2962</v>
      </c>
      <c r="W164" s="2" t="s">
        <v>45</v>
      </c>
      <c r="X164" s="3">
        <v>45338</v>
      </c>
      <c r="Y164" s="5">
        <v>244</v>
      </c>
      <c r="Z164" s="3" t="s">
        <v>114</v>
      </c>
      <c r="AA164" s="6">
        <v>22560</v>
      </c>
      <c r="AB164" s="6">
        <v>0</v>
      </c>
      <c r="AC164" s="6">
        <v>22560</v>
      </c>
      <c r="AD164" s="6"/>
      <c r="AE164" s="2" t="s">
        <v>47</v>
      </c>
      <c r="AF164" s="2"/>
      <c r="AG164" s="2" t="s">
        <v>47</v>
      </c>
      <c r="AH164" s="2"/>
      <c r="AI164" s="2"/>
      <c r="AJ164" s="2" t="s">
        <v>48</v>
      </c>
      <c r="AK164" s="2"/>
      <c r="AL164" s="2" t="s">
        <v>49</v>
      </c>
    </row>
    <row r="165" spans="1:38" x14ac:dyDescent="0.25">
      <c r="A165" s="2" t="s">
        <v>360</v>
      </c>
      <c r="B165" s="2"/>
      <c r="C165" s="2" t="s">
        <v>39</v>
      </c>
      <c r="D165" s="3">
        <v>45338</v>
      </c>
      <c r="E165" s="3">
        <v>45338</v>
      </c>
      <c r="F165" s="3">
        <v>45704</v>
      </c>
      <c r="G165" s="2" t="s">
        <v>40</v>
      </c>
      <c r="H165" s="2" t="s">
        <v>361</v>
      </c>
      <c r="I165" s="2">
        <v>4396</v>
      </c>
      <c r="J165" s="2" t="s">
        <v>42</v>
      </c>
      <c r="K165" s="2" t="s">
        <v>43</v>
      </c>
      <c r="L165" s="4">
        <v>0</v>
      </c>
      <c r="M165" s="4">
        <v>3816</v>
      </c>
      <c r="N165" s="4">
        <v>4400</v>
      </c>
      <c r="O165" s="4">
        <v>0</v>
      </c>
      <c r="P165" s="4">
        <v>0</v>
      </c>
      <c r="Q165" s="4">
        <v>4400</v>
      </c>
      <c r="R165" s="2"/>
      <c r="S165" s="2"/>
      <c r="T165" s="2"/>
      <c r="U165" s="2" t="s">
        <v>44</v>
      </c>
      <c r="V165" s="4">
        <v>572</v>
      </c>
      <c r="W165" s="2" t="s">
        <v>45</v>
      </c>
      <c r="X165" s="3">
        <v>45338</v>
      </c>
      <c r="Y165" s="5">
        <v>244</v>
      </c>
      <c r="Z165" s="3" t="s">
        <v>114</v>
      </c>
      <c r="AA165" s="6">
        <v>4400</v>
      </c>
      <c r="AB165" s="6">
        <v>0</v>
      </c>
      <c r="AC165" s="6">
        <v>4400</v>
      </c>
      <c r="AD165" s="6"/>
      <c r="AE165" s="2" t="s">
        <v>47</v>
      </c>
      <c r="AF165" s="2"/>
      <c r="AG165" s="2" t="s">
        <v>47</v>
      </c>
      <c r="AH165" s="2"/>
      <c r="AI165" s="2"/>
      <c r="AJ165" s="2" t="s">
        <v>48</v>
      </c>
      <c r="AK165" s="2"/>
      <c r="AL165" s="2" t="s">
        <v>49</v>
      </c>
    </row>
    <row r="166" spans="1:38" x14ac:dyDescent="0.25">
      <c r="A166" s="2" t="s">
        <v>362</v>
      </c>
      <c r="B166" s="2"/>
      <c r="C166" s="2" t="s">
        <v>39</v>
      </c>
      <c r="D166" s="3">
        <v>45338</v>
      </c>
      <c r="E166" s="3">
        <v>45338</v>
      </c>
      <c r="F166" s="3">
        <v>45704</v>
      </c>
      <c r="G166" s="2" t="s">
        <v>40</v>
      </c>
      <c r="H166" s="2" t="s">
        <v>346</v>
      </c>
      <c r="I166" s="2">
        <v>2720</v>
      </c>
      <c r="J166" s="2" t="s">
        <v>42</v>
      </c>
      <c r="K166" s="2" t="s">
        <v>43</v>
      </c>
      <c r="L166" s="4">
        <v>0</v>
      </c>
      <c r="M166" s="4">
        <v>2342</v>
      </c>
      <c r="N166" s="4">
        <v>2719</v>
      </c>
      <c r="O166" s="4">
        <v>0</v>
      </c>
      <c r="P166" s="4">
        <v>0</v>
      </c>
      <c r="Q166" s="4">
        <v>2719</v>
      </c>
      <c r="R166" s="2"/>
      <c r="S166" s="2"/>
      <c r="T166" s="2"/>
      <c r="U166" s="2" t="s">
        <v>44</v>
      </c>
      <c r="V166" s="4">
        <v>351</v>
      </c>
      <c r="W166" s="2" t="s">
        <v>45</v>
      </c>
      <c r="X166" s="3">
        <v>45338</v>
      </c>
      <c r="Y166" s="5">
        <v>244</v>
      </c>
      <c r="Z166" s="3" t="s">
        <v>114</v>
      </c>
      <c r="AA166" s="6">
        <v>2719</v>
      </c>
      <c r="AB166" s="6">
        <v>0</v>
      </c>
      <c r="AC166" s="6">
        <v>2719</v>
      </c>
      <c r="AD166" s="6"/>
      <c r="AE166" s="2" t="s">
        <v>47</v>
      </c>
      <c r="AF166" s="2"/>
      <c r="AG166" s="2" t="s">
        <v>47</v>
      </c>
      <c r="AH166" s="2"/>
      <c r="AI166" s="2"/>
      <c r="AJ166" s="2" t="s">
        <v>48</v>
      </c>
      <c r="AK166" s="2"/>
      <c r="AL166" s="2" t="s">
        <v>49</v>
      </c>
    </row>
    <row r="167" spans="1:38" x14ac:dyDescent="0.25">
      <c r="A167" s="2" t="s">
        <v>363</v>
      </c>
      <c r="B167" s="2"/>
      <c r="C167" s="2" t="s">
        <v>39</v>
      </c>
      <c r="D167" s="3">
        <v>45338</v>
      </c>
      <c r="E167" s="3">
        <v>45338</v>
      </c>
      <c r="F167" s="3">
        <v>45704</v>
      </c>
      <c r="G167" s="2" t="s">
        <v>40</v>
      </c>
      <c r="H167" s="2" t="s">
        <v>364</v>
      </c>
      <c r="I167" s="2">
        <v>3600</v>
      </c>
      <c r="J167" s="2" t="s">
        <v>42</v>
      </c>
      <c r="K167" s="2" t="s">
        <v>43</v>
      </c>
      <c r="L167" s="4">
        <v>0</v>
      </c>
      <c r="M167" s="4">
        <v>3114</v>
      </c>
      <c r="N167" s="4">
        <v>3600</v>
      </c>
      <c r="O167" s="4">
        <v>0</v>
      </c>
      <c r="P167" s="4">
        <v>0</v>
      </c>
      <c r="Q167" s="4">
        <v>3600</v>
      </c>
      <c r="R167" s="2"/>
      <c r="S167" s="2"/>
      <c r="T167" s="2"/>
      <c r="U167" s="2" t="s">
        <v>44</v>
      </c>
      <c r="V167" s="4">
        <v>467</v>
      </c>
      <c r="W167" s="2" t="s">
        <v>45</v>
      </c>
      <c r="X167" s="3">
        <v>45338</v>
      </c>
      <c r="Y167" s="5">
        <v>244</v>
      </c>
      <c r="Z167" s="3" t="s">
        <v>114</v>
      </c>
      <c r="AA167" s="6">
        <v>3600</v>
      </c>
      <c r="AB167" s="6">
        <v>0</v>
      </c>
      <c r="AC167" s="6">
        <v>3600</v>
      </c>
      <c r="AD167" s="6"/>
      <c r="AE167" s="2" t="s">
        <v>47</v>
      </c>
      <c r="AF167" s="2"/>
      <c r="AG167" s="2" t="s">
        <v>47</v>
      </c>
      <c r="AH167" s="2"/>
      <c r="AI167" s="2"/>
      <c r="AJ167" s="2" t="s">
        <v>48</v>
      </c>
      <c r="AK167" s="2"/>
      <c r="AL167" s="2" t="s">
        <v>49</v>
      </c>
    </row>
    <row r="168" spans="1:38" x14ac:dyDescent="0.25">
      <c r="A168" s="2" t="s">
        <v>365</v>
      </c>
      <c r="B168" s="2"/>
      <c r="C168" s="2" t="s">
        <v>39</v>
      </c>
      <c r="D168" s="3">
        <v>45338</v>
      </c>
      <c r="E168" s="3">
        <v>45338</v>
      </c>
      <c r="F168" s="3">
        <v>45704</v>
      </c>
      <c r="G168" s="2" t="s">
        <v>40</v>
      </c>
      <c r="H168" s="2" t="s">
        <v>366</v>
      </c>
      <c r="I168" s="2">
        <v>2720</v>
      </c>
      <c r="J168" s="2" t="s">
        <v>42</v>
      </c>
      <c r="K168" s="2" t="s">
        <v>43</v>
      </c>
      <c r="L168" s="4">
        <v>0</v>
      </c>
      <c r="M168" s="4">
        <v>2342</v>
      </c>
      <c r="N168" s="4">
        <v>2719</v>
      </c>
      <c r="O168" s="4">
        <v>0</v>
      </c>
      <c r="P168" s="4">
        <v>0</v>
      </c>
      <c r="Q168" s="4">
        <v>2719</v>
      </c>
      <c r="R168" s="2"/>
      <c r="S168" s="2"/>
      <c r="T168" s="2"/>
      <c r="U168" s="2" t="s">
        <v>44</v>
      </c>
      <c r="V168" s="4">
        <v>351</v>
      </c>
      <c r="W168" s="2" t="s">
        <v>45</v>
      </c>
      <c r="X168" s="3">
        <v>45338</v>
      </c>
      <c r="Y168" s="5">
        <v>244</v>
      </c>
      <c r="Z168" s="3" t="s">
        <v>114</v>
      </c>
      <c r="AA168" s="6">
        <v>2719</v>
      </c>
      <c r="AB168" s="6">
        <v>0</v>
      </c>
      <c r="AC168" s="6">
        <v>2719</v>
      </c>
      <c r="AD168" s="6"/>
      <c r="AE168" s="2" t="s">
        <v>47</v>
      </c>
      <c r="AF168" s="2"/>
      <c r="AG168" s="2" t="s">
        <v>47</v>
      </c>
      <c r="AH168" s="2"/>
      <c r="AI168" s="2"/>
      <c r="AJ168" s="2" t="s">
        <v>48</v>
      </c>
      <c r="AK168" s="2"/>
      <c r="AL168" s="2" t="s">
        <v>49</v>
      </c>
    </row>
    <row r="169" spans="1:38" x14ac:dyDescent="0.25">
      <c r="A169" s="2" t="s">
        <v>367</v>
      </c>
      <c r="B169" s="2"/>
      <c r="C169" s="2" t="s">
        <v>39</v>
      </c>
      <c r="D169" s="3">
        <v>45338</v>
      </c>
      <c r="E169" s="3">
        <v>45338</v>
      </c>
      <c r="F169" s="3">
        <v>45704</v>
      </c>
      <c r="G169" s="2" t="s">
        <v>40</v>
      </c>
      <c r="H169" s="2" t="s">
        <v>368</v>
      </c>
      <c r="I169" s="2">
        <v>4396</v>
      </c>
      <c r="J169" s="2" t="s">
        <v>42</v>
      </c>
      <c r="K169" s="2" t="s">
        <v>43</v>
      </c>
      <c r="L169" s="4">
        <v>0</v>
      </c>
      <c r="M169" s="4">
        <v>3816</v>
      </c>
      <c r="N169" s="4">
        <v>4400</v>
      </c>
      <c r="O169" s="4">
        <v>0</v>
      </c>
      <c r="P169" s="4">
        <v>0</v>
      </c>
      <c r="Q169" s="4">
        <v>4400</v>
      </c>
      <c r="R169" s="2"/>
      <c r="S169" s="2"/>
      <c r="T169" s="2"/>
      <c r="U169" s="2" t="s">
        <v>44</v>
      </c>
      <c r="V169" s="4">
        <v>572</v>
      </c>
      <c r="W169" s="2" t="s">
        <v>45</v>
      </c>
      <c r="X169" s="3">
        <v>45338</v>
      </c>
      <c r="Y169" s="5">
        <v>244</v>
      </c>
      <c r="Z169" s="3" t="s">
        <v>114</v>
      </c>
      <c r="AA169" s="6">
        <v>4400</v>
      </c>
      <c r="AB169" s="6">
        <v>0</v>
      </c>
      <c r="AC169" s="6">
        <v>4400</v>
      </c>
      <c r="AD169" s="6"/>
      <c r="AE169" s="2" t="s">
        <v>47</v>
      </c>
      <c r="AF169" s="2"/>
      <c r="AG169" s="2" t="s">
        <v>47</v>
      </c>
      <c r="AH169" s="2"/>
      <c r="AI169" s="2"/>
      <c r="AJ169" s="2" t="s">
        <v>48</v>
      </c>
      <c r="AK169" s="2"/>
      <c r="AL169" s="2" t="s">
        <v>49</v>
      </c>
    </row>
    <row r="170" spans="1:38" x14ac:dyDescent="0.25">
      <c r="A170" s="2" t="s">
        <v>369</v>
      </c>
      <c r="B170" s="2"/>
      <c r="C170" s="2" t="s">
        <v>39</v>
      </c>
      <c r="D170" s="3">
        <v>45338</v>
      </c>
      <c r="E170" s="3">
        <v>45338</v>
      </c>
      <c r="F170" s="3">
        <v>45704</v>
      </c>
      <c r="G170" s="2" t="s">
        <v>40</v>
      </c>
      <c r="H170" s="2" t="s">
        <v>370</v>
      </c>
      <c r="I170" s="2">
        <v>2720</v>
      </c>
      <c r="J170" s="2" t="s">
        <v>42</v>
      </c>
      <c r="K170" s="2" t="s">
        <v>43</v>
      </c>
      <c r="L170" s="4">
        <v>0</v>
      </c>
      <c r="M170" s="4">
        <v>2342</v>
      </c>
      <c r="N170" s="4">
        <v>2719</v>
      </c>
      <c r="O170" s="4">
        <v>0</v>
      </c>
      <c r="P170" s="4">
        <v>0</v>
      </c>
      <c r="Q170" s="4">
        <v>2719</v>
      </c>
      <c r="R170" s="2"/>
      <c r="S170" s="2"/>
      <c r="T170" s="2"/>
      <c r="U170" s="2" t="s">
        <v>44</v>
      </c>
      <c r="V170" s="4">
        <v>351</v>
      </c>
      <c r="W170" s="2" t="s">
        <v>45</v>
      </c>
      <c r="X170" s="3">
        <v>45338</v>
      </c>
      <c r="Y170" s="5">
        <v>244</v>
      </c>
      <c r="Z170" s="3" t="s">
        <v>114</v>
      </c>
      <c r="AA170" s="6">
        <v>2719</v>
      </c>
      <c r="AB170" s="6">
        <v>0</v>
      </c>
      <c r="AC170" s="6">
        <v>2719</v>
      </c>
      <c r="AD170" s="6"/>
      <c r="AE170" s="2" t="s">
        <v>47</v>
      </c>
      <c r="AF170" s="2"/>
      <c r="AG170" s="2" t="s">
        <v>47</v>
      </c>
      <c r="AH170" s="2"/>
      <c r="AI170" s="2"/>
      <c r="AJ170" s="2" t="s">
        <v>48</v>
      </c>
      <c r="AK170" s="2"/>
      <c r="AL170" s="2" t="s">
        <v>49</v>
      </c>
    </row>
    <row r="171" spans="1:38" x14ac:dyDescent="0.25">
      <c r="A171" s="2" t="s">
        <v>371</v>
      </c>
      <c r="B171" s="2"/>
      <c r="C171" s="2" t="s">
        <v>39</v>
      </c>
      <c r="D171" s="3">
        <v>45338</v>
      </c>
      <c r="E171" s="3">
        <v>45338</v>
      </c>
      <c r="F171" s="3">
        <v>45704</v>
      </c>
      <c r="G171" s="2" t="s">
        <v>40</v>
      </c>
      <c r="H171" s="2" t="s">
        <v>372</v>
      </c>
      <c r="I171" s="2">
        <v>4396</v>
      </c>
      <c r="J171" s="2" t="s">
        <v>42</v>
      </c>
      <c r="K171" s="2" t="s">
        <v>43</v>
      </c>
      <c r="L171" s="4">
        <v>0</v>
      </c>
      <c r="M171" s="4">
        <v>3816</v>
      </c>
      <c r="N171" s="4">
        <v>4400</v>
      </c>
      <c r="O171" s="4">
        <v>0</v>
      </c>
      <c r="P171" s="4">
        <v>0</v>
      </c>
      <c r="Q171" s="4">
        <v>4400</v>
      </c>
      <c r="R171" s="2"/>
      <c r="S171" s="2"/>
      <c r="T171" s="2"/>
      <c r="U171" s="2" t="s">
        <v>44</v>
      </c>
      <c r="V171" s="4">
        <v>572</v>
      </c>
      <c r="W171" s="2" t="s">
        <v>45</v>
      </c>
      <c r="X171" s="3">
        <v>45338</v>
      </c>
      <c r="Y171" s="5">
        <v>244</v>
      </c>
      <c r="Z171" s="3" t="s">
        <v>114</v>
      </c>
      <c r="AA171" s="6">
        <v>4400</v>
      </c>
      <c r="AB171" s="6">
        <v>0</v>
      </c>
      <c r="AC171" s="6">
        <v>4400</v>
      </c>
      <c r="AD171" s="6"/>
      <c r="AE171" s="2" t="s">
        <v>47</v>
      </c>
      <c r="AF171" s="2"/>
      <c r="AG171" s="2" t="s">
        <v>47</v>
      </c>
      <c r="AH171" s="2"/>
      <c r="AI171" s="2"/>
      <c r="AJ171" s="2" t="s">
        <v>48</v>
      </c>
      <c r="AK171" s="2"/>
      <c r="AL171" s="2" t="s">
        <v>49</v>
      </c>
    </row>
    <row r="172" spans="1:38" x14ac:dyDescent="0.25">
      <c r="A172" s="2" t="s">
        <v>373</v>
      </c>
      <c r="B172" s="2"/>
      <c r="C172" s="2" t="s">
        <v>39</v>
      </c>
      <c r="D172" s="3">
        <v>45338</v>
      </c>
      <c r="E172" s="3">
        <v>45338</v>
      </c>
      <c r="F172" s="3">
        <v>45704</v>
      </c>
      <c r="G172" s="2" t="s">
        <v>40</v>
      </c>
      <c r="H172" s="2" t="s">
        <v>374</v>
      </c>
      <c r="I172" s="2">
        <v>4396</v>
      </c>
      <c r="J172" s="2" t="s">
        <v>42</v>
      </c>
      <c r="K172" s="2" t="s">
        <v>43</v>
      </c>
      <c r="L172" s="4">
        <v>0</v>
      </c>
      <c r="M172" s="4">
        <v>3816</v>
      </c>
      <c r="N172" s="4">
        <v>4400</v>
      </c>
      <c r="O172" s="4">
        <v>0</v>
      </c>
      <c r="P172" s="4">
        <v>0</v>
      </c>
      <c r="Q172" s="4">
        <v>4400</v>
      </c>
      <c r="R172" s="2"/>
      <c r="S172" s="2"/>
      <c r="T172" s="2"/>
      <c r="U172" s="2" t="s">
        <v>44</v>
      </c>
      <c r="V172" s="4">
        <v>572</v>
      </c>
      <c r="W172" s="2" t="s">
        <v>45</v>
      </c>
      <c r="X172" s="3">
        <v>45338</v>
      </c>
      <c r="Y172" s="5">
        <v>244</v>
      </c>
      <c r="Z172" s="3" t="s">
        <v>114</v>
      </c>
      <c r="AA172" s="6">
        <v>4400</v>
      </c>
      <c r="AB172" s="6">
        <v>0</v>
      </c>
      <c r="AC172" s="6">
        <v>4400</v>
      </c>
      <c r="AD172" s="6"/>
      <c r="AE172" s="2" t="s">
        <v>47</v>
      </c>
      <c r="AF172" s="2"/>
      <c r="AG172" s="2" t="s">
        <v>47</v>
      </c>
      <c r="AH172" s="2"/>
      <c r="AI172" s="2"/>
      <c r="AJ172" s="2" t="s">
        <v>48</v>
      </c>
      <c r="AK172" s="2"/>
      <c r="AL172" s="2" t="s">
        <v>49</v>
      </c>
    </row>
    <row r="173" spans="1:38" x14ac:dyDescent="0.25">
      <c r="A173" s="2" t="s">
        <v>375</v>
      </c>
      <c r="B173" s="2"/>
      <c r="C173" s="2" t="s">
        <v>39</v>
      </c>
      <c r="D173" s="3">
        <v>45338</v>
      </c>
      <c r="E173" s="3">
        <v>45338</v>
      </c>
      <c r="F173" s="3">
        <v>45520</v>
      </c>
      <c r="G173" s="2" t="s">
        <v>40</v>
      </c>
      <c r="H173" s="2" t="s">
        <v>376</v>
      </c>
      <c r="I173" s="2">
        <v>3023</v>
      </c>
      <c r="J173" s="2" t="s">
        <v>42</v>
      </c>
      <c r="K173" s="2" t="s">
        <v>43</v>
      </c>
      <c r="L173" s="4">
        <v>0</v>
      </c>
      <c r="M173" s="4">
        <v>2610</v>
      </c>
      <c r="N173" s="4">
        <v>3025</v>
      </c>
      <c r="O173" s="4">
        <v>0</v>
      </c>
      <c r="P173" s="4">
        <v>0</v>
      </c>
      <c r="Q173" s="4">
        <v>3025</v>
      </c>
      <c r="R173" s="2"/>
      <c r="S173" s="2"/>
      <c r="T173" s="2"/>
      <c r="U173" s="2" t="s">
        <v>44</v>
      </c>
      <c r="V173" s="4">
        <v>392</v>
      </c>
      <c r="W173" s="2" t="s">
        <v>45</v>
      </c>
      <c r="X173" s="3">
        <v>45338</v>
      </c>
      <c r="Y173" s="5">
        <v>244</v>
      </c>
      <c r="Z173" s="3" t="s">
        <v>114</v>
      </c>
      <c r="AA173" s="6">
        <v>3025</v>
      </c>
      <c r="AB173" s="6">
        <v>0</v>
      </c>
      <c r="AC173" s="6">
        <v>3025</v>
      </c>
      <c r="AD173" s="6"/>
      <c r="AE173" s="2" t="s">
        <v>47</v>
      </c>
      <c r="AF173" s="2"/>
      <c r="AG173" s="2" t="s">
        <v>47</v>
      </c>
      <c r="AH173" s="2"/>
      <c r="AI173" s="2"/>
      <c r="AJ173" s="2" t="s">
        <v>48</v>
      </c>
      <c r="AK173" s="2"/>
      <c r="AL173" s="2" t="s">
        <v>49</v>
      </c>
    </row>
    <row r="174" spans="1:38" x14ac:dyDescent="0.25">
      <c r="A174" s="2" t="s">
        <v>378</v>
      </c>
      <c r="B174" s="2"/>
      <c r="C174" s="2" t="s">
        <v>39</v>
      </c>
      <c r="D174" s="3">
        <v>45338</v>
      </c>
      <c r="E174" s="3">
        <v>45338</v>
      </c>
      <c r="F174" s="3">
        <v>45704</v>
      </c>
      <c r="G174" s="2" t="s">
        <v>40</v>
      </c>
      <c r="H174" s="2" t="s">
        <v>379</v>
      </c>
      <c r="I174" s="2">
        <v>2800</v>
      </c>
      <c r="J174" s="2" t="s">
        <v>42</v>
      </c>
      <c r="K174" s="2" t="s">
        <v>43</v>
      </c>
      <c r="L174" s="4">
        <v>0</v>
      </c>
      <c r="M174" s="4">
        <v>2412</v>
      </c>
      <c r="N174" s="4">
        <v>2800</v>
      </c>
      <c r="O174" s="4">
        <v>0</v>
      </c>
      <c r="P174" s="4">
        <v>0</v>
      </c>
      <c r="Q174" s="4">
        <v>2800</v>
      </c>
      <c r="R174" s="2"/>
      <c r="S174" s="2"/>
      <c r="T174" s="2"/>
      <c r="U174" s="2" t="s">
        <v>44</v>
      </c>
      <c r="V174" s="4">
        <v>362</v>
      </c>
      <c r="W174" s="2" t="s">
        <v>45</v>
      </c>
      <c r="X174" s="3">
        <v>45338</v>
      </c>
      <c r="Y174" s="5">
        <v>244</v>
      </c>
      <c r="Z174" s="3" t="s">
        <v>114</v>
      </c>
      <c r="AA174" s="6">
        <v>2800</v>
      </c>
      <c r="AB174" s="6">
        <v>0</v>
      </c>
      <c r="AC174" s="6">
        <v>2800</v>
      </c>
      <c r="AD174" s="6"/>
      <c r="AE174" s="2" t="s">
        <v>47</v>
      </c>
      <c r="AF174" s="2"/>
      <c r="AG174" s="2" t="s">
        <v>47</v>
      </c>
      <c r="AH174" s="2"/>
      <c r="AI174" s="2"/>
      <c r="AJ174" s="2" t="s">
        <v>48</v>
      </c>
      <c r="AK174" s="2"/>
      <c r="AL174" s="2" t="s">
        <v>49</v>
      </c>
    </row>
    <row r="175" spans="1:38" x14ac:dyDescent="0.25">
      <c r="A175" s="2" t="s">
        <v>380</v>
      </c>
      <c r="B175" s="2"/>
      <c r="C175" s="2" t="s">
        <v>39</v>
      </c>
      <c r="D175" s="3">
        <v>45338</v>
      </c>
      <c r="E175" s="3">
        <v>45338</v>
      </c>
      <c r="F175" s="3">
        <v>45704</v>
      </c>
      <c r="G175" s="2" t="s">
        <v>40</v>
      </c>
      <c r="H175" s="2" t="s">
        <v>355</v>
      </c>
      <c r="I175" s="2">
        <v>2720</v>
      </c>
      <c r="J175" s="2" t="s">
        <v>42</v>
      </c>
      <c r="K175" s="2" t="s">
        <v>43</v>
      </c>
      <c r="L175" s="4">
        <v>0</v>
      </c>
      <c r="M175" s="4">
        <v>2342</v>
      </c>
      <c r="N175" s="4">
        <v>2719</v>
      </c>
      <c r="O175" s="4">
        <v>0</v>
      </c>
      <c r="P175" s="4">
        <v>0</v>
      </c>
      <c r="Q175" s="4">
        <v>2719</v>
      </c>
      <c r="R175" s="2"/>
      <c r="S175" s="2"/>
      <c r="T175" s="2"/>
      <c r="U175" s="2" t="s">
        <v>44</v>
      </c>
      <c r="V175" s="4">
        <v>351</v>
      </c>
      <c r="W175" s="2" t="s">
        <v>45</v>
      </c>
      <c r="X175" s="3">
        <v>45338</v>
      </c>
      <c r="Y175" s="5">
        <v>244</v>
      </c>
      <c r="Z175" s="3" t="s">
        <v>114</v>
      </c>
      <c r="AA175" s="6">
        <v>2719</v>
      </c>
      <c r="AB175" s="6">
        <v>0</v>
      </c>
      <c r="AC175" s="6">
        <v>2719</v>
      </c>
      <c r="AD175" s="6"/>
      <c r="AE175" s="2" t="s">
        <v>47</v>
      </c>
      <c r="AF175" s="2"/>
      <c r="AG175" s="2" t="s">
        <v>47</v>
      </c>
      <c r="AH175" s="2"/>
      <c r="AI175" s="2"/>
      <c r="AJ175" s="2" t="s">
        <v>48</v>
      </c>
      <c r="AK175" s="2"/>
      <c r="AL175" s="2" t="s">
        <v>49</v>
      </c>
    </row>
    <row r="176" spans="1:38" x14ac:dyDescent="0.25">
      <c r="A176" s="2" t="s">
        <v>381</v>
      </c>
      <c r="B176" s="2"/>
      <c r="C176" s="2" t="s">
        <v>39</v>
      </c>
      <c r="D176" s="3">
        <v>45338</v>
      </c>
      <c r="E176" s="3">
        <v>45338</v>
      </c>
      <c r="F176" s="3">
        <v>45704</v>
      </c>
      <c r="G176" s="2" t="s">
        <v>40</v>
      </c>
      <c r="H176" s="2" t="s">
        <v>358</v>
      </c>
      <c r="I176" s="2">
        <v>4396</v>
      </c>
      <c r="J176" s="2" t="s">
        <v>42</v>
      </c>
      <c r="K176" s="2" t="s">
        <v>43</v>
      </c>
      <c r="L176" s="4">
        <v>0</v>
      </c>
      <c r="M176" s="4">
        <v>3816</v>
      </c>
      <c r="N176" s="4">
        <v>4400</v>
      </c>
      <c r="O176" s="4">
        <v>0</v>
      </c>
      <c r="P176" s="4">
        <v>0</v>
      </c>
      <c r="Q176" s="4">
        <v>4400</v>
      </c>
      <c r="R176" s="2"/>
      <c r="S176" s="2"/>
      <c r="T176" s="2"/>
      <c r="U176" s="2" t="s">
        <v>44</v>
      </c>
      <c r="V176" s="4">
        <v>572</v>
      </c>
      <c r="W176" s="2" t="s">
        <v>45</v>
      </c>
      <c r="X176" s="3">
        <v>45338</v>
      </c>
      <c r="Y176" s="5">
        <v>244</v>
      </c>
      <c r="Z176" s="3" t="s">
        <v>114</v>
      </c>
      <c r="AA176" s="6">
        <v>4400</v>
      </c>
      <c r="AB176" s="6">
        <v>0</v>
      </c>
      <c r="AC176" s="6">
        <v>4400</v>
      </c>
      <c r="AD176" s="6"/>
      <c r="AE176" s="2" t="s">
        <v>47</v>
      </c>
      <c r="AF176" s="2"/>
      <c r="AG176" s="2" t="s">
        <v>47</v>
      </c>
      <c r="AH176" s="2"/>
      <c r="AI176" s="2"/>
      <c r="AJ176" s="2" t="s">
        <v>48</v>
      </c>
      <c r="AK176" s="2"/>
      <c r="AL176" s="2" t="s">
        <v>49</v>
      </c>
    </row>
    <row r="177" spans="1:38" x14ac:dyDescent="0.25">
      <c r="A177" s="2" t="s">
        <v>383</v>
      </c>
      <c r="B177" s="2"/>
      <c r="C177" s="2" t="s">
        <v>39</v>
      </c>
      <c r="D177" s="3">
        <v>45338</v>
      </c>
      <c r="E177" s="3">
        <v>45338</v>
      </c>
      <c r="F177" s="3">
        <v>45704</v>
      </c>
      <c r="G177" s="2" t="s">
        <v>40</v>
      </c>
      <c r="H177" s="2" t="s">
        <v>361</v>
      </c>
      <c r="I177" s="2">
        <v>4396</v>
      </c>
      <c r="J177" s="2" t="s">
        <v>42</v>
      </c>
      <c r="K177" s="2" t="s">
        <v>43</v>
      </c>
      <c r="L177" s="4">
        <v>0</v>
      </c>
      <c r="M177" s="4">
        <v>3816</v>
      </c>
      <c r="N177" s="4">
        <v>4400</v>
      </c>
      <c r="O177" s="4">
        <v>0</v>
      </c>
      <c r="P177" s="4">
        <v>0</v>
      </c>
      <c r="Q177" s="4">
        <v>4400</v>
      </c>
      <c r="R177" s="2"/>
      <c r="S177" s="2"/>
      <c r="T177" s="2"/>
      <c r="U177" s="2" t="s">
        <v>44</v>
      </c>
      <c r="V177" s="4">
        <v>572</v>
      </c>
      <c r="W177" s="2" t="s">
        <v>45</v>
      </c>
      <c r="X177" s="3">
        <v>45338</v>
      </c>
      <c r="Y177" s="5">
        <v>244</v>
      </c>
      <c r="Z177" s="3" t="s">
        <v>114</v>
      </c>
      <c r="AA177" s="6">
        <v>4400</v>
      </c>
      <c r="AB177" s="6">
        <v>0</v>
      </c>
      <c r="AC177" s="6">
        <v>4400</v>
      </c>
      <c r="AD177" s="6"/>
      <c r="AE177" s="2" t="s">
        <v>47</v>
      </c>
      <c r="AF177" s="2"/>
      <c r="AG177" s="2" t="s">
        <v>47</v>
      </c>
      <c r="AH177" s="2"/>
      <c r="AI177" s="2"/>
      <c r="AJ177" s="2" t="s">
        <v>48</v>
      </c>
      <c r="AK177" s="2"/>
      <c r="AL177" s="2" t="s">
        <v>49</v>
      </c>
    </row>
    <row r="178" spans="1:38" x14ac:dyDescent="0.25">
      <c r="A178" s="2" t="s">
        <v>384</v>
      </c>
      <c r="B178" s="2"/>
      <c r="C178" s="2" t="s">
        <v>39</v>
      </c>
      <c r="D178" s="3">
        <v>45338</v>
      </c>
      <c r="E178" s="3">
        <v>45338</v>
      </c>
      <c r="F178" s="3">
        <v>45704</v>
      </c>
      <c r="G178" s="2" t="s">
        <v>40</v>
      </c>
      <c r="H178" s="2" t="s">
        <v>368</v>
      </c>
      <c r="I178" s="2">
        <v>4396</v>
      </c>
      <c r="J178" s="2" t="s">
        <v>42</v>
      </c>
      <c r="K178" s="2" t="s">
        <v>43</v>
      </c>
      <c r="L178" s="4">
        <v>0</v>
      </c>
      <c r="M178" s="4">
        <v>3816</v>
      </c>
      <c r="N178" s="4">
        <v>4400</v>
      </c>
      <c r="O178" s="4">
        <v>0</v>
      </c>
      <c r="P178" s="4">
        <v>0</v>
      </c>
      <c r="Q178" s="4">
        <v>4400</v>
      </c>
      <c r="R178" s="2"/>
      <c r="S178" s="2"/>
      <c r="T178" s="2"/>
      <c r="U178" s="2" t="s">
        <v>44</v>
      </c>
      <c r="V178" s="4">
        <v>572</v>
      </c>
      <c r="W178" s="2" t="s">
        <v>45</v>
      </c>
      <c r="X178" s="3">
        <v>45338</v>
      </c>
      <c r="Y178" s="5">
        <v>244</v>
      </c>
      <c r="Z178" s="3" t="s">
        <v>114</v>
      </c>
      <c r="AA178" s="6">
        <v>4400</v>
      </c>
      <c r="AB178" s="6">
        <v>0</v>
      </c>
      <c r="AC178" s="6">
        <v>4400</v>
      </c>
      <c r="AD178" s="6"/>
      <c r="AE178" s="2" t="s">
        <v>47</v>
      </c>
      <c r="AF178" s="2"/>
      <c r="AG178" s="2" t="s">
        <v>47</v>
      </c>
      <c r="AH178" s="2"/>
      <c r="AI178" s="2"/>
      <c r="AJ178" s="2" t="s">
        <v>48</v>
      </c>
      <c r="AK178" s="2"/>
      <c r="AL178" s="2" t="s">
        <v>49</v>
      </c>
    </row>
    <row r="179" spans="1:38" x14ac:dyDescent="0.25">
      <c r="A179" s="2" t="s">
        <v>385</v>
      </c>
      <c r="B179" s="2"/>
      <c r="C179" s="2" t="s">
        <v>39</v>
      </c>
      <c r="D179" s="3">
        <v>45338</v>
      </c>
      <c r="E179" s="3">
        <v>45338</v>
      </c>
      <c r="F179" s="3">
        <v>45704</v>
      </c>
      <c r="G179" s="2" t="s">
        <v>40</v>
      </c>
      <c r="H179" s="2" t="s">
        <v>370</v>
      </c>
      <c r="I179" s="2">
        <v>2720</v>
      </c>
      <c r="J179" s="2" t="s">
        <v>42</v>
      </c>
      <c r="K179" s="2" t="s">
        <v>43</v>
      </c>
      <c r="L179" s="4">
        <v>0</v>
      </c>
      <c r="M179" s="4">
        <v>2342</v>
      </c>
      <c r="N179" s="4">
        <v>2719</v>
      </c>
      <c r="O179" s="4">
        <v>0</v>
      </c>
      <c r="P179" s="4">
        <v>0</v>
      </c>
      <c r="Q179" s="4">
        <v>2719</v>
      </c>
      <c r="R179" s="2"/>
      <c r="S179" s="2"/>
      <c r="T179" s="2"/>
      <c r="U179" s="2" t="s">
        <v>44</v>
      </c>
      <c r="V179" s="4">
        <v>351</v>
      </c>
      <c r="W179" s="2" t="s">
        <v>45</v>
      </c>
      <c r="X179" s="3">
        <v>45338</v>
      </c>
      <c r="Y179" s="5">
        <v>244</v>
      </c>
      <c r="Z179" s="3" t="s">
        <v>114</v>
      </c>
      <c r="AA179" s="6">
        <v>2719</v>
      </c>
      <c r="AB179" s="6">
        <v>0</v>
      </c>
      <c r="AC179" s="6">
        <v>2719</v>
      </c>
      <c r="AD179" s="6"/>
      <c r="AE179" s="2" t="s">
        <v>47</v>
      </c>
      <c r="AF179" s="2"/>
      <c r="AG179" s="2" t="s">
        <v>47</v>
      </c>
      <c r="AH179" s="2"/>
      <c r="AI179" s="2"/>
      <c r="AJ179" s="2" t="s">
        <v>48</v>
      </c>
      <c r="AK179" s="2"/>
      <c r="AL179" s="2" t="s">
        <v>49</v>
      </c>
    </row>
    <row r="180" spans="1:38" x14ac:dyDescent="0.25">
      <c r="A180" s="2" t="s">
        <v>386</v>
      </c>
      <c r="B180" s="2"/>
      <c r="C180" s="2" t="s">
        <v>39</v>
      </c>
      <c r="D180" s="3">
        <v>45338</v>
      </c>
      <c r="E180" s="3">
        <v>45338</v>
      </c>
      <c r="F180" s="3">
        <v>45704</v>
      </c>
      <c r="G180" s="2" t="s">
        <v>40</v>
      </c>
      <c r="H180" s="2" t="s">
        <v>374</v>
      </c>
      <c r="I180" s="2">
        <v>4396</v>
      </c>
      <c r="J180" s="2" t="s">
        <v>42</v>
      </c>
      <c r="K180" s="2" t="s">
        <v>43</v>
      </c>
      <c r="L180" s="4">
        <v>0</v>
      </c>
      <c r="M180" s="4">
        <v>3816</v>
      </c>
      <c r="N180" s="4">
        <v>4400</v>
      </c>
      <c r="O180" s="4">
        <v>0</v>
      </c>
      <c r="P180" s="4">
        <v>0</v>
      </c>
      <c r="Q180" s="4">
        <v>4400</v>
      </c>
      <c r="R180" s="2"/>
      <c r="S180" s="2"/>
      <c r="T180" s="2"/>
      <c r="U180" s="2" t="s">
        <v>44</v>
      </c>
      <c r="V180" s="4">
        <v>572</v>
      </c>
      <c r="W180" s="2" t="s">
        <v>45</v>
      </c>
      <c r="X180" s="3">
        <v>45338</v>
      </c>
      <c r="Y180" s="5">
        <v>244</v>
      </c>
      <c r="Z180" s="3" t="s">
        <v>114</v>
      </c>
      <c r="AA180" s="6">
        <v>4400</v>
      </c>
      <c r="AB180" s="6">
        <v>0</v>
      </c>
      <c r="AC180" s="6">
        <v>4400</v>
      </c>
      <c r="AD180" s="6"/>
      <c r="AE180" s="2" t="s">
        <v>47</v>
      </c>
      <c r="AF180" s="2"/>
      <c r="AG180" s="2" t="s">
        <v>47</v>
      </c>
      <c r="AH180" s="2"/>
      <c r="AI180" s="2"/>
      <c r="AJ180" s="2" t="s">
        <v>48</v>
      </c>
      <c r="AK180" s="2"/>
      <c r="AL180" s="2" t="s">
        <v>49</v>
      </c>
    </row>
    <row r="181" spans="1:38" x14ac:dyDescent="0.25">
      <c r="A181" s="2" t="s">
        <v>387</v>
      </c>
      <c r="B181" s="2"/>
      <c r="C181" s="2" t="s">
        <v>39</v>
      </c>
      <c r="D181" s="3">
        <v>45338</v>
      </c>
      <c r="E181" s="3">
        <v>45338</v>
      </c>
      <c r="F181" s="3">
        <v>45520</v>
      </c>
      <c r="G181" s="2" t="s">
        <v>40</v>
      </c>
      <c r="H181" s="2" t="s">
        <v>376</v>
      </c>
      <c r="I181" s="2">
        <v>3023</v>
      </c>
      <c r="J181" s="2" t="s">
        <v>42</v>
      </c>
      <c r="K181" s="2" t="s">
        <v>43</v>
      </c>
      <c r="L181" s="4">
        <v>0</v>
      </c>
      <c r="M181" s="4">
        <v>2610</v>
      </c>
      <c r="N181" s="4">
        <v>3025</v>
      </c>
      <c r="O181" s="4">
        <v>0</v>
      </c>
      <c r="P181" s="4">
        <v>0</v>
      </c>
      <c r="Q181" s="4">
        <v>3025</v>
      </c>
      <c r="R181" s="2"/>
      <c r="S181" s="2"/>
      <c r="T181" s="2"/>
      <c r="U181" s="2" t="s">
        <v>44</v>
      </c>
      <c r="V181" s="4">
        <v>392</v>
      </c>
      <c r="W181" s="2" t="s">
        <v>45</v>
      </c>
      <c r="X181" s="3">
        <v>45338</v>
      </c>
      <c r="Y181" s="5">
        <v>244</v>
      </c>
      <c r="Z181" s="3" t="s">
        <v>114</v>
      </c>
      <c r="AA181" s="6">
        <v>3025</v>
      </c>
      <c r="AB181" s="6">
        <v>0</v>
      </c>
      <c r="AC181" s="6">
        <v>3025</v>
      </c>
      <c r="AD181" s="6"/>
      <c r="AE181" s="2" t="s">
        <v>47</v>
      </c>
      <c r="AF181" s="2"/>
      <c r="AG181" s="2" t="s">
        <v>47</v>
      </c>
      <c r="AH181" s="2"/>
      <c r="AI181" s="2"/>
      <c r="AJ181" s="2" t="s">
        <v>48</v>
      </c>
      <c r="AK181" s="2"/>
      <c r="AL181" s="2" t="s">
        <v>49</v>
      </c>
    </row>
    <row r="182" spans="1:38" x14ac:dyDescent="0.25">
      <c r="A182" s="2" t="s">
        <v>388</v>
      </c>
      <c r="B182" s="2"/>
      <c r="C182" s="2" t="s">
        <v>39</v>
      </c>
      <c r="D182" s="3">
        <v>45338</v>
      </c>
      <c r="E182" s="3">
        <v>45338</v>
      </c>
      <c r="F182" s="3">
        <v>45704</v>
      </c>
      <c r="G182" s="2" t="s">
        <v>40</v>
      </c>
      <c r="H182" s="2" t="s">
        <v>377</v>
      </c>
      <c r="I182" s="2">
        <v>4396</v>
      </c>
      <c r="J182" s="2" t="s">
        <v>42</v>
      </c>
      <c r="K182" s="2" t="s">
        <v>43</v>
      </c>
      <c r="L182" s="4">
        <v>0</v>
      </c>
      <c r="M182" s="4">
        <v>3816</v>
      </c>
      <c r="N182" s="4">
        <v>4400</v>
      </c>
      <c r="O182" s="4">
        <v>0</v>
      </c>
      <c r="P182" s="4">
        <v>0</v>
      </c>
      <c r="Q182" s="4">
        <v>4400</v>
      </c>
      <c r="R182" s="2"/>
      <c r="S182" s="2"/>
      <c r="T182" s="2"/>
      <c r="U182" s="2" t="s">
        <v>44</v>
      </c>
      <c r="V182" s="4">
        <v>572</v>
      </c>
      <c r="W182" s="2" t="s">
        <v>45</v>
      </c>
      <c r="X182" s="3">
        <v>45338</v>
      </c>
      <c r="Y182" s="5">
        <v>244</v>
      </c>
      <c r="Z182" s="3" t="s">
        <v>114</v>
      </c>
      <c r="AA182" s="6">
        <v>4400</v>
      </c>
      <c r="AB182" s="6">
        <v>0</v>
      </c>
      <c r="AC182" s="6">
        <v>4400</v>
      </c>
      <c r="AD182" s="6"/>
      <c r="AE182" s="2" t="s">
        <v>47</v>
      </c>
      <c r="AF182" s="2"/>
      <c r="AG182" s="2" t="s">
        <v>47</v>
      </c>
      <c r="AH182" s="2"/>
      <c r="AI182" s="2"/>
      <c r="AJ182" s="2" t="s">
        <v>48</v>
      </c>
      <c r="AK182" s="2"/>
      <c r="AL182" s="2" t="s">
        <v>49</v>
      </c>
    </row>
    <row r="183" spans="1:38" x14ac:dyDescent="0.25">
      <c r="A183" s="2" t="s">
        <v>389</v>
      </c>
      <c r="B183" s="2"/>
      <c r="C183" s="2" t="s">
        <v>39</v>
      </c>
      <c r="D183" s="3">
        <v>45338</v>
      </c>
      <c r="E183" s="3">
        <v>45338</v>
      </c>
      <c r="F183" s="3">
        <v>45704</v>
      </c>
      <c r="G183" s="2" t="s">
        <v>40</v>
      </c>
      <c r="H183" s="2" t="s">
        <v>379</v>
      </c>
      <c r="I183" s="2">
        <v>2800</v>
      </c>
      <c r="J183" s="2" t="s">
        <v>42</v>
      </c>
      <c r="K183" s="2" t="s">
        <v>43</v>
      </c>
      <c r="L183" s="4">
        <v>0</v>
      </c>
      <c r="M183" s="4">
        <v>2412</v>
      </c>
      <c r="N183" s="4">
        <v>2800</v>
      </c>
      <c r="O183" s="4">
        <v>0</v>
      </c>
      <c r="P183" s="4">
        <v>0</v>
      </c>
      <c r="Q183" s="4">
        <v>2800</v>
      </c>
      <c r="R183" s="2"/>
      <c r="S183" s="2"/>
      <c r="T183" s="2"/>
      <c r="U183" s="2" t="s">
        <v>44</v>
      </c>
      <c r="V183" s="4">
        <v>362</v>
      </c>
      <c r="W183" s="2" t="s">
        <v>45</v>
      </c>
      <c r="X183" s="3">
        <v>45338</v>
      </c>
      <c r="Y183" s="5">
        <v>244</v>
      </c>
      <c r="Z183" s="3" t="s">
        <v>114</v>
      </c>
      <c r="AA183" s="6">
        <v>2800</v>
      </c>
      <c r="AB183" s="6">
        <v>0</v>
      </c>
      <c r="AC183" s="6">
        <v>2800</v>
      </c>
      <c r="AD183" s="6"/>
      <c r="AE183" s="2" t="s">
        <v>47</v>
      </c>
      <c r="AF183" s="2"/>
      <c r="AG183" s="2" t="s">
        <v>47</v>
      </c>
      <c r="AH183" s="2"/>
      <c r="AI183" s="2"/>
      <c r="AJ183" s="2" t="s">
        <v>48</v>
      </c>
      <c r="AK183" s="2"/>
      <c r="AL183" s="2" t="s">
        <v>49</v>
      </c>
    </row>
    <row r="184" spans="1:38" x14ac:dyDescent="0.25">
      <c r="A184" s="2" t="s">
        <v>390</v>
      </c>
      <c r="B184" s="2"/>
      <c r="C184" s="2" t="s">
        <v>39</v>
      </c>
      <c r="D184" s="3">
        <v>45338</v>
      </c>
      <c r="E184" s="3">
        <v>45338</v>
      </c>
      <c r="F184" s="3">
        <v>45704</v>
      </c>
      <c r="G184" s="2" t="s">
        <v>40</v>
      </c>
      <c r="H184" s="2" t="s">
        <v>391</v>
      </c>
      <c r="I184" s="2">
        <v>4396</v>
      </c>
      <c r="J184" s="2" t="s">
        <v>42</v>
      </c>
      <c r="K184" s="2" t="s">
        <v>43</v>
      </c>
      <c r="L184" s="4">
        <v>0</v>
      </c>
      <c r="M184" s="4">
        <v>3816</v>
      </c>
      <c r="N184" s="4">
        <v>4400</v>
      </c>
      <c r="O184" s="4">
        <v>0</v>
      </c>
      <c r="P184" s="4">
        <v>0</v>
      </c>
      <c r="Q184" s="4">
        <v>4400</v>
      </c>
      <c r="R184" s="2"/>
      <c r="S184" s="2"/>
      <c r="T184" s="2"/>
      <c r="U184" s="2" t="s">
        <v>44</v>
      </c>
      <c r="V184" s="4">
        <v>572</v>
      </c>
      <c r="W184" s="2" t="s">
        <v>45</v>
      </c>
      <c r="X184" s="3">
        <v>45338</v>
      </c>
      <c r="Y184" s="5">
        <v>244</v>
      </c>
      <c r="Z184" s="3" t="s">
        <v>114</v>
      </c>
      <c r="AA184" s="6">
        <v>4400</v>
      </c>
      <c r="AB184" s="6">
        <v>0</v>
      </c>
      <c r="AC184" s="6">
        <v>4400</v>
      </c>
      <c r="AD184" s="6"/>
      <c r="AE184" s="2" t="s">
        <v>47</v>
      </c>
      <c r="AF184" s="2"/>
      <c r="AG184" s="2" t="s">
        <v>47</v>
      </c>
      <c r="AH184" s="2"/>
      <c r="AI184" s="2"/>
      <c r="AJ184" s="2" t="s">
        <v>48</v>
      </c>
      <c r="AK184" s="2"/>
      <c r="AL184" s="2" t="s">
        <v>49</v>
      </c>
    </row>
    <row r="185" spans="1:38" x14ac:dyDescent="0.25">
      <c r="A185" s="2" t="s">
        <v>392</v>
      </c>
      <c r="B185" s="2"/>
      <c r="C185" s="2" t="s">
        <v>39</v>
      </c>
      <c r="D185" s="3">
        <v>45338</v>
      </c>
      <c r="E185" s="3">
        <v>45338</v>
      </c>
      <c r="F185" s="3">
        <v>45704</v>
      </c>
      <c r="G185" s="2" t="s">
        <v>40</v>
      </c>
      <c r="H185" s="2" t="s">
        <v>382</v>
      </c>
      <c r="I185" s="2">
        <v>4396</v>
      </c>
      <c r="J185" s="2" t="s">
        <v>42</v>
      </c>
      <c r="K185" s="2" t="s">
        <v>43</v>
      </c>
      <c r="L185" s="4">
        <v>0</v>
      </c>
      <c r="M185" s="4">
        <v>3816</v>
      </c>
      <c r="N185" s="4">
        <v>4400</v>
      </c>
      <c r="O185" s="4">
        <v>0</v>
      </c>
      <c r="P185" s="4">
        <v>0</v>
      </c>
      <c r="Q185" s="4">
        <v>4400</v>
      </c>
      <c r="R185" s="2"/>
      <c r="S185" s="2"/>
      <c r="T185" s="2"/>
      <c r="U185" s="2" t="s">
        <v>44</v>
      </c>
      <c r="V185" s="4">
        <v>572</v>
      </c>
      <c r="W185" s="2" t="s">
        <v>45</v>
      </c>
      <c r="X185" s="3">
        <v>45338</v>
      </c>
      <c r="Y185" s="5">
        <v>244</v>
      </c>
      <c r="Z185" s="3" t="s">
        <v>114</v>
      </c>
      <c r="AA185" s="6">
        <v>4400</v>
      </c>
      <c r="AB185" s="6">
        <v>0</v>
      </c>
      <c r="AC185" s="6">
        <v>4400</v>
      </c>
      <c r="AD185" s="6"/>
      <c r="AE185" s="2" t="s">
        <v>47</v>
      </c>
      <c r="AF185" s="2"/>
      <c r="AG185" s="2" t="s">
        <v>47</v>
      </c>
      <c r="AH185" s="2"/>
      <c r="AI185" s="2"/>
      <c r="AJ185" s="2" t="s">
        <v>48</v>
      </c>
      <c r="AK185" s="2"/>
      <c r="AL185" s="2" t="s">
        <v>49</v>
      </c>
    </row>
    <row r="186" spans="1:38" x14ac:dyDescent="0.25">
      <c r="N186" s="7">
        <f>SUM(N2:N185)</f>
        <v>804324</v>
      </c>
    </row>
  </sheetData>
  <conditionalFormatting sqref="A1:A104857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91FF-AF45-45B3-A804-57FFC1F08E1A}">
  <dimension ref="A1:H187"/>
  <sheetViews>
    <sheetView tabSelected="1" topLeftCell="A184" workbookViewId="0">
      <selection activeCell="D188" sqref="D188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95.7109375" customWidth="1"/>
    <col min="7" max="7" width="88.42578125" customWidth="1"/>
    <col min="8" max="8" width="79.140625" customWidth="1"/>
  </cols>
  <sheetData>
    <row r="1" spans="1:8" x14ac:dyDescent="0.25">
      <c r="A1" s="9" t="s">
        <v>957</v>
      </c>
      <c r="B1" t="s">
        <v>958</v>
      </c>
      <c r="D1" s="10" t="s">
        <v>959</v>
      </c>
      <c r="E1" s="16" t="s">
        <v>960</v>
      </c>
    </row>
    <row r="2" spans="1:8" ht="117" customHeight="1" x14ac:dyDescent="0.25">
      <c r="A2" s="2" t="s">
        <v>38</v>
      </c>
      <c r="B2" s="11" t="str">
        <f>VLOOKUP(A2,policy!B:C,2,0)</f>
        <v>040000150015</v>
      </c>
      <c r="C2" s="4">
        <v>1925</v>
      </c>
      <c r="D2" s="12">
        <f>ROUND(C2,0)</f>
        <v>1925</v>
      </c>
      <c r="E2" s="16" t="s">
        <v>960</v>
      </c>
      <c r="F2" s="13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4" t="str">
        <f>"('"&amp;E2&amp;"','"&amp;B2&amp;"','"&amp;D2&amp;"',(select max(to_number(i.premium_rcv_detail_code))+1
from ins_premium_det i),'"&amp;D2&amp;"','"&amp;D2&amp;"','02', '11000003','00','Request by Mr. Saqib Saleem 15-Nov-2024');"</f>
        <v>('15Nov240016','040000150015','1925',(select max(to_number(i.premium_rcv_detail_code))+1
from ins_premium_det i),'1925','1925','02', '11000003','00','Request by Mr. Saqib Saleem 15-Nov-2024');</v>
      </c>
      <c r="H2" s="15" t="str">
        <f>F2&amp;G2</f>
        <v>insert into ins_premium_det (premium_rcv_code,assorted_code, rec_amount,premium_rcv_detail_code,remaining_amt, payrec, mode_code,coinsurance_code,class_cd,it_remarks) values('15Nov240016','040000150015','1925',(select max(to_number(i.premium_rcv_detail_code))+1
from ins_premium_det i),'1925','1925','02', '11000003','00','Request by Mr. Saqib Saleem 15-Nov-2024');</v>
      </c>
    </row>
    <row r="3" spans="1:8" ht="105" x14ac:dyDescent="0.25">
      <c r="A3" s="2" t="s">
        <v>50</v>
      </c>
      <c r="B3" s="11" t="str">
        <f>VLOOKUP(A3,policy!B:C,2,0)</f>
        <v>040000152118</v>
      </c>
      <c r="C3" s="4">
        <v>3025</v>
      </c>
      <c r="D3" s="12">
        <f t="shared" ref="D3:D66" si="1">ROUND(C3,0)</f>
        <v>3025</v>
      </c>
      <c r="E3" s="16" t="s">
        <v>960</v>
      </c>
      <c r="F3" s="13" t="str">
        <f t="shared" si="0"/>
        <v>insert into ins_premium_det (premium_rcv_code,assorted_code, rec_amount,premium_rcv_detail_code,remaining_amt, payrec, mode_code,coinsurance_code,class_cd,it_remarks) values</v>
      </c>
      <c r="G3" s="14" t="str">
        <f t="shared" ref="G3:G66" si="2">"('"&amp;E3&amp;"','"&amp;B3&amp;"','"&amp;D3&amp;"',(select max(to_number(i.premium_rcv_detail_code))+1
from ins_premium_det i),'"&amp;D3&amp;"','"&amp;D3&amp;"','02', '11000003','00','Request by Mr. Saqib Saleem 15-Nov-2024');"</f>
        <v>('15Nov240016','040000152118','3025',(select max(to_number(i.premium_rcv_detail_code))+1
from ins_premium_det i),'3025','3025','02', '11000003','00','Request by Mr. Saqib Saleem 15-Nov-2024');</v>
      </c>
      <c r="H3" s="15" t="str">
        <f t="shared" ref="H3:H66" si="3">F3&amp;G3</f>
        <v>insert into ins_premium_det (premium_rcv_code,assorted_code, rec_amount,premium_rcv_detail_code,remaining_amt, payrec, mode_code,coinsurance_code,class_cd,it_remarks) values('15Nov240016','040000152118','3025',(select max(to_number(i.premium_rcv_detail_code))+1
from ins_premium_det i),'3025','3025','02', '11000003','00','Request by Mr. Saqib Saleem 15-Nov-2024');</v>
      </c>
    </row>
    <row r="4" spans="1:8" ht="105" x14ac:dyDescent="0.25">
      <c r="A4" s="2" t="s">
        <v>52</v>
      </c>
      <c r="B4" s="11" t="str">
        <f>VLOOKUP(A4,policy!B:C,2,0)</f>
        <v>040000152417</v>
      </c>
      <c r="C4" s="4">
        <v>3025</v>
      </c>
      <c r="D4" s="12">
        <f t="shared" si="1"/>
        <v>3025</v>
      </c>
      <c r="E4" s="16" t="s">
        <v>960</v>
      </c>
      <c r="F4" s="13" t="str">
        <f t="shared" si="0"/>
        <v>insert into ins_premium_det (premium_rcv_code,assorted_code, rec_amount,premium_rcv_detail_code,remaining_amt, payrec, mode_code,coinsurance_code,class_cd,it_remarks) values</v>
      </c>
      <c r="G4" s="14" t="str">
        <f t="shared" si="2"/>
        <v>('15Nov240016','040000152417','3025',(select max(to_number(i.premium_rcv_detail_code))+1
from ins_premium_det i),'3025','3025','02', '11000003','00','Request by Mr. Saqib Saleem 15-Nov-2024');</v>
      </c>
      <c r="H4" s="15" t="str">
        <f t="shared" si="3"/>
        <v>insert into ins_premium_det (premium_rcv_code,assorted_code, rec_amount,premium_rcv_detail_code,remaining_amt, payrec, mode_code,coinsurance_code,class_cd,it_remarks) values('15Nov240016','040000152417','3025',(select max(to_number(i.premium_rcv_detail_code))+1
from ins_premium_det i),'3025','3025','02', '11000003','00','Request by Mr. Saqib Saleem 15-Nov-2024');</v>
      </c>
    </row>
    <row r="5" spans="1:8" ht="105" x14ac:dyDescent="0.25">
      <c r="A5" s="2" t="s">
        <v>54</v>
      </c>
      <c r="B5" s="11" t="str">
        <f>VLOOKUP(A5,policy!B:C,2,0)</f>
        <v>040000153400</v>
      </c>
      <c r="C5" s="4">
        <v>2064</v>
      </c>
      <c r="D5" s="12">
        <f t="shared" si="1"/>
        <v>2064</v>
      </c>
      <c r="E5" s="16" t="s">
        <v>960</v>
      </c>
      <c r="F5" s="13" t="str">
        <f t="shared" si="0"/>
        <v>insert into ins_premium_det (premium_rcv_code,assorted_code, rec_amount,premium_rcv_detail_code,remaining_amt, payrec, mode_code,coinsurance_code,class_cd,it_remarks) values</v>
      </c>
      <c r="G5" s="14" t="str">
        <f t="shared" si="2"/>
        <v>('15Nov240016','040000153400','2064',(select max(to_number(i.premium_rcv_detail_code))+1
from ins_premium_det i),'2064','2064','02', '11000003','00','Request by Mr. Saqib Saleem 15-Nov-2024');</v>
      </c>
      <c r="H5" s="15" t="str">
        <f t="shared" si="3"/>
        <v>insert into ins_premium_det (premium_rcv_code,assorted_code, rec_amount,premium_rcv_detail_code,remaining_amt, payrec, mode_code,coinsurance_code,class_cd,it_remarks) values('15Nov240016','040000153400','2064',(select max(to_number(i.premium_rcv_detail_code))+1
from ins_premium_det i),'2064','2064','02', '11000003','00','Request by Mr. Saqib Saleem 15-Nov-2024');</v>
      </c>
    </row>
    <row r="6" spans="1:8" ht="105" x14ac:dyDescent="0.25">
      <c r="A6" s="2" t="s">
        <v>56</v>
      </c>
      <c r="B6" s="11" t="str">
        <f>VLOOKUP(A6,policy!B:C,2,0)</f>
        <v>040000153605</v>
      </c>
      <c r="C6" s="4">
        <v>4225</v>
      </c>
      <c r="D6" s="12">
        <f t="shared" si="1"/>
        <v>4225</v>
      </c>
      <c r="E6" s="16" t="s">
        <v>960</v>
      </c>
      <c r="F6" s="13" t="str">
        <f t="shared" si="0"/>
        <v>insert into ins_premium_det (premium_rcv_code,assorted_code, rec_amount,premium_rcv_detail_code,remaining_amt, payrec, mode_code,coinsurance_code,class_cd,it_remarks) values</v>
      </c>
      <c r="G6" s="14" t="str">
        <f t="shared" si="2"/>
        <v>('15Nov240016','040000153605','4225',(select max(to_number(i.premium_rcv_detail_code))+1
from ins_premium_det i),'4225','4225','02', '11000003','00','Request by Mr. Saqib Saleem 15-Nov-2024');</v>
      </c>
      <c r="H6" s="15" t="str">
        <f t="shared" si="3"/>
        <v>insert into ins_premium_det (premium_rcv_code,assorted_code, rec_amount,premium_rcv_detail_code,remaining_amt, payrec, mode_code,coinsurance_code,class_cd,it_remarks) values('15Nov240016','040000153605','4225',(select max(to_number(i.premium_rcv_detail_code))+1
from ins_premium_det i),'4225','4225','02', '11000003','00','Request by Mr. Saqib Saleem 15-Nov-2024');</v>
      </c>
    </row>
    <row r="7" spans="1:8" ht="105" x14ac:dyDescent="0.25">
      <c r="A7" s="2" t="s">
        <v>58</v>
      </c>
      <c r="B7" s="11" t="str">
        <f>VLOOKUP(A7,policy!B:C,2,0)</f>
        <v>040000153607</v>
      </c>
      <c r="C7" s="4">
        <v>4225</v>
      </c>
      <c r="D7" s="12">
        <f t="shared" si="1"/>
        <v>4225</v>
      </c>
      <c r="E7" s="16" t="s">
        <v>960</v>
      </c>
      <c r="F7" s="13" t="str">
        <f t="shared" si="0"/>
        <v>insert into ins_premium_det (premium_rcv_code,assorted_code, rec_amount,premium_rcv_detail_code,remaining_amt, payrec, mode_code,coinsurance_code,class_cd,it_remarks) values</v>
      </c>
      <c r="G7" s="14" t="str">
        <f t="shared" si="2"/>
        <v>('15Nov240016','040000153607','4225',(select max(to_number(i.premium_rcv_detail_code))+1
from ins_premium_det i),'4225','4225','02', '11000003','00','Request by Mr. Saqib Saleem 15-Nov-2024');</v>
      </c>
      <c r="H7" s="15" t="str">
        <f t="shared" si="3"/>
        <v>insert into ins_premium_det (premium_rcv_code,assorted_code, rec_amount,premium_rcv_detail_code,remaining_amt, payrec, mode_code,coinsurance_code,class_cd,it_remarks) values('15Nov240016','040000153607','4225',(select max(to_number(i.premium_rcv_detail_code))+1
from ins_premium_det i),'4225','4225','02', '11000003','00','Request by Mr. Saqib Saleem 15-Nov-2024');</v>
      </c>
    </row>
    <row r="8" spans="1:8" ht="105" x14ac:dyDescent="0.25">
      <c r="A8" s="2" t="s">
        <v>60</v>
      </c>
      <c r="B8" s="11" t="str">
        <f>VLOOKUP(A8,policy!B:C,2,0)</f>
        <v>040000154087</v>
      </c>
      <c r="C8" s="4">
        <v>4801</v>
      </c>
      <c r="D8" s="12">
        <f t="shared" si="1"/>
        <v>4801</v>
      </c>
      <c r="E8" s="16" t="s">
        <v>960</v>
      </c>
      <c r="F8" s="13" t="str">
        <f t="shared" si="0"/>
        <v>insert into ins_premium_det (premium_rcv_code,assorted_code, rec_amount,premium_rcv_detail_code,remaining_amt, payrec, mode_code,coinsurance_code,class_cd,it_remarks) values</v>
      </c>
      <c r="G8" s="14" t="str">
        <f t="shared" si="2"/>
        <v>('15Nov240016','040000154087','4801',(select max(to_number(i.premium_rcv_detail_code))+1
from ins_premium_det i),'4801','4801','02', '11000003','00','Request by Mr. Saqib Saleem 15-Nov-2024');</v>
      </c>
      <c r="H8" s="15" t="str">
        <f t="shared" si="3"/>
        <v>insert into ins_premium_det (premium_rcv_code,assorted_code, rec_amount,premium_rcv_detail_code,remaining_amt, payrec, mode_code,coinsurance_code,class_cd,it_remarks) values('15Nov240016','040000154087','4801',(select max(to_number(i.premium_rcv_detail_code))+1
from ins_premium_det i),'4801','4801','02', '11000003','00','Request by Mr. Saqib Saleem 15-Nov-2024');</v>
      </c>
    </row>
    <row r="9" spans="1:8" ht="105" x14ac:dyDescent="0.25">
      <c r="A9" s="2" t="s">
        <v>62</v>
      </c>
      <c r="B9" s="11" t="str">
        <f>VLOOKUP(A9,policy!B:C,2,0)</f>
        <v>040000154538</v>
      </c>
      <c r="C9" s="4">
        <v>3025</v>
      </c>
      <c r="D9" s="12">
        <f t="shared" si="1"/>
        <v>3025</v>
      </c>
      <c r="E9" s="16" t="s">
        <v>960</v>
      </c>
      <c r="F9" s="13" t="str">
        <f t="shared" si="0"/>
        <v>insert into ins_premium_det (premium_rcv_code,assorted_code, rec_amount,premium_rcv_detail_code,remaining_amt, payrec, mode_code,coinsurance_code,class_cd,it_remarks) values</v>
      </c>
      <c r="G9" s="14" t="str">
        <f t="shared" si="2"/>
        <v>('15Nov240016','040000154538','3025',(select max(to_number(i.premium_rcv_detail_code))+1
from ins_premium_det i),'3025','3025','02', '11000003','00','Request by Mr. Saqib Saleem 15-Nov-2024');</v>
      </c>
      <c r="H9" s="15" t="str">
        <f t="shared" si="3"/>
        <v>insert into ins_premium_det (premium_rcv_code,assorted_code, rec_amount,premium_rcv_detail_code,remaining_amt, payrec, mode_code,coinsurance_code,class_cd,it_remarks) values('15Nov240016','040000154538','3025',(select max(to_number(i.premium_rcv_detail_code))+1
from ins_premium_det i),'3025','3025','02', '11000003','00','Request by Mr. Saqib Saleem 15-Nov-2024');</v>
      </c>
    </row>
    <row r="10" spans="1:8" ht="105" x14ac:dyDescent="0.25">
      <c r="A10" s="2" t="s">
        <v>64</v>
      </c>
      <c r="B10" s="11" t="str">
        <f>VLOOKUP(A10,policy!B:C,2,0)</f>
        <v>040000154667</v>
      </c>
      <c r="C10" s="4">
        <v>2560</v>
      </c>
      <c r="D10" s="12">
        <f t="shared" si="1"/>
        <v>2560</v>
      </c>
      <c r="E10" s="16" t="s">
        <v>960</v>
      </c>
      <c r="F10" s="13" t="str">
        <f t="shared" si="0"/>
        <v>insert into ins_premium_det (premium_rcv_code,assorted_code, rec_amount,premium_rcv_detail_code,remaining_amt, payrec, mode_code,coinsurance_code,class_cd,it_remarks) values</v>
      </c>
      <c r="G10" s="14" t="str">
        <f t="shared" si="2"/>
        <v>('15Nov240016','040000154667','2560',(select max(to_number(i.premium_rcv_detail_code))+1
from ins_premium_det i),'2560','2560','02', '11000003','00','Request by Mr. Saqib Saleem 15-Nov-2024');</v>
      </c>
      <c r="H10" s="15" t="str">
        <f t="shared" si="3"/>
        <v>insert into ins_premium_det (premium_rcv_code,assorted_code, rec_amount,premium_rcv_detail_code,remaining_amt, payrec, mode_code,coinsurance_code,class_cd,it_remarks) values('15Nov240016','040000154667','2560',(select max(to_number(i.premium_rcv_detail_code))+1
from ins_premium_det i),'2560','2560','02', '11000003','00','Request by Mr. Saqib Saleem 15-Nov-2024');</v>
      </c>
    </row>
    <row r="11" spans="1:8" ht="105" x14ac:dyDescent="0.25">
      <c r="A11" s="2" t="s">
        <v>66</v>
      </c>
      <c r="B11" s="11" t="str">
        <f>VLOOKUP(A11,policy!B:C,2,0)</f>
        <v>040000154706</v>
      </c>
      <c r="C11" s="4">
        <v>3920</v>
      </c>
      <c r="D11" s="12">
        <f t="shared" si="1"/>
        <v>3920</v>
      </c>
      <c r="E11" s="16" t="s">
        <v>960</v>
      </c>
      <c r="F11" s="13" t="str">
        <f t="shared" si="0"/>
        <v>insert into ins_premium_det (premium_rcv_code,assorted_code, rec_amount,premium_rcv_detail_code,remaining_amt, payrec, mode_code,coinsurance_code,class_cd,it_remarks) values</v>
      </c>
      <c r="G11" s="14" t="str">
        <f t="shared" si="2"/>
        <v>('15Nov240016','040000154706','3920',(select max(to_number(i.premium_rcv_detail_code))+1
from ins_premium_det i),'3920','3920','02', '11000003','00','Request by Mr. Saqib Saleem 15-Nov-2024');</v>
      </c>
      <c r="H11" s="15" t="str">
        <f t="shared" si="3"/>
        <v>insert into ins_premium_det (premium_rcv_code,assorted_code, rec_amount,premium_rcv_detail_code,remaining_amt, payrec, mode_code,coinsurance_code,class_cd,it_remarks) values('15Nov240016','040000154706','3920',(select max(to_number(i.premium_rcv_detail_code))+1
from ins_premium_det i),'3920','3920','02', '11000003','00','Request by Mr. Saqib Saleem 15-Nov-2024');</v>
      </c>
    </row>
    <row r="12" spans="1:8" ht="105" x14ac:dyDescent="0.25">
      <c r="A12" s="2" t="s">
        <v>68</v>
      </c>
      <c r="B12" s="11" t="str">
        <f>VLOOKUP(A12,policy!B:C,2,0)</f>
        <v>040000154766</v>
      </c>
      <c r="C12" s="4">
        <v>8800</v>
      </c>
      <c r="D12" s="12">
        <f t="shared" si="1"/>
        <v>8800</v>
      </c>
      <c r="E12" s="16" t="s">
        <v>960</v>
      </c>
      <c r="F12" s="13" t="str">
        <f t="shared" si="0"/>
        <v>insert into ins_premium_det (premium_rcv_code,assorted_code, rec_amount,premium_rcv_detail_code,remaining_amt, payrec, mode_code,coinsurance_code,class_cd,it_remarks) values</v>
      </c>
      <c r="G12" s="14" t="str">
        <f t="shared" si="2"/>
        <v>('15Nov240016','040000154766','8800',(select max(to_number(i.premium_rcv_detail_code))+1
from ins_premium_det i),'8800','8800','02', '11000003','00','Request by Mr. Saqib Saleem 15-Nov-2024');</v>
      </c>
      <c r="H12" s="15" t="str">
        <f t="shared" si="3"/>
        <v>insert into ins_premium_det (premium_rcv_code,assorted_code, rec_amount,premium_rcv_detail_code,remaining_amt, payrec, mode_code,coinsurance_code,class_cd,it_remarks) values('15Nov240016','040000154766','8800',(select max(to_number(i.premium_rcv_detail_code))+1
from ins_premium_det i),'8800','8800','02', '11000003','00','Request by Mr. Saqib Saleem 15-Nov-2024');</v>
      </c>
    </row>
    <row r="13" spans="1:8" ht="105" x14ac:dyDescent="0.25">
      <c r="A13" s="2" t="s">
        <v>70</v>
      </c>
      <c r="B13" s="11" t="str">
        <f>VLOOKUP(A13,policy!B:C,2,0)</f>
        <v>040000154772</v>
      </c>
      <c r="C13" s="4">
        <v>4400</v>
      </c>
      <c r="D13" s="12">
        <f t="shared" si="1"/>
        <v>4400</v>
      </c>
      <c r="E13" s="16" t="s">
        <v>960</v>
      </c>
      <c r="F13" s="13" t="str">
        <f t="shared" si="0"/>
        <v>insert into ins_premium_det (premium_rcv_code,assorted_code, rec_amount,premium_rcv_detail_code,remaining_amt, payrec, mode_code,coinsurance_code,class_cd,it_remarks) values</v>
      </c>
      <c r="G13" s="14" t="str">
        <f t="shared" si="2"/>
        <v>('15Nov240016','040000154772','4400',(select max(to_number(i.premium_rcv_detail_code))+1
from ins_premium_det i),'4400','4400','02', '11000003','00','Request by Mr. Saqib Saleem 15-Nov-2024');</v>
      </c>
      <c r="H13" s="15" t="str">
        <f t="shared" si="3"/>
        <v>insert into ins_premium_det (premium_rcv_code,assorted_code, rec_amount,premium_rcv_detail_code,remaining_amt, payrec, mode_code,coinsurance_code,class_cd,it_remarks) values('15Nov240016','040000154772','4400',(select max(to_number(i.premium_rcv_detail_code))+1
from ins_premium_det i),'4400','4400','02', '11000003','00','Request by Mr. Saqib Saleem 15-Nov-2024');</v>
      </c>
    </row>
    <row r="14" spans="1:8" ht="105" x14ac:dyDescent="0.25">
      <c r="A14" s="2" t="s">
        <v>72</v>
      </c>
      <c r="B14" s="11" t="str">
        <f>VLOOKUP(A14,policy!B:C,2,0)</f>
        <v>040000154808</v>
      </c>
      <c r="C14" s="4">
        <v>4400</v>
      </c>
      <c r="D14" s="12">
        <f t="shared" si="1"/>
        <v>4400</v>
      </c>
      <c r="E14" s="16" t="s">
        <v>960</v>
      </c>
      <c r="F14" s="13" t="str">
        <f t="shared" si="0"/>
        <v>insert into ins_premium_det (premium_rcv_code,assorted_code, rec_amount,premium_rcv_detail_code,remaining_amt, payrec, mode_code,coinsurance_code,class_cd,it_remarks) values</v>
      </c>
      <c r="G14" s="14" t="str">
        <f t="shared" si="2"/>
        <v>('15Nov240016','040000154808','4400',(select max(to_number(i.premium_rcv_detail_code))+1
from ins_premium_det i),'4400','4400','02', '11000003','00','Request by Mr. Saqib Saleem 15-Nov-2024');</v>
      </c>
      <c r="H14" s="15" t="str">
        <f t="shared" si="3"/>
        <v>insert into ins_premium_det (premium_rcv_code,assorted_code, rec_amount,premium_rcv_detail_code,remaining_amt, payrec, mode_code,coinsurance_code,class_cd,it_remarks) values('15Nov240016','040000154808','4400',(select max(to_number(i.premium_rcv_detail_code))+1
from ins_premium_det i),'4400','4400','02', '11000003','00','Request by Mr. Saqib Saleem 15-Nov-2024');</v>
      </c>
    </row>
    <row r="15" spans="1:8" ht="105" x14ac:dyDescent="0.25">
      <c r="A15" s="2" t="s">
        <v>74</v>
      </c>
      <c r="B15" s="11" t="str">
        <f>VLOOKUP(A15,policy!B:C,2,0)</f>
        <v>040000154912</v>
      </c>
      <c r="C15" s="4">
        <v>3025</v>
      </c>
      <c r="D15" s="12">
        <f t="shared" si="1"/>
        <v>3025</v>
      </c>
      <c r="E15" s="16" t="s">
        <v>960</v>
      </c>
      <c r="F15" s="13" t="str">
        <f t="shared" si="0"/>
        <v>insert into ins_premium_det (premium_rcv_code,assorted_code, rec_amount,premium_rcv_detail_code,remaining_amt, payrec, mode_code,coinsurance_code,class_cd,it_remarks) values</v>
      </c>
      <c r="G15" s="14" t="str">
        <f t="shared" si="2"/>
        <v>('15Nov240016','040000154912','3025',(select max(to_number(i.premium_rcv_detail_code))+1
from ins_premium_det i),'3025','3025','02', '11000003','00','Request by Mr. Saqib Saleem 15-Nov-2024');</v>
      </c>
      <c r="H15" s="15" t="str">
        <f t="shared" si="3"/>
        <v>insert into ins_premium_det (premium_rcv_code,assorted_code, rec_amount,premium_rcv_detail_code,remaining_amt, payrec, mode_code,coinsurance_code,class_cd,it_remarks) values('15Nov240016','040000154912','3025',(select max(to_number(i.premium_rcv_detail_code))+1
from ins_premium_det i),'3025','3025','02', '11000003','00','Request by Mr. Saqib Saleem 15-Nov-2024');</v>
      </c>
    </row>
    <row r="16" spans="1:8" ht="105" x14ac:dyDescent="0.25">
      <c r="A16" s="2" t="s">
        <v>76</v>
      </c>
      <c r="B16" s="11" t="str">
        <f>VLOOKUP(A16,policy!B:C,2,0)</f>
        <v>040000154914</v>
      </c>
      <c r="C16" s="4">
        <v>4400</v>
      </c>
      <c r="D16" s="12">
        <f t="shared" si="1"/>
        <v>4400</v>
      </c>
      <c r="E16" s="16" t="s">
        <v>960</v>
      </c>
      <c r="F16" s="13" t="str">
        <f t="shared" si="0"/>
        <v>insert into ins_premium_det (premium_rcv_code,assorted_code, rec_amount,premium_rcv_detail_code,remaining_amt, payrec, mode_code,coinsurance_code,class_cd,it_remarks) values</v>
      </c>
      <c r="G16" s="14" t="str">
        <f t="shared" si="2"/>
        <v>('15Nov240016','040000154914','4400',(select max(to_number(i.premium_rcv_detail_code))+1
from ins_premium_det i),'4400','4400','02', '11000003','00','Request by Mr. Saqib Saleem 15-Nov-2024');</v>
      </c>
      <c r="H16" s="15" t="str">
        <f t="shared" si="3"/>
        <v>insert into ins_premium_det (premium_rcv_code,assorted_code, rec_amount,premium_rcv_detail_code,remaining_amt, payrec, mode_code,coinsurance_code,class_cd,it_remarks) values('15Nov240016','040000154914','4400',(select max(to_number(i.premium_rcv_detail_code))+1
from ins_premium_det i),'4400','4400','02', '11000003','00','Request by Mr. Saqib Saleem 15-Nov-2024');</v>
      </c>
    </row>
    <row r="17" spans="1:8" ht="105" x14ac:dyDescent="0.25">
      <c r="A17" s="2" t="s">
        <v>78</v>
      </c>
      <c r="B17" s="11" t="str">
        <f>VLOOKUP(A17,policy!B:C,2,0)</f>
        <v>040000154928</v>
      </c>
      <c r="C17" s="4">
        <v>4400</v>
      </c>
      <c r="D17" s="12">
        <f t="shared" si="1"/>
        <v>4400</v>
      </c>
      <c r="E17" s="16" t="s">
        <v>960</v>
      </c>
      <c r="F17" s="13" t="str">
        <f t="shared" si="0"/>
        <v>insert into ins_premium_det (premium_rcv_code,assorted_code, rec_amount,premium_rcv_detail_code,remaining_amt, payrec, mode_code,coinsurance_code,class_cd,it_remarks) values</v>
      </c>
      <c r="G17" s="14" t="str">
        <f t="shared" si="2"/>
        <v>('15Nov240016','040000154928','4400',(select max(to_number(i.premium_rcv_detail_code))+1
from ins_premium_det i),'4400','4400','02', '11000003','00','Request by Mr. Saqib Saleem 15-Nov-2024');</v>
      </c>
      <c r="H17" s="15" t="str">
        <f t="shared" si="3"/>
        <v>insert into ins_premium_det (premium_rcv_code,assorted_code, rec_amount,premium_rcv_detail_code,remaining_amt, payrec, mode_code,coinsurance_code,class_cd,it_remarks) values('15Nov240016','040000154928','4400',(select max(to_number(i.premium_rcv_detail_code))+1
from ins_premium_det i),'4400','4400','02', '11000003','00','Request by Mr. Saqib Saleem 15-Nov-2024');</v>
      </c>
    </row>
    <row r="18" spans="1:8" ht="105" x14ac:dyDescent="0.25">
      <c r="A18" s="2" t="s">
        <v>80</v>
      </c>
      <c r="B18" s="11" t="str">
        <f>VLOOKUP(A18,policy!B:C,2,0)</f>
        <v>040000154929</v>
      </c>
      <c r="C18" s="4">
        <v>4400</v>
      </c>
      <c r="D18" s="12">
        <f t="shared" si="1"/>
        <v>4400</v>
      </c>
      <c r="E18" s="16" t="s">
        <v>960</v>
      </c>
      <c r="F18" s="13" t="str">
        <f t="shared" si="0"/>
        <v>insert into ins_premium_det (premium_rcv_code,assorted_code, rec_amount,premium_rcv_detail_code,remaining_amt, payrec, mode_code,coinsurance_code,class_cd,it_remarks) values</v>
      </c>
      <c r="G18" s="14" t="str">
        <f t="shared" si="2"/>
        <v>('15Nov240016','040000154929','4400',(select max(to_number(i.premium_rcv_detail_code))+1
from ins_premium_det i),'4400','4400','02', '11000003','00','Request by Mr. Saqib Saleem 15-Nov-2024');</v>
      </c>
      <c r="H18" s="15" t="str">
        <f t="shared" si="3"/>
        <v>insert into ins_premium_det (premium_rcv_code,assorted_code, rec_amount,premium_rcv_detail_code,remaining_amt, payrec, mode_code,coinsurance_code,class_cd,it_remarks) values('15Nov240016','040000154929','4400',(select max(to_number(i.premium_rcv_detail_code))+1
from ins_premium_det i),'4400','4400','02', '11000003','00','Request by Mr. Saqib Saleem 15-Nov-2024');</v>
      </c>
    </row>
    <row r="19" spans="1:8" ht="105" x14ac:dyDescent="0.25">
      <c r="A19" s="2" t="s">
        <v>82</v>
      </c>
      <c r="B19" s="11" t="str">
        <f>VLOOKUP(A19,policy!B:C,2,0)</f>
        <v>040000154958</v>
      </c>
      <c r="C19" s="4">
        <v>3025</v>
      </c>
      <c r="D19" s="12">
        <f t="shared" si="1"/>
        <v>3025</v>
      </c>
      <c r="E19" s="16" t="s">
        <v>960</v>
      </c>
      <c r="F19" s="13" t="str">
        <f t="shared" si="0"/>
        <v>insert into ins_premium_det (premium_rcv_code,assorted_code, rec_amount,premium_rcv_detail_code,remaining_amt, payrec, mode_code,coinsurance_code,class_cd,it_remarks) values</v>
      </c>
      <c r="G19" s="14" t="str">
        <f t="shared" si="2"/>
        <v>('15Nov240016','040000154958','3025',(select max(to_number(i.premium_rcv_detail_code))+1
from ins_premium_det i),'3025','3025','02', '11000003','00','Request by Mr. Saqib Saleem 15-Nov-2024');</v>
      </c>
      <c r="H19" s="15" t="str">
        <f t="shared" si="3"/>
        <v>insert into ins_premium_det (premium_rcv_code,assorted_code, rec_amount,premium_rcv_detail_code,remaining_amt, payrec, mode_code,coinsurance_code,class_cd,it_remarks) values('15Nov240016','040000154958','3025',(select max(to_number(i.premium_rcv_detail_code))+1
from ins_premium_det i),'3025','3025','02', '11000003','00','Request by Mr. Saqib Saleem 15-Nov-2024');</v>
      </c>
    </row>
    <row r="20" spans="1:8" ht="105" x14ac:dyDescent="0.25">
      <c r="A20" s="2" t="s">
        <v>84</v>
      </c>
      <c r="B20" s="11" t="str">
        <f>VLOOKUP(A20,policy!B:C,2,0)</f>
        <v>040000155004</v>
      </c>
      <c r="C20" s="4">
        <v>3301</v>
      </c>
      <c r="D20" s="12">
        <f t="shared" si="1"/>
        <v>3301</v>
      </c>
      <c r="E20" s="16" t="s">
        <v>960</v>
      </c>
      <c r="F20" s="13" t="str">
        <f t="shared" si="0"/>
        <v>insert into ins_premium_det (premium_rcv_code,assorted_code, rec_amount,premium_rcv_detail_code,remaining_amt, payrec, mode_code,coinsurance_code,class_cd,it_remarks) values</v>
      </c>
      <c r="G20" s="14" t="str">
        <f t="shared" si="2"/>
        <v>('15Nov240016','040000155004','3301',(select max(to_number(i.premium_rcv_detail_code))+1
from ins_premium_det i),'3301','3301','02', '11000003','00','Request by Mr. Saqib Saleem 15-Nov-2024');</v>
      </c>
      <c r="H20" s="15" t="str">
        <f t="shared" si="3"/>
        <v>insert into ins_premium_det (premium_rcv_code,assorted_code, rec_amount,premium_rcv_detail_code,remaining_amt, payrec, mode_code,coinsurance_code,class_cd,it_remarks) values('15Nov240016','040000155004','3301',(select max(to_number(i.premium_rcv_detail_code))+1
from ins_premium_det i),'3301','3301','02', '11000003','00','Request by Mr. Saqib Saleem 15-Nov-2024');</v>
      </c>
    </row>
    <row r="21" spans="1:8" ht="105" x14ac:dyDescent="0.25">
      <c r="A21" s="2" t="s">
        <v>86</v>
      </c>
      <c r="B21" s="11" t="str">
        <f>VLOOKUP(A21,policy!B:C,2,0)</f>
        <v>040000155089</v>
      </c>
      <c r="C21" s="4">
        <v>4400</v>
      </c>
      <c r="D21" s="12">
        <f t="shared" si="1"/>
        <v>4400</v>
      </c>
      <c r="E21" s="16" t="s">
        <v>960</v>
      </c>
      <c r="F21" s="13" t="str">
        <f t="shared" si="0"/>
        <v>insert into ins_premium_det (premium_rcv_code,assorted_code, rec_amount,premium_rcv_detail_code,remaining_amt, payrec, mode_code,coinsurance_code,class_cd,it_remarks) values</v>
      </c>
      <c r="G21" s="14" t="str">
        <f t="shared" si="2"/>
        <v>('15Nov240016','040000155089','4400',(select max(to_number(i.premium_rcv_detail_code))+1
from ins_premium_det i),'4400','4400','02', '11000003','00','Request by Mr. Saqib Saleem 15-Nov-2024');</v>
      </c>
      <c r="H21" s="15" t="str">
        <f t="shared" si="3"/>
        <v>insert into ins_premium_det (premium_rcv_code,assorted_code, rec_amount,premium_rcv_detail_code,remaining_amt, payrec, mode_code,coinsurance_code,class_cd,it_remarks) values('15Nov240016','040000155089','4400',(select max(to_number(i.premium_rcv_detail_code))+1
from ins_premium_det i),'4400','4400','02', '11000003','00','Request by Mr. Saqib Saleem 15-Nov-2024');</v>
      </c>
    </row>
    <row r="22" spans="1:8" ht="105" x14ac:dyDescent="0.25">
      <c r="A22" s="2" t="s">
        <v>88</v>
      </c>
      <c r="B22" s="11" t="str">
        <f>VLOOKUP(A22,policy!B:C,2,0)</f>
        <v>040000155109</v>
      </c>
      <c r="C22" s="4">
        <v>2560</v>
      </c>
      <c r="D22" s="12">
        <f t="shared" si="1"/>
        <v>2560</v>
      </c>
      <c r="E22" s="16" t="s">
        <v>960</v>
      </c>
      <c r="F22" s="13" t="str">
        <f t="shared" si="0"/>
        <v>insert into ins_premium_det (premium_rcv_code,assorted_code, rec_amount,premium_rcv_detail_code,remaining_amt, payrec, mode_code,coinsurance_code,class_cd,it_remarks) values</v>
      </c>
      <c r="G22" s="14" t="str">
        <f t="shared" si="2"/>
        <v>('15Nov240016','040000155109','2560',(select max(to_number(i.premium_rcv_detail_code))+1
from ins_premium_det i),'2560','2560','02', '11000003','00','Request by Mr. Saqib Saleem 15-Nov-2024');</v>
      </c>
      <c r="H22" s="15" t="str">
        <f t="shared" si="3"/>
        <v>insert into ins_premium_det (premium_rcv_code,assorted_code, rec_amount,premium_rcv_detail_code,remaining_amt, payrec, mode_code,coinsurance_code,class_cd,it_remarks) values('15Nov240016','040000155109','2560',(select max(to_number(i.premium_rcv_detail_code))+1
from ins_premium_det i),'2560','2560','02', '11000003','00','Request by Mr. Saqib Saleem 15-Nov-2024');</v>
      </c>
    </row>
    <row r="23" spans="1:8" ht="105" x14ac:dyDescent="0.25">
      <c r="A23" s="2" t="s">
        <v>90</v>
      </c>
      <c r="B23" s="11" t="str">
        <f>VLOOKUP(A23,policy!B:C,2,0)</f>
        <v>040000155122</v>
      </c>
      <c r="C23" s="4">
        <v>4400</v>
      </c>
      <c r="D23" s="12">
        <f t="shared" si="1"/>
        <v>4400</v>
      </c>
      <c r="E23" s="16" t="s">
        <v>960</v>
      </c>
      <c r="F23" s="13" t="str">
        <f t="shared" si="0"/>
        <v>insert into ins_premium_det (premium_rcv_code,assorted_code, rec_amount,premium_rcv_detail_code,remaining_amt, payrec, mode_code,coinsurance_code,class_cd,it_remarks) values</v>
      </c>
      <c r="G23" s="14" t="str">
        <f t="shared" si="2"/>
        <v>('15Nov240016','040000155122','4400',(select max(to_number(i.premium_rcv_detail_code))+1
from ins_premium_det i),'4400','4400','02', '11000003','00','Request by Mr. Saqib Saleem 15-Nov-2024');</v>
      </c>
      <c r="H23" s="15" t="str">
        <f t="shared" si="3"/>
        <v>insert into ins_premium_det (premium_rcv_code,assorted_code, rec_amount,premium_rcv_detail_code,remaining_amt, payrec, mode_code,coinsurance_code,class_cd,it_remarks) values('15Nov240016','040000155122','4400',(select max(to_number(i.premium_rcv_detail_code))+1
from ins_premium_det i),'4400','4400','02', '11000003','00','Request by Mr. Saqib Saleem 15-Nov-2024');</v>
      </c>
    </row>
    <row r="24" spans="1:8" ht="105" x14ac:dyDescent="0.25">
      <c r="A24" s="2" t="s">
        <v>92</v>
      </c>
      <c r="B24" s="11" t="str">
        <f>VLOOKUP(A24,policy!B:C,2,0)</f>
        <v>040000155132</v>
      </c>
      <c r="C24" s="4">
        <v>3025</v>
      </c>
      <c r="D24" s="12">
        <f t="shared" si="1"/>
        <v>3025</v>
      </c>
      <c r="E24" s="16" t="s">
        <v>960</v>
      </c>
      <c r="F24" s="13" t="str">
        <f t="shared" si="0"/>
        <v>insert into ins_premium_det (premium_rcv_code,assorted_code, rec_amount,premium_rcv_detail_code,remaining_amt, payrec, mode_code,coinsurance_code,class_cd,it_remarks) values</v>
      </c>
      <c r="G24" s="14" t="str">
        <f t="shared" si="2"/>
        <v>('15Nov240016','040000155132','3025',(select max(to_number(i.premium_rcv_detail_code))+1
from ins_premium_det i),'3025','3025','02', '11000003','00','Request by Mr. Saqib Saleem 15-Nov-2024');</v>
      </c>
      <c r="H24" s="15" t="str">
        <f t="shared" si="3"/>
        <v>insert into ins_premium_det (premium_rcv_code,assorted_code, rec_amount,premium_rcv_detail_code,remaining_amt, payrec, mode_code,coinsurance_code,class_cd,it_remarks) values('15Nov240016','040000155132','3025',(select max(to_number(i.premium_rcv_detail_code))+1
from ins_premium_det i),'3025','3025','02', '11000003','00','Request by Mr. Saqib Saleem 15-Nov-2024');</v>
      </c>
    </row>
    <row r="25" spans="1:8" ht="105" x14ac:dyDescent="0.25">
      <c r="A25" s="2" t="s">
        <v>94</v>
      </c>
      <c r="B25" s="11" t="str">
        <f>VLOOKUP(A25,policy!B:C,2,0)</f>
        <v>040000155150</v>
      </c>
      <c r="C25" s="4">
        <v>4400</v>
      </c>
      <c r="D25" s="12">
        <f t="shared" si="1"/>
        <v>4400</v>
      </c>
      <c r="E25" s="16" t="s">
        <v>960</v>
      </c>
      <c r="F25" s="13" t="str">
        <f t="shared" si="0"/>
        <v>insert into ins_premium_det (premium_rcv_code,assorted_code, rec_amount,premium_rcv_detail_code,remaining_amt, payrec, mode_code,coinsurance_code,class_cd,it_remarks) values</v>
      </c>
      <c r="G25" s="14" t="str">
        <f t="shared" si="2"/>
        <v>('15Nov240016','040000155150','4400',(select max(to_number(i.premium_rcv_detail_code))+1
from ins_premium_det i),'4400','4400','02', '11000003','00','Request by Mr. Saqib Saleem 15-Nov-2024');</v>
      </c>
      <c r="H25" s="15" t="str">
        <f t="shared" si="3"/>
        <v>insert into ins_premium_det (premium_rcv_code,assorted_code, rec_amount,premium_rcv_detail_code,remaining_amt, payrec, mode_code,coinsurance_code,class_cd,it_remarks) values('15Nov240016','040000155150','4400',(select max(to_number(i.premium_rcv_detail_code))+1
from ins_premium_det i),'4400','4400','02', '11000003','00','Request by Mr. Saqib Saleem 15-Nov-2024');</v>
      </c>
    </row>
    <row r="26" spans="1:8" ht="105" x14ac:dyDescent="0.25">
      <c r="A26" s="2" t="s">
        <v>96</v>
      </c>
      <c r="B26" s="11" t="str">
        <f>VLOOKUP(A26,policy!B:C,2,0)</f>
        <v>040000155159</v>
      </c>
      <c r="C26" s="4">
        <v>4400</v>
      </c>
      <c r="D26" s="12">
        <f t="shared" si="1"/>
        <v>4400</v>
      </c>
      <c r="E26" s="16" t="s">
        <v>960</v>
      </c>
      <c r="F26" s="13" t="str">
        <f t="shared" si="0"/>
        <v>insert into ins_premium_det (premium_rcv_code,assorted_code, rec_amount,premium_rcv_detail_code,remaining_amt, payrec, mode_code,coinsurance_code,class_cd,it_remarks) values</v>
      </c>
      <c r="G26" s="14" t="str">
        <f t="shared" si="2"/>
        <v>('15Nov240016','040000155159','4400',(select max(to_number(i.premium_rcv_detail_code))+1
from ins_premium_det i),'4400','4400','02', '11000003','00','Request by Mr. Saqib Saleem 15-Nov-2024');</v>
      </c>
      <c r="H26" s="15" t="str">
        <f t="shared" si="3"/>
        <v>insert into ins_premium_det (premium_rcv_code,assorted_code, rec_amount,premium_rcv_detail_code,remaining_amt, payrec, mode_code,coinsurance_code,class_cd,it_remarks) values('15Nov240016','040000155159','4400',(select max(to_number(i.premium_rcv_detail_code))+1
from ins_premium_det i),'4400','4400','02', '11000003','00','Request by Mr. Saqib Saleem 15-Nov-2024');</v>
      </c>
    </row>
    <row r="27" spans="1:8" ht="105" x14ac:dyDescent="0.25">
      <c r="A27" s="2" t="s">
        <v>98</v>
      </c>
      <c r="B27" s="11" t="str">
        <f>VLOOKUP(A27,policy!B:C,2,0)</f>
        <v>040000155162</v>
      </c>
      <c r="C27" s="4">
        <v>4400</v>
      </c>
      <c r="D27" s="12">
        <f t="shared" si="1"/>
        <v>4400</v>
      </c>
      <c r="E27" s="16" t="s">
        <v>960</v>
      </c>
      <c r="F27" s="13" t="str">
        <f t="shared" si="0"/>
        <v>insert into ins_premium_det (premium_rcv_code,assorted_code, rec_amount,premium_rcv_detail_code,remaining_amt, payrec, mode_code,coinsurance_code,class_cd,it_remarks) values</v>
      </c>
      <c r="G27" s="14" t="str">
        <f t="shared" si="2"/>
        <v>('15Nov240016','040000155162','4400',(select max(to_number(i.premium_rcv_detail_code))+1
from ins_premium_det i),'4400','4400','02', '11000003','00','Request by Mr. Saqib Saleem 15-Nov-2024');</v>
      </c>
      <c r="H27" s="15" t="str">
        <f t="shared" si="3"/>
        <v>insert into ins_premium_det (premium_rcv_code,assorted_code, rec_amount,premium_rcv_detail_code,remaining_amt, payrec, mode_code,coinsurance_code,class_cd,it_remarks) values('15Nov240016','040000155162','4400',(select max(to_number(i.premium_rcv_detail_code))+1
from ins_premium_det i),'4400','4400','02', '11000003','00','Request by Mr. Saqib Saleem 15-Nov-2024');</v>
      </c>
    </row>
    <row r="28" spans="1:8" ht="105" x14ac:dyDescent="0.25">
      <c r="A28" s="2" t="s">
        <v>100</v>
      </c>
      <c r="B28" s="11" t="str">
        <f>VLOOKUP(A28,policy!B:C,2,0)</f>
        <v>040000155163</v>
      </c>
      <c r="C28" s="4">
        <v>4400</v>
      </c>
      <c r="D28" s="12">
        <f t="shared" si="1"/>
        <v>4400</v>
      </c>
      <c r="E28" s="16" t="s">
        <v>960</v>
      </c>
      <c r="F28" s="13" t="str">
        <f t="shared" si="0"/>
        <v>insert into ins_premium_det (premium_rcv_code,assorted_code, rec_amount,premium_rcv_detail_code,remaining_amt, payrec, mode_code,coinsurance_code,class_cd,it_remarks) values</v>
      </c>
      <c r="G28" s="14" t="str">
        <f t="shared" si="2"/>
        <v>('15Nov240016','040000155163','4400',(select max(to_number(i.premium_rcv_detail_code))+1
from ins_premium_det i),'4400','4400','02', '11000003','00','Request by Mr. Saqib Saleem 15-Nov-2024');</v>
      </c>
      <c r="H28" s="15" t="str">
        <f t="shared" si="3"/>
        <v>insert into ins_premium_det (premium_rcv_code,assorted_code, rec_amount,premium_rcv_detail_code,remaining_amt, payrec, mode_code,coinsurance_code,class_cd,it_remarks) values('15Nov240016','040000155163','4400',(select max(to_number(i.premium_rcv_detail_code))+1
from ins_premium_det i),'4400','4400','02', '11000003','00','Request by Mr. Saqib Saleem 15-Nov-2024');</v>
      </c>
    </row>
    <row r="29" spans="1:8" ht="105" x14ac:dyDescent="0.25">
      <c r="A29" s="2" t="s">
        <v>102</v>
      </c>
      <c r="B29" s="11" t="str">
        <f>VLOOKUP(A29,policy!B:C,2,0)</f>
        <v>040000155245</v>
      </c>
      <c r="C29" s="4">
        <v>4400</v>
      </c>
      <c r="D29" s="12">
        <f t="shared" si="1"/>
        <v>4400</v>
      </c>
      <c r="E29" s="16" t="s">
        <v>960</v>
      </c>
      <c r="F29" s="13" t="str">
        <f t="shared" si="0"/>
        <v>insert into ins_premium_det (premium_rcv_code,assorted_code, rec_amount,premium_rcv_detail_code,remaining_amt, payrec, mode_code,coinsurance_code,class_cd,it_remarks) values</v>
      </c>
      <c r="G29" s="14" t="str">
        <f t="shared" si="2"/>
        <v>('15Nov240016','040000155245','4400',(select max(to_number(i.premium_rcv_detail_code))+1
from ins_premium_det i),'4400','4400','02', '11000003','00','Request by Mr. Saqib Saleem 15-Nov-2024');</v>
      </c>
      <c r="H29" s="15" t="str">
        <f t="shared" si="3"/>
        <v>insert into ins_premium_det (premium_rcv_code,assorted_code, rec_amount,premium_rcv_detail_code,remaining_amt, payrec, mode_code,coinsurance_code,class_cd,it_remarks) values('15Nov240016','040000155245','4400',(select max(to_number(i.premium_rcv_detail_code))+1
from ins_premium_det i),'4400','4400','02', '11000003','00','Request by Mr. Saqib Saleem 15-Nov-2024');</v>
      </c>
    </row>
    <row r="30" spans="1:8" ht="105" x14ac:dyDescent="0.25">
      <c r="A30" s="2" t="s">
        <v>104</v>
      </c>
      <c r="B30" s="11" t="str">
        <f>VLOOKUP(A30,policy!B:C,2,0)</f>
        <v>040000155247</v>
      </c>
      <c r="C30" s="4">
        <v>4400</v>
      </c>
      <c r="D30" s="12">
        <f t="shared" si="1"/>
        <v>4400</v>
      </c>
      <c r="E30" s="16" t="s">
        <v>960</v>
      </c>
      <c r="F30" s="13" t="str">
        <f t="shared" si="0"/>
        <v>insert into ins_premium_det (premium_rcv_code,assorted_code, rec_amount,premium_rcv_detail_code,remaining_amt, payrec, mode_code,coinsurance_code,class_cd,it_remarks) values</v>
      </c>
      <c r="G30" s="14" t="str">
        <f t="shared" si="2"/>
        <v>('15Nov240016','040000155247','4400',(select max(to_number(i.premium_rcv_detail_code))+1
from ins_premium_det i),'4400','4400','02', '11000003','00','Request by Mr. Saqib Saleem 15-Nov-2024');</v>
      </c>
      <c r="H30" s="15" t="str">
        <f t="shared" si="3"/>
        <v>insert into ins_premium_det (premium_rcv_code,assorted_code, rec_amount,premium_rcv_detail_code,remaining_amt, payrec, mode_code,coinsurance_code,class_cd,it_remarks) values('15Nov240016','040000155247','4400',(select max(to_number(i.premium_rcv_detail_code))+1
from ins_premium_det i),'4400','4400','02', '11000003','00','Request by Mr. Saqib Saleem 15-Nov-2024');</v>
      </c>
    </row>
    <row r="31" spans="1:8" ht="105" x14ac:dyDescent="0.25">
      <c r="A31" s="2" t="s">
        <v>106</v>
      </c>
      <c r="B31" s="11" t="str">
        <f>VLOOKUP(A31,policy!B:C,2,0)</f>
        <v>040000155267</v>
      </c>
      <c r="C31" s="4">
        <v>4400</v>
      </c>
      <c r="D31" s="12">
        <f t="shared" si="1"/>
        <v>4400</v>
      </c>
      <c r="E31" s="16" t="s">
        <v>960</v>
      </c>
      <c r="F31" s="13" t="str">
        <f t="shared" si="0"/>
        <v>insert into ins_premium_det (premium_rcv_code,assorted_code, rec_amount,premium_rcv_detail_code,remaining_amt, payrec, mode_code,coinsurance_code,class_cd,it_remarks) values</v>
      </c>
      <c r="G31" s="14" t="str">
        <f t="shared" si="2"/>
        <v>('15Nov240016','040000155267','4400',(select max(to_number(i.premium_rcv_detail_code))+1
from ins_premium_det i),'4400','4400','02', '11000003','00','Request by Mr. Saqib Saleem 15-Nov-2024');</v>
      </c>
      <c r="H31" s="15" t="str">
        <f t="shared" si="3"/>
        <v>insert into ins_premium_det (premium_rcv_code,assorted_code, rec_amount,premium_rcv_detail_code,remaining_amt, payrec, mode_code,coinsurance_code,class_cd,it_remarks) values('15Nov240016','040000155267','4400',(select max(to_number(i.premium_rcv_detail_code))+1
from ins_premium_det i),'4400','4400','02', '11000003','00','Request by Mr. Saqib Saleem 15-Nov-2024');</v>
      </c>
    </row>
    <row r="32" spans="1:8" ht="105" x14ac:dyDescent="0.25">
      <c r="A32" s="2" t="s">
        <v>108</v>
      </c>
      <c r="B32" s="11" t="str">
        <f>VLOOKUP(A32,policy!B:C,2,0)</f>
        <v>040000155308</v>
      </c>
      <c r="C32" s="4">
        <v>4400</v>
      </c>
      <c r="D32" s="12">
        <f t="shared" si="1"/>
        <v>4400</v>
      </c>
      <c r="E32" s="16" t="s">
        <v>960</v>
      </c>
      <c r="F32" s="13" t="str">
        <f t="shared" si="0"/>
        <v>insert into ins_premium_det (premium_rcv_code,assorted_code, rec_amount,premium_rcv_detail_code,remaining_amt, payrec, mode_code,coinsurance_code,class_cd,it_remarks) values</v>
      </c>
      <c r="G32" s="14" t="str">
        <f t="shared" si="2"/>
        <v>('15Nov240016','040000155308','4400',(select max(to_number(i.premium_rcv_detail_code))+1
from ins_premium_det i),'4400','4400','02', '11000003','00','Request by Mr. Saqib Saleem 15-Nov-2024');</v>
      </c>
      <c r="H32" s="15" t="str">
        <f t="shared" si="3"/>
        <v>insert into ins_premium_det (premium_rcv_code,assorted_code, rec_amount,premium_rcv_detail_code,remaining_amt, payrec, mode_code,coinsurance_code,class_cd,it_remarks) values('15Nov240016','040000155308','4400',(select max(to_number(i.premium_rcv_detail_code))+1
from ins_premium_det i),'4400','4400','02', '11000003','00','Request by Mr. Saqib Saleem 15-Nov-2024');</v>
      </c>
    </row>
    <row r="33" spans="1:8" ht="105" x14ac:dyDescent="0.25">
      <c r="A33" s="2" t="s">
        <v>110</v>
      </c>
      <c r="B33" s="11" t="str">
        <f>VLOOKUP(A33,policy!B:C,2,0)</f>
        <v>040000155331</v>
      </c>
      <c r="C33" s="4">
        <v>2560</v>
      </c>
      <c r="D33" s="12">
        <f t="shared" si="1"/>
        <v>2560</v>
      </c>
      <c r="E33" s="16" t="s">
        <v>960</v>
      </c>
      <c r="F33" s="13" t="str">
        <f t="shared" si="0"/>
        <v>insert into ins_premium_det (premium_rcv_code,assorted_code, rec_amount,premium_rcv_detail_code,remaining_amt, payrec, mode_code,coinsurance_code,class_cd,it_remarks) values</v>
      </c>
      <c r="G33" s="14" t="str">
        <f t="shared" si="2"/>
        <v>('15Nov240016','040000155331','2560',(select max(to_number(i.premium_rcv_detail_code))+1
from ins_premium_det i),'2560','2560','02', '11000003','00','Request by Mr. Saqib Saleem 15-Nov-2024');</v>
      </c>
      <c r="H33" s="15" t="str">
        <f t="shared" si="3"/>
        <v>insert into ins_premium_det (premium_rcv_code,assorted_code, rec_amount,premium_rcv_detail_code,remaining_amt, payrec, mode_code,coinsurance_code,class_cd,it_remarks) values('15Nov240016','040000155331','2560',(select max(to_number(i.premium_rcv_detail_code))+1
from ins_premium_det i),'2560','2560','02', '11000003','00','Request by Mr. Saqib Saleem 15-Nov-2024');</v>
      </c>
    </row>
    <row r="34" spans="1:8" ht="105" x14ac:dyDescent="0.25">
      <c r="A34" s="2" t="s">
        <v>112</v>
      </c>
      <c r="B34" s="11" t="str">
        <f>VLOOKUP(A34,policy!B:C,2,0)</f>
        <v>040000155367</v>
      </c>
      <c r="C34" s="4">
        <v>4400</v>
      </c>
      <c r="D34" s="12">
        <f t="shared" si="1"/>
        <v>4400</v>
      </c>
      <c r="E34" s="16" t="s">
        <v>960</v>
      </c>
      <c r="F34" s="13" t="str">
        <f t="shared" si="0"/>
        <v>insert into ins_premium_det (premium_rcv_code,assorted_code, rec_amount,premium_rcv_detail_code,remaining_amt, payrec, mode_code,coinsurance_code,class_cd,it_remarks) values</v>
      </c>
      <c r="G34" s="14" t="str">
        <f t="shared" si="2"/>
        <v>('15Nov240016','040000155367','4400',(select max(to_number(i.premium_rcv_detail_code))+1
from ins_premium_det i),'4400','4400','02', '11000003','00','Request by Mr. Saqib Saleem 15-Nov-2024');</v>
      </c>
      <c r="H34" s="15" t="str">
        <f t="shared" si="3"/>
        <v>insert into ins_premium_det (premium_rcv_code,assorted_code, rec_amount,premium_rcv_detail_code,remaining_amt, payrec, mode_code,coinsurance_code,class_cd,it_remarks) values('15Nov240016','040000155367','4400',(select max(to_number(i.premium_rcv_detail_code))+1
from ins_premium_det i),'4400','4400','02', '11000003','00','Request by Mr. Saqib Saleem 15-Nov-2024');</v>
      </c>
    </row>
    <row r="35" spans="1:8" ht="105" x14ac:dyDescent="0.25">
      <c r="A35" s="2" t="s">
        <v>115</v>
      </c>
      <c r="B35" s="11" t="str">
        <f>VLOOKUP(A35,policy!B:C,2,0)</f>
        <v>040000155370</v>
      </c>
      <c r="C35" s="4">
        <v>3025</v>
      </c>
      <c r="D35" s="12">
        <f t="shared" si="1"/>
        <v>3025</v>
      </c>
      <c r="E35" s="16" t="s">
        <v>960</v>
      </c>
      <c r="F35" s="13" t="str">
        <f t="shared" si="0"/>
        <v>insert into ins_premium_det (premium_rcv_code,assorted_code, rec_amount,premium_rcv_detail_code,remaining_amt, payrec, mode_code,coinsurance_code,class_cd,it_remarks) values</v>
      </c>
      <c r="G35" s="14" t="str">
        <f t="shared" si="2"/>
        <v>('15Nov240016','040000155370','3025',(select max(to_number(i.premium_rcv_detail_code))+1
from ins_premium_det i),'3025','3025','02', '11000003','00','Request by Mr. Saqib Saleem 15-Nov-2024');</v>
      </c>
      <c r="H35" s="15" t="str">
        <f t="shared" si="3"/>
        <v>insert into ins_premium_det (premium_rcv_code,assorted_code, rec_amount,premium_rcv_detail_code,remaining_amt, payrec, mode_code,coinsurance_code,class_cd,it_remarks) values('15Nov240016','040000155370','3025',(select max(to_number(i.premium_rcv_detail_code))+1
from ins_premium_det i),'3025','3025','02', '11000003','00','Request by Mr. Saqib Saleem 15-Nov-2024');</v>
      </c>
    </row>
    <row r="36" spans="1:8" ht="105" x14ac:dyDescent="0.25">
      <c r="A36" s="2" t="s">
        <v>117</v>
      </c>
      <c r="B36" s="11" t="str">
        <f>VLOOKUP(A36,policy!B:C,2,0)</f>
        <v>040000155388</v>
      </c>
      <c r="C36" s="4">
        <v>4400</v>
      </c>
      <c r="D36" s="12">
        <f t="shared" si="1"/>
        <v>4400</v>
      </c>
      <c r="E36" s="16" t="s">
        <v>960</v>
      </c>
      <c r="F36" s="13" t="str">
        <f t="shared" si="0"/>
        <v>insert into ins_premium_det (premium_rcv_code,assorted_code, rec_amount,premium_rcv_detail_code,remaining_amt, payrec, mode_code,coinsurance_code,class_cd,it_remarks) values</v>
      </c>
      <c r="G36" s="14" t="str">
        <f t="shared" si="2"/>
        <v>('15Nov240016','040000155388','4400',(select max(to_number(i.premium_rcv_detail_code))+1
from ins_premium_det i),'4400','4400','02', '11000003','00','Request by Mr. Saqib Saleem 15-Nov-2024');</v>
      </c>
      <c r="H36" s="15" t="str">
        <f t="shared" si="3"/>
        <v>insert into ins_premium_det (premium_rcv_code,assorted_code, rec_amount,premium_rcv_detail_code,remaining_amt, payrec, mode_code,coinsurance_code,class_cd,it_remarks) values('15Nov240016','040000155388','4400',(select max(to_number(i.premium_rcv_detail_code))+1
from ins_premium_det i),'4400','4400','02', '11000003','00','Request by Mr. Saqib Saleem 15-Nov-2024');</v>
      </c>
    </row>
    <row r="37" spans="1:8" ht="105" x14ac:dyDescent="0.25">
      <c r="A37" s="2" t="s">
        <v>119</v>
      </c>
      <c r="B37" s="11" t="str">
        <f>VLOOKUP(A37,policy!B:C,2,0)</f>
        <v>040000155409</v>
      </c>
      <c r="C37" s="4">
        <v>3025</v>
      </c>
      <c r="D37" s="12">
        <f t="shared" si="1"/>
        <v>3025</v>
      </c>
      <c r="E37" s="16" t="s">
        <v>960</v>
      </c>
      <c r="F37" s="13" t="str">
        <f t="shared" si="0"/>
        <v>insert into ins_premium_det (premium_rcv_code,assorted_code, rec_amount,premium_rcv_detail_code,remaining_amt, payrec, mode_code,coinsurance_code,class_cd,it_remarks) values</v>
      </c>
      <c r="G37" s="14" t="str">
        <f t="shared" si="2"/>
        <v>('15Nov240016','040000155409','3025',(select max(to_number(i.premium_rcv_detail_code))+1
from ins_premium_det i),'3025','3025','02', '11000003','00','Request by Mr. Saqib Saleem 15-Nov-2024');</v>
      </c>
      <c r="H37" s="15" t="str">
        <f t="shared" si="3"/>
        <v>insert into ins_premium_det (premium_rcv_code,assorted_code, rec_amount,premium_rcv_detail_code,remaining_amt, payrec, mode_code,coinsurance_code,class_cd,it_remarks) values('15Nov240016','040000155409','3025',(select max(to_number(i.premium_rcv_detail_code))+1
from ins_premium_det i),'3025','3025','02', '11000003','00','Request by Mr. Saqib Saleem 15-Nov-2024');</v>
      </c>
    </row>
    <row r="38" spans="1:8" ht="105" x14ac:dyDescent="0.25">
      <c r="A38" s="2" t="s">
        <v>121</v>
      </c>
      <c r="B38" s="11" t="str">
        <f>VLOOKUP(A38,policy!B:C,2,0)</f>
        <v>040000155410</v>
      </c>
      <c r="C38" s="4">
        <v>4400</v>
      </c>
      <c r="D38" s="12">
        <f t="shared" si="1"/>
        <v>4400</v>
      </c>
      <c r="E38" s="16" t="s">
        <v>960</v>
      </c>
      <c r="F38" s="13" t="str">
        <f t="shared" si="0"/>
        <v>insert into ins_premium_det (premium_rcv_code,assorted_code, rec_amount,premium_rcv_detail_code,remaining_amt, payrec, mode_code,coinsurance_code,class_cd,it_remarks) values</v>
      </c>
      <c r="G38" s="14" t="str">
        <f t="shared" si="2"/>
        <v>('15Nov240016','040000155410','4400',(select max(to_number(i.premium_rcv_detail_code))+1
from ins_premium_det i),'4400','4400','02', '11000003','00','Request by Mr. Saqib Saleem 15-Nov-2024');</v>
      </c>
      <c r="H38" s="15" t="str">
        <f t="shared" si="3"/>
        <v>insert into ins_premium_det (premium_rcv_code,assorted_code, rec_amount,premium_rcv_detail_code,remaining_amt, payrec, mode_code,coinsurance_code,class_cd,it_remarks) values('15Nov240016','040000155410','4400',(select max(to_number(i.premium_rcv_detail_code))+1
from ins_premium_det i),'4400','4400','02', '11000003','00','Request by Mr. Saqib Saleem 15-Nov-2024');</v>
      </c>
    </row>
    <row r="39" spans="1:8" ht="105" x14ac:dyDescent="0.25">
      <c r="A39" s="2" t="s">
        <v>123</v>
      </c>
      <c r="B39" s="11" t="str">
        <f>VLOOKUP(A39,policy!B:C,2,0)</f>
        <v>040000155411</v>
      </c>
      <c r="C39" s="4">
        <v>4400</v>
      </c>
      <c r="D39" s="12">
        <f t="shared" si="1"/>
        <v>4400</v>
      </c>
      <c r="E39" s="16" t="s">
        <v>960</v>
      </c>
      <c r="F39" s="13" t="str">
        <f t="shared" si="0"/>
        <v>insert into ins_premium_det (premium_rcv_code,assorted_code, rec_amount,premium_rcv_detail_code,remaining_amt, payrec, mode_code,coinsurance_code,class_cd,it_remarks) values</v>
      </c>
      <c r="G39" s="14" t="str">
        <f t="shared" si="2"/>
        <v>('15Nov240016','040000155411','4400',(select max(to_number(i.premium_rcv_detail_code))+1
from ins_premium_det i),'4400','4400','02', '11000003','00','Request by Mr. Saqib Saleem 15-Nov-2024');</v>
      </c>
      <c r="H39" s="15" t="str">
        <f t="shared" si="3"/>
        <v>insert into ins_premium_det (premium_rcv_code,assorted_code, rec_amount,premium_rcv_detail_code,remaining_amt, payrec, mode_code,coinsurance_code,class_cd,it_remarks) values('15Nov240016','040000155411','4400',(select max(to_number(i.premium_rcv_detail_code))+1
from ins_premium_det i),'4400','4400','02', '11000003','00','Request by Mr. Saqib Saleem 15-Nov-2024');</v>
      </c>
    </row>
    <row r="40" spans="1:8" ht="105" x14ac:dyDescent="0.25">
      <c r="A40" s="2" t="s">
        <v>125</v>
      </c>
      <c r="B40" s="11" t="str">
        <f>VLOOKUP(A40,policy!B:C,2,0)</f>
        <v>040000155450</v>
      </c>
      <c r="C40" s="4">
        <v>3025</v>
      </c>
      <c r="D40" s="12">
        <f t="shared" si="1"/>
        <v>3025</v>
      </c>
      <c r="E40" s="16" t="s">
        <v>960</v>
      </c>
      <c r="F40" s="13" t="str">
        <f t="shared" si="0"/>
        <v>insert into ins_premium_det (premium_rcv_code,assorted_code, rec_amount,premium_rcv_detail_code,remaining_amt, payrec, mode_code,coinsurance_code,class_cd,it_remarks) values</v>
      </c>
      <c r="G40" s="14" t="str">
        <f t="shared" si="2"/>
        <v>('15Nov240016','040000155450','3025',(select max(to_number(i.premium_rcv_detail_code))+1
from ins_premium_det i),'3025','3025','02', '11000003','00','Request by Mr. Saqib Saleem 15-Nov-2024');</v>
      </c>
      <c r="H40" s="15" t="str">
        <f t="shared" si="3"/>
        <v>insert into ins_premium_det (premium_rcv_code,assorted_code, rec_amount,premium_rcv_detail_code,remaining_amt, payrec, mode_code,coinsurance_code,class_cd,it_remarks) values('15Nov240016','040000155450','3025',(select max(to_number(i.premium_rcv_detail_code))+1
from ins_premium_det i),'3025','3025','02', '11000003','00','Request by Mr. Saqib Saleem 15-Nov-2024');</v>
      </c>
    </row>
    <row r="41" spans="1:8" ht="105" x14ac:dyDescent="0.25">
      <c r="A41" s="2" t="s">
        <v>127</v>
      </c>
      <c r="B41" s="11" t="str">
        <f>VLOOKUP(A41,policy!B:C,2,0)</f>
        <v>040000156311</v>
      </c>
      <c r="C41" s="4">
        <v>4400</v>
      </c>
      <c r="D41" s="12">
        <f t="shared" si="1"/>
        <v>4400</v>
      </c>
      <c r="E41" s="16" t="s">
        <v>960</v>
      </c>
      <c r="F41" s="13" t="str">
        <f t="shared" si="0"/>
        <v>insert into ins_premium_det (premium_rcv_code,assorted_code, rec_amount,premium_rcv_detail_code,remaining_amt, payrec, mode_code,coinsurance_code,class_cd,it_remarks) values</v>
      </c>
      <c r="G41" s="14" t="str">
        <f t="shared" si="2"/>
        <v>('15Nov240016','040000156311','4400',(select max(to_number(i.premium_rcv_detail_code))+1
from ins_premium_det i),'4400','4400','02', '11000003','00','Request by Mr. Saqib Saleem 15-Nov-2024');</v>
      </c>
      <c r="H41" s="15" t="str">
        <f t="shared" si="3"/>
        <v>insert into ins_premium_det (premium_rcv_code,assorted_code, rec_amount,premium_rcv_detail_code,remaining_amt, payrec, mode_code,coinsurance_code,class_cd,it_remarks) values('15Nov240016','040000156311','4400',(select max(to_number(i.premium_rcv_detail_code))+1
from ins_premium_det i),'4400','4400','02', '11000003','00','Request by Mr. Saqib Saleem 15-Nov-2024');</v>
      </c>
    </row>
    <row r="42" spans="1:8" ht="105" x14ac:dyDescent="0.25">
      <c r="A42" s="2" t="s">
        <v>129</v>
      </c>
      <c r="B42" s="11" t="str">
        <f>VLOOKUP(A42,policy!B:C,2,0)</f>
        <v>040000156312</v>
      </c>
      <c r="C42" s="4">
        <v>4400</v>
      </c>
      <c r="D42" s="12">
        <f t="shared" si="1"/>
        <v>4400</v>
      </c>
      <c r="E42" s="16" t="s">
        <v>960</v>
      </c>
      <c r="F42" s="13" t="str">
        <f t="shared" si="0"/>
        <v>insert into ins_premium_det (premium_rcv_code,assorted_code, rec_amount,premium_rcv_detail_code,remaining_amt, payrec, mode_code,coinsurance_code,class_cd,it_remarks) values</v>
      </c>
      <c r="G42" s="14" t="str">
        <f t="shared" si="2"/>
        <v>('15Nov240016','040000156312','4400',(select max(to_number(i.premium_rcv_detail_code))+1
from ins_premium_det i),'4400','4400','02', '11000003','00','Request by Mr. Saqib Saleem 15-Nov-2024');</v>
      </c>
      <c r="H42" s="15" t="str">
        <f t="shared" si="3"/>
        <v>insert into ins_premium_det (premium_rcv_code,assorted_code, rec_amount,premium_rcv_detail_code,remaining_amt, payrec, mode_code,coinsurance_code,class_cd,it_remarks) values('15Nov240016','040000156312','4400',(select max(to_number(i.premium_rcv_detail_code))+1
from ins_premium_det i),'4400','4400','02', '11000003','00','Request by Mr. Saqib Saleem 15-Nov-2024');</v>
      </c>
    </row>
    <row r="43" spans="1:8" ht="105" x14ac:dyDescent="0.25">
      <c r="A43" s="2" t="s">
        <v>131</v>
      </c>
      <c r="B43" s="11" t="str">
        <f>VLOOKUP(A43,policy!B:C,2,0)</f>
        <v>040000156314</v>
      </c>
      <c r="C43" s="4">
        <v>4400</v>
      </c>
      <c r="D43" s="12">
        <f t="shared" si="1"/>
        <v>4400</v>
      </c>
      <c r="E43" s="16" t="s">
        <v>960</v>
      </c>
      <c r="F43" s="13" t="str">
        <f t="shared" si="0"/>
        <v>insert into ins_premium_det (premium_rcv_code,assorted_code, rec_amount,premium_rcv_detail_code,remaining_amt, payrec, mode_code,coinsurance_code,class_cd,it_remarks) values</v>
      </c>
      <c r="G43" s="14" t="str">
        <f t="shared" si="2"/>
        <v>('15Nov240016','040000156314','4400',(select max(to_number(i.premium_rcv_detail_code))+1
from ins_premium_det i),'4400','4400','02', '11000003','00','Request by Mr. Saqib Saleem 15-Nov-2024');</v>
      </c>
      <c r="H43" s="15" t="str">
        <f t="shared" si="3"/>
        <v>insert into ins_premium_det (premium_rcv_code,assorted_code, rec_amount,premium_rcv_detail_code,remaining_amt, payrec, mode_code,coinsurance_code,class_cd,it_remarks) values('15Nov240016','040000156314','4400',(select max(to_number(i.premium_rcv_detail_code))+1
from ins_premium_det i),'4400','4400','02', '11000003','00','Request by Mr. Saqib Saleem 15-Nov-2024');</v>
      </c>
    </row>
    <row r="44" spans="1:8" ht="105" x14ac:dyDescent="0.25">
      <c r="A44" s="2" t="s">
        <v>133</v>
      </c>
      <c r="B44" s="11" t="str">
        <f>VLOOKUP(A44,policy!B:C,2,0)</f>
        <v>040000156315</v>
      </c>
      <c r="C44" s="4">
        <v>4400</v>
      </c>
      <c r="D44" s="12">
        <f t="shared" si="1"/>
        <v>4400</v>
      </c>
      <c r="E44" s="16" t="s">
        <v>960</v>
      </c>
      <c r="F44" s="13" t="str">
        <f t="shared" si="0"/>
        <v>insert into ins_premium_det (premium_rcv_code,assorted_code, rec_amount,premium_rcv_detail_code,remaining_amt, payrec, mode_code,coinsurance_code,class_cd,it_remarks) values</v>
      </c>
      <c r="G44" s="14" t="str">
        <f t="shared" si="2"/>
        <v>('15Nov240016','040000156315','4400',(select max(to_number(i.premium_rcv_detail_code))+1
from ins_premium_det i),'4400','4400','02', '11000003','00','Request by Mr. Saqib Saleem 15-Nov-2024');</v>
      </c>
      <c r="H44" s="15" t="str">
        <f t="shared" si="3"/>
        <v>insert into ins_premium_det (premium_rcv_code,assorted_code, rec_amount,premium_rcv_detail_code,remaining_amt, payrec, mode_code,coinsurance_code,class_cd,it_remarks) values('15Nov240016','040000156315','4400',(select max(to_number(i.premium_rcv_detail_code))+1
from ins_premium_det i),'4400','4400','02', '11000003','00','Request by Mr. Saqib Saleem 15-Nov-2024');</v>
      </c>
    </row>
    <row r="45" spans="1:8" ht="105" x14ac:dyDescent="0.25">
      <c r="A45" s="2" t="s">
        <v>135</v>
      </c>
      <c r="B45" s="11" t="str">
        <f>VLOOKUP(A45,policy!B:C,2,0)</f>
        <v>040000156316</v>
      </c>
      <c r="C45" s="4">
        <v>4400</v>
      </c>
      <c r="D45" s="12">
        <f t="shared" si="1"/>
        <v>4400</v>
      </c>
      <c r="E45" s="16" t="s">
        <v>960</v>
      </c>
      <c r="F45" s="13" t="str">
        <f t="shared" si="0"/>
        <v>insert into ins_premium_det (premium_rcv_code,assorted_code, rec_amount,premium_rcv_detail_code,remaining_amt, payrec, mode_code,coinsurance_code,class_cd,it_remarks) values</v>
      </c>
      <c r="G45" s="14" t="str">
        <f t="shared" si="2"/>
        <v>('15Nov240016','040000156316','4400',(select max(to_number(i.premium_rcv_detail_code))+1
from ins_premium_det i),'4400','4400','02', '11000003','00','Request by Mr. Saqib Saleem 15-Nov-2024');</v>
      </c>
      <c r="H45" s="15" t="str">
        <f t="shared" si="3"/>
        <v>insert into ins_premium_det (premium_rcv_code,assorted_code, rec_amount,premium_rcv_detail_code,remaining_amt, payrec, mode_code,coinsurance_code,class_cd,it_remarks) values('15Nov240016','040000156316','4400',(select max(to_number(i.premium_rcv_detail_code))+1
from ins_premium_det i),'4400','4400','02', '11000003','00','Request by Mr. Saqib Saleem 15-Nov-2024');</v>
      </c>
    </row>
    <row r="46" spans="1:8" ht="105" x14ac:dyDescent="0.25">
      <c r="A46" s="2" t="s">
        <v>137</v>
      </c>
      <c r="B46" s="11" t="str">
        <f>VLOOKUP(A46,policy!B:C,2,0)</f>
        <v>040000156317</v>
      </c>
      <c r="C46" s="4">
        <v>3025</v>
      </c>
      <c r="D46" s="12">
        <f t="shared" si="1"/>
        <v>3025</v>
      </c>
      <c r="E46" s="16" t="s">
        <v>960</v>
      </c>
      <c r="F46" s="13" t="str">
        <f t="shared" si="0"/>
        <v>insert into ins_premium_det (premium_rcv_code,assorted_code, rec_amount,premium_rcv_detail_code,remaining_amt, payrec, mode_code,coinsurance_code,class_cd,it_remarks) values</v>
      </c>
      <c r="G46" s="14" t="str">
        <f t="shared" si="2"/>
        <v>('15Nov240016','040000156317','3025',(select max(to_number(i.premium_rcv_detail_code))+1
from ins_premium_det i),'3025','3025','02', '11000003','00','Request by Mr. Saqib Saleem 15-Nov-2024');</v>
      </c>
      <c r="H46" s="15" t="str">
        <f t="shared" si="3"/>
        <v>insert into ins_premium_det (premium_rcv_code,assorted_code, rec_amount,premium_rcv_detail_code,remaining_amt, payrec, mode_code,coinsurance_code,class_cd,it_remarks) values('15Nov240016','040000156317','3025',(select max(to_number(i.premium_rcv_detail_code))+1
from ins_premium_det i),'3025','3025','02', '11000003','00','Request by Mr. Saqib Saleem 15-Nov-2024');</v>
      </c>
    </row>
    <row r="47" spans="1:8" ht="105" x14ac:dyDescent="0.25">
      <c r="A47" s="2" t="s">
        <v>139</v>
      </c>
      <c r="B47" s="11" t="str">
        <f>VLOOKUP(A47,policy!B:C,2,0)</f>
        <v>040000156318</v>
      </c>
      <c r="C47" s="4">
        <v>4400</v>
      </c>
      <c r="D47" s="12">
        <f t="shared" si="1"/>
        <v>4400</v>
      </c>
      <c r="E47" s="16" t="s">
        <v>960</v>
      </c>
      <c r="F47" s="13" t="str">
        <f t="shared" si="0"/>
        <v>insert into ins_premium_det (premium_rcv_code,assorted_code, rec_amount,premium_rcv_detail_code,remaining_amt, payrec, mode_code,coinsurance_code,class_cd,it_remarks) values</v>
      </c>
      <c r="G47" s="14" t="str">
        <f t="shared" si="2"/>
        <v>('15Nov240016','040000156318','4400',(select max(to_number(i.premium_rcv_detail_code))+1
from ins_premium_det i),'4400','4400','02', '11000003','00','Request by Mr. Saqib Saleem 15-Nov-2024');</v>
      </c>
      <c r="H47" s="15" t="str">
        <f t="shared" si="3"/>
        <v>insert into ins_premium_det (premium_rcv_code,assorted_code, rec_amount,premium_rcv_detail_code,remaining_amt, payrec, mode_code,coinsurance_code,class_cd,it_remarks) values('15Nov240016','040000156318','4400',(select max(to_number(i.premium_rcv_detail_code))+1
from ins_premium_det i),'4400','4400','02', '11000003','00','Request by Mr. Saqib Saleem 15-Nov-2024');</v>
      </c>
    </row>
    <row r="48" spans="1:8" ht="105" x14ac:dyDescent="0.25">
      <c r="A48" s="2" t="s">
        <v>141</v>
      </c>
      <c r="B48" s="11" t="str">
        <f>VLOOKUP(A48,policy!B:C,2,0)</f>
        <v>040000156319</v>
      </c>
      <c r="C48" s="4">
        <v>4400</v>
      </c>
      <c r="D48" s="12">
        <f t="shared" si="1"/>
        <v>4400</v>
      </c>
      <c r="E48" s="16" t="s">
        <v>960</v>
      </c>
      <c r="F48" s="13" t="str">
        <f t="shared" si="0"/>
        <v>insert into ins_premium_det (premium_rcv_code,assorted_code, rec_amount,premium_rcv_detail_code,remaining_amt, payrec, mode_code,coinsurance_code,class_cd,it_remarks) values</v>
      </c>
      <c r="G48" s="14" t="str">
        <f t="shared" si="2"/>
        <v>('15Nov240016','040000156319','4400',(select max(to_number(i.premium_rcv_detail_code))+1
from ins_premium_det i),'4400','4400','02', '11000003','00','Request by Mr. Saqib Saleem 15-Nov-2024');</v>
      </c>
      <c r="H48" s="15" t="str">
        <f t="shared" si="3"/>
        <v>insert into ins_premium_det (premium_rcv_code,assorted_code, rec_amount,premium_rcv_detail_code,remaining_amt, payrec, mode_code,coinsurance_code,class_cd,it_remarks) values('15Nov240016','040000156319','4400',(select max(to_number(i.premium_rcv_detail_code))+1
from ins_premium_det i),'4400','4400','02', '11000003','00','Request by Mr. Saqib Saleem 15-Nov-2024');</v>
      </c>
    </row>
    <row r="49" spans="1:8" ht="105" x14ac:dyDescent="0.25">
      <c r="A49" s="2" t="s">
        <v>143</v>
      </c>
      <c r="B49" s="11" t="str">
        <f>VLOOKUP(A49,policy!B:C,2,0)</f>
        <v>040000156320</v>
      </c>
      <c r="C49" s="4">
        <v>4400</v>
      </c>
      <c r="D49" s="12">
        <f t="shared" si="1"/>
        <v>4400</v>
      </c>
      <c r="E49" s="16" t="s">
        <v>960</v>
      </c>
      <c r="F49" s="13" t="str">
        <f t="shared" si="0"/>
        <v>insert into ins_premium_det (premium_rcv_code,assorted_code, rec_amount,premium_rcv_detail_code,remaining_amt, payrec, mode_code,coinsurance_code,class_cd,it_remarks) values</v>
      </c>
      <c r="G49" s="14" t="str">
        <f t="shared" si="2"/>
        <v>('15Nov240016','040000156320','4400',(select max(to_number(i.premium_rcv_detail_code))+1
from ins_premium_det i),'4400','4400','02', '11000003','00','Request by Mr. Saqib Saleem 15-Nov-2024');</v>
      </c>
      <c r="H49" s="15" t="str">
        <f t="shared" si="3"/>
        <v>insert into ins_premium_det (premium_rcv_code,assorted_code, rec_amount,premium_rcv_detail_code,remaining_amt, payrec, mode_code,coinsurance_code,class_cd,it_remarks) values('15Nov240016','040000156320','4400',(select max(to_number(i.premium_rcv_detail_code))+1
from ins_premium_det i),'4400','4400','02', '11000003','00','Request by Mr. Saqib Saleem 15-Nov-2024');</v>
      </c>
    </row>
    <row r="50" spans="1:8" ht="105" x14ac:dyDescent="0.25">
      <c r="A50" s="2" t="s">
        <v>145</v>
      </c>
      <c r="B50" s="11" t="str">
        <f>VLOOKUP(A50,policy!B:C,2,0)</f>
        <v>040000156321</v>
      </c>
      <c r="C50" s="4">
        <v>1925</v>
      </c>
      <c r="D50" s="12">
        <f t="shared" si="1"/>
        <v>1925</v>
      </c>
      <c r="E50" s="16" t="s">
        <v>960</v>
      </c>
      <c r="F50" s="13" t="str">
        <f t="shared" si="0"/>
        <v>insert into ins_premium_det (premium_rcv_code,assorted_code, rec_amount,premium_rcv_detail_code,remaining_amt, payrec, mode_code,coinsurance_code,class_cd,it_remarks) values</v>
      </c>
      <c r="G50" s="14" t="str">
        <f t="shared" si="2"/>
        <v>('15Nov240016','040000156321','1925',(select max(to_number(i.premium_rcv_detail_code))+1
from ins_premium_det i),'1925','1925','02', '11000003','00','Request by Mr. Saqib Saleem 15-Nov-2024');</v>
      </c>
      <c r="H50" s="15" t="str">
        <f t="shared" si="3"/>
        <v>insert into ins_premium_det (premium_rcv_code,assorted_code, rec_amount,premium_rcv_detail_code,remaining_amt, payrec, mode_code,coinsurance_code,class_cd,it_remarks) values('15Nov240016','040000156321','1925',(select max(to_number(i.premium_rcv_detail_code))+1
from ins_premium_det i),'1925','1925','02', '11000003','00','Request by Mr. Saqib Saleem 15-Nov-2024');</v>
      </c>
    </row>
    <row r="51" spans="1:8" ht="105" x14ac:dyDescent="0.25">
      <c r="A51" s="2" t="s">
        <v>147</v>
      </c>
      <c r="B51" s="11" t="str">
        <f>VLOOKUP(A51,policy!B:C,2,0)</f>
        <v>040000156333</v>
      </c>
      <c r="C51" s="4">
        <v>3025</v>
      </c>
      <c r="D51" s="12">
        <f t="shared" si="1"/>
        <v>3025</v>
      </c>
      <c r="E51" s="16" t="s">
        <v>960</v>
      </c>
      <c r="F51" s="13" t="str">
        <f t="shared" si="0"/>
        <v>insert into ins_premium_det (premium_rcv_code,assorted_code, rec_amount,premium_rcv_detail_code,remaining_amt, payrec, mode_code,coinsurance_code,class_cd,it_remarks) values</v>
      </c>
      <c r="G51" s="14" t="str">
        <f t="shared" si="2"/>
        <v>('15Nov240016','040000156333','3025',(select max(to_number(i.premium_rcv_detail_code))+1
from ins_premium_det i),'3025','3025','02', '11000003','00','Request by Mr. Saqib Saleem 15-Nov-2024');</v>
      </c>
      <c r="H51" s="15" t="str">
        <f t="shared" si="3"/>
        <v>insert into ins_premium_det (premium_rcv_code,assorted_code, rec_amount,premium_rcv_detail_code,remaining_amt, payrec, mode_code,coinsurance_code,class_cd,it_remarks) values('15Nov240016','040000156333','3025',(select max(to_number(i.premium_rcv_detail_code))+1
from ins_premium_det i),'3025','3025','02', '11000003','00','Request by Mr. Saqib Saleem 15-Nov-2024');</v>
      </c>
    </row>
    <row r="52" spans="1:8" ht="105" x14ac:dyDescent="0.25">
      <c r="A52" s="2" t="s">
        <v>149</v>
      </c>
      <c r="B52" s="11" t="str">
        <f>VLOOKUP(A52,policy!B:C,2,0)</f>
        <v>040000156463</v>
      </c>
      <c r="C52" s="4">
        <v>3025</v>
      </c>
      <c r="D52" s="12">
        <f t="shared" si="1"/>
        <v>3025</v>
      </c>
      <c r="E52" s="16" t="s">
        <v>960</v>
      </c>
      <c r="F52" s="13" t="str">
        <f t="shared" si="0"/>
        <v>insert into ins_premium_det (premium_rcv_code,assorted_code, rec_amount,premium_rcv_detail_code,remaining_amt, payrec, mode_code,coinsurance_code,class_cd,it_remarks) values</v>
      </c>
      <c r="G52" s="14" t="str">
        <f t="shared" si="2"/>
        <v>('15Nov240016','040000156463','3025',(select max(to_number(i.premium_rcv_detail_code))+1
from ins_premium_det i),'3025','3025','02', '11000003','00','Request by Mr. Saqib Saleem 15-Nov-2024');</v>
      </c>
      <c r="H52" s="15" t="str">
        <f t="shared" si="3"/>
        <v>insert into ins_premium_det (premium_rcv_code,assorted_code, rec_amount,premium_rcv_detail_code,remaining_amt, payrec, mode_code,coinsurance_code,class_cd,it_remarks) values('15Nov240016','040000156463','3025',(select max(to_number(i.premium_rcv_detail_code))+1
from ins_premium_det i),'3025','3025','02', '11000003','00','Request by Mr. Saqib Saleem 15-Nov-2024');</v>
      </c>
    </row>
    <row r="53" spans="1:8" ht="105" x14ac:dyDescent="0.25">
      <c r="A53" s="2" t="s">
        <v>151</v>
      </c>
      <c r="B53" s="11" t="str">
        <f>VLOOKUP(A53,policy!B:C,2,0)</f>
        <v>040000156563</v>
      </c>
      <c r="C53" s="4">
        <v>4400</v>
      </c>
      <c r="D53" s="12">
        <f t="shared" si="1"/>
        <v>4400</v>
      </c>
      <c r="E53" s="16" t="s">
        <v>960</v>
      </c>
      <c r="F53" s="13" t="str">
        <f t="shared" si="0"/>
        <v>insert into ins_premium_det (premium_rcv_code,assorted_code, rec_amount,premium_rcv_detail_code,remaining_amt, payrec, mode_code,coinsurance_code,class_cd,it_remarks) values</v>
      </c>
      <c r="G53" s="14" t="str">
        <f t="shared" si="2"/>
        <v>('15Nov240016','040000156563','4400',(select max(to_number(i.premium_rcv_detail_code))+1
from ins_premium_det i),'4400','4400','02', '11000003','00','Request by Mr. Saqib Saleem 15-Nov-2024');</v>
      </c>
      <c r="H53" s="15" t="str">
        <f t="shared" si="3"/>
        <v>insert into ins_premium_det (premium_rcv_code,assorted_code, rec_amount,premium_rcv_detail_code,remaining_amt, payrec, mode_code,coinsurance_code,class_cd,it_remarks) values('15Nov240016','040000156563','4400',(select max(to_number(i.premium_rcv_detail_code))+1
from ins_premium_det i),'4400','4400','02', '11000003','00','Request by Mr. Saqib Saleem 15-Nov-2024');</v>
      </c>
    </row>
    <row r="54" spans="1:8" ht="105" x14ac:dyDescent="0.25">
      <c r="A54" s="2" t="s">
        <v>153</v>
      </c>
      <c r="B54" s="11" t="str">
        <f>VLOOKUP(A54,policy!B:C,2,0)</f>
        <v>040000156575</v>
      </c>
      <c r="C54" s="4">
        <v>3025</v>
      </c>
      <c r="D54" s="12">
        <f t="shared" si="1"/>
        <v>3025</v>
      </c>
      <c r="E54" s="16" t="s">
        <v>960</v>
      </c>
      <c r="F54" s="13" t="str">
        <f t="shared" si="0"/>
        <v>insert into ins_premium_det (premium_rcv_code,assorted_code, rec_amount,premium_rcv_detail_code,remaining_amt, payrec, mode_code,coinsurance_code,class_cd,it_remarks) values</v>
      </c>
      <c r="G54" s="14" t="str">
        <f t="shared" si="2"/>
        <v>('15Nov240016','040000156575','3025',(select max(to_number(i.premium_rcv_detail_code))+1
from ins_premium_det i),'3025','3025','02', '11000003','00','Request by Mr. Saqib Saleem 15-Nov-2024');</v>
      </c>
      <c r="H54" s="15" t="str">
        <f t="shared" si="3"/>
        <v>insert into ins_premium_det (premium_rcv_code,assorted_code, rec_amount,premium_rcv_detail_code,remaining_amt, payrec, mode_code,coinsurance_code,class_cd,it_remarks) values('15Nov240016','040000156575','3025',(select max(to_number(i.premium_rcv_detail_code))+1
from ins_premium_det i),'3025','3025','02', '11000003','00','Request by Mr. Saqib Saleem 15-Nov-2024');</v>
      </c>
    </row>
    <row r="55" spans="1:8" ht="105" x14ac:dyDescent="0.25">
      <c r="A55" s="2" t="s">
        <v>155</v>
      </c>
      <c r="B55" s="11" t="str">
        <f>VLOOKUP(A55,policy!B:C,2,0)</f>
        <v>040000156583</v>
      </c>
      <c r="C55" s="4">
        <v>4801</v>
      </c>
      <c r="D55" s="12">
        <f t="shared" si="1"/>
        <v>4801</v>
      </c>
      <c r="E55" s="16" t="s">
        <v>960</v>
      </c>
      <c r="F55" s="13" t="str">
        <f t="shared" si="0"/>
        <v>insert into ins_premium_det (premium_rcv_code,assorted_code, rec_amount,premium_rcv_detail_code,remaining_amt, payrec, mode_code,coinsurance_code,class_cd,it_remarks) values</v>
      </c>
      <c r="G55" s="14" t="str">
        <f t="shared" si="2"/>
        <v>('15Nov240016','040000156583','4801',(select max(to_number(i.premium_rcv_detail_code))+1
from ins_premium_det i),'4801','4801','02', '11000003','00','Request by Mr. Saqib Saleem 15-Nov-2024');</v>
      </c>
      <c r="H55" s="15" t="str">
        <f t="shared" si="3"/>
        <v>insert into ins_premium_det (premium_rcv_code,assorted_code, rec_amount,premium_rcv_detail_code,remaining_amt, payrec, mode_code,coinsurance_code,class_cd,it_remarks) values('15Nov240016','040000156583','4801',(select max(to_number(i.premium_rcv_detail_code))+1
from ins_premium_det i),'4801','4801','02', '11000003','00','Request by Mr. Saqib Saleem 15-Nov-2024');</v>
      </c>
    </row>
    <row r="56" spans="1:8" ht="105" x14ac:dyDescent="0.25">
      <c r="A56" s="2" t="s">
        <v>157</v>
      </c>
      <c r="B56" s="11" t="str">
        <f>VLOOKUP(A56,policy!B:C,2,0)</f>
        <v>040000156657</v>
      </c>
      <c r="C56" s="4">
        <v>3025</v>
      </c>
      <c r="D56" s="12">
        <f t="shared" si="1"/>
        <v>3025</v>
      </c>
      <c r="E56" s="16" t="s">
        <v>960</v>
      </c>
      <c r="F56" s="13" t="str">
        <f t="shared" si="0"/>
        <v>insert into ins_premium_det (premium_rcv_code,assorted_code, rec_amount,premium_rcv_detail_code,remaining_amt, payrec, mode_code,coinsurance_code,class_cd,it_remarks) values</v>
      </c>
      <c r="G56" s="14" t="str">
        <f t="shared" si="2"/>
        <v>('15Nov240016','040000156657','3025',(select max(to_number(i.premium_rcv_detail_code))+1
from ins_premium_det i),'3025','3025','02', '11000003','00','Request by Mr. Saqib Saleem 15-Nov-2024');</v>
      </c>
      <c r="H56" s="15" t="str">
        <f t="shared" si="3"/>
        <v>insert into ins_premium_det (premium_rcv_code,assorted_code, rec_amount,premium_rcv_detail_code,remaining_amt, payrec, mode_code,coinsurance_code,class_cd,it_remarks) values('15Nov240016','040000156657','3025',(select max(to_number(i.premium_rcv_detail_code))+1
from ins_premium_det i),'3025','3025','02', '11000003','00','Request by Mr. Saqib Saleem 15-Nov-2024');</v>
      </c>
    </row>
    <row r="57" spans="1:8" ht="105" x14ac:dyDescent="0.25">
      <c r="A57" s="2" t="s">
        <v>159</v>
      </c>
      <c r="B57" s="11" t="str">
        <f>VLOOKUP(A57,policy!B:C,2,0)</f>
        <v>040000156709</v>
      </c>
      <c r="C57" s="4">
        <v>4400</v>
      </c>
      <c r="D57" s="12">
        <f t="shared" si="1"/>
        <v>4400</v>
      </c>
      <c r="E57" s="16" t="s">
        <v>960</v>
      </c>
      <c r="F57" s="13" t="str">
        <f t="shared" si="0"/>
        <v>insert into ins_premium_det (premium_rcv_code,assorted_code, rec_amount,premium_rcv_detail_code,remaining_amt, payrec, mode_code,coinsurance_code,class_cd,it_remarks) values</v>
      </c>
      <c r="G57" s="14" t="str">
        <f t="shared" si="2"/>
        <v>('15Nov240016','040000156709','4400',(select max(to_number(i.premium_rcv_detail_code))+1
from ins_premium_det i),'4400','4400','02', '11000003','00','Request by Mr. Saqib Saleem 15-Nov-2024');</v>
      </c>
      <c r="H57" s="15" t="str">
        <f t="shared" si="3"/>
        <v>insert into ins_premium_det (premium_rcv_code,assorted_code, rec_amount,premium_rcv_detail_code,remaining_amt, payrec, mode_code,coinsurance_code,class_cd,it_remarks) values('15Nov240016','040000156709','4400',(select max(to_number(i.premium_rcv_detail_code))+1
from ins_premium_det i),'4400','4400','02', '11000003','00','Request by Mr. Saqib Saleem 15-Nov-2024');</v>
      </c>
    </row>
    <row r="58" spans="1:8" ht="105" x14ac:dyDescent="0.25">
      <c r="A58" s="2" t="s">
        <v>161</v>
      </c>
      <c r="B58" s="11" t="str">
        <f>VLOOKUP(A58,policy!B:C,2,0)</f>
        <v>040000156760</v>
      </c>
      <c r="C58" s="4">
        <v>4400</v>
      </c>
      <c r="D58" s="12">
        <f t="shared" si="1"/>
        <v>4400</v>
      </c>
      <c r="E58" s="16" t="s">
        <v>960</v>
      </c>
      <c r="F58" s="13" t="str">
        <f t="shared" si="0"/>
        <v>insert into ins_premium_det (premium_rcv_code,assorted_code, rec_amount,premium_rcv_detail_code,remaining_amt, payrec, mode_code,coinsurance_code,class_cd,it_remarks) values</v>
      </c>
      <c r="G58" s="14" t="str">
        <f t="shared" si="2"/>
        <v>('15Nov240016','040000156760','4400',(select max(to_number(i.premium_rcv_detail_code))+1
from ins_premium_det i),'4400','4400','02', '11000003','00','Request by Mr. Saqib Saleem 15-Nov-2024');</v>
      </c>
      <c r="H58" s="15" t="str">
        <f t="shared" si="3"/>
        <v>insert into ins_premium_det (premium_rcv_code,assorted_code, rec_amount,premium_rcv_detail_code,remaining_amt, payrec, mode_code,coinsurance_code,class_cd,it_remarks) values('15Nov240016','040000156760','4400',(select max(to_number(i.premium_rcv_detail_code))+1
from ins_premium_det i),'4400','4400','02', '11000003','00','Request by Mr. Saqib Saleem 15-Nov-2024');</v>
      </c>
    </row>
    <row r="59" spans="1:8" ht="105" x14ac:dyDescent="0.25">
      <c r="A59" s="2" t="s">
        <v>163</v>
      </c>
      <c r="B59" s="11" t="str">
        <f>VLOOKUP(A59,policy!B:C,2,0)</f>
        <v>040000156777</v>
      </c>
      <c r="C59" s="4">
        <v>4400</v>
      </c>
      <c r="D59" s="12">
        <f t="shared" si="1"/>
        <v>4400</v>
      </c>
      <c r="E59" s="16" t="s">
        <v>960</v>
      </c>
      <c r="F59" s="13" t="str">
        <f t="shared" si="0"/>
        <v>insert into ins_premium_det (premium_rcv_code,assorted_code, rec_amount,premium_rcv_detail_code,remaining_amt, payrec, mode_code,coinsurance_code,class_cd,it_remarks) values</v>
      </c>
      <c r="G59" s="14" t="str">
        <f t="shared" si="2"/>
        <v>('15Nov240016','040000156777','4400',(select max(to_number(i.premium_rcv_detail_code))+1
from ins_premium_det i),'4400','4400','02', '11000003','00','Request by Mr. Saqib Saleem 15-Nov-2024');</v>
      </c>
      <c r="H59" s="15" t="str">
        <f t="shared" si="3"/>
        <v>insert into ins_premium_det (premium_rcv_code,assorted_code, rec_amount,premium_rcv_detail_code,remaining_amt, payrec, mode_code,coinsurance_code,class_cd,it_remarks) values('15Nov240016','040000156777','4400',(select max(to_number(i.premium_rcv_detail_code))+1
from ins_premium_det i),'4400','4400','02', '11000003','00','Request by Mr. Saqib Saleem 15-Nov-2024');</v>
      </c>
    </row>
    <row r="60" spans="1:8" ht="105" x14ac:dyDescent="0.25">
      <c r="A60" s="2" t="s">
        <v>165</v>
      </c>
      <c r="B60" s="11" t="str">
        <f>VLOOKUP(A60,policy!B:C,2,0)</f>
        <v>040000156787</v>
      </c>
      <c r="C60" s="4">
        <v>4400</v>
      </c>
      <c r="D60" s="12">
        <f t="shared" si="1"/>
        <v>4400</v>
      </c>
      <c r="E60" s="16" t="s">
        <v>960</v>
      </c>
      <c r="F60" s="13" t="str">
        <f t="shared" si="0"/>
        <v>insert into ins_premium_det (premium_rcv_code,assorted_code, rec_amount,premium_rcv_detail_code,remaining_amt, payrec, mode_code,coinsurance_code,class_cd,it_remarks) values</v>
      </c>
      <c r="G60" s="14" t="str">
        <f t="shared" si="2"/>
        <v>('15Nov240016','040000156787','4400',(select max(to_number(i.premium_rcv_detail_code))+1
from ins_premium_det i),'4400','4400','02', '11000003','00','Request by Mr. Saqib Saleem 15-Nov-2024');</v>
      </c>
      <c r="H60" s="15" t="str">
        <f t="shared" si="3"/>
        <v>insert into ins_premium_det (premium_rcv_code,assorted_code, rec_amount,premium_rcv_detail_code,remaining_amt, payrec, mode_code,coinsurance_code,class_cd,it_remarks) values('15Nov240016','040000156787','4400',(select max(to_number(i.premium_rcv_detail_code))+1
from ins_premium_det i),'4400','4400','02', '11000003','00','Request by Mr. Saqib Saleem 15-Nov-2024');</v>
      </c>
    </row>
    <row r="61" spans="1:8" ht="105" x14ac:dyDescent="0.25">
      <c r="A61" s="2" t="s">
        <v>167</v>
      </c>
      <c r="B61" s="11" t="str">
        <f>VLOOKUP(A61,policy!B:C,2,0)</f>
        <v>040000156793</v>
      </c>
      <c r="C61" s="4">
        <v>4400</v>
      </c>
      <c r="D61" s="12">
        <f t="shared" si="1"/>
        <v>4400</v>
      </c>
      <c r="E61" s="16" t="s">
        <v>960</v>
      </c>
      <c r="F61" s="13" t="str">
        <f t="shared" si="0"/>
        <v>insert into ins_premium_det (premium_rcv_code,assorted_code, rec_amount,premium_rcv_detail_code,remaining_amt, payrec, mode_code,coinsurance_code,class_cd,it_remarks) values</v>
      </c>
      <c r="G61" s="14" t="str">
        <f t="shared" si="2"/>
        <v>('15Nov240016','040000156793','4400',(select max(to_number(i.premium_rcv_detail_code))+1
from ins_premium_det i),'4400','4400','02', '11000003','00','Request by Mr. Saqib Saleem 15-Nov-2024');</v>
      </c>
      <c r="H61" s="15" t="str">
        <f t="shared" si="3"/>
        <v>insert into ins_premium_det (premium_rcv_code,assorted_code, rec_amount,premium_rcv_detail_code,remaining_amt, payrec, mode_code,coinsurance_code,class_cd,it_remarks) values('15Nov240016','040000156793','4400',(select max(to_number(i.premium_rcv_detail_code))+1
from ins_premium_det i),'4400','4400','02', '11000003','00','Request by Mr. Saqib Saleem 15-Nov-2024');</v>
      </c>
    </row>
    <row r="62" spans="1:8" ht="105" x14ac:dyDescent="0.25">
      <c r="A62" s="2" t="s">
        <v>169</v>
      </c>
      <c r="B62" s="11" t="str">
        <f>VLOOKUP(A62,policy!B:C,2,0)</f>
        <v>040000156809</v>
      </c>
      <c r="C62" s="4">
        <v>4400</v>
      </c>
      <c r="D62" s="12">
        <f t="shared" si="1"/>
        <v>4400</v>
      </c>
      <c r="E62" s="16" t="s">
        <v>960</v>
      </c>
      <c r="F62" s="13" t="str">
        <f t="shared" si="0"/>
        <v>insert into ins_premium_det (premium_rcv_code,assorted_code, rec_amount,premium_rcv_detail_code,remaining_amt, payrec, mode_code,coinsurance_code,class_cd,it_remarks) values</v>
      </c>
      <c r="G62" s="14" t="str">
        <f t="shared" si="2"/>
        <v>('15Nov240016','040000156809','4400',(select max(to_number(i.premium_rcv_detail_code))+1
from ins_premium_det i),'4400','4400','02', '11000003','00','Request by Mr. Saqib Saleem 15-Nov-2024');</v>
      </c>
      <c r="H62" s="15" t="str">
        <f t="shared" si="3"/>
        <v>insert into ins_premium_det (premium_rcv_code,assorted_code, rec_amount,premium_rcv_detail_code,remaining_amt, payrec, mode_code,coinsurance_code,class_cd,it_remarks) values('15Nov240016','040000156809','4400',(select max(to_number(i.premium_rcv_detail_code))+1
from ins_premium_det i),'4400','4400','02', '11000003','00','Request by Mr. Saqib Saleem 15-Nov-2024');</v>
      </c>
    </row>
    <row r="63" spans="1:8" ht="105" x14ac:dyDescent="0.25">
      <c r="A63" s="2" t="s">
        <v>171</v>
      </c>
      <c r="B63" s="11" t="str">
        <f>VLOOKUP(A63,policy!B:C,2,0)</f>
        <v>040000156810</v>
      </c>
      <c r="C63" s="4">
        <v>4400</v>
      </c>
      <c r="D63" s="12">
        <f t="shared" si="1"/>
        <v>4400</v>
      </c>
      <c r="E63" s="16" t="s">
        <v>960</v>
      </c>
      <c r="F63" s="13" t="str">
        <f t="shared" si="0"/>
        <v>insert into ins_premium_det (premium_rcv_code,assorted_code, rec_amount,premium_rcv_detail_code,remaining_amt, payrec, mode_code,coinsurance_code,class_cd,it_remarks) values</v>
      </c>
      <c r="G63" s="14" t="str">
        <f t="shared" si="2"/>
        <v>('15Nov240016','040000156810','4400',(select max(to_number(i.premium_rcv_detail_code))+1
from ins_premium_det i),'4400','4400','02', '11000003','00','Request by Mr. Saqib Saleem 15-Nov-2024');</v>
      </c>
      <c r="H63" s="15" t="str">
        <f t="shared" si="3"/>
        <v>insert into ins_premium_det (premium_rcv_code,assorted_code, rec_amount,premium_rcv_detail_code,remaining_amt, payrec, mode_code,coinsurance_code,class_cd,it_remarks) values('15Nov240016','040000156810','4400',(select max(to_number(i.premium_rcv_detail_code))+1
from ins_premium_det i),'4400','4400','02', '11000003','00','Request by Mr. Saqib Saleem 15-Nov-2024');</v>
      </c>
    </row>
    <row r="64" spans="1:8" ht="105" x14ac:dyDescent="0.25">
      <c r="A64" s="2" t="s">
        <v>173</v>
      </c>
      <c r="B64" s="11" t="str">
        <f>VLOOKUP(A64,policy!B:C,2,0)</f>
        <v>040000156812</v>
      </c>
      <c r="C64" s="4">
        <v>4400</v>
      </c>
      <c r="D64" s="12">
        <f t="shared" si="1"/>
        <v>4400</v>
      </c>
      <c r="E64" s="16" t="s">
        <v>960</v>
      </c>
      <c r="F64" s="13" t="str">
        <f t="shared" si="0"/>
        <v>insert into ins_premium_det (premium_rcv_code,assorted_code, rec_amount,premium_rcv_detail_code,remaining_amt, payrec, mode_code,coinsurance_code,class_cd,it_remarks) values</v>
      </c>
      <c r="G64" s="14" t="str">
        <f t="shared" si="2"/>
        <v>('15Nov240016','040000156812','4400',(select max(to_number(i.premium_rcv_detail_code))+1
from ins_premium_det i),'4400','4400','02', '11000003','00','Request by Mr. Saqib Saleem 15-Nov-2024');</v>
      </c>
      <c r="H64" s="15" t="str">
        <f t="shared" si="3"/>
        <v>insert into ins_premium_det (premium_rcv_code,assorted_code, rec_amount,premium_rcv_detail_code,remaining_amt, payrec, mode_code,coinsurance_code,class_cd,it_remarks) values('15Nov240016','040000156812','4400',(select max(to_number(i.premium_rcv_detail_code))+1
from ins_premium_det i),'4400','4400','02', '11000003','00','Request by Mr. Saqib Saleem 15-Nov-2024');</v>
      </c>
    </row>
    <row r="65" spans="1:8" ht="105" x14ac:dyDescent="0.25">
      <c r="A65" s="2" t="s">
        <v>175</v>
      </c>
      <c r="B65" s="11" t="str">
        <f>VLOOKUP(A65,policy!B:C,2,0)</f>
        <v>040000156923</v>
      </c>
      <c r="C65" s="4">
        <v>4400</v>
      </c>
      <c r="D65" s="12">
        <f t="shared" si="1"/>
        <v>4400</v>
      </c>
      <c r="E65" s="16" t="s">
        <v>960</v>
      </c>
      <c r="F65" s="13" t="str">
        <f t="shared" si="0"/>
        <v>insert into ins_premium_det (premium_rcv_code,assorted_code, rec_amount,premium_rcv_detail_code,remaining_amt, payrec, mode_code,coinsurance_code,class_cd,it_remarks) values</v>
      </c>
      <c r="G65" s="14" t="str">
        <f t="shared" si="2"/>
        <v>('15Nov240016','040000156923','4400',(select max(to_number(i.premium_rcv_detail_code))+1
from ins_premium_det i),'4400','4400','02', '11000003','00','Request by Mr. Saqib Saleem 15-Nov-2024');</v>
      </c>
      <c r="H65" s="15" t="str">
        <f t="shared" si="3"/>
        <v>insert into ins_premium_det (premium_rcv_code,assorted_code, rec_amount,premium_rcv_detail_code,remaining_amt, payrec, mode_code,coinsurance_code,class_cd,it_remarks) values('15Nov240016','040000156923','4400',(select max(to_number(i.premium_rcv_detail_code))+1
from ins_premium_det i),'4400','4400','02', '11000003','00','Request by Mr. Saqib Saleem 15-Nov-2024');</v>
      </c>
    </row>
    <row r="66" spans="1:8" ht="105" x14ac:dyDescent="0.25">
      <c r="A66" s="2" t="s">
        <v>177</v>
      </c>
      <c r="B66" s="11" t="str">
        <f>VLOOKUP(A66,policy!B:C,2,0)</f>
        <v>040000156939</v>
      </c>
      <c r="C66" s="4">
        <v>4400</v>
      </c>
      <c r="D66" s="12">
        <f t="shared" si="1"/>
        <v>4400</v>
      </c>
      <c r="E66" s="16" t="s">
        <v>960</v>
      </c>
      <c r="F66" s="13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4" t="str">
        <f t="shared" si="2"/>
        <v>('15Nov240016','040000156939','4400',(select max(to_number(i.premium_rcv_detail_code))+1
from ins_premium_det i),'4400','4400','02', '11000003','00','Request by Mr. Saqib Saleem 15-Nov-2024');</v>
      </c>
      <c r="H66" s="15" t="str">
        <f t="shared" si="3"/>
        <v>insert into ins_premium_det (premium_rcv_code,assorted_code, rec_amount,premium_rcv_detail_code,remaining_amt, payrec, mode_code,coinsurance_code,class_cd,it_remarks) values('15Nov240016','040000156939','4400',(select max(to_number(i.premium_rcv_detail_code))+1
from ins_premium_det i),'4400','4400','02', '11000003','00','Request by Mr. Saqib Saleem 15-Nov-2024');</v>
      </c>
    </row>
    <row r="67" spans="1:8" ht="105" x14ac:dyDescent="0.25">
      <c r="A67" s="2" t="s">
        <v>179</v>
      </c>
      <c r="B67" s="11" t="str">
        <f>VLOOKUP(A67,policy!B:C,2,0)</f>
        <v>040000156947</v>
      </c>
      <c r="C67" s="4">
        <v>4400</v>
      </c>
      <c r="D67" s="12">
        <f t="shared" ref="D67:D130" si="5">ROUND(C67,0)</f>
        <v>4400</v>
      </c>
      <c r="E67" s="16" t="s">
        <v>960</v>
      </c>
      <c r="F67" s="13" t="str">
        <f t="shared" si="4"/>
        <v>insert into ins_premium_det (premium_rcv_code,assorted_code, rec_amount,premium_rcv_detail_code,remaining_amt, payrec, mode_code,coinsurance_code,class_cd,it_remarks) values</v>
      </c>
      <c r="G67" s="14" t="str">
        <f t="shared" ref="G67:G130" si="6">"('"&amp;E67&amp;"','"&amp;B67&amp;"','"&amp;D67&amp;"',(select max(to_number(i.premium_rcv_detail_code))+1
from ins_premium_det i),'"&amp;D67&amp;"','"&amp;D67&amp;"','02', '11000003','00','Request by Mr. Saqib Saleem 15-Nov-2024');"</f>
        <v>('15Nov240016','040000156947','4400',(select max(to_number(i.premium_rcv_detail_code))+1
from ins_premium_det i),'4400','4400','02', '11000003','00','Request by Mr. Saqib Saleem 15-Nov-2024');</v>
      </c>
      <c r="H67" s="15" t="str">
        <f t="shared" ref="H67:H130" si="7">F67&amp;G67</f>
        <v>insert into ins_premium_det (premium_rcv_code,assorted_code, rec_amount,premium_rcv_detail_code,remaining_amt, payrec, mode_code,coinsurance_code,class_cd,it_remarks) values('15Nov240016','040000156947','4400',(select max(to_number(i.premium_rcv_detail_code))+1
from ins_premium_det i),'4400','4400','02', '11000003','00','Request by Mr. Saqib Saleem 15-Nov-2024');</v>
      </c>
    </row>
    <row r="68" spans="1:8" ht="105" x14ac:dyDescent="0.25">
      <c r="A68" s="2" t="s">
        <v>181</v>
      </c>
      <c r="B68" s="11" t="str">
        <f>VLOOKUP(A68,policy!B:C,2,0)</f>
        <v>040000157073</v>
      </c>
      <c r="C68" s="4">
        <v>3920</v>
      </c>
      <c r="D68" s="12">
        <f t="shared" si="5"/>
        <v>3920</v>
      </c>
      <c r="E68" s="16" t="s">
        <v>960</v>
      </c>
      <c r="F68" s="13" t="str">
        <f t="shared" si="4"/>
        <v>insert into ins_premium_det (premium_rcv_code,assorted_code, rec_amount,premium_rcv_detail_code,remaining_amt, payrec, mode_code,coinsurance_code,class_cd,it_remarks) values</v>
      </c>
      <c r="G68" s="14" t="str">
        <f t="shared" si="6"/>
        <v>('15Nov240016','040000157073','3920',(select max(to_number(i.premium_rcv_detail_code))+1
from ins_premium_det i),'3920','3920','02', '11000003','00','Request by Mr. Saqib Saleem 15-Nov-2024');</v>
      </c>
      <c r="H68" s="15" t="str">
        <f t="shared" si="7"/>
        <v>insert into ins_premium_det (premium_rcv_code,assorted_code, rec_amount,premium_rcv_detail_code,remaining_amt, payrec, mode_code,coinsurance_code,class_cd,it_remarks) values('15Nov240016','040000157073','3920',(select max(to_number(i.premium_rcv_detail_code))+1
from ins_premium_det i),'3920','3920','02', '11000003','00','Request by Mr. Saqib Saleem 15-Nov-2024');</v>
      </c>
    </row>
    <row r="69" spans="1:8" ht="105" x14ac:dyDescent="0.25">
      <c r="A69" s="2" t="s">
        <v>183</v>
      </c>
      <c r="B69" s="11" t="str">
        <f>VLOOKUP(A69,policy!B:C,2,0)</f>
        <v>040000157115</v>
      </c>
      <c r="C69" s="4">
        <v>3025</v>
      </c>
      <c r="D69" s="12">
        <f t="shared" si="5"/>
        <v>3025</v>
      </c>
      <c r="E69" s="16" t="s">
        <v>960</v>
      </c>
      <c r="F69" s="13" t="str">
        <f t="shared" si="4"/>
        <v>insert into ins_premium_det (premium_rcv_code,assorted_code, rec_amount,premium_rcv_detail_code,remaining_amt, payrec, mode_code,coinsurance_code,class_cd,it_remarks) values</v>
      </c>
      <c r="G69" s="14" t="str">
        <f t="shared" si="6"/>
        <v>('15Nov240016','040000157115','3025',(select max(to_number(i.premium_rcv_detail_code))+1
from ins_premium_det i),'3025','3025','02', '11000003','00','Request by Mr. Saqib Saleem 15-Nov-2024');</v>
      </c>
      <c r="H69" s="15" t="str">
        <f t="shared" si="7"/>
        <v>insert into ins_premium_det (premium_rcv_code,assorted_code, rec_amount,premium_rcv_detail_code,remaining_amt, payrec, mode_code,coinsurance_code,class_cd,it_remarks) values('15Nov240016','040000157115','3025',(select max(to_number(i.premium_rcv_detail_code))+1
from ins_premium_det i),'3025','3025','02', '11000003','00','Request by Mr. Saqib Saleem 15-Nov-2024');</v>
      </c>
    </row>
    <row r="70" spans="1:8" ht="105" x14ac:dyDescent="0.25">
      <c r="A70" s="2" t="s">
        <v>185</v>
      </c>
      <c r="B70" s="11" t="str">
        <f>VLOOKUP(A70,policy!B:C,2,0)</f>
        <v>040000157140</v>
      </c>
      <c r="C70" s="4">
        <v>16215</v>
      </c>
      <c r="D70" s="12">
        <f t="shared" si="5"/>
        <v>16215</v>
      </c>
      <c r="E70" s="16" t="s">
        <v>960</v>
      </c>
      <c r="F70" s="13" t="str">
        <f t="shared" si="4"/>
        <v>insert into ins_premium_det (premium_rcv_code,assorted_code, rec_amount,premium_rcv_detail_code,remaining_amt, payrec, mode_code,coinsurance_code,class_cd,it_remarks) values</v>
      </c>
      <c r="G70" s="14" t="str">
        <f t="shared" si="6"/>
        <v>('15Nov240016','040000157140','16215',(select max(to_number(i.premium_rcv_detail_code))+1
from ins_premium_det i),'16215','16215','02', '11000003','00','Request by Mr. Saqib Saleem 15-Nov-2024');</v>
      </c>
      <c r="H70" s="15" t="str">
        <f t="shared" si="7"/>
        <v>insert into ins_premium_det (premium_rcv_code,assorted_code, rec_amount,premium_rcv_detail_code,remaining_amt, payrec, mode_code,coinsurance_code,class_cd,it_remarks) values('15Nov240016','040000157140','16215',(select max(to_number(i.premium_rcv_detail_code))+1
from ins_premium_det i),'16215','16215','02', '11000003','00','Request by Mr. Saqib Saleem 15-Nov-2024');</v>
      </c>
    </row>
    <row r="71" spans="1:8" ht="105" x14ac:dyDescent="0.25">
      <c r="A71" s="2" t="s">
        <v>187</v>
      </c>
      <c r="B71" s="11" t="str">
        <f>VLOOKUP(A71,policy!B:C,2,0)</f>
        <v>040000157284</v>
      </c>
      <c r="C71" s="4">
        <v>4400</v>
      </c>
      <c r="D71" s="12">
        <f t="shared" si="5"/>
        <v>4400</v>
      </c>
      <c r="E71" s="16" t="s">
        <v>960</v>
      </c>
      <c r="F71" s="13" t="str">
        <f t="shared" si="4"/>
        <v>insert into ins_premium_det (premium_rcv_code,assorted_code, rec_amount,premium_rcv_detail_code,remaining_amt, payrec, mode_code,coinsurance_code,class_cd,it_remarks) values</v>
      </c>
      <c r="G71" s="14" t="str">
        <f t="shared" si="6"/>
        <v>('15Nov240016','040000157284','4400',(select max(to_number(i.premium_rcv_detail_code))+1
from ins_premium_det i),'4400','4400','02', '11000003','00','Request by Mr. Saqib Saleem 15-Nov-2024');</v>
      </c>
      <c r="H71" s="15" t="str">
        <f t="shared" si="7"/>
        <v>insert into ins_premium_det (premium_rcv_code,assorted_code, rec_amount,premium_rcv_detail_code,remaining_amt, payrec, mode_code,coinsurance_code,class_cd,it_remarks) values('15Nov240016','040000157284','4400',(select max(to_number(i.premium_rcv_detail_code))+1
from ins_premium_det i),'4400','4400','02', '11000003','00','Request by Mr. Saqib Saleem 15-Nov-2024');</v>
      </c>
    </row>
    <row r="72" spans="1:8" ht="105" x14ac:dyDescent="0.25">
      <c r="A72" s="2" t="s">
        <v>189</v>
      </c>
      <c r="B72" s="11" t="str">
        <f>VLOOKUP(A72,policy!B:C,2,0)</f>
        <v>040000157334</v>
      </c>
      <c r="C72" s="4">
        <v>4400</v>
      </c>
      <c r="D72" s="12">
        <f t="shared" si="5"/>
        <v>4400</v>
      </c>
      <c r="E72" s="16" t="s">
        <v>960</v>
      </c>
      <c r="F72" s="13" t="str">
        <f t="shared" si="4"/>
        <v>insert into ins_premium_det (premium_rcv_code,assorted_code, rec_amount,premium_rcv_detail_code,remaining_amt, payrec, mode_code,coinsurance_code,class_cd,it_remarks) values</v>
      </c>
      <c r="G72" s="14" t="str">
        <f t="shared" si="6"/>
        <v>('15Nov240016','040000157334','4400',(select max(to_number(i.premium_rcv_detail_code))+1
from ins_premium_det i),'4400','4400','02', '11000003','00','Request by Mr. Saqib Saleem 15-Nov-2024');</v>
      </c>
      <c r="H72" s="15" t="str">
        <f t="shared" si="7"/>
        <v>insert into ins_premium_det (premium_rcv_code,assorted_code, rec_amount,premium_rcv_detail_code,remaining_amt, payrec, mode_code,coinsurance_code,class_cd,it_remarks) values('15Nov240016','040000157334','4400',(select max(to_number(i.premium_rcv_detail_code))+1
from ins_premium_det i),'4400','4400','02', '11000003','00','Request by Mr. Saqib Saleem 15-Nov-2024');</v>
      </c>
    </row>
    <row r="73" spans="1:8" ht="105" x14ac:dyDescent="0.25">
      <c r="A73" s="2" t="s">
        <v>191</v>
      </c>
      <c r="B73" s="11" t="str">
        <f>VLOOKUP(A73,policy!B:C,2,0)</f>
        <v>040000157410</v>
      </c>
      <c r="C73" s="4">
        <v>3025</v>
      </c>
      <c r="D73" s="12">
        <f t="shared" si="5"/>
        <v>3025</v>
      </c>
      <c r="E73" s="16" t="s">
        <v>960</v>
      </c>
      <c r="F73" s="13" t="str">
        <f t="shared" si="4"/>
        <v>insert into ins_premium_det (premium_rcv_code,assorted_code, rec_amount,premium_rcv_detail_code,remaining_amt, payrec, mode_code,coinsurance_code,class_cd,it_remarks) values</v>
      </c>
      <c r="G73" s="14" t="str">
        <f t="shared" si="6"/>
        <v>('15Nov240016','040000157410','3025',(select max(to_number(i.premium_rcv_detail_code))+1
from ins_premium_det i),'3025','3025','02', '11000003','00','Request by Mr. Saqib Saleem 15-Nov-2024');</v>
      </c>
      <c r="H73" s="15" t="str">
        <f t="shared" si="7"/>
        <v>insert into ins_premium_det (premium_rcv_code,assorted_code, rec_amount,premium_rcv_detail_code,remaining_amt, payrec, mode_code,coinsurance_code,class_cd,it_remarks) values('15Nov240016','040000157410','3025',(select max(to_number(i.premium_rcv_detail_code))+1
from ins_premium_det i),'3025','3025','02', '11000003','00','Request by Mr. Saqib Saleem 15-Nov-2024');</v>
      </c>
    </row>
    <row r="74" spans="1:8" ht="105" x14ac:dyDescent="0.25">
      <c r="A74" s="2" t="s">
        <v>193</v>
      </c>
      <c r="B74" s="11" t="str">
        <f>VLOOKUP(A74,policy!B:C,2,0)</f>
        <v>040000157438</v>
      </c>
      <c r="C74" s="4">
        <v>4400</v>
      </c>
      <c r="D74" s="12">
        <f t="shared" si="5"/>
        <v>4400</v>
      </c>
      <c r="E74" s="16" t="s">
        <v>960</v>
      </c>
      <c r="F74" s="13" t="str">
        <f t="shared" si="4"/>
        <v>insert into ins_premium_det (premium_rcv_code,assorted_code, rec_amount,premium_rcv_detail_code,remaining_amt, payrec, mode_code,coinsurance_code,class_cd,it_remarks) values</v>
      </c>
      <c r="G74" s="14" t="str">
        <f t="shared" si="6"/>
        <v>('15Nov240016','040000157438','4400',(select max(to_number(i.premium_rcv_detail_code))+1
from ins_premium_det i),'4400','4400','02', '11000003','00','Request by Mr. Saqib Saleem 15-Nov-2024');</v>
      </c>
      <c r="H74" s="15" t="str">
        <f t="shared" si="7"/>
        <v>insert into ins_premium_det (premium_rcv_code,assorted_code, rec_amount,premium_rcv_detail_code,remaining_amt, payrec, mode_code,coinsurance_code,class_cd,it_remarks) values('15Nov240016','040000157438','4400',(select max(to_number(i.premium_rcv_detail_code))+1
from ins_premium_det i),'4400','4400','02', '11000003','00','Request by Mr. Saqib Saleem 15-Nov-2024');</v>
      </c>
    </row>
    <row r="75" spans="1:8" ht="105" x14ac:dyDescent="0.25">
      <c r="A75" s="2" t="s">
        <v>195</v>
      </c>
      <c r="B75" s="11" t="str">
        <f>VLOOKUP(A75,policy!B:C,2,0)</f>
        <v>040000157446</v>
      </c>
      <c r="C75" s="4">
        <v>4400</v>
      </c>
      <c r="D75" s="12">
        <f t="shared" si="5"/>
        <v>4400</v>
      </c>
      <c r="E75" s="16" t="s">
        <v>960</v>
      </c>
      <c r="F75" s="13" t="str">
        <f t="shared" si="4"/>
        <v>insert into ins_premium_det (premium_rcv_code,assorted_code, rec_amount,premium_rcv_detail_code,remaining_amt, payrec, mode_code,coinsurance_code,class_cd,it_remarks) values</v>
      </c>
      <c r="G75" s="14" t="str">
        <f t="shared" si="6"/>
        <v>('15Nov240016','040000157446','4400',(select max(to_number(i.premium_rcv_detail_code))+1
from ins_premium_det i),'4400','4400','02', '11000003','00','Request by Mr. Saqib Saleem 15-Nov-2024');</v>
      </c>
      <c r="H75" s="15" t="str">
        <f t="shared" si="7"/>
        <v>insert into ins_premium_det (premium_rcv_code,assorted_code, rec_amount,premium_rcv_detail_code,remaining_amt, payrec, mode_code,coinsurance_code,class_cd,it_remarks) values('15Nov240016','040000157446','4400',(select max(to_number(i.premium_rcv_detail_code))+1
from ins_premium_det i),'4400','4400','02', '11000003','00','Request by Mr. Saqib Saleem 15-Nov-2024');</v>
      </c>
    </row>
    <row r="76" spans="1:8" ht="105" x14ac:dyDescent="0.25">
      <c r="A76" s="2" t="s">
        <v>197</v>
      </c>
      <c r="B76" s="11" t="str">
        <f>VLOOKUP(A76,policy!B:C,2,0)</f>
        <v>040000157461</v>
      </c>
      <c r="C76" s="4">
        <v>4400</v>
      </c>
      <c r="D76" s="12">
        <f t="shared" si="5"/>
        <v>4400</v>
      </c>
      <c r="E76" s="16" t="s">
        <v>960</v>
      </c>
      <c r="F76" s="13" t="str">
        <f t="shared" si="4"/>
        <v>insert into ins_premium_det (premium_rcv_code,assorted_code, rec_amount,premium_rcv_detail_code,remaining_amt, payrec, mode_code,coinsurance_code,class_cd,it_remarks) values</v>
      </c>
      <c r="G76" s="14" t="str">
        <f t="shared" si="6"/>
        <v>('15Nov240016','040000157461','4400',(select max(to_number(i.premium_rcv_detail_code))+1
from ins_premium_det i),'4400','4400','02', '11000003','00','Request by Mr. Saqib Saleem 15-Nov-2024');</v>
      </c>
      <c r="H76" s="15" t="str">
        <f t="shared" si="7"/>
        <v>insert into ins_premium_det (premium_rcv_code,assorted_code, rec_amount,premium_rcv_detail_code,remaining_amt, payrec, mode_code,coinsurance_code,class_cd,it_remarks) values('15Nov240016','040000157461','4400',(select max(to_number(i.premium_rcv_detail_code))+1
from ins_premium_det i),'4400','4400','02', '11000003','00','Request by Mr. Saqib Saleem 15-Nov-2024');</v>
      </c>
    </row>
    <row r="77" spans="1:8" ht="105" x14ac:dyDescent="0.25">
      <c r="A77" s="2" t="s">
        <v>199</v>
      </c>
      <c r="B77" s="11" t="str">
        <f>VLOOKUP(A77,policy!B:C,2,0)</f>
        <v>040000157462</v>
      </c>
      <c r="C77" s="4">
        <v>4400</v>
      </c>
      <c r="D77" s="12">
        <f t="shared" si="5"/>
        <v>4400</v>
      </c>
      <c r="E77" s="16" t="s">
        <v>960</v>
      </c>
      <c r="F77" s="13" t="str">
        <f t="shared" si="4"/>
        <v>insert into ins_premium_det (premium_rcv_code,assorted_code, rec_amount,premium_rcv_detail_code,remaining_amt, payrec, mode_code,coinsurance_code,class_cd,it_remarks) values</v>
      </c>
      <c r="G77" s="14" t="str">
        <f t="shared" si="6"/>
        <v>('15Nov240016','040000157462','4400',(select max(to_number(i.premium_rcv_detail_code))+1
from ins_premium_det i),'4400','4400','02', '11000003','00','Request by Mr. Saqib Saleem 15-Nov-2024');</v>
      </c>
      <c r="H77" s="15" t="str">
        <f t="shared" si="7"/>
        <v>insert into ins_premium_det (premium_rcv_code,assorted_code, rec_amount,premium_rcv_detail_code,remaining_amt, payrec, mode_code,coinsurance_code,class_cd,it_remarks) values('15Nov240016','040000157462','4400',(select max(to_number(i.premium_rcv_detail_code))+1
from ins_premium_det i),'4400','4400','02', '11000003','00','Request by Mr. Saqib Saleem 15-Nov-2024');</v>
      </c>
    </row>
    <row r="78" spans="1:8" ht="105" x14ac:dyDescent="0.25">
      <c r="A78" s="2" t="s">
        <v>200</v>
      </c>
      <c r="B78" s="11" t="str">
        <f>VLOOKUP(A78,policy!B:C,2,0)</f>
        <v>040000157465</v>
      </c>
      <c r="C78" s="4">
        <v>4400</v>
      </c>
      <c r="D78" s="12">
        <f t="shared" si="5"/>
        <v>4400</v>
      </c>
      <c r="E78" s="16" t="s">
        <v>960</v>
      </c>
      <c r="F78" s="13" t="str">
        <f t="shared" si="4"/>
        <v>insert into ins_premium_det (premium_rcv_code,assorted_code, rec_amount,premium_rcv_detail_code,remaining_amt, payrec, mode_code,coinsurance_code,class_cd,it_remarks) values</v>
      </c>
      <c r="G78" s="14" t="str">
        <f t="shared" si="6"/>
        <v>('15Nov240016','040000157465','4400',(select max(to_number(i.premium_rcv_detail_code))+1
from ins_premium_det i),'4400','4400','02', '11000003','00','Request by Mr. Saqib Saleem 15-Nov-2024');</v>
      </c>
      <c r="H78" s="15" t="str">
        <f t="shared" si="7"/>
        <v>insert into ins_premium_det (premium_rcv_code,assorted_code, rec_amount,premium_rcv_detail_code,remaining_amt, payrec, mode_code,coinsurance_code,class_cd,it_remarks) values('15Nov240016','040000157465','4400',(select max(to_number(i.premium_rcv_detail_code))+1
from ins_premium_det i),'4400','4400','02', '11000003','00','Request by Mr. Saqib Saleem 15-Nov-2024');</v>
      </c>
    </row>
    <row r="79" spans="1:8" ht="105" x14ac:dyDescent="0.25">
      <c r="A79" s="2" t="s">
        <v>202</v>
      </c>
      <c r="B79" s="11" t="str">
        <f>VLOOKUP(A79,policy!B:C,2,0)</f>
        <v>040000157494</v>
      </c>
      <c r="C79" s="4">
        <v>4400</v>
      </c>
      <c r="D79" s="12">
        <f t="shared" si="5"/>
        <v>4400</v>
      </c>
      <c r="E79" s="16" t="s">
        <v>960</v>
      </c>
      <c r="F79" s="13" t="str">
        <f t="shared" si="4"/>
        <v>insert into ins_premium_det (premium_rcv_code,assorted_code, rec_amount,premium_rcv_detail_code,remaining_amt, payrec, mode_code,coinsurance_code,class_cd,it_remarks) values</v>
      </c>
      <c r="G79" s="14" t="str">
        <f t="shared" si="6"/>
        <v>('15Nov240016','040000157494','4400',(select max(to_number(i.premium_rcv_detail_code))+1
from ins_premium_det i),'4400','4400','02', '11000003','00','Request by Mr. Saqib Saleem 15-Nov-2024');</v>
      </c>
      <c r="H79" s="15" t="str">
        <f t="shared" si="7"/>
        <v>insert into ins_premium_det (premium_rcv_code,assorted_code, rec_amount,premium_rcv_detail_code,remaining_amt, payrec, mode_code,coinsurance_code,class_cd,it_remarks) values('15Nov240016','040000157494','4400',(select max(to_number(i.premium_rcv_detail_code))+1
from ins_premium_det i),'4400','4400','02', '11000003','00','Request by Mr. Saqib Saleem 15-Nov-2024');</v>
      </c>
    </row>
    <row r="80" spans="1:8" ht="105" x14ac:dyDescent="0.25">
      <c r="A80" s="2" t="s">
        <v>204</v>
      </c>
      <c r="B80" s="11" t="str">
        <f>VLOOKUP(A80,policy!B:C,2,0)</f>
        <v>040000157511</v>
      </c>
      <c r="C80" s="4">
        <v>4400</v>
      </c>
      <c r="D80" s="12">
        <f t="shared" si="5"/>
        <v>4400</v>
      </c>
      <c r="E80" s="16" t="s">
        <v>960</v>
      </c>
      <c r="F80" s="13" t="str">
        <f t="shared" si="4"/>
        <v>insert into ins_premium_det (premium_rcv_code,assorted_code, rec_amount,premium_rcv_detail_code,remaining_amt, payrec, mode_code,coinsurance_code,class_cd,it_remarks) values</v>
      </c>
      <c r="G80" s="14" t="str">
        <f t="shared" si="6"/>
        <v>('15Nov240016','040000157511','4400',(select max(to_number(i.premium_rcv_detail_code))+1
from ins_premium_det i),'4400','4400','02', '11000003','00','Request by Mr. Saqib Saleem 15-Nov-2024');</v>
      </c>
      <c r="H80" s="15" t="str">
        <f t="shared" si="7"/>
        <v>insert into ins_premium_det (premium_rcv_code,assorted_code, rec_amount,premium_rcv_detail_code,remaining_amt, payrec, mode_code,coinsurance_code,class_cd,it_remarks) values('15Nov240016','040000157511','4400',(select max(to_number(i.premium_rcv_detail_code))+1
from ins_premium_det i),'4400','4400','02', '11000003','00','Request by Mr. Saqib Saleem 15-Nov-2024');</v>
      </c>
    </row>
    <row r="81" spans="1:8" ht="105" x14ac:dyDescent="0.25">
      <c r="A81" s="2" t="s">
        <v>206</v>
      </c>
      <c r="B81" s="11" t="str">
        <f>VLOOKUP(A81,policy!B:C,2,0)</f>
        <v>040000157515</v>
      </c>
      <c r="C81" s="4">
        <v>4400</v>
      </c>
      <c r="D81" s="12">
        <f t="shared" si="5"/>
        <v>4400</v>
      </c>
      <c r="E81" s="16" t="s">
        <v>960</v>
      </c>
      <c r="F81" s="13" t="str">
        <f t="shared" si="4"/>
        <v>insert into ins_premium_det (premium_rcv_code,assorted_code, rec_amount,premium_rcv_detail_code,remaining_amt, payrec, mode_code,coinsurance_code,class_cd,it_remarks) values</v>
      </c>
      <c r="G81" s="14" t="str">
        <f t="shared" si="6"/>
        <v>('15Nov240016','040000157515','4400',(select max(to_number(i.premium_rcv_detail_code))+1
from ins_premium_det i),'4400','4400','02', '11000003','00','Request by Mr. Saqib Saleem 15-Nov-2024');</v>
      </c>
      <c r="H81" s="15" t="str">
        <f t="shared" si="7"/>
        <v>insert into ins_premium_det (premium_rcv_code,assorted_code, rec_amount,premium_rcv_detail_code,remaining_amt, payrec, mode_code,coinsurance_code,class_cd,it_remarks) values('15Nov240016','040000157515','4400',(select max(to_number(i.premium_rcv_detail_code))+1
from ins_premium_det i),'4400','4400','02', '11000003','00','Request by Mr. Saqib Saleem 15-Nov-2024');</v>
      </c>
    </row>
    <row r="82" spans="1:8" ht="105" x14ac:dyDescent="0.25">
      <c r="A82" s="2" t="s">
        <v>208</v>
      </c>
      <c r="B82" s="11" t="str">
        <f>VLOOKUP(A82,policy!B:C,2,0)</f>
        <v>040000157516</v>
      </c>
      <c r="C82" s="4">
        <v>4400</v>
      </c>
      <c r="D82" s="12">
        <f t="shared" si="5"/>
        <v>4400</v>
      </c>
      <c r="E82" s="16" t="s">
        <v>960</v>
      </c>
      <c r="F82" s="13" t="str">
        <f t="shared" si="4"/>
        <v>insert into ins_premium_det (premium_rcv_code,assorted_code, rec_amount,premium_rcv_detail_code,remaining_amt, payrec, mode_code,coinsurance_code,class_cd,it_remarks) values</v>
      </c>
      <c r="G82" s="14" t="str">
        <f t="shared" si="6"/>
        <v>('15Nov240016','040000157516','4400',(select max(to_number(i.premium_rcv_detail_code))+1
from ins_premium_det i),'4400','4400','02', '11000003','00','Request by Mr. Saqib Saleem 15-Nov-2024');</v>
      </c>
      <c r="H82" s="15" t="str">
        <f t="shared" si="7"/>
        <v>insert into ins_premium_det (premium_rcv_code,assorted_code, rec_amount,premium_rcv_detail_code,remaining_amt, payrec, mode_code,coinsurance_code,class_cd,it_remarks) values('15Nov240016','040000157516','4400',(select max(to_number(i.premium_rcv_detail_code))+1
from ins_premium_det i),'4400','4400','02', '11000003','00','Request by Mr. Saqib Saleem 15-Nov-2024');</v>
      </c>
    </row>
    <row r="83" spans="1:8" ht="105" x14ac:dyDescent="0.25">
      <c r="A83" s="2" t="s">
        <v>210</v>
      </c>
      <c r="B83" s="11" t="str">
        <f>VLOOKUP(A83,policy!B:C,2,0)</f>
        <v>040000157552</v>
      </c>
      <c r="C83" s="4">
        <v>4400</v>
      </c>
      <c r="D83" s="12">
        <f t="shared" si="5"/>
        <v>4400</v>
      </c>
      <c r="E83" s="16" t="s">
        <v>960</v>
      </c>
      <c r="F83" s="13" t="str">
        <f t="shared" si="4"/>
        <v>insert into ins_premium_det (premium_rcv_code,assorted_code, rec_amount,premium_rcv_detail_code,remaining_amt, payrec, mode_code,coinsurance_code,class_cd,it_remarks) values</v>
      </c>
      <c r="G83" s="14" t="str">
        <f t="shared" si="6"/>
        <v>('15Nov240016','040000157552','4400',(select max(to_number(i.premium_rcv_detail_code))+1
from ins_premium_det i),'4400','4400','02', '11000003','00','Request by Mr. Saqib Saleem 15-Nov-2024');</v>
      </c>
      <c r="H83" s="15" t="str">
        <f t="shared" si="7"/>
        <v>insert into ins_premium_det (premium_rcv_code,assorted_code, rec_amount,premium_rcv_detail_code,remaining_amt, payrec, mode_code,coinsurance_code,class_cd,it_remarks) values('15Nov240016','040000157552','4400',(select max(to_number(i.premium_rcv_detail_code))+1
from ins_premium_det i),'4400','4400','02', '11000003','00','Request by Mr. Saqib Saleem 15-Nov-2024');</v>
      </c>
    </row>
    <row r="84" spans="1:8" ht="105" x14ac:dyDescent="0.25">
      <c r="A84" s="2" t="s">
        <v>212</v>
      </c>
      <c r="B84" s="11" t="str">
        <f>VLOOKUP(A84,policy!B:C,2,0)</f>
        <v>040000157579</v>
      </c>
      <c r="C84" s="4">
        <v>4400</v>
      </c>
      <c r="D84" s="12">
        <f t="shared" si="5"/>
        <v>4400</v>
      </c>
      <c r="E84" s="16" t="s">
        <v>960</v>
      </c>
      <c r="F84" s="13" t="str">
        <f t="shared" si="4"/>
        <v>insert into ins_premium_det (premium_rcv_code,assorted_code, rec_amount,premium_rcv_detail_code,remaining_amt, payrec, mode_code,coinsurance_code,class_cd,it_remarks) values</v>
      </c>
      <c r="G84" s="14" t="str">
        <f t="shared" si="6"/>
        <v>('15Nov240016','040000157579','4400',(select max(to_number(i.premium_rcv_detail_code))+1
from ins_premium_det i),'4400','4400','02', '11000003','00','Request by Mr. Saqib Saleem 15-Nov-2024');</v>
      </c>
      <c r="H84" s="15" t="str">
        <f t="shared" si="7"/>
        <v>insert into ins_premium_det (premium_rcv_code,assorted_code, rec_amount,premium_rcv_detail_code,remaining_amt, payrec, mode_code,coinsurance_code,class_cd,it_remarks) values('15Nov240016','040000157579','4400',(select max(to_number(i.premium_rcv_detail_code))+1
from ins_premium_det i),'4400','4400','02', '11000003','00','Request by Mr. Saqib Saleem 15-Nov-2024');</v>
      </c>
    </row>
    <row r="85" spans="1:8" ht="105" x14ac:dyDescent="0.25">
      <c r="A85" s="2" t="s">
        <v>214</v>
      </c>
      <c r="B85" s="11" t="str">
        <f>VLOOKUP(A85,policy!B:C,2,0)</f>
        <v>040000157585</v>
      </c>
      <c r="C85" s="4">
        <v>4400</v>
      </c>
      <c r="D85" s="12">
        <f t="shared" si="5"/>
        <v>4400</v>
      </c>
      <c r="E85" s="16" t="s">
        <v>960</v>
      </c>
      <c r="F85" s="13" t="str">
        <f t="shared" si="4"/>
        <v>insert into ins_premium_det (premium_rcv_code,assorted_code, rec_amount,premium_rcv_detail_code,remaining_amt, payrec, mode_code,coinsurance_code,class_cd,it_remarks) values</v>
      </c>
      <c r="G85" s="14" t="str">
        <f t="shared" si="6"/>
        <v>('15Nov240016','040000157585','4400',(select max(to_number(i.premium_rcv_detail_code))+1
from ins_premium_det i),'4400','4400','02', '11000003','00','Request by Mr. Saqib Saleem 15-Nov-2024');</v>
      </c>
      <c r="H85" s="15" t="str">
        <f t="shared" si="7"/>
        <v>insert into ins_premium_det (premium_rcv_code,assorted_code, rec_amount,premium_rcv_detail_code,remaining_amt, payrec, mode_code,coinsurance_code,class_cd,it_remarks) values('15Nov240016','040000157585','4400',(select max(to_number(i.premium_rcv_detail_code))+1
from ins_premium_det i),'4400','4400','02', '11000003','00','Request by Mr. Saqib Saleem 15-Nov-2024');</v>
      </c>
    </row>
    <row r="86" spans="1:8" ht="105" x14ac:dyDescent="0.25">
      <c r="A86" s="2" t="s">
        <v>216</v>
      </c>
      <c r="B86" s="11" t="str">
        <f>VLOOKUP(A86,policy!B:C,2,0)</f>
        <v>040000157592</v>
      </c>
      <c r="C86" s="4">
        <v>3025</v>
      </c>
      <c r="D86" s="12">
        <f t="shared" si="5"/>
        <v>3025</v>
      </c>
      <c r="E86" s="16" t="s">
        <v>960</v>
      </c>
      <c r="F86" s="13" t="str">
        <f t="shared" si="4"/>
        <v>insert into ins_premium_det (premium_rcv_code,assorted_code, rec_amount,premium_rcv_detail_code,remaining_amt, payrec, mode_code,coinsurance_code,class_cd,it_remarks) values</v>
      </c>
      <c r="G86" s="14" t="str">
        <f t="shared" si="6"/>
        <v>('15Nov240016','040000157592','3025',(select max(to_number(i.premium_rcv_detail_code))+1
from ins_premium_det i),'3025','3025','02', '11000003','00','Request by Mr. Saqib Saleem 15-Nov-2024');</v>
      </c>
      <c r="H86" s="15" t="str">
        <f t="shared" si="7"/>
        <v>insert into ins_premium_det (premium_rcv_code,assorted_code, rec_amount,premium_rcv_detail_code,remaining_amt, payrec, mode_code,coinsurance_code,class_cd,it_remarks) values('15Nov240016','040000157592','3025',(select max(to_number(i.premium_rcv_detail_code))+1
from ins_premium_det i),'3025','3025','02', '11000003','00','Request by Mr. Saqib Saleem 15-Nov-2024');</v>
      </c>
    </row>
    <row r="87" spans="1:8" ht="105" x14ac:dyDescent="0.25">
      <c r="A87" s="2" t="s">
        <v>218</v>
      </c>
      <c r="B87" s="11" t="str">
        <f>VLOOKUP(A87,policy!B:C,2,0)</f>
        <v>040000157598</v>
      </c>
      <c r="C87" s="4">
        <v>4400</v>
      </c>
      <c r="D87" s="12">
        <f t="shared" si="5"/>
        <v>4400</v>
      </c>
      <c r="E87" s="16" t="s">
        <v>960</v>
      </c>
      <c r="F87" s="13" t="str">
        <f t="shared" si="4"/>
        <v>insert into ins_premium_det (premium_rcv_code,assorted_code, rec_amount,premium_rcv_detail_code,remaining_amt, payrec, mode_code,coinsurance_code,class_cd,it_remarks) values</v>
      </c>
      <c r="G87" s="14" t="str">
        <f t="shared" si="6"/>
        <v>('15Nov240016','040000157598','4400',(select max(to_number(i.premium_rcv_detail_code))+1
from ins_premium_det i),'4400','4400','02', '11000003','00','Request by Mr. Saqib Saleem 15-Nov-2024');</v>
      </c>
      <c r="H87" s="15" t="str">
        <f t="shared" si="7"/>
        <v>insert into ins_premium_det (premium_rcv_code,assorted_code, rec_amount,premium_rcv_detail_code,remaining_amt, payrec, mode_code,coinsurance_code,class_cd,it_remarks) values('15Nov240016','040000157598','4400',(select max(to_number(i.premium_rcv_detail_code))+1
from ins_premium_det i),'4400','4400','02', '11000003','00','Request by Mr. Saqib Saleem 15-Nov-2024');</v>
      </c>
    </row>
    <row r="88" spans="1:8" ht="105" x14ac:dyDescent="0.25">
      <c r="A88" s="2" t="s">
        <v>220</v>
      </c>
      <c r="B88" s="11" t="str">
        <f>VLOOKUP(A88,policy!B:C,2,0)</f>
        <v>040000157625</v>
      </c>
      <c r="C88" s="4">
        <v>4400</v>
      </c>
      <c r="D88" s="12">
        <f t="shared" si="5"/>
        <v>4400</v>
      </c>
      <c r="E88" s="16" t="s">
        <v>960</v>
      </c>
      <c r="F88" s="13" t="str">
        <f t="shared" si="4"/>
        <v>insert into ins_premium_det (premium_rcv_code,assorted_code, rec_amount,premium_rcv_detail_code,remaining_amt, payrec, mode_code,coinsurance_code,class_cd,it_remarks) values</v>
      </c>
      <c r="G88" s="14" t="str">
        <f t="shared" si="6"/>
        <v>('15Nov240016','040000157625','4400',(select max(to_number(i.premium_rcv_detail_code))+1
from ins_premium_det i),'4400','4400','02', '11000003','00','Request by Mr. Saqib Saleem 15-Nov-2024');</v>
      </c>
      <c r="H88" s="15" t="str">
        <f t="shared" si="7"/>
        <v>insert into ins_premium_det (premium_rcv_code,assorted_code, rec_amount,premium_rcv_detail_code,remaining_amt, payrec, mode_code,coinsurance_code,class_cd,it_remarks) values('15Nov240016','040000157625','4400',(select max(to_number(i.premium_rcv_detail_code))+1
from ins_premium_det i),'4400','4400','02', '11000003','00','Request by Mr. Saqib Saleem 15-Nov-2024');</v>
      </c>
    </row>
    <row r="89" spans="1:8" ht="105" x14ac:dyDescent="0.25">
      <c r="A89" s="2" t="s">
        <v>222</v>
      </c>
      <c r="B89" s="11" t="str">
        <f>VLOOKUP(A89,policy!B:C,2,0)</f>
        <v>040000157655</v>
      </c>
      <c r="C89" s="4">
        <v>8800</v>
      </c>
      <c r="D89" s="12">
        <f t="shared" si="5"/>
        <v>8800</v>
      </c>
      <c r="E89" s="16" t="s">
        <v>960</v>
      </c>
      <c r="F89" s="13" t="str">
        <f t="shared" si="4"/>
        <v>insert into ins_premium_det (premium_rcv_code,assorted_code, rec_amount,premium_rcv_detail_code,remaining_amt, payrec, mode_code,coinsurance_code,class_cd,it_remarks) values</v>
      </c>
      <c r="G89" s="14" t="str">
        <f t="shared" si="6"/>
        <v>('15Nov240016','040000157655','8800',(select max(to_number(i.premium_rcv_detail_code))+1
from ins_premium_det i),'8800','8800','02', '11000003','00','Request by Mr. Saqib Saleem 15-Nov-2024');</v>
      </c>
      <c r="H89" s="15" t="str">
        <f t="shared" si="7"/>
        <v>insert into ins_premium_det (premium_rcv_code,assorted_code, rec_amount,premium_rcv_detail_code,remaining_amt, payrec, mode_code,coinsurance_code,class_cd,it_remarks) values('15Nov240016','040000157655','8800',(select max(to_number(i.premium_rcv_detail_code))+1
from ins_premium_det i),'8800','8800','02', '11000003','00','Request by Mr. Saqib Saleem 15-Nov-2024');</v>
      </c>
    </row>
    <row r="90" spans="1:8" ht="105" x14ac:dyDescent="0.25">
      <c r="A90" s="2" t="s">
        <v>224</v>
      </c>
      <c r="B90" s="11" t="str">
        <f>VLOOKUP(A90,policy!B:C,2,0)</f>
        <v>040000157680</v>
      </c>
      <c r="C90" s="4">
        <v>2719</v>
      </c>
      <c r="D90" s="12">
        <f t="shared" si="5"/>
        <v>2719</v>
      </c>
      <c r="E90" s="16" t="s">
        <v>960</v>
      </c>
      <c r="F90" s="13" t="str">
        <f t="shared" si="4"/>
        <v>insert into ins_premium_det (premium_rcv_code,assorted_code, rec_amount,premium_rcv_detail_code,remaining_amt, payrec, mode_code,coinsurance_code,class_cd,it_remarks) values</v>
      </c>
      <c r="G90" s="14" t="str">
        <f t="shared" si="6"/>
        <v>('15Nov240016','040000157680','2719',(select max(to_number(i.premium_rcv_detail_code))+1
from ins_premium_det i),'2719','2719','02', '11000003','00','Request by Mr. Saqib Saleem 15-Nov-2024');</v>
      </c>
      <c r="H90" s="15" t="str">
        <f t="shared" si="7"/>
        <v>insert into ins_premium_det (premium_rcv_code,assorted_code, rec_amount,premium_rcv_detail_code,remaining_amt, payrec, mode_code,coinsurance_code,class_cd,it_remarks) values('15Nov240016','040000157680','2719',(select max(to_number(i.premium_rcv_detail_code))+1
from ins_premium_det i),'2719','2719','02', '11000003','00','Request by Mr. Saqib Saleem 15-Nov-2024');</v>
      </c>
    </row>
    <row r="91" spans="1:8" ht="105" x14ac:dyDescent="0.25">
      <c r="A91" s="2" t="s">
        <v>226</v>
      </c>
      <c r="B91" s="11" t="str">
        <f>VLOOKUP(A91,policy!B:C,2,0)</f>
        <v>040000157689</v>
      </c>
      <c r="C91" s="4">
        <v>4400</v>
      </c>
      <c r="D91" s="12">
        <f t="shared" si="5"/>
        <v>4400</v>
      </c>
      <c r="E91" s="16" t="s">
        <v>960</v>
      </c>
      <c r="F91" s="13" t="str">
        <f t="shared" si="4"/>
        <v>insert into ins_premium_det (premium_rcv_code,assorted_code, rec_amount,premium_rcv_detail_code,remaining_amt, payrec, mode_code,coinsurance_code,class_cd,it_remarks) values</v>
      </c>
      <c r="G91" s="14" t="str">
        <f t="shared" si="6"/>
        <v>('15Nov240016','040000157689','4400',(select max(to_number(i.premium_rcv_detail_code))+1
from ins_premium_det i),'4400','4400','02', '11000003','00','Request by Mr. Saqib Saleem 15-Nov-2024');</v>
      </c>
      <c r="H91" s="15" t="str">
        <f t="shared" si="7"/>
        <v>insert into ins_premium_det (premium_rcv_code,assorted_code, rec_amount,premium_rcv_detail_code,remaining_amt, payrec, mode_code,coinsurance_code,class_cd,it_remarks) values('15Nov240016','040000157689','4400',(select max(to_number(i.premium_rcv_detail_code))+1
from ins_premium_det i),'4400','4400','02', '11000003','00','Request by Mr. Saqib Saleem 15-Nov-2024');</v>
      </c>
    </row>
    <row r="92" spans="1:8" ht="105" x14ac:dyDescent="0.25">
      <c r="A92" s="2" t="s">
        <v>228</v>
      </c>
      <c r="B92" s="11" t="str">
        <f>VLOOKUP(A92,policy!B:C,2,0)</f>
        <v>040000157940</v>
      </c>
      <c r="C92" s="4">
        <v>4400</v>
      </c>
      <c r="D92" s="12">
        <f t="shared" si="5"/>
        <v>4400</v>
      </c>
      <c r="E92" s="16" t="s">
        <v>960</v>
      </c>
      <c r="F92" s="13" t="str">
        <f t="shared" si="4"/>
        <v>insert into ins_premium_det (premium_rcv_code,assorted_code, rec_amount,premium_rcv_detail_code,remaining_amt, payrec, mode_code,coinsurance_code,class_cd,it_remarks) values</v>
      </c>
      <c r="G92" s="14" t="str">
        <f t="shared" si="6"/>
        <v>('15Nov240016','040000157940','4400',(select max(to_number(i.premium_rcv_detail_code))+1
from ins_premium_det i),'4400','4400','02', '11000003','00','Request by Mr. Saqib Saleem 15-Nov-2024');</v>
      </c>
      <c r="H92" s="15" t="str">
        <f t="shared" si="7"/>
        <v>insert into ins_premium_det (premium_rcv_code,assorted_code, rec_amount,premium_rcv_detail_code,remaining_amt, payrec, mode_code,coinsurance_code,class_cd,it_remarks) values('15Nov240016','040000157940','4400',(select max(to_number(i.premium_rcv_detail_code))+1
from ins_premium_det i),'4400','4400','02', '11000003','00','Request by Mr. Saqib Saleem 15-Nov-2024');</v>
      </c>
    </row>
    <row r="93" spans="1:8" ht="105" x14ac:dyDescent="0.25">
      <c r="A93" s="2" t="s">
        <v>230</v>
      </c>
      <c r="B93" s="11" t="str">
        <f>VLOOKUP(A93,policy!B:C,2,0)</f>
        <v>040000157946</v>
      </c>
      <c r="C93" s="4">
        <v>4400</v>
      </c>
      <c r="D93" s="12">
        <f t="shared" si="5"/>
        <v>4400</v>
      </c>
      <c r="E93" s="16" t="s">
        <v>960</v>
      </c>
      <c r="F93" s="13" t="str">
        <f t="shared" si="4"/>
        <v>insert into ins_premium_det (premium_rcv_code,assorted_code, rec_amount,premium_rcv_detail_code,remaining_amt, payrec, mode_code,coinsurance_code,class_cd,it_remarks) values</v>
      </c>
      <c r="G93" s="14" t="str">
        <f t="shared" si="6"/>
        <v>('15Nov240016','040000157946','4400',(select max(to_number(i.premium_rcv_detail_code))+1
from ins_premium_det i),'4400','4400','02', '11000003','00','Request by Mr. Saqib Saleem 15-Nov-2024');</v>
      </c>
      <c r="H93" s="15" t="str">
        <f t="shared" si="7"/>
        <v>insert into ins_premium_det (premium_rcv_code,assorted_code, rec_amount,premium_rcv_detail_code,remaining_amt, payrec, mode_code,coinsurance_code,class_cd,it_remarks) values('15Nov240016','040000157946','4400',(select max(to_number(i.premium_rcv_detail_code))+1
from ins_premium_det i),'4400','4400','02', '11000003','00','Request by Mr. Saqib Saleem 15-Nov-2024');</v>
      </c>
    </row>
    <row r="94" spans="1:8" ht="105" x14ac:dyDescent="0.25">
      <c r="A94" s="2" t="s">
        <v>232</v>
      </c>
      <c r="B94" s="11" t="str">
        <f>VLOOKUP(A94,policy!B:C,2,0)</f>
        <v>040000157951</v>
      </c>
      <c r="C94" s="4">
        <v>4400</v>
      </c>
      <c r="D94" s="12">
        <f t="shared" si="5"/>
        <v>4400</v>
      </c>
      <c r="E94" s="16" t="s">
        <v>960</v>
      </c>
      <c r="F94" s="13" t="str">
        <f t="shared" si="4"/>
        <v>insert into ins_premium_det (premium_rcv_code,assorted_code, rec_amount,premium_rcv_detail_code,remaining_amt, payrec, mode_code,coinsurance_code,class_cd,it_remarks) values</v>
      </c>
      <c r="G94" s="14" t="str">
        <f t="shared" si="6"/>
        <v>('15Nov240016','040000157951','4400',(select max(to_number(i.premium_rcv_detail_code))+1
from ins_premium_det i),'4400','4400','02', '11000003','00','Request by Mr. Saqib Saleem 15-Nov-2024');</v>
      </c>
      <c r="H94" s="15" t="str">
        <f t="shared" si="7"/>
        <v>insert into ins_premium_det (premium_rcv_code,assorted_code, rec_amount,premium_rcv_detail_code,remaining_amt, payrec, mode_code,coinsurance_code,class_cd,it_remarks) values('15Nov240016','040000157951','4400',(select max(to_number(i.premium_rcv_detail_code))+1
from ins_premium_det i),'4400','4400','02', '11000003','00','Request by Mr. Saqib Saleem 15-Nov-2024');</v>
      </c>
    </row>
    <row r="95" spans="1:8" ht="105" x14ac:dyDescent="0.25">
      <c r="A95" s="2" t="s">
        <v>234</v>
      </c>
      <c r="B95" s="11" t="str">
        <f>VLOOKUP(A95,policy!B:C,2,0)</f>
        <v>040000157952</v>
      </c>
      <c r="C95" s="4">
        <v>4400</v>
      </c>
      <c r="D95" s="12">
        <f t="shared" si="5"/>
        <v>4400</v>
      </c>
      <c r="E95" s="16" t="s">
        <v>960</v>
      </c>
      <c r="F95" s="13" t="str">
        <f t="shared" si="4"/>
        <v>insert into ins_premium_det (premium_rcv_code,assorted_code, rec_amount,premium_rcv_detail_code,remaining_amt, payrec, mode_code,coinsurance_code,class_cd,it_remarks) values</v>
      </c>
      <c r="G95" s="14" t="str">
        <f t="shared" si="6"/>
        <v>('15Nov240016','040000157952','4400',(select max(to_number(i.premium_rcv_detail_code))+1
from ins_premium_det i),'4400','4400','02', '11000003','00','Request by Mr. Saqib Saleem 15-Nov-2024');</v>
      </c>
      <c r="H95" s="15" t="str">
        <f t="shared" si="7"/>
        <v>insert into ins_premium_det (premium_rcv_code,assorted_code, rec_amount,premium_rcv_detail_code,remaining_amt, payrec, mode_code,coinsurance_code,class_cd,it_remarks) values('15Nov240016','040000157952','4400',(select max(to_number(i.premium_rcv_detail_code))+1
from ins_premium_det i),'4400','4400','02', '11000003','00','Request by Mr. Saqib Saleem 15-Nov-2024');</v>
      </c>
    </row>
    <row r="96" spans="1:8" ht="105" x14ac:dyDescent="0.25">
      <c r="A96" s="2" t="s">
        <v>236</v>
      </c>
      <c r="B96" s="11" t="str">
        <f>VLOOKUP(A96,policy!B:C,2,0)</f>
        <v>040000157989</v>
      </c>
      <c r="C96" s="4">
        <v>4400</v>
      </c>
      <c r="D96" s="12">
        <f t="shared" si="5"/>
        <v>4400</v>
      </c>
      <c r="E96" s="16" t="s">
        <v>960</v>
      </c>
      <c r="F96" s="13" t="str">
        <f t="shared" si="4"/>
        <v>insert into ins_premium_det (premium_rcv_code,assorted_code, rec_amount,premium_rcv_detail_code,remaining_amt, payrec, mode_code,coinsurance_code,class_cd,it_remarks) values</v>
      </c>
      <c r="G96" s="14" t="str">
        <f t="shared" si="6"/>
        <v>('15Nov240016','040000157989','4400',(select max(to_number(i.premium_rcv_detail_code))+1
from ins_premium_det i),'4400','4400','02', '11000003','00','Request by Mr. Saqib Saleem 15-Nov-2024');</v>
      </c>
      <c r="H96" s="15" t="str">
        <f t="shared" si="7"/>
        <v>insert into ins_premium_det (premium_rcv_code,assorted_code, rec_amount,premium_rcv_detail_code,remaining_amt, payrec, mode_code,coinsurance_code,class_cd,it_remarks) values('15Nov240016','040000157989','4400',(select max(to_number(i.premium_rcv_detail_code))+1
from ins_premium_det i),'4400','4400','02', '11000003','00','Request by Mr. Saqib Saleem 15-Nov-2024');</v>
      </c>
    </row>
    <row r="97" spans="1:8" ht="105" x14ac:dyDescent="0.25">
      <c r="A97" s="2" t="s">
        <v>238</v>
      </c>
      <c r="B97" s="11" t="str">
        <f>VLOOKUP(A97,policy!B:C,2,0)</f>
        <v>040000158080</v>
      </c>
      <c r="C97" s="4">
        <v>4400</v>
      </c>
      <c r="D97" s="12">
        <f t="shared" si="5"/>
        <v>4400</v>
      </c>
      <c r="E97" s="16" t="s">
        <v>960</v>
      </c>
      <c r="F97" s="13" t="str">
        <f t="shared" si="4"/>
        <v>insert into ins_premium_det (premium_rcv_code,assorted_code, rec_amount,premium_rcv_detail_code,remaining_amt, payrec, mode_code,coinsurance_code,class_cd,it_remarks) values</v>
      </c>
      <c r="G97" s="14" t="str">
        <f t="shared" si="6"/>
        <v>('15Nov240016','040000158080','4400',(select max(to_number(i.premium_rcv_detail_code))+1
from ins_premium_det i),'4400','4400','02', '11000003','00','Request by Mr. Saqib Saleem 15-Nov-2024');</v>
      </c>
      <c r="H97" s="15" t="str">
        <f t="shared" si="7"/>
        <v>insert into ins_premium_det (premium_rcv_code,assorted_code, rec_amount,premium_rcv_detail_code,remaining_amt, payrec, mode_code,coinsurance_code,class_cd,it_remarks) values('15Nov240016','040000158080','4400',(select max(to_number(i.premium_rcv_detail_code))+1
from ins_premium_det i),'4400','4400','02', '11000003','00','Request by Mr. Saqib Saleem 15-Nov-2024');</v>
      </c>
    </row>
    <row r="98" spans="1:8" ht="105" x14ac:dyDescent="0.25">
      <c r="A98" s="2" t="s">
        <v>240</v>
      </c>
      <c r="B98" s="11" t="str">
        <f>VLOOKUP(A98,policy!B:C,2,0)</f>
        <v>040000158166</v>
      </c>
      <c r="C98" s="4">
        <v>4801</v>
      </c>
      <c r="D98" s="12">
        <f t="shared" si="5"/>
        <v>4801</v>
      </c>
      <c r="E98" s="16" t="s">
        <v>960</v>
      </c>
      <c r="F98" s="13" t="str">
        <f t="shared" si="4"/>
        <v>insert into ins_premium_det (premium_rcv_code,assorted_code, rec_amount,premium_rcv_detail_code,remaining_amt, payrec, mode_code,coinsurance_code,class_cd,it_remarks) values</v>
      </c>
      <c r="G98" s="14" t="str">
        <f t="shared" si="6"/>
        <v>('15Nov240016','040000158166','4801',(select max(to_number(i.premium_rcv_detail_code))+1
from ins_premium_det i),'4801','4801','02', '11000003','00','Request by Mr. Saqib Saleem 15-Nov-2024');</v>
      </c>
      <c r="H98" s="15" t="str">
        <f t="shared" si="7"/>
        <v>insert into ins_premium_det (premium_rcv_code,assorted_code, rec_amount,premium_rcv_detail_code,remaining_amt, payrec, mode_code,coinsurance_code,class_cd,it_remarks) values('15Nov240016','040000158166','4801',(select max(to_number(i.premium_rcv_detail_code))+1
from ins_premium_det i),'4801','4801','02', '11000003','00','Request by Mr. Saqib Saleem 15-Nov-2024');</v>
      </c>
    </row>
    <row r="99" spans="1:8" ht="105" x14ac:dyDescent="0.25">
      <c r="A99" s="2" t="s">
        <v>242</v>
      </c>
      <c r="B99" s="11" t="str">
        <f>VLOOKUP(A99,policy!B:C,2,0)</f>
        <v>040000158178</v>
      </c>
      <c r="C99" s="4">
        <v>1953</v>
      </c>
      <c r="D99" s="12">
        <f t="shared" si="5"/>
        <v>1953</v>
      </c>
      <c r="E99" s="16" t="s">
        <v>960</v>
      </c>
      <c r="F99" s="13" t="str">
        <f t="shared" si="4"/>
        <v>insert into ins_premium_det (premium_rcv_code,assorted_code, rec_amount,premium_rcv_detail_code,remaining_amt, payrec, mode_code,coinsurance_code,class_cd,it_remarks) values</v>
      </c>
      <c r="G99" s="14" t="str">
        <f t="shared" si="6"/>
        <v>('15Nov240016','040000158178','1953',(select max(to_number(i.premium_rcv_detail_code))+1
from ins_premium_det i),'1953','1953','02', '11000003','00','Request by Mr. Saqib Saleem 15-Nov-2024');</v>
      </c>
      <c r="H99" s="15" t="str">
        <f t="shared" si="7"/>
        <v>insert into ins_premium_det (premium_rcv_code,assorted_code, rec_amount,premium_rcv_detail_code,remaining_amt, payrec, mode_code,coinsurance_code,class_cd,it_remarks) values('15Nov240016','040000158178','1953',(select max(to_number(i.premium_rcv_detail_code))+1
from ins_premium_det i),'1953','1953','02', '11000003','00','Request by Mr. Saqib Saleem 15-Nov-2024');</v>
      </c>
    </row>
    <row r="100" spans="1:8" ht="105" x14ac:dyDescent="0.25">
      <c r="A100" s="2" t="s">
        <v>244</v>
      </c>
      <c r="B100" s="11" t="str">
        <f>VLOOKUP(A100,policy!B:C,2,0)</f>
        <v>040000158209</v>
      </c>
      <c r="C100" s="4">
        <v>2839</v>
      </c>
      <c r="D100" s="12">
        <f t="shared" si="5"/>
        <v>2839</v>
      </c>
      <c r="E100" s="16" t="s">
        <v>960</v>
      </c>
      <c r="F100" s="13" t="str">
        <f t="shared" si="4"/>
        <v>insert into ins_premium_det (premium_rcv_code,assorted_code, rec_amount,premium_rcv_detail_code,remaining_amt, payrec, mode_code,coinsurance_code,class_cd,it_remarks) values</v>
      </c>
      <c r="G100" s="14" t="str">
        <f t="shared" si="6"/>
        <v>('15Nov240016','040000158209','2839',(select max(to_number(i.premium_rcv_detail_code))+1
from ins_premium_det i),'2839','2839','02', '11000003','00','Request by Mr. Saqib Saleem 15-Nov-2024');</v>
      </c>
      <c r="H100" s="15" t="str">
        <f t="shared" si="7"/>
        <v>insert into ins_premium_det (premium_rcv_code,assorted_code, rec_amount,premium_rcv_detail_code,remaining_amt, payrec, mode_code,coinsurance_code,class_cd,it_remarks) values('15Nov240016','040000158209','2839',(select max(to_number(i.premium_rcv_detail_code))+1
from ins_premium_det i),'2839','2839','02', '11000003','00','Request by Mr. Saqib Saleem 15-Nov-2024');</v>
      </c>
    </row>
    <row r="101" spans="1:8" ht="105" x14ac:dyDescent="0.25">
      <c r="A101" s="2" t="s">
        <v>246</v>
      </c>
      <c r="B101" s="11" t="str">
        <f>VLOOKUP(A101,policy!B:C,2,0)</f>
        <v>040000158278</v>
      </c>
      <c r="C101" s="4">
        <v>4400</v>
      </c>
      <c r="D101" s="12">
        <f t="shared" si="5"/>
        <v>4400</v>
      </c>
      <c r="E101" s="16" t="s">
        <v>960</v>
      </c>
      <c r="F101" s="13" t="str">
        <f t="shared" si="4"/>
        <v>insert into ins_premium_det (premium_rcv_code,assorted_code, rec_amount,premium_rcv_detail_code,remaining_amt, payrec, mode_code,coinsurance_code,class_cd,it_remarks) values</v>
      </c>
      <c r="G101" s="14" t="str">
        <f t="shared" si="6"/>
        <v>('15Nov240016','040000158278','4400',(select max(to_number(i.premium_rcv_detail_code))+1
from ins_premium_det i),'4400','4400','02', '11000003','00','Request by Mr. Saqib Saleem 15-Nov-2024');</v>
      </c>
      <c r="H101" s="15" t="str">
        <f t="shared" si="7"/>
        <v>insert into ins_premium_det (premium_rcv_code,assorted_code, rec_amount,premium_rcv_detail_code,remaining_amt, payrec, mode_code,coinsurance_code,class_cd,it_remarks) values('15Nov240016','040000158278','4400',(select max(to_number(i.premium_rcv_detail_code))+1
from ins_premium_det i),'4400','4400','02', '11000003','00','Request by Mr. Saqib Saleem 15-Nov-2024');</v>
      </c>
    </row>
    <row r="102" spans="1:8" ht="105" x14ac:dyDescent="0.25">
      <c r="A102" s="2" t="s">
        <v>248</v>
      </c>
      <c r="B102" s="11" t="str">
        <f>VLOOKUP(A102,policy!B:C,2,0)</f>
        <v>040000158329</v>
      </c>
      <c r="C102" s="4">
        <v>4400</v>
      </c>
      <c r="D102" s="12">
        <f t="shared" si="5"/>
        <v>4400</v>
      </c>
      <c r="E102" s="16" t="s">
        <v>960</v>
      </c>
      <c r="F102" s="13" t="str">
        <f t="shared" si="4"/>
        <v>insert into ins_premium_det (premium_rcv_code,assorted_code, rec_amount,premium_rcv_detail_code,remaining_amt, payrec, mode_code,coinsurance_code,class_cd,it_remarks) values</v>
      </c>
      <c r="G102" s="14" t="str">
        <f t="shared" si="6"/>
        <v>('15Nov240016','040000158329','4400',(select max(to_number(i.premium_rcv_detail_code))+1
from ins_premium_det i),'4400','4400','02', '11000003','00','Request by Mr. Saqib Saleem 15-Nov-2024');</v>
      </c>
      <c r="H102" s="15" t="str">
        <f t="shared" si="7"/>
        <v>insert into ins_premium_det (premium_rcv_code,assorted_code, rec_amount,premium_rcv_detail_code,remaining_amt, payrec, mode_code,coinsurance_code,class_cd,it_remarks) values('15Nov240016','040000158329','4400',(select max(to_number(i.premium_rcv_detail_code))+1
from ins_premium_det i),'4400','4400','02', '11000003','00','Request by Mr. Saqib Saleem 15-Nov-2024');</v>
      </c>
    </row>
    <row r="103" spans="1:8" ht="105" x14ac:dyDescent="0.25">
      <c r="A103" s="2" t="s">
        <v>250</v>
      </c>
      <c r="B103" s="11" t="str">
        <f>VLOOKUP(A103,policy!B:C,2,0)</f>
        <v>040000158395</v>
      </c>
      <c r="C103" s="4">
        <v>4400</v>
      </c>
      <c r="D103" s="12">
        <f t="shared" si="5"/>
        <v>4400</v>
      </c>
      <c r="E103" s="16" t="s">
        <v>960</v>
      </c>
      <c r="F103" s="13" t="str">
        <f t="shared" si="4"/>
        <v>insert into ins_premium_det (premium_rcv_code,assorted_code, rec_amount,premium_rcv_detail_code,remaining_amt, payrec, mode_code,coinsurance_code,class_cd,it_remarks) values</v>
      </c>
      <c r="G103" s="14" t="str">
        <f t="shared" si="6"/>
        <v>('15Nov240016','040000158395','4400',(select max(to_number(i.premium_rcv_detail_code))+1
from ins_premium_det i),'4400','4400','02', '11000003','00','Request by Mr. Saqib Saleem 15-Nov-2024');</v>
      </c>
      <c r="H103" s="15" t="str">
        <f t="shared" si="7"/>
        <v>insert into ins_premium_det (premium_rcv_code,assorted_code, rec_amount,premium_rcv_detail_code,remaining_amt, payrec, mode_code,coinsurance_code,class_cd,it_remarks) values('15Nov240016','040000158395','4400',(select max(to_number(i.premium_rcv_detail_code))+1
from ins_premium_det i),'4400','4400','02', '11000003','00','Request by Mr. Saqib Saleem 15-Nov-2024');</v>
      </c>
    </row>
    <row r="104" spans="1:8" ht="105" x14ac:dyDescent="0.25">
      <c r="A104" s="2" t="s">
        <v>252</v>
      </c>
      <c r="B104" s="11" t="str">
        <f>VLOOKUP(A104,policy!B:C,2,0)</f>
        <v>040000158452</v>
      </c>
      <c r="C104" s="4">
        <v>4400</v>
      </c>
      <c r="D104" s="12">
        <f t="shared" si="5"/>
        <v>4400</v>
      </c>
      <c r="E104" s="16" t="s">
        <v>960</v>
      </c>
      <c r="F104" s="13" t="str">
        <f t="shared" si="4"/>
        <v>insert into ins_premium_det (premium_rcv_code,assorted_code, rec_amount,premium_rcv_detail_code,remaining_amt, payrec, mode_code,coinsurance_code,class_cd,it_remarks) values</v>
      </c>
      <c r="G104" s="14" t="str">
        <f t="shared" si="6"/>
        <v>('15Nov240016','040000158452','4400',(select max(to_number(i.premium_rcv_detail_code))+1
from ins_premium_det i),'4400','4400','02', '11000003','00','Request by Mr. Saqib Saleem 15-Nov-2024');</v>
      </c>
      <c r="H104" s="15" t="str">
        <f t="shared" si="7"/>
        <v>insert into ins_premium_det (premium_rcv_code,assorted_code, rec_amount,premium_rcv_detail_code,remaining_amt, payrec, mode_code,coinsurance_code,class_cd,it_remarks) values('15Nov240016','040000158452','4400',(select max(to_number(i.premium_rcv_detail_code))+1
from ins_premium_det i),'4400','4400','02', '11000003','00','Request by Mr. Saqib Saleem 15-Nov-2024');</v>
      </c>
    </row>
    <row r="105" spans="1:8" ht="105" x14ac:dyDescent="0.25">
      <c r="A105" s="2" t="s">
        <v>254</v>
      </c>
      <c r="B105" s="11" t="str">
        <f>VLOOKUP(A105,policy!B:C,2,0)</f>
        <v>040000158455</v>
      </c>
      <c r="C105" s="4">
        <v>2521</v>
      </c>
      <c r="D105" s="12">
        <f t="shared" si="5"/>
        <v>2521</v>
      </c>
      <c r="E105" s="16" t="s">
        <v>960</v>
      </c>
      <c r="F105" s="13" t="str">
        <f t="shared" si="4"/>
        <v>insert into ins_premium_det (premium_rcv_code,assorted_code, rec_amount,premium_rcv_detail_code,remaining_amt, payrec, mode_code,coinsurance_code,class_cd,it_remarks) values</v>
      </c>
      <c r="G105" s="14" t="str">
        <f t="shared" si="6"/>
        <v>('15Nov240016','040000158455','2521',(select max(to_number(i.premium_rcv_detail_code))+1
from ins_premium_det i),'2521','2521','02', '11000003','00','Request by Mr. Saqib Saleem 15-Nov-2024');</v>
      </c>
      <c r="H105" s="15" t="str">
        <f t="shared" si="7"/>
        <v>insert into ins_premium_det (premium_rcv_code,assorted_code, rec_amount,premium_rcv_detail_code,remaining_amt, payrec, mode_code,coinsurance_code,class_cd,it_remarks) values('15Nov240016','040000158455','2521',(select max(to_number(i.premium_rcv_detail_code))+1
from ins_premium_det i),'2521','2521','02', '11000003','00','Request by Mr. Saqib Saleem 15-Nov-2024');</v>
      </c>
    </row>
    <row r="106" spans="1:8" ht="105" x14ac:dyDescent="0.25">
      <c r="A106" s="2" t="s">
        <v>256</v>
      </c>
      <c r="B106" s="11" t="str">
        <f>VLOOKUP(A106,policy!B:C,2,0)</f>
        <v>040000158550</v>
      </c>
      <c r="C106" s="4">
        <v>4400</v>
      </c>
      <c r="D106" s="12">
        <f t="shared" si="5"/>
        <v>4400</v>
      </c>
      <c r="E106" s="16" t="s">
        <v>960</v>
      </c>
      <c r="F106" s="13" t="str">
        <f t="shared" si="4"/>
        <v>insert into ins_premium_det (premium_rcv_code,assorted_code, rec_amount,premium_rcv_detail_code,remaining_amt, payrec, mode_code,coinsurance_code,class_cd,it_remarks) values</v>
      </c>
      <c r="G106" s="14" t="str">
        <f t="shared" si="6"/>
        <v>('15Nov240016','040000158550','4400',(select max(to_number(i.premium_rcv_detail_code))+1
from ins_premium_det i),'4400','4400','02', '11000003','00','Request by Mr. Saqib Saleem 15-Nov-2024');</v>
      </c>
      <c r="H106" s="15" t="str">
        <f t="shared" si="7"/>
        <v>insert into ins_premium_det (premium_rcv_code,assorted_code, rec_amount,premium_rcv_detail_code,remaining_amt, payrec, mode_code,coinsurance_code,class_cd,it_remarks) values('15Nov240016','040000158550','4400',(select max(to_number(i.premium_rcv_detail_code))+1
from ins_premium_det i),'4400','4400','02', '11000003','00','Request by Mr. Saqib Saleem 15-Nov-2024');</v>
      </c>
    </row>
    <row r="107" spans="1:8" ht="105" x14ac:dyDescent="0.25">
      <c r="A107" s="2" t="s">
        <v>258</v>
      </c>
      <c r="B107" s="11" t="str">
        <f>VLOOKUP(A107,policy!B:C,2,0)</f>
        <v>040000158657</v>
      </c>
      <c r="C107" s="4">
        <v>4400</v>
      </c>
      <c r="D107" s="12">
        <f t="shared" si="5"/>
        <v>4400</v>
      </c>
      <c r="E107" s="16" t="s">
        <v>960</v>
      </c>
      <c r="F107" s="13" t="str">
        <f t="shared" si="4"/>
        <v>insert into ins_premium_det (premium_rcv_code,assorted_code, rec_amount,premium_rcv_detail_code,remaining_amt, payrec, mode_code,coinsurance_code,class_cd,it_remarks) values</v>
      </c>
      <c r="G107" s="14" t="str">
        <f t="shared" si="6"/>
        <v>('15Nov240016','040000158657','4400',(select max(to_number(i.premium_rcv_detail_code))+1
from ins_premium_det i),'4400','4400','02', '11000003','00','Request by Mr. Saqib Saleem 15-Nov-2024');</v>
      </c>
      <c r="H107" s="15" t="str">
        <f t="shared" si="7"/>
        <v>insert into ins_premium_det (premium_rcv_code,assorted_code, rec_amount,premium_rcv_detail_code,remaining_amt, payrec, mode_code,coinsurance_code,class_cd,it_remarks) values('15Nov240016','040000158657','4400',(select max(to_number(i.premium_rcv_detail_code))+1
from ins_premium_det i),'4400','4400','02', '11000003','00','Request by Mr. Saqib Saleem 15-Nov-2024');</v>
      </c>
    </row>
    <row r="108" spans="1:8" ht="105" x14ac:dyDescent="0.25">
      <c r="A108" s="2" t="s">
        <v>260</v>
      </c>
      <c r="B108" s="11" t="str">
        <f>VLOOKUP(A108,policy!B:C,2,0)</f>
        <v>040000158739</v>
      </c>
      <c r="C108" s="4">
        <v>2719</v>
      </c>
      <c r="D108" s="12">
        <f t="shared" si="5"/>
        <v>2719</v>
      </c>
      <c r="E108" s="16" t="s">
        <v>960</v>
      </c>
      <c r="F108" s="13" t="str">
        <f t="shared" si="4"/>
        <v>insert into ins_premium_det (premium_rcv_code,assorted_code, rec_amount,premium_rcv_detail_code,remaining_amt, payrec, mode_code,coinsurance_code,class_cd,it_remarks) values</v>
      </c>
      <c r="G108" s="14" t="str">
        <f t="shared" si="6"/>
        <v>('15Nov240016','040000158739','2719',(select max(to_number(i.premium_rcv_detail_code))+1
from ins_premium_det i),'2719','2719','02', '11000003','00','Request by Mr. Saqib Saleem 15-Nov-2024');</v>
      </c>
      <c r="H108" s="15" t="str">
        <f t="shared" si="7"/>
        <v>insert into ins_premium_det (premium_rcv_code,assorted_code, rec_amount,premium_rcv_detail_code,remaining_amt, payrec, mode_code,coinsurance_code,class_cd,it_remarks) values('15Nov240016','040000158739','2719',(select max(to_number(i.premium_rcv_detail_code))+1
from ins_premium_det i),'2719','2719','02', '11000003','00','Request by Mr. Saqib Saleem 15-Nov-2024');</v>
      </c>
    </row>
    <row r="109" spans="1:8" ht="105" x14ac:dyDescent="0.25">
      <c r="A109" s="2" t="s">
        <v>262</v>
      </c>
      <c r="B109" s="11" t="str">
        <f>VLOOKUP(A109,policy!B:C,2,0)</f>
        <v>040000158756</v>
      </c>
      <c r="C109" s="4">
        <v>4400</v>
      </c>
      <c r="D109" s="12">
        <f t="shared" si="5"/>
        <v>4400</v>
      </c>
      <c r="E109" s="16" t="s">
        <v>960</v>
      </c>
      <c r="F109" s="13" t="str">
        <f t="shared" si="4"/>
        <v>insert into ins_premium_det (premium_rcv_code,assorted_code, rec_amount,premium_rcv_detail_code,remaining_amt, payrec, mode_code,coinsurance_code,class_cd,it_remarks) values</v>
      </c>
      <c r="G109" s="14" t="str">
        <f t="shared" si="6"/>
        <v>('15Nov240016','040000158756','4400',(select max(to_number(i.premium_rcv_detail_code))+1
from ins_premium_det i),'4400','4400','02', '11000003','00','Request by Mr. Saqib Saleem 15-Nov-2024');</v>
      </c>
      <c r="H109" s="15" t="str">
        <f t="shared" si="7"/>
        <v>insert into ins_premium_det (premium_rcv_code,assorted_code, rec_amount,premium_rcv_detail_code,remaining_amt, payrec, mode_code,coinsurance_code,class_cd,it_remarks) values('15Nov240016','040000158756','4400',(select max(to_number(i.premium_rcv_detail_code))+1
from ins_premium_det i),'4400','4400','02', '11000003','00','Request by Mr. Saqib Saleem 15-Nov-2024');</v>
      </c>
    </row>
    <row r="110" spans="1:8" ht="105" x14ac:dyDescent="0.25">
      <c r="A110" s="2" t="s">
        <v>264</v>
      </c>
      <c r="B110" s="11" t="str">
        <f>VLOOKUP(A110,policy!B:C,2,0)</f>
        <v>040000158786</v>
      </c>
      <c r="C110" s="4">
        <v>4400</v>
      </c>
      <c r="D110" s="12">
        <f t="shared" si="5"/>
        <v>4400</v>
      </c>
      <c r="E110" s="16" t="s">
        <v>960</v>
      </c>
      <c r="F110" s="13" t="str">
        <f t="shared" si="4"/>
        <v>insert into ins_premium_det (premium_rcv_code,assorted_code, rec_amount,premium_rcv_detail_code,remaining_amt, payrec, mode_code,coinsurance_code,class_cd,it_remarks) values</v>
      </c>
      <c r="G110" s="14" t="str">
        <f t="shared" si="6"/>
        <v>('15Nov240016','040000158786','4400',(select max(to_number(i.premium_rcv_detail_code))+1
from ins_premium_det i),'4400','4400','02', '11000003','00','Request by Mr. Saqib Saleem 15-Nov-2024');</v>
      </c>
      <c r="H110" s="15" t="str">
        <f t="shared" si="7"/>
        <v>insert into ins_premium_det (premium_rcv_code,assorted_code, rec_amount,premium_rcv_detail_code,remaining_amt, payrec, mode_code,coinsurance_code,class_cd,it_remarks) values('15Nov240016','040000158786','4400',(select max(to_number(i.premium_rcv_detail_code))+1
from ins_premium_det i),'4400','4400','02', '11000003','00','Request by Mr. Saqib Saleem 15-Nov-2024');</v>
      </c>
    </row>
    <row r="111" spans="1:8" ht="105" x14ac:dyDescent="0.25">
      <c r="A111" s="2" t="s">
        <v>266</v>
      </c>
      <c r="B111" s="11" t="str">
        <f>VLOOKUP(A111,policy!B:C,2,0)</f>
        <v>040000158818</v>
      </c>
      <c r="C111" s="4">
        <v>2719</v>
      </c>
      <c r="D111" s="12">
        <f t="shared" si="5"/>
        <v>2719</v>
      </c>
      <c r="E111" s="16" t="s">
        <v>960</v>
      </c>
      <c r="F111" s="13" t="str">
        <f t="shared" si="4"/>
        <v>insert into ins_premium_det (premium_rcv_code,assorted_code, rec_amount,premium_rcv_detail_code,remaining_amt, payrec, mode_code,coinsurance_code,class_cd,it_remarks) values</v>
      </c>
      <c r="G111" s="14" t="str">
        <f t="shared" si="6"/>
        <v>('15Nov240016','040000158818','2719',(select max(to_number(i.premium_rcv_detail_code))+1
from ins_premium_det i),'2719','2719','02', '11000003','00','Request by Mr. Saqib Saleem 15-Nov-2024');</v>
      </c>
      <c r="H111" s="15" t="str">
        <f t="shared" si="7"/>
        <v>insert into ins_premium_det (premium_rcv_code,assorted_code, rec_amount,premium_rcv_detail_code,remaining_amt, payrec, mode_code,coinsurance_code,class_cd,it_remarks) values('15Nov240016','040000158818','2719',(select max(to_number(i.premium_rcv_detail_code))+1
from ins_premium_det i),'2719','2719','02', '11000003','00','Request by Mr. Saqib Saleem 15-Nov-2024');</v>
      </c>
    </row>
    <row r="112" spans="1:8" ht="105" x14ac:dyDescent="0.25">
      <c r="A112" s="2" t="s">
        <v>268</v>
      </c>
      <c r="B112" s="11" t="str">
        <f>VLOOKUP(A112,policy!B:C,2,0)</f>
        <v>040000158901</v>
      </c>
      <c r="C112" s="4">
        <v>3025</v>
      </c>
      <c r="D112" s="12">
        <f t="shared" si="5"/>
        <v>3025</v>
      </c>
      <c r="E112" s="16" t="s">
        <v>960</v>
      </c>
      <c r="F112" s="13" t="str">
        <f t="shared" si="4"/>
        <v>insert into ins_premium_det (premium_rcv_code,assorted_code, rec_amount,premium_rcv_detail_code,remaining_amt, payrec, mode_code,coinsurance_code,class_cd,it_remarks) values</v>
      </c>
      <c r="G112" s="14" t="str">
        <f t="shared" si="6"/>
        <v>('15Nov240016','040000158901','3025',(select max(to_number(i.premium_rcv_detail_code))+1
from ins_premium_det i),'3025','3025','02', '11000003','00','Request by Mr. Saqib Saleem 15-Nov-2024');</v>
      </c>
      <c r="H112" s="15" t="str">
        <f t="shared" si="7"/>
        <v>insert into ins_premium_det (premium_rcv_code,assorted_code, rec_amount,premium_rcv_detail_code,remaining_amt, payrec, mode_code,coinsurance_code,class_cd,it_remarks) values('15Nov240016','040000158901','3025',(select max(to_number(i.premium_rcv_detail_code))+1
from ins_premium_det i),'3025','3025','02', '11000003','00','Request by Mr. Saqib Saleem 15-Nov-2024');</v>
      </c>
    </row>
    <row r="113" spans="1:8" ht="105" x14ac:dyDescent="0.25">
      <c r="A113" s="2" t="s">
        <v>270</v>
      </c>
      <c r="B113" s="11" t="str">
        <f>VLOOKUP(A113,policy!B:C,2,0)</f>
        <v>040000158960</v>
      </c>
      <c r="C113" s="4">
        <v>4400</v>
      </c>
      <c r="D113" s="12">
        <f t="shared" si="5"/>
        <v>4400</v>
      </c>
      <c r="E113" s="16" t="s">
        <v>960</v>
      </c>
      <c r="F113" s="13" t="str">
        <f t="shared" si="4"/>
        <v>insert into ins_premium_det (premium_rcv_code,assorted_code, rec_amount,premium_rcv_detail_code,remaining_amt, payrec, mode_code,coinsurance_code,class_cd,it_remarks) values</v>
      </c>
      <c r="G113" s="14" t="str">
        <f t="shared" si="6"/>
        <v>('15Nov240016','040000158960','4400',(select max(to_number(i.premium_rcv_detail_code))+1
from ins_premium_det i),'4400','4400','02', '11000003','00','Request by Mr. Saqib Saleem 15-Nov-2024');</v>
      </c>
      <c r="H113" s="15" t="str">
        <f t="shared" si="7"/>
        <v>insert into ins_premium_det (premium_rcv_code,assorted_code, rec_amount,premium_rcv_detail_code,remaining_amt, payrec, mode_code,coinsurance_code,class_cd,it_remarks) values('15Nov240016','040000158960','4400',(select max(to_number(i.premium_rcv_detail_code))+1
from ins_premium_det i),'4400','4400','02', '11000003','00','Request by Mr. Saqib Saleem 15-Nov-2024');</v>
      </c>
    </row>
    <row r="114" spans="1:8" ht="105" x14ac:dyDescent="0.25">
      <c r="A114" s="2" t="s">
        <v>272</v>
      </c>
      <c r="B114" s="11" t="str">
        <f>VLOOKUP(A114,policy!B:C,2,0)</f>
        <v>040000159068</v>
      </c>
      <c r="C114" s="4">
        <v>4400</v>
      </c>
      <c r="D114" s="12">
        <f t="shared" si="5"/>
        <v>4400</v>
      </c>
      <c r="E114" s="16" t="s">
        <v>960</v>
      </c>
      <c r="F114" s="13" t="str">
        <f t="shared" si="4"/>
        <v>insert into ins_premium_det (premium_rcv_code,assorted_code, rec_amount,premium_rcv_detail_code,remaining_amt, payrec, mode_code,coinsurance_code,class_cd,it_remarks) values</v>
      </c>
      <c r="G114" s="14" t="str">
        <f t="shared" si="6"/>
        <v>('15Nov240016','040000159068','4400',(select max(to_number(i.premium_rcv_detail_code))+1
from ins_premium_det i),'4400','4400','02', '11000003','00','Request by Mr. Saqib Saleem 15-Nov-2024');</v>
      </c>
      <c r="H114" s="15" t="str">
        <f t="shared" si="7"/>
        <v>insert into ins_premium_det (premium_rcv_code,assorted_code, rec_amount,premium_rcv_detail_code,remaining_amt, payrec, mode_code,coinsurance_code,class_cd,it_remarks) values('15Nov240016','040000159068','4400',(select max(to_number(i.premium_rcv_detail_code))+1
from ins_premium_det i),'4400','4400','02', '11000003','00','Request by Mr. Saqib Saleem 15-Nov-2024');</v>
      </c>
    </row>
    <row r="115" spans="1:8" ht="105" x14ac:dyDescent="0.25">
      <c r="A115" s="2" t="s">
        <v>274</v>
      </c>
      <c r="B115" s="11" t="str">
        <f>VLOOKUP(A115,policy!B:C,2,0)</f>
        <v>040000159069</v>
      </c>
      <c r="C115" s="4">
        <v>4400</v>
      </c>
      <c r="D115" s="12">
        <f t="shared" si="5"/>
        <v>4400</v>
      </c>
      <c r="E115" s="16" t="s">
        <v>960</v>
      </c>
      <c r="F115" s="13" t="str">
        <f t="shared" si="4"/>
        <v>insert into ins_premium_det (premium_rcv_code,assorted_code, rec_amount,premium_rcv_detail_code,remaining_amt, payrec, mode_code,coinsurance_code,class_cd,it_remarks) values</v>
      </c>
      <c r="G115" s="14" t="str">
        <f t="shared" si="6"/>
        <v>('15Nov240016','040000159069','4400',(select max(to_number(i.premium_rcv_detail_code))+1
from ins_premium_det i),'4400','4400','02', '11000003','00','Request by Mr. Saqib Saleem 15-Nov-2024');</v>
      </c>
      <c r="H115" s="15" t="str">
        <f t="shared" si="7"/>
        <v>insert into ins_premium_det (premium_rcv_code,assorted_code, rec_amount,premium_rcv_detail_code,remaining_amt, payrec, mode_code,coinsurance_code,class_cd,it_remarks) values('15Nov240016','040000159069','4400',(select max(to_number(i.premium_rcv_detail_code))+1
from ins_premium_det i),'4400','4400','02', '11000003','00','Request by Mr. Saqib Saleem 15-Nov-2024');</v>
      </c>
    </row>
    <row r="116" spans="1:8" ht="105" x14ac:dyDescent="0.25">
      <c r="A116" s="2" t="s">
        <v>275</v>
      </c>
      <c r="B116" s="11" t="str">
        <f>VLOOKUP(A116,policy!B:C,2,0)</f>
        <v>040000159085</v>
      </c>
      <c r="C116" s="4">
        <v>4400</v>
      </c>
      <c r="D116" s="12">
        <f t="shared" si="5"/>
        <v>4400</v>
      </c>
      <c r="E116" s="16" t="s">
        <v>960</v>
      </c>
      <c r="F116" s="13" t="str">
        <f t="shared" si="4"/>
        <v>insert into ins_premium_det (premium_rcv_code,assorted_code, rec_amount,premium_rcv_detail_code,remaining_amt, payrec, mode_code,coinsurance_code,class_cd,it_remarks) values</v>
      </c>
      <c r="G116" s="14" t="str">
        <f t="shared" si="6"/>
        <v>('15Nov240016','040000159085','4400',(select max(to_number(i.premium_rcv_detail_code))+1
from ins_premium_det i),'4400','4400','02', '11000003','00','Request by Mr. Saqib Saleem 15-Nov-2024');</v>
      </c>
      <c r="H116" s="15" t="str">
        <f t="shared" si="7"/>
        <v>insert into ins_premium_det (premium_rcv_code,assorted_code, rec_amount,premium_rcv_detail_code,remaining_amt, payrec, mode_code,coinsurance_code,class_cd,it_remarks) values('15Nov240016','040000159085','4400',(select max(to_number(i.premium_rcv_detail_code))+1
from ins_premium_det i),'4400','4400','02', '11000003','00','Request by Mr. Saqib Saleem 15-Nov-2024');</v>
      </c>
    </row>
    <row r="117" spans="1:8" ht="105" x14ac:dyDescent="0.25">
      <c r="A117" s="2" t="s">
        <v>277</v>
      </c>
      <c r="B117" s="11" t="str">
        <f>VLOOKUP(A117,policy!B:C,2,0)</f>
        <v>040000159139</v>
      </c>
      <c r="C117" s="4">
        <v>4400</v>
      </c>
      <c r="D117" s="12">
        <f t="shared" si="5"/>
        <v>4400</v>
      </c>
      <c r="E117" s="16" t="s">
        <v>960</v>
      </c>
      <c r="F117" s="13" t="str">
        <f t="shared" si="4"/>
        <v>insert into ins_premium_det (premium_rcv_code,assorted_code, rec_amount,premium_rcv_detail_code,remaining_amt, payrec, mode_code,coinsurance_code,class_cd,it_remarks) values</v>
      </c>
      <c r="G117" s="14" t="str">
        <f t="shared" si="6"/>
        <v>('15Nov240016','040000159139','4400',(select max(to_number(i.premium_rcv_detail_code))+1
from ins_premium_det i),'4400','4400','02', '11000003','00','Request by Mr. Saqib Saleem 15-Nov-2024');</v>
      </c>
      <c r="H117" s="15" t="str">
        <f t="shared" si="7"/>
        <v>insert into ins_premium_det (premium_rcv_code,assorted_code, rec_amount,premium_rcv_detail_code,remaining_amt, payrec, mode_code,coinsurance_code,class_cd,it_remarks) values('15Nov240016','040000159139','4400',(select max(to_number(i.premium_rcv_detail_code))+1
from ins_premium_det i),'4400','4400','02', '11000003','00','Request by Mr. Saqib Saleem 15-Nov-2024');</v>
      </c>
    </row>
    <row r="118" spans="1:8" ht="105" x14ac:dyDescent="0.25">
      <c r="A118" s="2" t="s">
        <v>279</v>
      </c>
      <c r="B118" s="11" t="str">
        <f>VLOOKUP(A118,policy!B:C,2,0)</f>
        <v>040000159153</v>
      </c>
      <c r="C118" s="4">
        <v>3025</v>
      </c>
      <c r="D118" s="12">
        <f t="shared" si="5"/>
        <v>3025</v>
      </c>
      <c r="E118" s="16" t="s">
        <v>960</v>
      </c>
      <c r="F118" s="13" t="str">
        <f t="shared" si="4"/>
        <v>insert into ins_premium_det (premium_rcv_code,assorted_code, rec_amount,premium_rcv_detail_code,remaining_amt, payrec, mode_code,coinsurance_code,class_cd,it_remarks) values</v>
      </c>
      <c r="G118" s="14" t="str">
        <f t="shared" si="6"/>
        <v>('15Nov240016','040000159153','3025',(select max(to_number(i.premium_rcv_detail_code))+1
from ins_premium_det i),'3025','3025','02', '11000003','00','Request by Mr. Saqib Saleem 15-Nov-2024');</v>
      </c>
      <c r="H118" s="15" t="str">
        <f t="shared" si="7"/>
        <v>insert into ins_premium_det (premium_rcv_code,assorted_code, rec_amount,premium_rcv_detail_code,remaining_amt, payrec, mode_code,coinsurance_code,class_cd,it_remarks) values('15Nov240016','040000159153','3025',(select max(to_number(i.premium_rcv_detail_code))+1
from ins_premium_det i),'3025','3025','02', '11000003','00','Request by Mr. Saqib Saleem 15-Nov-2024');</v>
      </c>
    </row>
    <row r="119" spans="1:8" ht="105" x14ac:dyDescent="0.25">
      <c r="A119" s="2" t="s">
        <v>281</v>
      </c>
      <c r="B119" s="11" t="str">
        <f>VLOOKUP(A119,policy!B:C,2,0)</f>
        <v>040000159307</v>
      </c>
      <c r="C119" s="4">
        <v>2719</v>
      </c>
      <c r="D119" s="12">
        <f t="shared" si="5"/>
        <v>2719</v>
      </c>
      <c r="E119" s="16" t="s">
        <v>960</v>
      </c>
      <c r="F119" s="13" t="str">
        <f t="shared" si="4"/>
        <v>insert into ins_premium_det (premium_rcv_code,assorted_code, rec_amount,premium_rcv_detail_code,remaining_amt, payrec, mode_code,coinsurance_code,class_cd,it_remarks) values</v>
      </c>
      <c r="G119" s="14" t="str">
        <f t="shared" si="6"/>
        <v>('15Nov240016','040000159307','2719',(select max(to_number(i.premium_rcv_detail_code))+1
from ins_premium_det i),'2719','2719','02', '11000003','00','Request by Mr. Saqib Saleem 15-Nov-2024');</v>
      </c>
      <c r="H119" s="15" t="str">
        <f t="shared" si="7"/>
        <v>insert into ins_premium_det (premium_rcv_code,assorted_code, rec_amount,premium_rcv_detail_code,remaining_amt, payrec, mode_code,coinsurance_code,class_cd,it_remarks) values('15Nov240016','040000159307','2719',(select max(to_number(i.premium_rcv_detail_code))+1
from ins_premium_det i),'2719','2719','02', '11000003','00','Request by Mr. Saqib Saleem 15-Nov-2024');</v>
      </c>
    </row>
    <row r="120" spans="1:8" ht="105" x14ac:dyDescent="0.25">
      <c r="A120" s="2" t="s">
        <v>283</v>
      </c>
      <c r="B120" s="11" t="str">
        <f>VLOOKUP(A120,policy!B:C,2,0)</f>
        <v>040000159313</v>
      </c>
      <c r="C120" s="4">
        <v>2719</v>
      </c>
      <c r="D120" s="12">
        <f t="shared" si="5"/>
        <v>2719</v>
      </c>
      <c r="E120" s="16" t="s">
        <v>960</v>
      </c>
      <c r="F120" s="13" t="str">
        <f t="shared" si="4"/>
        <v>insert into ins_premium_det (premium_rcv_code,assorted_code, rec_amount,premium_rcv_detail_code,remaining_amt, payrec, mode_code,coinsurance_code,class_cd,it_remarks) values</v>
      </c>
      <c r="G120" s="14" t="str">
        <f t="shared" si="6"/>
        <v>('15Nov240016','040000159313','2719',(select max(to_number(i.premium_rcv_detail_code))+1
from ins_premium_det i),'2719','2719','02', '11000003','00','Request by Mr. Saqib Saleem 15-Nov-2024');</v>
      </c>
      <c r="H120" s="15" t="str">
        <f t="shared" si="7"/>
        <v>insert into ins_premium_det (premium_rcv_code,assorted_code, rec_amount,premium_rcv_detail_code,remaining_amt, payrec, mode_code,coinsurance_code,class_cd,it_remarks) values('15Nov240016','040000159313','2719',(select max(to_number(i.premium_rcv_detail_code))+1
from ins_premium_det i),'2719','2719','02', '11000003','00','Request by Mr. Saqib Saleem 15-Nov-2024');</v>
      </c>
    </row>
    <row r="121" spans="1:8" ht="105" x14ac:dyDescent="0.25">
      <c r="A121" s="2" t="s">
        <v>285</v>
      </c>
      <c r="B121" s="11" t="str">
        <f>VLOOKUP(A121,policy!B:C,2,0)</f>
        <v>040000159316</v>
      </c>
      <c r="C121" s="4">
        <v>4400</v>
      </c>
      <c r="D121" s="12">
        <f t="shared" si="5"/>
        <v>4400</v>
      </c>
      <c r="E121" s="16" t="s">
        <v>960</v>
      </c>
      <c r="F121" s="13" t="str">
        <f t="shared" si="4"/>
        <v>insert into ins_premium_det (premium_rcv_code,assorted_code, rec_amount,premium_rcv_detail_code,remaining_amt, payrec, mode_code,coinsurance_code,class_cd,it_remarks) values</v>
      </c>
      <c r="G121" s="14" t="str">
        <f t="shared" si="6"/>
        <v>('15Nov240016','040000159316','4400',(select max(to_number(i.premium_rcv_detail_code))+1
from ins_premium_det i),'4400','4400','02', '11000003','00','Request by Mr. Saqib Saleem 15-Nov-2024');</v>
      </c>
      <c r="H121" s="15" t="str">
        <f t="shared" si="7"/>
        <v>insert into ins_premium_det (premium_rcv_code,assorted_code, rec_amount,premium_rcv_detail_code,remaining_amt, payrec, mode_code,coinsurance_code,class_cd,it_remarks) values('15Nov240016','040000159316','4400',(select max(to_number(i.premium_rcv_detail_code))+1
from ins_premium_det i),'4400','4400','02', '11000003','00','Request by Mr. Saqib Saleem 15-Nov-2024');</v>
      </c>
    </row>
    <row r="122" spans="1:8" ht="105" x14ac:dyDescent="0.25">
      <c r="A122" s="2" t="s">
        <v>287</v>
      </c>
      <c r="B122" s="11" t="str">
        <f>VLOOKUP(A122,policy!B:C,2,0)</f>
        <v>040000159403</v>
      </c>
      <c r="C122" s="4">
        <v>4400</v>
      </c>
      <c r="D122" s="12">
        <f t="shared" si="5"/>
        <v>4400</v>
      </c>
      <c r="E122" s="16" t="s">
        <v>960</v>
      </c>
      <c r="F122" s="13" t="str">
        <f t="shared" si="4"/>
        <v>insert into ins_premium_det (premium_rcv_code,assorted_code, rec_amount,premium_rcv_detail_code,remaining_amt, payrec, mode_code,coinsurance_code,class_cd,it_remarks) values</v>
      </c>
      <c r="G122" s="14" t="str">
        <f t="shared" si="6"/>
        <v>('15Nov240016','040000159403','4400',(select max(to_number(i.premium_rcv_detail_code))+1
from ins_premium_det i),'4400','4400','02', '11000003','00','Request by Mr. Saqib Saleem 15-Nov-2024');</v>
      </c>
      <c r="H122" s="15" t="str">
        <f t="shared" si="7"/>
        <v>insert into ins_premium_det (premium_rcv_code,assorted_code, rec_amount,premium_rcv_detail_code,remaining_amt, payrec, mode_code,coinsurance_code,class_cd,it_remarks) values('15Nov240016','040000159403','4400',(select max(to_number(i.premium_rcv_detail_code))+1
from ins_premium_det i),'4400','4400','02', '11000003','00','Request by Mr. Saqib Saleem 15-Nov-2024');</v>
      </c>
    </row>
    <row r="123" spans="1:8" ht="105" x14ac:dyDescent="0.25">
      <c r="A123" s="2" t="s">
        <v>289</v>
      </c>
      <c r="B123" s="11" t="str">
        <f>VLOOKUP(A123,policy!B:C,2,0)</f>
        <v>040000159413</v>
      </c>
      <c r="C123" s="4">
        <v>4400</v>
      </c>
      <c r="D123" s="12">
        <f t="shared" si="5"/>
        <v>4400</v>
      </c>
      <c r="E123" s="16" t="s">
        <v>960</v>
      </c>
      <c r="F123" s="13" t="str">
        <f t="shared" si="4"/>
        <v>insert into ins_premium_det (premium_rcv_code,assorted_code, rec_amount,premium_rcv_detail_code,remaining_amt, payrec, mode_code,coinsurance_code,class_cd,it_remarks) values</v>
      </c>
      <c r="G123" s="14" t="str">
        <f t="shared" si="6"/>
        <v>('15Nov240016','040000159413','4400',(select max(to_number(i.premium_rcv_detail_code))+1
from ins_premium_det i),'4400','4400','02', '11000003','00','Request by Mr. Saqib Saleem 15-Nov-2024');</v>
      </c>
      <c r="H123" s="15" t="str">
        <f t="shared" si="7"/>
        <v>insert into ins_premium_det (premium_rcv_code,assorted_code, rec_amount,premium_rcv_detail_code,remaining_amt, payrec, mode_code,coinsurance_code,class_cd,it_remarks) values('15Nov240016','040000159413','4400',(select max(to_number(i.premium_rcv_detail_code))+1
from ins_premium_det i),'4400','4400','02', '11000003','00','Request by Mr. Saqib Saleem 15-Nov-2024');</v>
      </c>
    </row>
    <row r="124" spans="1:8" ht="105" x14ac:dyDescent="0.25">
      <c r="A124" s="2" t="s">
        <v>291</v>
      </c>
      <c r="B124" s="11" t="str">
        <f>VLOOKUP(A124,policy!B:C,2,0)</f>
        <v>040000159510</v>
      </c>
      <c r="C124" s="4">
        <v>4400</v>
      </c>
      <c r="D124" s="12">
        <f t="shared" si="5"/>
        <v>4400</v>
      </c>
      <c r="E124" s="16" t="s">
        <v>960</v>
      </c>
      <c r="F124" s="13" t="str">
        <f t="shared" si="4"/>
        <v>insert into ins_premium_det (premium_rcv_code,assorted_code, rec_amount,premium_rcv_detail_code,remaining_amt, payrec, mode_code,coinsurance_code,class_cd,it_remarks) values</v>
      </c>
      <c r="G124" s="14" t="str">
        <f t="shared" si="6"/>
        <v>('15Nov240016','040000159510','4400',(select max(to_number(i.premium_rcv_detail_code))+1
from ins_premium_det i),'4400','4400','02', '11000003','00','Request by Mr. Saqib Saleem 15-Nov-2024');</v>
      </c>
      <c r="H124" s="15" t="str">
        <f t="shared" si="7"/>
        <v>insert into ins_premium_det (premium_rcv_code,assorted_code, rec_amount,premium_rcv_detail_code,remaining_amt, payrec, mode_code,coinsurance_code,class_cd,it_remarks) values('15Nov240016','040000159510','4400',(select max(to_number(i.premium_rcv_detail_code))+1
from ins_premium_det i),'4400','4400','02', '11000003','00','Request by Mr. Saqib Saleem 15-Nov-2024');</v>
      </c>
    </row>
    <row r="125" spans="1:8" ht="105" x14ac:dyDescent="0.25">
      <c r="A125" s="2" t="s">
        <v>293</v>
      </c>
      <c r="B125" s="11" t="str">
        <f>VLOOKUP(A125,policy!B:C,2,0)</f>
        <v>040000165844</v>
      </c>
      <c r="C125" s="4">
        <v>4400</v>
      </c>
      <c r="D125" s="12">
        <f t="shared" si="5"/>
        <v>4400</v>
      </c>
      <c r="E125" s="16" t="s">
        <v>960</v>
      </c>
      <c r="F125" s="13" t="str">
        <f t="shared" si="4"/>
        <v>insert into ins_premium_det (premium_rcv_code,assorted_code, rec_amount,premium_rcv_detail_code,remaining_amt, payrec, mode_code,coinsurance_code,class_cd,it_remarks) values</v>
      </c>
      <c r="G125" s="14" t="str">
        <f t="shared" si="6"/>
        <v>('15Nov240016','040000165844','4400',(select max(to_number(i.premium_rcv_detail_code))+1
from ins_premium_det i),'4400','4400','02', '11000003','00','Request by Mr. Saqib Saleem 15-Nov-2024');</v>
      </c>
      <c r="H125" s="15" t="str">
        <f t="shared" si="7"/>
        <v>insert into ins_premium_det (premium_rcv_code,assorted_code, rec_amount,premium_rcv_detail_code,remaining_amt, payrec, mode_code,coinsurance_code,class_cd,it_remarks) values('15Nov240016','040000165844','4400',(select max(to_number(i.premium_rcv_detail_code))+1
from ins_premium_det i),'4400','4400','02', '11000003','00','Request by Mr. Saqib Saleem 15-Nov-2024');</v>
      </c>
    </row>
    <row r="126" spans="1:8" ht="105" x14ac:dyDescent="0.25">
      <c r="A126" s="2" t="s">
        <v>294</v>
      </c>
      <c r="B126" s="11" t="str">
        <f>VLOOKUP(A126,policy!B:C,2,0)</f>
        <v>040000165846</v>
      </c>
      <c r="C126" s="4">
        <v>4400</v>
      </c>
      <c r="D126" s="12">
        <f t="shared" si="5"/>
        <v>4400</v>
      </c>
      <c r="E126" s="16" t="s">
        <v>960</v>
      </c>
      <c r="F126" s="13" t="str">
        <f t="shared" si="4"/>
        <v>insert into ins_premium_det (premium_rcv_code,assorted_code, rec_amount,premium_rcv_detail_code,remaining_amt, payrec, mode_code,coinsurance_code,class_cd,it_remarks) values</v>
      </c>
      <c r="G126" s="14" t="str">
        <f t="shared" si="6"/>
        <v>('15Nov240016','040000165846','4400',(select max(to_number(i.premium_rcv_detail_code))+1
from ins_premium_det i),'4400','4400','02', '11000003','00','Request by Mr. Saqib Saleem 15-Nov-2024');</v>
      </c>
      <c r="H126" s="15" t="str">
        <f t="shared" si="7"/>
        <v>insert into ins_premium_det (premium_rcv_code,assorted_code, rec_amount,premium_rcv_detail_code,remaining_amt, payrec, mode_code,coinsurance_code,class_cd,it_remarks) values('15Nov240016','040000165846','4400',(select max(to_number(i.premium_rcv_detail_code))+1
from ins_premium_det i),'4400','4400','02', '11000003','00','Request by Mr. Saqib Saleem 15-Nov-2024');</v>
      </c>
    </row>
    <row r="127" spans="1:8" ht="105" x14ac:dyDescent="0.25">
      <c r="A127" s="2" t="s">
        <v>295</v>
      </c>
      <c r="B127" s="11" t="str">
        <f>VLOOKUP(A127,policy!B:C,2,0)</f>
        <v>040000165847</v>
      </c>
      <c r="C127" s="4">
        <v>2719</v>
      </c>
      <c r="D127" s="12">
        <f t="shared" si="5"/>
        <v>2719</v>
      </c>
      <c r="E127" s="16" t="s">
        <v>960</v>
      </c>
      <c r="F127" s="13" t="str">
        <f t="shared" si="4"/>
        <v>insert into ins_premium_det (premium_rcv_code,assorted_code, rec_amount,premium_rcv_detail_code,remaining_amt, payrec, mode_code,coinsurance_code,class_cd,it_remarks) values</v>
      </c>
      <c r="G127" s="14" t="str">
        <f t="shared" si="6"/>
        <v>('15Nov240016','040000165847','2719',(select max(to_number(i.premium_rcv_detail_code))+1
from ins_premium_det i),'2719','2719','02', '11000003','00','Request by Mr. Saqib Saleem 15-Nov-2024');</v>
      </c>
      <c r="H127" s="15" t="str">
        <f t="shared" si="7"/>
        <v>insert into ins_premium_det (premium_rcv_code,assorted_code, rec_amount,premium_rcv_detail_code,remaining_amt, payrec, mode_code,coinsurance_code,class_cd,it_remarks) values('15Nov240016','040000165847','2719',(select max(to_number(i.premium_rcv_detail_code))+1
from ins_premium_det i),'2719','2719','02', '11000003','00','Request by Mr. Saqib Saleem 15-Nov-2024');</v>
      </c>
    </row>
    <row r="128" spans="1:8" ht="105" x14ac:dyDescent="0.25">
      <c r="A128" s="2" t="s">
        <v>297</v>
      </c>
      <c r="B128" s="11" t="str">
        <f>VLOOKUP(A128,policy!B:C,2,0)</f>
        <v>040000165848</v>
      </c>
      <c r="C128" s="4">
        <v>4400</v>
      </c>
      <c r="D128" s="12">
        <f t="shared" si="5"/>
        <v>4400</v>
      </c>
      <c r="E128" s="16" t="s">
        <v>960</v>
      </c>
      <c r="F128" s="13" t="str">
        <f t="shared" si="4"/>
        <v>insert into ins_premium_det (premium_rcv_code,assorted_code, rec_amount,premium_rcv_detail_code,remaining_amt, payrec, mode_code,coinsurance_code,class_cd,it_remarks) values</v>
      </c>
      <c r="G128" s="14" t="str">
        <f t="shared" si="6"/>
        <v>('15Nov240016','040000165848','4400',(select max(to_number(i.premium_rcv_detail_code))+1
from ins_premium_det i),'4400','4400','02', '11000003','00','Request by Mr. Saqib Saleem 15-Nov-2024');</v>
      </c>
      <c r="H128" s="15" t="str">
        <f t="shared" si="7"/>
        <v>insert into ins_premium_det (premium_rcv_code,assorted_code, rec_amount,premium_rcv_detail_code,remaining_amt, payrec, mode_code,coinsurance_code,class_cd,it_remarks) values('15Nov240016','040000165848','4400',(select max(to_number(i.premium_rcv_detail_code))+1
from ins_premium_det i),'4400','4400','02', '11000003','00','Request by Mr. Saqib Saleem 15-Nov-2024');</v>
      </c>
    </row>
    <row r="129" spans="1:8" ht="105" x14ac:dyDescent="0.25">
      <c r="A129" s="2" t="s">
        <v>299</v>
      </c>
      <c r="B129" s="11" t="str">
        <f>VLOOKUP(A129,policy!B:C,2,0)</f>
        <v>040000165849</v>
      </c>
      <c r="C129" s="4">
        <v>4400</v>
      </c>
      <c r="D129" s="12">
        <f t="shared" si="5"/>
        <v>4400</v>
      </c>
      <c r="E129" s="16" t="s">
        <v>960</v>
      </c>
      <c r="F129" s="13" t="str">
        <f t="shared" si="4"/>
        <v>insert into ins_premium_det (premium_rcv_code,assorted_code, rec_amount,premium_rcv_detail_code,remaining_amt, payrec, mode_code,coinsurance_code,class_cd,it_remarks) values</v>
      </c>
      <c r="G129" s="14" t="str">
        <f t="shared" si="6"/>
        <v>('15Nov240016','040000165849','4400',(select max(to_number(i.premium_rcv_detail_code))+1
from ins_premium_det i),'4400','4400','02', '11000003','00','Request by Mr. Saqib Saleem 15-Nov-2024');</v>
      </c>
      <c r="H129" s="15" t="str">
        <f t="shared" si="7"/>
        <v>insert into ins_premium_det (premium_rcv_code,assorted_code, rec_amount,premium_rcv_detail_code,remaining_amt, payrec, mode_code,coinsurance_code,class_cd,it_remarks) values('15Nov240016','040000165849','4400',(select max(to_number(i.premium_rcv_detail_code))+1
from ins_premium_det i),'4400','4400','02', '11000003','00','Request by Mr. Saqib Saleem 15-Nov-2024');</v>
      </c>
    </row>
    <row r="130" spans="1:8" ht="105" x14ac:dyDescent="0.25">
      <c r="A130" s="2" t="s">
        <v>301</v>
      </c>
      <c r="B130" s="11" t="str">
        <f>VLOOKUP(A130,policy!B:C,2,0)</f>
        <v>040000165852</v>
      </c>
      <c r="C130" s="4">
        <v>2030</v>
      </c>
      <c r="D130" s="12">
        <f t="shared" si="5"/>
        <v>2030</v>
      </c>
      <c r="E130" s="16" t="s">
        <v>960</v>
      </c>
      <c r="F130" s="13" t="str">
        <f t="shared" ref="F130:F185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4" t="str">
        <f t="shared" si="6"/>
        <v>('15Nov240016','040000165852','2030',(select max(to_number(i.premium_rcv_detail_code))+1
from ins_premium_det i),'2030','2030','02', '11000003','00','Request by Mr. Saqib Saleem 15-Nov-2024');</v>
      </c>
      <c r="H130" s="15" t="str">
        <f t="shared" si="7"/>
        <v>insert into ins_premium_det (premium_rcv_code,assorted_code, rec_amount,premium_rcv_detail_code,remaining_amt, payrec, mode_code,coinsurance_code,class_cd,it_remarks) values('15Nov240016','040000165852','2030',(select max(to_number(i.premium_rcv_detail_code))+1
from ins_premium_det i),'2030','2030','02', '11000003','00','Request by Mr. Saqib Saleem 15-Nov-2024');</v>
      </c>
    </row>
    <row r="131" spans="1:8" ht="105" x14ac:dyDescent="0.25">
      <c r="A131" s="2" t="s">
        <v>303</v>
      </c>
      <c r="B131" s="11" t="str">
        <f>VLOOKUP(A131,policy!B:C,2,0)</f>
        <v>040000165854</v>
      </c>
      <c r="C131" s="4">
        <v>4400</v>
      </c>
      <c r="D131" s="12">
        <f t="shared" ref="D131:D185" si="9">ROUND(C131,0)</f>
        <v>4400</v>
      </c>
      <c r="E131" s="16" t="s">
        <v>960</v>
      </c>
      <c r="F131" s="13" t="str">
        <f t="shared" si="8"/>
        <v>insert into ins_premium_det (premium_rcv_code,assorted_code, rec_amount,premium_rcv_detail_code,remaining_amt, payrec, mode_code,coinsurance_code,class_cd,it_remarks) values</v>
      </c>
      <c r="G131" s="14" t="str">
        <f t="shared" ref="G131:G185" si="10">"('"&amp;E131&amp;"','"&amp;B131&amp;"','"&amp;D131&amp;"',(select max(to_number(i.premium_rcv_detail_code))+1
from ins_premium_det i),'"&amp;D131&amp;"','"&amp;D131&amp;"','02', '11000003','00','Request by Mr. Saqib Saleem 15-Nov-2024');"</f>
        <v>('15Nov240016','040000165854','4400',(select max(to_number(i.premium_rcv_detail_code))+1
from ins_premium_det i),'4400','4400','02', '11000003','00','Request by Mr. Saqib Saleem 15-Nov-2024');</v>
      </c>
      <c r="H131" s="15" t="str">
        <f t="shared" ref="H131:H185" si="11">F131&amp;G131</f>
        <v>insert into ins_premium_det (premium_rcv_code,assorted_code, rec_amount,premium_rcv_detail_code,remaining_amt, payrec, mode_code,coinsurance_code,class_cd,it_remarks) values('15Nov240016','040000165854','4400',(select max(to_number(i.premium_rcv_detail_code))+1
from ins_premium_det i),'4400','4400','02', '11000003','00','Request by Mr. Saqib Saleem 15-Nov-2024');</v>
      </c>
    </row>
    <row r="132" spans="1:8" ht="105" x14ac:dyDescent="0.25">
      <c r="A132" s="2" t="s">
        <v>305</v>
      </c>
      <c r="B132" s="11" t="str">
        <f>VLOOKUP(A132,policy!B:C,2,0)</f>
        <v>040000165855</v>
      </c>
      <c r="C132" s="4">
        <v>4400</v>
      </c>
      <c r="D132" s="12">
        <f t="shared" si="9"/>
        <v>4400</v>
      </c>
      <c r="E132" s="16" t="s">
        <v>960</v>
      </c>
      <c r="F132" s="13" t="str">
        <f t="shared" si="8"/>
        <v>insert into ins_premium_det (premium_rcv_code,assorted_code, rec_amount,premium_rcv_detail_code,remaining_amt, payrec, mode_code,coinsurance_code,class_cd,it_remarks) values</v>
      </c>
      <c r="G132" s="14" t="str">
        <f t="shared" si="10"/>
        <v>('15Nov240016','040000165855','4400',(select max(to_number(i.premium_rcv_detail_code))+1
from ins_premium_det i),'4400','4400','02', '11000003','00','Request by Mr. Saqib Saleem 15-Nov-2024');</v>
      </c>
      <c r="H132" s="15" t="str">
        <f t="shared" si="11"/>
        <v>insert into ins_premium_det (premium_rcv_code,assorted_code, rec_amount,premium_rcv_detail_code,remaining_amt, payrec, mode_code,coinsurance_code,class_cd,it_remarks) values('15Nov240016','040000165855','4400',(select max(to_number(i.premium_rcv_detail_code))+1
from ins_premium_det i),'4400','4400','02', '11000003','00','Request by Mr. Saqib Saleem 15-Nov-2024');</v>
      </c>
    </row>
    <row r="133" spans="1:8" ht="105" x14ac:dyDescent="0.25">
      <c r="A133" s="2" t="s">
        <v>307</v>
      </c>
      <c r="B133" s="11" t="str">
        <f>VLOOKUP(A133,policy!B:C,2,0)</f>
        <v>040000165856</v>
      </c>
      <c r="C133" s="4">
        <v>2839</v>
      </c>
      <c r="D133" s="12">
        <f t="shared" si="9"/>
        <v>2839</v>
      </c>
      <c r="E133" s="16" t="s">
        <v>960</v>
      </c>
      <c r="F133" s="13" t="str">
        <f t="shared" si="8"/>
        <v>insert into ins_premium_det (premium_rcv_code,assorted_code, rec_amount,premium_rcv_detail_code,remaining_amt, payrec, mode_code,coinsurance_code,class_cd,it_remarks) values</v>
      </c>
      <c r="G133" s="14" t="str">
        <f t="shared" si="10"/>
        <v>('15Nov240016','040000165856','2839',(select max(to_number(i.premium_rcv_detail_code))+1
from ins_premium_det i),'2839','2839','02', '11000003','00','Request by Mr. Saqib Saleem 15-Nov-2024');</v>
      </c>
      <c r="H133" s="15" t="str">
        <f t="shared" si="11"/>
        <v>insert into ins_premium_det (premium_rcv_code,assorted_code, rec_amount,premium_rcv_detail_code,remaining_amt, payrec, mode_code,coinsurance_code,class_cd,it_remarks) values('15Nov240016','040000165856','2839',(select max(to_number(i.premium_rcv_detail_code))+1
from ins_premium_det i),'2839','2839','02', '11000003','00','Request by Mr. Saqib Saleem 15-Nov-2024');</v>
      </c>
    </row>
    <row r="134" spans="1:8" ht="105" x14ac:dyDescent="0.25">
      <c r="A134" s="2" t="s">
        <v>309</v>
      </c>
      <c r="B134" s="11" t="str">
        <f>VLOOKUP(A134,policy!B:C,2,0)</f>
        <v>040000165857</v>
      </c>
      <c r="C134" s="4">
        <v>4400</v>
      </c>
      <c r="D134" s="12">
        <f t="shared" si="9"/>
        <v>4400</v>
      </c>
      <c r="E134" s="16" t="s">
        <v>960</v>
      </c>
      <c r="F134" s="13" t="str">
        <f t="shared" si="8"/>
        <v>insert into ins_premium_det (premium_rcv_code,assorted_code, rec_amount,premium_rcv_detail_code,remaining_amt, payrec, mode_code,coinsurance_code,class_cd,it_remarks) values</v>
      </c>
      <c r="G134" s="14" t="str">
        <f t="shared" si="10"/>
        <v>('15Nov240016','040000165857','4400',(select max(to_number(i.premium_rcv_detail_code))+1
from ins_premium_det i),'4400','4400','02', '11000003','00','Request by Mr. Saqib Saleem 15-Nov-2024');</v>
      </c>
      <c r="H134" s="15" t="str">
        <f t="shared" si="11"/>
        <v>insert into ins_premium_det (premium_rcv_code,assorted_code, rec_amount,premium_rcv_detail_code,remaining_amt, payrec, mode_code,coinsurance_code,class_cd,it_remarks) values('15Nov240016','040000165857','4400',(select max(to_number(i.premium_rcv_detail_code))+1
from ins_premium_det i),'4400','4400','02', '11000003','00','Request by Mr. Saqib Saleem 15-Nov-2024');</v>
      </c>
    </row>
    <row r="135" spans="1:8" ht="105" x14ac:dyDescent="0.25">
      <c r="A135" s="2" t="s">
        <v>311</v>
      </c>
      <c r="B135" s="11" t="str">
        <f>VLOOKUP(A135,policy!B:C,2,0)</f>
        <v>040000165858</v>
      </c>
      <c r="C135" s="4">
        <v>4400</v>
      </c>
      <c r="D135" s="12">
        <f t="shared" si="9"/>
        <v>4400</v>
      </c>
      <c r="E135" s="16" t="s">
        <v>960</v>
      </c>
      <c r="F135" s="13" t="str">
        <f t="shared" si="8"/>
        <v>insert into ins_premium_det (premium_rcv_code,assorted_code, rec_amount,premium_rcv_detail_code,remaining_amt, payrec, mode_code,coinsurance_code,class_cd,it_remarks) values</v>
      </c>
      <c r="G135" s="14" t="str">
        <f t="shared" si="10"/>
        <v>('15Nov240016','040000165858','4400',(select max(to_number(i.premium_rcv_detail_code))+1
from ins_premium_det i),'4400','4400','02', '11000003','00','Request by Mr. Saqib Saleem 15-Nov-2024');</v>
      </c>
      <c r="H135" s="15" t="str">
        <f t="shared" si="11"/>
        <v>insert into ins_premium_det (premium_rcv_code,assorted_code, rec_amount,premium_rcv_detail_code,remaining_amt, payrec, mode_code,coinsurance_code,class_cd,it_remarks) values('15Nov240016','040000165858','4400',(select max(to_number(i.premium_rcv_detail_code))+1
from ins_premium_det i),'4400','4400','02', '11000003','00','Request by Mr. Saqib Saleem 15-Nov-2024');</v>
      </c>
    </row>
    <row r="136" spans="1:8" ht="105" x14ac:dyDescent="0.25">
      <c r="A136" s="2" t="s">
        <v>313</v>
      </c>
      <c r="B136" s="11" t="str">
        <f>VLOOKUP(A136,policy!B:C,2,0)</f>
        <v>040000165859</v>
      </c>
      <c r="C136" s="4">
        <v>2719</v>
      </c>
      <c r="D136" s="12">
        <f t="shared" si="9"/>
        <v>2719</v>
      </c>
      <c r="E136" s="16" t="s">
        <v>960</v>
      </c>
      <c r="F136" s="13" t="str">
        <f t="shared" si="8"/>
        <v>insert into ins_premium_det (premium_rcv_code,assorted_code, rec_amount,premium_rcv_detail_code,remaining_amt, payrec, mode_code,coinsurance_code,class_cd,it_remarks) values</v>
      </c>
      <c r="G136" s="14" t="str">
        <f t="shared" si="10"/>
        <v>('15Nov240016','040000165859','2719',(select max(to_number(i.premium_rcv_detail_code))+1
from ins_premium_det i),'2719','2719','02', '11000003','00','Request by Mr. Saqib Saleem 15-Nov-2024');</v>
      </c>
      <c r="H136" s="15" t="str">
        <f t="shared" si="11"/>
        <v>insert into ins_premium_det (premium_rcv_code,assorted_code, rec_amount,premium_rcv_detail_code,remaining_amt, payrec, mode_code,coinsurance_code,class_cd,it_remarks) values('15Nov240016','040000165859','2719',(select max(to_number(i.premium_rcv_detail_code))+1
from ins_premium_det i),'2719','2719','02', '11000003','00','Request by Mr. Saqib Saleem 15-Nov-2024');</v>
      </c>
    </row>
    <row r="137" spans="1:8" ht="105" x14ac:dyDescent="0.25">
      <c r="A137" s="2" t="s">
        <v>315</v>
      </c>
      <c r="B137" s="11" t="str">
        <f>VLOOKUP(A137,policy!B:C,2,0)</f>
        <v>040000165861</v>
      </c>
      <c r="C137" s="4">
        <v>4400</v>
      </c>
      <c r="D137" s="12">
        <f t="shared" si="9"/>
        <v>4400</v>
      </c>
      <c r="E137" s="16" t="s">
        <v>960</v>
      </c>
      <c r="F137" s="13" t="str">
        <f t="shared" si="8"/>
        <v>insert into ins_premium_det (premium_rcv_code,assorted_code, rec_amount,premium_rcv_detail_code,remaining_amt, payrec, mode_code,coinsurance_code,class_cd,it_remarks) values</v>
      </c>
      <c r="G137" s="14" t="str">
        <f t="shared" si="10"/>
        <v>('15Nov240016','040000165861','4400',(select max(to_number(i.premium_rcv_detail_code))+1
from ins_premium_det i),'4400','4400','02', '11000003','00','Request by Mr. Saqib Saleem 15-Nov-2024');</v>
      </c>
      <c r="H137" s="15" t="str">
        <f t="shared" si="11"/>
        <v>insert into ins_premium_det (premium_rcv_code,assorted_code, rec_amount,premium_rcv_detail_code,remaining_amt, payrec, mode_code,coinsurance_code,class_cd,it_remarks) values('15Nov240016','040000165861','4400',(select max(to_number(i.premium_rcv_detail_code))+1
from ins_premium_det i),'4400','4400','02', '11000003','00','Request by Mr. Saqib Saleem 15-Nov-2024');</v>
      </c>
    </row>
    <row r="138" spans="1:8" ht="105" x14ac:dyDescent="0.25">
      <c r="A138" s="2" t="s">
        <v>316</v>
      </c>
      <c r="B138" s="11" t="str">
        <f>VLOOKUP(A138,policy!B:C,2,0)</f>
        <v>040000165864</v>
      </c>
      <c r="C138" s="4">
        <v>4400</v>
      </c>
      <c r="D138" s="12">
        <f t="shared" si="9"/>
        <v>4400</v>
      </c>
      <c r="E138" s="16" t="s">
        <v>960</v>
      </c>
      <c r="F138" s="13" t="str">
        <f t="shared" si="8"/>
        <v>insert into ins_premium_det (premium_rcv_code,assorted_code, rec_amount,premium_rcv_detail_code,remaining_amt, payrec, mode_code,coinsurance_code,class_cd,it_remarks) values</v>
      </c>
      <c r="G138" s="14" t="str">
        <f t="shared" si="10"/>
        <v>('15Nov240016','040000165864','4400',(select max(to_number(i.premium_rcv_detail_code))+1
from ins_premium_det i),'4400','4400','02', '11000003','00','Request by Mr. Saqib Saleem 15-Nov-2024');</v>
      </c>
      <c r="H138" s="15" t="str">
        <f t="shared" si="11"/>
        <v>insert into ins_premium_det (premium_rcv_code,assorted_code, rec_amount,premium_rcv_detail_code,remaining_amt, payrec, mode_code,coinsurance_code,class_cd,it_remarks) values('15Nov240016','040000165864','4400',(select max(to_number(i.premium_rcv_detail_code))+1
from ins_premium_det i),'4400','4400','02', '11000003','00','Request by Mr. Saqib Saleem 15-Nov-2024');</v>
      </c>
    </row>
    <row r="139" spans="1:8" ht="105" x14ac:dyDescent="0.25">
      <c r="A139" s="2" t="s">
        <v>318</v>
      </c>
      <c r="B139" s="11" t="str">
        <f>VLOOKUP(A139,policy!B:C,2,0)</f>
        <v>040000165865</v>
      </c>
      <c r="C139" s="4">
        <v>4400</v>
      </c>
      <c r="D139" s="12">
        <f t="shared" si="9"/>
        <v>4400</v>
      </c>
      <c r="E139" s="16" t="s">
        <v>960</v>
      </c>
      <c r="F139" s="13" t="str">
        <f t="shared" si="8"/>
        <v>insert into ins_premium_det (premium_rcv_code,assorted_code, rec_amount,premium_rcv_detail_code,remaining_amt, payrec, mode_code,coinsurance_code,class_cd,it_remarks) values</v>
      </c>
      <c r="G139" s="14" t="str">
        <f t="shared" si="10"/>
        <v>('15Nov240016','040000165865','4400',(select max(to_number(i.premium_rcv_detail_code))+1
from ins_premium_det i),'4400','4400','02', '11000003','00','Request by Mr. Saqib Saleem 15-Nov-2024');</v>
      </c>
      <c r="H139" s="15" t="str">
        <f t="shared" si="11"/>
        <v>insert into ins_premium_det (premium_rcv_code,assorted_code, rec_amount,premium_rcv_detail_code,remaining_amt, payrec, mode_code,coinsurance_code,class_cd,it_remarks) values('15Nov240016','040000165865','4400',(select max(to_number(i.premium_rcv_detail_code))+1
from ins_premium_det i),'4400','4400','02', '11000003','00','Request by Mr. Saqib Saleem 15-Nov-2024');</v>
      </c>
    </row>
    <row r="140" spans="1:8" ht="105" x14ac:dyDescent="0.25">
      <c r="A140" s="2" t="s">
        <v>322</v>
      </c>
      <c r="B140" s="11" t="str">
        <f>VLOOKUP(A140,policy!B:C,2,0)</f>
        <v>040000165873</v>
      </c>
      <c r="C140" s="4">
        <v>3025</v>
      </c>
      <c r="D140" s="12">
        <f t="shared" si="9"/>
        <v>3025</v>
      </c>
      <c r="E140" s="16" t="s">
        <v>960</v>
      </c>
      <c r="F140" s="13" t="str">
        <f t="shared" si="8"/>
        <v>insert into ins_premium_det (premium_rcv_code,assorted_code, rec_amount,premium_rcv_detail_code,remaining_amt, payrec, mode_code,coinsurance_code,class_cd,it_remarks) values</v>
      </c>
      <c r="G140" s="14" t="str">
        <f t="shared" si="10"/>
        <v>('15Nov240016','040000165873','3025',(select max(to_number(i.premium_rcv_detail_code))+1
from ins_premium_det i),'3025','3025','02', '11000003','00','Request by Mr. Saqib Saleem 15-Nov-2024');</v>
      </c>
      <c r="H140" s="15" t="str">
        <f t="shared" si="11"/>
        <v>insert into ins_premium_det (premium_rcv_code,assorted_code, rec_amount,premium_rcv_detail_code,remaining_amt, payrec, mode_code,coinsurance_code,class_cd,it_remarks) values('15Nov240016','040000165873','3025',(select max(to_number(i.premium_rcv_detail_code))+1
from ins_premium_det i),'3025','3025','02', '11000003','00','Request by Mr. Saqib Saleem 15-Nov-2024');</v>
      </c>
    </row>
    <row r="141" spans="1:8" ht="105" x14ac:dyDescent="0.25">
      <c r="A141" s="2" t="s">
        <v>324</v>
      </c>
      <c r="B141" s="11" t="str">
        <f>VLOOKUP(A141,policy!B:C,2,0)</f>
        <v>040000165881</v>
      </c>
      <c r="C141" s="4">
        <v>4400</v>
      </c>
      <c r="D141" s="12">
        <f t="shared" si="9"/>
        <v>4400</v>
      </c>
      <c r="E141" s="16" t="s">
        <v>960</v>
      </c>
      <c r="F141" s="13" t="str">
        <f t="shared" si="8"/>
        <v>insert into ins_premium_det (premium_rcv_code,assorted_code, rec_amount,premium_rcv_detail_code,remaining_amt, payrec, mode_code,coinsurance_code,class_cd,it_remarks) values</v>
      </c>
      <c r="G141" s="14" t="str">
        <f t="shared" si="10"/>
        <v>('15Nov240016','040000165881','4400',(select max(to_number(i.premium_rcv_detail_code))+1
from ins_premium_det i),'4400','4400','02', '11000003','00','Request by Mr. Saqib Saleem 15-Nov-2024');</v>
      </c>
      <c r="H141" s="15" t="str">
        <f t="shared" si="11"/>
        <v>insert into ins_premium_det (premium_rcv_code,assorted_code, rec_amount,premium_rcv_detail_code,remaining_amt, payrec, mode_code,coinsurance_code,class_cd,it_remarks) values('15Nov240016','040000165881','4400',(select max(to_number(i.premium_rcv_detail_code))+1
from ins_premium_det i),'4400','4400','02', '11000003','00','Request by Mr. Saqib Saleem 15-Nov-2024');</v>
      </c>
    </row>
    <row r="142" spans="1:8" ht="105" x14ac:dyDescent="0.25">
      <c r="A142" s="2" t="s">
        <v>325</v>
      </c>
      <c r="B142" s="11" t="str">
        <f>VLOOKUP(A142,policy!B:C,2,0)</f>
        <v>040000165882</v>
      </c>
      <c r="C142" s="4">
        <v>4400</v>
      </c>
      <c r="D142" s="12">
        <f t="shared" si="9"/>
        <v>4400</v>
      </c>
      <c r="E142" s="16" t="s">
        <v>960</v>
      </c>
      <c r="F142" s="13" t="str">
        <f t="shared" si="8"/>
        <v>insert into ins_premium_det (premium_rcv_code,assorted_code, rec_amount,premium_rcv_detail_code,remaining_amt, payrec, mode_code,coinsurance_code,class_cd,it_remarks) values</v>
      </c>
      <c r="G142" s="14" t="str">
        <f t="shared" si="10"/>
        <v>('15Nov240016','040000165882','4400',(select max(to_number(i.premium_rcv_detail_code))+1
from ins_premium_det i),'4400','4400','02', '11000003','00','Request by Mr. Saqib Saleem 15-Nov-2024');</v>
      </c>
      <c r="H142" s="15" t="str">
        <f t="shared" si="11"/>
        <v>insert into ins_premium_det (premium_rcv_code,assorted_code, rec_amount,premium_rcv_detail_code,remaining_amt, payrec, mode_code,coinsurance_code,class_cd,it_remarks) values('15Nov240016','040000165882','4400',(select max(to_number(i.premium_rcv_detail_code))+1
from ins_premium_det i),'4400','4400','02', '11000003','00','Request by Mr. Saqib Saleem 15-Nov-2024');</v>
      </c>
    </row>
    <row r="143" spans="1:8" ht="105" x14ac:dyDescent="0.25">
      <c r="A143" s="2" t="s">
        <v>326</v>
      </c>
      <c r="B143" s="11" t="str">
        <f>VLOOKUP(A143,policy!B:C,2,0)</f>
        <v>040000165885</v>
      </c>
      <c r="C143" s="4">
        <v>2839</v>
      </c>
      <c r="D143" s="12">
        <f t="shared" si="9"/>
        <v>2839</v>
      </c>
      <c r="E143" s="16" t="s">
        <v>960</v>
      </c>
      <c r="F143" s="13" t="str">
        <f t="shared" si="8"/>
        <v>insert into ins_premium_det (premium_rcv_code,assorted_code, rec_amount,premium_rcv_detail_code,remaining_amt, payrec, mode_code,coinsurance_code,class_cd,it_remarks) values</v>
      </c>
      <c r="G143" s="14" t="str">
        <f t="shared" si="10"/>
        <v>('15Nov240016','040000165885','2839',(select max(to_number(i.premium_rcv_detail_code))+1
from ins_premium_det i),'2839','2839','02', '11000003','00','Request by Mr. Saqib Saleem 15-Nov-2024');</v>
      </c>
      <c r="H143" s="15" t="str">
        <f t="shared" si="11"/>
        <v>insert into ins_premium_det (premium_rcv_code,assorted_code, rec_amount,premium_rcv_detail_code,remaining_amt, payrec, mode_code,coinsurance_code,class_cd,it_remarks) values('15Nov240016','040000165885','2839',(select max(to_number(i.premium_rcv_detail_code))+1
from ins_premium_det i),'2839','2839','02', '11000003','00','Request by Mr. Saqib Saleem 15-Nov-2024');</v>
      </c>
    </row>
    <row r="144" spans="1:8" ht="105" x14ac:dyDescent="0.25">
      <c r="A144" s="2" t="s">
        <v>327</v>
      </c>
      <c r="B144" s="11" t="str">
        <f>VLOOKUP(A144,policy!B:C,2,0)</f>
        <v>040000165886</v>
      </c>
      <c r="C144" s="4">
        <v>4400</v>
      </c>
      <c r="D144" s="12">
        <f t="shared" si="9"/>
        <v>4400</v>
      </c>
      <c r="E144" s="16" t="s">
        <v>960</v>
      </c>
      <c r="F144" s="13" t="str">
        <f t="shared" si="8"/>
        <v>insert into ins_premium_det (premium_rcv_code,assorted_code, rec_amount,premium_rcv_detail_code,remaining_amt, payrec, mode_code,coinsurance_code,class_cd,it_remarks) values</v>
      </c>
      <c r="G144" s="14" t="str">
        <f t="shared" si="10"/>
        <v>('15Nov240016','040000165886','4400',(select max(to_number(i.premium_rcv_detail_code))+1
from ins_premium_det i),'4400','4400','02', '11000003','00','Request by Mr. Saqib Saleem 15-Nov-2024');</v>
      </c>
      <c r="H144" s="15" t="str">
        <f t="shared" si="11"/>
        <v>insert into ins_premium_det (premium_rcv_code,assorted_code, rec_amount,premium_rcv_detail_code,remaining_amt, payrec, mode_code,coinsurance_code,class_cd,it_remarks) values('15Nov240016','040000165886','4400',(select max(to_number(i.premium_rcv_detail_code))+1
from ins_premium_det i),'4400','4400','02', '11000003','00','Request by Mr. Saqib Saleem 15-Nov-2024');</v>
      </c>
    </row>
    <row r="145" spans="1:8" ht="105" x14ac:dyDescent="0.25">
      <c r="A145" s="2" t="s">
        <v>328</v>
      </c>
      <c r="B145" s="11" t="str">
        <f>VLOOKUP(A145,policy!B:C,2,0)</f>
        <v>040000165891</v>
      </c>
      <c r="C145" s="4">
        <v>2719</v>
      </c>
      <c r="D145" s="12">
        <f t="shared" si="9"/>
        <v>2719</v>
      </c>
      <c r="E145" s="16" t="s">
        <v>960</v>
      </c>
      <c r="F145" s="13" t="str">
        <f t="shared" si="8"/>
        <v>insert into ins_premium_det (premium_rcv_code,assorted_code, rec_amount,premium_rcv_detail_code,remaining_amt, payrec, mode_code,coinsurance_code,class_cd,it_remarks) values</v>
      </c>
      <c r="G145" s="14" t="str">
        <f t="shared" si="10"/>
        <v>('15Nov240016','040000165891','2719',(select max(to_number(i.premium_rcv_detail_code))+1
from ins_premium_det i),'2719','2719','02', '11000003','00','Request by Mr. Saqib Saleem 15-Nov-2024');</v>
      </c>
      <c r="H145" s="15" t="str">
        <f t="shared" si="11"/>
        <v>insert into ins_premium_det (premium_rcv_code,assorted_code, rec_amount,premium_rcv_detail_code,remaining_amt, payrec, mode_code,coinsurance_code,class_cd,it_remarks) values('15Nov240016','040000165891','2719',(select max(to_number(i.premium_rcv_detail_code))+1
from ins_premium_det i),'2719','2719','02', '11000003','00','Request by Mr. Saqib Saleem 15-Nov-2024');</v>
      </c>
    </row>
    <row r="146" spans="1:8" ht="105" x14ac:dyDescent="0.25">
      <c r="A146" s="2" t="s">
        <v>329</v>
      </c>
      <c r="B146" s="11" t="str">
        <f>VLOOKUP(A146,policy!B:C,2,0)</f>
        <v>040000165892</v>
      </c>
      <c r="C146" s="4">
        <v>3025</v>
      </c>
      <c r="D146" s="12">
        <f t="shared" si="9"/>
        <v>3025</v>
      </c>
      <c r="E146" s="16" t="s">
        <v>960</v>
      </c>
      <c r="F146" s="13" t="str">
        <f t="shared" si="8"/>
        <v>insert into ins_premium_det (premium_rcv_code,assorted_code, rec_amount,premium_rcv_detail_code,remaining_amt, payrec, mode_code,coinsurance_code,class_cd,it_remarks) values</v>
      </c>
      <c r="G146" s="14" t="str">
        <f t="shared" si="10"/>
        <v>('15Nov240016','040000165892','3025',(select max(to_number(i.premium_rcv_detail_code))+1
from ins_premium_det i),'3025','3025','02', '11000003','00','Request by Mr. Saqib Saleem 15-Nov-2024');</v>
      </c>
      <c r="H146" s="15" t="str">
        <f t="shared" si="11"/>
        <v>insert into ins_premium_det (premium_rcv_code,assorted_code, rec_amount,premium_rcv_detail_code,remaining_amt, payrec, mode_code,coinsurance_code,class_cd,it_remarks) values('15Nov240016','040000165892','3025',(select max(to_number(i.premium_rcv_detail_code))+1
from ins_premium_det i),'3025','3025','02', '11000003','00','Request by Mr. Saqib Saleem 15-Nov-2024');</v>
      </c>
    </row>
    <row r="147" spans="1:8" ht="105" x14ac:dyDescent="0.25">
      <c r="A147" s="2" t="s">
        <v>331</v>
      </c>
      <c r="B147" s="11" t="str">
        <f>VLOOKUP(A147,policy!B:C,2,0)</f>
        <v>040000165895</v>
      </c>
      <c r="C147" s="4">
        <v>5999</v>
      </c>
      <c r="D147" s="12">
        <f t="shared" si="9"/>
        <v>5999</v>
      </c>
      <c r="E147" s="16" t="s">
        <v>960</v>
      </c>
      <c r="F147" s="13" t="str">
        <f t="shared" si="8"/>
        <v>insert into ins_premium_det (premium_rcv_code,assorted_code, rec_amount,premium_rcv_detail_code,remaining_amt, payrec, mode_code,coinsurance_code,class_cd,it_remarks) values</v>
      </c>
      <c r="G147" s="14" t="str">
        <f t="shared" si="10"/>
        <v>('15Nov240016','040000165895','5999',(select max(to_number(i.premium_rcv_detail_code))+1
from ins_premium_det i),'5999','5999','02', '11000003','00','Request by Mr. Saqib Saleem 15-Nov-2024');</v>
      </c>
      <c r="H147" s="15" t="str">
        <f t="shared" si="11"/>
        <v>insert into ins_premium_det (premium_rcv_code,assorted_code, rec_amount,premium_rcv_detail_code,remaining_amt, payrec, mode_code,coinsurance_code,class_cd,it_remarks) values('15Nov240016','040000165895','5999',(select max(to_number(i.premium_rcv_detail_code))+1
from ins_premium_det i),'5999','5999','02', '11000003','00','Request by Mr. Saqib Saleem 15-Nov-2024');</v>
      </c>
    </row>
    <row r="148" spans="1:8" ht="105" x14ac:dyDescent="0.25">
      <c r="A148" s="2" t="s">
        <v>333</v>
      </c>
      <c r="B148" s="11" t="str">
        <f>VLOOKUP(A148,policy!B:C,2,0)</f>
        <v>040000165900</v>
      </c>
      <c r="C148" s="4">
        <v>4400</v>
      </c>
      <c r="D148" s="12">
        <f t="shared" si="9"/>
        <v>4400</v>
      </c>
      <c r="E148" s="16" t="s">
        <v>960</v>
      </c>
      <c r="F148" s="13" t="str">
        <f t="shared" si="8"/>
        <v>insert into ins_premium_det (premium_rcv_code,assorted_code, rec_amount,premium_rcv_detail_code,remaining_amt, payrec, mode_code,coinsurance_code,class_cd,it_remarks) values</v>
      </c>
      <c r="G148" s="14" t="str">
        <f t="shared" si="10"/>
        <v>('15Nov240016','040000165900','4400',(select max(to_number(i.premium_rcv_detail_code))+1
from ins_premium_det i),'4400','4400','02', '11000003','00','Request by Mr. Saqib Saleem 15-Nov-2024');</v>
      </c>
      <c r="H148" s="15" t="str">
        <f t="shared" si="11"/>
        <v>insert into ins_premium_det (premium_rcv_code,assorted_code, rec_amount,premium_rcv_detail_code,remaining_amt, payrec, mode_code,coinsurance_code,class_cd,it_remarks) values('15Nov240016','040000165900','4400',(select max(to_number(i.premium_rcv_detail_code))+1
from ins_premium_det i),'4400','4400','02', '11000003','00','Request by Mr. Saqib Saleem 15-Nov-2024');</v>
      </c>
    </row>
    <row r="149" spans="1:8" ht="105" x14ac:dyDescent="0.25">
      <c r="A149" s="2" t="s">
        <v>334</v>
      </c>
      <c r="B149" s="11" t="str">
        <f>VLOOKUP(A149,policy!B:C,2,0)</f>
        <v>040000165902</v>
      </c>
      <c r="C149" s="4">
        <v>3040</v>
      </c>
      <c r="D149" s="12">
        <f t="shared" si="9"/>
        <v>3040</v>
      </c>
      <c r="E149" s="16" t="s">
        <v>960</v>
      </c>
      <c r="F149" s="13" t="str">
        <f t="shared" si="8"/>
        <v>insert into ins_premium_det (premium_rcv_code,assorted_code, rec_amount,premium_rcv_detail_code,remaining_amt, payrec, mode_code,coinsurance_code,class_cd,it_remarks) values</v>
      </c>
      <c r="G149" s="14" t="str">
        <f t="shared" si="10"/>
        <v>('15Nov240016','040000165902','3040',(select max(to_number(i.premium_rcv_detail_code))+1
from ins_premium_det i),'3040','3040','02', '11000003','00','Request by Mr. Saqib Saleem 15-Nov-2024');</v>
      </c>
      <c r="H149" s="15" t="str">
        <f t="shared" si="11"/>
        <v>insert into ins_premium_det (premium_rcv_code,assorted_code, rec_amount,premium_rcv_detail_code,remaining_amt, payrec, mode_code,coinsurance_code,class_cd,it_remarks) values('15Nov240016','040000165902','3040',(select max(to_number(i.premium_rcv_detail_code))+1
from ins_premium_det i),'3040','3040','02', '11000003','00','Request by Mr. Saqib Saleem 15-Nov-2024');</v>
      </c>
    </row>
    <row r="150" spans="1:8" ht="105" x14ac:dyDescent="0.25">
      <c r="A150" s="2" t="s">
        <v>335</v>
      </c>
      <c r="B150" s="11" t="str">
        <f>VLOOKUP(A150,policy!B:C,2,0)</f>
        <v>040000165904</v>
      </c>
      <c r="C150" s="4">
        <v>4400</v>
      </c>
      <c r="D150" s="12">
        <f t="shared" si="9"/>
        <v>4400</v>
      </c>
      <c r="E150" s="16" t="s">
        <v>960</v>
      </c>
      <c r="F150" s="13" t="str">
        <f t="shared" si="8"/>
        <v>insert into ins_premium_det (premium_rcv_code,assorted_code, rec_amount,premium_rcv_detail_code,remaining_amt, payrec, mode_code,coinsurance_code,class_cd,it_remarks) values</v>
      </c>
      <c r="G150" s="14" t="str">
        <f t="shared" si="10"/>
        <v>('15Nov240016','040000165904','4400',(select max(to_number(i.premium_rcv_detail_code))+1
from ins_premium_det i),'4400','4400','02', '11000003','00','Request by Mr. Saqib Saleem 15-Nov-2024');</v>
      </c>
      <c r="H150" s="15" t="str">
        <f t="shared" si="11"/>
        <v>insert into ins_premium_det (premium_rcv_code,assorted_code, rec_amount,premium_rcv_detail_code,remaining_amt, payrec, mode_code,coinsurance_code,class_cd,it_remarks) values('15Nov240016','040000165904','4400',(select max(to_number(i.premium_rcv_detail_code))+1
from ins_premium_det i),'4400','4400','02', '11000003','00','Request by Mr. Saqib Saleem 15-Nov-2024');</v>
      </c>
    </row>
    <row r="151" spans="1:8" ht="105" x14ac:dyDescent="0.25">
      <c r="A151" s="2" t="s">
        <v>336</v>
      </c>
      <c r="B151" s="11" t="str">
        <f>VLOOKUP(A151,policy!B:C,2,0)</f>
        <v>040000165906</v>
      </c>
      <c r="C151" s="4">
        <v>4400</v>
      </c>
      <c r="D151" s="12">
        <f t="shared" si="9"/>
        <v>4400</v>
      </c>
      <c r="E151" s="16" t="s">
        <v>960</v>
      </c>
      <c r="F151" s="13" t="str">
        <f t="shared" si="8"/>
        <v>insert into ins_premium_det (premium_rcv_code,assorted_code, rec_amount,premium_rcv_detail_code,remaining_amt, payrec, mode_code,coinsurance_code,class_cd,it_remarks) values</v>
      </c>
      <c r="G151" s="14" t="str">
        <f t="shared" si="10"/>
        <v>('15Nov240016','040000165906','4400',(select max(to_number(i.premium_rcv_detail_code))+1
from ins_premium_det i),'4400','4400','02', '11000003','00','Request by Mr. Saqib Saleem 15-Nov-2024');</v>
      </c>
      <c r="H151" s="15" t="str">
        <f t="shared" si="11"/>
        <v>insert into ins_premium_det (premium_rcv_code,assorted_code, rec_amount,premium_rcv_detail_code,remaining_amt, payrec, mode_code,coinsurance_code,class_cd,it_remarks) values('15Nov240016','040000165906','4400',(select max(to_number(i.premium_rcv_detail_code))+1
from ins_premium_det i),'4400','4400','02', '11000003','00','Request by Mr. Saqib Saleem 15-Nov-2024');</v>
      </c>
    </row>
    <row r="152" spans="1:8" ht="105" x14ac:dyDescent="0.25">
      <c r="A152" s="2" t="s">
        <v>337</v>
      </c>
      <c r="B152" s="11" t="str">
        <f>VLOOKUP(A152,policy!B:C,2,0)</f>
        <v>040000165908</v>
      </c>
      <c r="C152" s="4">
        <v>3025</v>
      </c>
      <c r="D152" s="12">
        <f t="shared" si="9"/>
        <v>3025</v>
      </c>
      <c r="E152" s="16" t="s">
        <v>960</v>
      </c>
      <c r="F152" s="13" t="str">
        <f t="shared" si="8"/>
        <v>insert into ins_premium_det (premium_rcv_code,assorted_code, rec_amount,premium_rcv_detail_code,remaining_amt, payrec, mode_code,coinsurance_code,class_cd,it_remarks) values</v>
      </c>
      <c r="G152" s="14" t="str">
        <f t="shared" si="10"/>
        <v>('15Nov240016','040000165908','3025',(select max(to_number(i.premium_rcv_detail_code))+1
from ins_premium_det i),'3025','3025','02', '11000003','00','Request by Mr. Saqib Saleem 15-Nov-2024');</v>
      </c>
      <c r="H152" s="15" t="str">
        <f t="shared" si="11"/>
        <v>insert into ins_premium_det (premium_rcv_code,assorted_code, rec_amount,premium_rcv_detail_code,remaining_amt, payrec, mode_code,coinsurance_code,class_cd,it_remarks) values('15Nov240016','040000165908','3025',(select max(to_number(i.premium_rcv_detail_code))+1
from ins_premium_det i),'3025','3025','02', '11000003','00','Request by Mr. Saqib Saleem 15-Nov-2024');</v>
      </c>
    </row>
    <row r="153" spans="1:8" ht="105" x14ac:dyDescent="0.25">
      <c r="A153" s="2" t="s">
        <v>339</v>
      </c>
      <c r="B153" s="11" t="str">
        <f>VLOOKUP(A153,policy!B:C,2,0)</f>
        <v>040000165926</v>
      </c>
      <c r="C153" s="4">
        <v>2719</v>
      </c>
      <c r="D153" s="12">
        <f t="shared" si="9"/>
        <v>2719</v>
      </c>
      <c r="E153" s="16" t="s">
        <v>960</v>
      </c>
      <c r="F153" s="13" t="str">
        <f t="shared" si="8"/>
        <v>insert into ins_premium_det (premium_rcv_code,assorted_code, rec_amount,premium_rcv_detail_code,remaining_amt, payrec, mode_code,coinsurance_code,class_cd,it_remarks) values</v>
      </c>
      <c r="G153" s="14" t="str">
        <f t="shared" si="10"/>
        <v>('15Nov240016','040000165926','2719',(select max(to_number(i.premium_rcv_detail_code))+1
from ins_premium_det i),'2719','2719','02', '11000003','00','Request by Mr. Saqib Saleem 15-Nov-2024');</v>
      </c>
      <c r="H153" s="15" t="str">
        <f t="shared" si="11"/>
        <v>insert into ins_premium_det (premium_rcv_code,assorted_code, rec_amount,premium_rcv_detail_code,remaining_amt, payrec, mode_code,coinsurance_code,class_cd,it_remarks) values('15Nov240016','040000165926','2719',(select max(to_number(i.premium_rcv_detail_code))+1
from ins_premium_det i),'2719','2719','02', '11000003','00','Request by Mr. Saqib Saleem 15-Nov-2024');</v>
      </c>
    </row>
    <row r="154" spans="1:8" ht="105" x14ac:dyDescent="0.25">
      <c r="A154" s="2" t="s">
        <v>341</v>
      </c>
      <c r="B154" s="11" t="str">
        <f>VLOOKUP(A154,policy!B:C,2,0)</f>
        <v>040000165928</v>
      </c>
      <c r="C154" s="4">
        <v>3025</v>
      </c>
      <c r="D154" s="12">
        <f t="shared" si="9"/>
        <v>3025</v>
      </c>
      <c r="E154" s="16" t="s">
        <v>960</v>
      </c>
      <c r="F154" s="13" t="str">
        <f t="shared" si="8"/>
        <v>insert into ins_premium_det (premium_rcv_code,assorted_code, rec_amount,premium_rcv_detail_code,remaining_amt, payrec, mode_code,coinsurance_code,class_cd,it_remarks) values</v>
      </c>
      <c r="G154" s="14" t="str">
        <f t="shared" si="10"/>
        <v>('15Nov240016','040000165928','3025',(select max(to_number(i.premium_rcv_detail_code))+1
from ins_premium_det i),'3025','3025','02', '11000003','00','Request by Mr. Saqib Saleem 15-Nov-2024');</v>
      </c>
      <c r="H154" s="15" t="str">
        <f t="shared" si="11"/>
        <v>insert into ins_premium_det (premium_rcv_code,assorted_code, rec_amount,premium_rcv_detail_code,remaining_amt, payrec, mode_code,coinsurance_code,class_cd,it_remarks) values('15Nov240016','040000165928','3025',(select max(to_number(i.premium_rcv_detail_code))+1
from ins_premium_det i),'3025','3025','02', '11000003','00','Request by Mr. Saqib Saleem 15-Nov-2024');</v>
      </c>
    </row>
    <row r="155" spans="1:8" ht="105" x14ac:dyDescent="0.25">
      <c r="A155" s="2" t="s">
        <v>342</v>
      </c>
      <c r="B155" s="11" t="str">
        <f>VLOOKUP(A155,policy!B:C,2,0)</f>
        <v>040000165930</v>
      </c>
      <c r="C155" s="4">
        <v>22560</v>
      </c>
      <c r="D155" s="12">
        <f t="shared" si="9"/>
        <v>22560</v>
      </c>
      <c r="E155" s="16" t="s">
        <v>960</v>
      </c>
      <c r="F155" s="13" t="str">
        <f t="shared" si="8"/>
        <v>insert into ins_premium_det (premium_rcv_code,assorted_code, rec_amount,premium_rcv_detail_code,remaining_amt, payrec, mode_code,coinsurance_code,class_cd,it_remarks) values</v>
      </c>
      <c r="G155" s="14" t="str">
        <f t="shared" si="10"/>
        <v>('15Nov240016','040000165930','22560',(select max(to_number(i.premium_rcv_detail_code))+1
from ins_premium_det i),'22560','22560','02', '11000003','00','Request by Mr. Saqib Saleem 15-Nov-2024');</v>
      </c>
      <c r="H155" s="15" t="str">
        <f t="shared" si="11"/>
        <v>insert into ins_premium_det (premium_rcv_code,assorted_code, rec_amount,premium_rcv_detail_code,remaining_amt, payrec, mode_code,coinsurance_code,class_cd,it_remarks) values('15Nov240016','040000165930','22560',(select max(to_number(i.premium_rcv_detail_code))+1
from ins_premium_det i),'22560','22560','02', '11000003','00','Request by Mr. Saqib Saleem 15-Nov-2024');</v>
      </c>
    </row>
    <row r="156" spans="1:8" ht="105" x14ac:dyDescent="0.25">
      <c r="A156" s="2" t="s">
        <v>344</v>
      </c>
      <c r="B156" s="11" t="str">
        <f>VLOOKUP(A156,policy!B:C,2,0)</f>
        <v>040000165931</v>
      </c>
      <c r="C156" s="4">
        <v>5999</v>
      </c>
      <c r="D156" s="12">
        <f t="shared" si="9"/>
        <v>5999</v>
      </c>
      <c r="E156" s="16" t="s">
        <v>960</v>
      </c>
      <c r="F156" s="13" t="str">
        <f t="shared" si="8"/>
        <v>insert into ins_premium_det (premium_rcv_code,assorted_code, rec_amount,premium_rcv_detail_code,remaining_amt, payrec, mode_code,coinsurance_code,class_cd,it_remarks) values</v>
      </c>
      <c r="G156" s="14" t="str">
        <f t="shared" si="10"/>
        <v>('15Nov240016','040000165931','5999',(select max(to_number(i.premium_rcv_detail_code))+1
from ins_premium_det i),'5999','5999','02', '11000003','00','Request by Mr. Saqib Saleem 15-Nov-2024');</v>
      </c>
      <c r="H156" s="15" t="str">
        <f t="shared" si="11"/>
        <v>insert into ins_premium_det (premium_rcv_code,assorted_code, rec_amount,premium_rcv_detail_code,remaining_amt, payrec, mode_code,coinsurance_code,class_cd,it_remarks) values('15Nov240016','040000165931','5999',(select max(to_number(i.premium_rcv_detail_code))+1
from ins_premium_det i),'5999','5999','02', '11000003','00','Request by Mr. Saqib Saleem 15-Nov-2024');</v>
      </c>
    </row>
    <row r="157" spans="1:8" ht="105" x14ac:dyDescent="0.25">
      <c r="A157" s="2" t="s">
        <v>345</v>
      </c>
      <c r="B157" s="11" t="str">
        <f>VLOOKUP(A157,policy!B:C,2,0)</f>
        <v>040000165933</v>
      </c>
      <c r="C157" s="4">
        <v>2719</v>
      </c>
      <c r="D157" s="12">
        <f t="shared" si="9"/>
        <v>2719</v>
      </c>
      <c r="E157" s="16" t="s">
        <v>960</v>
      </c>
      <c r="F157" s="13" t="str">
        <f t="shared" si="8"/>
        <v>insert into ins_premium_det (premium_rcv_code,assorted_code, rec_amount,premium_rcv_detail_code,remaining_amt, payrec, mode_code,coinsurance_code,class_cd,it_remarks) values</v>
      </c>
      <c r="G157" s="14" t="str">
        <f t="shared" si="10"/>
        <v>('15Nov240016','040000165933','2719',(select max(to_number(i.premium_rcv_detail_code))+1
from ins_premium_det i),'2719','2719','02', '11000003','00','Request by Mr. Saqib Saleem 15-Nov-2024');</v>
      </c>
      <c r="H157" s="15" t="str">
        <f t="shared" si="11"/>
        <v>insert into ins_premium_det (premium_rcv_code,assorted_code, rec_amount,premium_rcv_detail_code,remaining_amt, payrec, mode_code,coinsurance_code,class_cd,it_remarks) values('15Nov240016','040000165933','2719',(select max(to_number(i.premium_rcv_detail_code))+1
from ins_premium_det i),'2719','2719','02', '11000003','00','Request by Mr. Saqib Saleem 15-Nov-2024');</v>
      </c>
    </row>
    <row r="158" spans="1:8" ht="105" x14ac:dyDescent="0.25">
      <c r="A158" s="2" t="s">
        <v>347</v>
      </c>
      <c r="B158" s="11" t="str">
        <f>VLOOKUP(A158,policy!B:C,2,0)</f>
        <v>040000165949</v>
      </c>
      <c r="C158" s="4">
        <v>16215</v>
      </c>
      <c r="D158" s="12">
        <f t="shared" si="9"/>
        <v>16215</v>
      </c>
      <c r="E158" s="16" t="s">
        <v>960</v>
      </c>
      <c r="F158" s="13" t="str">
        <f t="shared" si="8"/>
        <v>insert into ins_premium_det (premium_rcv_code,assorted_code, rec_amount,premium_rcv_detail_code,remaining_amt, payrec, mode_code,coinsurance_code,class_cd,it_remarks) values</v>
      </c>
      <c r="G158" s="14" t="str">
        <f t="shared" si="10"/>
        <v>('15Nov240016','040000165949','16215',(select max(to_number(i.premium_rcv_detail_code))+1
from ins_premium_det i),'16215','16215','02', '11000003','00','Request by Mr. Saqib Saleem 15-Nov-2024');</v>
      </c>
      <c r="H158" s="15" t="str">
        <f t="shared" si="11"/>
        <v>insert into ins_premium_det (premium_rcv_code,assorted_code, rec_amount,premium_rcv_detail_code,remaining_amt, payrec, mode_code,coinsurance_code,class_cd,it_remarks) values('15Nov240016','040000165949','16215',(select max(to_number(i.premium_rcv_detail_code))+1
from ins_premium_det i),'16215','16215','02', '11000003','00','Request by Mr. Saqib Saleem 15-Nov-2024');</v>
      </c>
    </row>
    <row r="159" spans="1:8" ht="105" x14ac:dyDescent="0.25">
      <c r="A159" s="2" t="s">
        <v>348</v>
      </c>
      <c r="B159" s="11" t="str">
        <f>VLOOKUP(A159,policy!B:C,2,0)</f>
        <v>040000165950</v>
      </c>
      <c r="C159" s="4">
        <v>2719</v>
      </c>
      <c r="D159" s="12">
        <f t="shared" si="9"/>
        <v>2719</v>
      </c>
      <c r="E159" s="16" t="s">
        <v>960</v>
      </c>
      <c r="F159" s="13" t="str">
        <f t="shared" si="8"/>
        <v>insert into ins_premium_det (premium_rcv_code,assorted_code, rec_amount,premium_rcv_detail_code,remaining_amt, payrec, mode_code,coinsurance_code,class_cd,it_remarks) values</v>
      </c>
      <c r="G159" s="14" t="str">
        <f t="shared" si="10"/>
        <v>('15Nov240016','040000165950','2719',(select max(to_number(i.premium_rcv_detail_code))+1
from ins_premium_det i),'2719','2719','02', '11000003','00','Request by Mr. Saqib Saleem 15-Nov-2024');</v>
      </c>
      <c r="H159" s="15" t="str">
        <f t="shared" si="11"/>
        <v>insert into ins_premium_det (premium_rcv_code,assorted_code, rec_amount,premium_rcv_detail_code,remaining_amt, payrec, mode_code,coinsurance_code,class_cd,it_remarks) values('15Nov240016','040000165950','2719',(select max(to_number(i.premium_rcv_detail_code))+1
from ins_premium_det i),'2719','2719','02', '11000003','00','Request by Mr. Saqib Saleem 15-Nov-2024');</v>
      </c>
    </row>
    <row r="160" spans="1:8" ht="105" x14ac:dyDescent="0.25">
      <c r="A160" s="2" t="s">
        <v>350</v>
      </c>
      <c r="B160" s="11" t="str">
        <f>VLOOKUP(A160,policy!B:C,2,0)</f>
        <v>040000165951</v>
      </c>
      <c r="C160" s="4">
        <v>22560</v>
      </c>
      <c r="D160" s="12">
        <f t="shared" si="9"/>
        <v>22560</v>
      </c>
      <c r="E160" s="16" t="s">
        <v>960</v>
      </c>
      <c r="F160" s="13" t="str">
        <f t="shared" si="8"/>
        <v>insert into ins_premium_det (premium_rcv_code,assorted_code, rec_amount,premium_rcv_detail_code,remaining_amt, payrec, mode_code,coinsurance_code,class_cd,it_remarks) values</v>
      </c>
      <c r="G160" s="14" t="str">
        <f t="shared" si="10"/>
        <v>('15Nov240016','040000165951','22560',(select max(to_number(i.premium_rcv_detail_code))+1
from ins_premium_det i),'22560','22560','02', '11000003','00','Request by Mr. Saqib Saleem 15-Nov-2024');</v>
      </c>
      <c r="H160" s="15" t="str">
        <f t="shared" si="11"/>
        <v>insert into ins_premium_det (premium_rcv_code,assorted_code, rec_amount,premium_rcv_detail_code,remaining_amt, payrec, mode_code,coinsurance_code,class_cd,it_remarks) values('15Nov240016','040000165951','22560',(select max(to_number(i.premium_rcv_detail_code))+1
from ins_premium_det i),'22560','22560','02', '11000003','00','Request by Mr. Saqib Saleem 15-Nov-2024');</v>
      </c>
    </row>
    <row r="161" spans="1:8" ht="105" x14ac:dyDescent="0.25">
      <c r="A161" s="2" t="s">
        <v>352</v>
      </c>
      <c r="B161" s="11" t="str">
        <f>VLOOKUP(A161,policy!B:C,2,0)</f>
        <v>040000165955</v>
      </c>
      <c r="C161" s="4">
        <v>2719</v>
      </c>
      <c r="D161" s="12">
        <f t="shared" si="9"/>
        <v>2719</v>
      </c>
      <c r="E161" s="16" t="s">
        <v>960</v>
      </c>
      <c r="F161" s="13" t="str">
        <f t="shared" si="8"/>
        <v>insert into ins_premium_det (premium_rcv_code,assorted_code, rec_amount,premium_rcv_detail_code,remaining_amt, payrec, mode_code,coinsurance_code,class_cd,it_remarks) values</v>
      </c>
      <c r="G161" s="14" t="str">
        <f t="shared" si="10"/>
        <v>('15Nov240016','040000165955','2719',(select max(to_number(i.premium_rcv_detail_code))+1
from ins_premium_det i),'2719','2719','02', '11000003','00','Request by Mr. Saqib Saleem 15-Nov-2024');</v>
      </c>
      <c r="H161" s="15" t="str">
        <f t="shared" si="11"/>
        <v>insert into ins_premium_det (premium_rcv_code,assorted_code, rec_amount,premium_rcv_detail_code,remaining_amt, payrec, mode_code,coinsurance_code,class_cd,it_remarks) values('15Nov240016','040000165955','2719',(select max(to_number(i.premium_rcv_detail_code))+1
from ins_premium_det i),'2719','2719','02', '11000003','00','Request by Mr. Saqib Saleem 15-Nov-2024');</v>
      </c>
    </row>
    <row r="162" spans="1:8" ht="105" x14ac:dyDescent="0.25">
      <c r="A162" s="2" t="s">
        <v>354</v>
      </c>
      <c r="B162" s="11" t="str">
        <f>VLOOKUP(A162,policy!B:C,2,0)</f>
        <v>040000165956</v>
      </c>
      <c r="C162" s="4">
        <v>2719</v>
      </c>
      <c r="D162" s="12">
        <f t="shared" si="9"/>
        <v>2719</v>
      </c>
      <c r="E162" s="16" t="s">
        <v>960</v>
      </c>
      <c r="F162" s="13" t="str">
        <f t="shared" si="8"/>
        <v>insert into ins_premium_det (premium_rcv_code,assorted_code, rec_amount,premium_rcv_detail_code,remaining_amt, payrec, mode_code,coinsurance_code,class_cd,it_remarks) values</v>
      </c>
      <c r="G162" s="14" t="str">
        <f t="shared" si="10"/>
        <v>('15Nov240016','040000165956','2719',(select max(to_number(i.premium_rcv_detail_code))+1
from ins_premium_det i),'2719','2719','02', '11000003','00','Request by Mr. Saqib Saleem 15-Nov-2024');</v>
      </c>
      <c r="H162" s="15" t="str">
        <f t="shared" si="11"/>
        <v>insert into ins_premium_det (premium_rcv_code,assorted_code, rec_amount,premium_rcv_detail_code,remaining_amt, payrec, mode_code,coinsurance_code,class_cd,it_remarks) values('15Nov240016','040000165956','2719',(select max(to_number(i.premium_rcv_detail_code))+1
from ins_premium_det i),'2719','2719','02', '11000003','00','Request by Mr. Saqib Saleem 15-Nov-2024');</v>
      </c>
    </row>
    <row r="163" spans="1:8" ht="105" x14ac:dyDescent="0.25">
      <c r="A163" s="2" t="s">
        <v>356</v>
      </c>
      <c r="B163" s="11" t="str">
        <f>VLOOKUP(A163,policy!B:C,2,0)</f>
        <v>040000165959</v>
      </c>
      <c r="C163" s="4">
        <v>4400</v>
      </c>
      <c r="D163" s="12">
        <f t="shared" si="9"/>
        <v>4400</v>
      </c>
      <c r="E163" s="16" t="s">
        <v>960</v>
      </c>
      <c r="F163" s="13" t="str">
        <f t="shared" si="8"/>
        <v>insert into ins_premium_det (premium_rcv_code,assorted_code, rec_amount,premium_rcv_detail_code,remaining_amt, payrec, mode_code,coinsurance_code,class_cd,it_remarks) values</v>
      </c>
      <c r="G163" s="14" t="str">
        <f t="shared" si="10"/>
        <v>('15Nov240016','040000165959','4400',(select max(to_number(i.premium_rcv_detail_code))+1
from ins_premium_det i),'4400','4400','02', '11000003','00','Request by Mr. Saqib Saleem 15-Nov-2024');</v>
      </c>
      <c r="H163" s="15" t="str">
        <f t="shared" si="11"/>
        <v>insert into ins_premium_det (premium_rcv_code,assorted_code, rec_amount,premium_rcv_detail_code,remaining_amt, payrec, mode_code,coinsurance_code,class_cd,it_remarks) values('15Nov240016','040000165959','4400',(select max(to_number(i.premium_rcv_detail_code))+1
from ins_premium_det i),'4400','4400','02', '11000003','00','Request by Mr. Saqib Saleem 15-Nov-2024');</v>
      </c>
    </row>
    <row r="164" spans="1:8" ht="105" x14ac:dyDescent="0.25">
      <c r="A164" s="2" t="s">
        <v>359</v>
      </c>
      <c r="B164" s="11" t="str">
        <f>VLOOKUP(A164,policy!B:C,2,0)</f>
        <v>040000165967</v>
      </c>
      <c r="C164" s="4">
        <v>22560</v>
      </c>
      <c r="D164" s="12">
        <f t="shared" si="9"/>
        <v>22560</v>
      </c>
      <c r="E164" s="16" t="s">
        <v>960</v>
      </c>
      <c r="F164" s="13" t="str">
        <f t="shared" si="8"/>
        <v>insert into ins_premium_det (premium_rcv_code,assorted_code, rec_amount,premium_rcv_detail_code,remaining_amt, payrec, mode_code,coinsurance_code,class_cd,it_remarks) values</v>
      </c>
      <c r="G164" s="14" t="str">
        <f t="shared" si="10"/>
        <v>('15Nov240016','040000165967','22560',(select max(to_number(i.premium_rcv_detail_code))+1
from ins_premium_det i),'22560','22560','02', '11000003','00','Request by Mr. Saqib Saleem 15-Nov-2024');</v>
      </c>
      <c r="H164" s="15" t="str">
        <f t="shared" si="11"/>
        <v>insert into ins_premium_det (premium_rcv_code,assorted_code, rec_amount,premium_rcv_detail_code,remaining_amt, payrec, mode_code,coinsurance_code,class_cd,it_remarks) values('15Nov240016','040000165967','22560',(select max(to_number(i.premium_rcv_detail_code))+1
from ins_premium_det i),'22560','22560','02', '11000003','00','Request by Mr. Saqib Saleem 15-Nov-2024');</v>
      </c>
    </row>
    <row r="165" spans="1:8" ht="105" x14ac:dyDescent="0.25">
      <c r="A165" s="2" t="s">
        <v>360</v>
      </c>
      <c r="B165" s="11" t="str">
        <f>VLOOKUP(A165,policy!B:C,2,0)</f>
        <v>040000165968</v>
      </c>
      <c r="C165" s="4">
        <v>4400</v>
      </c>
      <c r="D165" s="12">
        <f t="shared" si="9"/>
        <v>4400</v>
      </c>
      <c r="E165" s="16" t="s">
        <v>960</v>
      </c>
      <c r="F165" s="13" t="str">
        <f t="shared" si="8"/>
        <v>insert into ins_premium_det (premium_rcv_code,assorted_code, rec_amount,premium_rcv_detail_code,remaining_amt, payrec, mode_code,coinsurance_code,class_cd,it_remarks) values</v>
      </c>
      <c r="G165" s="14" t="str">
        <f t="shared" si="10"/>
        <v>('15Nov240016','040000165968','4400',(select max(to_number(i.premium_rcv_detail_code))+1
from ins_premium_det i),'4400','4400','02', '11000003','00','Request by Mr. Saqib Saleem 15-Nov-2024');</v>
      </c>
      <c r="H165" s="15" t="str">
        <f t="shared" si="11"/>
        <v>insert into ins_premium_det (premium_rcv_code,assorted_code, rec_amount,premium_rcv_detail_code,remaining_amt, payrec, mode_code,coinsurance_code,class_cd,it_remarks) values('15Nov240016','040000165968','4400',(select max(to_number(i.premium_rcv_detail_code))+1
from ins_premium_det i),'4400','4400','02', '11000003','00','Request by Mr. Saqib Saleem 15-Nov-2024');</v>
      </c>
    </row>
    <row r="166" spans="1:8" ht="105" x14ac:dyDescent="0.25">
      <c r="A166" s="2" t="s">
        <v>362</v>
      </c>
      <c r="B166" s="11" t="str">
        <f>VLOOKUP(A166,policy!B:C,2,0)</f>
        <v>040000165971</v>
      </c>
      <c r="C166" s="4">
        <v>2719</v>
      </c>
      <c r="D166" s="12">
        <f t="shared" si="9"/>
        <v>2719</v>
      </c>
      <c r="E166" s="16" t="s">
        <v>960</v>
      </c>
      <c r="F166" s="13" t="str">
        <f t="shared" si="8"/>
        <v>insert into ins_premium_det (premium_rcv_code,assorted_code, rec_amount,premium_rcv_detail_code,remaining_amt, payrec, mode_code,coinsurance_code,class_cd,it_remarks) values</v>
      </c>
      <c r="G166" s="14" t="str">
        <f t="shared" si="10"/>
        <v>('15Nov240016','040000165971','2719',(select max(to_number(i.premium_rcv_detail_code))+1
from ins_premium_det i),'2719','2719','02', '11000003','00','Request by Mr. Saqib Saleem 15-Nov-2024');</v>
      </c>
      <c r="H166" s="15" t="str">
        <f t="shared" si="11"/>
        <v>insert into ins_premium_det (premium_rcv_code,assorted_code, rec_amount,premium_rcv_detail_code,remaining_amt, payrec, mode_code,coinsurance_code,class_cd,it_remarks) values('15Nov240016','040000165971','2719',(select max(to_number(i.premium_rcv_detail_code))+1
from ins_premium_det i),'2719','2719','02', '11000003','00','Request by Mr. Saqib Saleem 15-Nov-2024');</v>
      </c>
    </row>
    <row r="167" spans="1:8" ht="105" x14ac:dyDescent="0.25">
      <c r="A167" s="2" t="s">
        <v>363</v>
      </c>
      <c r="B167" s="11" t="str">
        <f>VLOOKUP(A167,policy!B:C,2,0)</f>
        <v>040000165972</v>
      </c>
      <c r="C167" s="4">
        <v>3600</v>
      </c>
      <c r="D167" s="12">
        <f t="shared" si="9"/>
        <v>3600</v>
      </c>
      <c r="E167" s="16" t="s">
        <v>960</v>
      </c>
      <c r="F167" s="13" t="str">
        <f t="shared" si="8"/>
        <v>insert into ins_premium_det (premium_rcv_code,assorted_code, rec_amount,premium_rcv_detail_code,remaining_amt, payrec, mode_code,coinsurance_code,class_cd,it_remarks) values</v>
      </c>
      <c r="G167" s="14" t="str">
        <f t="shared" si="10"/>
        <v>('15Nov240016','040000165972','3600',(select max(to_number(i.premium_rcv_detail_code))+1
from ins_premium_det i),'3600','3600','02', '11000003','00','Request by Mr. Saqib Saleem 15-Nov-2024');</v>
      </c>
      <c r="H167" s="15" t="str">
        <f t="shared" si="11"/>
        <v>insert into ins_premium_det (premium_rcv_code,assorted_code, rec_amount,premium_rcv_detail_code,remaining_amt, payrec, mode_code,coinsurance_code,class_cd,it_remarks) values('15Nov240016','040000165972','3600',(select max(to_number(i.premium_rcv_detail_code))+1
from ins_premium_det i),'3600','3600','02', '11000003','00','Request by Mr. Saqib Saleem 15-Nov-2024');</v>
      </c>
    </row>
    <row r="168" spans="1:8" ht="105" x14ac:dyDescent="0.25">
      <c r="A168" s="2" t="s">
        <v>365</v>
      </c>
      <c r="B168" s="11" t="str">
        <f>VLOOKUP(A168,policy!B:C,2,0)</f>
        <v>040000165974</v>
      </c>
      <c r="C168" s="4">
        <v>2719</v>
      </c>
      <c r="D168" s="12">
        <f t="shared" si="9"/>
        <v>2719</v>
      </c>
      <c r="E168" s="16" t="s">
        <v>960</v>
      </c>
      <c r="F168" s="13" t="str">
        <f t="shared" si="8"/>
        <v>insert into ins_premium_det (premium_rcv_code,assorted_code, rec_amount,premium_rcv_detail_code,remaining_amt, payrec, mode_code,coinsurance_code,class_cd,it_remarks) values</v>
      </c>
      <c r="G168" s="14" t="str">
        <f t="shared" si="10"/>
        <v>('15Nov240016','040000165974','2719',(select max(to_number(i.premium_rcv_detail_code))+1
from ins_premium_det i),'2719','2719','02', '11000003','00','Request by Mr. Saqib Saleem 15-Nov-2024');</v>
      </c>
      <c r="H168" s="15" t="str">
        <f t="shared" si="11"/>
        <v>insert into ins_premium_det (premium_rcv_code,assorted_code, rec_amount,premium_rcv_detail_code,remaining_amt, payrec, mode_code,coinsurance_code,class_cd,it_remarks) values('15Nov240016','040000165974','2719',(select max(to_number(i.premium_rcv_detail_code))+1
from ins_premium_det i),'2719','2719','02', '11000003','00','Request by Mr. Saqib Saleem 15-Nov-2024');</v>
      </c>
    </row>
    <row r="169" spans="1:8" ht="105" x14ac:dyDescent="0.25">
      <c r="A169" s="2" t="s">
        <v>367</v>
      </c>
      <c r="B169" s="11" t="str">
        <f>VLOOKUP(A169,policy!B:C,2,0)</f>
        <v>040000165977</v>
      </c>
      <c r="C169" s="4">
        <v>4400</v>
      </c>
      <c r="D169" s="12">
        <f t="shared" si="9"/>
        <v>4400</v>
      </c>
      <c r="E169" s="16" t="s">
        <v>960</v>
      </c>
      <c r="F169" s="13" t="str">
        <f t="shared" si="8"/>
        <v>insert into ins_premium_det (premium_rcv_code,assorted_code, rec_amount,premium_rcv_detail_code,remaining_amt, payrec, mode_code,coinsurance_code,class_cd,it_remarks) values</v>
      </c>
      <c r="G169" s="14" t="str">
        <f t="shared" si="10"/>
        <v>('15Nov240016','040000165977','4400',(select max(to_number(i.premium_rcv_detail_code))+1
from ins_premium_det i),'4400','4400','02', '11000003','00','Request by Mr. Saqib Saleem 15-Nov-2024');</v>
      </c>
      <c r="H169" s="15" t="str">
        <f t="shared" si="11"/>
        <v>insert into ins_premium_det (premium_rcv_code,assorted_code, rec_amount,premium_rcv_detail_code,remaining_amt, payrec, mode_code,coinsurance_code,class_cd,it_remarks) values('15Nov240016','040000165977','4400',(select max(to_number(i.premium_rcv_detail_code))+1
from ins_premium_det i),'4400','4400','02', '11000003','00','Request by Mr. Saqib Saleem 15-Nov-2024');</v>
      </c>
    </row>
    <row r="170" spans="1:8" ht="105" x14ac:dyDescent="0.25">
      <c r="A170" s="2" t="s">
        <v>369</v>
      </c>
      <c r="B170" s="11" t="str">
        <f>VLOOKUP(A170,policy!B:C,2,0)</f>
        <v>040000165979</v>
      </c>
      <c r="C170" s="4">
        <v>2719</v>
      </c>
      <c r="D170" s="12">
        <f t="shared" si="9"/>
        <v>2719</v>
      </c>
      <c r="E170" s="16" t="s">
        <v>960</v>
      </c>
      <c r="F170" s="13" t="str">
        <f t="shared" si="8"/>
        <v>insert into ins_premium_det (premium_rcv_code,assorted_code, rec_amount,premium_rcv_detail_code,remaining_amt, payrec, mode_code,coinsurance_code,class_cd,it_remarks) values</v>
      </c>
      <c r="G170" s="14" t="str">
        <f t="shared" si="10"/>
        <v>('15Nov240016','040000165979','2719',(select max(to_number(i.premium_rcv_detail_code))+1
from ins_premium_det i),'2719','2719','02', '11000003','00','Request by Mr. Saqib Saleem 15-Nov-2024');</v>
      </c>
      <c r="H170" s="15" t="str">
        <f t="shared" si="11"/>
        <v>insert into ins_premium_det (premium_rcv_code,assorted_code, rec_amount,premium_rcv_detail_code,remaining_amt, payrec, mode_code,coinsurance_code,class_cd,it_remarks) values('15Nov240016','040000165979','2719',(select max(to_number(i.premium_rcv_detail_code))+1
from ins_premium_det i),'2719','2719','02', '11000003','00','Request by Mr. Saqib Saleem 15-Nov-2024');</v>
      </c>
    </row>
    <row r="171" spans="1:8" ht="105" x14ac:dyDescent="0.25">
      <c r="A171" s="2" t="s">
        <v>371</v>
      </c>
      <c r="B171" s="11" t="str">
        <f>VLOOKUP(A171,policy!B:C,2,0)</f>
        <v>040000165981</v>
      </c>
      <c r="C171" s="4">
        <v>4400</v>
      </c>
      <c r="D171" s="12">
        <f t="shared" si="9"/>
        <v>4400</v>
      </c>
      <c r="E171" s="16" t="s">
        <v>960</v>
      </c>
      <c r="F171" s="13" t="str">
        <f t="shared" si="8"/>
        <v>insert into ins_premium_det (premium_rcv_code,assorted_code, rec_amount,premium_rcv_detail_code,remaining_amt, payrec, mode_code,coinsurance_code,class_cd,it_remarks) values</v>
      </c>
      <c r="G171" s="14" t="str">
        <f t="shared" si="10"/>
        <v>('15Nov240016','040000165981','4400',(select max(to_number(i.premium_rcv_detail_code))+1
from ins_premium_det i),'4400','4400','02', '11000003','00','Request by Mr. Saqib Saleem 15-Nov-2024');</v>
      </c>
      <c r="H171" s="15" t="str">
        <f t="shared" si="11"/>
        <v>insert into ins_premium_det (premium_rcv_code,assorted_code, rec_amount,premium_rcv_detail_code,remaining_amt, payrec, mode_code,coinsurance_code,class_cd,it_remarks) values('15Nov240016','040000165981','4400',(select max(to_number(i.premium_rcv_detail_code))+1
from ins_premium_det i),'4400','4400','02', '11000003','00','Request by Mr. Saqib Saleem 15-Nov-2024');</v>
      </c>
    </row>
    <row r="172" spans="1:8" ht="105" x14ac:dyDescent="0.25">
      <c r="A172" s="2" t="s">
        <v>373</v>
      </c>
      <c r="B172" s="11" t="str">
        <f>VLOOKUP(A172,policy!B:C,2,0)</f>
        <v>040000165983</v>
      </c>
      <c r="C172" s="4">
        <v>4400</v>
      </c>
      <c r="D172" s="12">
        <f t="shared" si="9"/>
        <v>4400</v>
      </c>
      <c r="E172" s="16" t="s">
        <v>960</v>
      </c>
      <c r="F172" s="13" t="str">
        <f t="shared" si="8"/>
        <v>insert into ins_premium_det (premium_rcv_code,assorted_code, rec_amount,premium_rcv_detail_code,remaining_amt, payrec, mode_code,coinsurance_code,class_cd,it_remarks) values</v>
      </c>
      <c r="G172" s="14" t="str">
        <f t="shared" si="10"/>
        <v>('15Nov240016','040000165983','4400',(select max(to_number(i.premium_rcv_detail_code))+1
from ins_premium_det i),'4400','4400','02', '11000003','00','Request by Mr. Saqib Saleem 15-Nov-2024');</v>
      </c>
      <c r="H172" s="15" t="str">
        <f t="shared" si="11"/>
        <v>insert into ins_premium_det (premium_rcv_code,assorted_code, rec_amount,premium_rcv_detail_code,remaining_amt, payrec, mode_code,coinsurance_code,class_cd,it_remarks) values('15Nov240016','040000165983','4400',(select max(to_number(i.premium_rcv_detail_code))+1
from ins_premium_det i),'4400','4400','02', '11000003','00','Request by Mr. Saqib Saleem 15-Nov-2024');</v>
      </c>
    </row>
    <row r="173" spans="1:8" ht="105" x14ac:dyDescent="0.25">
      <c r="A173" s="2" t="s">
        <v>375</v>
      </c>
      <c r="B173" s="11" t="str">
        <f>VLOOKUP(A173,policy!B:C,2,0)</f>
        <v>040000165985</v>
      </c>
      <c r="C173" s="4">
        <v>3025</v>
      </c>
      <c r="D173" s="12">
        <f t="shared" si="9"/>
        <v>3025</v>
      </c>
      <c r="E173" s="16" t="s">
        <v>960</v>
      </c>
      <c r="F173" s="13" t="str">
        <f t="shared" si="8"/>
        <v>insert into ins_premium_det (premium_rcv_code,assorted_code, rec_amount,premium_rcv_detail_code,remaining_amt, payrec, mode_code,coinsurance_code,class_cd,it_remarks) values</v>
      </c>
      <c r="G173" s="14" t="str">
        <f t="shared" si="10"/>
        <v>('15Nov240016','040000165985','3025',(select max(to_number(i.premium_rcv_detail_code))+1
from ins_premium_det i),'3025','3025','02', '11000003','00','Request by Mr. Saqib Saleem 15-Nov-2024');</v>
      </c>
      <c r="H173" s="15" t="str">
        <f t="shared" si="11"/>
        <v>insert into ins_premium_det (premium_rcv_code,assorted_code, rec_amount,premium_rcv_detail_code,remaining_amt, payrec, mode_code,coinsurance_code,class_cd,it_remarks) values('15Nov240016','040000165985','3025',(select max(to_number(i.premium_rcv_detail_code))+1
from ins_premium_det i),'3025','3025','02', '11000003','00','Request by Mr. Saqib Saleem 15-Nov-2024');</v>
      </c>
    </row>
    <row r="174" spans="1:8" ht="105" x14ac:dyDescent="0.25">
      <c r="A174" s="2" t="s">
        <v>378</v>
      </c>
      <c r="B174" s="11" t="str">
        <f>VLOOKUP(A174,policy!B:C,2,0)</f>
        <v>040000165988</v>
      </c>
      <c r="C174" s="4">
        <v>2800</v>
      </c>
      <c r="D174" s="12">
        <f t="shared" si="9"/>
        <v>2800</v>
      </c>
      <c r="E174" s="16" t="s">
        <v>960</v>
      </c>
      <c r="F174" s="13" t="str">
        <f t="shared" si="8"/>
        <v>insert into ins_premium_det (premium_rcv_code,assorted_code, rec_amount,premium_rcv_detail_code,remaining_amt, payrec, mode_code,coinsurance_code,class_cd,it_remarks) values</v>
      </c>
      <c r="G174" s="14" t="str">
        <f t="shared" si="10"/>
        <v>('15Nov240016','040000165988','2800',(select max(to_number(i.premium_rcv_detail_code))+1
from ins_premium_det i),'2800','2800','02', '11000003','00','Request by Mr. Saqib Saleem 15-Nov-2024');</v>
      </c>
      <c r="H174" s="15" t="str">
        <f t="shared" si="11"/>
        <v>insert into ins_premium_det (premium_rcv_code,assorted_code, rec_amount,premium_rcv_detail_code,remaining_amt, payrec, mode_code,coinsurance_code,class_cd,it_remarks) values('15Nov240016','040000165988','2800',(select max(to_number(i.premium_rcv_detail_code))+1
from ins_premium_det i),'2800','2800','02', '11000003','00','Request by Mr. Saqib Saleem 15-Nov-2024');</v>
      </c>
    </row>
    <row r="175" spans="1:8" ht="105" x14ac:dyDescent="0.25">
      <c r="A175" s="2" t="s">
        <v>380</v>
      </c>
      <c r="B175" s="11" t="str">
        <f>VLOOKUP(A175,policy!B:C,2,0)</f>
        <v>040000165992</v>
      </c>
      <c r="C175" s="4">
        <v>2719</v>
      </c>
      <c r="D175" s="12">
        <f t="shared" si="9"/>
        <v>2719</v>
      </c>
      <c r="E175" s="16" t="s">
        <v>960</v>
      </c>
      <c r="F175" s="13" t="str">
        <f t="shared" si="8"/>
        <v>insert into ins_premium_det (premium_rcv_code,assorted_code, rec_amount,premium_rcv_detail_code,remaining_amt, payrec, mode_code,coinsurance_code,class_cd,it_remarks) values</v>
      </c>
      <c r="G175" s="14" t="str">
        <f t="shared" si="10"/>
        <v>('15Nov240016','040000165992','2719',(select max(to_number(i.premium_rcv_detail_code))+1
from ins_premium_det i),'2719','2719','02', '11000003','00','Request by Mr. Saqib Saleem 15-Nov-2024');</v>
      </c>
      <c r="H175" s="15" t="str">
        <f t="shared" si="11"/>
        <v>insert into ins_premium_det (premium_rcv_code,assorted_code, rec_amount,premium_rcv_detail_code,remaining_amt, payrec, mode_code,coinsurance_code,class_cd,it_remarks) values('15Nov240016','040000165992','2719',(select max(to_number(i.premium_rcv_detail_code))+1
from ins_premium_det i),'2719','2719','02', '11000003','00','Request by Mr. Saqib Saleem 15-Nov-2024');</v>
      </c>
    </row>
    <row r="176" spans="1:8" ht="105" x14ac:dyDescent="0.25">
      <c r="A176" s="2" t="s">
        <v>381</v>
      </c>
      <c r="B176" s="11" t="str">
        <f>VLOOKUP(A176,policy!B:C,2,0)</f>
        <v>040000165996</v>
      </c>
      <c r="C176" s="4">
        <v>4400</v>
      </c>
      <c r="D176" s="12">
        <f t="shared" si="9"/>
        <v>4400</v>
      </c>
      <c r="E176" s="16" t="s">
        <v>960</v>
      </c>
      <c r="F176" s="13" t="str">
        <f t="shared" si="8"/>
        <v>insert into ins_premium_det (premium_rcv_code,assorted_code, rec_amount,premium_rcv_detail_code,remaining_amt, payrec, mode_code,coinsurance_code,class_cd,it_remarks) values</v>
      </c>
      <c r="G176" s="14" t="str">
        <f t="shared" si="10"/>
        <v>('15Nov240016','040000165996','4400',(select max(to_number(i.premium_rcv_detail_code))+1
from ins_premium_det i),'4400','4400','02', '11000003','00','Request by Mr. Saqib Saleem 15-Nov-2024');</v>
      </c>
      <c r="H176" s="15" t="str">
        <f t="shared" si="11"/>
        <v>insert into ins_premium_det (premium_rcv_code,assorted_code, rec_amount,premium_rcv_detail_code,remaining_amt, payrec, mode_code,coinsurance_code,class_cd,it_remarks) values('15Nov240016','040000165996','4400',(select max(to_number(i.premium_rcv_detail_code))+1
from ins_premium_det i),'4400','4400','02', '11000003','00','Request by Mr. Saqib Saleem 15-Nov-2024');</v>
      </c>
    </row>
    <row r="177" spans="1:8" ht="105" x14ac:dyDescent="0.25">
      <c r="A177" s="2" t="s">
        <v>383</v>
      </c>
      <c r="B177" s="11" t="str">
        <f>VLOOKUP(A177,policy!B:C,2,0)</f>
        <v>040000166004</v>
      </c>
      <c r="C177" s="4">
        <v>4400</v>
      </c>
      <c r="D177" s="12">
        <f t="shared" si="9"/>
        <v>4400</v>
      </c>
      <c r="E177" s="16" t="s">
        <v>960</v>
      </c>
      <c r="F177" s="13" t="str">
        <f t="shared" si="8"/>
        <v>insert into ins_premium_det (premium_rcv_code,assorted_code, rec_amount,premium_rcv_detail_code,remaining_amt, payrec, mode_code,coinsurance_code,class_cd,it_remarks) values</v>
      </c>
      <c r="G177" s="14" t="str">
        <f t="shared" si="10"/>
        <v>('15Nov240016','040000166004','4400',(select max(to_number(i.premium_rcv_detail_code))+1
from ins_premium_det i),'4400','4400','02', '11000003','00','Request by Mr. Saqib Saleem 15-Nov-2024');</v>
      </c>
      <c r="H177" s="15" t="str">
        <f t="shared" si="11"/>
        <v>insert into ins_premium_det (premium_rcv_code,assorted_code, rec_amount,premium_rcv_detail_code,remaining_amt, payrec, mode_code,coinsurance_code,class_cd,it_remarks) values('15Nov240016','040000166004','4400',(select max(to_number(i.premium_rcv_detail_code))+1
from ins_premium_det i),'4400','4400','02', '11000003','00','Request by Mr. Saqib Saleem 15-Nov-2024');</v>
      </c>
    </row>
    <row r="178" spans="1:8" ht="105" x14ac:dyDescent="0.25">
      <c r="A178" s="2" t="s">
        <v>384</v>
      </c>
      <c r="B178" s="11" t="str">
        <f>VLOOKUP(A178,policy!B:C,2,0)</f>
        <v>040000166010</v>
      </c>
      <c r="C178" s="4">
        <v>4400</v>
      </c>
      <c r="D178" s="12">
        <f t="shared" si="9"/>
        <v>4400</v>
      </c>
      <c r="E178" s="16" t="s">
        <v>960</v>
      </c>
      <c r="F178" s="13" t="str">
        <f t="shared" si="8"/>
        <v>insert into ins_premium_det (premium_rcv_code,assorted_code, rec_amount,premium_rcv_detail_code,remaining_amt, payrec, mode_code,coinsurance_code,class_cd,it_remarks) values</v>
      </c>
      <c r="G178" s="14" t="str">
        <f t="shared" si="10"/>
        <v>('15Nov240016','040000166010','4400',(select max(to_number(i.premium_rcv_detail_code))+1
from ins_premium_det i),'4400','4400','02', '11000003','00','Request by Mr. Saqib Saleem 15-Nov-2024');</v>
      </c>
      <c r="H178" s="15" t="str">
        <f t="shared" si="11"/>
        <v>insert into ins_premium_det (premium_rcv_code,assorted_code, rec_amount,premium_rcv_detail_code,remaining_amt, payrec, mode_code,coinsurance_code,class_cd,it_remarks) values('15Nov240016','040000166010','4400',(select max(to_number(i.premium_rcv_detail_code))+1
from ins_premium_det i),'4400','4400','02', '11000003','00','Request by Mr. Saqib Saleem 15-Nov-2024');</v>
      </c>
    </row>
    <row r="179" spans="1:8" ht="105" x14ac:dyDescent="0.25">
      <c r="A179" s="2" t="s">
        <v>385</v>
      </c>
      <c r="B179" s="11" t="str">
        <f>VLOOKUP(A179,policy!B:C,2,0)</f>
        <v>040000166012</v>
      </c>
      <c r="C179" s="4">
        <v>2719</v>
      </c>
      <c r="D179" s="12">
        <f t="shared" si="9"/>
        <v>2719</v>
      </c>
      <c r="E179" s="16" t="s">
        <v>960</v>
      </c>
      <c r="F179" s="13" t="str">
        <f t="shared" si="8"/>
        <v>insert into ins_premium_det (premium_rcv_code,assorted_code, rec_amount,premium_rcv_detail_code,remaining_amt, payrec, mode_code,coinsurance_code,class_cd,it_remarks) values</v>
      </c>
      <c r="G179" s="14" t="str">
        <f t="shared" si="10"/>
        <v>('15Nov240016','040000166012','2719',(select max(to_number(i.premium_rcv_detail_code))+1
from ins_premium_det i),'2719','2719','02', '11000003','00','Request by Mr. Saqib Saleem 15-Nov-2024');</v>
      </c>
      <c r="H179" s="15" t="str">
        <f t="shared" si="11"/>
        <v>insert into ins_premium_det (premium_rcv_code,assorted_code, rec_amount,premium_rcv_detail_code,remaining_amt, payrec, mode_code,coinsurance_code,class_cd,it_remarks) values('15Nov240016','040000166012','2719',(select max(to_number(i.premium_rcv_detail_code))+1
from ins_premium_det i),'2719','2719','02', '11000003','00','Request by Mr. Saqib Saleem 15-Nov-2024');</v>
      </c>
    </row>
    <row r="180" spans="1:8" ht="105" x14ac:dyDescent="0.25">
      <c r="A180" s="2" t="s">
        <v>386</v>
      </c>
      <c r="B180" s="11" t="str">
        <f>VLOOKUP(A180,policy!B:C,2,0)</f>
        <v>040000166015</v>
      </c>
      <c r="C180" s="4">
        <v>4400</v>
      </c>
      <c r="D180" s="12">
        <f t="shared" si="9"/>
        <v>4400</v>
      </c>
      <c r="E180" s="16" t="s">
        <v>960</v>
      </c>
      <c r="F180" s="13" t="str">
        <f t="shared" si="8"/>
        <v>insert into ins_premium_det (premium_rcv_code,assorted_code, rec_amount,premium_rcv_detail_code,remaining_amt, payrec, mode_code,coinsurance_code,class_cd,it_remarks) values</v>
      </c>
      <c r="G180" s="14" t="str">
        <f t="shared" si="10"/>
        <v>('15Nov240016','040000166015','4400',(select max(to_number(i.premium_rcv_detail_code))+1
from ins_premium_det i),'4400','4400','02', '11000003','00','Request by Mr. Saqib Saleem 15-Nov-2024');</v>
      </c>
      <c r="H180" s="15" t="str">
        <f t="shared" si="11"/>
        <v>insert into ins_premium_det (premium_rcv_code,assorted_code, rec_amount,premium_rcv_detail_code,remaining_amt, payrec, mode_code,coinsurance_code,class_cd,it_remarks) values('15Nov240016','040000166015','4400',(select max(to_number(i.premium_rcv_detail_code))+1
from ins_premium_det i),'4400','4400','02', '11000003','00','Request by Mr. Saqib Saleem 15-Nov-2024');</v>
      </c>
    </row>
    <row r="181" spans="1:8" ht="105" x14ac:dyDescent="0.25">
      <c r="A181" s="2" t="s">
        <v>387</v>
      </c>
      <c r="B181" s="11" t="str">
        <f>VLOOKUP(A181,policy!B:C,2,0)</f>
        <v>040000166016</v>
      </c>
      <c r="C181" s="4">
        <v>3025</v>
      </c>
      <c r="D181" s="12">
        <f t="shared" si="9"/>
        <v>3025</v>
      </c>
      <c r="E181" s="16" t="s">
        <v>960</v>
      </c>
      <c r="F181" s="13" t="str">
        <f t="shared" si="8"/>
        <v>insert into ins_premium_det (premium_rcv_code,assorted_code, rec_amount,premium_rcv_detail_code,remaining_amt, payrec, mode_code,coinsurance_code,class_cd,it_remarks) values</v>
      </c>
      <c r="G181" s="14" t="str">
        <f t="shared" si="10"/>
        <v>('15Nov240016','040000166016','3025',(select max(to_number(i.premium_rcv_detail_code))+1
from ins_premium_det i),'3025','3025','02', '11000003','00','Request by Mr. Saqib Saleem 15-Nov-2024');</v>
      </c>
      <c r="H181" s="15" t="str">
        <f t="shared" si="11"/>
        <v>insert into ins_premium_det (premium_rcv_code,assorted_code, rec_amount,premium_rcv_detail_code,remaining_amt, payrec, mode_code,coinsurance_code,class_cd,it_remarks) values('15Nov240016','040000166016','3025',(select max(to_number(i.premium_rcv_detail_code))+1
from ins_premium_det i),'3025','3025','02', '11000003','00','Request by Mr. Saqib Saleem 15-Nov-2024');</v>
      </c>
    </row>
    <row r="182" spans="1:8" ht="105" x14ac:dyDescent="0.25">
      <c r="A182" s="2" t="s">
        <v>388</v>
      </c>
      <c r="B182" s="11" t="str">
        <f>VLOOKUP(A182,policy!B:C,2,0)</f>
        <v>040000166018</v>
      </c>
      <c r="C182" s="4">
        <v>4400</v>
      </c>
      <c r="D182" s="12">
        <f t="shared" si="9"/>
        <v>4400</v>
      </c>
      <c r="E182" s="16" t="s">
        <v>960</v>
      </c>
      <c r="F182" s="13" t="str">
        <f t="shared" si="8"/>
        <v>insert into ins_premium_det (premium_rcv_code,assorted_code, rec_amount,premium_rcv_detail_code,remaining_amt, payrec, mode_code,coinsurance_code,class_cd,it_remarks) values</v>
      </c>
      <c r="G182" s="14" t="str">
        <f t="shared" si="10"/>
        <v>('15Nov240016','040000166018','4400',(select max(to_number(i.premium_rcv_detail_code))+1
from ins_premium_det i),'4400','4400','02', '11000003','00','Request by Mr. Saqib Saleem 15-Nov-2024');</v>
      </c>
      <c r="H182" s="15" t="str">
        <f t="shared" si="11"/>
        <v>insert into ins_premium_det (premium_rcv_code,assorted_code, rec_amount,premium_rcv_detail_code,remaining_amt, payrec, mode_code,coinsurance_code,class_cd,it_remarks) values('15Nov240016','040000166018','4400',(select max(to_number(i.premium_rcv_detail_code))+1
from ins_premium_det i),'4400','4400','02', '11000003','00','Request by Mr. Saqib Saleem 15-Nov-2024');</v>
      </c>
    </row>
    <row r="183" spans="1:8" ht="105" x14ac:dyDescent="0.25">
      <c r="A183" s="2" t="s">
        <v>389</v>
      </c>
      <c r="B183" s="11" t="str">
        <f>VLOOKUP(A183,policy!B:C,2,0)</f>
        <v>040000166020</v>
      </c>
      <c r="C183" s="4">
        <v>2800</v>
      </c>
      <c r="D183" s="12">
        <f t="shared" si="9"/>
        <v>2800</v>
      </c>
      <c r="E183" s="16" t="s">
        <v>960</v>
      </c>
      <c r="F183" s="13" t="str">
        <f t="shared" si="8"/>
        <v>insert into ins_premium_det (premium_rcv_code,assorted_code, rec_amount,premium_rcv_detail_code,remaining_amt, payrec, mode_code,coinsurance_code,class_cd,it_remarks) values</v>
      </c>
      <c r="G183" s="14" t="str">
        <f t="shared" si="10"/>
        <v>('15Nov240016','040000166020','2800',(select max(to_number(i.premium_rcv_detail_code))+1
from ins_premium_det i),'2800','2800','02', '11000003','00','Request by Mr. Saqib Saleem 15-Nov-2024');</v>
      </c>
      <c r="H183" s="15" t="str">
        <f t="shared" si="11"/>
        <v>insert into ins_premium_det (premium_rcv_code,assorted_code, rec_amount,premium_rcv_detail_code,remaining_amt, payrec, mode_code,coinsurance_code,class_cd,it_remarks) values('15Nov240016','040000166020','2800',(select max(to_number(i.premium_rcv_detail_code))+1
from ins_premium_det i),'2800','2800','02', '11000003','00','Request by Mr. Saqib Saleem 15-Nov-2024');</v>
      </c>
    </row>
    <row r="184" spans="1:8" ht="105" x14ac:dyDescent="0.25">
      <c r="A184" s="2" t="s">
        <v>390</v>
      </c>
      <c r="B184" s="11" t="str">
        <f>VLOOKUP(A184,policy!B:C,2,0)</f>
        <v>040000166028</v>
      </c>
      <c r="C184" s="4">
        <v>4400</v>
      </c>
      <c r="D184" s="12">
        <f t="shared" si="9"/>
        <v>4400</v>
      </c>
      <c r="E184" s="16" t="s">
        <v>960</v>
      </c>
      <c r="F184" s="13" t="str">
        <f t="shared" si="8"/>
        <v>insert into ins_premium_det (premium_rcv_code,assorted_code, rec_amount,premium_rcv_detail_code,remaining_amt, payrec, mode_code,coinsurance_code,class_cd,it_remarks) values</v>
      </c>
      <c r="G184" s="14" t="str">
        <f t="shared" si="10"/>
        <v>('15Nov240016','040000166028','4400',(select max(to_number(i.premium_rcv_detail_code))+1
from ins_premium_det i),'4400','4400','02', '11000003','00','Request by Mr. Saqib Saleem 15-Nov-2024');</v>
      </c>
      <c r="H184" s="15" t="str">
        <f t="shared" si="11"/>
        <v>insert into ins_premium_det (premium_rcv_code,assorted_code, rec_amount,premium_rcv_detail_code,remaining_amt, payrec, mode_code,coinsurance_code,class_cd,it_remarks) values('15Nov240016','040000166028','4400',(select max(to_number(i.premium_rcv_detail_code))+1
from ins_premium_det i),'4400','4400','02', '11000003','00','Request by Mr. Saqib Saleem 15-Nov-2024');</v>
      </c>
    </row>
    <row r="185" spans="1:8" ht="105" x14ac:dyDescent="0.25">
      <c r="A185" s="2" t="s">
        <v>392</v>
      </c>
      <c r="B185" s="11" t="str">
        <f>VLOOKUP(A185,policy!B:C,2,0)</f>
        <v>040000166031</v>
      </c>
      <c r="C185" s="4">
        <v>4400</v>
      </c>
      <c r="D185" s="12">
        <f t="shared" si="9"/>
        <v>4400</v>
      </c>
      <c r="E185" s="16" t="s">
        <v>960</v>
      </c>
      <c r="F185" s="13" t="str">
        <f t="shared" si="8"/>
        <v>insert into ins_premium_det (premium_rcv_code,assorted_code, rec_amount,premium_rcv_detail_code,remaining_amt, payrec, mode_code,coinsurance_code,class_cd,it_remarks) values</v>
      </c>
      <c r="G185" s="14" t="str">
        <f t="shared" si="10"/>
        <v>('15Nov240016','040000166031','4400',(select max(to_number(i.premium_rcv_detail_code))+1
from ins_premium_det i),'4400','4400','02', '11000003','00','Request by Mr. Saqib Saleem 15-Nov-2024');</v>
      </c>
      <c r="H185" s="15" t="str">
        <f t="shared" si="11"/>
        <v>insert into ins_premium_det (premium_rcv_code,assorted_code, rec_amount,premium_rcv_detail_code,remaining_amt, payrec, mode_code,coinsurance_code,class_cd,it_remarks) values('15Nov240016','040000166031','4400',(select max(to_number(i.premium_rcv_detail_code))+1
from ins_premium_det i),'4400','4400','02', '11000003','00','Request by Mr. Saqib Saleem 15-Nov-2024');</v>
      </c>
    </row>
    <row r="187" spans="1:8" x14ac:dyDescent="0.25">
      <c r="D187" s="17">
        <f>SUM(D2:D185)</f>
        <v>804324</v>
      </c>
    </row>
  </sheetData>
  <conditionalFormatting sqref="A1">
    <cfRule type="duplicateValues" dxfId="5" priority="2"/>
  </conditionalFormatting>
  <conditionalFormatting sqref="A2:A185">
    <cfRule type="duplicateValues" dxfId="4" priority="1"/>
  </conditionalFormatting>
  <conditionalFormatting sqref="B2:B185">
    <cfRule type="duplicateValues" dxfId="3" priority="3"/>
    <cfRule type="duplicateValues" dxfId="2" priority="4"/>
    <cfRule type="duplicateValues" dxfId="1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F16B-2E6D-4688-A843-99615F497199}">
  <dimension ref="A1:E184"/>
  <sheetViews>
    <sheetView workbookViewId="0">
      <selection activeCell="K11" sqref="K11"/>
    </sheetView>
  </sheetViews>
  <sheetFormatPr defaultRowHeight="15" x14ac:dyDescent="0.25"/>
  <cols>
    <col min="1" max="1" width="31.85546875" bestFit="1" customWidth="1"/>
  </cols>
  <sheetData>
    <row r="1" spans="1:5" x14ac:dyDescent="0.25">
      <c r="A1" s="2" t="s">
        <v>38</v>
      </c>
      <c r="B1" t="s">
        <v>393</v>
      </c>
      <c r="D1">
        <v>3076</v>
      </c>
      <c r="E1" t="str">
        <f>"ia.assorted_string like '%"&amp;D1&amp;B1&amp;"%' or"</f>
        <v>ia.assorted_string like '%3076-08-2023%' or</v>
      </c>
    </row>
    <row r="2" spans="1:5" x14ac:dyDescent="0.25">
      <c r="A2" s="2" t="s">
        <v>50</v>
      </c>
      <c r="B2" t="s">
        <v>394</v>
      </c>
      <c r="D2">
        <v>3218</v>
      </c>
      <c r="E2" t="str">
        <f t="shared" ref="E2:E65" si="0">"ia.assorted_string like '%"&amp;D2&amp;B2&amp;"%' or"</f>
        <v>ia.assorted_string like '%3218-09-2023%' or</v>
      </c>
    </row>
    <row r="3" spans="1:5" x14ac:dyDescent="0.25">
      <c r="A3" s="2" t="s">
        <v>52</v>
      </c>
      <c r="B3" t="s">
        <v>394</v>
      </c>
      <c r="D3">
        <v>3234</v>
      </c>
      <c r="E3" t="str">
        <f t="shared" si="0"/>
        <v>ia.assorted_string like '%3234-09-2023%' or</v>
      </c>
    </row>
    <row r="4" spans="1:5" x14ac:dyDescent="0.25">
      <c r="A4" s="2" t="s">
        <v>54</v>
      </c>
      <c r="B4" t="s">
        <v>394</v>
      </c>
      <c r="D4">
        <v>3312</v>
      </c>
      <c r="E4" t="str">
        <f t="shared" si="0"/>
        <v>ia.assorted_string like '%3312-09-2023%' or</v>
      </c>
    </row>
    <row r="5" spans="1:5" x14ac:dyDescent="0.25">
      <c r="A5" s="2" t="s">
        <v>56</v>
      </c>
      <c r="B5" t="s">
        <v>394</v>
      </c>
      <c r="D5">
        <v>3364</v>
      </c>
      <c r="E5" t="str">
        <f t="shared" si="0"/>
        <v>ia.assorted_string like '%3364-09-2023%' or</v>
      </c>
    </row>
    <row r="6" spans="1:5" x14ac:dyDescent="0.25">
      <c r="A6" s="2" t="s">
        <v>58</v>
      </c>
      <c r="B6" t="s">
        <v>394</v>
      </c>
      <c r="D6">
        <v>3365</v>
      </c>
      <c r="E6" t="str">
        <f t="shared" si="0"/>
        <v>ia.assorted_string like '%3365-09-2023%' or</v>
      </c>
    </row>
    <row r="7" spans="1:5" x14ac:dyDescent="0.25">
      <c r="A7" s="2" t="s">
        <v>60</v>
      </c>
      <c r="B7" t="s">
        <v>394</v>
      </c>
      <c r="D7">
        <v>3392</v>
      </c>
      <c r="E7" t="str">
        <f t="shared" si="0"/>
        <v>ia.assorted_string like '%3392-09-2023%' or</v>
      </c>
    </row>
    <row r="8" spans="1:5" x14ac:dyDescent="0.25">
      <c r="A8" s="2" t="s">
        <v>62</v>
      </c>
      <c r="B8" t="s">
        <v>395</v>
      </c>
      <c r="D8">
        <v>3411</v>
      </c>
      <c r="E8" t="str">
        <f t="shared" si="0"/>
        <v>ia.assorted_string like '%3411-10-2023%' or</v>
      </c>
    </row>
    <row r="9" spans="1:5" x14ac:dyDescent="0.25">
      <c r="A9" s="2" t="s">
        <v>64</v>
      </c>
      <c r="B9" t="s">
        <v>395</v>
      </c>
      <c r="D9">
        <v>3422</v>
      </c>
      <c r="E9" t="str">
        <f t="shared" si="0"/>
        <v>ia.assorted_string like '%3422-10-2023%' or</v>
      </c>
    </row>
    <row r="10" spans="1:5" x14ac:dyDescent="0.25">
      <c r="A10" s="2" t="s">
        <v>66</v>
      </c>
      <c r="B10" t="s">
        <v>395</v>
      </c>
      <c r="D10">
        <v>3425</v>
      </c>
      <c r="E10" t="str">
        <f t="shared" si="0"/>
        <v>ia.assorted_string like '%3425-10-2023%' or</v>
      </c>
    </row>
    <row r="11" spans="1:5" x14ac:dyDescent="0.25">
      <c r="A11" s="2" t="s">
        <v>68</v>
      </c>
      <c r="B11" t="s">
        <v>395</v>
      </c>
      <c r="D11">
        <v>3426</v>
      </c>
      <c r="E11" t="str">
        <f t="shared" si="0"/>
        <v>ia.assorted_string like '%3426-10-2023%' or</v>
      </c>
    </row>
    <row r="12" spans="1:5" x14ac:dyDescent="0.25">
      <c r="A12" s="2" t="s">
        <v>70</v>
      </c>
      <c r="B12" t="s">
        <v>395</v>
      </c>
      <c r="D12">
        <v>3427</v>
      </c>
      <c r="E12" t="str">
        <f t="shared" si="0"/>
        <v>ia.assorted_string like '%3427-10-2023%' or</v>
      </c>
    </row>
    <row r="13" spans="1:5" x14ac:dyDescent="0.25">
      <c r="A13" s="2" t="s">
        <v>72</v>
      </c>
      <c r="B13" t="s">
        <v>395</v>
      </c>
      <c r="D13">
        <v>3429</v>
      </c>
      <c r="E13" t="str">
        <f t="shared" si="0"/>
        <v>ia.assorted_string like '%3429-10-2023%' or</v>
      </c>
    </row>
    <row r="14" spans="1:5" x14ac:dyDescent="0.25">
      <c r="A14" s="2" t="s">
        <v>74</v>
      </c>
      <c r="B14" t="s">
        <v>395</v>
      </c>
      <c r="D14">
        <v>3437</v>
      </c>
      <c r="E14" t="str">
        <f t="shared" si="0"/>
        <v>ia.assorted_string like '%3437-10-2023%' or</v>
      </c>
    </row>
    <row r="15" spans="1:5" x14ac:dyDescent="0.25">
      <c r="A15" s="2" t="s">
        <v>76</v>
      </c>
      <c r="B15" t="s">
        <v>395</v>
      </c>
      <c r="D15">
        <v>3438</v>
      </c>
      <c r="E15" t="str">
        <f t="shared" si="0"/>
        <v>ia.assorted_string like '%3438-10-2023%' or</v>
      </c>
    </row>
    <row r="16" spans="1:5" x14ac:dyDescent="0.25">
      <c r="A16" s="2" t="s">
        <v>78</v>
      </c>
      <c r="B16" t="s">
        <v>395</v>
      </c>
      <c r="D16">
        <v>3439</v>
      </c>
      <c r="E16" t="str">
        <f t="shared" si="0"/>
        <v>ia.assorted_string like '%3439-10-2023%' or</v>
      </c>
    </row>
    <row r="17" spans="1:5" x14ac:dyDescent="0.25">
      <c r="A17" s="2" t="s">
        <v>80</v>
      </c>
      <c r="B17" t="s">
        <v>395</v>
      </c>
      <c r="D17">
        <v>3440</v>
      </c>
      <c r="E17" t="str">
        <f t="shared" si="0"/>
        <v>ia.assorted_string like '%3440-10-2023%' or</v>
      </c>
    </row>
    <row r="18" spans="1:5" x14ac:dyDescent="0.25">
      <c r="A18" s="2" t="s">
        <v>82</v>
      </c>
      <c r="B18" t="s">
        <v>395</v>
      </c>
      <c r="D18">
        <v>3442</v>
      </c>
      <c r="E18" t="str">
        <f t="shared" si="0"/>
        <v>ia.assorted_string like '%3442-10-2023%' or</v>
      </c>
    </row>
    <row r="19" spans="1:5" x14ac:dyDescent="0.25">
      <c r="A19" s="2" t="s">
        <v>84</v>
      </c>
      <c r="B19" t="s">
        <v>395</v>
      </c>
      <c r="D19">
        <v>3449</v>
      </c>
      <c r="E19" t="str">
        <f t="shared" si="0"/>
        <v>ia.assorted_string like '%3449-10-2023%' or</v>
      </c>
    </row>
    <row r="20" spans="1:5" x14ac:dyDescent="0.25">
      <c r="A20" s="2" t="s">
        <v>86</v>
      </c>
      <c r="B20" t="s">
        <v>395</v>
      </c>
      <c r="D20">
        <v>3465</v>
      </c>
      <c r="E20" t="str">
        <f t="shared" si="0"/>
        <v>ia.assorted_string like '%3465-10-2023%' or</v>
      </c>
    </row>
    <row r="21" spans="1:5" x14ac:dyDescent="0.25">
      <c r="A21" s="2" t="s">
        <v>88</v>
      </c>
      <c r="B21" t="s">
        <v>395</v>
      </c>
      <c r="D21">
        <v>3466</v>
      </c>
      <c r="E21" t="str">
        <f t="shared" si="0"/>
        <v>ia.assorted_string like '%3466-10-2023%' or</v>
      </c>
    </row>
    <row r="22" spans="1:5" x14ac:dyDescent="0.25">
      <c r="A22" s="2" t="s">
        <v>90</v>
      </c>
      <c r="B22" t="s">
        <v>395</v>
      </c>
      <c r="D22">
        <v>3467</v>
      </c>
      <c r="E22" t="str">
        <f t="shared" si="0"/>
        <v>ia.assorted_string like '%3467-10-2023%' or</v>
      </c>
    </row>
    <row r="23" spans="1:5" x14ac:dyDescent="0.25">
      <c r="A23" s="2" t="s">
        <v>92</v>
      </c>
      <c r="B23" t="s">
        <v>395</v>
      </c>
      <c r="D23">
        <v>3468</v>
      </c>
      <c r="E23" t="str">
        <f t="shared" si="0"/>
        <v>ia.assorted_string like '%3468-10-2023%' or</v>
      </c>
    </row>
    <row r="24" spans="1:5" x14ac:dyDescent="0.25">
      <c r="A24" s="2" t="s">
        <v>94</v>
      </c>
      <c r="B24" t="s">
        <v>395</v>
      </c>
      <c r="D24">
        <v>3469</v>
      </c>
      <c r="E24" t="str">
        <f t="shared" si="0"/>
        <v>ia.assorted_string like '%3469-10-2023%' or</v>
      </c>
    </row>
    <row r="25" spans="1:5" x14ac:dyDescent="0.25">
      <c r="A25" s="2" t="s">
        <v>96</v>
      </c>
      <c r="B25" t="s">
        <v>395</v>
      </c>
      <c r="D25">
        <v>3470</v>
      </c>
      <c r="E25" t="str">
        <f t="shared" si="0"/>
        <v>ia.assorted_string like '%3470-10-2023%' or</v>
      </c>
    </row>
    <row r="26" spans="1:5" x14ac:dyDescent="0.25">
      <c r="A26" s="2" t="s">
        <v>98</v>
      </c>
      <c r="B26" t="s">
        <v>395</v>
      </c>
      <c r="D26">
        <v>3471</v>
      </c>
      <c r="E26" t="str">
        <f t="shared" si="0"/>
        <v>ia.assorted_string like '%3471-10-2023%' or</v>
      </c>
    </row>
    <row r="27" spans="1:5" x14ac:dyDescent="0.25">
      <c r="A27" s="2" t="s">
        <v>100</v>
      </c>
      <c r="B27" t="s">
        <v>395</v>
      </c>
      <c r="D27">
        <v>3472</v>
      </c>
      <c r="E27" t="str">
        <f t="shared" si="0"/>
        <v>ia.assorted_string like '%3472-10-2023%' or</v>
      </c>
    </row>
    <row r="28" spans="1:5" x14ac:dyDescent="0.25">
      <c r="A28" s="2" t="s">
        <v>102</v>
      </c>
      <c r="B28" t="s">
        <v>395</v>
      </c>
      <c r="D28">
        <v>3482</v>
      </c>
      <c r="E28" t="str">
        <f t="shared" si="0"/>
        <v>ia.assorted_string like '%3482-10-2023%' or</v>
      </c>
    </row>
    <row r="29" spans="1:5" x14ac:dyDescent="0.25">
      <c r="A29" s="2" t="s">
        <v>104</v>
      </c>
      <c r="B29" t="s">
        <v>395</v>
      </c>
      <c r="D29">
        <v>3484</v>
      </c>
      <c r="E29" t="str">
        <f t="shared" si="0"/>
        <v>ia.assorted_string like '%3484-10-2023%' or</v>
      </c>
    </row>
    <row r="30" spans="1:5" x14ac:dyDescent="0.25">
      <c r="A30" s="2" t="s">
        <v>106</v>
      </c>
      <c r="B30" t="s">
        <v>395</v>
      </c>
      <c r="D30">
        <v>3485</v>
      </c>
      <c r="E30" t="str">
        <f t="shared" si="0"/>
        <v>ia.assorted_string like '%3485-10-2023%' or</v>
      </c>
    </row>
    <row r="31" spans="1:5" x14ac:dyDescent="0.25">
      <c r="A31" s="2" t="s">
        <v>108</v>
      </c>
      <c r="B31" t="s">
        <v>395</v>
      </c>
      <c r="D31">
        <v>3486</v>
      </c>
      <c r="E31" t="str">
        <f t="shared" si="0"/>
        <v>ia.assorted_string like '%3486-10-2023%' or</v>
      </c>
    </row>
    <row r="32" spans="1:5" x14ac:dyDescent="0.25">
      <c r="A32" s="2" t="s">
        <v>110</v>
      </c>
      <c r="B32" t="s">
        <v>395</v>
      </c>
      <c r="D32">
        <v>3488</v>
      </c>
      <c r="E32" t="str">
        <f t="shared" si="0"/>
        <v>ia.assorted_string like '%3488-10-2023%' or</v>
      </c>
    </row>
    <row r="33" spans="1:5" x14ac:dyDescent="0.25">
      <c r="A33" s="2" t="s">
        <v>112</v>
      </c>
      <c r="B33" t="s">
        <v>395</v>
      </c>
      <c r="D33">
        <v>3490</v>
      </c>
      <c r="E33" t="str">
        <f t="shared" si="0"/>
        <v>ia.assorted_string like '%3490-10-2023%' or</v>
      </c>
    </row>
    <row r="34" spans="1:5" x14ac:dyDescent="0.25">
      <c r="A34" s="2" t="s">
        <v>115</v>
      </c>
      <c r="B34" t="s">
        <v>395</v>
      </c>
      <c r="D34">
        <v>3491</v>
      </c>
      <c r="E34" t="str">
        <f t="shared" si="0"/>
        <v>ia.assorted_string like '%3491-10-2023%' or</v>
      </c>
    </row>
    <row r="35" spans="1:5" x14ac:dyDescent="0.25">
      <c r="A35" s="2" t="s">
        <v>117</v>
      </c>
      <c r="B35" t="s">
        <v>395</v>
      </c>
      <c r="D35">
        <v>3492</v>
      </c>
      <c r="E35" t="str">
        <f t="shared" si="0"/>
        <v>ia.assorted_string like '%3492-10-2023%' or</v>
      </c>
    </row>
    <row r="36" spans="1:5" x14ac:dyDescent="0.25">
      <c r="A36" s="2" t="s">
        <v>119</v>
      </c>
      <c r="B36" t="s">
        <v>395</v>
      </c>
      <c r="D36">
        <v>3494</v>
      </c>
      <c r="E36" t="str">
        <f t="shared" si="0"/>
        <v>ia.assorted_string like '%3494-10-2023%' or</v>
      </c>
    </row>
    <row r="37" spans="1:5" x14ac:dyDescent="0.25">
      <c r="A37" s="2" t="s">
        <v>121</v>
      </c>
      <c r="B37" t="s">
        <v>395</v>
      </c>
      <c r="D37">
        <v>3495</v>
      </c>
      <c r="E37" t="str">
        <f t="shared" si="0"/>
        <v>ia.assorted_string like '%3495-10-2023%' or</v>
      </c>
    </row>
    <row r="38" spans="1:5" x14ac:dyDescent="0.25">
      <c r="A38" s="2" t="s">
        <v>123</v>
      </c>
      <c r="B38" t="s">
        <v>395</v>
      </c>
      <c r="D38">
        <v>3496</v>
      </c>
      <c r="E38" t="str">
        <f t="shared" si="0"/>
        <v>ia.assorted_string like '%3496-10-2023%' or</v>
      </c>
    </row>
    <row r="39" spans="1:5" x14ac:dyDescent="0.25">
      <c r="A39" s="2" t="s">
        <v>125</v>
      </c>
      <c r="B39" t="s">
        <v>395</v>
      </c>
      <c r="D39">
        <v>3497</v>
      </c>
      <c r="E39" t="str">
        <f t="shared" si="0"/>
        <v>ia.assorted_string like '%3497-10-2023%' or</v>
      </c>
    </row>
    <row r="40" spans="1:5" x14ac:dyDescent="0.25">
      <c r="A40" s="2" t="s">
        <v>127</v>
      </c>
      <c r="B40" t="s">
        <v>395</v>
      </c>
      <c r="D40">
        <v>3517</v>
      </c>
      <c r="E40" t="str">
        <f t="shared" si="0"/>
        <v>ia.assorted_string like '%3517-10-2023%' or</v>
      </c>
    </row>
    <row r="41" spans="1:5" x14ac:dyDescent="0.25">
      <c r="A41" s="2" t="s">
        <v>129</v>
      </c>
      <c r="B41" t="s">
        <v>395</v>
      </c>
      <c r="D41">
        <v>3518</v>
      </c>
      <c r="E41" t="str">
        <f t="shared" si="0"/>
        <v>ia.assorted_string like '%3518-10-2023%' or</v>
      </c>
    </row>
    <row r="42" spans="1:5" x14ac:dyDescent="0.25">
      <c r="A42" s="2" t="s">
        <v>131</v>
      </c>
      <c r="B42" t="s">
        <v>395</v>
      </c>
      <c r="D42">
        <v>3520</v>
      </c>
      <c r="E42" t="str">
        <f t="shared" si="0"/>
        <v>ia.assorted_string like '%3520-10-2023%' or</v>
      </c>
    </row>
    <row r="43" spans="1:5" x14ac:dyDescent="0.25">
      <c r="A43" s="2" t="s">
        <v>133</v>
      </c>
      <c r="B43" t="s">
        <v>395</v>
      </c>
      <c r="D43">
        <v>3521</v>
      </c>
      <c r="E43" t="str">
        <f t="shared" si="0"/>
        <v>ia.assorted_string like '%3521-10-2023%' or</v>
      </c>
    </row>
    <row r="44" spans="1:5" x14ac:dyDescent="0.25">
      <c r="A44" s="2" t="s">
        <v>135</v>
      </c>
      <c r="B44" t="s">
        <v>395</v>
      </c>
      <c r="D44">
        <v>3522</v>
      </c>
      <c r="E44" t="str">
        <f t="shared" si="0"/>
        <v>ia.assorted_string like '%3522-10-2023%' or</v>
      </c>
    </row>
    <row r="45" spans="1:5" x14ac:dyDescent="0.25">
      <c r="A45" s="2" t="s">
        <v>137</v>
      </c>
      <c r="B45" t="s">
        <v>395</v>
      </c>
      <c r="D45">
        <v>3523</v>
      </c>
      <c r="E45" t="str">
        <f t="shared" si="0"/>
        <v>ia.assorted_string like '%3523-10-2023%' or</v>
      </c>
    </row>
    <row r="46" spans="1:5" x14ac:dyDescent="0.25">
      <c r="A46" s="2" t="s">
        <v>139</v>
      </c>
      <c r="B46" t="s">
        <v>395</v>
      </c>
      <c r="D46">
        <v>3524</v>
      </c>
      <c r="E46" t="str">
        <f t="shared" si="0"/>
        <v>ia.assorted_string like '%3524-10-2023%' or</v>
      </c>
    </row>
    <row r="47" spans="1:5" x14ac:dyDescent="0.25">
      <c r="A47" s="2" t="s">
        <v>141</v>
      </c>
      <c r="B47" t="s">
        <v>395</v>
      </c>
      <c r="D47">
        <v>3525</v>
      </c>
      <c r="E47" t="str">
        <f t="shared" si="0"/>
        <v>ia.assorted_string like '%3525-10-2023%' or</v>
      </c>
    </row>
    <row r="48" spans="1:5" x14ac:dyDescent="0.25">
      <c r="A48" s="2" t="s">
        <v>143</v>
      </c>
      <c r="B48" t="s">
        <v>395</v>
      </c>
      <c r="D48">
        <v>3526</v>
      </c>
      <c r="E48" t="str">
        <f t="shared" si="0"/>
        <v>ia.assorted_string like '%3526-10-2023%' or</v>
      </c>
    </row>
    <row r="49" spans="1:5" x14ac:dyDescent="0.25">
      <c r="A49" s="2" t="s">
        <v>145</v>
      </c>
      <c r="B49" t="s">
        <v>395</v>
      </c>
      <c r="D49">
        <v>3527</v>
      </c>
      <c r="E49" t="str">
        <f t="shared" si="0"/>
        <v>ia.assorted_string like '%3527-10-2023%' or</v>
      </c>
    </row>
    <row r="50" spans="1:5" x14ac:dyDescent="0.25">
      <c r="A50" s="2" t="s">
        <v>147</v>
      </c>
      <c r="B50" t="s">
        <v>395</v>
      </c>
      <c r="D50">
        <v>3528</v>
      </c>
      <c r="E50" t="str">
        <f t="shared" si="0"/>
        <v>ia.assorted_string like '%3528-10-2023%' or</v>
      </c>
    </row>
    <row r="51" spans="1:5" x14ac:dyDescent="0.25">
      <c r="A51" s="2" t="s">
        <v>149</v>
      </c>
      <c r="B51" t="s">
        <v>395</v>
      </c>
      <c r="D51">
        <v>3529</v>
      </c>
      <c r="E51" t="str">
        <f t="shared" si="0"/>
        <v>ia.assorted_string like '%3529-10-2023%' or</v>
      </c>
    </row>
    <row r="52" spans="1:5" x14ac:dyDescent="0.25">
      <c r="A52" s="2" t="s">
        <v>151</v>
      </c>
      <c r="B52" t="s">
        <v>396</v>
      </c>
      <c r="D52">
        <v>3530</v>
      </c>
      <c r="E52" t="str">
        <f t="shared" si="0"/>
        <v>ia.assorted_string like '%3530-11-2023%' or</v>
      </c>
    </row>
    <row r="53" spans="1:5" x14ac:dyDescent="0.25">
      <c r="A53" s="2" t="s">
        <v>153</v>
      </c>
      <c r="B53" t="s">
        <v>396</v>
      </c>
      <c r="D53">
        <v>3531</v>
      </c>
      <c r="E53" t="str">
        <f t="shared" si="0"/>
        <v>ia.assorted_string like '%3531-11-2023%' or</v>
      </c>
    </row>
    <row r="54" spans="1:5" x14ac:dyDescent="0.25">
      <c r="A54" s="2" t="s">
        <v>155</v>
      </c>
      <c r="B54" t="s">
        <v>396</v>
      </c>
      <c r="D54">
        <v>3532</v>
      </c>
      <c r="E54" t="str">
        <f t="shared" si="0"/>
        <v>ia.assorted_string like '%3532-11-2023%' or</v>
      </c>
    </row>
    <row r="55" spans="1:5" x14ac:dyDescent="0.25">
      <c r="A55" s="2" t="s">
        <v>157</v>
      </c>
      <c r="B55" t="s">
        <v>396</v>
      </c>
      <c r="D55">
        <v>3533</v>
      </c>
      <c r="E55" t="str">
        <f t="shared" si="0"/>
        <v>ia.assorted_string like '%3533-11-2023%' or</v>
      </c>
    </row>
    <row r="56" spans="1:5" x14ac:dyDescent="0.25">
      <c r="A56" s="2" t="s">
        <v>159</v>
      </c>
      <c r="B56" t="s">
        <v>396</v>
      </c>
      <c r="D56">
        <v>3534</v>
      </c>
      <c r="E56" t="str">
        <f t="shared" si="0"/>
        <v>ia.assorted_string like '%3534-11-2023%' or</v>
      </c>
    </row>
    <row r="57" spans="1:5" x14ac:dyDescent="0.25">
      <c r="A57" s="2" t="s">
        <v>161</v>
      </c>
      <c r="B57" t="s">
        <v>396</v>
      </c>
      <c r="D57">
        <v>3535</v>
      </c>
      <c r="E57" t="str">
        <f t="shared" si="0"/>
        <v>ia.assorted_string like '%3535-11-2023%' or</v>
      </c>
    </row>
    <row r="58" spans="1:5" x14ac:dyDescent="0.25">
      <c r="A58" s="2" t="s">
        <v>163</v>
      </c>
      <c r="B58" t="s">
        <v>396</v>
      </c>
      <c r="D58">
        <v>3536</v>
      </c>
      <c r="E58" t="str">
        <f t="shared" si="0"/>
        <v>ia.assorted_string like '%3536-11-2023%' or</v>
      </c>
    </row>
    <row r="59" spans="1:5" x14ac:dyDescent="0.25">
      <c r="A59" s="2" t="s">
        <v>165</v>
      </c>
      <c r="B59" t="s">
        <v>396</v>
      </c>
      <c r="D59">
        <v>3538</v>
      </c>
      <c r="E59" t="str">
        <f t="shared" si="0"/>
        <v>ia.assorted_string like '%3538-11-2023%' or</v>
      </c>
    </row>
    <row r="60" spans="1:5" x14ac:dyDescent="0.25">
      <c r="A60" s="2" t="s">
        <v>167</v>
      </c>
      <c r="B60" t="s">
        <v>396</v>
      </c>
      <c r="D60">
        <v>3540</v>
      </c>
      <c r="E60" t="str">
        <f t="shared" si="0"/>
        <v>ia.assorted_string like '%3540-11-2023%' or</v>
      </c>
    </row>
    <row r="61" spans="1:5" x14ac:dyDescent="0.25">
      <c r="A61" s="2" t="s">
        <v>169</v>
      </c>
      <c r="B61" t="s">
        <v>396</v>
      </c>
      <c r="D61">
        <v>3541</v>
      </c>
      <c r="E61" t="str">
        <f t="shared" si="0"/>
        <v>ia.assorted_string like '%3541-11-2023%' or</v>
      </c>
    </row>
    <row r="62" spans="1:5" x14ac:dyDescent="0.25">
      <c r="A62" s="2" t="s">
        <v>171</v>
      </c>
      <c r="B62" t="s">
        <v>396</v>
      </c>
      <c r="D62">
        <v>3542</v>
      </c>
      <c r="E62" t="str">
        <f t="shared" si="0"/>
        <v>ia.assorted_string like '%3542-11-2023%' or</v>
      </c>
    </row>
    <row r="63" spans="1:5" x14ac:dyDescent="0.25">
      <c r="A63" s="2" t="s">
        <v>173</v>
      </c>
      <c r="B63" t="s">
        <v>396</v>
      </c>
      <c r="D63">
        <v>3543</v>
      </c>
      <c r="E63" t="str">
        <f t="shared" si="0"/>
        <v>ia.assorted_string like '%3543-11-2023%' or</v>
      </c>
    </row>
    <row r="64" spans="1:5" x14ac:dyDescent="0.25">
      <c r="A64" s="2" t="s">
        <v>175</v>
      </c>
      <c r="B64" t="s">
        <v>396</v>
      </c>
      <c r="D64">
        <v>3547</v>
      </c>
      <c r="E64" t="str">
        <f t="shared" si="0"/>
        <v>ia.assorted_string like '%3547-11-2023%' or</v>
      </c>
    </row>
    <row r="65" spans="1:5" x14ac:dyDescent="0.25">
      <c r="A65" s="2" t="s">
        <v>177</v>
      </c>
      <c r="B65" t="s">
        <v>396</v>
      </c>
      <c r="D65">
        <v>3548</v>
      </c>
      <c r="E65" t="str">
        <f t="shared" si="0"/>
        <v>ia.assorted_string like '%3548-11-2023%' or</v>
      </c>
    </row>
    <row r="66" spans="1:5" x14ac:dyDescent="0.25">
      <c r="A66" s="2" t="s">
        <v>179</v>
      </c>
      <c r="B66" t="s">
        <v>396</v>
      </c>
      <c r="D66">
        <v>3549</v>
      </c>
      <c r="E66" t="str">
        <f t="shared" ref="E66:E129" si="1">"ia.assorted_string like '%"&amp;D66&amp;B66&amp;"%' or"</f>
        <v>ia.assorted_string like '%3549-11-2023%' or</v>
      </c>
    </row>
    <row r="67" spans="1:5" x14ac:dyDescent="0.25">
      <c r="A67" s="2" t="s">
        <v>181</v>
      </c>
      <c r="B67" t="s">
        <v>396</v>
      </c>
      <c r="D67">
        <v>3551</v>
      </c>
      <c r="E67" t="str">
        <f t="shared" si="1"/>
        <v>ia.assorted_string like '%3551-11-2023%' or</v>
      </c>
    </row>
    <row r="68" spans="1:5" x14ac:dyDescent="0.25">
      <c r="A68" s="2" t="s">
        <v>183</v>
      </c>
      <c r="B68" t="s">
        <v>396</v>
      </c>
      <c r="D68">
        <v>3554</v>
      </c>
      <c r="E68" t="str">
        <f t="shared" si="1"/>
        <v>ia.assorted_string like '%3554-11-2023%' or</v>
      </c>
    </row>
    <row r="69" spans="1:5" x14ac:dyDescent="0.25">
      <c r="A69" s="2" t="s">
        <v>185</v>
      </c>
      <c r="B69" t="s">
        <v>396</v>
      </c>
      <c r="D69">
        <v>3558</v>
      </c>
      <c r="E69" t="str">
        <f t="shared" si="1"/>
        <v>ia.assorted_string like '%3558-11-2023%' or</v>
      </c>
    </row>
    <row r="70" spans="1:5" x14ac:dyDescent="0.25">
      <c r="A70" s="2" t="s">
        <v>187</v>
      </c>
      <c r="B70" t="s">
        <v>396</v>
      </c>
      <c r="D70">
        <v>3581</v>
      </c>
      <c r="E70" t="str">
        <f t="shared" si="1"/>
        <v>ia.assorted_string like '%3581-11-2023%' or</v>
      </c>
    </row>
    <row r="71" spans="1:5" x14ac:dyDescent="0.25">
      <c r="A71" s="2" t="s">
        <v>189</v>
      </c>
      <c r="B71" t="s">
        <v>396</v>
      </c>
      <c r="D71">
        <v>3588</v>
      </c>
      <c r="E71" t="str">
        <f t="shared" si="1"/>
        <v>ia.assorted_string like '%3588-11-2023%' or</v>
      </c>
    </row>
    <row r="72" spans="1:5" x14ac:dyDescent="0.25">
      <c r="A72" s="2" t="s">
        <v>191</v>
      </c>
      <c r="B72" t="s">
        <v>396</v>
      </c>
      <c r="D72">
        <v>3589</v>
      </c>
      <c r="E72" t="str">
        <f t="shared" si="1"/>
        <v>ia.assorted_string like '%3589-11-2023%' or</v>
      </c>
    </row>
    <row r="73" spans="1:5" x14ac:dyDescent="0.25">
      <c r="A73" s="2" t="s">
        <v>193</v>
      </c>
      <c r="B73" t="s">
        <v>396</v>
      </c>
      <c r="D73">
        <v>3590</v>
      </c>
      <c r="E73" t="str">
        <f t="shared" si="1"/>
        <v>ia.assorted_string like '%3590-11-2023%' or</v>
      </c>
    </row>
    <row r="74" spans="1:5" x14ac:dyDescent="0.25">
      <c r="A74" s="2" t="s">
        <v>195</v>
      </c>
      <c r="B74" t="s">
        <v>396</v>
      </c>
      <c r="D74">
        <v>3591</v>
      </c>
      <c r="E74" t="str">
        <f t="shared" si="1"/>
        <v>ia.assorted_string like '%3591-11-2023%' or</v>
      </c>
    </row>
    <row r="75" spans="1:5" x14ac:dyDescent="0.25">
      <c r="A75" s="2" t="s">
        <v>197</v>
      </c>
      <c r="B75" t="s">
        <v>396</v>
      </c>
      <c r="D75">
        <v>3592</v>
      </c>
      <c r="E75" t="str">
        <f t="shared" si="1"/>
        <v>ia.assorted_string like '%3592-11-2023%' or</v>
      </c>
    </row>
    <row r="76" spans="1:5" x14ac:dyDescent="0.25">
      <c r="A76" s="2" t="s">
        <v>199</v>
      </c>
      <c r="B76" t="s">
        <v>396</v>
      </c>
      <c r="D76">
        <v>3593</v>
      </c>
      <c r="E76" t="str">
        <f t="shared" si="1"/>
        <v>ia.assorted_string like '%3593-11-2023%' or</v>
      </c>
    </row>
    <row r="77" spans="1:5" x14ac:dyDescent="0.25">
      <c r="A77" s="2" t="s">
        <v>200</v>
      </c>
      <c r="B77" t="s">
        <v>396</v>
      </c>
      <c r="D77">
        <v>3594</v>
      </c>
      <c r="E77" t="str">
        <f t="shared" si="1"/>
        <v>ia.assorted_string like '%3594-11-2023%' or</v>
      </c>
    </row>
    <row r="78" spans="1:5" x14ac:dyDescent="0.25">
      <c r="A78" s="2" t="s">
        <v>202</v>
      </c>
      <c r="B78" t="s">
        <v>396</v>
      </c>
      <c r="D78">
        <v>3595</v>
      </c>
      <c r="E78" t="str">
        <f t="shared" si="1"/>
        <v>ia.assorted_string like '%3595-11-2023%' or</v>
      </c>
    </row>
    <row r="79" spans="1:5" x14ac:dyDescent="0.25">
      <c r="A79" s="2" t="s">
        <v>204</v>
      </c>
      <c r="B79" t="s">
        <v>396</v>
      </c>
      <c r="D79">
        <v>3596</v>
      </c>
      <c r="E79" t="str">
        <f t="shared" si="1"/>
        <v>ia.assorted_string like '%3596-11-2023%' or</v>
      </c>
    </row>
    <row r="80" spans="1:5" x14ac:dyDescent="0.25">
      <c r="A80" s="2" t="s">
        <v>206</v>
      </c>
      <c r="B80" t="s">
        <v>396</v>
      </c>
      <c r="D80">
        <v>3597</v>
      </c>
      <c r="E80" t="str">
        <f t="shared" si="1"/>
        <v>ia.assorted_string like '%3597-11-2023%' or</v>
      </c>
    </row>
    <row r="81" spans="1:5" x14ac:dyDescent="0.25">
      <c r="A81" s="2" t="s">
        <v>208</v>
      </c>
      <c r="B81" t="s">
        <v>396</v>
      </c>
      <c r="D81">
        <v>3598</v>
      </c>
      <c r="E81" t="str">
        <f t="shared" si="1"/>
        <v>ia.assorted_string like '%3598-11-2023%' or</v>
      </c>
    </row>
    <row r="82" spans="1:5" x14ac:dyDescent="0.25">
      <c r="A82" s="2" t="s">
        <v>210</v>
      </c>
      <c r="B82" t="s">
        <v>396</v>
      </c>
      <c r="D82">
        <v>3599</v>
      </c>
      <c r="E82" t="str">
        <f t="shared" si="1"/>
        <v>ia.assorted_string like '%3599-11-2023%' or</v>
      </c>
    </row>
    <row r="83" spans="1:5" x14ac:dyDescent="0.25">
      <c r="A83" s="2" t="s">
        <v>212</v>
      </c>
      <c r="B83" t="s">
        <v>396</v>
      </c>
      <c r="D83">
        <v>3600</v>
      </c>
      <c r="E83" t="str">
        <f t="shared" si="1"/>
        <v>ia.assorted_string like '%3600-11-2023%' or</v>
      </c>
    </row>
    <row r="84" spans="1:5" x14ac:dyDescent="0.25">
      <c r="A84" s="2" t="s">
        <v>214</v>
      </c>
      <c r="B84" t="s">
        <v>396</v>
      </c>
      <c r="D84">
        <v>3602</v>
      </c>
      <c r="E84" t="str">
        <f t="shared" si="1"/>
        <v>ia.assorted_string like '%3602-11-2023%' or</v>
      </c>
    </row>
    <row r="85" spans="1:5" x14ac:dyDescent="0.25">
      <c r="A85" s="2" t="s">
        <v>216</v>
      </c>
      <c r="B85" t="s">
        <v>396</v>
      </c>
      <c r="D85">
        <v>3603</v>
      </c>
      <c r="E85" t="str">
        <f t="shared" si="1"/>
        <v>ia.assorted_string like '%3603-11-2023%' or</v>
      </c>
    </row>
    <row r="86" spans="1:5" x14ac:dyDescent="0.25">
      <c r="A86" s="2" t="s">
        <v>218</v>
      </c>
      <c r="B86" t="s">
        <v>396</v>
      </c>
      <c r="D86">
        <v>3605</v>
      </c>
      <c r="E86" t="str">
        <f t="shared" si="1"/>
        <v>ia.assorted_string like '%3605-11-2023%' or</v>
      </c>
    </row>
    <row r="87" spans="1:5" x14ac:dyDescent="0.25">
      <c r="A87" s="2" t="s">
        <v>220</v>
      </c>
      <c r="B87" t="s">
        <v>396</v>
      </c>
      <c r="D87">
        <v>3614</v>
      </c>
      <c r="E87" t="str">
        <f t="shared" si="1"/>
        <v>ia.assorted_string like '%3614-11-2023%' or</v>
      </c>
    </row>
    <row r="88" spans="1:5" x14ac:dyDescent="0.25">
      <c r="A88" s="2" t="s">
        <v>222</v>
      </c>
      <c r="B88" t="s">
        <v>396</v>
      </c>
      <c r="D88">
        <v>3616</v>
      </c>
      <c r="E88" t="str">
        <f t="shared" si="1"/>
        <v>ia.assorted_string like '%3616-11-2023%' or</v>
      </c>
    </row>
    <row r="89" spans="1:5" x14ac:dyDescent="0.25">
      <c r="A89" s="2" t="s">
        <v>224</v>
      </c>
      <c r="B89" t="s">
        <v>396</v>
      </c>
      <c r="D89">
        <v>3617</v>
      </c>
      <c r="E89" t="str">
        <f t="shared" si="1"/>
        <v>ia.assorted_string like '%3617-11-2023%' or</v>
      </c>
    </row>
    <row r="90" spans="1:5" x14ac:dyDescent="0.25">
      <c r="A90" s="2" t="s">
        <v>226</v>
      </c>
      <c r="B90" t="s">
        <v>396</v>
      </c>
      <c r="D90">
        <v>3618</v>
      </c>
      <c r="E90" t="str">
        <f t="shared" si="1"/>
        <v>ia.assorted_string like '%3618-11-2023%' or</v>
      </c>
    </row>
    <row r="91" spans="1:5" x14ac:dyDescent="0.25">
      <c r="A91" s="2" t="s">
        <v>228</v>
      </c>
      <c r="B91" t="s">
        <v>396</v>
      </c>
      <c r="D91">
        <v>3626</v>
      </c>
      <c r="E91" t="str">
        <f t="shared" si="1"/>
        <v>ia.assorted_string like '%3626-11-2023%' or</v>
      </c>
    </row>
    <row r="92" spans="1:5" x14ac:dyDescent="0.25">
      <c r="A92" s="2" t="s">
        <v>230</v>
      </c>
      <c r="B92" t="s">
        <v>396</v>
      </c>
      <c r="D92">
        <v>3627</v>
      </c>
      <c r="E92" t="str">
        <f t="shared" si="1"/>
        <v>ia.assorted_string like '%3627-11-2023%' or</v>
      </c>
    </row>
    <row r="93" spans="1:5" x14ac:dyDescent="0.25">
      <c r="A93" s="2" t="s">
        <v>232</v>
      </c>
      <c r="B93" t="s">
        <v>396</v>
      </c>
      <c r="D93">
        <v>3628</v>
      </c>
      <c r="E93" t="str">
        <f t="shared" si="1"/>
        <v>ia.assorted_string like '%3628-11-2023%' or</v>
      </c>
    </row>
    <row r="94" spans="1:5" x14ac:dyDescent="0.25">
      <c r="A94" s="2" t="s">
        <v>234</v>
      </c>
      <c r="B94" t="s">
        <v>396</v>
      </c>
      <c r="D94">
        <v>3629</v>
      </c>
      <c r="E94" t="str">
        <f t="shared" si="1"/>
        <v>ia.assorted_string like '%3629-11-2023%' or</v>
      </c>
    </row>
    <row r="95" spans="1:5" x14ac:dyDescent="0.25">
      <c r="A95" s="2" t="s">
        <v>236</v>
      </c>
      <c r="B95" t="s">
        <v>396</v>
      </c>
      <c r="D95">
        <v>3630</v>
      </c>
      <c r="E95" t="str">
        <f t="shared" si="1"/>
        <v>ia.assorted_string like '%3630-11-2023%' or</v>
      </c>
    </row>
    <row r="96" spans="1:5" x14ac:dyDescent="0.25">
      <c r="A96" s="2" t="s">
        <v>238</v>
      </c>
      <c r="B96" t="s">
        <v>396</v>
      </c>
      <c r="D96">
        <v>3635</v>
      </c>
      <c r="E96" t="str">
        <f t="shared" si="1"/>
        <v>ia.assorted_string like '%3635-11-2023%' or</v>
      </c>
    </row>
    <row r="97" spans="1:5" x14ac:dyDescent="0.25">
      <c r="A97" s="2" t="s">
        <v>240</v>
      </c>
      <c r="B97" t="s">
        <v>396</v>
      </c>
      <c r="D97">
        <v>3639</v>
      </c>
      <c r="E97" t="str">
        <f t="shared" si="1"/>
        <v>ia.assorted_string like '%3639-11-2023%' or</v>
      </c>
    </row>
    <row r="98" spans="1:5" x14ac:dyDescent="0.25">
      <c r="A98" s="2" t="s">
        <v>242</v>
      </c>
      <c r="B98" t="s">
        <v>396</v>
      </c>
      <c r="D98">
        <v>3641</v>
      </c>
      <c r="E98" t="str">
        <f t="shared" si="1"/>
        <v>ia.assorted_string like '%3641-11-2023%' or</v>
      </c>
    </row>
    <row r="99" spans="1:5" x14ac:dyDescent="0.25">
      <c r="A99" s="2" t="s">
        <v>244</v>
      </c>
      <c r="B99" t="s">
        <v>396</v>
      </c>
      <c r="D99">
        <v>3646</v>
      </c>
      <c r="E99" t="str">
        <f t="shared" si="1"/>
        <v>ia.assorted_string like '%3646-11-2023%' or</v>
      </c>
    </row>
    <row r="100" spans="1:5" x14ac:dyDescent="0.25">
      <c r="A100" s="2" t="s">
        <v>246</v>
      </c>
      <c r="B100" t="s">
        <v>396</v>
      </c>
      <c r="D100">
        <v>3653</v>
      </c>
      <c r="E100" t="str">
        <f t="shared" si="1"/>
        <v>ia.assorted_string like '%3653-11-2023%' or</v>
      </c>
    </row>
    <row r="101" spans="1:5" x14ac:dyDescent="0.25">
      <c r="A101" s="2" t="s">
        <v>248</v>
      </c>
      <c r="B101" t="s">
        <v>396</v>
      </c>
      <c r="D101">
        <v>3654</v>
      </c>
      <c r="E101" t="str">
        <f t="shared" si="1"/>
        <v>ia.assorted_string like '%3654-11-2023%' or</v>
      </c>
    </row>
    <row r="102" spans="1:5" x14ac:dyDescent="0.25">
      <c r="A102" s="2" t="s">
        <v>250</v>
      </c>
      <c r="B102" t="s">
        <v>396</v>
      </c>
      <c r="D102">
        <v>3656</v>
      </c>
      <c r="E102" t="str">
        <f t="shared" si="1"/>
        <v>ia.assorted_string like '%3656-11-2023%' or</v>
      </c>
    </row>
    <row r="103" spans="1:5" x14ac:dyDescent="0.25">
      <c r="A103" s="2" t="s">
        <v>252</v>
      </c>
      <c r="B103" t="s">
        <v>396</v>
      </c>
      <c r="D103">
        <v>3657</v>
      </c>
      <c r="E103" t="str">
        <f t="shared" si="1"/>
        <v>ia.assorted_string like '%3657-11-2023%' or</v>
      </c>
    </row>
    <row r="104" spans="1:5" x14ac:dyDescent="0.25">
      <c r="A104" s="2" t="s">
        <v>254</v>
      </c>
      <c r="B104" t="s">
        <v>396</v>
      </c>
      <c r="D104">
        <v>3658</v>
      </c>
      <c r="E104" t="str">
        <f t="shared" si="1"/>
        <v>ia.assorted_string like '%3658-11-2023%' or</v>
      </c>
    </row>
    <row r="105" spans="1:5" x14ac:dyDescent="0.25">
      <c r="A105" s="2" t="s">
        <v>256</v>
      </c>
      <c r="B105" t="s">
        <v>396</v>
      </c>
      <c r="D105">
        <v>3659</v>
      </c>
      <c r="E105" t="str">
        <f t="shared" si="1"/>
        <v>ia.assorted_string like '%3659-11-2023%' or</v>
      </c>
    </row>
    <row r="106" spans="1:5" x14ac:dyDescent="0.25">
      <c r="A106" s="2" t="s">
        <v>258</v>
      </c>
      <c r="B106" t="s">
        <v>396</v>
      </c>
      <c r="D106">
        <v>3662</v>
      </c>
      <c r="E106" t="str">
        <f t="shared" si="1"/>
        <v>ia.assorted_string like '%3662-11-2023%' or</v>
      </c>
    </row>
    <row r="107" spans="1:5" x14ac:dyDescent="0.25">
      <c r="A107" s="2" t="s">
        <v>260</v>
      </c>
      <c r="B107" t="s">
        <v>396</v>
      </c>
      <c r="D107">
        <v>3663</v>
      </c>
      <c r="E107" t="str">
        <f t="shared" si="1"/>
        <v>ia.assorted_string like '%3663-11-2023%' or</v>
      </c>
    </row>
    <row r="108" spans="1:5" x14ac:dyDescent="0.25">
      <c r="A108" s="2" t="s">
        <v>262</v>
      </c>
      <c r="B108" t="s">
        <v>396</v>
      </c>
      <c r="D108">
        <v>3664</v>
      </c>
      <c r="E108" t="str">
        <f t="shared" si="1"/>
        <v>ia.assorted_string like '%3664-11-2023%' or</v>
      </c>
    </row>
    <row r="109" spans="1:5" x14ac:dyDescent="0.25">
      <c r="A109" s="2" t="s">
        <v>264</v>
      </c>
      <c r="B109" t="s">
        <v>396</v>
      </c>
      <c r="D109">
        <v>3667</v>
      </c>
      <c r="E109" t="str">
        <f t="shared" si="1"/>
        <v>ia.assorted_string like '%3667-11-2023%' or</v>
      </c>
    </row>
    <row r="110" spans="1:5" x14ac:dyDescent="0.25">
      <c r="A110" s="2" t="s">
        <v>266</v>
      </c>
      <c r="B110" t="s">
        <v>396</v>
      </c>
      <c r="D110">
        <v>3668</v>
      </c>
      <c r="E110" t="str">
        <f t="shared" si="1"/>
        <v>ia.assorted_string like '%3668-11-2023%' or</v>
      </c>
    </row>
    <row r="111" spans="1:5" x14ac:dyDescent="0.25">
      <c r="A111" s="2" t="s">
        <v>268</v>
      </c>
      <c r="B111" t="s">
        <v>397</v>
      </c>
      <c r="D111">
        <v>3670</v>
      </c>
      <c r="E111" t="str">
        <f t="shared" si="1"/>
        <v>ia.assorted_string like '%3670-12-2023%' or</v>
      </c>
    </row>
    <row r="112" spans="1:5" x14ac:dyDescent="0.25">
      <c r="A112" s="2" t="s">
        <v>270</v>
      </c>
      <c r="B112" t="s">
        <v>397</v>
      </c>
      <c r="D112">
        <v>3673</v>
      </c>
      <c r="E112" t="str">
        <f t="shared" si="1"/>
        <v>ia.assorted_string like '%3673-12-2023%' or</v>
      </c>
    </row>
    <row r="113" spans="1:5" x14ac:dyDescent="0.25">
      <c r="A113" s="2" t="s">
        <v>272</v>
      </c>
      <c r="B113" t="s">
        <v>397</v>
      </c>
      <c r="D113">
        <v>3699</v>
      </c>
      <c r="E113" t="str">
        <f t="shared" si="1"/>
        <v>ia.assorted_string like '%3699-12-2023%' or</v>
      </c>
    </row>
    <row r="114" spans="1:5" x14ac:dyDescent="0.25">
      <c r="A114" s="2" t="s">
        <v>274</v>
      </c>
      <c r="B114" t="s">
        <v>397</v>
      </c>
      <c r="D114">
        <v>3816</v>
      </c>
      <c r="E114" t="str">
        <f t="shared" si="1"/>
        <v>ia.assorted_string like '%3816-12-2023%' or</v>
      </c>
    </row>
    <row r="115" spans="1:5" x14ac:dyDescent="0.25">
      <c r="A115" s="2" t="s">
        <v>275</v>
      </c>
      <c r="B115" t="s">
        <v>397</v>
      </c>
      <c r="D115">
        <v>3700</v>
      </c>
      <c r="E115" t="str">
        <f t="shared" si="1"/>
        <v>ia.assorted_string like '%3700-12-2023%' or</v>
      </c>
    </row>
    <row r="116" spans="1:5" x14ac:dyDescent="0.25">
      <c r="A116" s="2" t="s">
        <v>277</v>
      </c>
      <c r="B116" t="s">
        <v>397</v>
      </c>
      <c r="D116">
        <v>3702</v>
      </c>
      <c r="E116" t="str">
        <f t="shared" si="1"/>
        <v>ia.assorted_string like '%3702-12-2023%' or</v>
      </c>
    </row>
    <row r="117" spans="1:5" x14ac:dyDescent="0.25">
      <c r="A117" s="2" t="s">
        <v>279</v>
      </c>
      <c r="B117" t="s">
        <v>397</v>
      </c>
      <c r="D117">
        <v>3703</v>
      </c>
      <c r="E117" t="str">
        <f t="shared" si="1"/>
        <v>ia.assorted_string like '%3703-12-2023%' or</v>
      </c>
    </row>
    <row r="118" spans="1:5" x14ac:dyDescent="0.25">
      <c r="A118" s="2" t="s">
        <v>281</v>
      </c>
      <c r="B118" t="s">
        <v>397</v>
      </c>
      <c r="D118">
        <v>3716</v>
      </c>
      <c r="E118" t="str">
        <f t="shared" si="1"/>
        <v>ia.assorted_string like '%3716-12-2023%' or</v>
      </c>
    </row>
    <row r="119" spans="1:5" x14ac:dyDescent="0.25">
      <c r="A119" s="2" t="s">
        <v>283</v>
      </c>
      <c r="B119" t="s">
        <v>397</v>
      </c>
      <c r="D119">
        <v>3717</v>
      </c>
      <c r="E119" t="str">
        <f t="shared" si="1"/>
        <v>ia.assorted_string like '%3717-12-2023%' or</v>
      </c>
    </row>
    <row r="120" spans="1:5" x14ac:dyDescent="0.25">
      <c r="A120" s="2" t="s">
        <v>285</v>
      </c>
      <c r="B120" t="s">
        <v>397</v>
      </c>
      <c r="D120">
        <v>3718</v>
      </c>
      <c r="E120" t="str">
        <f t="shared" si="1"/>
        <v>ia.assorted_string like '%3718-12-2023%' or</v>
      </c>
    </row>
    <row r="121" spans="1:5" x14ac:dyDescent="0.25">
      <c r="A121" s="2" t="s">
        <v>287</v>
      </c>
      <c r="B121" t="s">
        <v>397</v>
      </c>
      <c r="D121">
        <v>3719</v>
      </c>
      <c r="E121" t="str">
        <f t="shared" si="1"/>
        <v>ia.assorted_string like '%3719-12-2023%' or</v>
      </c>
    </row>
    <row r="122" spans="1:5" x14ac:dyDescent="0.25">
      <c r="A122" s="2" t="s">
        <v>289</v>
      </c>
      <c r="B122" t="s">
        <v>397</v>
      </c>
      <c r="D122">
        <v>3721</v>
      </c>
      <c r="E122" t="str">
        <f t="shared" si="1"/>
        <v>ia.assorted_string like '%3721-12-2023%' or</v>
      </c>
    </row>
    <row r="123" spans="1:5" x14ac:dyDescent="0.25">
      <c r="A123" s="2" t="s">
        <v>291</v>
      </c>
      <c r="B123" t="s">
        <v>397</v>
      </c>
      <c r="D123">
        <v>3725</v>
      </c>
      <c r="E123" t="str">
        <f t="shared" si="1"/>
        <v>ia.assorted_string like '%3725-12-2023%' or</v>
      </c>
    </row>
    <row r="124" spans="1:5" x14ac:dyDescent="0.25">
      <c r="A124" s="2" t="s">
        <v>293</v>
      </c>
      <c r="B124" t="s">
        <v>398</v>
      </c>
      <c r="D124">
        <v>3876</v>
      </c>
      <c r="E124" t="str">
        <f t="shared" si="1"/>
        <v>ia.assorted_string like '%3876-02-2024%' or</v>
      </c>
    </row>
    <row r="125" spans="1:5" x14ac:dyDescent="0.25">
      <c r="A125" s="2" t="s">
        <v>294</v>
      </c>
      <c r="B125" t="s">
        <v>398</v>
      </c>
      <c r="D125">
        <v>3878</v>
      </c>
      <c r="E125" t="str">
        <f t="shared" si="1"/>
        <v>ia.assorted_string like '%3878-02-2024%' or</v>
      </c>
    </row>
    <row r="126" spans="1:5" x14ac:dyDescent="0.25">
      <c r="A126" s="2" t="s">
        <v>295</v>
      </c>
      <c r="B126" t="s">
        <v>398</v>
      </c>
      <c r="D126">
        <v>3879</v>
      </c>
      <c r="E126" t="str">
        <f t="shared" si="1"/>
        <v>ia.assorted_string like '%3879-02-2024%' or</v>
      </c>
    </row>
    <row r="127" spans="1:5" x14ac:dyDescent="0.25">
      <c r="A127" s="2" t="s">
        <v>297</v>
      </c>
      <c r="B127" t="s">
        <v>398</v>
      </c>
      <c r="D127">
        <v>3880</v>
      </c>
      <c r="E127" t="str">
        <f t="shared" si="1"/>
        <v>ia.assorted_string like '%3880-02-2024%' or</v>
      </c>
    </row>
    <row r="128" spans="1:5" x14ac:dyDescent="0.25">
      <c r="A128" s="2" t="s">
        <v>299</v>
      </c>
      <c r="B128" t="s">
        <v>398</v>
      </c>
      <c r="D128">
        <v>3881</v>
      </c>
      <c r="E128" t="str">
        <f t="shared" si="1"/>
        <v>ia.assorted_string like '%3881-02-2024%' or</v>
      </c>
    </row>
    <row r="129" spans="1:5" x14ac:dyDescent="0.25">
      <c r="A129" s="2" t="s">
        <v>301</v>
      </c>
      <c r="B129" t="s">
        <v>398</v>
      </c>
      <c r="D129">
        <v>3884</v>
      </c>
      <c r="E129" t="str">
        <f t="shared" si="1"/>
        <v>ia.assorted_string like '%3884-02-2024%' or</v>
      </c>
    </row>
    <row r="130" spans="1:5" x14ac:dyDescent="0.25">
      <c r="A130" s="2" t="s">
        <v>303</v>
      </c>
      <c r="B130" t="s">
        <v>398</v>
      </c>
      <c r="D130">
        <v>3886</v>
      </c>
      <c r="E130" t="str">
        <f t="shared" ref="E130:E184" si="2">"ia.assorted_string like '%"&amp;D130&amp;B130&amp;"%' or"</f>
        <v>ia.assorted_string like '%3886-02-2024%' or</v>
      </c>
    </row>
    <row r="131" spans="1:5" x14ac:dyDescent="0.25">
      <c r="A131" s="2" t="s">
        <v>305</v>
      </c>
      <c r="B131" t="s">
        <v>398</v>
      </c>
      <c r="D131">
        <v>3887</v>
      </c>
      <c r="E131" t="str">
        <f t="shared" si="2"/>
        <v>ia.assorted_string like '%3887-02-2024%' or</v>
      </c>
    </row>
    <row r="132" spans="1:5" x14ac:dyDescent="0.25">
      <c r="A132" s="2" t="s">
        <v>307</v>
      </c>
      <c r="B132" t="s">
        <v>398</v>
      </c>
      <c r="D132">
        <v>3888</v>
      </c>
      <c r="E132" t="str">
        <f t="shared" si="2"/>
        <v>ia.assorted_string like '%3888-02-2024%' or</v>
      </c>
    </row>
    <row r="133" spans="1:5" x14ac:dyDescent="0.25">
      <c r="A133" s="2" t="s">
        <v>309</v>
      </c>
      <c r="B133" t="s">
        <v>398</v>
      </c>
      <c r="D133">
        <v>3889</v>
      </c>
      <c r="E133" t="str">
        <f t="shared" si="2"/>
        <v>ia.assorted_string like '%3889-02-2024%' or</v>
      </c>
    </row>
    <row r="134" spans="1:5" x14ac:dyDescent="0.25">
      <c r="A134" s="2" t="s">
        <v>311</v>
      </c>
      <c r="B134" t="s">
        <v>398</v>
      </c>
      <c r="D134">
        <v>3890</v>
      </c>
      <c r="E134" t="str">
        <f t="shared" si="2"/>
        <v>ia.assorted_string like '%3890-02-2024%' or</v>
      </c>
    </row>
    <row r="135" spans="1:5" x14ac:dyDescent="0.25">
      <c r="A135" s="2" t="s">
        <v>313</v>
      </c>
      <c r="B135" t="s">
        <v>398</v>
      </c>
      <c r="D135">
        <v>3891</v>
      </c>
      <c r="E135" t="str">
        <f t="shared" si="2"/>
        <v>ia.assorted_string like '%3891-02-2024%' or</v>
      </c>
    </row>
    <row r="136" spans="1:5" x14ac:dyDescent="0.25">
      <c r="A136" s="2" t="s">
        <v>315</v>
      </c>
      <c r="B136" t="s">
        <v>398</v>
      </c>
      <c r="D136">
        <v>3893</v>
      </c>
      <c r="E136" t="str">
        <f t="shared" si="2"/>
        <v>ia.assorted_string like '%3893-02-2024%' or</v>
      </c>
    </row>
    <row r="137" spans="1:5" x14ac:dyDescent="0.25">
      <c r="A137" s="2" t="s">
        <v>316</v>
      </c>
      <c r="B137" t="s">
        <v>398</v>
      </c>
      <c r="D137">
        <v>3896</v>
      </c>
      <c r="E137" t="str">
        <f t="shared" si="2"/>
        <v>ia.assorted_string like '%3896-02-2024%' or</v>
      </c>
    </row>
    <row r="138" spans="1:5" x14ac:dyDescent="0.25">
      <c r="A138" s="2" t="s">
        <v>318</v>
      </c>
      <c r="B138" t="s">
        <v>398</v>
      </c>
      <c r="D138">
        <v>3897</v>
      </c>
      <c r="E138" t="str">
        <f t="shared" si="2"/>
        <v>ia.assorted_string like '%3897-02-2024%' or</v>
      </c>
    </row>
    <row r="139" spans="1:5" x14ac:dyDescent="0.25">
      <c r="A139" s="2" t="s">
        <v>322</v>
      </c>
      <c r="B139" t="s">
        <v>398</v>
      </c>
      <c r="D139">
        <v>3901</v>
      </c>
      <c r="E139" t="str">
        <f t="shared" si="2"/>
        <v>ia.assorted_string like '%3901-02-2024%' or</v>
      </c>
    </row>
    <row r="140" spans="1:5" x14ac:dyDescent="0.25">
      <c r="A140" s="2" t="s">
        <v>324</v>
      </c>
      <c r="B140" t="s">
        <v>398</v>
      </c>
      <c r="D140">
        <v>3905</v>
      </c>
      <c r="E140" t="str">
        <f t="shared" si="2"/>
        <v>ia.assorted_string like '%3905-02-2024%' or</v>
      </c>
    </row>
    <row r="141" spans="1:5" x14ac:dyDescent="0.25">
      <c r="A141" s="2" t="s">
        <v>325</v>
      </c>
      <c r="B141" t="s">
        <v>398</v>
      </c>
      <c r="D141">
        <v>3906</v>
      </c>
      <c r="E141" t="str">
        <f t="shared" si="2"/>
        <v>ia.assorted_string like '%3906-02-2024%' or</v>
      </c>
    </row>
    <row r="142" spans="1:5" x14ac:dyDescent="0.25">
      <c r="A142" s="2" t="s">
        <v>326</v>
      </c>
      <c r="B142" t="s">
        <v>398</v>
      </c>
      <c r="D142">
        <v>3907</v>
      </c>
      <c r="E142" t="str">
        <f t="shared" si="2"/>
        <v>ia.assorted_string like '%3907-02-2024%' or</v>
      </c>
    </row>
    <row r="143" spans="1:5" x14ac:dyDescent="0.25">
      <c r="A143" s="2" t="s">
        <v>327</v>
      </c>
      <c r="B143" t="s">
        <v>398</v>
      </c>
      <c r="D143">
        <v>3908</v>
      </c>
      <c r="E143" t="str">
        <f t="shared" si="2"/>
        <v>ia.assorted_string like '%3908-02-2024%' or</v>
      </c>
    </row>
    <row r="144" spans="1:5" x14ac:dyDescent="0.25">
      <c r="A144" s="2" t="s">
        <v>328</v>
      </c>
      <c r="B144" t="s">
        <v>398</v>
      </c>
      <c r="D144">
        <v>3910</v>
      </c>
      <c r="E144" t="str">
        <f t="shared" si="2"/>
        <v>ia.assorted_string like '%3910-02-2024%' or</v>
      </c>
    </row>
    <row r="145" spans="1:5" x14ac:dyDescent="0.25">
      <c r="A145" s="2" t="s">
        <v>329</v>
      </c>
      <c r="B145" t="s">
        <v>398</v>
      </c>
      <c r="D145">
        <v>3911</v>
      </c>
      <c r="E145" t="str">
        <f t="shared" si="2"/>
        <v>ia.assorted_string like '%3911-02-2024%' or</v>
      </c>
    </row>
    <row r="146" spans="1:5" x14ac:dyDescent="0.25">
      <c r="A146" s="2" t="s">
        <v>331</v>
      </c>
      <c r="B146" t="s">
        <v>398</v>
      </c>
      <c r="D146">
        <v>3913</v>
      </c>
      <c r="E146" t="str">
        <f t="shared" si="2"/>
        <v>ia.assorted_string like '%3913-02-2024%' or</v>
      </c>
    </row>
    <row r="147" spans="1:5" x14ac:dyDescent="0.25">
      <c r="A147" s="2" t="s">
        <v>333</v>
      </c>
      <c r="B147" t="s">
        <v>398</v>
      </c>
      <c r="D147">
        <v>3916</v>
      </c>
      <c r="E147" t="str">
        <f t="shared" si="2"/>
        <v>ia.assorted_string like '%3916-02-2024%' or</v>
      </c>
    </row>
    <row r="148" spans="1:5" x14ac:dyDescent="0.25">
      <c r="A148" s="2" t="s">
        <v>334</v>
      </c>
      <c r="B148" t="s">
        <v>398</v>
      </c>
      <c r="D148">
        <v>3917</v>
      </c>
      <c r="E148" t="str">
        <f t="shared" si="2"/>
        <v>ia.assorted_string like '%3917-02-2024%' or</v>
      </c>
    </row>
    <row r="149" spans="1:5" x14ac:dyDescent="0.25">
      <c r="A149" s="2" t="s">
        <v>335</v>
      </c>
      <c r="B149" t="s">
        <v>398</v>
      </c>
      <c r="D149">
        <v>3918</v>
      </c>
      <c r="E149" t="str">
        <f t="shared" si="2"/>
        <v>ia.assorted_string like '%3918-02-2024%' or</v>
      </c>
    </row>
    <row r="150" spans="1:5" x14ac:dyDescent="0.25">
      <c r="A150" s="2" t="s">
        <v>336</v>
      </c>
      <c r="B150" t="s">
        <v>398</v>
      </c>
      <c r="D150">
        <v>3919</v>
      </c>
      <c r="E150" t="str">
        <f t="shared" si="2"/>
        <v>ia.assorted_string like '%3919-02-2024%' or</v>
      </c>
    </row>
    <row r="151" spans="1:5" x14ac:dyDescent="0.25">
      <c r="A151" s="2" t="s">
        <v>337</v>
      </c>
      <c r="B151" t="s">
        <v>398</v>
      </c>
      <c r="D151">
        <v>3920</v>
      </c>
      <c r="E151" t="str">
        <f t="shared" si="2"/>
        <v>ia.assorted_string like '%3920-02-2024%' or</v>
      </c>
    </row>
    <row r="152" spans="1:5" x14ac:dyDescent="0.25">
      <c r="A152" s="2" t="s">
        <v>339</v>
      </c>
      <c r="B152" t="s">
        <v>398</v>
      </c>
      <c r="D152">
        <v>3929</v>
      </c>
      <c r="E152" t="str">
        <f t="shared" si="2"/>
        <v>ia.assorted_string like '%3929-02-2024%' or</v>
      </c>
    </row>
    <row r="153" spans="1:5" x14ac:dyDescent="0.25">
      <c r="A153" s="2" t="s">
        <v>341</v>
      </c>
      <c r="B153" t="s">
        <v>398</v>
      </c>
      <c r="D153">
        <v>3930</v>
      </c>
      <c r="E153" t="str">
        <f t="shared" si="2"/>
        <v>ia.assorted_string like '%3930-02-2024%' or</v>
      </c>
    </row>
    <row r="154" spans="1:5" x14ac:dyDescent="0.25">
      <c r="A154" s="2" t="s">
        <v>342</v>
      </c>
      <c r="B154" t="s">
        <v>398</v>
      </c>
      <c r="D154">
        <v>3931</v>
      </c>
      <c r="E154" t="str">
        <f t="shared" si="2"/>
        <v>ia.assorted_string like '%3931-02-2024%' or</v>
      </c>
    </row>
    <row r="155" spans="1:5" x14ac:dyDescent="0.25">
      <c r="A155" s="2" t="s">
        <v>344</v>
      </c>
      <c r="B155" t="s">
        <v>398</v>
      </c>
      <c r="D155">
        <v>3932</v>
      </c>
      <c r="E155" t="str">
        <f t="shared" si="2"/>
        <v>ia.assorted_string like '%3932-02-2024%' or</v>
      </c>
    </row>
    <row r="156" spans="1:5" x14ac:dyDescent="0.25">
      <c r="A156" s="2" t="s">
        <v>345</v>
      </c>
      <c r="B156" t="s">
        <v>398</v>
      </c>
      <c r="D156">
        <v>3933</v>
      </c>
      <c r="E156" t="str">
        <f t="shared" si="2"/>
        <v>ia.assorted_string like '%3933-02-2024%' or</v>
      </c>
    </row>
    <row r="157" spans="1:5" x14ac:dyDescent="0.25">
      <c r="A157" s="2" t="s">
        <v>347</v>
      </c>
      <c r="B157" t="s">
        <v>398</v>
      </c>
      <c r="D157">
        <v>3946</v>
      </c>
      <c r="E157" t="str">
        <f t="shared" si="2"/>
        <v>ia.assorted_string like '%3946-02-2024%' or</v>
      </c>
    </row>
    <row r="158" spans="1:5" x14ac:dyDescent="0.25">
      <c r="A158" s="2" t="s">
        <v>348</v>
      </c>
      <c r="B158" t="s">
        <v>398</v>
      </c>
      <c r="D158">
        <v>3947</v>
      </c>
      <c r="E158" t="str">
        <f t="shared" si="2"/>
        <v>ia.assorted_string like '%3947-02-2024%' or</v>
      </c>
    </row>
    <row r="159" spans="1:5" x14ac:dyDescent="0.25">
      <c r="A159" s="2" t="s">
        <v>350</v>
      </c>
      <c r="B159" t="s">
        <v>398</v>
      </c>
      <c r="D159">
        <v>3948</v>
      </c>
      <c r="E159" t="str">
        <f t="shared" si="2"/>
        <v>ia.assorted_string like '%3948-02-2024%' or</v>
      </c>
    </row>
    <row r="160" spans="1:5" x14ac:dyDescent="0.25">
      <c r="A160" s="2" t="s">
        <v>352</v>
      </c>
      <c r="B160" t="s">
        <v>398</v>
      </c>
      <c r="D160">
        <v>3951</v>
      </c>
      <c r="E160" t="str">
        <f t="shared" si="2"/>
        <v>ia.assorted_string like '%3951-02-2024%' or</v>
      </c>
    </row>
    <row r="161" spans="1:5" x14ac:dyDescent="0.25">
      <c r="A161" s="2" t="s">
        <v>354</v>
      </c>
      <c r="B161" t="s">
        <v>398</v>
      </c>
      <c r="D161">
        <v>3952</v>
      </c>
      <c r="E161" t="str">
        <f t="shared" si="2"/>
        <v>ia.assorted_string like '%3952-02-2024%' or</v>
      </c>
    </row>
    <row r="162" spans="1:5" x14ac:dyDescent="0.25">
      <c r="A162" s="2" t="s">
        <v>356</v>
      </c>
      <c r="B162" t="s">
        <v>398</v>
      </c>
      <c r="D162">
        <v>3953</v>
      </c>
      <c r="E162" t="str">
        <f t="shared" si="2"/>
        <v>ia.assorted_string like '%3953-02-2024%' or</v>
      </c>
    </row>
    <row r="163" spans="1:5" x14ac:dyDescent="0.25">
      <c r="A163" s="2" t="s">
        <v>359</v>
      </c>
      <c r="B163" t="s">
        <v>398</v>
      </c>
      <c r="D163">
        <v>3957</v>
      </c>
      <c r="E163" t="str">
        <f t="shared" si="2"/>
        <v>ia.assorted_string like '%3957-02-2024%' or</v>
      </c>
    </row>
    <row r="164" spans="1:5" x14ac:dyDescent="0.25">
      <c r="A164" s="2" t="s">
        <v>360</v>
      </c>
      <c r="B164" t="s">
        <v>398</v>
      </c>
      <c r="D164">
        <v>3958</v>
      </c>
      <c r="E164" t="str">
        <f t="shared" si="2"/>
        <v>ia.assorted_string like '%3958-02-2024%' or</v>
      </c>
    </row>
    <row r="165" spans="1:5" x14ac:dyDescent="0.25">
      <c r="A165" s="2" t="s">
        <v>362</v>
      </c>
      <c r="B165" t="s">
        <v>398</v>
      </c>
      <c r="D165">
        <v>3959</v>
      </c>
      <c r="E165" t="str">
        <f t="shared" si="2"/>
        <v>ia.assorted_string like '%3959-02-2024%' or</v>
      </c>
    </row>
    <row r="166" spans="1:5" x14ac:dyDescent="0.25">
      <c r="A166" s="2" t="s">
        <v>363</v>
      </c>
      <c r="B166" t="s">
        <v>398</v>
      </c>
      <c r="D166">
        <v>3960</v>
      </c>
      <c r="E166" t="str">
        <f t="shared" si="2"/>
        <v>ia.assorted_string like '%3960-02-2024%' or</v>
      </c>
    </row>
    <row r="167" spans="1:5" x14ac:dyDescent="0.25">
      <c r="A167" s="2" t="s">
        <v>365</v>
      </c>
      <c r="B167" t="s">
        <v>398</v>
      </c>
      <c r="D167">
        <v>3961</v>
      </c>
      <c r="E167" t="str">
        <f t="shared" si="2"/>
        <v>ia.assorted_string like '%3961-02-2024%' or</v>
      </c>
    </row>
    <row r="168" spans="1:5" x14ac:dyDescent="0.25">
      <c r="A168" s="2" t="s">
        <v>367</v>
      </c>
      <c r="B168" t="s">
        <v>398</v>
      </c>
      <c r="D168">
        <v>3963</v>
      </c>
      <c r="E168" t="str">
        <f t="shared" si="2"/>
        <v>ia.assorted_string like '%3963-02-2024%' or</v>
      </c>
    </row>
    <row r="169" spans="1:5" x14ac:dyDescent="0.25">
      <c r="A169" s="2" t="s">
        <v>369</v>
      </c>
      <c r="B169" t="s">
        <v>398</v>
      </c>
      <c r="D169">
        <v>3965</v>
      </c>
      <c r="E169" t="str">
        <f t="shared" si="2"/>
        <v>ia.assorted_string like '%3965-02-2024%' or</v>
      </c>
    </row>
    <row r="170" spans="1:5" x14ac:dyDescent="0.25">
      <c r="A170" s="2" t="s">
        <v>371</v>
      </c>
      <c r="B170" t="s">
        <v>398</v>
      </c>
      <c r="D170">
        <v>3967</v>
      </c>
      <c r="E170" t="str">
        <f t="shared" si="2"/>
        <v>ia.assorted_string like '%3967-02-2024%' or</v>
      </c>
    </row>
    <row r="171" spans="1:5" x14ac:dyDescent="0.25">
      <c r="A171" s="2" t="s">
        <v>373</v>
      </c>
      <c r="B171" t="s">
        <v>398</v>
      </c>
      <c r="D171">
        <v>3969</v>
      </c>
      <c r="E171" t="str">
        <f t="shared" si="2"/>
        <v>ia.assorted_string like '%3969-02-2024%' or</v>
      </c>
    </row>
    <row r="172" spans="1:5" x14ac:dyDescent="0.25">
      <c r="A172" s="2" t="s">
        <v>375</v>
      </c>
      <c r="B172" t="s">
        <v>398</v>
      </c>
      <c r="D172">
        <v>3970</v>
      </c>
      <c r="E172" t="str">
        <f t="shared" si="2"/>
        <v>ia.assorted_string like '%3970-02-2024%' or</v>
      </c>
    </row>
    <row r="173" spans="1:5" x14ac:dyDescent="0.25">
      <c r="A173" s="2" t="s">
        <v>378</v>
      </c>
      <c r="B173" t="s">
        <v>398</v>
      </c>
      <c r="D173">
        <v>3972</v>
      </c>
      <c r="E173" t="str">
        <f t="shared" si="2"/>
        <v>ia.assorted_string like '%3972-02-2024%' or</v>
      </c>
    </row>
    <row r="174" spans="1:5" x14ac:dyDescent="0.25">
      <c r="A174" s="2" t="s">
        <v>380</v>
      </c>
      <c r="B174" t="s">
        <v>398</v>
      </c>
      <c r="D174">
        <v>3974</v>
      </c>
      <c r="E174" t="str">
        <f t="shared" si="2"/>
        <v>ia.assorted_string like '%3974-02-2024%' or</v>
      </c>
    </row>
    <row r="175" spans="1:5" x14ac:dyDescent="0.25">
      <c r="A175" s="2" t="s">
        <v>381</v>
      </c>
      <c r="B175" t="s">
        <v>398</v>
      </c>
      <c r="D175">
        <v>3976</v>
      </c>
      <c r="E175" t="str">
        <f t="shared" si="2"/>
        <v>ia.assorted_string like '%3976-02-2024%' or</v>
      </c>
    </row>
    <row r="176" spans="1:5" x14ac:dyDescent="0.25">
      <c r="A176" s="2" t="s">
        <v>383</v>
      </c>
      <c r="B176" t="s">
        <v>398</v>
      </c>
      <c r="D176">
        <v>3980</v>
      </c>
      <c r="E176" t="str">
        <f t="shared" si="2"/>
        <v>ia.assorted_string like '%3980-02-2024%' or</v>
      </c>
    </row>
    <row r="177" spans="1:5" x14ac:dyDescent="0.25">
      <c r="A177" s="2" t="s">
        <v>384</v>
      </c>
      <c r="B177" t="s">
        <v>398</v>
      </c>
      <c r="D177">
        <v>3983</v>
      </c>
      <c r="E177" t="str">
        <f t="shared" si="2"/>
        <v>ia.assorted_string like '%3983-02-2024%' or</v>
      </c>
    </row>
    <row r="178" spans="1:5" x14ac:dyDescent="0.25">
      <c r="A178" s="2" t="s">
        <v>385</v>
      </c>
      <c r="B178" t="s">
        <v>398</v>
      </c>
      <c r="D178">
        <v>3984</v>
      </c>
      <c r="E178" t="str">
        <f t="shared" si="2"/>
        <v>ia.assorted_string like '%3984-02-2024%' or</v>
      </c>
    </row>
    <row r="179" spans="1:5" x14ac:dyDescent="0.25">
      <c r="A179" s="2" t="s">
        <v>386</v>
      </c>
      <c r="B179" t="s">
        <v>398</v>
      </c>
      <c r="D179">
        <v>3985</v>
      </c>
      <c r="E179" t="str">
        <f t="shared" si="2"/>
        <v>ia.assorted_string like '%3985-02-2024%' or</v>
      </c>
    </row>
    <row r="180" spans="1:5" x14ac:dyDescent="0.25">
      <c r="A180" s="2" t="s">
        <v>387</v>
      </c>
      <c r="B180" t="s">
        <v>398</v>
      </c>
      <c r="D180">
        <v>3986</v>
      </c>
      <c r="E180" t="str">
        <f t="shared" si="2"/>
        <v>ia.assorted_string like '%3986-02-2024%' or</v>
      </c>
    </row>
    <row r="181" spans="1:5" x14ac:dyDescent="0.25">
      <c r="A181" s="2" t="s">
        <v>388</v>
      </c>
      <c r="B181" t="s">
        <v>398</v>
      </c>
      <c r="D181">
        <v>3987</v>
      </c>
      <c r="E181" t="str">
        <f t="shared" si="2"/>
        <v>ia.assorted_string like '%3987-02-2024%' or</v>
      </c>
    </row>
    <row r="182" spans="1:5" x14ac:dyDescent="0.25">
      <c r="A182" s="2" t="s">
        <v>389</v>
      </c>
      <c r="B182" t="s">
        <v>398</v>
      </c>
      <c r="D182">
        <v>3988</v>
      </c>
      <c r="E182" t="str">
        <f t="shared" si="2"/>
        <v>ia.assorted_string like '%3988-02-2024%' or</v>
      </c>
    </row>
    <row r="183" spans="1:5" x14ac:dyDescent="0.25">
      <c r="A183" s="2" t="s">
        <v>390</v>
      </c>
      <c r="B183" t="s">
        <v>398</v>
      </c>
      <c r="D183">
        <v>3992</v>
      </c>
      <c r="E183" t="str">
        <f t="shared" si="2"/>
        <v>ia.assorted_string like '%3992-02-2024%' or</v>
      </c>
    </row>
    <row r="184" spans="1:5" x14ac:dyDescent="0.25">
      <c r="A184" s="2" t="s">
        <v>392</v>
      </c>
      <c r="B184" t="s">
        <v>398</v>
      </c>
      <c r="D184">
        <v>3994</v>
      </c>
      <c r="E184" t="str">
        <f t="shared" si="2"/>
        <v>ia.assorted_string like '%3994-02-2024%' or</v>
      </c>
    </row>
  </sheetData>
  <conditionalFormatting sqref="A1:A184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3DF3-FA55-457E-8444-5B60BA4F88C2}">
  <dimension ref="A1:C389"/>
  <sheetViews>
    <sheetView workbookViewId="0">
      <selection activeCell="K14" sqref="K14"/>
    </sheetView>
  </sheetViews>
  <sheetFormatPr defaultColWidth="7.85546875" defaultRowHeight="15" x14ac:dyDescent="0.25"/>
  <cols>
    <col min="1" max="1" width="3.140625" customWidth="1"/>
    <col min="2" max="2" width="43" bestFit="1" customWidth="1"/>
    <col min="3" max="3" width="13.85546875" customWidth="1"/>
  </cols>
  <sheetData>
    <row r="1" spans="1:3" s="8" customFormat="1" ht="12" x14ac:dyDescent="0.2">
      <c r="A1" s="8" t="s">
        <v>399</v>
      </c>
      <c r="B1" s="8" t="s">
        <v>400</v>
      </c>
      <c r="C1" s="8" t="s">
        <v>401</v>
      </c>
    </row>
    <row r="2" spans="1:3" x14ac:dyDescent="0.25">
      <c r="A2">
        <v>1</v>
      </c>
      <c r="B2" t="s">
        <v>260</v>
      </c>
      <c r="C2" t="s">
        <v>402</v>
      </c>
    </row>
    <row r="3" spans="1:3" x14ac:dyDescent="0.25">
      <c r="A3">
        <v>2</v>
      </c>
      <c r="B3" t="s">
        <v>92</v>
      </c>
      <c r="C3" t="s">
        <v>403</v>
      </c>
    </row>
    <row r="4" spans="1:3" x14ac:dyDescent="0.25">
      <c r="A4">
        <v>3</v>
      </c>
      <c r="B4" t="s">
        <v>90</v>
      </c>
      <c r="C4" t="s">
        <v>404</v>
      </c>
    </row>
    <row r="5" spans="1:3" x14ac:dyDescent="0.25">
      <c r="A5">
        <v>4</v>
      </c>
      <c r="B5" t="s">
        <v>405</v>
      </c>
      <c r="C5" t="s">
        <v>406</v>
      </c>
    </row>
    <row r="6" spans="1:3" x14ac:dyDescent="0.25">
      <c r="A6">
        <v>5</v>
      </c>
      <c r="B6" t="s">
        <v>179</v>
      </c>
      <c r="C6" t="s">
        <v>407</v>
      </c>
    </row>
    <row r="7" spans="1:3" x14ac:dyDescent="0.25">
      <c r="A7">
        <v>6</v>
      </c>
      <c r="B7" t="s">
        <v>408</v>
      </c>
      <c r="C7" t="s">
        <v>409</v>
      </c>
    </row>
    <row r="8" spans="1:3" x14ac:dyDescent="0.25">
      <c r="A8">
        <v>7</v>
      </c>
      <c r="B8" t="s">
        <v>289</v>
      </c>
      <c r="C8" t="s">
        <v>410</v>
      </c>
    </row>
    <row r="9" spans="1:3" x14ac:dyDescent="0.25">
      <c r="A9">
        <v>8</v>
      </c>
      <c r="B9" t="s">
        <v>411</v>
      </c>
      <c r="C9" t="s">
        <v>412</v>
      </c>
    </row>
    <row r="10" spans="1:3" x14ac:dyDescent="0.25">
      <c r="A10">
        <v>9</v>
      </c>
      <c r="B10" t="s">
        <v>187</v>
      </c>
      <c r="C10" t="s">
        <v>413</v>
      </c>
    </row>
    <row r="11" spans="1:3" x14ac:dyDescent="0.25">
      <c r="A11">
        <v>10</v>
      </c>
      <c r="B11" t="s">
        <v>66</v>
      </c>
      <c r="C11" t="s">
        <v>414</v>
      </c>
    </row>
    <row r="12" spans="1:3" x14ac:dyDescent="0.25">
      <c r="A12">
        <v>11</v>
      </c>
      <c r="B12" t="s">
        <v>248</v>
      </c>
      <c r="C12" t="s">
        <v>415</v>
      </c>
    </row>
    <row r="13" spans="1:3" x14ac:dyDescent="0.25">
      <c r="A13">
        <v>12</v>
      </c>
      <c r="B13" t="s">
        <v>258</v>
      </c>
      <c r="C13" t="s">
        <v>416</v>
      </c>
    </row>
    <row r="14" spans="1:3" x14ac:dyDescent="0.25">
      <c r="A14">
        <v>13</v>
      </c>
      <c r="B14" t="s">
        <v>244</v>
      </c>
      <c r="C14" t="s">
        <v>417</v>
      </c>
    </row>
    <row r="15" spans="1:3" x14ac:dyDescent="0.25">
      <c r="A15">
        <v>14</v>
      </c>
      <c r="B15" t="s">
        <v>266</v>
      </c>
      <c r="C15" t="s">
        <v>418</v>
      </c>
    </row>
    <row r="16" spans="1:3" x14ac:dyDescent="0.25">
      <c r="A16">
        <v>15</v>
      </c>
      <c r="B16" t="s">
        <v>112</v>
      </c>
      <c r="C16" t="s">
        <v>419</v>
      </c>
    </row>
    <row r="17" spans="1:3" x14ac:dyDescent="0.25">
      <c r="A17">
        <v>16</v>
      </c>
      <c r="B17" t="s">
        <v>119</v>
      </c>
      <c r="C17" t="s">
        <v>420</v>
      </c>
    </row>
    <row r="18" spans="1:3" x14ac:dyDescent="0.25">
      <c r="A18">
        <v>17</v>
      </c>
      <c r="B18" t="s">
        <v>121</v>
      </c>
      <c r="C18" t="s">
        <v>421</v>
      </c>
    </row>
    <row r="19" spans="1:3" x14ac:dyDescent="0.25">
      <c r="A19">
        <v>18</v>
      </c>
      <c r="B19" t="s">
        <v>123</v>
      </c>
      <c r="C19" t="s">
        <v>422</v>
      </c>
    </row>
    <row r="20" spans="1:3" x14ac:dyDescent="0.25">
      <c r="A20">
        <v>19</v>
      </c>
      <c r="B20" t="s">
        <v>423</v>
      </c>
      <c r="C20" t="s">
        <v>424</v>
      </c>
    </row>
    <row r="21" spans="1:3" x14ac:dyDescent="0.25">
      <c r="A21">
        <v>20</v>
      </c>
      <c r="B21" t="s">
        <v>161</v>
      </c>
      <c r="C21" t="s">
        <v>425</v>
      </c>
    </row>
    <row r="22" spans="1:3" x14ac:dyDescent="0.25">
      <c r="A22">
        <v>21</v>
      </c>
      <c r="B22" t="s">
        <v>426</v>
      </c>
      <c r="C22" t="s">
        <v>427</v>
      </c>
    </row>
    <row r="23" spans="1:3" x14ac:dyDescent="0.25">
      <c r="A23">
        <v>22</v>
      </c>
      <c r="B23" t="s">
        <v>428</v>
      </c>
      <c r="C23" t="s">
        <v>429</v>
      </c>
    </row>
    <row r="24" spans="1:3" x14ac:dyDescent="0.25">
      <c r="A24">
        <v>23</v>
      </c>
      <c r="B24" t="s">
        <v>430</v>
      </c>
      <c r="C24" t="s">
        <v>431</v>
      </c>
    </row>
    <row r="25" spans="1:3" x14ac:dyDescent="0.25">
      <c r="A25">
        <v>24</v>
      </c>
      <c r="B25" t="s">
        <v>432</v>
      </c>
      <c r="C25" t="s">
        <v>433</v>
      </c>
    </row>
    <row r="26" spans="1:3" x14ac:dyDescent="0.25">
      <c r="A26">
        <v>25</v>
      </c>
      <c r="B26" t="s">
        <v>224</v>
      </c>
      <c r="C26" t="s">
        <v>434</v>
      </c>
    </row>
    <row r="27" spans="1:3" x14ac:dyDescent="0.25">
      <c r="A27">
        <v>26</v>
      </c>
      <c r="B27" t="s">
        <v>435</v>
      </c>
      <c r="C27" t="s">
        <v>436</v>
      </c>
    </row>
    <row r="28" spans="1:3" x14ac:dyDescent="0.25">
      <c r="A28">
        <v>27</v>
      </c>
      <c r="B28" t="s">
        <v>437</v>
      </c>
      <c r="C28" t="s">
        <v>438</v>
      </c>
    </row>
    <row r="29" spans="1:3" x14ac:dyDescent="0.25">
      <c r="A29">
        <v>28</v>
      </c>
      <c r="B29" t="s">
        <v>246</v>
      </c>
      <c r="C29" t="s">
        <v>439</v>
      </c>
    </row>
    <row r="30" spans="1:3" x14ac:dyDescent="0.25">
      <c r="A30">
        <v>29</v>
      </c>
      <c r="B30" t="s">
        <v>137</v>
      </c>
      <c r="C30" t="s">
        <v>440</v>
      </c>
    </row>
    <row r="31" spans="1:3" x14ac:dyDescent="0.25">
      <c r="A31">
        <v>30</v>
      </c>
      <c r="B31" t="s">
        <v>143</v>
      </c>
      <c r="C31" t="s">
        <v>441</v>
      </c>
    </row>
    <row r="32" spans="1:3" x14ac:dyDescent="0.25">
      <c r="A32">
        <v>31</v>
      </c>
      <c r="B32" t="s">
        <v>442</v>
      </c>
      <c r="C32" t="s">
        <v>443</v>
      </c>
    </row>
    <row r="33" spans="1:3" x14ac:dyDescent="0.25">
      <c r="A33">
        <v>32</v>
      </c>
      <c r="B33" t="s">
        <v>444</v>
      </c>
      <c r="C33" t="s">
        <v>445</v>
      </c>
    </row>
    <row r="34" spans="1:3" x14ac:dyDescent="0.25">
      <c r="A34">
        <v>33</v>
      </c>
      <c r="B34" t="s">
        <v>177</v>
      </c>
      <c r="C34" t="s">
        <v>446</v>
      </c>
    </row>
    <row r="35" spans="1:3" x14ac:dyDescent="0.25">
      <c r="A35">
        <v>34</v>
      </c>
      <c r="B35" t="s">
        <v>268</v>
      </c>
      <c r="C35" t="s">
        <v>447</v>
      </c>
    </row>
    <row r="36" spans="1:3" x14ac:dyDescent="0.25">
      <c r="A36">
        <v>35</v>
      </c>
      <c r="B36" t="s">
        <v>283</v>
      </c>
      <c r="C36" t="s">
        <v>448</v>
      </c>
    </row>
    <row r="37" spans="1:3" x14ac:dyDescent="0.25">
      <c r="A37">
        <v>36</v>
      </c>
      <c r="B37" t="s">
        <v>94</v>
      </c>
      <c r="C37" t="s">
        <v>449</v>
      </c>
    </row>
    <row r="38" spans="1:3" x14ac:dyDescent="0.25">
      <c r="A38">
        <v>37</v>
      </c>
      <c r="B38" t="s">
        <v>281</v>
      </c>
      <c r="C38" t="s">
        <v>450</v>
      </c>
    </row>
    <row r="39" spans="1:3" x14ac:dyDescent="0.25">
      <c r="A39">
        <v>38</v>
      </c>
      <c r="B39" t="s">
        <v>210</v>
      </c>
      <c r="C39" t="s">
        <v>451</v>
      </c>
    </row>
    <row r="40" spans="1:3" x14ac:dyDescent="0.25">
      <c r="A40">
        <v>39</v>
      </c>
      <c r="B40" t="s">
        <v>452</v>
      </c>
      <c r="C40" t="s">
        <v>453</v>
      </c>
    </row>
    <row r="41" spans="1:3" x14ac:dyDescent="0.25">
      <c r="A41">
        <v>40</v>
      </c>
      <c r="B41" t="s">
        <v>454</v>
      </c>
      <c r="C41" t="s">
        <v>455</v>
      </c>
    </row>
    <row r="42" spans="1:3" x14ac:dyDescent="0.25">
      <c r="A42">
        <v>41</v>
      </c>
      <c r="B42" t="s">
        <v>163</v>
      </c>
      <c r="C42" t="s">
        <v>456</v>
      </c>
    </row>
    <row r="43" spans="1:3" x14ac:dyDescent="0.25">
      <c r="A43">
        <v>42</v>
      </c>
      <c r="B43" t="s">
        <v>72</v>
      </c>
      <c r="C43" t="s">
        <v>457</v>
      </c>
    </row>
    <row r="44" spans="1:3" x14ac:dyDescent="0.25">
      <c r="A44">
        <v>43</v>
      </c>
      <c r="B44" t="s">
        <v>60</v>
      </c>
      <c r="C44" t="s">
        <v>458</v>
      </c>
    </row>
    <row r="45" spans="1:3" x14ac:dyDescent="0.25">
      <c r="A45">
        <v>44</v>
      </c>
      <c r="B45" t="s">
        <v>183</v>
      </c>
      <c r="C45" t="s">
        <v>459</v>
      </c>
    </row>
    <row r="46" spans="1:3" x14ac:dyDescent="0.25">
      <c r="A46">
        <v>45</v>
      </c>
      <c r="B46" t="s">
        <v>82</v>
      </c>
      <c r="C46" t="s">
        <v>460</v>
      </c>
    </row>
    <row r="47" spans="1:3" x14ac:dyDescent="0.25">
      <c r="A47">
        <v>46</v>
      </c>
      <c r="B47" t="s">
        <v>461</v>
      </c>
      <c r="C47" t="s">
        <v>462</v>
      </c>
    </row>
    <row r="48" spans="1:3" x14ac:dyDescent="0.25">
      <c r="A48">
        <v>47</v>
      </c>
      <c r="B48" t="s">
        <v>153</v>
      </c>
      <c r="C48" t="s">
        <v>463</v>
      </c>
    </row>
    <row r="49" spans="1:3" x14ac:dyDescent="0.25">
      <c r="A49">
        <v>48</v>
      </c>
      <c r="B49" t="s">
        <v>127</v>
      </c>
      <c r="C49" t="s">
        <v>464</v>
      </c>
    </row>
    <row r="50" spans="1:3" x14ac:dyDescent="0.25">
      <c r="A50">
        <v>49</v>
      </c>
      <c r="B50" t="s">
        <v>129</v>
      </c>
      <c r="C50" t="s">
        <v>465</v>
      </c>
    </row>
    <row r="51" spans="1:3" x14ac:dyDescent="0.25">
      <c r="A51">
        <v>50</v>
      </c>
      <c r="B51" t="s">
        <v>131</v>
      </c>
      <c r="C51" t="s">
        <v>466</v>
      </c>
    </row>
    <row r="52" spans="1:3" x14ac:dyDescent="0.25">
      <c r="A52">
        <v>51</v>
      </c>
      <c r="B52" t="s">
        <v>133</v>
      </c>
      <c r="C52" t="s">
        <v>467</v>
      </c>
    </row>
    <row r="53" spans="1:3" x14ac:dyDescent="0.25">
      <c r="A53">
        <v>52</v>
      </c>
      <c r="B53" t="s">
        <v>135</v>
      </c>
      <c r="C53" t="s">
        <v>468</v>
      </c>
    </row>
    <row r="54" spans="1:3" x14ac:dyDescent="0.25">
      <c r="A54">
        <v>53</v>
      </c>
      <c r="B54" t="s">
        <v>139</v>
      </c>
      <c r="C54" t="s">
        <v>469</v>
      </c>
    </row>
    <row r="55" spans="1:3" x14ac:dyDescent="0.25">
      <c r="A55">
        <v>54</v>
      </c>
      <c r="B55" t="s">
        <v>141</v>
      </c>
      <c r="C55" t="s">
        <v>470</v>
      </c>
    </row>
    <row r="56" spans="1:3" x14ac:dyDescent="0.25">
      <c r="A56">
        <v>55</v>
      </c>
      <c r="B56" t="s">
        <v>145</v>
      </c>
      <c r="C56" t="s">
        <v>471</v>
      </c>
    </row>
    <row r="57" spans="1:3" x14ac:dyDescent="0.25">
      <c r="A57">
        <v>56</v>
      </c>
      <c r="B57" t="s">
        <v>472</v>
      </c>
      <c r="C57" t="s">
        <v>473</v>
      </c>
    </row>
    <row r="58" spans="1:3" x14ac:dyDescent="0.25">
      <c r="A58">
        <v>57</v>
      </c>
      <c r="B58" t="s">
        <v>189</v>
      </c>
      <c r="C58" t="s">
        <v>474</v>
      </c>
    </row>
    <row r="59" spans="1:3" x14ac:dyDescent="0.25">
      <c r="A59">
        <v>58</v>
      </c>
      <c r="B59" t="s">
        <v>475</v>
      </c>
      <c r="C59" t="s">
        <v>476</v>
      </c>
    </row>
    <row r="60" spans="1:3" x14ac:dyDescent="0.25">
      <c r="A60">
        <v>59</v>
      </c>
      <c r="B60" t="s">
        <v>477</v>
      </c>
      <c r="C60" t="s">
        <v>478</v>
      </c>
    </row>
    <row r="61" spans="1:3" x14ac:dyDescent="0.25">
      <c r="A61">
        <v>60</v>
      </c>
      <c r="B61" t="s">
        <v>479</v>
      </c>
      <c r="C61" t="s">
        <v>480</v>
      </c>
    </row>
    <row r="62" spans="1:3" x14ac:dyDescent="0.25">
      <c r="A62">
        <v>61</v>
      </c>
      <c r="B62" t="s">
        <v>78</v>
      </c>
      <c r="C62" t="s">
        <v>481</v>
      </c>
    </row>
    <row r="63" spans="1:3" x14ac:dyDescent="0.25">
      <c r="A63">
        <v>62</v>
      </c>
      <c r="B63" t="s">
        <v>80</v>
      </c>
      <c r="C63" t="s">
        <v>482</v>
      </c>
    </row>
    <row r="64" spans="1:3" x14ac:dyDescent="0.25">
      <c r="A64">
        <v>63</v>
      </c>
      <c r="B64" t="s">
        <v>125</v>
      </c>
      <c r="C64" t="s">
        <v>483</v>
      </c>
    </row>
    <row r="65" spans="1:3" x14ac:dyDescent="0.25">
      <c r="A65">
        <v>64</v>
      </c>
      <c r="B65" t="s">
        <v>484</v>
      </c>
      <c r="C65" t="s">
        <v>485</v>
      </c>
    </row>
    <row r="66" spans="1:3" x14ac:dyDescent="0.25">
      <c r="A66">
        <v>65</v>
      </c>
      <c r="B66" t="s">
        <v>486</v>
      </c>
      <c r="C66" t="s">
        <v>487</v>
      </c>
    </row>
    <row r="67" spans="1:3" x14ac:dyDescent="0.25">
      <c r="A67">
        <v>66</v>
      </c>
      <c r="B67" t="s">
        <v>488</v>
      </c>
      <c r="C67" t="s">
        <v>489</v>
      </c>
    </row>
    <row r="68" spans="1:3" x14ac:dyDescent="0.25">
      <c r="A68">
        <v>67</v>
      </c>
      <c r="B68" t="s">
        <v>490</v>
      </c>
      <c r="C68" t="s">
        <v>491</v>
      </c>
    </row>
    <row r="69" spans="1:3" x14ac:dyDescent="0.25">
      <c r="A69">
        <v>68</v>
      </c>
      <c r="B69" t="s">
        <v>492</v>
      </c>
      <c r="C69" t="s">
        <v>493</v>
      </c>
    </row>
    <row r="70" spans="1:3" x14ac:dyDescent="0.25">
      <c r="A70">
        <v>69</v>
      </c>
      <c r="B70" t="s">
        <v>169</v>
      </c>
      <c r="C70" t="s">
        <v>494</v>
      </c>
    </row>
    <row r="71" spans="1:3" x14ac:dyDescent="0.25">
      <c r="A71">
        <v>70</v>
      </c>
      <c r="B71" t="s">
        <v>171</v>
      </c>
      <c r="C71" t="s">
        <v>495</v>
      </c>
    </row>
    <row r="72" spans="1:3" x14ac:dyDescent="0.25">
      <c r="A72">
        <v>71</v>
      </c>
      <c r="B72" t="s">
        <v>173</v>
      </c>
      <c r="C72" t="s">
        <v>496</v>
      </c>
    </row>
    <row r="73" spans="1:3" x14ac:dyDescent="0.25">
      <c r="A73">
        <v>72</v>
      </c>
      <c r="B73" t="s">
        <v>497</v>
      </c>
      <c r="C73" t="s">
        <v>498</v>
      </c>
    </row>
    <row r="74" spans="1:3" x14ac:dyDescent="0.25">
      <c r="A74">
        <v>73</v>
      </c>
      <c r="B74" t="s">
        <v>499</v>
      </c>
      <c r="C74" t="s">
        <v>500</v>
      </c>
    </row>
    <row r="75" spans="1:3" x14ac:dyDescent="0.25">
      <c r="A75">
        <v>74</v>
      </c>
      <c r="B75" t="s">
        <v>159</v>
      </c>
      <c r="C75" t="s">
        <v>501</v>
      </c>
    </row>
    <row r="76" spans="1:3" x14ac:dyDescent="0.25">
      <c r="A76">
        <v>75</v>
      </c>
      <c r="B76" t="s">
        <v>502</v>
      </c>
      <c r="C76" t="s">
        <v>503</v>
      </c>
    </row>
    <row r="77" spans="1:3" x14ac:dyDescent="0.25">
      <c r="A77">
        <v>76</v>
      </c>
      <c r="B77" t="s">
        <v>262</v>
      </c>
      <c r="C77" t="s">
        <v>504</v>
      </c>
    </row>
    <row r="78" spans="1:3" x14ac:dyDescent="0.25">
      <c r="A78">
        <v>77</v>
      </c>
      <c r="B78" t="s">
        <v>195</v>
      </c>
      <c r="C78" t="s">
        <v>505</v>
      </c>
    </row>
    <row r="79" spans="1:3" x14ac:dyDescent="0.25">
      <c r="A79">
        <v>78</v>
      </c>
      <c r="B79" t="s">
        <v>506</v>
      </c>
      <c r="C79" t="s">
        <v>507</v>
      </c>
    </row>
    <row r="80" spans="1:3" x14ac:dyDescent="0.25">
      <c r="A80">
        <v>79</v>
      </c>
      <c r="B80" t="s">
        <v>508</v>
      </c>
      <c r="C80" t="s">
        <v>509</v>
      </c>
    </row>
    <row r="81" spans="1:3" x14ac:dyDescent="0.25">
      <c r="A81">
        <v>80</v>
      </c>
      <c r="B81" t="s">
        <v>193</v>
      </c>
      <c r="C81" t="s">
        <v>510</v>
      </c>
    </row>
    <row r="82" spans="1:3" x14ac:dyDescent="0.25">
      <c r="A82">
        <v>81</v>
      </c>
      <c r="B82" t="s">
        <v>511</v>
      </c>
      <c r="C82" t="s">
        <v>512</v>
      </c>
    </row>
    <row r="83" spans="1:3" x14ac:dyDescent="0.25">
      <c r="A83">
        <v>82</v>
      </c>
      <c r="B83" t="s">
        <v>513</v>
      </c>
      <c r="C83" t="s">
        <v>514</v>
      </c>
    </row>
    <row r="84" spans="1:3" x14ac:dyDescent="0.25">
      <c r="A84">
        <v>83</v>
      </c>
      <c r="B84" t="s">
        <v>515</v>
      </c>
      <c r="C84" t="s">
        <v>516</v>
      </c>
    </row>
    <row r="85" spans="1:3" x14ac:dyDescent="0.25">
      <c r="A85">
        <v>84</v>
      </c>
      <c r="B85" t="s">
        <v>270</v>
      </c>
      <c r="C85" t="s">
        <v>517</v>
      </c>
    </row>
    <row r="86" spans="1:3" x14ac:dyDescent="0.25">
      <c r="A86">
        <v>85</v>
      </c>
      <c r="B86" t="s">
        <v>206</v>
      </c>
      <c r="C86" t="s">
        <v>518</v>
      </c>
    </row>
    <row r="87" spans="1:3" x14ac:dyDescent="0.25">
      <c r="A87">
        <v>86</v>
      </c>
      <c r="B87" t="s">
        <v>222</v>
      </c>
      <c r="C87" t="s">
        <v>519</v>
      </c>
    </row>
    <row r="88" spans="1:3" x14ac:dyDescent="0.25">
      <c r="A88">
        <v>87</v>
      </c>
      <c r="B88" t="s">
        <v>520</v>
      </c>
      <c r="C88" t="s">
        <v>521</v>
      </c>
    </row>
    <row r="89" spans="1:3" x14ac:dyDescent="0.25">
      <c r="A89">
        <v>88</v>
      </c>
      <c r="B89" t="s">
        <v>522</v>
      </c>
      <c r="C89" t="s">
        <v>523</v>
      </c>
    </row>
    <row r="90" spans="1:3" x14ac:dyDescent="0.25">
      <c r="A90">
        <v>89</v>
      </c>
      <c r="B90" t="s">
        <v>236</v>
      </c>
      <c r="C90" t="s">
        <v>524</v>
      </c>
    </row>
    <row r="91" spans="1:3" x14ac:dyDescent="0.25">
      <c r="A91">
        <v>90</v>
      </c>
      <c r="B91" t="s">
        <v>525</v>
      </c>
      <c r="C91" t="s">
        <v>526</v>
      </c>
    </row>
    <row r="92" spans="1:3" x14ac:dyDescent="0.25">
      <c r="A92">
        <v>91</v>
      </c>
      <c r="B92" t="s">
        <v>527</v>
      </c>
      <c r="C92" t="s">
        <v>528</v>
      </c>
    </row>
    <row r="93" spans="1:3" x14ac:dyDescent="0.25">
      <c r="A93">
        <v>92</v>
      </c>
      <c r="B93" t="s">
        <v>110</v>
      </c>
      <c r="C93" t="s">
        <v>529</v>
      </c>
    </row>
    <row r="94" spans="1:3" x14ac:dyDescent="0.25">
      <c r="A94">
        <v>93</v>
      </c>
      <c r="B94" t="s">
        <v>530</v>
      </c>
      <c r="C94" t="s">
        <v>531</v>
      </c>
    </row>
    <row r="95" spans="1:3" x14ac:dyDescent="0.25">
      <c r="A95">
        <v>94</v>
      </c>
      <c r="B95" t="s">
        <v>532</v>
      </c>
      <c r="C95" t="s">
        <v>533</v>
      </c>
    </row>
    <row r="96" spans="1:3" x14ac:dyDescent="0.25">
      <c r="A96">
        <v>95</v>
      </c>
      <c r="B96" t="s">
        <v>534</v>
      </c>
      <c r="C96" t="s">
        <v>535</v>
      </c>
    </row>
    <row r="97" spans="1:3" x14ac:dyDescent="0.25">
      <c r="A97">
        <v>96</v>
      </c>
      <c r="B97" t="s">
        <v>240</v>
      </c>
      <c r="C97" t="s">
        <v>536</v>
      </c>
    </row>
    <row r="98" spans="1:3" x14ac:dyDescent="0.25">
      <c r="A98">
        <v>97</v>
      </c>
      <c r="B98" t="s">
        <v>537</v>
      </c>
      <c r="C98" t="s">
        <v>538</v>
      </c>
    </row>
    <row r="99" spans="1:3" x14ac:dyDescent="0.25">
      <c r="A99">
        <v>98</v>
      </c>
      <c r="B99" t="s">
        <v>204</v>
      </c>
      <c r="C99" t="s">
        <v>539</v>
      </c>
    </row>
    <row r="100" spans="1:3" x14ac:dyDescent="0.25">
      <c r="A100">
        <v>99</v>
      </c>
      <c r="B100" t="s">
        <v>540</v>
      </c>
      <c r="C100" t="s">
        <v>541</v>
      </c>
    </row>
    <row r="101" spans="1:3" x14ac:dyDescent="0.25">
      <c r="A101">
        <v>100</v>
      </c>
      <c r="B101" t="s">
        <v>542</v>
      </c>
      <c r="C101" t="s">
        <v>543</v>
      </c>
    </row>
    <row r="102" spans="1:3" x14ac:dyDescent="0.25">
      <c r="A102">
        <v>101</v>
      </c>
      <c r="B102" t="s">
        <v>149</v>
      </c>
      <c r="C102" t="s">
        <v>544</v>
      </c>
    </row>
    <row r="103" spans="1:3" x14ac:dyDescent="0.25">
      <c r="A103">
        <v>102</v>
      </c>
      <c r="B103" t="s">
        <v>147</v>
      </c>
      <c r="C103" t="s">
        <v>545</v>
      </c>
    </row>
    <row r="104" spans="1:3" x14ac:dyDescent="0.25">
      <c r="A104">
        <v>103</v>
      </c>
      <c r="B104" t="s">
        <v>287</v>
      </c>
      <c r="C104" t="s">
        <v>546</v>
      </c>
    </row>
    <row r="105" spans="1:3" x14ac:dyDescent="0.25">
      <c r="A105">
        <v>104</v>
      </c>
      <c r="B105" t="s">
        <v>64</v>
      </c>
      <c r="C105" t="s">
        <v>547</v>
      </c>
    </row>
    <row r="106" spans="1:3" x14ac:dyDescent="0.25">
      <c r="A106">
        <v>105</v>
      </c>
      <c r="B106" t="s">
        <v>175</v>
      </c>
      <c r="C106" t="s">
        <v>548</v>
      </c>
    </row>
    <row r="107" spans="1:3" x14ac:dyDescent="0.25">
      <c r="A107">
        <v>106</v>
      </c>
      <c r="B107" t="s">
        <v>230</v>
      </c>
      <c r="C107" t="s">
        <v>549</v>
      </c>
    </row>
    <row r="108" spans="1:3" x14ac:dyDescent="0.25">
      <c r="A108">
        <v>107</v>
      </c>
      <c r="B108" t="s">
        <v>212</v>
      </c>
      <c r="C108" t="s">
        <v>550</v>
      </c>
    </row>
    <row r="109" spans="1:3" x14ac:dyDescent="0.25">
      <c r="A109">
        <v>108</v>
      </c>
      <c r="B109" t="s">
        <v>551</v>
      </c>
      <c r="C109" t="s">
        <v>552</v>
      </c>
    </row>
    <row r="110" spans="1:3" x14ac:dyDescent="0.25">
      <c r="A110">
        <v>109</v>
      </c>
      <c r="B110" t="s">
        <v>553</v>
      </c>
      <c r="C110" t="s">
        <v>554</v>
      </c>
    </row>
    <row r="111" spans="1:3" x14ac:dyDescent="0.25">
      <c r="A111">
        <v>110</v>
      </c>
      <c r="B111" t="s">
        <v>555</v>
      </c>
      <c r="C111" t="s">
        <v>556</v>
      </c>
    </row>
    <row r="112" spans="1:3" x14ac:dyDescent="0.25">
      <c r="A112">
        <v>111</v>
      </c>
      <c r="B112" t="s">
        <v>226</v>
      </c>
      <c r="C112" t="s">
        <v>557</v>
      </c>
    </row>
    <row r="113" spans="1:3" x14ac:dyDescent="0.25">
      <c r="A113">
        <v>112</v>
      </c>
      <c r="B113" t="s">
        <v>558</v>
      </c>
      <c r="C113" t="s">
        <v>559</v>
      </c>
    </row>
    <row r="114" spans="1:3" x14ac:dyDescent="0.25">
      <c r="A114">
        <v>113</v>
      </c>
      <c r="B114" t="s">
        <v>560</v>
      </c>
      <c r="C114" t="s">
        <v>561</v>
      </c>
    </row>
    <row r="115" spans="1:3" x14ac:dyDescent="0.25">
      <c r="A115">
        <v>114</v>
      </c>
      <c r="B115" t="s">
        <v>185</v>
      </c>
      <c r="C115" t="s">
        <v>562</v>
      </c>
    </row>
    <row r="116" spans="1:3" x14ac:dyDescent="0.25">
      <c r="A116">
        <v>115</v>
      </c>
      <c r="B116" t="s">
        <v>228</v>
      </c>
      <c r="C116" t="s">
        <v>563</v>
      </c>
    </row>
    <row r="117" spans="1:3" x14ac:dyDescent="0.25">
      <c r="A117">
        <v>116</v>
      </c>
      <c r="B117" t="s">
        <v>564</v>
      </c>
      <c r="C117" t="s">
        <v>565</v>
      </c>
    </row>
    <row r="118" spans="1:3" x14ac:dyDescent="0.25">
      <c r="A118">
        <v>117</v>
      </c>
      <c r="B118" t="s">
        <v>291</v>
      </c>
      <c r="C118" t="s">
        <v>566</v>
      </c>
    </row>
    <row r="119" spans="1:3" x14ac:dyDescent="0.25">
      <c r="A119">
        <v>118</v>
      </c>
      <c r="B119" t="s">
        <v>567</v>
      </c>
      <c r="C119" t="s">
        <v>568</v>
      </c>
    </row>
    <row r="120" spans="1:3" x14ac:dyDescent="0.25">
      <c r="A120">
        <v>119</v>
      </c>
      <c r="B120" t="s">
        <v>569</v>
      </c>
      <c r="C120" t="s">
        <v>570</v>
      </c>
    </row>
    <row r="121" spans="1:3" x14ac:dyDescent="0.25">
      <c r="A121">
        <v>120</v>
      </c>
      <c r="B121" t="s">
        <v>571</v>
      </c>
      <c r="C121" t="s">
        <v>572</v>
      </c>
    </row>
    <row r="122" spans="1:3" x14ac:dyDescent="0.25">
      <c r="A122">
        <v>121</v>
      </c>
      <c r="B122" t="s">
        <v>573</v>
      </c>
      <c r="C122" t="s">
        <v>574</v>
      </c>
    </row>
    <row r="123" spans="1:3" x14ac:dyDescent="0.25">
      <c r="A123">
        <v>122</v>
      </c>
      <c r="B123" t="s">
        <v>214</v>
      </c>
      <c r="C123" t="s">
        <v>575</v>
      </c>
    </row>
    <row r="124" spans="1:3" x14ac:dyDescent="0.25">
      <c r="A124">
        <v>123</v>
      </c>
      <c r="B124" t="s">
        <v>576</v>
      </c>
      <c r="C124" t="s">
        <v>577</v>
      </c>
    </row>
    <row r="125" spans="1:3" x14ac:dyDescent="0.25">
      <c r="A125">
        <v>124</v>
      </c>
      <c r="B125" t="s">
        <v>274</v>
      </c>
      <c r="C125" t="s">
        <v>578</v>
      </c>
    </row>
    <row r="126" spans="1:3" x14ac:dyDescent="0.25">
      <c r="A126">
        <v>125</v>
      </c>
      <c r="B126" t="s">
        <v>579</v>
      </c>
      <c r="C126" t="s">
        <v>580</v>
      </c>
    </row>
    <row r="127" spans="1:3" x14ac:dyDescent="0.25">
      <c r="A127">
        <v>126</v>
      </c>
      <c r="B127" t="s">
        <v>581</v>
      </c>
      <c r="C127" t="s">
        <v>582</v>
      </c>
    </row>
    <row r="128" spans="1:3" x14ac:dyDescent="0.25">
      <c r="A128">
        <v>127</v>
      </c>
      <c r="B128" t="s">
        <v>583</v>
      </c>
      <c r="C128" t="s">
        <v>584</v>
      </c>
    </row>
    <row r="129" spans="1:3" x14ac:dyDescent="0.25">
      <c r="A129">
        <v>128</v>
      </c>
      <c r="B129" t="s">
        <v>585</v>
      </c>
      <c r="C129" t="s">
        <v>586</v>
      </c>
    </row>
    <row r="130" spans="1:3" x14ac:dyDescent="0.25">
      <c r="A130">
        <v>129</v>
      </c>
      <c r="B130" t="s">
        <v>587</v>
      </c>
      <c r="C130" t="s">
        <v>588</v>
      </c>
    </row>
    <row r="131" spans="1:3" x14ac:dyDescent="0.25">
      <c r="A131">
        <v>130</v>
      </c>
      <c r="B131" t="s">
        <v>589</v>
      </c>
      <c r="C131" t="s">
        <v>590</v>
      </c>
    </row>
    <row r="132" spans="1:3" x14ac:dyDescent="0.25">
      <c r="A132">
        <v>131</v>
      </c>
      <c r="B132" t="s">
        <v>272</v>
      </c>
      <c r="C132" t="s">
        <v>591</v>
      </c>
    </row>
    <row r="133" spans="1:3" x14ac:dyDescent="0.25">
      <c r="A133">
        <v>132</v>
      </c>
      <c r="B133" t="s">
        <v>592</v>
      </c>
      <c r="C133" t="s">
        <v>593</v>
      </c>
    </row>
    <row r="134" spans="1:3" x14ac:dyDescent="0.25">
      <c r="A134">
        <v>133</v>
      </c>
      <c r="B134" t="s">
        <v>594</v>
      </c>
      <c r="C134" t="s">
        <v>595</v>
      </c>
    </row>
    <row r="135" spans="1:3" x14ac:dyDescent="0.25">
      <c r="A135">
        <v>134</v>
      </c>
      <c r="B135" t="s">
        <v>596</v>
      </c>
      <c r="C135" t="s">
        <v>597</v>
      </c>
    </row>
    <row r="136" spans="1:3" x14ac:dyDescent="0.25">
      <c r="A136">
        <v>135</v>
      </c>
      <c r="B136" t="s">
        <v>264</v>
      </c>
      <c r="C136" t="s">
        <v>598</v>
      </c>
    </row>
    <row r="137" spans="1:3" x14ac:dyDescent="0.25">
      <c r="A137">
        <v>136</v>
      </c>
      <c r="B137" t="s">
        <v>599</v>
      </c>
      <c r="C137" t="s">
        <v>600</v>
      </c>
    </row>
    <row r="138" spans="1:3" x14ac:dyDescent="0.25">
      <c r="A138">
        <v>137</v>
      </c>
      <c r="B138" t="s">
        <v>601</v>
      </c>
      <c r="C138" t="s">
        <v>602</v>
      </c>
    </row>
    <row r="139" spans="1:3" x14ac:dyDescent="0.25">
      <c r="A139">
        <v>138</v>
      </c>
      <c r="B139" t="s">
        <v>603</v>
      </c>
      <c r="C139" t="s">
        <v>604</v>
      </c>
    </row>
    <row r="140" spans="1:3" x14ac:dyDescent="0.25">
      <c r="A140">
        <v>139</v>
      </c>
      <c r="B140" t="s">
        <v>216</v>
      </c>
      <c r="C140" t="s">
        <v>605</v>
      </c>
    </row>
    <row r="141" spans="1:3" x14ac:dyDescent="0.25">
      <c r="A141">
        <v>140</v>
      </c>
      <c r="B141" t="s">
        <v>606</v>
      </c>
      <c r="C141" t="s">
        <v>607</v>
      </c>
    </row>
    <row r="142" spans="1:3" x14ac:dyDescent="0.25">
      <c r="A142">
        <v>141</v>
      </c>
      <c r="B142" t="s">
        <v>88</v>
      </c>
      <c r="C142" t="s">
        <v>608</v>
      </c>
    </row>
    <row r="143" spans="1:3" x14ac:dyDescent="0.25">
      <c r="A143">
        <v>142</v>
      </c>
      <c r="B143" t="s">
        <v>285</v>
      </c>
      <c r="C143" t="s">
        <v>609</v>
      </c>
    </row>
    <row r="144" spans="1:3" x14ac:dyDescent="0.25">
      <c r="A144">
        <v>143</v>
      </c>
      <c r="B144" t="s">
        <v>610</v>
      </c>
      <c r="C144" t="s">
        <v>611</v>
      </c>
    </row>
    <row r="145" spans="1:3" x14ac:dyDescent="0.25">
      <c r="A145">
        <v>144</v>
      </c>
      <c r="B145" t="s">
        <v>181</v>
      </c>
      <c r="C145" t="s">
        <v>612</v>
      </c>
    </row>
    <row r="146" spans="1:3" x14ac:dyDescent="0.25">
      <c r="A146">
        <v>145</v>
      </c>
      <c r="B146" t="s">
        <v>277</v>
      </c>
      <c r="C146" t="s">
        <v>613</v>
      </c>
    </row>
    <row r="147" spans="1:3" x14ac:dyDescent="0.25">
      <c r="A147">
        <v>146</v>
      </c>
      <c r="B147" t="s">
        <v>232</v>
      </c>
      <c r="C147" t="s">
        <v>614</v>
      </c>
    </row>
    <row r="148" spans="1:3" x14ac:dyDescent="0.25">
      <c r="A148">
        <v>147</v>
      </c>
      <c r="B148" t="s">
        <v>234</v>
      </c>
      <c r="C148" t="s">
        <v>615</v>
      </c>
    </row>
    <row r="149" spans="1:3" x14ac:dyDescent="0.25">
      <c r="A149">
        <v>148</v>
      </c>
      <c r="B149" t="s">
        <v>616</v>
      </c>
      <c r="C149" t="s">
        <v>617</v>
      </c>
    </row>
    <row r="150" spans="1:3" x14ac:dyDescent="0.25">
      <c r="A150">
        <v>149</v>
      </c>
      <c r="B150" t="s">
        <v>618</v>
      </c>
      <c r="C150" t="s">
        <v>619</v>
      </c>
    </row>
    <row r="151" spans="1:3" x14ac:dyDescent="0.25">
      <c r="A151">
        <v>150</v>
      </c>
      <c r="B151" t="s">
        <v>200</v>
      </c>
      <c r="C151" t="s">
        <v>620</v>
      </c>
    </row>
    <row r="152" spans="1:3" x14ac:dyDescent="0.25">
      <c r="A152">
        <v>151</v>
      </c>
      <c r="B152" t="s">
        <v>220</v>
      </c>
      <c r="C152" t="s">
        <v>621</v>
      </c>
    </row>
    <row r="153" spans="1:3" x14ac:dyDescent="0.25">
      <c r="A153">
        <v>152</v>
      </c>
      <c r="B153" t="s">
        <v>238</v>
      </c>
      <c r="C153" t="s">
        <v>622</v>
      </c>
    </row>
    <row r="154" spans="1:3" x14ac:dyDescent="0.25">
      <c r="A154">
        <v>153</v>
      </c>
      <c r="B154" t="s">
        <v>623</v>
      </c>
      <c r="C154" t="s">
        <v>624</v>
      </c>
    </row>
    <row r="155" spans="1:3" x14ac:dyDescent="0.25">
      <c r="A155">
        <v>154</v>
      </c>
      <c r="B155" t="s">
        <v>151</v>
      </c>
      <c r="C155" t="s">
        <v>625</v>
      </c>
    </row>
    <row r="156" spans="1:3" x14ac:dyDescent="0.25">
      <c r="A156">
        <v>155</v>
      </c>
      <c r="B156" t="s">
        <v>38</v>
      </c>
      <c r="C156" t="s">
        <v>626</v>
      </c>
    </row>
    <row r="157" spans="1:3" x14ac:dyDescent="0.25">
      <c r="A157">
        <v>156</v>
      </c>
      <c r="B157" t="s">
        <v>627</v>
      </c>
      <c r="C157" t="s">
        <v>628</v>
      </c>
    </row>
    <row r="158" spans="1:3" x14ac:dyDescent="0.25">
      <c r="A158">
        <v>157</v>
      </c>
      <c r="B158" t="s">
        <v>56</v>
      </c>
      <c r="C158" t="s">
        <v>629</v>
      </c>
    </row>
    <row r="159" spans="1:3" x14ac:dyDescent="0.25">
      <c r="A159">
        <v>158</v>
      </c>
      <c r="B159" t="s">
        <v>58</v>
      </c>
      <c r="C159" t="s">
        <v>630</v>
      </c>
    </row>
    <row r="160" spans="1:3" x14ac:dyDescent="0.25">
      <c r="A160">
        <v>159</v>
      </c>
      <c r="B160" t="s">
        <v>68</v>
      </c>
      <c r="C160" t="s">
        <v>631</v>
      </c>
    </row>
    <row r="161" spans="1:3" x14ac:dyDescent="0.25">
      <c r="A161">
        <v>160</v>
      </c>
      <c r="B161" t="s">
        <v>52</v>
      </c>
      <c r="C161" t="s">
        <v>632</v>
      </c>
    </row>
    <row r="162" spans="1:3" x14ac:dyDescent="0.25">
      <c r="A162">
        <v>161</v>
      </c>
      <c r="B162" t="s">
        <v>54</v>
      </c>
      <c r="C162" t="s">
        <v>633</v>
      </c>
    </row>
    <row r="163" spans="1:3" x14ac:dyDescent="0.25">
      <c r="A163">
        <v>162</v>
      </c>
      <c r="B163" t="s">
        <v>634</v>
      </c>
      <c r="C163" t="s">
        <v>635</v>
      </c>
    </row>
    <row r="164" spans="1:3" x14ac:dyDescent="0.25">
      <c r="A164">
        <v>163</v>
      </c>
      <c r="B164" t="s">
        <v>636</v>
      </c>
      <c r="C164" t="s">
        <v>637</v>
      </c>
    </row>
    <row r="165" spans="1:3" x14ac:dyDescent="0.25">
      <c r="A165">
        <v>164</v>
      </c>
      <c r="B165" t="s">
        <v>638</v>
      </c>
      <c r="C165" t="s">
        <v>639</v>
      </c>
    </row>
    <row r="166" spans="1:3" x14ac:dyDescent="0.25">
      <c r="A166">
        <v>165</v>
      </c>
      <c r="B166" t="s">
        <v>640</v>
      </c>
      <c r="C166" t="s">
        <v>641</v>
      </c>
    </row>
    <row r="167" spans="1:3" x14ac:dyDescent="0.25">
      <c r="A167">
        <v>166</v>
      </c>
      <c r="B167" t="s">
        <v>642</v>
      </c>
      <c r="C167" t="s">
        <v>643</v>
      </c>
    </row>
    <row r="168" spans="1:3" x14ac:dyDescent="0.25">
      <c r="A168">
        <v>167</v>
      </c>
      <c r="B168" t="s">
        <v>50</v>
      </c>
      <c r="C168" t="s">
        <v>644</v>
      </c>
    </row>
    <row r="169" spans="1:3" x14ac:dyDescent="0.25">
      <c r="A169">
        <v>168</v>
      </c>
      <c r="B169" t="s">
        <v>106</v>
      </c>
      <c r="C169" t="s">
        <v>645</v>
      </c>
    </row>
    <row r="170" spans="1:3" x14ac:dyDescent="0.25">
      <c r="A170">
        <v>169</v>
      </c>
      <c r="B170" t="s">
        <v>62</v>
      </c>
      <c r="C170" t="s">
        <v>646</v>
      </c>
    </row>
    <row r="171" spans="1:3" x14ac:dyDescent="0.25">
      <c r="A171">
        <v>170</v>
      </c>
      <c r="B171" t="s">
        <v>104</v>
      </c>
      <c r="C171" t="s">
        <v>647</v>
      </c>
    </row>
    <row r="172" spans="1:3" x14ac:dyDescent="0.25">
      <c r="A172">
        <v>171</v>
      </c>
      <c r="B172" t="s">
        <v>648</v>
      </c>
      <c r="C172" t="s">
        <v>649</v>
      </c>
    </row>
    <row r="173" spans="1:3" x14ac:dyDescent="0.25">
      <c r="A173">
        <v>172</v>
      </c>
      <c r="B173" t="s">
        <v>650</v>
      </c>
      <c r="C173" t="s">
        <v>651</v>
      </c>
    </row>
    <row r="174" spans="1:3" x14ac:dyDescent="0.25">
      <c r="A174">
        <v>173</v>
      </c>
      <c r="B174" t="s">
        <v>652</v>
      </c>
      <c r="C174" t="s">
        <v>653</v>
      </c>
    </row>
    <row r="175" spans="1:3" x14ac:dyDescent="0.25">
      <c r="A175">
        <v>174</v>
      </c>
      <c r="B175" t="s">
        <v>654</v>
      </c>
      <c r="C175" t="s">
        <v>655</v>
      </c>
    </row>
    <row r="176" spans="1:3" x14ac:dyDescent="0.25">
      <c r="A176">
        <v>175</v>
      </c>
      <c r="B176" t="s">
        <v>656</v>
      </c>
      <c r="C176" t="s">
        <v>657</v>
      </c>
    </row>
    <row r="177" spans="1:3" x14ac:dyDescent="0.25">
      <c r="A177">
        <v>176</v>
      </c>
      <c r="B177" t="s">
        <v>658</v>
      </c>
      <c r="C177" t="s">
        <v>659</v>
      </c>
    </row>
    <row r="178" spans="1:3" x14ac:dyDescent="0.25">
      <c r="A178">
        <v>177</v>
      </c>
      <c r="B178" t="s">
        <v>76</v>
      </c>
      <c r="C178" t="s">
        <v>660</v>
      </c>
    </row>
    <row r="179" spans="1:3" x14ac:dyDescent="0.25">
      <c r="A179">
        <v>178</v>
      </c>
      <c r="B179" t="s">
        <v>367</v>
      </c>
      <c r="C179" t="s">
        <v>661</v>
      </c>
    </row>
    <row r="180" spans="1:3" x14ac:dyDescent="0.25">
      <c r="A180">
        <v>179</v>
      </c>
      <c r="B180" t="s">
        <v>369</v>
      </c>
      <c r="C180" t="s">
        <v>662</v>
      </c>
    </row>
    <row r="181" spans="1:3" x14ac:dyDescent="0.25">
      <c r="A181">
        <v>180</v>
      </c>
      <c r="B181" t="s">
        <v>375</v>
      </c>
      <c r="C181" t="s">
        <v>663</v>
      </c>
    </row>
    <row r="182" spans="1:3" x14ac:dyDescent="0.25">
      <c r="A182">
        <v>181</v>
      </c>
      <c r="B182" t="s">
        <v>70</v>
      </c>
      <c r="C182" t="s">
        <v>664</v>
      </c>
    </row>
    <row r="183" spans="1:3" x14ac:dyDescent="0.25">
      <c r="A183">
        <v>182</v>
      </c>
      <c r="B183" t="s">
        <v>102</v>
      </c>
      <c r="C183" t="s">
        <v>665</v>
      </c>
    </row>
    <row r="184" spans="1:3" x14ac:dyDescent="0.25">
      <c r="A184">
        <v>183</v>
      </c>
      <c r="B184" t="s">
        <v>167</v>
      </c>
      <c r="C184" t="s">
        <v>666</v>
      </c>
    </row>
    <row r="185" spans="1:3" x14ac:dyDescent="0.25">
      <c r="A185">
        <v>184</v>
      </c>
      <c r="B185" t="s">
        <v>155</v>
      </c>
      <c r="C185" t="s">
        <v>667</v>
      </c>
    </row>
    <row r="186" spans="1:3" x14ac:dyDescent="0.25">
      <c r="A186">
        <v>185</v>
      </c>
      <c r="B186" t="s">
        <v>668</v>
      </c>
      <c r="C186" t="s">
        <v>669</v>
      </c>
    </row>
    <row r="187" spans="1:3" x14ac:dyDescent="0.25">
      <c r="A187">
        <v>186</v>
      </c>
      <c r="B187" t="s">
        <v>670</v>
      </c>
      <c r="C187" t="s">
        <v>671</v>
      </c>
    </row>
    <row r="188" spans="1:3" x14ac:dyDescent="0.25">
      <c r="A188">
        <v>187</v>
      </c>
      <c r="B188" t="s">
        <v>672</v>
      </c>
      <c r="C188" t="s">
        <v>673</v>
      </c>
    </row>
    <row r="189" spans="1:3" x14ac:dyDescent="0.25">
      <c r="A189">
        <v>188</v>
      </c>
      <c r="B189" t="s">
        <v>96</v>
      </c>
      <c r="C189" t="s">
        <v>674</v>
      </c>
    </row>
    <row r="190" spans="1:3" x14ac:dyDescent="0.25">
      <c r="A190">
        <v>189</v>
      </c>
      <c r="B190" t="s">
        <v>297</v>
      </c>
      <c r="C190" t="s">
        <v>675</v>
      </c>
    </row>
    <row r="191" spans="1:3" x14ac:dyDescent="0.25">
      <c r="A191">
        <v>190</v>
      </c>
      <c r="B191" t="s">
        <v>352</v>
      </c>
      <c r="C191" t="s">
        <v>676</v>
      </c>
    </row>
    <row r="192" spans="1:3" x14ac:dyDescent="0.25">
      <c r="A192">
        <v>191</v>
      </c>
      <c r="B192" t="s">
        <v>356</v>
      </c>
      <c r="C192" t="s">
        <v>677</v>
      </c>
    </row>
    <row r="193" spans="1:3" x14ac:dyDescent="0.25">
      <c r="A193">
        <v>192</v>
      </c>
      <c r="B193" t="s">
        <v>344</v>
      </c>
      <c r="C193" t="s">
        <v>678</v>
      </c>
    </row>
    <row r="194" spans="1:3" x14ac:dyDescent="0.25">
      <c r="A194">
        <v>193</v>
      </c>
      <c r="B194" t="s">
        <v>345</v>
      </c>
      <c r="C194" t="s">
        <v>679</v>
      </c>
    </row>
    <row r="195" spans="1:3" x14ac:dyDescent="0.25">
      <c r="A195">
        <v>194</v>
      </c>
      <c r="B195" t="s">
        <v>350</v>
      </c>
      <c r="C195" t="s">
        <v>680</v>
      </c>
    </row>
    <row r="196" spans="1:3" x14ac:dyDescent="0.25">
      <c r="A196">
        <v>195</v>
      </c>
      <c r="B196" t="s">
        <v>359</v>
      </c>
      <c r="C196" t="s">
        <v>681</v>
      </c>
    </row>
    <row r="197" spans="1:3" x14ac:dyDescent="0.25">
      <c r="A197">
        <v>196</v>
      </c>
      <c r="B197" t="s">
        <v>362</v>
      </c>
      <c r="C197" t="s">
        <v>682</v>
      </c>
    </row>
    <row r="198" spans="1:3" x14ac:dyDescent="0.25">
      <c r="A198">
        <v>197</v>
      </c>
      <c r="B198" t="s">
        <v>325</v>
      </c>
      <c r="C198" t="s">
        <v>683</v>
      </c>
    </row>
    <row r="199" spans="1:3" x14ac:dyDescent="0.25">
      <c r="A199">
        <v>198</v>
      </c>
      <c r="B199" t="s">
        <v>329</v>
      </c>
      <c r="C199" t="s">
        <v>684</v>
      </c>
    </row>
    <row r="200" spans="1:3" x14ac:dyDescent="0.25">
      <c r="A200">
        <v>199</v>
      </c>
      <c r="B200" t="s">
        <v>333</v>
      </c>
      <c r="C200" t="s">
        <v>685</v>
      </c>
    </row>
    <row r="201" spans="1:3" x14ac:dyDescent="0.25">
      <c r="A201">
        <v>200</v>
      </c>
      <c r="B201" t="s">
        <v>301</v>
      </c>
      <c r="C201" t="s">
        <v>686</v>
      </c>
    </row>
    <row r="202" spans="1:3" x14ac:dyDescent="0.25">
      <c r="A202">
        <v>201</v>
      </c>
      <c r="B202" t="s">
        <v>305</v>
      </c>
      <c r="C202" t="s">
        <v>687</v>
      </c>
    </row>
    <row r="203" spans="1:3" x14ac:dyDescent="0.25">
      <c r="A203">
        <v>202</v>
      </c>
      <c r="B203" t="s">
        <v>334</v>
      </c>
      <c r="C203" t="s">
        <v>688</v>
      </c>
    </row>
    <row r="204" spans="1:3" x14ac:dyDescent="0.25">
      <c r="A204">
        <v>203</v>
      </c>
      <c r="B204" t="s">
        <v>336</v>
      </c>
      <c r="C204" t="s">
        <v>689</v>
      </c>
    </row>
    <row r="205" spans="1:3" x14ac:dyDescent="0.25">
      <c r="A205">
        <v>204</v>
      </c>
      <c r="B205" t="s">
        <v>392</v>
      </c>
      <c r="C205" t="s">
        <v>690</v>
      </c>
    </row>
    <row r="206" spans="1:3" x14ac:dyDescent="0.25">
      <c r="A206">
        <v>205</v>
      </c>
      <c r="B206" t="s">
        <v>293</v>
      </c>
      <c r="C206" t="s">
        <v>691</v>
      </c>
    </row>
    <row r="207" spans="1:3" x14ac:dyDescent="0.25">
      <c r="A207">
        <v>206</v>
      </c>
      <c r="B207" t="s">
        <v>294</v>
      </c>
      <c r="C207" t="s">
        <v>692</v>
      </c>
    </row>
    <row r="208" spans="1:3" x14ac:dyDescent="0.25">
      <c r="A208">
        <v>207</v>
      </c>
      <c r="B208" t="s">
        <v>316</v>
      </c>
      <c r="C208" t="s">
        <v>693</v>
      </c>
    </row>
    <row r="209" spans="1:3" x14ac:dyDescent="0.25">
      <c r="A209">
        <v>208</v>
      </c>
      <c r="B209" t="s">
        <v>383</v>
      </c>
      <c r="C209" t="s">
        <v>694</v>
      </c>
    </row>
    <row r="210" spans="1:3" x14ac:dyDescent="0.25">
      <c r="A210">
        <v>209</v>
      </c>
      <c r="B210" t="s">
        <v>385</v>
      </c>
      <c r="C210" t="s">
        <v>695</v>
      </c>
    </row>
    <row r="211" spans="1:3" x14ac:dyDescent="0.25">
      <c r="A211">
        <v>210</v>
      </c>
      <c r="B211" t="s">
        <v>387</v>
      </c>
      <c r="C211" t="s">
        <v>696</v>
      </c>
    </row>
    <row r="212" spans="1:3" x14ac:dyDescent="0.25">
      <c r="A212">
        <v>211</v>
      </c>
      <c r="B212" t="s">
        <v>390</v>
      </c>
      <c r="C212" t="s">
        <v>697</v>
      </c>
    </row>
    <row r="213" spans="1:3" x14ac:dyDescent="0.25">
      <c r="A213">
        <v>212</v>
      </c>
      <c r="B213" t="s">
        <v>307</v>
      </c>
      <c r="C213" t="s">
        <v>698</v>
      </c>
    </row>
    <row r="214" spans="1:3" x14ac:dyDescent="0.25">
      <c r="A214">
        <v>213</v>
      </c>
      <c r="B214" t="s">
        <v>311</v>
      </c>
      <c r="C214" t="s">
        <v>699</v>
      </c>
    </row>
    <row r="215" spans="1:3" x14ac:dyDescent="0.25">
      <c r="A215">
        <v>214</v>
      </c>
      <c r="B215" t="s">
        <v>700</v>
      </c>
      <c r="C215" t="s">
        <v>701</v>
      </c>
    </row>
    <row r="216" spans="1:3" x14ac:dyDescent="0.25">
      <c r="A216">
        <v>215</v>
      </c>
      <c r="B216" t="s">
        <v>74</v>
      </c>
      <c r="C216" t="s">
        <v>702</v>
      </c>
    </row>
    <row r="217" spans="1:3" x14ac:dyDescent="0.25">
      <c r="A217">
        <v>216</v>
      </c>
      <c r="B217" t="s">
        <v>703</v>
      </c>
      <c r="C217" t="s">
        <v>704</v>
      </c>
    </row>
    <row r="218" spans="1:3" x14ac:dyDescent="0.25">
      <c r="A218">
        <v>217</v>
      </c>
      <c r="B218" t="s">
        <v>705</v>
      </c>
      <c r="C218" t="s">
        <v>706</v>
      </c>
    </row>
    <row r="219" spans="1:3" x14ac:dyDescent="0.25">
      <c r="A219">
        <v>218</v>
      </c>
      <c r="B219" t="s">
        <v>707</v>
      </c>
      <c r="C219" t="s">
        <v>708</v>
      </c>
    </row>
    <row r="220" spans="1:3" x14ac:dyDescent="0.25">
      <c r="A220">
        <v>219</v>
      </c>
      <c r="B220" t="s">
        <v>202</v>
      </c>
      <c r="C220" t="s">
        <v>709</v>
      </c>
    </row>
    <row r="221" spans="1:3" x14ac:dyDescent="0.25">
      <c r="A221">
        <v>220</v>
      </c>
      <c r="B221" t="s">
        <v>710</v>
      </c>
      <c r="C221" t="s">
        <v>711</v>
      </c>
    </row>
    <row r="222" spans="1:3" x14ac:dyDescent="0.25">
      <c r="A222">
        <v>221</v>
      </c>
      <c r="B222" t="s">
        <v>712</v>
      </c>
      <c r="C222" t="s">
        <v>713</v>
      </c>
    </row>
    <row r="223" spans="1:3" x14ac:dyDescent="0.25">
      <c r="A223">
        <v>222</v>
      </c>
      <c r="B223" t="s">
        <v>197</v>
      </c>
      <c r="C223" t="s">
        <v>714</v>
      </c>
    </row>
    <row r="224" spans="1:3" x14ac:dyDescent="0.25">
      <c r="A224">
        <v>223</v>
      </c>
      <c r="B224" t="s">
        <v>199</v>
      </c>
      <c r="C224" t="s">
        <v>715</v>
      </c>
    </row>
    <row r="225" spans="1:3" x14ac:dyDescent="0.25">
      <c r="A225">
        <v>224</v>
      </c>
      <c r="B225" t="s">
        <v>218</v>
      </c>
      <c r="C225" t="s">
        <v>716</v>
      </c>
    </row>
    <row r="226" spans="1:3" x14ac:dyDescent="0.25">
      <c r="A226">
        <v>225</v>
      </c>
      <c r="B226" t="s">
        <v>191</v>
      </c>
      <c r="C226" t="s">
        <v>717</v>
      </c>
    </row>
    <row r="227" spans="1:3" x14ac:dyDescent="0.25">
      <c r="A227">
        <v>226</v>
      </c>
      <c r="B227" t="s">
        <v>242</v>
      </c>
      <c r="C227" t="s">
        <v>718</v>
      </c>
    </row>
    <row r="228" spans="1:3" x14ac:dyDescent="0.25">
      <c r="A228">
        <v>227</v>
      </c>
      <c r="B228" t="s">
        <v>256</v>
      </c>
      <c r="C228" t="s">
        <v>719</v>
      </c>
    </row>
    <row r="229" spans="1:3" x14ac:dyDescent="0.25">
      <c r="A229">
        <v>228</v>
      </c>
      <c r="B229" t="s">
        <v>165</v>
      </c>
      <c r="C229" t="s">
        <v>720</v>
      </c>
    </row>
    <row r="230" spans="1:3" x14ac:dyDescent="0.25">
      <c r="A230">
        <v>229</v>
      </c>
      <c r="B230" t="s">
        <v>84</v>
      </c>
      <c r="C230" t="s">
        <v>721</v>
      </c>
    </row>
    <row r="231" spans="1:3" x14ac:dyDescent="0.25">
      <c r="A231">
        <v>230</v>
      </c>
      <c r="B231" t="s">
        <v>722</v>
      </c>
      <c r="C231" t="s">
        <v>723</v>
      </c>
    </row>
    <row r="232" spans="1:3" x14ac:dyDescent="0.25">
      <c r="A232">
        <v>231</v>
      </c>
      <c r="B232" t="s">
        <v>724</v>
      </c>
      <c r="C232" t="s">
        <v>725</v>
      </c>
    </row>
    <row r="233" spans="1:3" x14ac:dyDescent="0.25">
      <c r="A233">
        <v>232</v>
      </c>
      <c r="B233" t="s">
        <v>208</v>
      </c>
      <c r="C233" t="s">
        <v>726</v>
      </c>
    </row>
    <row r="234" spans="1:3" x14ac:dyDescent="0.25">
      <c r="A234">
        <v>233</v>
      </c>
      <c r="B234" t="s">
        <v>727</v>
      </c>
      <c r="C234" t="s">
        <v>728</v>
      </c>
    </row>
    <row r="235" spans="1:3" x14ac:dyDescent="0.25">
      <c r="A235">
        <v>234</v>
      </c>
      <c r="B235" t="s">
        <v>98</v>
      </c>
      <c r="C235" t="s">
        <v>729</v>
      </c>
    </row>
    <row r="236" spans="1:3" x14ac:dyDescent="0.25">
      <c r="A236">
        <v>235</v>
      </c>
      <c r="B236" t="s">
        <v>100</v>
      </c>
      <c r="C236" t="s">
        <v>730</v>
      </c>
    </row>
    <row r="237" spans="1:3" x14ac:dyDescent="0.25">
      <c r="A237">
        <v>236</v>
      </c>
      <c r="B237" t="s">
        <v>731</v>
      </c>
      <c r="C237" t="s">
        <v>732</v>
      </c>
    </row>
    <row r="238" spans="1:3" x14ac:dyDescent="0.25">
      <c r="A238">
        <v>237</v>
      </c>
      <c r="B238" t="s">
        <v>733</v>
      </c>
      <c r="C238" t="s">
        <v>734</v>
      </c>
    </row>
    <row r="239" spans="1:3" x14ac:dyDescent="0.25">
      <c r="A239">
        <v>238</v>
      </c>
      <c r="B239" t="s">
        <v>735</v>
      </c>
      <c r="C239" t="s">
        <v>736</v>
      </c>
    </row>
    <row r="240" spans="1:3" x14ac:dyDescent="0.25">
      <c r="A240">
        <v>239</v>
      </c>
      <c r="B240" t="s">
        <v>252</v>
      </c>
      <c r="C240" t="s">
        <v>737</v>
      </c>
    </row>
    <row r="241" spans="1:3" x14ac:dyDescent="0.25">
      <c r="A241">
        <v>240</v>
      </c>
      <c r="B241" t="s">
        <v>738</v>
      </c>
      <c r="C241" t="s">
        <v>739</v>
      </c>
    </row>
    <row r="242" spans="1:3" x14ac:dyDescent="0.25">
      <c r="A242">
        <v>241</v>
      </c>
      <c r="B242" t="s">
        <v>740</v>
      </c>
      <c r="C242" t="s">
        <v>741</v>
      </c>
    </row>
    <row r="243" spans="1:3" x14ac:dyDescent="0.25">
      <c r="A243">
        <v>242</v>
      </c>
      <c r="B243" t="s">
        <v>742</v>
      </c>
      <c r="C243" t="s">
        <v>743</v>
      </c>
    </row>
    <row r="244" spans="1:3" x14ac:dyDescent="0.25">
      <c r="A244">
        <v>243</v>
      </c>
      <c r="B244" t="s">
        <v>744</v>
      </c>
      <c r="C244" t="s">
        <v>745</v>
      </c>
    </row>
    <row r="245" spans="1:3" x14ac:dyDescent="0.25">
      <c r="A245">
        <v>244</v>
      </c>
      <c r="B245" t="s">
        <v>279</v>
      </c>
      <c r="C245" t="s">
        <v>746</v>
      </c>
    </row>
    <row r="246" spans="1:3" x14ac:dyDescent="0.25">
      <c r="A246">
        <v>245</v>
      </c>
      <c r="B246" t="s">
        <v>747</v>
      </c>
      <c r="C246" t="s">
        <v>748</v>
      </c>
    </row>
    <row r="247" spans="1:3" x14ac:dyDescent="0.25">
      <c r="A247">
        <v>246</v>
      </c>
      <c r="B247" t="s">
        <v>749</v>
      </c>
      <c r="C247" t="s">
        <v>750</v>
      </c>
    </row>
    <row r="248" spans="1:3" x14ac:dyDescent="0.25">
      <c r="A248">
        <v>247</v>
      </c>
      <c r="B248" t="s">
        <v>751</v>
      </c>
      <c r="C248" t="s">
        <v>752</v>
      </c>
    </row>
    <row r="249" spans="1:3" x14ac:dyDescent="0.25">
      <c r="A249">
        <v>248</v>
      </c>
      <c r="B249" t="s">
        <v>753</v>
      </c>
      <c r="C249" t="s">
        <v>754</v>
      </c>
    </row>
    <row r="250" spans="1:3" x14ac:dyDescent="0.25">
      <c r="A250">
        <v>249</v>
      </c>
      <c r="B250" t="s">
        <v>755</v>
      </c>
      <c r="C250" t="s">
        <v>756</v>
      </c>
    </row>
    <row r="251" spans="1:3" x14ac:dyDescent="0.25">
      <c r="A251">
        <v>250</v>
      </c>
      <c r="B251" t="s">
        <v>757</v>
      </c>
      <c r="C251" t="s">
        <v>758</v>
      </c>
    </row>
    <row r="252" spans="1:3" x14ac:dyDescent="0.25">
      <c r="A252">
        <v>251</v>
      </c>
      <c r="B252" t="s">
        <v>759</v>
      </c>
      <c r="C252" t="s">
        <v>760</v>
      </c>
    </row>
    <row r="253" spans="1:3" x14ac:dyDescent="0.25">
      <c r="A253">
        <v>252</v>
      </c>
      <c r="B253" t="s">
        <v>761</v>
      </c>
      <c r="C253" t="s">
        <v>762</v>
      </c>
    </row>
    <row r="254" spans="1:3" x14ac:dyDescent="0.25">
      <c r="A254">
        <v>253</v>
      </c>
      <c r="B254" t="s">
        <v>763</v>
      </c>
      <c r="C254" t="s">
        <v>764</v>
      </c>
    </row>
    <row r="255" spans="1:3" x14ac:dyDescent="0.25">
      <c r="A255">
        <v>254</v>
      </c>
      <c r="B255" t="s">
        <v>765</v>
      </c>
      <c r="C255" t="s">
        <v>766</v>
      </c>
    </row>
    <row r="256" spans="1:3" x14ac:dyDescent="0.25">
      <c r="A256">
        <v>255</v>
      </c>
      <c r="B256" t="s">
        <v>767</v>
      </c>
      <c r="C256" t="s">
        <v>768</v>
      </c>
    </row>
    <row r="257" spans="1:3" x14ac:dyDescent="0.25">
      <c r="A257">
        <v>256</v>
      </c>
      <c r="B257" t="s">
        <v>769</v>
      </c>
      <c r="C257" t="s">
        <v>770</v>
      </c>
    </row>
    <row r="258" spans="1:3" x14ac:dyDescent="0.25">
      <c r="A258">
        <v>257</v>
      </c>
      <c r="B258" t="s">
        <v>771</v>
      </c>
      <c r="C258" t="s">
        <v>772</v>
      </c>
    </row>
    <row r="259" spans="1:3" x14ac:dyDescent="0.25">
      <c r="A259">
        <v>258</v>
      </c>
      <c r="B259" t="s">
        <v>773</v>
      </c>
      <c r="C259" t="s">
        <v>774</v>
      </c>
    </row>
    <row r="260" spans="1:3" x14ac:dyDescent="0.25">
      <c r="A260">
        <v>259</v>
      </c>
      <c r="B260" t="s">
        <v>775</v>
      </c>
      <c r="C260" t="s">
        <v>776</v>
      </c>
    </row>
    <row r="261" spans="1:3" x14ac:dyDescent="0.25">
      <c r="A261">
        <v>260</v>
      </c>
      <c r="B261" t="s">
        <v>777</v>
      </c>
      <c r="C261" t="s">
        <v>778</v>
      </c>
    </row>
    <row r="262" spans="1:3" x14ac:dyDescent="0.25">
      <c r="A262">
        <v>261</v>
      </c>
      <c r="B262" t="s">
        <v>779</v>
      </c>
      <c r="C262" t="s">
        <v>780</v>
      </c>
    </row>
    <row r="263" spans="1:3" x14ac:dyDescent="0.25">
      <c r="A263">
        <v>262</v>
      </c>
      <c r="B263" t="s">
        <v>781</v>
      </c>
      <c r="C263" t="s">
        <v>782</v>
      </c>
    </row>
    <row r="264" spans="1:3" x14ac:dyDescent="0.25">
      <c r="A264">
        <v>263</v>
      </c>
      <c r="B264" t="s">
        <v>783</v>
      </c>
      <c r="C264" t="s">
        <v>784</v>
      </c>
    </row>
    <row r="265" spans="1:3" x14ac:dyDescent="0.25">
      <c r="A265">
        <v>264</v>
      </c>
      <c r="B265" t="s">
        <v>785</v>
      </c>
      <c r="C265" t="s">
        <v>786</v>
      </c>
    </row>
    <row r="266" spans="1:3" x14ac:dyDescent="0.25">
      <c r="A266">
        <v>265</v>
      </c>
      <c r="B266" t="s">
        <v>787</v>
      </c>
      <c r="C266" t="s">
        <v>788</v>
      </c>
    </row>
    <row r="267" spans="1:3" x14ac:dyDescent="0.25">
      <c r="A267">
        <v>266</v>
      </c>
      <c r="B267" t="s">
        <v>789</v>
      </c>
      <c r="C267" t="s">
        <v>790</v>
      </c>
    </row>
    <row r="268" spans="1:3" x14ac:dyDescent="0.25">
      <c r="A268">
        <v>267</v>
      </c>
      <c r="B268" t="s">
        <v>791</v>
      </c>
      <c r="C268" t="s">
        <v>792</v>
      </c>
    </row>
    <row r="269" spans="1:3" x14ac:dyDescent="0.25">
      <c r="A269">
        <v>268</v>
      </c>
      <c r="B269" t="s">
        <v>793</v>
      </c>
      <c r="C269" t="s">
        <v>794</v>
      </c>
    </row>
    <row r="270" spans="1:3" x14ac:dyDescent="0.25">
      <c r="A270">
        <v>269</v>
      </c>
      <c r="B270" t="s">
        <v>335</v>
      </c>
      <c r="C270" t="s">
        <v>795</v>
      </c>
    </row>
    <row r="271" spans="1:3" x14ac:dyDescent="0.25">
      <c r="A271">
        <v>270</v>
      </c>
      <c r="B271" t="s">
        <v>337</v>
      </c>
      <c r="C271" t="s">
        <v>796</v>
      </c>
    </row>
    <row r="272" spans="1:3" x14ac:dyDescent="0.25">
      <c r="A272">
        <v>271</v>
      </c>
      <c r="B272" t="s">
        <v>797</v>
      </c>
      <c r="C272" t="s">
        <v>798</v>
      </c>
    </row>
    <row r="273" spans="1:3" x14ac:dyDescent="0.25">
      <c r="A273">
        <v>272</v>
      </c>
      <c r="B273" t="s">
        <v>329</v>
      </c>
      <c r="C273" t="s">
        <v>799</v>
      </c>
    </row>
    <row r="274" spans="1:3" x14ac:dyDescent="0.25">
      <c r="A274">
        <v>273</v>
      </c>
      <c r="B274" t="s">
        <v>336</v>
      </c>
      <c r="C274" t="s">
        <v>800</v>
      </c>
    </row>
    <row r="275" spans="1:3" x14ac:dyDescent="0.25">
      <c r="A275">
        <v>274</v>
      </c>
      <c r="B275" t="s">
        <v>337</v>
      </c>
      <c r="C275" t="s">
        <v>801</v>
      </c>
    </row>
    <row r="276" spans="1:3" x14ac:dyDescent="0.25">
      <c r="A276">
        <v>275</v>
      </c>
      <c r="B276" t="s">
        <v>389</v>
      </c>
      <c r="C276" t="s">
        <v>802</v>
      </c>
    </row>
    <row r="277" spans="1:3" x14ac:dyDescent="0.25">
      <c r="A277">
        <v>276</v>
      </c>
      <c r="B277" t="s">
        <v>360</v>
      </c>
      <c r="C277" t="s">
        <v>803</v>
      </c>
    </row>
    <row r="278" spans="1:3" x14ac:dyDescent="0.25">
      <c r="A278">
        <v>277</v>
      </c>
      <c r="B278" t="s">
        <v>365</v>
      </c>
      <c r="C278" t="s">
        <v>804</v>
      </c>
    </row>
    <row r="279" spans="1:3" x14ac:dyDescent="0.25">
      <c r="A279">
        <v>278</v>
      </c>
      <c r="B279" t="s">
        <v>380</v>
      </c>
      <c r="C279" t="s">
        <v>805</v>
      </c>
    </row>
    <row r="280" spans="1:3" x14ac:dyDescent="0.25">
      <c r="A280">
        <v>279</v>
      </c>
      <c r="B280" t="s">
        <v>295</v>
      </c>
      <c r="C280" t="s">
        <v>806</v>
      </c>
    </row>
    <row r="281" spans="1:3" x14ac:dyDescent="0.25">
      <c r="A281">
        <v>280</v>
      </c>
      <c r="B281" t="s">
        <v>299</v>
      </c>
      <c r="C281" t="s">
        <v>807</v>
      </c>
    </row>
    <row r="282" spans="1:3" x14ac:dyDescent="0.25">
      <c r="A282">
        <v>281</v>
      </c>
      <c r="B282" t="s">
        <v>808</v>
      </c>
      <c r="C282" t="s">
        <v>809</v>
      </c>
    </row>
    <row r="283" spans="1:3" x14ac:dyDescent="0.25">
      <c r="A283">
        <v>282</v>
      </c>
      <c r="B283" t="s">
        <v>339</v>
      </c>
      <c r="C283" t="s">
        <v>810</v>
      </c>
    </row>
    <row r="284" spans="1:3" x14ac:dyDescent="0.25">
      <c r="A284">
        <v>283</v>
      </c>
      <c r="B284" t="s">
        <v>342</v>
      </c>
      <c r="C284" t="s">
        <v>811</v>
      </c>
    </row>
    <row r="285" spans="1:3" x14ac:dyDescent="0.25">
      <c r="A285">
        <v>284</v>
      </c>
      <c r="B285" t="s">
        <v>345</v>
      </c>
      <c r="C285" t="s">
        <v>812</v>
      </c>
    </row>
    <row r="286" spans="1:3" x14ac:dyDescent="0.25">
      <c r="A286">
        <v>285</v>
      </c>
      <c r="B286" t="s">
        <v>348</v>
      </c>
      <c r="C286" t="s">
        <v>813</v>
      </c>
    </row>
    <row r="287" spans="1:3" x14ac:dyDescent="0.25">
      <c r="A287">
        <v>286</v>
      </c>
      <c r="B287" t="s">
        <v>352</v>
      </c>
      <c r="C287" t="s">
        <v>814</v>
      </c>
    </row>
    <row r="288" spans="1:3" x14ac:dyDescent="0.25">
      <c r="A288">
        <v>287</v>
      </c>
      <c r="B288" t="s">
        <v>354</v>
      </c>
      <c r="C288" t="s">
        <v>815</v>
      </c>
    </row>
    <row r="289" spans="1:3" x14ac:dyDescent="0.25">
      <c r="A289">
        <v>288</v>
      </c>
      <c r="B289" t="s">
        <v>356</v>
      </c>
      <c r="C289" t="s">
        <v>816</v>
      </c>
    </row>
    <row r="290" spans="1:3" x14ac:dyDescent="0.25">
      <c r="A290">
        <v>289</v>
      </c>
      <c r="B290" t="s">
        <v>363</v>
      </c>
      <c r="C290" t="s">
        <v>817</v>
      </c>
    </row>
    <row r="291" spans="1:3" x14ac:dyDescent="0.25">
      <c r="A291">
        <v>290</v>
      </c>
      <c r="B291" t="s">
        <v>359</v>
      </c>
      <c r="C291" t="s">
        <v>818</v>
      </c>
    </row>
    <row r="292" spans="1:3" x14ac:dyDescent="0.25">
      <c r="A292">
        <v>291</v>
      </c>
      <c r="B292" t="s">
        <v>362</v>
      </c>
      <c r="C292" t="s">
        <v>819</v>
      </c>
    </row>
    <row r="293" spans="1:3" x14ac:dyDescent="0.25">
      <c r="A293">
        <v>292</v>
      </c>
      <c r="B293" t="s">
        <v>375</v>
      </c>
      <c r="C293" t="s">
        <v>820</v>
      </c>
    </row>
    <row r="294" spans="1:3" x14ac:dyDescent="0.25">
      <c r="A294">
        <v>293</v>
      </c>
      <c r="B294" t="s">
        <v>378</v>
      </c>
      <c r="C294" t="s">
        <v>821</v>
      </c>
    </row>
    <row r="295" spans="1:3" x14ac:dyDescent="0.25">
      <c r="A295">
        <v>294</v>
      </c>
      <c r="B295" t="s">
        <v>315</v>
      </c>
      <c r="C295" t="s">
        <v>822</v>
      </c>
    </row>
    <row r="296" spans="1:3" x14ac:dyDescent="0.25">
      <c r="A296">
        <v>295</v>
      </c>
      <c r="B296" t="s">
        <v>322</v>
      </c>
      <c r="C296" t="s">
        <v>823</v>
      </c>
    </row>
    <row r="297" spans="1:3" x14ac:dyDescent="0.25">
      <c r="A297">
        <v>296</v>
      </c>
      <c r="B297" t="s">
        <v>328</v>
      </c>
      <c r="C297" t="s">
        <v>824</v>
      </c>
    </row>
    <row r="298" spans="1:3" x14ac:dyDescent="0.25">
      <c r="A298">
        <v>297</v>
      </c>
      <c r="B298" t="s">
        <v>333</v>
      </c>
      <c r="C298" t="s">
        <v>825</v>
      </c>
    </row>
    <row r="299" spans="1:3" x14ac:dyDescent="0.25">
      <c r="A299">
        <v>298</v>
      </c>
      <c r="B299" t="s">
        <v>335</v>
      </c>
      <c r="C299" t="s">
        <v>826</v>
      </c>
    </row>
    <row r="300" spans="1:3" x14ac:dyDescent="0.25">
      <c r="A300">
        <v>299</v>
      </c>
      <c r="B300" t="s">
        <v>385</v>
      </c>
      <c r="C300" t="s">
        <v>827</v>
      </c>
    </row>
    <row r="301" spans="1:3" x14ac:dyDescent="0.25">
      <c r="A301">
        <v>300</v>
      </c>
      <c r="B301" t="s">
        <v>388</v>
      </c>
      <c r="C301" t="s">
        <v>828</v>
      </c>
    </row>
    <row r="302" spans="1:3" x14ac:dyDescent="0.25">
      <c r="A302">
        <v>301</v>
      </c>
      <c r="B302" t="s">
        <v>303</v>
      </c>
      <c r="C302" t="s">
        <v>829</v>
      </c>
    </row>
    <row r="303" spans="1:3" x14ac:dyDescent="0.25">
      <c r="A303">
        <v>302</v>
      </c>
      <c r="B303" t="s">
        <v>309</v>
      </c>
      <c r="C303" t="s">
        <v>830</v>
      </c>
    </row>
    <row r="304" spans="1:3" x14ac:dyDescent="0.25">
      <c r="A304">
        <v>303</v>
      </c>
      <c r="B304" t="s">
        <v>313</v>
      </c>
      <c r="C304" t="s">
        <v>831</v>
      </c>
    </row>
    <row r="305" spans="1:3" x14ac:dyDescent="0.25">
      <c r="A305">
        <v>304</v>
      </c>
      <c r="B305" t="s">
        <v>318</v>
      </c>
      <c r="C305" t="s">
        <v>832</v>
      </c>
    </row>
    <row r="306" spans="1:3" x14ac:dyDescent="0.25">
      <c r="A306">
        <v>305</v>
      </c>
      <c r="B306" t="s">
        <v>322</v>
      </c>
      <c r="C306" t="s">
        <v>833</v>
      </c>
    </row>
    <row r="307" spans="1:3" x14ac:dyDescent="0.25">
      <c r="A307">
        <v>306</v>
      </c>
      <c r="B307" t="s">
        <v>324</v>
      </c>
      <c r="C307" t="s">
        <v>834</v>
      </c>
    </row>
    <row r="308" spans="1:3" x14ac:dyDescent="0.25">
      <c r="A308">
        <v>307</v>
      </c>
      <c r="B308" t="s">
        <v>327</v>
      </c>
      <c r="C308" t="s">
        <v>835</v>
      </c>
    </row>
    <row r="309" spans="1:3" x14ac:dyDescent="0.25">
      <c r="A309">
        <v>308</v>
      </c>
      <c r="B309" t="s">
        <v>325</v>
      </c>
      <c r="C309" t="s">
        <v>836</v>
      </c>
    </row>
    <row r="310" spans="1:3" x14ac:dyDescent="0.25">
      <c r="A310">
        <v>309</v>
      </c>
      <c r="B310" t="s">
        <v>327</v>
      </c>
      <c r="C310" t="s">
        <v>837</v>
      </c>
    </row>
    <row r="311" spans="1:3" x14ac:dyDescent="0.25">
      <c r="A311">
        <v>310</v>
      </c>
      <c r="B311" t="s">
        <v>390</v>
      </c>
      <c r="C311" t="s">
        <v>838</v>
      </c>
    </row>
    <row r="312" spans="1:3" x14ac:dyDescent="0.25">
      <c r="A312">
        <v>311</v>
      </c>
      <c r="B312" t="s">
        <v>381</v>
      </c>
      <c r="C312" t="s">
        <v>839</v>
      </c>
    </row>
    <row r="313" spans="1:3" x14ac:dyDescent="0.25">
      <c r="A313">
        <v>312</v>
      </c>
      <c r="B313" t="s">
        <v>384</v>
      </c>
      <c r="C313" t="s">
        <v>840</v>
      </c>
    </row>
    <row r="314" spans="1:3" x14ac:dyDescent="0.25">
      <c r="A314">
        <v>313</v>
      </c>
      <c r="B314" t="s">
        <v>386</v>
      </c>
      <c r="C314" t="s">
        <v>841</v>
      </c>
    </row>
    <row r="315" spans="1:3" x14ac:dyDescent="0.25">
      <c r="A315">
        <v>314</v>
      </c>
      <c r="B315" t="s">
        <v>387</v>
      </c>
      <c r="C315" t="s">
        <v>842</v>
      </c>
    </row>
    <row r="316" spans="1:3" x14ac:dyDescent="0.25">
      <c r="A316">
        <v>315</v>
      </c>
      <c r="B316" t="s">
        <v>341</v>
      </c>
      <c r="C316" t="s">
        <v>843</v>
      </c>
    </row>
    <row r="317" spans="1:3" x14ac:dyDescent="0.25">
      <c r="A317">
        <v>316</v>
      </c>
      <c r="B317" t="s">
        <v>344</v>
      </c>
      <c r="C317" t="s">
        <v>844</v>
      </c>
    </row>
    <row r="318" spans="1:3" x14ac:dyDescent="0.25">
      <c r="A318">
        <v>317</v>
      </c>
      <c r="B318" t="s">
        <v>328</v>
      </c>
      <c r="C318" t="s">
        <v>845</v>
      </c>
    </row>
    <row r="319" spans="1:3" x14ac:dyDescent="0.25">
      <c r="A319">
        <v>318</v>
      </c>
      <c r="B319" t="s">
        <v>392</v>
      </c>
      <c r="C319" t="s">
        <v>846</v>
      </c>
    </row>
    <row r="320" spans="1:3" x14ac:dyDescent="0.25">
      <c r="A320">
        <v>319</v>
      </c>
      <c r="B320" t="s">
        <v>847</v>
      </c>
      <c r="C320" t="s">
        <v>848</v>
      </c>
    </row>
    <row r="321" spans="1:3" x14ac:dyDescent="0.25">
      <c r="A321">
        <v>320</v>
      </c>
      <c r="B321" t="s">
        <v>849</v>
      </c>
      <c r="C321" t="s">
        <v>850</v>
      </c>
    </row>
    <row r="322" spans="1:3" x14ac:dyDescent="0.25">
      <c r="A322">
        <v>321</v>
      </c>
      <c r="B322" t="s">
        <v>851</v>
      </c>
      <c r="C322" t="s">
        <v>852</v>
      </c>
    </row>
    <row r="323" spans="1:3" x14ac:dyDescent="0.25">
      <c r="A323">
        <v>322</v>
      </c>
      <c r="B323" t="s">
        <v>853</v>
      </c>
      <c r="C323" t="s">
        <v>854</v>
      </c>
    </row>
    <row r="324" spans="1:3" x14ac:dyDescent="0.25">
      <c r="A324">
        <v>323</v>
      </c>
      <c r="B324" t="s">
        <v>855</v>
      </c>
      <c r="C324" t="s">
        <v>856</v>
      </c>
    </row>
    <row r="325" spans="1:3" x14ac:dyDescent="0.25">
      <c r="A325">
        <v>324</v>
      </c>
      <c r="B325" t="s">
        <v>857</v>
      </c>
      <c r="C325" t="s">
        <v>858</v>
      </c>
    </row>
    <row r="326" spans="1:3" x14ac:dyDescent="0.25">
      <c r="A326">
        <v>325</v>
      </c>
      <c r="B326" t="s">
        <v>859</v>
      </c>
      <c r="C326" t="s">
        <v>860</v>
      </c>
    </row>
    <row r="327" spans="1:3" x14ac:dyDescent="0.25">
      <c r="A327">
        <v>326</v>
      </c>
      <c r="B327" t="s">
        <v>861</v>
      </c>
      <c r="C327" t="s">
        <v>862</v>
      </c>
    </row>
    <row r="328" spans="1:3" x14ac:dyDescent="0.25">
      <c r="A328">
        <v>327</v>
      </c>
      <c r="B328" t="s">
        <v>863</v>
      </c>
      <c r="C328" t="s">
        <v>864</v>
      </c>
    </row>
    <row r="329" spans="1:3" x14ac:dyDescent="0.25">
      <c r="A329">
        <v>328</v>
      </c>
      <c r="B329" t="s">
        <v>865</v>
      </c>
      <c r="C329" t="s">
        <v>866</v>
      </c>
    </row>
    <row r="330" spans="1:3" x14ac:dyDescent="0.25">
      <c r="A330">
        <v>329</v>
      </c>
      <c r="B330" t="s">
        <v>867</v>
      </c>
      <c r="C330" t="s">
        <v>868</v>
      </c>
    </row>
    <row r="331" spans="1:3" x14ac:dyDescent="0.25">
      <c r="A331">
        <v>330</v>
      </c>
      <c r="B331" t="s">
        <v>869</v>
      </c>
      <c r="C331" t="s">
        <v>870</v>
      </c>
    </row>
    <row r="332" spans="1:3" x14ac:dyDescent="0.25">
      <c r="A332">
        <v>331</v>
      </c>
      <c r="B332" t="s">
        <v>871</v>
      </c>
      <c r="C332" t="s">
        <v>872</v>
      </c>
    </row>
    <row r="333" spans="1:3" x14ac:dyDescent="0.25">
      <c r="A333">
        <v>332</v>
      </c>
      <c r="B333" t="s">
        <v>873</v>
      </c>
      <c r="C333" t="s">
        <v>874</v>
      </c>
    </row>
    <row r="334" spans="1:3" x14ac:dyDescent="0.25">
      <c r="A334">
        <v>333</v>
      </c>
      <c r="B334" t="s">
        <v>875</v>
      </c>
      <c r="C334" t="s">
        <v>876</v>
      </c>
    </row>
    <row r="335" spans="1:3" x14ac:dyDescent="0.25">
      <c r="A335">
        <v>334</v>
      </c>
      <c r="B335" t="s">
        <v>877</v>
      </c>
      <c r="C335" t="s">
        <v>878</v>
      </c>
    </row>
    <row r="336" spans="1:3" x14ac:dyDescent="0.25">
      <c r="A336">
        <v>335</v>
      </c>
      <c r="B336" t="s">
        <v>879</v>
      </c>
      <c r="C336" t="s">
        <v>880</v>
      </c>
    </row>
    <row r="337" spans="1:3" x14ac:dyDescent="0.25">
      <c r="A337">
        <v>336</v>
      </c>
      <c r="B337" t="s">
        <v>881</v>
      </c>
      <c r="C337" t="s">
        <v>882</v>
      </c>
    </row>
    <row r="338" spans="1:3" x14ac:dyDescent="0.25">
      <c r="A338">
        <v>337</v>
      </c>
      <c r="B338" t="s">
        <v>883</v>
      </c>
      <c r="C338" t="s">
        <v>884</v>
      </c>
    </row>
    <row r="339" spans="1:3" x14ac:dyDescent="0.25">
      <c r="A339">
        <v>338</v>
      </c>
      <c r="B339" t="s">
        <v>885</v>
      </c>
      <c r="C339" t="s">
        <v>886</v>
      </c>
    </row>
    <row r="340" spans="1:3" x14ac:dyDescent="0.25">
      <c r="A340">
        <v>339</v>
      </c>
      <c r="B340" t="s">
        <v>887</v>
      </c>
      <c r="C340" t="s">
        <v>888</v>
      </c>
    </row>
    <row r="341" spans="1:3" x14ac:dyDescent="0.25">
      <c r="A341">
        <v>340</v>
      </c>
      <c r="B341" t="s">
        <v>386</v>
      </c>
      <c r="C341" t="s">
        <v>889</v>
      </c>
    </row>
    <row r="342" spans="1:3" x14ac:dyDescent="0.25">
      <c r="A342">
        <v>341</v>
      </c>
      <c r="B342" t="s">
        <v>389</v>
      </c>
      <c r="C342" t="s">
        <v>890</v>
      </c>
    </row>
    <row r="343" spans="1:3" x14ac:dyDescent="0.25">
      <c r="A343">
        <v>342</v>
      </c>
      <c r="B343" t="s">
        <v>891</v>
      </c>
      <c r="C343" t="s">
        <v>892</v>
      </c>
    </row>
    <row r="344" spans="1:3" x14ac:dyDescent="0.25">
      <c r="A344">
        <v>343</v>
      </c>
      <c r="B344" t="s">
        <v>893</v>
      </c>
      <c r="C344" t="s">
        <v>894</v>
      </c>
    </row>
    <row r="345" spans="1:3" x14ac:dyDescent="0.25">
      <c r="A345">
        <v>344</v>
      </c>
      <c r="B345" t="s">
        <v>895</v>
      </c>
      <c r="C345" t="s">
        <v>896</v>
      </c>
    </row>
    <row r="346" spans="1:3" x14ac:dyDescent="0.25">
      <c r="A346">
        <v>345</v>
      </c>
      <c r="B346" t="s">
        <v>897</v>
      </c>
      <c r="C346" t="s">
        <v>898</v>
      </c>
    </row>
    <row r="347" spans="1:3" x14ac:dyDescent="0.25">
      <c r="A347">
        <v>346</v>
      </c>
      <c r="B347" t="s">
        <v>899</v>
      </c>
      <c r="C347" t="s">
        <v>900</v>
      </c>
    </row>
    <row r="348" spans="1:3" x14ac:dyDescent="0.25">
      <c r="A348">
        <v>347</v>
      </c>
      <c r="B348" t="s">
        <v>341</v>
      </c>
      <c r="C348" t="s">
        <v>901</v>
      </c>
    </row>
    <row r="349" spans="1:3" x14ac:dyDescent="0.25">
      <c r="A349">
        <v>348</v>
      </c>
      <c r="B349" t="s">
        <v>342</v>
      </c>
      <c r="C349" t="s">
        <v>902</v>
      </c>
    </row>
    <row r="350" spans="1:3" x14ac:dyDescent="0.25">
      <c r="A350">
        <v>349</v>
      </c>
      <c r="B350" t="s">
        <v>903</v>
      </c>
      <c r="C350" t="s">
        <v>904</v>
      </c>
    </row>
    <row r="351" spans="1:3" x14ac:dyDescent="0.25">
      <c r="A351">
        <v>350</v>
      </c>
      <c r="B351" t="s">
        <v>347</v>
      </c>
      <c r="C351" t="s">
        <v>905</v>
      </c>
    </row>
    <row r="352" spans="1:3" x14ac:dyDescent="0.25">
      <c r="A352">
        <v>351</v>
      </c>
      <c r="B352" t="s">
        <v>354</v>
      </c>
      <c r="C352" t="s">
        <v>906</v>
      </c>
    </row>
    <row r="353" spans="1:3" x14ac:dyDescent="0.25">
      <c r="A353">
        <v>352</v>
      </c>
      <c r="B353" t="s">
        <v>360</v>
      </c>
      <c r="C353" t="s">
        <v>907</v>
      </c>
    </row>
    <row r="354" spans="1:3" x14ac:dyDescent="0.25">
      <c r="A354">
        <v>353</v>
      </c>
      <c r="B354" t="s">
        <v>363</v>
      </c>
      <c r="C354" t="s">
        <v>908</v>
      </c>
    </row>
    <row r="355" spans="1:3" x14ac:dyDescent="0.25">
      <c r="A355">
        <v>354</v>
      </c>
      <c r="B355" t="s">
        <v>365</v>
      </c>
      <c r="C355" t="s">
        <v>909</v>
      </c>
    </row>
    <row r="356" spans="1:3" x14ac:dyDescent="0.25">
      <c r="A356">
        <v>355</v>
      </c>
      <c r="B356" t="s">
        <v>371</v>
      </c>
      <c r="C356" t="s">
        <v>910</v>
      </c>
    </row>
    <row r="357" spans="1:3" x14ac:dyDescent="0.25">
      <c r="A357">
        <v>356</v>
      </c>
      <c r="B357" t="s">
        <v>373</v>
      </c>
      <c r="C357" t="s">
        <v>911</v>
      </c>
    </row>
    <row r="358" spans="1:3" x14ac:dyDescent="0.25">
      <c r="A358">
        <v>357</v>
      </c>
      <c r="B358" t="s">
        <v>380</v>
      </c>
      <c r="C358" t="s">
        <v>912</v>
      </c>
    </row>
    <row r="359" spans="1:3" x14ac:dyDescent="0.25">
      <c r="A359">
        <v>358</v>
      </c>
      <c r="B359" t="s">
        <v>381</v>
      </c>
      <c r="C359" t="s">
        <v>913</v>
      </c>
    </row>
    <row r="360" spans="1:3" x14ac:dyDescent="0.25">
      <c r="A360">
        <v>359</v>
      </c>
      <c r="B360" t="s">
        <v>384</v>
      </c>
      <c r="C360" t="s">
        <v>914</v>
      </c>
    </row>
    <row r="361" spans="1:3" x14ac:dyDescent="0.25">
      <c r="A361">
        <v>360</v>
      </c>
      <c r="B361" t="s">
        <v>915</v>
      </c>
      <c r="C361" t="s">
        <v>916</v>
      </c>
    </row>
    <row r="362" spans="1:3" x14ac:dyDescent="0.25">
      <c r="A362">
        <v>361</v>
      </c>
      <c r="B362" t="s">
        <v>917</v>
      </c>
      <c r="C362" t="s">
        <v>918</v>
      </c>
    </row>
    <row r="363" spans="1:3" x14ac:dyDescent="0.25">
      <c r="A363">
        <v>362</v>
      </c>
      <c r="B363" t="s">
        <v>919</v>
      </c>
      <c r="C363" t="s">
        <v>920</v>
      </c>
    </row>
    <row r="364" spans="1:3" x14ac:dyDescent="0.25">
      <c r="A364">
        <v>363</v>
      </c>
      <c r="B364" t="s">
        <v>921</v>
      </c>
      <c r="C364" t="s">
        <v>922</v>
      </c>
    </row>
    <row r="365" spans="1:3" x14ac:dyDescent="0.25">
      <c r="A365">
        <v>364</v>
      </c>
      <c r="B365" t="s">
        <v>923</v>
      </c>
      <c r="C365" t="s">
        <v>924</v>
      </c>
    </row>
    <row r="366" spans="1:3" x14ac:dyDescent="0.25">
      <c r="A366">
        <v>365</v>
      </c>
      <c r="B366" t="s">
        <v>925</v>
      </c>
      <c r="C366" t="s">
        <v>926</v>
      </c>
    </row>
    <row r="367" spans="1:3" x14ac:dyDescent="0.25">
      <c r="A367">
        <v>366</v>
      </c>
      <c r="B367" t="s">
        <v>927</v>
      </c>
      <c r="C367" t="s">
        <v>928</v>
      </c>
    </row>
    <row r="368" spans="1:3" x14ac:dyDescent="0.25">
      <c r="A368">
        <v>367</v>
      </c>
      <c r="B368" t="s">
        <v>929</v>
      </c>
      <c r="C368" t="s">
        <v>930</v>
      </c>
    </row>
    <row r="369" spans="1:3" x14ac:dyDescent="0.25">
      <c r="A369">
        <v>368</v>
      </c>
      <c r="B369" t="s">
        <v>931</v>
      </c>
      <c r="C369" t="s">
        <v>932</v>
      </c>
    </row>
    <row r="370" spans="1:3" x14ac:dyDescent="0.25">
      <c r="A370">
        <v>369</v>
      </c>
      <c r="B370" t="s">
        <v>933</v>
      </c>
      <c r="C370" t="s">
        <v>934</v>
      </c>
    </row>
    <row r="371" spans="1:3" x14ac:dyDescent="0.25">
      <c r="A371">
        <v>370</v>
      </c>
      <c r="B371" t="s">
        <v>108</v>
      </c>
      <c r="C371" t="s">
        <v>935</v>
      </c>
    </row>
    <row r="372" spans="1:3" x14ac:dyDescent="0.25">
      <c r="A372">
        <v>371</v>
      </c>
      <c r="B372" t="s">
        <v>115</v>
      </c>
      <c r="C372" t="s">
        <v>936</v>
      </c>
    </row>
    <row r="373" spans="1:3" x14ac:dyDescent="0.25">
      <c r="A373">
        <v>372</v>
      </c>
      <c r="B373" t="s">
        <v>378</v>
      </c>
      <c r="C373" t="s">
        <v>937</v>
      </c>
    </row>
    <row r="374" spans="1:3" x14ac:dyDescent="0.25">
      <c r="A374">
        <v>373</v>
      </c>
      <c r="B374" t="s">
        <v>275</v>
      </c>
      <c r="C374" t="s">
        <v>938</v>
      </c>
    </row>
    <row r="375" spans="1:3" x14ac:dyDescent="0.25">
      <c r="A375">
        <v>374</v>
      </c>
      <c r="B375" t="s">
        <v>86</v>
      </c>
      <c r="C375" t="s">
        <v>939</v>
      </c>
    </row>
    <row r="376" spans="1:3" x14ac:dyDescent="0.25">
      <c r="A376">
        <v>375</v>
      </c>
      <c r="B376" t="s">
        <v>117</v>
      </c>
      <c r="C376" t="s">
        <v>940</v>
      </c>
    </row>
    <row r="377" spans="1:3" x14ac:dyDescent="0.25">
      <c r="A377">
        <v>376</v>
      </c>
      <c r="B377" t="s">
        <v>250</v>
      </c>
      <c r="C377" t="s">
        <v>941</v>
      </c>
    </row>
    <row r="378" spans="1:3" x14ac:dyDescent="0.25">
      <c r="A378">
        <v>377</v>
      </c>
      <c r="B378" t="s">
        <v>331</v>
      </c>
      <c r="C378" t="s">
        <v>942</v>
      </c>
    </row>
    <row r="379" spans="1:3" x14ac:dyDescent="0.25">
      <c r="A379">
        <v>378</v>
      </c>
      <c r="B379" t="s">
        <v>254</v>
      </c>
      <c r="C379" t="s">
        <v>943</v>
      </c>
    </row>
    <row r="380" spans="1:3" x14ac:dyDescent="0.25">
      <c r="A380">
        <v>379</v>
      </c>
      <c r="B380" t="s">
        <v>157</v>
      </c>
      <c r="C380" t="s">
        <v>944</v>
      </c>
    </row>
    <row r="381" spans="1:3" x14ac:dyDescent="0.25">
      <c r="A381">
        <v>380</v>
      </c>
      <c r="B381" t="s">
        <v>339</v>
      </c>
      <c r="C381" t="s">
        <v>945</v>
      </c>
    </row>
    <row r="382" spans="1:3" x14ac:dyDescent="0.25">
      <c r="A382">
        <v>381</v>
      </c>
      <c r="B382" t="s">
        <v>334</v>
      </c>
      <c r="C382" t="s">
        <v>946</v>
      </c>
    </row>
    <row r="383" spans="1:3" x14ac:dyDescent="0.25">
      <c r="A383">
        <v>382</v>
      </c>
      <c r="B383" t="s">
        <v>326</v>
      </c>
      <c r="C383" t="s">
        <v>947</v>
      </c>
    </row>
    <row r="384" spans="1:3" x14ac:dyDescent="0.25">
      <c r="A384">
        <v>383</v>
      </c>
      <c r="B384" t="s">
        <v>324</v>
      </c>
      <c r="C384" t="s">
        <v>948</v>
      </c>
    </row>
    <row r="385" spans="1:3" x14ac:dyDescent="0.25">
      <c r="A385">
        <v>384</v>
      </c>
      <c r="B385" t="s">
        <v>326</v>
      </c>
      <c r="C385" t="s">
        <v>949</v>
      </c>
    </row>
    <row r="386" spans="1:3" x14ac:dyDescent="0.25">
      <c r="A386">
        <v>385</v>
      </c>
      <c r="B386" t="s">
        <v>383</v>
      </c>
      <c r="C386" t="s">
        <v>950</v>
      </c>
    </row>
    <row r="387" spans="1:3" x14ac:dyDescent="0.25">
      <c r="A387">
        <v>386</v>
      </c>
      <c r="B387" t="s">
        <v>951</v>
      </c>
      <c r="C387" t="s">
        <v>952</v>
      </c>
    </row>
    <row r="388" spans="1:3" x14ac:dyDescent="0.25">
      <c r="A388">
        <v>387</v>
      </c>
      <c r="B388" t="s">
        <v>953</v>
      </c>
      <c r="C388" t="s">
        <v>954</v>
      </c>
    </row>
    <row r="389" spans="1:3" x14ac:dyDescent="0.25">
      <c r="A389">
        <v>388</v>
      </c>
      <c r="B389" t="s">
        <v>955</v>
      </c>
      <c r="C389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IT User Software</cp:lastModifiedBy>
  <dcterms:created xsi:type="dcterms:W3CDTF">2024-11-08T06:52:45Z</dcterms:created>
  <dcterms:modified xsi:type="dcterms:W3CDTF">2024-11-20T06:19:31Z</dcterms:modified>
</cp:coreProperties>
</file>