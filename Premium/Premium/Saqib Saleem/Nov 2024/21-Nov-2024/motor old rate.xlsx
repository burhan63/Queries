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Premium\Premium\Saqib Saleem\Nov 2024\21-Nov-2024\"/>
    </mc:Choice>
  </mc:AlternateContent>
  <xr:revisionPtr revIDLastSave="0" documentId="13_ncr:1_{2DD5CBB6-84D2-4E44-A32C-593BEDD641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BL RENEWAL" sheetId="1" r:id="rId1"/>
    <sheet name="working" sheetId="2" r:id="rId2"/>
    <sheet name="Sheet2" sheetId="3" r:id="rId3"/>
    <sheet name="Policy" sheetId="4" r:id="rId4"/>
  </sheets>
  <definedNames>
    <definedName name="_xlnm._FilterDatabase" localSheetId="0" hidden="1">'MBL RENEWAL'!$A$1:$R$148</definedName>
    <definedName name="_xlnm._FilterDatabase" localSheetId="2" hidden="1">Sheet2!$H$1:$I$147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" i="2" l="1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D77" i="2"/>
  <c r="D97" i="2"/>
  <c r="D114" i="2"/>
  <c r="D11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5" i="2"/>
  <c r="D116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2" i="2"/>
  <c r="F2" i="2"/>
  <c r="D2" i="2"/>
  <c r="H2" i="2" l="1"/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2" i="3"/>
</calcChain>
</file>

<file path=xl/sharedStrings.xml><?xml version="1.0" encoding="utf-8"?>
<sst xmlns="http://schemas.openxmlformats.org/spreadsheetml/2006/main" count="2662" uniqueCount="1150">
  <si>
    <t>Loan ID</t>
  </si>
  <si>
    <t>Hub Code</t>
  </si>
  <si>
    <t>Name of Lessee</t>
  </si>
  <si>
    <t>Vehicle Description</t>
  </si>
  <si>
    <t xml:space="preserve">Engine </t>
  </si>
  <si>
    <t xml:space="preserve">Chasis </t>
  </si>
  <si>
    <t xml:space="preserve">Registration </t>
  </si>
  <si>
    <t>Start Date</t>
  </si>
  <si>
    <t>Expiry Date</t>
  </si>
  <si>
    <t>TENURE</t>
  </si>
  <si>
    <t>SUM COVERED</t>
  </si>
  <si>
    <t>Bank Ins Premium</t>
  </si>
  <si>
    <t xml:space="preserve">Bank Premium Rate </t>
  </si>
  <si>
    <t>New Takaful Company</t>
  </si>
  <si>
    <t>Policy No.</t>
  </si>
  <si>
    <t xml:space="preserve">Endorment No. </t>
  </si>
  <si>
    <t>TMS Premium</t>
  </si>
  <si>
    <t>CI-2021-0132-3574</t>
  </si>
  <si>
    <t>PK0010002</t>
  </si>
  <si>
    <t>MUHAMMAD NAVEED</t>
  </si>
  <si>
    <t>Civic 1.8 i-VTEC CVT Oriel</t>
  </si>
  <si>
    <t>Z16926541</t>
  </si>
  <si>
    <t>079124</t>
  </si>
  <si>
    <t>-</t>
  </si>
  <si>
    <t xml:space="preserve"> 12 MONTHS</t>
  </si>
  <si>
    <t>1.50</t>
  </si>
  <si>
    <t>SALAM TAKAFUL PAKISTAN LITD</t>
  </si>
  <si>
    <t>KHI/HO/D/MO/PC COMP/C/100194/7/10/2024</t>
  </si>
  <si>
    <t>KHI/HO/D/MO/PC COMP/E/48845/00007/11/2024</t>
  </si>
  <si>
    <t>CI-2021-0182-3131</t>
  </si>
  <si>
    <t>UZMA SHAHID</t>
  </si>
  <si>
    <t>Picanto AT</t>
  </si>
  <si>
    <t>P024903</t>
  </si>
  <si>
    <t>AZKP702040</t>
  </si>
  <si>
    <t>BRY-456</t>
  </si>
  <si>
    <t>KHI/HO/D/MO/PC COMP/P/100194/10/2024</t>
  </si>
  <si>
    <t>CI-2021-0185-1199</t>
  </si>
  <si>
    <t>MUHAMMAD YOUSUF</t>
  </si>
  <si>
    <t>Yaris 1.3ATIV AT</t>
  </si>
  <si>
    <t>2A38037</t>
  </si>
  <si>
    <t>R-7023781</t>
  </si>
  <si>
    <t>KHI/HO/D/MO/PC COMP/C/100194/1/10/2024</t>
  </si>
  <si>
    <t>CI-2021-0193-1219</t>
  </si>
  <si>
    <t>NAVEED AHMED</t>
  </si>
  <si>
    <t>KIA SPORTAGE ALPHA</t>
  </si>
  <si>
    <t>G4NAMH312640</t>
  </si>
  <si>
    <t>AZLP102230</t>
  </si>
  <si>
    <t>KHI/HO/D/MO/PC COMP/C/100194/6/10/2024</t>
  </si>
  <si>
    <t>CI-2021-8501-0368</t>
  </si>
  <si>
    <t>SAJID HUSSAIN</t>
  </si>
  <si>
    <t>SUZUKI CULTUS VXL AGS</t>
  </si>
  <si>
    <t>K182830</t>
  </si>
  <si>
    <t>H10082845</t>
  </si>
  <si>
    <t>KHI/HO/D/MO/PC COMP/C/100194/5/10/2024</t>
  </si>
  <si>
    <t>CI-2021-9972-4103</t>
  </si>
  <si>
    <t>MUHAMMAD SHAHID</t>
  </si>
  <si>
    <t>Prince Pearl</t>
  </si>
  <si>
    <t>M05605341W</t>
  </si>
  <si>
    <t>M21102801</t>
  </si>
  <si>
    <t>KHI/HO/D/MO/PC COMP/C/100194/2/10/2024</t>
  </si>
  <si>
    <t>CI-2021-9979-4118</t>
  </si>
  <si>
    <t>SUNNY RAZA</t>
  </si>
  <si>
    <t>Alto VXL AGS</t>
  </si>
  <si>
    <t>R252985</t>
  </si>
  <si>
    <t>H1152996</t>
  </si>
  <si>
    <t>KHI/HO/D/MO/PC COMP/C/100033/5/10/2024</t>
  </si>
  <si>
    <t>CI-2021-9981-3280</t>
  </si>
  <si>
    <t>SYED TAQI HAIDER RIZVI</t>
  </si>
  <si>
    <t>Alto VXR</t>
  </si>
  <si>
    <t>6R184462</t>
  </si>
  <si>
    <t>H1084516</t>
  </si>
  <si>
    <t>KHI/HO/D/MO/PC COMP/C/100194/3/10/2024</t>
  </si>
  <si>
    <t>CI-2022-0000-1282</t>
  </si>
  <si>
    <t>SYED ASIM ALI JAFFARY</t>
  </si>
  <si>
    <t>KIA Sorento 3.5 FWD</t>
  </si>
  <si>
    <t>S315132</t>
  </si>
  <si>
    <t>P701305</t>
  </si>
  <si>
    <t>BK-9138</t>
  </si>
  <si>
    <t>1.25</t>
  </si>
  <si>
    <t>KHI/HO/D/MO/PC COMP/C/100033/3/10/2024</t>
  </si>
  <si>
    <t>CI-2022-0125-0018</t>
  </si>
  <si>
    <t>MUHAMMAD UMAIR</t>
  </si>
  <si>
    <t>Cultus VXR</t>
  </si>
  <si>
    <t>604774</t>
  </si>
  <si>
    <t>511653</t>
  </si>
  <si>
    <t>BDC-341</t>
  </si>
  <si>
    <t>KHI/HO/D/MO/PC COMP/C/100033/9/10/2024</t>
  </si>
  <si>
    <t>CI-2022-5501-0004</t>
  </si>
  <si>
    <t>QURAT UL AIN USMAN</t>
  </si>
  <si>
    <t>Alto VXL</t>
  </si>
  <si>
    <t>R251419</t>
  </si>
  <si>
    <t>H1151338</t>
  </si>
  <si>
    <t>BXT-732</t>
  </si>
  <si>
    <t>KHI/HO/D/MO/PC COMP/C/100033/6/10/2024</t>
  </si>
  <si>
    <t>CI-2022-6901-0005</t>
  </si>
  <si>
    <t>KHALIL ULLAH</t>
  </si>
  <si>
    <t>R250505</t>
  </si>
  <si>
    <t>H1150503</t>
  </si>
  <si>
    <t>BXS-467</t>
  </si>
  <si>
    <t>KHI/HO/D/MO/PC COMP/C/100033/2/10/2024</t>
  </si>
  <si>
    <t>CI-2022-9889-0011</t>
  </si>
  <si>
    <t>REHANA -</t>
  </si>
  <si>
    <t>R252605</t>
  </si>
  <si>
    <t>H1152519</t>
  </si>
  <si>
    <t>BXT-120</t>
  </si>
  <si>
    <t>KHI/HO/D/MO/PC COMP/C/100033/4/10/2024</t>
  </si>
  <si>
    <t>CI-2022-9921-0019</t>
  </si>
  <si>
    <t>SAIFULLAH - -</t>
  </si>
  <si>
    <t>Cultus VXL</t>
  </si>
  <si>
    <t>K102442</t>
  </si>
  <si>
    <t>H10002359</t>
  </si>
  <si>
    <t>BJP-827</t>
  </si>
  <si>
    <t>KHI/HO/D/MO/PC COMP/C/100033/7/10/2024</t>
  </si>
  <si>
    <t>CI-2022-9950-0014</t>
  </si>
  <si>
    <t>SABA ARSHAD</t>
  </si>
  <si>
    <t>R253895</t>
  </si>
  <si>
    <t>H1153893</t>
  </si>
  <si>
    <t>BXU-760</t>
  </si>
  <si>
    <t>KHI/HO/D/MO/PC COMP/C/100050/2/10/2024</t>
  </si>
  <si>
    <t>CI-2022-9950-0016</t>
  </si>
  <si>
    <t>KAMRAN MANSOOR CHANDNA</t>
  </si>
  <si>
    <t>R250883</t>
  </si>
  <si>
    <t>H1150855</t>
  </si>
  <si>
    <t>BXS-638</t>
  </si>
  <si>
    <t>KHI/HO/D/MO/PC COMP/C/100033/1/10/2024</t>
  </si>
  <si>
    <t>CI-2023-0176-0032</t>
  </si>
  <si>
    <t>SARA ALI</t>
  </si>
  <si>
    <t>Civic 1.8 i VTEC CVT Oriel</t>
  </si>
  <si>
    <t>Z12932925</t>
  </si>
  <si>
    <t>R036349</t>
  </si>
  <si>
    <t>BMJ-923</t>
  </si>
  <si>
    <t>KHI/HO/D/MO/PC COMP/C/100027/5/10/2024</t>
  </si>
  <si>
    <t>CI-2023-1027-0007</t>
  </si>
  <si>
    <t>MUHAMMAD KAMRAN</t>
  </si>
  <si>
    <t>Oshan X7 Future Sense</t>
  </si>
  <si>
    <t>P1004075</t>
  </si>
  <si>
    <t>XMR079124</t>
  </si>
  <si>
    <t>CI-2023-1028-0004</t>
  </si>
  <si>
    <t>MUNEER AHMAD SHAIKH</t>
  </si>
  <si>
    <t>City PT Aspire 1.5L</t>
  </si>
  <si>
    <t>A79799652</t>
  </si>
  <si>
    <t>R263750</t>
  </si>
  <si>
    <t>BSG-810</t>
  </si>
  <si>
    <t>KHI/HO/D/MO/PC COMP/C/100027/1/10/2024</t>
  </si>
  <si>
    <t>CI-2023-1602-0007</t>
  </si>
  <si>
    <t>ABDUL SAMAD</t>
  </si>
  <si>
    <t>H1115610</t>
  </si>
  <si>
    <t>R215614</t>
  </si>
  <si>
    <t>BWA-775</t>
  </si>
  <si>
    <t>KHI/HO/D/MO/PC COMP/C/100027/4/10/2024</t>
  </si>
  <si>
    <t>CI-2023-9925-0004</t>
  </si>
  <si>
    <t>ZUBAIR ABDULLAH</t>
  </si>
  <si>
    <t>Wagon R AGS</t>
  </si>
  <si>
    <t>B246529</t>
  </si>
  <si>
    <t>K10146520</t>
  </si>
  <si>
    <t>KHI/HO/D/MO/PC COMP/C/100053/2/10/2024</t>
  </si>
  <si>
    <t>CI-2023-9952-0008</t>
  </si>
  <si>
    <t>HUMAIRA ZAFAR</t>
  </si>
  <si>
    <t>Swift NAV AT</t>
  </si>
  <si>
    <t>S13040620</t>
  </si>
  <si>
    <t>K10040620</t>
  </si>
  <si>
    <t>BMD-239</t>
  </si>
  <si>
    <t>KHI/HO/D/MO/PC COMP/C/100053/1/10/2024</t>
  </si>
  <si>
    <t>CI-2023-9972-0004</t>
  </si>
  <si>
    <t>WASEEM AKRAM</t>
  </si>
  <si>
    <t>H1184850</t>
  </si>
  <si>
    <t>R284880</t>
  </si>
  <si>
    <t>KHI/HO/D/MO/PC COMP/C/100027/3/10/2024</t>
  </si>
  <si>
    <t>CM-2018-0117-1163</t>
  </si>
  <si>
    <t>TALHA BIN RIZWAN</t>
  </si>
  <si>
    <t>HONDA CITY PROSMATEC</t>
  </si>
  <si>
    <t>L13Z17516702</t>
  </si>
  <si>
    <t>JR231607</t>
  </si>
  <si>
    <t>BNS-609</t>
  </si>
  <si>
    <t>3.3</t>
  </si>
  <si>
    <t>KHI/HO/D/MO/PC COMP/C/100049/1/10/2024</t>
  </si>
  <si>
    <t>CM-2020-0167-1397</t>
  </si>
  <si>
    <t>GHULAM ASGHAR MIRANI</t>
  </si>
  <si>
    <t>SUZUKI ALTO AGS</t>
  </si>
  <si>
    <t>6R141226</t>
  </si>
  <si>
    <t>NF1AET306H1041192</t>
  </si>
  <si>
    <t>BSG-142</t>
  </si>
  <si>
    <t>2</t>
  </si>
  <si>
    <t>KHI/HO/D/MO/PC COMP/C/100046/1/10/2024</t>
  </si>
  <si>
    <t>CM-2020-0192-1310</t>
  </si>
  <si>
    <t>HASSAN JAWAID</t>
  </si>
  <si>
    <t>SUZUKI ALTO VXR</t>
  </si>
  <si>
    <t>6R140189</t>
  </si>
  <si>
    <t>NF1AET306H1040181</t>
  </si>
  <si>
    <t>BSG-931</t>
  </si>
  <si>
    <t>KHI/HO/D/MO/PC COMP/C/100046/3/10/2024</t>
  </si>
  <si>
    <t>CM-2020-8601-0576</t>
  </si>
  <si>
    <t>ASIF ALI</t>
  </si>
  <si>
    <t>6R142432</t>
  </si>
  <si>
    <t>NF1AET306H1042433</t>
  </si>
  <si>
    <t/>
  </si>
  <si>
    <t>KHI/HO/D/MO/PC COMP/C/100046/4/10/2024</t>
  </si>
  <si>
    <t>CI-2022-1606-0009</t>
  </si>
  <si>
    <t>SHOKAT ALI KEERIO</t>
  </si>
  <si>
    <t>1152558</t>
  </si>
  <si>
    <t>252652</t>
  </si>
  <si>
    <t>BXT-756</t>
  </si>
  <si>
    <t>KHI/HO/D/MO/PC COMP/C/100033/8/10/2024</t>
  </si>
  <si>
    <t>CM-2020-1606-0693</t>
  </si>
  <si>
    <t>SOOFIA</t>
  </si>
  <si>
    <t>KIA PICANTO A/T</t>
  </si>
  <si>
    <t>G3LALP702909</t>
  </si>
  <si>
    <t>NNATA52AZKP058927</t>
  </si>
  <si>
    <t>KHI/HO/D/MO/PC COMP/C/100046/2/10/2024</t>
  </si>
  <si>
    <t>CI-2021-0000-0696</t>
  </si>
  <si>
    <t>Salman Ahmed</t>
  </si>
  <si>
    <t>CULTUS VXR</t>
  </si>
  <si>
    <t>K187789</t>
  </si>
  <si>
    <t>H10087774</t>
  </si>
  <si>
    <t>BUX-828</t>
  </si>
  <si>
    <t>KHI/HO/D/MO/PC COMP/C/100050/1/10/2024</t>
  </si>
  <si>
    <t>CI-2023-1503-0006</t>
  </si>
  <si>
    <t>PK0010007</t>
  </si>
  <si>
    <t>SAJID KHAN</t>
  </si>
  <si>
    <t>Swift GLX CVT</t>
  </si>
  <si>
    <t>K12MR1016960</t>
  </si>
  <si>
    <t>NF1SZC63S00116960</t>
  </si>
  <si>
    <t>BCU-636</t>
  </si>
  <si>
    <t>KHI/HO/D/MO/PC COMP/C/100113/1/10/2024</t>
  </si>
  <si>
    <t>CM-2021-0701-0004</t>
  </si>
  <si>
    <t>ZAHID NADEEM</t>
  </si>
  <si>
    <t>PRINCE GLORY 580</t>
  </si>
  <si>
    <t>SFG15T-21012101</t>
  </si>
  <si>
    <t>PDF580PALR21H1456</t>
  </si>
  <si>
    <t>AVH-407</t>
  </si>
  <si>
    <t>KHI/HO/D/MO/PC COMP/C/100112/1/10/2024</t>
  </si>
  <si>
    <t>CM-2021-0701-0035</t>
  </si>
  <si>
    <t>GOHAR AMAN</t>
  </si>
  <si>
    <t>HONDA CIVIC I VTEC PROMATEC</t>
  </si>
  <si>
    <t>R18Z16925498</t>
  </si>
  <si>
    <t>NFBFC666XMR077969</t>
  </si>
  <si>
    <t>AVJ-081</t>
  </si>
  <si>
    <t>KHI/HO/D/MO/PC COMP/C/100112/3/10/2024</t>
  </si>
  <si>
    <t>CM-2021-3901-0688</t>
  </si>
  <si>
    <t>FAZAL AKBAR</t>
  </si>
  <si>
    <t>R18Z16926460</t>
  </si>
  <si>
    <t>NFBFC6666MR079024</t>
  </si>
  <si>
    <t>UW-022</t>
  </si>
  <si>
    <t>1.5</t>
  </si>
  <si>
    <t>KHI/HO/D/MO/PC COMP/C/100112/2/10/2024</t>
  </si>
  <si>
    <t>CI-2023-2301-0001</t>
  </si>
  <si>
    <t>PK0010008</t>
  </si>
  <si>
    <t>WASIM AKRAM</t>
  </si>
  <si>
    <t>PRINCE PEARL 800CC</t>
  </si>
  <si>
    <t>N05604012W</t>
  </si>
  <si>
    <t>RAILPPM23E04414</t>
  </si>
  <si>
    <t>AQC-944-PUNJAB</t>
  </si>
  <si>
    <t>KHI/HO/D/MO/PC COMP/C/100062/1/10/2024</t>
  </si>
  <si>
    <t>CI-2022-0000-1262</t>
  </si>
  <si>
    <t>PK0010011</t>
  </si>
  <si>
    <t>NASREEN KHALIDA</t>
  </si>
  <si>
    <t>Wagon R VXR</t>
  </si>
  <si>
    <t>PK10B241064</t>
  </si>
  <si>
    <t>AIJ310PK10141037</t>
  </si>
  <si>
    <t>AMA-840</t>
  </si>
  <si>
    <t>KHI/HO/D/MO/PC COMP/C/100067/4/10/2024</t>
  </si>
  <si>
    <t>CI-2022-0503-0035</t>
  </si>
  <si>
    <t>TAHIR ASLAM</t>
  </si>
  <si>
    <t>Changan Alsvin Lumiere 1.5L DCT</t>
  </si>
  <si>
    <t>JL473QFM3CAD502889</t>
  </si>
  <si>
    <t>NKMA2ASE5M1000999</t>
  </si>
  <si>
    <t>ADR-181</t>
  </si>
  <si>
    <t>KHI/HO/D/MO/PC COMP/C/100067/6/10/2024</t>
  </si>
  <si>
    <t>CI-2022-0513-0007</t>
  </si>
  <si>
    <t>MUHAMMAD ABU BAKAR SADDIQUE</t>
  </si>
  <si>
    <t>6R252596</t>
  </si>
  <si>
    <t>NF1AET306H1152602</t>
  </si>
  <si>
    <t>AME-480</t>
  </si>
  <si>
    <t>KHI/HO/D/MO/PC COMP/C/100067/8/10/2024</t>
  </si>
  <si>
    <t>CI-2022-1270-0012</t>
  </si>
  <si>
    <t>QAISER HAMEED KHATTAK</t>
  </si>
  <si>
    <t>Wagon R VXL</t>
  </si>
  <si>
    <t>PK10B240341</t>
  </si>
  <si>
    <t>A1J310PK10140334</t>
  </si>
  <si>
    <t>AMA-779</t>
  </si>
  <si>
    <t>KHI/HO/D/MO/PC COMP/C/100067/2/10/2024</t>
  </si>
  <si>
    <t>CI-2022-1301-0007</t>
  </si>
  <si>
    <t>MUHAMMAD TAHIR</t>
  </si>
  <si>
    <t>Alto VX</t>
  </si>
  <si>
    <t>6R250683</t>
  </si>
  <si>
    <t>NF1AET306H1150675</t>
  </si>
  <si>
    <t>AMA-359</t>
  </si>
  <si>
    <t>KHI/HO/D/MO/PC COMP/C/100067/5/10/2024</t>
  </si>
  <si>
    <t>CI-2022-2102-0009</t>
  </si>
  <si>
    <t>GUL MUHAMMAD</t>
  </si>
  <si>
    <t>PK10B238517</t>
  </si>
  <si>
    <t>A1J310PK10138505</t>
  </si>
  <si>
    <t>AMB-339</t>
  </si>
  <si>
    <t>KHI/HO/D/MO/PC COMP/C/100067/3/10/2024</t>
  </si>
  <si>
    <t>CI-2022-7701-0021</t>
  </si>
  <si>
    <t>MUHAMMAD ISHFAQ</t>
  </si>
  <si>
    <t>Swift GL</t>
  </si>
  <si>
    <t>K12MR1008069</t>
  </si>
  <si>
    <t>NF1SZC63S00108059</t>
  </si>
  <si>
    <t>BAJ-275</t>
  </si>
  <si>
    <t>KHI/HO/D/MO/PC COMP/C/100067/1/10/2024</t>
  </si>
  <si>
    <t>CI-2022-9883-0003</t>
  </si>
  <si>
    <t>SHAKEEL AHMAD</t>
  </si>
  <si>
    <t>Karvan</t>
  </si>
  <si>
    <t>NKMAAB3D1N1016593</t>
  </si>
  <si>
    <t>JL466Q9N69U503708</t>
  </si>
  <si>
    <t>AMC-557</t>
  </si>
  <si>
    <t>KHI/HO/D/MO/PC COMP/C/100067/7/10/2024</t>
  </si>
  <si>
    <t>CI-2023-0513-0013</t>
  </si>
  <si>
    <t>Chaudhary Zaheer Abbas</t>
  </si>
  <si>
    <t>6R186134</t>
  </si>
  <si>
    <t>NF1AET306H1086060</t>
  </si>
  <si>
    <t>AFF-372</t>
  </si>
  <si>
    <t>KHI/HO/D/MO/PC COMP/C/100066/5/10/2024</t>
  </si>
  <si>
    <t>CI-2023-0521-0004</t>
  </si>
  <si>
    <t>MUHAMMAD SHAHID ABBAS</t>
  </si>
  <si>
    <t>6R286729</t>
  </si>
  <si>
    <t>NF1AET306H1186875</t>
  </si>
  <si>
    <t>AQE-853</t>
  </si>
  <si>
    <t>KHI/HO/D/MO/PC COMP/C/100070/1/10/2024</t>
  </si>
  <si>
    <t>CI-2023-1240-0008</t>
  </si>
  <si>
    <t>SANA ULLAH</t>
  </si>
  <si>
    <t>6R283792</t>
  </si>
  <si>
    <t>NF1AET306H1183767</t>
  </si>
  <si>
    <t>APW-907</t>
  </si>
  <si>
    <t>KHI/HO/D/MO/PC COMP/C/100066/2/10/2024</t>
  </si>
  <si>
    <t>CI-2023-1270-0017</t>
  </si>
  <si>
    <t>KHUDA YAR</t>
  </si>
  <si>
    <t>PK10B245242</t>
  </si>
  <si>
    <t>A1J310PK10145238</t>
  </si>
  <si>
    <t>APY-756</t>
  </si>
  <si>
    <t>KHI/HO/D/MO/PC COMP/C/100066/3/10/2024</t>
  </si>
  <si>
    <t>CI-2023-2103-0016</t>
  </si>
  <si>
    <t>MUHAMMAD MAZHAR</t>
  </si>
  <si>
    <t>L15Z81014297</t>
  </si>
  <si>
    <t>NFBGN9662PR032898</t>
  </si>
  <si>
    <t>APY-323</t>
  </si>
  <si>
    <t>KHI/HO/D/MO/PC COMP/C/100066/4/10/2024</t>
  </si>
  <si>
    <t>CI-2023-9887-0018</t>
  </si>
  <si>
    <t>MUHAMMAD AMEER HASSAN</t>
  </si>
  <si>
    <t>PK10K106427</t>
  </si>
  <si>
    <t>NF1AVK31H10006435</t>
  </si>
  <si>
    <t>LEH-17-3850</t>
  </si>
  <si>
    <t>KHI/HO/D/MO/PC COMP/C/100066/1/10/2024</t>
  </si>
  <si>
    <t>CM-2019-0514-0181</t>
  </si>
  <si>
    <t>MUHAMMAD AQEEL</t>
  </si>
  <si>
    <t>6R115531</t>
  </si>
  <si>
    <t>NF1AET306H1015459</t>
  </si>
  <si>
    <t>LE-19A-5672</t>
  </si>
  <si>
    <t>KHI/HO/D/MO/PC COMP/P/102358/1/11/2024</t>
  </si>
  <si>
    <t>CM-2020-0515-0040</t>
  </si>
  <si>
    <t>MUHAMMAD SULEMAN</t>
  </si>
  <si>
    <t>KIA SPORTAGE FWD</t>
  </si>
  <si>
    <t>G4NALH325340</t>
  </si>
  <si>
    <t>NNAQL51AZLP100156</t>
  </si>
  <si>
    <t>AAR-233</t>
  </si>
  <si>
    <t>KHI/HO/D/MO/PC COMP/C/100069/2/10/2024</t>
  </si>
  <si>
    <t>CM-2020-1270-0296</t>
  </si>
  <si>
    <t>USMAN GHANI</t>
  </si>
  <si>
    <t>SUZUKI WAGAN R VXR</t>
  </si>
  <si>
    <t>PK10B206319</t>
  </si>
  <si>
    <t>A1J310PK10106326</t>
  </si>
  <si>
    <t>ART-120</t>
  </si>
  <si>
    <t>KHI/HO/D/MO/PC COMP/C/100069/1/10/2024</t>
  </si>
  <si>
    <t>CM-2020-1270-0329</t>
  </si>
  <si>
    <t>MUHAMMAD ADEEL QAMAR</t>
  </si>
  <si>
    <t>PK10B207328</t>
  </si>
  <si>
    <t>A1J310PK10107330</t>
  </si>
  <si>
    <t>AAW-975</t>
  </si>
  <si>
    <t>KHI/HO/D/MO/PC COMP/C/100069/3/10/2024</t>
  </si>
  <si>
    <t>CM-2020-2101-0062</t>
  </si>
  <si>
    <t>ANJUM UMAR</t>
  </si>
  <si>
    <t>G4NALH319268</t>
  </si>
  <si>
    <t>NNAQL51AZKP303299</t>
  </si>
  <si>
    <t>ART-988</t>
  </si>
  <si>
    <t>KHI/HO/D/MO/PC COMP/C/100069/4/10/2024</t>
  </si>
  <si>
    <t>CM-2021-0011-1260</t>
  </si>
  <si>
    <t>MUHAMMAD ARIF</t>
  </si>
  <si>
    <t>HONDA CITY A/T</t>
  </si>
  <si>
    <t>L12B51003042</t>
  </si>
  <si>
    <t>NFBGN8626MR004072</t>
  </si>
  <si>
    <t>ICT-AVJ-641</t>
  </si>
  <si>
    <t>KHI/HO/D/MO/PC COMP/C/100068/2/10/2024</t>
  </si>
  <si>
    <t>CM-2021-0509-1952</t>
  </si>
  <si>
    <t>KHURSHID AHMED</t>
  </si>
  <si>
    <t>SUZUKI WAGAN R VXL</t>
  </si>
  <si>
    <t>PK10B221859</t>
  </si>
  <si>
    <t>A1J310PK10121852</t>
  </si>
  <si>
    <t>PUN-AFD-947</t>
  </si>
  <si>
    <t>KHI/HO/D/MO/PC COMP/C/100068/1/10/2024</t>
  </si>
  <si>
    <t>CM-2021-0581-0119</t>
  </si>
  <si>
    <t>SHEIKH MUZAFAR ALI</t>
  </si>
  <si>
    <t>TOYOTA COROLLA ALTIS 1.6</t>
  </si>
  <si>
    <t>Q082010</t>
  </si>
  <si>
    <t>ZRE171R-6059497</t>
  </si>
  <si>
    <t>ICT-AVS-208</t>
  </si>
  <si>
    <t>KHI/HO/D/MO/PC COMP/C/100068/4/10/2024</t>
  </si>
  <si>
    <t>KHI/HO/D/MO/PC COMP/E/49191/00004/11/2024</t>
  </si>
  <si>
    <t>CM-2021-1256-0476</t>
  </si>
  <si>
    <t>TALIB HUSSAIN</t>
  </si>
  <si>
    <t>CHANGAN KARVAAN PLUS</t>
  </si>
  <si>
    <t>JL46609M69U505697</t>
  </si>
  <si>
    <t>NKMAAB3D1M1009978</t>
  </si>
  <si>
    <t>PUN-AFM-439</t>
  </si>
  <si>
    <t>KHI/HO/D/MO/PC COMP/C/100068/7/10/2024</t>
  </si>
  <si>
    <t>CM-2021-1301-1030</t>
  </si>
  <si>
    <t>ZAHID IQBAL</t>
  </si>
  <si>
    <t>Honda City M/T</t>
  </si>
  <si>
    <t>L12B51002800</t>
  </si>
  <si>
    <t>NFBGN8524MR003830</t>
  </si>
  <si>
    <t>PUN-AFN-470</t>
  </si>
  <si>
    <t>KHI/HO/D/MO/PC COMP/C/100068/5/10/2024</t>
  </si>
  <si>
    <t>CM-2021-9813-1937</t>
  </si>
  <si>
    <t>MUHAMMAD ASIF ZAHEER GHOURI</t>
  </si>
  <si>
    <t>PK10B221622</t>
  </si>
  <si>
    <t>A1J310PK10121632</t>
  </si>
  <si>
    <t>PUN-AFJ-506</t>
  </si>
  <si>
    <t>KHI/HO/D/MO/PC COMP/C/100068/3/10/2024</t>
  </si>
  <si>
    <t>CM-2021-9890-1036</t>
  </si>
  <si>
    <t>MUHAMMAD NASEEM QUTAB</t>
  </si>
  <si>
    <t>KIA PICANTO 1.0 M/T</t>
  </si>
  <si>
    <t>G3LAMP080791</t>
  </si>
  <si>
    <t>NNATA52AXKP501902</t>
  </si>
  <si>
    <t>PUN-AFL-269</t>
  </si>
  <si>
    <t>KHI/HO/D/MO/PC COMP/C/100068/6/10/2024</t>
  </si>
  <si>
    <t>CI-2021-1249-4166</t>
  </si>
  <si>
    <t>PK0010014</t>
  </si>
  <si>
    <t>SHAHID SALEEM</t>
  </si>
  <si>
    <t>PK10B221077</t>
  </si>
  <si>
    <t>A1J310PK10121080</t>
  </si>
  <si>
    <t>AFQ-260</t>
  </si>
  <si>
    <t>KHI/HO/D/MO/PC COMP/C/100091/10/10/2024</t>
  </si>
  <si>
    <t>CI-2022-1283-0009</t>
  </si>
  <si>
    <t>MUHAMMAD FAROOQ</t>
  </si>
  <si>
    <t>PK10K200923</t>
  </si>
  <si>
    <t>NF1AVK31H10100894</t>
  </si>
  <si>
    <t>AMC-537</t>
  </si>
  <si>
    <t>KHI/HO/D/MO/PC COMP/C/100092/2/10/2024</t>
  </si>
  <si>
    <t>CI-2022-7602-0006</t>
  </si>
  <si>
    <t>KAMRAN SALEEMI</t>
  </si>
  <si>
    <t>6R252267</t>
  </si>
  <si>
    <t>NF1AET306H1152274</t>
  </si>
  <si>
    <t>AME-076</t>
  </si>
  <si>
    <t>KHI/HO/D/MO/PC COMP/C/100092/3/10/2024</t>
  </si>
  <si>
    <t>CI-2022-9803-0018</t>
  </si>
  <si>
    <t>SYED ADNAN KAMAL</t>
  </si>
  <si>
    <t>6R249492</t>
  </si>
  <si>
    <t>NF1AET306H1149459</t>
  </si>
  <si>
    <t>ALZ-954</t>
  </si>
  <si>
    <t>KHI/HO/D/MO/PC COMP/C/100092/1/10/2024</t>
  </si>
  <si>
    <t>CM-2020-2201-0026</t>
  </si>
  <si>
    <t>MUHAMMAD SIKANDAR AZAM</t>
  </si>
  <si>
    <t>ALTIS 1.6 AT</t>
  </si>
  <si>
    <t>Q068235</t>
  </si>
  <si>
    <t>ZRE171R-6045739</t>
  </si>
  <si>
    <t>ARV-262</t>
  </si>
  <si>
    <t>KHI/HO/D/MO/PC COMP/C/100094/4/10/2024</t>
  </si>
  <si>
    <t>CM-2020-6001-0124</t>
  </si>
  <si>
    <t>ABDUL QAYYUM</t>
  </si>
  <si>
    <t>SUZUKI BOLAN VX</t>
  </si>
  <si>
    <t>PKT1005328</t>
  </si>
  <si>
    <t>SV308PK01121804</t>
  </si>
  <si>
    <t>AAS-827</t>
  </si>
  <si>
    <t>KHI/HO/D/MO/PC COMP/C/100094/3/10/2024</t>
  </si>
  <si>
    <t>CM-2020-6001-0137</t>
  </si>
  <si>
    <t>IMRAN SHAHZAD</t>
  </si>
  <si>
    <t>SUZUKI WAGON R VXL</t>
  </si>
  <si>
    <t>PK10B205844</t>
  </si>
  <si>
    <t>A1J310PK10105830</t>
  </si>
  <si>
    <t>AAN-730</t>
  </si>
  <si>
    <t>KHI/HO/D/MO/PC COMP/C/100094/2/10/2024</t>
  </si>
  <si>
    <t>CM-2020-6101-0126</t>
  </si>
  <si>
    <t>KAUSAR PARVEEN</t>
  </si>
  <si>
    <t>SUZUKI ALTO VXL AGS</t>
  </si>
  <si>
    <t>6R141356</t>
  </si>
  <si>
    <t>NF1AET306H1041322</t>
  </si>
  <si>
    <t>AAQ-588</t>
  </si>
  <si>
    <t>KHI/HO/D/MO/PC COMP/C/100094/1/10/2024</t>
  </si>
  <si>
    <t>CM-2020-6501-0033</t>
  </si>
  <si>
    <t>KHAWAJA ADEEL ARSHAD</t>
  </si>
  <si>
    <t>Q068298</t>
  </si>
  <si>
    <t>ZRE171R-6045751</t>
  </si>
  <si>
    <t>ARW-862</t>
  </si>
  <si>
    <t>KHI/HO/D/MO/PC COMP/C/100094/6/10/2024</t>
  </si>
  <si>
    <t>CM-2020-7601-0113</t>
  </si>
  <si>
    <t>MUHAMMAD MUNIR</t>
  </si>
  <si>
    <t>ALTIS 1.8 CVTI GRANDE</t>
  </si>
  <si>
    <t>Q345562</t>
  </si>
  <si>
    <t>ZRE172R-7044692</t>
  </si>
  <si>
    <t>ARU-508</t>
  </si>
  <si>
    <t>KHI/HO/D/MO/PC COMP/C/100094/5/10/2024</t>
  </si>
  <si>
    <t>CM-2021-2201-0430</t>
  </si>
  <si>
    <t>WAJEEHA ANWAR</t>
  </si>
  <si>
    <t>SUZUKI CULTUS</t>
  </si>
  <si>
    <t>G3LAMP150540</t>
  </si>
  <si>
    <t>NNATA52AXKP502484</t>
  </si>
  <si>
    <t>AVF-230</t>
  </si>
  <si>
    <t>KHI/HO/D/MO/PC COMP/C/100091/1/10/2024</t>
  </si>
  <si>
    <t>CM-2021-2202-0131</t>
  </si>
  <si>
    <t>SHAHID IMRAN</t>
  </si>
  <si>
    <t>PK10K186285</t>
  </si>
  <si>
    <t>NF1AVK31H10086273</t>
  </si>
  <si>
    <t>AFH-464</t>
  </si>
  <si>
    <t>KHI/HO/D/MO/PC COMP/C/100091/3/10/2024</t>
  </si>
  <si>
    <t>CM-2021-5701-0118</t>
  </si>
  <si>
    <t>MAQSOOD AKHTAR</t>
  </si>
  <si>
    <t>YARIS 1.3 GLI CVT</t>
  </si>
  <si>
    <t>2A11096</t>
  </si>
  <si>
    <t>NSP150R-7006466</t>
  </si>
  <si>
    <t>AFB-955</t>
  </si>
  <si>
    <t>KHI/HO/D/MO/PC COMP/C/100091/4/10/2024</t>
  </si>
  <si>
    <t>CM-2021-5701-0448</t>
  </si>
  <si>
    <t>SAQIB MEHMOOD</t>
  </si>
  <si>
    <t>HONDA CIVIC</t>
  </si>
  <si>
    <t>R18Z16925397</t>
  </si>
  <si>
    <t>NFBFC6660MR077866</t>
  </si>
  <si>
    <t>AVF-231</t>
  </si>
  <si>
    <t>KHI/HO/D/MO/PC COMP/C/100091/5/10/2024</t>
  </si>
  <si>
    <t>CM-2021-6101-0423</t>
  </si>
  <si>
    <t>REHAN BABAR ANJUM</t>
  </si>
  <si>
    <t>YARIS 1.5 ATIV X CVT</t>
  </si>
  <si>
    <t>2A38887</t>
  </si>
  <si>
    <t>NSP151R-9514463</t>
  </si>
  <si>
    <t>AFN-952</t>
  </si>
  <si>
    <t>KHI/HO/D/MO/PC COMP/C/100091/11/10/2024</t>
  </si>
  <si>
    <t>KHI/HO/D/MO/PC COMP/E/49192/00011/11/2024</t>
  </si>
  <si>
    <t>CM-2021-6501-0459</t>
  </si>
  <si>
    <t>SYED MUHAMMAD SOHAIB AKHTAR</t>
  </si>
  <si>
    <t>6R183102</t>
  </si>
  <si>
    <t>NF1AET306H1083093</t>
  </si>
  <si>
    <t>AFM-923</t>
  </si>
  <si>
    <t>KHI/HO/D/MO/PC COMP/C/100091/8/10/2024</t>
  </si>
  <si>
    <t>CM-2021-6501-0468</t>
  </si>
  <si>
    <t>MUHAMAMD KHUBAIB NASEEM</t>
  </si>
  <si>
    <t>2A38823</t>
  </si>
  <si>
    <t>NSP151R-9514457</t>
  </si>
  <si>
    <t>AVS-196</t>
  </si>
  <si>
    <t>KHI/HO/D/MO/PC COMP/C/100091/9/10/2024</t>
  </si>
  <si>
    <t>CM-2021-9838-0367</t>
  </si>
  <si>
    <t>GHULAM MUSTAFA</t>
  </si>
  <si>
    <t>6R185575</t>
  </si>
  <si>
    <t>NF1AET306H1085592</t>
  </si>
  <si>
    <t>AFB-798</t>
  </si>
  <si>
    <t>KHI/HO/D/MO/PC COMP/C/100091/2/10/2024</t>
  </si>
  <si>
    <t>CM-2021-9876-0332</t>
  </si>
  <si>
    <t>ZULFQAR ALI</t>
  </si>
  <si>
    <t>6R186039</t>
  </si>
  <si>
    <t>NF1AET306H1086023</t>
  </si>
  <si>
    <t>AFF-699</t>
  </si>
  <si>
    <t>KHI/HO/D/MO/PC COMP/C/100091/6/10/2024</t>
  </si>
  <si>
    <t>CI-2022-0903-0004</t>
  </si>
  <si>
    <t>PK0010015</t>
  </si>
  <si>
    <t>ASIF JAVED</t>
  </si>
  <si>
    <t>6R250779</t>
  </si>
  <si>
    <t>NF1AET306H1150764</t>
  </si>
  <si>
    <t>BAJ-890 (ICT)</t>
  </si>
  <si>
    <t>KHI/HO/D/MO/PC COMP/C/100099/2/10/2024</t>
  </si>
  <si>
    <t>CI-2022-0906-0010</t>
  </si>
  <si>
    <t>MUHAMMAD JAMAL</t>
  </si>
  <si>
    <t>6R130479</t>
  </si>
  <si>
    <t>NF1AET306H1030408</t>
  </si>
  <si>
    <t>LEA-20-7364 (PUNJAB)</t>
  </si>
  <si>
    <t>KHI/HO/D/MO/PC COMP/C/100099/5/10/2024</t>
  </si>
  <si>
    <t>CI-2022-4001-0004</t>
  </si>
  <si>
    <t>AMIR NAVEED</t>
  </si>
  <si>
    <t>6R251016</t>
  </si>
  <si>
    <t>NF1AE306H1151014</t>
  </si>
  <si>
    <t>AMC-839 (PUNJAB)</t>
  </si>
  <si>
    <t>KHI/HO/D/MO/PC COMP/C/100099/3/10/2024</t>
  </si>
  <si>
    <t>CI-2022-4501-0010</t>
  </si>
  <si>
    <t>MUHAMMAD RIZWAN</t>
  </si>
  <si>
    <t>PK10B241491</t>
  </si>
  <si>
    <t>A1J310PK10141485</t>
  </si>
  <si>
    <t>BAJ-653 (ICT)</t>
  </si>
  <si>
    <t>KHI/HO/D/MO/PC COMP/C/100099/1/10/2024</t>
  </si>
  <si>
    <t>CI-2022-7301-0007</t>
  </si>
  <si>
    <t>GHULAM RABBANI QADRI</t>
  </si>
  <si>
    <t>PK10B240897</t>
  </si>
  <si>
    <t>A1J310PK10140904</t>
  </si>
  <si>
    <t>AMD-899 (PUNJAB)</t>
  </si>
  <si>
    <t>KHI/HO/D/MO/PC COMP/C/100099/4/10/2024</t>
  </si>
  <si>
    <t>CI-2022-9828-0012</t>
  </si>
  <si>
    <t>USMAN RAZAQ</t>
  </si>
  <si>
    <t>PK10B239253</t>
  </si>
  <si>
    <t>A1J310PK10139247</t>
  </si>
  <si>
    <t>AMF-983 (PUNJAB)</t>
  </si>
  <si>
    <t>KHI/HO/D/MO/PC COMP/C/100099/6/10/2024</t>
  </si>
  <si>
    <t>CM-2020-0601-0254</t>
  </si>
  <si>
    <t>HASSAN LATIF</t>
  </si>
  <si>
    <t>SUZUKI CULTUS VXR</t>
  </si>
  <si>
    <t>PK10K162434</t>
  </si>
  <si>
    <t>NF1AVK31H10062415</t>
  </si>
  <si>
    <t>AAW-409</t>
  </si>
  <si>
    <t>KHI/HO/D/MO/PC COMP/C/100100/2/10/2024</t>
  </si>
  <si>
    <t>CM-2020-0602-0163</t>
  </si>
  <si>
    <t>ABDUL RAHEEM ASHRAF</t>
  </si>
  <si>
    <t>HONDA CITY PT</t>
  </si>
  <si>
    <t>L13Z17539428</t>
  </si>
  <si>
    <t>NFBGM1546LR261695</t>
  </si>
  <si>
    <t>AAP-537</t>
  </si>
  <si>
    <t>KHI/HO/D/MO/PC COMP/C/100100/1/10/2024</t>
  </si>
  <si>
    <t>CM-2020-4401-0064</t>
  </si>
  <si>
    <t>MUHAMMAD SHAKEEL</t>
  </si>
  <si>
    <t>TOYOTA COROLLA ALTIS 1.8 CVTI GRANDE</t>
  </si>
  <si>
    <t>Q345508</t>
  </si>
  <si>
    <t>ZRE172R7044687</t>
  </si>
  <si>
    <t>ARV-865</t>
  </si>
  <si>
    <t>KHI/HO/D/MO/PC COMP/C/100100/3/10/2024</t>
  </si>
  <si>
    <t>CI-2022-0827-0012</t>
  </si>
  <si>
    <t>PK0010016</t>
  </si>
  <si>
    <t>TAHIR ABBAS</t>
  </si>
  <si>
    <t>City PT 1.2</t>
  </si>
  <si>
    <t>L12B51015070</t>
  </si>
  <si>
    <t>NFBGN8627NR026874</t>
  </si>
  <si>
    <t>UY-54</t>
  </si>
  <si>
    <t>KHI/HO/D/MO/PC COMP/C/100118/2/10/2024</t>
  </si>
  <si>
    <t>CI-2022-5401-0007</t>
  </si>
  <si>
    <t>TAUQEER SULTAN</t>
  </si>
  <si>
    <t>6R251018</t>
  </si>
  <si>
    <t>NF1AET306H1150999</t>
  </si>
  <si>
    <t>BAT-813</t>
  </si>
  <si>
    <t>KHI/HO/D/MO/PC COMP/C/100118/1/10/2024</t>
  </si>
  <si>
    <t>CI-2023-0825-0004</t>
  </si>
  <si>
    <t>Sajjad Sarwar</t>
  </si>
  <si>
    <t>PK10B245430</t>
  </si>
  <si>
    <t>A1J310PK10145432</t>
  </si>
  <si>
    <t>BCV-687</t>
  </si>
  <si>
    <t>KHI/HO/D/MO/PC COMP/C/100119/1/10/2024</t>
  </si>
  <si>
    <t>CI-2023-0825-0005</t>
  </si>
  <si>
    <t>AQIB JAVED</t>
  </si>
  <si>
    <t>Suzuki Alto AGS</t>
  </si>
  <si>
    <t>6R285824</t>
  </si>
  <si>
    <t>NF1AET306H1185777</t>
  </si>
  <si>
    <t>BCV-819</t>
  </si>
  <si>
    <t>KHI/HO/D/MO/PC COMP/C/100119/2/10/2024</t>
  </si>
  <si>
    <t>CM-2021-0313-0288</t>
  </si>
  <si>
    <t>SHAHZADA BASHIR</t>
  </si>
  <si>
    <t>TOYOTA YARIS ATIV X CVT 1496CC</t>
  </si>
  <si>
    <t>2A39056</t>
  </si>
  <si>
    <t>NSP151R-9514532</t>
  </si>
  <si>
    <t>XXXXX</t>
  </si>
  <si>
    <t>KHI/HO/D/MO/PC COMP/C/100120/3/10/2024</t>
  </si>
  <si>
    <t>CM-2021-0801-0303</t>
  </si>
  <si>
    <t>KIRAN SHAUKAT</t>
  </si>
  <si>
    <t>6R149453</t>
  </si>
  <si>
    <t>NF1AET306H1049459</t>
  </si>
  <si>
    <t>ASH-424</t>
  </si>
  <si>
    <t>KHI/HO/D/MO/PC COMP/C/100120/1/10/2024</t>
  </si>
  <si>
    <t>CM-2021-0819-0581</t>
  </si>
  <si>
    <t>TOYOTA COROLLA ALTIS AT 1.6</t>
  </si>
  <si>
    <t>Q081437</t>
  </si>
  <si>
    <t>ZRE171-6058859</t>
  </si>
  <si>
    <t>..</t>
  </si>
  <si>
    <t>KHI/HO/D/MO/PC COMP/C/100120/2/10/2024</t>
  </si>
  <si>
    <t>KHI/HO/D/MO/PC COMP/E/49193/00002/11/2024</t>
  </si>
  <si>
    <t>CI-2022-1202-0002</t>
  </si>
  <si>
    <t>PK0010017</t>
  </si>
  <si>
    <t>MAIRA ALVI</t>
  </si>
  <si>
    <t>6R252147</t>
  </si>
  <si>
    <t>NF1AET3061152140</t>
  </si>
  <si>
    <t>AJR-0011</t>
  </si>
  <si>
    <t>KHI/HO/D/MO/PC COMP/C/100117/4/10/2024</t>
  </si>
  <si>
    <t>CM-2019-1201-0077</t>
  </si>
  <si>
    <t>MAZHAR AKHTAR</t>
  </si>
  <si>
    <t>TOYOTA HILUX REVO V 4X4 A/T</t>
  </si>
  <si>
    <t>1GD0722196</t>
  </si>
  <si>
    <t>GUN126R-5537654</t>
  </si>
  <si>
    <t>APC-053</t>
  </si>
  <si>
    <t>KHI/HO/D/MO/PC COMP/C/100116/1/10/2024</t>
  </si>
  <si>
    <t>CM-2020-1244-0027</t>
  </si>
  <si>
    <t>MUHAMMAD AMIN</t>
  </si>
  <si>
    <t>6R139987</t>
  </si>
  <si>
    <t>NF1AET306H1039966</t>
  </si>
  <si>
    <t>AAU-915</t>
  </si>
  <si>
    <t>KHI/HO/D/MO/PC COMP/C/100117/3/10/2024</t>
  </si>
  <si>
    <t>CM-2020-1244-0064</t>
  </si>
  <si>
    <t>MUHAMMAD ASIF</t>
  </si>
  <si>
    <t>HONDA CITY M/T</t>
  </si>
  <si>
    <t>L13Z17541423</t>
  </si>
  <si>
    <t>NFBGM1543LR264487</t>
  </si>
  <si>
    <t>AAU-102</t>
  </si>
  <si>
    <t>KHI/HO/D/MO/PC COMP/C/100117/2/10/2024</t>
  </si>
  <si>
    <t>CM-2020-1244-0065</t>
  </si>
  <si>
    <t>AHSAN</t>
  </si>
  <si>
    <t>TOYOTA YARIS MT 1.3</t>
  </si>
  <si>
    <t>2A03114</t>
  </si>
  <si>
    <t>NSP150R-7001375</t>
  </si>
  <si>
    <t>AAT-151</t>
  </si>
  <si>
    <t>KHI/HO/D/MO/PC COMP/C/100117/1/10/2024</t>
  </si>
  <si>
    <t>CM-2021-0217-1275</t>
  </si>
  <si>
    <t>PK0010299</t>
  </si>
  <si>
    <t>OBAID ULLAH</t>
  </si>
  <si>
    <t>KIA PICANTO MT</t>
  </si>
  <si>
    <t>G3LAMP150347</t>
  </si>
  <si>
    <t>NNATA52AXKP502478</t>
  </si>
  <si>
    <t>AFD 751</t>
  </si>
  <si>
    <t>KHI/HO/D/MO/PC COMP/C/100154/2/10/2024</t>
  </si>
  <si>
    <t>CI-2021-9894-0786</t>
  </si>
  <si>
    <t>ABDUL GHAFOOR RAJPUT</t>
  </si>
  <si>
    <t>TOYOTA YARIS MT</t>
  </si>
  <si>
    <t>2A32293</t>
  </si>
  <si>
    <t>7019941</t>
  </si>
  <si>
    <t>KHI/HO/D/MO/PC COMP/C/100053/3/10/2024</t>
  </si>
  <si>
    <t>CI-2022-0822-0007</t>
  </si>
  <si>
    <t>PK0010010</t>
  </si>
  <si>
    <t>MUHAMMAD BASHARAT ALI</t>
  </si>
  <si>
    <t>Sportage AWD</t>
  </si>
  <si>
    <t>G4NANH304810</t>
  </si>
  <si>
    <t>NNAQL51AZKP518319</t>
  </si>
  <si>
    <t>BAG-567</t>
  </si>
  <si>
    <t>KHI/HO/D/MO/PC COMP/C/100228/3/10/2024</t>
  </si>
  <si>
    <t>CM-2018-0303-0480</t>
  </si>
  <si>
    <t>TABASSUM YASEEN</t>
  </si>
  <si>
    <t>HONDA CITY AT</t>
  </si>
  <si>
    <t>L13Z1-7518465</t>
  </si>
  <si>
    <t>NFBGM1641JR233735</t>
  </si>
  <si>
    <t>AKF-202</t>
  </si>
  <si>
    <t>KHI/HO/D/MO/PC COMP/C/100228/2/10/2024</t>
  </si>
  <si>
    <t>CI-2022-9805-0031</t>
  </si>
  <si>
    <t>AMAD AHMED KHAN</t>
  </si>
  <si>
    <t>6R141910</t>
  </si>
  <si>
    <t>NF1AET306H1041903</t>
  </si>
  <si>
    <t>ARW-399</t>
  </si>
  <si>
    <t>KHI/HO/D/MO/PC COMP/C/100228/1/10/2024</t>
  </si>
  <si>
    <t>KHI/HO/D/MO/PC COMP/E/48915/00001/11/2024</t>
  </si>
  <si>
    <t>CM-2018-0307-0444</t>
  </si>
  <si>
    <t>MUHAMMAD WAQAS HASSAN RANJHA</t>
  </si>
  <si>
    <t>TOYOTA COROLLA XLI</t>
  </si>
  <si>
    <t>Z528169</t>
  </si>
  <si>
    <t>NZE170R-4154075</t>
  </si>
  <si>
    <t>AKU-267</t>
  </si>
  <si>
    <t>KHI/HO/D/MO/PC COMP/C/100228/5/10/2024</t>
  </si>
  <si>
    <t>CM-2020-1503-0285</t>
  </si>
  <si>
    <t>SUZUKI BOLAN VX EURO II</t>
  </si>
  <si>
    <t>PKT1006309</t>
  </si>
  <si>
    <t>SV308PK01122819</t>
  </si>
  <si>
    <t>ARS-356</t>
  </si>
  <si>
    <t>KHI/HO/D/MO/PC COMP/C/100228/6/10/2024</t>
  </si>
  <si>
    <t>CI-2022-0821-0018</t>
  </si>
  <si>
    <t>MASAB -</t>
  </si>
  <si>
    <t>City PT 1.3L</t>
  </si>
  <si>
    <t>L13Z17462210</t>
  </si>
  <si>
    <t>NFBGM1657HR205411</t>
  </si>
  <si>
    <t>AEK-590</t>
  </si>
  <si>
    <t>KHI/HO/D/MO/PC COMP/C/100236/1/10/2024</t>
  </si>
  <si>
    <t>CI-2022-0826-0004</t>
  </si>
  <si>
    <t>AFTAB KHAN</t>
  </si>
  <si>
    <t>6R251601</t>
  </si>
  <si>
    <t>NF1AET306H1151610</t>
  </si>
  <si>
    <t>YD-85</t>
  </si>
  <si>
    <t>KHI/HO/D/MO/PC COMP/C/100236/2/10/2024</t>
  </si>
  <si>
    <t>CI-2023-2001-0004</t>
  </si>
  <si>
    <t>MUHAMMAD NASEER</t>
  </si>
  <si>
    <t>L15Z81013992</t>
  </si>
  <si>
    <t>NFBGN9669PR032803</t>
  </si>
  <si>
    <t>BCU-198</t>
  </si>
  <si>
    <t>KHI/HO/D/MO/PC COMP/C/100228/4/10/2024</t>
  </si>
  <si>
    <t>CI-2023-0287-0006</t>
  </si>
  <si>
    <t>AARIZ KHAN</t>
  </si>
  <si>
    <t>JL473QFN3CAD522853</t>
  </si>
  <si>
    <t>NKMA2ASE5P1011019</t>
  </si>
  <si>
    <t>BCK 824</t>
  </si>
  <si>
    <t>KHI/HO/D/MO/PC COMP/C/100155/2/10/2024</t>
  </si>
  <si>
    <t>CM-2020-0283-0042</t>
  </si>
  <si>
    <t>MIAN SHAHZAD MUNIR</t>
  </si>
  <si>
    <t>HONDA CIVIC 1.8 ORIEL NT UG</t>
  </si>
  <si>
    <t>R18Z16912941</t>
  </si>
  <si>
    <t>NFBFC6668LR064748</t>
  </si>
  <si>
    <t>AAK-350</t>
  </si>
  <si>
    <t>KHI/HO/D/MO/PC COMP/C/100155/4/10/2024</t>
  </si>
  <si>
    <t>CM-2021-1141-0980</t>
  </si>
  <si>
    <t>MUHAMMAD JAMSHAID</t>
  </si>
  <si>
    <t>6R183280</t>
  </si>
  <si>
    <t>NF1AET306H1083266</t>
  </si>
  <si>
    <t>AEV 655</t>
  </si>
  <si>
    <t>KHI/HO/D/MO/PC COMP/C/100155/5/10/2024</t>
  </si>
  <si>
    <t>CI-2023-0218-0008</t>
  </si>
  <si>
    <t>QASIM SHAFIQUE</t>
  </si>
  <si>
    <t>PK10B244975</t>
  </si>
  <si>
    <t>A1J310PK10144964</t>
  </si>
  <si>
    <t>APW 569</t>
  </si>
  <si>
    <t>KHI/HO/D/MO/PC COMP/C/100155/3/10/2024</t>
  </si>
  <si>
    <t>CM-2020-0287-0292</t>
  </si>
  <si>
    <t>SARFRAZ AHMAD</t>
  </si>
  <si>
    <t>R18Z16913371</t>
  </si>
  <si>
    <t>NFBFC6660LR065179</t>
  </si>
  <si>
    <t>AAP-059</t>
  </si>
  <si>
    <t>KHI/HO/D/MO/PC COMP/C/100237/2/10/2024</t>
  </si>
  <si>
    <t>CI-2022-1131-0007</t>
  </si>
  <si>
    <t>ZAHID NASEEM</t>
  </si>
  <si>
    <t>6R247650</t>
  </si>
  <si>
    <t>NF1AET306H1147631</t>
  </si>
  <si>
    <t>ALX 849</t>
  </si>
  <si>
    <t>KHI/HO/D/MO/PC COMP/C/100238/1/10/2024</t>
  </si>
  <si>
    <t>CI-2023-0245-0006</t>
  </si>
  <si>
    <t>RAEES FARHAT</t>
  </si>
  <si>
    <t>6R283882</t>
  </si>
  <si>
    <t>NF1AET306H1183765</t>
  </si>
  <si>
    <t>APX 977</t>
  </si>
  <si>
    <t>KHI/HO/D/MO/PC COMP/C/100240/1/10/2024</t>
  </si>
  <si>
    <t>CM-2020-0217-0360</t>
  </si>
  <si>
    <t>MUHAMMAD OMAR SAMAR</t>
  </si>
  <si>
    <t>6R140876</t>
  </si>
  <si>
    <t>NF1AET306H1040837</t>
  </si>
  <si>
    <t>AAP-639</t>
  </si>
  <si>
    <t>KHI/HO/D/MO/PC COMP/C/100237/3/10/2024</t>
  </si>
  <si>
    <t>CM-2020-0257-0068</t>
  </si>
  <si>
    <t>AMIR RUSTAM</t>
  </si>
  <si>
    <t>TOYOTA FORTUNER A/T</t>
  </si>
  <si>
    <t>2TRA776102</t>
  </si>
  <si>
    <t>TGN166R-0892455</t>
  </si>
  <si>
    <t>AAP-721</t>
  </si>
  <si>
    <t>KHI/HO/D/MO/PC COMP/C/100237/4/10/2024</t>
  </si>
  <si>
    <t>CI-2022-0248-0009</t>
  </si>
  <si>
    <t>MUHAMMAD WAQAR ANJUM</t>
  </si>
  <si>
    <t>PK10B241492</t>
  </si>
  <si>
    <t>A1J310PK10141488</t>
  </si>
  <si>
    <t>AMM 644</t>
  </si>
  <si>
    <t>KHI/HO/D/MO/PC COMP/C/100238/2/10/2024</t>
  </si>
  <si>
    <t>CI-2022-0252-0003</t>
  </si>
  <si>
    <t>MUDASSAR HUSSAIN</t>
  </si>
  <si>
    <t>6R251895</t>
  </si>
  <si>
    <t>NF1AET306H1151872</t>
  </si>
  <si>
    <t>AMC 344</t>
  </si>
  <si>
    <t>KHI/HO/D/MO/PC COMP/C/100238/3/10/2024</t>
  </si>
  <si>
    <t>CI-2023-0224-0006</t>
  </si>
  <si>
    <t>ASAD HANIF</t>
  </si>
  <si>
    <t>Peugeot Active</t>
  </si>
  <si>
    <t>10TMA90002868</t>
  </si>
  <si>
    <t>NG3USHNLVPH300573</t>
  </si>
  <si>
    <t>BCT -504</t>
  </si>
  <si>
    <t>KHI/HO/D/MO/PC COMP/C/100240/2/10/2024</t>
  </si>
  <si>
    <t>CI-2023-0224-0008</t>
  </si>
  <si>
    <t>AGHA AHMED RAZA</t>
  </si>
  <si>
    <t>10TMA90002724</t>
  </si>
  <si>
    <t>NG3USHNLVPH300572</t>
  </si>
  <si>
    <t>BBZ-512</t>
  </si>
  <si>
    <t>KHI/HO/D/MO/PC COMP/C/100240/3/10/2024</t>
  </si>
  <si>
    <t>CI-2022-0208-0012</t>
  </si>
  <si>
    <t>QAISER MASOOD</t>
  </si>
  <si>
    <t>PK10B241560</t>
  </si>
  <si>
    <t>A1J310PK10141551</t>
  </si>
  <si>
    <t>AMC 424</t>
  </si>
  <si>
    <t>KHI/HO/D/MO/PC COMP/C/100238/4/10/2024</t>
  </si>
  <si>
    <t>CI-2022-0287-0005</t>
  </si>
  <si>
    <t>MUHAMMAD HARIS RIZWAN</t>
  </si>
  <si>
    <t>6R252124</t>
  </si>
  <si>
    <t>NF1AET306H1152155</t>
  </si>
  <si>
    <t>AMB-504</t>
  </si>
  <si>
    <t>KHI/HO/D/MO/PC COMP/C/100238/5/10/2024</t>
  </si>
  <si>
    <t>CI-2022-0270-0006</t>
  </si>
  <si>
    <t>PK0010300</t>
  </si>
  <si>
    <t>HASAN ARIF SYED</t>
  </si>
  <si>
    <t>Changan Alsvin DCT Comfort 1.5L</t>
  </si>
  <si>
    <t>JL473Q4N3EE501289</t>
  </si>
  <si>
    <t>NKMA2CBR4N1001184</t>
  </si>
  <si>
    <t>AMA-968</t>
  </si>
  <si>
    <t>KHI/HO/D/MO/PC COMP/C/100155/1/10/2024</t>
  </si>
  <si>
    <t>KHI/HO/D/MO/PC COMP/E/49194/00001/11/2024</t>
  </si>
  <si>
    <t>CI-2023-0210-0023</t>
  </si>
  <si>
    <t>MUHAMMAD FAYYAZ</t>
  </si>
  <si>
    <t>G3LAPP142116</t>
  </si>
  <si>
    <t>NNATA52AZPP712862</t>
  </si>
  <si>
    <t>APY 788</t>
  </si>
  <si>
    <t>KHI/HO/D/MO/PC COMP/C/100153/1/10/2024</t>
  </si>
  <si>
    <t>CI-2023-0239-0009</t>
  </si>
  <si>
    <t>MUHAMMAD MUBASHAR MINHAS</t>
  </si>
  <si>
    <t>6R286746</t>
  </si>
  <si>
    <t>NF1AET306H1186846</t>
  </si>
  <si>
    <t>AQC 206</t>
  </si>
  <si>
    <t>KHI/HO/D/MO/PC COMP/C/100153/3/10/2024</t>
  </si>
  <si>
    <t>CI-2023-0240-0004</t>
  </si>
  <si>
    <t>AMIR NAEEM BUTT</t>
  </si>
  <si>
    <t>City MT 1.3L</t>
  </si>
  <si>
    <t>L13Z17502593</t>
  </si>
  <si>
    <t>NFBGM1540HR213018</t>
  </si>
  <si>
    <t>LEB-17A-9498</t>
  </si>
  <si>
    <t>KHI/HO/D/MO/PC COMP/C/100153/2/10/2024</t>
  </si>
  <si>
    <t>CM-2021-1142-0821</t>
  </si>
  <si>
    <t>MUHAMMAD HUMZA MUNIR</t>
  </si>
  <si>
    <t>TOYOTA YARIS GLI CVT 1.3 A/T</t>
  </si>
  <si>
    <t>2A37205</t>
  </si>
  <si>
    <t>NSP150R-7023431</t>
  </si>
  <si>
    <t>AVE-752</t>
  </si>
  <si>
    <t>KHI/HO/D/MO/PC COMP/C/100154/1/10/2024</t>
  </si>
  <si>
    <t>CM-2020-0233-0290</t>
  </si>
  <si>
    <t>MUHAMMAD MATEEN SIDDIQUI</t>
  </si>
  <si>
    <t>PK10B207249</t>
  </si>
  <si>
    <t>A1J310PK10107239</t>
  </si>
  <si>
    <t>AAT-069</t>
  </si>
  <si>
    <t>KHI/HO/D/MO/PC COMP/C/100243/1/10/2024</t>
  </si>
  <si>
    <t>CM-2020-0213-0231</t>
  </si>
  <si>
    <t>AFSHAN ZAREEN BILAL</t>
  </si>
  <si>
    <t>SUZUKI ALTO VXL</t>
  </si>
  <si>
    <t>6R139331</t>
  </si>
  <si>
    <t>NFAET306H1039328</t>
  </si>
  <si>
    <t>AAN-041</t>
  </si>
  <si>
    <t>KHI/HO/D/MO/PC COMP/C/100237/1/10/2024</t>
  </si>
  <si>
    <t>CM-2021-0288-0646</t>
  </si>
  <si>
    <t>MOHSIN ALI</t>
  </si>
  <si>
    <t>G3LAMP150384</t>
  </si>
  <si>
    <t>NNATA52AXKP502598</t>
  </si>
  <si>
    <t>AFF-450</t>
  </si>
  <si>
    <t>KHI/HO/D/MO/PC COMP/C/100242/1/10/2024</t>
  </si>
  <si>
    <t>CM-2021-0202-0434</t>
  </si>
  <si>
    <t>ZULFIQAR AHMAD</t>
  </si>
  <si>
    <t>TOYOTA COROLLA ALTIS 1.6 AT</t>
  </si>
  <si>
    <t>Q082026</t>
  </si>
  <si>
    <t>ZRE171R-6059516</t>
  </si>
  <si>
    <t>AFG-881</t>
  </si>
  <si>
    <t>KHI/HO/D/MO/PC COMP/C/100242/3/10/2024</t>
  </si>
  <si>
    <t>CM-2021-2802-0439</t>
  </si>
  <si>
    <t>ABDUL LATIF</t>
  </si>
  <si>
    <t>CHANGAN ALSVIN 1.5L DCT LUMIERE</t>
  </si>
  <si>
    <t>JL473QFM3CAD517732</t>
  </si>
  <si>
    <t>NKMA2ASE5M1003107</t>
  </si>
  <si>
    <t>AFG-206</t>
  </si>
  <si>
    <t>KHI/HO/D/MO/PC COMP/C/100242/2/10/2024</t>
  </si>
  <si>
    <t>CI-2023-0270-0003</t>
  </si>
  <si>
    <t>UMER FAROOQ</t>
  </si>
  <si>
    <t>Alto VXR AGS</t>
  </si>
  <si>
    <t>6R282116</t>
  </si>
  <si>
    <t>NF1AET306H1182112</t>
  </si>
  <si>
    <t>AQB 846</t>
  </si>
  <si>
    <t>KHI/HO/D/MO/PC COMP/C/100240/4/10/2024</t>
  </si>
  <si>
    <t>CI-2021-0402-7473</t>
  </si>
  <si>
    <t>PK0010499</t>
  </si>
  <si>
    <t>SOHAIL AHMAD</t>
  </si>
  <si>
    <t>Corolla Altis 1.6 AT</t>
  </si>
  <si>
    <t>Q100928</t>
  </si>
  <si>
    <t>ZRE171R-6078431</t>
  </si>
  <si>
    <t>BAJ-919-ICT</t>
  </si>
  <si>
    <t>KHI/HO/D/MO/PC COMP/C/100128/2/10/2024</t>
  </si>
  <si>
    <t>CI-2022-0406-0049</t>
  </si>
  <si>
    <t>ALI TARIQ</t>
  </si>
  <si>
    <t>6R249538</t>
  </si>
  <si>
    <t>NF1AET306H1149513</t>
  </si>
  <si>
    <t>BAJ-966-ICT</t>
  </si>
  <si>
    <t>KHI/HO/D/MO/PC COMP/C/100128/1/10/2024</t>
  </si>
  <si>
    <t>CI-2022-9867-0016</t>
  </si>
  <si>
    <t>AMAN ULLAH</t>
  </si>
  <si>
    <t>PK10B240921</t>
  </si>
  <si>
    <t>A1J310PK10140923</t>
  </si>
  <si>
    <t>APL</t>
  </si>
  <si>
    <t>KHI/HO/D/MO/PC COMP/C/100128/3/10/2024</t>
  </si>
  <si>
    <t>CI-2023-1239-0007</t>
  </si>
  <si>
    <t>SYED MUZAMMIL HUSSAIN TARIMZI</t>
  </si>
  <si>
    <t>6R284888</t>
  </si>
  <si>
    <t>NF1AET306H1184841</t>
  </si>
  <si>
    <t>KHI/HO/D/MO/PC COMP/C/100126/3/10/2024</t>
  </si>
  <si>
    <t>CI-2023-1275-0004</t>
  </si>
  <si>
    <t>SYED M MASOOD UL HASSAN SHAH</t>
  </si>
  <si>
    <t>G4NAKH056903</t>
  </si>
  <si>
    <t>NNAQL51AZKP502129</t>
  </si>
  <si>
    <t>AQS-907-ICT</t>
  </si>
  <si>
    <t>KHI/HO/D/MO/PC COMP/C/100126/1/10/2024</t>
  </si>
  <si>
    <t>CI-2023-1285-0003</t>
  </si>
  <si>
    <t>ZEESHAN MAJEED</t>
  </si>
  <si>
    <t>City MT 1.2L</t>
  </si>
  <si>
    <t>L12B51002790</t>
  </si>
  <si>
    <t>NFBGN8520MR003825</t>
  </si>
  <si>
    <t>AFJ-792-PUNJAB</t>
  </si>
  <si>
    <t>KHI/HO/D/MO/PC COMP/C/100126/2/10/2024</t>
  </si>
  <si>
    <t>CM-2021-0406-0598</t>
  </si>
  <si>
    <t>MUHAMMAD IMRAN</t>
  </si>
  <si>
    <t>G4NAMH317784</t>
  </si>
  <si>
    <t>NNAQL51AZLP102337</t>
  </si>
  <si>
    <t>AVE-219</t>
  </si>
  <si>
    <t>KHI/HO/D/MO/PC COMP/C/100129/1/10/2024</t>
  </si>
  <si>
    <t>CM-2021-0412-1264</t>
  </si>
  <si>
    <t>MEHRAN HUSSAIN</t>
  </si>
  <si>
    <t>SUZUKI WAGONR VXL</t>
  </si>
  <si>
    <t>PK10B222143</t>
  </si>
  <si>
    <t>A1J310PK10122137</t>
  </si>
  <si>
    <t>KHI/HO/D/MO/PC COMP/C/100129/2/10/2024</t>
  </si>
  <si>
    <t>CM-2021-9870-0505</t>
  </si>
  <si>
    <t>MUHAMMAD SIBTAIN HAIDER</t>
  </si>
  <si>
    <t>6R1879956</t>
  </si>
  <si>
    <t>NF1AET306H1087928</t>
  </si>
  <si>
    <t>KHI/HO/D/MO/PC COMP/C/100129/3/10/2024</t>
  </si>
  <si>
    <t xml:space="preserve">Differnence Amount </t>
  </si>
  <si>
    <t>L</t>
  </si>
  <si>
    <t>00007</t>
  </si>
  <si>
    <t>00010</t>
  </si>
  <si>
    <t>00001</t>
  </si>
  <si>
    <t>00006</t>
  </si>
  <si>
    <t>00005</t>
  </si>
  <si>
    <t>00002</t>
  </si>
  <si>
    <t>00003</t>
  </si>
  <si>
    <t>00009</t>
  </si>
  <si>
    <t>00004</t>
  </si>
  <si>
    <t>00008</t>
  </si>
  <si>
    <t>00011</t>
  </si>
  <si>
    <t>-10-2024</t>
  </si>
  <si>
    <t>-11-2024</t>
  </si>
  <si>
    <t xml:space="preserve">   </t>
  </si>
  <si>
    <t>FUNC_ASSORTED_STRING(IA.ASSORTED_CODE)</t>
  </si>
  <si>
    <t>ASSORTED_CODE</t>
  </si>
  <si>
    <t>070000167914</t>
  </si>
  <si>
    <t>070000167818</t>
  </si>
  <si>
    <t>070000167823</t>
  </si>
  <si>
    <t>070000167825</t>
  </si>
  <si>
    <t>070000167915</t>
  </si>
  <si>
    <t>070000167793</t>
  </si>
  <si>
    <t>070000167794</t>
  </si>
  <si>
    <t>070000167942</t>
  </si>
  <si>
    <t>070000167943</t>
  </si>
  <si>
    <t>070000167944</t>
  </si>
  <si>
    <t>070000167768</t>
  </si>
  <si>
    <t>070000167813</t>
  </si>
  <si>
    <t>070000167814</t>
  </si>
  <si>
    <t>070000167815</t>
  </si>
  <si>
    <t>070000167816</t>
  </si>
  <si>
    <t>070000167842</t>
  </si>
  <si>
    <t>070000167843</t>
  </si>
  <si>
    <t>070000167845</t>
  </si>
  <si>
    <t>070000167846</t>
  </si>
  <si>
    <t>070000167847</t>
  </si>
  <si>
    <t>070000167848</t>
  </si>
  <si>
    <t>070000167880</t>
  </si>
  <si>
    <t>070000167881</t>
  </si>
  <si>
    <t>070000167882</t>
  </si>
  <si>
    <t>070000167886</t>
  </si>
  <si>
    <t>070000167887</t>
  </si>
  <si>
    <t>070000167885</t>
  </si>
  <si>
    <t>070000167800</t>
  </si>
  <si>
    <t>070000167801</t>
  </si>
  <si>
    <t>070000167802</t>
  </si>
  <si>
    <t>070000167803</t>
  </si>
  <si>
    <t>070000167805</t>
  </si>
  <si>
    <t>070000167911</t>
  </si>
  <si>
    <t>070000167912</t>
  </si>
  <si>
    <t>070000167917</t>
  </si>
  <si>
    <t>070000167918</t>
  </si>
  <si>
    <t>070000167921</t>
  </si>
  <si>
    <t>070000167922</t>
  </si>
  <si>
    <t>070000167923</t>
  </si>
  <si>
    <t>070000167924</t>
  </si>
  <si>
    <t>070000167928</t>
  </si>
  <si>
    <t>070000167806</t>
  </si>
  <si>
    <t>070000167807</t>
  </si>
  <si>
    <t>070000167809</t>
  </si>
  <si>
    <t>070000167810</t>
  </si>
  <si>
    <t>070000167930</t>
  </si>
  <si>
    <t>070000167931</t>
  </si>
  <si>
    <t>070000167932</t>
  </si>
  <si>
    <t>070000167933</t>
  </si>
  <si>
    <t>070000167778</t>
  </si>
  <si>
    <t>070000167779</t>
  </si>
  <si>
    <t>070000167780</t>
  </si>
  <si>
    <t>070000167781</t>
  </si>
  <si>
    <t>070000167783</t>
  </si>
  <si>
    <t>070000167784</t>
  </si>
  <si>
    <t>070000167910</t>
  </si>
  <si>
    <t>070000167858</t>
  </si>
  <si>
    <t>070000167863</t>
  </si>
  <si>
    <t>070000167864</t>
  </si>
  <si>
    <t>070000167865</t>
  </si>
  <si>
    <t>070000167712</t>
  </si>
  <si>
    <t>070000167713</t>
  </si>
  <si>
    <t>070000167714</t>
  </si>
  <si>
    <t>070000167715</t>
  </si>
  <si>
    <t>070000167716</t>
  </si>
  <si>
    <t>070000167686</t>
  </si>
  <si>
    <t>070000167688</t>
  </si>
  <si>
    <t>070000167690</t>
  </si>
  <si>
    <t>070000167691</t>
  </si>
  <si>
    <t>070000167692</t>
  </si>
  <si>
    <t>070000167693</t>
  </si>
  <si>
    <t>070000167695</t>
  </si>
  <si>
    <t>070000167696</t>
  </si>
  <si>
    <t>070000167697</t>
  </si>
  <si>
    <t>070000167699</t>
  </si>
  <si>
    <t>070000167700</t>
  </si>
  <si>
    <t>070000167701</t>
  </si>
  <si>
    <t>070000167703</t>
  </si>
  <si>
    <t>070000167704</t>
  </si>
  <si>
    <t>070000167706</t>
  </si>
  <si>
    <t>070000167707</t>
  </si>
  <si>
    <t>070000167708</t>
  </si>
  <si>
    <t>070000167710</t>
  </si>
  <si>
    <t>070000167711</t>
  </si>
  <si>
    <t>070000167739</t>
  </si>
  <si>
    <t>070000167740</t>
  </si>
  <si>
    <t>070000167741</t>
  </si>
  <si>
    <t>070000167743</t>
  </si>
  <si>
    <t>070000167744</t>
  </si>
  <si>
    <t>070000167746</t>
  </si>
  <si>
    <t>070000167751</t>
  </si>
  <si>
    <t>070000167754</t>
  </si>
  <si>
    <t>070000167758</t>
  </si>
  <si>
    <t>070000167759</t>
  </si>
  <si>
    <t>070000167860</t>
  </si>
  <si>
    <t>070000167862</t>
  </si>
  <si>
    <t>070000167705</t>
  </si>
  <si>
    <t>070000167709</t>
  </si>
  <si>
    <t>070000167831</t>
  </si>
  <si>
    <t>070000167837</t>
  </si>
  <si>
    <t>070000167840</t>
  </si>
  <si>
    <t>070000167738</t>
  </si>
  <si>
    <t>070000167728</t>
  </si>
  <si>
    <t>070000167729</t>
  </si>
  <si>
    <t>070000167731</t>
  </si>
  <si>
    <t>070000167732</t>
  </si>
  <si>
    <t>070000167733</t>
  </si>
  <si>
    <t>070000167735</t>
  </si>
  <si>
    <t>070000167737</t>
  </si>
  <si>
    <t>070000167774</t>
  </si>
  <si>
    <t>070000167909</t>
  </si>
  <si>
    <t>070000167666</t>
  </si>
  <si>
    <t>070000167676</t>
  </si>
  <si>
    <t>070000167677</t>
  </si>
  <si>
    <t>070000167659</t>
  </si>
  <si>
    <t>070000167660</t>
  </si>
  <si>
    <t>070000167661</t>
  </si>
  <si>
    <t>070000167662</t>
  </si>
  <si>
    <t>070000167673</t>
  </si>
  <si>
    <t>070000167674</t>
  </si>
  <si>
    <t>070000167904</t>
  </si>
  <si>
    <t>070000167905</t>
  </si>
  <si>
    <t>070000167906</t>
  </si>
  <si>
    <t>070000167907</t>
  </si>
  <si>
    <t>070000167908</t>
  </si>
  <si>
    <t>070000167938</t>
  </si>
  <si>
    <t>070000167939</t>
  </si>
  <si>
    <t>070000167940</t>
  </si>
  <si>
    <t>070000167941</t>
  </si>
  <si>
    <t>070000167945</t>
  </si>
  <si>
    <t>070000167641</t>
  </si>
  <si>
    <t>070000167643</t>
  </si>
  <si>
    <t>070000167644</t>
  </si>
  <si>
    <t>070000167645</t>
  </si>
  <si>
    <t>070000167648</t>
  </si>
  <si>
    <t>070000167649</t>
  </si>
  <si>
    <t>070000167651</t>
  </si>
  <si>
    <t>070000167652</t>
  </si>
  <si>
    <t>070000167653</t>
  </si>
  <si>
    <t>070000167654</t>
  </si>
  <si>
    <t>070000167655</t>
  </si>
  <si>
    <t>070000167656</t>
  </si>
  <si>
    <t>070000167657</t>
  </si>
  <si>
    <t>KHI/HO/D/MO/PC COMP/C/102358/1/11/2024</t>
  </si>
  <si>
    <t>070000170561</t>
  </si>
  <si>
    <t>040000187317</t>
  </si>
  <si>
    <t>POLICY NO.</t>
  </si>
  <si>
    <t>Assorted_code</t>
  </si>
  <si>
    <t>Premium</t>
  </si>
  <si>
    <t>KHI/HO/D/MO/PC COMP/P/102358/11/2024</t>
  </si>
  <si>
    <t>040000189796</t>
  </si>
  <si>
    <t>20Nov240019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</si>
</sst>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,##0_);\(#,##0\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15" fontId="0" fillId="0" borderId="1" xfId="0" applyNumberFormat="1" applyBorder="1"/>
    <xf numFmtId="165" fontId="0" fillId="0" borderId="1" xfId="1" applyNumberFormat="1" applyFont="1" applyBorder="1"/>
    <xf numFmtId="165" fontId="0" fillId="0" borderId="0" xfId="1" applyNumberFormat="1" applyFont="1"/>
    <xf numFmtId="0" fontId="0" fillId="0" borderId="1" xfId="0" applyBorder="1" applyAlignment="1">
      <alignment vertical="top"/>
    </xf>
    <xf numFmtId="0" fontId="2" fillId="3" borderId="2" xfId="0" applyFont="1" applyFill="1" applyBorder="1"/>
    <xf numFmtId="165" fontId="2" fillId="3" borderId="2" xfId="1" applyNumberFormat="1" applyFont="1" applyFill="1" applyBorder="1"/>
    <xf numFmtId="0" fontId="0" fillId="3" borderId="0" xfId="0" applyFill="1"/>
    <xf numFmtId="0" fontId="0" fillId="0" borderId="4" xfId="0" applyBorder="1"/>
    <xf numFmtId="0" fontId="2" fillId="3" borderId="3" xfId="0" applyFont="1" applyFill="1" applyBorder="1"/>
    <xf numFmtId="166" fontId="0" fillId="0" borderId="1" xfId="0" applyNumberFormat="1" applyBorder="1" applyAlignment="1">
      <alignment vertical="top"/>
    </xf>
    <xf numFmtId="165" fontId="2" fillId="2" borderId="1" xfId="1" applyNumberFormat="1" applyFont="1" applyFill="1" applyBorder="1"/>
    <xf numFmtId="165" fontId="2" fillId="2" borderId="1" xfId="0" applyNumberFormat="1" applyFont="1" applyFill="1" applyBorder="1"/>
    <xf numFmtId="165" fontId="0" fillId="0" borderId="1" xfId="0" applyNumberFormat="1" applyBorder="1"/>
    <xf numFmtId="165" fontId="0" fillId="0" borderId="2" xfId="0" applyNumberFormat="1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vertical="top"/>
    </xf>
    <xf numFmtId="165" fontId="4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5" fillId="0" borderId="0" xfId="0" applyFon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9"/>
  <sheetViews>
    <sheetView tabSelected="1" topLeftCell="O131" workbookViewId="0">
      <selection activeCell="X139" sqref="X139"/>
    </sheetView>
  </sheetViews>
  <sheetFormatPr defaultRowHeight="15" x14ac:dyDescent="0.25"/>
  <cols>
    <col min="1" max="1" width="17.7109375" hidden="1" customWidth="1"/>
    <col min="2" max="2" width="10.28515625" hidden="1" customWidth="1"/>
    <col min="3" max="3" width="34.28515625" hidden="1" customWidth="1"/>
    <col min="4" max="4" width="39.140625" hidden="1" customWidth="1"/>
    <col min="5" max="5" width="20.7109375" hidden="1" customWidth="1"/>
    <col min="6" max="6" width="20.42578125" hidden="1" customWidth="1"/>
    <col min="7" max="7" width="20.28515625" hidden="1" customWidth="1"/>
    <col min="8" max="8" width="9.42578125" hidden="1" customWidth="1"/>
    <col min="9" max="9" width="11.140625" hidden="1" customWidth="1"/>
    <col min="10" max="10" width="11.85546875" hidden="1" customWidth="1"/>
    <col min="11" max="11" width="14.42578125" hidden="1" customWidth="1"/>
    <col min="12" max="12" width="17.140625" hidden="1" customWidth="1"/>
    <col min="13" max="13" width="19" hidden="1" customWidth="1"/>
    <col min="14" max="14" width="29.42578125" hidden="1" customWidth="1"/>
    <col min="15" max="15" width="39.5703125" bestFit="1" customWidth="1"/>
    <col min="16" max="16" width="41.42578125" hidden="1" customWidth="1"/>
    <col min="17" max="17" width="19.140625" hidden="1" customWidth="1"/>
    <col min="18" max="18" width="14.42578125" style="4" bestFit="1" customWidth="1"/>
  </cols>
  <sheetData>
    <row r="1" spans="1:18" s="8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6" t="s">
        <v>14</v>
      </c>
      <c r="P1" s="6" t="s">
        <v>15</v>
      </c>
      <c r="Q1" s="6" t="s">
        <v>980</v>
      </c>
      <c r="R1" s="7" t="s">
        <v>16</v>
      </c>
    </row>
    <row r="2" spans="1:18" x14ac:dyDescent="0.25">
      <c r="A2" s="1" t="s">
        <v>17</v>
      </c>
      <c r="B2" s="1" t="s">
        <v>18</v>
      </c>
      <c r="C2" s="1" t="s">
        <v>19</v>
      </c>
      <c r="D2" s="1" t="s">
        <v>20</v>
      </c>
      <c r="E2" s="5" t="s">
        <v>21</v>
      </c>
      <c r="F2" s="1" t="s">
        <v>22</v>
      </c>
      <c r="G2" s="1" t="s">
        <v>23</v>
      </c>
      <c r="H2" s="2">
        <v>45570</v>
      </c>
      <c r="I2" s="2">
        <v>45935</v>
      </c>
      <c r="J2" s="1" t="s">
        <v>24</v>
      </c>
      <c r="K2" s="3">
        <v>2933496</v>
      </c>
      <c r="L2" s="3">
        <v>44002</v>
      </c>
      <c r="M2" s="1" t="s">
        <v>25</v>
      </c>
      <c r="N2" s="1" t="s">
        <v>26</v>
      </c>
      <c r="O2" s="1" t="s">
        <v>27</v>
      </c>
      <c r="P2" s="1" t="s">
        <v>28</v>
      </c>
      <c r="Q2" s="14">
        <v>0</v>
      </c>
      <c r="R2" s="3">
        <v>44002</v>
      </c>
    </row>
    <row r="3" spans="1:18" x14ac:dyDescent="0.25">
      <c r="A3" s="1" t="s">
        <v>29</v>
      </c>
      <c r="B3" s="1" t="s">
        <v>18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2">
        <v>45590</v>
      </c>
      <c r="I3" s="2">
        <v>45955</v>
      </c>
      <c r="J3" s="1" t="s">
        <v>24</v>
      </c>
      <c r="K3" s="3">
        <v>1447065</v>
      </c>
      <c r="L3" s="3">
        <v>21706</v>
      </c>
      <c r="M3" s="1" t="s">
        <v>25</v>
      </c>
      <c r="N3" s="1" t="s">
        <v>26</v>
      </c>
      <c r="O3" s="1" t="s">
        <v>35</v>
      </c>
      <c r="P3" s="1"/>
      <c r="Q3" s="14">
        <v>0</v>
      </c>
      <c r="R3" s="11">
        <v>21706</v>
      </c>
    </row>
    <row r="4" spans="1:18" x14ac:dyDescent="0.25">
      <c r="A4" s="1" t="s">
        <v>36</v>
      </c>
      <c r="B4" s="1" t="s">
        <v>18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23</v>
      </c>
      <c r="H4" s="2">
        <v>45580</v>
      </c>
      <c r="I4" s="2">
        <v>45945</v>
      </c>
      <c r="J4" s="1" t="s">
        <v>24</v>
      </c>
      <c r="K4" s="3">
        <v>1950075</v>
      </c>
      <c r="L4" s="3">
        <v>29251</v>
      </c>
      <c r="M4" s="1" t="s">
        <v>25</v>
      </c>
      <c r="N4" s="1" t="s">
        <v>26</v>
      </c>
      <c r="O4" s="1" t="s">
        <v>41</v>
      </c>
      <c r="P4" s="1"/>
      <c r="Q4" s="14">
        <v>0</v>
      </c>
      <c r="R4" s="3">
        <v>29251</v>
      </c>
    </row>
    <row r="5" spans="1:18" x14ac:dyDescent="0.25">
      <c r="A5" s="1" t="s">
        <v>42</v>
      </c>
      <c r="B5" s="1" t="s">
        <v>18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23</v>
      </c>
      <c r="H5" s="2">
        <v>45580</v>
      </c>
      <c r="I5" s="2">
        <v>45945</v>
      </c>
      <c r="J5" s="1" t="s">
        <v>24</v>
      </c>
      <c r="K5" s="3">
        <v>3134700</v>
      </c>
      <c r="L5" s="3">
        <v>47021</v>
      </c>
      <c r="M5" s="1" t="s">
        <v>25</v>
      </c>
      <c r="N5" s="1" t="s">
        <v>26</v>
      </c>
      <c r="O5" s="1" t="s">
        <v>47</v>
      </c>
      <c r="P5" s="1"/>
      <c r="Q5" s="14">
        <v>0</v>
      </c>
      <c r="R5" s="3">
        <v>47021</v>
      </c>
    </row>
    <row r="6" spans="1:18" x14ac:dyDescent="0.25">
      <c r="A6" s="1" t="s">
        <v>48</v>
      </c>
      <c r="B6" s="1" t="s">
        <v>18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23</v>
      </c>
      <c r="H6" s="2">
        <v>45585</v>
      </c>
      <c r="I6" s="2">
        <v>45950</v>
      </c>
      <c r="J6" s="1" t="s">
        <v>24</v>
      </c>
      <c r="K6" s="3">
        <v>1439775</v>
      </c>
      <c r="L6" s="3">
        <v>21597</v>
      </c>
      <c r="M6" s="1" t="s">
        <v>25</v>
      </c>
      <c r="N6" s="1" t="s">
        <v>26</v>
      </c>
      <c r="O6" s="1" t="s">
        <v>53</v>
      </c>
      <c r="P6" s="1"/>
      <c r="Q6" s="14">
        <v>0</v>
      </c>
      <c r="R6" s="3">
        <v>21597</v>
      </c>
    </row>
    <row r="7" spans="1:18" x14ac:dyDescent="0.25">
      <c r="A7" s="1" t="s">
        <v>54</v>
      </c>
      <c r="B7" s="1" t="s">
        <v>18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23</v>
      </c>
      <c r="H7" s="2">
        <v>45601</v>
      </c>
      <c r="I7" s="2">
        <v>45966</v>
      </c>
      <c r="J7" s="1" t="s">
        <v>24</v>
      </c>
      <c r="K7" s="3">
        <v>817209</v>
      </c>
      <c r="L7" s="3">
        <v>12258</v>
      </c>
      <c r="M7" s="1" t="s">
        <v>25</v>
      </c>
      <c r="N7" s="1" t="s">
        <v>26</v>
      </c>
      <c r="O7" s="1" t="s">
        <v>59</v>
      </c>
      <c r="P7" s="1"/>
      <c r="Q7" s="14">
        <v>0</v>
      </c>
      <c r="R7" s="3">
        <v>12258</v>
      </c>
    </row>
    <row r="8" spans="1:18" x14ac:dyDescent="0.25">
      <c r="A8" s="1" t="s">
        <v>60</v>
      </c>
      <c r="B8" s="1" t="s">
        <v>18</v>
      </c>
      <c r="C8" s="1" t="s">
        <v>61</v>
      </c>
      <c r="D8" s="1" t="s">
        <v>62</v>
      </c>
      <c r="E8" s="1" t="s">
        <v>63</v>
      </c>
      <c r="F8" s="1" t="s">
        <v>64</v>
      </c>
      <c r="G8" s="1" t="s">
        <v>23</v>
      </c>
      <c r="H8" s="2">
        <v>45606</v>
      </c>
      <c r="I8" s="2">
        <v>45971</v>
      </c>
      <c r="J8" s="1" t="s">
        <v>24</v>
      </c>
      <c r="K8" s="3">
        <v>1580310</v>
      </c>
      <c r="L8" s="3">
        <v>23705</v>
      </c>
      <c r="M8" s="1" t="s">
        <v>25</v>
      </c>
      <c r="N8" s="1" t="s">
        <v>26</v>
      </c>
      <c r="O8" s="1" t="s">
        <v>65</v>
      </c>
      <c r="P8" s="1"/>
      <c r="Q8" s="14">
        <v>0</v>
      </c>
      <c r="R8" s="3">
        <v>23705</v>
      </c>
    </row>
    <row r="9" spans="1:18" x14ac:dyDescent="0.25">
      <c r="A9" s="1" t="s">
        <v>66</v>
      </c>
      <c r="B9" s="1" t="s">
        <v>18</v>
      </c>
      <c r="C9" s="1" t="s">
        <v>67</v>
      </c>
      <c r="D9" s="1" t="s">
        <v>68</v>
      </c>
      <c r="E9" s="1" t="s">
        <v>69</v>
      </c>
      <c r="F9" s="1" t="s">
        <v>70</v>
      </c>
      <c r="G9" s="1" t="s">
        <v>23</v>
      </c>
      <c r="H9" s="2">
        <v>45585</v>
      </c>
      <c r="I9" s="2">
        <v>45950</v>
      </c>
      <c r="J9" s="1" t="s">
        <v>24</v>
      </c>
      <c r="K9" s="3">
        <v>973215</v>
      </c>
      <c r="L9" s="3">
        <v>14598</v>
      </c>
      <c r="M9" s="1" t="s">
        <v>25</v>
      </c>
      <c r="N9" s="1" t="s">
        <v>26</v>
      </c>
      <c r="O9" s="1" t="s">
        <v>71</v>
      </c>
      <c r="P9" s="1"/>
      <c r="Q9" s="14">
        <v>0</v>
      </c>
      <c r="R9" s="3">
        <v>14598</v>
      </c>
    </row>
    <row r="10" spans="1:18" x14ac:dyDescent="0.25">
      <c r="A10" s="1" t="s">
        <v>72</v>
      </c>
      <c r="B10" s="1" t="s">
        <v>18</v>
      </c>
      <c r="C10" s="1" t="s">
        <v>73</v>
      </c>
      <c r="D10" s="1" t="s">
        <v>74</v>
      </c>
      <c r="E10" s="1" t="s">
        <v>75</v>
      </c>
      <c r="F10" s="1" t="s">
        <v>76</v>
      </c>
      <c r="G10" s="1" t="s">
        <v>77</v>
      </c>
      <c r="H10" s="2">
        <v>45590</v>
      </c>
      <c r="I10" s="2">
        <v>45955</v>
      </c>
      <c r="J10" s="1" t="s">
        <v>24</v>
      </c>
      <c r="K10" s="3">
        <v>6891480</v>
      </c>
      <c r="L10" s="3">
        <v>86144</v>
      </c>
      <c r="M10" s="1" t="s">
        <v>78</v>
      </c>
      <c r="N10" s="1" t="s">
        <v>26</v>
      </c>
      <c r="O10" s="1" t="s">
        <v>79</v>
      </c>
      <c r="P10" s="1"/>
      <c r="Q10" s="14">
        <v>0</v>
      </c>
      <c r="R10" s="3">
        <v>86144</v>
      </c>
    </row>
    <row r="11" spans="1:18" x14ac:dyDescent="0.25">
      <c r="A11" s="1" t="s">
        <v>80</v>
      </c>
      <c r="B11" s="1" t="s">
        <v>18</v>
      </c>
      <c r="C11" s="1" t="s">
        <v>81</v>
      </c>
      <c r="D11" s="1" t="s">
        <v>82</v>
      </c>
      <c r="E11" s="1" t="s">
        <v>83</v>
      </c>
      <c r="F11" s="1" t="s">
        <v>84</v>
      </c>
      <c r="G11" s="1" t="s">
        <v>85</v>
      </c>
      <c r="H11" s="2">
        <v>45601</v>
      </c>
      <c r="I11" s="2">
        <v>45966</v>
      </c>
      <c r="J11" s="1" t="s">
        <v>24</v>
      </c>
      <c r="K11" s="3">
        <v>891000</v>
      </c>
      <c r="L11" s="3">
        <v>13365</v>
      </c>
      <c r="M11" s="1" t="s">
        <v>25</v>
      </c>
      <c r="N11" s="1" t="s">
        <v>26</v>
      </c>
      <c r="O11" s="1" t="s">
        <v>86</v>
      </c>
      <c r="P11" s="1"/>
      <c r="Q11" s="14">
        <v>0</v>
      </c>
      <c r="R11" s="3">
        <v>13365</v>
      </c>
    </row>
    <row r="12" spans="1:18" x14ac:dyDescent="0.25">
      <c r="A12" s="1" t="s">
        <v>87</v>
      </c>
      <c r="B12" s="1" t="s">
        <v>18</v>
      </c>
      <c r="C12" s="1" t="s">
        <v>88</v>
      </c>
      <c r="D12" s="1" t="s">
        <v>89</v>
      </c>
      <c r="E12" s="1" t="s">
        <v>90</v>
      </c>
      <c r="F12" s="1" t="s">
        <v>91</v>
      </c>
      <c r="G12" s="1" t="s">
        <v>92</v>
      </c>
      <c r="H12" s="2">
        <v>45601</v>
      </c>
      <c r="I12" s="2">
        <v>45966</v>
      </c>
      <c r="J12" s="1" t="s">
        <v>24</v>
      </c>
      <c r="K12" s="3">
        <v>1527660</v>
      </c>
      <c r="L12" s="3">
        <v>22915</v>
      </c>
      <c r="M12" s="1" t="s">
        <v>25</v>
      </c>
      <c r="N12" s="1" t="s">
        <v>26</v>
      </c>
      <c r="O12" s="1" t="s">
        <v>93</v>
      </c>
      <c r="P12" s="1"/>
      <c r="Q12" s="14">
        <v>0</v>
      </c>
      <c r="R12" s="3">
        <v>22915</v>
      </c>
    </row>
    <row r="13" spans="1:18" x14ac:dyDescent="0.25">
      <c r="A13" s="1" t="s">
        <v>94</v>
      </c>
      <c r="B13" s="1" t="s">
        <v>18</v>
      </c>
      <c r="C13" s="1" t="s">
        <v>95</v>
      </c>
      <c r="D13" s="1" t="s">
        <v>68</v>
      </c>
      <c r="E13" s="1" t="s">
        <v>96</v>
      </c>
      <c r="F13" s="1" t="s">
        <v>97</v>
      </c>
      <c r="G13" s="1" t="s">
        <v>98</v>
      </c>
      <c r="H13" s="2">
        <v>45590</v>
      </c>
      <c r="I13" s="2">
        <v>45955</v>
      </c>
      <c r="J13" s="1" t="s">
        <v>24</v>
      </c>
      <c r="K13" s="3">
        <v>1356750</v>
      </c>
      <c r="L13" s="3">
        <v>20351</v>
      </c>
      <c r="M13" s="1" t="s">
        <v>25</v>
      </c>
      <c r="N13" s="1" t="s">
        <v>26</v>
      </c>
      <c r="O13" s="1" t="s">
        <v>99</v>
      </c>
      <c r="P13" s="1"/>
      <c r="Q13" s="14">
        <v>0</v>
      </c>
      <c r="R13" s="3">
        <v>20351</v>
      </c>
    </row>
    <row r="14" spans="1:18" x14ac:dyDescent="0.25">
      <c r="A14" s="1" t="s">
        <v>100</v>
      </c>
      <c r="B14" s="1" t="s">
        <v>18</v>
      </c>
      <c r="C14" s="1" t="s">
        <v>101</v>
      </c>
      <c r="D14" s="1" t="s">
        <v>68</v>
      </c>
      <c r="E14" s="1" t="s">
        <v>102</v>
      </c>
      <c r="F14" s="1" t="s">
        <v>103</v>
      </c>
      <c r="G14" s="1" t="s">
        <v>104</v>
      </c>
      <c r="H14" s="2">
        <v>45590</v>
      </c>
      <c r="I14" s="2">
        <v>45955</v>
      </c>
      <c r="J14" s="1" t="s">
        <v>24</v>
      </c>
      <c r="K14" s="3">
        <v>1356750</v>
      </c>
      <c r="L14" s="3">
        <v>20351</v>
      </c>
      <c r="M14" s="1" t="s">
        <v>25</v>
      </c>
      <c r="N14" s="1" t="s">
        <v>26</v>
      </c>
      <c r="O14" s="1" t="s">
        <v>105</v>
      </c>
      <c r="P14" s="1"/>
      <c r="Q14" s="14">
        <v>0</v>
      </c>
      <c r="R14" s="3">
        <v>20351</v>
      </c>
    </row>
    <row r="15" spans="1:18" x14ac:dyDescent="0.25">
      <c r="A15" s="1" t="s">
        <v>106</v>
      </c>
      <c r="B15" s="1" t="s">
        <v>18</v>
      </c>
      <c r="C15" s="1" t="s">
        <v>107</v>
      </c>
      <c r="D15" s="1" t="s">
        <v>108</v>
      </c>
      <c r="E15" s="1" t="s">
        <v>109</v>
      </c>
      <c r="F15" s="1" t="s">
        <v>110</v>
      </c>
      <c r="G15" s="1" t="s">
        <v>111</v>
      </c>
      <c r="H15" s="2">
        <v>45601</v>
      </c>
      <c r="I15" s="2">
        <v>45966</v>
      </c>
      <c r="J15" s="1" t="s">
        <v>24</v>
      </c>
      <c r="K15" s="3">
        <v>1498500</v>
      </c>
      <c r="L15" s="3">
        <v>22478</v>
      </c>
      <c r="M15" s="1" t="s">
        <v>25</v>
      </c>
      <c r="N15" s="1" t="s">
        <v>26</v>
      </c>
      <c r="O15" s="1" t="s">
        <v>112</v>
      </c>
      <c r="P15" s="1"/>
      <c r="Q15" s="14">
        <v>0</v>
      </c>
      <c r="R15" s="3">
        <v>22478</v>
      </c>
    </row>
    <row r="16" spans="1:18" x14ac:dyDescent="0.25">
      <c r="A16" s="1" t="s">
        <v>113</v>
      </c>
      <c r="B16" s="1" t="s">
        <v>18</v>
      </c>
      <c r="C16" s="1" t="s">
        <v>114</v>
      </c>
      <c r="D16" s="1" t="s">
        <v>89</v>
      </c>
      <c r="E16" s="1" t="s">
        <v>115</v>
      </c>
      <c r="F16" s="1" t="s">
        <v>116</v>
      </c>
      <c r="G16" s="1" t="s">
        <v>117</v>
      </c>
      <c r="H16" s="2">
        <v>45611</v>
      </c>
      <c r="I16" s="2">
        <v>45976</v>
      </c>
      <c r="J16" s="1" t="s">
        <v>24</v>
      </c>
      <c r="K16" s="3">
        <v>1527660</v>
      </c>
      <c r="L16" s="3">
        <v>22915</v>
      </c>
      <c r="M16" s="1" t="s">
        <v>25</v>
      </c>
      <c r="N16" s="1" t="s">
        <v>26</v>
      </c>
      <c r="O16" s="1" t="s">
        <v>118</v>
      </c>
      <c r="P16" s="1"/>
      <c r="Q16" s="14">
        <v>0</v>
      </c>
      <c r="R16" s="3">
        <v>22915</v>
      </c>
    </row>
    <row r="17" spans="1:19" x14ac:dyDescent="0.25">
      <c r="A17" s="1" t="s">
        <v>119</v>
      </c>
      <c r="B17" s="1" t="s">
        <v>18</v>
      </c>
      <c r="C17" s="1" t="s">
        <v>120</v>
      </c>
      <c r="D17" s="1" t="s">
        <v>68</v>
      </c>
      <c r="E17" s="1" t="s">
        <v>121</v>
      </c>
      <c r="F17" s="1" t="s">
        <v>122</v>
      </c>
      <c r="G17" s="1" t="s">
        <v>123</v>
      </c>
      <c r="H17" s="2">
        <v>45590</v>
      </c>
      <c r="I17" s="2">
        <v>45955</v>
      </c>
      <c r="J17" s="1" t="s">
        <v>24</v>
      </c>
      <c r="K17" s="3">
        <v>1356750</v>
      </c>
      <c r="L17" s="3">
        <v>20351</v>
      </c>
      <c r="M17" s="1" t="s">
        <v>25</v>
      </c>
      <c r="N17" s="1" t="s">
        <v>26</v>
      </c>
      <c r="O17" s="1" t="s">
        <v>124</v>
      </c>
      <c r="P17" s="1"/>
      <c r="Q17" s="14">
        <v>0</v>
      </c>
      <c r="R17" s="3">
        <v>20351</v>
      </c>
    </row>
    <row r="18" spans="1:19" x14ac:dyDescent="0.25">
      <c r="A18" s="1" t="s">
        <v>125</v>
      </c>
      <c r="B18" s="1" t="s">
        <v>18</v>
      </c>
      <c r="C18" s="1" t="s">
        <v>126</v>
      </c>
      <c r="D18" s="1" t="s">
        <v>127</v>
      </c>
      <c r="E18" s="1" t="s">
        <v>128</v>
      </c>
      <c r="F18" s="1" t="s">
        <v>129</v>
      </c>
      <c r="G18" s="1" t="s">
        <v>130</v>
      </c>
      <c r="H18" s="2">
        <v>45601</v>
      </c>
      <c r="I18" s="2">
        <v>45966</v>
      </c>
      <c r="J18" s="1" t="s">
        <v>24</v>
      </c>
      <c r="K18" s="3">
        <v>4680000</v>
      </c>
      <c r="L18" s="3">
        <v>70200</v>
      </c>
      <c r="M18" s="1" t="s">
        <v>25</v>
      </c>
      <c r="N18" s="1" t="s">
        <v>26</v>
      </c>
      <c r="O18" s="1" t="s">
        <v>131</v>
      </c>
      <c r="P18" s="1"/>
      <c r="Q18" s="14">
        <v>0</v>
      </c>
      <c r="R18" s="3">
        <v>70200</v>
      </c>
    </row>
    <row r="19" spans="1:19" s="1" customFormat="1" x14ac:dyDescent="0.25">
      <c r="A19" s="1" t="s">
        <v>132</v>
      </c>
      <c r="B19" s="1" t="s">
        <v>18</v>
      </c>
      <c r="C19" s="1" t="s">
        <v>133</v>
      </c>
      <c r="D19" s="1" t="s">
        <v>134</v>
      </c>
      <c r="E19" s="1" t="s">
        <v>135</v>
      </c>
      <c r="F19" s="5" t="s">
        <v>136</v>
      </c>
      <c r="G19" s="1" t="s">
        <v>23</v>
      </c>
      <c r="H19" s="2">
        <v>45590</v>
      </c>
      <c r="I19" s="2">
        <v>45955</v>
      </c>
      <c r="J19" s="1" t="s">
        <v>24</v>
      </c>
      <c r="K19" s="3">
        <v>8189100</v>
      </c>
      <c r="L19" s="3">
        <v>122837</v>
      </c>
      <c r="M19" s="1" t="s">
        <v>25</v>
      </c>
      <c r="N19" s="1" t="s">
        <v>26</v>
      </c>
      <c r="O19" s="1" t="s">
        <v>27</v>
      </c>
      <c r="P19" s="1" t="s">
        <v>28</v>
      </c>
      <c r="Q19" s="14">
        <v>-78835</v>
      </c>
      <c r="R19" s="3">
        <v>44002</v>
      </c>
      <c r="S19" s="9"/>
    </row>
    <row r="20" spans="1:19" x14ac:dyDescent="0.25">
      <c r="A20" s="1" t="s">
        <v>137</v>
      </c>
      <c r="B20" s="1" t="s">
        <v>18</v>
      </c>
      <c r="C20" s="1" t="s">
        <v>138</v>
      </c>
      <c r="D20" s="1" t="s">
        <v>139</v>
      </c>
      <c r="E20" s="1" t="s">
        <v>140</v>
      </c>
      <c r="F20" s="1" t="s">
        <v>141</v>
      </c>
      <c r="G20" s="1" t="s">
        <v>142</v>
      </c>
      <c r="H20" s="2">
        <v>45590</v>
      </c>
      <c r="I20" s="2">
        <v>45955</v>
      </c>
      <c r="J20" s="1" t="s">
        <v>24</v>
      </c>
      <c r="K20" s="3">
        <v>3600000</v>
      </c>
      <c r="L20" s="3">
        <v>54000</v>
      </c>
      <c r="M20" s="1" t="s">
        <v>25</v>
      </c>
      <c r="N20" s="1" t="s">
        <v>26</v>
      </c>
      <c r="O20" s="1" t="s">
        <v>143</v>
      </c>
      <c r="P20" s="1"/>
      <c r="Q20" s="14">
        <v>0</v>
      </c>
      <c r="R20" s="3">
        <v>54000</v>
      </c>
    </row>
    <row r="21" spans="1:19" x14ac:dyDescent="0.25">
      <c r="A21" s="1" t="s">
        <v>144</v>
      </c>
      <c r="B21" s="1" t="s">
        <v>18</v>
      </c>
      <c r="C21" s="1" t="s">
        <v>145</v>
      </c>
      <c r="D21" s="1" t="s">
        <v>68</v>
      </c>
      <c r="E21" s="5" t="s">
        <v>146</v>
      </c>
      <c r="F21" s="5" t="s">
        <v>147</v>
      </c>
      <c r="G21" s="1" t="s">
        <v>148</v>
      </c>
      <c r="H21" s="2">
        <v>45590</v>
      </c>
      <c r="I21" s="2">
        <v>45955</v>
      </c>
      <c r="J21" s="1" t="s">
        <v>24</v>
      </c>
      <c r="K21" s="3">
        <v>2115000</v>
      </c>
      <c r="L21" s="3">
        <v>31725</v>
      </c>
      <c r="M21" s="1" t="s">
        <v>25</v>
      </c>
      <c r="N21" s="1" t="s">
        <v>26</v>
      </c>
      <c r="O21" s="1" t="s">
        <v>149</v>
      </c>
      <c r="P21" s="1"/>
      <c r="Q21" s="14">
        <v>0</v>
      </c>
      <c r="R21" s="3">
        <v>31725</v>
      </c>
    </row>
    <row r="22" spans="1:19" x14ac:dyDescent="0.25">
      <c r="A22" s="1" t="s">
        <v>150</v>
      </c>
      <c r="B22" s="1" t="s">
        <v>18</v>
      </c>
      <c r="C22" s="1" t="s">
        <v>151</v>
      </c>
      <c r="D22" s="1" t="s">
        <v>152</v>
      </c>
      <c r="E22" s="1" t="s">
        <v>153</v>
      </c>
      <c r="F22" s="1" t="s">
        <v>154</v>
      </c>
      <c r="G22" s="1" t="s">
        <v>23</v>
      </c>
      <c r="H22" s="2">
        <v>45606</v>
      </c>
      <c r="I22" s="2">
        <v>45971</v>
      </c>
      <c r="J22" s="1" t="s">
        <v>24</v>
      </c>
      <c r="K22" s="3">
        <v>3258045</v>
      </c>
      <c r="L22" s="3">
        <v>48871</v>
      </c>
      <c r="M22" s="1" t="s">
        <v>25</v>
      </c>
      <c r="N22" s="1" t="s">
        <v>26</v>
      </c>
      <c r="O22" s="1" t="s">
        <v>155</v>
      </c>
      <c r="P22" s="1"/>
      <c r="Q22" s="14">
        <v>0</v>
      </c>
      <c r="R22" s="3">
        <v>48871</v>
      </c>
    </row>
    <row r="23" spans="1:19" x14ac:dyDescent="0.25">
      <c r="A23" s="1" t="s">
        <v>156</v>
      </c>
      <c r="B23" s="1" t="s">
        <v>18</v>
      </c>
      <c r="C23" s="1" t="s">
        <v>157</v>
      </c>
      <c r="D23" s="1" t="s">
        <v>158</v>
      </c>
      <c r="E23" s="1" t="s">
        <v>159</v>
      </c>
      <c r="F23" s="1" t="s">
        <v>160</v>
      </c>
      <c r="G23" s="1" t="s">
        <v>161</v>
      </c>
      <c r="H23" s="2">
        <v>45611</v>
      </c>
      <c r="I23" s="2">
        <v>45976</v>
      </c>
      <c r="J23" s="1" t="s">
        <v>24</v>
      </c>
      <c r="K23" s="3">
        <v>2250000</v>
      </c>
      <c r="L23" s="3">
        <v>33750</v>
      </c>
      <c r="M23" s="1" t="s">
        <v>25</v>
      </c>
      <c r="N23" s="1" t="s">
        <v>26</v>
      </c>
      <c r="O23" s="1" t="s">
        <v>162</v>
      </c>
      <c r="P23" s="1"/>
      <c r="Q23" s="14">
        <v>0</v>
      </c>
      <c r="R23" s="3">
        <v>33750</v>
      </c>
    </row>
    <row r="24" spans="1:19" x14ac:dyDescent="0.25">
      <c r="A24" s="1" t="s">
        <v>163</v>
      </c>
      <c r="B24" s="1" t="s">
        <v>18</v>
      </c>
      <c r="C24" s="1" t="s">
        <v>164</v>
      </c>
      <c r="D24" s="1" t="s">
        <v>62</v>
      </c>
      <c r="E24" s="5" t="s">
        <v>165</v>
      </c>
      <c r="F24" s="5" t="s">
        <v>166</v>
      </c>
      <c r="G24" s="1" t="s">
        <v>23</v>
      </c>
      <c r="H24" s="2">
        <v>45590</v>
      </c>
      <c r="I24" s="2">
        <v>45955</v>
      </c>
      <c r="J24" s="1" t="s">
        <v>24</v>
      </c>
      <c r="K24" s="3">
        <v>2641500</v>
      </c>
      <c r="L24" s="3">
        <v>39623</v>
      </c>
      <c r="M24" s="1" t="s">
        <v>25</v>
      </c>
      <c r="N24" s="1" t="s">
        <v>26</v>
      </c>
      <c r="O24" s="1" t="s">
        <v>167</v>
      </c>
      <c r="P24" s="1"/>
      <c r="Q24" s="14">
        <v>0</v>
      </c>
      <c r="R24" s="3">
        <v>39623</v>
      </c>
    </row>
    <row r="25" spans="1:19" x14ac:dyDescent="0.25">
      <c r="A25" s="1" t="s">
        <v>168</v>
      </c>
      <c r="B25" s="1" t="s">
        <v>18</v>
      </c>
      <c r="C25" s="1" t="s">
        <v>169</v>
      </c>
      <c r="D25" s="1" t="s">
        <v>170</v>
      </c>
      <c r="E25" s="1" t="s">
        <v>171</v>
      </c>
      <c r="F25" s="1" t="s">
        <v>172</v>
      </c>
      <c r="G25" s="1" t="s">
        <v>173</v>
      </c>
      <c r="H25" s="2">
        <v>45601</v>
      </c>
      <c r="I25" s="2">
        <v>45966</v>
      </c>
      <c r="J25" s="1" t="s">
        <v>24</v>
      </c>
      <c r="K25" s="3">
        <v>1000703</v>
      </c>
      <c r="L25" s="3">
        <v>33023</v>
      </c>
      <c r="M25" s="1" t="s">
        <v>174</v>
      </c>
      <c r="N25" s="1" t="s">
        <v>26</v>
      </c>
      <c r="O25" s="1" t="s">
        <v>175</v>
      </c>
      <c r="P25" s="1"/>
      <c r="Q25" s="14">
        <v>0</v>
      </c>
      <c r="R25" s="3">
        <v>33023</v>
      </c>
    </row>
    <row r="26" spans="1:19" x14ac:dyDescent="0.25">
      <c r="A26" s="1" t="s">
        <v>176</v>
      </c>
      <c r="B26" s="1" t="s">
        <v>18</v>
      </c>
      <c r="C26" s="1" t="s">
        <v>177</v>
      </c>
      <c r="D26" s="1" t="s">
        <v>178</v>
      </c>
      <c r="E26" s="1" t="s">
        <v>179</v>
      </c>
      <c r="F26" s="1" t="s">
        <v>180</v>
      </c>
      <c r="G26" s="1" t="s">
        <v>181</v>
      </c>
      <c r="H26" s="2">
        <v>45575</v>
      </c>
      <c r="I26" s="2">
        <v>45940</v>
      </c>
      <c r="J26" s="1" t="s">
        <v>24</v>
      </c>
      <c r="K26" s="3">
        <v>1048448</v>
      </c>
      <c r="L26" s="3">
        <v>20969</v>
      </c>
      <c r="M26" s="1" t="s">
        <v>182</v>
      </c>
      <c r="N26" s="1" t="s">
        <v>26</v>
      </c>
      <c r="O26" s="1" t="s">
        <v>183</v>
      </c>
      <c r="P26" s="1"/>
      <c r="Q26" s="14">
        <v>0</v>
      </c>
      <c r="R26" s="3">
        <v>20969</v>
      </c>
    </row>
    <row r="27" spans="1:19" x14ac:dyDescent="0.25">
      <c r="A27" s="1" t="s">
        <v>184</v>
      </c>
      <c r="B27" s="1" t="s">
        <v>18</v>
      </c>
      <c r="C27" s="1" t="s">
        <v>185</v>
      </c>
      <c r="D27" s="1" t="s">
        <v>186</v>
      </c>
      <c r="E27" s="1" t="s">
        <v>187</v>
      </c>
      <c r="F27" s="1" t="s">
        <v>188</v>
      </c>
      <c r="G27" s="1" t="s">
        <v>189</v>
      </c>
      <c r="H27" s="2">
        <v>45580</v>
      </c>
      <c r="I27" s="2">
        <v>45945</v>
      </c>
      <c r="J27" s="1" t="s">
        <v>24</v>
      </c>
      <c r="K27" s="3">
        <v>917228</v>
      </c>
      <c r="L27" s="3">
        <v>18345</v>
      </c>
      <c r="M27" s="1" t="s">
        <v>182</v>
      </c>
      <c r="N27" s="1" t="s">
        <v>26</v>
      </c>
      <c r="O27" s="1" t="s">
        <v>190</v>
      </c>
      <c r="P27" s="1"/>
      <c r="Q27" s="14">
        <v>0</v>
      </c>
      <c r="R27" s="3">
        <v>18345</v>
      </c>
    </row>
    <row r="28" spans="1:19" x14ac:dyDescent="0.25">
      <c r="A28" s="1" t="s">
        <v>191</v>
      </c>
      <c r="B28" s="1" t="s">
        <v>18</v>
      </c>
      <c r="C28" s="1" t="s">
        <v>192</v>
      </c>
      <c r="D28" s="1" t="s">
        <v>186</v>
      </c>
      <c r="E28" s="5" t="s">
        <v>193</v>
      </c>
      <c r="F28" s="5" t="s">
        <v>194</v>
      </c>
      <c r="G28" s="1" t="s">
        <v>195</v>
      </c>
      <c r="H28" s="2">
        <v>45575</v>
      </c>
      <c r="I28" s="2">
        <v>45940</v>
      </c>
      <c r="J28" s="1" t="s">
        <v>24</v>
      </c>
      <c r="K28" s="3">
        <v>917228</v>
      </c>
      <c r="L28" s="3">
        <v>18345</v>
      </c>
      <c r="M28" s="1" t="s">
        <v>182</v>
      </c>
      <c r="N28" s="1" t="s">
        <v>26</v>
      </c>
      <c r="O28" s="1" t="s">
        <v>196</v>
      </c>
      <c r="P28" s="1"/>
      <c r="Q28" s="14">
        <v>0</v>
      </c>
      <c r="R28" s="3">
        <v>18345</v>
      </c>
    </row>
    <row r="29" spans="1:19" x14ac:dyDescent="0.25">
      <c r="A29" s="1" t="s">
        <v>197</v>
      </c>
      <c r="B29" s="1" t="s">
        <v>18</v>
      </c>
      <c r="C29" s="1" t="s">
        <v>198</v>
      </c>
      <c r="D29" s="1" t="s">
        <v>89</v>
      </c>
      <c r="E29" s="5" t="s">
        <v>199</v>
      </c>
      <c r="F29" s="5" t="s">
        <v>200</v>
      </c>
      <c r="G29" s="1" t="s">
        <v>201</v>
      </c>
      <c r="H29" s="2">
        <v>45601</v>
      </c>
      <c r="I29" s="2">
        <v>45966</v>
      </c>
      <c r="J29" s="1" t="s">
        <v>24</v>
      </c>
      <c r="K29" s="3">
        <v>1527660</v>
      </c>
      <c r="L29" s="3">
        <v>22915</v>
      </c>
      <c r="M29" s="1" t="s">
        <v>25</v>
      </c>
      <c r="N29" s="1" t="s">
        <v>26</v>
      </c>
      <c r="O29" s="1" t="s">
        <v>202</v>
      </c>
      <c r="P29" s="1"/>
      <c r="Q29" s="14">
        <v>0</v>
      </c>
      <c r="R29" s="3">
        <v>22915</v>
      </c>
    </row>
    <row r="30" spans="1:19" x14ac:dyDescent="0.25">
      <c r="A30" s="1" t="s">
        <v>203</v>
      </c>
      <c r="B30" s="1" t="s">
        <v>18</v>
      </c>
      <c r="C30" s="1" t="s">
        <v>204</v>
      </c>
      <c r="D30" s="1" t="s">
        <v>205</v>
      </c>
      <c r="E30" s="5" t="s">
        <v>206</v>
      </c>
      <c r="F30" s="5" t="s">
        <v>207</v>
      </c>
      <c r="G30" s="1" t="s">
        <v>195</v>
      </c>
      <c r="H30" s="2">
        <v>45575</v>
      </c>
      <c r="I30" s="2">
        <v>45940</v>
      </c>
      <c r="J30" s="1" t="s">
        <v>24</v>
      </c>
      <c r="K30" s="3">
        <v>1359439</v>
      </c>
      <c r="L30" s="3">
        <v>27189</v>
      </c>
      <c r="M30" s="1" t="s">
        <v>182</v>
      </c>
      <c r="N30" s="1" t="s">
        <v>26</v>
      </c>
      <c r="O30" s="1" t="s">
        <v>208</v>
      </c>
      <c r="P30" s="1"/>
      <c r="Q30" s="14">
        <v>0</v>
      </c>
      <c r="R30" s="3">
        <v>27189</v>
      </c>
    </row>
    <row r="31" spans="1:19" x14ac:dyDescent="0.25">
      <c r="A31" s="1" t="s">
        <v>209</v>
      </c>
      <c r="B31" s="1" t="s">
        <v>18</v>
      </c>
      <c r="C31" s="1" t="s">
        <v>210</v>
      </c>
      <c r="D31" s="1" t="s">
        <v>211</v>
      </c>
      <c r="E31" s="1" t="s">
        <v>212</v>
      </c>
      <c r="F31" s="1" t="s">
        <v>213</v>
      </c>
      <c r="G31" s="1" t="s">
        <v>214</v>
      </c>
      <c r="H31" s="2">
        <v>45601</v>
      </c>
      <c r="I31" s="2">
        <v>45966</v>
      </c>
      <c r="J31" s="1" t="s">
        <v>24</v>
      </c>
      <c r="K31" s="3">
        <v>1206495</v>
      </c>
      <c r="L31" s="3">
        <v>18097</v>
      </c>
      <c r="M31" s="1" t="s">
        <v>25</v>
      </c>
      <c r="N31" s="1" t="s">
        <v>26</v>
      </c>
      <c r="O31" s="1" t="s">
        <v>215</v>
      </c>
      <c r="P31" s="1"/>
      <c r="Q31" s="14">
        <v>0</v>
      </c>
      <c r="R31" s="3">
        <v>18097</v>
      </c>
    </row>
    <row r="32" spans="1:19" x14ac:dyDescent="0.25">
      <c r="A32" s="1" t="s">
        <v>216</v>
      </c>
      <c r="B32" s="1" t="s">
        <v>217</v>
      </c>
      <c r="C32" s="1" t="s">
        <v>218</v>
      </c>
      <c r="D32" s="1" t="s">
        <v>219</v>
      </c>
      <c r="E32" s="5" t="s">
        <v>220</v>
      </c>
      <c r="F32" s="1" t="s">
        <v>221</v>
      </c>
      <c r="G32" s="1" t="s">
        <v>222</v>
      </c>
      <c r="H32" s="2">
        <v>45580</v>
      </c>
      <c r="I32" s="2">
        <v>45945</v>
      </c>
      <c r="J32" s="1" t="s">
        <v>24</v>
      </c>
      <c r="K32" s="3">
        <v>4464000</v>
      </c>
      <c r="L32" s="3">
        <v>66960</v>
      </c>
      <c r="M32" s="1" t="s">
        <v>25</v>
      </c>
      <c r="N32" s="1" t="s">
        <v>26</v>
      </c>
      <c r="O32" s="1" t="s">
        <v>223</v>
      </c>
      <c r="P32" s="1"/>
      <c r="Q32" s="14">
        <v>0</v>
      </c>
      <c r="R32" s="3">
        <v>66960</v>
      </c>
    </row>
    <row r="33" spans="1:18" x14ac:dyDescent="0.25">
      <c r="A33" s="1" t="s">
        <v>224</v>
      </c>
      <c r="B33" s="1" t="s">
        <v>217</v>
      </c>
      <c r="C33" s="1" t="s">
        <v>225</v>
      </c>
      <c r="D33" s="1" t="s">
        <v>226</v>
      </c>
      <c r="E33" s="1" t="s">
        <v>227</v>
      </c>
      <c r="F33" s="1" t="s">
        <v>228</v>
      </c>
      <c r="G33" s="1" t="s">
        <v>229</v>
      </c>
      <c r="H33" s="2">
        <v>45585</v>
      </c>
      <c r="I33" s="2">
        <v>45950</v>
      </c>
      <c r="J33" s="1" t="s">
        <v>24</v>
      </c>
      <c r="K33" s="3">
        <v>3265920</v>
      </c>
      <c r="L33" s="3">
        <v>48989</v>
      </c>
      <c r="M33" s="1" t="s">
        <v>25</v>
      </c>
      <c r="N33" s="1" t="s">
        <v>26</v>
      </c>
      <c r="O33" s="1" t="s">
        <v>230</v>
      </c>
      <c r="P33" s="1"/>
      <c r="Q33" s="14">
        <v>0</v>
      </c>
      <c r="R33" s="3">
        <v>48989</v>
      </c>
    </row>
    <row r="34" spans="1:18" x14ac:dyDescent="0.25">
      <c r="A34" s="1" t="s">
        <v>231</v>
      </c>
      <c r="B34" s="1" t="s">
        <v>217</v>
      </c>
      <c r="C34" s="1" t="s">
        <v>232</v>
      </c>
      <c r="D34" s="1" t="s">
        <v>233</v>
      </c>
      <c r="E34" s="1" t="s">
        <v>234</v>
      </c>
      <c r="F34" s="1" t="s">
        <v>235</v>
      </c>
      <c r="G34" s="1" t="s">
        <v>236</v>
      </c>
      <c r="H34" s="2">
        <v>45590</v>
      </c>
      <c r="I34" s="2">
        <v>45955</v>
      </c>
      <c r="J34" s="1" t="s">
        <v>24</v>
      </c>
      <c r="K34" s="3">
        <v>2933132</v>
      </c>
      <c r="L34" s="3">
        <v>43997</v>
      </c>
      <c r="M34" s="1" t="s">
        <v>25</v>
      </c>
      <c r="N34" s="1" t="s">
        <v>26</v>
      </c>
      <c r="O34" s="1" t="s">
        <v>237</v>
      </c>
      <c r="P34" s="1"/>
      <c r="Q34" s="14">
        <v>0</v>
      </c>
      <c r="R34" s="3">
        <v>43997</v>
      </c>
    </row>
    <row r="35" spans="1:18" x14ac:dyDescent="0.25">
      <c r="A35" s="1" t="s">
        <v>238</v>
      </c>
      <c r="B35" s="1" t="s">
        <v>217</v>
      </c>
      <c r="C35" s="1" t="s">
        <v>239</v>
      </c>
      <c r="D35" s="1" t="s">
        <v>233</v>
      </c>
      <c r="E35" s="1" t="s">
        <v>240</v>
      </c>
      <c r="F35" s="1" t="s">
        <v>241</v>
      </c>
      <c r="G35" s="1" t="s">
        <v>242</v>
      </c>
      <c r="H35" s="2">
        <v>45585</v>
      </c>
      <c r="I35" s="2">
        <v>45950</v>
      </c>
      <c r="J35" s="1" t="s">
        <v>24</v>
      </c>
      <c r="K35" s="3">
        <v>2932038</v>
      </c>
      <c r="L35" s="3">
        <v>43981</v>
      </c>
      <c r="M35" s="1" t="s">
        <v>243</v>
      </c>
      <c r="N35" s="1" t="s">
        <v>26</v>
      </c>
      <c r="O35" s="1" t="s">
        <v>244</v>
      </c>
      <c r="P35" s="1"/>
      <c r="Q35" s="14">
        <v>0</v>
      </c>
      <c r="R35" s="3">
        <v>43981</v>
      </c>
    </row>
    <row r="36" spans="1:18" x14ac:dyDescent="0.25">
      <c r="A36" s="1" t="s">
        <v>245</v>
      </c>
      <c r="B36" s="1" t="s">
        <v>246</v>
      </c>
      <c r="C36" s="1" t="s">
        <v>247</v>
      </c>
      <c r="D36" s="1" t="s">
        <v>248</v>
      </c>
      <c r="E36" s="1" t="s">
        <v>249</v>
      </c>
      <c r="F36" s="1" t="s">
        <v>250</v>
      </c>
      <c r="G36" s="1" t="s">
        <v>251</v>
      </c>
      <c r="H36" s="2">
        <v>45606</v>
      </c>
      <c r="I36" s="2">
        <v>45971</v>
      </c>
      <c r="J36" s="1" t="s">
        <v>24</v>
      </c>
      <c r="K36" s="3">
        <v>1679400</v>
      </c>
      <c r="L36" s="3">
        <v>25191</v>
      </c>
      <c r="M36" s="1" t="s">
        <v>25</v>
      </c>
      <c r="N36" s="1" t="s">
        <v>26</v>
      </c>
      <c r="O36" s="1" t="s">
        <v>252</v>
      </c>
      <c r="P36" s="1"/>
      <c r="Q36" s="14">
        <v>0</v>
      </c>
      <c r="R36" s="3">
        <v>25191</v>
      </c>
    </row>
    <row r="37" spans="1:18" x14ac:dyDescent="0.25">
      <c r="A37" s="1" t="s">
        <v>253</v>
      </c>
      <c r="B37" s="1" t="s">
        <v>254</v>
      </c>
      <c r="C37" s="1" t="s">
        <v>255</v>
      </c>
      <c r="D37" s="1" t="s">
        <v>256</v>
      </c>
      <c r="E37" s="1" t="s">
        <v>257</v>
      </c>
      <c r="F37" s="1" t="s">
        <v>258</v>
      </c>
      <c r="G37" s="1" t="s">
        <v>259</v>
      </c>
      <c r="H37" s="2">
        <v>45590</v>
      </c>
      <c r="I37" s="2">
        <v>45955</v>
      </c>
      <c r="J37" s="1" t="s">
        <v>24</v>
      </c>
      <c r="K37" s="3">
        <v>1961010</v>
      </c>
      <c r="L37" s="3">
        <v>29415</v>
      </c>
      <c r="M37" s="1" t="s">
        <v>25</v>
      </c>
      <c r="N37" s="1" t="s">
        <v>26</v>
      </c>
      <c r="O37" s="1" t="s">
        <v>260</v>
      </c>
      <c r="P37" s="1"/>
      <c r="Q37" s="14">
        <v>0</v>
      </c>
      <c r="R37" s="3">
        <v>29415</v>
      </c>
    </row>
    <row r="38" spans="1:18" x14ac:dyDescent="0.25">
      <c r="A38" s="1" t="s">
        <v>261</v>
      </c>
      <c r="B38" s="1" t="s">
        <v>254</v>
      </c>
      <c r="C38" s="1" t="s">
        <v>262</v>
      </c>
      <c r="D38" s="1" t="s">
        <v>263</v>
      </c>
      <c r="E38" s="1" t="s">
        <v>264</v>
      </c>
      <c r="F38" s="1" t="s">
        <v>265</v>
      </c>
      <c r="G38" s="1" t="s">
        <v>266</v>
      </c>
      <c r="H38" s="2">
        <v>45601</v>
      </c>
      <c r="I38" s="2">
        <v>45966</v>
      </c>
      <c r="J38" s="1" t="s">
        <v>24</v>
      </c>
      <c r="K38" s="3">
        <v>2592000</v>
      </c>
      <c r="L38" s="3">
        <v>38880</v>
      </c>
      <c r="M38" s="1" t="s">
        <v>25</v>
      </c>
      <c r="N38" s="1" t="s">
        <v>26</v>
      </c>
      <c r="O38" s="1" t="s">
        <v>267</v>
      </c>
      <c r="P38" s="1"/>
      <c r="Q38" s="14">
        <v>0</v>
      </c>
      <c r="R38" s="3">
        <v>38880</v>
      </c>
    </row>
    <row r="39" spans="1:18" x14ac:dyDescent="0.25">
      <c r="A39" s="1" t="s">
        <v>268</v>
      </c>
      <c r="B39" s="1" t="s">
        <v>254</v>
      </c>
      <c r="C39" s="1" t="s">
        <v>269</v>
      </c>
      <c r="D39" s="1" t="s">
        <v>68</v>
      </c>
      <c r="E39" s="1" t="s">
        <v>270</v>
      </c>
      <c r="F39" s="1" t="s">
        <v>271</v>
      </c>
      <c r="G39" s="1" t="s">
        <v>272</v>
      </c>
      <c r="H39" s="2">
        <v>45601</v>
      </c>
      <c r="I39" s="2">
        <v>45966</v>
      </c>
      <c r="J39" s="1" t="s">
        <v>24</v>
      </c>
      <c r="K39" s="3">
        <v>1356750</v>
      </c>
      <c r="L39" s="3">
        <v>20351</v>
      </c>
      <c r="M39" s="1" t="s">
        <v>25</v>
      </c>
      <c r="N39" s="1" t="s">
        <v>26</v>
      </c>
      <c r="O39" s="1" t="s">
        <v>273</v>
      </c>
      <c r="P39" s="1"/>
      <c r="Q39" s="14">
        <v>0</v>
      </c>
      <c r="R39" s="3">
        <v>20351</v>
      </c>
    </row>
    <row r="40" spans="1:18" x14ac:dyDescent="0.25">
      <c r="A40" s="1" t="s">
        <v>274</v>
      </c>
      <c r="B40" s="1" t="s">
        <v>254</v>
      </c>
      <c r="C40" s="1" t="s">
        <v>275</v>
      </c>
      <c r="D40" s="1" t="s">
        <v>276</v>
      </c>
      <c r="E40" s="1" t="s">
        <v>277</v>
      </c>
      <c r="F40" s="1" t="s">
        <v>278</v>
      </c>
      <c r="G40" s="1" t="s">
        <v>279</v>
      </c>
      <c r="H40" s="2">
        <v>45590</v>
      </c>
      <c r="I40" s="2">
        <v>45955</v>
      </c>
      <c r="J40" s="1" t="s">
        <v>24</v>
      </c>
      <c r="K40" s="3">
        <v>2076840</v>
      </c>
      <c r="L40" s="3">
        <v>31153</v>
      </c>
      <c r="M40" s="1" t="s">
        <v>25</v>
      </c>
      <c r="N40" s="1" t="s">
        <v>26</v>
      </c>
      <c r="O40" s="1" t="s">
        <v>280</v>
      </c>
      <c r="P40" s="1"/>
      <c r="Q40" s="14">
        <v>0</v>
      </c>
      <c r="R40" s="3">
        <v>31153</v>
      </c>
    </row>
    <row r="41" spans="1:18" x14ac:dyDescent="0.25">
      <c r="A41" s="1" t="s">
        <v>281</v>
      </c>
      <c r="B41" s="1" t="s">
        <v>254</v>
      </c>
      <c r="C41" s="1" t="s">
        <v>282</v>
      </c>
      <c r="D41" s="1" t="s">
        <v>283</v>
      </c>
      <c r="E41" s="1" t="s">
        <v>284</v>
      </c>
      <c r="F41" s="1" t="s">
        <v>285</v>
      </c>
      <c r="G41" s="1" t="s">
        <v>286</v>
      </c>
      <c r="H41" s="2">
        <v>45590</v>
      </c>
      <c r="I41" s="2">
        <v>45955</v>
      </c>
      <c r="J41" s="1" t="s">
        <v>24</v>
      </c>
      <c r="K41" s="3">
        <v>1057860</v>
      </c>
      <c r="L41" s="3">
        <v>15868</v>
      </c>
      <c r="M41" s="1" t="s">
        <v>25</v>
      </c>
      <c r="N41" s="1" t="s">
        <v>26</v>
      </c>
      <c r="O41" s="1" t="s">
        <v>287</v>
      </c>
      <c r="P41" s="1"/>
      <c r="Q41" s="14">
        <v>0</v>
      </c>
      <c r="R41" s="3">
        <v>15868</v>
      </c>
    </row>
    <row r="42" spans="1:18" x14ac:dyDescent="0.25">
      <c r="A42" s="1" t="s">
        <v>288</v>
      </c>
      <c r="B42" s="1" t="s">
        <v>254</v>
      </c>
      <c r="C42" s="1" t="s">
        <v>289</v>
      </c>
      <c r="D42" s="1" t="s">
        <v>256</v>
      </c>
      <c r="E42" s="1" t="s">
        <v>290</v>
      </c>
      <c r="F42" s="1" t="s">
        <v>291</v>
      </c>
      <c r="G42" s="1" t="s">
        <v>292</v>
      </c>
      <c r="H42" s="2">
        <v>45590</v>
      </c>
      <c r="I42" s="2">
        <v>45955</v>
      </c>
      <c r="J42" s="1" t="s">
        <v>24</v>
      </c>
      <c r="K42" s="3">
        <v>1961010</v>
      </c>
      <c r="L42" s="3">
        <v>29415</v>
      </c>
      <c r="M42" s="1" t="s">
        <v>25</v>
      </c>
      <c r="N42" s="1" t="s">
        <v>26</v>
      </c>
      <c r="O42" s="1" t="s">
        <v>293</v>
      </c>
      <c r="P42" s="1"/>
      <c r="Q42" s="14">
        <v>0</v>
      </c>
      <c r="R42" s="3">
        <v>29415</v>
      </c>
    </row>
    <row r="43" spans="1:18" x14ac:dyDescent="0.25">
      <c r="A43" s="1" t="s">
        <v>294</v>
      </c>
      <c r="B43" s="1" t="s">
        <v>254</v>
      </c>
      <c r="C43" s="1" t="s">
        <v>295</v>
      </c>
      <c r="D43" s="1" t="s">
        <v>296</v>
      </c>
      <c r="E43" s="1" t="s">
        <v>297</v>
      </c>
      <c r="F43" s="1" t="s">
        <v>298</v>
      </c>
      <c r="G43" s="1" t="s">
        <v>299</v>
      </c>
      <c r="H43" s="2">
        <v>45580</v>
      </c>
      <c r="I43" s="2">
        <v>45945</v>
      </c>
      <c r="J43" s="1" t="s">
        <v>24</v>
      </c>
      <c r="K43" s="3">
        <v>2575800</v>
      </c>
      <c r="L43" s="3">
        <v>38637</v>
      </c>
      <c r="M43" s="1" t="s">
        <v>25</v>
      </c>
      <c r="N43" s="1" t="s">
        <v>26</v>
      </c>
      <c r="O43" s="1" t="s">
        <v>300</v>
      </c>
      <c r="P43" s="1"/>
      <c r="Q43" s="14">
        <v>0</v>
      </c>
      <c r="R43" s="3">
        <v>38637</v>
      </c>
    </row>
    <row r="44" spans="1:18" x14ac:dyDescent="0.25">
      <c r="A44" s="1" t="s">
        <v>301</v>
      </c>
      <c r="B44" s="1" t="s">
        <v>254</v>
      </c>
      <c r="C44" s="1" t="s">
        <v>302</v>
      </c>
      <c r="D44" s="1" t="s">
        <v>303</v>
      </c>
      <c r="E44" s="5" t="s">
        <v>304</v>
      </c>
      <c r="F44" s="5" t="s">
        <v>305</v>
      </c>
      <c r="G44" s="1" t="s">
        <v>306</v>
      </c>
      <c r="H44" s="2">
        <v>45601</v>
      </c>
      <c r="I44" s="2">
        <v>45966</v>
      </c>
      <c r="J44" s="1" t="s">
        <v>24</v>
      </c>
      <c r="K44" s="3">
        <v>2080890</v>
      </c>
      <c r="L44" s="3">
        <v>31213</v>
      </c>
      <c r="M44" s="1" t="s">
        <v>25</v>
      </c>
      <c r="N44" s="1" t="s">
        <v>26</v>
      </c>
      <c r="O44" s="1" t="s">
        <v>307</v>
      </c>
      <c r="P44" s="1"/>
      <c r="Q44" s="14">
        <v>0</v>
      </c>
      <c r="R44" s="3">
        <v>31213</v>
      </c>
    </row>
    <row r="45" spans="1:18" x14ac:dyDescent="0.25">
      <c r="A45" s="1" t="s">
        <v>308</v>
      </c>
      <c r="B45" s="1" t="s">
        <v>254</v>
      </c>
      <c r="C45" s="1" t="s">
        <v>309</v>
      </c>
      <c r="D45" s="1" t="s">
        <v>89</v>
      </c>
      <c r="E45" s="1" t="s">
        <v>310</v>
      </c>
      <c r="F45" s="1" t="s">
        <v>311</v>
      </c>
      <c r="G45" s="1" t="s">
        <v>312</v>
      </c>
      <c r="H45" s="2">
        <v>45590</v>
      </c>
      <c r="I45" s="2">
        <v>45955</v>
      </c>
      <c r="J45" s="1" t="s">
        <v>24</v>
      </c>
      <c r="K45" s="3">
        <v>2295000</v>
      </c>
      <c r="L45" s="3">
        <v>34425</v>
      </c>
      <c r="M45" s="1" t="s">
        <v>25</v>
      </c>
      <c r="N45" s="1" t="s">
        <v>26</v>
      </c>
      <c r="O45" s="1" t="s">
        <v>313</v>
      </c>
      <c r="P45" s="1"/>
      <c r="Q45" s="14">
        <v>0</v>
      </c>
      <c r="R45" s="3">
        <v>34425</v>
      </c>
    </row>
    <row r="46" spans="1:18" x14ac:dyDescent="0.25">
      <c r="A46" s="1" t="s">
        <v>314</v>
      </c>
      <c r="B46" s="1" t="s">
        <v>254</v>
      </c>
      <c r="C46" s="1" t="s">
        <v>315</v>
      </c>
      <c r="D46" s="1" t="s">
        <v>68</v>
      </c>
      <c r="E46" s="1" t="s">
        <v>316</v>
      </c>
      <c r="F46" s="1" t="s">
        <v>317</v>
      </c>
      <c r="G46" s="1" t="s">
        <v>318</v>
      </c>
      <c r="H46" s="2">
        <v>45611</v>
      </c>
      <c r="I46" s="2">
        <v>45976</v>
      </c>
      <c r="J46" s="1" t="s">
        <v>24</v>
      </c>
      <c r="K46" s="3">
        <v>2350800</v>
      </c>
      <c r="L46" s="3">
        <v>35262</v>
      </c>
      <c r="M46" s="1" t="s">
        <v>25</v>
      </c>
      <c r="N46" s="1" t="s">
        <v>26</v>
      </c>
      <c r="O46" s="1" t="s">
        <v>319</v>
      </c>
      <c r="P46" s="1"/>
      <c r="Q46" s="14">
        <v>0</v>
      </c>
      <c r="R46" s="3">
        <v>35262</v>
      </c>
    </row>
    <row r="47" spans="1:18" x14ac:dyDescent="0.25">
      <c r="A47" s="1" t="s">
        <v>320</v>
      </c>
      <c r="B47" s="1" t="s">
        <v>254</v>
      </c>
      <c r="C47" s="1" t="s">
        <v>321</v>
      </c>
      <c r="D47" s="1" t="s">
        <v>89</v>
      </c>
      <c r="E47" s="1" t="s">
        <v>322</v>
      </c>
      <c r="F47" s="1" t="s">
        <v>323</v>
      </c>
      <c r="G47" s="1" t="s">
        <v>324</v>
      </c>
      <c r="H47" s="2">
        <v>45585</v>
      </c>
      <c r="I47" s="2">
        <v>45950</v>
      </c>
      <c r="J47" s="1" t="s">
        <v>24</v>
      </c>
      <c r="K47" s="3">
        <v>2641500</v>
      </c>
      <c r="L47" s="3">
        <v>39623</v>
      </c>
      <c r="M47" s="1" t="s">
        <v>25</v>
      </c>
      <c r="N47" s="1" t="s">
        <v>26</v>
      </c>
      <c r="O47" s="1" t="s">
        <v>325</v>
      </c>
      <c r="P47" s="1"/>
      <c r="Q47" s="14">
        <v>0</v>
      </c>
      <c r="R47" s="3">
        <v>39623</v>
      </c>
    </row>
    <row r="48" spans="1:18" x14ac:dyDescent="0.25">
      <c r="A48" s="1" t="s">
        <v>326</v>
      </c>
      <c r="B48" s="1" t="s">
        <v>254</v>
      </c>
      <c r="C48" s="1" t="s">
        <v>327</v>
      </c>
      <c r="D48" s="1" t="s">
        <v>276</v>
      </c>
      <c r="E48" s="1" t="s">
        <v>328</v>
      </c>
      <c r="F48" s="1" t="s">
        <v>329</v>
      </c>
      <c r="G48" s="1" t="s">
        <v>330</v>
      </c>
      <c r="H48" s="2">
        <v>45590</v>
      </c>
      <c r="I48" s="2">
        <v>45955</v>
      </c>
      <c r="J48" s="1" t="s">
        <v>24</v>
      </c>
      <c r="K48" s="3">
        <v>3070800</v>
      </c>
      <c r="L48" s="3">
        <v>46062</v>
      </c>
      <c r="M48" s="1" t="s">
        <v>25</v>
      </c>
      <c r="N48" s="1" t="s">
        <v>26</v>
      </c>
      <c r="O48" s="1" t="s">
        <v>331</v>
      </c>
      <c r="P48" s="1"/>
      <c r="Q48" s="14">
        <v>0</v>
      </c>
      <c r="R48" s="3">
        <v>46062</v>
      </c>
    </row>
    <row r="49" spans="1:19" x14ac:dyDescent="0.25">
      <c r="A49" s="1" t="s">
        <v>332</v>
      </c>
      <c r="B49" s="1" t="s">
        <v>254</v>
      </c>
      <c r="C49" s="1" t="s">
        <v>333</v>
      </c>
      <c r="D49" s="1" t="s">
        <v>139</v>
      </c>
      <c r="E49" s="1" t="s">
        <v>334</v>
      </c>
      <c r="F49" s="1" t="s">
        <v>335</v>
      </c>
      <c r="G49" s="1" t="s">
        <v>336</v>
      </c>
      <c r="H49" s="2">
        <v>45590</v>
      </c>
      <c r="I49" s="2">
        <v>45955</v>
      </c>
      <c r="J49" s="1" t="s">
        <v>24</v>
      </c>
      <c r="K49" s="3">
        <v>5421150</v>
      </c>
      <c r="L49" s="3">
        <v>81317</v>
      </c>
      <c r="M49" s="1" t="s">
        <v>25</v>
      </c>
      <c r="N49" s="1" t="s">
        <v>26</v>
      </c>
      <c r="O49" s="1" t="s">
        <v>337</v>
      </c>
      <c r="P49" s="1"/>
      <c r="Q49" s="14">
        <v>0</v>
      </c>
      <c r="R49" s="3">
        <v>81317</v>
      </c>
    </row>
    <row r="50" spans="1:19" x14ac:dyDescent="0.25">
      <c r="A50" s="1" t="s">
        <v>338</v>
      </c>
      <c r="B50" s="1" t="s">
        <v>254</v>
      </c>
      <c r="C50" s="1" t="s">
        <v>339</v>
      </c>
      <c r="D50" s="1" t="s">
        <v>82</v>
      </c>
      <c r="E50" s="1" t="s">
        <v>340</v>
      </c>
      <c r="F50" s="1" t="s">
        <v>341</v>
      </c>
      <c r="G50" s="1" t="s">
        <v>342</v>
      </c>
      <c r="H50" s="2">
        <v>45585</v>
      </c>
      <c r="I50" s="2">
        <v>45950</v>
      </c>
      <c r="J50" s="1" t="s">
        <v>24</v>
      </c>
      <c r="K50" s="3">
        <v>1980000</v>
      </c>
      <c r="L50" s="3">
        <v>29700</v>
      </c>
      <c r="M50" s="1" t="s">
        <v>25</v>
      </c>
      <c r="N50" s="1" t="s">
        <v>26</v>
      </c>
      <c r="O50" s="1" t="s">
        <v>343</v>
      </c>
      <c r="P50" s="1"/>
      <c r="Q50" s="14">
        <v>0</v>
      </c>
      <c r="R50" s="3">
        <v>29700</v>
      </c>
    </row>
    <row r="51" spans="1:19" s="1" customFormat="1" x14ac:dyDescent="0.25">
      <c r="A51" s="1" t="s">
        <v>344</v>
      </c>
      <c r="B51" s="1" t="s">
        <v>254</v>
      </c>
      <c r="C51" s="1" t="s">
        <v>345</v>
      </c>
      <c r="D51" s="1" t="s">
        <v>186</v>
      </c>
      <c r="E51" s="1" t="s">
        <v>346</v>
      </c>
      <c r="F51" s="1" t="s">
        <v>347</v>
      </c>
      <c r="G51" s="1" t="s">
        <v>348</v>
      </c>
      <c r="H51" s="2">
        <v>45585</v>
      </c>
      <c r="I51" s="2">
        <v>45950</v>
      </c>
      <c r="J51" s="1" t="s">
        <v>24</v>
      </c>
      <c r="K51" s="3">
        <v>731027</v>
      </c>
      <c r="L51" s="3">
        <v>14621</v>
      </c>
      <c r="M51" s="1" t="s">
        <v>182</v>
      </c>
      <c r="N51" s="1" t="s">
        <v>26</v>
      </c>
      <c r="O51" s="1" t="s">
        <v>349</v>
      </c>
      <c r="Q51" s="14">
        <v>0</v>
      </c>
      <c r="R51" s="3">
        <v>14621</v>
      </c>
      <c r="S51" s="9"/>
    </row>
    <row r="52" spans="1:19" x14ac:dyDescent="0.25">
      <c r="A52" s="1" t="s">
        <v>350</v>
      </c>
      <c r="B52" s="1" t="s">
        <v>254</v>
      </c>
      <c r="C52" s="1" t="s">
        <v>351</v>
      </c>
      <c r="D52" s="1" t="s">
        <v>352</v>
      </c>
      <c r="E52" s="1" t="s">
        <v>353</v>
      </c>
      <c r="F52" s="1" t="s">
        <v>354</v>
      </c>
      <c r="G52" s="1" t="s">
        <v>355</v>
      </c>
      <c r="H52" s="2">
        <v>45590</v>
      </c>
      <c r="I52" s="2">
        <v>45955</v>
      </c>
      <c r="J52" s="1" t="s">
        <v>24</v>
      </c>
      <c r="K52" s="3">
        <v>2903243</v>
      </c>
      <c r="L52" s="3">
        <v>58065</v>
      </c>
      <c r="M52" s="1" t="s">
        <v>182</v>
      </c>
      <c r="N52" s="1" t="s">
        <v>26</v>
      </c>
      <c r="O52" s="1" t="s">
        <v>356</v>
      </c>
      <c r="P52" s="1"/>
      <c r="Q52" s="14">
        <v>0</v>
      </c>
      <c r="R52" s="3">
        <v>58065</v>
      </c>
    </row>
    <row r="53" spans="1:19" x14ac:dyDescent="0.25">
      <c r="A53" s="1" t="s">
        <v>357</v>
      </c>
      <c r="B53" s="1" t="s">
        <v>254</v>
      </c>
      <c r="C53" s="1" t="s">
        <v>358</v>
      </c>
      <c r="D53" s="1" t="s">
        <v>359</v>
      </c>
      <c r="E53" s="1" t="s">
        <v>360</v>
      </c>
      <c r="F53" s="1" t="s">
        <v>361</v>
      </c>
      <c r="G53" s="1" t="s">
        <v>362</v>
      </c>
      <c r="H53" s="2">
        <v>45580</v>
      </c>
      <c r="I53" s="2">
        <v>45945</v>
      </c>
      <c r="J53" s="1" t="s">
        <v>24</v>
      </c>
      <c r="K53" s="3">
        <v>1053041</v>
      </c>
      <c r="L53" s="3">
        <v>21061</v>
      </c>
      <c r="M53" s="1" t="s">
        <v>182</v>
      </c>
      <c r="N53" s="1" t="s">
        <v>26</v>
      </c>
      <c r="O53" s="1" t="s">
        <v>363</v>
      </c>
      <c r="P53" s="1"/>
      <c r="Q53" s="14">
        <v>0</v>
      </c>
      <c r="R53" s="3">
        <v>21061</v>
      </c>
    </row>
    <row r="54" spans="1:19" x14ac:dyDescent="0.25">
      <c r="A54" s="1" t="s">
        <v>364</v>
      </c>
      <c r="B54" s="1" t="s">
        <v>254</v>
      </c>
      <c r="C54" s="1" t="s">
        <v>365</v>
      </c>
      <c r="D54" s="1" t="s">
        <v>359</v>
      </c>
      <c r="E54" s="1" t="s">
        <v>366</v>
      </c>
      <c r="F54" s="1" t="s">
        <v>367</v>
      </c>
      <c r="G54" s="1" t="s">
        <v>368</v>
      </c>
      <c r="H54" s="2">
        <v>45606</v>
      </c>
      <c r="I54" s="2">
        <v>45971</v>
      </c>
      <c r="J54" s="1" t="s">
        <v>24</v>
      </c>
      <c r="K54" s="3">
        <v>1053041</v>
      </c>
      <c r="L54" s="3">
        <v>21061</v>
      </c>
      <c r="M54" s="1" t="s">
        <v>182</v>
      </c>
      <c r="N54" s="1" t="s">
        <v>26</v>
      </c>
      <c r="O54" s="1" t="s">
        <v>369</v>
      </c>
      <c r="P54" s="1"/>
      <c r="Q54" s="14">
        <v>0</v>
      </c>
      <c r="R54" s="3">
        <v>21061</v>
      </c>
    </row>
    <row r="55" spans="1:19" x14ac:dyDescent="0.25">
      <c r="A55" s="1" t="s">
        <v>370</v>
      </c>
      <c r="B55" s="1" t="s">
        <v>254</v>
      </c>
      <c r="C55" s="1" t="s">
        <v>371</v>
      </c>
      <c r="D55" s="1" t="s">
        <v>352</v>
      </c>
      <c r="E55" s="1" t="s">
        <v>372</v>
      </c>
      <c r="F55" s="1" t="s">
        <v>373</v>
      </c>
      <c r="G55" s="1" t="s">
        <v>374</v>
      </c>
      <c r="H55" s="2">
        <v>45585</v>
      </c>
      <c r="I55" s="2">
        <v>45950</v>
      </c>
      <c r="J55" s="1" t="s">
        <v>24</v>
      </c>
      <c r="K55" s="3">
        <v>3231949</v>
      </c>
      <c r="L55" s="3">
        <v>64639</v>
      </c>
      <c r="M55" s="1" t="s">
        <v>182</v>
      </c>
      <c r="N55" s="1" t="s">
        <v>26</v>
      </c>
      <c r="O55" s="1" t="s">
        <v>375</v>
      </c>
      <c r="P55" s="1"/>
      <c r="Q55" s="14">
        <v>0</v>
      </c>
      <c r="R55" s="3">
        <v>64639</v>
      </c>
    </row>
    <row r="56" spans="1:19" x14ac:dyDescent="0.25">
      <c r="A56" s="1" t="s">
        <v>376</v>
      </c>
      <c r="B56" s="1" t="s">
        <v>254</v>
      </c>
      <c r="C56" s="1" t="s">
        <v>377</v>
      </c>
      <c r="D56" s="1" t="s">
        <v>378</v>
      </c>
      <c r="E56" s="1" t="s">
        <v>379</v>
      </c>
      <c r="F56" s="1" t="s">
        <v>380</v>
      </c>
      <c r="G56" s="1" t="s">
        <v>381</v>
      </c>
      <c r="H56" s="2">
        <v>45597</v>
      </c>
      <c r="I56" s="2">
        <v>45962</v>
      </c>
      <c r="J56" s="1" t="s">
        <v>24</v>
      </c>
      <c r="K56" s="3">
        <v>2050313</v>
      </c>
      <c r="L56" s="3">
        <v>30755</v>
      </c>
      <c r="M56" s="1" t="s">
        <v>243</v>
      </c>
      <c r="N56" s="1" t="s">
        <v>26</v>
      </c>
      <c r="O56" s="1" t="s">
        <v>382</v>
      </c>
      <c r="P56" s="1"/>
      <c r="Q56" s="14">
        <v>0</v>
      </c>
      <c r="R56" s="3">
        <v>30755</v>
      </c>
    </row>
    <row r="57" spans="1:19" x14ac:dyDescent="0.25">
      <c r="A57" s="1" t="s">
        <v>383</v>
      </c>
      <c r="B57" s="1" t="s">
        <v>254</v>
      </c>
      <c r="C57" s="1" t="s">
        <v>384</v>
      </c>
      <c r="D57" s="1" t="s">
        <v>385</v>
      </c>
      <c r="E57" s="1" t="s">
        <v>386</v>
      </c>
      <c r="F57" s="1" t="s">
        <v>387</v>
      </c>
      <c r="G57" s="1" t="s">
        <v>388</v>
      </c>
      <c r="H57" s="2">
        <v>45585</v>
      </c>
      <c r="I57" s="2">
        <v>45950</v>
      </c>
      <c r="J57" s="1" t="s">
        <v>24</v>
      </c>
      <c r="K57" s="3">
        <v>1173690</v>
      </c>
      <c r="L57" s="3">
        <v>17605</v>
      </c>
      <c r="M57" s="1" t="s">
        <v>243</v>
      </c>
      <c r="N57" s="1" t="s">
        <v>26</v>
      </c>
      <c r="O57" s="1" t="s">
        <v>389</v>
      </c>
      <c r="P57" s="1"/>
      <c r="Q57" s="14">
        <v>0</v>
      </c>
      <c r="R57" s="3">
        <v>17605</v>
      </c>
    </row>
    <row r="58" spans="1:19" s="1" customFormat="1" x14ac:dyDescent="0.25">
      <c r="A58" s="1" t="s">
        <v>390</v>
      </c>
      <c r="B58" s="1" t="s">
        <v>254</v>
      </c>
      <c r="C58" s="1" t="s">
        <v>391</v>
      </c>
      <c r="D58" s="1" t="s">
        <v>392</v>
      </c>
      <c r="E58" s="1" t="s">
        <v>393</v>
      </c>
      <c r="F58" s="1" t="s">
        <v>394</v>
      </c>
      <c r="G58" s="1" t="s">
        <v>395</v>
      </c>
      <c r="H58" s="2">
        <v>45597</v>
      </c>
      <c r="I58" s="2">
        <v>45962</v>
      </c>
      <c r="J58" s="1" t="s">
        <v>24</v>
      </c>
      <c r="K58" s="3">
        <v>2389662</v>
      </c>
      <c r="L58" s="3">
        <v>35845</v>
      </c>
      <c r="M58" s="1" t="s">
        <v>243</v>
      </c>
      <c r="N58" s="1" t="s">
        <v>26</v>
      </c>
      <c r="O58" s="1" t="s">
        <v>396</v>
      </c>
      <c r="P58" s="1" t="s">
        <v>397</v>
      </c>
      <c r="Q58" s="14">
        <v>11948</v>
      </c>
      <c r="R58" s="3">
        <v>47793</v>
      </c>
      <c r="S58" s="9"/>
    </row>
    <row r="59" spans="1:19" x14ac:dyDescent="0.25">
      <c r="A59" s="1" t="s">
        <v>398</v>
      </c>
      <c r="B59" s="1" t="s">
        <v>254</v>
      </c>
      <c r="C59" s="1" t="s">
        <v>399</v>
      </c>
      <c r="D59" s="1" t="s">
        <v>400</v>
      </c>
      <c r="E59" s="5" t="s">
        <v>401</v>
      </c>
      <c r="F59" s="1" t="s">
        <v>402</v>
      </c>
      <c r="G59" s="1" t="s">
        <v>403</v>
      </c>
      <c r="H59" s="2">
        <v>45606</v>
      </c>
      <c r="I59" s="2">
        <v>45971</v>
      </c>
      <c r="J59" s="1" t="s">
        <v>24</v>
      </c>
      <c r="K59" s="3">
        <v>1121931</v>
      </c>
      <c r="L59" s="3">
        <v>16829</v>
      </c>
      <c r="M59" s="1" t="s">
        <v>243</v>
      </c>
      <c r="N59" s="1" t="s">
        <v>26</v>
      </c>
      <c r="O59" s="1" t="s">
        <v>404</v>
      </c>
      <c r="P59" s="1"/>
      <c r="Q59" s="14">
        <v>0</v>
      </c>
      <c r="R59" s="3">
        <v>16829</v>
      </c>
    </row>
    <row r="60" spans="1:19" x14ac:dyDescent="0.25">
      <c r="A60" s="1" t="s">
        <v>405</v>
      </c>
      <c r="B60" s="1" t="s">
        <v>254</v>
      </c>
      <c r="C60" s="1" t="s">
        <v>406</v>
      </c>
      <c r="D60" s="1" t="s">
        <v>407</v>
      </c>
      <c r="E60" s="1" t="s">
        <v>408</v>
      </c>
      <c r="F60" s="1" t="s">
        <v>409</v>
      </c>
      <c r="G60" s="1" t="s">
        <v>410</v>
      </c>
      <c r="H60" s="2">
        <v>45606</v>
      </c>
      <c r="I60" s="2">
        <v>45971</v>
      </c>
      <c r="J60" s="1" t="s">
        <v>24</v>
      </c>
      <c r="K60" s="3">
        <v>1899045</v>
      </c>
      <c r="L60" s="3">
        <v>28486</v>
      </c>
      <c r="M60" s="1" t="s">
        <v>243</v>
      </c>
      <c r="N60" s="1" t="s">
        <v>26</v>
      </c>
      <c r="O60" s="1" t="s">
        <v>411</v>
      </c>
      <c r="P60" s="1"/>
      <c r="Q60" s="14">
        <v>0</v>
      </c>
      <c r="R60" s="3">
        <v>28486</v>
      </c>
    </row>
    <row r="61" spans="1:19" x14ac:dyDescent="0.25">
      <c r="A61" s="1" t="s">
        <v>412</v>
      </c>
      <c r="B61" s="1" t="s">
        <v>254</v>
      </c>
      <c r="C61" s="1" t="s">
        <v>413</v>
      </c>
      <c r="D61" s="1" t="s">
        <v>385</v>
      </c>
      <c r="E61" s="1" t="s">
        <v>414</v>
      </c>
      <c r="F61" s="1" t="s">
        <v>415</v>
      </c>
      <c r="G61" s="1" t="s">
        <v>416</v>
      </c>
      <c r="H61" s="2">
        <v>45597</v>
      </c>
      <c r="I61" s="2">
        <v>45962</v>
      </c>
      <c r="J61" s="1" t="s">
        <v>24</v>
      </c>
      <c r="K61" s="3">
        <v>1173690</v>
      </c>
      <c r="L61" s="3">
        <v>17605</v>
      </c>
      <c r="M61" s="1" t="s">
        <v>243</v>
      </c>
      <c r="N61" s="1" t="s">
        <v>26</v>
      </c>
      <c r="O61" s="1" t="s">
        <v>417</v>
      </c>
      <c r="P61" s="1"/>
      <c r="Q61" s="14">
        <v>0</v>
      </c>
      <c r="R61" s="3">
        <v>17605</v>
      </c>
    </row>
    <row r="62" spans="1:19" x14ac:dyDescent="0.25">
      <c r="A62" s="1" t="s">
        <v>418</v>
      </c>
      <c r="B62" s="1" t="s">
        <v>254</v>
      </c>
      <c r="C62" s="1" t="s">
        <v>419</v>
      </c>
      <c r="D62" s="1" t="s">
        <v>420</v>
      </c>
      <c r="E62" s="1" t="s">
        <v>421</v>
      </c>
      <c r="F62" s="1" t="s">
        <v>422</v>
      </c>
      <c r="G62" s="1" t="s">
        <v>423</v>
      </c>
      <c r="H62" s="2">
        <v>45606</v>
      </c>
      <c r="I62" s="2">
        <v>45971</v>
      </c>
      <c r="J62" s="1" t="s">
        <v>24</v>
      </c>
      <c r="K62" s="3">
        <v>1315845</v>
      </c>
      <c r="L62" s="3">
        <v>19738</v>
      </c>
      <c r="M62" s="1" t="s">
        <v>243</v>
      </c>
      <c r="N62" s="1" t="s">
        <v>26</v>
      </c>
      <c r="O62" s="1" t="s">
        <v>424</v>
      </c>
      <c r="P62" s="1"/>
      <c r="Q62" s="14">
        <v>0</v>
      </c>
      <c r="R62" s="3">
        <v>19738</v>
      </c>
    </row>
    <row r="63" spans="1:19" x14ac:dyDescent="0.25">
      <c r="A63" s="1" t="s">
        <v>425</v>
      </c>
      <c r="B63" s="1" t="s">
        <v>426</v>
      </c>
      <c r="C63" s="1" t="s">
        <v>427</v>
      </c>
      <c r="D63" s="1" t="s">
        <v>276</v>
      </c>
      <c r="E63" s="1" t="s">
        <v>428</v>
      </c>
      <c r="F63" s="1" t="s">
        <v>429</v>
      </c>
      <c r="G63" s="1" t="s">
        <v>430</v>
      </c>
      <c r="H63" s="2">
        <v>45606</v>
      </c>
      <c r="I63" s="2">
        <v>45971</v>
      </c>
      <c r="J63" s="1" t="s">
        <v>24</v>
      </c>
      <c r="K63" s="3">
        <v>1173690</v>
      </c>
      <c r="L63" s="3">
        <v>17605</v>
      </c>
      <c r="M63" s="1" t="s">
        <v>25</v>
      </c>
      <c r="N63" s="1" t="s">
        <v>26</v>
      </c>
      <c r="O63" s="1" t="s">
        <v>431</v>
      </c>
      <c r="P63" s="1"/>
      <c r="Q63" s="14">
        <v>0</v>
      </c>
      <c r="R63" s="3">
        <v>17605</v>
      </c>
    </row>
    <row r="64" spans="1:19" x14ac:dyDescent="0.25">
      <c r="A64" s="1" t="s">
        <v>432</v>
      </c>
      <c r="B64" s="1" t="s">
        <v>426</v>
      </c>
      <c r="C64" s="1" t="s">
        <v>433</v>
      </c>
      <c r="D64" s="1" t="s">
        <v>82</v>
      </c>
      <c r="E64" s="1" t="s">
        <v>434</v>
      </c>
      <c r="F64" s="1" t="s">
        <v>435</v>
      </c>
      <c r="G64" s="1" t="s">
        <v>436</v>
      </c>
      <c r="H64" s="2">
        <v>45601</v>
      </c>
      <c r="I64" s="2">
        <v>45966</v>
      </c>
      <c r="J64" s="1" t="s">
        <v>24</v>
      </c>
      <c r="K64" s="3">
        <v>2230740</v>
      </c>
      <c r="L64" s="3">
        <v>33461</v>
      </c>
      <c r="M64" s="1" t="s">
        <v>25</v>
      </c>
      <c r="N64" s="1" t="s">
        <v>26</v>
      </c>
      <c r="O64" s="1" t="s">
        <v>437</v>
      </c>
      <c r="P64" s="1"/>
      <c r="Q64" s="14">
        <v>0</v>
      </c>
      <c r="R64" s="3">
        <v>33461</v>
      </c>
    </row>
    <row r="65" spans="1:19" x14ac:dyDescent="0.25">
      <c r="A65" s="1" t="s">
        <v>438</v>
      </c>
      <c r="B65" s="1" t="s">
        <v>426</v>
      </c>
      <c r="C65" s="1" t="s">
        <v>439</v>
      </c>
      <c r="D65" s="1" t="s">
        <v>89</v>
      </c>
      <c r="E65" s="1" t="s">
        <v>440</v>
      </c>
      <c r="F65" s="1" t="s">
        <v>441</v>
      </c>
      <c r="G65" s="1" t="s">
        <v>442</v>
      </c>
      <c r="H65" s="2">
        <v>45606</v>
      </c>
      <c r="I65" s="2">
        <v>45971</v>
      </c>
      <c r="J65" s="1" t="s">
        <v>24</v>
      </c>
      <c r="K65" s="3">
        <v>1527660</v>
      </c>
      <c r="L65" s="3">
        <v>22915</v>
      </c>
      <c r="M65" s="1" t="s">
        <v>25</v>
      </c>
      <c r="N65" s="1" t="s">
        <v>26</v>
      </c>
      <c r="O65" s="1" t="s">
        <v>443</v>
      </c>
      <c r="P65" s="1"/>
      <c r="Q65" s="14">
        <v>0</v>
      </c>
      <c r="R65" s="3">
        <v>22915</v>
      </c>
    </row>
    <row r="66" spans="1:19" x14ac:dyDescent="0.25">
      <c r="A66" s="1" t="s">
        <v>444</v>
      </c>
      <c r="B66" s="1" t="s">
        <v>426</v>
      </c>
      <c r="C66" s="1" t="s">
        <v>445</v>
      </c>
      <c r="D66" s="1" t="s">
        <v>283</v>
      </c>
      <c r="E66" s="1" t="s">
        <v>446</v>
      </c>
      <c r="F66" s="1" t="s">
        <v>447</v>
      </c>
      <c r="G66" s="1" t="s">
        <v>448</v>
      </c>
      <c r="H66" s="2">
        <v>45590</v>
      </c>
      <c r="I66" s="2">
        <v>45955</v>
      </c>
      <c r="J66" s="1" t="s">
        <v>24</v>
      </c>
      <c r="K66" s="3">
        <v>1194750</v>
      </c>
      <c r="L66" s="3">
        <v>17921</v>
      </c>
      <c r="M66" s="1" t="s">
        <v>25</v>
      </c>
      <c r="N66" s="1" t="s">
        <v>26</v>
      </c>
      <c r="O66" s="1" t="s">
        <v>449</v>
      </c>
      <c r="P66" s="1"/>
      <c r="Q66" s="14">
        <v>0</v>
      </c>
      <c r="R66" s="3">
        <v>17921</v>
      </c>
    </row>
    <row r="67" spans="1:19" x14ac:dyDescent="0.25">
      <c r="A67" s="1" t="s">
        <v>450</v>
      </c>
      <c r="B67" s="1" t="s">
        <v>426</v>
      </c>
      <c r="C67" s="1" t="s">
        <v>451</v>
      </c>
      <c r="D67" s="1" t="s">
        <v>452</v>
      </c>
      <c r="E67" s="1" t="s">
        <v>453</v>
      </c>
      <c r="F67" s="1" t="s">
        <v>454</v>
      </c>
      <c r="G67" s="1" t="s">
        <v>455</v>
      </c>
      <c r="H67" s="2">
        <v>45601</v>
      </c>
      <c r="I67" s="2">
        <v>45966</v>
      </c>
      <c r="J67" s="1" t="s">
        <v>24</v>
      </c>
      <c r="K67" s="3">
        <v>2188750</v>
      </c>
      <c r="L67" s="3">
        <v>43775</v>
      </c>
      <c r="M67" s="1" t="s">
        <v>182</v>
      </c>
      <c r="N67" s="1" t="s">
        <v>26</v>
      </c>
      <c r="O67" s="1" t="s">
        <v>456</v>
      </c>
      <c r="P67" s="1"/>
      <c r="Q67" s="14">
        <v>0</v>
      </c>
      <c r="R67" s="3">
        <v>43775</v>
      </c>
    </row>
    <row r="68" spans="1:19" x14ac:dyDescent="0.25">
      <c r="A68" s="1" t="s">
        <v>457</v>
      </c>
      <c r="B68" s="1" t="s">
        <v>426</v>
      </c>
      <c r="C68" s="1" t="s">
        <v>458</v>
      </c>
      <c r="D68" s="1" t="s">
        <v>459</v>
      </c>
      <c r="E68" s="1" t="s">
        <v>460</v>
      </c>
      <c r="F68" s="1" t="s">
        <v>461</v>
      </c>
      <c r="G68" s="1" t="s">
        <v>462</v>
      </c>
      <c r="H68" s="2">
        <v>45590</v>
      </c>
      <c r="I68" s="2">
        <v>45955</v>
      </c>
      <c r="J68" s="1" t="s">
        <v>24</v>
      </c>
      <c r="K68" s="3">
        <v>744017</v>
      </c>
      <c r="L68" s="3">
        <v>14880</v>
      </c>
      <c r="M68" s="1" t="s">
        <v>182</v>
      </c>
      <c r="N68" s="1" t="s">
        <v>26</v>
      </c>
      <c r="O68" s="1" t="s">
        <v>463</v>
      </c>
      <c r="P68" s="1"/>
      <c r="Q68" s="14">
        <v>0</v>
      </c>
      <c r="R68" s="3">
        <v>14880</v>
      </c>
    </row>
    <row r="69" spans="1:19" x14ac:dyDescent="0.25">
      <c r="A69" s="1" t="s">
        <v>464</v>
      </c>
      <c r="B69" s="1" t="s">
        <v>426</v>
      </c>
      <c r="C69" s="1" t="s">
        <v>465</v>
      </c>
      <c r="D69" s="1" t="s">
        <v>466</v>
      </c>
      <c r="E69" s="1" t="s">
        <v>467</v>
      </c>
      <c r="F69" s="1" t="s">
        <v>468</v>
      </c>
      <c r="G69" s="1" t="s">
        <v>469</v>
      </c>
      <c r="H69" s="2">
        <v>45580</v>
      </c>
      <c r="I69" s="2">
        <v>45945</v>
      </c>
      <c r="J69" s="1" t="s">
        <v>24</v>
      </c>
      <c r="K69" s="3">
        <v>1112090</v>
      </c>
      <c r="L69" s="3">
        <v>22242</v>
      </c>
      <c r="M69" s="1" t="s">
        <v>182</v>
      </c>
      <c r="N69" s="1" t="s">
        <v>26</v>
      </c>
      <c r="O69" s="1" t="s">
        <v>470</v>
      </c>
      <c r="P69" s="1"/>
      <c r="Q69" s="14">
        <v>0</v>
      </c>
      <c r="R69" s="3">
        <v>22242</v>
      </c>
    </row>
    <row r="70" spans="1:19" x14ac:dyDescent="0.25">
      <c r="A70" s="1" t="s">
        <v>471</v>
      </c>
      <c r="B70" s="1" t="s">
        <v>426</v>
      </c>
      <c r="C70" s="1" t="s">
        <v>472</v>
      </c>
      <c r="D70" s="1" t="s">
        <v>473</v>
      </c>
      <c r="E70" s="1" t="s">
        <v>474</v>
      </c>
      <c r="F70" s="1" t="s">
        <v>475</v>
      </c>
      <c r="G70" s="1" t="s">
        <v>476</v>
      </c>
      <c r="H70" s="2">
        <v>45580</v>
      </c>
      <c r="I70" s="2">
        <v>45945</v>
      </c>
      <c r="J70" s="1" t="s">
        <v>24</v>
      </c>
      <c r="K70" s="3">
        <v>1048448</v>
      </c>
      <c r="L70" s="3">
        <v>20969</v>
      </c>
      <c r="M70" s="1" t="s">
        <v>182</v>
      </c>
      <c r="N70" s="1" t="s">
        <v>26</v>
      </c>
      <c r="O70" s="1" t="s">
        <v>477</v>
      </c>
      <c r="P70" s="1"/>
      <c r="Q70" s="14">
        <v>0</v>
      </c>
      <c r="R70" s="3">
        <v>20969</v>
      </c>
    </row>
    <row r="71" spans="1:19" x14ac:dyDescent="0.25">
      <c r="A71" s="1" t="s">
        <v>478</v>
      </c>
      <c r="B71" s="1" t="s">
        <v>426</v>
      </c>
      <c r="C71" s="1" t="s">
        <v>479</v>
      </c>
      <c r="D71" s="1" t="s">
        <v>452</v>
      </c>
      <c r="E71" s="1" t="s">
        <v>480</v>
      </c>
      <c r="F71" s="1" t="s">
        <v>481</v>
      </c>
      <c r="G71" s="1" t="s">
        <v>482</v>
      </c>
      <c r="H71" s="2">
        <v>45606</v>
      </c>
      <c r="I71" s="2">
        <v>45971</v>
      </c>
      <c r="J71" s="1" t="s">
        <v>24</v>
      </c>
      <c r="K71" s="3">
        <v>2188750</v>
      </c>
      <c r="L71" s="3">
        <v>43775</v>
      </c>
      <c r="M71" s="1" t="s">
        <v>182</v>
      </c>
      <c r="N71" s="1" t="s">
        <v>26</v>
      </c>
      <c r="O71" s="1" t="s">
        <v>483</v>
      </c>
      <c r="P71" s="1"/>
      <c r="Q71" s="14">
        <v>0</v>
      </c>
      <c r="R71" s="3">
        <v>43775</v>
      </c>
    </row>
    <row r="72" spans="1:19" x14ac:dyDescent="0.25">
      <c r="A72" s="1" t="s">
        <v>484</v>
      </c>
      <c r="B72" s="1" t="s">
        <v>426</v>
      </c>
      <c r="C72" s="1" t="s">
        <v>485</v>
      </c>
      <c r="D72" s="1" t="s">
        <v>486</v>
      </c>
      <c r="E72" s="1" t="s">
        <v>487</v>
      </c>
      <c r="F72" s="1" t="s">
        <v>488</v>
      </c>
      <c r="G72" s="1" t="s">
        <v>489</v>
      </c>
      <c r="H72" s="2">
        <v>45601</v>
      </c>
      <c r="I72" s="2">
        <v>45966</v>
      </c>
      <c r="J72" s="1" t="s">
        <v>24</v>
      </c>
      <c r="K72" s="3">
        <v>2575849</v>
      </c>
      <c r="L72" s="3">
        <v>51517</v>
      </c>
      <c r="M72" s="1" t="s">
        <v>182</v>
      </c>
      <c r="N72" s="1" t="s">
        <v>26</v>
      </c>
      <c r="O72" s="1" t="s">
        <v>490</v>
      </c>
      <c r="P72" s="1"/>
      <c r="Q72" s="14">
        <v>0</v>
      </c>
      <c r="R72" s="3">
        <v>51517</v>
      </c>
    </row>
    <row r="73" spans="1:19" x14ac:dyDescent="0.25">
      <c r="A73" s="1" t="s">
        <v>491</v>
      </c>
      <c r="B73" s="1" t="s">
        <v>426</v>
      </c>
      <c r="C73" s="1" t="s">
        <v>492</v>
      </c>
      <c r="D73" s="1" t="s">
        <v>493</v>
      </c>
      <c r="E73" s="1" t="s">
        <v>494</v>
      </c>
      <c r="F73" s="1" t="s">
        <v>495</v>
      </c>
      <c r="G73" s="1" t="s">
        <v>496</v>
      </c>
      <c r="H73" s="2">
        <v>45575</v>
      </c>
      <c r="I73" s="2">
        <v>45940</v>
      </c>
      <c r="J73" s="1" t="s">
        <v>24</v>
      </c>
      <c r="K73" s="3">
        <v>1315845</v>
      </c>
      <c r="L73" s="3">
        <v>19738</v>
      </c>
      <c r="M73" s="1" t="s">
        <v>25</v>
      </c>
      <c r="N73" s="1" t="s">
        <v>26</v>
      </c>
      <c r="O73" s="1" t="s">
        <v>497</v>
      </c>
      <c r="P73" s="1"/>
      <c r="Q73" s="14">
        <v>0</v>
      </c>
      <c r="R73" s="3">
        <v>19738</v>
      </c>
    </row>
    <row r="74" spans="1:19" x14ac:dyDescent="0.25">
      <c r="A74" s="1" t="s">
        <v>498</v>
      </c>
      <c r="B74" s="1" t="s">
        <v>426</v>
      </c>
      <c r="C74" s="1" t="s">
        <v>499</v>
      </c>
      <c r="D74" s="1" t="s">
        <v>493</v>
      </c>
      <c r="E74" s="1" t="s">
        <v>500</v>
      </c>
      <c r="F74" s="1" t="s">
        <v>501</v>
      </c>
      <c r="G74" s="1" t="s">
        <v>502</v>
      </c>
      <c r="H74" s="2">
        <v>45575</v>
      </c>
      <c r="I74" s="2">
        <v>45940</v>
      </c>
      <c r="J74" s="1" t="s">
        <v>24</v>
      </c>
      <c r="K74" s="3">
        <v>1206495</v>
      </c>
      <c r="L74" s="3">
        <v>18097</v>
      </c>
      <c r="M74" s="1" t="s">
        <v>25</v>
      </c>
      <c r="N74" s="1" t="s">
        <v>26</v>
      </c>
      <c r="O74" s="1" t="s">
        <v>503</v>
      </c>
      <c r="P74" s="1"/>
      <c r="Q74" s="14">
        <v>0</v>
      </c>
      <c r="R74" s="3">
        <v>18097</v>
      </c>
    </row>
    <row r="75" spans="1:19" x14ac:dyDescent="0.25">
      <c r="A75" s="1" t="s">
        <v>504</v>
      </c>
      <c r="B75" s="1" t="s">
        <v>426</v>
      </c>
      <c r="C75" s="1" t="s">
        <v>505</v>
      </c>
      <c r="D75" s="1" t="s">
        <v>506</v>
      </c>
      <c r="E75" s="1" t="s">
        <v>507</v>
      </c>
      <c r="F75" s="1" t="s">
        <v>508</v>
      </c>
      <c r="G75" s="1" t="s">
        <v>509</v>
      </c>
      <c r="H75" s="2">
        <v>45575</v>
      </c>
      <c r="I75" s="2">
        <v>45940</v>
      </c>
      <c r="J75" s="1" t="s">
        <v>24</v>
      </c>
      <c r="K75" s="3">
        <v>1884465</v>
      </c>
      <c r="L75" s="3">
        <v>28267</v>
      </c>
      <c r="M75" s="1" t="s">
        <v>25</v>
      </c>
      <c r="N75" s="1" t="s">
        <v>26</v>
      </c>
      <c r="O75" s="1" t="s">
        <v>510</v>
      </c>
      <c r="P75" s="1"/>
      <c r="Q75" s="14">
        <v>0</v>
      </c>
      <c r="R75" s="3">
        <v>28267</v>
      </c>
    </row>
    <row r="76" spans="1:19" x14ac:dyDescent="0.25">
      <c r="A76" s="1" t="s">
        <v>511</v>
      </c>
      <c r="B76" s="1" t="s">
        <v>426</v>
      </c>
      <c r="C76" s="1" t="s">
        <v>512</v>
      </c>
      <c r="D76" s="1" t="s">
        <v>513</v>
      </c>
      <c r="E76" s="1" t="s">
        <v>514</v>
      </c>
      <c r="F76" s="1" t="s">
        <v>515</v>
      </c>
      <c r="G76" s="1" t="s">
        <v>516</v>
      </c>
      <c r="H76" s="2">
        <v>45575</v>
      </c>
      <c r="I76" s="2">
        <v>45940</v>
      </c>
      <c r="J76" s="1" t="s">
        <v>24</v>
      </c>
      <c r="K76" s="3">
        <v>2930216</v>
      </c>
      <c r="L76" s="3">
        <v>43953</v>
      </c>
      <c r="M76" s="1" t="s">
        <v>25</v>
      </c>
      <c r="N76" s="1" t="s">
        <v>26</v>
      </c>
      <c r="O76" s="1" t="s">
        <v>517</v>
      </c>
      <c r="P76" s="1"/>
      <c r="Q76" s="14">
        <v>0</v>
      </c>
      <c r="R76" s="3">
        <v>43953</v>
      </c>
    </row>
    <row r="77" spans="1:19" s="1" customFormat="1" x14ac:dyDescent="0.25">
      <c r="A77" s="1" t="s">
        <v>518</v>
      </c>
      <c r="B77" s="1" t="s">
        <v>426</v>
      </c>
      <c r="C77" s="1" t="s">
        <v>519</v>
      </c>
      <c r="D77" s="1" t="s">
        <v>520</v>
      </c>
      <c r="E77" s="1" t="s">
        <v>521</v>
      </c>
      <c r="F77" s="1" t="s">
        <v>522</v>
      </c>
      <c r="G77" s="1" t="s">
        <v>523</v>
      </c>
      <c r="H77" s="2">
        <v>45606</v>
      </c>
      <c r="I77" s="2">
        <v>45971</v>
      </c>
      <c r="J77" s="1" t="s">
        <v>24</v>
      </c>
      <c r="K77" s="3">
        <v>2134512</v>
      </c>
      <c r="L77" s="3">
        <v>32018</v>
      </c>
      <c r="M77" s="1" t="s">
        <v>25</v>
      </c>
      <c r="N77" s="1" t="s">
        <v>26</v>
      </c>
      <c r="O77" s="1" t="s">
        <v>524</v>
      </c>
      <c r="P77" s="1" t="s">
        <v>525</v>
      </c>
      <c r="Q77" s="14">
        <v>1067</v>
      </c>
      <c r="R77" s="3">
        <v>33085</v>
      </c>
      <c r="S77" s="9"/>
    </row>
    <row r="78" spans="1:19" x14ac:dyDescent="0.25">
      <c r="A78" s="1" t="s">
        <v>526</v>
      </c>
      <c r="B78" s="1" t="s">
        <v>426</v>
      </c>
      <c r="C78" s="1" t="s">
        <v>527</v>
      </c>
      <c r="D78" s="1" t="s">
        <v>186</v>
      </c>
      <c r="E78" s="1" t="s">
        <v>528</v>
      </c>
      <c r="F78" s="1" t="s">
        <v>529</v>
      </c>
      <c r="G78" s="1" t="s">
        <v>530</v>
      </c>
      <c r="H78" s="2">
        <v>45597</v>
      </c>
      <c r="I78" s="2">
        <v>45962</v>
      </c>
      <c r="J78" s="1" t="s">
        <v>24</v>
      </c>
      <c r="K78" s="3">
        <v>973215</v>
      </c>
      <c r="L78" s="3">
        <v>14598</v>
      </c>
      <c r="M78" s="1" t="s">
        <v>25</v>
      </c>
      <c r="N78" s="1" t="s">
        <v>26</v>
      </c>
      <c r="O78" s="1" t="s">
        <v>531</v>
      </c>
      <c r="P78" s="1"/>
      <c r="Q78" s="14">
        <v>0</v>
      </c>
      <c r="R78" s="3">
        <v>14598</v>
      </c>
    </row>
    <row r="79" spans="1:19" x14ac:dyDescent="0.25">
      <c r="A79" s="1" t="s">
        <v>532</v>
      </c>
      <c r="B79" s="1" t="s">
        <v>426</v>
      </c>
      <c r="C79" s="1" t="s">
        <v>533</v>
      </c>
      <c r="D79" s="1" t="s">
        <v>520</v>
      </c>
      <c r="E79" s="1" t="s">
        <v>534</v>
      </c>
      <c r="F79" s="1" t="s">
        <v>535</v>
      </c>
      <c r="G79" s="1" t="s">
        <v>536</v>
      </c>
      <c r="H79" s="2">
        <v>45601</v>
      </c>
      <c r="I79" s="2">
        <v>45966</v>
      </c>
      <c r="J79" s="1" t="s">
        <v>24</v>
      </c>
      <c r="K79" s="3">
        <v>2134512</v>
      </c>
      <c r="L79" s="3">
        <v>32018</v>
      </c>
      <c r="M79" s="1" t="s">
        <v>25</v>
      </c>
      <c r="N79" s="1" t="s">
        <v>26</v>
      </c>
      <c r="O79" s="1" t="s">
        <v>537</v>
      </c>
      <c r="P79" s="1"/>
      <c r="Q79" s="14">
        <v>0</v>
      </c>
      <c r="R79" s="3">
        <v>32018</v>
      </c>
    </row>
    <row r="80" spans="1:19" x14ac:dyDescent="0.25">
      <c r="A80" s="1" t="s">
        <v>538</v>
      </c>
      <c r="B80" s="1" t="s">
        <v>426</v>
      </c>
      <c r="C80" s="1" t="s">
        <v>539</v>
      </c>
      <c r="D80" s="1" t="s">
        <v>473</v>
      </c>
      <c r="E80" s="1" t="s">
        <v>540</v>
      </c>
      <c r="F80" s="1" t="s">
        <v>541</v>
      </c>
      <c r="G80" s="1" t="s">
        <v>542</v>
      </c>
      <c r="H80" s="2">
        <v>45575</v>
      </c>
      <c r="I80" s="2">
        <v>45940</v>
      </c>
      <c r="J80" s="1" t="s">
        <v>24</v>
      </c>
      <c r="K80" s="3">
        <v>1108809</v>
      </c>
      <c r="L80" s="3">
        <v>16632</v>
      </c>
      <c r="M80" s="1" t="s">
        <v>25</v>
      </c>
      <c r="N80" s="1" t="s">
        <v>26</v>
      </c>
      <c r="O80" s="1" t="s">
        <v>543</v>
      </c>
      <c r="P80" s="1"/>
      <c r="Q80" s="14">
        <v>0</v>
      </c>
      <c r="R80" s="3">
        <v>16632</v>
      </c>
    </row>
    <row r="81" spans="1:18" x14ac:dyDescent="0.25">
      <c r="A81" s="1" t="s">
        <v>544</v>
      </c>
      <c r="B81" s="1" t="s">
        <v>426</v>
      </c>
      <c r="C81" s="1" t="s">
        <v>545</v>
      </c>
      <c r="D81" s="1" t="s">
        <v>186</v>
      </c>
      <c r="E81" s="1" t="s">
        <v>546</v>
      </c>
      <c r="F81" s="1" t="s">
        <v>547</v>
      </c>
      <c r="G81" s="1" t="s">
        <v>548</v>
      </c>
      <c r="H81" s="2">
        <v>45606</v>
      </c>
      <c r="I81" s="2">
        <v>45971</v>
      </c>
      <c r="J81" s="1" t="s">
        <v>24</v>
      </c>
      <c r="K81" s="3">
        <v>973215</v>
      </c>
      <c r="L81" s="3">
        <v>14598</v>
      </c>
      <c r="M81" s="1" t="s">
        <v>25</v>
      </c>
      <c r="N81" s="1" t="s">
        <v>26</v>
      </c>
      <c r="O81" s="1" t="s">
        <v>549</v>
      </c>
      <c r="P81" s="1"/>
      <c r="Q81" s="14">
        <v>0</v>
      </c>
      <c r="R81" s="3">
        <v>14598</v>
      </c>
    </row>
    <row r="82" spans="1:18" x14ac:dyDescent="0.25">
      <c r="A82" s="1" t="s">
        <v>550</v>
      </c>
      <c r="B82" s="1" t="s">
        <v>551</v>
      </c>
      <c r="C82" s="1" t="s">
        <v>552</v>
      </c>
      <c r="D82" s="1" t="s">
        <v>68</v>
      </c>
      <c r="E82" s="1" t="s">
        <v>553</v>
      </c>
      <c r="F82" s="1" t="s">
        <v>554</v>
      </c>
      <c r="G82" s="1" t="s">
        <v>555</v>
      </c>
      <c r="H82" s="2">
        <v>45585</v>
      </c>
      <c r="I82" s="2">
        <v>45950</v>
      </c>
      <c r="J82" s="1" t="s">
        <v>24</v>
      </c>
      <c r="K82" s="3">
        <v>1356750</v>
      </c>
      <c r="L82" s="3">
        <v>20351</v>
      </c>
      <c r="M82" s="1" t="s">
        <v>25</v>
      </c>
      <c r="N82" s="1" t="s">
        <v>26</v>
      </c>
      <c r="O82" s="1" t="s">
        <v>556</v>
      </c>
      <c r="P82" s="1"/>
      <c r="Q82" s="14">
        <v>0</v>
      </c>
      <c r="R82" s="3">
        <v>20351</v>
      </c>
    </row>
    <row r="83" spans="1:18" x14ac:dyDescent="0.25">
      <c r="A83" s="1" t="s">
        <v>557</v>
      </c>
      <c r="B83" s="1" t="s">
        <v>551</v>
      </c>
      <c r="C83" s="1" t="s">
        <v>558</v>
      </c>
      <c r="D83" s="1" t="s">
        <v>68</v>
      </c>
      <c r="E83" s="1" t="s">
        <v>559</v>
      </c>
      <c r="F83" s="1" t="s">
        <v>560</v>
      </c>
      <c r="G83" s="1" t="s">
        <v>561</v>
      </c>
      <c r="H83" s="2">
        <v>45606</v>
      </c>
      <c r="I83" s="2">
        <v>45971</v>
      </c>
      <c r="J83" s="1" t="s">
        <v>24</v>
      </c>
      <c r="K83" s="3">
        <v>1620000</v>
      </c>
      <c r="L83" s="3">
        <v>24300</v>
      </c>
      <c r="M83" s="1" t="s">
        <v>25</v>
      </c>
      <c r="N83" s="1" t="s">
        <v>26</v>
      </c>
      <c r="O83" s="1" t="s">
        <v>562</v>
      </c>
      <c r="P83" s="1"/>
      <c r="Q83" s="14">
        <v>0</v>
      </c>
      <c r="R83" s="3">
        <v>24300</v>
      </c>
    </row>
    <row r="84" spans="1:18" x14ac:dyDescent="0.25">
      <c r="A84" s="1" t="s">
        <v>563</v>
      </c>
      <c r="B84" s="1" t="s">
        <v>551</v>
      </c>
      <c r="C84" s="1" t="s">
        <v>564</v>
      </c>
      <c r="D84" s="1" t="s">
        <v>68</v>
      </c>
      <c r="E84" s="1" t="s">
        <v>565</v>
      </c>
      <c r="F84" s="1" t="s">
        <v>566</v>
      </c>
      <c r="G84" s="1" t="s">
        <v>567</v>
      </c>
      <c r="H84" s="2">
        <v>45590</v>
      </c>
      <c r="I84" s="2">
        <v>45955</v>
      </c>
      <c r="J84" s="1" t="s">
        <v>24</v>
      </c>
      <c r="K84" s="3">
        <v>1356750</v>
      </c>
      <c r="L84" s="3">
        <v>20351</v>
      </c>
      <c r="M84" s="1" t="s">
        <v>25</v>
      </c>
      <c r="N84" s="1" t="s">
        <v>26</v>
      </c>
      <c r="O84" s="1" t="s">
        <v>568</v>
      </c>
      <c r="P84" s="1"/>
      <c r="Q84" s="14">
        <v>0</v>
      </c>
      <c r="R84" s="3">
        <v>20351</v>
      </c>
    </row>
    <row r="85" spans="1:18" x14ac:dyDescent="0.25">
      <c r="A85" s="1" t="s">
        <v>569</v>
      </c>
      <c r="B85" s="1" t="s">
        <v>551</v>
      </c>
      <c r="C85" s="1" t="s">
        <v>570</v>
      </c>
      <c r="D85" s="1" t="s">
        <v>152</v>
      </c>
      <c r="E85" s="1" t="s">
        <v>571</v>
      </c>
      <c r="F85" s="1" t="s">
        <v>572</v>
      </c>
      <c r="G85" s="1" t="s">
        <v>573</v>
      </c>
      <c r="H85" s="2">
        <v>45585</v>
      </c>
      <c r="I85" s="2">
        <v>45950</v>
      </c>
      <c r="J85" s="1" t="s">
        <v>24</v>
      </c>
      <c r="K85" s="3">
        <v>2269620</v>
      </c>
      <c r="L85" s="3">
        <v>34044</v>
      </c>
      <c r="M85" s="1" t="s">
        <v>25</v>
      </c>
      <c r="N85" s="1" t="s">
        <v>26</v>
      </c>
      <c r="O85" s="1" t="s">
        <v>574</v>
      </c>
      <c r="P85" s="1"/>
      <c r="Q85" s="14">
        <v>0</v>
      </c>
      <c r="R85" s="3">
        <v>34044</v>
      </c>
    </row>
    <row r="86" spans="1:18" x14ac:dyDescent="0.25">
      <c r="A86" s="1" t="s">
        <v>575</v>
      </c>
      <c r="B86" s="1" t="s">
        <v>551</v>
      </c>
      <c r="C86" s="1" t="s">
        <v>576</v>
      </c>
      <c r="D86" s="1" t="s">
        <v>276</v>
      </c>
      <c r="E86" s="1" t="s">
        <v>577</v>
      </c>
      <c r="F86" s="1" t="s">
        <v>578</v>
      </c>
      <c r="G86" s="1" t="s">
        <v>579</v>
      </c>
      <c r="H86" s="2">
        <v>45601</v>
      </c>
      <c r="I86" s="2">
        <v>45966</v>
      </c>
      <c r="J86" s="1" t="s">
        <v>24</v>
      </c>
      <c r="K86" s="3">
        <v>2076840</v>
      </c>
      <c r="L86" s="3">
        <v>31153</v>
      </c>
      <c r="M86" s="1" t="s">
        <v>25</v>
      </c>
      <c r="N86" s="1" t="s">
        <v>26</v>
      </c>
      <c r="O86" s="1" t="s">
        <v>580</v>
      </c>
      <c r="P86" s="1"/>
      <c r="Q86" s="14">
        <v>0</v>
      </c>
      <c r="R86" s="3">
        <v>31153</v>
      </c>
    </row>
    <row r="87" spans="1:18" x14ac:dyDescent="0.25">
      <c r="A87" s="1" t="s">
        <v>581</v>
      </c>
      <c r="B87" s="1" t="s">
        <v>551</v>
      </c>
      <c r="C87" s="1" t="s">
        <v>582</v>
      </c>
      <c r="D87" s="1" t="s">
        <v>256</v>
      </c>
      <c r="E87" s="1" t="s">
        <v>583</v>
      </c>
      <c r="F87" s="1" t="s">
        <v>584</v>
      </c>
      <c r="G87" s="1" t="s">
        <v>585</v>
      </c>
      <c r="H87" s="2">
        <v>45611</v>
      </c>
      <c r="I87" s="2">
        <v>45976</v>
      </c>
      <c r="J87" s="1" t="s">
        <v>24</v>
      </c>
      <c r="K87" s="3">
        <v>1961010</v>
      </c>
      <c r="L87" s="3">
        <v>29415</v>
      </c>
      <c r="M87" s="1" t="s">
        <v>25</v>
      </c>
      <c r="N87" s="1" t="s">
        <v>26</v>
      </c>
      <c r="O87" s="1" t="s">
        <v>586</v>
      </c>
      <c r="P87" s="1"/>
      <c r="Q87" s="14">
        <v>0</v>
      </c>
      <c r="R87" s="3">
        <v>29415</v>
      </c>
    </row>
    <row r="88" spans="1:18" x14ac:dyDescent="0.25">
      <c r="A88" s="1" t="s">
        <v>587</v>
      </c>
      <c r="B88" s="1" t="s">
        <v>551</v>
      </c>
      <c r="C88" s="1" t="s">
        <v>588</v>
      </c>
      <c r="D88" s="1" t="s">
        <v>589</v>
      </c>
      <c r="E88" s="1" t="s">
        <v>590</v>
      </c>
      <c r="F88" s="1" t="s">
        <v>591</v>
      </c>
      <c r="G88" s="1" t="s">
        <v>592</v>
      </c>
      <c r="H88" s="2">
        <v>45611</v>
      </c>
      <c r="I88" s="2">
        <v>45976</v>
      </c>
      <c r="J88" s="1" t="s">
        <v>24</v>
      </c>
      <c r="K88" s="3">
        <v>1167858</v>
      </c>
      <c r="L88" s="3">
        <v>23357</v>
      </c>
      <c r="M88" s="1" t="s">
        <v>182</v>
      </c>
      <c r="N88" s="1" t="s">
        <v>26</v>
      </c>
      <c r="O88" s="1" t="s">
        <v>593</v>
      </c>
      <c r="P88" s="1"/>
      <c r="Q88" s="14">
        <v>0</v>
      </c>
      <c r="R88" s="3">
        <v>23357</v>
      </c>
    </row>
    <row r="89" spans="1:18" x14ac:dyDescent="0.25">
      <c r="A89" s="1" t="s">
        <v>594</v>
      </c>
      <c r="B89" s="1" t="s">
        <v>551</v>
      </c>
      <c r="C89" s="1" t="s">
        <v>595</v>
      </c>
      <c r="D89" s="1" t="s">
        <v>596</v>
      </c>
      <c r="E89" s="1" t="s">
        <v>597</v>
      </c>
      <c r="F89" s="1" t="s">
        <v>598</v>
      </c>
      <c r="G89" s="1" t="s">
        <v>599</v>
      </c>
      <c r="H89" s="2">
        <v>45580</v>
      </c>
      <c r="I89" s="2">
        <v>45945</v>
      </c>
      <c r="J89" s="1" t="s">
        <v>24</v>
      </c>
      <c r="K89" s="3">
        <v>1577921</v>
      </c>
      <c r="L89" s="3">
        <v>31558</v>
      </c>
      <c r="M89" s="1" t="s">
        <v>182</v>
      </c>
      <c r="N89" s="1" t="s">
        <v>26</v>
      </c>
      <c r="O89" s="1" t="s">
        <v>600</v>
      </c>
      <c r="P89" s="1"/>
      <c r="Q89" s="14">
        <v>0</v>
      </c>
      <c r="R89" s="3">
        <v>31558</v>
      </c>
    </row>
    <row r="90" spans="1:18" x14ac:dyDescent="0.25">
      <c r="A90" s="1" t="s">
        <v>601</v>
      </c>
      <c r="B90" s="1" t="s">
        <v>551</v>
      </c>
      <c r="C90" s="1" t="s">
        <v>602</v>
      </c>
      <c r="D90" s="1" t="s">
        <v>603</v>
      </c>
      <c r="E90" s="1" t="s">
        <v>604</v>
      </c>
      <c r="F90" s="1" t="s">
        <v>605</v>
      </c>
      <c r="G90" s="1" t="s">
        <v>606</v>
      </c>
      <c r="H90" s="2">
        <v>45601</v>
      </c>
      <c r="I90" s="2">
        <v>45966</v>
      </c>
      <c r="J90" s="1" t="s">
        <v>24</v>
      </c>
      <c r="K90" s="3">
        <v>2580441</v>
      </c>
      <c r="L90" s="3">
        <v>51609</v>
      </c>
      <c r="M90" s="1" t="s">
        <v>182</v>
      </c>
      <c r="N90" s="1" t="s">
        <v>26</v>
      </c>
      <c r="O90" s="1" t="s">
        <v>607</v>
      </c>
      <c r="P90" s="1"/>
      <c r="Q90" s="14">
        <v>0</v>
      </c>
      <c r="R90" s="3">
        <v>51609</v>
      </c>
    </row>
    <row r="91" spans="1:18" x14ac:dyDescent="0.25">
      <c r="A91" s="1" t="s">
        <v>608</v>
      </c>
      <c r="B91" s="1" t="s">
        <v>609</v>
      </c>
      <c r="C91" s="1" t="s">
        <v>610</v>
      </c>
      <c r="D91" s="1" t="s">
        <v>611</v>
      </c>
      <c r="E91" s="1" t="s">
        <v>612</v>
      </c>
      <c r="F91" s="1" t="s">
        <v>613</v>
      </c>
      <c r="G91" s="1" t="s">
        <v>614</v>
      </c>
      <c r="H91" s="2">
        <v>45606</v>
      </c>
      <c r="I91" s="2">
        <v>45971</v>
      </c>
      <c r="J91" s="1" t="s">
        <v>24</v>
      </c>
      <c r="K91" s="3">
        <v>3182895</v>
      </c>
      <c r="L91" s="3">
        <v>47743</v>
      </c>
      <c r="M91" s="1" t="s">
        <v>25</v>
      </c>
      <c r="N91" s="1" t="s">
        <v>26</v>
      </c>
      <c r="O91" s="1" t="s">
        <v>615</v>
      </c>
      <c r="P91" s="1"/>
      <c r="Q91" s="14">
        <v>0</v>
      </c>
      <c r="R91" s="3">
        <v>47743</v>
      </c>
    </row>
    <row r="92" spans="1:18" x14ac:dyDescent="0.25">
      <c r="A92" s="1" t="s">
        <v>616</v>
      </c>
      <c r="B92" s="1" t="s">
        <v>609</v>
      </c>
      <c r="C92" s="1" t="s">
        <v>617</v>
      </c>
      <c r="D92" s="1" t="s">
        <v>68</v>
      </c>
      <c r="E92" s="1" t="s">
        <v>618</v>
      </c>
      <c r="F92" s="1" t="s">
        <v>619</v>
      </c>
      <c r="G92" s="1" t="s">
        <v>620</v>
      </c>
      <c r="H92" s="2">
        <v>45606</v>
      </c>
      <c r="I92" s="2">
        <v>45971</v>
      </c>
      <c r="J92" s="1" t="s">
        <v>24</v>
      </c>
      <c r="K92" s="3">
        <v>1356750</v>
      </c>
      <c r="L92" s="3">
        <v>20351</v>
      </c>
      <c r="M92" s="1" t="s">
        <v>25</v>
      </c>
      <c r="N92" s="1" t="s">
        <v>26</v>
      </c>
      <c r="O92" s="1" t="s">
        <v>621</v>
      </c>
      <c r="P92" s="1"/>
      <c r="Q92" s="14">
        <v>0</v>
      </c>
      <c r="R92" s="3">
        <v>20351</v>
      </c>
    </row>
    <row r="93" spans="1:18" x14ac:dyDescent="0.25">
      <c r="A93" s="1" t="s">
        <v>622</v>
      </c>
      <c r="B93" s="1" t="s">
        <v>609</v>
      </c>
      <c r="C93" s="1" t="s">
        <v>623</v>
      </c>
      <c r="D93" s="1" t="s">
        <v>276</v>
      </c>
      <c r="E93" s="1" t="s">
        <v>624</v>
      </c>
      <c r="F93" s="1" t="s">
        <v>625</v>
      </c>
      <c r="G93" s="1" t="s">
        <v>626</v>
      </c>
      <c r="H93" s="2">
        <v>45601</v>
      </c>
      <c r="I93" s="2">
        <v>45966</v>
      </c>
      <c r="J93" s="1" t="s">
        <v>24</v>
      </c>
      <c r="K93" s="3">
        <v>3070800</v>
      </c>
      <c r="L93" s="3">
        <v>46062</v>
      </c>
      <c r="M93" s="1" t="s">
        <v>25</v>
      </c>
      <c r="N93" s="1" t="s">
        <v>26</v>
      </c>
      <c r="O93" s="1" t="s">
        <v>627</v>
      </c>
      <c r="P93" s="1"/>
      <c r="Q93" s="14">
        <v>0</v>
      </c>
      <c r="R93" s="3">
        <v>46062</v>
      </c>
    </row>
    <row r="94" spans="1:18" x14ac:dyDescent="0.25">
      <c r="A94" s="1" t="s">
        <v>628</v>
      </c>
      <c r="B94" s="1" t="s">
        <v>609</v>
      </c>
      <c r="C94" s="1" t="s">
        <v>629</v>
      </c>
      <c r="D94" s="1" t="s">
        <v>630</v>
      </c>
      <c r="E94" s="1" t="s">
        <v>631</v>
      </c>
      <c r="F94" s="1" t="s">
        <v>632</v>
      </c>
      <c r="G94" s="1" t="s">
        <v>633</v>
      </c>
      <c r="H94" s="2">
        <v>45601</v>
      </c>
      <c r="I94" s="2">
        <v>45966</v>
      </c>
      <c r="J94" s="1" t="s">
        <v>24</v>
      </c>
      <c r="K94" s="3">
        <v>2519100</v>
      </c>
      <c r="L94" s="3">
        <v>37787</v>
      </c>
      <c r="M94" s="1" t="s">
        <v>25</v>
      </c>
      <c r="N94" s="1" t="s">
        <v>26</v>
      </c>
      <c r="O94" s="1" t="s">
        <v>634</v>
      </c>
      <c r="P94" s="1"/>
      <c r="Q94" s="14">
        <v>0</v>
      </c>
      <c r="R94" s="3">
        <v>37787</v>
      </c>
    </row>
    <row r="95" spans="1:18" x14ac:dyDescent="0.25">
      <c r="A95" s="1" t="s">
        <v>635</v>
      </c>
      <c r="B95" s="1" t="s">
        <v>609</v>
      </c>
      <c r="C95" s="1" t="s">
        <v>636</v>
      </c>
      <c r="D95" s="1" t="s">
        <v>637</v>
      </c>
      <c r="E95" s="1" t="s">
        <v>638</v>
      </c>
      <c r="F95" s="1" t="s">
        <v>639</v>
      </c>
      <c r="G95" s="1" t="s">
        <v>640</v>
      </c>
      <c r="H95" s="2">
        <v>45601</v>
      </c>
      <c r="I95" s="2">
        <v>45966</v>
      </c>
      <c r="J95" s="1" t="s">
        <v>24</v>
      </c>
      <c r="K95" s="3">
        <v>2138157</v>
      </c>
      <c r="L95" s="3">
        <v>32072</v>
      </c>
      <c r="M95" s="1" t="s">
        <v>25</v>
      </c>
      <c r="N95" s="1" t="s">
        <v>26</v>
      </c>
      <c r="O95" s="1" t="s">
        <v>641</v>
      </c>
      <c r="P95" s="1"/>
      <c r="Q95" s="14">
        <v>0</v>
      </c>
      <c r="R95" s="3">
        <v>32072</v>
      </c>
    </row>
    <row r="96" spans="1:18" x14ac:dyDescent="0.25">
      <c r="A96" s="1" t="s">
        <v>642</v>
      </c>
      <c r="B96" s="1" t="s">
        <v>609</v>
      </c>
      <c r="C96" s="1" t="s">
        <v>643</v>
      </c>
      <c r="D96" s="1" t="s">
        <v>473</v>
      </c>
      <c r="E96" s="1" t="s">
        <v>644</v>
      </c>
      <c r="F96" s="1" t="s">
        <v>645</v>
      </c>
      <c r="G96" s="1" t="s">
        <v>646</v>
      </c>
      <c r="H96" s="2">
        <v>45575</v>
      </c>
      <c r="I96" s="2">
        <v>45940</v>
      </c>
      <c r="J96" s="1" t="s">
        <v>24</v>
      </c>
      <c r="K96" s="3">
        <v>1108080</v>
      </c>
      <c r="L96" s="3">
        <v>16621</v>
      </c>
      <c r="M96" s="1" t="s">
        <v>243</v>
      </c>
      <c r="N96" s="1" t="s">
        <v>26</v>
      </c>
      <c r="O96" s="1" t="s">
        <v>647</v>
      </c>
      <c r="P96" s="1"/>
      <c r="Q96" s="14">
        <v>0</v>
      </c>
      <c r="R96" s="3">
        <v>16621</v>
      </c>
    </row>
    <row r="97" spans="1:19" s="1" customFormat="1" x14ac:dyDescent="0.25">
      <c r="A97" s="1" t="s">
        <v>648</v>
      </c>
      <c r="B97" s="1" t="s">
        <v>609</v>
      </c>
      <c r="C97" s="1" t="s">
        <v>351</v>
      </c>
      <c r="D97" s="1" t="s">
        <v>649</v>
      </c>
      <c r="E97" s="1" t="s">
        <v>650</v>
      </c>
      <c r="F97" s="1" t="s">
        <v>651</v>
      </c>
      <c r="G97" s="1" t="s">
        <v>652</v>
      </c>
      <c r="H97" s="2">
        <v>45601</v>
      </c>
      <c r="I97" s="2">
        <v>45966</v>
      </c>
      <c r="J97" s="1" t="s">
        <v>24</v>
      </c>
      <c r="K97" s="3">
        <v>2393307</v>
      </c>
      <c r="L97" s="3">
        <v>35900</v>
      </c>
      <c r="M97" s="1" t="s">
        <v>25</v>
      </c>
      <c r="N97" s="1" t="s">
        <v>26</v>
      </c>
      <c r="O97" s="1" t="s">
        <v>653</v>
      </c>
      <c r="P97" s="1" t="s">
        <v>654</v>
      </c>
      <c r="Q97" s="14">
        <v>4592</v>
      </c>
      <c r="R97" s="3">
        <v>40492</v>
      </c>
      <c r="S97" s="9"/>
    </row>
    <row r="98" spans="1:19" x14ac:dyDescent="0.25">
      <c r="A98" s="1" t="s">
        <v>655</v>
      </c>
      <c r="B98" s="1" t="s">
        <v>656</v>
      </c>
      <c r="C98" s="1" t="s">
        <v>657</v>
      </c>
      <c r="D98" s="1" t="s">
        <v>68</v>
      </c>
      <c r="E98" s="1" t="s">
        <v>658</v>
      </c>
      <c r="F98" s="1" t="s">
        <v>659</v>
      </c>
      <c r="G98" s="1" t="s">
        <v>660</v>
      </c>
      <c r="H98" s="2">
        <v>45601</v>
      </c>
      <c r="I98" s="2">
        <v>45966</v>
      </c>
      <c r="J98" s="1" t="s">
        <v>24</v>
      </c>
      <c r="K98" s="3">
        <v>1356750</v>
      </c>
      <c r="L98" s="3">
        <v>20351</v>
      </c>
      <c r="M98" s="1" t="s">
        <v>25</v>
      </c>
      <c r="N98" s="1" t="s">
        <v>26</v>
      </c>
      <c r="O98" s="1" t="s">
        <v>661</v>
      </c>
      <c r="P98" s="1"/>
      <c r="Q98" s="14">
        <v>0</v>
      </c>
      <c r="R98" s="3">
        <v>20351</v>
      </c>
    </row>
    <row r="99" spans="1:19" x14ac:dyDescent="0.25">
      <c r="A99" s="1" t="s">
        <v>662</v>
      </c>
      <c r="B99" s="1" t="s">
        <v>656</v>
      </c>
      <c r="C99" s="1" t="s">
        <v>663</v>
      </c>
      <c r="D99" s="1" t="s">
        <v>664</v>
      </c>
      <c r="E99" s="1" t="s">
        <v>665</v>
      </c>
      <c r="F99" s="1" t="s">
        <v>666</v>
      </c>
      <c r="G99" s="1" t="s">
        <v>667</v>
      </c>
      <c r="H99" s="2">
        <v>45606</v>
      </c>
      <c r="I99" s="2">
        <v>45971</v>
      </c>
      <c r="J99" s="1" t="s">
        <v>24</v>
      </c>
      <c r="K99" s="3">
        <v>3710639</v>
      </c>
      <c r="L99" s="3">
        <v>74213</v>
      </c>
      <c r="M99" s="1" t="s">
        <v>182</v>
      </c>
      <c r="N99" s="1" t="s">
        <v>26</v>
      </c>
      <c r="O99" s="1" t="s">
        <v>668</v>
      </c>
      <c r="P99" s="1"/>
      <c r="Q99" s="14">
        <v>0</v>
      </c>
      <c r="R99" s="3">
        <v>74213</v>
      </c>
    </row>
    <row r="100" spans="1:19" x14ac:dyDescent="0.25">
      <c r="A100" s="1" t="s">
        <v>669</v>
      </c>
      <c r="B100" s="1" t="s">
        <v>656</v>
      </c>
      <c r="C100" s="1" t="s">
        <v>670</v>
      </c>
      <c r="D100" s="1" t="s">
        <v>186</v>
      </c>
      <c r="E100" s="1" t="s">
        <v>671</v>
      </c>
      <c r="F100" s="1" t="s">
        <v>672</v>
      </c>
      <c r="G100" s="1" t="s">
        <v>673</v>
      </c>
      <c r="H100" s="2">
        <v>45593</v>
      </c>
      <c r="I100" s="2">
        <v>45958</v>
      </c>
      <c r="J100" s="1" t="s">
        <v>24</v>
      </c>
      <c r="K100" s="3">
        <v>917228</v>
      </c>
      <c r="L100" s="3">
        <v>18345</v>
      </c>
      <c r="M100" s="1" t="s">
        <v>182</v>
      </c>
      <c r="N100" s="1" t="s">
        <v>26</v>
      </c>
      <c r="O100" s="1" t="s">
        <v>674</v>
      </c>
      <c r="P100" s="1"/>
      <c r="Q100" s="14">
        <v>0</v>
      </c>
      <c r="R100" s="3">
        <v>18345</v>
      </c>
    </row>
    <row r="101" spans="1:19" x14ac:dyDescent="0.25">
      <c r="A101" s="1" t="s">
        <v>675</v>
      </c>
      <c r="B101" s="1" t="s">
        <v>656</v>
      </c>
      <c r="C101" s="1" t="s">
        <v>676</v>
      </c>
      <c r="D101" s="1" t="s">
        <v>677</v>
      </c>
      <c r="E101" s="1" t="s">
        <v>678</v>
      </c>
      <c r="F101" s="1" t="s">
        <v>679</v>
      </c>
      <c r="G101" s="1" t="s">
        <v>680</v>
      </c>
      <c r="H101" s="2">
        <v>45593</v>
      </c>
      <c r="I101" s="2">
        <v>45958</v>
      </c>
      <c r="J101" s="1" t="s">
        <v>24</v>
      </c>
      <c r="K101" s="3">
        <v>1616368</v>
      </c>
      <c r="L101" s="3">
        <v>32327</v>
      </c>
      <c r="M101" s="1" t="s">
        <v>182</v>
      </c>
      <c r="N101" s="1" t="s">
        <v>26</v>
      </c>
      <c r="O101" s="1" t="s">
        <v>681</v>
      </c>
      <c r="P101" s="1"/>
      <c r="Q101" s="14">
        <v>1</v>
      </c>
      <c r="R101" s="3">
        <v>32328</v>
      </c>
    </row>
    <row r="102" spans="1:19" x14ac:dyDescent="0.25">
      <c r="A102" s="1" t="s">
        <v>682</v>
      </c>
      <c r="B102" s="1" t="s">
        <v>656</v>
      </c>
      <c r="C102" s="1" t="s">
        <v>683</v>
      </c>
      <c r="D102" s="1" t="s">
        <v>684</v>
      </c>
      <c r="E102" s="1" t="s">
        <v>685</v>
      </c>
      <c r="F102" s="1" t="s">
        <v>686</v>
      </c>
      <c r="G102" s="1" t="s">
        <v>687</v>
      </c>
      <c r="H102" s="2">
        <v>45593</v>
      </c>
      <c r="I102" s="2">
        <v>45958</v>
      </c>
      <c r="J102" s="1" t="s">
        <v>24</v>
      </c>
      <c r="K102" s="3">
        <v>1638938</v>
      </c>
      <c r="L102" s="3">
        <v>32779</v>
      </c>
      <c r="M102" s="1" t="s">
        <v>182</v>
      </c>
      <c r="N102" s="1" t="s">
        <v>26</v>
      </c>
      <c r="O102" s="1" t="s">
        <v>688</v>
      </c>
      <c r="P102" s="1"/>
      <c r="Q102" s="14">
        <v>0</v>
      </c>
      <c r="R102" s="3">
        <v>32779</v>
      </c>
    </row>
    <row r="103" spans="1:19" x14ac:dyDescent="0.25">
      <c r="A103" s="1" t="s">
        <v>689</v>
      </c>
      <c r="B103" s="1" t="s">
        <v>690</v>
      </c>
      <c r="C103" s="1" t="s">
        <v>691</v>
      </c>
      <c r="D103" s="1" t="s">
        <v>692</v>
      </c>
      <c r="E103" s="1" t="s">
        <v>693</v>
      </c>
      <c r="F103" s="1" t="s">
        <v>694</v>
      </c>
      <c r="G103" s="1" t="s">
        <v>695</v>
      </c>
      <c r="H103" s="2">
        <v>45580</v>
      </c>
      <c r="I103" s="2">
        <v>45945</v>
      </c>
      <c r="J103" s="1" t="s">
        <v>24</v>
      </c>
      <c r="K103" s="3">
        <v>1316574</v>
      </c>
      <c r="L103" s="3">
        <v>19749</v>
      </c>
      <c r="M103" s="1" t="s">
        <v>243</v>
      </c>
      <c r="N103" s="1" t="s">
        <v>26</v>
      </c>
      <c r="O103" s="1" t="s">
        <v>696</v>
      </c>
      <c r="P103" s="1"/>
      <c r="Q103" s="14">
        <v>0</v>
      </c>
      <c r="R103" s="3">
        <v>19749</v>
      </c>
    </row>
    <row r="104" spans="1:19" x14ac:dyDescent="0.25">
      <c r="A104" s="1" t="s">
        <v>697</v>
      </c>
      <c r="B104" s="1" t="s">
        <v>18</v>
      </c>
      <c r="C104" s="1" t="s">
        <v>698</v>
      </c>
      <c r="D104" s="1" t="s">
        <v>699</v>
      </c>
      <c r="E104" s="1" t="s">
        <v>700</v>
      </c>
      <c r="F104" s="1" t="s">
        <v>701</v>
      </c>
      <c r="G104" s="1" t="s">
        <v>195</v>
      </c>
      <c r="H104" s="2">
        <v>45570</v>
      </c>
      <c r="I104" s="2">
        <v>45935</v>
      </c>
      <c r="J104" s="1" t="s">
        <v>24</v>
      </c>
      <c r="K104" s="3">
        <v>1844370</v>
      </c>
      <c r="L104" s="3">
        <v>27666</v>
      </c>
      <c r="M104" s="1" t="s">
        <v>25</v>
      </c>
      <c r="N104" s="1" t="s">
        <v>26</v>
      </c>
      <c r="O104" s="1" t="s">
        <v>702</v>
      </c>
      <c r="P104" s="1"/>
      <c r="Q104" s="14">
        <v>0</v>
      </c>
      <c r="R104" s="3">
        <v>27666</v>
      </c>
    </row>
    <row r="105" spans="1:19" x14ac:dyDescent="0.25">
      <c r="A105" s="1" t="s">
        <v>703</v>
      </c>
      <c r="B105" s="1" t="s">
        <v>704</v>
      </c>
      <c r="C105" s="1" t="s">
        <v>705</v>
      </c>
      <c r="D105" s="1" t="s">
        <v>706</v>
      </c>
      <c r="E105" s="1" t="s">
        <v>707</v>
      </c>
      <c r="F105" s="1" t="s">
        <v>708</v>
      </c>
      <c r="G105" s="1" t="s">
        <v>709</v>
      </c>
      <c r="H105" s="2">
        <v>45570</v>
      </c>
      <c r="I105" s="2">
        <v>45935</v>
      </c>
      <c r="J105" s="1" t="s">
        <v>24</v>
      </c>
      <c r="K105" s="3">
        <v>5917050</v>
      </c>
      <c r="L105" s="3">
        <v>88756</v>
      </c>
      <c r="M105" s="1" t="s">
        <v>25</v>
      </c>
      <c r="N105" s="1" t="s">
        <v>26</v>
      </c>
      <c r="O105" s="1" t="s">
        <v>710</v>
      </c>
      <c r="P105" s="1"/>
      <c r="Q105" s="14">
        <v>0</v>
      </c>
      <c r="R105" s="3">
        <v>88756</v>
      </c>
    </row>
    <row r="106" spans="1:19" x14ac:dyDescent="0.25">
      <c r="A106" s="1" t="s">
        <v>711</v>
      </c>
      <c r="B106" s="1" t="s">
        <v>704</v>
      </c>
      <c r="C106" s="1" t="s">
        <v>712</v>
      </c>
      <c r="D106" s="1" t="s">
        <v>713</v>
      </c>
      <c r="E106" s="5" t="s">
        <v>714</v>
      </c>
      <c r="F106" s="1" t="s">
        <v>715</v>
      </c>
      <c r="G106" s="1" t="s">
        <v>716</v>
      </c>
      <c r="H106" s="2">
        <v>45570</v>
      </c>
      <c r="I106" s="2">
        <v>45935</v>
      </c>
      <c r="J106" s="1" t="s">
        <v>24</v>
      </c>
      <c r="K106" s="3">
        <v>999641</v>
      </c>
      <c r="L106" s="3">
        <v>32988</v>
      </c>
      <c r="M106" s="1" t="s">
        <v>174</v>
      </c>
      <c r="N106" s="1" t="s">
        <v>26</v>
      </c>
      <c r="O106" s="1" t="s">
        <v>717</v>
      </c>
      <c r="P106" s="1"/>
      <c r="Q106" s="14">
        <v>0</v>
      </c>
      <c r="R106" s="3">
        <v>32988</v>
      </c>
    </row>
    <row r="107" spans="1:19" s="1" customFormat="1" x14ac:dyDescent="0.25">
      <c r="A107" s="1" t="s">
        <v>718</v>
      </c>
      <c r="B107" s="1" t="s">
        <v>704</v>
      </c>
      <c r="C107" s="1" t="s">
        <v>719</v>
      </c>
      <c r="D107" s="1" t="s">
        <v>89</v>
      </c>
      <c r="E107" s="1" t="s">
        <v>720</v>
      </c>
      <c r="F107" s="1" t="s">
        <v>721</v>
      </c>
      <c r="G107" s="1" t="s">
        <v>722</v>
      </c>
      <c r="H107" s="2">
        <v>45575</v>
      </c>
      <c r="I107" s="2">
        <v>45940</v>
      </c>
      <c r="J107" s="1" t="s">
        <v>24</v>
      </c>
      <c r="K107" s="3">
        <v>1294380</v>
      </c>
      <c r="L107" s="3">
        <v>19416</v>
      </c>
      <c r="M107" s="1" t="s">
        <v>25</v>
      </c>
      <c r="N107" s="1" t="s">
        <v>26</v>
      </c>
      <c r="O107" s="1" t="s">
        <v>723</v>
      </c>
      <c r="P107" s="1" t="s">
        <v>724</v>
      </c>
      <c r="Q107" s="14">
        <v>69340</v>
      </c>
      <c r="R107" s="3">
        <v>88756</v>
      </c>
      <c r="S107" s="9"/>
    </row>
    <row r="108" spans="1:19" x14ac:dyDescent="0.25">
      <c r="A108" s="1" t="s">
        <v>725</v>
      </c>
      <c r="B108" s="1" t="s">
        <v>704</v>
      </c>
      <c r="C108" s="1" t="s">
        <v>726</v>
      </c>
      <c r="D108" s="1" t="s">
        <v>727</v>
      </c>
      <c r="E108" s="1" t="s">
        <v>728</v>
      </c>
      <c r="F108" s="1" t="s">
        <v>729</v>
      </c>
      <c r="G108" s="1" t="s">
        <v>730</v>
      </c>
      <c r="H108" s="2">
        <v>45575</v>
      </c>
      <c r="I108" s="2">
        <v>45940</v>
      </c>
      <c r="J108" s="1" t="s">
        <v>24</v>
      </c>
      <c r="K108" s="3">
        <v>1009207</v>
      </c>
      <c r="L108" s="3">
        <v>33304</v>
      </c>
      <c r="M108" s="1" t="s">
        <v>174</v>
      </c>
      <c r="N108" s="1" t="s">
        <v>26</v>
      </c>
      <c r="O108" s="1" t="s">
        <v>731</v>
      </c>
      <c r="P108" s="1"/>
      <c r="Q108" s="14">
        <v>0</v>
      </c>
      <c r="R108" s="3">
        <v>33304</v>
      </c>
    </row>
    <row r="109" spans="1:19" x14ac:dyDescent="0.25">
      <c r="A109" s="1" t="s">
        <v>732</v>
      </c>
      <c r="B109" s="1" t="s">
        <v>704</v>
      </c>
      <c r="C109" s="1" t="s">
        <v>485</v>
      </c>
      <c r="D109" s="1" t="s">
        <v>733</v>
      </c>
      <c r="E109" s="1" t="s">
        <v>734</v>
      </c>
      <c r="F109" s="1" t="s">
        <v>735</v>
      </c>
      <c r="G109" s="1" t="s">
        <v>736</v>
      </c>
      <c r="H109" s="2">
        <v>45585</v>
      </c>
      <c r="I109" s="2">
        <v>45950</v>
      </c>
      <c r="J109" s="1" t="s">
        <v>24</v>
      </c>
      <c r="K109" s="3">
        <v>744017</v>
      </c>
      <c r="L109" s="3">
        <v>14880</v>
      </c>
      <c r="M109" s="1" t="s">
        <v>182</v>
      </c>
      <c r="N109" s="1" t="s">
        <v>26</v>
      </c>
      <c r="O109" s="1" t="s">
        <v>737</v>
      </c>
      <c r="P109" s="1"/>
      <c r="Q109" s="14">
        <v>0</v>
      </c>
      <c r="R109" s="3">
        <v>14880</v>
      </c>
    </row>
    <row r="110" spans="1:19" x14ac:dyDescent="0.25">
      <c r="A110" s="1" t="s">
        <v>738</v>
      </c>
      <c r="B110" s="1" t="s">
        <v>704</v>
      </c>
      <c r="C110" s="1" t="s">
        <v>739</v>
      </c>
      <c r="D110" s="1" t="s">
        <v>740</v>
      </c>
      <c r="E110" s="1" t="s">
        <v>741</v>
      </c>
      <c r="F110" s="1" t="s">
        <v>742</v>
      </c>
      <c r="G110" s="1" t="s">
        <v>743</v>
      </c>
      <c r="H110" s="2">
        <v>45590</v>
      </c>
      <c r="I110" s="2">
        <v>45955</v>
      </c>
      <c r="J110" s="1" t="s">
        <v>24</v>
      </c>
      <c r="K110" s="3">
        <v>2187000</v>
      </c>
      <c r="L110" s="3">
        <v>32805</v>
      </c>
      <c r="M110" s="1" t="s">
        <v>25</v>
      </c>
      <c r="N110" s="1" t="s">
        <v>26</v>
      </c>
      <c r="O110" s="1" t="s">
        <v>744</v>
      </c>
      <c r="P110" s="1"/>
      <c r="Q110" s="14">
        <v>0</v>
      </c>
      <c r="R110" s="3">
        <v>32805</v>
      </c>
    </row>
    <row r="111" spans="1:19" x14ac:dyDescent="0.25">
      <c r="A111" s="1" t="s">
        <v>745</v>
      </c>
      <c r="B111" s="1" t="s">
        <v>704</v>
      </c>
      <c r="C111" s="1" t="s">
        <v>746</v>
      </c>
      <c r="D111" s="1" t="s">
        <v>62</v>
      </c>
      <c r="E111" s="1" t="s">
        <v>747</v>
      </c>
      <c r="F111" s="1" t="s">
        <v>748</v>
      </c>
      <c r="G111" s="1" t="s">
        <v>749</v>
      </c>
      <c r="H111" s="2">
        <v>45590</v>
      </c>
      <c r="I111" s="2">
        <v>45955</v>
      </c>
      <c r="J111" s="1" t="s">
        <v>24</v>
      </c>
      <c r="K111" s="3">
        <v>1527660</v>
      </c>
      <c r="L111" s="3">
        <v>22915</v>
      </c>
      <c r="M111" s="1" t="s">
        <v>25</v>
      </c>
      <c r="N111" s="1" t="s">
        <v>26</v>
      </c>
      <c r="O111" s="1" t="s">
        <v>750</v>
      </c>
      <c r="P111" s="1"/>
      <c r="Q111" s="14">
        <v>0</v>
      </c>
      <c r="R111" s="3">
        <v>22915</v>
      </c>
    </row>
    <row r="112" spans="1:19" x14ac:dyDescent="0.25">
      <c r="A112" s="1" t="s">
        <v>751</v>
      </c>
      <c r="B112" s="1" t="s">
        <v>704</v>
      </c>
      <c r="C112" s="1" t="s">
        <v>752</v>
      </c>
      <c r="D112" s="1" t="s">
        <v>139</v>
      </c>
      <c r="E112" s="1" t="s">
        <v>753</v>
      </c>
      <c r="F112" s="1" t="s">
        <v>754</v>
      </c>
      <c r="G112" s="1" t="s">
        <v>755</v>
      </c>
      <c r="H112" s="2">
        <v>45590</v>
      </c>
      <c r="I112" s="2">
        <v>45955</v>
      </c>
      <c r="J112" s="1" t="s">
        <v>24</v>
      </c>
      <c r="K112" s="3">
        <v>5408550</v>
      </c>
      <c r="L112" s="3">
        <v>81128</v>
      </c>
      <c r="M112" s="1" t="s">
        <v>25</v>
      </c>
      <c r="N112" s="1" t="s">
        <v>26</v>
      </c>
      <c r="O112" s="1" t="s">
        <v>756</v>
      </c>
      <c r="P112" s="1"/>
      <c r="Q112" s="14">
        <v>0</v>
      </c>
      <c r="R112" s="3">
        <v>81128</v>
      </c>
    </row>
    <row r="113" spans="1:19" x14ac:dyDescent="0.25">
      <c r="A113" s="1" t="s">
        <v>757</v>
      </c>
      <c r="B113" s="1" t="s">
        <v>690</v>
      </c>
      <c r="C113" s="1" t="s">
        <v>758</v>
      </c>
      <c r="D113" s="1" t="s">
        <v>263</v>
      </c>
      <c r="E113" s="1" t="s">
        <v>759</v>
      </c>
      <c r="F113" s="1" t="s">
        <v>760</v>
      </c>
      <c r="G113" s="1" t="s">
        <v>761</v>
      </c>
      <c r="H113" s="2">
        <v>45570</v>
      </c>
      <c r="I113" s="2">
        <v>45935</v>
      </c>
      <c r="J113" s="1" t="s">
        <v>24</v>
      </c>
      <c r="K113" s="3">
        <v>4499100</v>
      </c>
      <c r="L113" s="3">
        <v>67487</v>
      </c>
      <c r="M113" s="1" t="s">
        <v>25</v>
      </c>
      <c r="N113" s="1" t="s">
        <v>26</v>
      </c>
      <c r="O113" s="1" t="s">
        <v>762</v>
      </c>
      <c r="P113" s="1"/>
      <c r="Q113" s="14">
        <v>0</v>
      </c>
      <c r="R113" s="3">
        <v>67487</v>
      </c>
    </row>
    <row r="114" spans="1:19" x14ac:dyDescent="0.25">
      <c r="A114" s="1" t="s">
        <v>763</v>
      </c>
      <c r="B114" s="1" t="s">
        <v>690</v>
      </c>
      <c r="C114" s="1" t="s">
        <v>764</v>
      </c>
      <c r="D114" s="1" t="s">
        <v>765</v>
      </c>
      <c r="E114" s="1" t="s">
        <v>766</v>
      </c>
      <c r="F114" s="1" t="s">
        <v>767</v>
      </c>
      <c r="G114" s="1" t="s">
        <v>768</v>
      </c>
      <c r="H114" s="2">
        <v>45570</v>
      </c>
      <c r="I114" s="2">
        <v>45935</v>
      </c>
      <c r="J114" s="1" t="s">
        <v>24</v>
      </c>
      <c r="K114" s="3">
        <v>2707725</v>
      </c>
      <c r="L114" s="3">
        <v>54154</v>
      </c>
      <c r="M114" s="1" t="s">
        <v>182</v>
      </c>
      <c r="N114" s="1" t="s">
        <v>26</v>
      </c>
      <c r="O114" s="1" t="s">
        <v>769</v>
      </c>
      <c r="P114" s="1"/>
      <c r="Q114" s="14">
        <v>1</v>
      </c>
      <c r="R114" s="3">
        <v>54155</v>
      </c>
    </row>
    <row r="115" spans="1:19" x14ac:dyDescent="0.25">
      <c r="A115" s="1" t="s">
        <v>770</v>
      </c>
      <c r="B115" s="1" t="s">
        <v>690</v>
      </c>
      <c r="C115" s="1" t="s">
        <v>771</v>
      </c>
      <c r="D115" s="1" t="s">
        <v>186</v>
      </c>
      <c r="E115" s="1" t="s">
        <v>772</v>
      </c>
      <c r="F115" s="1" t="s">
        <v>773</v>
      </c>
      <c r="G115" s="1" t="s">
        <v>774</v>
      </c>
      <c r="H115" s="2">
        <v>45570</v>
      </c>
      <c r="I115" s="2">
        <v>45935</v>
      </c>
      <c r="J115" s="1" t="s">
        <v>24</v>
      </c>
      <c r="K115" s="3">
        <v>973215</v>
      </c>
      <c r="L115" s="3">
        <v>14598</v>
      </c>
      <c r="M115" s="1" t="s">
        <v>243</v>
      </c>
      <c r="N115" s="1" t="s">
        <v>26</v>
      </c>
      <c r="O115" s="1" t="s">
        <v>775</v>
      </c>
      <c r="P115" s="1"/>
      <c r="Q115" s="14">
        <v>0</v>
      </c>
      <c r="R115" s="3">
        <v>14598</v>
      </c>
    </row>
    <row r="116" spans="1:19" x14ac:dyDescent="0.25">
      <c r="A116" s="1" t="s">
        <v>776</v>
      </c>
      <c r="B116" s="1" t="s">
        <v>690</v>
      </c>
      <c r="C116" s="1" t="s">
        <v>777</v>
      </c>
      <c r="D116" s="1" t="s">
        <v>276</v>
      </c>
      <c r="E116" s="1" t="s">
        <v>778</v>
      </c>
      <c r="F116" s="1" t="s">
        <v>779</v>
      </c>
      <c r="G116" s="1" t="s">
        <v>780</v>
      </c>
      <c r="H116" s="2">
        <v>45575</v>
      </c>
      <c r="I116" s="2">
        <v>45940</v>
      </c>
      <c r="J116" s="1" t="s">
        <v>24</v>
      </c>
      <c r="K116" s="3">
        <v>3070800</v>
      </c>
      <c r="L116" s="3">
        <v>46062</v>
      </c>
      <c r="M116" s="1" t="s">
        <v>25</v>
      </c>
      <c r="N116" s="1" t="s">
        <v>26</v>
      </c>
      <c r="O116" s="1" t="s">
        <v>781</v>
      </c>
      <c r="P116" s="1"/>
      <c r="Q116" s="14">
        <v>0</v>
      </c>
      <c r="R116" s="3">
        <v>46062</v>
      </c>
    </row>
    <row r="117" spans="1:19" x14ac:dyDescent="0.25">
      <c r="A117" s="1" t="s">
        <v>782</v>
      </c>
      <c r="B117" s="1" t="s">
        <v>690</v>
      </c>
      <c r="C117" s="1" t="s">
        <v>783</v>
      </c>
      <c r="D117" s="1" t="s">
        <v>765</v>
      </c>
      <c r="E117" s="1" t="s">
        <v>784</v>
      </c>
      <c r="F117" s="1" t="s">
        <v>785</v>
      </c>
      <c r="G117" s="1" t="s">
        <v>786</v>
      </c>
      <c r="H117" s="2">
        <v>45575</v>
      </c>
      <c r="I117" s="2">
        <v>45940</v>
      </c>
      <c r="J117" s="1" t="s">
        <v>24</v>
      </c>
      <c r="K117" s="3">
        <v>2707725</v>
      </c>
      <c r="L117" s="3">
        <v>54154</v>
      </c>
      <c r="M117" s="1" t="s">
        <v>182</v>
      </c>
      <c r="N117" s="1" t="s">
        <v>26</v>
      </c>
      <c r="O117" s="1" t="s">
        <v>787</v>
      </c>
      <c r="P117" s="1"/>
      <c r="Q117" s="14">
        <v>1</v>
      </c>
      <c r="R117" s="3">
        <v>54155</v>
      </c>
    </row>
    <row r="118" spans="1:19" x14ac:dyDescent="0.25">
      <c r="A118" s="1" t="s">
        <v>788</v>
      </c>
      <c r="B118" s="1" t="s">
        <v>690</v>
      </c>
      <c r="C118" s="1" t="s">
        <v>789</v>
      </c>
      <c r="D118" s="1" t="s">
        <v>68</v>
      </c>
      <c r="E118" s="1" t="s">
        <v>790</v>
      </c>
      <c r="F118" s="1" t="s">
        <v>791</v>
      </c>
      <c r="G118" s="1" t="s">
        <v>792</v>
      </c>
      <c r="H118" s="2">
        <v>45580</v>
      </c>
      <c r="I118" s="2">
        <v>45945</v>
      </c>
      <c r="J118" s="1" t="s">
        <v>24</v>
      </c>
      <c r="K118" s="3">
        <v>1403730</v>
      </c>
      <c r="L118" s="3">
        <v>21056</v>
      </c>
      <c r="M118" s="1" t="s">
        <v>25</v>
      </c>
      <c r="N118" s="1" t="s">
        <v>26</v>
      </c>
      <c r="O118" s="1" t="s">
        <v>793</v>
      </c>
      <c r="P118" s="1"/>
      <c r="Q118" s="14">
        <v>0</v>
      </c>
      <c r="R118" s="3">
        <v>21056</v>
      </c>
    </row>
    <row r="119" spans="1:19" x14ac:dyDescent="0.25">
      <c r="A119" s="1" t="s">
        <v>794</v>
      </c>
      <c r="B119" s="1" t="s">
        <v>690</v>
      </c>
      <c r="C119" s="1" t="s">
        <v>795</v>
      </c>
      <c r="D119" s="1" t="s">
        <v>62</v>
      </c>
      <c r="E119" s="1" t="s">
        <v>796</v>
      </c>
      <c r="F119" s="1" t="s">
        <v>797</v>
      </c>
      <c r="G119" s="1" t="s">
        <v>798</v>
      </c>
      <c r="H119" s="2">
        <v>45580</v>
      </c>
      <c r="I119" s="2">
        <v>45945</v>
      </c>
      <c r="J119" s="1" t="s">
        <v>24</v>
      </c>
      <c r="K119" s="3">
        <v>2641500</v>
      </c>
      <c r="L119" s="3">
        <v>39623</v>
      </c>
      <c r="M119" s="1" t="s">
        <v>25</v>
      </c>
      <c r="N119" s="1" t="s">
        <v>26</v>
      </c>
      <c r="O119" s="1" t="s">
        <v>799</v>
      </c>
      <c r="P119" s="1"/>
      <c r="Q119" s="14">
        <v>0</v>
      </c>
      <c r="R119" s="3">
        <v>39623</v>
      </c>
    </row>
    <row r="120" spans="1:19" x14ac:dyDescent="0.25">
      <c r="A120" s="1" t="s">
        <v>800</v>
      </c>
      <c r="B120" s="1" t="s">
        <v>690</v>
      </c>
      <c r="C120" s="1" t="s">
        <v>801</v>
      </c>
      <c r="D120" s="1" t="s">
        <v>186</v>
      </c>
      <c r="E120" s="1" t="s">
        <v>802</v>
      </c>
      <c r="F120" s="1" t="s">
        <v>803</v>
      </c>
      <c r="G120" s="1" t="s">
        <v>804</v>
      </c>
      <c r="H120" s="2">
        <v>45580</v>
      </c>
      <c r="I120" s="2">
        <v>45945</v>
      </c>
      <c r="J120" s="1" t="s">
        <v>24</v>
      </c>
      <c r="K120" s="3">
        <v>917228</v>
      </c>
      <c r="L120" s="3">
        <v>18345</v>
      </c>
      <c r="M120" s="1" t="s">
        <v>182</v>
      </c>
      <c r="N120" s="1" t="s">
        <v>26</v>
      </c>
      <c r="O120" s="1" t="s">
        <v>805</v>
      </c>
      <c r="P120" s="1"/>
      <c r="Q120" s="14">
        <v>0</v>
      </c>
      <c r="R120" s="3">
        <v>18345</v>
      </c>
    </row>
    <row r="121" spans="1:19" x14ac:dyDescent="0.25">
      <c r="A121" s="1" t="s">
        <v>806</v>
      </c>
      <c r="B121" s="1" t="s">
        <v>690</v>
      </c>
      <c r="C121" s="1" t="s">
        <v>807</v>
      </c>
      <c r="D121" s="1" t="s">
        <v>808</v>
      </c>
      <c r="E121" s="1" t="s">
        <v>809</v>
      </c>
      <c r="F121" s="1" t="s">
        <v>810</v>
      </c>
      <c r="G121" s="1" t="s">
        <v>811</v>
      </c>
      <c r="H121" s="2">
        <v>45580</v>
      </c>
      <c r="I121" s="2">
        <v>45945</v>
      </c>
      <c r="J121" s="1" t="s">
        <v>24</v>
      </c>
      <c r="K121" s="3">
        <v>5077558</v>
      </c>
      <c r="L121" s="3">
        <v>101551</v>
      </c>
      <c r="M121" s="1" t="s">
        <v>182</v>
      </c>
      <c r="N121" s="1" t="s">
        <v>26</v>
      </c>
      <c r="O121" s="1" t="s">
        <v>812</v>
      </c>
      <c r="P121" s="1"/>
      <c r="Q121" s="14">
        <v>0</v>
      </c>
      <c r="R121" s="3">
        <v>101551</v>
      </c>
    </row>
    <row r="122" spans="1:19" x14ac:dyDescent="0.25">
      <c r="A122" s="1" t="s">
        <v>813</v>
      </c>
      <c r="B122" s="1" t="s">
        <v>690</v>
      </c>
      <c r="C122" s="1" t="s">
        <v>814</v>
      </c>
      <c r="D122" s="1" t="s">
        <v>152</v>
      </c>
      <c r="E122" s="1" t="s">
        <v>815</v>
      </c>
      <c r="F122" s="1" t="s">
        <v>816</v>
      </c>
      <c r="G122" s="1" t="s">
        <v>817</v>
      </c>
      <c r="H122" s="2">
        <v>45585</v>
      </c>
      <c r="I122" s="2">
        <v>45950</v>
      </c>
      <c r="J122" s="1" t="s">
        <v>24</v>
      </c>
      <c r="K122" s="3">
        <v>2269620</v>
      </c>
      <c r="L122" s="3">
        <v>34044</v>
      </c>
      <c r="M122" s="1" t="s">
        <v>25</v>
      </c>
      <c r="N122" s="1" t="s">
        <v>26</v>
      </c>
      <c r="O122" s="1" t="s">
        <v>818</v>
      </c>
      <c r="P122" s="1"/>
      <c r="Q122" s="14">
        <v>0</v>
      </c>
      <c r="R122" s="3">
        <v>34044</v>
      </c>
    </row>
    <row r="123" spans="1:19" x14ac:dyDescent="0.25">
      <c r="A123" s="1" t="s">
        <v>819</v>
      </c>
      <c r="B123" s="1" t="s">
        <v>690</v>
      </c>
      <c r="C123" s="1" t="s">
        <v>820</v>
      </c>
      <c r="D123" s="1" t="s">
        <v>68</v>
      </c>
      <c r="E123" s="1" t="s">
        <v>821</v>
      </c>
      <c r="F123" s="1" t="s">
        <v>822</v>
      </c>
      <c r="G123" s="1" t="s">
        <v>823</v>
      </c>
      <c r="H123" s="2">
        <v>45585</v>
      </c>
      <c r="I123" s="2">
        <v>45950</v>
      </c>
      <c r="J123" s="1" t="s">
        <v>24</v>
      </c>
      <c r="K123" s="3">
        <v>1356750</v>
      </c>
      <c r="L123" s="3">
        <v>20351</v>
      </c>
      <c r="M123" s="1" t="s">
        <v>25</v>
      </c>
      <c r="N123" s="1" t="s">
        <v>26</v>
      </c>
      <c r="O123" s="1" t="s">
        <v>824</v>
      </c>
      <c r="P123" s="1"/>
      <c r="Q123" s="14">
        <v>0</v>
      </c>
      <c r="R123" s="3">
        <v>20351</v>
      </c>
    </row>
    <row r="124" spans="1:19" x14ac:dyDescent="0.25">
      <c r="A124" s="1" t="s">
        <v>825</v>
      </c>
      <c r="B124" s="1" t="s">
        <v>690</v>
      </c>
      <c r="C124" s="1" t="s">
        <v>826</v>
      </c>
      <c r="D124" s="1" t="s">
        <v>827</v>
      </c>
      <c r="E124" s="1" t="s">
        <v>828</v>
      </c>
      <c r="F124" s="1" t="s">
        <v>829</v>
      </c>
      <c r="G124" s="1" t="s">
        <v>830</v>
      </c>
      <c r="H124" s="2">
        <v>45585</v>
      </c>
      <c r="I124" s="2">
        <v>45950</v>
      </c>
      <c r="J124" s="1" t="s">
        <v>24</v>
      </c>
      <c r="K124" s="3">
        <v>6400800</v>
      </c>
      <c r="L124" s="3">
        <v>96012</v>
      </c>
      <c r="M124" s="1" t="s">
        <v>25</v>
      </c>
      <c r="N124" s="1" t="s">
        <v>26</v>
      </c>
      <c r="O124" s="1" t="s">
        <v>831</v>
      </c>
      <c r="P124" s="1"/>
      <c r="Q124" s="14">
        <v>0</v>
      </c>
      <c r="R124" s="3">
        <v>96012</v>
      </c>
    </row>
    <row r="125" spans="1:19" x14ac:dyDescent="0.25">
      <c r="A125" s="1" t="s">
        <v>832</v>
      </c>
      <c r="B125" s="1" t="s">
        <v>690</v>
      </c>
      <c r="C125" s="1" t="s">
        <v>833</v>
      </c>
      <c r="D125" s="1" t="s">
        <v>827</v>
      </c>
      <c r="E125" s="1" t="s">
        <v>834</v>
      </c>
      <c r="F125" s="1" t="s">
        <v>835</v>
      </c>
      <c r="G125" s="1" t="s">
        <v>836</v>
      </c>
      <c r="H125" s="2">
        <v>45585</v>
      </c>
      <c r="I125" s="2">
        <v>45950</v>
      </c>
      <c r="J125" s="1" t="s">
        <v>24</v>
      </c>
      <c r="K125" s="3">
        <v>6400800</v>
      </c>
      <c r="L125" s="3">
        <v>96012</v>
      </c>
      <c r="M125" s="1" t="s">
        <v>25</v>
      </c>
      <c r="N125" s="1" t="s">
        <v>26</v>
      </c>
      <c r="O125" s="1" t="s">
        <v>837</v>
      </c>
      <c r="P125" s="1"/>
      <c r="Q125" s="14">
        <v>0</v>
      </c>
      <c r="R125" s="3">
        <v>96012</v>
      </c>
    </row>
    <row r="126" spans="1:19" x14ac:dyDescent="0.25">
      <c r="A126" s="1" t="s">
        <v>838</v>
      </c>
      <c r="B126" s="1" t="s">
        <v>690</v>
      </c>
      <c r="C126" s="1" t="s">
        <v>839</v>
      </c>
      <c r="D126" s="1" t="s">
        <v>152</v>
      </c>
      <c r="E126" s="1" t="s">
        <v>840</v>
      </c>
      <c r="F126" s="1" t="s">
        <v>841</v>
      </c>
      <c r="G126" s="1" t="s">
        <v>842</v>
      </c>
      <c r="H126" s="2">
        <v>45590</v>
      </c>
      <c r="I126" s="2">
        <v>45955</v>
      </c>
      <c r="J126" s="1" t="s">
        <v>24</v>
      </c>
      <c r="K126" s="3">
        <v>2269620</v>
      </c>
      <c r="L126" s="3">
        <v>34044</v>
      </c>
      <c r="M126" s="1" t="s">
        <v>25</v>
      </c>
      <c r="N126" s="1" t="s">
        <v>26</v>
      </c>
      <c r="O126" s="1" t="s">
        <v>843</v>
      </c>
      <c r="P126" s="1"/>
      <c r="Q126" s="14">
        <v>0</v>
      </c>
      <c r="R126" s="3">
        <v>34044</v>
      </c>
    </row>
    <row r="127" spans="1:19" x14ac:dyDescent="0.25">
      <c r="A127" s="1" t="s">
        <v>844</v>
      </c>
      <c r="B127" s="1" t="s">
        <v>690</v>
      </c>
      <c r="C127" s="1" t="s">
        <v>845</v>
      </c>
      <c r="D127" s="1" t="s">
        <v>62</v>
      </c>
      <c r="E127" s="1" t="s">
        <v>846</v>
      </c>
      <c r="F127" s="1" t="s">
        <v>847</v>
      </c>
      <c r="G127" s="1" t="s">
        <v>848</v>
      </c>
      <c r="H127" s="2">
        <v>45590</v>
      </c>
      <c r="I127" s="2">
        <v>45955</v>
      </c>
      <c r="J127" s="1" t="s">
        <v>24</v>
      </c>
      <c r="K127" s="3">
        <v>1527660</v>
      </c>
      <c r="L127" s="3">
        <v>22915</v>
      </c>
      <c r="M127" s="1" t="s">
        <v>25</v>
      </c>
      <c r="N127" s="1" t="s">
        <v>26</v>
      </c>
      <c r="O127" s="1" t="s">
        <v>849</v>
      </c>
      <c r="P127" s="1"/>
      <c r="Q127" s="14">
        <v>0</v>
      </c>
      <c r="R127" s="3">
        <v>22915</v>
      </c>
    </row>
    <row r="128" spans="1:19" s="1" customFormat="1" x14ac:dyDescent="0.25">
      <c r="A128" s="1" t="s">
        <v>850</v>
      </c>
      <c r="B128" s="1" t="s">
        <v>851</v>
      </c>
      <c r="C128" s="1" t="s">
        <v>852</v>
      </c>
      <c r="D128" s="1" t="s">
        <v>853</v>
      </c>
      <c r="E128" s="1" t="s">
        <v>854</v>
      </c>
      <c r="F128" s="1" t="s">
        <v>855</v>
      </c>
      <c r="G128" s="1" t="s">
        <v>856</v>
      </c>
      <c r="H128" s="2">
        <v>45590</v>
      </c>
      <c r="I128" s="2">
        <v>45955</v>
      </c>
      <c r="J128" s="1" t="s">
        <v>24</v>
      </c>
      <c r="K128" s="3">
        <v>2016090</v>
      </c>
      <c r="L128" s="3">
        <v>30241</v>
      </c>
      <c r="M128" s="1" t="s">
        <v>25</v>
      </c>
      <c r="N128" s="1" t="s">
        <v>26</v>
      </c>
      <c r="O128" s="1" t="s">
        <v>857</v>
      </c>
      <c r="P128" s="1" t="s">
        <v>858</v>
      </c>
      <c r="Q128" s="14">
        <v>3267</v>
      </c>
      <c r="R128" s="3">
        <v>33508</v>
      </c>
      <c r="S128" s="9"/>
    </row>
    <row r="129" spans="1:18" x14ac:dyDescent="0.25">
      <c r="A129" s="1" t="s">
        <v>859</v>
      </c>
      <c r="B129" s="1" t="s">
        <v>851</v>
      </c>
      <c r="C129" s="1" t="s">
        <v>860</v>
      </c>
      <c r="D129" s="1" t="s">
        <v>31</v>
      </c>
      <c r="E129" s="1" t="s">
        <v>861</v>
      </c>
      <c r="F129" s="1" t="s">
        <v>862</v>
      </c>
      <c r="G129" s="1" t="s">
        <v>863</v>
      </c>
      <c r="H129" s="2">
        <v>45580</v>
      </c>
      <c r="I129" s="2">
        <v>45945</v>
      </c>
      <c r="J129" s="1" t="s">
        <v>24</v>
      </c>
      <c r="K129" s="3">
        <v>3488400</v>
      </c>
      <c r="L129" s="3">
        <v>52326</v>
      </c>
      <c r="M129" s="1" t="s">
        <v>25</v>
      </c>
      <c r="N129" s="1" t="s">
        <v>26</v>
      </c>
      <c r="O129" s="1" t="s">
        <v>864</v>
      </c>
      <c r="P129" s="1"/>
      <c r="Q129" s="14">
        <v>0</v>
      </c>
      <c r="R129" s="3">
        <v>52326</v>
      </c>
    </row>
    <row r="130" spans="1:18" x14ac:dyDescent="0.25">
      <c r="A130" s="1" t="s">
        <v>865</v>
      </c>
      <c r="B130" s="1" t="s">
        <v>851</v>
      </c>
      <c r="C130" s="1" t="s">
        <v>866</v>
      </c>
      <c r="D130" s="1" t="s">
        <v>68</v>
      </c>
      <c r="E130" s="1" t="s">
        <v>867</v>
      </c>
      <c r="F130" s="1" t="s">
        <v>868</v>
      </c>
      <c r="G130" s="1" t="s">
        <v>869</v>
      </c>
      <c r="H130" s="2">
        <v>45611</v>
      </c>
      <c r="I130" s="2">
        <v>45976</v>
      </c>
      <c r="J130" s="1" t="s">
        <v>24</v>
      </c>
      <c r="K130" s="3">
        <v>2350800</v>
      </c>
      <c r="L130" s="3">
        <v>35262</v>
      </c>
      <c r="M130" s="1" t="s">
        <v>25</v>
      </c>
      <c r="N130" s="1" t="s">
        <v>26</v>
      </c>
      <c r="O130" s="1" t="s">
        <v>870</v>
      </c>
      <c r="P130" s="1"/>
      <c r="Q130" s="14">
        <v>0</v>
      </c>
      <c r="R130" s="3">
        <v>35262</v>
      </c>
    </row>
    <row r="131" spans="1:18" x14ac:dyDescent="0.25">
      <c r="A131" s="1" t="s">
        <v>871</v>
      </c>
      <c r="B131" s="1" t="s">
        <v>851</v>
      </c>
      <c r="C131" s="1" t="s">
        <v>872</v>
      </c>
      <c r="D131" s="1" t="s">
        <v>873</v>
      </c>
      <c r="E131" s="1" t="s">
        <v>874</v>
      </c>
      <c r="F131" s="1" t="s">
        <v>875</v>
      </c>
      <c r="G131" s="1" t="s">
        <v>876</v>
      </c>
      <c r="H131" s="2">
        <v>45590</v>
      </c>
      <c r="I131" s="2">
        <v>45955</v>
      </c>
      <c r="J131" s="1" t="s">
        <v>24</v>
      </c>
      <c r="K131" s="3">
        <v>2880000</v>
      </c>
      <c r="L131" s="3">
        <v>43200</v>
      </c>
      <c r="M131" s="1" t="s">
        <v>25</v>
      </c>
      <c r="N131" s="1" t="s">
        <v>26</v>
      </c>
      <c r="O131" s="1" t="s">
        <v>877</v>
      </c>
      <c r="P131" s="1"/>
      <c r="Q131" s="14">
        <v>0</v>
      </c>
      <c r="R131" s="3">
        <v>43200</v>
      </c>
    </row>
    <row r="132" spans="1:18" x14ac:dyDescent="0.25">
      <c r="A132" s="1" t="s">
        <v>878</v>
      </c>
      <c r="B132" s="1" t="s">
        <v>851</v>
      </c>
      <c r="C132" s="1" t="s">
        <v>879</v>
      </c>
      <c r="D132" s="1" t="s">
        <v>880</v>
      </c>
      <c r="E132" s="1" t="s">
        <v>881</v>
      </c>
      <c r="F132" s="1" t="s">
        <v>882</v>
      </c>
      <c r="G132" s="1" t="s">
        <v>883</v>
      </c>
      <c r="H132" s="2">
        <v>45575</v>
      </c>
      <c r="I132" s="2">
        <v>45940</v>
      </c>
      <c r="J132" s="1" t="s">
        <v>24</v>
      </c>
      <c r="K132" s="3">
        <v>1912167</v>
      </c>
      <c r="L132" s="3">
        <v>28683</v>
      </c>
      <c r="M132" s="1" t="s">
        <v>243</v>
      </c>
      <c r="N132" s="1" t="s">
        <v>26</v>
      </c>
      <c r="O132" s="1" t="s">
        <v>884</v>
      </c>
      <c r="P132" s="1"/>
      <c r="Q132" s="14">
        <v>-1</v>
      </c>
      <c r="R132" s="3">
        <v>28682</v>
      </c>
    </row>
    <row r="133" spans="1:18" x14ac:dyDescent="0.25">
      <c r="A133" s="1" t="s">
        <v>885</v>
      </c>
      <c r="B133" s="1" t="s">
        <v>690</v>
      </c>
      <c r="C133" s="1" t="s">
        <v>886</v>
      </c>
      <c r="D133" s="1" t="s">
        <v>466</v>
      </c>
      <c r="E133" s="1" t="s">
        <v>887</v>
      </c>
      <c r="F133" s="1" t="s">
        <v>888</v>
      </c>
      <c r="G133" s="1" t="s">
        <v>889</v>
      </c>
      <c r="H133" s="2">
        <v>45590</v>
      </c>
      <c r="I133" s="2">
        <v>45955</v>
      </c>
      <c r="J133" s="1" t="s">
        <v>24</v>
      </c>
      <c r="K133" s="3">
        <v>1112090</v>
      </c>
      <c r="L133" s="3">
        <v>22242</v>
      </c>
      <c r="M133" s="1" t="s">
        <v>182</v>
      </c>
      <c r="N133" s="1" t="s">
        <v>26</v>
      </c>
      <c r="O133" s="1" t="s">
        <v>890</v>
      </c>
      <c r="P133" s="1"/>
      <c r="Q133" s="14">
        <v>0</v>
      </c>
      <c r="R133" s="3">
        <v>22242</v>
      </c>
    </row>
    <row r="134" spans="1:18" x14ac:dyDescent="0.25">
      <c r="A134" s="1" t="s">
        <v>891</v>
      </c>
      <c r="B134" s="1" t="s">
        <v>851</v>
      </c>
      <c r="C134" s="1" t="s">
        <v>892</v>
      </c>
      <c r="D134" s="1" t="s">
        <v>893</v>
      </c>
      <c r="E134" s="1" t="s">
        <v>894</v>
      </c>
      <c r="F134" s="1" t="s">
        <v>895</v>
      </c>
      <c r="G134" s="1" t="s">
        <v>896</v>
      </c>
      <c r="H134" s="2">
        <v>45575</v>
      </c>
      <c r="I134" s="2">
        <v>45940</v>
      </c>
      <c r="J134" s="1" t="s">
        <v>24</v>
      </c>
      <c r="K134" s="3">
        <v>1048448</v>
      </c>
      <c r="L134" s="3">
        <v>20969</v>
      </c>
      <c r="M134" s="1" t="s">
        <v>182</v>
      </c>
      <c r="N134" s="1" t="s">
        <v>26</v>
      </c>
      <c r="O134" s="1" t="s">
        <v>897</v>
      </c>
      <c r="P134" s="1"/>
      <c r="Q134" s="14">
        <v>0</v>
      </c>
      <c r="R134" s="3">
        <v>20969</v>
      </c>
    </row>
    <row r="135" spans="1:18" x14ac:dyDescent="0.25">
      <c r="A135" s="1" t="s">
        <v>898</v>
      </c>
      <c r="B135" s="1" t="s">
        <v>851</v>
      </c>
      <c r="C135" s="1" t="s">
        <v>899</v>
      </c>
      <c r="D135" s="1" t="s">
        <v>692</v>
      </c>
      <c r="E135" s="1" t="s">
        <v>900</v>
      </c>
      <c r="F135" s="1" t="s">
        <v>901</v>
      </c>
      <c r="G135" s="1" t="s">
        <v>902</v>
      </c>
      <c r="H135" s="2">
        <v>45580</v>
      </c>
      <c r="I135" s="2">
        <v>45945</v>
      </c>
      <c r="J135" s="1" t="s">
        <v>24</v>
      </c>
      <c r="K135" s="3">
        <v>1316574</v>
      </c>
      <c r="L135" s="3">
        <v>19749</v>
      </c>
      <c r="M135" s="1" t="s">
        <v>243</v>
      </c>
      <c r="N135" s="1" t="s">
        <v>26</v>
      </c>
      <c r="O135" s="1" t="s">
        <v>903</v>
      </c>
      <c r="P135" s="1"/>
      <c r="Q135" s="14">
        <v>0</v>
      </c>
      <c r="R135" s="3">
        <v>19749</v>
      </c>
    </row>
    <row r="136" spans="1:18" x14ac:dyDescent="0.25">
      <c r="A136" s="1" t="s">
        <v>904</v>
      </c>
      <c r="B136" s="1" t="s">
        <v>851</v>
      </c>
      <c r="C136" s="1" t="s">
        <v>905</v>
      </c>
      <c r="D136" s="1" t="s">
        <v>906</v>
      </c>
      <c r="E136" s="1" t="s">
        <v>907</v>
      </c>
      <c r="F136" s="1" t="s">
        <v>908</v>
      </c>
      <c r="G136" s="1" t="s">
        <v>909</v>
      </c>
      <c r="H136" s="2">
        <v>45585</v>
      </c>
      <c r="I136" s="2">
        <v>45950</v>
      </c>
      <c r="J136" s="1" t="s">
        <v>24</v>
      </c>
      <c r="K136" s="3">
        <v>2393307</v>
      </c>
      <c r="L136" s="3">
        <v>35900</v>
      </c>
      <c r="M136" s="1" t="s">
        <v>243</v>
      </c>
      <c r="N136" s="1" t="s">
        <v>26</v>
      </c>
      <c r="O136" s="1" t="s">
        <v>910</v>
      </c>
      <c r="P136" s="1"/>
      <c r="Q136" s="14">
        <v>0</v>
      </c>
      <c r="R136" s="3">
        <v>35900</v>
      </c>
    </row>
    <row r="137" spans="1:18" x14ac:dyDescent="0.25">
      <c r="A137" s="1" t="s">
        <v>911</v>
      </c>
      <c r="B137" s="1" t="s">
        <v>851</v>
      </c>
      <c r="C137" s="1" t="s">
        <v>912</v>
      </c>
      <c r="D137" s="1" t="s">
        <v>913</v>
      </c>
      <c r="E137" s="1" t="s">
        <v>914</v>
      </c>
      <c r="F137" s="1" t="s">
        <v>915</v>
      </c>
      <c r="G137" s="1" t="s">
        <v>916</v>
      </c>
      <c r="H137" s="2">
        <v>45585</v>
      </c>
      <c r="I137" s="2">
        <v>45950</v>
      </c>
      <c r="J137" s="1" t="s">
        <v>24</v>
      </c>
      <c r="K137" s="3">
        <v>1887381</v>
      </c>
      <c r="L137" s="3">
        <v>28311</v>
      </c>
      <c r="M137" s="1" t="s">
        <v>243</v>
      </c>
      <c r="N137" s="1" t="s">
        <v>26</v>
      </c>
      <c r="O137" s="1" t="s">
        <v>917</v>
      </c>
      <c r="P137" s="1"/>
      <c r="Q137" s="14">
        <v>0</v>
      </c>
      <c r="R137" s="3">
        <v>28311</v>
      </c>
    </row>
    <row r="138" spans="1:18" x14ac:dyDescent="0.25">
      <c r="A138" s="1" t="s">
        <v>918</v>
      </c>
      <c r="B138" s="1" t="s">
        <v>851</v>
      </c>
      <c r="C138" s="1" t="s">
        <v>919</v>
      </c>
      <c r="D138" s="1" t="s">
        <v>920</v>
      </c>
      <c r="E138" s="1" t="s">
        <v>921</v>
      </c>
      <c r="F138" s="1" t="s">
        <v>922</v>
      </c>
      <c r="G138" s="1" t="s">
        <v>923</v>
      </c>
      <c r="H138" s="2">
        <v>45590</v>
      </c>
      <c r="I138" s="2">
        <v>45955</v>
      </c>
      <c r="J138" s="1" t="s">
        <v>24</v>
      </c>
      <c r="K138" s="3">
        <v>2519100</v>
      </c>
      <c r="L138" s="3">
        <v>37787</v>
      </c>
      <c r="M138" s="1" t="s">
        <v>25</v>
      </c>
      <c r="N138" s="1" t="s">
        <v>26</v>
      </c>
      <c r="O138" s="1" t="s">
        <v>924</v>
      </c>
      <c r="P138" s="1"/>
      <c r="Q138" s="14">
        <v>0</v>
      </c>
      <c r="R138" s="3">
        <v>37787</v>
      </c>
    </row>
    <row r="139" spans="1:18" x14ac:dyDescent="0.25">
      <c r="A139" s="1" t="s">
        <v>925</v>
      </c>
      <c r="B139" s="1" t="s">
        <v>926</v>
      </c>
      <c r="C139" s="1" t="s">
        <v>927</v>
      </c>
      <c r="D139" s="1" t="s">
        <v>928</v>
      </c>
      <c r="E139" s="1" t="s">
        <v>929</v>
      </c>
      <c r="F139" s="1" t="s">
        <v>930</v>
      </c>
      <c r="G139" s="1" t="s">
        <v>931</v>
      </c>
      <c r="H139" s="2">
        <v>45590</v>
      </c>
      <c r="I139" s="2">
        <v>45955</v>
      </c>
      <c r="J139" s="1" t="s">
        <v>24</v>
      </c>
      <c r="K139" s="3">
        <v>3109440</v>
      </c>
      <c r="L139" s="3">
        <v>46642</v>
      </c>
      <c r="M139" s="1" t="s">
        <v>25</v>
      </c>
      <c r="N139" s="1" t="s">
        <v>26</v>
      </c>
      <c r="O139" s="1" t="s">
        <v>932</v>
      </c>
      <c r="P139" s="1"/>
      <c r="Q139" s="14">
        <v>0</v>
      </c>
      <c r="R139" s="3">
        <v>46642</v>
      </c>
    </row>
    <row r="140" spans="1:18" x14ac:dyDescent="0.25">
      <c r="A140" s="1" t="s">
        <v>933</v>
      </c>
      <c r="B140" s="1" t="s">
        <v>926</v>
      </c>
      <c r="C140" s="1" t="s">
        <v>934</v>
      </c>
      <c r="D140" s="1" t="s">
        <v>68</v>
      </c>
      <c r="E140" s="1" t="s">
        <v>935</v>
      </c>
      <c r="F140" s="1" t="s">
        <v>936</v>
      </c>
      <c r="G140" s="1" t="s">
        <v>937</v>
      </c>
      <c r="H140" s="2">
        <v>45580</v>
      </c>
      <c r="I140" s="2">
        <v>45945</v>
      </c>
      <c r="J140" s="1" t="s">
        <v>24</v>
      </c>
      <c r="K140" s="3">
        <v>1403730</v>
      </c>
      <c r="L140" s="3">
        <v>21056</v>
      </c>
      <c r="M140" s="1" t="s">
        <v>25</v>
      </c>
      <c r="N140" s="1" t="s">
        <v>26</v>
      </c>
      <c r="O140" s="1" t="s">
        <v>938</v>
      </c>
      <c r="P140" s="1"/>
      <c r="Q140" s="14">
        <v>0</v>
      </c>
      <c r="R140" s="3">
        <v>21056</v>
      </c>
    </row>
    <row r="141" spans="1:18" x14ac:dyDescent="0.25">
      <c r="A141" s="1" t="s">
        <v>939</v>
      </c>
      <c r="B141" s="1" t="s">
        <v>926</v>
      </c>
      <c r="C141" s="1" t="s">
        <v>940</v>
      </c>
      <c r="D141" s="1" t="s">
        <v>256</v>
      </c>
      <c r="E141" s="1" t="s">
        <v>941</v>
      </c>
      <c r="F141" s="1" t="s">
        <v>942</v>
      </c>
      <c r="G141" s="1" t="s">
        <v>943</v>
      </c>
      <c r="H141" s="2">
        <v>45606</v>
      </c>
      <c r="I141" s="2">
        <v>45971</v>
      </c>
      <c r="J141" s="1" t="s">
        <v>24</v>
      </c>
      <c r="K141" s="3">
        <v>1961010</v>
      </c>
      <c r="L141" s="3">
        <v>29415</v>
      </c>
      <c r="M141" s="1" t="s">
        <v>25</v>
      </c>
      <c r="N141" s="1" t="s">
        <v>26</v>
      </c>
      <c r="O141" s="1" t="s">
        <v>944</v>
      </c>
      <c r="P141" s="1"/>
      <c r="Q141" s="14">
        <v>0</v>
      </c>
      <c r="R141" s="3">
        <v>29415</v>
      </c>
    </row>
    <row r="142" spans="1:18" x14ac:dyDescent="0.25">
      <c r="A142" s="1" t="s">
        <v>945</v>
      </c>
      <c r="B142" s="1" t="s">
        <v>926</v>
      </c>
      <c r="C142" s="1" t="s">
        <v>946</v>
      </c>
      <c r="D142" s="1" t="s">
        <v>68</v>
      </c>
      <c r="E142" s="1" t="s">
        <v>947</v>
      </c>
      <c r="F142" s="1" t="s">
        <v>948</v>
      </c>
      <c r="G142" s="1" t="s">
        <v>943</v>
      </c>
      <c r="H142" s="2">
        <v>45601</v>
      </c>
      <c r="I142" s="2">
        <v>45966</v>
      </c>
      <c r="J142" s="1" t="s">
        <v>24</v>
      </c>
      <c r="K142" s="3">
        <v>2350800</v>
      </c>
      <c r="L142" s="3">
        <v>35262</v>
      </c>
      <c r="M142" s="1" t="s">
        <v>25</v>
      </c>
      <c r="N142" s="1" t="s">
        <v>26</v>
      </c>
      <c r="O142" s="1" t="s">
        <v>949</v>
      </c>
      <c r="P142" s="1"/>
      <c r="Q142" s="14">
        <v>0</v>
      </c>
      <c r="R142" s="3">
        <v>35262</v>
      </c>
    </row>
    <row r="143" spans="1:18" x14ac:dyDescent="0.25">
      <c r="A143" s="1" t="s">
        <v>950</v>
      </c>
      <c r="B143" s="1" t="s">
        <v>926</v>
      </c>
      <c r="C143" s="1" t="s">
        <v>951</v>
      </c>
      <c r="D143" s="1" t="s">
        <v>706</v>
      </c>
      <c r="E143" s="1" t="s">
        <v>952</v>
      </c>
      <c r="F143" s="1" t="s">
        <v>953</v>
      </c>
      <c r="G143" s="1" t="s">
        <v>954</v>
      </c>
      <c r="H143" s="2">
        <v>45580</v>
      </c>
      <c r="I143" s="2">
        <v>45945</v>
      </c>
      <c r="J143" s="1" t="s">
        <v>24</v>
      </c>
      <c r="K143" s="3">
        <v>5400000</v>
      </c>
      <c r="L143" s="3">
        <v>81000</v>
      </c>
      <c r="M143" s="1" t="s">
        <v>25</v>
      </c>
      <c r="N143" s="1" t="s">
        <v>26</v>
      </c>
      <c r="O143" s="1" t="s">
        <v>955</v>
      </c>
      <c r="P143" s="1"/>
      <c r="Q143" s="14">
        <v>0</v>
      </c>
      <c r="R143" s="3">
        <v>81000</v>
      </c>
    </row>
    <row r="144" spans="1:18" x14ac:dyDescent="0.25">
      <c r="A144" s="1" t="s">
        <v>956</v>
      </c>
      <c r="B144" s="1" t="s">
        <v>926</v>
      </c>
      <c r="C144" s="1" t="s">
        <v>957</v>
      </c>
      <c r="D144" s="1" t="s">
        <v>958</v>
      </c>
      <c r="E144" s="1" t="s">
        <v>959</v>
      </c>
      <c r="F144" s="1" t="s">
        <v>960</v>
      </c>
      <c r="G144" s="1" t="s">
        <v>961</v>
      </c>
      <c r="H144" s="2">
        <v>45590</v>
      </c>
      <c r="I144" s="2">
        <v>45955</v>
      </c>
      <c r="J144" s="1" t="s">
        <v>24</v>
      </c>
      <c r="K144" s="3">
        <v>3825000</v>
      </c>
      <c r="L144" s="3">
        <v>57375</v>
      </c>
      <c r="M144" s="1" t="s">
        <v>25</v>
      </c>
      <c r="N144" s="1" t="s">
        <v>26</v>
      </c>
      <c r="O144" s="1" t="s">
        <v>962</v>
      </c>
      <c r="P144" s="1"/>
      <c r="Q144" s="14">
        <v>0</v>
      </c>
      <c r="R144" s="3">
        <v>57375</v>
      </c>
    </row>
    <row r="145" spans="1:18" x14ac:dyDescent="0.25">
      <c r="A145" s="1" t="s">
        <v>963</v>
      </c>
      <c r="B145" s="1" t="s">
        <v>926</v>
      </c>
      <c r="C145" s="1" t="s">
        <v>964</v>
      </c>
      <c r="D145" s="1" t="s">
        <v>44</v>
      </c>
      <c r="E145" s="1" t="s">
        <v>965</v>
      </c>
      <c r="F145" s="1" t="s">
        <v>966</v>
      </c>
      <c r="G145" s="1" t="s">
        <v>967</v>
      </c>
      <c r="H145" s="2">
        <v>45601</v>
      </c>
      <c r="I145" s="2">
        <v>45966</v>
      </c>
      <c r="J145" s="1" t="s">
        <v>24</v>
      </c>
      <c r="K145" s="3">
        <v>3154383</v>
      </c>
      <c r="L145" s="3">
        <v>47316</v>
      </c>
      <c r="M145" s="1" t="s">
        <v>25</v>
      </c>
      <c r="N145" s="1" t="s">
        <v>26</v>
      </c>
      <c r="O145" s="1" t="s">
        <v>968</v>
      </c>
      <c r="P145" s="1"/>
      <c r="Q145" s="14">
        <v>0</v>
      </c>
      <c r="R145" s="3">
        <v>47316</v>
      </c>
    </row>
    <row r="146" spans="1:18" x14ac:dyDescent="0.25">
      <c r="A146" s="1" t="s">
        <v>969</v>
      </c>
      <c r="B146" s="1" t="s">
        <v>926</v>
      </c>
      <c r="C146" s="1" t="s">
        <v>970</v>
      </c>
      <c r="D146" s="1" t="s">
        <v>971</v>
      </c>
      <c r="E146" s="5" t="s">
        <v>972</v>
      </c>
      <c r="F146" s="1" t="s">
        <v>973</v>
      </c>
      <c r="G146" s="1" t="s">
        <v>943</v>
      </c>
      <c r="H146" s="2">
        <v>45590</v>
      </c>
      <c r="I146" s="2">
        <v>45955</v>
      </c>
      <c r="J146" s="1" t="s">
        <v>24</v>
      </c>
      <c r="K146" s="3">
        <v>1173690</v>
      </c>
      <c r="L146" s="3">
        <v>17605</v>
      </c>
      <c r="M146" s="1" t="s">
        <v>25</v>
      </c>
      <c r="N146" s="1" t="s">
        <v>26</v>
      </c>
      <c r="O146" s="1" t="s">
        <v>974</v>
      </c>
      <c r="P146" s="1"/>
      <c r="Q146" s="14">
        <v>0</v>
      </c>
      <c r="R146" s="3">
        <v>17605</v>
      </c>
    </row>
    <row r="147" spans="1:18" x14ac:dyDescent="0.25">
      <c r="A147" s="1" t="s">
        <v>975</v>
      </c>
      <c r="B147" s="1" t="s">
        <v>926</v>
      </c>
      <c r="C147" s="1" t="s">
        <v>976</v>
      </c>
      <c r="D147" s="1" t="s">
        <v>186</v>
      </c>
      <c r="E147" s="5" t="s">
        <v>977</v>
      </c>
      <c r="F147" s="1" t="s">
        <v>978</v>
      </c>
      <c r="G147" s="1" t="s">
        <v>943</v>
      </c>
      <c r="H147" s="2">
        <v>45590</v>
      </c>
      <c r="I147" s="2">
        <v>45955</v>
      </c>
      <c r="J147" s="1" t="s">
        <v>24</v>
      </c>
      <c r="K147" s="3">
        <v>973215</v>
      </c>
      <c r="L147" s="3">
        <v>14598</v>
      </c>
      <c r="M147" s="1" t="s">
        <v>25</v>
      </c>
      <c r="N147" s="1" t="s">
        <v>26</v>
      </c>
      <c r="O147" s="1" t="s">
        <v>979</v>
      </c>
      <c r="P147" s="1"/>
      <c r="Q147" s="14">
        <v>0</v>
      </c>
      <c r="R147" s="3">
        <v>14598</v>
      </c>
    </row>
    <row r="148" spans="1:1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2">
        <v>5068268</v>
      </c>
      <c r="M148" s="1"/>
      <c r="N148" s="1"/>
      <c r="O148" s="1"/>
      <c r="P148" s="1"/>
      <c r="Q148" s="13">
        <v>11381</v>
      </c>
      <c r="R148" s="13">
        <v>5079649</v>
      </c>
    </row>
    <row r="149" spans="1:18" x14ac:dyDescent="0.25">
      <c r="Q149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7A84-E10C-4F43-97D9-261B8D2CC47B}">
  <dimension ref="A1:H147"/>
  <sheetViews>
    <sheetView topLeftCell="G4" workbookViewId="0">
      <selection activeCell="H147" sqref="H2:H147"/>
    </sheetView>
  </sheetViews>
  <sheetFormatPr defaultRowHeight="15" x14ac:dyDescent="0.25"/>
  <cols>
    <col min="1" max="1" width="41.5703125" bestFit="1" customWidth="1"/>
    <col min="2" max="3" width="14" bestFit="1" customWidth="1"/>
    <col min="4" max="4" width="9.5703125" bestFit="1" customWidth="1"/>
    <col min="5" max="5" width="13.7109375" bestFit="1" customWidth="1"/>
    <col min="6" max="6" width="94.42578125" customWidth="1"/>
    <col min="7" max="7" width="85.140625" customWidth="1"/>
    <col min="8" max="8" width="76.42578125" customWidth="1"/>
  </cols>
  <sheetData>
    <row r="1" spans="1:8" x14ac:dyDescent="0.25">
      <c r="A1" s="17" t="s">
        <v>1144</v>
      </c>
      <c r="B1" t="s">
        <v>1145</v>
      </c>
      <c r="D1" s="18" t="s">
        <v>1146</v>
      </c>
      <c r="E1" s="24" t="s">
        <v>1149</v>
      </c>
    </row>
    <row r="2" spans="1:8" ht="111" customHeight="1" x14ac:dyDescent="0.25">
      <c r="A2" s="1" t="s">
        <v>27</v>
      </c>
      <c r="B2" s="19" t="str">
        <f>VLOOKUP(A2,Policy!B:C,2,0)</f>
        <v>070000167887</v>
      </c>
      <c r="C2" s="3">
        <v>44002</v>
      </c>
      <c r="D2" s="20">
        <f>ROUND(C2,0)</f>
        <v>44002</v>
      </c>
      <c r="E2" s="24" t="s">
        <v>1149</v>
      </c>
      <c r="F2" s="21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2" t="str">
        <f>"('"&amp;E2&amp;"','"&amp;B2&amp;"','"&amp;D2&amp;"',(select max(to_number(i.premium_rcv_detail_code))+1
from ins_premium_det i),'"&amp;D2&amp;"','"&amp;D2&amp;"','02', '11000003','00','Request by Mr. Saqib Saleem 21-Nov-2024');"</f>
        <v>('20Nov240019','070000167887','44002',(select max(to_number(i.premium_rcv_detail_code))+1
from ins_premium_det i),'44002','44002','02', '11000003','00','Request by Mr. Saqib Saleem 21-Nov-2024');</v>
      </c>
      <c r="H2" s="23" t="str">
        <f>F2&amp;G2</f>
        <v>insert into ins_premium_det (premium_rcv_code,assorted_code, rec_amount,premium_rcv_detail_code,remaining_amt, payrec, mode_code,coinsurance_code,class_cd,it_remarks) values('20Nov240019','070000167887','44002',(select max(to_number(i.premium_rcv_detail_code))+1
from ins_premium_det i),'44002','44002','02', '11000003','00','Request by Mr. Saqib Saleem 21-Nov-2024');</v>
      </c>
    </row>
    <row r="3" spans="1:8" ht="105" x14ac:dyDescent="0.25">
      <c r="A3" s="1" t="s">
        <v>35</v>
      </c>
      <c r="B3" s="19" t="str">
        <f>VLOOKUP(A3,Policy!B:C,2,0)</f>
        <v>040000187317</v>
      </c>
      <c r="C3" s="11">
        <v>21706</v>
      </c>
      <c r="D3" s="20">
        <f t="shared" ref="D3:D66" si="1">ROUND(C3,0)</f>
        <v>21706</v>
      </c>
      <c r="E3" s="24" t="s">
        <v>1149</v>
      </c>
      <c r="F3" s="21" t="str">
        <f t="shared" si="0"/>
        <v>insert into ins_premium_det (premium_rcv_code,assorted_code, rec_amount,premium_rcv_detail_code,remaining_amt, payrec, mode_code,coinsurance_code,class_cd,it_remarks) values</v>
      </c>
      <c r="G3" s="22" t="str">
        <f t="shared" ref="G3:G66" si="2">"('"&amp;E3&amp;"','"&amp;B3&amp;"','"&amp;D3&amp;"',(select max(to_number(i.premium_rcv_detail_code))+1
from ins_premium_det i),'"&amp;D3&amp;"','"&amp;D3&amp;"','02', '11000003','00','Request by Mr. Saqib Saleem 21-Nov-2024');"</f>
        <v>('20Nov240019','040000187317','21706',(select max(to_number(i.premium_rcv_detail_code))+1
from ins_premium_det i),'21706','21706','02', '11000003','00','Request by Mr. Saqib Saleem 21-Nov-2024');</v>
      </c>
      <c r="H3" s="23" t="str">
        <f t="shared" ref="H3:H66" si="3">F3&amp;G3</f>
        <v>insert into ins_premium_det (premium_rcv_code,assorted_code, rec_amount,premium_rcv_detail_code,remaining_amt, payrec, mode_code,coinsurance_code,class_cd,it_remarks) values('20Nov240019','040000187317','21706',(select max(to_number(i.premium_rcv_detail_code))+1
from ins_premium_det i),'21706','21706','02', '11000003','00','Request by Mr. Saqib Saleem 21-Nov-2024');</v>
      </c>
    </row>
    <row r="4" spans="1:8" ht="105" x14ac:dyDescent="0.25">
      <c r="A4" s="1" t="s">
        <v>41</v>
      </c>
      <c r="B4" s="19" t="str">
        <f>VLOOKUP(A4,Policy!B:C,2,0)</f>
        <v>070000167880</v>
      </c>
      <c r="C4" s="3">
        <v>29251</v>
      </c>
      <c r="D4" s="20">
        <f t="shared" si="1"/>
        <v>29251</v>
      </c>
      <c r="E4" s="24" t="s">
        <v>1149</v>
      </c>
      <c r="F4" s="21" t="str">
        <f t="shared" si="0"/>
        <v>insert into ins_premium_det (premium_rcv_code,assorted_code, rec_amount,premium_rcv_detail_code,remaining_amt, payrec, mode_code,coinsurance_code,class_cd,it_remarks) values</v>
      </c>
      <c r="G4" s="22" t="str">
        <f t="shared" si="2"/>
        <v>('20Nov240019','070000167880','29251',(select max(to_number(i.premium_rcv_detail_code))+1
from ins_premium_det i),'29251','29251','02', '11000003','00','Request by Mr. Saqib Saleem 21-Nov-2024');</v>
      </c>
      <c r="H4" s="23" t="str">
        <f t="shared" si="3"/>
        <v>insert into ins_premium_det (premium_rcv_code,assorted_code, rec_amount,premium_rcv_detail_code,remaining_amt, payrec, mode_code,coinsurance_code,class_cd,it_remarks) values('20Nov240019','070000167880','29251',(select max(to_number(i.premium_rcv_detail_code))+1
from ins_premium_det i),'29251','29251','02', '11000003','00','Request by Mr. Saqib Saleem 21-Nov-2024');</v>
      </c>
    </row>
    <row r="5" spans="1:8" ht="105" x14ac:dyDescent="0.25">
      <c r="A5" s="1" t="s">
        <v>47</v>
      </c>
      <c r="B5" s="19" t="str">
        <f>VLOOKUP(A5,Policy!B:C,2,0)</f>
        <v>070000167886</v>
      </c>
      <c r="C5" s="3">
        <v>47021</v>
      </c>
      <c r="D5" s="20">
        <f t="shared" si="1"/>
        <v>47021</v>
      </c>
      <c r="E5" s="24" t="s">
        <v>1149</v>
      </c>
      <c r="F5" s="21" t="str">
        <f t="shared" si="0"/>
        <v>insert into ins_premium_det (premium_rcv_code,assorted_code, rec_amount,premium_rcv_detail_code,remaining_amt, payrec, mode_code,coinsurance_code,class_cd,it_remarks) values</v>
      </c>
      <c r="G5" s="22" t="str">
        <f t="shared" si="2"/>
        <v>('20Nov240019','070000167886','47021',(select max(to_number(i.premium_rcv_detail_code))+1
from ins_premium_det i),'47021','47021','02', '11000003','00','Request by Mr. Saqib Saleem 21-Nov-2024');</v>
      </c>
      <c r="H5" s="23" t="str">
        <f t="shared" si="3"/>
        <v>insert into ins_premium_det (premium_rcv_code,assorted_code, rec_amount,premium_rcv_detail_code,remaining_amt, payrec, mode_code,coinsurance_code,class_cd,it_remarks) values('20Nov240019','070000167886','47021',(select max(to_number(i.premium_rcv_detail_code))+1
from ins_premium_det i),'47021','47021','02', '11000003','00','Request by Mr. Saqib Saleem 21-Nov-2024');</v>
      </c>
    </row>
    <row r="6" spans="1:8" ht="105" x14ac:dyDescent="0.25">
      <c r="A6" s="1" t="s">
        <v>53</v>
      </c>
      <c r="B6" s="19" t="str">
        <f>VLOOKUP(A6,Policy!B:C,2,0)</f>
        <v>070000167885</v>
      </c>
      <c r="C6" s="3">
        <v>21597</v>
      </c>
      <c r="D6" s="20">
        <f t="shared" si="1"/>
        <v>21597</v>
      </c>
      <c r="E6" s="24" t="s">
        <v>1149</v>
      </c>
      <c r="F6" s="21" t="str">
        <f t="shared" si="0"/>
        <v>insert into ins_premium_det (premium_rcv_code,assorted_code, rec_amount,premium_rcv_detail_code,remaining_amt, payrec, mode_code,coinsurance_code,class_cd,it_remarks) values</v>
      </c>
      <c r="G6" s="22" t="str">
        <f t="shared" si="2"/>
        <v>('20Nov240019','070000167885','21597',(select max(to_number(i.premium_rcv_detail_code))+1
from ins_premium_det i),'21597','21597','02', '11000003','00','Request by Mr. Saqib Saleem 21-Nov-2024');</v>
      </c>
      <c r="H6" s="23" t="str">
        <f t="shared" si="3"/>
        <v>insert into ins_premium_det (premium_rcv_code,assorted_code, rec_amount,premium_rcv_detail_code,remaining_amt, payrec, mode_code,coinsurance_code,class_cd,it_remarks) values('20Nov240019','070000167885','21597',(select max(to_number(i.premium_rcv_detail_code))+1
from ins_premium_det i),'21597','21597','02', '11000003','00','Request by Mr. Saqib Saleem 21-Nov-2024');</v>
      </c>
    </row>
    <row r="7" spans="1:8" ht="105" x14ac:dyDescent="0.25">
      <c r="A7" s="1" t="s">
        <v>59</v>
      </c>
      <c r="B7" s="19" t="str">
        <f>VLOOKUP(A7,Policy!B:C,2,0)</f>
        <v>070000167881</v>
      </c>
      <c r="C7" s="3">
        <v>12258</v>
      </c>
      <c r="D7" s="20">
        <f t="shared" si="1"/>
        <v>12258</v>
      </c>
      <c r="E7" s="24" t="s">
        <v>1149</v>
      </c>
      <c r="F7" s="21" t="str">
        <f t="shared" si="0"/>
        <v>insert into ins_premium_det (premium_rcv_code,assorted_code, rec_amount,premium_rcv_detail_code,remaining_amt, payrec, mode_code,coinsurance_code,class_cd,it_remarks) values</v>
      </c>
      <c r="G7" s="22" t="str">
        <f t="shared" si="2"/>
        <v>('20Nov240019','070000167881','12258',(select max(to_number(i.premium_rcv_detail_code))+1
from ins_premium_det i),'12258','12258','02', '11000003','00','Request by Mr. Saqib Saleem 21-Nov-2024');</v>
      </c>
      <c r="H7" s="23" t="str">
        <f t="shared" si="3"/>
        <v>insert into ins_premium_det (premium_rcv_code,assorted_code, rec_amount,premium_rcv_detail_code,remaining_amt, payrec, mode_code,coinsurance_code,class_cd,it_remarks) values('20Nov240019','070000167881','12258',(select max(to_number(i.premium_rcv_detail_code))+1
from ins_premium_det i),'12258','12258','02', '11000003','00','Request by Mr. Saqib Saleem 21-Nov-2024');</v>
      </c>
    </row>
    <row r="8" spans="1:8" ht="105" x14ac:dyDescent="0.25">
      <c r="A8" s="1" t="s">
        <v>65</v>
      </c>
      <c r="B8" s="19" t="str">
        <f>VLOOKUP(A8,Policy!B:C,2,0)</f>
        <v>070000167653</v>
      </c>
      <c r="C8" s="3">
        <v>23705</v>
      </c>
      <c r="D8" s="20">
        <f t="shared" si="1"/>
        <v>23705</v>
      </c>
      <c r="E8" s="24" t="s">
        <v>1149</v>
      </c>
      <c r="F8" s="21" t="str">
        <f t="shared" si="0"/>
        <v>insert into ins_premium_det (premium_rcv_code,assorted_code, rec_amount,premium_rcv_detail_code,remaining_amt, payrec, mode_code,coinsurance_code,class_cd,it_remarks) values</v>
      </c>
      <c r="G8" s="22" t="str">
        <f t="shared" si="2"/>
        <v>('20Nov240019','070000167653','23705',(select max(to_number(i.premium_rcv_detail_code))+1
from ins_premium_det i),'23705','23705','02', '11000003','00','Request by Mr. Saqib Saleem 21-Nov-2024');</v>
      </c>
      <c r="H8" s="23" t="str">
        <f t="shared" si="3"/>
        <v>insert into ins_premium_det (premium_rcv_code,assorted_code, rec_amount,premium_rcv_detail_code,remaining_amt, payrec, mode_code,coinsurance_code,class_cd,it_remarks) values('20Nov240019','070000167653','23705',(select max(to_number(i.premium_rcv_detail_code))+1
from ins_premium_det i),'23705','23705','02', '11000003','00','Request by Mr. Saqib Saleem 21-Nov-2024');</v>
      </c>
    </row>
    <row r="9" spans="1:8" ht="105" x14ac:dyDescent="0.25">
      <c r="A9" s="1" t="s">
        <v>71</v>
      </c>
      <c r="B9" s="19" t="str">
        <f>VLOOKUP(A9,Policy!B:C,2,0)</f>
        <v>070000167882</v>
      </c>
      <c r="C9" s="3">
        <v>14598</v>
      </c>
      <c r="D9" s="20">
        <f t="shared" si="1"/>
        <v>14598</v>
      </c>
      <c r="E9" s="24" t="s">
        <v>1149</v>
      </c>
      <c r="F9" s="21" t="str">
        <f t="shared" si="0"/>
        <v>insert into ins_premium_det (premium_rcv_code,assorted_code, rec_amount,premium_rcv_detail_code,remaining_amt, payrec, mode_code,coinsurance_code,class_cd,it_remarks) values</v>
      </c>
      <c r="G9" s="22" t="str">
        <f t="shared" si="2"/>
        <v>('20Nov240019','070000167882','14598',(select max(to_number(i.premium_rcv_detail_code))+1
from ins_premium_det i),'14598','14598','02', '11000003','00','Request by Mr. Saqib Saleem 21-Nov-2024');</v>
      </c>
      <c r="H9" s="23" t="str">
        <f t="shared" si="3"/>
        <v>insert into ins_premium_det (premium_rcv_code,assorted_code, rec_amount,premium_rcv_detail_code,remaining_amt, payrec, mode_code,coinsurance_code,class_cd,it_remarks) values('20Nov240019','070000167882','14598',(select max(to_number(i.premium_rcv_detail_code))+1
from ins_premium_det i),'14598','14598','02', '11000003','00','Request by Mr. Saqib Saleem 21-Nov-2024');</v>
      </c>
    </row>
    <row r="10" spans="1:8" ht="105" x14ac:dyDescent="0.25">
      <c r="A10" s="1" t="s">
        <v>79</v>
      </c>
      <c r="B10" s="19" t="str">
        <f>VLOOKUP(A10,Policy!B:C,2,0)</f>
        <v>070000167651</v>
      </c>
      <c r="C10" s="3">
        <v>86144</v>
      </c>
      <c r="D10" s="20">
        <f t="shared" si="1"/>
        <v>86144</v>
      </c>
      <c r="E10" s="24" t="s">
        <v>1149</v>
      </c>
      <c r="F10" s="21" t="str">
        <f t="shared" si="0"/>
        <v>insert into ins_premium_det (premium_rcv_code,assorted_code, rec_amount,premium_rcv_detail_code,remaining_amt, payrec, mode_code,coinsurance_code,class_cd,it_remarks) values</v>
      </c>
      <c r="G10" s="22" t="str">
        <f t="shared" si="2"/>
        <v>('20Nov240019','070000167651','86144',(select max(to_number(i.premium_rcv_detail_code))+1
from ins_premium_det i),'86144','86144','02', '11000003','00','Request by Mr. Saqib Saleem 21-Nov-2024');</v>
      </c>
      <c r="H10" s="23" t="str">
        <f t="shared" si="3"/>
        <v>insert into ins_premium_det (premium_rcv_code,assorted_code, rec_amount,premium_rcv_detail_code,remaining_amt, payrec, mode_code,coinsurance_code,class_cd,it_remarks) values('20Nov240019','070000167651','86144',(select max(to_number(i.premium_rcv_detail_code))+1
from ins_premium_det i),'86144','86144','02', '11000003','00','Request by Mr. Saqib Saleem 21-Nov-2024');</v>
      </c>
    </row>
    <row r="11" spans="1:8" ht="105" x14ac:dyDescent="0.25">
      <c r="A11" s="1" t="s">
        <v>86</v>
      </c>
      <c r="B11" s="19" t="str">
        <f>VLOOKUP(A11,Policy!B:C,2,0)</f>
        <v>070000167657</v>
      </c>
      <c r="C11" s="3">
        <v>13365</v>
      </c>
      <c r="D11" s="20">
        <f t="shared" si="1"/>
        <v>13365</v>
      </c>
      <c r="E11" s="24" t="s">
        <v>1149</v>
      </c>
      <c r="F11" s="21" t="str">
        <f t="shared" si="0"/>
        <v>insert into ins_premium_det (premium_rcv_code,assorted_code, rec_amount,premium_rcv_detail_code,remaining_amt, payrec, mode_code,coinsurance_code,class_cd,it_remarks) values</v>
      </c>
      <c r="G11" s="22" t="str">
        <f t="shared" si="2"/>
        <v>('20Nov240019','070000167657','13365',(select max(to_number(i.premium_rcv_detail_code))+1
from ins_premium_det i),'13365','13365','02', '11000003','00','Request by Mr. Saqib Saleem 21-Nov-2024');</v>
      </c>
      <c r="H11" s="23" t="str">
        <f t="shared" si="3"/>
        <v>insert into ins_premium_det (premium_rcv_code,assorted_code, rec_amount,premium_rcv_detail_code,remaining_amt, payrec, mode_code,coinsurance_code,class_cd,it_remarks) values('20Nov240019','070000167657','13365',(select max(to_number(i.premium_rcv_detail_code))+1
from ins_premium_det i),'13365','13365','02', '11000003','00','Request by Mr. Saqib Saleem 21-Nov-2024');</v>
      </c>
    </row>
    <row r="12" spans="1:8" ht="105" x14ac:dyDescent="0.25">
      <c r="A12" s="1" t="s">
        <v>93</v>
      </c>
      <c r="B12" s="19" t="str">
        <f>VLOOKUP(A12,Policy!B:C,2,0)</f>
        <v>070000167654</v>
      </c>
      <c r="C12" s="3">
        <v>22915</v>
      </c>
      <c r="D12" s="20">
        <f t="shared" si="1"/>
        <v>22915</v>
      </c>
      <c r="E12" s="24" t="s">
        <v>1149</v>
      </c>
      <c r="F12" s="21" t="str">
        <f t="shared" si="0"/>
        <v>insert into ins_premium_det (premium_rcv_code,assorted_code, rec_amount,premium_rcv_detail_code,remaining_amt, payrec, mode_code,coinsurance_code,class_cd,it_remarks) values</v>
      </c>
      <c r="G12" s="22" t="str">
        <f t="shared" si="2"/>
        <v>('20Nov240019','070000167654','22915',(select max(to_number(i.premium_rcv_detail_code))+1
from ins_premium_det i),'22915','22915','02', '11000003','00','Request by Mr. Saqib Saleem 21-Nov-2024');</v>
      </c>
      <c r="H12" s="23" t="str">
        <f t="shared" si="3"/>
        <v>insert into ins_premium_det (premium_rcv_code,assorted_code, rec_amount,premium_rcv_detail_code,remaining_amt, payrec, mode_code,coinsurance_code,class_cd,it_remarks) values('20Nov240019','070000167654','22915',(select max(to_number(i.premium_rcv_detail_code))+1
from ins_premium_det i),'22915','22915','02', '11000003','00','Request by Mr. Saqib Saleem 21-Nov-2024');</v>
      </c>
    </row>
    <row r="13" spans="1:8" ht="105" x14ac:dyDescent="0.25">
      <c r="A13" s="1" t="s">
        <v>99</v>
      </c>
      <c r="B13" s="19" t="str">
        <f>VLOOKUP(A13,Policy!B:C,2,0)</f>
        <v>070000167649</v>
      </c>
      <c r="C13" s="3">
        <v>20351</v>
      </c>
      <c r="D13" s="20">
        <f t="shared" si="1"/>
        <v>20351</v>
      </c>
      <c r="E13" s="24" t="s">
        <v>1149</v>
      </c>
      <c r="F13" s="21" t="str">
        <f t="shared" si="0"/>
        <v>insert into ins_premium_det (premium_rcv_code,assorted_code, rec_amount,premium_rcv_detail_code,remaining_amt, payrec, mode_code,coinsurance_code,class_cd,it_remarks) values</v>
      </c>
      <c r="G13" s="22" t="str">
        <f t="shared" si="2"/>
        <v>('20Nov240019','070000167649','20351',(select max(to_number(i.premium_rcv_detail_code))+1
from ins_premium_det i),'20351','20351','02', '11000003','00','Request by Mr. Saqib Saleem 21-Nov-2024');</v>
      </c>
      <c r="H13" s="23" t="str">
        <f t="shared" si="3"/>
        <v>insert into ins_premium_det (premium_rcv_code,assorted_code, rec_amount,premium_rcv_detail_code,remaining_amt, payrec, mode_code,coinsurance_code,class_cd,it_remarks) values('20Nov240019','070000167649','20351',(select max(to_number(i.premium_rcv_detail_code))+1
from ins_premium_det i),'20351','20351','02', '11000003','00','Request by Mr. Saqib Saleem 21-Nov-2024');</v>
      </c>
    </row>
    <row r="14" spans="1:8" ht="105" x14ac:dyDescent="0.25">
      <c r="A14" s="1" t="s">
        <v>105</v>
      </c>
      <c r="B14" s="19" t="str">
        <f>VLOOKUP(A14,Policy!B:C,2,0)</f>
        <v>070000167652</v>
      </c>
      <c r="C14" s="3">
        <v>20351</v>
      </c>
      <c r="D14" s="20">
        <f t="shared" si="1"/>
        <v>20351</v>
      </c>
      <c r="E14" s="24" t="s">
        <v>1149</v>
      </c>
      <c r="F14" s="21" t="str">
        <f t="shared" si="0"/>
        <v>insert into ins_premium_det (premium_rcv_code,assorted_code, rec_amount,premium_rcv_detail_code,remaining_amt, payrec, mode_code,coinsurance_code,class_cd,it_remarks) values</v>
      </c>
      <c r="G14" s="22" t="str">
        <f t="shared" si="2"/>
        <v>('20Nov240019','070000167652','20351',(select max(to_number(i.premium_rcv_detail_code))+1
from ins_premium_det i),'20351','20351','02', '11000003','00','Request by Mr. Saqib Saleem 21-Nov-2024');</v>
      </c>
      <c r="H14" s="23" t="str">
        <f t="shared" si="3"/>
        <v>insert into ins_premium_det (premium_rcv_code,assorted_code, rec_amount,premium_rcv_detail_code,remaining_amt, payrec, mode_code,coinsurance_code,class_cd,it_remarks) values('20Nov240019','070000167652','20351',(select max(to_number(i.premium_rcv_detail_code))+1
from ins_premium_det i),'20351','20351','02', '11000003','00','Request by Mr. Saqib Saleem 21-Nov-2024');</v>
      </c>
    </row>
    <row r="15" spans="1:8" ht="105" x14ac:dyDescent="0.25">
      <c r="A15" s="1" t="s">
        <v>112</v>
      </c>
      <c r="B15" s="19" t="str">
        <f>VLOOKUP(A15,Policy!B:C,2,0)</f>
        <v>070000167655</v>
      </c>
      <c r="C15" s="3">
        <v>22478</v>
      </c>
      <c r="D15" s="20">
        <f t="shared" si="1"/>
        <v>22478</v>
      </c>
      <c r="E15" s="24" t="s">
        <v>1149</v>
      </c>
      <c r="F15" s="21" t="str">
        <f t="shared" si="0"/>
        <v>insert into ins_premium_det (premium_rcv_code,assorted_code, rec_amount,premium_rcv_detail_code,remaining_amt, payrec, mode_code,coinsurance_code,class_cd,it_remarks) values</v>
      </c>
      <c r="G15" s="22" t="str">
        <f t="shared" si="2"/>
        <v>('20Nov240019','070000167655','22478',(select max(to_number(i.premium_rcv_detail_code))+1
from ins_premium_det i),'22478','22478','02', '11000003','00','Request by Mr. Saqib Saleem 21-Nov-2024');</v>
      </c>
      <c r="H15" s="23" t="str">
        <f t="shared" si="3"/>
        <v>insert into ins_premium_det (premium_rcv_code,assorted_code, rec_amount,premium_rcv_detail_code,remaining_amt, payrec, mode_code,coinsurance_code,class_cd,it_remarks) values('20Nov240019','070000167655','22478',(select max(to_number(i.premium_rcv_detail_code))+1
from ins_premium_det i),'22478','22478','02', '11000003','00','Request by Mr. Saqib Saleem 21-Nov-2024');</v>
      </c>
    </row>
    <row r="16" spans="1:8" ht="105" x14ac:dyDescent="0.25">
      <c r="A16" s="1" t="s">
        <v>118</v>
      </c>
      <c r="B16" s="19" t="str">
        <f>VLOOKUP(A16,Policy!B:C,2,0)</f>
        <v>070000167674</v>
      </c>
      <c r="C16" s="3">
        <v>22915</v>
      </c>
      <c r="D16" s="20">
        <f t="shared" si="1"/>
        <v>22915</v>
      </c>
      <c r="E16" s="24" t="s">
        <v>1149</v>
      </c>
      <c r="F16" s="21" t="str">
        <f t="shared" si="0"/>
        <v>insert into ins_premium_det (premium_rcv_code,assorted_code, rec_amount,premium_rcv_detail_code,remaining_amt, payrec, mode_code,coinsurance_code,class_cd,it_remarks) values</v>
      </c>
      <c r="G16" s="22" t="str">
        <f t="shared" si="2"/>
        <v>('20Nov240019','070000167674','22915',(select max(to_number(i.premium_rcv_detail_code))+1
from ins_premium_det i),'22915','22915','02', '11000003','00','Request by Mr. Saqib Saleem 21-Nov-2024');</v>
      </c>
      <c r="H16" s="23" t="str">
        <f t="shared" si="3"/>
        <v>insert into ins_premium_det (premium_rcv_code,assorted_code, rec_amount,premium_rcv_detail_code,remaining_amt, payrec, mode_code,coinsurance_code,class_cd,it_remarks) values('20Nov240019','070000167674','22915',(select max(to_number(i.premium_rcv_detail_code))+1
from ins_premium_det i),'22915','22915','02', '11000003','00','Request by Mr. Saqib Saleem 21-Nov-2024');</v>
      </c>
    </row>
    <row r="17" spans="1:8" ht="105" x14ac:dyDescent="0.25">
      <c r="A17" s="1" t="s">
        <v>124</v>
      </c>
      <c r="B17" s="19" t="str">
        <f>VLOOKUP(A17,Policy!B:C,2,0)</f>
        <v>070000167648</v>
      </c>
      <c r="C17" s="3">
        <v>20351</v>
      </c>
      <c r="D17" s="20">
        <f t="shared" si="1"/>
        <v>20351</v>
      </c>
      <c r="E17" s="24" t="s">
        <v>1149</v>
      </c>
      <c r="F17" s="21" t="str">
        <f t="shared" si="0"/>
        <v>insert into ins_premium_det (premium_rcv_code,assorted_code, rec_amount,premium_rcv_detail_code,remaining_amt, payrec, mode_code,coinsurance_code,class_cd,it_remarks) values</v>
      </c>
      <c r="G17" s="22" t="str">
        <f t="shared" si="2"/>
        <v>('20Nov240019','070000167648','20351',(select max(to_number(i.premium_rcv_detail_code))+1
from ins_premium_det i),'20351','20351','02', '11000003','00','Request by Mr. Saqib Saleem 21-Nov-2024');</v>
      </c>
      <c r="H17" s="23" t="str">
        <f t="shared" si="3"/>
        <v>insert into ins_premium_det (premium_rcv_code,assorted_code, rec_amount,premium_rcv_detail_code,remaining_amt, payrec, mode_code,coinsurance_code,class_cd,it_remarks) values('20Nov240019','070000167648','20351',(select max(to_number(i.premium_rcv_detail_code))+1
from ins_premium_det i),'20351','20351','02', '11000003','00','Request by Mr. Saqib Saleem 21-Nov-2024');</v>
      </c>
    </row>
    <row r="18" spans="1:8" ht="105" x14ac:dyDescent="0.25">
      <c r="A18" s="1" t="s">
        <v>131</v>
      </c>
      <c r="B18" s="19" t="str">
        <f>VLOOKUP(A18,Policy!B:C,2,0)</f>
        <v>070000167645</v>
      </c>
      <c r="C18" s="3">
        <v>70200</v>
      </c>
      <c r="D18" s="20">
        <f t="shared" si="1"/>
        <v>70200</v>
      </c>
      <c r="E18" s="24" t="s">
        <v>1149</v>
      </c>
      <c r="F18" s="21" t="str">
        <f t="shared" si="0"/>
        <v>insert into ins_premium_det (premium_rcv_code,assorted_code, rec_amount,premium_rcv_detail_code,remaining_amt, payrec, mode_code,coinsurance_code,class_cd,it_remarks) values</v>
      </c>
      <c r="G18" s="22" t="str">
        <f t="shared" si="2"/>
        <v>('20Nov240019','070000167645','70200',(select max(to_number(i.premium_rcv_detail_code))+1
from ins_premium_det i),'70200','70200','02', '11000003','00','Request by Mr. Saqib Saleem 21-Nov-2024');</v>
      </c>
      <c r="H18" s="23" t="str">
        <f t="shared" si="3"/>
        <v>insert into ins_premium_det (premium_rcv_code,assorted_code, rec_amount,premium_rcv_detail_code,remaining_amt, payrec, mode_code,coinsurance_code,class_cd,it_remarks) values('20Nov240019','070000167645','70200',(select max(to_number(i.premium_rcv_detail_code))+1
from ins_premium_det i),'70200','70200','02', '11000003','00','Request by Mr. Saqib Saleem 21-Nov-2024');</v>
      </c>
    </row>
    <row r="19" spans="1:8" ht="105" x14ac:dyDescent="0.25">
      <c r="A19" s="1" t="s">
        <v>27</v>
      </c>
      <c r="B19" s="19" t="str">
        <f>VLOOKUP(A19,Policy!B:C,2,0)</f>
        <v>070000167887</v>
      </c>
      <c r="C19" s="3">
        <v>44002</v>
      </c>
      <c r="D19" s="20">
        <f t="shared" si="1"/>
        <v>44002</v>
      </c>
      <c r="E19" s="24" t="s">
        <v>1149</v>
      </c>
      <c r="F19" s="21" t="str">
        <f t="shared" si="0"/>
        <v>insert into ins_premium_det (premium_rcv_code,assorted_code, rec_amount,premium_rcv_detail_code,remaining_amt, payrec, mode_code,coinsurance_code,class_cd,it_remarks) values</v>
      </c>
      <c r="G19" s="22" t="str">
        <f t="shared" si="2"/>
        <v>('20Nov240019','070000167887','44002',(select max(to_number(i.premium_rcv_detail_code))+1
from ins_premium_det i),'44002','44002','02', '11000003','00','Request by Mr. Saqib Saleem 21-Nov-2024');</v>
      </c>
      <c r="H19" s="23" t="str">
        <f t="shared" si="3"/>
        <v>insert into ins_premium_det (premium_rcv_code,assorted_code, rec_amount,premium_rcv_detail_code,remaining_amt, payrec, mode_code,coinsurance_code,class_cd,it_remarks) values('20Nov240019','070000167887','44002',(select max(to_number(i.premium_rcv_detail_code))+1
from ins_premium_det i),'44002','44002','02', '11000003','00','Request by Mr. Saqib Saleem 21-Nov-2024');</v>
      </c>
    </row>
    <row r="20" spans="1:8" ht="105" x14ac:dyDescent="0.25">
      <c r="A20" s="1" t="s">
        <v>143</v>
      </c>
      <c r="B20" s="19" t="str">
        <f>VLOOKUP(A20,Policy!B:C,2,0)</f>
        <v>070000167641</v>
      </c>
      <c r="C20" s="3">
        <v>54000</v>
      </c>
      <c r="D20" s="20">
        <f t="shared" si="1"/>
        <v>54000</v>
      </c>
      <c r="E20" s="24" t="s">
        <v>1149</v>
      </c>
      <c r="F20" s="21" t="str">
        <f t="shared" si="0"/>
        <v>insert into ins_premium_det (premium_rcv_code,assorted_code, rec_amount,premium_rcv_detail_code,remaining_amt, payrec, mode_code,coinsurance_code,class_cd,it_remarks) values</v>
      </c>
      <c r="G20" s="22" t="str">
        <f t="shared" si="2"/>
        <v>('20Nov240019','070000167641','54000',(select max(to_number(i.premium_rcv_detail_code))+1
from ins_premium_det i),'54000','54000','02', '11000003','00','Request by Mr. Saqib Saleem 21-Nov-2024');</v>
      </c>
      <c r="H20" s="23" t="str">
        <f t="shared" si="3"/>
        <v>insert into ins_premium_det (premium_rcv_code,assorted_code, rec_amount,premium_rcv_detail_code,remaining_amt, payrec, mode_code,coinsurance_code,class_cd,it_remarks) values('20Nov240019','070000167641','54000',(select max(to_number(i.premium_rcv_detail_code))+1
from ins_premium_det i),'54000','54000','02', '11000003','00','Request by Mr. Saqib Saleem 21-Nov-2024');</v>
      </c>
    </row>
    <row r="21" spans="1:8" ht="105" x14ac:dyDescent="0.25">
      <c r="A21" s="1" t="s">
        <v>149</v>
      </c>
      <c r="B21" s="19" t="str">
        <f>VLOOKUP(A21,Policy!B:C,2,0)</f>
        <v>070000167644</v>
      </c>
      <c r="C21" s="3">
        <v>31725</v>
      </c>
      <c r="D21" s="20">
        <f t="shared" si="1"/>
        <v>31725</v>
      </c>
      <c r="E21" s="24" t="s">
        <v>1149</v>
      </c>
      <c r="F21" s="21" t="str">
        <f t="shared" si="0"/>
        <v>insert into ins_premium_det (premium_rcv_code,assorted_code, rec_amount,premium_rcv_detail_code,remaining_amt, payrec, mode_code,coinsurance_code,class_cd,it_remarks) values</v>
      </c>
      <c r="G21" s="22" t="str">
        <f t="shared" si="2"/>
        <v>('20Nov240019','070000167644','31725',(select max(to_number(i.premium_rcv_detail_code))+1
from ins_premium_det i),'31725','31725','02', '11000003','00','Request by Mr. Saqib Saleem 21-Nov-2024');</v>
      </c>
      <c r="H21" s="23" t="str">
        <f t="shared" si="3"/>
        <v>insert into ins_premium_det (premium_rcv_code,assorted_code, rec_amount,premium_rcv_detail_code,remaining_amt, payrec, mode_code,coinsurance_code,class_cd,it_remarks) values('20Nov240019','070000167644','31725',(select max(to_number(i.premium_rcv_detail_code))+1
from ins_premium_det i),'31725','31725','02', '11000003','00','Request by Mr. Saqib Saleem 21-Nov-2024');</v>
      </c>
    </row>
    <row r="22" spans="1:8" ht="105" x14ac:dyDescent="0.25">
      <c r="A22" s="1" t="s">
        <v>155</v>
      </c>
      <c r="B22" s="19" t="str">
        <f>VLOOKUP(A22,Policy!B:C,2,0)</f>
        <v>070000167677</v>
      </c>
      <c r="C22" s="3">
        <v>48871</v>
      </c>
      <c r="D22" s="20">
        <f t="shared" si="1"/>
        <v>48871</v>
      </c>
      <c r="E22" s="24" t="s">
        <v>1149</v>
      </c>
      <c r="F22" s="21" t="str">
        <f t="shared" si="0"/>
        <v>insert into ins_premium_det (premium_rcv_code,assorted_code, rec_amount,premium_rcv_detail_code,remaining_amt, payrec, mode_code,coinsurance_code,class_cd,it_remarks) values</v>
      </c>
      <c r="G22" s="22" t="str">
        <f t="shared" si="2"/>
        <v>('20Nov240019','070000167677','48871',(select max(to_number(i.premium_rcv_detail_code))+1
from ins_premium_det i),'48871','48871','02', '11000003','00','Request by Mr. Saqib Saleem 21-Nov-2024');</v>
      </c>
      <c r="H22" s="23" t="str">
        <f t="shared" si="3"/>
        <v>insert into ins_premium_det (premium_rcv_code,assorted_code, rec_amount,premium_rcv_detail_code,remaining_amt, payrec, mode_code,coinsurance_code,class_cd,it_remarks) values('20Nov240019','070000167677','48871',(select max(to_number(i.premium_rcv_detail_code))+1
from ins_premium_det i),'48871','48871','02', '11000003','00','Request by Mr. Saqib Saleem 21-Nov-2024');</v>
      </c>
    </row>
    <row r="23" spans="1:8" ht="105" x14ac:dyDescent="0.25">
      <c r="A23" s="1" t="s">
        <v>162</v>
      </c>
      <c r="B23" s="19" t="str">
        <f>VLOOKUP(A23,Policy!B:C,2,0)</f>
        <v>070000167676</v>
      </c>
      <c r="C23" s="3">
        <v>33750</v>
      </c>
      <c r="D23" s="20">
        <f t="shared" si="1"/>
        <v>33750</v>
      </c>
      <c r="E23" s="24" t="s">
        <v>1149</v>
      </c>
      <c r="F23" s="21" t="str">
        <f t="shared" si="0"/>
        <v>insert into ins_premium_det (premium_rcv_code,assorted_code, rec_amount,premium_rcv_detail_code,remaining_amt, payrec, mode_code,coinsurance_code,class_cd,it_remarks) values</v>
      </c>
      <c r="G23" s="22" t="str">
        <f t="shared" si="2"/>
        <v>('20Nov240019','070000167676','33750',(select max(to_number(i.premium_rcv_detail_code))+1
from ins_premium_det i),'33750','33750','02', '11000003','00','Request by Mr. Saqib Saleem 21-Nov-2024');</v>
      </c>
      <c r="H23" s="23" t="str">
        <f t="shared" si="3"/>
        <v>insert into ins_premium_det (premium_rcv_code,assorted_code, rec_amount,premium_rcv_detail_code,remaining_amt, payrec, mode_code,coinsurance_code,class_cd,it_remarks) values('20Nov240019','070000167676','33750',(select max(to_number(i.premium_rcv_detail_code))+1
from ins_premium_det i),'33750','33750','02', '11000003','00','Request by Mr. Saqib Saleem 21-Nov-2024');</v>
      </c>
    </row>
    <row r="24" spans="1:8" ht="105" x14ac:dyDescent="0.25">
      <c r="A24" s="1" t="s">
        <v>167</v>
      </c>
      <c r="B24" s="19" t="str">
        <f>VLOOKUP(A24,Policy!B:C,2,0)</f>
        <v>070000167643</v>
      </c>
      <c r="C24" s="3">
        <v>39623</v>
      </c>
      <c r="D24" s="20">
        <f t="shared" si="1"/>
        <v>39623</v>
      </c>
      <c r="E24" s="24" t="s">
        <v>1149</v>
      </c>
      <c r="F24" s="21" t="str">
        <f t="shared" si="0"/>
        <v>insert into ins_premium_det (premium_rcv_code,assorted_code, rec_amount,premium_rcv_detail_code,remaining_amt, payrec, mode_code,coinsurance_code,class_cd,it_remarks) values</v>
      </c>
      <c r="G24" s="22" t="str">
        <f t="shared" si="2"/>
        <v>('20Nov240019','070000167643','39623',(select max(to_number(i.premium_rcv_detail_code))+1
from ins_premium_det i),'39623','39623','02', '11000003','00','Request by Mr. Saqib Saleem 21-Nov-2024');</v>
      </c>
      <c r="H24" s="23" t="str">
        <f t="shared" si="3"/>
        <v>insert into ins_premium_det (premium_rcv_code,assorted_code, rec_amount,premium_rcv_detail_code,remaining_amt, payrec, mode_code,coinsurance_code,class_cd,it_remarks) values('20Nov240019','070000167643','39623',(select max(to_number(i.premium_rcv_detail_code))+1
from ins_premium_det i),'39623','39623','02', '11000003','00','Request by Mr. Saqib Saleem 21-Nov-2024');</v>
      </c>
    </row>
    <row r="25" spans="1:8" ht="105" x14ac:dyDescent="0.25">
      <c r="A25" s="1" t="s">
        <v>175</v>
      </c>
      <c r="B25" s="19" t="str">
        <f>VLOOKUP(A25,Policy!B:C,2,0)</f>
        <v>070000167666</v>
      </c>
      <c r="C25" s="3">
        <v>33023</v>
      </c>
      <c r="D25" s="20">
        <f t="shared" si="1"/>
        <v>33023</v>
      </c>
      <c r="E25" s="24" t="s">
        <v>1149</v>
      </c>
      <c r="F25" s="21" t="str">
        <f t="shared" si="0"/>
        <v>insert into ins_premium_det (premium_rcv_code,assorted_code, rec_amount,premium_rcv_detail_code,remaining_amt, payrec, mode_code,coinsurance_code,class_cd,it_remarks) values</v>
      </c>
      <c r="G25" s="22" t="str">
        <f t="shared" si="2"/>
        <v>('20Nov240019','070000167666','33023',(select max(to_number(i.premium_rcv_detail_code))+1
from ins_premium_det i),'33023','33023','02', '11000003','00','Request by Mr. Saqib Saleem 21-Nov-2024');</v>
      </c>
      <c r="H25" s="23" t="str">
        <f t="shared" si="3"/>
        <v>insert into ins_premium_det (premium_rcv_code,assorted_code, rec_amount,premium_rcv_detail_code,remaining_amt, payrec, mode_code,coinsurance_code,class_cd,it_remarks) values('20Nov240019','070000167666','33023',(select max(to_number(i.premium_rcv_detail_code))+1
from ins_premium_det i),'33023','33023','02', '11000003','00','Request by Mr. Saqib Saleem 21-Nov-2024');</v>
      </c>
    </row>
    <row r="26" spans="1:8" ht="105" x14ac:dyDescent="0.25">
      <c r="A26" s="1" t="s">
        <v>183</v>
      </c>
      <c r="B26" s="19" t="str">
        <f>VLOOKUP(A26,Policy!B:C,2,0)</f>
        <v>070000167659</v>
      </c>
      <c r="C26" s="3">
        <v>20969</v>
      </c>
      <c r="D26" s="20">
        <f t="shared" si="1"/>
        <v>20969</v>
      </c>
      <c r="E26" s="24" t="s">
        <v>1149</v>
      </c>
      <c r="F26" s="21" t="str">
        <f t="shared" si="0"/>
        <v>insert into ins_premium_det (premium_rcv_code,assorted_code, rec_amount,premium_rcv_detail_code,remaining_amt, payrec, mode_code,coinsurance_code,class_cd,it_remarks) values</v>
      </c>
      <c r="G26" s="22" t="str">
        <f t="shared" si="2"/>
        <v>('20Nov240019','070000167659','20969',(select max(to_number(i.premium_rcv_detail_code))+1
from ins_premium_det i),'20969','20969','02', '11000003','00','Request by Mr. Saqib Saleem 21-Nov-2024');</v>
      </c>
      <c r="H26" s="23" t="str">
        <f t="shared" si="3"/>
        <v>insert into ins_premium_det (premium_rcv_code,assorted_code, rec_amount,premium_rcv_detail_code,remaining_amt, payrec, mode_code,coinsurance_code,class_cd,it_remarks) values('20Nov240019','070000167659','20969',(select max(to_number(i.premium_rcv_detail_code))+1
from ins_premium_det i),'20969','20969','02', '11000003','00','Request by Mr. Saqib Saleem 21-Nov-2024');</v>
      </c>
    </row>
    <row r="27" spans="1:8" ht="105" x14ac:dyDescent="0.25">
      <c r="A27" s="1" t="s">
        <v>190</v>
      </c>
      <c r="B27" s="19" t="str">
        <f>VLOOKUP(A27,Policy!B:C,2,0)</f>
        <v>070000167661</v>
      </c>
      <c r="C27" s="3">
        <v>18345</v>
      </c>
      <c r="D27" s="20">
        <f t="shared" si="1"/>
        <v>18345</v>
      </c>
      <c r="E27" s="24" t="s">
        <v>1149</v>
      </c>
      <c r="F27" s="21" t="str">
        <f t="shared" si="0"/>
        <v>insert into ins_premium_det (premium_rcv_code,assorted_code, rec_amount,premium_rcv_detail_code,remaining_amt, payrec, mode_code,coinsurance_code,class_cd,it_remarks) values</v>
      </c>
      <c r="G27" s="22" t="str">
        <f t="shared" si="2"/>
        <v>('20Nov240019','070000167661','18345',(select max(to_number(i.premium_rcv_detail_code))+1
from ins_premium_det i),'18345','18345','02', '11000003','00','Request by Mr. Saqib Saleem 21-Nov-2024');</v>
      </c>
      <c r="H27" s="23" t="str">
        <f t="shared" si="3"/>
        <v>insert into ins_premium_det (premium_rcv_code,assorted_code, rec_amount,premium_rcv_detail_code,remaining_amt, payrec, mode_code,coinsurance_code,class_cd,it_remarks) values('20Nov240019','070000167661','18345',(select max(to_number(i.premium_rcv_detail_code))+1
from ins_premium_det i),'18345','18345','02', '11000003','00','Request by Mr. Saqib Saleem 21-Nov-2024');</v>
      </c>
    </row>
    <row r="28" spans="1:8" ht="105" x14ac:dyDescent="0.25">
      <c r="A28" s="1" t="s">
        <v>196</v>
      </c>
      <c r="B28" s="19" t="str">
        <f>VLOOKUP(A28,Policy!B:C,2,0)</f>
        <v>070000167662</v>
      </c>
      <c r="C28" s="3">
        <v>18345</v>
      </c>
      <c r="D28" s="20">
        <f t="shared" si="1"/>
        <v>18345</v>
      </c>
      <c r="E28" s="24" t="s">
        <v>1149</v>
      </c>
      <c r="F28" s="21" t="str">
        <f t="shared" si="0"/>
        <v>insert into ins_premium_det (premium_rcv_code,assorted_code, rec_amount,premium_rcv_detail_code,remaining_amt, payrec, mode_code,coinsurance_code,class_cd,it_remarks) values</v>
      </c>
      <c r="G28" s="22" t="str">
        <f t="shared" si="2"/>
        <v>('20Nov240019','070000167662','18345',(select max(to_number(i.premium_rcv_detail_code))+1
from ins_premium_det i),'18345','18345','02', '11000003','00','Request by Mr. Saqib Saleem 21-Nov-2024');</v>
      </c>
      <c r="H28" s="23" t="str">
        <f t="shared" si="3"/>
        <v>insert into ins_premium_det (premium_rcv_code,assorted_code, rec_amount,premium_rcv_detail_code,remaining_amt, payrec, mode_code,coinsurance_code,class_cd,it_remarks) values('20Nov240019','070000167662','18345',(select max(to_number(i.premium_rcv_detail_code))+1
from ins_premium_det i),'18345','18345','02', '11000003','00','Request by Mr. Saqib Saleem 21-Nov-2024');</v>
      </c>
    </row>
    <row r="29" spans="1:8" ht="105" x14ac:dyDescent="0.25">
      <c r="A29" s="1" t="s">
        <v>202</v>
      </c>
      <c r="B29" s="19" t="str">
        <f>VLOOKUP(A29,Policy!B:C,2,0)</f>
        <v>070000167656</v>
      </c>
      <c r="C29" s="3">
        <v>22915</v>
      </c>
      <c r="D29" s="20">
        <f t="shared" si="1"/>
        <v>22915</v>
      </c>
      <c r="E29" s="24" t="s">
        <v>1149</v>
      </c>
      <c r="F29" s="21" t="str">
        <f t="shared" si="0"/>
        <v>insert into ins_premium_det (premium_rcv_code,assorted_code, rec_amount,premium_rcv_detail_code,remaining_amt, payrec, mode_code,coinsurance_code,class_cd,it_remarks) values</v>
      </c>
      <c r="G29" s="22" t="str">
        <f t="shared" si="2"/>
        <v>('20Nov240019','070000167656','22915',(select max(to_number(i.premium_rcv_detail_code))+1
from ins_premium_det i),'22915','22915','02', '11000003','00','Request by Mr. Saqib Saleem 21-Nov-2024');</v>
      </c>
      <c r="H29" s="23" t="str">
        <f t="shared" si="3"/>
        <v>insert into ins_premium_det (premium_rcv_code,assorted_code, rec_amount,premium_rcv_detail_code,remaining_amt, payrec, mode_code,coinsurance_code,class_cd,it_remarks) values('20Nov240019','070000167656','22915',(select max(to_number(i.premium_rcv_detail_code))+1
from ins_premium_det i),'22915','22915','02', '11000003','00','Request by Mr. Saqib Saleem 21-Nov-2024');</v>
      </c>
    </row>
    <row r="30" spans="1:8" ht="105" x14ac:dyDescent="0.25">
      <c r="A30" s="1" t="s">
        <v>208</v>
      </c>
      <c r="B30" s="19" t="str">
        <f>VLOOKUP(A30,Policy!B:C,2,0)</f>
        <v>070000167660</v>
      </c>
      <c r="C30" s="3">
        <v>27189</v>
      </c>
      <c r="D30" s="20">
        <f t="shared" si="1"/>
        <v>27189</v>
      </c>
      <c r="E30" s="24" t="s">
        <v>1149</v>
      </c>
      <c r="F30" s="21" t="str">
        <f t="shared" si="0"/>
        <v>insert into ins_premium_det (premium_rcv_code,assorted_code, rec_amount,premium_rcv_detail_code,remaining_amt, payrec, mode_code,coinsurance_code,class_cd,it_remarks) values</v>
      </c>
      <c r="G30" s="22" t="str">
        <f t="shared" si="2"/>
        <v>('20Nov240019','070000167660','27189',(select max(to_number(i.premium_rcv_detail_code))+1
from ins_premium_det i),'27189','27189','02', '11000003','00','Request by Mr. Saqib Saleem 21-Nov-2024');</v>
      </c>
      <c r="H30" s="23" t="str">
        <f t="shared" si="3"/>
        <v>insert into ins_premium_det (premium_rcv_code,assorted_code, rec_amount,premium_rcv_detail_code,remaining_amt, payrec, mode_code,coinsurance_code,class_cd,it_remarks) values('20Nov240019','070000167660','27189',(select max(to_number(i.premium_rcv_detail_code))+1
from ins_premium_det i),'27189','27189','02', '11000003','00','Request by Mr. Saqib Saleem 21-Nov-2024');</v>
      </c>
    </row>
    <row r="31" spans="1:8" ht="105" x14ac:dyDescent="0.25">
      <c r="A31" s="1" t="s">
        <v>215</v>
      </c>
      <c r="B31" s="19" t="str">
        <f>VLOOKUP(A31,Policy!B:C,2,0)</f>
        <v>070000167673</v>
      </c>
      <c r="C31" s="3">
        <v>18097</v>
      </c>
      <c r="D31" s="20">
        <f t="shared" si="1"/>
        <v>18097</v>
      </c>
      <c r="E31" s="24" t="s">
        <v>1149</v>
      </c>
      <c r="F31" s="21" t="str">
        <f t="shared" si="0"/>
        <v>insert into ins_premium_det (premium_rcv_code,assorted_code, rec_amount,premium_rcv_detail_code,remaining_amt, payrec, mode_code,coinsurance_code,class_cd,it_remarks) values</v>
      </c>
      <c r="G31" s="22" t="str">
        <f t="shared" si="2"/>
        <v>('20Nov240019','070000167673','18097',(select max(to_number(i.premium_rcv_detail_code))+1
from ins_premium_det i),'18097','18097','02', '11000003','00','Request by Mr. Saqib Saleem 21-Nov-2024');</v>
      </c>
      <c r="H31" s="23" t="str">
        <f t="shared" si="3"/>
        <v>insert into ins_premium_det (premium_rcv_code,assorted_code, rec_amount,premium_rcv_detail_code,remaining_amt, payrec, mode_code,coinsurance_code,class_cd,it_remarks) values('20Nov240019','070000167673','18097',(select max(to_number(i.premium_rcv_detail_code))+1
from ins_premium_det i),'18097','18097','02', '11000003','00','Request by Mr. Saqib Saleem 21-Nov-2024');</v>
      </c>
    </row>
    <row r="32" spans="1:8" ht="105" x14ac:dyDescent="0.25">
      <c r="A32" s="1" t="s">
        <v>223</v>
      </c>
      <c r="B32" s="19" t="str">
        <f>VLOOKUP(A32,Policy!B:C,2,0)</f>
        <v>070000167803</v>
      </c>
      <c r="C32" s="3">
        <v>66960</v>
      </c>
      <c r="D32" s="20">
        <f t="shared" si="1"/>
        <v>66960</v>
      </c>
      <c r="E32" s="24" t="s">
        <v>1149</v>
      </c>
      <c r="F32" s="21" t="str">
        <f t="shared" si="0"/>
        <v>insert into ins_premium_det (premium_rcv_code,assorted_code, rec_amount,premium_rcv_detail_code,remaining_amt, payrec, mode_code,coinsurance_code,class_cd,it_remarks) values</v>
      </c>
      <c r="G32" s="22" t="str">
        <f t="shared" si="2"/>
        <v>('20Nov240019','070000167803','66960',(select max(to_number(i.premium_rcv_detail_code))+1
from ins_premium_det i),'66960','66960','02', '11000003','00','Request by Mr. Saqib Saleem 21-Nov-2024');</v>
      </c>
      <c r="H32" s="23" t="str">
        <f t="shared" si="3"/>
        <v>insert into ins_premium_det (premium_rcv_code,assorted_code, rec_amount,premium_rcv_detail_code,remaining_amt, payrec, mode_code,coinsurance_code,class_cd,it_remarks) values('20Nov240019','070000167803','66960',(select max(to_number(i.premium_rcv_detail_code))+1
from ins_premium_det i),'66960','66960','02', '11000003','00','Request by Mr. Saqib Saleem 21-Nov-2024');</v>
      </c>
    </row>
    <row r="33" spans="1:8" ht="105" x14ac:dyDescent="0.25">
      <c r="A33" s="1" t="s">
        <v>230</v>
      </c>
      <c r="B33" s="19" t="str">
        <f>VLOOKUP(A33,Policy!B:C,2,0)</f>
        <v>070000167800</v>
      </c>
      <c r="C33" s="3">
        <v>48989</v>
      </c>
      <c r="D33" s="20">
        <f t="shared" si="1"/>
        <v>48989</v>
      </c>
      <c r="E33" s="24" t="s">
        <v>1149</v>
      </c>
      <c r="F33" s="21" t="str">
        <f t="shared" si="0"/>
        <v>insert into ins_premium_det (premium_rcv_code,assorted_code, rec_amount,premium_rcv_detail_code,remaining_amt, payrec, mode_code,coinsurance_code,class_cd,it_remarks) values</v>
      </c>
      <c r="G33" s="22" t="str">
        <f t="shared" si="2"/>
        <v>('20Nov240019','070000167800','48989',(select max(to_number(i.premium_rcv_detail_code))+1
from ins_premium_det i),'48989','48989','02', '11000003','00','Request by Mr. Saqib Saleem 21-Nov-2024');</v>
      </c>
      <c r="H33" s="23" t="str">
        <f t="shared" si="3"/>
        <v>insert into ins_premium_det (premium_rcv_code,assorted_code, rec_amount,premium_rcv_detail_code,remaining_amt, payrec, mode_code,coinsurance_code,class_cd,it_remarks) values('20Nov240019','070000167800','48989',(select max(to_number(i.premium_rcv_detail_code))+1
from ins_premium_det i),'48989','48989','02', '11000003','00','Request by Mr. Saqib Saleem 21-Nov-2024');</v>
      </c>
    </row>
    <row r="34" spans="1:8" ht="105" x14ac:dyDescent="0.25">
      <c r="A34" s="1" t="s">
        <v>237</v>
      </c>
      <c r="B34" s="19" t="str">
        <f>VLOOKUP(A34,Policy!B:C,2,0)</f>
        <v>070000167802</v>
      </c>
      <c r="C34" s="3">
        <v>43997</v>
      </c>
      <c r="D34" s="20">
        <f t="shared" si="1"/>
        <v>43997</v>
      </c>
      <c r="E34" s="24" t="s">
        <v>1149</v>
      </c>
      <c r="F34" s="21" t="str">
        <f t="shared" si="0"/>
        <v>insert into ins_premium_det (premium_rcv_code,assorted_code, rec_amount,premium_rcv_detail_code,remaining_amt, payrec, mode_code,coinsurance_code,class_cd,it_remarks) values</v>
      </c>
      <c r="G34" s="22" t="str">
        <f t="shared" si="2"/>
        <v>('20Nov240019','070000167802','43997',(select max(to_number(i.premium_rcv_detail_code))+1
from ins_premium_det i),'43997','43997','02', '11000003','00','Request by Mr. Saqib Saleem 21-Nov-2024');</v>
      </c>
      <c r="H34" s="23" t="str">
        <f t="shared" si="3"/>
        <v>insert into ins_premium_det (premium_rcv_code,assorted_code, rec_amount,premium_rcv_detail_code,remaining_amt, payrec, mode_code,coinsurance_code,class_cd,it_remarks) values('20Nov240019','070000167802','43997',(select max(to_number(i.premium_rcv_detail_code))+1
from ins_premium_det i),'43997','43997','02', '11000003','00','Request by Mr. Saqib Saleem 21-Nov-2024');</v>
      </c>
    </row>
    <row r="35" spans="1:8" ht="105" x14ac:dyDescent="0.25">
      <c r="A35" s="1" t="s">
        <v>244</v>
      </c>
      <c r="B35" s="19" t="str">
        <f>VLOOKUP(A35,Policy!B:C,2,0)</f>
        <v>070000167801</v>
      </c>
      <c r="C35" s="3">
        <v>43981</v>
      </c>
      <c r="D35" s="20">
        <f t="shared" si="1"/>
        <v>43981</v>
      </c>
      <c r="E35" s="24" t="s">
        <v>1149</v>
      </c>
      <c r="F35" s="21" t="str">
        <f t="shared" si="0"/>
        <v>insert into ins_premium_det (premium_rcv_code,assorted_code, rec_amount,premium_rcv_detail_code,remaining_amt, payrec, mode_code,coinsurance_code,class_cd,it_remarks) values</v>
      </c>
      <c r="G35" s="22" t="str">
        <f t="shared" si="2"/>
        <v>('20Nov240019','070000167801','43981',(select max(to_number(i.premium_rcv_detail_code))+1
from ins_premium_det i),'43981','43981','02', '11000003','00','Request by Mr. Saqib Saleem 21-Nov-2024');</v>
      </c>
      <c r="H35" s="23" t="str">
        <f t="shared" si="3"/>
        <v>insert into ins_premium_det (premium_rcv_code,assorted_code, rec_amount,premium_rcv_detail_code,remaining_amt, payrec, mode_code,coinsurance_code,class_cd,it_remarks) values('20Nov240019','070000167801','43981',(select max(to_number(i.premium_rcv_detail_code))+1
from ins_premium_det i),'43981','43981','02', '11000003','00','Request by Mr. Saqib Saleem 21-Nov-2024');</v>
      </c>
    </row>
    <row r="36" spans="1:8" ht="105" x14ac:dyDescent="0.25">
      <c r="A36" s="1" t="s">
        <v>252</v>
      </c>
      <c r="B36" s="19" t="str">
        <f>VLOOKUP(A36,Policy!B:C,2,0)</f>
        <v>070000167686</v>
      </c>
      <c r="C36" s="3">
        <v>25191</v>
      </c>
      <c r="D36" s="20">
        <f t="shared" si="1"/>
        <v>25191</v>
      </c>
      <c r="E36" s="24" t="s">
        <v>1149</v>
      </c>
      <c r="F36" s="21" t="str">
        <f t="shared" si="0"/>
        <v>insert into ins_premium_det (premium_rcv_code,assorted_code, rec_amount,premium_rcv_detail_code,remaining_amt, payrec, mode_code,coinsurance_code,class_cd,it_remarks) values</v>
      </c>
      <c r="G36" s="22" t="str">
        <f t="shared" si="2"/>
        <v>('20Nov240019','070000167686','25191',(select max(to_number(i.premium_rcv_detail_code))+1
from ins_premium_det i),'25191','25191','02', '11000003','00','Request by Mr. Saqib Saleem 21-Nov-2024');</v>
      </c>
      <c r="H36" s="23" t="str">
        <f t="shared" si="3"/>
        <v>insert into ins_premium_det (premium_rcv_code,assorted_code, rec_amount,premium_rcv_detail_code,remaining_amt, payrec, mode_code,coinsurance_code,class_cd,it_remarks) values('20Nov240019','070000167686','25191',(select max(to_number(i.premium_rcv_detail_code))+1
from ins_premium_det i),'25191','25191','02', '11000003','00','Request by Mr. Saqib Saleem 21-Nov-2024');</v>
      </c>
    </row>
    <row r="37" spans="1:8" ht="105" x14ac:dyDescent="0.25">
      <c r="A37" s="1" t="s">
        <v>260</v>
      </c>
      <c r="B37" s="19" t="str">
        <f>VLOOKUP(A37,Policy!B:C,2,0)</f>
        <v>070000167707</v>
      </c>
      <c r="C37" s="3">
        <v>29415</v>
      </c>
      <c r="D37" s="20">
        <f t="shared" si="1"/>
        <v>29415</v>
      </c>
      <c r="E37" s="24" t="s">
        <v>1149</v>
      </c>
      <c r="F37" s="21" t="str">
        <f t="shared" si="0"/>
        <v>insert into ins_premium_det (premium_rcv_code,assorted_code, rec_amount,premium_rcv_detail_code,remaining_amt, payrec, mode_code,coinsurance_code,class_cd,it_remarks) values</v>
      </c>
      <c r="G37" s="22" t="str">
        <f t="shared" si="2"/>
        <v>('20Nov240019','070000167707','29415',(select max(to_number(i.premium_rcv_detail_code))+1
from ins_premium_det i),'29415','29415','02', '11000003','00','Request by Mr. Saqib Saleem 21-Nov-2024');</v>
      </c>
      <c r="H37" s="23" t="str">
        <f t="shared" si="3"/>
        <v>insert into ins_premium_det (premium_rcv_code,assorted_code, rec_amount,premium_rcv_detail_code,remaining_amt, payrec, mode_code,coinsurance_code,class_cd,it_remarks) values('20Nov240019','070000167707','29415',(select max(to_number(i.premium_rcv_detail_code))+1
from ins_premium_det i),'29415','29415','02', '11000003','00','Request by Mr. Saqib Saleem 21-Nov-2024');</v>
      </c>
    </row>
    <row r="38" spans="1:8" ht="105" x14ac:dyDescent="0.25">
      <c r="A38" s="1" t="s">
        <v>267</v>
      </c>
      <c r="B38" s="19" t="str">
        <f>VLOOKUP(A38,Policy!B:C,2,0)</f>
        <v>070000167709</v>
      </c>
      <c r="C38" s="3">
        <v>38880</v>
      </c>
      <c r="D38" s="20">
        <f t="shared" si="1"/>
        <v>38880</v>
      </c>
      <c r="E38" s="24" t="s">
        <v>1149</v>
      </c>
      <c r="F38" s="21" t="str">
        <f t="shared" si="0"/>
        <v>insert into ins_premium_det (premium_rcv_code,assorted_code, rec_amount,premium_rcv_detail_code,remaining_amt, payrec, mode_code,coinsurance_code,class_cd,it_remarks) values</v>
      </c>
      <c r="G38" s="22" t="str">
        <f t="shared" si="2"/>
        <v>('20Nov240019','070000167709','38880',(select max(to_number(i.premium_rcv_detail_code))+1
from ins_premium_det i),'38880','38880','02', '11000003','00','Request by Mr. Saqib Saleem 21-Nov-2024');</v>
      </c>
      <c r="H38" s="23" t="str">
        <f t="shared" si="3"/>
        <v>insert into ins_premium_det (premium_rcv_code,assorted_code, rec_amount,premium_rcv_detail_code,remaining_amt, payrec, mode_code,coinsurance_code,class_cd,it_remarks) values('20Nov240019','070000167709','38880',(select max(to_number(i.premium_rcv_detail_code))+1
from ins_premium_det i),'38880','38880','02', '11000003','00','Request by Mr. Saqib Saleem 21-Nov-2024');</v>
      </c>
    </row>
    <row r="39" spans="1:8" ht="105" x14ac:dyDescent="0.25">
      <c r="A39" s="1" t="s">
        <v>273</v>
      </c>
      <c r="B39" s="19" t="str">
        <f>VLOOKUP(A39,Policy!B:C,2,0)</f>
        <v>070000167711</v>
      </c>
      <c r="C39" s="3">
        <v>20351</v>
      </c>
      <c r="D39" s="20">
        <f t="shared" si="1"/>
        <v>20351</v>
      </c>
      <c r="E39" s="24" t="s">
        <v>1149</v>
      </c>
      <c r="F39" s="21" t="str">
        <f t="shared" si="0"/>
        <v>insert into ins_premium_det (premium_rcv_code,assorted_code, rec_amount,premium_rcv_detail_code,remaining_amt, payrec, mode_code,coinsurance_code,class_cd,it_remarks) values</v>
      </c>
      <c r="G39" s="22" t="str">
        <f t="shared" si="2"/>
        <v>('20Nov240019','070000167711','20351',(select max(to_number(i.premium_rcv_detail_code))+1
from ins_premium_det i),'20351','20351','02', '11000003','00','Request by Mr. Saqib Saleem 21-Nov-2024');</v>
      </c>
      <c r="H39" s="23" t="str">
        <f t="shared" si="3"/>
        <v>insert into ins_premium_det (premium_rcv_code,assorted_code, rec_amount,premium_rcv_detail_code,remaining_amt, payrec, mode_code,coinsurance_code,class_cd,it_remarks) values('20Nov240019','070000167711','20351',(select max(to_number(i.premium_rcv_detail_code))+1
from ins_premium_det i),'20351','20351','02', '11000003','00','Request by Mr. Saqib Saleem 21-Nov-2024');</v>
      </c>
    </row>
    <row r="40" spans="1:8" ht="105" x14ac:dyDescent="0.25">
      <c r="A40" s="1" t="s">
        <v>280</v>
      </c>
      <c r="B40" s="19" t="str">
        <f>VLOOKUP(A40,Policy!B:C,2,0)</f>
        <v>070000167705</v>
      </c>
      <c r="C40" s="3">
        <v>31153</v>
      </c>
      <c r="D40" s="20">
        <f t="shared" si="1"/>
        <v>31153</v>
      </c>
      <c r="E40" s="24" t="s">
        <v>1149</v>
      </c>
      <c r="F40" s="21" t="str">
        <f t="shared" si="0"/>
        <v>insert into ins_premium_det (premium_rcv_code,assorted_code, rec_amount,premium_rcv_detail_code,remaining_amt, payrec, mode_code,coinsurance_code,class_cd,it_remarks) values</v>
      </c>
      <c r="G40" s="22" t="str">
        <f t="shared" si="2"/>
        <v>('20Nov240019','070000167705','31153',(select max(to_number(i.premium_rcv_detail_code))+1
from ins_premium_det i),'31153','31153','02', '11000003','00','Request by Mr. Saqib Saleem 21-Nov-2024');</v>
      </c>
      <c r="H40" s="23" t="str">
        <f t="shared" si="3"/>
        <v>insert into ins_premium_det (premium_rcv_code,assorted_code, rec_amount,premium_rcv_detail_code,remaining_amt, payrec, mode_code,coinsurance_code,class_cd,it_remarks) values('20Nov240019','070000167705','31153',(select max(to_number(i.premium_rcv_detail_code))+1
from ins_premium_det i),'31153','31153','02', '11000003','00','Request by Mr. Saqib Saleem 21-Nov-2024');</v>
      </c>
    </row>
    <row r="41" spans="1:8" ht="105" x14ac:dyDescent="0.25">
      <c r="A41" s="1" t="s">
        <v>287</v>
      </c>
      <c r="B41" s="19" t="str">
        <f>VLOOKUP(A41,Policy!B:C,2,0)</f>
        <v>070000167708</v>
      </c>
      <c r="C41" s="3">
        <v>15868</v>
      </c>
      <c r="D41" s="20">
        <f t="shared" si="1"/>
        <v>15868</v>
      </c>
      <c r="E41" s="24" t="s">
        <v>1149</v>
      </c>
      <c r="F41" s="21" t="str">
        <f t="shared" si="0"/>
        <v>insert into ins_premium_det (premium_rcv_code,assorted_code, rec_amount,premium_rcv_detail_code,remaining_amt, payrec, mode_code,coinsurance_code,class_cd,it_remarks) values</v>
      </c>
      <c r="G41" s="22" t="str">
        <f t="shared" si="2"/>
        <v>('20Nov240019','070000167708','15868',(select max(to_number(i.premium_rcv_detail_code))+1
from ins_premium_det i),'15868','15868','02', '11000003','00','Request by Mr. Saqib Saleem 21-Nov-2024');</v>
      </c>
      <c r="H41" s="23" t="str">
        <f t="shared" si="3"/>
        <v>insert into ins_premium_det (premium_rcv_code,assorted_code, rec_amount,premium_rcv_detail_code,remaining_amt, payrec, mode_code,coinsurance_code,class_cd,it_remarks) values('20Nov240019','070000167708','15868',(select max(to_number(i.premium_rcv_detail_code))+1
from ins_premium_det i),'15868','15868','02', '11000003','00','Request by Mr. Saqib Saleem 21-Nov-2024');</v>
      </c>
    </row>
    <row r="42" spans="1:8" ht="105" x14ac:dyDescent="0.25">
      <c r="A42" s="1" t="s">
        <v>293</v>
      </c>
      <c r="B42" s="19" t="str">
        <f>VLOOKUP(A42,Policy!B:C,2,0)</f>
        <v>070000167706</v>
      </c>
      <c r="C42" s="3">
        <v>29415</v>
      </c>
      <c r="D42" s="20">
        <f t="shared" si="1"/>
        <v>29415</v>
      </c>
      <c r="E42" s="24" t="s">
        <v>1149</v>
      </c>
      <c r="F42" s="21" t="str">
        <f t="shared" si="0"/>
        <v>insert into ins_premium_det (premium_rcv_code,assorted_code, rec_amount,premium_rcv_detail_code,remaining_amt, payrec, mode_code,coinsurance_code,class_cd,it_remarks) values</v>
      </c>
      <c r="G42" s="22" t="str">
        <f t="shared" si="2"/>
        <v>('20Nov240019','070000167706','29415',(select max(to_number(i.premium_rcv_detail_code))+1
from ins_premium_det i),'29415','29415','02', '11000003','00','Request by Mr. Saqib Saleem 21-Nov-2024');</v>
      </c>
      <c r="H42" s="23" t="str">
        <f t="shared" si="3"/>
        <v>insert into ins_premium_det (premium_rcv_code,assorted_code, rec_amount,premium_rcv_detail_code,remaining_amt, payrec, mode_code,coinsurance_code,class_cd,it_remarks) values('20Nov240019','070000167706','29415',(select max(to_number(i.premium_rcv_detail_code))+1
from ins_premium_det i),'29415','29415','02', '11000003','00','Request by Mr. Saqib Saleem 21-Nov-2024');</v>
      </c>
    </row>
    <row r="43" spans="1:8" ht="105" x14ac:dyDescent="0.25">
      <c r="A43" s="1" t="s">
        <v>300</v>
      </c>
      <c r="B43" s="19" t="str">
        <f>VLOOKUP(A43,Policy!B:C,2,0)</f>
        <v>070000167704</v>
      </c>
      <c r="C43" s="3">
        <v>38637</v>
      </c>
      <c r="D43" s="20">
        <f t="shared" si="1"/>
        <v>38637</v>
      </c>
      <c r="E43" s="24" t="s">
        <v>1149</v>
      </c>
      <c r="F43" s="21" t="str">
        <f t="shared" si="0"/>
        <v>insert into ins_premium_det (premium_rcv_code,assorted_code, rec_amount,premium_rcv_detail_code,remaining_amt, payrec, mode_code,coinsurance_code,class_cd,it_remarks) values</v>
      </c>
      <c r="G43" s="22" t="str">
        <f t="shared" si="2"/>
        <v>('20Nov240019','070000167704','38637',(select max(to_number(i.premium_rcv_detail_code))+1
from ins_premium_det i),'38637','38637','02', '11000003','00','Request by Mr. Saqib Saleem 21-Nov-2024');</v>
      </c>
      <c r="H43" s="23" t="str">
        <f t="shared" si="3"/>
        <v>insert into ins_premium_det (premium_rcv_code,assorted_code, rec_amount,premium_rcv_detail_code,remaining_amt, payrec, mode_code,coinsurance_code,class_cd,it_remarks) values('20Nov240019','070000167704','38637',(select max(to_number(i.premium_rcv_detail_code))+1
from ins_premium_det i),'38637','38637','02', '11000003','00','Request by Mr. Saqib Saleem 21-Nov-2024');</v>
      </c>
    </row>
    <row r="44" spans="1:8" ht="105" x14ac:dyDescent="0.25">
      <c r="A44" s="1" t="s">
        <v>307</v>
      </c>
      <c r="B44" s="19" t="str">
        <f>VLOOKUP(A44,Policy!B:C,2,0)</f>
        <v>070000167710</v>
      </c>
      <c r="C44" s="3">
        <v>31213</v>
      </c>
      <c r="D44" s="20">
        <f t="shared" si="1"/>
        <v>31213</v>
      </c>
      <c r="E44" s="24" t="s">
        <v>1149</v>
      </c>
      <c r="F44" s="21" t="str">
        <f t="shared" si="0"/>
        <v>insert into ins_premium_det (premium_rcv_code,assorted_code, rec_amount,premium_rcv_detail_code,remaining_amt, payrec, mode_code,coinsurance_code,class_cd,it_remarks) values</v>
      </c>
      <c r="G44" s="22" t="str">
        <f t="shared" si="2"/>
        <v>('20Nov240019','070000167710','31213',(select max(to_number(i.premium_rcv_detail_code))+1
from ins_premium_det i),'31213','31213','02', '11000003','00','Request by Mr. Saqib Saleem 21-Nov-2024');</v>
      </c>
      <c r="H44" s="23" t="str">
        <f t="shared" si="3"/>
        <v>insert into ins_premium_det (premium_rcv_code,assorted_code, rec_amount,premium_rcv_detail_code,remaining_amt, payrec, mode_code,coinsurance_code,class_cd,it_remarks) values('20Nov240019','070000167710','31213',(select max(to_number(i.premium_rcv_detail_code))+1
from ins_premium_det i),'31213','31213','02', '11000003','00','Request by Mr. Saqib Saleem 21-Nov-2024');</v>
      </c>
    </row>
    <row r="45" spans="1:8" ht="105" x14ac:dyDescent="0.25">
      <c r="A45" s="1" t="s">
        <v>313</v>
      </c>
      <c r="B45" s="19" t="str">
        <f>VLOOKUP(A45,Policy!B:C,2,0)</f>
        <v>070000167716</v>
      </c>
      <c r="C45" s="3">
        <v>34425</v>
      </c>
      <c r="D45" s="20">
        <f t="shared" si="1"/>
        <v>34425</v>
      </c>
      <c r="E45" s="24" t="s">
        <v>1149</v>
      </c>
      <c r="F45" s="21" t="str">
        <f t="shared" si="0"/>
        <v>insert into ins_premium_det (premium_rcv_code,assorted_code, rec_amount,premium_rcv_detail_code,remaining_amt, payrec, mode_code,coinsurance_code,class_cd,it_remarks) values</v>
      </c>
      <c r="G45" s="22" t="str">
        <f t="shared" si="2"/>
        <v>('20Nov240019','070000167716','34425',(select max(to_number(i.premium_rcv_detail_code))+1
from ins_premium_det i),'34425','34425','02', '11000003','00','Request by Mr. Saqib Saleem 21-Nov-2024');</v>
      </c>
      <c r="H45" s="23" t="str">
        <f t="shared" si="3"/>
        <v>insert into ins_premium_det (premium_rcv_code,assorted_code, rec_amount,premium_rcv_detail_code,remaining_amt, payrec, mode_code,coinsurance_code,class_cd,it_remarks) values('20Nov240019','070000167716','34425',(select max(to_number(i.premium_rcv_detail_code))+1
from ins_premium_det i),'34425','34425','02', '11000003','00','Request by Mr. Saqib Saleem 21-Nov-2024');</v>
      </c>
    </row>
    <row r="46" spans="1:8" ht="105" x14ac:dyDescent="0.25">
      <c r="A46" s="1" t="s">
        <v>319</v>
      </c>
      <c r="B46" s="19" t="str">
        <f>VLOOKUP(A46,Policy!B:C,2,0)</f>
        <v>070000167688</v>
      </c>
      <c r="C46" s="3">
        <v>35262</v>
      </c>
      <c r="D46" s="20">
        <f t="shared" si="1"/>
        <v>35262</v>
      </c>
      <c r="E46" s="24" t="s">
        <v>1149</v>
      </c>
      <c r="F46" s="21" t="str">
        <f t="shared" si="0"/>
        <v>insert into ins_premium_det (premium_rcv_code,assorted_code, rec_amount,premium_rcv_detail_code,remaining_amt, payrec, mode_code,coinsurance_code,class_cd,it_remarks) values</v>
      </c>
      <c r="G46" s="22" t="str">
        <f t="shared" si="2"/>
        <v>('20Nov240019','070000167688','35262',(select max(to_number(i.premium_rcv_detail_code))+1
from ins_premium_det i),'35262','35262','02', '11000003','00','Request by Mr. Saqib Saleem 21-Nov-2024');</v>
      </c>
      <c r="H46" s="23" t="str">
        <f t="shared" si="3"/>
        <v>insert into ins_premium_det (premium_rcv_code,assorted_code, rec_amount,premium_rcv_detail_code,remaining_amt, payrec, mode_code,coinsurance_code,class_cd,it_remarks) values('20Nov240019','070000167688','35262',(select max(to_number(i.premium_rcv_detail_code))+1
from ins_premium_det i),'35262','35262','02', '11000003','00','Request by Mr. Saqib Saleem 21-Nov-2024');</v>
      </c>
    </row>
    <row r="47" spans="1:8" ht="105" x14ac:dyDescent="0.25">
      <c r="A47" s="1" t="s">
        <v>325</v>
      </c>
      <c r="B47" s="19" t="str">
        <f>VLOOKUP(A47,Policy!B:C,2,0)</f>
        <v>070000167713</v>
      </c>
      <c r="C47" s="3">
        <v>39623</v>
      </c>
      <c r="D47" s="20">
        <f t="shared" si="1"/>
        <v>39623</v>
      </c>
      <c r="E47" s="24" t="s">
        <v>1149</v>
      </c>
      <c r="F47" s="21" t="str">
        <f t="shared" si="0"/>
        <v>insert into ins_premium_det (premium_rcv_code,assorted_code, rec_amount,premium_rcv_detail_code,remaining_amt, payrec, mode_code,coinsurance_code,class_cd,it_remarks) values</v>
      </c>
      <c r="G47" s="22" t="str">
        <f t="shared" si="2"/>
        <v>('20Nov240019','070000167713','39623',(select max(to_number(i.premium_rcv_detail_code))+1
from ins_premium_det i),'39623','39623','02', '11000003','00','Request by Mr. Saqib Saleem 21-Nov-2024');</v>
      </c>
      <c r="H47" s="23" t="str">
        <f t="shared" si="3"/>
        <v>insert into ins_premium_det (premium_rcv_code,assorted_code, rec_amount,premium_rcv_detail_code,remaining_amt, payrec, mode_code,coinsurance_code,class_cd,it_remarks) values('20Nov240019','070000167713','39623',(select max(to_number(i.premium_rcv_detail_code))+1
from ins_premium_det i),'39623','39623','02', '11000003','00','Request by Mr. Saqib Saleem 21-Nov-2024');</v>
      </c>
    </row>
    <row r="48" spans="1:8" ht="105" x14ac:dyDescent="0.25">
      <c r="A48" s="1" t="s">
        <v>331</v>
      </c>
      <c r="B48" s="19" t="str">
        <f>VLOOKUP(A48,Policy!B:C,2,0)</f>
        <v>070000167714</v>
      </c>
      <c r="C48" s="3">
        <v>46062</v>
      </c>
      <c r="D48" s="20">
        <f t="shared" si="1"/>
        <v>46062</v>
      </c>
      <c r="E48" s="24" t="s">
        <v>1149</v>
      </c>
      <c r="F48" s="21" t="str">
        <f t="shared" si="0"/>
        <v>insert into ins_premium_det (premium_rcv_code,assorted_code, rec_amount,premium_rcv_detail_code,remaining_amt, payrec, mode_code,coinsurance_code,class_cd,it_remarks) values</v>
      </c>
      <c r="G48" s="22" t="str">
        <f t="shared" si="2"/>
        <v>('20Nov240019','070000167714','46062',(select max(to_number(i.premium_rcv_detail_code))+1
from ins_premium_det i),'46062','46062','02', '11000003','00','Request by Mr. Saqib Saleem 21-Nov-2024');</v>
      </c>
      <c r="H48" s="23" t="str">
        <f t="shared" si="3"/>
        <v>insert into ins_premium_det (premium_rcv_code,assorted_code, rec_amount,premium_rcv_detail_code,remaining_amt, payrec, mode_code,coinsurance_code,class_cd,it_remarks) values('20Nov240019','070000167714','46062',(select max(to_number(i.premium_rcv_detail_code))+1
from ins_premium_det i),'46062','46062','02', '11000003','00','Request by Mr. Saqib Saleem 21-Nov-2024');</v>
      </c>
    </row>
    <row r="49" spans="1:8" ht="105" x14ac:dyDescent="0.25">
      <c r="A49" s="1" t="s">
        <v>337</v>
      </c>
      <c r="B49" s="19" t="str">
        <f>VLOOKUP(A49,Policy!B:C,2,0)</f>
        <v>070000167715</v>
      </c>
      <c r="C49" s="3">
        <v>81317</v>
      </c>
      <c r="D49" s="20">
        <f t="shared" si="1"/>
        <v>81317</v>
      </c>
      <c r="E49" s="24" t="s">
        <v>1149</v>
      </c>
      <c r="F49" s="21" t="str">
        <f t="shared" si="0"/>
        <v>insert into ins_premium_det (premium_rcv_code,assorted_code, rec_amount,premium_rcv_detail_code,remaining_amt, payrec, mode_code,coinsurance_code,class_cd,it_remarks) values</v>
      </c>
      <c r="G49" s="22" t="str">
        <f t="shared" si="2"/>
        <v>('20Nov240019','070000167715','81317',(select max(to_number(i.premium_rcv_detail_code))+1
from ins_premium_det i),'81317','81317','02', '11000003','00','Request by Mr. Saqib Saleem 21-Nov-2024');</v>
      </c>
      <c r="H49" s="23" t="str">
        <f t="shared" si="3"/>
        <v>insert into ins_premium_det (premium_rcv_code,assorted_code, rec_amount,premium_rcv_detail_code,remaining_amt, payrec, mode_code,coinsurance_code,class_cd,it_remarks) values('20Nov240019','070000167715','81317',(select max(to_number(i.premium_rcv_detail_code))+1
from ins_premium_det i),'81317','81317','02', '11000003','00','Request by Mr. Saqib Saleem 21-Nov-2024');</v>
      </c>
    </row>
    <row r="50" spans="1:8" ht="105" x14ac:dyDescent="0.25">
      <c r="A50" s="1" t="s">
        <v>343</v>
      </c>
      <c r="B50" s="19" t="str">
        <f>VLOOKUP(A50,Policy!B:C,2,0)</f>
        <v>070000167712</v>
      </c>
      <c r="C50" s="3">
        <v>29700</v>
      </c>
      <c r="D50" s="20">
        <f t="shared" si="1"/>
        <v>29700</v>
      </c>
      <c r="E50" s="24" t="s">
        <v>1149</v>
      </c>
      <c r="F50" s="21" t="str">
        <f t="shared" si="0"/>
        <v>insert into ins_premium_det (premium_rcv_code,assorted_code, rec_amount,premium_rcv_detail_code,remaining_amt, payrec, mode_code,coinsurance_code,class_cd,it_remarks) values</v>
      </c>
      <c r="G50" s="22" t="str">
        <f t="shared" si="2"/>
        <v>('20Nov240019','070000167712','29700',(select max(to_number(i.premium_rcv_detail_code))+1
from ins_premium_det i),'29700','29700','02', '11000003','00','Request by Mr. Saqib Saleem 21-Nov-2024');</v>
      </c>
      <c r="H50" s="23" t="str">
        <f t="shared" si="3"/>
        <v>insert into ins_premium_det (premium_rcv_code,assorted_code, rec_amount,premium_rcv_detail_code,remaining_amt, payrec, mode_code,coinsurance_code,class_cd,it_remarks) values('20Nov240019','070000167712','29700',(select max(to_number(i.premium_rcv_detail_code))+1
from ins_premium_det i),'29700','29700','02', '11000003','00','Request by Mr. Saqib Saleem 21-Nov-2024');</v>
      </c>
    </row>
    <row r="51" spans="1:8" ht="105" x14ac:dyDescent="0.25">
      <c r="A51" s="1" t="s">
        <v>349</v>
      </c>
      <c r="B51" t="s">
        <v>1148</v>
      </c>
      <c r="C51" s="3">
        <v>14621</v>
      </c>
      <c r="D51" s="20">
        <f t="shared" si="1"/>
        <v>14621</v>
      </c>
      <c r="E51" s="24" t="s">
        <v>1149</v>
      </c>
      <c r="F51" s="21" t="str">
        <f t="shared" si="0"/>
        <v>insert into ins_premium_det (premium_rcv_code,assorted_code, rec_amount,premium_rcv_detail_code,remaining_amt, payrec, mode_code,coinsurance_code,class_cd,it_remarks) values</v>
      </c>
      <c r="G51" s="22" t="str">
        <f t="shared" si="2"/>
        <v>('20Nov240019','040000189796','14621',(select max(to_number(i.premium_rcv_detail_code))+1
from ins_premium_det i),'14621','14621','02', '11000003','00','Request by Mr. Saqib Saleem 21-Nov-2024');</v>
      </c>
      <c r="H51" s="23" t="str">
        <f t="shared" si="3"/>
        <v>insert into ins_premium_det (premium_rcv_code,assorted_code, rec_amount,premium_rcv_detail_code,remaining_amt, payrec, mode_code,coinsurance_code,class_cd,it_remarks) values('20Nov240019','040000189796','14621',(select max(to_number(i.premium_rcv_detail_code))+1
from ins_premium_det i),'14621','14621','02', '11000003','00','Request by Mr. Saqib Saleem 21-Nov-2024');</v>
      </c>
    </row>
    <row r="52" spans="1:8" ht="105" x14ac:dyDescent="0.25">
      <c r="A52" s="1" t="s">
        <v>356</v>
      </c>
      <c r="B52" s="19" t="str">
        <f>VLOOKUP(A52,Policy!B:C,2,0)</f>
        <v>070000167691</v>
      </c>
      <c r="C52" s="3">
        <v>58065</v>
      </c>
      <c r="D52" s="20">
        <f t="shared" si="1"/>
        <v>58065</v>
      </c>
      <c r="E52" s="24" t="s">
        <v>1149</v>
      </c>
      <c r="F52" s="21" t="str">
        <f t="shared" si="0"/>
        <v>insert into ins_premium_det (premium_rcv_code,assorted_code, rec_amount,premium_rcv_detail_code,remaining_amt, payrec, mode_code,coinsurance_code,class_cd,it_remarks) values</v>
      </c>
      <c r="G52" s="22" t="str">
        <f t="shared" si="2"/>
        <v>('20Nov240019','070000167691','58065',(select max(to_number(i.premium_rcv_detail_code))+1
from ins_premium_det i),'58065','58065','02', '11000003','00','Request by Mr. Saqib Saleem 21-Nov-2024');</v>
      </c>
      <c r="H52" s="23" t="str">
        <f t="shared" si="3"/>
        <v>insert into ins_premium_det (premium_rcv_code,assorted_code, rec_amount,premium_rcv_detail_code,remaining_amt, payrec, mode_code,coinsurance_code,class_cd,it_remarks) values('20Nov240019','070000167691','58065',(select max(to_number(i.premium_rcv_detail_code))+1
from ins_premium_det i),'58065','58065','02', '11000003','00','Request by Mr. Saqib Saleem 21-Nov-2024');</v>
      </c>
    </row>
    <row r="53" spans="1:8" ht="105" x14ac:dyDescent="0.25">
      <c r="A53" s="1" t="s">
        <v>363</v>
      </c>
      <c r="B53" s="19" t="str">
        <f>VLOOKUP(A53,Policy!B:C,2,0)</f>
        <v>070000167690</v>
      </c>
      <c r="C53" s="3">
        <v>21061</v>
      </c>
      <c r="D53" s="20">
        <f t="shared" si="1"/>
        <v>21061</v>
      </c>
      <c r="E53" s="24" t="s">
        <v>1149</v>
      </c>
      <c r="F53" s="21" t="str">
        <f t="shared" si="0"/>
        <v>insert into ins_premium_det (premium_rcv_code,assorted_code, rec_amount,premium_rcv_detail_code,remaining_amt, payrec, mode_code,coinsurance_code,class_cd,it_remarks) values</v>
      </c>
      <c r="G53" s="22" t="str">
        <f t="shared" si="2"/>
        <v>('20Nov240019','070000167690','21061',(select max(to_number(i.premium_rcv_detail_code))+1
from ins_premium_det i),'21061','21061','02', '11000003','00','Request by Mr. Saqib Saleem 21-Nov-2024');</v>
      </c>
      <c r="H53" s="23" t="str">
        <f t="shared" si="3"/>
        <v>insert into ins_premium_det (premium_rcv_code,assorted_code, rec_amount,premium_rcv_detail_code,remaining_amt, payrec, mode_code,coinsurance_code,class_cd,it_remarks) values('20Nov240019','070000167690','21061',(select max(to_number(i.premium_rcv_detail_code))+1
from ins_premium_det i),'21061','21061','02', '11000003','00','Request by Mr. Saqib Saleem 21-Nov-2024');</v>
      </c>
    </row>
    <row r="54" spans="1:8" ht="105" x14ac:dyDescent="0.25">
      <c r="A54" s="1" t="s">
        <v>369</v>
      </c>
      <c r="B54" s="19" t="str">
        <f>VLOOKUP(A54,Policy!B:C,2,0)</f>
        <v>070000167692</v>
      </c>
      <c r="C54" s="3">
        <v>21061</v>
      </c>
      <c r="D54" s="20">
        <f t="shared" si="1"/>
        <v>21061</v>
      </c>
      <c r="E54" s="24" t="s">
        <v>1149</v>
      </c>
      <c r="F54" s="21" t="str">
        <f t="shared" si="0"/>
        <v>insert into ins_premium_det (premium_rcv_code,assorted_code, rec_amount,premium_rcv_detail_code,remaining_amt, payrec, mode_code,coinsurance_code,class_cd,it_remarks) values</v>
      </c>
      <c r="G54" s="22" t="str">
        <f t="shared" si="2"/>
        <v>('20Nov240019','070000167692','21061',(select max(to_number(i.premium_rcv_detail_code))+1
from ins_premium_det i),'21061','21061','02', '11000003','00','Request by Mr. Saqib Saleem 21-Nov-2024');</v>
      </c>
      <c r="H54" s="23" t="str">
        <f t="shared" si="3"/>
        <v>insert into ins_premium_det (premium_rcv_code,assorted_code, rec_amount,premium_rcv_detail_code,remaining_amt, payrec, mode_code,coinsurance_code,class_cd,it_remarks) values('20Nov240019','070000167692','21061',(select max(to_number(i.premium_rcv_detail_code))+1
from ins_premium_det i),'21061','21061','02', '11000003','00','Request by Mr. Saqib Saleem 21-Nov-2024');</v>
      </c>
    </row>
    <row r="55" spans="1:8" ht="105" x14ac:dyDescent="0.25">
      <c r="A55" s="1" t="s">
        <v>375</v>
      </c>
      <c r="B55" s="19" t="str">
        <f>VLOOKUP(A55,Policy!B:C,2,0)</f>
        <v>070000167693</v>
      </c>
      <c r="C55" s="3">
        <v>64639</v>
      </c>
      <c r="D55" s="20">
        <f t="shared" si="1"/>
        <v>64639</v>
      </c>
      <c r="E55" s="24" t="s">
        <v>1149</v>
      </c>
      <c r="F55" s="21" t="str">
        <f t="shared" si="0"/>
        <v>insert into ins_premium_det (premium_rcv_code,assorted_code, rec_amount,premium_rcv_detail_code,remaining_amt, payrec, mode_code,coinsurance_code,class_cd,it_remarks) values</v>
      </c>
      <c r="G55" s="22" t="str">
        <f t="shared" si="2"/>
        <v>('20Nov240019','070000167693','64639',(select max(to_number(i.premium_rcv_detail_code))+1
from ins_premium_det i),'64639','64639','02', '11000003','00','Request by Mr. Saqib Saleem 21-Nov-2024');</v>
      </c>
      <c r="H55" s="23" t="str">
        <f t="shared" si="3"/>
        <v>insert into ins_premium_det (premium_rcv_code,assorted_code, rec_amount,premium_rcv_detail_code,remaining_amt, payrec, mode_code,coinsurance_code,class_cd,it_remarks) values('20Nov240019','070000167693','64639',(select max(to_number(i.premium_rcv_detail_code))+1
from ins_premium_det i),'64639','64639','02', '11000003','00','Request by Mr. Saqib Saleem 21-Nov-2024');</v>
      </c>
    </row>
    <row r="56" spans="1:8" ht="105" x14ac:dyDescent="0.25">
      <c r="A56" s="1" t="s">
        <v>382</v>
      </c>
      <c r="B56" s="19" t="str">
        <f>VLOOKUP(A56,Policy!B:C,2,0)</f>
        <v>070000167696</v>
      </c>
      <c r="C56" s="3">
        <v>30755</v>
      </c>
      <c r="D56" s="20">
        <f t="shared" si="1"/>
        <v>30755</v>
      </c>
      <c r="E56" s="24" t="s">
        <v>1149</v>
      </c>
      <c r="F56" s="21" t="str">
        <f t="shared" si="0"/>
        <v>insert into ins_premium_det (premium_rcv_code,assorted_code, rec_amount,premium_rcv_detail_code,remaining_amt, payrec, mode_code,coinsurance_code,class_cd,it_remarks) values</v>
      </c>
      <c r="G56" s="22" t="str">
        <f t="shared" si="2"/>
        <v>('20Nov240019','070000167696','30755',(select max(to_number(i.premium_rcv_detail_code))+1
from ins_premium_det i),'30755','30755','02', '11000003','00','Request by Mr. Saqib Saleem 21-Nov-2024');</v>
      </c>
      <c r="H56" s="23" t="str">
        <f t="shared" si="3"/>
        <v>insert into ins_premium_det (premium_rcv_code,assorted_code, rec_amount,premium_rcv_detail_code,remaining_amt, payrec, mode_code,coinsurance_code,class_cd,it_remarks) values('20Nov240019','070000167696','30755',(select max(to_number(i.premium_rcv_detail_code))+1
from ins_premium_det i),'30755','30755','02', '11000003','00','Request by Mr. Saqib Saleem 21-Nov-2024');</v>
      </c>
    </row>
    <row r="57" spans="1:8" ht="105" x14ac:dyDescent="0.25">
      <c r="A57" s="1" t="s">
        <v>389</v>
      </c>
      <c r="B57" s="19" t="str">
        <f>VLOOKUP(A57,Policy!B:C,2,0)</f>
        <v>070000167695</v>
      </c>
      <c r="C57" s="3">
        <v>17605</v>
      </c>
      <c r="D57" s="20">
        <f t="shared" si="1"/>
        <v>17605</v>
      </c>
      <c r="E57" s="24" t="s">
        <v>1149</v>
      </c>
      <c r="F57" s="21" t="str">
        <f t="shared" si="0"/>
        <v>insert into ins_premium_det (premium_rcv_code,assorted_code, rec_amount,premium_rcv_detail_code,remaining_amt, payrec, mode_code,coinsurance_code,class_cd,it_remarks) values</v>
      </c>
      <c r="G57" s="22" t="str">
        <f t="shared" si="2"/>
        <v>('20Nov240019','070000167695','17605',(select max(to_number(i.premium_rcv_detail_code))+1
from ins_premium_det i),'17605','17605','02', '11000003','00','Request by Mr. Saqib Saleem 21-Nov-2024');</v>
      </c>
      <c r="H57" s="23" t="str">
        <f t="shared" si="3"/>
        <v>insert into ins_premium_det (premium_rcv_code,assorted_code, rec_amount,premium_rcv_detail_code,remaining_amt, payrec, mode_code,coinsurance_code,class_cd,it_remarks) values('20Nov240019','070000167695','17605',(select max(to_number(i.premium_rcv_detail_code))+1
from ins_premium_det i),'17605','17605','02', '11000003','00','Request by Mr. Saqib Saleem 21-Nov-2024');</v>
      </c>
    </row>
    <row r="58" spans="1:8" ht="105" x14ac:dyDescent="0.25">
      <c r="A58" s="1" t="s">
        <v>396</v>
      </c>
      <c r="B58" s="19" t="str">
        <f>VLOOKUP(A58,Policy!B:C,2,0)</f>
        <v>070000167699</v>
      </c>
      <c r="C58" s="3">
        <v>47793</v>
      </c>
      <c r="D58" s="20">
        <f t="shared" si="1"/>
        <v>47793</v>
      </c>
      <c r="E58" s="24" t="s">
        <v>1149</v>
      </c>
      <c r="F58" s="21" t="str">
        <f t="shared" si="0"/>
        <v>insert into ins_premium_det (premium_rcv_code,assorted_code, rec_amount,premium_rcv_detail_code,remaining_amt, payrec, mode_code,coinsurance_code,class_cd,it_remarks) values</v>
      </c>
      <c r="G58" s="22" t="str">
        <f t="shared" si="2"/>
        <v>('20Nov240019','070000167699','47793',(select max(to_number(i.premium_rcv_detail_code))+1
from ins_premium_det i),'47793','47793','02', '11000003','00','Request by Mr. Saqib Saleem 21-Nov-2024');</v>
      </c>
      <c r="H58" s="23" t="str">
        <f t="shared" si="3"/>
        <v>insert into ins_premium_det (premium_rcv_code,assorted_code, rec_amount,premium_rcv_detail_code,remaining_amt, payrec, mode_code,coinsurance_code,class_cd,it_remarks) values('20Nov240019','070000167699','47793',(select max(to_number(i.premium_rcv_detail_code))+1
from ins_premium_det i),'47793','47793','02', '11000003','00','Request by Mr. Saqib Saleem 21-Nov-2024');</v>
      </c>
    </row>
    <row r="59" spans="1:8" ht="105" x14ac:dyDescent="0.25">
      <c r="A59" s="1" t="s">
        <v>404</v>
      </c>
      <c r="B59" s="19" t="str">
        <f>VLOOKUP(A59,Policy!B:C,2,0)</f>
        <v>070000167703</v>
      </c>
      <c r="C59" s="3">
        <v>16829</v>
      </c>
      <c r="D59" s="20">
        <f t="shared" si="1"/>
        <v>16829</v>
      </c>
      <c r="E59" s="24" t="s">
        <v>1149</v>
      </c>
      <c r="F59" s="21" t="str">
        <f t="shared" si="0"/>
        <v>insert into ins_premium_det (premium_rcv_code,assorted_code, rec_amount,premium_rcv_detail_code,remaining_amt, payrec, mode_code,coinsurance_code,class_cd,it_remarks) values</v>
      </c>
      <c r="G59" s="22" t="str">
        <f t="shared" si="2"/>
        <v>('20Nov240019','070000167703','16829',(select max(to_number(i.premium_rcv_detail_code))+1
from ins_premium_det i),'16829','16829','02', '11000003','00','Request by Mr. Saqib Saleem 21-Nov-2024');</v>
      </c>
      <c r="H59" s="23" t="str">
        <f t="shared" si="3"/>
        <v>insert into ins_premium_det (premium_rcv_code,assorted_code, rec_amount,premium_rcv_detail_code,remaining_amt, payrec, mode_code,coinsurance_code,class_cd,it_remarks) values('20Nov240019','070000167703','16829',(select max(to_number(i.premium_rcv_detail_code))+1
from ins_premium_det i),'16829','16829','02', '11000003','00','Request by Mr. Saqib Saleem 21-Nov-2024');</v>
      </c>
    </row>
    <row r="60" spans="1:8" ht="105" x14ac:dyDescent="0.25">
      <c r="A60" s="1" t="s">
        <v>411</v>
      </c>
      <c r="B60" s="19" t="str">
        <f>VLOOKUP(A60,Policy!B:C,2,0)</f>
        <v>070000167700</v>
      </c>
      <c r="C60" s="3">
        <v>28486</v>
      </c>
      <c r="D60" s="20">
        <f t="shared" si="1"/>
        <v>28486</v>
      </c>
      <c r="E60" s="24" t="s">
        <v>1149</v>
      </c>
      <c r="F60" s="21" t="str">
        <f t="shared" si="0"/>
        <v>insert into ins_premium_det (premium_rcv_code,assorted_code, rec_amount,premium_rcv_detail_code,remaining_amt, payrec, mode_code,coinsurance_code,class_cd,it_remarks) values</v>
      </c>
      <c r="G60" s="22" t="str">
        <f t="shared" si="2"/>
        <v>('20Nov240019','070000167700','28486',(select max(to_number(i.premium_rcv_detail_code))+1
from ins_premium_det i),'28486','28486','02', '11000003','00','Request by Mr. Saqib Saleem 21-Nov-2024');</v>
      </c>
      <c r="H60" s="23" t="str">
        <f t="shared" si="3"/>
        <v>insert into ins_premium_det (premium_rcv_code,assorted_code, rec_amount,premium_rcv_detail_code,remaining_amt, payrec, mode_code,coinsurance_code,class_cd,it_remarks) values('20Nov240019','070000167700','28486',(select max(to_number(i.premium_rcv_detail_code))+1
from ins_premium_det i),'28486','28486','02', '11000003','00','Request by Mr. Saqib Saleem 21-Nov-2024');</v>
      </c>
    </row>
    <row r="61" spans="1:8" ht="105" x14ac:dyDescent="0.25">
      <c r="A61" s="1" t="s">
        <v>417</v>
      </c>
      <c r="B61" s="19" t="str">
        <f>VLOOKUP(A61,Policy!B:C,2,0)</f>
        <v>070000167697</v>
      </c>
      <c r="C61" s="3">
        <v>17605</v>
      </c>
      <c r="D61" s="20">
        <f t="shared" si="1"/>
        <v>17605</v>
      </c>
      <c r="E61" s="24" t="s">
        <v>1149</v>
      </c>
      <c r="F61" s="21" t="str">
        <f t="shared" si="0"/>
        <v>insert into ins_premium_det (premium_rcv_code,assorted_code, rec_amount,premium_rcv_detail_code,remaining_amt, payrec, mode_code,coinsurance_code,class_cd,it_remarks) values</v>
      </c>
      <c r="G61" s="22" t="str">
        <f t="shared" si="2"/>
        <v>('20Nov240019','070000167697','17605',(select max(to_number(i.premium_rcv_detail_code))+1
from ins_premium_det i),'17605','17605','02', '11000003','00','Request by Mr. Saqib Saleem 21-Nov-2024');</v>
      </c>
      <c r="H61" s="23" t="str">
        <f t="shared" si="3"/>
        <v>insert into ins_premium_det (premium_rcv_code,assorted_code, rec_amount,premium_rcv_detail_code,remaining_amt, payrec, mode_code,coinsurance_code,class_cd,it_remarks) values('20Nov240019','070000167697','17605',(select max(to_number(i.premium_rcv_detail_code))+1
from ins_premium_det i),'17605','17605','02', '11000003','00','Request by Mr. Saqib Saleem 21-Nov-2024');</v>
      </c>
    </row>
    <row r="62" spans="1:8" ht="105" x14ac:dyDescent="0.25">
      <c r="A62" s="1" t="s">
        <v>424</v>
      </c>
      <c r="B62" s="19" t="str">
        <f>VLOOKUP(A62,Policy!B:C,2,0)</f>
        <v>070000167701</v>
      </c>
      <c r="C62" s="3">
        <v>19738</v>
      </c>
      <c r="D62" s="20">
        <f t="shared" si="1"/>
        <v>19738</v>
      </c>
      <c r="E62" s="24" t="s">
        <v>1149</v>
      </c>
      <c r="F62" s="21" t="str">
        <f t="shared" si="0"/>
        <v>insert into ins_premium_det (premium_rcv_code,assorted_code, rec_amount,premium_rcv_detail_code,remaining_amt, payrec, mode_code,coinsurance_code,class_cd,it_remarks) values</v>
      </c>
      <c r="G62" s="22" t="str">
        <f t="shared" si="2"/>
        <v>('20Nov240019','070000167701','19738',(select max(to_number(i.premium_rcv_detail_code))+1
from ins_premium_det i),'19738','19738','02', '11000003','00','Request by Mr. Saqib Saleem 21-Nov-2024');</v>
      </c>
      <c r="H62" s="23" t="str">
        <f t="shared" si="3"/>
        <v>insert into ins_premium_det (premium_rcv_code,assorted_code, rec_amount,premium_rcv_detail_code,remaining_amt, payrec, mode_code,coinsurance_code,class_cd,it_remarks) values('20Nov240019','070000167701','19738',(select max(to_number(i.premium_rcv_detail_code))+1
from ins_premium_det i),'19738','19738','02', '11000003','00','Request by Mr. Saqib Saleem 21-Nov-2024');</v>
      </c>
    </row>
    <row r="63" spans="1:8" ht="105" x14ac:dyDescent="0.25">
      <c r="A63" s="1" t="s">
        <v>431</v>
      </c>
      <c r="B63" s="19" t="str">
        <f>VLOOKUP(A63,Policy!B:C,2,0)</f>
        <v>070000167758</v>
      </c>
      <c r="C63" s="3">
        <v>17605</v>
      </c>
      <c r="D63" s="20">
        <f t="shared" si="1"/>
        <v>17605</v>
      </c>
      <c r="E63" s="24" t="s">
        <v>1149</v>
      </c>
      <c r="F63" s="21" t="str">
        <f t="shared" si="0"/>
        <v>insert into ins_premium_det (premium_rcv_code,assorted_code, rec_amount,premium_rcv_detail_code,remaining_amt, payrec, mode_code,coinsurance_code,class_cd,it_remarks) values</v>
      </c>
      <c r="G63" s="22" t="str">
        <f t="shared" si="2"/>
        <v>('20Nov240019','070000167758','17605',(select max(to_number(i.premium_rcv_detail_code))+1
from ins_premium_det i),'17605','17605','02', '11000003','00','Request by Mr. Saqib Saleem 21-Nov-2024');</v>
      </c>
      <c r="H63" s="23" t="str">
        <f t="shared" si="3"/>
        <v>insert into ins_premium_det (premium_rcv_code,assorted_code, rec_amount,premium_rcv_detail_code,remaining_amt, payrec, mode_code,coinsurance_code,class_cd,it_remarks) values('20Nov240019','070000167758','17605',(select max(to_number(i.premium_rcv_detail_code))+1
from ins_premium_det i),'17605','17605','02', '11000003','00','Request by Mr. Saqib Saleem 21-Nov-2024');</v>
      </c>
    </row>
    <row r="64" spans="1:8" ht="105" x14ac:dyDescent="0.25">
      <c r="A64" s="1" t="s">
        <v>437</v>
      </c>
      <c r="B64" s="19" t="str">
        <f>VLOOKUP(A64,Policy!B:C,2,0)</f>
        <v>070000167737</v>
      </c>
      <c r="C64" s="3">
        <v>33461</v>
      </c>
      <c r="D64" s="20">
        <f t="shared" si="1"/>
        <v>33461</v>
      </c>
      <c r="E64" s="24" t="s">
        <v>1149</v>
      </c>
      <c r="F64" s="21" t="str">
        <f t="shared" si="0"/>
        <v>insert into ins_premium_det (premium_rcv_code,assorted_code, rec_amount,premium_rcv_detail_code,remaining_amt, payrec, mode_code,coinsurance_code,class_cd,it_remarks) values</v>
      </c>
      <c r="G64" s="22" t="str">
        <f t="shared" si="2"/>
        <v>('20Nov240019','070000167737','33461',(select max(to_number(i.premium_rcv_detail_code))+1
from ins_premium_det i),'33461','33461','02', '11000003','00','Request by Mr. Saqib Saleem 21-Nov-2024');</v>
      </c>
      <c r="H64" s="23" t="str">
        <f t="shared" si="3"/>
        <v>insert into ins_premium_det (premium_rcv_code,assorted_code, rec_amount,premium_rcv_detail_code,remaining_amt, payrec, mode_code,coinsurance_code,class_cd,it_remarks) values('20Nov240019','070000167737','33461',(select max(to_number(i.premium_rcv_detail_code))+1
from ins_premium_det i),'33461','33461','02', '11000003','00','Request by Mr. Saqib Saleem 21-Nov-2024');</v>
      </c>
    </row>
    <row r="65" spans="1:8" ht="105" x14ac:dyDescent="0.25">
      <c r="A65" s="1" t="s">
        <v>443</v>
      </c>
      <c r="B65" s="19" t="str">
        <f>VLOOKUP(A65,Policy!B:C,2,0)</f>
        <v>070000167738</v>
      </c>
      <c r="C65" s="3">
        <v>22915</v>
      </c>
      <c r="D65" s="20">
        <f t="shared" si="1"/>
        <v>22915</v>
      </c>
      <c r="E65" s="24" t="s">
        <v>1149</v>
      </c>
      <c r="F65" s="21" t="str">
        <f t="shared" si="0"/>
        <v>insert into ins_premium_det (premium_rcv_code,assorted_code, rec_amount,premium_rcv_detail_code,remaining_amt, payrec, mode_code,coinsurance_code,class_cd,it_remarks) values</v>
      </c>
      <c r="G65" s="22" t="str">
        <f t="shared" si="2"/>
        <v>('20Nov240019','070000167738','22915',(select max(to_number(i.premium_rcv_detail_code))+1
from ins_premium_det i),'22915','22915','02', '11000003','00','Request by Mr. Saqib Saleem 21-Nov-2024');</v>
      </c>
      <c r="H65" s="23" t="str">
        <f t="shared" si="3"/>
        <v>insert into ins_premium_det (premium_rcv_code,assorted_code, rec_amount,premium_rcv_detail_code,remaining_amt, payrec, mode_code,coinsurance_code,class_cd,it_remarks) values('20Nov240019','070000167738','22915',(select max(to_number(i.premium_rcv_detail_code))+1
from ins_premium_det i),'22915','22915','02', '11000003','00','Request by Mr. Saqib Saleem 21-Nov-2024');</v>
      </c>
    </row>
    <row r="66" spans="1:8" ht="105" x14ac:dyDescent="0.25">
      <c r="A66" s="1" t="s">
        <v>449</v>
      </c>
      <c r="B66" s="19" t="str">
        <f>VLOOKUP(A66,Policy!B:C,2,0)</f>
        <v>070000167735</v>
      </c>
      <c r="C66" s="3">
        <v>17921</v>
      </c>
      <c r="D66" s="20">
        <f t="shared" si="1"/>
        <v>17921</v>
      </c>
      <c r="E66" s="24" t="s">
        <v>1149</v>
      </c>
      <c r="F66" s="21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22" t="str">
        <f t="shared" si="2"/>
        <v>('20Nov240019','070000167735','17921',(select max(to_number(i.premium_rcv_detail_code))+1
from ins_premium_det i),'17921','17921','02', '11000003','00','Request by Mr. Saqib Saleem 21-Nov-2024');</v>
      </c>
      <c r="H66" s="23" t="str">
        <f t="shared" si="3"/>
        <v>insert into ins_premium_det (premium_rcv_code,assorted_code, rec_amount,premium_rcv_detail_code,remaining_amt, payrec, mode_code,coinsurance_code,class_cd,it_remarks) values('20Nov240019','070000167735','17921',(select max(to_number(i.premium_rcv_detail_code))+1
from ins_premium_det i),'17921','17921','02', '11000003','00','Request by Mr. Saqib Saleem 21-Nov-2024');</v>
      </c>
    </row>
    <row r="67" spans="1:8" ht="105" x14ac:dyDescent="0.25">
      <c r="A67" s="1" t="s">
        <v>456</v>
      </c>
      <c r="B67" s="19" t="str">
        <f>VLOOKUP(A67,Policy!B:C,2,0)</f>
        <v>070000167732</v>
      </c>
      <c r="C67" s="3">
        <v>43775</v>
      </c>
      <c r="D67" s="20">
        <f t="shared" ref="D67:D130" si="5">ROUND(C67,0)</f>
        <v>43775</v>
      </c>
      <c r="E67" s="24" t="s">
        <v>1149</v>
      </c>
      <c r="F67" s="21" t="str">
        <f t="shared" si="4"/>
        <v>insert into ins_premium_det (premium_rcv_code,assorted_code, rec_amount,premium_rcv_detail_code,remaining_amt, payrec, mode_code,coinsurance_code,class_cd,it_remarks) values</v>
      </c>
      <c r="G67" s="22" t="str">
        <f t="shared" ref="G67:G130" si="6">"('"&amp;E67&amp;"','"&amp;B67&amp;"','"&amp;D67&amp;"',(select max(to_number(i.premium_rcv_detail_code))+1
from ins_premium_det i),'"&amp;D67&amp;"','"&amp;D67&amp;"','02', '11000003','00','Request by Mr. Saqib Saleem 21-Nov-2024');"</f>
        <v>('20Nov240019','070000167732','43775',(select max(to_number(i.premium_rcv_detail_code))+1
from ins_premium_det i),'43775','43775','02', '11000003','00','Request by Mr. Saqib Saleem 21-Nov-2024');</v>
      </c>
      <c r="H67" s="23" t="str">
        <f t="shared" ref="H67:H130" si="7">F67&amp;G67</f>
        <v>insert into ins_premium_det (premium_rcv_code,assorted_code, rec_amount,premium_rcv_detail_code,remaining_amt, payrec, mode_code,coinsurance_code,class_cd,it_remarks) values('20Nov240019','070000167732','43775',(select max(to_number(i.premium_rcv_detail_code))+1
from ins_premium_det i),'43775','43775','02', '11000003','00','Request by Mr. Saqib Saleem 21-Nov-2024');</v>
      </c>
    </row>
    <row r="68" spans="1:8" ht="105" x14ac:dyDescent="0.25">
      <c r="A68" s="1" t="s">
        <v>463</v>
      </c>
      <c r="B68" s="19" t="str">
        <f>VLOOKUP(A68,Policy!B:C,2,0)</f>
        <v>070000167731</v>
      </c>
      <c r="C68" s="3">
        <v>14880</v>
      </c>
      <c r="D68" s="20">
        <f t="shared" si="5"/>
        <v>14880</v>
      </c>
      <c r="E68" s="24" t="s">
        <v>1149</v>
      </c>
      <c r="F68" s="21" t="str">
        <f t="shared" si="4"/>
        <v>insert into ins_premium_det (premium_rcv_code,assorted_code, rec_amount,premium_rcv_detail_code,remaining_amt, payrec, mode_code,coinsurance_code,class_cd,it_remarks) values</v>
      </c>
      <c r="G68" s="22" t="str">
        <f t="shared" si="6"/>
        <v>('20Nov240019','070000167731','14880',(select max(to_number(i.premium_rcv_detail_code))+1
from ins_premium_det i),'14880','14880','02', '11000003','00','Request by Mr. Saqib Saleem 21-Nov-2024');</v>
      </c>
      <c r="H68" s="23" t="str">
        <f t="shared" si="7"/>
        <v>insert into ins_premium_det (premium_rcv_code,assorted_code, rec_amount,premium_rcv_detail_code,remaining_amt, payrec, mode_code,coinsurance_code,class_cd,it_remarks) values('20Nov240019','070000167731','14880',(select max(to_number(i.premium_rcv_detail_code))+1
from ins_premium_det i),'14880','14880','02', '11000003','00','Request by Mr. Saqib Saleem 21-Nov-2024');</v>
      </c>
    </row>
    <row r="69" spans="1:8" ht="105" x14ac:dyDescent="0.25">
      <c r="A69" s="1" t="s">
        <v>470</v>
      </c>
      <c r="B69" s="19" t="str">
        <f>VLOOKUP(A69,Policy!B:C,2,0)</f>
        <v>070000167729</v>
      </c>
      <c r="C69" s="3">
        <v>22242</v>
      </c>
      <c r="D69" s="20">
        <f t="shared" si="5"/>
        <v>22242</v>
      </c>
      <c r="E69" s="24" t="s">
        <v>1149</v>
      </c>
      <c r="F69" s="21" t="str">
        <f t="shared" si="4"/>
        <v>insert into ins_premium_det (premium_rcv_code,assorted_code, rec_amount,premium_rcv_detail_code,remaining_amt, payrec, mode_code,coinsurance_code,class_cd,it_remarks) values</v>
      </c>
      <c r="G69" s="22" t="str">
        <f t="shared" si="6"/>
        <v>('20Nov240019','070000167729','22242',(select max(to_number(i.premium_rcv_detail_code))+1
from ins_premium_det i),'22242','22242','02', '11000003','00','Request by Mr. Saqib Saleem 21-Nov-2024');</v>
      </c>
      <c r="H69" s="23" t="str">
        <f t="shared" si="7"/>
        <v>insert into ins_premium_det (premium_rcv_code,assorted_code, rec_amount,premium_rcv_detail_code,remaining_amt, payrec, mode_code,coinsurance_code,class_cd,it_remarks) values('20Nov240019','070000167729','22242',(select max(to_number(i.premium_rcv_detail_code))+1
from ins_premium_det i),'22242','22242','02', '11000003','00','Request by Mr. Saqib Saleem 21-Nov-2024');</v>
      </c>
    </row>
    <row r="70" spans="1:8" ht="105" x14ac:dyDescent="0.25">
      <c r="A70" s="1" t="s">
        <v>477</v>
      </c>
      <c r="B70" s="19" t="str">
        <f>VLOOKUP(A70,Policy!B:C,2,0)</f>
        <v>070000167728</v>
      </c>
      <c r="C70" s="3">
        <v>20969</v>
      </c>
      <c r="D70" s="20">
        <f t="shared" si="5"/>
        <v>20969</v>
      </c>
      <c r="E70" s="24" t="s">
        <v>1149</v>
      </c>
      <c r="F70" s="21" t="str">
        <f t="shared" si="4"/>
        <v>insert into ins_premium_det (premium_rcv_code,assorted_code, rec_amount,premium_rcv_detail_code,remaining_amt, payrec, mode_code,coinsurance_code,class_cd,it_remarks) values</v>
      </c>
      <c r="G70" s="22" t="str">
        <f t="shared" si="6"/>
        <v>('20Nov240019','070000167728','20969',(select max(to_number(i.premium_rcv_detail_code))+1
from ins_premium_det i),'20969','20969','02', '11000003','00','Request by Mr. Saqib Saleem 21-Nov-2024');</v>
      </c>
      <c r="H70" s="23" t="str">
        <f t="shared" si="7"/>
        <v>insert into ins_premium_det (premium_rcv_code,assorted_code, rec_amount,premium_rcv_detail_code,remaining_amt, payrec, mode_code,coinsurance_code,class_cd,it_remarks) values('20Nov240019','070000167728','20969',(select max(to_number(i.premium_rcv_detail_code))+1
from ins_premium_det i),'20969','20969','02', '11000003','00','Request by Mr. Saqib Saleem 21-Nov-2024');</v>
      </c>
    </row>
    <row r="71" spans="1:8" ht="105" x14ac:dyDescent="0.25">
      <c r="A71" s="1" t="s">
        <v>483</v>
      </c>
      <c r="B71" s="19" t="str">
        <f>VLOOKUP(A71,Policy!B:C,2,0)</f>
        <v>070000167768</v>
      </c>
      <c r="C71" s="3">
        <v>43775</v>
      </c>
      <c r="D71" s="20">
        <f t="shared" si="5"/>
        <v>43775</v>
      </c>
      <c r="E71" s="24" t="s">
        <v>1149</v>
      </c>
      <c r="F71" s="21" t="str">
        <f t="shared" si="4"/>
        <v>insert into ins_premium_det (premium_rcv_code,assorted_code, rec_amount,premium_rcv_detail_code,remaining_amt, payrec, mode_code,coinsurance_code,class_cd,it_remarks) values</v>
      </c>
      <c r="G71" s="22" t="str">
        <f t="shared" si="6"/>
        <v>('20Nov240019','070000167768','43775',(select max(to_number(i.premium_rcv_detail_code))+1
from ins_premium_det i),'43775','43775','02', '11000003','00','Request by Mr. Saqib Saleem 21-Nov-2024');</v>
      </c>
      <c r="H71" s="23" t="str">
        <f t="shared" si="7"/>
        <v>insert into ins_premium_det (premium_rcv_code,assorted_code, rec_amount,premium_rcv_detail_code,remaining_amt, payrec, mode_code,coinsurance_code,class_cd,it_remarks) values('20Nov240019','070000167768','43775',(select max(to_number(i.premium_rcv_detail_code))+1
from ins_premium_det i),'43775','43775','02', '11000003','00','Request by Mr. Saqib Saleem 21-Nov-2024');</v>
      </c>
    </row>
    <row r="72" spans="1:8" ht="105" x14ac:dyDescent="0.25">
      <c r="A72" s="1" t="s">
        <v>490</v>
      </c>
      <c r="B72" s="19" t="str">
        <f>VLOOKUP(A72,Policy!B:C,2,0)</f>
        <v>070000167733</v>
      </c>
      <c r="C72" s="3">
        <v>51517</v>
      </c>
      <c r="D72" s="20">
        <f t="shared" si="5"/>
        <v>51517</v>
      </c>
      <c r="E72" s="24" t="s">
        <v>1149</v>
      </c>
      <c r="F72" s="21" t="str">
        <f t="shared" si="4"/>
        <v>insert into ins_premium_det (premium_rcv_code,assorted_code, rec_amount,premium_rcv_detail_code,remaining_amt, payrec, mode_code,coinsurance_code,class_cd,it_remarks) values</v>
      </c>
      <c r="G72" s="22" t="str">
        <f t="shared" si="6"/>
        <v>('20Nov240019','070000167733','51517',(select max(to_number(i.premium_rcv_detail_code))+1
from ins_premium_det i),'51517','51517','02', '11000003','00','Request by Mr. Saqib Saleem 21-Nov-2024');</v>
      </c>
      <c r="H72" s="23" t="str">
        <f t="shared" si="7"/>
        <v>insert into ins_premium_det (premium_rcv_code,assorted_code, rec_amount,premium_rcv_detail_code,remaining_amt, payrec, mode_code,coinsurance_code,class_cd,it_remarks) values('20Nov240019','070000167733','51517',(select max(to_number(i.premium_rcv_detail_code))+1
from ins_premium_det i),'51517','51517','02', '11000003','00','Request by Mr. Saqib Saleem 21-Nov-2024');</v>
      </c>
    </row>
    <row r="73" spans="1:8" ht="105" x14ac:dyDescent="0.25">
      <c r="A73" s="1" t="s">
        <v>497</v>
      </c>
      <c r="B73" s="19" t="str">
        <f>VLOOKUP(A73,Policy!B:C,2,0)</f>
        <v>070000167739</v>
      </c>
      <c r="C73" s="3">
        <v>19738</v>
      </c>
      <c r="D73" s="20">
        <f t="shared" si="5"/>
        <v>19738</v>
      </c>
      <c r="E73" s="24" t="s">
        <v>1149</v>
      </c>
      <c r="F73" s="21" t="str">
        <f t="shared" si="4"/>
        <v>insert into ins_premium_det (premium_rcv_code,assorted_code, rec_amount,premium_rcv_detail_code,remaining_amt, payrec, mode_code,coinsurance_code,class_cd,it_remarks) values</v>
      </c>
      <c r="G73" s="22" t="str">
        <f t="shared" si="6"/>
        <v>('20Nov240019','070000167739','19738',(select max(to_number(i.premium_rcv_detail_code))+1
from ins_premium_det i),'19738','19738','02', '11000003','00','Request by Mr. Saqib Saleem 21-Nov-2024');</v>
      </c>
      <c r="H73" s="23" t="str">
        <f t="shared" si="7"/>
        <v>insert into ins_premium_det (premium_rcv_code,assorted_code, rec_amount,premium_rcv_detail_code,remaining_amt, payrec, mode_code,coinsurance_code,class_cd,it_remarks) values('20Nov240019','070000167739','19738',(select max(to_number(i.premium_rcv_detail_code))+1
from ins_premium_det i),'19738','19738','02', '11000003','00','Request by Mr. Saqib Saleem 21-Nov-2024');</v>
      </c>
    </row>
    <row r="74" spans="1:8" ht="105" x14ac:dyDescent="0.25">
      <c r="A74" s="1" t="s">
        <v>503</v>
      </c>
      <c r="B74" s="19" t="str">
        <f>VLOOKUP(A74,Policy!B:C,2,0)</f>
        <v>070000167741</v>
      </c>
      <c r="C74" s="3">
        <v>18097</v>
      </c>
      <c r="D74" s="20">
        <f t="shared" si="5"/>
        <v>18097</v>
      </c>
      <c r="E74" s="24" t="s">
        <v>1149</v>
      </c>
      <c r="F74" s="21" t="str">
        <f t="shared" si="4"/>
        <v>insert into ins_premium_det (premium_rcv_code,assorted_code, rec_amount,premium_rcv_detail_code,remaining_amt, payrec, mode_code,coinsurance_code,class_cd,it_remarks) values</v>
      </c>
      <c r="G74" s="22" t="str">
        <f t="shared" si="6"/>
        <v>('20Nov240019','070000167741','18097',(select max(to_number(i.premium_rcv_detail_code))+1
from ins_premium_det i),'18097','18097','02', '11000003','00','Request by Mr. Saqib Saleem 21-Nov-2024');</v>
      </c>
      <c r="H74" s="23" t="str">
        <f t="shared" si="7"/>
        <v>insert into ins_premium_det (premium_rcv_code,assorted_code, rec_amount,premium_rcv_detail_code,remaining_amt, payrec, mode_code,coinsurance_code,class_cd,it_remarks) values('20Nov240019','070000167741','18097',(select max(to_number(i.premium_rcv_detail_code))+1
from ins_premium_det i),'18097','18097','02', '11000003','00','Request by Mr. Saqib Saleem 21-Nov-2024');</v>
      </c>
    </row>
    <row r="75" spans="1:8" ht="105" x14ac:dyDescent="0.25">
      <c r="A75" s="1" t="s">
        <v>510</v>
      </c>
      <c r="B75" s="19" t="str">
        <f>VLOOKUP(A75,Policy!B:C,2,0)</f>
        <v>070000167743</v>
      </c>
      <c r="C75" s="3">
        <v>28267</v>
      </c>
      <c r="D75" s="20">
        <f t="shared" si="5"/>
        <v>28267</v>
      </c>
      <c r="E75" s="24" t="s">
        <v>1149</v>
      </c>
      <c r="F75" s="21" t="str">
        <f t="shared" si="4"/>
        <v>insert into ins_premium_det (premium_rcv_code,assorted_code, rec_amount,premium_rcv_detail_code,remaining_amt, payrec, mode_code,coinsurance_code,class_cd,it_remarks) values</v>
      </c>
      <c r="G75" s="22" t="str">
        <f t="shared" si="6"/>
        <v>('20Nov240019','070000167743','28267',(select max(to_number(i.premium_rcv_detail_code))+1
from ins_premium_det i),'28267','28267','02', '11000003','00','Request by Mr. Saqib Saleem 21-Nov-2024');</v>
      </c>
      <c r="H75" s="23" t="str">
        <f t="shared" si="7"/>
        <v>insert into ins_premium_det (premium_rcv_code,assorted_code, rec_amount,premium_rcv_detail_code,remaining_amt, payrec, mode_code,coinsurance_code,class_cd,it_remarks) values('20Nov240019','070000167743','28267',(select max(to_number(i.premium_rcv_detail_code))+1
from ins_premium_det i),'28267','28267','02', '11000003','00','Request by Mr. Saqib Saleem 21-Nov-2024');</v>
      </c>
    </row>
    <row r="76" spans="1:8" ht="105" x14ac:dyDescent="0.25">
      <c r="A76" s="1" t="s">
        <v>517</v>
      </c>
      <c r="B76" s="19" t="str">
        <f>VLOOKUP(A76,Policy!B:C,2,0)</f>
        <v>070000167744</v>
      </c>
      <c r="C76" s="3">
        <v>43953</v>
      </c>
      <c r="D76" s="20">
        <f t="shared" si="5"/>
        <v>43953</v>
      </c>
      <c r="E76" s="24" t="s">
        <v>1149</v>
      </c>
      <c r="F76" s="21" t="str">
        <f t="shared" si="4"/>
        <v>insert into ins_premium_det (premium_rcv_code,assorted_code, rec_amount,premium_rcv_detail_code,remaining_amt, payrec, mode_code,coinsurance_code,class_cd,it_remarks) values</v>
      </c>
      <c r="G76" s="22" t="str">
        <f t="shared" si="6"/>
        <v>('20Nov240019','070000167744','43953',(select max(to_number(i.premium_rcv_detail_code))+1
from ins_premium_det i),'43953','43953','02', '11000003','00','Request by Mr. Saqib Saleem 21-Nov-2024');</v>
      </c>
      <c r="H76" s="23" t="str">
        <f t="shared" si="7"/>
        <v>insert into ins_premium_det (premium_rcv_code,assorted_code, rec_amount,premium_rcv_detail_code,remaining_amt, payrec, mode_code,coinsurance_code,class_cd,it_remarks) values('20Nov240019','070000167744','43953',(select max(to_number(i.premium_rcv_detail_code))+1
from ins_premium_det i),'43953','43953','02', '11000003','00','Request by Mr. Saqib Saleem 21-Nov-2024');</v>
      </c>
    </row>
    <row r="77" spans="1:8" ht="105" x14ac:dyDescent="0.25">
      <c r="A77" s="1" t="s">
        <v>524</v>
      </c>
      <c r="B77" s="19" t="str">
        <f>VLOOKUP(A77,Policy!B:C,2,0)</f>
        <v>070000167759</v>
      </c>
      <c r="C77" s="3">
        <v>33085</v>
      </c>
      <c r="D77" s="20">
        <f t="shared" si="5"/>
        <v>33085</v>
      </c>
      <c r="E77" s="24" t="s">
        <v>1149</v>
      </c>
      <c r="F77" s="21" t="str">
        <f t="shared" si="4"/>
        <v>insert into ins_premium_det (premium_rcv_code,assorted_code, rec_amount,premium_rcv_detail_code,remaining_amt, payrec, mode_code,coinsurance_code,class_cd,it_remarks) values</v>
      </c>
      <c r="G77" s="22" t="str">
        <f t="shared" si="6"/>
        <v>('20Nov240019','070000167759','33085',(select max(to_number(i.premium_rcv_detail_code))+1
from ins_premium_det i),'33085','33085','02', '11000003','00','Request by Mr. Saqib Saleem 21-Nov-2024');</v>
      </c>
      <c r="H77" s="23" t="str">
        <f t="shared" si="7"/>
        <v>insert into ins_premium_det (premium_rcv_code,assorted_code, rec_amount,premium_rcv_detail_code,remaining_amt, payrec, mode_code,coinsurance_code,class_cd,it_remarks) values('20Nov240019','070000167759','33085',(select max(to_number(i.premium_rcv_detail_code))+1
from ins_premium_det i),'33085','33085','02', '11000003','00','Request by Mr. Saqib Saleem 21-Nov-2024');</v>
      </c>
    </row>
    <row r="78" spans="1:8" ht="105" x14ac:dyDescent="0.25">
      <c r="A78" s="1" t="s">
        <v>531</v>
      </c>
      <c r="B78" s="19" t="str">
        <f>VLOOKUP(A78,Policy!B:C,2,0)</f>
        <v>070000167751</v>
      </c>
      <c r="C78" s="3">
        <v>14598</v>
      </c>
      <c r="D78" s="20">
        <f t="shared" si="5"/>
        <v>14598</v>
      </c>
      <c r="E78" s="24" t="s">
        <v>1149</v>
      </c>
      <c r="F78" s="21" t="str">
        <f t="shared" si="4"/>
        <v>insert into ins_premium_det (premium_rcv_code,assorted_code, rec_amount,premium_rcv_detail_code,remaining_amt, payrec, mode_code,coinsurance_code,class_cd,it_remarks) values</v>
      </c>
      <c r="G78" s="22" t="str">
        <f t="shared" si="6"/>
        <v>('20Nov240019','070000167751','14598',(select max(to_number(i.premium_rcv_detail_code))+1
from ins_premium_det i),'14598','14598','02', '11000003','00','Request by Mr. Saqib Saleem 21-Nov-2024');</v>
      </c>
      <c r="H78" s="23" t="str">
        <f t="shared" si="7"/>
        <v>insert into ins_premium_det (premium_rcv_code,assorted_code, rec_amount,premium_rcv_detail_code,remaining_amt, payrec, mode_code,coinsurance_code,class_cd,it_remarks) values('20Nov240019','070000167751','14598',(select max(to_number(i.premium_rcv_detail_code))+1
from ins_premium_det i),'14598','14598','02', '11000003','00','Request by Mr. Saqib Saleem 21-Nov-2024');</v>
      </c>
    </row>
    <row r="79" spans="1:8" ht="105" x14ac:dyDescent="0.25">
      <c r="A79" s="1" t="s">
        <v>537</v>
      </c>
      <c r="B79" s="19" t="str">
        <f>VLOOKUP(A79,Policy!B:C,2,0)</f>
        <v>070000167754</v>
      </c>
      <c r="C79" s="3">
        <v>32018</v>
      </c>
      <c r="D79" s="20">
        <f t="shared" si="5"/>
        <v>32018</v>
      </c>
      <c r="E79" s="24" t="s">
        <v>1149</v>
      </c>
      <c r="F79" s="21" t="str">
        <f t="shared" si="4"/>
        <v>insert into ins_premium_det (premium_rcv_code,assorted_code, rec_amount,premium_rcv_detail_code,remaining_amt, payrec, mode_code,coinsurance_code,class_cd,it_remarks) values</v>
      </c>
      <c r="G79" s="22" t="str">
        <f t="shared" si="6"/>
        <v>('20Nov240019','070000167754','32018',(select max(to_number(i.premium_rcv_detail_code))+1
from ins_premium_det i),'32018','32018','02', '11000003','00','Request by Mr. Saqib Saleem 21-Nov-2024');</v>
      </c>
      <c r="H79" s="23" t="str">
        <f t="shared" si="7"/>
        <v>insert into ins_premium_det (premium_rcv_code,assorted_code, rec_amount,premium_rcv_detail_code,remaining_amt, payrec, mode_code,coinsurance_code,class_cd,it_remarks) values('20Nov240019','070000167754','32018',(select max(to_number(i.premium_rcv_detail_code))+1
from ins_premium_det i),'32018','32018','02', '11000003','00','Request by Mr. Saqib Saleem 21-Nov-2024');</v>
      </c>
    </row>
    <row r="80" spans="1:8" ht="105" x14ac:dyDescent="0.25">
      <c r="A80" s="1" t="s">
        <v>543</v>
      </c>
      <c r="B80" s="19" t="str">
        <f>VLOOKUP(A80,Policy!B:C,2,0)</f>
        <v>070000167740</v>
      </c>
      <c r="C80" s="3">
        <v>16632</v>
      </c>
      <c r="D80" s="20">
        <f t="shared" si="5"/>
        <v>16632</v>
      </c>
      <c r="E80" s="24" t="s">
        <v>1149</v>
      </c>
      <c r="F80" s="21" t="str">
        <f t="shared" si="4"/>
        <v>insert into ins_premium_det (premium_rcv_code,assorted_code, rec_amount,premium_rcv_detail_code,remaining_amt, payrec, mode_code,coinsurance_code,class_cd,it_remarks) values</v>
      </c>
      <c r="G80" s="22" t="str">
        <f t="shared" si="6"/>
        <v>('20Nov240019','070000167740','16632',(select max(to_number(i.premium_rcv_detail_code))+1
from ins_premium_det i),'16632','16632','02', '11000003','00','Request by Mr. Saqib Saleem 21-Nov-2024');</v>
      </c>
      <c r="H80" s="23" t="str">
        <f t="shared" si="7"/>
        <v>insert into ins_premium_det (premium_rcv_code,assorted_code, rec_amount,premium_rcv_detail_code,remaining_amt, payrec, mode_code,coinsurance_code,class_cd,it_remarks) values('20Nov240019','070000167740','16632',(select max(to_number(i.premium_rcv_detail_code))+1
from ins_premium_det i),'16632','16632','02', '11000003','00','Request by Mr. Saqib Saleem 21-Nov-2024');</v>
      </c>
    </row>
    <row r="81" spans="1:8" ht="105" x14ac:dyDescent="0.25">
      <c r="A81" s="1" t="s">
        <v>549</v>
      </c>
      <c r="B81" s="19" t="str">
        <f>VLOOKUP(A81,Policy!B:C,2,0)</f>
        <v>070000167746</v>
      </c>
      <c r="C81" s="3">
        <v>14598</v>
      </c>
      <c r="D81" s="20">
        <f t="shared" si="5"/>
        <v>14598</v>
      </c>
      <c r="E81" s="24" t="s">
        <v>1149</v>
      </c>
      <c r="F81" s="21" t="str">
        <f t="shared" si="4"/>
        <v>insert into ins_premium_det (premium_rcv_code,assorted_code, rec_amount,premium_rcv_detail_code,remaining_amt, payrec, mode_code,coinsurance_code,class_cd,it_remarks) values</v>
      </c>
      <c r="G81" s="22" t="str">
        <f t="shared" si="6"/>
        <v>('20Nov240019','070000167746','14598',(select max(to_number(i.premium_rcv_detail_code))+1
from ins_premium_det i),'14598','14598','02', '11000003','00','Request by Mr. Saqib Saleem 21-Nov-2024');</v>
      </c>
      <c r="H81" s="23" t="str">
        <f t="shared" si="7"/>
        <v>insert into ins_premium_det (premium_rcv_code,assorted_code, rec_amount,premium_rcv_detail_code,remaining_amt, payrec, mode_code,coinsurance_code,class_cd,it_remarks) values('20Nov240019','070000167746','14598',(select max(to_number(i.premium_rcv_detail_code))+1
from ins_premium_det i),'14598','14598','02', '11000003','00','Request by Mr. Saqib Saleem 21-Nov-2024');</v>
      </c>
    </row>
    <row r="82" spans="1:8" ht="105" x14ac:dyDescent="0.25">
      <c r="A82" s="1" t="s">
        <v>556</v>
      </c>
      <c r="B82" s="19" t="str">
        <f>VLOOKUP(A82,Policy!B:C,2,0)</f>
        <v>070000167779</v>
      </c>
      <c r="C82" s="3">
        <v>20351</v>
      </c>
      <c r="D82" s="20">
        <f t="shared" si="5"/>
        <v>20351</v>
      </c>
      <c r="E82" s="24" t="s">
        <v>1149</v>
      </c>
      <c r="F82" s="21" t="str">
        <f t="shared" si="4"/>
        <v>insert into ins_premium_det (premium_rcv_code,assorted_code, rec_amount,premium_rcv_detail_code,remaining_amt, payrec, mode_code,coinsurance_code,class_cd,it_remarks) values</v>
      </c>
      <c r="G82" s="22" t="str">
        <f t="shared" si="6"/>
        <v>('20Nov240019','070000167779','20351',(select max(to_number(i.premium_rcv_detail_code))+1
from ins_premium_det i),'20351','20351','02', '11000003','00','Request by Mr. Saqib Saleem 21-Nov-2024');</v>
      </c>
      <c r="H82" s="23" t="str">
        <f t="shared" si="7"/>
        <v>insert into ins_premium_det (premium_rcv_code,assorted_code, rec_amount,premium_rcv_detail_code,remaining_amt, payrec, mode_code,coinsurance_code,class_cd,it_remarks) values('20Nov240019','070000167779','20351',(select max(to_number(i.premium_rcv_detail_code))+1
from ins_premium_det i),'20351','20351','02', '11000003','00','Request by Mr. Saqib Saleem 21-Nov-2024');</v>
      </c>
    </row>
    <row r="83" spans="1:8" ht="105" x14ac:dyDescent="0.25">
      <c r="A83" s="1" t="s">
        <v>562</v>
      </c>
      <c r="B83" s="19" t="str">
        <f>VLOOKUP(A83,Policy!B:C,2,0)</f>
        <v>070000167783</v>
      </c>
      <c r="C83" s="3">
        <v>24300</v>
      </c>
      <c r="D83" s="20">
        <f t="shared" si="5"/>
        <v>24300</v>
      </c>
      <c r="E83" s="24" t="s">
        <v>1149</v>
      </c>
      <c r="F83" s="21" t="str">
        <f t="shared" si="4"/>
        <v>insert into ins_premium_det (premium_rcv_code,assorted_code, rec_amount,premium_rcv_detail_code,remaining_amt, payrec, mode_code,coinsurance_code,class_cd,it_remarks) values</v>
      </c>
      <c r="G83" s="22" t="str">
        <f t="shared" si="6"/>
        <v>('20Nov240019','070000167783','24300',(select max(to_number(i.premium_rcv_detail_code))+1
from ins_premium_det i),'24300','24300','02', '11000003','00','Request by Mr. Saqib Saleem 21-Nov-2024');</v>
      </c>
      <c r="H83" s="23" t="str">
        <f t="shared" si="7"/>
        <v>insert into ins_premium_det (premium_rcv_code,assorted_code, rec_amount,premium_rcv_detail_code,remaining_amt, payrec, mode_code,coinsurance_code,class_cd,it_remarks) values('20Nov240019','070000167783','24300',(select max(to_number(i.premium_rcv_detail_code))+1
from ins_premium_det i),'24300','24300','02', '11000003','00','Request by Mr. Saqib Saleem 21-Nov-2024');</v>
      </c>
    </row>
    <row r="84" spans="1:8" ht="105" x14ac:dyDescent="0.25">
      <c r="A84" s="1" t="s">
        <v>568</v>
      </c>
      <c r="B84" s="19" t="str">
        <f>VLOOKUP(A84,Policy!B:C,2,0)</f>
        <v>070000167780</v>
      </c>
      <c r="C84" s="3">
        <v>20351</v>
      </c>
      <c r="D84" s="20">
        <f t="shared" si="5"/>
        <v>20351</v>
      </c>
      <c r="E84" s="24" t="s">
        <v>1149</v>
      </c>
      <c r="F84" s="21" t="str">
        <f t="shared" si="4"/>
        <v>insert into ins_premium_det (premium_rcv_code,assorted_code, rec_amount,premium_rcv_detail_code,remaining_amt, payrec, mode_code,coinsurance_code,class_cd,it_remarks) values</v>
      </c>
      <c r="G84" s="22" t="str">
        <f t="shared" si="6"/>
        <v>('20Nov240019','070000167780','20351',(select max(to_number(i.premium_rcv_detail_code))+1
from ins_premium_det i),'20351','20351','02', '11000003','00','Request by Mr. Saqib Saleem 21-Nov-2024');</v>
      </c>
      <c r="H84" s="23" t="str">
        <f t="shared" si="7"/>
        <v>insert into ins_premium_det (premium_rcv_code,assorted_code, rec_amount,premium_rcv_detail_code,remaining_amt, payrec, mode_code,coinsurance_code,class_cd,it_remarks) values('20Nov240019','070000167780','20351',(select max(to_number(i.premium_rcv_detail_code))+1
from ins_premium_det i),'20351','20351','02', '11000003','00','Request by Mr. Saqib Saleem 21-Nov-2024');</v>
      </c>
    </row>
    <row r="85" spans="1:8" ht="105" x14ac:dyDescent="0.25">
      <c r="A85" s="1" t="s">
        <v>574</v>
      </c>
      <c r="B85" s="19" t="str">
        <f>VLOOKUP(A85,Policy!B:C,2,0)</f>
        <v>070000167778</v>
      </c>
      <c r="C85" s="3">
        <v>34044</v>
      </c>
      <c r="D85" s="20">
        <f t="shared" si="5"/>
        <v>34044</v>
      </c>
      <c r="E85" s="24" t="s">
        <v>1149</v>
      </c>
      <c r="F85" s="21" t="str">
        <f t="shared" si="4"/>
        <v>insert into ins_premium_det (premium_rcv_code,assorted_code, rec_amount,premium_rcv_detail_code,remaining_amt, payrec, mode_code,coinsurance_code,class_cd,it_remarks) values</v>
      </c>
      <c r="G85" s="22" t="str">
        <f t="shared" si="6"/>
        <v>('20Nov240019','070000167778','34044',(select max(to_number(i.premium_rcv_detail_code))+1
from ins_premium_det i),'34044','34044','02', '11000003','00','Request by Mr. Saqib Saleem 21-Nov-2024');</v>
      </c>
      <c r="H85" s="23" t="str">
        <f t="shared" si="7"/>
        <v>insert into ins_premium_det (premium_rcv_code,assorted_code, rec_amount,premium_rcv_detail_code,remaining_amt, payrec, mode_code,coinsurance_code,class_cd,it_remarks) values('20Nov240019','070000167778','34044',(select max(to_number(i.premium_rcv_detail_code))+1
from ins_premium_det i),'34044','34044','02', '11000003','00','Request by Mr. Saqib Saleem 21-Nov-2024');</v>
      </c>
    </row>
    <row r="86" spans="1:8" ht="105" x14ac:dyDescent="0.25">
      <c r="A86" s="1" t="s">
        <v>580</v>
      </c>
      <c r="B86" s="19" t="str">
        <f>VLOOKUP(A86,Policy!B:C,2,0)</f>
        <v>070000167781</v>
      </c>
      <c r="C86" s="3">
        <v>31153</v>
      </c>
      <c r="D86" s="20">
        <f t="shared" si="5"/>
        <v>31153</v>
      </c>
      <c r="E86" s="24" t="s">
        <v>1149</v>
      </c>
      <c r="F86" s="21" t="str">
        <f t="shared" si="4"/>
        <v>insert into ins_premium_det (premium_rcv_code,assorted_code, rec_amount,premium_rcv_detail_code,remaining_amt, payrec, mode_code,coinsurance_code,class_cd,it_remarks) values</v>
      </c>
      <c r="G86" s="22" t="str">
        <f t="shared" si="6"/>
        <v>('20Nov240019','070000167781','31153',(select max(to_number(i.premium_rcv_detail_code))+1
from ins_premium_det i),'31153','31153','02', '11000003','00','Request by Mr. Saqib Saleem 21-Nov-2024');</v>
      </c>
      <c r="H86" s="23" t="str">
        <f t="shared" si="7"/>
        <v>insert into ins_premium_det (premium_rcv_code,assorted_code, rec_amount,premium_rcv_detail_code,remaining_amt, payrec, mode_code,coinsurance_code,class_cd,it_remarks) values('20Nov240019','070000167781','31153',(select max(to_number(i.premium_rcv_detail_code))+1
from ins_premium_det i),'31153','31153','02', '11000003','00','Request by Mr. Saqib Saleem 21-Nov-2024');</v>
      </c>
    </row>
    <row r="87" spans="1:8" ht="105" x14ac:dyDescent="0.25">
      <c r="A87" s="1" t="s">
        <v>586</v>
      </c>
      <c r="B87" s="19" t="str">
        <f>VLOOKUP(A87,Policy!B:C,2,0)</f>
        <v>070000167784</v>
      </c>
      <c r="C87" s="3">
        <v>29415</v>
      </c>
      <c r="D87" s="20">
        <f t="shared" si="5"/>
        <v>29415</v>
      </c>
      <c r="E87" s="24" t="s">
        <v>1149</v>
      </c>
      <c r="F87" s="21" t="str">
        <f t="shared" si="4"/>
        <v>insert into ins_premium_det (premium_rcv_code,assorted_code, rec_amount,premium_rcv_detail_code,remaining_amt, payrec, mode_code,coinsurance_code,class_cd,it_remarks) values</v>
      </c>
      <c r="G87" s="22" t="str">
        <f t="shared" si="6"/>
        <v>('20Nov240019','070000167784','29415',(select max(to_number(i.premium_rcv_detail_code))+1
from ins_premium_det i),'29415','29415','02', '11000003','00','Request by Mr. Saqib Saleem 21-Nov-2024');</v>
      </c>
      <c r="H87" s="23" t="str">
        <f t="shared" si="7"/>
        <v>insert into ins_premium_det (premium_rcv_code,assorted_code, rec_amount,premium_rcv_detail_code,remaining_amt, payrec, mode_code,coinsurance_code,class_cd,it_remarks) values('20Nov240019','070000167784','29415',(select max(to_number(i.premium_rcv_detail_code))+1
from ins_premium_det i),'29415','29415','02', '11000003','00','Request by Mr. Saqib Saleem 21-Nov-2024');</v>
      </c>
    </row>
    <row r="88" spans="1:8" ht="105" x14ac:dyDescent="0.25">
      <c r="A88" s="1" t="s">
        <v>593</v>
      </c>
      <c r="B88" s="19" t="str">
        <f>VLOOKUP(A88,Policy!B:C,2,0)</f>
        <v>070000167793</v>
      </c>
      <c r="C88" s="3">
        <v>23357</v>
      </c>
      <c r="D88" s="20">
        <f t="shared" si="5"/>
        <v>23357</v>
      </c>
      <c r="E88" s="24" t="s">
        <v>1149</v>
      </c>
      <c r="F88" s="21" t="str">
        <f t="shared" si="4"/>
        <v>insert into ins_premium_det (premium_rcv_code,assorted_code, rec_amount,premium_rcv_detail_code,remaining_amt, payrec, mode_code,coinsurance_code,class_cd,it_remarks) values</v>
      </c>
      <c r="G88" s="22" t="str">
        <f t="shared" si="6"/>
        <v>('20Nov240019','070000167793','23357',(select max(to_number(i.premium_rcv_detail_code))+1
from ins_premium_det i),'23357','23357','02', '11000003','00','Request by Mr. Saqib Saleem 21-Nov-2024');</v>
      </c>
      <c r="H88" s="23" t="str">
        <f t="shared" si="7"/>
        <v>insert into ins_premium_det (premium_rcv_code,assorted_code, rec_amount,premium_rcv_detail_code,remaining_amt, payrec, mode_code,coinsurance_code,class_cd,it_remarks) values('20Nov240019','070000167793','23357',(select max(to_number(i.premium_rcv_detail_code))+1
from ins_premium_det i),'23357','23357','02', '11000003','00','Request by Mr. Saqib Saleem 21-Nov-2024');</v>
      </c>
    </row>
    <row r="89" spans="1:8" ht="105" x14ac:dyDescent="0.25">
      <c r="A89" s="1" t="s">
        <v>600</v>
      </c>
      <c r="B89" s="19" t="str">
        <f>VLOOKUP(A89,Policy!B:C,2,0)</f>
        <v>070000167774</v>
      </c>
      <c r="C89" s="3">
        <v>31558</v>
      </c>
      <c r="D89" s="20">
        <f t="shared" si="5"/>
        <v>31558</v>
      </c>
      <c r="E89" s="24" t="s">
        <v>1149</v>
      </c>
      <c r="F89" s="21" t="str">
        <f t="shared" si="4"/>
        <v>insert into ins_premium_det (premium_rcv_code,assorted_code, rec_amount,premium_rcv_detail_code,remaining_amt, payrec, mode_code,coinsurance_code,class_cd,it_remarks) values</v>
      </c>
      <c r="G89" s="22" t="str">
        <f t="shared" si="6"/>
        <v>('20Nov240019','070000167774','31558',(select max(to_number(i.premium_rcv_detail_code))+1
from ins_premium_det i),'31558','31558','02', '11000003','00','Request by Mr. Saqib Saleem 21-Nov-2024');</v>
      </c>
      <c r="H89" s="23" t="str">
        <f t="shared" si="7"/>
        <v>insert into ins_premium_det (premium_rcv_code,assorted_code, rec_amount,premium_rcv_detail_code,remaining_amt, payrec, mode_code,coinsurance_code,class_cd,it_remarks) values('20Nov240019','070000167774','31558',(select max(to_number(i.premium_rcv_detail_code))+1
from ins_premium_det i),'31558','31558','02', '11000003','00','Request by Mr. Saqib Saleem 21-Nov-2024');</v>
      </c>
    </row>
    <row r="90" spans="1:8" ht="105" x14ac:dyDescent="0.25">
      <c r="A90" s="1" t="s">
        <v>607</v>
      </c>
      <c r="B90" s="19" t="str">
        <f>VLOOKUP(A90,Policy!B:C,2,0)</f>
        <v>070000167794</v>
      </c>
      <c r="C90" s="3">
        <v>51609</v>
      </c>
      <c r="D90" s="20">
        <f t="shared" si="5"/>
        <v>51609</v>
      </c>
      <c r="E90" s="24" t="s">
        <v>1149</v>
      </c>
      <c r="F90" s="21" t="str">
        <f t="shared" si="4"/>
        <v>insert into ins_premium_det (premium_rcv_code,assorted_code, rec_amount,premium_rcv_detail_code,remaining_amt, payrec, mode_code,coinsurance_code,class_cd,it_remarks) values</v>
      </c>
      <c r="G90" s="22" t="str">
        <f t="shared" si="6"/>
        <v>('20Nov240019','070000167794','51609',(select max(to_number(i.premium_rcv_detail_code))+1
from ins_premium_det i),'51609','51609','02', '11000003','00','Request by Mr. Saqib Saleem 21-Nov-2024');</v>
      </c>
      <c r="H90" s="23" t="str">
        <f t="shared" si="7"/>
        <v>insert into ins_premium_det (premium_rcv_code,assorted_code, rec_amount,premium_rcv_detail_code,remaining_amt, payrec, mode_code,coinsurance_code,class_cd,it_remarks) values('20Nov240019','070000167794','51609',(select max(to_number(i.premium_rcv_detail_code))+1
from ins_premium_det i),'51609','51609','02', '11000003','00','Request by Mr. Saqib Saleem 21-Nov-2024');</v>
      </c>
    </row>
    <row r="91" spans="1:8" ht="105" x14ac:dyDescent="0.25">
      <c r="A91" s="1" t="s">
        <v>615</v>
      </c>
      <c r="B91" s="19" t="str">
        <f>VLOOKUP(A91,Policy!B:C,2,0)</f>
        <v>070000167814</v>
      </c>
      <c r="C91" s="3">
        <v>47743</v>
      </c>
      <c r="D91" s="20">
        <f t="shared" si="5"/>
        <v>47743</v>
      </c>
      <c r="E91" s="24" t="s">
        <v>1149</v>
      </c>
      <c r="F91" s="21" t="str">
        <f t="shared" si="4"/>
        <v>insert into ins_premium_det (premium_rcv_code,assorted_code, rec_amount,premium_rcv_detail_code,remaining_amt, payrec, mode_code,coinsurance_code,class_cd,it_remarks) values</v>
      </c>
      <c r="G91" s="22" t="str">
        <f t="shared" si="6"/>
        <v>('20Nov240019','070000167814','47743',(select max(to_number(i.premium_rcv_detail_code))+1
from ins_premium_det i),'47743','47743','02', '11000003','00','Request by Mr. Saqib Saleem 21-Nov-2024');</v>
      </c>
      <c r="H91" s="23" t="str">
        <f t="shared" si="7"/>
        <v>insert into ins_premium_det (premium_rcv_code,assorted_code, rec_amount,premium_rcv_detail_code,remaining_amt, payrec, mode_code,coinsurance_code,class_cd,it_remarks) values('20Nov240019','070000167814','47743',(select max(to_number(i.premium_rcv_detail_code))+1
from ins_premium_det i),'47743','47743','02', '11000003','00','Request by Mr. Saqib Saleem 21-Nov-2024');</v>
      </c>
    </row>
    <row r="92" spans="1:8" ht="105" x14ac:dyDescent="0.25">
      <c r="A92" s="1" t="s">
        <v>621</v>
      </c>
      <c r="B92" s="19" t="str">
        <f>VLOOKUP(A92,Policy!B:C,2,0)</f>
        <v>070000167813</v>
      </c>
      <c r="C92" s="3">
        <v>20351</v>
      </c>
      <c r="D92" s="20">
        <f t="shared" si="5"/>
        <v>20351</v>
      </c>
      <c r="E92" s="24" t="s">
        <v>1149</v>
      </c>
      <c r="F92" s="21" t="str">
        <f t="shared" si="4"/>
        <v>insert into ins_premium_det (premium_rcv_code,assorted_code, rec_amount,premium_rcv_detail_code,remaining_amt, payrec, mode_code,coinsurance_code,class_cd,it_remarks) values</v>
      </c>
      <c r="G92" s="22" t="str">
        <f t="shared" si="6"/>
        <v>('20Nov240019','070000167813','20351',(select max(to_number(i.premium_rcv_detail_code))+1
from ins_premium_det i),'20351','20351','02', '11000003','00','Request by Mr. Saqib Saleem 21-Nov-2024');</v>
      </c>
      <c r="H92" s="23" t="str">
        <f t="shared" si="7"/>
        <v>insert into ins_premium_det (premium_rcv_code,assorted_code, rec_amount,premium_rcv_detail_code,remaining_amt, payrec, mode_code,coinsurance_code,class_cd,it_remarks) values('20Nov240019','070000167813','20351',(select max(to_number(i.premium_rcv_detail_code))+1
from ins_premium_det i),'20351','20351','02', '11000003','00','Request by Mr. Saqib Saleem 21-Nov-2024');</v>
      </c>
    </row>
    <row r="93" spans="1:8" ht="105" x14ac:dyDescent="0.25">
      <c r="A93" s="1" t="s">
        <v>627</v>
      </c>
      <c r="B93" s="19" t="str">
        <f>VLOOKUP(A93,Policy!B:C,2,0)</f>
        <v>070000167815</v>
      </c>
      <c r="C93" s="3">
        <v>46062</v>
      </c>
      <c r="D93" s="20">
        <f t="shared" si="5"/>
        <v>46062</v>
      </c>
      <c r="E93" s="24" t="s">
        <v>1149</v>
      </c>
      <c r="F93" s="21" t="str">
        <f t="shared" si="4"/>
        <v>insert into ins_premium_det (premium_rcv_code,assorted_code, rec_amount,premium_rcv_detail_code,remaining_amt, payrec, mode_code,coinsurance_code,class_cd,it_remarks) values</v>
      </c>
      <c r="G93" s="22" t="str">
        <f t="shared" si="6"/>
        <v>('20Nov240019','070000167815','46062',(select max(to_number(i.premium_rcv_detail_code))+1
from ins_premium_det i),'46062','46062','02', '11000003','00','Request by Mr. Saqib Saleem 21-Nov-2024');</v>
      </c>
      <c r="H93" s="23" t="str">
        <f t="shared" si="7"/>
        <v>insert into ins_premium_det (premium_rcv_code,assorted_code, rec_amount,premium_rcv_detail_code,remaining_amt, payrec, mode_code,coinsurance_code,class_cd,it_remarks) values('20Nov240019','070000167815','46062',(select max(to_number(i.premium_rcv_detail_code))+1
from ins_premium_det i),'46062','46062','02', '11000003','00','Request by Mr. Saqib Saleem 21-Nov-2024');</v>
      </c>
    </row>
    <row r="94" spans="1:8" ht="105" x14ac:dyDescent="0.25">
      <c r="A94" s="1" t="s">
        <v>634</v>
      </c>
      <c r="B94" s="19" t="str">
        <f>VLOOKUP(A94,Policy!B:C,2,0)</f>
        <v>070000167816</v>
      </c>
      <c r="C94" s="3">
        <v>37787</v>
      </c>
      <c r="D94" s="20">
        <f t="shared" si="5"/>
        <v>37787</v>
      </c>
      <c r="E94" s="24" t="s">
        <v>1149</v>
      </c>
      <c r="F94" s="21" t="str">
        <f t="shared" si="4"/>
        <v>insert into ins_premium_det (premium_rcv_code,assorted_code, rec_amount,premium_rcv_detail_code,remaining_amt, payrec, mode_code,coinsurance_code,class_cd,it_remarks) values</v>
      </c>
      <c r="G94" s="22" t="str">
        <f t="shared" si="6"/>
        <v>('20Nov240019','070000167816','37787',(select max(to_number(i.premium_rcv_detail_code))+1
from ins_premium_det i),'37787','37787','02', '11000003','00','Request by Mr. Saqib Saleem 21-Nov-2024');</v>
      </c>
      <c r="H94" s="23" t="str">
        <f t="shared" si="7"/>
        <v>insert into ins_premium_det (premium_rcv_code,assorted_code, rec_amount,premium_rcv_detail_code,remaining_amt, payrec, mode_code,coinsurance_code,class_cd,it_remarks) values('20Nov240019','070000167816','37787',(select max(to_number(i.premium_rcv_detail_code))+1
from ins_premium_det i),'37787','37787','02', '11000003','00','Request by Mr. Saqib Saleem 21-Nov-2024');</v>
      </c>
    </row>
    <row r="95" spans="1:8" ht="105" x14ac:dyDescent="0.25">
      <c r="A95" s="1" t="s">
        <v>641</v>
      </c>
      <c r="B95" s="19" t="str">
        <f>VLOOKUP(A95,Policy!B:C,2,0)</f>
        <v>070000167825</v>
      </c>
      <c r="C95" s="3">
        <v>32072</v>
      </c>
      <c r="D95" s="20">
        <f t="shared" si="5"/>
        <v>32072</v>
      </c>
      <c r="E95" s="24" t="s">
        <v>1149</v>
      </c>
      <c r="F95" s="21" t="str">
        <f t="shared" si="4"/>
        <v>insert into ins_premium_det (premium_rcv_code,assorted_code, rec_amount,premium_rcv_detail_code,remaining_amt, payrec, mode_code,coinsurance_code,class_cd,it_remarks) values</v>
      </c>
      <c r="G95" s="22" t="str">
        <f t="shared" si="6"/>
        <v>('20Nov240019','070000167825','32072',(select max(to_number(i.premium_rcv_detail_code))+1
from ins_premium_det i),'32072','32072','02', '11000003','00','Request by Mr. Saqib Saleem 21-Nov-2024');</v>
      </c>
      <c r="H95" s="23" t="str">
        <f t="shared" si="7"/>
        <v>insert into ins_premium_det (premium_rcv_code,assorted_code, rec_amount,premium_rcv_detail_code,remaining_amt, payrec, mode_code,coinsurance_code,class_cd,it_remarks) values('20Nov240019','070000167825','32072',(select max(to_number(i.premium_rcv_detail_code))+1
from ins_premium_det i),'32072','32072','02', '11000003','00','Request by Mr. Saqib Saleem 21-Nov-2024');</v>
      </c>
    </row>
    <row r="96" spans="1:8" ht="105" x14ac:dyDescent="0.25">
      <c r="A96" s="1" t="s">
        <v>647</v>
      </c>
      <c r="B96" s="19" t="str">
        <f>VLOOKUP(A96,Policy!B:C,2,0)</f>
        <v>070000167818</v>
      </c>
      <c r="C96" s="3">
        <v>16621</v>
      </c>
      <c r="D96" s="20">
        <f t="shared" si="5"/>
        <v>16621</v>
      </c>
      <c r="E96" s="24" t="s">
        <v>1149</v>
      </c>
      <c r="F96" s="21" t="str">
        <f t="shared" si="4"/>
        <v>insert into ins_premium_det (premium_rcv_code,assorted_code, rec_amount,premium_rcv_detail_code,remaining_amt, payrec, mode_code,coinsurance_code,class_cd,it_remarks) values</v>
      </c>
      <c r="G96" s="22" t="str">
        <f t="shared" si="6"/>
        <v>('20Nov240019','070000167818','16621',(select max(to_number(i.premium_rcv_detail_code))+1
from ins_premium_det i),'16621','16621','02', '11000003','00','Request by Mr. Saqib Saleem 21-Nov-2024');</v>
      </c>
      <c r="H96" s="23" t="str">
        <f t="shared" si="7"/>
        <v>insert into ins_premium_det (premium_rcv_code,assorted_code, rec_amount,premium_rcv_detail_code,remaining_amt, payrec, mode_code,coinsurance_code,class_cd,it_remarks) values('20Nov240019','070000167818','16621',(select max(to_number(i.premium_rcv_detail_code))+1
from ins_premium_det i),'16621','16621','02', '11000003','00','Request by Mr. Saqib Saleem 21-Nov-2024');</v>
      </c>
    </row>
    <row r="97" spans="1:8" ht="105" x14ac:dyDescent="0.25">
      <c r="A97" s="1" t="s">
        <v>653</v>
      </c>
      <c r="B97" s="19" t="str">
        <f>VLOOKUP(A97,Policy!B:C,2,0)</f>
        <v>070000167823</v>
      </c>
      <c r="C97" s="3">
        <v>40492</v>
      </c>
      <c r="D97" s="20">
        <f t="shared" si="5"/>
        <v>40492</v>
      </c>
      <c r="E97" s="24" t="s">
        <v>1149</v>
      </c>
      <c r="F97" s="21" t="str">
        <f t="shared" si="4"/>
        <v>insert into ins_premium_det (premium_rcv_code,assorted_code, rec_amount,premium_rcv_detail_code,remaining_amt, payrec, mode_code,coinsurance_code,class_cd,it_remarks) values</v>
      </c>
      <c r="G97" s="22" t="str">
        <f t="shared" si="6"/>
        <v>('20Nov240019','070000167823','40492',(select max(to_number(i.premium_rcv_detail_code))+1
from ins_premium_det i),'40492','40492','02', '11000003','00','Request by Mr. Saqib Saleem 21-Nov-2024');</v>
      </c>
      <c r="H97" s="23" t="str">
        <f t="shared" si="7"/>
        <v>insert into ins_premium_det (premium_rcv_code,assorted_code, rec_amount,premium_rcv_detail_code,remaining_amt, payrec, mode_code,coinsurance_code,class_cd,it_remarks) values('20Nov240019','070000167823','40492',(select max(to_number(i.premium_rcv_detail_code))+1
from ins_premium_det i),'40492','40492','02', '11000003','00','Request by Mr. Saqib Saleem 21-Nov-2024');</v>
      </c>
    </row>
    <row r="98" spans="1:8" ht="105" x14ac:dyDescent="0.25">
      <c r="A98" s="1" t="s">
        <v>661</v>
      </c>
      <c r="B98" s="19" t="str">
        <f>VLOOKUP(A98,Policy!B:C,2,0)</f>
        <v>070000167809</v>
      </c>
      <c r="C98" s="3">
        <v>20351</v>
      </c>
      <c r="D98" s="20">
        <f t="shared" si="5"/>
        <v>20351</v>
      </c>
      <c r="E98" s="24" t="s">
        <v>1149</v>
      </c>
      <c r="F98" s="21" t="str">
        <f t="shared" si="4"/>
        <v>insert into ins_premium_det (premium_rcv_code,assorted_code, rec_amount,premium_rcv_detail_code,remaining_amt, payrec, mode_code,coinsurance_code,class_cd,it_remarks) values</v>
      </c>
      <c r="G98" s="22" t="str">
        <f t="shared" si="6"/>
        <v>('20Nov240019','070000167809','20351',(select max(to_number(i.premium_rcv_detail_code))+1
from ins_premium_det i),'20351','20351','02', '11000003','00','Request by Mr. Saqib Saleem 21-Nov-2024');</v>
      </c>
      <c r="H98" s="23" t="str">
        <f t="shared" si="7"/>
        <v>insert into ins_premium_det (premium_rcv_code,assorted_code, rec_amount,premium_rcv_detail_code,remaining_amt, payrec, mode_code,coinsurance_code,class_cd,it_remarks) values('20Nov240019','070000167809','20351',(select max(to_number(i.premium_rcv_detail_code))+1
from ins_premium_det i),'20351','20351','02', '11000003','00','Request by Mr. Saqib Saleem 21-Nov-2024');</v>
      </c>
    </row>
    <row r="99" spans="1:8" ht="105" x14ac:dyDescent="0.25">
      <c r="A99" s="1" t="s">
        <v>668</v>
      </c>
      <c r="B99" s="19" t="str">
        <f>VLOOKUP(A99,Policy!B:C,2,0)</f>
        <v>070000167810</v>
      </c>
      <c r="C99" s="3">
        <v>74213</v>
      </c>
      <c r="D99" s="20">
        <f t="shared" si="5"/>
        <v>74213</v>
      </c>
      <c r="E99" s="24" t="s">
        <v>1149</v>
      </c>
      <c r="F99" s="21" t="str">
        <f t="shared" si="4"/>
        <v>insert into ins_premium_det (premium_rcv_code,assorted_code, rec_amount,premium_rcv_detail_code,remaining_amt, payrec, mode_code,coinsurance_code,class_cd,it_remarks) values</v>
      </c>
      <c r="G99" s="22" t="str">
        <f t="shared" si="6"/>
        <v>('20Nov240019','070000167810','74213',(select max(to_number(i.premium_rcv_detail_code))+1
from ins_premium_det i),'74213','74213','02', '11000003','00','Request by Mr. Saqib Saleem 21-Nov-2024');</v>
      </c>
      <c r="H99" s="23" t="str">
        <f t="shared" si="7"/>
        <v>insert into ins_premium_det (premium_rcv_code,assorted_code, rec_amount,premium_rcv_detail_code,remaining_amt, payrec, mode_code,coinsurance_code,class_cd,it_remarks) values('20Nov240019','070000167810','74213',(select max(to_number(i.premium_rcv_detail_code))+1
from ins_premium_det i),'74213','74213','02', '11000003','00','Request by Mr. Saqib Saleem 21-Nov-2024');</v>
      </c>
    </row>
    <row r="100" spans="1:8" ht="105" x14ac:dyDescent="0.25">
      <c r="A100" s="1" t="s">
        <v>674</v>
      </c>
      <c r="B100" s="19" t="str">
        <f>VLOOKUP(A100,Policy!B:C,2,0)</f>
        <v>070000167807</v>
      </c>
      <c r="C100" s="3">
        <v>18345</v>
      </c>
      <c r="D100" s="20">
        <f t="shared" si="5"/>
        <v>18345</v>
      </c>
      <c r="E100" s="24" t="s">
        <v>1149</v>
      </c>
      <c r="F100" s="21" t="str">
        <f t="shared" si="4"/>
        <v>insert into ins_premium_det (premium_rcv_code,assorted_code, rec_amount,premium_rcv_detail_code,remaining_amt, payrec, mode_code,coinsurance_code,class_cd,it_remarks) values</v>
      </c>
      <c r="G100" s="22" t="str">
        <f t="shared" si="6"/>
        <v>('20Nov240019','070000167807','18345',(select max(to_number(i.premium_rcv_detail_code))+1
from ins_premium_det i),'18345','18345','02', '11000003','00','Request by Mr. Saqib Saleem 21-Nov-2024');</v>
      </c>
      <c r="H100" s="23" t="str">
        <f t="shared" si="7"/>
        <v>insert into ins_premium_det (premium_rcv_code,assorted_code, rec_amount,premium_rcv_detail_code,remaining_amt, payrec, mode_code,coinsurance_code,class_cd,it_remarks) values('20Nov240019','070000167807','18345',(select max(to_number(i.premium_rcv_detail_code))+1
from ins_premium_det i),'18345','18345','02', '11000003','00','Request by Mr. Saqib Saleem 21-Nov-2024');</v>
      </c>
    </row>
    <row r="101" spans="1:8" ht="105" x14ac:dyDescent="0.25">
      <c r="A101" s="1" t="s">
        <v>681</v>
      </c>
      <c r="B101" s="19" t="str">
        <f>VLOOKUP(A101,Policy!B:C,2,0)</f>
        <v>070000167806</v>
      </c>
      <c r="C101" s="3">
        <v>32328</v>
      </c>
      <c r="D101" s="20">
        <f t="shared" si="5"/>
        <v>32328</v>
      </c>
      <c r="E101" s="24" t="s">
        <v>1149</v>
      </c>
      <c r="F101" s="21" t="str">
        <f t="shared" si="4"/>
        <v>insert into ins_premium_det (premium_rcv_code,assorted_code, rec_amount,premium_rcv_detail_code,remaining_amt, payrec, mode_code,coinsurance_code,class_cd,it_remarks) values</v>
      </c>
      <c r="G101" s="22" t="str">
        <f t="shared" si="6"/>
        <v>('20Nov240019','070000167806','32328',(select max(to_number(i.premium_rcv_detail_code))+1
from ins_premium_det i),'32328','32328','02', '11000003','00','Request by Mr. Saqib Saleem 21-Nov-2024');</v>
      </c>
      <c r="H101" s="23" t="str">
        <f t="shared" si="7"/>
        <v>insert into ins_premium_det (premium_rcv_code,assorted_code, rec_amount,premium_rcv_detail_code,remaining_amt, payrec, mode_code,coinsurance_code,class_cd,it_remarks) values('20Nov240019','070000167806','32328',(select max(to_number(i.premium_rcv_detail_code))+1
from ins_premium_det i),'32328','32328','02', '11000003','00','Request by Mr. Saqib Saleem 21-Nov-2024');</v>
      </c>
    </row>
    <row r="102" spans="1:8" ht="105" x14ac:dyDescent="0.25">
      <c r="A102" s="1" t="s">
        <v>688</v>
      </c>
      <c r="B102" s="19" t="str">
        <f>VLOOKUP(A102,Policy!B:C,2,0)</f>
        <v>070000167805</v>
      </c>
      <c r="C102" s="3">
        <v>32779</v>
      </c>
      <c r="D102" s="20">
        <f t="shared" si="5"/>
        <v>32779</v>
      </c>
      <c r="E102" s="24" t="s">
        <v>1149</v>
      </c>
      <c r="F102" s="21" t="str">
        <f t="shared" si="4"/>
        <v>insert into ins_premium_det (premium_rcv_code,assorted_code, rec_amount,premium_rcv_detail_code,remaining_amt, payrec, mode_code,coinsurance_code,class_cd,it_remarks) values</v>
      </c>
      <c r="G102" s="22" t="str">
        <f t="shared" si="6"/>
        <v>('20Nov240019','070000167805','32779',(select max(to_number(i.premium_rcv_detail_code))+1
from ins_premium_det i),'32779','32779','02', '11000003','00','Request by Mr. Saqib Saleem 21-Nov-2024');</v>
      </c>
      <c r="H102" s="23" t="str">
        <f t="shared" si="7"/>
        <v>insert into ins_premium_det (premium_rcv_code,assorted_code, rec_amount,premium_rcv_detail_code,remaining_amt, payrec, mode_code,coinsurance_code,class_cd,it_remarks) values('20Nov240019','070000167805','32779',(select max(to_number(i.premium_rcv_detail_code))+1
from ins_premium_det i),'32779','32779','02', '11000003','00','Request by Mr. Saqib Saleem 21-Nov-2024');</v>
      </c>
    </row>
    <row r="103" spans="1:8" ht="105" x14ac:dyDescent="0.25">
      <c r="A103" s="1" t="s">
        <v>696</v>
      </c>
      <c r="B103" s="19" t="str">
        <f>VLOOKUP(A103,Policy!B:C,2,0)</f>
        <v>070000167862</v>
      </c>
      <c r="C103" s="3">
        <v>19749</v>
      </c>
      <c r="D103" s="20">
        <f t="shared" si="5"/>
        <v>19749</v>
      </c>
      <c r="E103" s="24" t="s">
        <v>1149</v>
      </c>
      <c r="F103" s="21" t="str">
        <f t="shared" si="4"/>
        <v>insert into ins_premium_det (premium_rcv_code,assorted_code, rec_amount,premium_rcv_detail_code,remaining_amt, payrec, mode_code,coinsurance_code,class_cd,it_remarks) values</v>
      </c>
      <c r="G103" s="22" t="str">
        <f t="shared" si="6"/>
        <v>('20Nov240019','070000167862','19749',(select max(to_number(i.premium_rcv_detail_code))+1
from ins_premium_det i),'19749','19749','02', '11000003','00','Request by Mr. Saqib Saleem 21-Nov-2024');</v>
      </c>
      <c r="H103" s="23" t="str">
        <f t="shared" si="7"/>
        <v>insert into ins_premium_det (premium_rcv_code,assorted_code, rec_amount,premium_rcv_detail_code,remaining_amt, payrec, mode_code,coinsurance_code,class_cd,it_remarks) values('20Nov240019','070000167862','19749',(select max(to_number(i.premium_rcv_detail_code))+1
from ins_premium_det i),'19749','19749','02', '11000003','00','Request by Mr. Saqib Saleem 21-Nov-2024');</v>
      </c>
    </row>
    <row r="104" spans="1:8" ht="105" x14ac:dyDescent="0.25">
      <c r="A104" s="1" t="s">
        <v>702</v>
      </c>
      <c r="B104" s="19" t="str">
        <f>VLOOKUP(A104,Policy!B:C,2,0)</f>
        <v>070000167904</v>
      </c>
      <c r="C104" s="3">
        <v>27666</v>
      </c>
      <c r="D104" s="20">
        <f t="shared" si="5"/>
        <v>27666</v>
      </c>
      <c r="E104" s="24" t="s">
        <v>1149</v>
      </c>
      <c r="F104" s="21" t="str">
        <f t="shared" si="4"/>
        <v>insert into ins_premium_det (premium_rcv_code,assorted_code, rec_amount,premium_rcv_detail_code,remaining_amt, payrec, mode_code,coinsurance_code,class_cd,it_remarks) values</v>
      </c>
      <c r="G104" s="22" t="str">
        <f t="shared" si="6"/>
        <v>('20Nov240019','070000167904','27666',(select max(to_number(i.premium_rcv_detail_code))+1
from ins_premium_det i),'27666','27666','02', '11000003','00','Request by Mr. Saqib Saleem 21-Nov-2024');</v>
      </c>
      <c r="H104" s="23" t="str">
        <f t="shared" si="7"/>
        <v>insert into ins_premium_det (premium_rcv_code,assorted_code, rec_amount,premium_rcv_detail_code,remaining_amt, payrec, mode_code,coinsurance_code,class_cd,it_remarks) values('20Nov240019','070000167904','27666',(select max(to_number(i.premium_rcv_detail_code))+1
from ins_premium_det i),'27666','27666','02', '11000003','00','Request by Mr. Saqib Saleem 21-Nov-2024');</v>
      </c>
    </row>
    <row r="105" spans="1:8" ht="105" x14ac:dyDescent="0.25">
      <c r="A105" s="1" t="s">
        <v>710</v>
      </c>
      <c r="B105" s="19" t="str">
        <f>VLOOKUP(A105,Policy!B:C,2,0)</f>
        <v>070000167911</v>
      </c>
      <c r="C105" s="3">
        <v>88756</v>
      </c>
      <c r="D105" s="20">
        <f t="shared" si="5"/>
        <v>88756</v>
      </c>
      <c r="E105" s="24" t="s">
        <v>1149</v>
      </c>
      <c r="F105" s="21" t="str">
        <f t="shared" si="4"/>
        <v>insert into ins_premium_det (premium_rcv_code,assorted_code, rec_amount,premium_rcv_detail_code,remaining_amt, payrec, mode_code,coinsurance_code,class_cd,it_remarks) values</v>
      </c>
      <c r="G105" s="22" t="str">
        <f t="shared" si="6"/>
        <v>('20Nov240019','070000167911','88756',(select max(to_number(i.premium_rcv_detail_code))+1
from ins_premium_det i),'88756','88756','02', '11000003','00','Request by Mr. Saqib Saleem 21-Nov-2024');</v>
      </c>
      <c r="H105" s="23" t="str">
        <f t="shared" si="7"/>
        <v>insert into ins_premium_det (premium_rcv_code,assorted_code, rec_amount,premium_rcv_detail_code,remaining_amt, payrec, mode_code,coinsurance_code,class_cd,it_remarks) values('20Nov240019','070000167911','88756',(select max(to_number(i.premium_rcv_detail_code))+1
from ins_premium_det i),'88756','88756','02', '11000003','00','Request by Mr. Saqib Saleem 21-Nov-2024');</v>
      </c>
    </row>
    <row r="106" spans="1:8" ht="105" x14ac:dyDescent="0.25">
      <c r="A106" s="1" t="s">
        <v>717</v>
      </c>
      <c r="B106" s="19" t="str">
        <f>VLOOKUP(A106,Policy!B:C,2,0)</f>
        <v>070000167910</v>
      </c>
      <c r="C106" s="3">
        <v>32988</v>
      </c>
      <c r="D106" s="20">
        <f t="shared" si="5"/>
        <v>32988</v>
      </c>
      <c r="E106" s="24" t="s">
        <v>1149</v>
      </c>
      <c r="F106" s="21" t="str">
        <f t="shared" si="4"/>
        <v>insert into ins_premium_det (premium_rcv_code,assorted_code, rec_amount,premium_rcv_detail_code,remaining_amt, payrec, mode_code,coinsurance_code,class_cd,it_remarks) values</v>
      </c>
      <c r="G106" s="22" t="str">
        <f t="shared" si="6"/>
        <v>('20Nov240019','070000167910','32988',(select max(to_number(i.premium_rcv_detail_code))+1
from ins_premium_det i),'32988','32988','02', '11000003','00','Request by Mr. Saqib Saleem 21-Nov-2024');</v>
      </c>
      <c r="H106" s="23" t="str">
        <f t="shared" si="7"/>
        <v>insert into ins_premium_det (premium_rcv_code,assorted_code, rec_amount,premium_rcv_detail_code,remaining_amt, payrec, mode_code,coinsurance_code,class_cd,it_remarks) values('20Nov240019','070000167910','32988',(select max(to_number(i.premium_rcv_detail_code))+1
from ins_premium_det i),'32988','32988','02', '11000003','00','Request by Mr. Saqib Saleem 21-Nov-2024');</v>
      </c>
    </row>
    <row r="107" spans="1:8" ht="105" x14ac:dyDescent="0.25">
      <c r="A107" s="1" t="s">
        <v>723</v>
      </c>
      <c r="B107" s="19" t="str">
        <f>VLOOKUP(A107,Policy!B:C,2,0)</f>
        <v>070000167909</v>
      </c>
      <c r="C107" s="3">
        <v>88756</v>
      </c>
      <c r="D107" s="20">
        <f t="shared" si="5"/>
        <v>88756</v>
      </c>
      <c r="E107" s="24" t="s">
        <v>1149</v>
      </c>
      <c r="F107" s="21" t="str">
        <f t="shared" si="4"/>
        <v>insert into ins_premium_det (premium_rcv_code,assorted_code, rec_amount,premium_rcv_detail_code,remaining_amt, payrec, mode_code,coinsurance_code,class_cd,it_remarks) values</v>
      </c>
      <c r="G107" s="22" t="str">
        <f t="shared" si="6"/>
        <v>('20Nov240019','070000167909','88756',(select max(to_number(i.premium_rcv_detail_code))+1
from ins_premium_det i),'88756','88756','02', '11000003','00','Request by Mr. Saqib Saleem 21-Nov-2024');</v>
      </c>
      <c r="H107" s="23" t="str">
        <f t="shared" si="7"/>
        <v>insert into ins_premium_det (premium_rcv_code,assorted_code, rec_amount,premium_rcv_detail_code,remaining_amt, payrec, mode_code,coinsurance_code,class_cd,it_remarks) values('20Nov240019','070000167909','88756',(select max(to_number(i.premium_rcv_detail_code))+1
from ins_premium_det i),'88756','88756','02', '11000003','00','Request by Mr. Saqib Saleem 21-Nov-2024');</v>
      </c>
    </row>
    <row r="108" spans="1:8" ht="105" x14ac:dyDescent="0.25">
      <c r="A108" s="1" t="s">
        <v>731</v>
      </c>
      <c r="B108" s="19" t="str">
        <f>VLOOKUP(A108,Policy!B:C,2,0)</f>
        <v>070000167914</v>
      </c>
      <c r="C108" s="3">
        <v>33304</v>
      </c>
      <c r="D108" s="20">
        <f t="shared" si="5"/>
        <v>33304</v>
      </c>
      <c r="E108" s="24" t="s">
        <v>1149</v>
      </c>
      <c r="F108" s="21" t="str">
        <f t="shared" si="4"/>
        <v>insert into ins_premium_det (premium_rcv_code,assorted_code, rec_amount,premium_rcv_detail_code,remaining_amt, payrec, mode_code,coinsurance_code,class_cd,it_remarks) values</v>
      </c>
      <c r="G108" s="22" t="str">
        <f t="shared" si="6"/>
        <v>('20Nov240019','070000167914','33304',(select max(to_number(i.premium_rcv_detail_code))+1
from ins_premium_det i),'33304','33304','02', '11000003','00','Request by Mr. Saqib Saleem 21-Nov-2024');</v>
      </c>
      <c r="H108" s="23" t="str">
        <f t="shared" si="7"/>
        <v>insert into ins_premium_det (premium_rcv_code,assorted_code, rec_amount,premium_rcv_detail_code,remaining_amt, payrec, mode_code,coinsurance_code,class_cd,it_remarks) values('20Nov240019','070000167914','33304',(select max(to_number(i.premium_rcv_detail_code))+1
from ins_premium_det i),'33304','33304','02', '11000003','00','Request by Mr. Saqib Saleem 21-Nov-2024');</v>
      </c>
    </row>
    <row r="109" spans="1:8" ht="105" x14ac:dyDescent="0.25">
      <c r="A109" s="1" t="s">
        <v>737</v>
      </c>
      <c r="B109" s="19" t="str">
        <f>VLOOKUP(A109,Policy!B:C,2,0)</f>
        <v>070000167915</v>
      </c>
      <c r="C109" s="3">
        <v>14880</v>
      </c>
      <c r="D109" s="20">
        <f t="shared" si="5"/>
        <v>14880</v>
      </c>
      <c r="E109" s="24" t="s">
        <v>1149</v>
      </c>
      <c r="F109" s="21" t="str">
        <f t="shared" si="4"/>
        <v>insert into ins_premium_det (premium_rcv_code,assorted_code, rec_amount,premium_rcv_detail_code,remaining_amt, payrec, mode_code,coinsurance_code,class_cd,it_remarks) values</v>
      </c>
      <c r="G109" s="22" t="str">
        <f t="shared" si="6"/>
        <v>('20Nov240019','070000167915','14880',(select max(to_number(i.premium_rcv_detail_code))+1
from ins_premium_det i),'14880','14880','02', '11000003','00','Request by Mr. Saqib Saleem 21-Nov-2024');</v>
      </c>
      <c r="H109" s="23" t="str">
        <f t="shared" si="7"/>
        <v>insert into ins_premium_det (premium_rcv_code,assorted_code, rec_amount,premium_rcv_detail_code,remaining_amt, payrec, mode_code,coinsurance_code,class_cd,it_remarks) values('20Nov240019','070000167915','14880',(select max(to_number(i.premium_rcv_detail_code))+1
from ins_premium_det i),'14880','14880','02', '11000003','00','Request by Mr. Saqib Saleem 21-Nov-2024');</v>
      </c>
    </row>
    <row r="110" spans="1:8" ht="105" x14ac:dyDescent="0.25">
      <c r="A110" s="1" t="s">
        <v>744</v>
      </c>
      <c r="B110" s="19" t="str">
        <f>VLOOKUP(A110,Policy!B:C,2,0)</f>
        <v>070000167917</v>
      </c>
      <c r="C110" s="3">
        <v>32805</v>
      </c>
      <c r="D110" s="20">
        <f t="shared" si="5"/>
        <v>32805</v>
      </c>
      <c r="E110" s="24" t="s">
        <v>1149</v>
      </c>
      <c r="F110" s="21" t="str">
        <f t="shared" si="4"/>
        <v>insert into ins_premium_det (premium_rcv_code,assorted_code, rec_amount,premium_rcv_detail_code,remaining_amt, payrec, mode_code,coinsurance_code,class_cd,it_remarks) values</v>
      </c>
      <c r="G110" s="22" t="str">
        <f t="shared" si="6"/>
        <v>('20Nov240019','070000167917','32805',(select max(to_number(i.premium_rcv_detail_code))+1
from ins_premium_det i),'32805','32805','02', '11000003','00','Request by Mr. Saqib Saleem 21-Nov-2024');</v>
      </c>
      <c r="H110" s="23" t="str">
        <f t="shared" si="7"/>
        <v>insert into ins_premium_det (premium_rcv_code,assorted_code, rec_amount,premium_rcv_detail_code,remaining_amt, payrec, mode_code,coinsurance_code,class_cd,it_remarks) values('20Nov240019','070000167917','32805',(select max(to_number(i.premium_rcv_detail_code))+1
from ins_premium_det i),'32805','32805','02', '11000003','00','Request by Mr. Saqib Saleem 21-Nov-2024');</v>
      </c>
    </row>
    <row r="111" spans="1:8" ht="105" x14ac:dyDescent="0.25">
      <c r="A111" s="1" t="s">
        <v>750</v>
      </c>
      <c r="B111" s="19" t="str">
        <f>VLOOKUP(A111,Policy!B:C,2,0)</f>
        <v>070000167918</v>
      </c>
      <c r="C111" s="3">
        <v>22915</v>
      </c>
      <c r="D111" s="20">
        <f t="shared" si="5"/>
        <v>22915</v>
      </c>
      <c r="E111" s="24" t="s">
        <v>1149</v>
      </c>
      <c r="F111" s="21" t="str">
        <f t="shared" si="4"/>
        <v>insert into ins_premium_det (premium_rcv_code,assorted_code, rec_amount,premium_rcv_detail_code,remaining_amt, payrec, mode_code,coinsurance_code,class_cd,it_remarks) values</v>
      </c>
      <c r="G111" s="22" t="str">
        <f t="shared" si="6"/>
        <v>('20Nov240019','070000167918','22915',(select max(to_number(i.premium_rcv_detail_code))+1
from ins_premium_det i),'22915','22915','02', '11000003','00','Request by Mr. Saqib Saleem 21-Nov-2024');</v>
      </c>
      <c r="H111" s="23" t="str">
        <f t="shared" si="7"/>
        <v>insert into ins_premium_det (premium_rcv_code,assorted_code, rec_amount,premium_rcv_detail_code,remaining_amt, payrec, mode_code,coinsurance_code,class_cd,it_remarks) values('20Nov240019','070000167918','22915',(select max(to_number(i.premium_rcv_detail_code))+1
from ins_premium_det i),'22915','22915','02', '11000003','00','Request by Mr. Saqib Saleem 21-Nov-2024');</v>
      </c>
    </row>
    <row r="112" spans="1:8" ht="105" x14ac:dyDescent="0.25">
      <c r="A112" s="1" t="s">
        <v>756</v>
      </c>
      <c r="B112" s="19" t="str">
        <f>VLOOKUP(A112,Policy!B:C,2,0)</f>
        <v>070000167912</v>
      </c>
      <c r="C112" s="3">
        <v>81128</v>
      </c>
      <c r="D112" s="20">
        <f t="shared" si="5"/>
        <v>81128</v>
      </c>
      <c r="E112" s="24" t="s">
        <v>1149</v>
      </c>
      <c r="F112" s="21" t="str">
        <f t="shared" si="4"/>
        <v>insert into ins_premium_det (premium_rcv_code,assorted_code, rec_amount,premium_rcv_detail_code,remaining_amt, payrec, mode_code,coinsurance_code,class_cd,it_remarks) values</v>
      </c>
      <c r="G112" s="22" t="str">
        <f t="shared" si="6"/>
        <v>('20Nov240019','070000167912','81128',(select max(to_number(i.premium_rcv_detail_code))+1
from ins_premium_det i),'81128','81128','02', '11000003','00','Request by Mr. Saqib Saleem 21-Nov-2024');</v>
      </c>
      <c r="H112" s="23" t="str">
        <f t="shared" si="7"/>
        <v>insert into ins_premium_det (premium_rcv_code,assorted_code, rec_amount,premium_rcv_detail_code,remaining_amt, payrec, mode_code,coinsurance_code,class_cd,it_remarks) values('20Nov240019','070000167912','81128',(select max(to_number(i.premium_rcv_detail_code))+1
from ins_premium_det i),'81128','81128','02', '11000003','00','Request by Mr. Saqib Saleem 21-Nov-2024');</v>
      </c>
    </row>
    <row r="113" spans="1:8" ht="105" x14ac:dyDescent="0.25">
      <c r="A113" s="1" t="s">
        <v>762</v>
      </c>
      <c r="B113" s="19" t="str">
        <f>VLOOKUP(A113,Policy!B:C,2,0)</f>
        <v>070000167905</v>
      </c>
      <c r="C113" s="3">
        <v>67487</v>
      </c>
      <c r="D113" s="20">
        <f t="shared" si="5"/>
        <v>67487</v>
      </c>
      <c r="E113" s="24" t="s">
        <v>1149</v>
      </c>
      <c r="F113" s="21" t="str">
        <f t="shared" si="4"/>
        <v>insert into ins_premium_det (premium_rcv_code,assorted_code, rec_amount,premium_rcv_detail_code,remaining_amt, payrec, mode_code,coinsurance_code,class_cd,it_remarks) values</v>
      </c>
      <c r="G113" s="22" t="str">
        <f t="shared" si="6"/>
        <v>('20Nov240019','070000167905','67487',(select max(to_number(i.premium_rcv_detail_code))+1
from ins_premium_det i),'67487','67487','02', '11000003','00','Request by Mr. Saqib Saleem 21-Nov-2024');</v>
      </c>
      <c r="H113" s="23" t="str">
        <f t="shared" si="7"/>
        <v>insert into ins_premium_det (premium_rcv_code,assorted_code, rec_amount,premium_rcv_detail_code,remaining_amt, payrec, mode_code,coinsurance_code,class_cd,it_remarks) values('20Nov240019','070000167905','67487',(select max(to_number(i.premium_rcv_detail_code))+1
from ins_premium_det i),'67487','67487','02', '11000003','00','Request by Mr. Saqib Saleem 21-Nov-2024');</v>
      </c>
    </row>
    <row r="114" spans="1:8" ht="105" x14ac:dyDescent="0.25">
      <c r="A114" s="1" t="s">
        <v>769</v>
      </c>
      <c r="B114" s="19" t="str">
        <f>VLOOKUP(A114,Policy!B:C,2,0)</f>
        <v>070000167907</v>
      </c>
      <c r="C114" s="3">
        <v>54155</v>
      </c>
      <c r="D114" s="20">
        <f t="shared" si="5"/>
        <v>54155</v>
      </c>
      <c r="E114" s="24" t="s">
        <v>1149</v>
      </c>
      <c r="F114" s="21" t="str">
        <f t="shared" si="4"/>
        <v>insert into ins_premium_det (premium_rcv_code,assorted_code, rec_amount,premium_rcv_detail_code,remaining_amt, payrec, mode_code,coinsurance_code,class_cd,it_remarks) values</v>
      </c>
      <c r="G114" s="22" t="str">
        <f t="shared" si="6"/>
        <v>('20Nov240019','070000167907','54155',(select max(to_number(i.premium_rcv_detail_code))+1
from ins_premium_det i),'54155','54155','02', '11000003','00','Request by Mr. Saqib Saleem 21-Nov-2024');</v>
      </c>
      <c r="H114" s="23" t="str">
        <f t="shared" si="7"/>
        <v>insert into ins_premium_det (premium_rcv_code,assorted_code, rec_amount,premium_rcv_detail_code,remaining_amt, payrec, mode_code,coinsurance_code,class_cd,it_remarks) values('20Nov240019','070000167907','54155',(select max(to_number(i.premium_rcv_detail_code))+1
from ins_premium_det i),'54155','54155','02', '11000003','00','Request by Mr. Saqib Saleem 21-Nov-2024');</v>
      </c>
    </row>
    <row r="115" spans="1:8" ht="105" x14ac:dyDescent="0.25">
      <c r="A115" s="1" t="s">
        <v>775</v>
      </c>
      <c r="B115" s="19" t="str">
        <f>VLOOKUP(A115,Policy!B:C,2,0)</f>
        <v>070000167908</v>
      </c>
      <c r="C115" s="3">
        <v>14598</v>
      </c>
      <c r="D115" s="20">
        <f t="shared" si="5"/>
        <v>14598</v>
      </c>
      <c r="E115" s="24" t="s">
        <v>1149</v>
      </c>
      <c r="F115" s="21" t="str">
        <f t="shared" si="4"/>
        <v>insert into ins_premium_det (premium_rcv_code,assorted_code, rec_amount,premium_rcv_detail_code,remaining_amt, payrec, mode_code,coinsurance_code,class_cd,it_remarks) values</v>
      </c>
      <c r="G115" s="22" t="str">
        <f t="shared" si="6"/>
        <v>('20Nov240019','070000167908','14598',(select max(to_number(i.premium_rcv_detail_code))+1
from ins_premium_det i),'14598','14598','02', '11000003','00','Request by Mr. Saqib Saleem 21-Nov-2024');</v>
      </c>
      <c r="H115" s="23" t="str">
        <f t="shared" si="7"/>
        <v>insert into ins_premium_det (premium_rcv_code,assorted_code, rec_amount,premium_rcv_detail_code,remaining_amt, payrec, mode_code,coinsurance_code,class_cd,it_remarks) values('20Nov240019','070000167908','14598',(select max(to_number(i.premium_rcv_detail_code))+1
from ins_premium_det i),'14598','14598','02', '11000003','00','Request by Mr. Saqib Saleem 21-Nov-2024');</v>
      </c>
    </row>
    <row r="116" spans="1:8" ht="105" x14ac:dyDescent="0.25">
      <c r="A116" s="1" t="s">
        <v>781</v>
      </c>
      <c r="B116" s="19" t="str">
        <f>VLOOKUP(A116,Policy!B:C,2,0)</f>
        <v>070000167906</v>
      </c>
      <c r="C116" s="3">
        <v>46062</v>
      </c>
      <c r="D116" s="20">
        <f t="shared" si="5"/>
        <v>46062</v>
      </c>
      <c r="E116" s="24" t="s">
        <v>1149</v>
      </c>
      <c r="F116" s="21" t="str">
        <f t="shared" si="4"/>
        <v>insert into ins_premium_det (premium_rcv_code,assorted_code, rec_amount,premium_rcv_detail_code,remaining_amt, payrec, mode_code,coinsurance_code,class_cd,it_remarks) values</v>
      </c>
      <c r="G116" s="22" t="str">
        <f t="shared" si="6"/>
        <v>('20Nov240019','070000167906','46062',(select max(to_number(i.premium_rcv_detail_code))+1
from ins_premium_det i),'46062','46062','02', '11000003','00','Request by Mr. Saqib Saleem 21-Nov-2024');</v>
      </c>
      <c r="H116" s="23" t="str">
        <f t="shared" si="7"/>
        <v>insert into ins_premium_det (premium_rcv_code,assorted_code, rec_amount,premium_rcv_detail_code,remaining_amt, payrec, mode_code,coinsurance_code,class_cd,it_remarks) values('20Nov240019','070000167906','46062',(select max(to_number(i.premium_rcv_detail_code))+1
from ins_premium_det i),'46062','46062','02', '11000003','00','Request by Mr. Saqib Saleem 21-Nov-2024');</v>
      </c>
    </row>
    <row r="117" spans="1:8" ht="105" x14ac:dyDescent="0.25">
      <c r="A117" s="1" t="s">
        <v>787</v>
      </c>
      <c r="B117" s="19" t="str">
        <f>VLOOKUP(A117,Policy!B:C,2,0)</f>
        <v>070000167922</v>
      </c>
      <c r="C117" s="3">
        <v>54155</v>
      </c>
      <c r="D117" s="20">
        <f t="shared" si="5"/>
        <v>54155</v>
      </c>
      <c r="E117" s="24" t="s">
        <v>1149</v>
      </c>
      <c r="F117" s="21" t="str">
        <f t="shared" si="4"/>
        <v>insert into ins_premium_det (premium_rcv_code,assorted_code, rec_amount,premium_rcv_detail_code,remaining_amt, payrec, mode_code,coinsurance_code,class_cd,it_remarks) values</v>
      </c>
      <c r="G117" s="22" t="str">
        <f t="shared" si="6"/>
        <v>('20Nov240019','070000167922','54155',(select max(to_number(i.premium_rcv_detail_code))+1
from ins_premium_det i),'54155','54155','02', '11000003','00','Request by Mr. Saqib Saleem 21-Nov-2024');</v>
      </c>
      <c r="H117" s="23" t="str">
        <f t="shared" si="7"/>
        <v>insert into ins_premium_det (premium_rcv_code,assorted_code, rec_amount,premium_rcv_detail_code,remaining_amt, payrec, mode_code,coinsurance_code,class_cd,it_remarks) values('20Nov240019','070000167922','54155',(select max(to_number(i.premium_rcv_detail_code))+1
from ins_premium_det i),'54155','54155','02', '11000003','00','Request by Mr. Saqib Saleem 21-Nov-2024');</v>
      </c>
    </row>
    <row r="118" spans="1:8" ht="105" x14ac:dyDescent="0.25">
      <c r="A118" s="1" t="s">
        <v>793</v>
      </c>
      <c r="B118" s="19" t="str">
        <f>VLOOKUP(A118,Policy!B:C,2,0)</f>
        <v>070000167928</v>
      </c>
      <c r="C118" s="3">
        <v>21056</v>
      </c>
      <c r="D118" s="20">
        <f t="shared" si="5"/>
        <v>21056</v>
      </c>
      <c r="E118" s="24" t="s">
        <v>1149</v>
      </c>
      <c r="F118" s="21" t="str">
        <f t="shared" si="4"/>
        <v>insert into ins_premium_det (premium_rcv_code,assorted_code, rec_amount,premium_rcv_detail_code,remaining_amt, payrec, mode_code,coinsurance_code,class_cd,it_remarks) values</v>
      </c>
      <c r="G118" s="22" t="str">
        <f t="shared" si="6"/>
        <v>('20Nov240019','070000167928','21056',(select max(to_number(i.premium_rcv_detail_code))+1
from ins_premium_det i),'21056','21056','02', '11000003','00','Request by Mr. Saqib Saleem 21-Nov-2024');</v>
      </c>
      <c r="H118" s="23" t="str">
        <f t="shared" si="7"/>
        <v>insert into ins_premium_det (premium_rcv_code,assorted_code, rec_amount,premium_rcv_detail_code,remaining_amt, payrec, mode_code,coinsurance_code,class_cd,it_remarks) values('20Nov240019','070000167928','21056',(select max(to_number(i.premium_rcv_detail_code))+1
from ins_premium_det i),'21056','21056','02', '11000003','00','Request by Mr. Saqib Saleem 21-Nov-2024');</v>
      </c>
    </row>
    <row r="119" spans="1:8" ht="105" x14ac:dyDescent="0.25">
      <c r="A119" s="1" t="s">
        <v>799</v>
      </c>
      <c r="B119" s="19" t="str">
        <f>VLOOKUP(A119,Policy!B:C,2,0)</f>
        <v>070000167938</v>
      </c>
      <c r="C119" s="3">
        <v>39623</v>
      </c>
      <c r="D119" s="20">
        <f t="shared" si="5"/>
        <v>39623</v>
      </c>
      <c r="E119" s="24" t="s">
        <v>1149</v>
      </c>
      <c r="F119" s="21" t="str">
        <f t="shared" si="4"/>
        <v>insert into ins_premium_det (premium_rcv_code,assorted_code, rec_amount,premium_rcv_detail_code,remaining_amt, payrec, mode_code,coinsurance_code,class_cd,it_remarks) values</v>
      </c>
      <c r="G119" s="22" t="str">
        <f t="shared" si="6"/>
        <v>('20Nov240019','070000167938','39623',(select max(to_number(i.premium_rcv_detail_code))+1
from ins_premium_det i),'39623','39623','02', '11000003','00','Request by Mr. Saqib Saleem 21-Nov-2024');</v>
      </c>
      <c r="H119" s="23" t="str">
        <f t="shared" si="7"/>
        <v>insert into ins_premium_det (premium_rcv_code,assorted_code, rec_amount,premium_rcv_detail_code,remaining_amt, payrec, mode_code,coinsurance_code,class_cd,it_remarks) values('20Nov240019','070000167938','39623',(select max(to_number(i.premium_rcv_detail_code))+1
from ins_premium_det i),'39623','39623','02', '11000003','00','Request by Mr. Saqib Saleem 21-Nov-2024');</v>
      </c>
    </row>
    <row r="120" spans="1:8" ht="105" x14ac:dyDescent="0.25">
      <c r="A120" s="1" t="s">
        <v>805</v>
      </c>
      <c r="B120" s="19" t="str">
        <f>VLOOKUP(A120,Policy!B:C,2,0)</f>
        <v>070000167923</v>
      </c>
      <c r="C120" s="3">
        <v>18345</v>
      </c>
      <c r="D120" s="20">
        <f t="shared" si="5"/>
        <v>18345</v>
      </c>
      <c r="E120" s="24" t="s">
        <v>1149</v>
      </c>
      <c r="F120" s="21" t="str">
        <f t="shared" si="4"/>
        <v>insert into ins_premium_det (premium_rcv_code,assorted_code, rec_amount,premium_rcv_detail_code,remaining_amt, payrec, mode_code,coinsurance_code,class_cd,it_remarks) values</v>
      </c>
      <c r="G120" s="22" t="str">
        <f t="shared" si="6"/>
        <v>('20Nov240019','070000167923','18345',(select max(to_number(i.premium_rcv_detail_code))+1
from ins_premium_det i),'18345','18345','02', '11000003','00','Request by Mr. Saqib Saleem 21-Nov-2024');</v>
      </c>
      <c r="H120" s="23" t="str">
        <f t="shared" si="7"/>
        <v>insert into ins_premium_det (premium_rcv_code,assorted_code, rec_amount,premium_rcv_detail_code,remaining_amt, payrec, mode_code,coinsurance_code,class_cd,it_remarks) values('20Nov240019','070000167923','18345',(select max(to_number(i.premium_rcv_detail_code))+1
from ins_premium_det i),'18345','18345','02', '11000003','00','Request by Mr. Saqib Saleem 21-Nov-2024');</v>
      </c>
    </row>
    <row r="121" spans="1:8" ht="105" x14ac:dyDescent="0.25">
      <c r="A121" s="1" t="s">
        <v>812</v>
      </c>
      <c r="B121" s="19" t="str">
        <f>VLOOKUP(A121,Policy!B:C,2,0)</f>
        <v>070000167924</v>
      </c>
      <c r="C121" s="3">
        <v>101551</v>
      </c>
      <c r="D121" s="20">
        <f t="shared" si="5"/>
        <v>101551</v>
      </c>
      <c r="E121" s="24" t="s">
        <v>1149</v>
      </c>
      <c r="F121" s="21" t="str">
        <f t="shared" si="4"/>
        <v>insert into ins_premium_det (premium_rcv_code,assorted_code, rec_amount,premium_rcv_detail_code,remaining_amt, payrec, mode_code,coinsurance_code,class_cd,it_remarks) values</v>
      </c>
      <c r="G121" s="22" t="str">
        <f t="shared" si="6"/>
        <v>('20Nov240019','070000167924','101551',(select max(to_number(i.premium_rcv_detail_code))+1
from ins_premium_det i),'101551','101551','02', '11000003','00','Request by Mr. Saqib Saleem 21-Nov-2024');</v>
      </c>
      <c r="H121" s="23" t="str">
        <f t="shared" si="7"/>
        <v>insert into ins_premium_det (premium_rcv_code,assorted_code, rec_amount,premium_rcv_detail_code,remaining_amt, payrec, mode_code,coinsurance_code,class_cd,it_remarks) values('20Nov240019','070000167924','101551',(select max(to_number(i.premium_rcv_detail_code))+1
from ins_premium_det i),'101551','101551','02', '11000003','00','Request by Mr. Saqib Saleem 21-Nov-2024');</v>
      </c>
    </row>
    <row r="122" spans="1:8" ht="105" x14ac:dyDescent="0.25">
      <c r="A122" s="1" t="s">
        <v>818</v>
      </c>
      <c r="B122" s="19" t="str">
        <f>VLOOKUP(A122,Policy!B:C,2,0)</f>
        <v>070000167930</v>
      </c>
      <c r="C122" s="3">
        <v>34044</v>
      </c>
      <c r="D122" s="20">
        <f t="shared" si="5"/>
        <v>34044</v>
      </c>
      <c r="E122" s="24" t="s">
        <v>1149</v>
      </c>
      <c r="F122" s="21" t="str">
        <f t="shared" si="4"/>
        <v>insert into ins_premium_det (premium_rcv_code,assorted_code, rec_amount,premium_rcv_detail_code,remaining_amt, payrec, mode_code,coinsurance_code,class_cd,it_remarks) values</v>
      </c>
      <c r="G122" s="22" t="str">
        <f t="shared" si="6"/>
        <v>('20Nov240019','070000167930','34044',(select max(to_number(i.premium_rcv_detail_code))+1
from ins_premium_det i),'34044','34044','02', '11000003','00','Request by Mr. Saqib Saleem 21-Nov-2024');</v>
      </c>
      <c r="H122" s="23" t="str">
        <f t="shared" si="7"/>
        <v>insert into ins_premium_det (premium_rcv_code,assorted_code, rec_amount,premium_rcv_detail_code,remaining_amt, payrec, mode_code,coinsurance_code,class_cd,it_remarks) values('20Nov240019','070000167930','34044',(select max(to_number(i.premium_rcv_detail_code))+1
from ins_premium_det i),'34044','34044','02', '11000003','00','Request by Mr. Saqib Saleem 21-Nov-2024');</v>
      </c>
    </row>
    <row r="123" spans="1:8" ht="105" x14ac:dyDescent="0.25">
      <c r="A123" s="1" t="s">
        <v>824</v>
      </c>
      <c r="B123" s="19" t="str">
        <f>VLOOKUP(A123,Policy!B:C,2,0)</f>
        <v>070000167931</v>
      </c>
      <c r="C123" s="3">
        <v>20351</v>
      </c>
      <c r="D123" s="20">
        <f t="shared" si="5"/>
        <v>20351</v>
      </c>
      <c r="E123" s="24" t="s">
        <v>1149</v>
      </c>
      <c r="F123" s="21" t="str">
        <f t="shared" si="4"/>
        <v>insert into ins_premium_det (premium_rcv_code,assorted_code, rec_amount,premium_rcv_detail_code,remaining_amt, payrec, mode_code,coinsurance_code,class_cd,it_remarks) values</v>
      </c>
      <c r="G123" s="22" t="str">
        <f t="shared" si="6"/>
        <v>('20Nov240019','070000167931','20351',(select max(to_number(i.premium_rcv_detail_code))+1
from ins_premium_det i),'20351','20351','02', '11000003','00','Request by Mr. Saqib Saleem 21-Nov-2024');</v>
      </c>
      <c r="H123" s="23" t="str">
        <f t="shared" si="7"/>
        <v>insert into ins_premium_det (premium_rcv_code,assorted_code, rec_amount,premium_rcv_detail_code,remaining_amt, payrec, mode_code,coinsurance_code,class_cd,it_remarks) values('20Nov240019','070000167931','20351',(select max(to_number(i.premium_rcv_detail_code))+1
from ins_premium_det i),'20351','20351','02', '11000003','00','Request by Mr. Saqib Saleem 21-Nov-2024');</v>
      </c>
    </row>
    <row r="124" spans="1:8" ht="105" x14ac:dyDescent="0.25">
      <c r="A124" s="1" t="s">
        <v>831</v>
      </c>
      <c r="B124" s="19" t="str">
        <f>VLOOKUP(A124,Policy!B:C,2,0)</f>
        <v>070000167939</v>
      </c>
      <c r="C124" s="3">
        <v>96012</v>
      </c>
      <c r="D124" s="20">
        <f t="shared" si="5"/>
        <v>96012</v>
      </c>
      <c r="E124" s="24" t="s">
        <v>1149</v>
      </c>
      <c r="F124" s="21" t="str">
        <f t="shared" si="4"/>
        <v>insert into ins_premium_det (premium_rcv_code,assorted_code, rec_amount,premium_rcv_detail_code,remaining_amt, payrec, mode_code,coinsurance_code,class_cd,it_remarks) values</v>
      </c>
      <c r="G124" s="22" t="str">
        <f t="shared" si="6"/>
        <v>('20Nov240019','070000167939','96012',(select max(to_number(i.premium_rcv_detail_code))+1
from ins_premium_det i),'96012','96012','02', '11000003','00','Request by Mr. Saqib Saleem 21-Nov-2024');</v>
      </c>
      <c r="H124" s="23" t="str">
        <f t="shared" si="7"/>
        <v>insert into ins_premium_det (premium_rcv_code,assorted_code, rec_amount,premium_rcv_detail_code,remaining_amt, payrec, mode_code,coinsurance_code,class_cd,it_remarks) values('20Nov240019','070000167939','96012',(select max(to_number(i.premium_rcv_detail_code))+1
from ins_premium_det i),'96012','96012','02', '11000003','00','Request by Mr. Saqib Saleem 21-Nov-2024');</v>
      </c>
    </row>
    <row r="125" spans="1:8" ht="105" x14ac:dyDescent="0.25">
      <c r="A125" s="1" t="s">
        <v>837</v>
      </c>
      <c r="B125" s="19" t="str">
        <f>VLOOKUP(A125,Policy!B:C,2,0)</f>
        <v>070000167940</v>
      </c>
      <c r="C125" s="3">
        <v>96012</v>
      </c>
      <c r="D125" s="20">
        <f t="shared" si="5"/>
        <v>96012</v>
      </c>
      <c r="E125" s="24" t="s">
        <v>1149</v>
      </c>
      <c r="F125" s="21" t="str">
        <f t="shared" si="4"/>
        <v>insert into ins_premium_det (premium_rcv_code,assorted_code, rec_amount,premium_rcv_detail_code,remaining_amt, payrec, mode_code,coinsurance_code,class_cd,it_remarks) values</v>
      </c>
      <c r="G125" s="22" t="str">
        <f t="shared" si="6"/>
        <v>('20Nov240019','070000167940','96012',(select max(to_number(i.premium_rcv_detail_code))+1
from ins_premium_det i),'96012','96012','02', '11000003','00','Request by Mr. Saqib Saleem 21-Nov-2024');</v>
      </c>
      <c r="H125" s="23" t="str">
        <f t="shared" si="7"/>
        <v>insert into ins_premium_det (premium_rcv_code,assorted_code, rec_amount,premium_rcv_detail_code,remaining_amt, payrec, mode_code,coinsurance_code,class_cd,it_remarks) values('20Nov240019','070000167940','96012',(select max(to_number(i.premium_rcv_detail_code))+1
from ins_premium_det i),'96012','96012','02', '11000003','00','Request by Mr. Saqib Saleem 21-Nov-2024');</v>
      </c>
    </row>
    <row r="126" spans="1:8" ht="105" x14ac:dyDescent="0.25">
      <c r="A126" s="1" t="s">
        <v>843</v>
      </c>
      <c r="B126" s="19" t="str">
        <f>VLOOKUP(A126,Policy!B:C,2,0)</f>
        <v>070000167932</v>
      </c>
      <c r="C126" s="3">
        <v>34044</v>
      </c>
      <c r="D126" s="20">
        <f t="shared" si="5"/>
        <v>34044</v>
      </c>
      <c r="E126" s="24" t="s">
        <v>1149</v>
      </c>
      <c r="F126" s="21" t="str">
        <f t="shared" si="4"/>
        <v>insert into ins_premium_det (premium_rcv_code,assorted_code, rec_amount,premium_rcv_detail_code,remaining_amt, payrec, mode_code,coinsurance_code,class_cd,it_remarks) values</v>
      </c>
      <c r="G126" s="22" t="str">
        <f t="shared" si="6"/>
        <v>('20Nov240019','070000167932','34044',(select max(to_number(i.premium_rcv_detail_code))+1
from ins_premium_det i),'34044','34044','02', '11000003','00','Request by Mr. Saqib Saleem 21-Nov-2024');</v>
      </c>
      <c r="H126" s="23" t="str">
        <f t="shared" si="7"/>
        <v>insert into ins_premium_det (premium_rcv_code,assorted_code, rec_amount,premium_rcv_detail_code,remaining_amt, payrec, mode_code,coinsurance_code,class_cd,it_remarks) values('20Nov240019','070000167932','34044',(select max(to_number(i.premium_rcv_detail_code))+1
from ins_premium_det i),'34044','34044','02', '11000003','00','Request by Mr. Saqib Saleem 21-Nov-2024');</v>
      </c>
    </row>
    <row r="127" spans="1:8" ht="105" x14ac:dyDescent="0.25">
      <c r="A127" s="1" t="s">
        <v>849</v>
      </c>
      <c r="B127" s="19" t="str">
        <f>VLOOKUP(A127,Policy!B:C,2,0)</f>
        <v>070000167933</v>
      </c>
      <c r="C127" s="3">
        <v>22915</v>
      </c>
      <c r="D127" s="20">
        <f t="shared" si="5"/>
        <v>22915</v>
      </c>
      <c r="E127" s="24" t="s">
        <v>1149</v>
      </c>
      <c r="F127" s="21" t="str">
        <f t="shared" si="4"/>
        <v>insert into ins_premium_det (premium_rcv_code,assorted_code, rec_amount,premium_rcv_detail_code,remaining_amt, payrec, mode_code,coinsurance_code,class_cd,it_remarks) values</v>
      </c>
      <c r="G127" s="22" t="str">
        <f t="shared" si="6"/>
        <v>('20Nov240019','070000167933','22915',(select max(to_number(i.premium_rcv_detail_code))+1
from ins_premium_det i),'22915','22915','02', '11000003','00','Request by Mr. Saqib Saleem 21-Nov-2024');</v>
      </c>
      <c r="H127" s="23" t="str">
        <f t="shared" si="7"/>
        <v>insert into ins_premium_det (premium_rcv_code,assorted_code, rec_amount,premium_rcv_detail_code,remaining_amt, payrec, mode_code,coinsurance_code,class_cd,it_remarks) values('20Nov240019','070000167933','22915',(select max(to_number(i.premium_rcv_detail_code))+1
from ins_premium_det i),'22915','22915','02', '11000003','00','Request by Mr. Saqib Saleem 21-Nov-2024');</v>
      </c>
    </row>
    <row r="128" spans="1:8" ht="105" x14ac:dyDescent="0.25">
      <c r="A128" s="1" t="s">
        <v>857</v>
      </c>
      <c r="B128" s="19" t="str">
        <f>VLOOKUP(A128,Policy!B:C,2,0)</f>
        <v>070000167858</v>
      </c>
      <c r="C128" s="3">
        <v>33508</v>
      </c>
      <c r="D128" s="20">
        <f t="shared" si="5"/>
        <v>33508</v>
      </c>
      <c r="E128" s="24" t="s">
        <v>1149</v>
      </c>
      <c r="F128" s="21" t="str">
        <f t="shared" si="4"/>
        <v>insert into ins_premium_det (premium_rcv_code,assorted_code, rec_amount,premium_rcv_detail_code,remaining_amt, payrec, mode_code,coinsurance_code,class_cd,it_remarks) values</v>
      </c>
      <c r="G128" s="22" t="str">
        <f t="shared" si="6"/>
        <v>('20Nov240019','070000167858','33508',(select max(to_number(i.premium_rcv_detail_code))+1
from ins_premium_det i),'33508','33508','02', '11000003','00','Request by Mr. Saqib Saleem 21-Nov-2024');</v>
      </c>
      <c r="H128" s="23" t="str">
        <f t="shared" si="7"/>
        <v>insert into ins_premium_det (premium_rcv_code,assorted_code, rec_amount,premium_rcv_detail_code,remaining_amt, payrec, mode_code,coinsurance_code,class_cd,it_remarks) values('20Nov240019','070000167858','33508',(select max(to_number(i.premium_rcv_detail_code))+1
from ins_premium_det i),'33508','33508','02', '11000003','00','Request by Mr. Saqib Saleem 21-Nov-2024');</v>
      </c>
    </row>
    <row r="129" spans="1:8" ht="105" x14ac:dyDescent="0.25">
      <c r="A129" s="1" t="s">
        <v>864</v>
      </c>
      <c r="B129" s="19" t="str">
        <f>VLOOKUP(A129,Policy!B:C,2,0)</f>
        <v>070000167863</v>
      </c>
      <c r="C129" s="3">
        <v>52326</v>
      </c>
      <c r="D129" s="20">
        <f t="shared" si="5"/>
        <v>52326</v>
      </c>
      <c r="E129" s="24" t="s">
        <v>1149</v>
      </c>
      <c r="F129" s="21" t="str">
        <f t="shared" si="4"/>
        <v>insert into ins_premium_det (premium_rcv_code,assorted_code, rec_amount,premium_rcv_detail_code,remaining_amt, payrec, mode_code,coinsurance_code,class_cd,it_remarks) values</v>
      </c>
      <c r="G129" s="22" t="str">
        <f t="shared" si="6"/>
        <v>('20Nov240019','070000167863','52326',(select max(to_number(i.premium_rcv_detail_code))+1
from ins_premium_det i),'52326','52326','02', '11000003','00','Request by Mr. Saqib Saleem 21-Nov-2024');</v>
      </c>
      <c r="H129" s="23" t="str">
        <f t="shared" si="7"/>
        <v>insert into ins_premium_det (premium_rcv_code,assorted_code, rec_amount,premium_rcv_detail_code,remaining_amt, payrec, mode_code,coinsurance_code,class_cd,it_remarks) values('20Nov240019','070000167863','52326',(select max(to_number(i.premium_rcv_detail_code))+1
from ins_premium_det i),'52326','52326','02', '11000003','00','Request by Mr. Saqib Saleem 21-Nov-2024');</v>
      </c>
    </row>
    <row r="130" spans="1:8" ht="105" x14ac:dyDescent="0.25">
      <c r="A130" s="1" t="s">
        <v>870</v>
      </c>
      <c r="B130" s="19" t="str">
        <f>VLOOKUP(A130,Policy!B:C,2,0)</f>
        <v>070000167865</v>
      </c>
      <c r="C130" s="3">
        <v>35262</v>
      </c>
      <c r="D130" s="20">
        <f t="shared" si="5"/>
        <v>35262</v>
      </c>
      <c r="E130" s="24" t="s">
        <v>1149</v>
      </c>
      <c r="F130" s="21" t="str">
        <f t="shared" ref="F130:F147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22" t="str">
        <f t="shared" si="6"/>
        <v>('20Nov240019','070000167865','35262',(select max(to_number(i.premium_rcv_detail_code))+1
from ins_premium_det i),'35262','35262','02', '11000003','00','Request by Mr. Saqib Saleem 21-Nov-2024');</v>
      </c>
      <c r="H130" s="23" t="str">
        <f t="shared" si="7"/>
        <v>insert into ins_premium_det (premium_rcv_code,assorted_code, rec_amount,premium_rcv_detail_code,remaining_amt, payrec, mode_code,coinsurance_code,class_cd,it_remarks) values('20Nov240019','070000167865','35262',(select max(to_number(i.premium_rcv_detail_code))+1
from ins_premium_det i),'35262','35262','02', '11000003','00','Request by Mr. Saqib Saleem 21-Nov-2024');</v>
      </c>
    </row>
    <row r="131" spans="1:8" ht="105" x14ac:dyDescent="0.25">
      <c r="A131" s="1" t="s">
        <v>877</v>
      </c>
      <c r="B131" s="19" t="str">
        <f>VLOOKUP(A131,Policy!B:C,2,0)</f>
        <v>070000167864</v>
      </c>
      <c r="C131" s="3">
        <v>43200</v>
      </c>
      <c r="D131" s="20">
        <f t="shared" ref="D131:D147" si="9">ROUND(C131,0)</f>
        <v>43200</v>
      </c>
      <c r="E131" s="24" t="s">
        <v>1149</v>
      </c>
      <c r="F131" s="21" t="str">
        <f t="shared" si="8"/>
        <v>insert into ins_premium_det (premium_rcv_code,assorted_code, rec_amount,premium_rcv_detail_code,remaining_amt, payrec, mode_code,coinsurance_code,class_cd,it_remarks) values</v>
      </c>
      <c r="G131" s="22" t="str">
        <f t="shared" ref="G131:G147" si="10">"('"&amp;E131&amp;"','"&amp;B131&amp;"','"&amp;D131&amp;"',(select max(to_number(i.premium_rcv_detail_code))+1
from ins_premium_det i),'"&amp;D131&amp;"','"&amp;D131&amp;"','02', '11000003','00','Request by Mr. Saqib Saleem 21-Nov-2024');"</f>
        <v>('20Nov240019','070000167864','43200',(select max(to_number(i.premium_rcv_detail_code))+1
from ins_premium_det i),'43200','43200','02', '11000003','00','Request by Mr. Saqib Saleem 21-Nov-2024');</v>
      </c>
      <c r="H131" s="23" t="str">
        <f t="shared" ref="H131:H147" si="11">F131&amp;G131</f>
        <v>insert into ins_premium_det (premium_rcv_code,assorted_code, rec_amount,premium_rcv_detail_code,remaining_amt, payrec, mode_code,coinsurance_code,class_cd,it_remarks) values('20Nov240019','070000167864','43200',(select max(to_number(i.premium_rcv_detail_code))+1
from ins_premium_det i),'43200','43200','02', '11000003','00','Request by Mr. Saqib Saleem 21-Nov-2024');</v>
      </c>
    </row>
    <row r="132" spans="1:8" ht="105" x14ac:dyDescent="0.25">
      <c r="A132" s="1" t="s">
        <v>884</v>
      </c>
      <c r="B132" s="19" t="str">
        <f>VLOOKUP(A132,Policy!B:C,2,0)</f>
        <v>070000167860</v>
      </c>
      <c r="C132" s="3">
        <v>28682</v>
      </c>
      <c r="D132" s="20">
        <f t="shared" si="9"/>
        <v>28682</v>
      </c>
      <c r="E132" s="24" t="s">
        <v>1149</v>
      </c>
      <c r="F132" s="21" t="str">
        <f t="shared" si="8"/>
        <v>insert into ins_premium_det (premium_rcv_code,assorted_code, rec_amount,premium_rcv_detail_code,remaining_amt, payrec, mode_code,coinsurance_code,class_cd,it_remarks) values</v>
      </c>
      <c r="G132" s="22" t="str">
        <f t="shared" si="10"/>
        <v>('20Nov240019','070000167860','28682',(select max(to_number(i.premium_rcv_detail_code))+1
from ins_premium_det i),'28682','28682','02', '11000003','00','Request by Mr. Saqib Saleem 21-Nov-2024');</v>
      </c>
      <c r="H132" s="23" t="str">
        <f t="shared" si="11"/>
        <v>insert into ins_premium_det (premium_rcv_code,assorted_code, rec_amount,premium_rcv_detail_code,remaining_amt, payrec, mode_code,coinsurance_code,class_cd,it_remarks) values('20Nov240019','070000167860','28682',(select max(to_number(i.premium_rcv_detail_code))+1
from ins_premium_det i),'28682','28682','02', '11000003','00','Request by Mr. Saqib Saleem 21-Nov-2024');</v>
      </c>
    </row>
    <row r="133" spans="1:8" ht="105" x14ac:dyDescent="0.25">
      <c r="A133" s="1" t="s">
        <v>890</v>
      </c>
      <c r="B133" s="19" t="str">
        <f>VLOOKUP(A133,Policy!B:C,2,0)</f>
        <v>070000167945</v>
      </c>
      <c r="C133" s="3">
        <v>22242</v>
      </c>
      <c r="D133" s="20">
        <f t="shared" si="9"/>
        <v>22242</v>
      </c>
      <c r="E133" s="24" t="s">
        <v>1149</v>
      </c>
      <c r="F133" s="21" t="str">
        <f t="shared" si="8"/>
        <v>insert into ins_premium_det (premium_rcv_code,assorted_code, rec_amount,premium_rcv_detail_code,remaining_amt, payrec, mode_code,coinsurance_code,class_cd,it_remarks) values</v>
      </c>
      <c r="G133" s="22" t="str">
        <f t="shared" si="10"/>
        <v>('20Nov240019','070000167945','22242',(select max(to_number(i.premium_rcv_detail_code))+1
from ins_premium_det i),'22242','22242','02', '11000003','00','Request by Mr. Saqib Saleem 21-Nov-2024');</v>
      </c>
      <c r="H133" s="23" t="str">
        <f t="shared" si="11"/>
        <v>insert into ins_premium_det (premium_rcv_code,assorted_code, rec_amount,premium_rcv_detail_code,remaining_amt, payrec, mode_code,coinsurance_code,class_cd,it_remarks) values('20Nov240019','070000167945','22242',(select max(to_number(i.premium_rcv_detail_code))+1
from ins_premium_det i),'22242','22242','02', '11000003','00','Request by Mr. Saqib Saleem 21-Nov-2024');</v>
      </c>
    </row>
    <row r="134" spans="1:8" ht="105" x14ac:dyDescent="0.25">
      <c r="A134" s="1" t="s">
        <v>897</v>
      </c>
      <c r="B134" s="19" t="str">
        <f>VLOOKUP(A134,Policy!B:C,2,0)</f>
        <v>070000167921</v>
      </c>
      <c r="C134" s="3">
        <v>20969</v>
      </c>
      <c r="D134" s="20">
        <f t="shared" si="9"/>
        <v>20969</v>
      </c>
      <c r="E134" s="24" t="s">
        <v>1149</v>
      </c>
      <c r="F134" s="21" t="str">
        <f t="shared" si="8"/>
        <v>insert into ins_premium_det (premium_rcv_code,assorted_code, rec_amount,premium_rcv_detail_code,remaining_amt, payrec, mode_code,coinsurance_code,class_cd,it_remarks) values</v>
      </c>
      <c r="G134" s="22" t="str">
        <f t="shared" si="10"/>
        <v>('20Nov240019','070000167921','20969',(select max(to_number(i.premium_rcv_detail_code))+1
from ins_premium_det i),'20969','20969','02', '11000003','00','Request by Mr. Saqib Saleem 21-Nov-2024');</v>
      </c>
      <c r="H134" s="23" t="str">
        <f t="shared" si="11"/>
        <v>insert into ins_premium_det (premium_rcv_code,assorted_code, rec_amount,premium_rcv_detail_code,remaining_amt, payrec, mode_code,coinsurance_code,class_cd,it_remarks) values('20Nov240019','070000167921','20969',(select max(to_number(i.premium_rcv_detail_code))+1
from ins_premium_det i),'20969','20969','02', '11000003','00','Request by Mr. Saqib Saleem 21-Nov-2024');</v>
      </c>
    </row>
    <row r="135" spans="1:8" ht="105" x14ac:dyDescent="0.25">
      <c r="A135" s="1" t="s">
        <v>903</v>
      </c>
      <c r="B135" s="19" t="str">
        <f>VLOOKUP(A135,Policy!B:C,2,0)</f>
        <v>070000167942</v>
      </c>
      <c r="C135" s="3">
        <v>19749</v>
      </c>
      <c r="D135" s="20">
        <f t="shared" si="9"/>
        <v>19749</v>
      </c>
      <c r="E135" s="24" t="s">
        <v>1149</v>
      </c>
      <c r="F135" s="21" t="str">
        <f t="shared" si="8"/>
        <v>insert into ins_premium_det (premium_rcv_code,assorted_code, rec_amount,premium_rcv_detail_code,remaining_amt, payrec, mode_code,coinsurance_code,class_cd,it_remarks) values</v>
      </c>
      <c r="G135" s="22" t="str">
        <f t="shared" si="10"/>
        <v>('20Nov240019','070000167942','19749',(select max(to_number(i.premium_rcv_detail_code))+1
from ins_premium_det i),'19749','19749','02', '11000003','00','Request by Mr. Saqib Saleem 21-Nov-2024');</v>
      </c>
      <c r="H135" s="23" t="str">
        <f t="shared" si="11"/>
        <v>insert into ins_premium_det (premium_rcv_code,assorted_code, rec_amount,premium_rcv_detail_code,remaining_amt, payrec, mode_code,coinsurance_code,class_cd,it_remarks) values('20Nov240019','070000167942','19749',(select max(to_number(i.premium_rcv_detail_code))+1
from ins_premium_det i),'19749','19749','02', '11000003','00','Request by Mr. Saqib Saleem 21-Nov-2024');</v>
      </c>
    </row>
    <row r="136" spans="1:8" ht="105" x14ac:dyDescent="0.25">
      <c r="A136" s="1" t="s">
        <v>910</v>
      </c>
      <c r="B136" s="19" t="str">
        <f>VLOOKUP(A136,Policy!B:C,2,0)</f>
        <v>070000167944</v>
      </c>
      <c r="C136" s="3">
        <v>35900</v>
      </c>
      <c r="D136" s="20">
        <f t="shared" si="9"/>
        <v>35900</v>
      </c>
      <c r="E136" s="24" t="s">
        <v>1149</v>
      </c>
      <c r="F136" s="21" t="str">
        <f t="shared" si="8"/>
        <v>insert into ins_premium_det (premium_rcv_code,assorted_code, rec_amount,premium_rcv_detail_code,remaining_amt, payrec, mode_code,coinsurance_code,class_cd,it_remarks) values</v>
      </c>
      <c r="G136" s="22" t="str">
        <f t="shared" si="10"/>
        <v>('20Nov240019','070000167944','35900',(select max(to_number(i.premium_rcv_detail_code))+1
from ins_premium_det i),'35900','35900','02', '11000003','00','Request by Mr. Saqib Saleem 21-Nov-2024');</v>
      </c>
      <c r="H136" s="23" t="str">
        <f t="shared" si="11"/>
        <v>insert into ins_premium_det (premium_rcv_code,assorted_code, rec_amount,premium_rcv_detail_code,remaining_amt, payrec, mode_code,coinsurance_code,class_cd,it_remarks) values('20Nov240019','070000167944','35900',(select max(to_number(i.premium_rcv_detail_code))+1
from ins_premium_det i),'35900','35900','02', '11000003','00','Request by Mr. Saqib Saleem 21-Nov-2024');</v>
      </c>
    </row>
    <row r="137" spans="1:8" ht="105" x14ac:dyDescent="0.25">
      <c r="A137" s="1" t="s">
        <v>917</v>
      </c>
      <c r="B137" s="19" t="str">
        <f>VLOOKUP(A137,Policy!B:C,2,0)</f>
        <v>070000167943</v>
      </c>
      <c r="C137" s="3">
        <v>28311</v>
      </c>
      <c r="D137" s="20">
        <f t="shared" si="9"/>
        <v>28311</v>
      </c>
      <c r="E137" s="24" t="s">
        <v>1149</v>
      </c>
      <c r="F137" s="21" t="str">
        <f t="shared" si="8"/>
        <v>insert into ins_premium_det (premium_rcv_code,assorted_code, rec_amount,premium_rcv_detail_code,remaining_amt, payrec, mode_code,coinsurance_code,class_cd,it_remarks) values</v>
      </c>
      <c r="G137" s="22" t="str">
        <f t="shared" si="10"/>
        <v>('20Nov240019','070000167943','28311',(select max(to_number(i.premium_rcv_detail_code))+1
from ins_premium_det i),'28311','28311','02', '11000003','00','Request by Mr. Saqib Saleem 21-Nov-2024');</v>
      </c>
      <c r="H137" s="23" t="str">
        <f t="shared" si="11"/>
        <v>insert into ins_premium_det (premium_rcv_code,assorted_code, rec_amount,premium_rcv_detail_code,remaining_amt, payrec, mode_code,coinsurance_code,class_cd,it_remarks) values('20Nov240019','070000167943','28311',(select max(to_number(i.premium_rcv_detail_code))+1
from ins_premium_det i),'28311','28311','02', '11000003','00','Request by Mr. Saqib Saleem 21-Nov-2024');</v>
      </c>
    </row>
    <row r="138" spans="1:8" ht="105" x14ac:dyDescent="0.25">
      <c r="A138" s="1" t="s">
        <v>924</v>
      </c>
      <c r="B138" s="19" t="str">
        <f>VLOOKUP(A138,Policy!B:C,2,0)</f>
        <v>070000167941</v>
      </c>
      <c r="C138" s="3">
        <v>37787</v>
      </c>
      <c r="D138" s="20">
        <f t="shared" si="9"/>
        <v>37787</v>
      </c>
      <c r="E138" s="24" t="s">
        <v>1149</v>
      </c>
      <c r="F138" s="21" t="str">
        <f t="shared" si="8"/>
        <v>insert into ins_premium_det (premium_rcv_code,assorted_code, rec_amount,premium_rcv_detail_code,remaining_amt, payrec, mode_code,coinsurance_code,class_cd,it_remarks) values</v>
      </c>
      <c r="G138" s="22" t="str">
        <f t="shared" si="10"/>
        <v>('20Nov240019','070000167941','37787',(select max(to_number(i.premium_rcv_detail_code))+1
from ins_premium_det i),'37787','37787','02', '11000003','00','Request by Mr. Saqib Saleem 21-Nov-2024');</v>
      </c>
      <c r="H138" s="23" t="str">
        <f t="shared" si="11"/>
        <v>insert into ins_premium_det (premium_rcv_code,assorted_code, rec_amount,premium_rcv_detail_code,remaining_amt, payrec, mode_code,coinsurance_code,class_cd,it_remarks) values('20Nov240019','070000167941','37787',(select max(to_number(i.premium_rcv_detail_code))+1
from ins_premium_det i),'37787','37787','02', '11000003','00','Request by Mr. Saqib Saleem 21-Nov-2024');</v>
      </c>
    </row>
    <row r="139" spans="1:8" ht="105" x14ac:dyDescent="0.25">
      <c r="A139" s="1" t="s">
        <v>932</v>
      </c>
      <c r="B139" s="19" t="str">
        <f>VLOOKUP(A139,Policy!B:C,2,0)</f>
        <v>070000167843</v>
      </c>
      <c r="C139" s="3">
        <v>46642</v>
      </c>
      <c r="D139" s="20">
        <f t="shared" si="9"/>
        <v>46642</v>
      </c>
      <c r="E139" s="24" t="s">
        <v>1149</v>
      </c>
      <c r="F139" s="21" t="str">
        <f t="shared" si="8"/>
        <v>insert into ins_premium_det (premium_rcv_code,assorted_code, rec_amount,premium_rcv_detail_code,remaining_amt, payrec, mode_code,coinsurance_code,class_cd,it_remarks) values</v>
      </c>
      <c r="G139" s="22" t="str">
        <f t="shared" si="10"/>
        <v>('20Nov240019','070000167843','46642',(select max(to_number(i.premium_rcv_detail_code))+1
from ins_premium_det i),'46642','46642','02', '11000003','00','Request by Mr. Saqib Saleem 21-Nov-2024');</v>
      </c>
      <c r="H139" s="23" t="str">
        <f t="shared" si="11"/>
        <v>insert into ins_premium_det (premium_rcv_code,assorted_code, rec_amount,premium_rcv_detail_code,remaining_amt, payrec, mode_code,coinsurance_code,class_cd,it_remarks) values('20Nov240019','070000167843','46642',(select max(to_number(i.premium_rcv_detail_code))+1
from ins_premium_det i),'46642','46642','02', '11000003','00','Request by Mr. Saqib Saleem 21-Nov-2024');</v>
      </c>
    </row>
    <row r="140" spans="1:8" ht="105" x14ac:dyDescent="0.25">
      <c r="A140" s="1" t="s">
        <v>938</v>
      </c>
      <c r="B140" s="19" t="str">
        <f>VLOOKUP(A140,Policy!B:C,2,0)</f>
        <v>070000167842</v>
      </c>
      <c r="C140" s="3">
        <v>21056</v>
      </c>
      <c r="D140" s="20">
        <f t="shared" si="9"/>
        <v>21056</v>
      </c>
      <c r="E140" s="24" t="s">
        <v>1149</v>
      </c>
      <c r="F140" s="21" t="str">
        <f t="shared" si="8"/>
        <v>insert into ins_premium_det (premium_rcv_code,assorted_code, rec_amount,premium_rcv_detail_code,remaining_amt, payrec, mode_code,coinsurance_code,class_cd,it_remarks) values</v>
      </c>
      <c r="G140" s="22" t="str">
        <f t="shared" si="10"/>
        <v>('20Nov240019','070000167842','21056',(select max(to_number(i.premium_rcv_detail_code))+1
from ins_premium_det i),'21056','21056','02', '11000003','00','Request by Mr. Saqib Saleem 21-Nov-2024');</v>
      </c>
      <c r="H140" s="23" t="str">
        <f t="shared" si="11"/>
        <v>insert into ins_premium_det (premium_rcv_code,assorted_code, rec_amount,premium_rcv_detail_code,remaining_amt, payrec, mode_code,coinsurance_code,class_cd,it_remarks) values('20Nov240019','070000167842','21056',(select max(to_number(i.premium_rcv_detail_code))+1
from ins_premium_det i),'21056','21056','02', '11000003','00','Request by Mr. Saqib Saleem 21-Nov-2024');</v>
      </c>
    </row>
    <row r="141" spans="1:8" ht="105" x14ac:dyDescent="0.25">
      <c r="A141" s="1" t="s">
        <v>944</v>
      </c>
      <c r="B141" s="19" t="str">
        <f>VLOOKUP(A141,Policy!B:C,2,0)</f>
        <v>070000167845</v>
      </c>
      <c r="C141" s="3">
        <v>29415</v>
      </c>
      <c r="D141" s="20">
        <f t="shared" si="9"/>
        <v>29415</v>
      </c>
      <c r="E141" s="24" t="s">
        <v>1149</v>
      </c>
      <c r="F141" s="21" t="str">
        <f t="shared" si="8"/>
        <v>insert into ins_premium_det (premium_rcv_code,assorted_code, rec_amount,premium_rcv_detail_code,remaining_amt, payrec, mode_code,coinsurance_code,class_cd,it_remarks) values</v>
      </c>
      <c r="G141" s="22" t="str">
        <f t="shared" si="10"/>
        <v>('20Nov240019','070000167845','29415',(select max(to_number(i.premium_rcv_detail_code))+1
from ins_premium_det i),'29415','29415','02', '11000003','00','Request by Mr. Saqib Saleem 21-Nov-2024');</v>
      </c>
      <c r="H141" s="23" t="str">
        <f t="shared" si="11"/>
        <v>insert into ins_premium_det (premium_rcv_code,assorted_code, rec_amount,premium_rcv_detail_code,remaining_amt, payrec, mode_code,coinsurance_code,class_cd,it_remarks) values('20Nov240019','070000167845','29415',(select max(to_number(i.premium_rcv_detail_code))+1
from ins_premium_det i),'29415','29415','02', '11000003','00','Request by Mr. Saqib Saleem 21-Nov-2024');</v>
      </c>
    </row>
    <row r="142" spans="1:8" ht="105" x14ac:dyDescent="0.25">
      <c r="A142" s="1" t="s">
        <v>949</v>
      </c>
      <c r="B142" s="19" t="str">
        <f>VLOOKUP(A142,Policy!B:C,2,0)</f>
        <v>070000167848</v>
      </c>
      <c r="C142" s="3">
        <v>35262</v>
      </c>
      <c r="D142" s="20">
        <f t="shared" si="9"/>
        <v>35262</v>
      </c>
      <c r="E142" s="24" t="s">
        <v>1149</v>
      </c>
      <c r="F142" s="21" t="str">
        <f t="shared" si="8"/>
        <v>insert into ins_premium_det (premium_rcv_code,assorted_code, rec_amount,premium_rcv_detail_code,remaining_amt, payrec, mode_code,coinsurance_code,class_cd,it_remarks) values</v>
      </c>
      <c r="G142" s="22" t="str">
        <f t="shared" si="10"/>
        <v>('20Nov240019','070000167848','35262',(select max(to_number(i.premium_rcv_detail_code))+1
from ins_premium_det i),'35262','35262','02', '11000003','00','Request by Mr. Saqib Saleem 21-Nov-2024');</v>
      </c>
      <c r="H142" s="23" t="str">
        <f t="shared" si="11"/>
        <v>insert into ins_premium_det (premium_rcv_code,assorted_code, rec_amount,premium_rcv_detail_code,remaining_amt, payrec, mode_code,coinsurance_code,class_cd,it_remarks) values('20Nov240019','070000167848','35262',(select max(to_number(i.premium_rcv_detail_code))+1
from ins_premium_det i),'35262','35262','02', '11000003','00','Request by Mr. Saqib Saleem 21-Nov-2024');</v>
      </c>
    </row>
    <row r="143" spans="1:8" ht="105" x14ac:dyDescent="0.25">
      <c r="A143" s="1" t="s">
        <v>955</v>
      </c>
      <c r="B143" s="19" t="str">
        <f>VLOOKUP(A143,Policy!B:C,2,0)</f>
        <v>070000167846</v>
      </c>
      <c r="C143" s="3">
        <v>81000</v>
      </c>
      <c r="D143" s="20">
        <f t="shared" si="9"/>
        <v>81000</v>
      </c>
      <c r="E143" s="24" t="s">
        <v>1149</v>
      </c>
      <c r="F143" s="21" t="str">
        <f t="shared" si="8"/>
        <v>insert into ins_premium_det (premium_rcv_code,assorted_code, rec_amount,premium_rcv_detail_code,remaining_amt, payrec, mode_code,coinsurance_code,class_cd,it_remarks) values</v>
      </c>
      <c r="G143" s="22" t="str">
        <f t="shared" si="10"/>
        <v>('20Nov240019','070000167846','81000',(select max(to_number(i.premium_rcv_detail_code))+1
from ins_premium_det i),'81000','81000','02', '11000003','00','Request by Mr. Saqib Saleem 21-Nov-2024');</v>
      </c>
      <c r="H143" s="23" t="str">
        <f t="shared" si="11"/>
        <v>insert into ins_premium_det (premium_rcv_code,assorted_code, rec_amount,premium_rcv_detail_code,remaining_amt, payrec, mode_code,coinsurance_code,class_cd,it_remarks) values('20Nov240019','070000167846','81000',(select max(to_number(i.premium_rcv_detail_code))+1
from ins_premium_det i),'81000','81000','02', '11000003','00','Request by Mr. Saqib Saleem 21-Nov-2024');</v>
      </c>
    </row>
    <row r="144" spans="1:8" ht="105" x14ac:dyDescent="0.25">
      <c r="A144" s="1" t="s">
        <v>962</v>
      </c>
      <c r="B144" s="19" t="str">
        <f>VLOOKUP(A144,Policy!B:C,2,0)</f>
        <v>070000167847</v>
      </c>
      <c r="C144" s="3">
        <v>57375</v>
      </c>
      <c r="D144" s="20">
        <f t="shared" si="9"/>
        <v>57375</v>
      </c>
      <c r="E144" s="24" t="s">
        <v>1149</v>
      </c>
      <c r="F144" s="21" t="str">
        <f t="shared" si="8"/>
        <v>insert into ins_premium_det (premium_rcv_code,assorted_code, rec_amount,premium_rcv_detail_code,remaining_amt, payrec, mode_code,coinsurance_code,class_cd,it_remarks) values</v>
      </c>
      <c r="G144" s="22" t="str">
        <f t="shared" si="10"/>
        <v>('20Nov240019','070000167847','57375',(select max(to_number(i.premium_rcv_detail_code))+1
from ins_premium_det i),'57375','57375','02', '11000003','00','Request by Mr. Saqib Saleem 21-Nov-2024');</v>
      </c>
      <c r="H144" s="23" t="str">
        <f t="shared" si="11"/>
        <v>insert into ins_premium_det (premium_rcv_code,assorted_code, rec_amount,premium_rcv_detail_code,remaining_amt, payrec, mode_code,coinsurance_code,class_cd,it_remarks) values('20Nov240019','070000167847','57375',(select max(to_number(i.premium_rcv_detail_code))+1
from ins_premium_det i),'57375','57375','02', '11000003','00','Request by Mr. Saqib Saleem 21-Nov-2024');</v>
      </c>
    </row>
    <row r="145" spans="1:8" ht="105" x14ac:dyDescent="0.25">
      <c r="A145" s="1" t="s">
        <v>968</v>
      </c>
      <c r="B145" s="19" t="str">
        <f>VLOOKUP(A145,Policy!B:C,2,0)</f>
        <v>070000167831</v>
      </c>
      <c r="C145" s="3">
        <v>47316</v>
      </c>
      <c r="D145" s="20">
        <f t="shared" si="9"/>
        <v>47316</v>
      </c>
      <c r="E145" s="24" t="s">
        <v>1149</v>
      </c>
      <c r="F145" s="21" t="str">
        <f t="shared" si="8"/>
        <v>insert into ins_premium_det (premium_rcv_code,assorted_code, rec_amount,premium_rcv_detail_code,remaining_amt, payrec, mode_code,coinsurance_code,class_cd,it_remarks) values</v>
      </c>
      <c r="G145" s="22" t="str">
        <f t="shared" si="10"/>
        <v>('20Nov240019','070000167831','47316',(select max(to_number(i.premium_rcv_detail_code))+1
from ins_premium_det i),'47316','47316','02', '11000003','00','Request by Mr. Saqib Saleem 21-Nov-2024');</v>
      </c>
      <c r="H145" s="23" t="str">
        <f t="shared" si="11"/>
        <v>insert into ins_premium_det (premium_rcv_code,assorted_code, rec_amount,premium_rcv_detail_code,remaining_amt, payrec, mode_code,coinsurance_code,class_cd,it_remarks) values('20Nov240019','070000167831','47316',(select max(to_number(i.premium_rcv_detail_code))+1
from ins_premium_det i),'47316','47316','02', '11000003','00','Request by Mr. Saqib Saleem 21-Nov-2024');</v>
      </c>
    </row>
    <row r="146" spans="1:8" ht="105" x14ac:dyDescent="0.25">
      <c r="A146" s="1" t="s">
        <v>974</v>
      </c>
      <c r="B146" s="19" t="str">
        <f>VLOOKUP(A146,Policy!B:C,2,0)</f>
        <v>070000167837</v>
      </c>
      <c r="C146" s="3">
        <v>17605</v>
      </c>
      <c r="D146" s="20">
        <f t="shared" si="9"/>
        <v>17605</v>
      </c>
      <c r="E146" s="24" t="s">
        <v>1149</v>
      </c>
      <c r="F146" s="21" t="str">
        <f t="shared" si="8"/>
        <v>insert into ins_premium_det (premium_rcv_code,assorted_code, rec_amount,premium_rcv_detail_code,remaining_amt, payrec, mode_code,coinsurance_code,class_cd,it_remarks) values</v>
      </c>
      <c r="G146" s="22" t="str">
        <f t="shared" si="10"/>
        <v>('20Nov240019','070000167837','17605',(select max(to_number(i.premium_rcv_detail_code))+1
from ins_premium_det i),'17605','17605','02', '11000003','00','Request by Mr. Saqib Saleem 21-Nov-2024');</v>
      </c>
      <c r="H146" s="23" t="str">
        <f t="shared" si="11"/>
        <v>insert into ins_premium_det (premium_rcv_code,assorted_code, rec_amount,premium_rcv_detail_code,remaining_amt, payrec, mode_code,coinsurance_code,class_cd,it_remarks) values('20Nov240019','070000167837','17605',(select max(to_number(i.premium_rcv_detail_code))+1
from ins_premium_det i),'17605','17605','02', '11000003','00','Request by Mr. Saqib Saleem 21-Nov-2024');</v>
      </c>
    </row>
    <row r="147" spans="1:8" ht="105" x14ac:dyDescent="0.25">
      <c r="A147" s="1" t="s">
        <v>979</v>
      </c>
      <c r="B147" s="19" t="str">
        <f>VLOOKUP(A147,Policy!B:C,2,0)</f>
        <v>070000167840</v>
      </c>
      <c r="C147" s="3">
        <v>14598</v>
      </c>
      <c r="D147" s="20">
        <f t="shared" si="9"/>
        <v>14598</v>
      </c>
      <c r="E147" s="24" t="s">
        <v>1149</v>
      </c>
      <c r="F147" s="21" t="str">
        <f t="shared" si="8"/>
        <v>insert into ins_premium_det (premium_rcv_code,assorted_code, rec_amount,premium_rcv_detail_code,remaining_amt, payrec, mode_code,coinsurance_code,class_cd,it_remarks) values</v>
      </c>
      <c r="G147" s="22" t="str">
        <f t="shared" si="10"/>
        <v>('20Nov240019','070000167840','14598',(select max(to_number(i.premium_rcv_detail_code))+1
from ins_premium_det i),'14598','14598','02', '11000003','00','Request by Mr. Saqib Saleem 21-Nov-2024');</v>
      </c>
      <c r="H147" s="23" t="str">
        <f t="shared" si="11"/>
        <v>insert into ins_premium_det (premium_rcv_code,assorted_code, rec_amount,premium_rcv_detail_code,remaining_amt, payrec, mode_code,coinsurance_code,class_cd,it_remarks) values('20Nov240019','070000167840','14598',(select max(to_number(i.premium_rcv_detail_code))+1
from ins_premium_det i),'14598','14598','02', '11000003','00','Request by Mr. Saqib Saleem 21-Nov-2024');</v>
      </c>
    </row>
  </sheetData>
  <conditionalFormatting sqref="A1">
    <cfRule type="duplicateValues" dxfId="3" priority="1"/>
  </conditionalFormatting>
  <conditionalFormatting sqref="A2:B2 B3:B147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F2C7-8953-41E6-A307-6918B5199B9F}">
  <dimension ref="A1:J147"/>
  <sheetViews>
    <sheetView topLeftCell="A9" workbookViewId="0">
      <selection activeCell="J2" sqref="J2:J147"/>
    </sheetView>
  </sheetViews>
  <sheetFormatPr defaultRowHeight="15" x14ac:dyDescent="0.25"/>
  <cols>
    <col min="1" max="1" width="41.5703125" bestFit="1" customWidth="1"/>
  </cols>
  <sheetData>
    <row r="1" spans="1:10" x14ac:dyDescent="0.25">
      <c r="I1" t="s">
        <v>981</v>
      </c>
    </row>
    <row r="2" spans="1:10" x14ac:dyDescent="0.25">
      <c r="A2" s="1" t="s">
        <v>27</v>
      </c>
      <c r="B2" t="s">
        <v>993</v>
      </c>
      <c r="H2">
        <v>100194</v>
      </c>
      <c r="I2" t="s">
        <v>982</v>
      </c>
      <c r="J2" t="str">
        <f>"ia.assorted_string like '%"&amp;H2&amp;"-"&amp;I2&amp;B2&amp;"%' or"</f>
        <v>ia.assorted_string like '%100194-00007-10-2024%' or</v>
      </c>
    </row>
    <row r="3" spans="1:10" x14ac:dyDescent="0.25">
      <c r="A3" s="1" t="s">
        <v>35</v>
      </c>
      <c r="B3" t="s">
        <v>993</v>
      </c>
      <c r="H3">
        <v>100194</v>
      </c>
      <c r="I3" t="s">
        <v>983</v>
      </c>
      <c r="J3" t="str">
        <f t="shared" ref="J3:J66" si="0">"ia.assorted_string like '%"&amp;H3&amp;"-"&amp;I3&amp;B3&amp;"%' or"</f>
        <v>ia.assorted_string like '%100194-00010-10-2024%' or</v>
      </c>
    </row>
    <row r="4" spans="1:10" x14ac:dyDescent="0.25">
      <c r="A4" s="1" t="s">
        <v>41</v>
      </c>
      <c r="B4" t="s">
        <v>993</v>
      </c>
      <c r="H4">
        <v>100194</v>
      </c>
      <c r="I4" t="s">
        <v>984</v>
      </c>
      <c r="J4" t="str">
        <f t="shared" si="0"/>
        <v>ia.assorted_string like '%100194-00001-10-2024%' or</v>
      </c>
    </row>
    <row r="5" spans="1:10" x14ac:dyDescent="0.25">
      <c r="A5" s="1" t="s">
        <v>47</v>
      </c>
      <c r="B5" t="s">
        <v>993</v>
      </c>
      <c r="H5">
        <v>100194</v>
      </c>
      <c r="I5" t="s">
        <v>985</v>
      </c>
      <c r="J5" t="str">
        <f t="shared" si="0"/>
        <v>ia.assorted_string like '%100194-00006-10-2024%' or</v>
      </c>
    </row>
    <row r="6" spans="1:10" x14ac:dyDescent="0.25">
      <c r="A6" s="1" t="s">
        <v>53</v>
      </c>
      <c r="B6" t="s">
        <v>993</v>
      </c>
      <c r="H6">
        <v>100194</v>
      </c>
      <c r="I6" t="s">
        <v>986</v>
      </c>
      <c r="J6" t="str">
        <f t="shared" si="0"/>
        <v>ia.assorted_string like '%100194-00005-10-2024%' or</v>
      </c>
    </row>
    <row r="7" spans="1:10" x14ac:dyDescent="0.25">
      <c r="A7" s="1" t="s">
        <v>59</v>
      </c>
      <c r="B7" t="s">
        <v>993</v>
      </c>
      <c r="H7">
        <v>100194</v>
      </c>
      <c r="I7" t="s">
        <v>987</v>
      </c>
      <c r="J7" t="str">
        <f t="shared" si="0"/>
        <v>ia.assorted_string like '%100194-00002-10-2024%' or</v>
      </c>
    </row>
    <row r="8" spans="1:10" x14ac:dyDescent="0.25">
      <c r="A8" s="1" t="s">
        <v>65</v>
      </c>
      <c r="B8" t="s">
        <v>993</v>
      </c>
      <c r="H8">
        <v>100033</v>
      </c>
      <c r="I8" t="s">
        <v>986</v>
      </c>
      <c r="J8" t="str">
        <f t="shared" si="0"/>
        <v>ia.assorted_string like '%100033-00005-10-2024%' or</v>
      </c>
    </row>
    <row r="9" spans="1:10" x14ac:dyDescent="0.25">
      <c r="A9" s="1" t="s">
        <v>71</v>
      </c>
      <c r="B9" t="s">
        <v>993</v>
      </c>
      <c r="H9">
        <v>100194</v>
      </c>
      <c r="I9" t="s">
        <v>988</v>
      </c>
      <c r="J9" t="str">
        <f t="shared" si="0"/>
        <v>ia.assorted_string like '%100194-00003-10-2024%' or</v>
      </c>
    </row>
    <row r="10" spans="1:10" x14ac:dyDescent="0.25">
      <c r="A10" s="1" t="s">
        <v>79</v>
      </c>
      <c r="B10" t="s">
        <v>993</v>
      </c>
      <c r="H10">
        <v>100033</v>
      </c>
      <c r="I10" t="s">
        <v>988</v>
      </c>
      <c r="J10" t="str">
        <f t="shared" si="0"/>
        <v>ia.assorted_string like '%100033-00003-10-2024%' or</v>
      </c>
    </row>
    <row r="11" spans="1:10" x14ac:dyDescent="0.25">
      <c r="A11" s="1" t="s">
        <v>86</v>
      </c>
      <c r="B11" t="s">
        <v>993</v>
      </c>
      <c r="H11">
        <v>100033</v>
      </c>
      <c r="I11" t="s">
        <v>989</v>
      </c>
      <c r="J11" t="str">
        <f t="shared" si="0"/>
        <v>ia.assorted_string like '%100033-00009-10-2024%' or</v>
      </c>
    </row>
    <row r="12" spans="1:10" x14ac:dyDescent="0.25">
      <c r="A12" s="1" t="s">
        <v>93</v>
      </c>
      <c r="B12" t="s">
        <v>993</v>
      </c>
      <c r="H12">
        <v>100033</v>
      </c>
      <c r="I12" t="s">
        <v>985</v>
      </c>
      <c r="J12" t="str">
        <f t="shared" si="0"/>
        <v>ia.assorted_string like '%100033-00006-10-2024%' or</v>
      </c>
    </row>
    <row r="13" spans="1:10" x14ac:dyDescent="0.25">
      <c r="A13" s="1" t="s">
        <v>99</v>
      </c>
      <c r="B13" t="s">
        <v>993</v>
      </c>
      <c r="H13">
        <v>100033</v>
      </c>
      <c r="I13" t="s">
        <v>987</v>
      </c>
      <c r="J13" t="str">
        <f t="shared" si="0"/>
        <v>ia.assorted_string like '%100033-00002-10-2024%' or</v>
      </c>
    </row>
    <row r="14" spans="1:10" x14ac:dyDescent="0.25">
      <c r="A14" s="1" t="s">
        <v>105</v>
      </c>
      <c r="B14" t="s">
        <v>993</v>
      </c>
      <c r="H14">
        <v>100033</v>
      </c>
      <c r="I14" t="s">
        <v>990</v>
      </c>
      <c r="J14" t="str">
        <f t="shared" si="0"/>
        <v>ia.assorted_string like '%100033-00004-10-2024%' or</v>
      </c>
    </row>
    <row r="15" spans="1:10" x14ac:dyDescent="0.25">
      <c r="A15" s="1" t="s">
        <v>112</v>
      </c>
      <c r="B15" t="s">
        <v>993</v>
      </c>
      <c r="H15">
        <v>100033</v>
      </c>
      <c r="I15" t="s">
        <v>982</v>
      </c>
      <c r="J15" t="str">
        <f t="shared" si="0"/>
        <v>ia.assorted_string like '%100033-00007-10-2024%' or</v>
      </c>
    </row>
    <row r="16" spans="1:10" x14ac:dyDescent="0.25">
      <c r="A16" s="1" t="s">
        <v>118</v>
      </c>
      <c r="B16" t="s">
        <v>993</v>
      </c>
      <c r="H16">
        <v>100050</v>
      </c>
      <c r="I16" t="s">
        <v>987</v>
      </c>
      <c r="J16" t="str">
        <f t="shared" si="0"/>
        <v>ia.assorted_string like '%100050-00002-10-2024%' or</v>
      </c>
    </row>
    <row r="17" spans="1:10" x14ac:dyDescent="0.25">
      <c r="A17" s="1" t="s">
        <v>124</v>
      </c>
      <c r="B17" t="s">
        <v>993</v>
      </c>
      <c r="H17">
        <v>100033</v>
      </c>
      <c r="I17" t="s">
        <v>984</v>
      </c>
      <c r="J17" t="str">
        <f t="shared" si="0"/>
        <v>ia.assorted_string like '%100033-00001-10-2024%' or</v>
      </c>
    </row>
    <row r="18" spans="1:10" x14ac:dyDescent="0.25">
      <c r="A18" s="1" t="s">
        <v>131</v>
      </c>
      <c r="B18" t="s">
        <v>993</v>
      </c>
      <c r="H18">
        <v>100027</v>
      </c>
      <c r="I18" t="s">
        <v>986</v>
      </c>
      <c r="J18" t="str">
        <f t="shared" si="0"/>
        <v>ia.assorted_string like '%100027-00005-10-2024%' or</v>
      </c>
    </row>
    <row r="19" spans="1:10" x14ac:dyDescent="0.25">
      <c r="A19" s="1" t="s">
        <v>27</v>
      </c>
      <c r="B19" t="s">
        <v>993</v>
      </c>
      <c r="H19">
        <v>100194</v>
      </c>
      <c r="I19" t="s">
        <v>982</v>
      </c>
      <c r="J19" t="str">
        <f t="shared" si="0"/>
        <v>ia.assorted_string like '%100194-00007-10-2024%' or</v>
      </c>
    </row>
    <row r="20" spans="1:10" x14ac:dyDescent="0.25">
      <c r="A20" s="1" t="s">
        <v>143</v>
      </c>
      <c r="B20" t="s">
        <v>993</v>
      </c>
      <c r="H20">
        <v>100027</v>
      </c>
      <c r="I20" t="s">
        <v>984</v>
      </c>
      <c r="J20" t="str">
        <f t="shared" si="0"/>
        <v>ia.assorted_string like '%100027-00001-10-2024%' or</v>
      </c>
    </row>
    <row r="21" spans="1:10" x14ac:dyDescent="0.25">
      <c r="A21" s="1" t="s">
        <v>149</v>
      </c>
      <c r="B21" t="s">
        <v>993</v>
      </c>
      <c r="H21">
        <v>100027</v>
      </c>
      <c r="I21" t="s">
        <v>990</v>
      </c>
      <c r="J21" t="str">
        <f t="shared" si="0"/>
        <v>ia.assorted_string like '%100027-00004-10-2024%' or</v>
      </c>
    </row>
    <row r="22" spans="1:10" x14ac:dyDescent="0.25">
      <c r="A22" s="1" t="s">
        <v>155</v>
      </c>
      <c r="B22" t="s">
        <v>993</v>
      </c>
      <c r="H22">
        <v>100053</v>
      </c>
      <c r="I22" t="s">
        <v>987</v>
      </c>
      <c r="J22" t="str">
        <f t="shared" si="0"/>
        <v>ia.assorted_string like '%100053-00002-10-2024%' or</v>
      </c>
    </row>
    <row r="23" spans="1:10" x14ac:dyDescent="0.25">
      <c r="A23" s="1" t="s">
        <v>162</v>
      </c>
      <c r="B23" t="s">
        <v>993</v>
      </c>
      <c r="H23">
        <v>100053</v>
      </c>
      <c r="I23" t="s">
        <v>984</v>
      </c>
      <c r="J23" t="str">
        <f t="shared" si="0"/>
        <v>ia.assorted_string like '%100053-00001-10-2024%' or</v>
      </c>
    </row>
    <row r="24" spans="1:10" x14ac:dyDescent="0.25">
      <c r="A24" s="1" t="s">
        <v>167</v>
      </c>
      <c r="B24" t="s">
        <v>993</v>
      </c>
      <c r="H24">
        <v>100027</v>
      </c>
      <c r="I24" t="s">
        <v>988</v>
      </c>
      <c r="J24" t="str">
        <f t="shared" si="0"/>
        <v>ia.assorted_string like '%100027-00003-10-2024%' or</v>
      </c>
    </row>
    <row r="25" spans="1:10" x14ac:dyDescent="0.25">
      <c r="A25" s="1" t="s">
        <v>175</v>
      </c>
      <c r="B25" t="s">
        <v>993</v>
      </c>
      <c r="H25">
        <v>100049</v>
      </c>
      <c r="I25" t="s">
        <v>984</v>
      </c>
      <c r="J25" t="str">
        <f t="shared" si="0"/>
        <v>ia.assorted_string like '%100049-00001-10-2024%' or</v>
      </c>
    </row>
    <row r="26" spans="1:10" x14ac:dyDescent="0.25">
      <c r="A26" s="1" t="s">
        <v>183</v>
      </c>
      <c r="B26" t="s">
        <v>993</v>
      </c>
      <c r="H26">
        <v>100046</v>
      </c>
      <c r="I26" t="s">
        <v>984</v>
      </c>
      <c r="J26" t="str">
        <f t="shared" si="0"/>
        <v>ia.assorted_string like '%100046-00001-10-2024%' or</v>
      </c>
    </row>
    <row r="27" spans="1:10" x14ac:dyDescent="0.25">
      <c r="A27" s="1" t="s">
        <v>190</v>
      </c>
      <c r="B27" t="s">
        <v>993</v>
      </c>
      <c r="H27">
        <v>100046</v>
      </c>
      <c r="I27" t="s">
        <v>988</v>
      </c>
      <c r="J27" t="str">
        <f t="shared" si="0"/>
        <v>ia.assorted_string like '%100046-00003-10-2024%' or</v>
      </c>
    </row>
    <row r="28" spans="1:10" x14ac:dyDescent="0.25">
      <c r="A28" s="1" t="s">
        <v>196</v>
      </c>
      <c r="B28" t="s">
        <v>993</v>
      </c>
      <c r="H28">
        <v>100046</v>
      </c>
      <c r="I28" t="s">
        <v>990</v>
      </c>
      <c r="J28" t="str">
        <f t="shared" si="0"/>
        <v>ia.assorted_string like '%100046-00004-10-2024%' or</v>
      </c>
    </row>
    <row r="29" spans="1:10" x14ac:dyDescent="0.25">
      <c r="A29" s="1" t="s">
        <v>202</v>
      </c>
      <c r="B29" t="s">
        <v>993</v>
      </c>
      <c r="H29">
        <v>100033</v>
      </c>
      <c r="I29" t="s">
        <v>991</v>
      </c>
      <c r="J29" t="str">
        <f t="shared" si="0"/>
        <v>ia.assorted_string like '%100033-00008-10-2024%' or</v>
      </c>
    </row>
    <row r="30" spans="1:10" x14ac:dyDescent="0.25">
      <c r="A30" s="1" t="s">
        <v>208</v>
      </c>
      <c r="B30" t="s">
        <v>993</v>
      </c>
      <c r="H30">
        <v>100046</v>
      </c>
      <c r="I30" t="s">
        <v>987</v>
      </c>
      <c r="J30" t="str">
        <f t="shared" si="0"/>
        <v>ia.assorted_string like '%100046-00002-10-2024%' or</v>
      </c>
    </row>
    <row r="31" spans="1:10" x14ac:dyDescent="0.25">
      <c r="A31" s="1" t="s">
        <v>215</v>
      </c>
      <c r="B31" t="s">
        <v>993</v>
      </c>
      <c r="H31">
        <v>100050</v>
      </c>
      <c r="I31" t="s">
        <v>984</v>
      </c>
      <c r="J31" t="str">
        <f t="shared" si="0"/>
        <v>ia.assorted_string like '%100050-00001-10-2024%' or</v>
      </c>
    </row>
    <row r="32" spans="1:10" x14ac:dyDescent="0.25">
      <c r="A32" s="1" t="s">
        <v>223</v>
      </c>
      <c r="B32" t="s">
        <v>993</v>
      </c>
      <c r="H32">
        <v>100113</v>
      </c>
      <c r="I32" t="s">
        <v>984</v>
      </c>
      <c r="J32" t="str">
        <f t="shared" si="0"/>
        <v>ia.assorted_string like '%100113-00001-10-2024%' or</v>
      </c>
    </row>
    <row r="33" spans="1:10" x14ac:dyDescent="0.25">
      <c r="A33" s="1" t="s">
        <v>230</v>
      </c>
      <c r="B33" t="s">
        <v>993</v>
      </c>
      <c r="H33">
        <v>100112</v>
      </c>
      <c r="I33" t="s">
        <v>984</v>
      </c>
      <c r="J33" t="str">
        <f t="shared" si="0"/>
        <v>ia.assorted_string like '%100112-00001-10-2024%' or</v>
      </c>
    </row>
    <row r="34" spans="1:10" x14ac:dyDescent="0.25">
      <c r="A34" s="1" t="s">
        <v>237</v>
      </c>
      <c r="B34" t="s">
        <v>993</v>
      </c>
      <c r="H34">
        <v>100112</v>
      </c>
      <c r="I34" t="s">
        <v>988</v>
      </c>
      <c r="J34" t="str">
        <f t="shared" si="0"/>
        <v>ia.assorted_string like '%100112-00003-10-2024%' or</v>
      </c>
    </row>
    <row r="35" spans="1:10" x14ac:dyDescent="0.25">
      <c r="A35" s="1" t="s">
        <v>244</v>
      </c>
      <c r="B35" t="s">
        <v>993</v>
      </c>
      <c r="H35">
        <v>100112</v>
      </c>
      <c r="I35" t="s">
        <v>987</v>
      </c>
      <c r="J35" t="str">
        <f t="shared" si="0"/>
        <v>ia.assorted_string like '%100112-00002-10-2024%' or</v>
      </c>
    </row>
    <row r="36" spans="1:10" x14ac:dyDescent="0.25">
      <c r="A36" s="1" t="s">
        <v>252</v>
      </c>
      <c r="B36" t="s">
        <v>993</v>
      </c>
      <c r="H36">
        <v>100062</v>
      </c>
      <c r="I36" t="s">
        <v>984</v>
      </c>
      <c r="J36" t="str">
        <f t="shared" si="0"/>
        <v>ia.assorted_string like '%100062-00001-10-2024%' or</v>
      </c>
    </row>
    <row r="37" spans="1:10" x14ac:dyDescent="0.25">
      <c r="A37" s="1" t="s">
        <v>260</v>
      </c>
      <c r="B37" t="s">
        <v>993</v>
      </c>
      <c r="H37">
        <v>100067</v>
      </c>
      <c r="I37" t="s">
        <v>990</v>
      </c>
      <c r="J37" t="str">
        <f t="shared" si="0"/>
        <v>ia.assorted_string like '%100067-00004-10-2024%' or</v>
      </c>
    </row>
    <row r="38" spans="1:10" x14ac:dyDescent="0.25">
      <c r="A38" s="1" t="s">
        <v>267</v>
      </c>
      <c r="B38" t="s">
        <v>993</v>
      </c>
      <c r="H38">
        <v>100067</v>
      </c>
      <c r="I38" t="s">
        <v>985</v>
      </c>
      <c r="J38" t="str">
        <f t="shared" si="0"/>
        <v>ia.assorted_string like '%100067-00006-10-2024%' or</v>
      </c>
    </row>
    <row r="39" spans="1:10" x14ac:dyDescent="0.25">
      <c r="A39" s="1" t="s">
        <v>273</v>
      </c>
      <c r="B39" t="s">
        <v>993</v>
      </c>
      <c r="H39">
        <v>100067</v>
      </c>
      <c r="I39" t="s">
        <v>991</v>
      </c>
      <c r="J39" t="str">
        <f t="shared" si="0"/>
        <v>ia.assorted_string like '%100067-00008-10-2024%' or</v>
      </c>
    </row>
    <row r="40" spans="1:10" x14ac:dyDescent="0.25">
      <c r="A40" s="1" t="s">
        <v>280</v>
      </c>
      <c r="B40" t="s">
        <v>993</v>
      </c>
      <c r="H40">
        <v>100067</v>
      </c>
      <c r="I40" t="s">
        <v>987</v>
      </c>
      <c r="J40" t="str">
        <f t="shared" si="0"/>
        <v>ia.assorted_string like '%100067-00002-10-2024%' or</v>
      </c>
    </row>
    <row r="41" spans="1:10" x14ac:dyDescent="0.25">
      <c r="A41" s="1" t="s">
        <v>287</v>
      </c>
      <c r="B41" t="s">
        <v>993</v>
      </c>
      <c r="H41">
        <v>100067</v>
      </c>
      <c r="I41" t="s">
        <v>986</v>
      </c>
      <c r="J41" t="str">
        <f t="shared" si="0"/>
        <v>ia.assorted_string like '%100067-00005-10-2024%' or</v>
      </c>
    </row>
    <row r="42" spans="1:10" x14ac:dyDescent="0.25">
      <c r="A42" s="1" t="s">
        <v>293</v>
      </c>
      <c r="B42" t="s">
        <v>993</v>
      </c>
      <c r="H42">
        <v>100067</v>
      </c>
      <c r="I42" t="s">
        <v>988</v>
      </c>
      <c r="J42" t="str">
        <f t="shared" si="0"/>
        <v>ia.assorted_string like '%100067-00003-10-2024%' or</v>
      </c>
    </row>
    <row r="43" spans="1:10" x14ac:dyDescent="0.25">
      <c r="A43" s="1" t="s">
        <v>300</v>
      </c>
      <c r="B43" t="s">
        <v>993</v>
      </c>
      <c r="H43">
        <v>100067</v>
      </c>
      <c r="I43" t="s">
        <v>984</v>
      </c>
      <c r="J43" t="str">
        <f t="shared" si="0"/>
        <v>ia.assorted_string like '%100067-00001-10-2024%' or</v>
      </c>
    </row>
    <row r="44" spans="1:10" x14ac:dyDescent="0.25">
      <c r="A44" s="1" t="s">
        <v>307</v>
      </c>
      <c r="B44" t="s">
        <v>993</v>
      </c>
      <c r="H44">
        <v>100067</v>
      </c>
      <c r="I44" t="s">
        <v>982</v>
      </c>
      <c r="J44" t="str">
        <f t="shared" si="0"/>
        <v>ia.assorted_string like '%100067-00007-10-2024%' or</v>
      </c>
    </row>
    <row r="45" spans="1:10" x14ac:dyDescent="0.25">
      <c r="A45" s="1" t="s">
        <v>313</v>
      </c>
      <c r="B45" t="s">
        <v>993</v>
      </c>
      <c r="H45">
        <v>100066</v>
      </c>
      <c r="I45" t="s">
        <v>986</v>
      </c>
      <c r="J45" t="str">
        <f t="shared" si="0"/>
        <v>ia.assorted_string like '%100066-00005-10-2024%' or</v>
      </c>
    </row>
    <row r="46" spans="1:10" x14ac:dyDescent="0.25">
      <c r="A46" s="1" t="s">
        <v>319</v>
      </c>
      <c r="B46" t="s">
        <v>993</v>
      </c>
      <c r="H46">
        <v>100070</v>
      </c>
      <c r="I46" t="s">
        <v>984</v>
      </c>
      <c r="J46" t="str">
        <f t="shared" si="0"/>
        <v>ia.assorted_string like '%100070-00001-10-2024%' or</v>
      </c>
    </row>
    <row r="47" spans="1:10" x14ac:dyDescent="0.25">
      <c r="A47" s="1" t="s">
        <v>325</v>
      </c>
      <c r="B47" t="s">
        <v>993</v>
      </c>
      <c r="H47">
        <v>100066</v>
      </c>
      <c r="I47" t="s">
        <v>987</v>
      </c>
      <c r="J47" t="str">
        <f t="shared" si="0"/>
        <v>ia.assorted_string like '%100066-00002-10-2024%' or</v>
      </c>
    </row>
    <row r="48" spans="1:10" x14ac:dyDescent="0.25">
      <c r="A48" s="1" t="s">
        <v>331</v>
      </c>
      <c r="B48" t="s">
        <v>993</v>
      </c>
      <c r="H48">
        <v>100066</v>
      </c>
      <c r="I48" t="s">
        <v>988</v>
      </c>
      <c r="J48" t="str">
        <f t="shared" si="0"/>
        <v>ia.assorted_string like '%100066-00003-10-2024%' or</v>
      </c>
    </row>
    <row r="49" spans="1:10" x14ac:dyDescent="0.25">
      <c r="A49" s="1" t="s">
        <v>337</v>
      </c>
      <c r="B49" t="s">
        <v>993</v>
      </c>
      <c r="H49">
        <v>100066</v>
      </c>
      <c r="I49" t="s">
        <v>990</v>
      </c>
      <c r="J49" t="str">
        <f t="shared" si="0"/>
        <v>ia.assorted_string like '%100066-00004-10-2024%' or</v>
      </c>
    </row>
    <row r="50" spans="1:10" x14ac:dyDescent="0.25">
      <c r="A50" s="1" t="s">
        <v>343</v>
      </c>
      <c r="B50" t="s">
        <v>993</v>
      </c>
      <c r="H50">
        <v>100066</v>
      </c>
      <c r="I50" t="s">
        <v>984</v>
      </c>
      <c r="J50" t="str">
        <f t="shared" si="0"/>
        <v>ia.assorted_string like '%100066-00001-10-2024%' or</v>
      </c>
    </row>
    <row r="51" spans="1:10" x14ac:dyDescent="0.25">
      <c r="A51" s="1" t="s">
        <v>349</v>
      </c>
      <c r="B51" t="s">
        <v>994</v>
      </c>
      <c r="H51">
        <v>102358</v>
      </c>
      <c r="I51" t="s">
        <v>984</v>
      </c>
      <c r="J51" t="str">
        <f t="shared" si="0"/>
        <v>ia.assorted_string like '%102358-00001-11-2024%' or</v>
      </c>
    </row>
    <row r="52" spans="1:10" x14ac:dyDescent="0.25">
      <c r="A52" s="1" t="s">
        <v>356</v>
      </c>
      <c r="B52" t="s">
        <v>993</v>
      </c>
      <c r="H52">
        <v>100069</v>
      </c>
      <c r="I52" t="s">
        <v>987</v>
      </c>
      <c r="J52" t="str">
        <f t="shared" si="0"/>
        <v>ia.assorted_string like '%100069-00002-10-2024%' or</v>
      </c>
    </row>
    <row r="53" spans="1:10" x14ac:dyDescent="0.25">
      <c r="A53" s="1" t="s">
        <v>363</v>
      </c>
      <c r="B53" t="s">
        <v>993</v>
      </c>
      <c r="H53">
        <v>100069</v>
      </c>
      <c r="I53" t="s">
        <v>984</v>
      </c>
      <c r="J53" t="str">
        <f t="shared" si="0"/>
        <v>ia.assorted_string like '%100069-00001-10-2024%' or</v>
      </c>
    </row>
    <row r="54" spans="1:10" x14ac:dyDescent="0.25">
      <c r="A54" s="1" t="s">
        <v>369</v>
      </c>
      <c r="B54" t="s">
        <v>993</v>
      </c>
      <c r="H54">
        <v>100069</v>
      </c>
      <c r="I54" t="s">
        <v>988</v>
      </c>
      <c r="J54" t="str">
        <f t="shared" si="0"/>
        <v>ia.assorted_string like '%100069-00003-10-2024%' or</v>
      </c>
    </row>
    <row r="55" spans="1:10" x14ac:dyDescent="0.25">
      <c r="A55" s="1" t="s">
        <v>375</v>
      </c>
      <c r="B55" t="s">
        <v>993</v>
      </c>
      <c r="H55">
        <v>100069</v>
      </c>
      <c r="I55" t="s">
        <v>990</v>
      </c>
      <c r="J55" t="str">
        <f t="shared" si="0"/>
        <v>ia.assorted_string like '%100069-00004-10-2024%' or</v>
      </c>
    </row>
    <row r="56" spans="1:10" x14ac:dyDescent="0.25">
      <c r="A56" s="1" t="s">
        <v>382</v>
      </c>
      <c r="B56" t="s">
        <v>993</v>
      </c>
      <c r="H56">
        <v>100068</v>
      </c>
      <c r="I56" t="s">
        <v>987</v>
      </c>
      <c r="J56" t="str">
        <f t="shared" si="0"/>
        <v>ia.assorted_string like '%100068-00002-10-2024%' or</v>
      </c>
    </row>
    <row r="57" spans="1:10" x14ac:dyDescent="0.25">
      <c r="A57" s="1" t="s">
        <v>389</v>
      </c>
      <c r="B57" t="s">
        <v>993</v>
      </c>
      <c r="H57">
        <v>100068</v>
      </c>
      <c r="I57" t="s">
        <v>984</v>
      </c>
      <c r="J57" t="str">
        <f t="shared" si="0"/>
        <v>ia.assorted_string like '%100068-00001-10-2024%' or</v>
      </c>
    </row>
    <row r="58" spans="1:10" x14ac:dyDescent="0.25">
      <c r="A58" s="1" t="s">
        <v>396</v>
      </c>
      <c r="B58" t="s">
        <v>993</v>
      </c>
      <c r="H58">
        <v>100068</v>
      </c>
      <c r="I58" t="s">
        <v>990</v>
      </c>
      <c r="J58" t="str">
        <f t="shared" si="0"/>
        <v>ia.assorted_string like '%100068-00004-10-2024%' or</v>
      </c>
    </row>
    <row r="59" spans="1:10" x14ac:dyDescent="0.25">
      <c r="A59" s="1" t="s">
        <v>404</v>
      </c>
      <c r="B59" t="s">
        <v>993</v>
      </c>
      <c r="H59">
        <v>100068</v>
      </c>
      <c r="I59" t="s">
        <v>982</v>
      </c>
      <c r="J59" t="str">
        <f t="shared" si="0"/>
        <v>ia.assorted_string like '%100068-00007-10-2024%' or</v>
      </c>
    </row>
    <row r="60" spans="1:10" x14ac:dyDescent="0.25">
      <c r="A60" s="1" t="s">
        <v>411</v>
      </c>
      <c r="B60" t="s">
        <v>993</v>
      </c>
      <c r="H60">
        <v>100068</v>
      </c>
      <c r="I60" t="s">
        <v>986</v>
      </c>
      <c r="J60" t="str">
        <f t="shared" si="0"/>
        <v>ia.assorted_string like '%100068-00005-10-2024%' or</v>
      </c>
    </row>
    <row r="61" spans="1:10" x14ac:dyDescent="0.25">
      <c r="A61" s="1" t="s">
        <v>417</v>
      </c>
      <c r="B61" t="s">
        <v>993</v>
      </c>
      <c r="H61">
        <v>100068</v>
      </c>
      <c r="I61" t="s">
        <v>988</v>
      </c>
      <c r="J61" t="str">
        <f t="shared" si="0"/>
        <v>ia.assorted_string like '%100068-00003-10-2024%' or</v>
      </c>
    </row>
    <row r="62" spans="1:10" x14ac:dyDescent="0.25">
      <c r="A62" s="1" t="s">
        <v>424</v>
      </c>
      <c r="B62" t="s">
        <v>993</v>
      </c>
      <c r="H62">
        <v>100068</v>
      </c>
      <c r="I62" t="s">
        <v>985</v>
      </c>
      <c r="J62" t="str">
        <f t="shared" si="0"/>
        <v>ia.assorted_string like '%100068-00006-10-2024%' or</v>
      </c>
    </row>
    <row r="63" spans="1:10" x14ac:dyDescent="0.25">
      <c r="A63" s="1" t="s">
        <v>431</v>
      </c>
      <c r="B63" t="s">
        <v>993</v>
      </c>
      <c r="H63">
        <v>100091</v>
      </c>
      <c r="I63" t="s">
        <v>983</v>
      </c>
      <c r="J63" t="str">
        <f t="shared" si="0"/>
        <v>ia.assorted_string like '%100091-00010-10-2024%' or</v>
      </c>
    </row>
    <row r="64" spans="1:10" x14ac:dyDescent="0.25">
      <c r="A64" s="1" t="s">
        <v>437</v>
      </c>
      <c r="B64" t="s">
        <v>993</v>
      </c>
      <c r="H64">
        <v>100092</v>
      </c>
      <c r="I64" t="s">
        <v>987</v>
      </c>
      <c r="J64" t="str">
        <f t="shared" si="0"/>
        <v>ia.assorted_string like '%100092-00002-10-2024%' or</v>
      </c>
    </row>
    <row r="65" spans="1:10" x14ac:dyDescent="0.25">
      <c r="A65" s="1" t="s">
        <v>443</v>
      </c>
      <c r="B65" t="s">
        <v>993</v>
      </c>
      <c r="H65">
        <v>100092</v>
      </c>
      <c r="I65" t="s">
        <v>988</v>
      </c>
      <c r="J65" t="str">
        <f t="shared" si="0"/>
        <v>ia.assorted_string like '%100092-00003-10-2024%' or</v>
      </c>
    </row>
    <row r="66" spans="1:10" x14ac:dyDescent="0.25">
      <c r="A66" s="1" t="s">
        <v>449</v>
      </c>
      <c r="B66" t="s">
        <v>993</v>
      </c>
      <c r="H66">
        <v>100092</v>
      </c>
      <c r="I66" t="s">
        <v>984</v>
      </c>
      <c r="J66" t="str">
        <f t="shared" si="0"/>
        <v>ia.assorted_string like '%100092-00001-10-2024%' or</v>
      </c>
    </row>
    <row r="67" spans="1:10" x14ac:dyDescent="0.25">
      <c r="A67" s="1" t="s">
        <v>456</v>
      </c>
      <c r="B67" t="s">
        <v>993</v>
      </c>
      <c r="H67">
        <v>100094</v>
      </c>
      <c r="I67" t="s">
        <v>990</v>
      </c>
      <c r="J67" t="str">
        <f t="shared" ref="J67:J130" si="1">"ia.assorted_string like '%"&amp;H67&amp;"-"&amp;I67&amp;B67&amp;"%' or"</f>
        <v>ia.assorted_string like '%100094-00004-10-2024%' or</v>
      </c>
    </row>
    <row r="68" spans="1:10" x14ac:dyDescent="0.25">
      <c r="A68" s="1" t="s">
        <v>463</v>
      </c>
      <c r="B68" t="s">
        <v>993</v>
      </c>
      <c r="H68">
        <v>100094</v>
      </c>
      <c r="I68" t="s">
        <v>988</v>
      </c>
      <c r="J68" t="str">
        <f t="shared" si="1"/>
        <v>ia.assorted_string like '%100094-00003-10-2024%' or</v>
      </c>
    </row>
    <row r="69" spans="1:10" x14ac:dyDescent="0.25">
      <c r="A69" s="1" t="s">
        <v>470</v>
      </c>
      <c r="B69" t="s">
        <v>993</v>
      </c>
      <c r="H69">
        <v>100094</v>
      </c>
      <c r="I69" t="s">
        <v>987</v>
      </c>
      <c r="J69" t="str">
        <f t="shared" si="1"/>
        <v>ia.assorted_string like '%100094-00002-10-2024%' or</v>
      </c>
    </row>
    <row r="70" spans="1:10" x14ac:dyDescent="0.25">
      <c r="A70" s="1" t="s">
        <v>477</v>
      </c>
      <c r="B70" t="s">
        <v>993</v>
      </c>
      <c r="H70">
        <v>100094</v>
      </c>
      <c r="I70" t="s">
        <v>984</v>
      </c>
      <c r="J70" t="str">
        <f t="shared" si="1"/>
        <v>ia.assorted_string like '%100094-00001-10-2024%' or</v>
      </c>
    </row>
    <row r="71" spans="1:10" x14ac:dyDescent="0.25">
      <c r="A71" s="1" t="s">
        <v>483</v>
      </c>
      <c r="B71" t="s">
        <v>993</v>
      </c>
      <c r="H71">
        <v>100094</v>
      </c>
      <c r="I71" t="s">
        <v>985</v>
      </c>
      <c r="J71" t="str">
        <f t="shared" si="1"/>
        <v>ia.assorted_string like '%100094-00006-10-2024%' or</v>
      </c>
    </row>
    <row r="72" spans="1:10" x14ac:dyDescent="0.25">
      <c r="A72" s="1" t="s">
        <v>490</v>
      </c>
      <c r="B72" t="s">
        <v>993</v>
      </c>
      <c r="H72">
        <v>100094</v>
      </c>
      <c r="I72" t="s">
        <v>986</v>
      </c>
      <c r="J72" t="str">
        <f t="shared" si="1"/>
        <v>ia.assorted_string like '%100094-00005-10-2024%' or</v>
      </c>
    </row>
    <row r="73" spans="1:10" x14ac:dyDescent="0.25">
      <c r="A73" s="1" t="s">
        <v>497</v>
      </c>
      <c r="B73" t="s">
        <v>993</v>
      </c>
      <c r="H73">
        <v>100091</v>
      </c>
      <c r="I73" t="s">
        <v>984</v>
      </c>
      <c r="J73" t="str">
        <f t="shared" si="1"/>
        <v>ia.assorted_string like '%100091-00001-10-2024%' or</v>
      </c>
    </row>
    <row r="74" spans="1:10" x14ac:dyDescent="0.25">
      <c r="A74" s="1" t="s">
        <v>503</v>
      </c>
      <c r="B74" t="s">
        <v>993</v>
      </c>
      <c r="H74">
        <v>100091</v>
      </c>
      <c r="I74" t="s">
        <v>988</v>
      </c>
      <c r="J74" t="str">
        <f t="shared" si="1"/>
        <v>ia.assorted_string like '%100091-00003-10-2024%' or</v>
      </c>
    </row>
    <row r="75" spans="1:10" x14ac:dyDescent="0.25">
      <c r="A75" s="1" t="s">
        <v>510</v>
      </c>
      <c r="B75" t="s">
        <v>993</v>
      </c>
      <c r="H75">
        <v>100091</v>
      </c>
      <c r="I75" t="s">
        <v>990</v>
      </c>
      <c r="J75" t="str">
        <f t="shared" si="1"/>
        <v>ia.assorted_string like '%100091-00004-10-2024%' or</v>
      </c>
    </row>
    <row r="76" spans="1:10" x14ac:dyDescent="0.25">
      <c r="A76" s="1" t="s">
        <v>517</v>
      </c>
      <c r="B76" t="s">
        <v>993</v>
      </c>
      <c r="H76">
        <v>100091</v>
      </c>
      <c r="I76" t="s">
        <v>986</v>
      </c>
      <c r="J76" t="str">
        <f t="shared" si="1"/>
        <v>ia.assorted_string like '%100091-00005-10-2024%' or</v>
      </c>
    </row>
    <row r="77" spans="1:10" x14ac:dyDescent="0.25">
      <c r="A77" s="1" t="s">
        <v>524</v>
      </c>
      <c r="B77" t="s">
        <v>993</v>
      </c>
      <c r="H77">
        <v>100091</v>
      </c>
      <c r="I77" t="s">
        <v>992</v>
      </c>
      <c r="J77" t="str">
        <f t="shared" si="1"/>
        <v>ia.assorted_string like '%100091-00011-10-2024%' or</v>
      </c>
    </row>
    <row r="78" spans="1:10" x14ac:dyDescent="0.25">
      <c r="A78" s="1" t="s">
        <v>531</v>
      </c>
      <c r="B78" t="s">
        <v>993</v>
      </c>
      <c r="H78">
        <v>100091</v>
      </c>
      <c r="I78" t="s">
        <v>991</v>
      </c>
      <c r="J78" t="str">
        <f t="shared" si="1"/>
        <v>ia.assorted_string like '%100091-00008-10-2024%' or</v>
      </c>
    </row>
    <row r="79" spans="1:10" x14ac:dyDescent="0.25">
      <c r="A79" s="1" t="s">
        <v>537</v>
      </c>
      <c r="B79" t="s">
        <v>993</v>
      </c>
      <c r="H79">
        <v>100091</v>
      </c>
      <c r="I79" t="s">
        <v>989</v>
      </c>
      <c r="J79" t="str">
        <f t="shared" si="1"/>
        <v>ia.assorted_string like '%100091-00009-10-2024%' or</v>
      </c>
    </row>
    <row r="80" spans="1:10" x14ac:dyDescent="0.25">
      <c r="A80" s="1" t="s">
        <v>543</v>
      </c>
      <c r="B80" t="s">
        <v>993</v>
      </c>
      <c r="H80">
        <v>100091</v>
      </c>
      <c r="I80" t="s">
        <v>987</v>
      </c>
      <c r="J80" t="str">
        <f t="shared" si="1"/>
        <v>ia.assorted_string like '%100091-00002-10-2024%' or</v>
      </c>
    </row>
    <row r="81" spans="1:10" x14ac:dyDescent="0.25">
      <c r="A81" s="1" t="s">
        <v>549</v>
      </c>
      <c r="B81" t="s">
        <v>993</v>
      </c>
      <c r="H81">
        <v>100091</v>
      </c>
      <c r="I81" t="s">
        <v>985</v>
      </c>
      <c r="J81" t="str">
        <f t="shared" si="1"/>
        <v>ia.assorted_string like '%100091-00006-10-2024%' or</v>
      </c>
    </row>
    <row r="82" spans="1:10" x14ac:dyDescent="0.25">
      <c r="A82" s="1" t="s">
        <v>556</v>
      </c>
      <c r="B82" t="s">
        <v>993</v>
      </c>
      <c r="H82">
        <v>100099</v>
      </c>
      <c r="I82" t="s">
        <v>987</v>
      </c>
      <c r="J82" t="str">
        <f t="shared" si="1"/>
        <v>ia.assorted_string like '%100099-00002-10-2024%' or</v>
      </c>
    </row>
    <row r="83" spans="1:10" x14ac:dyDescent="0.25">
      <c r="A83" s="1" t="s">
        <v>562</v>
      </c>
      <c r="B83" t="s">
        <v>993</v>
      </c>
      <c r="H83">
        <v>100099</v>
      </c>
      <c r="I83" t="s">
        <v>986</v>
      </c>
      <c r="J83" t="str">
        <f t="shared" si="1"/>
        <v>ia.assorted_string like '%100099-00005-10-2024%' or</v>
      </c>
    </row>
    <row r="84" spans="1:10" x14ac:dyDescent="0.25">
      <c r="A84" s="1" t="s">
        <v>568</v>
      </c>
      <c r="B84" t="s">
        <v>993</v>
      </c>
      <c r="H84">
        <v>100099</v>
      </c>
      <c r="I84" t="s">
        <v>988</v>
      </c>
      <c r="J84" t="str">
        <f t="shared" si="1"/>
        <v>ia.assorted_string like '%100099-00003-10-2024%' or</v>
      </c>
    </row>
    <row r="85" spans="1:10" x14ac:dyDescent="0.25">
      <c r="A85" s="1" t="s">
        <v>574</v>
      </c>
      <c r="B85" t="s">
        <v>993</v>
      </c>
      <c r="H85">
        <v>100099</v>
      </c>
      <c r="I85" t="s">
        <v>984</v>
      </c>
      <c r="J85" t="str">
        <f t="shared" si="1"/>
        <v>ia.assorted_string like '%100099-00001-10-2024%' or</v>
      </c>
    </row>
    <row r="86" spans="1:10" x14ac:dyDescent="0.25">
      <c r="A86" s="1" t="s">
        <v>580</v>
      </c>
      <c r="B86" t="s">
        <v>993</v>
      </c>
      <c r="H86">
        <v>100099</v>
      </c>
      <c r="I86" t="s">
        <v>990</v>
      </c>
      <c r="J86" t="str">
        <f t="shared" si="1"/>
        <v>ia.assorted_string like '%100099-00004-10-2024%' or</v>
      </c>
    </row>
    <row r="87" spans="1:10" x14ac:dyDescent="0.25">
      <c r="A87" s="1" t="s">
        <v>586</v>
      </c>
      <c r="B87" t="s">
        <v>993</v>
      </c>
      <c r="H87">
        <v>100099</v>
      </c>
      <c r="I87" t="s">
        <v>985</v>
      </c>
      <c r="J87" t="str">
        <f t="shared" si="1"/>
        <v>ia.assorted_string like '%100099-00006-10-2024%' or</v>
      </c>
    </row>
    <row r="88" spans="1:10" x14ac:dyDescent="0.25">
      <c r="A88" s="1" t="s">
        <v>593</v>
      </c>
      <c r="B88" t="s">
        <v>993</v>
      </c>
      <c r="H88">
        <v>100100</v>
      </c>
      <c r="I88" t="s">
        <v>987</v>
      </c>
      <c r="J88" t="str">
        <f t="shared" si="1"/>
        <v>ia.assorted_string like '%100100-00002-10-2024%' or</v>
      </c>
    </row>
    <row r="89" spans="1:10" x14ac:dyDescent="0.25">
      <c r="A89" s="1" t="s">
        <v>600</v>
      </c>
      <c r="B89" t="s">
        <v>993</v>
      </c>
      <c r="H89">
        <v>100100</v>
      </c>
      <c r="I89" t="s">
        <v>984</v>
      </c>
      <c r="J89" t="str">
        <f t="shared" si="1"/>
        <v>ia.assorted_string like '%100100-00001-10-2024%' or</v>
      </c>
    </row>
    <row r="90" spans="1:10" x14ac:dyDescent="0.25">
      <c r="A90" s="1" t="s">
        <v>607</v>
      </c>
      <c r="B90" t="s">
        <v>993</v>
      </c>
      <c r="H90">
        <v>100100</v>
      </c>
      <c r="I90" t="s">
        <v>988</v>
      </c>
      <c r="J90" t="str">
        <f t="shared" si="1"/>
        <v>ia.assorted_string like '%100100-00003-10-2024%' or</v>
      </c>
    </row>
    <row r="91" spans="1:10" x14ac:dyDescent="0.25">
      <c r="A91" s="1" t="s">
        <v>615</v>
      </c>
      <c r="B91" t="s">
        <v>993</v>
      </c>
      <c r="H91">
        <v>100118</v>
      </c>
      <c r="I91" t="s">
        <v>987</v>
      </c>
      <c r="J91" t="str">
        <f t="shared" si="1"/>
        <v>ia.assorted_string like '%100118-00002-10-2024%' or</v>
      </c>
    </row>
    <row r="92" spans="1:10" x14ac:dyDescent="0.25">
      <c r="A92" s="1" t="s">
        <v>621</v>
      </c>
      <c r="B92" t="s">
        <v>993</v>
      </c>
      <c r="H92">
        <v>100118</v>
      </c>
      <c r="I92" t="s">
        <v>984</v>
      </c>
      <c r="J92" t="str">
        <f t="shared" si="1"/>
        <v>ia.assorted_string like '%100118-00001-10-2024%' or</v>
      </c>
    </row>
    <row r="93" spans="1:10" x14ac:dyDescent="0.25">
      <c r="A93" s="1" t="s">
        <v>627</v>
      </c>
      <c r="B93" t="s">
        <v>993</v>
      </c>
      <c r="H93">
        <v>100119</v>
      </c>
      <c r="I93" t="s">
        <v>984</v>
      </c>
      <c r="J93" t="str">
        <f t="shared" si="1"/>
        <v>ia.assorted_string like '%100119-00001-10-2024%' or</v>
      </c>
    </row>
    <row r="94" spans="1:10" x14ac:dyDescent="0.25">
      <c r="A94" s="1" t="s">
        <v>634</v>
      </c>
      <c r="B94" t="s">
        <v>993</v>
      </c>
      <c r="H94">
        <v>100119</v>
      </c>
      <c r="I94" t="s">
        <v>987</v>
      </c>
      <c r="J94" t="str">
        <f t="shared" si="1"/>
        <v>ia.assorted_string like '%100119-00002-10-2024%' or</v>
      </c>
    </row>
    <row r="95" spans="1:10" x14ac:dyDescent="0.25">
      <c r="A95" s="1" t="s">
        <v>641</v>
      </c>
      <c r="B95" t="s">
        <v>993</v>
      </c>
      <c r="H95">
        <v>100120</v>
      </c>
      <c r="I95" t="s">
        <v>988</v>
      </c>
      <c r="J95" t="str">
        <f t="shared" si="1"/>
        <v>ia.assorted_string like '%100120-00003-10-2024%' or</v>
      </c>
    </row>
    <row r="96" spans="1:10" x14ac:dyDescent="0.25">
      <c r="A96" s="1" t="s">
        <v>647</v>
      </c>
      <c r="B96" t="s">
        <v>993</v>
      </c>
      <c r="H96">
        <v>100120</v>
      </c>
      <c r="I96" t="s">
        <v>984</v>
      </c>
      <c r="J96" t="str">
        <f t="shared" si="1"/>
        <v>ia.assorted_string like '%100120-00001-10-2024%' or</v>
      </c>
    </row>
    <row r="97" spans="1:10" x14ac:dyDescent="0.25">
      <c r="A97" s="1" t="s">
        <v>653</v>
      </c>
      <c r="B97" t="s">
        <v>993</v>
      </c>
      <c r="H97">
        <v>100120</v>
      </c>
      <c r="I97" t="s">
        <v>987</v>
      </c>
      <c r="J97" t="str">
        <f t="shared" si="1"/>
        <v>ia.assorted_string like '%100120-00002-10-2024%' or</v>
      </c>
    </row>
    <row r="98" spans="1:10" x14ac:dyDescent="0.25">
      <c r="A98" s="1" t="s">
        <v>661</v>
      </c>
      <c r="B98" t="s">
        <v>993</v>
      </c>
      <c r="H98">
        <v>100117</v>
      </c>
      <c r="I98" t="s">
        <v>990</v>
      </c>
      <c r="J98" t="str">
        <f t="shared" si="1"/>
        <v>ia.assorted_string like '%100117-00004-10-2024%' or</v>
      </c>
    </row>
    <row r="99" spans="1:10" x14ac:dyDescent="0.25">
      <c r="A99" s="1" t="s">
        <v>668</v>
      </c>
      <c r="B99" t="s">
        <v>993</v>
      </c>
      <c r="H99">
        <v>100116</v>
      </c>
      <c r="I99" t="s">
        <v>984</v>
      </c>
      <c r="J99" t="str">
        <f t="shared" si="1"/>
        <v>ia.assorted_string like '%100116-00001-10-2024%' or</v>
      </c>
    </row>
    <row r="100" spans="1:10" x14ac:dyDescent="0.25">
      <c r="A100" s="1" t="s">
        <v>674</v>
      </c>
      <c r="B100" t="s">
        <v>993</v>
      </c>
      <c r="H100">
        <v>100117</v>
      </c>
      <c r="I100" t="s">
        <v>988</v>
      </c>
      <c r="J100" t="str">
        <f t="shared" si="1"/>
        <v>ia.assorted_string like '%100117-00003-10-2024%' or</v>
      </c>
    </row>
    <row r="101" spans="1:10" x14ac:dyDescent="0.25">
      <c r="A101" s="1" t="s">
        <v>681</v>
      </c>
      <c r="B101" t="s">
        <v>993</v>
      </c>
      <c r="H101">
        <v>100117</v>
      </c>
      <c r="I101" t="s">
        <v>987</v>
      </c>
      <c r="J101" t="str">
        <f t="shared" si="1"/>
        <v>ia.assorted_string like '%100117-00002-10-2024%' or</v>
      </c>
    </row>
    <row r="102" spans="1:10" x14ac:dyDescent="0.25">
      <c r="A102" s="1" t="s">
        <v>688</v>
      </c>
      <c r="B102" t="s">
        <v>993</v>
      </c>
      <c r="H102">
        <v>100117</v>
      </c>
      <c r="I102" t="s">
        <v>984</v>
      </c>
      <c r="J102" t="str">
        <f t="shared" si="1"/>
        <v>ia.assorted_string like '%100117-00001-10-2024%' or</v>
      </c>
    </row>
    <row r="103" spans="1:10" x14ac:dyDescent="0.25">
      <c r="A103" s="1" t="s">
        <v>696</v>
      </c>
      <c r="B103" t="s">
        <v>993</v>
      </c>
      <c r="H103">
        <v>100154</v>
      </c>
      <c r="I103" t="s">
        <v>987</v>
      </c>
      <c r="J103" t="str">
        <f t="shared" si="1"/>
        <v>ia.assorted_string like '%100154-00002-10-2024%' or</v>
      </c>
    </row>
    <row r="104" spans="1:10" x14ac:dyDescent="0.25">
      <c r="A104" s="1" t="s">
        <v>702</v>
      </c>
      <c r="B104" t="s">
        <v>993</v>
      </c>
      <c r="H104">
        <v>100053</v>
      </c>
      <c r="I104" t="s">
        <v>988</v>
      </c>
      <c r="J104" t="str">
        <f t="shared" si="1"/>
        <v>ia.assorted_string like '%100053-00003-10-2024%' or</v>
      </c>
    </row>
    <row r="105" spans="1:10" x14ac:dyDescent="0.25">
      <c r="A105" s="1" t="s">
        <v>710</v>
      </c>
      <c r="B105" t="s">
        <v>993</v>
      </c>
      <c r="H105">
        <v>100228</v>
      </c>
      <c r="I105" t="s">
        <v>988</v>
      </c>
      <c r="J105" t="str">
        <f t="shared" si="1"/>
        <v>ia.assorted_string like '%100228-00003-10-2024%' or</v>
      </c>
    </row>
    <row r="106" spans="1:10" x14ac:dyDescent="0.25">
      <c r="A106" s="1" t="s">
        <v>717</v>
      </c>
      <c r="B106" t="s">
        <v>993</v>
      </c>
      <c r="H106">
        <v>100228</v>
      </c>
      <c r="I106" t="s">
        <v>987</v>
      </c>
      <c r="J106" t="str">
        <f t="shared" si="1"/>
        <v>ia.assorted_string like '%100228-00002-10-2024%' or</v>
      </c>
    </row>
    <row r="107" spans="1:10" x14ac:dyDescent="0.25">
      <c r="A107" s="1" t="s">
        <v>723</v>
      </c>
      <c r="B107" t="s">
        <v>993</v>
      </c>
      <c r="H107">
        <v>100228</v>
      </c>
      <c r="I107" t="s">
        <v>984</v>
      </c>
      <c r="J107" t="str">
        <f t="shared" si="1"/>
        <v>ia.assorted_string like '%100228-00001-10-2024%' or</v>
      </c>
    </row>
    <row r="108" spans="1:10" x14ac:dyDescent="0.25">
      <c r="A108" s="1" t="s">
        <v>731</v>
      </c>
      <c r="B108" t="s">
        <v>993</v>
      </c>
      <c r="H108">
        <v>100228</v>
      </c>
      <c r="I108" t="s">
        <v>986</v>
      </c>
      <c r="J108" t="str">
        <f t="shared" si="1"/>
        <v>ia.assorted_string like '%100228-00005-10-2024%' or</v>
      </c>
    </row>
    <row r="109" spans="1:10" x14ac:dyDescent="0.25">
      <c r="A109" s="1" t="s">
        <v>737</v>
      </c>
      <c r="B109" t="s">
        <v>993</v>
      </c>
      <c r="H109">
        <v>100228</v>
      </c>
      <c r="I109" t="s">
        <v>985</v>
      </c>
      <c r="J109" t="str">
        <f t="shared" si="1"/>
        <v>ia.assorted_string like '%100228-00006-10-2024%' or</v>
      </c>
    </row>
    <row r="110" spans="1:10" x14ac:dyDescent="0.25">
      <c r="A110" s="1" t="s">
        <v>744</v>
      </c>
      <c r="B110" t="s">
        <v>993</v>
      </c>
      <c r="H110">
        <v>100236</v>
      </c>
      <c r="I110" t="s">
        <v>984</v>
      </c>
      <c r="J110" t="str">
        <f t="shared" si="1"/>
        <v>ia.assorted_string like '%100236-00001-10-2024%' or</v>
      </c>
    </row>
    <row r="111" spans="1:10" x14ac:dyDescent="0.25">
      <c r="A111" s="1" t="s">
        <v>750</v>
      </c>
      <c r="B111" t="s">
        <v>993</v>
      </c>
      <c r="H111">
        <v>100236</v>
      </c>
      <c r="I111" t="s">
        <v>987</v>
      </c>
      <c r="J111" t="str">
        <f t="shared" si="1"/>
        <v>ia.assorted_string like '%100236-00002-10-2024%' or</v>
      </c>
    </row>
    <row r="112" spans="1:10" x14ac:dyDescent="0.25">
      <c r="A112" s="1" t="s">
        <v>756</v>
      </c>
      <c r="B112" t="s">
        <v>993</v>
      </c>
      <c r="H112">
        <v>100228</v>
      </c>
      <c r="I112" t="s">
        <v>990</v>
      </c>
      <c r="J112" t="str">
        <f t="shared" si="1"/>
        <v>ia.assorted_string like '%100228-00004-10-2024%' or</v>
      </c>
    </row>
    <row r="113" spans="1:10" x14ac:dyDescent="0.25">
      <c r="A113" s="1" t="s">
        <v>762</v>
      </c>
      <c r="B113" t="s">
        <v>993</v>
      </c>
      <c r="H113">
        <v>100155</v>
      </c>
      <c r="I113" t="s">
        <v>987</v>
      </c>
      <c r="J113" t="str">
        <f t="shared" si="1"/>
        <v>ia.assorted_string like '%100155-00002-10-2024%' or</v>
      </c>
    </row>
    <row r="114" spans="1:10" x14ac:dyDescent="0.25">
      <c r="A114" s="1" t="s">
        <v>769</v>
      </c>
      <c r="B114" t="s">
        <v>993</v>
      </c>
      <c r="H114">
        <v>100155</v>
      </c>
      <c r="I114" t="s">
        <v>990</v>
      </c>
      <c r="J114" t="str">
        <f t="shared" si="1"/>
        <v>ia.assorted_string like '%100155-00004-10-2024%' or</v>
      </c>
    </row>
    <row r="115" spans="1:10" x14ac:dyDescent="0.25">
      <c r="A115" s="1" t="s">
        <v>775</v>
      </c>
      <c r="B115" t="s">
        <v>993</v>
      </c>
      <c r="H115">
        <v>100155</v>
      </c>
      <c r="I115" t="s">
        <v>986</v>
      </c>
      <c r="J115" t="str">
        <f t="shared" si="1"/>
        <v>ia.assorted_string like '%100155-00005-10-2024%' or</v>
      </c>
    </row>
    <row r="116" spans="1:10" x14ac:dyDescent="0.25">
      <c r="A116" s="1" t="s">
        <v>781</v>
      </c>
      <c r="B116" t="s">
        <v>993</v>
      </c>
      <c r="H116">
        <v>100155</v>
      </c>
      <c r="I116" t="s">
        <v>988</v>
      </c>
      <c r="J116" t="str">
        <f t="shared" si="1"/>
        <v>ia.assorted_string like '%100155-00003-10-2024%' or</v>
      </c>
    </row>
    <row r="117" spans="1:10" x14ac:dyDescent="0.25">
      <c r="A117" s="1" t="s">
        <v>787</v>
      </c>
      <c r="B117" t="s">
        <v>993</v>
      </c>
      <c r="H117">
        <v>100237</v>
      </c>
      <c r="I117" t="s">
        <v>987</v>
      </c>
      <c r="J117" t="str">
        <f t="shared" si="1"/>
        <v>ia.assorted_string like '%100237-00002-10-2024%' or</v>
      </c>
    </row>
    <row r="118" spans="1:10" x14ac:dyDescent="0.25">
      <c r="A118" s="1" t="s">
        <v>793</v>
      </c>
      <c r="B118" t="s">
        <v>993</v>
      </c>
      <c r="H118">
        <v>100238</v>
      </c>
      <c r="I118" t="s">
        <v>984</v>
      </c>
      <c r="J118" t="str">
        <f t="shared" si="1"/>
        <v>ia.assorted_string like '%100238-00001-10-2024%' or</v>
      </c>
    </row>
    <row r="119" spans="1:10" x14ac:dyDescent="0.25">
      <c r="A119" s="1" t="s">
        <v>799</v>
      </c>
      <c r="B119" t="s">
        <v>993</v>
      </c>
      <c r="H119">
        <v>100240</v>
      </c>
      <c r="I119" t="s">
        <v>984</v>
      </c>
      <c r="J119" t="str">
        <f t="shared" si="1"/>
        <v>ia.assorted_string like '%100240-00001-10-2024%' or</v>
      </c>
    </row>
    <row r="120" spans="1:10" x14ac:dyDescent="0.25">
      <c r="A120" s="1" t="s">
        <v>805</v>
      </c>
      <c r="B120" t="s">
        <v>993</v>
      </c>
      <c r="H120">
        <v>100237</v>
      </c>
      <c r="I120" t="s">
        <v>988</v>
      </c>
      <c r="J120" t="str">
        <f t="shared" si="1"/>
        <v>ia.assorted_string like '%100237-00003-10-2024%' or</v>
      </c>
    </row>
    <row r="121" spans="1:10" x14ac:dyDescent="0.25">
      <c r="A121" s="1" t="s">
        <v>812</v>
      </c>
      <c r="B121" t="s">
        <v>993</v>
      </c>
      <c r="H121">
        <v>100237</v>
      </c>
      <c r="I121" t="s">
        <v>990</v>
      </c>
      <c r="J121" t="str">
        <f t="shared" si="1"/>
        <v>ia.assorted_string like '%100237-00004-10-2024%' or</v>
      </c>
    </row>
    <row r="122" spans="1:10" x14ac:dyDescent="0.25">
      <c r="A122" s="1" t="s">
        <v>818</v>
      </c>
      <c r="B122" t="s">
        <v>993</v>
      </c>
      <c r="H122">
        <v>100238</v>
      </c>
      <c r="I122" t="s">
        <v>987</v>
      </c>
      <c r="J122" t="str">
        <f t="shared" si="1"/>
        <v>ia.assorted_string like '%100238-00002-10-2024%' or</v>
      </c>
    </row>
    <row r="123" spans="1:10" x14ac:dyDescent="0.25">
      <c r="A123" s="1" t="s">
        <v>824</v>
      </c>
      <c r="B123" t="s">
        <v>993</v>
      </c>
      <c r="H123">
        <v>100238</v>
      </c>
      <c r="I123" t="s">
        <v>988</v>
      </c>
      <c r="J123" t="str">
        <f t="shared" si="1"/>
        <v>ia.assorted_string like '%100238-00003-10-2024%' or</v>
      </c>
    </row>
    <row r="124" spans="1:10" x14ac:dyDescent="0.25">
      <c r="A124" s="1" t="s">
        <v>831</v>
      </c>
      <c r="B124" t="s">
        <v>993</v>
      </c>
      <c r="H124">
        <v>100240</v>
      </c>
      <c r="I124" t="s">
        <v>987</v>
      </c>
      <c r="J124" t="str">
        <f t="shared" si="1"/>
        <v>ia.assorted_string like '%100240-00002-10-2024%' or</v>
      </c>
    </row>
    <row r="125" spans="1:10" x14ac:dyDescent="0.25">
      <c r="A125" s="1" t="s">
        <v>837</v>
      </c>
      <c r="B125" t="s">
        <v>993</v>
      </c>
      <c r="H125">
        <v>100240</v>
      </c>
      <c r="I125" t="s">
        <v>988</v>
      </c>
      <c r="J125" t="str">
        <f t="shared" si="1"/>
        <v>ia.assorted_string like '%100240-00003-10-2024%' or</v>
      </c>
    </row>
    <row r="126" spans="1:10" x14ac:dyDescent="0.25">
      <c r="A126" s="1" t="s">
        <v>843</v>
      </c>
      <c r="B126" t="s">
        <v>993</v>
      </c>
      <c r="H126">
        <v>100238</v>
      </c>
      <c r="I126" t="s">
        <v>990</v>
      </c>
      <c r="J126" t="str">
        <f t="shared" si="1"/>
        <v>ia.assorted_string like '%100238-00004-10-2024%' or</v>
      </c>
    </row>
    <row r="127" spans="1:10" x14ac:dyDescent="0.25">
      <c r="A127" s="1" t="s">
        <v>849</v>
      </c>
      <c r="B127" t="s">
        <v>993</v>
      </c>
      <c r="H127">
        <v>100238</v>
      </c>
      <c r="I127" t="s">
        <v>986</v>
      </c>
      <c r="J127" t="str">
        <f t="shared" si="1"/>
        <v>ia.assorted_string like '%100238-00005-10-2024%' or</v>
      </c>
    </row>
    <row r="128" spans="1:10" x14ac:dyDescent="0.25">
      <c r="A128" s="1" t="s">
        <v>857</v>
      </c>
      <c r="B128" t="s">
        <v>993</v>
      </c>
      <c r="H128">
        <v>100155</v>
      </c>
      <c r="I128" t="s">
        <v>984</v>
      </c>
      <c r="J128" t="str">
        <f t="shared" si="1"/>
        <v>ia.assorted_string like '%100155-00001-10-2024%' or</v>
      </c>
    </row>
    <row r="129" spans="1:10" x14ac:dyDescent="0.25">
      <c r="A129" s="1" t="s">
        <v>864</v>
      </c>
      <c r="B129" t="s">
        <v>993</v>
      </c>
      <c r="H129">
        <v>100153</v>
      </c>
      <c r="I129" t="s">
        <v>984</v>
      </c>
      <c r="J129" t="str">
        <f t="shared" si="1"/>
        <v>ia.assorted_string like '%100153-00001-10-2024%' or</v>
      </c>
    </row>
    <row r="130" spans="1:10" x14ac:dyDescent="0.25">
      <c r="A130" s="1" t="s">
        <v>870</v>
      </c>
      <c r="B130" t="s">
        <v>993</v>
      </c>
      <c r="H130">
        <v>100153</v>
      </c>
      <c r="I130" t="s">
        <v>988</v>
      </c>
      <c r="J130" t="str">
        <f t="shared" si="1"/>
        <v>ia.assorted_string like '%100153-00003-10-2024%' or</v>
      </c>
    </row>
    <row r="131" spans="1:10" x14ac:dyDescent="0.25">
      <c r="A131" s="1" t="s">
        <v>877</v>
      </c>
      <c r="B131" t="s">
        <v>993</v>
      </c>
      <c r="H131">
        <v>100153</v>
      </c>
      <c r="I131" t="s">
        <v>987</v>
      </c>
      <c r="J131" t="str">
        <f t="shared" ref="J131:J147" si="2">"ia.assorted_string like '%"&amp;H131&amp;"-"&amp;I131&amp;B131&amp;"%' or"</f>
        <v>ia.assorted_string like '%100153-00002-10-2024%' or</v>
      </c>
    </row>
    <row r="132" spans="1:10" x14ac:dyDescent="0.25">
      <c r="A132" s="1" t="s">
        <v>884</v>
      </c>
      <c r="B132" t="s">
        <v>993</v>
      </c>
      <c r="H132">
        <v>100154</v>
      </c>
      <c r="I132" t="s">
        <v>984</v>
      </c>
      <c r="J132" t="str">
        <f t="shared" si="2"/>
        <v>ia.assorted_string like '%100154-00001-10-2024%' or</v>
      </c>
    </row>
    <row r="133" spans="1:10" x14ac:dyDescent="0.25">
      <c r="A133" s="1" t="s">
        <v>890</v>
      </c>
      <c r="B133" t="s">
        <v>993</v>
      </c>
      <c r="H133">
        <v>100243</v>
      </c>
      <c r="I133" t="s">
        <v>984</v>
      </c>
      <c r="J133" t="str">
        <f t="shared" si="2"/>
        <v>ia.assorted_string like '%100243-00001-10-2024%' or</v>
      </c>
    </row>
    <row r="134" spans="1:10" x14ac:dyDescent="0.25">
      <c r="A134" s="1" t="s">
        <v>897</v>
      </c>
      <c r="B134" t="s">
        <v>993</v>
      </c>
      <c r="H134">
        <v>100237</v>
      </c>
      <c r="I134" t="s">
        <v>984</v>
      </c>
      <c r="J134" t="str">
        <f t="shared" si="2"/>
        <v>ia.assorted_string like '%100237-00001-10-2024%' or</v>
      </c>
    </row>
    <row r="135" spans="1:10" x14ac:dyDescent="0.25">
      <c r="A135" s="1" t="s">
        <v>903</v>
      </c>
      <c r="B135" t="s">
        <v>993</v>
      </c>
      <c r="H135">
        <v>100242</v>
      </c>
      <c r="I135" t="s">
        <v>984</v>
      </c>
      <c r="J135" t="str">
        <f t="shared" si="2"/>
        <v>ia.assorted_string like '%100242-00001-10-2024%' or</v>
      </c>
    </row>
    <row r="136" spans="1:10" x14ac:dyDescent="0.25">
      <c r="A136" s="1" t="s">
        <v>910</v>
      </c>
      <c r="B136" t="s">
        <v>993</v>
      </c>
      <c r="H136">
        <v>100242</v>
      </c>
      <c r="I136" t="s">
        <v>988</v>
      </c>
      <c r="J136" t="str">
        <f t="shared" si="2"/>
        <v>ia.assorted_string like '%100242-00003-10-2024%' or</v>
      </c>
    </row>
    <row r="137" spans="1:10" x14ac:dyDescent="0.25">
      <c r="A137" s="1" t="s">
        <v>917</v>
      </c>
      <c r="B137" t="s">
        <v>993</v>
      </c>
      <c r="H137">
        <v>100242</v>
      </c>
      <c r="I137" t="s">
        <v>987</v>
      </c>
      <c r="J137" t="str">
        <f t="shared" si="2"/>
        <v>ia.assorted_string like '%100242-00002-10-2024%' or</v>
      </c>
    </row>
    <row r="138" spans="1:10" x14ac:dyDescent="0.25">
      <c r="A138" s="1" t="s">
        <v>924</v>
      </c>
      <c r="B138" t="s">
        <v>993</v>
      </c>
      <c r="H138">
        <v>100240</v>
      </c>
      <c r="I138" t="s">
        <v>990</v>
      </c>
      <c r="J138" t="str">
        <f t="shared" si="2"/>
        <v>ia.assorted_string like '%100240-00004-10-2024%' or</v>
      </c>
    </row>
    <row r="139" spans="1:10" x14ac:dyDescent="0.25">
      <c r="A139" s="1" t="s">
        <v>932</v>
      </c>
      <c r="B139" t="s">
        <v>993</v>
      </c>
      <c r="H139">
        <v>100128</v>
      </c>
      <c r="I139" t="s">
        <v>987</v>
      </c>
      <c r="J139" t="str">
        <f t="shared" si="2"/>
        <v>ia.assorted_string like '%100128-00002-10-2024%' or</v>
      </c>
    </row>
    <row r="140" spans="1:10" x14ac:dyDescent="0.25">
      <c r="A140" s="1" t="s">
        <v>938</v>
      </c>
      <c r="B140" t="s">
        <v>993</v>
      </c>
      <c r="H140">
        <v>100128</v>
      </c>
      <c r="I140" t="s">
        <v>984</v>
      </c>
      <c r="J140" t="str">
        <f t="shared" si="2"/>
        <v>ia.assorted_string like '%100128-00001-10-2024%' or</v>
      </c>
    </row>
    <row r="141" spans="1:10" x14ac:dyDescent="0.25">
      <c r="A141" s="1" t="s">
        <v>944</v>
      </c>
      <c r="B141" t="s">
        <v>993</v>
      </c>
      <c r="H141">
        <v>100128</v>
      </c>
      <c r="I141" t="s">
        <v>988</v>
      </c>
      <c r="J141" t="str">
        <f t="shared" si="2"/>
        <v>ia.assorted_string like '%100128-00003-10-2024%' or</v>
      </c>
    </row>
    <row r="142" spans="1:10" x14ac:dyDescent="0.25">
      <c r="A142" s="1" t="s">
        <v>949</v>
      </c>
      <c r="B142" t="s">
        <v>993</v>
      </c>
      <c r="H142">
        <v>100126</v>
      </c>
      <c r="I142" t="s">
        <v>988</v>
      </c>
      <c r="J142" t="str">
        <f t="shared" si="2"/>
        <v>ia.assorted_string like '%100126-00003-10-2024%' or</v>
      </c>
    </row>
    <row r="143" spans="1:10" x14ac:dyDescent="0.25">
      <c r="A143" s="1" t="s">
        <v>955</v>
      </c>
      <c r="B143" t="s">
        <v>993</v>
      </c>
      <c r="H143">
        <v>100126</v>
      </c>
      <c r="I143" t="s">
        <v>984</v>
      </c>
      <c r="J143" t="str">
        <f t="shared" si="2"/>
        <v>ia.assorted_string like '%100126-00001-10-2024%' or</v>
      </c>
    </row>
    <row r="144" spans="1:10" x14ac:dyDescent="0.25">
      <c r="A144" s="1" t="s">
        <v>962</v>
      </c>
      <c r="B144" t="s">
        <v>993</v>
      </c>
      <c r="H144">
        <v>100126</v>
      </c>
      <c r="I144" t="s">
        <v>987</v>
      </c>
      <c r="J144" t="str">
        <f t="shared" si="2"/>
        <v>ia.assorted_string like '%100126-00002-10-2024%' or</v>
      </c>
    </row>
    <row r="145" spans="1:10" x14ac:dyDescent="0.25">
      <c r="A145" s="1" t="s">
        <v>968</v>
      </c>
      <c r="B145" t="s">
        <v>993</v>
      </c>
      <c r="H145">
        <v>100129</v>
      </c>
      <c r="I145" t="s">
        <v>984</v>
      </c>
      <c r="J145" t="str">
        <f t="shared" si="2"/>
        <v>ia.assorted_string like '%100129-00001-10-2024%' or</v>
      </c>
    </row>
    <row r="146" spans="1:10" x14ac:dyDescent="0.25">
      <c r="A146" s="1" t="s">
        <v>974</v>
      </c>
      <c r="B146" t="s">
        <v>993</v>
      </c>
      <c r="H146">
        <v>100129</v>
      </c>
      <c r="I146" t="s">
        <v>987</v>
      </c>
      <c r="J146" t="str">
        <f t="shared" si="2"/>
        <v>ia.assorted_string like '%100129-00002-10-2024%' or</v>
      </c>
    </row>
    <row r="147" spans="1:10" x14ac:dyDescent="0.25">
      <c r="A147" s="1" t="s">
        <v>979</v>
      </c>
      <c r="B147" t="s">
        <v>993</v>
      </c>
      <c r="H147">
        <v>100129</v>
      </c>
      <c r="I147" t="s">
        <v>988</v>
      </c>
      <c r="J147" t="str">
        <f t="shared" si="2"/>
        <v>ia.assorted_string like '%100129-00003-10-2024%'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3AAB-B925-4357-B220-2B6BA6722408}">
  <dimension ref="A1:C147"/>
  <sheetViews>
    <sheetView topLeftCell="A133" workbookViewId="0">
      <selection activeCell="A147" sqref="A147:C147"/>
    </sheetView>
  </sheetViews>
  <sheetFormatPr defaultColWidth="7.85546875" defaultRowHeight="15" x14ac:dyDescent="0.25"/>
  <cols>
    <col min="1" max="1" width="3.140625" customWidth="1"/>
    <col min="2" max="2" width="41.5703125" bestFit="1" customWidth="1"/>
    <col min="3" max="3" width="13.85546875" customWidth="1"/>
  </cols>
  <sheetData>
    <row r="1" spans="1:3" s="16" customFormat="1" ht="12" x14ac:dyDescent="0.2">
      <c r="A1" s="16" t="s">
        <v>995</v>
      </c>
      <c r="B1" s="16" t="s">
        <v>996</v>
      </c>
      <c r="C1" s="16" t="s">
        <v>997</v>
      </c>
    </row>
    <row r="2" spans="1:3" x14ac:dyDescent="0.25">
      <c r="A2">
        <v>1</v>
      </c>
      <c r="B2" t="s">
        <v>731</v>
      </c>
      <c r="C2" t="s">
        <v>998</v>
      </c>
    </row>
    <row r="3" spans="1:3" x14ac:dyDescent="0.25">
      <c r="A3">
        <v>2</v>
      </c>
      <c r="B3" t="s">
        <v>647</v>
      </c>
      <c r="C3" t="s">
        <v>999</v>
      </c>
    </row>
    <row r="4" spans="1:3" x14ac:dyDescent="0.25">
      <c r="A4">
        <v>3</v>
      </c>
      <c r="B4" t="s">
        <v>653</v>
      </c>
      <c r="C4" t="s">
        <v>1000</v>
      </c>
    </row>
    <row r="5" spans="1:3" x14ac:dyDescent="0.25">
      <c r="A5">
        <v>4</v>
      </c>
      <c r="B5" t="s">
        <v>641</v>
      </c>
      <c r="C5" t="s">
        <v>1001</v>
      </c>
    </row>
    <row r="6" spans="1:3" x14ac:dyDescent="0.25">
      <c r="A6">
        <v>5</v>
      </c>
      <c r="B6" t="s">
        <v>737</v>
      </c>
      <c r="C6" t="s">
        <v>1002</v>
      </c>
    </row>
    <row r="7" spans="1:3" x14ac:dyDescent="0.25">
      <c r="A7">
        <v>6</v>
      </c>
      <c r="B7" t="s">
        <v>593</v>
      </c>
      <c r="C7" t="s">
        <v>1003</v>
      </c>
    </row>
    <row r="8" spans="1:3" x14ac:dyDescent="0.25">
      <c r="A8">
        <v>7</v>
      </c>
      <c r="B8" t="s">
        <v>607</v>
      </c>
      <c r="C8" t="s">
        <v>1004</v>
      </c>
    </row>
    <row r="9" spans="1:3" x14ac:dyDescent="0.25">
      <c r="A9">
        <v>8</v>
      </c>
      <c r="B9" t="s">
        <v>903</v>
      </c>
      <c r="C9" t="s">
        <v>1005</v>
      </c>
    </row>
    <row r="10" spans="1:3" x14ac:dyDescent="0.25">
      <c r="A10">
        <v>9</v>
      </c>
      <c r="B10" t="s">
        <v>917</v>
      </c>
      <c r="C10" t="s">
        <v>1006</v>
      </c>
    </row>
    <row r="11" spans="1:3" x14ac:dyDescent="0.25">
      <c r="A11">
        <v>10</v>
      </c>
      <c r="B11" t="s">
        <v>910</v>
      </c>
      <c r="C11" t="s">
        <v>1007</v>
      </c>
    </row>
    <row r="12" spans="1:3" x14ac:dyDescent="0.25">
      <c r="A12">
        <v>11</v>
      </c>
      <c r="B12" t="s">
        <v>483</v>
      </c>
      <c r="C12" t="s">
        <v>1008</v>
      </c>
    </row>
    <row r="13" spans="1:3" x14ac:dyDescent="0.25">
      <c r="A13">
        <v>12</v>
      </c>
      <c r="B13" t="s">
        <v>621</v>
      </c>
      <c r="C13" t="s">
        <v>1009</v>
      </c>
    </row>
    <row r="14" spans="1:3" x14ac:dyDescent="0.25">
      <c r="A14">
        <v>13</v>
      </c>
      <c r="B14" t="s">
        <v>615</v>
      </c>
      <c r="C14" t="s">
        <v>1010</v>
      </c>
    </row>
    <row r="15" spans="1:3" x14ac:dyDescent="0.25">
      <c r="A15">
        <v>14</v>
      </c>
      <c r="B15" t="s">
        <v>627</v>
      </c>
      <c r="C15" t="s">
        <v>1011</v>
      </c>
    </row>
    <row r="16" spans="1:3" x14ac:dyDescent="0.25">
      <c r="A16">
        <v>15</v>
      </c>
      <c r="B16" t="s">
        <v>634</v>
      </c>
      <c r="C16" t="s">
        <v>1012</v>
      </c>
    </row>
    <row r="17" spans="1:3" x14ac:dyDescent="0.25">
      <c r="A17">
        <v>16</v>
      </c>
      <c r="B17" t="s">
        <v>938</v>
      </c>
      <c r="C17" t="s">
        <v>1013</v>
      </c>
    </row>
    <row r="18" spans="1:3" x14ac:dyDescent="0.25">
      <c r="A18">
        <v>17</v>
      </c>
      <c r="B18" t="s">
        <v>932</v>
      </c>
      <c r="C18" t="s">
        <v>1014</v>
      </c>
    </row>
    <row r="19" spans="1:3" x14ac:dyDescent="0.25">
      <c r="A19">
        <v>18</v>
      </c>
      <c r="B19" t="s">
        <v>944</v>
      </c>
      <c r="C19" t="s">
        <v>1015</v>
      </c>
    </row>
    <row r="20" spans="1:3" x14ac:dyDescent="0.25">
      <c r="A20">
        <v>19</v>
      </c>
      <c r="B20" t="s">
        <v>955</v>
      </c>
      <c r="C20" t="s">
        <v>1016</v>
      </c>
    </row>
    <row r="21" spans="1:3" x14ac:dyDescent="0.25">
      <c r="A21">
        <v>20</v>
      </c>
      <c r="B21" t="s">
        <v>962</v>
      </c>
      <c r="C21" t="s">
        <v>1017</v>
      </c>
    </row>
    <row r="22" spans="1:3" x14ac:dyDescent="0.25">
      <c r="A22">
        <v>21</v>
      </c>
      <c r="B22" t="s">
        <v>949</v>
      </c>
      <c r="C22" t="s">
        <v>1018</v>
      </c>
    </row>
    <row r="23" spans="1:3" x14ac:dyDescent="0.25">
      <c r="A23">
        <v>22</v>
      </c>
      <c r="B23" t="s">
        <v>41</v>
      </c>
      <c r="C23" t="s">
        <v>1019</v>
      </c>
    </row>
    <row r="24" spans="1:3" x14ac:dyDescent="0.25">
      <c r="A24">
        <v>23</v>
      </c>
      <c r="B24" t="s">
        <v>59</v>
      </c>
      <c r="C24" t="s">
        <v>1020</v>
      </c>
    </row>
    <row r="25" spans="1:3" x14ac:dyDescent="0.25">
      <c r="A25">
        <v>24</v>
      </c>
      <c r="B25" t="s">
        <v>71</v>
      </c>
      <c r="C25" t="s">
        <v>1021</v>
      </c>
    </row>
    <row r="26" spans="1:3" x14ac:dyDescent="0.25">
      <c r="A26">
        <v>25</v>
      </c>
      <c r="B26" t="s">
        <v>47</v>
      </c>
      <c r="C26" t="s">
        <v>1022</v>
      </c>
    </row>
    <row r="27" spans="1:3" x14ac:dyDescent="0.25">
      <c r="A27">
        <v>26</v>
      </c>
      <c r="B27" t="s">
        <v>27</v>
      </c>
      <c r="C27" t="s">
        <v>1023</v>
      </c>
    </row>
    <row r="28" spans="1:3" x14ac:dyDescent="0.25">
      <c r="A28">
        <v>27</v>
      </c>
      <c r="B28" t="s">
        <v>53</v>
      </c>
      <c r="C28" t="s">
        <v>1024</v>
      </c>
    </row>
    <row r="29" spans="1:3" x14ac:dyDescent="0.25">
      <c r="A29">
        <v>28</v>
      </c>
      <c r="B29" t="s">
        <v>230</v>
      </c>
      <c r="C29" t="s">
        <v>1025</v>
      </c>
    </row>
    <row r="30" spans="1:3" x14ac:dyDescent="0.25">
      <c r="A30">
        <v>29</v>
      </c>
      <c r="B30" t="s">
        <v>244</v>
      </c>
      <c r="C30" t="s">
        <v>1026</v>
      </c>
    </row>
    <row r="31" spans="1:3" x14ac:dyDescent="0.25">
      <c r="A31">
        <v>30</v>
      </c>
      <c r="B31" t="s">
        <v>237</v>
      </c>
      <c r="C31" t="s">
        <v>1027</v>
      </c>
    </row>
    <row r="32" spans="1:3" x14ac:dyDescent="0.25">
      <c r="A32">
        <v>31</v>
      </c>
      <c r="B32" t="s">
        <v>223</v>
      </c>
      <c r="C32" t="s">
        <v>1028</v>
      </c>
    </row>
    <row r="33" spans="1:3" x14ac:dyDescent="0.25">
      <c r="A33">
        <v>32</v>
      </c>
      <c r="B33" t="s">
        <v>688</v>
      </c>
      <c r="C33" t="s">
        <v>1029</v>
      </c>
    </row>
    <row r="34" spans="1:3" x14ac:dyDescent="0.25">
      <c r="A34">
        <v>33</v>
      </c>
      <c r="B34" t="s">
        <v>710</v>
      </c>
      <c r="C34" t="s">
        <v>1030</v>
      </c>
    </row>
    <row r="35" spans="1:3" x14ac:dyDescent="0.25">
      <c r="A35">
        <v>34</v>
      </c>
      <c r="B35" t="s">
        <v>756</v>
      </c>
      <c r="C35" t="s">
        <v>1031</v>
      </c>
    </row>
    <row r="36" spans="1:3" x14ac:dyDescent="0.25">
      <c r="A36">
        <v>35</v>
      </c>
      <c r="B36" t="s">
        <v>744</v>
      </c>
      <c r="C36" t="s">
        <v>1032</v>
      </c>
    </row>
    <row r="37" spans="1:3" x14ac:dyDescent="0.25">
      <c r="A37">
        <v>36</v>
      </c>
      <c r="B37" t="s">
        <v>750</v>
      </c>
      <c r="C37" t="s">
        <v>1033</v>
      </c>
    </row>
    <row r="38" spans="1:3" x14ac:dyDescent="0.25">
      <c r="A38">
        <v>37</v>
      </c>
      <c r="B38" t="s">
        <v>897</v>
      </c>
      <c r="C38" t="s">
        <v>1034</v>
      </c>
    </row>
    <row r="39" spans="1:3" x14ac:dyDescent="0.25">
      <c r="A39">
        <v>38</v>
      </c>
      <c r="B39" t="s">
        <v>787</v>
      </c>
      <c r="C39" t="s">
        <v>1035</v>
      </c>
    </row>
    <row r="40" spans="1:3" x14ac:dyDescent="0.25">
      <c r="A40">
        <v>39</v>
      </c>
      <c r="B40" t="s">
        <v>805</v>
      </c>
      <c r="C40" t="s">
        <v>1036</v>
      </c>
    </row>
    <row r="41" spans="1:3" x14ac:dyDescent="0.25">
      <c r="A41">
        <v>40</v>
      </c>
      <c r="B41" t="s">
        <v>812</v>
      </c>
      <c r="C41" t="s">
        <v>1037</v>
      </c>
    </row>
    <row r="42" spans="1:3" x14ac:dyDescent="0.25">
      <c r="A42">
        <v>41</v>
      </c>
      <c r="B42" t="s">
        <v>793</v>
      </c>
      <c r="C42" t="s">
        <v>1038</v>
      </c>
    </row>
    <row r="43" spans="1:3" x14ac:dyDescent="0.25">
      <c r="A43">
        <v>42</v>
      </c>
      <c r="B43" t="s">
        <v>681</v>
      </c>
      <c r="C43" t="s">
        <v>1039</v>
      </c>
    </row>
    <row r="44" spans="1:3" x14ac:dyDescent="0.25">
      <c r="A44">
        <v>43</v>
      </c>
      <c r="B44" t="s">
        <v>674</v>
      </c>
      <c r="C44" t="s">
        <v>1040</v>
      </c>
    </row>
    <row r="45" spans="1:3" x14ac:dyDescent="0.25">
      <c r="A45">
        <v>44</v>
      </c>
      <c r="B45" t="s">
        <v>661</v>
      </c>
      <c r="C45" t="s">
        <v>1041</v>
      </c>
    </row>
    <row r="46" spans="1:3" x14ac:dyDescent="0.25">
      <c r="A46">
        <v>45</v>
      </c>
      <c r="B46" t="s">
        <v>668</v>
      </c>
      <c r="C46" t="s">
        <v>1042</v>
      </c>
    </row>
    <row r="47" spans="1:3" x14ac:dyDescent="0.25">
      <c r="A47">
        <v>46</v>
      </c>
      <c r="B47" t="s">
        <v>818</v>
      </c>
      <c r="C47" t="s">
        <v>1043</v>
      </c>
    </row>
    <row r="48" spans="1:3" x14ac:dyDescent="0.25">
      <c r="A48">
        <v>47</v>
      </c>
      <c r="B48" t="s">
        <v>824</v>
      </c>
      <c r="C48" t="s">
        <v>1044</v>
      </c>
    </row>
    <row r="49" spans="1:3" x14ac:dyDescent="0.25">
      <c r="A49">
        <v>48</v>
      </c>
      <c r="B49" t="s">
        <v>843</v>
      </c>
      <c r="C49" t="s">
        <v>1045</v>
      </c>
    </row>
    <row r="50" spans="1:3" x14ac:dyDescent="0.25">
      <c r="A50">
        <v>49</v>
      </c>
      <c r="B50" t="s">
        <v>849</v>
      </c>
      <c r="C50" t="s">
        <v>1046</v>
      </c>
    </row>
    <row r="51" spans="1:3" x14ac:dyDescent="0.25">
      <c r="A51">
        <v>50</v>
      </c>
      <c r="B51" t="s">
        <v>574</v>
      </c>
      <c r="C51" t="s">
        <v>1047</v>
      </c>
    </row>
    <row r="52" spans="1:3" x14ac:dyDescent="0.25">
      <c r="A52">
        <v>51</v>
      </c>
      <c r="B52" t="s">
        <v>556</v>
      </c>
      <c r="C52" t="s">
        <v>1048</v>
      </c>
    </row>
    <row r="53" spans="1:3" x14ac:dyDescent="0.25">
      <c r="A53">
        <v>52</v>
      </c>
      <c r="B53" t="s">
        <v>568</v>
      </c>
      <c r="C53" t="s">
        <v>1049</v>
      </c>
    </row>
    <row r="54" spans="1:3" x14ac:dyDescent="0.25">
      <c r="A54">
        <v>53</v>
      </c>
      <c r="B54" t="s">
        <v>580</v>
      </c>
      <c r="C54" t="s">
        <v>1050</v>
      </c>
    </row>
    <row r="55" spans="1:3" x14ac:dyDescent="0.25">
      <c r="A55">
        <v>54</v>
      </c>
      <c r="B55" t="s">
        <v>562</v>
      </c>
      <c r="C55" t="s">
        <v>1051</v>
      </c>
    </row>
    <row r="56" spans="1:3" x14ac:dyDescent="0.25">
      <c r="A56">
        <v>55</v>
      </c>
      <c r="B56" t="s">
        <v>586</v>
      </c>
      <c r="C56" t="s">
        <v>1052</v>
      </c>
    </row>
    <row r="57" spans="1:3" x14ac:dyDescent="0.25">
      <c r="A57">
        <v>56</v>
      </c>
      <c r="B57" t="s">
        <v>717</v>
      </c>
      <c r="C57" t="s">
        <v>1053</v>
      </c>
    </row>
    <row r="58" spans="1:3" x14ac:dyDescent="0.25">
      <c r="A58">
        <v>57</v>
      </c>
      <c r="B58" t="s">
        <v>857</v>
      </c>
      <c r="C58" t="s">
        <v>1054</v>
      </c>
    </row>
    <row r="59" spans="1:3" x14ac:dyDescent="0.25">
      <c r="A59">
        <v>58</v>
      </c>
      <c r="B59" t="s">
        <v>864</v>
      </c>
      <c r="C59" t="s">
        <v>1055</v>
      </c>
    </row>
    <row r="60" spans="1:3" x14ac:dyDescent="0.25">
      <c r="A60">
        <v>59</v>
      </c>
      <c r="B60" t="s">
        <v>877</v>
      </c>
      <c r="C60" t="s">
        <v>1056</v>
      </c>
    </row>
    <row r="61" spans="1:3" x14ac:dyDescent="0.25">
      <c r="A61">
        <v>60</v>
      </c>
      <c r="B61" t="s">
        <v>870</v>
      </c>
      <c r="C61" t="s">
        <v>1057</v>
      </c>
    </row>
    <row r="62" spans="1:3" x14ac:dyDescent="0.25">
      <c r="A62">
        <v>61</v>
      </c>
      <c r="B62" t="s">
        <v>343</v>
      </c>
      <c r="C62" t="s">
        <v>1058</v>
      </c>
    </row>
    <row r="63" spans="1:3" x14ac:dyDescent="0.25">
      <c r="A63">
        <v>62</v>
      </c>
      <c r="B63" t="s">
        <v>325</v>
      </c>
      <c r="C63" t="s">
        <v>1059</v>
      </c>
    </row>
    <row r="64" spans="1:3" x14ac:dyDescent="0.25">
      <c r="A64">
        <v>63</v>
      </c>
      <c r="B64" t="s">
        <v>331</v>
      </c>
      <c r="C64" t="s">
        <v>1060</v>
      </c>
    </row>
    <row r="65" spans="1:3" x14ac:dyDescent="0.25">
      <c r="A65">
        <v>64</v>
      </c>
      <c r="B65" t="s">
        <v>337</v>
      </c>
      <c r="C65" t="s">
        <v>1061</v>
      </c>
    </row>
    <row r="66" spans="1:3" x14ac:dyDescent="0.25">
      <c r="A66">
        <v>65</v>
      </c>
      <c r="B66" t="s">
        <v>313</v>
      </c>
      <c r="C66" t="s">
        <v>1062</v>
      </c>
    </row>
    <row r="67" spans="1:3" x14ac:dyDescent="0.25">
      <c r="A67">
        <v>66</v>
      </c>
      <c r="B67" t="s">
        <v>252</v>
      </c>
      <c r="C67" t="s">
        <v>1063</v>
      </c>
    </row>
    <row r="68" spans="1:3" x14ac:dyDescent="0.25">
      <c r="A68">
        <v>67</v>
      </c>
      <c r="B68" t="s">
        <v>319</v>
      </c>
      <c r="C68" t="s">
        <v>1064</v>
      </c>
    </row>
    <row r="69" spans="1:3" x14ac:dyDescent="0.25">
      <c r="A69">
        <v>68</v>
      </c>
      <c r="B69" t="s">
        <v>363</v>
      </c>
      <c r="C69" t="s">
        <v>1065</v>
      </c>
    </row>
    <row r="70" spans="1:3" x14ac:dyDescent="0.25">
      <c r="A70">
        <v>69</v>
      </c>
      <c r="B70" t="s">
        <v>356</v>
      </c>
      <c r="C70" t="s">
        <v>1066</v>
      </c>
    </row>
    <row r="71" spans="1:3" x14ac:dyDescent="0.25">
      <c r="A71">
        <v>70</v>
      </c>
      <c r="B71" t="s">
        <v>369</v>
      </c>
      <c r="C71" t="s">
        <v>1067</v>
      </c>
    </row>
    <row r="72" spans="1:3" x14ac:dyDescent="0.25">
      <c r="A72">
        <v>71</v>
      </c>
      <c r="B72" t="s">
        <v>375</v>
      </c>
      <c r="C72" t="s">
        <v>1068</v>
      </c>
    </row>
    <row r="73" spans="1:3" x14ac:dyDescent="0.25">
      <c r="A73">
        <v>72</v>
      </c>
      <c r="B73" t="s">
        <v>389</v>
      </c>
      <c r="C73" t="s">
        <v>1069</v>
      </c>
    </row>
    <row r="74" spans="1:3" x14ac:dyDescent="0.25">
      <c r="A74">
        <v>73</v>
      </c>
      <c r="B74" t="s">
        <v>382</v>
      </c>
      <c r="C74" t="s">
        <v>1070</v>
      </c>
    </row>
    <row r="75" spans="1:3" x14ac:dyDescent="0.25">
      <c r="A75">
        <v>74</v>
      </c>
      <c r="B75" t="s">
        <v>417</v>
      </c>
      <c r="C75" t="s">
        <v>1071</v>
      </c>
    </row>
    <row r="76" spans="1:3" x14ac:dyDescent="0.25">
      <c r="A76">
        <v>75</v>
      </c>
      <c r="B76" t="s">
        <v>396</v>
      </c>
      <c r="C76" t="s">
        <v>1072</v>
      </c>
    </row>
    <row r="77" spans="1:3" x14ac:dyDescent="0.25">
      <c r="A77">
        <v>76</v>
      </c>
      <c r="B77" t="s">
        <v>411</v>
      </c>
      <c r="C77" t="s">
        <v>1073</v>
      </c>
    </row>
    <row r="78" spans="1:3" x14ac:dyDescent="0.25">
      <c r="A78">
        <v>77</v>
      </c>
      <c r="B78" t="s">
        <v>424</v>
      </c>
      <c r="C78" t="s">
        <v>1074</v>
      </c>
    </row>
    <row r="79" spans="1:3" x14ac:dyDescent="0.25">
      <c r="A79">
        <v>78</v>
      </c>
      <c r="B79" t="s">
        <v>404</v>
      </c>
      <c r="C79" t="s">
        <v>1075</v>
      </c>
    </row>
    <row r="80" spans="1:3" x14ac:dyDescent="0.25">
      <c r="A80">
        <v>79</v>
      </c>
      <c r="B80" t="s">
        <v>300</v>
      </c>
      <c r="C80" t="s">
        <v>1076</v>
      </c>
    </row>
    <row r="81" spans="1:3" x14ac:dyDescent="0.25">
      <c r="A81">
        <v>80</v>
      </c>
      <c r="B81" t="s">
        <v>293</v>
      </c>
      <c r="C81" t="s">
        <v>1077</v>
      </c>
    </row>
    <row r="82" spans="1:3" x14ac:dyDescent="0.25">
      <c r="A82">
        <v>81</v>
      </c>
      <c r="B82" t="s">
        <v>260</v>
      </c>
      <c r="C82" t="s">
        <v>1078</v>
      </c>
    </row>
    <row r="83" spans="1:3" x14ac:dyDescent="0.25">
      <c r="A83">
        <v>82</v>
      </c>
      <c r="B83" t="s">
        <v>287</v>
      </c>
      <c r="C83" t="s">
        <v>1079</v>
      </c>
    </row>
    <row r="84" spans="1:3" x14ac:dyDescent="0.25">
      <c r="A84">
        <v>83</v>
      </c>
      <c r="B84" t="s">
        <v>307</v>
      </c>
      <c r="C84" t="s">
        <v>1080</v>
      </c>
    </row>
    <row r="85" spans="1:3" x14ac:dyDescent="0.25">
      <c r="A85">
        <v>84</v>
      </c>
      <c r="B85" t="s">
        <v>273</v>
      </c>
      <c r="C85" t="s">
        <v>1081</v>
      </c>
    </row>
    <row r="86" spans="1:3" x14ac:dyDescent="0.25">
      <c r="A86">
        <v>85</v>
      </c>
      <c r="B86" t="s">
        <v>497</v>
      </c>
      <c r="C86" t="s">
        <v>1082</v>
      </c>
    </row>
    <row r="87" spans="1:3" x14ac:dyDescent="0.25">
      <c r="A87">
        <v>86</v>
      </c>
      <c r="B87" t="s">
        <v>543</v>
      </c>
      <c r="C87" t="s">
        <v>1083</v>
      </c>
    </row>
    <row r="88" spans="1:3" x14ac:dyDescent="0.25">
      <c r="A88">
        <v>87</v>
      </c>
      <c r="B88" t="s">
        <v>503</v>
      </c>
      <c r="C88" t="s">
        <v>1084</v>
      </c>
    </row>
    <row r="89" spans="1:3" x14ac:dyDescent="0.25">
      <c r="A89">
        <v>88</v>
      </c>
      <c r="B89" t="s">
        <v>510</v>
      </c>
      <c r="C89" t="s">
        <v>1085</v>
      </c>
    </row>
    <row r="90" spans="1:3" x14ac:dyDescent="0.25">
      <c r="A90">
        <v>89</v>
      </c>
      <c r="B90" t="s">
        <v>517</v>
      </c>
      <c r="C90" t="s">
        <v>1086</v>
      </c>
    </row>
    <row r="91" spans="1:3" x14ac:dyDescent="0.25">
      <c r="A91">
        <v>90</v>
      </c>
      <c r="B91" t="s">
        <v>549</v>
      </c>
      <c r="C91" t="s">
        <v>1087</v>
      </c>
    </row>
    <row r="92" spans="1:3" x14ac:dyDescent="0.25">
      <c r="A92">
        <v>91</v>
      </c>
      <c r="B92" t="s">
        <v>531</v>
      </c>
      <c r="C92" t="s">
        <v>1088</v>
      </c>
    </row>
    <row r="93" spans="1:3" x14ac:dyDescent="0.25">
      <c r="A93">
        <v>92</v>
      </c>
      <c r="B93" t="s">
        <v>537</v>
      </c>
      <c r="C93" t="s">
        <v>1089</v>
      </c>
    </row>
    <row r="94" spans="1:3" x14ac:dyDescent="0.25">
      <c r="A94">
        <v>93</v>
      </c>
      <c r="B94" t="s">
        <v>431</v>
      </c>
      <c r="C94" t="s">
        <v>1090</v>
      </c>
    </row>
    <row r="95" spans="1:3" x14ac:dyDescent="0.25">
      <c r="A95">
        <v>94</v>
      </c>
      <c r="B95" t="s">
        <v>524</v>
      </c>
      <c r="C95" t="s">
        <v>1091</v>
      </c>
    </row>
    <row r="96" spans="1:3" x14ac:dyDescent="0.25">
      <c r="A96">
        <v>95</v>
      </c>
      <c r="B96" t="s">
        <v>884</v>
      </c>
      <c r="C96" t="s">
        <v>1092</v>
      </c>
    </row>
    <row r="97" spans="1:3" x14ac:dyDescent="0.25">
      <c r="A97">
        <v>96</v>
      </c>
      <c r="B97" t="s">
        <v>696</v>
      </c>
      <c r="C97" t="s">
        <v>1093</v>
      </c>
    </row>
    <row r="98" spans="1:3" x14ac:dyDescent="0.25">
      <c r="A98">
        <v>97</v>
      </c>
      <c r="B98" t="s">
        <v>280</v>
      </c>
      <c r="C98" t="s">
        <v>1094</v>
      </c>
    </row>
    <row r="99" spans="1:3" x14ac:dyDescent="0.25">
      <c r="A99">
        <v>98</v>
      </c>
      <c r="B99" t="s">
        <v>267</v>
      </c>
      <c r="C99" t="s">
        <v>1095</v>
      </c>
    </row>
    <row r="100" spans="1:3" x14ac:dyDescent="0.25">
      <c r="A100">
        <v>99</v>
      </c>
      <c r="B100" t="s">
        <v>968</v>
      </c>
      <c r="C100" t="s">
        <v>1096</v>
      </c>
    </row>
    <row r="101" spans="1:3" x14ac:dyDescent="0.25">
      <c r="A101">
        <v>100</v>
      </c>
      <c r="B101" t="s">
        <v>974</v>
      </c>
      <c r="C101" t="s">
        <v>1097</v>
      </c>
    </row>
    <row r="102" spans="1:3" x14ac:dyDescent="0.25">
      <c r="A102">
        <v>101</v>
      </c>
      <c r="B102" t="s">
        <v>979</v>
      </c>
      <c r="C102" t="s">
        <v>1098</v>
      </c>
    </row>
    <row r="103" spans="1:3" x14ac:dyDescent="0.25">
      <c r="A103">
        <v>102</v>
      </c>
      <c r="B103" t="s">
        <v>443</v>
      </c>
      <c r="C103" t="s">
        <v>1099</v>
      </c>
    </row>
    <row r="104" spans="1:3" x14ac:dyDescent="0.25">
      <c r="A104">
        <v>103</v>
      </c>
      <c r="B104" t="s">
        <v>477</v>
      </c>
      <c r="C104" t="s">
        <v>1100</v>
      </c>
    </row>
    <row r="105" spans="1:3" x14ac:dyDescent="0.25">
      <c r="A105">
        <v>104</v>
      </c>
      <c r="B105" t="s">
        <v>470</v>
      </c>
      <c r="C105" t="s">
        <v>1101</v>
      </c>
    </row>
    <row r="106" spans="1:3" x14ac:dyDescent="0.25">
      <c r="A106">
        <v>105</v>
      </c>
      <c r="B106" t="s">
        <v>463</v>
      </c>
      <c r="C106" t="s">
        <v>1102</v>
      </c>
    </row>
    <row r="107" spans="1:3" x14ac:dyDescent="0.25">
      <c r="A107">
        <v>106</v>
      </c>
      <c r="B107" t="s">
        <v>456</v>
      </c>
      <c r="C107" t="s">
        <v>1103</v>
      </c>
    </row>
    <row r="108" spans="1:3" x14ac:dyDescent="0.25">
      <c r="A108">
        <v>107</v>
      </c>
      <c r="B108" t="s">
        <v>490</v>
      </c>
      <c r="C108" t="s">
        <v>1104</v>
      </c>
    </row>
    <row r="109" spans="1:3" x14ac:dyDescent="0.25">
      <c r="A109">
        <v>108</v>
      </c>
      <c r="B109" t="s">
        <v>449</v>
      </c>
      <c r="C109" t="s">
        <v>1105</v>
      </c>
    </row>
    <row r="110" spans="1:3" x14ac:dyDescent="0.25">
      <c r="A110">
        <v>109</v>
      </c>
      <c r="B110" t="s">
        <v>437</v>
      </c>
      <c r="C110" t="s">
        <v>1106</v>
      </c>
    </row>
    <row r="111" spans="1:3" x14ac:dyDescent="0.25">
      <c r="A111">
        <v>110</v>
      </c>
      <c r="B111" t="s">
        <v>600</v>
      </c>
      <c r="C111" t="s">
        <v>1107</v>
      </c>
    </row>
    <row r="112" spans="1:3" x14ac:dyDescent="0.25">
      <c r="A112">
        <v>111</v>
      </c>
      <c r="B112" t="s">
        <v>723</v>
      </c>
      <c r="C112" t="s">
        <v>1108</v>
      </c>
    </row>
    <row r="113" spans="1:3" x14ac:dyDescent="0.25">
      <c r="A113">
        <v>112</v>
      </c>
      <c r="B113" t="s">
        <v>175</v>
      </c>
      <c r="C113" t="s">
        <v>1109</v>
      </c>
    </row>
    <row r="114" spans="1:3" x14ac:dyDescent="0.25">
      <c r="A114">
        <v>113</v>
      </c>
      <c r="B114" t="s">
        <v>162</v>
      </c>
      <c r="C114" t="s">
        <v>1110</v>
      </c>
    </row>
    <row r="115" spans="1:3" x14ac:dyDescent="0.25">
      <c r="A115">
        <v>114</v>
      </c>
      <c r="B115" t="s">
        <v>155</v>
      </c>
      <c r="C115" t="s">
        <v>1111</v>
      </c>
    </row>
    <row r="116" spans="1:3" x14ac:dyDescent="0.25">
      <c r="A116">
        <v>115</v>
      </c>
      <c r="B116" t="s">
        <v>183</v>
      </c>
      <c r="C116" t="s">
        <v>1112</v>
      </c>
    </row>
    <row r="117" spans="1:3" x14ac:dyDescent="0.25">
      <c r="A117">
        <v>116</v>
      </c>
      <c r="B117" t="s">
        <v>208</v>
      </c>
      <c r="C117" t="s">
        <v>1113</v>
      </c>
    </row>
    <row r="118" spans="1:3" x14ac:dyDescent="0.25">
      <c r="A118">
        <v>117</v>
      </c>
      <c r="B118" t="s">
        <v>190</v>
      </c>
      <c r="C118" t="s">
        <v>1114</v>
      </c>
    </row>
    <row r="119" spans="1:3" x14ac:dyDescent="0.25">
      <c r="A119">
        <v>118</v>
      </c>
      <c r="B119" t="s">
        <v>196</v>
      </c>
      <c r="C119" t="s">
        <v>1115</v>
      </c>
    </row>
    <row r="120" spans="1:3" x14ac:dyDescent="0.25">
      <c r="A120">
        <v>119</v>
      </c>
      <c r="B120" t="s">
        <v>215</v>
      </c>
      <c r="C120" t="s">
        <v>1116</v>
      </c>
    </row>
    <row r="121" spans="1:3" x14ac:dyDescent="0.25">
      <c r="A121">
        <v>120</v>
      </c>
      <c r="B121" t="s">
        <v>118</v>
      </c>
      <c r="C121" t="s">
        <v>1117</v>
      </c>
    </row>
    <row r="122" spans="1:3" x14ac:dyDescent="0.25">
      <c r="A122">
        <v>121</v>
      </c>
      <c r="B122" t="s">
        <v>702</v>
      </c>
      <c r="C122" t="s">
        <v>1118</v>
      </c>
    </row>
    <row r="123" spans="1:3" x14ac:dyDescent="0.25">
      <c r="A123">
        <v>122</v>
      </c>
      <c r="B123" t="s">
        <v>762</v>
      </c>
      <c r="C123" t="s">
        <v>1119</v>
      </c>
    </row>
    <row r="124" spans="1:3" x14ac:dyDescent="0.25">
      <c r="A124">
        <v>123</v>
      </c>
      <c r="B124" t="s">
        <v>781</v>
      </c>
      <c r="C124" t="s">
        <v>1120</v>
      </c>
    </row>
    <row r="125" spans="1:3" x14ac:dyDescent="0.25">
      <c r="A125">
        <v>124</v>
      </c>
      <c r="B125" t="s">
        <v>769</v>
      </c>
      <c r="C125" t="s">
        <v>1121</v>
      </c>
    </row>
    <row r="126" spans="1:3" x14ac:dyDescent="0.25">
      <c r="A126">
        <v>125</v>
      </c>
      <c r="B126" t="s">
        <v>775</v>
      </c>
      <c r="C126" t="s">
        <v>1122</v>
      </c>
    </row>
    <row r="127" spans="1:3" x14ac:dyDescent="0.25">
      <c r="A127">
        <v>126</v>
      </c>
      <c r="B127" t="s">
        <v>799</v>
      </c>
      <c r="C127" t="s">
        <v>1123</v>
      </c>
    </row>
    <row r="128" spans="1:3" x14ac:dyDescent="0.25">
      <c r="A128">
        <v>127</v>
      </c>
      <c r="B128" t="s">
        <v>831</v>
      </c>
      <c r="C128" t="s">
        <v>1124</v>
      </c>
    </row>
    <row r="129" spans="1:3" x14ac:dyDescent="0.25">
      <c r="A129">
        <v>128</v>
      </c>
      <c r="B129" t="s">
        <v>837</v>
      </c>
      <c r="C129" t="s">
        <v>1125</v>
      </c>
    </row>
    <row r="130" spans="1:3" x14ac:dyDescent="0.25">
      <c r="A130">
        <v>129</v>
      </c>
      <c r="B130" t="s">
        <v>924</v>
      </c>
      <c r="C130" t="s">
        <v>1126</v>
      </c>
    </row>
    <row r="131" spans="1:3" x14ac:dyDescent="0.25">
      <c r="A131">
        <v>130</v>
      </c>
      <c r="B131" t="s">
        <v>890</v>
      </c>
      <c r="C131" t="s">
        <v>1127</v>
      </c>
    </row>
    <row r="132" spans="1:3" x14ac:dyDescent="0.25">
      <c r="A132">
        <v>131</v>
      </c>
      <c r="B132" t="s">
        <v>143</v>
      </c>
      <c r="C132" t="s">
        <v>1128</v>
      </c>
    </row>
    <row r="133" spans="1:3" x14ac:dyDescent="0.25">
      <c r="A133">
        <v>132</v>
      </c>
      <c r="B133" t="s">
        <v>167</v>
      </c>
      <c r="C133" t="s">
        <v>1129</v>
      </c>
    </row>
    <row r="134" spans="1:3" x14ac:dyDescent="0.25">
      <c r="A134">
        <v>133</v>
      </c>
      <c r="B134" t="s">
        <v>149</v>
      </c>
      <c r="C134" t="s">
        <v>1130</v>
      </c>
    </row>
    <row r="135" spans="1:3" x14ac:dyDescent="0.25">
      <c r="A135">
        <v>134</v>
      </c>
      <c r="B135" t="s">
        <v>131</v>
      </c>
      <c r="C135" t="s">
        <v>1131</v>
      </c>
    </row>
    <row r="136" spans="1:3" x14ac:dyDescent="0.25">
      <c r="A136">
        <v>135</v>
      </c>
      <c r="B136" t="s">
        <v>124</v>
      </c>
      <c r="C136" t="s">
        <v>1132</v>
      </c>
    </row>
    <row r="137" spans="1:3" x14ac:dyDescent="0.25">
      <c r="A137">
        <v>136</v>
      </c>
      <c r="B137" t="s">
        <v>99</v>
      </c>
      <c r="C137" t="s">
        <v>1133</v>
      </c>
    </row>
    <row r="138" spans="1:3" x14ac:dyDescent="0.25">
      <c r="A138">
        <v>137</v>
      </c>
      <c r="B138" t="s">
        <v>79</v>
      </c>
      <c r="C138" t="s">
        <v>1134</v>
      </c>
    </row>
    <row r="139" spans="1:3" x14ac:dyDescent="0.25">
      <c r="A139">
        <v>138</v>
      </c>
      <c r="B139" t="s">
        <v>105</v>
      </c>
      <c r="C139" t="s">
        <v>1135</v>
      </c>
    </row>
    <row r="140" spans="1:3" x14ac:dyDescent="0.25">
      <c r="A140">
        <v>139</v>
      </c>
      <c r="B140" t="s">
        <v>65</v>
      </c>
      <c r="C140" t="s">
        <v>1136</v>
      </c>
    </row>
    <row r="141" spans="1:3" x14ac:dyDescent="0.25">
      <c r="A141">
        <v>140</v>
      </c>
      <c r="B141" t="s">
        <v>93</v>
      </c>
      <c r="C141" t="s">
        <v>1137</v>
      </c>
    </row>
    <row r="142" spans="1:3" x14ac:dyDescent="0.25">
      <c r="A142">
        <v>141</v>
      </c>
      <c r="B142" t="s">
        <v>112</v>
      </c>
      <c r="C142" t="s">
        <v>1138</v>
      </c>
    </row>
    <row r="143" spans="1:3" x14ac:dyDescent="0.25">
      <c r="A143">
        <v>142</v>
      </c>
      <c r="B143" t="s">
        <v>202</v>
      </c>
      <c r="C143" t="s">
        <v>1139</v>
      </c>
    </row>
    <row r="144" spans="1:3" x14ac:dyDescent="0.25">
      <c r="A144">
        <v>143</v>
      </c>
      <c r="B144" t="s">
        <v>86</v>
      </c>
      <c r="C144" t="s">
        <v>1140</v>
      </c>
    </row>
    <row r="145" spans="1:3" x14ac:dyDescent="0.25">
      <c r="A145">
        <v>144</v>
      </c>
      <c r="B145" t="s">
        <v>1141</v>
      </c>
      <c r="C145" t="s">
        <v>1142</v>
      </c>
    </row>
    <row r="146" spans="1:3" x14ac:dyDescent="0.25">
      <c r="A146">
        <v>1</v>
      </c>
      <c r="B146" t="s">
        <v>35</v>
      </c>
      <c r="C146" t="s">
        <v>1143</v>
      </c>
    </row>
    <row r="147" spans="1:3" x14ac:dyDescent="0.25">
      <c r="A147">
        <v>1</v>
      </c>
      <c r="B147" t="s">
        <v>1147</v>
      </c>
      <c r="C147" t="s">
        <v>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MBL RENEWAL</vt:lpstr>
      <vt:lpstr>working</vt:lpstr>
      <vt:lpstr>Sheet2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 User2</dc:creator>
  <cp:lastModifiedBy>IT User Software</cp:lastModifiedBy>
  <dcterms:created xsi:type="dcterms:W3CDTF">2024-11-21T06:50:49Z</dcterms:created>
  <dcterms:modified xsi:type="dcterms:W3CDTF">2024-11-21T11:44:38Z</dcterms:modified>
</cp:coreProperties>
</file>